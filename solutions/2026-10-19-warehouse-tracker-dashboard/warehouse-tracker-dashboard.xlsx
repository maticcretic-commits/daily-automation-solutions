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SKU_Master" sheetId="2" state="visible" r:id="rId2"/>
    <sheet xmlns:r="http://schemas.openxmlformats.org/officeDocument/2006/relationships" name="Raw_Receipts" sheetId="3" state="visible" r:id="rId3"/>
    <sheet xmlns:r="http://schemas.openxmlformats.org/officeDocument/2006/relationships" name="Raw_Issues" sheetId="4" state="visible" r:id="rId4"/>
    <sheet xmlns:r="http://schemas.openxmlformats.org/officeDocument/2006/relationships" name="Raw_Adjustments" sheetId="5" state="visible" r:id="rId5"/>
    <sheet xmlns:r="http://schemas.openxmlformats.org/officeDocument/2006/relationships" name="Stock_Ledger" sheetId="6" state="visible" r:id="rId6"/>
    <sheet xmlns:r="http://schemas.openxmlformats.org/officeDocument/2006/relationships" name="Bin_Map" sheetId="7" state="visible" r:id="rId7"/>
    <sheet xmlns:r="http://schemas.openxmlformats.org/officeDocument/2006/relationships" name="Entry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AI_Report" sheetId="10" state="visible" r:id="rId10"/>
    <sheet xmlns:r="http://schemas.openxmlformats.org/officeDocument/2006/relationships" name="Checks" sheetId="11" state="visible" r:id="rId11"/>
    <sheet xmlns:r="http://schemas.openxmlformats.org/officeDocument/2006/relationships" name="PowerBI_Model" sheetId="12" state="visible" r:id="rId12"/>
  </sheets>
  <definedNames>
    <definedName name="_xlnm._FilterDatabase" localSheetId="1" hidden="1">'SKU_Master'!$A$1:$H$37</definedName>
    <definedName name="_xlnm._FilterDatabase" localSheetId="2" hidden="1">'Raw_Receipts'!$A$1:$G$128</definedName>
    <definedName name="_xlnm._FilterDatabase" localSheetId="3" hidden="1">'Raw_Issues'!$A$1:$E$224</definedName>
    <definedName name="_xlnm._FilterDatabase" localSheetId="4" hidden="1">'Raw_Adjustments'!$A$1:$E$18</definedName>
    <definedName name="_xlnm._FilterDatabase" localSheetId="5" hidden="1">'Stock_Ledger'!$A$2:$Q$38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₹#,##0.00"/>
    <numFmt numFmtId="165" formatCode="yyyy-mm-dd"/>
    <numFmt numFmtId="166" formatCode="dd-mmm-yy"/>
    <numFmt numFmtId="167" formatCode="0.0"/>
    <numFmt numFmtId="168" formatCode="0.0%"/>
  </numFmts>
  <fonts count="7">
    <font>
      <name val="Calibri"/>
      <family val="2"/>
      <color theme="1"/>
      <sz val="11"/>
      <scheme val="minor"/>
    </font>
    <font>
      <b val="1"/>
      <color rgb="001F4E5F"/>
      <sz val="14"/>
    </font>
    <font>
      <b val="1"/>
      <color rgb="00FFFFFF"/>
    </font>
    <font>
      <b val="1"/>
    </font>
    <font>
      <color rgb="001F4E5F"/>
      <sz val="13"/>
    </font>
    <font>
      <b val="1"/>
      <color rgb="001F4E5F"/>
      <sz val="11"/>
    </font>
    <font>
      <b val="1"/>
      <color rgb="001F4E5F"/>
      <sz val="12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167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v>Stock value</v>
          </tx>
          <spPr>
            <a:ln xmlns:a="http://schemas.openxmlformats.org/drawingml/2006/main">
              <a:prstDash val="solid"/>
            </a:ln>
          </spPr>
          <cat>
            <numRef>
              <f>'Dashboard'!$A$15:$A$19</f>
            </numRef>
          </cat>
          <val>
            <numRef>
              <f>'Dashboard'!$B$15:$B$19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receipts vs issues (qty)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'Dashboard'!$A$24:$A$41</f>
            </numRef>
          </cat>
          <val>
            <numRef>
              <f>'Dashboard'!$B$24:$B$41</f>
            </numRef>
          </val>
        </ser>
        <ser>
          <idx val="1"/>
          <order val="1"/>
          <tx>
            <strRef>
              <f>'Dashboard'!C23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'Dashboard'!$A$24:$A$41</f>
            </numRef>
          </cat>
          <val>
            <numRef>
              <f>'Dashboard'!$C$24:$C$41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SKUs by stock status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'Dashboard'!$A$46:$A$49</f>
            </numRef>
          </cat>
          <val>
            <numRef>
              <f>'Dashboard'!$B$46:$B$49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33</row>
      <rowOff>0</rowOff>
    </from>
    <ext cx="50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WarehousePulse — warehouse stock tracker + Power BI-ready model</t>
        </is>
      </c>
    </row>
    <row r="3">
      <c r="A3" t="inlineStr">
        <is>
          <t>Fictional demo data: 'Sharma Wholesale Traders, Patna' (FMCG wholesale).</t>
        </is>
      </c>
    </row>
    <row r="4">
      <c r="A4" t="inlineStr">
        <is>
          <t>Opening stock as of 30-Sep-2026; movements 01-Oct-2026 .. 18-Oct-2026.</t>
        </is>
      </c>
    </row>
    <row r="5">
      <c r="A5" t="inlineStr"/>
    </row>
    <row r="6">
      <c r="A6" t="inlineStr">
        <is>
          <t>DAILY ROUTINE</t>
        </is>
      </c>
    </row>
    <row r="7">
      <c r="A7" t="inlineStr">
        <is>
          <t>1. Key today's receipts / issues / adjustments into the Entry sheet (or paste</t>
        </is>
      </c>
    </row>
    <row r="8">
      <c r="A8" t="inlineStr">
        <is>
          <t xml:space="preserve">   rows directly into Raw_Receipts / Raw_Issues / Raw_Adjustments — keep column order).</t>
        </is>
      </c>
    </row>
    <row r="9">
      <c r="A9" t="inlineStr">
        <is>
          <t>2. Everything recalculates: Stock_Ledger (closing, WAC, value, days-of-cover,</t>
        </is>
      </c>
    </row>
    <row r="10">
      <c r="A10" t="inlineStr">
        <is>
          <t xml:space="preserve">   status), Bin_Map utilisation, Dashboard KPIs/charts/drill-through,</t>
        </is>
      </c>
    </row>
    <row r="11">
      <c r="A11" t="inlineStr">
        <is>
          <t xml:space="preserve">   AI_Report narrative and the Checks sheet.</t>
        </is>
      </c>
    </row>
    <row r="12">
      <c r="A12" t="inlineStr">
        <is>
          <t>3. SKUs flagged REORDER or STOCKOUT on Stock_Ledger are your purchase list;</t>
        </is>
      </c>
    </row>
    <row r="13">
      <c r="A13" t="inlineStr">
        <is>
          <t xml:space="preserve">   the Dashboard drill-through shows the top-5 SKUs by value per category.</t>
        </is>
      </c>
    </row>
    <row r="14">
      <c r="A14" t="inlineStr"/>
    </row>
    <row r="15">
      <c r="A15" t="inlineStr">
        <is>
          <t>POWER BI</t>
        </is>
      </c>
    </row>
    <row r="16">
      <c r="A16" t="inlineStr">
        <is>
          <t>4. Point Power BI at the powerbi/*.csv files (or export the workbook sheets):</t>
        </is>
      </c>
    </row>
    <row r="17">
      <c r="A17" t="inlineStr">
        <is>
          <t xml:space="preserve">   dim_sku + dim_bin + dim_date feed fact_inventory_daily (one row per SKU per day).</t>
        </is>
      </c>
    </row>
    <row r="18">
      <c r="A18" t="inlineStr">
        <is>
          <t xml:space="preserve">   Ready-made DAX measures live in powerbi/MEASURES.md and on PowerBI_Model.</t>
        </is>
      </c>
    </row>
    <row r="19">
      <c r="A19" t="inlineStr">
        <is>
          <t>5. The Dashboard's 3 charts and the category drill-through are the Excel</t>
        </is>
      </c>
    </row>
    <row r="20">
      <c r="A20" t="inlineStr">
        <is>
          <t xml:space="preserve">   prototype of the Power BI page — same KPIs, same grain.</t>
        </is>
      </c>
    </row>
    <row r="21">
      <c r="A21" t="inlineStr"/>
    </row>
    <row r="22">
      <c r="A22" t="inlineStr">
        <is>
          <t>FORMULAS, NOT VALUES</t>
        </is>
      </c>
    </row>
    <row r="23">
      <c r="A23" t="inlineStr">
        <is>
          <t>Every computed cell is a live formula (SUMIFS/VLOOKUP/IF/LARGE …). Nothing</t>
        </is>
      </c>
    </row>
    <row r="24">
      <c r="A24" t="inlineStr">
        <is>
          <t>is pasted as values, so the workbook never goes stale. Checks!B must all</t>
        </is>
      </c>
    </row>
    <row r="25">
      <c r="A25" t="inlineStr">
        <is>
          <t>read TRUE after any recalculation.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7" customWidth="1" min="4" max="4"/>
    <col width="13" customWidth="1" min="5" max="5"/>
    <col width="11" customWidth="1" min="6" max="6"/>
    <col width="7" customWidth="1" min="7" max="7"/>
    <col width="12" customWidth="1" min="8" max="8"/>
  </cols>
  <sheetData>
    <row r="1">
      <c r="A1" s="2" t="inlineStr">
        <is>
          <t>sku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uom</t>
        </is>
      </c>
      <c r="E1" s="2" t="inlineStr">
        <is>
          <t>reorder_level</t>
        </is>
      </c>
      <c r="F1" s="2" t="inlineStr">
        <is>
          <t>std_cost</t>
        </is>
      </c>
      <c r="G1" s="2" t="inlineStr">
        <is>
          <t>bin</t>
        </is>
      </c>
      <c r="H1" s="2" t="inlineStr">
        <is>
          <t>opening_qty</t>
        </is>
      </c>
    </row>
    <row r="2">
      <c r="A2" t="inlineStr">
        <is>
          <t>ST-001</t>
        </is>
      </c>
      <c r="B2" t="inlineStr">
        <is>
          <t>Basmati Rice 5kg</t>
        </is>
      </c>
      <c r="C2" t="inlineStr">
        <is>
          <t>Staples</t>
        </is>
      </c>
      <c r="D2" t="inlineStr">
        <is>
          <t>bag</t>
        </is>
      </c>
      <c r="E2" s="3" t="n">
        <v>120</v>
      </c>
      <c r="F2" s="4" t="n">
        <v>485</v>
      </c>
      <c r="G2" t="inlineStr">
        <is>
          <t>B1</t>
        </is>
      </c>
      <c r="H2" s="3" t="n">
        <v>333</v>
      </c>
    </row>
    <row r="3">
      <c r="A3" t="inlineStr">
        <is>
          <t>ST-002</t>
        </is>
      </c>
      <c r="B3" t="inlineStr">
        <is>
          <t>Wheat Flour 10kg</t>
        </is>
      </c>
      <c r="C3" t="inlineStr">
        <is>
          <t>Staples</t>
        </is>
      </c>
      <c r="D3" t="inlineStr">
        <is>
          <t>bag</t>
        </is>
      </c>
      <c r="E3" s="3" t="n">
        <v>150</v>
      </c>
      <c r="F3" s="4" t="n">
        <v>425</v>
      </c>
      <c r="G3" t="inlineStr">
        <is>
          <t>C2</t>
        </is>
      </c>
      <c r="H3" s="3" t="n">
        <v>90</v>
      </c>
    </row>
    <row r="4">
      <c r="A4" t="inlineStr">
        <is>
          <t>ST-003</t>
        </is>
      </c>
      <c r="B4" t="inlineStr">
        <is>
          <t>Toor Dal 1kg</t>
        </is>
      </c>
      <c r="C4" t="inlineStr">
        <is>
          <t>Staples</t>
        </is>
      </c>
      <c r="D4" t="inlineStr">
        <is>
          <t>pkt</t>
        </is>
      </c>
      <c r="E4" s="3" t="n">
        <v>200</v>
      </c>
      <c r="F4" s="4" t="n">
        <v>165</v>
      </c>
      <c r="G4" t="inlineStr">
        <is>
          <t>B1</t>
        </is>
      </c>
      <c r="H4" s="3" t="n">
        <v>228</v>
      </c>
    </row>
    <row r="5">
      <c r="A5" t="inlineStr">
        <is>
          <t>ST-004</t>
        </is>
      </c>
      <c r="B5" t="inlineStr">
        <is>
          <t>Sugar 5kg</t>
        </is>
      </c>
      <c r="C5" t="inlineStr">
        <is>
          <t>Staples</t>
        </is>
      </c>
      <c r="D5" t="inlineStr">
        <is>
          <t>bag</t>
        </is>
      </c>
      <c r="E5" s="3" t="n">
        <v>100</v>
      </c>
      <c r="F5" s="4" t="n">
        <v>230</v>
      </c>
      <c r="G5" t="inlineStr">
        <is>
          <t>C4</t>
        </is>
      </c>
      <c r="H5" s="3" t="n">
        <v>357</v>
      </c>
    </row>
    <row r="6">
      <c r="A6" t="inlineStr">
        <is>
          <t>ST-005</t>
        </is>
      </c>
      <c r="B6" t="inlineStr">
        <is>
          <t>Mustard Oil 1L</t>
        </is>
      </c>
      <c r="C6" t="inlineStr">
        <is>
          <t>Staples</t>
        </is>
      </c>
      <c r="D6" t="inlineStr">
        <is>
          <t>btl</t>
        </is>
      </c>
      <c r="E6" s="3" t="n">
        <v>180</v>
      </c>
      <c r="F6" s="4" t="n">
        <v>198</v>
      </c>
      <c r="G6" t="inlineStr">
        <is>
          <t>A3</t>
        </is>
      </c>
      <c r="H6" s="3" t="n">
        <v>59</v>
      </c>
    </row>
    <row r="7">
      <c r="A7" t="inlineStr">
        <is>
          <t>ST-006</t>
        </is>
      </c>
      <c r="B7" t="inlineStr">
        <is>
          <t>Salt 1kg</t>
        </is>
      </c>
      <c r="C7" t="inlineStr">
        <is>
          <t>Staples</t>
        </is>
      </c>
      <c r="D7" t="inlineStr">
        <is>
          <t>pkt</t>
        </is>
      </c>
      <c r="E7" s="3" t="n">
        <v>250</v>
      </c>
      <c r="F7" s="4" t="n">
        <v>32</v>
      </c>
      <c r="G7" t="inlineStr">
        <is>
          <t>A4</t>
        </is>
      </c>
      <c r="H7" s="3" t="n">
        <v>338</v>
      </c>
    </row>
    <row r="8">
      <c r="A8" t="inlineStr">
        <is>
          <t>ST-007</t>
        </is>
      </c>
      <c r="B8" t="inlineStr">
        <is>
          <t>Poha 500g</t>
        </is>
      </c>
      <c r="C8" t="inlineStr">
        <is>
          <t>Staples</t>
        </is>
      </c>
      <c r="D8" t="inlineStr">
        <is>
          <t>pkt</t>
        </is>
      </c>
      <c r="E8" s="3" t="n">
        <v>160</v>
      </c>
      <c r="F8" s="4" t="n">
        <v>45</v>
      </c>
      <c r="G8" t="inlineStr">
        <is>
          <t>A3</t>
        </is>
      </c>
      <c r="H8" s="3" t="n">
        <v>239</v>
      </c>
    </row>
    <row r="9">
      <c r="A9" t="inlineStr">
        <is>
          <t>ST-008</t>
        </is>
      </c>
      <c r="B9" t="inlineStr">
        <is>
          <t>Sona Masoori Rice 5kg</t>
        </is>
      </c>
      <c r="C9" t="inlineStr">
        <is>
          <t>Staples</t>
        </is>
      </c>
      <c r="D9" t="inlineStr">
        <is>
          <t>bag</t>
        </is>
      </c>
      <c r="E9" s="3" t="n">
        <v>110</v>
      </c>
      <c r="F9" s="4" t="n">
        <v>340</v>
      </c>
      <c r="G9" t="inlineStr">
        <is>
          <t>C3</t>
        </is>
      </c>
      <c r="H9" s="3" t="n">
        <v>40</v>
      </c>
    </row>
    <row r="10">
      <c r="A10" t="inlineStr">
        <is>
          <t>BV-001</t>
        </is>
      </c>
      <c r="B10" t="inlineStr">
        <is>
          <t>Masala Chai 250g</t>
        </is>
      </c>
      <c r="C10" t="inlineStr">
        <is>
          <t>Beverages</t>
        </is>
      </c>
      <c r="D10" t="inlineStr">
        <is>
          <t>pkt</t>
        </is>
      </c>
      <c r="E10" s="3" t="n">
        <v>140</v>
      </c>
      <c r="F10" s="4" t="n">
        <v>145</v>
      </c>
      <c r="G10" t="inlineStr">
        <is>
          <t>B3</t>
        </is>
      </c>
      <c r="H10" s="3" t="n">
        <v>407</v>
      </c>
    </row>
    <row r="11">
      <c r="A11" t="inlineStr">
        <is>
          <t>BV-002</t>
        </is>
      </c>
      <c r="B11" t="inlineStr">
        <is>
          <t>Instant Coffee 100g</t>
        </is>
      </c>
      <c r="C11" t="inlineStr">
        <is>
          <t>Beverages</t>
        </is>
      </c>
      <c r="D11" t="inlineStr">
        <is>
          <t>jar</t>
        </is>
      </c>
      <c r="E11" s="3" t="n">
        <v>90</v>
      </c>
      <c r="F11" s="4" t="n">
        <v>285</v>
      </c>
      <c r="G11" t="inlineStr">
        <is>
          <t>C3</t>
        </is>
      </c>
      <c r="H11" s="3" t="n">
        <v>221</v>
      </c>
    </row>
    <row r="12">
      <c r="A12" t="inlineStr">
        <is>
          <t>BV-003</t>
        </is>
      </c>
      <c r="B12" t="inlineStr">
        <is>
          <t>Mango Juice 1L</t>
        </is>
      </c>
      <c r="C12" t="inlineStr">
        <is>
          <t>Beverages</t>
        </is>
      </c>
      <c r="D12" t="inlineStr">
        <is>
          <t>btl</t>
        </is>
      </c>
      <c r="E12" s="3" t="n">
        <v>200</v>
      </c>
      <c r="F12" s="4" t="n">
        <v>115</v>
      </c>
      <c r="G12" t="inlineStr">
        <is>
          <t>B2</t>
        </is>
      </c>
      <c r="H12" s="3" t="n">
        <v>207</v>
      </c>
    </row>
    <row r="13">
      <c r="A13" t="inlineStr">
        <is>
          <t>BV-004</t>
        </is>
      </c>
      <c r="B13" t="inlineStr">
        <is>
          <t>Cola 750ml x12 case</t>
        </is>
      </c>
      <c r="C13" t="inlineStr">
        <is>
          <t>Beverages</t>
        </is>
      </c>
      <c r="D13" t="inlineStr">
        <is>
          <t>case</t>
        </is>
      </c>
      <c r="E13" s="3" t="n">
        <v>80</v>
      </c>
      <c r="F13" s="4" t="n">
        <v>420</v>
      </c>
      <c r="G13" t="inlineStr">
        <is>
          <t>A4</t>
        </is>
      </c>
      <c r="H13" s="3" t="n">
        <v>290</v>
      </c>
    </row>
    <row r="14">
      <c r="A14" t="inlineStr">
        <is>
          <t>BV-005</t>
        </is>
      </c>
      <c r="B14" t="inlineStr">
        <is>
          <t>Lassi 200ml x24 case</t>
        </is>
      </c>
      <c r="C14" t="inlineStr">
        <is>
          <t>Beverages</t>
        </is>
      </c>
      <c r="D14" t="inlineStr">
        <is>
          <t>case</t>
        </is>
      </c>
      <c r="E14" s="3" t="n">
        <v>110</v>
      </c>
      <c r="F14" s="4" t="n">
        <v>360</v>
      </c>
      <c r="G14" t="inlineStr">
        <is>
          <t>A2</t>
        </is>
      </c>
      <c r="H14" s="3" t="n">
        <v>336</v>
      </c>
    </row>
    <row r="15">
      <c r="A15" t="inlineStr">
        <is>
          <t>BV-006</t>
        </is>
      </c>
      <c r="B15" t="inlineStr">
        <is>
          <t>Green Tea 100 bags</t>
        </is>
      </c>
      <c r="C15" t="inlineStr">
        <is>
          <t>Beverages</t>
        </is>
      </c>
      <c r="D15" t="inlineStr">
        <is>
          <t>box</t>
        </is>
      </c>
      <c r="E15" s="3" t="n">
        <v>70</v>
      </c>
      <c r="F15" s="4" t="n">
        <v>195</v>
      </c>
      <c r="G15" t="inlineStr">
        <is>
          <t>C2</t>
        </is>
      </c>
      <c r="H15" s="3" t="n">
        <v>398</v>
      </c>
    </row>
    <row r="16">
      <c r="A16" t="inlineStr">
        <is>
          <t>BV-007</t>
        </is>
      </c>
      <c r="B16" t="inlineStr">
        <is>
          <t>Energy Drink 250ml x24</t>
        </is>
      </c>
      <c r="C16" t="inlineStr">
        <is>
          <t>Beverages</t>
        </is>
      </c>
      <c r="D16" t="inlineStr">
        <is>
          <t>case</t>
        </is>
      </c>
      <c r="E16" s="3" t="n">
        <v>60</v>
      </c>
      <c r="F16" s="4" t="n">
        <v>1080</v>
      </c>
      <c r="G16" t="inlineStr">
        <is>
          <t>C2</t>
        </is>
      </c>
      <c r="H16" s="3" t="n">
        <v>176</v>
      </c>
    </row>
    <row r="17">
      <c r="A17" t="inlineStr">
        <is>
          <t>BV-008</t>
        </is>
      </c>
      <c r="B17" t="inlineStr">
        <is>
          <t>Cold Coffee 300ml</t>
        </is>
      </c>
      <c r="C17" t="inlineStr">
        <is>
          <t>Beverages</t>
        </is>
      </c>
      <c r="D17" t="inlineStr">
        <is>
          <t>btl</t>
        </is>
      </c>
      <c r="E17" s="3" t="n">
        <v>90</v>
      </c>
      <c r="F17" s="4" t="n">
        <v>95</v>
      </c>
      <c r="G17" t="inlineStr">
        <is>
          <t>C1</t>
        </is>
      </c>
      <c r="H17" s="3" t="n">
        <v>318</v>
      </c>
    </row>
    <row r="18">
      <c r="A18" t="inlineStr">
        <is>
          <t>SN-001</t>
        </is>
      </c>
      <c r="B18" t="inlineStr">
        <is>
          <t>Potato Chips 150g x20</t>
        </is>
      </c>
      <c r="C18" t="inlineStr">
        <is>
          <t>Snacks</t>
        </is>
      </c>
      <c r="D18" t="inlineStr">
        <is>
          <t>case</t>
        </is>
      </c>
      <c r="E18" s="3" t="n">
        <v>90</v>
      </c>
      <c r="F18" s="4" t="n">
        <v>520</v>
      </c>
      <c r="G18" t="inlineStr">
        <is>
          <t>A4</t>
        </is>
      </c>
      <c r="H18" s="3" t="n">
        <v>195</v>
      </c>
    </row>
    <row r="19">
      <c r="A19" t="inlineStr">
        <is>
          <t>SN-002</t>
        </is>
      </c>
      <c r="B19" t="inlineStr">
        <is>
          <t>Namkeen Mix 400g</t>
        </is>
      </c>
      <c r="C19" t="inlineStr">
        <is>
          <t>Snacks</t>
        </is>
      </c>
      <c r="D19" t="inlineStr">
        <is>
          <t>pkt</t>
        </is>
      </c>
      <c r="E19" s="3" t="n">
        <v>170</v>
      </c>
      <c r="F19" s="4" t="n">
        <v>95</v>
      </c>
      <c r="G19" t="inlineStr">
        <is>
          <t>C4</t>
        </is>
      </c>
      <c r="H19" s="3" t="n">
        <v>206</v>
      </c>
    </row>
    <row r="20">
      <c r="A20" t="inlineStr">
        <is>
          <t>SN-003</t>
        </is>
      </c>
      <c r="B20" t="inlineStr">
        <is>
          <t>Biscuits 300g x12</t>
        </is>
      </c>
      <c r="C20" t="inlineStr">
        <is>
          <t>Snacks</t>
        </is>
      </c>
      <c r="D20" t="inlineStr">
        <is>
          <t>case</t>
        </is>
      </c>
      <c r="E20" s="3" t="n">
        <v>100</v>
      </c>
      <c r="F20" s="4" t="n">
        <v>300</v>
      </c>
      <c r="G20" t="inlineStr">
        <is>
          <t>B4</t>
        </is>
      </c>
      <c r="H20" s="3" t="n">
        <v>168</v>
      </c>
    </row>
    <row r="21">
      <c r="A21" t="inlineStr">
        <is>
          <t>SN-004</t>
        </is>
      </c>
      <c r="B21" t="inlineStr">
        <is>
          <t>Dry Fruit Mix 500g</t>
        </is>
      </c>
      <c r="C21" t="inlineStr">
        <is>
          <t>Snacks</t>
        </is>
      </c>
      <c r="D21" t="inlineStr">
        <is>
          <t>pkt</t>
        </is>
      </c>
      <c r="E21" s="3" t="n">
        <v>60</v>
      </c>
      <c r="F21" s="4" t="n">
        <v>445</v>
      </c>
      <c r="G21" t="inlineStr">
        <is>
          <t>B2</t>
        </is>
      </c>
      <c r="H21" s="3" t="n">
        <v>9</v>
      </c>
    </row>
    <row r="22">
      <c r="A22" t="inlineStr">
        <is>
          <t>SN-005</t>
        </is>
      </c>
      <c r="B22" t="inlineStr">
        <is>
          <t>Instant Noodles 70g x12</t>
        </is>
      </c>
      <c r="C22" t="inlineStr">
        <is>
          <t>Snacks</t>
        </is>
      </c>
      <c r="D22" t="inlineStr">
        <is>
          <t>case</t>
        </is>
      </c>
      <c r="E22" s="3" t="n">
        <v>130</v>
      </c>
      <c r="F22" s="4" t="n">
        <v>168</v>
      </c>
      <c r="G22" t="inlineStr">
        <is>
          <t>C4</t>
        </is>
      </c>
      <c r="H22" s="3" t="n">
        <v>376</v>
      </c>
    </row>
    <row r="23">
      <c r="A23" t="inlineStr">
        <is>
          <t>SN-006</t>
        </is>
      </c>
      <c r="B23" t="inlineStr">
        <is>
          <t>Roasted Peanuts 200g</t>
        </is>
      </c>
      <c r="C23" t="inlineStr">
        <is>
          <t>Snacks</t>
        </is>
      </c>
      <c r="D23" t="inlineStr">
        <is>
          <t>pkt</t>
        </is>
      </c>
      <c r="E23" s="3" t="n">
        <v>150</v>
      </c>
      <c r="F23" s="4" t="n">
        <v>75</v>
      </c>
      <c r="G23" t="inlineStr">
        <is>
          <t>B4</t>
        </is>
      </c>
      <c r="H23" s="3" t="n">
        <v>398</v>
      </c>
    </row>
    <row r="24">
      <c r="A24" t="inlineStr">
        <is>
          <t>SN-007</t>
        </is>
      </c>
      <c r="B24" t="inlineStr">
        <is>
          <t>Chocolate Bar 40g x30</t>
        </is>
      </c>
      <c r="C24" t="inlineStr">
        <is>
          <t>Snacks</t>
        </is>
      </c>
      <c r="D24" t="inlineStr">
        <is>
          <t>case</t>
        </is>
      </c>
      <c r="E24" s="3" t="n">
        <v>70</v>
      </c>
      <c r="F24" s="4" t="n">
        <v>750</v>
      </c>
      <c r="G24" t="inlineStr">
        <is>
          <t>B2</t>
        </is>
      </c>
      <c r="H24" s="3" t="n">
        <v>109</v>
      </c>
    </row>
    <row r="25">
      <c r="A25" t="inlineStr">
        <is>
          <t>SN-008</t>
        </is>
      </c>
      <c r="B25" t="inlineStr">
        <is>
          <t>Popcorn Kernels 1kg</t>
        </is>
      </c>
      <c r="C25" t="inlineStr">
        <is>
          <t>Snacks</t>
        </is>
      </c>
      <c r="D25" t="inlineStr">
        <is>
          <t>pkt</t>
        </is>
      </c>
      <c r="E25" s="3" t="n">
        <v>120</v>
      </c>
      <c r="F25" s="4" t="n">
        <v>88</v>
      </c>
      <c r="G25" t="inlineStr">
        <is>
          <t>A1</t>
        </is>
      </c>
      <c r="H25" s="3" t="n">
        <v>293</v>
      </c>
    </row>
    <row r="26">
      <c r="A26" t="inlineStr">
        <is>
          <t>PC-001</t>
        </is>
      </c>
      <c r="B26" t="inlineStr">
        <is>
          <t>Bath Soap 125g x4</t>
        </is>
      </c>
      <c r="C26" t="inlineStr">
        <is>
          <t>Personal Care</t>
        </is>
      </c>
      <c r="D26" t="inlineStr">
        <is>
          <t>pack</t>
        </is>
      </c>
      <c r="E26" s="3" t="n">
        <v>160</v>
      </c>
      <c r="F26" s="4" t="n">
        <v>132</v>
      </c>
      <c r="G26" t="inlineStr">
        <is>
          <t>B3</t>
        </is>
      </c>
      <c r="H26" s="3" t="n">
        <v>280</v>
      </c>
    </row>
    <row r="27">
      <c r="A27" t="inlineStr">
        <is>
          <t>PC-002</t>
        </is>
      </c>
      <c r="B27" t="inlineStr">
        <is>
          <t>Shampoo 340ml</t>
        </is>
      </c>
      <c r="C27" t="inlineStr">
        <is>
          <t>Personal Care</t>
        </is>
      </c>
      <c r="D27" t="inlineStr">
        <is>
          <t>btl</t>
        </is>
      </c>
      <c r="E27" s="3" t="n">
        <v>120</v>
      </c>
      <c r="F27" s="4" t="n">
        <v>210</v>
      </c>
      <c r="G27" t="inlineStr">
        <is>
          <t>B1</t>
        </is>
      </c>
      <c r="H27" s="3" t="n">
        <v>75</v>
      </c>
    </row>
    <row r="28">
      <c r="A28" t="inlineStr">
        <is>
          <t>PC-003</t>
        </is>
      </c>
      <c r="B28" t="inlineStr">
        <is>
          <t>Toothpaste 150g</t>
        </is>
      </c>
      <c r="C28" t="inlineStr">
        <is>
          <t>Personal Care</t>
        </is>
      </c>
      <c r="D28" t="inlineStr">
        <is>
          <t>tube</t>
        </is>
      </c>
      <c r="E28" s="3" t="n">
        <v>200</v>
      </c>
      <c r="F28" s="4" t="n">
        <v>105</v>
      </c>
      <c r="G28" t="inlineStr">
        <is>
          <t>A1</t>
        </is>
      </c>
      <c r="H28" s="3" t="n">
        <v>161</v>
      </c>
    </row>
    <row r="29">
      <c r="A29" t="inlineStr">
        <is>
          <t>PC-004</t>
        </is>
      </c>
      <c r="B29" t="inlineStr">
        <is>
          <t>Detergent Powder 1kg</t>
        </is>
      </c>
      <c r="C29" t="inlineStr">
        <is>
          <t>Personal Care</t>
        </is>
      </c>
      <c r="D29" t="inlineStr">
        <is>
          <t>pkt</t>
        </is>
      </c>
      <c r="E29" s="3" t="n">
        <v>180</v>
      </c>
      <c r="F29" s="4" t="n">
        <v>128</v>
      </c>
      <c r="G29" t="inlineStr">
        <is>
          <t>A1</t>
        </is>
      </c>
      <c r="H29" s="3" t="n">
        <v>149</v>
      </c>
    </row>
    <row r="30">
      <c r="A30" t="inlineStr">
        <is>
          <t>PC-005</t>
        </is>
      </c>
      <c r="B30" t="inlineStr">
        <is>
          <t>Hair Oil 200ml</t>
        </is>
      </c>
      <c r="C30" t="inlineStr">
        <is>
          <t>Personal Care</t>
        </is>
      </c>
      <c r="D30" t="inlineStr">
        <is>
          <t>btl</t>
        </is>
      </c>
      <c r="E30" s="3" t="n">
        <v>100</v>
      </c>
      <c r="F30" s="4" t="n">
        <v>165</v>
      </c>
      <c r="G30" t="inlineStr">
        <is>
          <t>A2</t>
        </is>
      </c>
      <c r="H30" s="3" t="n">
        <v>232</v>
      </c>
    </row>
    <row r="31">
      <c r="A31" t="inlineStr">
        <is>
          <t>PC-006</t>
        </is>
      </c>
      <c r="B31" t="inlineStr">
        <is>
          <t>Face Wash 150ml</t>
        </is>
      </c>
      <c r="C31" t="inlineStr">
        <is>
          <t>Personal Care</t>
        </is>
      </c>
      <c r="D31" t="inlineStr">
        <is>
          <t>tube</t>
        </is>
      </c>
      <c r="E31" s="3" t="n">
        <v>90</v>
      </c>
      <c r="F31" s="4" t="n">
        <v>175</v>
      </c>
      <c r="G31" t="inlineStr">
        <is>
          <t>A3</t>
        </is>
      </c>
      <c r="H31" s="3" t="n">
        <v>13</v>
      </c>
    </row>
    <row r="32">
      <c r="A32" t="inlineStr">
        <is>
          <t>HH-001</t>
        </is>
      </c>
      <c r="B32" t="inlineStr">
        <is>
          <t>Dish Bar 200g x3</t>
        </is>
      </c>
      <c r="C32" t="inlineStr">
        <is>
          <t>Household</t>
        </is>
      </c>
      <c r="D32" t="inlineStr">
        <is>
          <t>pack</t>
        </is>
      </c>
      <c r="E32" s="3" t="n">
        <v>170</v>
      </c>
      <c r="F32" s="4" t="n">
        <v>96</v>
      </c>
      <c r="G32" t="inlineStr">
        <is>
          <t>C1</t>
        </is>
      </c>
      <c r="H32" s="3" t="n">
        <v>198</v>
      </c>
    </row>
    <row r="33">
      <c r="A33" t="inlineStr">
        <is>
          <t>HH-002</t>
        </is>
      </c>
      <c r="B33" t="inlineStr">
        <is>
          <t>Floor Cleaner 1L</t>
        </is>
      </c>
      <c r="C33" t="inlineStr">
        <is>
          <t>Household</t>
        </is>
      </c>
      <c r="D33" t="inlineStr">
        <is>
          <t>btl</t>
        </is>
      </c>
      <c r="E33" s="3" t="n">
        <v>110</v>
      </c>
      <c r="F33" s="4" t="n">
        <v>145</v>
      </c>
      <c r="G33" t="inlineStr">
        <is>
          <t>A2</t>
        </is>
      </c>
      <c r="H33" s="3" t="n">
        <v>342</v>
      </c>
    </row>
    <row r="34">
      <c r="A34" t="inlineStr">
        <is>
          <t>HH-003</t>
        </is>
      </c>
      <c r="B34" t="inlineStr">
        <is>
          <t>LED Bulb 9W x10</t>
        </is>
      </c>
      <c r="C34" t="inlineStr">
        <is>
          <t>Household</t>
        </is>
      </c>
      <c r="D34" t="inlineStr">
        <is>
          <t>box</t>
        </is>
      </c>
      <c r="E34" s="3" t="n">
        <v>80</v>
      </c>
      <c r="F34" s="4" t="n">
        <v>690</v>
      </c>
      <c r="G34" t="inlineStr">
        <is>
          <t>B4</t>
        </is>
      </c>
      <c r="H34" s="3" t="n">
        <v>165</v>
      </c>
    </row>
    <row r="35">
      <c r="A35" t="inlineStr">
        <is>
          <t>HH-004</t>
        </is>
      </c>
      <c r="B35" t="inlineStr">
        <is>
          <t>Garbage Bags 30pc</t>
        </is>
      </c>
      <c r="C35" t="inlineStr">
        <is>
          <t>Household</t>
        </is>
      </c>
      <c r="D35" t="inlineStr">
        <is>
          <t>roll</t>
        </is>
      </c>
      <c r="E35" s="3" t="n">
        <v>140</v>
      </c>
      <c r="F35" s="4" t="n">
        <v>120</v>
      </c>
      <c r="G35" t="inlineStr">
        <is>
          <t>B3</t>
        </is>
      </c>
      <c r="H35" s="3" t="n">
        <v>61</v>
      </c>
    </row>
    <row r="36">
      <c r="A36" t="inlineStr">
        <is>
          <t>HH-005</t>
        </is>
      </c>
      <c r="B36" t="inlineStr">
        <is>
          <t>Broom + Dustpan set</t>
        </is>
      </c>
      <c r="C36" t="inlineStr">
        <is>
          <t>Household</t>
        </is>
      </c>
      <c r="D36" t="inlineStr">
        <is>
          <t>set</t>
        </is>
      </c>
      <c r="E36" s="3" t="n">
        <v>90</v>
      </c>
      <c r="F36" s="4" t="n">
        <v>185</v>
      </c>
      <c r="G36" t="inlineStr">
        <is>
          <t>C3</t>
        </is>
      </c>
      <c r="H36" s="3" t="n">
        <v>342</v>
      </c>
    </row>
    <row r="37">
      <c r="A37" t="inlineStr">
        <is>
          <t>HH-006</t>
        </is>
      </c>
      <c r="B37" t="inlineStr">
        <is>
          <t>Storage Container 5L</t>
        </is>
      </c>
      <c r="C37" t="inlineStr">
        <is>
          <t>Household</t>
        </is>
      </c>
      <c r="D37" t="inlineStr">
        <is>
          <t>pc</t>
        </is>
      </c>
      <c r="E37" s="3" t="n">
        <v>100</v>
      </c>
      <c r="F37" s="4" t="n">
        <v>240</v>
      </c>
      <c r="G37" t="inlineStr">
        <is>
          <t>C1</t>
        </is>
      </c>
      <c r="H37" s="3" t="n">
        <v>404</v>
      </c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9" customWidth="1" min="4" max="4"/>
    <col width="11" customWidth="1" min="5" max="5"/>
    <col width="7" customWidth="1" min="6" max="6"/>
    <col width="13" customWidth="1" min="7" max="7"/>
  </cols>
  <sheetData>
    <row r="1">
      <c r="A1" s="2" t="inlineStr">
        <is>
          <t>date</t>
        </is>
      </c>
      <c r="B1" s="2" t="inlineStr">
        <is>
          <t>grn</t>
        </is>
      </c>
      <c r="C1" s="2" t="inlineStr">
        <is>
          <t>sku</t>
        </is>
      </c>
      <c r="D1" s="2" t="inlineStr">
        <is>
          <t>qty</t>
        </is>
      </c>
      <c r="E1" s="2" t="inlineStr">
        <is>
          <t>unit_cost</t>
        </is>
      </c>
      <c r="F1" s="2" t="inlineStr">
        <is>
          <t>bin</t>
        </is>
      </c>
      <c r="G1" s="2" t="inlineStr">
        <is>
          <t>value</t>
        </is>
      </c>
    </row>
    <row r="2">
      <c r="A2" s="5" t="n">
        <v>46296</v>
      </c>
      <c r="B2" t="inlineStr">
        <is>
          <t>GRN-0001</t>
        </is>
      </c>
      <c r="C2" t="inlineStr">
        <is>
          <t>PC-002</t>
        </is>
      </c>
      <c r="D2" s="3" t="n">
        <v>198</v>
      </c>
      <c r="E2" s="4" t="n">
        <v>216.31</v>
      </c>
      <c r="F2" t="inlineStr">
        <is>
          <t>B1</t>
        </is>
      </c>
      <c r="G2" s="4">
        <f>D2*E2</f>
        <v/>
      </c>
    </row>
    <row r="3">
      <c r="A3" s="5" t="n">
        <v>46296</v>
      </c>
      <c r="B3" t="inlineStr">
        <is>
          <t>GRN-0002</t>
        </is>
      </c>
      <c r="C3" t="inlineStr">
        <is>
          <t>SN-002</t>
        </is>
      </c>
      <c r="D3" s="3" t="n">
        <v>25</v>
      </c>
      <c r="E3" s="4" t="n">
        <v>92.86</v>
      </c>
      <c r="F3" t="inlineStr">
        <is>
          <t>C4</t>
        </is>
      </c>
      <c r="G3" s="4">
        <f>D3*E3</f>
        <v/>
      </c>
    </row>
    <row r="4">
      <c r="A4" s="5" t="n">
        <v>46296</v>
      </c>
      <c r="B4" t="inlineStr">
        <is>
          <t>GRN-0003</t>
        </is>
      </c>
      <c r="C4" t="inlineStr">
        <is>
          <t>HH-005</t>
        </is>
      </c>
      <c r="D4" s="3" t="n">
        <v>62</v>
      </c>
      <c r="E4" s="4" t="n">
        <v>184.69</v>
      </c>
      <c r="F4" t="inlineStr">
        <is>
          <t>C3</t>
        </is>
      </c>
      <c r="G4" s="4">
        <f>D4*E4</f>
        <v/>
      </c>
    </row>
    <row r="5">
      <c r="A5" s="5" t="n">
        <v>46296</v>
      </c>
      <c r="B5" t="inlineStr">
        <is>
          <t>GRN-0004</t>
        </is>
      </c>
      <c r="C5" t="inlineStr">
        <is>
          <t>SN-003</t>
        </is>
      </c>
      <c r="D5" s="3" t="n">
        <v>36</v>
      </c>
      <c r="E5" s="4" t="n">
        <v>301.94</v>
      </c>
      <c r="F5" t="inlineStr">
        <is>
          <t>B4</t>
        </is>
      </c>
      <c r="G5" s="4">
        <f>D5*E5</f>
        <v/>
      </c>
    </row>
    <row r="6">
      <c r="A6" s="5" t="n">
        <v>46296</v>
      </c>
      <c r="B6" t="inlineStr">
        <is>
          <t>GRN-0005</t>
        </is>
      </c>
      <c r="C6" t="inlineStr">
        <is>
          <t>HH-004</t>
        </is>
      </c>
      <c r="D6" s="3" t="n">
        <v>106</v>
      </c>
      <c r="E6" s="4" t="n">
        <v>118.92</v>
      </c>
      <c r="F6" t="inlineStr">
        <is>
          <t>B3</t>
        </is>
      </c>
      <c r="G6" s="4">
        <f>D6*E6</f>
        <v/>
      </c>
    </row>
    <row r="7">
      <c r="A7" s="5" t="n">
        <v>46296</v>
      </c>
      <c r="B7" t="inlineStr">
        <is>
          <t>GRN-0006</t>
        </is>
      </c>
      <c r="C7" t="inlineStr">
        <is>
          <t>HH-003</t>
        </is>
      </c>
      <c r="D7" s="3" t="n">
        <v>101</v>
      </c>
      <c r="E7" s="4" t="n">
        <v>711.95</v>
      </c>
      <c r="F7" t="inlineStr">
        <is>
          <t>B4</t>
        </is>
      </c>
      <c r="G7" s="4">
        <f>D7*E7</f>
        <v/>
      </c>
    </row>
    <row r="8">
      <c r="A8" s="5" t="n">
        <v>46297</v>
      </c>
      <c r="B8" t="inlineStr">
        <is>
          <t>GRN-0007</t>
        </is>
      </c>
      <c r="C8" t="inlineStr">
        <is>
          <t>SN-002</t>
        </is>
      </c>
      <c r="D8" s="3" t="n">
        <v>74</v>
      </c>
      <c r="E8" s="4" t="n">
        <v>93.8</v>
      </c>
      <c r="F8" t="inlineStr">
        <is>
          <t>C4</t>
        </is>
      </c>
      <c r="G8" s="4">
        <f>D8*E8</f>
        <v/>
      </c>
    </row>
    <row r="9">
      <c r="A9" s="5" t="n">
        <v>46297</v>
      </c>
      <c r="B9" t="inlineStr">
        <is>
          <t>GRN-0008</t>
        </is>
      </c>
      <c r="C9" t="inlineStr">
        <is>
          <t>ST-005</t>
        </is>
      </c>
      <c r="D9" s="3" t="n">
        <v>58</v>
      </c>
      <c r="E9" s="4" t="n">
        <v>192.38</v>
      </c>
      <c r="F9" t="inlineStr">
        <is>
          <t>A3</t>
        </is>
      </c>
      <c r="G9" s="4">
        <f>D9*E9</f>
        <v/>
      </c>
    </row>
    <row r="10">
      <c r="A10" s="5" t="n">
        <v>46297</v>
      </c>
      <c r="B10" t="inlineStr">
        <is>
          <t>GRN-0009</t>
        </is>
      </c>
      <c r="C10" t="inlineStr">
        <is>
          <t>ST-008</t>
        </is>
      </c>
      <c r="D10" s="3" t="n">
        <v>98</v>
      </c>
      <c r="E10" s="4" t="n">
        <v>336.17</v>
      </c>
      <c r="F10" t="inlineStr">
        <is>
          <t>C3</t>
        </is>
      </c>
      <c r="G10" s="4">
        <f>D10*E10</f>
        <v/>
      </c>
    </row>
    <row r="11">
      <c r="A11" s="5" t="n">
        <v>46297</v>
      </c>
      <c r="B11" t="inlineStr">
        <is>
          <t>GRN-0010</t>
        </is>
      </c>
      <c r="C11" t="inlineStr">
        <is>
          <t>SN-002</t>
        </is>
      </c>
      <c r="D11" s="3" t="n">
        <v>73</v>
      </c>
      <c r="E11" s="4" t="n">
        <v>93.62</v>
      </c>
      <c r="F11" t="inlineStr">
        <is>
          <t>C4</t>
        </is>
      </c>
      <c r="G11" s="4">
        <f>D11*E11</f>
        <v/>
      </c>
    </row>
    <row r="12">
      <c r="A12" s="5" t="n">
        <v>46297</v>
      </c>
      <c r="B12" t="inlineStr">
        <is>
          <t>GRN-0011</t>
        </is>
      </c>
      <c r="C12" t="inlineStr">
        <is>
          <t>SN-007</t>
        </is>
      </c>
      <c r="D12" s="3" t="n">
        <v>65</v>
      </c>
      <c r="E12" s="4" t="n">
        <v>765.1</v>
      </c>
      <c r="F12" t="inlineStr">
        <is>
          <t>B2</t>
        </is>
      </c>
      <c r="G12" s="4">
        <f>D12*E12</f>
        <v/>
      </c>
    </row>
    <row r="13">
      <c r="A13" s="5" t="n">
        <v>46297</v>
      </c>
      <c r="B13" t="inlineStr">
        <is>
          <t>GRN-0012</t>
        </is>
      </c>
      <c r="C13" t="inlineStr">
        <is>
          <t>BV-006</t>
        </is>
      </c>
      <c r="D13" s="3" t="n">
        <v>150</v>
      </c>
      <c r="E13" s="4" t="n">
        <v>191.47</v>
      </c>
      <c r="F13" t="inlineStr">
        <is>
          <t>C2</t>
        </is>
      </c>
      <c r="G13" s="4">
        <f>D13*E13</f>
        <v/>
      </c>
    </row>
    <row r="14">
      <c r="A14" s="5" t="n">
        <v>46298</v>
      </c>
      <c r="B14" t="inlineStr">
        <is>
          <t>GRN-0013</t>
        </is>
      </c>
      <c r="C14" t="inlineStr">
        <is>
          <t>HH-002</t>
        </is>
      </c>
      <c r="D14" s="3" t="n">
        <v>217</v>
      </c>
      <c r="E14" s="4" t="n">
        <v>147.42</v>
      </c>
      <c r="F14" t="inlineStr">
        <is>
          <t>A2</t>
        </is>
      </c>
      <c r="G14" s="4">
        <f>D14*E14</f>
        <v/>
      </c>
    </row>
    <row r="15">
      <c r="A15" s="5" t="n">
        <v>46298</v>
      </c>
      <c r="B15" t="inlineStr">
        <is>
          <t>GRN-0014</t>
        </is>
      </c>
      <c r="C15" t="inlineStr">
        <is>
          <t>BV-002</t>
        </is>
      </c>
      <c r="D15" s="3" t="n">
        <v>143</v>
      </c>
      <c r="E15" s="4" t="n">
        <v>277.66</v>
      </c>
      <c r="F15" t="inlineStr">
        <is>
          <t>C3</t>
        </is>
      </c>
      <c r="G15" s="4">
        <f>D15*E15</f>
        <v/>
      </c>
    </row>
    <row r="16">
      <c r="A16" s="5" t="n">
        <v>46298</v>
      </c>
      <c r="B16" t="inlineStr">
        <is>
          <t>GRN-0015</t>
        </is>
      </c>
      <c r="C16" t="inlineStr">
        <is>
          <t>HH-006</t>
        </is>
      </c>
      <c r="D16" s="3" t="n">
        <v>215</v>
      </c>
      <c r="E16" s="4" t="n">
        <v>239.83</v>
      </c>
      <c r="F16" t="inlineStr">
        <is>
          <t>C1</t>
        </is>
      </c>
      <c r="G16" s="4">
        <f>D16*E16</f>
        <v/>
      </c>
    </row>
    <row r="17">
      <c r="A17" s="5" t="n">
        <v>46298</v>
      </c>
      <c r="B17" t="inlineStr">
        <is>
          <t>GRN-0016</t>
        </is>
      </c>
      <c r="C17" t="inlineStr">
        <is>
          <t>SN-007</t>
        </is>
      </c>
      <c r="D17" s="3" t="n">
        <v>161</v>
      </c>
      <c r="E17" s="4" t="n">
        <v>772.49</v>
      </c>
      <c r="F17" t="inlineStr">
        <is>
          <t>B2</t>
        </is>
      </c>
      <c r="G17" s="4">
        <f>D17*E17</f>
        <v/>
      </c>
    </row>
    <row r="18">
      <c r="A18" s="5" t="n">
        <v>46298</v>
      </c>
      <c r="B18" t="inlineStr">
        <is>
          <t>GRN-0017</t>
        </is>
      </c>
      <c r="C18" t="inlineStr">
        <is>
          <t>PC-006</t>
        </is>
      </c>
      <c r="D18" s="3" t="n">
        <v>62</v>
      </c>
      <c r="E18" s="4" t="n">
        <v>173.07</v>
      </c>
      <c r="F18" t="inlineStr">
        <is>
          <t>A3</t>
        </is>
      </c>
      <c r="G18" s="4">
        <f>D18*E18</f>
        <v/>
      </c>
    </row>
    <row r="19">
      <c r="A19" s="5" t="n">
        <v>46298</v>
      </c>
      <c r="B19" t="inlineStr">
        <is>
          <t>GRN-0018</t>
        </is>
      </c>
      <c r="C19" t="inlineStr">
        <is>
          <t>PC-006</t>
        </is>
      </c>
      <c r="D19" s="3" t="n">
        <v>64</v>
      </c>
      <c r="E19" s="4" t="n">
        <v>172.32</v>
      </c>
      <c r="F19" t="inlineStr">
        <is>
          <t>A3</t>
        </is>
      </c>
      <c r="G19" s="4">
        <f>D19*E19</f>
        <v/>
      </c>
    </row>
    <row r="20">
      <c r="A20" s="5" t="n">
        <v>46298</v>
      </c>
      <c r="B20" t="inlineStr">
        <is>
          <t>GRN-0019</t>
        </is>
      </c>
      <c r="C20" t="inlineStr">
        <is>
          <t>HH-001</t>
        </is>
      </c>
      <c r="D20" s="3" t="n">
        <v>106</v>
      </c>
      <c r="E20" s="4" t="n">
        <v>98.69</v>
      </c>
      <c r="F20" t="inlineStr">
        <is>
          <t>C1</t>
        </is>
      </c>
      <c r="G20" s="4">
        <f>D20*E20</f>
        <v/>
      </c>
    </row>
    <row r="21">
      <c r="A21" s="5" t="n">
        <v>46298</v>
      </c>
      <c r="B21" t="inlineStr">
        <is>
          <t>GRN-0020</t>
        </is>
      </c>
      <c r="C21" t="inlineStr">
        <is>
          <t>SN-008</t>
        </is>
      </c>
      <c r="D21" s="3" t="n">
        <v>183</v>
      </c>
      <c r="E21" s="4" t="n">
        <v>89.06</v>
      </c>
      <c r="F21" t="inlineStr">
        <is>
          <t>A1</t>
        </is>
      </c>
      <c r="G21" s="4">
        <f>D21*E21</f>
        <v/>
      </c>
    </row>
    <row r="22">
      <c r="A22" s="5" t="n">
        <v>46299</v>
      </c>
      <c r="B22" t="inlineStr">
        <is>
          <t>GRN-0021</t>
        </is>
      </c>
      <c r="C22" t="inlineStr">
        <is>
          <t>ST-003</t>
        </is>
      </c>
      <c r="D22" s="3" t="n">
        <v>49</v>
      </c>
      <c r="E22" s="4" t="n">
        <v>160.42</v>
      </c>
      <c r="F22" t="inlineStr">
        <is>
          <t>B1</t>
        </is>
      </c>
      <c r="G22" s="4">
        <f>D22*E22</f>
        <v/>
      </c>
    </row>
    <row r="23">
      <c r="A23" s="5" t="n">
        <v>46299</v>
      </c>
      <c r="B23" t="inlineStr">
        <is>
          <t>GRN-0022</t>
        </is>
      </c>
      <c r="C23" t="inlineStr">
        <is>
          <t>PC-006</t>
        </is>
      </c>
      <c r="D23" s="3" t="n">
        <v>63</v>
      </c>
      <c r="E23" s="4" t="n">
        <v>176.24</v>
      </c>
      <c r="F23" t="inlineStr">
        <is>
          <t>A3</t>
        </is>
      </c>
      <c r="G23" s="4">
        <f>D23*E23</f>
        <v/>
      </c>
    </row>
    <row r="24">
      <c r="A24" s="5" t="n">
        <v>46299</v>
      </c>
      <c r="B24" t="inlineStr">
        <is>
          <t>GRN-0023</t>
        </is>
      </c>
      <c r="C24" t="inlineStr">
        <is>
          <t>HH-001</t>
        </is>
      </c>
      <c r="D24" s="3" t="n">
        <v>125</v>
      </c>
      <c r="E24" s="4" t="n">
        <v>95.13</v>
      </c>
      <c r="F24" t="inlineStr">
        <is>
          <t>C1</t>
        </is>
      </c>
      <c r="G24" s="4">
        <f>D24*E24</f>
        <v/>
      </c>
    </row>
    <row r="25">
      <c r="A25" s="5" t="n">
        <v>46299</v>
      </c>
      <c r="B25" t="inlineStr">
        <is>
          <t>GRN-0024</t>
        </is>
      </c>
      <c r="C25" t="inlineStr">
        <is>
          <t>HH-003</t>
        </is>
      </c>
      <c r="D25" s="3" t="n">
        <v>84</v>
      </c>
      <c r="E25" s="4" t="n">
        <v>703.48</v>
      </c>
      <c r="F25" t="inlineStr">
        <is>
          <t>B4</t>
        </is>
      </c>
      <c r="G25" s="4">
        <f>D25*E25</f>
        <v/>
      </c>
    </row>
    <row r="26">
      <c r="A26" s="5" t="n">
        <v>46299</v>
      </c>
      <c r="B26" t="inlineStr">
        <is>
          <t>GRN-0025</t>
        </is>
      </c>
      <c r="C26" t="inlineStr">
        <is>
          <t>PC-005</t>
        </is>
      </c>
      <c r="D26" s="3" t="n">
        <v>73</v>
      </c>
      <c r="E26" s="4" t="n">
        <v>167.05</v>
      </c>
      <c r="F26" t="inlineStr">
        <is>
          <t>A2</t>
        </is>
      </c>
      <c r="G26" s="4">
        <f>D26*E26</f>
        <v/>
      </c>
    </row>
    <row r="27">
      <c r="A27" s="5" t="n">
        <v>46299</v>
      </c>
      <c r="B27" t="inlineStr">
        <is>
          <t>GRN-0026</t>
        </is>
      </c>
      <c r="C27" t="inlineStr">
        <is>
          <t>SN-005</t>
        </is>
      </c>
      <c r="D27" s="3" t="n">
        <v>174</v>
      </c>
      <c r="E27" s="4" t="n">
        <v>170.3</v>
      </c>
      <c r="F27" t="inlineStr">
        <is>
          <t>C4</t>
        </is>
      </c>
      <c r="G27" s="4">
        <f>D27*E27</f>
        <v/>
      </c>
    </row>
    <row r="28">
      <c r="A28" s="5" t="n">
        <v>46299</v>
      </c>
      <c r="B28" t="inlineStr">
        <is>
          <t>GRN-0027</t>
        </is>
      </c>
      <c r="C28" t="inlineStr">
        <is>
          <t>SN-005</t>
        </is>
      </c>
      <c r="D28" s="3" t="n">
        <v>114</v>
      </c>
      <c r="E28" s="4" t="n">
        <v>164.93</v>
      </c>
      <c r="F28" t="inlineStr">
        <is>
          <t>C4</t>
        </is>
      </c>
      <c r="G28" s="4">
        <f>D28*E28</f>
        <v/>
      </c>
    </row>
    <row r="29">
      <c r="A29" s="5" t="n">
        <v>46300</v>
      </c>
      <c r="B29" t="inlineStr">
        <is>
          <t>GRN-0028</t>
        </is>
      </c>
      <c r="C29" t="inlineStr">
        <is>
          <t>ST-006</t>
        </is>
      </c>
      <c r="D29" s="3" t="n">
        <v>137</v>
      </c>
      <c r="E29" s="4" t="n">
        <v>31.84</v>
      </c>
      <c r="F29" t="inlineStr">
        <is>
          <t>A4</t>
        </is>
      </c>
      <c r="G29" s="4">
        <f>D29*E29</f>
        <v/>
      </c>
    </row>
    <row r="30">
      <c r="A30" s="5" t="n">
        <v>46300</v>
      </c>
      <c r="B30" t="inlineStr">
        <is>
          <t>GRN-0029</t>
        </is>
      </c>
      <c r="C30" t="inlineStr">
        <is>
          <t>SN-008</t>
        </is>
      </c>
      <c r="D30" s="3" t="n">
        <v>80</v>
      </c>
      <c r="E30" s="4" t="n">
        <v>86.95</v>
      </c>
      <c r="F30" t="inlineStr">
        <is>
          <t>A1</t>
        </is>
      </c>
      <c r="G30" s="4">
        <f>D30*E30</f>
        <v/>
      </c>
    </row>
    <row r="31">
      <c r="A31" s="5" t="n">
        <v>46300</v>
      </c>
      <c r="B31" t="inlineStr">
        <is>
          <t>GRN-0030</t>
        </is>
      </c>
      <c r="C31" t="inlineStr">
        <is>
          <t>SN-005</t>
        </is>
      </c>
      <c r="D31" s="3" t="n">
        <v>165</v>
      </c>
      <c r="E31" s="4" t="n">
        <v>173.07</v>
      </c>
      <c r="F31" t="inlineStr">
        <is>
          <t>C4</t>
        </is>
      </c>
      <c r="G31" s="4">
        <f>D31*E31</f>
        <v/>
      </c>
    </row>
    <row r="32">
      <c r="A32" s="5" t="n">
        <v>46300</v>
      </c>
      <c r="B32" t="inlineStr">
        <is>
          <t>GRN-0031</t>
        </is>
      </c>
      <c r="C32" t="inlineStr">
        <is>
          <t>PC-005</t>
        </is>
      </c>
      <c r="D32" s="3" t="n">
        <v>193</v>
      </c>
      <c r="E32" s="4" t="n">
        <v>161.19</v>
      </c>
      <c r="F32" t="inlineStr">
        <is>
          <t>A2</t>
        </is>
      </c>
      <c r="G32" s="4">
        <f>D32*E32</f>
        <v/>
      </c>
    </row>
    <row r="33">
      <c r="A33" s="5" t="n">
        <v>46300</v>
      </c>
      <c r="B33" t="inlineStr">
        <is>
          <t>GRN-0032</t>
        </is>
      </c>
      <c r="C33" t="inlineStr">
        <is>
          <t>HH-004</t>
        </is>
      </c>
      <c r="D33" s="3" t="n">
        <v>201</v>
      </c>
      <c r="E33" s="4" t="n">
        <v>118.11</v>
      </c>
      <c r="F33" t="inlineStr">
        <is>
          <t>B3</t>
        </is>
      </c>
      <c r="G33" s="4">
        <f>D33*E33</f>
        <v/>
      </c>
    </row>
    <row r="34">
      <c r="A34" s="5" t="n">
        <v>46301</v>
      </c>
      <c r="B34" t="inlineStr">
        <is>
          <t>GRN-0033</t>
        </is>
      </c>
      <c r="C34" t="inlineStr">
        <is>
          <t>ST-004</t>
        </is>
      </c>
      <c r="D34" s="3" t="n">
        <v>63</v>
      </c>
      <c r="E34" s="4" t="n">
        <v>237.07</v>
      </c>
      <c r="F34" t="inlineStr">
        <is>
          <t>C4</t>
        </is>
      </c>
      <c r="G34" s="4">
        <f>D34*E34</f>
        <v/>
      </c>
    </row>
    <row r="35">
      <c r="A35" s="5" t="n">
        <v>46301</v>
      </c>
      <c r="B35" t="inlineStr">
        <is>
          <t>GRN-0034</t>
        </is>
      </c>
      <c r="C35" t="inlineStr">
        <is>
          <t>SN-001</t>
        </is>
      </c>
      <c r="D35" s="3" t="n">
        <v>125</v>
      </c>
      <c r="E35" s="4" t="n">
        <v>520.25</v>
      </c>
      <c r="F35" t="inlineStr">
        <is>
          <t>A4</t>
        </is>
      </c>
      <c r="G35" s="4">
        <f>D35*E35</f>
        <v/>
      </c>
    </row>
    <row r="36">
      <c r="A36" s="5" t="n">
        <v>46301</v>
      </c>
      <c r="B36" t="inlineStr">
        <is>
          <t>GRN-0035</t>
        </is>
      </c>
      <c r="C36" t="inlineStr">
        <is>
          <t>HH-004</t>
        </is>
      </c>
      <c r="D36" s="3" t="n">
        <v>67</v>
      </c>
      <c r="E36" s="4" t="n">
        <v>116.96</v>
      </c>
      <c r="F36" t="inlineStr">
        <is>
          <t>B3</t>
        </is>
      </c>
      <c r="G36" s="4">
        <f>D36*E36</f>
        <v/>
      </c>
    </row>
    <row r="37">
      <c r="A37" s="5" t="n">
        <v>46301</v>
      </c>
      <c r="B37" t="inlineStr">
        <is>
          <t>GRN-0036</t>
        </is>
      </c>
      <c r="C37" t="inlineStr">
        <is>
          <t>PC-006</t>
        </is>
      </c>
      <c r="D37" s="3" t="n">
        <v>141</v>
      </c>
      <c r="E37" s="4" t="n">
        <v>173.86</v>
      </c>
      <c r="F37" t="inlineStr">
        <is>
          <t>A3</t>
        </is>
      </c>
      <c r="G37" s="4">
        <f>D37*E37</f>
        <v/>
      </c>
    </row>
    <row r="38">
      <c r="A38" s="5" t="n">
        <v>46301</v>
      </c>
      <c r="B38" t="inlineStr">
        <is>
          <t>GRN-0037</t>
        </is>
      </c>
      <c r="C38" t="inlineStr">
        <is>
          <t>BV-005</t>
        </is>
      </c>
      <c r="D38" s="3" t="n">
        <v>179</v>
      </c>
      <c r="E38" s="4" t="n">
        <v>363.71</v>
      </c>
      <c r="F38" t="inlineStr">
        <is>
          <t>A2</t>
        </is>
      </c>
      <c r="G38" s="4">
        <f>D38*E38</f>
        <v/>
      </c>
    </row>
    <row r="39">
      <c r="A39" s="5" t="n">
        <v>46301</v>
      </c>
      <c r="B39" t="inlineStr">
        <is>
          <t>GRN-0038</t>
        </is>
      </c>
      <c r="C39" t="inlineStr">
        <is>
          <t>HH-006</t>
        </is>
      </c>
      <c r="D39" s="3" t="n">
        <v>212</v>
      </c>
      <c r="E39" s="4" t="n">
        <v>240.12</v>
      </c>
      <c r="F39" t="inlineStr">
        <is>
          <t>C1</t>
        </is>
      </c>
      <c r="G39" s="4">
        <f>D39*E39</f>
        <v/>
      </c>
    </row>
    <row r="40">
      <c r="A40" s="5" t="n">
        <v>46301</v>
      </c>
      <c r="B40" t="inlineStr">
        <is>
          <t>GRN-0039</t>
        </is>
      </c>
      <c r="C40" t="inlineStr">
        <is>
          <t>HH-005</t>
        </is>
      </c>
      <c r="D40" s="3" t="n">
        <v>166</v>
      </c>
      <c r="E40" s="4" t="n">
        <v>182.11</v>
      </c>
      <c r="F40" t="inlineStr">
        <is>
          <t>C3</t>
        </is>
      </c>
      <c r="G40" s="4">
        <f>D40*E40</f>
        <v/>
      </c>
    </row>
    <row r="41">
      <c r="A41" s="5" t="n">
        <v>46302</v>
      </c>
      <c r="B41" t="inlineStr">
        <is>
          <t>GRN-0040</t>
        </is>
      </c>
      <c r="C41" t="inlineStr">
        <is>
          <t>BV-006</t>
        </is>
      </c>
      <c r="D41" s="3" t="n">
        <v>70</v>
      </c>
      <c r="E41" s="4" t="n">
        <v>196.19</v>
      </c>
      <c r="F41" t="inlineStr">
        <is>
          <t>C2</t>
        </is>
      </c>
      <c r="G41" s="4">
        <f>D41*E41</f>
        <v/>
      </c>
    </row>
    <row r="42">
      <c r="A42" s="5" t="n">
        <v>46302</v>
      </c>
      <c r="B42" t="inlineStr">
        <is>
          <t>GRN-0041</t>
        </is>
      </c>
      <c r="C42" t="inlineStr">
        <is>
          <t>HH-001</t>
        </is>
      </c>
      <c r="D42" s="3" t="n">
        <v>90</v>
      </c>
      <c r="E42" s="4" t="n">
        <v>99.59</v>
      </c>
      <c r="F42" t="inlineStr">
        <is>
          <t>C1</t>
        </is>
      </c>
      <c r="G42" s="4">
        <f>D42*E42</f>
        <v/>
      </c>
    </row>
    <row r="43">
      <c r="A43" s="5" t="n">
        <v>46302</v>
      </c>
      <c r="B43" t="inlineStr">
        <is>
          <t>GRN-0042</t>
        </is>
      </c>
      <c r="C43" t="inlineStr">
        <is>
          <t>BV-008</t>
        </is>
      </c>
      <c r="D43" s="3" t="n">
        <v>203</v>
      </c>
      <c r="E43" s="4" t="n">
        <v>93.02</v>
      </c>
      <c r="F43" t="inlineStr">
        <is>
          <t>C1</t>
        </is>
      </c>
      <c r="G43" s="4">
        <f>D43*E43</f>
        <v/>
      </c>
    </row>
    <row r="44">
      <c r="A44" s="5" t="n">
        <v>46302</v>
      </c>
      <c r="B44" t="inlineStr">
        <is>
          <t>GRN-0043</t>
        </is>
      </c>
      <c r="C44" t="inlineStr">
        <is>
          <t>HH-002</t>
        </is>
      </c>
      <c r="D44" s="3" t="n">
        <v>173</v>
      </c>
      <c r="E44" s="4" t="n">
        <v>149.85</v>
      </c>
      <c r="F44" t="inlineStr">
        <is>
          <t>A2</t>
        </is>
      </c>
      <c r="G44" s="4">
        <f>D44*E44</f>
        <v/>
      </c>
    </row>
    <row r="45">
      <c r="A45" s="5" t="n">
        <v>46302</v>
      </c>
      <c r="B45" t="inlineStr">
        <is>
          <t>GRN-0044</t>
        </is>
      </c>
      <c r="C45" t="inlineStr">
        <is>
          <t>BV-002</t>
        </is>
      </c>
      <c r="D45" s="3" t="n">
        <v>109</v>
      </c>
      <c r="E45" s="4" t="n">
        <v>291.73</v>
      </c>
      <c r="F45" t="inlineStr">
        <is>
          <t>C3</t>
        </is>
      </c>
      <c r="G45" s="4">
        <f>D45*E45</f>
        <v/>
      </c>
    </row>
    <row r="46">
      <c r="A46" s="5" t="n">
        <v>46302</v>
      </c>
      <c r="B46" t="inlineStr">
        <is>
          <t>GRN-0045</t>
        </is>
      </c>
      <c r="C46" t="inlineStr">
        <is>
          <t>ST-003</t>
        </is>
      </c>
      <c r="D46" s="3" t="n">
        <v>140</v>
      </c>
      <c r="E46" s="4" t="n">
        <v>162.68</v>
      </c>
      <c r="F46" t="inlineStr">
        <is>
          <t>B1</t>
        </is>
      </c>
      <c r="G46" s="4">
        <f>D46*E46</f>
        <v/>
      </c>
    </row>
    <row r="47">
      <c r="A47" s="5" t="n">
        <v>46302</v>
      </c>
      <c r="B47" t="inlineStr">
        <is>
          <t>GRN-0046</t>
        </is>
      </c>
      <c r="C47" t="inlineStr">
        <is>
          <t>ST-004</t>
        </is>
      </c>
      <c r="D47" s="3" t="n">
        <v>194</v>
      </c>
      <c r="E47" s="4" t="n">
        <v>227.57</v>
      </c>
      <c r="F47" t="inlineStr">
        <is>
          <t>C4</t>
        </is>
      </c>
      <c r="G47" s="4">
        <f>D47*E47</f>
        <v/>
      </c>
    </row>
    <row r="48">
      <c r="A48" s="5" t="n">
        <v>46303</v>
      </c>
      <c r="B48" t="inlineStr">
        <is>
          <t>GRN-0047</t>
        </is>
      </c>
      <c r="C48" t="inlineStr">
        <is>
          <t>BV-003</t>
        </is>
      </c>
      <c r="D48" s="3" t="n">
        <v>23</v>
      </c>
      <c r="E48" s="4" t="n">
        <v>119.17</v>
      </c>
      <c r="F48" t="inlineStr">
        <is>
          <t>B2</t>
        </is>
      </c>
      <c r="G48" s="4">
        <f>D48*E48</f>
        <v/>
      </c>
    </row>
    <row r="49">
      <c r="A49" s="5" t="n">
        <v>46303</v>
      </c>
      <c r="B49" t="inlineStr">
        <is>
          <t>GRN-0048</t>
        </is>
      </c>
      <c r="C49" t="inlineStr">
        <is>
          <t>HH-002</t>
        </is>
      </c>
      <c r="D49" s="3" t="n">
        <v>219</v>
      </c>
      <c r="E49" s="4" t="n">
        <v>141.49</v>
      </c>
      <c r="F49" t="inlineStr">
        <is>
          <t>A2</t>
        </is>
      </c>
      <c r="G49" s="4">
        <f>D49*E49</f>
        <v/>
      </c>
    </row>
    <row r="50">
      <c r="A50" s="5" t="n">
        <v>46303</v>
      </c>
      <c r="B50" t="inlineStr">
        <is>
          <t>GRN-0049</t>
        </is>
      </c>
      <c r="C50" t="inlineStr">
        <is>
          <t>SN-008</t>
        </is>
      </c>
      <c r="D50" s="3" t="n">
        <v>95</v>
      </c>
      <c r="E50" s="4" t="n">
        <v>86.09</v>
      </c>
      <c r="F50" t="inlineStr">
        <is>
          <t>A1</t>
        </is>
      </c>
      <c r="G50" s="4">
        <f>D50*E50</f>
        <v/>
      </c>
    </row>
    <row r="51">
      <c r="A51" s="5" t="n">
        <v>46303</v>
      </c>
      <c r="B51" t="inlineStr">
        <is>
          <t>GRN-0050</t>
        </is>
      </c>
      <c r="C51" t="inlineStr">
        <is>
          <t>HH-006</t>
        </is>
      </c>
      <c r="D51" s="3" t="n">
        <v>200</v>
      </c>
      <c r="E51" s="4" t="n">
        <v>234.27</v>
      </c>
      <c r="F51" t="inlineStr">
        <is>
          <t>C1</t>
        </is>
      </c>
      <c r="G51" s="4">
        <f>D51*E51</f>
        <v/>
      </c>
    </row>
    <row r="52">
      <c r="A52" s="5" t="n">
        <v>46303</v>
      </c>
      <c r="B52" t="inlineStr">
        <is>
          <t>GRN-0051</t>
        </is>
      </c>
      <c r="C52" t="inlineStr">
        <is>
          <t>BV-002</t>
        </is>
      </c>
      <c r="D52" s="3" t="n">
        <v>116</v>
      </c>
      <c r="E52" s="4" t="n">
        <v>279.81</v>
      </c>
      <c r="F52" t="inlineStr">
        <is>
          <t>C3</t>
        </is>
      </c>
      <c r="G52" s="4">
        <f>D52*E52</f>
        <v/>
      </c>
    </row>
    <row r="53">
      <c r="A53" s="5" t="n">
        <v>46303</v>
      </c>
      <c r="B53" t="inlineStr">
        <is>
          <t>GRN-0052</t>
        </is>
      </c>
      <c r="C53" t="inlineStr">
        <is>
          <t>ST-005</t>
        </is>
      </c>
      <c r="D53" s="3" t="n">
        <v>28</v>
      </c>
      <c r="E53" s="4" t="n">
        <v>202.51</v>
      </c>
      <c r="F53" t="inlineStr">
        <is>
          <t>A3</t>
        </is>
      </c>
      <c r="G53" s="4">
        <f>D53*E53</f>
        <v/>
      </c>
    </row>
    <row r="54">
      <c r="A54" s="5" t="n">
        <v>46303</v>
      </c>
      <c r="B54" t="inlineStr">
        <is>
          <t>GRN-0053</t>
        </is>
      </c>
      <c r="C54" t="inlineStr">
        <is>
          <t>PC-004</t>
        </is>
      </c>
      <c r="D54" s="3" t="n">
        <v>169</v>
      </c>
      <c r="E54" s="4" t="n">
        <v>125.87</v>
      </c>
      <c r="F54" t="inlineStr">
        <is>
          <t>A1</t>
        </is>
      </c>
      <c r="G54" s="4">
        <f>D54*E54</f>
        <v/>
      </c>
    </row>
    <row r="55">
      <c r="A55" s="5" t="n">
        <v>46304</v>
      </c>
      <c r="B55" t="inlineStr">
        <is>
          <t>GRN-0054</t>
        </is>
      </c>
      <c r="C55" t="inlineStr">
        <is>
          <t>ST-008</t>
        </is>
      </c>
      <c r="D55" s="3" t="n">
        <v>163</v>
      </c>
      <c r="E55" s="4" t="n">
        <v>343.65</v>
      </c>
      <c r="F55" t="inlineStr">
        <is>
          <t>C3</t>
        </is>
      </c>
      <c r="G55" s="4">
        <f>D55*E55</f>
        <v/>
      </c>
    </row>
    <row r="56">
      <c r="A56" s="5" t="n">
        <v>46304</v>
      </c>
      <c r="B56" t="inlineStr">
        <is>
          <t>GRN-0055</t>
        </is>
      </c>
      <c r="C56" t="inlineStr">
        <is>
          <t>ST-002</t>
        </is>
      </c>
      <c r="D56" s="3" t="n">
        <v>60</v>
      </c>
      <c r="E56" s="4" t="n">
        <v>417.41</v>
      </c>
      <c r="F56" t="inlineStr">
        <is>
          <t>C2</t>
        </is>
      </c>
      <c r="G56" s="4">
        <f>D56*E56</f>
        <v/>
      </c>
    </row>
    <row r="57">
      <c r="A57" s="5" t="n">
        <v>46304</v>
      </c>
      <c r="B57" t="inlineStr">
        <is>
          <t>GRN-0056</t>
        </is>
      </c>
      <c r="C57" t="inlineStr">
        <is>
          <t>BV-005</t>
        </is>
      </c>
      <c r="D57" s="3" t="n">
        <v>54</v>
      </c>
      <c r="E57" s="4" t="n">
        <v>365.44</v>
      </c>
      <c r="F57" t="inlineStr">
        <is>
          <t>A2</t>
        </is>
      </c>
      <c r="G57" s="4">
        <f>D57*E57</f>
        <v/>
      </c>
    </row>
    <row r="58">
      <c r="A58" s="5" t="n">
        <v>46304</v>
      </c>
      <c r="B58" t="inlineStr">
        <is>
          <t>GRN-0057</t>
        </is>
      </c>
      <c r="C58" t="inlineStr">
        <is>
          <t>PC-005</t>
        </is>
      </c>
      <c r="D58" s="3" t="n">
        <v>71</v>
      </c>
      <c r="E58" s="4" t="n">
        <v>163.51</v>
      </c>
      <c r="F58" t="inlineStr">
        <is>
          <t>A2</t>
        </is>
      </c>
      <c r="G58" s="4">
        <f>D58*E58</f>
        <v/>
      </c>
    </row>
    <row r="59">
      <c r="A59" s="5" t="n">
        <v>46304</v>
      </c>
      <c r="B59" t="inlineStr">
        <is>
          <t>GRN-0058</t>
        </is>
      </c>
      <c r="C59" t="inlineStr">
        <is>
          <t>SN-004</t>
        </is>
      </c>
      <c r="D59" s="3" t="n">
        <v>195</v>
      </c>
      <c r="E59" s="4" t="n">
        <v>435.5</v>
      </c>
      <c r="F59" t="inlineStr">
        <is>
          <t>B2</t>
        </is>
      </c>
      <c r="G59" s="4">
        <f>D59*E59</f>
        <v/>
      </c>
    </row>
    <row r="60">
      <c r="A60" s="5" t="n">
        <v>46304</v>
      </c>
      <c r="B60" t="inlineStr">
        <is>
          <t>GRN-0059</t>
        </is>
      </c>
      <c r="C60" t="inlineStr">
        <is>
          <t>ST-002</t>
        </is>
      </c>
      <c r="D60" s="3" t="n">
        <v>68</v>
      </c>
      <c r="E60" s="4" t="n">
        <v>437.53</v>
      </c>
      <c r="F60" t="inlineStr">
        <is>
          <t>C2</t>
        </is>
      </c>
      <c r="G60" s="4">
        <f>D60*E60</f>
        <v/>
      </c>
    </row>
    <row r="61">
      <c r="A61" s="5" t="n">
        <v>46304</v>
      </c>
      <c r="B61" t="inlineStr">
        <is>
          <t>GRN-0060</t>
        </is>
      </c>
      <c r="C61" t="inlineStr">
        <is>
          <t>ST-001</t>
        </is>
      </c>
      <c r="D61" s="3" t="n">
        <v>149</v>
      </c>
      <c r="E61" s="4" t="n">
        <v>473.17</v>
      </c>
      <c r="F61" t="inlineStr">
        <is>
          <t>B1</t>
        </is>
      </c>
      <c r="G61" s="4">
        <f>D61*E61</f>
        <v/>
      </c>
    </row>
    <row r="62">
      <c r="A62" s="5" t="n">
        <v>46305</v>
      </c>
      <c r="B62" t="inlineStr">
        <is>
          <t>GRN-0061</t>
        </is>
      </c>
      <c r="C62" t="inlineStr">
        <is>
          <t>BV-002</t>
        </is>
      </c>
      <c r="D62" s="3" t="n">
        <v>56</v>
      </c>
      <c r="E62" s="4" t="n">
        <v>284.59</v>
      </c>
      <c r="F62" t="inlineStr">
        <is>
          <t>C3</t>
        </is>
      </c>
      <c r="G62" s="4">
        <f>D62*E62</f>
        <v/>
      </c>
    </row>
    <row r="63">
      <c r="A63" s="5" t="n">
        <v>46305</v>
      </c>
      <c r="B63" t="inlineStr">
        <is>
          <t>GRN-0062</t>
        </is>
      </c>
      <c r="C63" t="inlineStr">
        <is>
          <t>ST-008</t>
        </is>
      </c>
      <c r="D63" s="3" t="n">
        <v>130</v>
      </c>
      <c r="E63" s="4" t="n">
        <v>332.42</v>
      </c>
      <c r="F63" t="inlineStr">
        <is>
          <t>C3</t>
        </is>
      </c>
      <c r="G63" s="4">
        <f>D63*E63</f>
        <v/>
      </c>
    </row>
    <row r="64">
      <c r="A64" s="5" t="n">
        <v>46305</v>
      </c>
      <c r="B64" t="inlineStr">
        <is>
          <t>GRN-0063</t>
        </is>
      </c>
      <c r="C64" t="inlineStr">
        <is>
          <t>PC-004</t>
        </is>
      </c>
      <c r="D64" s="3" t="n">
        <v>57</v>
      </c>
      <c r="E64" s="4" t="n">
        <v>126.68</v>
      </c>
      <c r="F64" t="inlineStr">
        <is>
          <t>A1</t>
        </is>
      </c>
      <c r="G64" s="4">
        <f>D64*E64</f>
        <v/>
      </c>
    </row>
    <row r="65">
      <c r="A65" s="5" t="n">
        <v>46305</v>
      </c>
      <c r="B65" t="inlineStr">
        <is>
          <t>GRN-0064</t>
        </is>
      </c>
      <c r="C65" t="inlineStr">
        <is>
          <t>SN-008</t>
        </is>
      </c>
      <c r="D65" s="3" t="n">
        <v>160</v>
      </c>
      <c r="E65" s="4" t="n">
        <v>89.18000000000001</v>
      </c>
      <c r="F65" t="inlineStr">
        <is>
          <t>A1</t>
        </is>
      </c>
      <c r="G65" s="4">
        <f>D65*E65</f>
        <v/>
      </c>
    </row>
    <row r="66">
      <c r="A66" s="5" t="n">
        <v>46305</v>
      </c>
      <c r="B66" t="inlineStr">
        <is>
          <t>GRN-0065</t>
        </is>
      </c>
      <c r="C66" t="inlineStr">
        <is>
          <t>PC-003</t>
        </is>
      </c>
      <c r="D66" s="3" t="n">
        <v>56</v>
      </c>
      <c r="E66" s="4" t="n">
        <v>107.69</v>
      </c>
      <c r="F66" t="inlineStr">
        <is>
          <t>A1</t>
        </is>
      </c>
      <c r="G66" s="4">
        <f>D66*E66</f>
        <v/>
      </c>
    </row>
    <row r="67">
      <c r="A67" s="5" t="n">
        <v>46305</v>
      </c>
      <c r="B67" t="inlineStr">
        <is>
          <t>GRN-0066</t>
        </is>
      </c>
      <c r="C67" t="inlineStr">
        <is>
          <t>PC-004</t>
        </is>
      </c>
      <c r="D67" s="3" t="n">
        <v>58</v>
      </c>
      <c r="E67" s="4" t="n">
        <v>132.48</v>
      </c>
      <c r="F67" t="inlineStr">
        <is>
          <t>A1</t>
        </is>
      </c>
      <c r="G67" s="4">
        <f>D67*E67</f>
        <v/>
      </c>
    </row>
    <row r="68">
      <c r="A68" s="5" t="n">
        <v>46306</v>
      </c>
      <c r="B68" t="inlineStr">
        <is>
          <t>GRN-0067</t>
        </is>
      </c>
      <c r="C68" t="inlineStr">
        <is>
          <t>HH-003</t>
        </is>
      </c>
      <c r="D68" s="3" t="n">
        <v>181</v>
      </c>
      <c r="E68" s="4" t="n">
        <v>685.46</v>
      </c>
      <c r="F68" t="inlineStr">
        <is>
          <t>B4</t>
        </is>
      </c>
      <c r="G68" s="4">
        <f>D68*E68</f>
        <v/>
      </c>
    </row>
    <row r="69">
      <c r="A69" s="5" t="n">
        <v>46306</v>
      </c>
      <c r="B69" t="inlineStr">
        <is>
          <t>GRN-0068</t>
        </is>
      </c>
      <c r="C69" t="inlineStr">
        <is>
          <t>BV-007</t>
        </is>
      </c>
      <c r="D69" s="3" t="n">
        <v>26</v>
      </c>
      <c r="E69" s="4" t="n">
        <v>1060</v>
      </c>
      <c r="F69" t="inlineStr">
        <is>
          <t>C2</t>
        </is>
      </c>
      <c r="G69" s="4">
        <f>D69*E69</f>
        <v/>
      </c>
    </row>
    <row r="70">
      <c r="A70" s="5" t="n">
        <v>46306</v>
      </c>
      <c r="B70" t="inlineStr">
        <is>
          <t>GRN-0069</t>
        </is>
      </c>
      <c r="C70" t="inlineStr">
        <is>
          <t>SN-007</t>
        </is>
      </c>
      <c r="D70" s="3" t="n">
        <v>199</v>
      </c>
      <c r="E70" s="4" t="n">
        <v>762.9400000000001</v>
      </c>
      <c r="F70" t="inlineStr">
        <is>
          <t>B2</t>
        </is>
      </c>
      <c r="G70" s="4">
        <f>D70*E70</f>
        <v/>
      </c>
    </row>
    <row r="71">
      <c r="A71" s="5" t="n">
        <v>46306</v>
      </c>
      <c r="B71" t="inlineStr">
        <is>
          <t>GRN-0070</t>
        </is>
      </c>
      <c r="C71" t="inlineStr">
        <is>
          <t>ST-006</t>
        </is>
      </c>
      <c r="D71" s="3" t="n">
        <v>146</v>
      </c>
      <c r="E71" s="4" t="n">
        <v>31.29</v>
      </c>
      <c r="F71" t="inlineStr">
        <is>
          <t>A4</t>
        </is>
      </c>
      <c r="G71" s="4">
        <f>D71*E71</f>
        <v/>
      </c>
    </row>
    <row r="72">
      <c r="A72" s="5" t="n">
        <v>46306</v>
      </c>
      <c r="B72" t="inlineStr">
        <is>
          <t>GRN-0071</t>
        </is>
      </c>
      <c r="C72" t="inlineStr">
        <is>
          <t>SN-004</t>
        </is>
      </c>
      <c r="D72" s="3" t="n">
        <v>45</v>
      </c>
      <c r="E72" s="4" t="n">
        <v>461.02</v>
      </c>
      <c r="F72" t="inlineStr">
        <is>
          <t>B2</t>
        </is>
      </c>
      <c r="G72" s="4">
        <f>D72*E72</f>
        <v/>
      </c>
    </row>
    <row r="73">
      <c r="A73" s="5" t="n">
        <v>46306</v>
      </c>
      <c r="B73" t="inlineStr">
        <is>
          <t>GRN-0072</t>
        </is>
      </c>
      <c r="C73" t="inlineStr">
        <is>
          <t>SN-002</t>
        </is>
      </c>
      <c r="D73" s="3" t="n">
        <v>84</v>
      </c>
      <c r="E73" s="4" t="n">
        <v>98.2</v>
      </c>
      <c r="F73" t="inlineStr">
        <is>
          <t>C4</t>
        </is>
      </c>
      <c r="G73" s="4">
        <f>D73*E73</f>
        <v/>
      </c>
    </row>
    <row r="74">
      <c r="A74" s="5" t="n">
        <v>46307</v>
      </c>
      <c r="B74" t="inlineStr">
        <is>
          <t>GRN-0073</t>
        </is>
      </c>
      <c r="C74" t="inlineStr">
        <is>
          <t>ST-005</t>
        </is>
      </c>
      <c r="D74" s="3" t="n">
        <v>60</v>
      </c>
      <c r="E74" s="4" t="n">
        <v>202.78</v>
      </c>
      <c r="F74" t="inlineStr">
        <is>
          <t>A3</t>
        </is>
      </c>
      <c r="G74" s="4">
        <f>D74*E74</f>
        <v/>
      </c>
    </row>
    <row r="75">
      <c r="A75" s="5" t="n">
        <v>46307</v>
      </c>
      <c r="B75" t="inlineStr">
        <is>
          <t>GRN-0074</t>
        </is>
      </c>
      <c r="C75" t="inlineStr">
        <is>
          <t>PC-005</t>
        </is>
      </c>
      <c r="D75" s="3" t="n">
        <v>58</v>
      </c>
      <c r="E75" s="4" t="n">
        <v>171.6</v>
      </c>
      <c r="F75" t="inlineStr">
        <is>
          <t>A2</t>
        </is>
      </c>
      <c r="G75" s="4">
        <f>D75*E75</f>
        <v/>
      </c>
    </row>
    <row r="76">
      <c r="A76" s="5" t="n">
        <v>46307</v>
      </c>
      <c r="B76" t="inlineStr">
        <is>
          <t>GRN-0075</t>
        </is>
      </c>
      <c r="C76" t="inlineStr">
        <is>
          <t>HH-004</t>
        </is>
      </c>
      <c r="D76" s="3" t="n">
        <v>64</v>
      </c>
      <c r="E76" s="4" t="n">
        <v>122.9</v>
      </c>
      <c r="F76" t="inlineStr">
        <is>
          <t>B3</t>
        </is>
      </c>
      <c r="G76" s="4">
        <f>D76*E76</f>
        <v/>
      </c>
    </row>
    <row r="77">
      <c r="A77" s="5" t="n">
        <v>46307</v>
      </c>
      <c r="B77" t="inlineStr">
        <is>
          <t>GRN-0076</t>
        </is>
      </c>
      <c r="C77" t="inlineStr">
        <is>
          <t>SN-008</t>
        </is>
      </c>
      <c r="D77" s="3" t="n">
        <v>127</v>
      </c>
      <c r="E77" s="4" t="n">
        <v>87.02</v>
      </c>
      <c r="F77" t="inlineStr">
        <is>
          <t>A1</t>
        </is>
      </c>
      <c r="G77" s="4">
        <f>D77*E77</f>
        <v/>
      </c>
    </row>
    <row r="78">
      <c r="A78" s="5" t="n">
        <v>46307</v>
      </c>
      <c r="B78" t="inlineStr">
        <is>
          <t>GRN-0077</t>
        </is>
      </c>
      <c r="C78" t="inlineStr">
        <is>
          <t>SN-003</t>
        </is>
      </c>
      <c r="D78" s="3" t="n">
        <v>148</v>
      </c>
      <c r="E78" s="4" t="n">
        <v>296.98</v>
      </c>
      <c r="F78" t="inlineStr">
        <is>
          <t>B4</t>
        </is>
      </c>
      <c r="G78" s="4">
        <f>D78*E78</f>
        <v/>
      </c>
    </row>
    <row r="79">
      <c r="A79" s="5" t="n">
        <v>46307</v>
      </c>
      <c r="B79" t="inlineStr">
        <is>
          <t>GRN-0078</t>
        </is>
      </c>
      <c r="C79" t="inlineStr">
        <is>
          <t>PC-003</t>
        </is>
      </c>
      <c r="D79" s="3" t="n">
        <v>192</v>
      </c>
      <c r="E79" s="4" t="n">
        <v>104.39</v>
      </c>
      <c r="F79" t="inlineStr">
        <is>
          <t>A1</t>
        </is>
      </c>
      <c r="G79" s="4">
        <f>D79*E79</f>
        <v/>
      </c>
    </row>
    <row r="80">
      <c r="A80" s="5" t="n">
        <v>46307</v>
      </c>
      <c r="B80" t="inlineStr">
        <is>
          <t>GRN-0079</t>
        </is>
      </c>
      <c r="C80" t="inlineStr">
        <is>
          <t>HH-002</t>
        </is>
      </c>
      <c r="D80" s="3" t="n">
        <v>66</v>
      </c>
      <c r="E80" s="4" t="n">
        <v>149.48</v>
      </c>
      <c r="F80" t="inlineStr">
        <is>
          <t>A2</t>
        </is>
      </c>
      <c r="G80" s="4">
        <f>D80*E80</f>
        <v/>
      </c>
    </row>
    <row r="81">
      <c r="A81" s="5" t="n">
        <v>46307</v>
      </c>
      <c r="B81" t="inlineStr">
        <is>
          <t>GRN-0080</t>
        </is>
      </c>
      <c r="C81" t="inlineStr">
        <is>
          <t>ST-004</t>
        </is>
      </c>
      <c r="D81" s="3" t="n">
        <v>167</v>
      </c>
      <c r="E81" s="4" t="n">
        <v>230.08</v>
      </c>
      <c r="F81" t="inlineStr">
        <is>
          <t>C4</t>
        </is>
      </c>
      <c r="G81" s="4">
        <f>D81*E81</f>
        <v/>
      </c>
    </row>
    <row r="82">
      <c r="A82" s="5" t="n">
        <v>46308</v>
      </c>
      <c r="B82" t="inlineStr">
        <is>
          <t>GRN-0081</t>
        </is>
      </c>
      <c r="C82" t="inlineStr">
        <is>
          <t>SN-008</t>
        </is>
      </c>
      <c r="D82" s="3" t="n">
        <v>34</v>
      </c>
      <c r="E82" s="4" t="n">
        <v>85.43000000000001</v>
      </c>
      <c r="F82" t="inlineStr">
        <is>
          <t>A1</t>
        </is>
      </c>
      <c r="G82" s="4">
        <f>D82*E82</f>
        <v/>
      </c>
    </row>
    <row r="83">
      <c r="A83" s="5" t="n">
        <v>46308</v>
      </c>
      <c r="B83" t="inlineStr">
        <is>
          <t>GRN-0082</t>
        </is>
      </c>
      <c r="C83" t="inlineStr">
        <is>
          <t>SN-002</t>
        </is>
      </c>
      <c r="D83" s="3" t="n">
        <v>211</v>
      </c>
      <c r="E83" s="4" t="n">
        <v>95.65000000000001</v>
      </c>
      <c r="F83" t="inlineStr">
        <is>
          <t>C4</t>
        </is>
      </c>
      <c r="G83" s="4">
        <f>D83*E83</f>
        <v/>
      </c>
    </row>
    <row r="84">
      <c r="A84" s="5" t="n">
        <v>46308</v>
      </c>
      <c r="B84" t="inlineStr">
        <is>
          <t>GRN-0083</t>
        </is>
      </c>
      <c r="C84" t="inlineStr">
        <is>
          <t>ST-008</t>
        </is>
      </c>
      <c r="D84" s="3" t="n">
        <v>120</v>
      </c>
      <c r="E84" s="4" t="n">
        <v>342.53</v>
      </c>
      <c r="F84" t="inlineStr">
        <is>
          <t>C3</t>
        </is>
      </c>
      <c r="G84" s="4">
        <f>D84*E84</f>
        <v/>
      </c>
    </row>
    <row r="85">
      <c r="A85" s="5" t="n">
        <v>46308</v>
      </c>
      <c r="B85" t="inlineStr">
        <is>
          <t>GRN-0084</t>
        </is>
      </c>
      <c r="C85" t="inlineStr">
        <is>
          <t>SN-001</t>
        </is>
      </c>
      <c r="D85" s="3" t="n">
        <v>139</v>
      </c>
      <c r="E85" s="4" t="n">
        <v>514.27</v>
      </c>
      <c r="F85" t="inlineStr">
        <is>
          <t>A4</t>
        </is>
      </c>
      <c r="G85" s="4">
        <f>D85*E85</f>
        <v/>
      </c>
    </row>
    <row r="86">
      <c r="A86" s="5" t="n">
        <v>46308</v>
      </c>
      <c r="B86" t="inlineStr">
        <is>
          <t>GRN-0085</t>
        </is>
      </c>
      <c r="C86" t="inlineStr">
        <is>
          <t>PC-006</t>
        </is>
      </c>
      <c r="D86" s="3" t="n">
        <v>82</v>
      </c>
      <c r="E86" s="4" t="n">
        <v>181.88</v>
      </c>
      <c r="F86" t="inlineStr">
        <is>
          <t>A3</t>
        </is>
      </c>
      <c r="G86" s="4">
        <f>D86*E86</f>
        <v/>
      </c>
    </row>
    <row r="87">
      <c r="A87" s="5" t="n">
        <v>46308</v>
      </c>
      <c r="B87" t="inlineStr">
        <is>
          <t>GRN-0086</t>
        </is>
      </c>
      <c r="C87" t="inlineStr">
        <is>
          <t>ST-002</t>
        </is>
      </c>
      <c r="D87" s="3" t="n">
        <v>217</v>
      </c>
      <c r="E87" s="4" t="n">
        <v>437.15</v>
      </c>
      <c r="F87" t="inlineStr">
        <is>
          <t>C2</t>
        </is>
      </c>
      <c r="G87" s="4">
        <f>D87*E87</f>
        <v/>
      </c>
    </row>
    <row r="88">
      <c r="A88" s="5" t="n">
        <v>46308</v>
      </c>
      <c r="B88" t="inlineStr">
        <is>
          <t>GRN-0087</t>
        </is>
      </c>
      <c r="C88" t="inlineStr">
        <is>
          <t>BV-003</t>
        </is>
      </c>
      <c r="D88" s="3" t="n">
        <v>205</v>
      </c>
      <c r="E88" s="4" t="n">
        <v>116.79</v>
      </c>
      <c r="F88" t="inlineStr">
        <is>
          <t>B2</t>
        </is>
      </c>
      <c r="G88" s="4">
        <f>D88*E88</f>
        <v/>
      </c>
    </row>
    <row r="89">
      <c r="A89" s="5" t="n">
        <v>46308</v>
      </c>
      <c r="B89" t="inlineStr">
        <is>
          <t>GRN-0088</t>
        </is>
      </c>
      <c r="C89" t="inlineStr">
        <is>
          <t>SN-002</t>
        </is>
      </c>
      <c r="D89" s="3" t="n">
        <v>200</v>
      </c>
      <c r="E89" s="4" t="n">
        <v>93.06999999999999</v>
      </c>
      <c r="F89" t="inlineStr">
        <is>
          <t>C4</t>
        </is>
      </c>
      <c r="G89" s="4">
        <f>D89*E89</f>
        <v/>
      </c>
    </row>
    <row r="90">
      <c r="A90" s="5" t="n">
        <v>46308</v>
      </c>
      <c r="B90" t="inlineStr">
        <is>
          <t>GRN-0089</t>
        </is>
      </c>
      <c r="C90" t="inlineStr">
        <is>
          <t>ST-008</t>
        </is>
      </c>
      <c r="D90" s="3" t="n">
        <v>42</v>
      </c>
      <c r="E90" s="4" t="n">
        <v>349.43</v>
      </c>
      <c r="F90" t="inlineStr">
        <is>
          <t>C3</t>
        </is>
      </c>
      <c r="G90" s="4">
        <f>D90*E90</f>
        <v/>
      </c>
    </row>
    <row r="91">
      <c r="A91" s="5" t="n">
        <v>46309</v>
      </c>
      <c r="B91" t="inlineStr">
        <is>
          <t>GRN-0090</t>
        </is>
      </c>
      <c r="C91" t="inlineStr">
        <is>
          <t>SN-008</t>
        </is>
      </c>
      <c r="D91" s="3" t="n">
        <v>151</v>
      </c>
      <c r="E91" s="4" t="n">
        <v>88.13</v>
      </c>
      <c r="F91" t="inlineStr">
        <is>
          <t>A1</t>
        </is>
      </c>
      <c r="G91" s="4">
        <f>D91*E91</f>
        <v/>
      </c>
    </row>
    <row r="92">
      <c r="A92" s="5" t="n">
        <v>46309</v>
      </c>
      <c r="B92" t="inlineStr">
        <is>
          <t>GRN-0091</t>
        </is>
      </c>
      <c r="C92" t="inlineStr">
        <is>
          <t>HH-003</t>
        </is>
      </c>
      <c r="D92" s="3" t="n">
        <v>205</v>
      </c>
      <c r="E92" s="4" t="n">
        <v>673.38</v>
      </c>
      <c r="F92" t="inlineStr">
        <is>
          <t>B4</t>
        </is>
      </c>
      <c r="G92" s="4">
        <f>D92*E92</f>
        <v/>
      </c>
    </row>
    <row r="93">
      <c r="A93" s="5" t="n">
        <v>46309</v>
      </c>
      <c r="B93" t="inlineStr">
        <is>
          <t>GRN-0092</t>
        </is>
      </c>
      <c r="C93" t="inlineStr">
        <is>
          <t>ST-001</t>
        </is>
      </c>
      <c r="D93" s="3" t="n">
        <v>36</v>
      </c>
      <c r="E93" s="4" t="n">
        <v>496.73</v>
      </c>
      <c r="F93" t="inlineStr">
        <is>
          <t>B1</t>
        </is>
      </c>
      <c r="G93" s="4">
        <f>D93*E93</f>
        <v/>
      </c>
    </row>
    <row r="94">
      <c r="A94" s="5" t="n">
        <v>46309</v>
      </c>
      <c r="B94" t="inlineStr">
        <is>
          <t>GRN-0093</t>
        </is>
      </c>
      <c r="C94" t="inlineStr">
        <is>
          <t>SN-006</t>
        </is>
      </c>
      <c r="D94" s="3" t="n">
        <v>123</v>
      </c>
      <c r="E94" s="4" t="n">
        <v>74.84</v>
      </c>
      <c r="F94" t="inlineStr">
        <is>
          <t>B4</t>
        </is>
      </c>
      <c r="G94" s="4">
        <f>D94*E94</f>
        <v/>
      </c>
    </row>
    <row r="95">
      <c r="A95" s="5" t="n">
        <v>46309</v>
      </c>
      <c r="B95" t="inlineStr">
        <is>
          <t>GRN-0094</t>
        </is>
      </c>
      <c r="C95" t="inlineStr">
        <is>
          <t>ST-004</t>
        </is>
      </c>
      <c r="D95" s="3" t="n">
        <v>127</v>
      </c>
      <c r="E95" s="4" t="n">
        <v>223.49</v>
      </c>
      <c r="F95" t="inlineStr">
        <is>
          <t>C4</t>
        </is>
      </c>
      <c r="G95" s="4">
        <f>D95*E95</f>
        <v/>
      </c>
    </row>
    <row r="96">
      <c r="A96" s="5" t="n">
        <v>46309</v>
      </c>
      <c r="B96" t="inlineStr">
        <is>
          <t>GRN-0095</t>
        </is>
      </c>
      <c r="C96" t="inlineStr">
        <is>
          <t>BV-003</t>
        </is>
      </c>
      <c r="D96" s="3" t="n">
        <v>50</v>
      </c>
      <c r="E96" s="4" t="n">
        <v>116.9</v>
      </c>
      <c r="F96" t="inlineStr">
        <is>
          <t>B2</t>
        </is>
      </c>
      <c r="G96" s="4">
        <f>D96*E96</f>
        <v/>
      </c>
    </row>
    <row r="97">
      <c r="A97" s="5" t="n">
        <v>46309</v>
      </c>
      <c r="B97" t="inlineStr">
        <is>
          <t>GRN-0096</t>
        </is>
      </c>
      <c r="C97" t="inlineStr">
        <is>
          <t>SN-006</t>
        </is>
      </c>
      <c r="D97" s="3" t="n">
        <v>26</v>
      </c>
      <c r="E97" s="4" t="n">
        <v>76.06</v>
      </c>
      <c r="F97" t="inlineStr">
        <is>
          <t>B4</t>
        </is>
      </c>
      <c r="G97" s="4">
        <f>D97*E97</f>
        <v/>
      </c>
    </row>
    <row r="98">
      <c r="A98" s="5" t="n">
        <v>46309</v>
      </c>
      <c r="B98" t="inlineStr">
        <is>
          <t>GRN-0097</t>
        </is>
      </c>
      <c r="C98" t="inlineStr">
        <is>
          <t>SN-005</t>
        </is>
      </c>
      <c r="D98" s="3" t="n">
        <v>60</v>
      </c>
      <c r="E98" s="4" t="n">
        <v>164.2</v>
      </c>
      <c r="F98" t="inlineStr">
        <is>
          <t>C4</t>
        </is>
      </c>
      <c r="G98" s="4">
        <f>D98*E98</f>
        <v/>
      </c>
    </row>
    <row r="99">
      <c r="A99" s="5" t="n">
        <v>46310</v>
      </c>
      <c r="B99" t="inlineStr">
        <is>
          <t>GRN-0098</t>
        </is>
      </c>
      <c r="C99" t="inlineStr">
        <is>
          <t>BV-005</t>
        </is>
      </c>
      <c r="D99" s="3" t="n">
        <v>133</v>
      </c>
      <c r="E99" s="4" t="n">
        <v>364.05</v>
      </c>
      <c r="F99" t="inlineStr">
        <is>
          <t>A2</t>
        </is>
      </c>
      <c r="G99" s="4">
        <f>D99*E99</f>
        <v/>
      </c>
    </row>
    <row r="100">
      <c r="A100" s="5" t="n">
        <v>46310</v>
      </c>
      <c r="B100" t="inlineStr">
        <is>
          <t>GRN-0099</t>
        </is>
      </c>
      <c r="C100" t="inlineStr">
        <is>
          <t>HH-006</t>
        </is>
      </c>
      <c r="D100" s="3" t="n">
        <v>134</v>
      </c>
      <c r="E100" s="4" t="n">
        <v>239.8</v>
      </c>
      <c r="F100" t="inlineStr">
        <is>
          <t>C1</t>
        </is>
      </c>
      <c r="G100" s="4">
        <f>D100*E100</f>
        <v/>
      </c>
    </row>
    <row r="101">
      <c r="A101" s="5" t="n">
        <v>46310</v>
      </c>
      <c r="B101" t="inlineStr">
        <is>
          <t>GRN-0100</t>
        </is>
      </c>
      <c r="C101" t="inlineStr">
        <is>
          <t>BV-008</t>
        </is>
      </c>
      <c r="D101" s="3" t="n">
        <v>66</v>
      </c>
      <c r="E101" s="4" t="n">
        <v>97.03</v>
      </c>
      <c r="F101" t="inlineStr">
        <is>
          <t>C1</t>
        </is>
      </c>
      <c r="G101" s="4">
        <f>D101*E101</f>
        <v/>
      </c>
    </row>
    <row r="102">
      <c r="A102" s="5" t="n">
        <v>46310</v>
      </c>
      <c r="B102" t="inlineStr">
        <is>
          <t>GRN-0101</t>
        </is>
      </c>
      <c r="C102" t="inlineStr">
        <is>
          <t>PC-004</t>
        </is>
      </c>
      <c r="D102" s="3" t="n">
        <v>158</v>
      </c>
      <c r="E102" s="4" t="n">
        <v>130.42</v>
      </c>
      <c r="F102" t="inlineStr">
        <is>
          <t>A1</t>
        </is>
      </c>
      <c r="G102" s="4">
        <f>D102*E102</f>
        <v/>
      </c>
    </row>
    <row r="103">
      <c r="A103" s="5" t="n">
        <v>46310</v>
      </c>
      <c r="B103" t="inlineStr">
        <is>
          <t>GRN-0102</t>
        </is>
      </c>
      <c r="C103" t="inlineStr">
        <is>
          <t>ST-003</t>
        </is>
      </c>
      <c r="D103" s="3" t="n">
        <v>198</v>
      </c>
      <c r="E103" s="4" t="n">
        <v>161.19</v>
      </c>
      <c r="F103" t="inlineStr">
        <is>
          <t>B1</t>
        </is>
      </c>
      <c r="G103" s="4">
        <f>D103*E103</f>
        <v/>
      </c>
    </row>
    <row r="104">
      <c r="A104" s="5" t="n">
        <v>46310</v>
      </c>
      <c r="B104" t="inlineStr">
        <is>
          <t>GRN-0103</t>
        </is>
      </c>
      <c r="C104" t="inlineStr">
        <is>
          <t>HH-005</t>
        </is>
      </c>
      <c r="D104" s="3" t="n">
        <v>107</v>
      </c>
      <c r="E104" s="4" t="n">
        <v>186.11</v>
      </c>
      <c r="F104" t="inlineStr">
        <is>
          <t>C3</t>
        </is>
      </c>
      <c r="G104" s="4">
        <f>D104*E104</f>
        <v/>
      </c>
    </row>
    <row r="105">
      <c r="A105" s="5" t="n">
        <v>46310</v>
      </c>
      <c r="B105" t="inlineStr">
        <is>
          <t>GRN-0104</t>
        </is>
      </c>
      <c r="C105" t="inlineStr">
        <is>
          <t>HH-005</t>
        </is>
      </c>
      <c r="D105" s="3" t="n">
        <v>55</v>
      </c>
      <c r="E105" s="4" t="n">
        <v>182.88</v>
      </c>
      <c r="F105" t="inlineStr">
        <is>
          <t>C3</t>
        </is>
      </c>
      <c r="G105" s="4">
        <f>D105*E105</f>
        <v/>
      </c>
    </row>
    <row r="106">
      <c r="A106" s="5" t="n">
        <v>46310</v>
      </c>
      <c r="B106" t="inlineStr">
        <is>
          <t>GRN-0105</t>
        </is>
      </c>
      <c r="C106" t="inlineStr">
        <is>
          <t>ST-003</t>
        </is>
      </c>
      <c r="D106" s="3" t="n">
        <v>116</v>
      </c>
      <c r="E106" s="4" t="n">
        <v>167.91</v>
      </c>
      <c r="F106" t="inlineStr">
        <is>
          <t>B1</t>
        </is>
      </c>
      <c r="G106" s="4">
        <f>D106*E106</f>
        <v/>
      </c>
    </row>
    <row r="107">
      <c r="A107" s="5" t="n">
        <v>46311</v>
      </c>
      <c r="B107" t="inlineStr">
        <is>
          <t>GRN-0106</t>
        </is>
      </c>
      <c r="C107" t="inlineStr">
        <is>
          <t>ST-002</t>
        </is>
      </c>
      <c r="D107" s="3" t="n">
        <v>180</v>
      </c>
      <c r="E107" s="4" t="n">
        <v>416.36</v>
      </c>
      <c r="F107" t="inlineStr">
        <is>
          <t>C2</t>
        </is>
      </c>
      <c r="G107" s="4">
        <f>D107*E107</f>
        <v/>
      </c>
    </row>
    <row r="108">
      <c r="A108" s="5" t="n">
        <v>46311</v>
      </c>
      <c r="B108" t="inlineStr">
        <is>
          <t>GRN-0107</t>
        </is>
      </c>
      <c r="C108" t="inlineStr">
        <is>
          <t>BV-007</t>
        </is>
      </c>
      <c r="D108" s="3" t="n">
        <v>44</v>
      </c>
      <c r="E108" s="4" t="n">
        <v>1077.18</v>
      </c>
      <c r="F108" t="inlineStr">
        <is>
          <t>C2</t>
        </is>
      </c>
      <c r="G108" s="4">
        <f>D108*E108</f>
        <v/>
      </c>
    </row>
    <row r="109">
      <c r="A109" s="5" t="n">
        <v>46311</v>
      </c>
      <c r="B109" t="inlineStr">
        <is>
          <t>GRN-0108</t>
        </is>
      </c>
      <c r="C109" t="inlineStr">
        <is>
          <t>SN-005</t>
        </is>
      </c>
      <c r="D109" s="3" t="n">
        <v>47</v>
      </c>
      <c r="E109" s="4" t="n">
        <v>172.6</v>
      </c>
      <c r="F109" t="inlineStr">
        <is>
          <t>C4</t>
        </is>
      </c>
      <c r="G109" s="4">
        <f>D109*E109</f>
        <v/>
      </c>
    </row>
    <row r="110">
      <c r="A110" s="5" t="n">
        <v>46311</v>
      </c>
      <c r="B110" t="inlineStr">
        <is>
          <t>GRN-0109</t>
        </is>
      </c>
      <c r="C110" t="inlineStr">
        <is>
          <t>PC-006</t>
        </is>
      </c>
      <c r="D110" s="3" t="n">
        <v>195</v>
      </c>
      <c r="E110" s="4" t="n">
        <v>171.5</v>
      </c>
      <c r="F110" t="inlineStr">
        <is>
          <t>A3</t>
        </is>
      </c>
      <c r="G110" s="4">
        <f>D110*E110</f>
        <v/>
      </c>
    </row>
    <row r="111">
      <c r="A111" s="5" t="n">
        <v>46311</v>
      </c>
      <c r="B111" t="inlineStr">
        <is>
          <t>GRN-0110</t>
        </is>
      </c>
      <c r="C111" t="inlineStr">
        <is>
          <t>ST-006</t>
        </is>
      </c>
      <c r="D111" s="3" t="n">
        <v>33</v>
      </c>
      <c r="E111" s="4" t="n">
        <v>31.92</v>
      </c>
      <c r="F111" t="inlineStr">
        <is>
          <t>A4</t>
        </is>
      </c>
      <c r="G111" s="4">
        <f>D111*E111</f>
        <v/>
      </c>
    </row>
    <row r="112">
      <c r="A112" s="5" t="n">
        <v>46311</v>
      </c>
      <c r="B112" t="inlineStr">
        <is>
          <t>GRN-0111</t>
        </is>
      </c>
      <c r="C112" t="inlineStr">
        <is>
          <t>PC-005</t>
        </is>
      </c>
      <c r="D112" s="3" t="n">
        <v>206</v>
      </c>
      <c r="E112" s="4" t="n">
        <v>171.5</v>
      </c>
      <c r="F112" t="inlineStr">
        <is>
          <t>A2</t>
        </is>
      </c>
      <c r="G112" s="4">
        <f>D112*E112</f>
        <v/>
      </c>
    </row>
    <row r="113">
      <c r="A113" s="5" t="n">
        <v>46311</v>
      </c>
      <c r="B113" t="inlineStr">
        <is>
          <t>GRN-0112</t>
        </is>
      </c>
      <c r="C113" t="inlineStr">
        <is>
          <t>PC-002</t>
        </is>
      </c>
      <c r="D113" s="3" t="n">
        <v>91</v>
      </c>
      <c r="E113" s="4" t="n">
        <v>217.93</v>
      </c>
      <c r="F113" t="inlineStr">
        <is>
          <t>B1</t>
        </is>
      </c>
      <c r="G113" s="4">
        <f>D113*E113</f>
        <v/>
      </c>
    </row>
    <row r="114">
      <c r="A114" s="5" t="n">
        <v>46312</v>
      </c>
      <c r="B114" t="inlineStr">
        <is>
          <t>GRN-0113</t>
        </is>
      </c>
      <c r="C114" t="inlineStr">
        <is>
          <t>ST-003</t>
        </is>
      </c>
      <c r="D114" s="3" t="n">
        <v>49</v>
      </c>
      <c r="E114" s="4" t="n">
        <v>170.97</v>
      </c>
      <c r="F114" t="inlineStr">
        <is>
          <t>B1</t>
        </is>
      </c>
      <c r="G114" s="4">
        <f>D114*E114</f>
        <v/>
      </c>
    </row>
    <row r="115">
      <c r="A115" s="5" t="n">
        <v>46312</v>
      </c>
      <c r="B115" t="inlineStr">
        <is>
          <t>GRN-0114</t>
        </is>
      </c>
      <c r="C115" t="inlineStr">
        <is>
          <t>SN-002</t>
        </is>
      </c>
      <c r="D115" s="3" t="n">
        <v>68</v>
      </c>
      <c r="E115" s="4" t="n">
        <v>96.68000000000001</v>
      </c>
      <c r="F115" t="inlineStr">
        <is>
          <t>C4</t>
        </is>
      </c>
      <c r="G115" s="4">
        <f>D115*E115</f>
        <v/>
      </c>
    </row>
    <row r="116">
      <c r="A116" s="5" t="n">
        <v>46312</v>
      </c>
      <c r="B116" t="inlineStr">
        <is>
          <t>GRN-0115</t>
        </is>
      </c>
      <c r="C116" t="inlineStr">
        <is>
          <t>PC-002</t>
        </is>
      </c>
      <c r="D116" s="3" t="n">
        <v>67</v>
      </c>
      <c r="E116" s="4" t="n">
        <v>214.51</v>
      </c>
      <c r="F116" t="inlineStr">
        <is>
          <t>B1</t>
        </is>
      </c>
      <c r="G116" s="4">
        <f>D116*E116</f>
        <v/>
      </c>
    </row>
    <row r="117">
      <c r="A117" s="5" t="n">
        <v>46312</v>
      </c>
      <c r="B117" t="inlineStr">
        <is>
          <t>GRN-0116</t>
        </is>
      </c>
      <c r="C117" t="inlineStr">
        <is>
          <t>BV-007</t>
        </is>
      </c>
      <c r="D117" s="3" t="n">
        <v>196</v>
      </c>
      <c r="E117" s="4" t="n">
        <v>1064.5</v>
      </c>
      <c r="F117" t="inlineStr">
        <is>
          <t>C2</t>
        </is>
      </c>
      <c r="G117" s="4">
        <f>D117*E117</f>
        <v/>
      </c>
    </row>
    <row r="118">
      <c r="A118" s="5" t="n">
        <v>46312</v>
      </c>
      <c r="B118" t="inlineStr">
        <is>
          <t>GRN-0117</t>
        </is>
      </c>
      <c r="C118" t="inlineStr">
        <is>
          <t>SN-006</t>
        </is>
      </c>
      <c r="D118" s="3" t="n">
        <v>126</v>
      </c>
      <c r="E118" s="4" t="n">
        <v>77.29000000000001</v>
      </c>
      <c r="F118" t="inlineStr">
        <is>
          <t>B4</t>
        </is>
      </c>
      <c r="G118" s="4">
        <f>D118*E118</f>
        <v/>
      </c>
    </row>
    <row r="119">
      <c r="A119" s="5" t="n">
        <v>46312</v>
      </c>
      <c r="B119" t="inlineStr">
        <is>
          <t>GRN-0118</t>
        </is>
      </c>
      <c r="C119" t="inlineStr">
        <is>
          <t>PC-005</t>
        </is>
      </c>
      <c r="D119" s="3" t="n">
        <v>69</v>
      </c>
      <c r="E119" s="4" t="n">
        <v>163.4</v>
      </c>
      <c r="F119" t="inlineStr">
        <is>
          <t>A2</t>
        </is>
      </c>
      <c r="G119" s="4">
        <f>D119*E119</f>
        <v/>
      </c>
    </row>
    <row r="120">
      <c r="A120" s="5" t="n">
        <v>46313</v>
      </c>
      <c r="B120" t="inlineStr">
        <is>
          <t>GRN-0119</t>
        </is>
      </c>
      <c r="C120" t="inlineStr">
        <is>
          <t>SN-006</t>
        </is>
      </c>
      <c r="D120" s="3" t="n">
        <v>33</v>
      </c>
      <c r="E120" s="4" t="n">
        <v>74.83</v>
      </c>
      <c r="F120" t="inlineStr">
        <is>
          <t>B4</t>
        </is>
      </c>
      <c r="G120" s="4">
        <f>D120*E120</f>
        <v/>
      </c>
    </row>
    <row r="121">
      <c r="A121" s="5" t="n">
        <v>46313</v>
      </c>
      <c r="B121" t="inlineStr">
        <is>
          <t>GRN-0120</t>
        </is>
      </c>
      <c r="C121" t="inlineStr">
        <is>
          <t>BV-003</t>
        </is>
      </c>
      <c r="D121" s="3" t="n">
        <v>144</v>
      </c>
      <c r="E121" s="4" t="n">
        <v>115.68</v>
      </c>
      <c r="F121" t="inlineStr">
        <is>
          <t>B2</t>
        </is>
      </c>
      <c r="G121" s="4">
        <f>D121*E121</f>
        <v/>
      </c>
    </row>
    <row r="122">
      <c r="A122" s="5" t="n">
        <v>46313</v>
      </c>
      <c r="B122" t="inlineStr">
        <is>
          <t>GRN-0121</t>
        </is>
      </c>
      <c r="C122" t="inlineStr">
        <is>
          <t>HH-006</t>
        </is>
      </c>
      <c r="D122" s="3" t="n">
        <v>92</v>
      </c>
      <c r="E122" s="4" t="n">
        <v>247.63</v>
      </c>
      <c r="F122" t="inlineStr">
        <is>
          <t>C1</t>
        </is>
      </c>
      <c r="G122" s="4">
        <f>D122*E122</f>
        <v/>
      </c>
    </row>
    <row r="123">
      <c r="A123" s="5" t="n">
        <v>46313</v>
      </c>
      <c r="B123" t="inlineStr">
        <is>
          <t>GRN-0122</t>
        </is>
      </c>
      <c r="C123" t="inlineStr">
        <is>
          <t>SN-007</t>
        </is>
      </c>
      <c r="D123" s="3" t="n">
        <v>118</v>
      </c>
      <c r="E123" s="4" t="n">
        <v>733.98</v>
      </c>
      <c r="F123" t="inlineStr">
        <is>
          <t>B2</t>
        </is>
      </c>
      <c r="G123" s="4">
        <f>D123*E123</f>
        <v/>
      </c>
    </row>
    <row r="124">
      <c r="A124" s="5" t="n">
        <v>46313</v>
      </c>
      <c r="B124" t="inlineStr">
        <is>
          <t>GRN-0123</t>
        </is>
      </c>
      <c r="C124" t="inlineStr">
        <is>
          <t>BV-007</t>
        </is>
      </c>
      <c r="D124" s="3" t="n">
        <v>182</v>
      </c>
      <c r="E124" s="4" t="n">
        <v>1052.07</v>
      </c>
      <c r="F124" t="inlineStr">
        <is>
          <t>C2</t>
        </is>
      </c>
      <c r="G124" s="4">
        <f>D124*E124</f>
        <v/>
      </c>
    </row>
    <row r="125">
      <c r="A125" s="5" t="n">
        <v>46313</v>
      </c>
      <c r="B125" t="inlineStr">
        <is>
          <t>GRN-0124</t>
        </is>
      </c>
      <c r="C125" t="inlineStr">
        <is>
          <t>BV-005</t>
        </is>
      </c>
      <c r="D125" s="3" t="n">
        <v>49</v>
      </c>
      <c r="E125" s="4" t="n">
        <v>364.88</v>
      </c>
      <c r="F125" t="inlineStr">
        <is>
          <t>A2</t>
        </is>
      </c>
      <c r="G125" s="4">
        <f>D125*E125</f>
        <v/>
      </c>
    </row>
    <row r="126">
      <c r="A126" s="5" t="n">
        <v>46313</v>
      </c>
      <c r="B126" t="inlineStr">
        <is>
          <t>GRN-0125</t>
        </is>
      </c>
      <c r="C126" t="inlineStr">
        <is>
          <t>HH-004</t>
        </is>
      </c>
      <c r="D126" s="3" t="n">
        <v>77</v>
      </c>
      <c r="E126" s="4" t="n">
        <v>123.27</v>
      </c>
      <c r="F126" t="inlineStr">
        <is>
          <t>B3</t>
        </is>
      </c>
      <c r="G126" s="4">
        <f>D126*E126</f>
        <v/>
      </c>
    </row>
    <row r="127">
      <c r="A127" s="5" t="n">
        <v>46313</v>
      </c>
      <c r="B127" t="inlineStr">
        <is>
          <t>GRN-0126</t>
        </is>
      </c>
      <c r="C127" t="inlineStr">
        <is>
          <t>ST-005</t>
        </is>
      </c>
      <c r="D127" s="3" t="n">
        <v>164</v>
      </c>
      <c r="E127" s="4" t="n">
        <v>194.93</v>
      </c>
      <c r="F127" t="inlineStr">
        <is>
          <t>A3</t>
        </is>
      </c>
      <c r="G127" s="4">
        <f>D127*E127</f>
        <v/>
      </c>
    </row>
    <row r="128">
      <c r="A128" s="5" t="n">
        <v>46313</v>
      </c>
      <c r="B128" t="inlineStr">
        <is>
          <t>GRN-0127</t>
        </is>
      </c>
      <c r="C128" t="inlineStr">
        <is>
          <t>ST-006</t>
        </is>
      </c>
      <c r="D128" s="3" t="n">
        <v>219</v>
      </c>
      <c r="E128" s="4" t="n">
        <v>32.65</v>
      </c>
      <c r="F128" t="inlineStr">
        <is>
          <t>A4</t>
        </is>
      </c>
      <c r="G128" s="4">
        <f>D128*E128</f>
        <v/>
      </c>
    </row>
  </sheetData>
  <autoFilter ref="A1:G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9" customWidth="1" min="4" max="4"/>
    <col width="7" customWidth="1" min="5" max="5"/>
  </cols>
  <sheetData>
    <row r="1">
      <c r="A1" s="2" t="inlineStr">
        <is>
          <t>date</t>
        </is>
      </c>
      <c r="B1" s="2" t="inlineStr">
        <is>
          <t>do_no</t>
        </is>
      </c>
      <c r="C1" s="2" t="inlineStr">
        <is>
          <t>sku</t>
        </is>
      </c>
      <c r="D1" s="2" t="inlineStr">
        <is>
          <t>qty</t>
        </is>
      </c>
      <c r="E1" s="2" t="inlineStr">
        <is>
          <t>bin</t>
        </is>
      </c>
    </row>
    <row r="2">
      <c r="A2" s="5" t="n">
        <v>46296</v>
      </c>
      <c r="B2" t="inlineStr">
        <is>
          <t>DO-0001</t>
        </is>
      </c>
      <c r="C2" t="inlineStr">
        <is>
          <t>PC-003</t>
        </is>
      </c>
      <c r="D2" s="3" t="n">
        <v>49</v>
      </c>
      <c r="E2" t="inlineStr">
        <is>
          <t>A1</t>
        </is>
      </c>
    </row>
    <row r="3">
      <c r="A3" s="5" t="n">
        <v>46296</v>
      </c>
      <c r="B3" t="inlineStr">
        <is>
          <t>DO-0002</t>
        </is>
      </c>
      <c r="C3" t="inlineStr">
        <is>
          <t>HH-003</t>
        </is>
      </c>
      <c r="D3" s="3" t="n">
        <v>56</v>
      </c>
      <c r="E3" t="inlineStr">
        <is>
          <t>B4</t>
        </is>
      </c>
    </row>
    <row r="4">
      <c r="A4" s="5" t="n">
        <v>46296</v>
      </c>
      <c r="B4" t="inlineStr">
        <is>
          <t>DO-0003</t>
        </is>
      </c>
      <c r="C4" t="inlineStr">
        <is>
          <t>BV-008</t>
        </is>
      </c>
      <c r="D4" s="3" t="n">
        <v>25</v>
      </c>
      <c r="E4" t="inlineStr">
        <is>
          <t>C1</t>
        </is>
      </c>
    </row>
    <row r="5">
      <c r="A5" s="5" t="n">
        <v>46296</v>
      </c>
      <c r="B5" t="inlineStr">
        <is>
          <t>DO-0004</t>
        </is>
      </c>
      <c r="C5" t="inlineStr">
        <is>
          <t>PC-003</t>
        </is>
      </c>
      <c r="D5" s="3" t="n">
        <v>20</v>
      </c>
      <c r="E5" t="inlineStr">
        <is>
          <t>A1</t>
        </is>
      </c>
    </row>
    <row r="6">
      <c r="A6" s="5" t="n">
        <v>46296</v>
      </c>
      <c r="B6" t="inlineStr">
        <is>
          <t>DO-0005</t>
        </is>
      </c>
      <c r="C6" t="inlineStr">
        <is>
          <t>PC-003</t>
        </is>
      </c>
      <c r="D6" s="3" t="n">
        <v>43</v>
      </c>
      <c r="E6" t="inlineStr">
        <is>
          <t>A1</t>
        </is>
      </c>
    </row>
    <row r="7">
      <c r="A7" s="5" t="n">
        <v>46296</v>
      </c>
      <c r="B7" t="inlineStr">
        <is>
          <t>DO-0006</t>
        </is>
      </c>
      <c r="C7" t="inlineStr">
        <is>
          <t>ST-004</t>
        </is>
      </c>
      <c r="D7" s="3" t="n">
        <v>20</v>
      </c>
      <c r="E7" t="inlineStr">
        <is>
          <t>C4</t>
        </is>
      </c>
    </row>
    <row r="8">
      <c r="A8" s="5" t="n">
        <v>46296</v>
      </c>
      <c r="B8" t="inlineStr">
        <is>
          <t>DO-0007</t>
        </is>
      </c>
      <c r="C8" t="inlineStr">
        <is>
          <t>HH-004</t>
        </is>
      </c>
      <c r="D8" s="3" t="n">
        <v>51</v>
      </c>
      <c r="E8" t="inlineStr">
        <is>
          <t>B3</t>
        </is>
      </c>
    </row>
    <row r="9">
      <c r="A9" s="5" t="n">
        <v>46296</v>
      </c>
      <c r="B9" t="inlineStr">
        <is>
          <t>DO-0008</t>
        </is>
      </c>
      <c r="C9" t="inlineStr">
        <is>
          <t>ST-001</t>
        </is>
      </c>
      <c r="D9" s="3" t="n">
        <v>24</v>
      </c>
      <c r="E9" t="inlineStr">
        <is>
          <t>B1</t>
        </is>
      </c>
    </row>
    <row r="10">
      <c r="A10" s="5" t="n">
        <v>46296</v>
      </c>
      <c r="B10" t="inlineStr">
        <is>
          <t>DO-0009</t>
        </is>
      </c>
      <c r="C10" t="inlineStr">
        <is>
          <t>ST-005</t>
        </is>
      </c>
      <c r="D10" s="3" t="n">
        <v>39</v>
      </c>
      <c r="E10" t="inlineStr">
        <is>
          <t>A3</t>
        </is>
      </c>
    </row>
    <row r="11">
      <c r="A11" s="5" t="n">
        <v>46296</v>
      </c>
      <c r="B11" t="inlineStr">
        <is>
          <t>DO-0010</t>
        </is>
      </c>
      <c r="C11" t="inlineStr">
        <is>
          <t>SN-004</t>
        </is>
      </c>
      <c r="D11" s="3" t="n">
        <v>9</v>
      </c>
      <c r="E11" t="inlineStr">
        <is>
          <t>B2</t>
        </is>
      </c>
    </row>
    <row r="12">
      <c r="A12" s="5" t="n">
        <v>46296</v>
      </c>
      <c r="B12" t="inlineStr">
        <is>
          <t>DO-0011</t>
        </is>
      </c>
      <c r="C12" t="inlineStr">
        <is>
          <t>SN-001</t>
        </is>
      </c>
      <c r="D12" s="3" t="n">
        <v>39</v>
      </c>
      <c r="E12" t="inlineStr">
        <is>
          <t>A4</t>
        </is>
      </c>
    </row>
    <row r="13">
      <c r="A13" s="5" t="n">
        <v>46296</v>
      </c>
      <c r="B13" t="inlineStr">
        <is>
          <t>DO-0012</t>
        </is>
      </c>
      <c r="C13" t="inlineStr">
        <is>
          <t>SN-008</t>
        </is>
      </c>
      <c r="D13" s="3" t="n">
        <v>32</v>
      </c>
      <c r="E13" t="inlineStr">
        <is>
          <t>A1</t>
        </is>
      </c>
    </row>
    <row r="14">
      <c r="A14" s="5" t="n">
        <v>46296</v>
      </c>
      <c r="B14" t="inlineStr">
        <is>
          <t>DO-0013</t>
        </is>
      </c>
      <c r="C14" t="inlineStr">
        <is>
          <t>ST-005</t>
        </is>
      </c>
      <c r="D14" s="3" t="n">
        <v>20</v>
      </c>
      <c r="E14" t="inlineStr">
        <is>
          <t>A3</t>
        </is>
      </c>
    </row>
    <row r="15">
      <c r="A15" s="5" t="n">
        <v>46297</v>
      </c>
      <c r="B15" t="inlineStr">
        <is>
          <t>DO-0014</t>
        </is>
      </c>
      <c r="C15" t="inlineStr">
        <is>
          <t>HH-002</t>
        </is>
      </c>
      <c r="D15" s="3" t="n">
        <v>34</v>
      </c>
      <c r="E15" t="inlineStr">
        <is>
          <t>A2</t>
        </is>
      </c>
    </row>
    <row r="16">
      <c r="A16" s="5" t="n">
        <v>46297</v>
      </c>
      <c r="B16" t="inlineStr">
        <is>
          <t>DO-0015</t>
        </is>
      </c>
      <c r="C16" t="inlineStr">
        <is>
          <t>SN-001</t>
        </is>
      </c>
      <c r="D16" s="3" t="n">
        <v>44</v>
      </c>
      <c r="E16" t="inlineStr">
        <is>
          <t>A4</t>
        </is>
      </c>
    </row>
    <row r="17">
      <c r="A17" s="5" t="n">
        <v>46297</v>
      </c>
      <c r="B17" t="inlineStr">
        <is>
          <t>DO-0016</t>
        </is>
      </c>
      <c r="C17" t="inlineStr">
        <is>
          <t>HH-001</t>
        </is>
      </c>
      <c r="D17" s="3" t="n">
        <v>15</v>
      </c>
      <c r="E17" t="inlineStr">
        <is>
          <t>C1</t>
        </is>
      </c>
    </row>
    <row r="18">
      <c r="A18" s="5" t="n">
        <v>46297</v>
      </c>
      <c r="B18" t="inlineStr">
        <is>
          <t>DO-0017</t>
        </is>
      </c>
      <c r="C18" t="inlineStr">
        <is>
          <t>SN-003</t>
        </is>
      </c>
      <c r="D18" s="3" t="n">
        <v>45</v>
      </c>
      <c r="E18" t="inlineStr">
        <is>
          <t>B4</t>
        </is>
      </c>
    </row>
    <row r="19">
      <c r="A19" s="5" t="n">
        <v>46297</v>
      </c>
      <c r="B19" t="inlineStr">
        <is>
          <t>DO-0018</t>
        </is>
      </c>
      <c r="C19" t="inlineStr">
        <is>
          <t>HH-001</t>
        </is>
      </c>
      <c r="D19" s="3" t="n">
        <v>27</v>
      </c>
      <c r="E19" t="inlineStr">
        <is>
          <t>C1</t>
        </is>
      </c>
    </row>
    <row r="20">
      <c r="A20" s="5" t="n">
        <v>46297</v>
      </c>
      <c r="B20" t="inlineStr">
        <is>
          <t>DO-0019</t>
        </is>
      </c>
      <c r="C20" t="inlineStr">
        <is>
          <t>ST-002</t>
        </is>
      </c>
      <c r="D20" s="3" t="n">
        <v>52</v>
      </c>
      <c r="E20" t="inlineStr">
        <is>
          <t>C2</t>
        </is>
      </c>
    </row>
    <row r="21">
      <c r="A21" s="5" t="n">
        <v>46297</v>
      </c>
      <c r="B21" t="inlineStr">
        <is>
          <t>DO-0020</t>
        </is>
      </c>
      <c r="C21" t="inlineStr">
        <is>
          <t>ST-001</t>
        </is>
      </c>
      <c r="D21" s="3" t="n">
        <v>5</v>
      </c>
      <c r="E21" t="inlineStr">
        <is>
          <t>B1</t>
        </is>
      </c>
    </row>
    <row r="22">
      <c r="A22" s="5" t="n">
        <v>46297</v>
      </c>
      <c r="B22" t="inlineStr">
        <is>
          <t>DO-0021</t>
        </is>
      </c>
      <c r="C22" t="inlineStr">
        <is>
          <t>ST-002</t>
        </is>
      </c>
      <c r="D22" s="3" t="n">
        <v>8</v>
      </c>
      <c r="E22" t="inlineStr">
        <is>
          <t>C2</t>
        </is>
      </c>
    </row>
    <row r="23">
      <c r="A23" s="5" t="n">
        <v>46297</v>
      </c>
      <c r="B23" t="inlineStr">
        <is>
          <t>DO-0022</t>
        </is>
      </c>
      <c r="C23" t="inlineStr">
        <is>
          <t>SN-003</t>
        </is>
      </c>
      <c r="D23" s="3" t="n">
        <v>11</v>
      </c>
      <c r="E23" t="inlineStr">
        <is>
          <t>B4</t>
        </is>
      </c>
    </row>
    <row r="24">
      <c r="A24" s="5" t="n">
        <v>46297</v>
      </c>
      <c r="B24" t="inlineStr">
        <is>
          <t>DO-0023</t>
        </is>
      </c>
      <c r="C24" t="inlineStr">
        <is>
          <t>ST-002</t>
        </is>
      </c>
      <c r="D24" s="3" t="n">
        <v>30</v>
      </c>
      <c r="E24" t="inlineStr">
        <is>
          <t>C2</t>
        </is>
      </c>
    </row>
    <row r="25">
      <c r="A25" s="5" t="n">
        <v>46297</v>
      </c>
      <c r="B25" t="inlineStr">
        <is>
          <t>DO-0024</t>
        </is>
      </c>
      <c r="C25" t="inlineStr">
        <is>
          <t>SN-006</t>
        </is>
      </c>
      <c r="D25" s="3" t="n">
        <v>5</v>
      </c>
      <c r="E25" t="inlineStr">
        <is>
          <t>B4</t>
        </is>
      </c>
    </row>
    <row r="26">
      <c r="A26" s="5" t="n">
        <v>46298</v>
      </c>
      <c r="B26" t="inlineStr">
        <is>
          <t>DO-0025</t>
        </is>
      </c>
      <c r="C26" t="inlineStr">
        <is>
          <t>SN-001</t>
        </is>
      </c>
      <c r="D26" s="3" t="n">
        <v>15</v>
      </c>
      <c r="E26" t="inlineStr">
        <is>
          <t>A4</t>
        </is>
      </c>
    </row>
    <row r="27">
      <c r="A27" s="5" t="n">
        <v>46298</v>
      </c>
      <c r="B27" t="inlineStr">
        <is>
          <t>DO-0026</t>
        </is>
      </c>
      <c r="C27" t="inlineStr">
        <is>
          <t>BV-003</t>
        </is>
      </c>
      <c r="D27" s="3" t="n">
        <v>42</v>
      </c>
      <c r="E27" t="inlineStr">
        <is>
          <t>B2</t>
        </is>
      </c>
    </row>
    <row r="28">
      <c r="A28" s="5" t="n">
        <v>46298</v>
      </c>
      <c r="B28" t="inlineStr">
        <is>
          <t>DO-0027</t>
        </is>
      </c>
      <c r="C28" t="inlineStr">
        <is>
          <t>BV-005</t>
        </is>
      </c>
      <c r="D28" s="3" t="n">
        <v>19</v>
      </c>
      <c r="E28" t="inlineStr">
        <is>
          <t>A2</t>
        </is>
      </c>
    </row>
    <row r="29">
      <c r="A29" s="5" t="n">
        <v>46298</v>
      </c>
      <c r="B29" t="inlineStr">
        <is>
          <t>DO-0028</t>
        </is>
      </c>
      <c r="C29" t="inlineStr">
        <is>
          <t>PC-003</t>
        </is>
      </c>
      <c r="D29" s="3" t="n">
        <v>25</v>
      </c>
      <c r="E29" t="inlineStr">
        <is>
          <t>A1</t>
        </is>
      </c>
    </row>
    <row r="30">
      <c r="A30" s="5" t="n">
        <v>46298</v>
      </c>
      <c r="B30" t="inlineStr">
        <is>
          <t>DO-0029</t>
        </is>
      </c>
      <c r="C30" t="inlineStr">
        <is>
          <t>ST-001</t>
        </is>
      </c>
      <c r="D30" s="3" t="n">
        <v>19</v>
      </c>
      <c r="E30" t="inlineStr">
        <is>
          <t>B1</t>
        </is>
      </c>
    </row>
    <row r="31">
      <c r="A31" s="5" t="n">
        <v>46298</v>
      </c>
      <c r="B31" t="inlineStr">
        <is>
          <t>DO-0030</t>
        </is>
      </c>
      <c r="C31" t="inlineStr">
        <is>
          <t>BV-003</t>
        </is>
      </c>
      <c r="D31" s="3" t="n">
        <v>18</v>
      </c>
      <c r="E31" t="inlineStr">
        <is>
          <t>B2</t>
        </is>
      </c>
    </row>
    <row r="32">
      <c r="A32" s="5" t="n">
        <v>46298</v>
      </c>
      <c r="B32" t="inlineStr">
        <is>
          <t>DO-0031</t>
        </is>
      </c>
      <c r="C32" t="inlineStr">
        <is>
          <t>BV-005</t>
        </is>
      </c>
      <c r="D32" s="3" t="n">
        <v>54</v>
      </c>
      <c r="E32" t="inlineStr">
        <is>
          <t>A2</t>
        </is>
      </c>
    </row>
    <row r="33">
      <c r="A33" s="5" t="n">
        <v>46298</v>
      </c>
      <c r="B33" t="inlineStr">
        <is>
          <t>DO-0032</t>
        </is>
      </c>
      <c r="C33" t="inlineStr">
        <is>
          <t>BV-003</t>
        </is>
      </c>
      <c r="D33" s="3" t="n">
        <v>43</v>
      </c>
      <c r="E33" t="inlineStr">
        <is>
          <t>B2</t>
        </is>
      </c>
    </row>
    <row r="34">
      <c r="A34" s="5" t="n">
        <v>46298</v>
      </c>
      <c r="B34" t="inlineStr">
        <is>
          <t>DO-0033</t>
        </is>
      </c>
      <c r="C34" t="inlineStr">
        <is>
          <t>SN-005</t>
        </is>
      </c>
      <c r="D34" s="3" t="n">
        <v>7</v>
      </c>
      <c r="E34" t="inlineStr">
        <is>
          <t>C4</t>
        </is>
      </c>
    </row>
    <row r="35">
      <c r="A35" s="5" t="n">
        <v>46298</v>
      </c>
      <c r="B35" t="inlineStr">
        <is>
          <t>DO-0034</t>
        </is>
      </c>
      <c r="C35" t="inlineStr">
        <is>
          <t>ST-005</t>
        </is>
      </c>
      <c r="D35" s="3" t="n">
        <v>35</v>
      </c>
      <c r="E35" t="inlineStr">
        <is>
          <t>A3</t>
        </is>
      </c>
    </row>
    <row r="36">
      <c r="A36" s="5" t="n">
        <v>46298</v>
      </c>
      <c r="B36" t="inlineStr">
        <is>
          <t>DO-0035</t>
        </is>
      </c>
      <c r="C36" t="inlineStr">
        <is>
          <t>BV-008</t>
        </is>
      </c>
      <c r="D36" s="3" t="n">
        <v>11</v>
      </c>
      <c r="E36" t="inlineStr">
        <is>
          <t>C1</t>
        </is>
      </c>
    </row>
    <row r="37">
      <c r="A37" s="5" t="n">
        <v>46298</v>
      </c>
      <c r="B37" t="inlineStr">
        <is>
          <t>DO-0036</t>
        </is>
      </c>
      <c r="C37" t="inlineStr">
        <is>
          <t>SN-006</t>
        </is>
      </c>
      <c r="D37" s="3" t="n">
        <v>46</v>
      </c>
      <c r="E37" t="inlineStr">
        <is>
          <t>B4</t>
        </is>
      </c>
    </row>
    <row r="38">
      <c r="A38" s="5" t="n">
        <v>46299</v>
      </c>
      <c r="B38" t="inlineStr">
        <is>
          <t>DO-0037</t>
        </is>
      </c>
      <c r="C38" t="inlineStr">
        <is>
          <t>BV-004</t>
        </is>
      </c>
      <c r="D38" s="3" t="n">
        <v>23</v>
      </c>
      <c r="E38" t="inlineStr">
        <is>
          <t>A4</t>
        </is>
      </c>
    </row>
    <row r="39">
      <c r="A39" s="5" t="n">
        <v>46299</v>
      </c>
      <c r="B39" t="inlineStr">
        <is>
          <t>DO-0038</t>
        </is>
      </c>
      <c r="C39" t="inlineStr">
        <is>
          <t>SN-003</t>
        </is>
      </c>
      <c r="D39" s="3" t="n">
        <v>27</v>
      </c>
      <c r="E39" t="inlineStr">
        <is>
          <t>B4</t>
        </is>
      </c>
    </row>
    <row r="40">
      <c r="A40" s="5" t="n">
        <v>46299</v>
      </c>
      <c r="B40" t="inlineStr">
        <is>
          <t>DO-0039</t>
        </is>
      </c>
      <c r="C40" t="inlineStr">
        <is>
          <t>PC-006</t>
        </is>
      </c>
      <c r="D40" s="3" t="n">
        <v>49</v>
      </c>
      <c r="E40" t="inlineStr">
        <is>
          <t>A3</t>
        </is>
      </c>
    </row>
    <row r="41">
      <c r="A41" s="5" t="n">
        <v>46299</v>
      </c>
      <c r="B41" t="inlineStr">
        <is>
          <t>DO-0040</t>
        </is>
      </c>
      <c r="C41" t="inlineStr">
        <is>
          <t>SN-005</t>
        </is>
      </c>
      <c r="D41" s="3" t="n">
        <v>23</v>
      </c>
      <c r="E41" t="inlineStr">
        <is>
          <t>C4</t>
        </is>
      </c>
    </row>
    <row r="42">
      <c r="A42" s="5" t="n">
        <v>46299</v>
      </c>
      <c r="B42" t="inlineStr">
        <is>
          <t>DO-0041</t>
        </is>
      </c>
      <c r="C42" t="inlineStr">
        <is>
          <t>BV-001</t>
        </is>
      </c>
      <c r="D42" s="3" t="n">
        <v>54</v>
      </c>
      <c r="E42" t="inlineStr">
        <is>
          <t>B3</t>
        </is>
      </c>
    </row>
    <row r="43">
      <c r="A43" s="5" t="n">
        <v>46299</v>
      </c>
      <c r="B43" t="inlineStr">
        <is>
          <t>DO-0042</t>
        </is>
      </c>
      <c r="C43" t="inlineStr">
        <is>
          <t>SN-001</t>
        </is>
      </c>
      <c r="D43" s="3" t="n">
        <v>52</v>
      </c>
      <c r="E43" t="inlineStr">
        <is>
          <t>A4</t>
        </is>
      </c>
    </row>
    <row r="44">
      <c r="A44" s="5" t="n">
        <v>46299</v>
      </c>
      <c r="B44" t="inlineStr">
        <is>
          <t>DO-0043</t>
        </is>
      </c>
      <c r="C44" t="inlineStr">
        <is>
          <t>ST-001</t>
        </is>
      </c>
      <c r="D44" s="3" t="n">
        <v>16</v>
      </c>
      <c r="E44" t="inlineStr">
        <is>
          <t>B1</t>
        </is>
      </c>
    </row>
    <row r="45">
      <c r="A45" s="5" t="n">
        <v>46299</v>
      </c>
      <c r="B45" t="inlineStr">
        <is>
          <t>DO-0044</t>
        </is>
      </c>
      <c r="C45" t="inlineStr">
        <is>
          <t>ST-005</t>
        </is>
      </c>
      <c r="D45" s="3" t="n">
        <v>23</v>
      </c>
      <c r="E45" t="inlineStr">
        <is>
          <t>A3</t>
        </is>
      </c>
    </row>
    <row r="46">
      <c r="A46" s="5" t="n">
        <v>46299</v>
      </c>
      <c r="B46" t="inlineStr">
        <is>
          <t>DO-0045</t>
        </is>
      </c>
      <c r="C46" t="inlineStr">
        <is>
          <t>BV-008</t>
        </is>
      </c>
      <c r="D46" s="3" t="n">
        <v>24</v>
      </c>
      <c r="E46" t="inlineStr">
        <is>
          <t>C1</t>
        </is>
      </c>
    </row>
    <row r="47">
      <c r="A47" s="5" t="n">
        <v>46299</v>
      </c>
      <c r="B47" t="inlineStr">
        <is>
          <t>DO-0046</t>
        </is>
      </c>
      <c r="C47" t="inlineStr">
        <is>
          <t>ST-001</t>
        </is>
      </c>
      <c r="D47" s="3" t="n">
        <v>49</v>
      </c>
      <c r="E47" t="inlineStr">
        <is>
          <t>B1</t>
        </is>
      </c>
    </row>
    <row r="48">
      <c r="A48" s="5" t="n">
        <v>46299</v>
      </c>
      <c r="B48" t="inlineStr">
        <is>
          <t>DO-0047</t>
        </is>
      </c>
      <c r="C48" t="inlineStr">
        <is>
          <t>SN-005</t>
        </is>
      </c>
      <c r="D48" s="3" t="n">
        <v>37</v>
      </c>
      <c r="E48" t="inlineStr">
        <is>
          <t>C4</t>
        </is>
      </c>
    </row>
    <row r="49">
      <c r="A49" s="5" t="n">
        <v>46299</v>
      </c>
      <c r="B49" t="inlineStr">
        <is>
          <t>DO-0048</t>
        </is>
      </c>
      <c r="C49" t="inlineStr">
        <is>
          <t>SN-001</t>
        </is>
      </c>
      <c r="D49" s="3" t="n">
        <v>4</v>
      </c>
      <c r="E49" t="inlineStr">
        <is>
          <t>A4</t>
        </is>
      </c>
    </row>
    <row r="50">
      <c r="A50" s="5" t="n">
        <v>46299</v>
      </c>
      <c r="B50" t="inlineStr">
        <is>
          <t>DO-0049</t>
        </is>
      </c>
      <c r="C50" t="inlineStr">
        <is>
          <t>HH-001</t>
        </is>
      </c>
      <c r="D50" s="3" t="n">
        <v>50</v>
      </c>
      <c r="E50" t="inlineStr">
        <is>
          <t>C1</t>
        </is>
      </c>
    </row>
    <row r="51">
      <c r="A51" s="5" t="n">
        <v>46299</v>
      </c>
      <c r="B51" t="inlineStr">
        <is>
          <t>DO-0050</t>
        </is>
      </c>
      <c r="C51" t="inlineStr">
        <is>
          <t>ST-001</t>
        </is>
      </c>
      <c r="D51" s="3" t="n">
        <v>43</v>
      </c>
      <c r="E51" t="inlineStr">
        <is>
          <t>B1</t>
        </is>
      </c>
    </row>
    <row r="52">
      <c r="A52" s="5" t="n">
        <v>46299</v>
      </c>
      <c r="B52" t="inlineStr">
        <is>
          <t>DO-0051</t>
        </is>
      </c>
      <c r="C52" t="inlineStr">
        <is>
          <t>SN-001</t>
        </is>
      </c>
      <c r="D52" s="3" t="n">
        <v>37</v>
      </c>
      <c r="E52" t="inlineStr">
        <is>
          <t>A4</t>
        </is>
      </c>
    </row>
    <row r="53">
      <c r="A53" s="5" t="n">
        <v>46299</v>
      </c>
      <c r="B53" t="inlineStr">
        <is>
          <t>DO-0052</t>
        </is>
      </c>
      <c r="C53" t="inlineStr">
        <is>
          <t>ST-007</t>
        </is>
      </c>
      <c r="D53" s="3" t="n">
        <v>39</v>
      </c>
      <c r="E53" t="inlineStr">
        <is>
          <t>A3</t>
        </is>
      </c>
    </row>
    <row r="54">
      <c r="A54" s="5" t="n">
        <v>46300</v>
      </c>
      <c r="B54" t="inlineStr">
        <is>
          <t>DO-0053</t>
        </is>
      </c>
      <c r="C54" t="inlineStr">
        <is>
          <t>BV-003</t>
        </is>
      </c>
      <c r="D54" s="3" t="n">
        <v>47</v>
      </c>
      <c r="E54" t="inlineStr">
        <is>
          <t>B2</t>
        </is>
      </c>
    </row>
    <row r="55">
      <c r="A55" s="5" t="n">
        <v>46300</v>
      </c>
      <c r="B55" t="inlineStr">
        <is>
          <t>DO-0054</t>
        </is>
      </c>
      <c r="C55" t="inlineStr">
        <is>
          <t>SN-001</t>
        </is>
      </c>
      <c r="D55" s="3" t="n">
        <v>4</v>
      </c>
      <c r="E55" t="inlineStr">
        <is>
          <t>A4</t>
        </is>
      </c>
    </row>
    <row r="56">
      <c r="A56" s="5" t="n">
        <v>46300</v>
      </c>
      <c r="B56" t="inlineStr">
        <is>
          <t>DO-0055</t>
        </is>
      </c>
      <c r="C56" t="inlineStr">
        <is>
          <t>BV-007</t>
        </is>
      </c>
      <c r="D56" s="3" t="n">
        <v>8</v>
      </c>
      <c r="E56" t="inlineStr">
        <is>
          <t>C2</t>
        </is>
      </c>
    </row>
    <row r="57">
      <c r="A57" s="5" t="n">
        <v>46300</v>
      </c>
      <c r="B57" t="inlineStr">
        <is>
          <t>DO-0056</t>
        </is>
      </c>
      <c r="C57" t="inlineStr">
        <is>
          <t>ST-001</t>
        </is>
      </c>
      <c r="D57" s="3" t="n">
        <v>48</v>
      </c>
      <c r="E57" t="inlineStr">
        <is>
          <t>B1</t>
        </is>
      </c>
    </row>
    <row r="58">
      <c r="A58" s="5" t="n">
        <v>46300</v>
      </c>
      <c r="B58" t="inlineStr">
        <is>
          <t>DO-0057</t>
        </is>
      </c>
      <c r="C58" t="inlineStr">
        <is>
          <t>PC-003</t>
        </is>
      </c>
      <c r="D58" s="3" t="n">
        <v>24</v>
      </c>
      <c r="E58" t="inlineStr">
        <is>
          <t>A1</t>
        </is>
      </c>
    </row>
    <row r="59">
      <c r="A59" s="5" t="n">
        <v>46300</v>
      </c>
      <c r="B59" t="inlineStr">
        <is>
          <t>DO-0058</t>
        </is>
      </c>
      <c r="C59" t="inlineStr">
        <is>
          <t>HH-006</t>
        </is>
      </c>
      <c r="D59" s="3" t="n">
        <v>36</v>
      </c>
      <c r="E59" t="inlineStr">
        <is>
          <t>C1</t>
        </is>
      </c>
    </row>
    <row r="60">
      <c r="A60" s="5" t="n">
        <v>46300</v>
      </c>
      <c r="B60" t="inlineStr">
        <is>
          <t>DO-0059</t>
        </is>
      </c>
      <c r="C60" t="inlineStr">
        <is>
          <t>SN-003</t>
        </is>
      </c>
      <c r="D60" s="3" t="n">
        <v>46</v>
      </c>
      <c r="E60" t="inlineStr">
        <is>
          <t>B4</t>
        </is>
      </c>
    </row>
    <row r="61">
      <c r="A61" s="5" t="n">
        <v>46300</v>
      </c>
      <c r="B61" t="inlineStr">
        <is>
          <t>DO-0060</t>
        </is>
      </c>
      <c r="C61" t="inlineStr">
        <is>
          <t>ST-007</t>
        </is>
      </c>
      <c r="D61" s="3" t="n">
        <v>40</v>
      </c>
      <c r="E61" t="inlineStr">
        <is>
          <t>A3</t>
        </is>
      </c>
    </row>
    <row r="62">
      <c r="A62" s="5" t="n">
        <v>46300</v>
      </c>
      <c r="B62" t="inlineStr">
        <is>
          <t>DO-0061</t>
        </is>
      </c>
      <c r="C62" t="inlineStr">
        <is>
          <t>SN-005</t>
        </is>
      </c>
      <c r="D62" s="3" t="n">
        <v>4</v>
      </c>
      <c r="E62" t="inlineStr">
        <is>
          <t>C4</t>
        </is>
      </c>
    </row>
    <row r="63">
      <c r="A63" s="5" t="n">
        <v>46300</v>
      </c>
      <c r="B63" t="inlineStr">
        <is>
          <t>DO-0062</t>
        </is>
      </c>
      <c r="C63" t="inlineStr">
        <is>
          <t>SN-006</t>
        </is>
      </c>
      <c r="D63" s="3" t="n">
        <v>25</v>
      </c>
      <c r="E63" t="inlineStr">
        <is>
          <t>B4</t>
        </is>
      </c>
    </row>
    <row r="64">
      <c r="A64" s="5" t="n">
        <v>46300</v>
      </c>
      <c r="B64" t="inlineStr">
        <is>
          <t>DO-0063</t>
        </is>
      </c>
      <c r="C64" t="inlineStr">
        <is>
          <t>ST-001</t>
        </is>
      </c>
      <c r="D64" s="3" t="n">
        <v>51</v>
      </c>
      <c r="E64" t="inlineStr">
        <is>
          <t>B1</t>
        </is>
      </c>
    </row>
    <row r="65">
      <c r="A65" s="5" t="n">
        <v>46300</v>
      </c>
      <c r="B65" t="inlineStr">
        <is>
          <t>DO-0064</t>
        </is>
      </c>
      <c r="C65" t="inlineStr">
        <is>
          <t>SN-005</t>
        </is>
      </c>
      <c r="D65" s="3" t="n">
        <v>5</v>
      </c>
      <c r="E65" t="inlineStr">
        <is>
          <t>C4</t>
        </is>
      </c>
    </row>
    <row r="66">
      <c r="A66" s="5" t="n">
        <v>46301</v>
      </c>
      <c r="B66" t="inlineStr">
        <is>
          <t>DO-0065</t>
        </is>
      </c>
      <c r="C66" t="inlineStr">
        <is>
          <t>HH-004</t>
        </is>
      </c>
      <c r="D66" s="3" t="n">
        <v>60</v>
      </c>
      <c r="E66" t="inlineStr">
        <is>
          <t>B3</t>
        </is>
      </c>
    </row>
    <row r="67">
      <c r="A67" s="5" t="n">
        <v>46301</v>
      </c>
      <c r="B67" t="inlineStr">
        <is>
          <t>DO-0066</t>
        </is>
      </c>
      <c r="C67" t="inlineStr">
        <is>
          <t>SN-005</t>
        </is>
      </c>
      <c r="D67" s="3" t="n">
        <v>17</v>
      </c>
      <c r="E67" t="inlineStr">
        <is>
          <t>C4</t>
        </is>
      </c>
    </row>
    <row r="68">
      <c r="A68" s="5" t="n">
        <v>46301</v>
      </c>
      <c r="B68" t="inlineStr">
        <is>
          <t>DO-0067</t>
        </is>
      </c>
      <c r="C68" t="inlineStr">
        <is>
          <t>SN-007</t>
        </is>
      </c>
      <c r="D68" s="3" t="n">
        <v>9</v>
      </c>
      <c r="E68" t="inlineStr">
        <is>
          <t>B2</t>
        </is>
      </c>
    </row>
    <row r="69">
      <c r="A69" s="5" t="n">
        <v>46301</v>
      </c>
      <c r="B69" t="inlineStr">
        <is>
          <t>DO-0068</t>
        </is>
      </c>
      <c r="C69" t="inlineStr">
        <is>
          <t>SN-005</t>
        </is>
      </c>
      <c r="D69" s="3" t="n">
        <v>6</v>
      </c>
      <c r="E69" t="inlineStr">
        <is>
          <t>C4</t>
        </is>
      </c>
    </row>
    <row r="70">
      <c r="A70" s="5" t="n">
        <v>46301</v>
      </c>
      <c r="B70" t="inlineStr">
        <is>
          <t>DO-0069</t>
        </is>
      </c>
      <c r="C70" t="inlineStr">
        <is>
          <t>BV-003</t>
        </is>
      </c>
      <c r="D70" s="3" t="n">
        <v>56</v>
      </c>
      <c r="E70" t="inlineStr">
        <is>
          <t>B2</t>
        </is>
      </c>
    </row>
    <row r="71">
      <c r="A71" s="5" t="n">
        <v>46301</v>
      </c>
      <c r="B71" t="inlineStr">
        <is>
          <t>DO-0070</t>
        </is>
      </c>
      <c r="C71" t="inlineStr">
        <is>
          <t>ST-007</t>
        </is>
      </c>
      <c r="D71" s="3" t="n">
        <v>59</v>
      </c>
      <c r="E71" t="inlineStr">
        <is>
          <t>A3</t>
        </is>
      </c>
    </row>
    <row r="72">
      <c r="A72" s="5" t="n">
        <v>46301</v>
      </c>
      <c r="B72" t="inlineStr">
        <is>
          <t>DO-0071</t>
        </is>
      </c>
      <c r="C72" t="inlineStr">
        <is>
          <t>BV-007</t>
        </is>
      </c>
      <c r="D72" s="3" t="n">
        <v>6</v>
      </c>
      <c r="E72" t="inlineStr">
        <is>
          <t>C2</t>
        </is>
      </c>
    </row>
    <row r="73">
      <c r="A73" s="5" t="n">
        <v>46301</v>
      </c>
      <c r="B73" t="inlineStr">
        <is>
          <t>DO-0072</t>
        </is>
      </c>
      <c r="C73" t="inlineStr">
        <is>
          <t>HH-002</t>
        </is>
      </c>
      <c r="D73" s="3" t="n">
        <v>32</v>
      </c>
      <c r="E73" t="inlineStr">
        <is>
          <t>A2</t>
        </is>
      </c>
    </row>
    <row r="74">
      <c r="A74" s="5" t="n">
        <v>46301</v>
      </c>
      <c r="B74" t="inlineStr">
        <is>
          <t>DO-0073</t>
        </is>
      </c>
      <c r="C74" t="inlineStr">
        <is>
          <t>PC-006</t>
        </is>
      </c>
      <c r="D74" s="3" t="n">
        <v>17</v>
      </c>
      <c r="E74" t="inlineStr">
        <is>
          <t>A3</t>
        </is>
      </c>
    </row>
    <row r="75">
      <c r="A75" s="5" t="n">
        <v>46301</v>
      </c>
      <c r="B75" t="inlineStr">
        <is>
          <t>DO-0074</t>
        </is>
      </c>
      <c r="C75" t="inlineStr">
        <is>
          <t>PC-002</t>
        </is>
      </c>
      <c r="D75" s="3" t="n">
        <v>42</v>
      </c>
      <c r="E75" t="inlineStr">
        <is>
          <t>B1</t>
        </is>
      </c>
    </row>
    <row r="76">
      <c r="A76" s="5" t="n">
        <v>46301</v>
      </c>
      <c r="B76" t="inlineStr">
        <is>
          <t>DO-0075</t>
        </is>
      </c>
      <c r="C76" t="inlineStr">
        <is>
          <t>SN-001</t>
        </is>
      </c>
      <c r="D76" s="3" t="n">
        <v>54</v>
      </c>
      <c r="E76" t="inlineStr">
        <is>
          <t>A4</t>
        </is>
      </c>
    </row>
    <row r="77">
      <c r="A77" s="5" t="n">
        <v>46301</v>
      </c>
      <c r="B77" t="inlineStr">
        <is>
          <t>DO-0076</t>
        </is>
      </c>
      <c r="C77" t="inlineStr">
        <is>
          <t>SN-005</t>
        </is>
      </c>
      <c r="D77" s="3" t="n">
        <v>11</v>
      </c>
      <c r="E77" t="inlineStr">
        <is>
          <t>C4</t>
        </is>
      </c>
    </row>
    <row r="78">
      <c r="A78" s="5" t="n">
        <v>46301</v>
      </c>
      <c r="B78" t="inlineStr">
        <is>
          <t>DO-0077</t>
        </is>
      </c>
      <c r="C78" t="inlineStr">
        <is>
          <t>PC-001</t>
        </is>
      </c>
      <c r="D78" s="3" t="n">
        <v>37</v>
      </c>
      <c r="E78" t="inlineStr">
        <is>
          <t>B3</t>
        </is>
      </c>
    </row>
    <row r="79">
      <c r="A79" s="5" t="n">
        <v>46301</v>
      </c>
      <c r="B79" t="inlineStr">
        <is>
          <t>DO-0078</t>
        </is>
      </c>
      <c r="C79" t="inlineStr">
        <is>
          <t>ST-004</t>
        </is>
      </c>
      <c r="D79" s="3" t="n">
        <v>31</v>
      </c>
      <c r="E79" t="inlineStr">
        <is>
          <t>C4</t>
        </is>
      </c>
    </row>
    <row r="80">
      <c r="A80" s="5" t="n">
        <v>46302</v>
      </c>
      <c r="B80" t="inlineStr">
        <is>
          <t>DO-0079</t>
        </is>
      </c>
      <c r="C80" t="inlineStr">
        <is>
          <t>ST-004</t>
        </is>
      </c>
      <c r="D80" s="3" t="n">
        <v>60</v>
      </c>
      <c r="E80" t="inlineStr">
        <is>
          <t>C4</t>
        </is>
      </c>
    </row>
    <row r="81">
      <c r="A81" s="5" t="n">
        <v>46302</v>
      </c>
      <c r="B81" t="inlineStr">
        <is>
          <t>DO-0080</t>
        </is>
      </c>
      <c r="C81" t="inlineStr">
        <is>
          <t>ST-007</t>
        </is>
      </c>
      <c r="D81" s="3" t="n">
        <v>27</v>
      </c>
      <c r="E81" t="inlineStr">
        <is>
          <t>A3</t>
        </is>
      </c>
    </row>
    <row r="82">
      <c r="A82" s="5" t="n">
        <v>46302</v>
      </c>
      <c r="B82" t="inlineStr">
        <is>
          <t>DO-0081</t>
        </is>
      </c>
      <c r="C82" t="inlineStr">
        <is>
          <t>HH-001</t>
        </is>
      </c>
      <c r="D82" s="3" t="n">
        <v>27</v>
      </c>
      <c r="E82" t="inlineStr">
        <is>
          <t>C1</t>
        </is>
      </c>
    </row>
    <row r="83">
      <c r="A83" s="5" t="n">
        <v>46302</v>
      </c>
      <c r="B83" t="inlineStr">
        <is>
          <t>DO-0082</t>
        </is>
      </c>
      <c r="C83" t="inlineStr">
        <is>
          <t>BV-003</t>
        </is>
      </c>
      <c r="D83" s="3" t="n">
        <v>1</v>
      </c>
      <c r="E83" t="inlineStr">
        <is>
          <t>B2</t>
        </is>
      </c>
    </row>
    <row r="84">
      <c r="A84" s="5" t="n">
        <v>46302</v>
      </c>
      <c r="B84" t="inlineStr">
        <is>
          <t>DO-0083</t>
        </is>
      </c>
      <c r="C84" t="inlineStr">
        <is>
          <t>ST-008</t>
        </is>
      </c>
      <c r="D84" s="3" t="n">
        <v>60</v>
      </c>
      <c r="E84" t="inlineStr">
        <is>
          <t>C3</t>
        </is>
      </c>
    </row>
    <row r="85">
      <c r="A85" s="5" t="n">
        <v>46302</v>
      </c>
      <c r="B85" t="inlineStr">
        <is>
          <t>DO-0084</t>
        </is>
      </c>
      <c r="C85" t="inlineStr">
        <is>
          <t>ST-006</t>
        </is>
      </c>
      <c r="D85" s="3" t="n">
        <v>54</v>
      </c>
      <c r="E85" t="inlineStr">
        <is>
          <t>A4</t>
        </is>
      </c>
    </row>
    <row r="86">
      <c r="A86" s="5" t="n">
        <v>46302</v>
      </c>
      <c r="B86" t="inlineStr">
        <is>
          <t>DO-0085</t>
        </is>
      </c>
      <c r="C86" t="inlineStr">
        <is>
          <t>SN-001</t>
        </is>
      </c>
      <c r="D86" s="3" t="n">
        <v>45</v>
      </c>
      <c r="E86" t="inlineStr">
        <is>
          <t>A4</t>
        </is>
      </c>
    </row>
    <row r="87">
      <c r="A87" s="5" t="n">
        <v>46302</v>
      </c>
      <c r="B87" t="inlineStr">
        <is>
          <t>DO-0086</t>
        </is>
      </c>
      <c r="C87" t="inlineStr">
        <is>
          <t>ST-006</t>
        </is>
      </c>
      <c r="D87" s="3" t="n">
        <v>41</v>
      </c>
      <c r="E87" t="inlineStr">
        <is>
          <t>A4</t>
        </is>
      </c>
    </row>
    <row r="88">
      <c r="A88" s="5" t="n">
        <v>46302</v>
      </c>
      <c r="B88" t="inlineStr">
        <is>
          <t>DO-0087</t>
        </is>
      </c>
      <c r="C88" t="inlineStr">
        <is>
          <t>BV-001</t>
        </is>
      </c>
      <c r="D88" s="3" t="n">
        <v>53</v>
      </c>
      <c r="E88" t="inlineStr">
        <is>
          <t>B3</t>
        </is>
      </c>
    </row>
    <row r="89">
      <c r="A89" s="5" t="n">
        <v>46302</v>
      </c>
      <c r="B89" t="inlineStr">
        <is>
          <t>DO-0088</t>
        </is>
      </c>
      <c r="C89" t="inlineStr">
        <is>
          <t>HH-006</t>
        </is>
      </c>
      <c r="D89" s="3" t="n">
        <v>7</v>
      </c>
      <c r="E89" t="inlineStr">
        <is>
          <t>C1</t>
        </is>
      </c>
    </row>
    <row r="90">
      <c r="A90" s="5" t="n">
        <v>46302</v>
      </c>
      <c r="B90" t="inlineStr">
        <is>
          <t>DO-0089</t>
        </is>
      </c>
      <c r="C90" t="inlineStr">
        <is>
          <t>ST-001</t>
        </is>
      </c>
      <c r="D90" s="3" t="n">
        <v>7</v>
      </c>
      <c r="E90" t="inlineStr">
        <is>
          <t>B1</t>
        </is>
      </c>
    </row>
    <row r="91">
      <c r="A91" s="5" t="n">
        <v>46302</v>
      </c>
      <c r="B91" t="inlineStr">
        <is>
          <t>DO-0090</t>
        </is>
      </c>
      <c r="C91" t="inlineStr">
        <is>
          <t>HH-005</t>
        </is>
      </c>
      <c r="D91" s="3" t="n">
        <v>8</v>
      </c>
      <c r="E91" t="inlineStr">
        <is>
          <t>C3</t>
        </is>
      </c>
    </row>
    <row r="92">
      <c r="A92" s="5" t="n">
        <v>46303</v>
      </c>
      <c r="B92" t="inlineStr">
        <is>
          <t>DO-0091</t>
        </is>
      </c>
      <c r="C92" t="inlineStr">
        <is>
          <t>SN-003</t>
        </is>
      </c>
      <c r="D92" s="3" t="n">
        <v>42</v>
      </c>
      <c r="E92" t="inlineStr">
        <is>
          <t>B4</t>
        </is>
      </c>
    </row>
    <row r="93">
      <c r="A93" s="5" t="n">
        <v>46303</v>
      </c>
      <c r="B93" t="inlineStr">
        <is>
          <t>DO-0092</t>
        </is>
      </c>
      <c r="C93" t="inlineStr">
        <is>
          <t>ST-006</t>
        </is>
      </c>
      <c r="D93" s="3" t="n">
        <v>42</v>
      </c>
      <c r="E93" t="inlineStr">
        <is>
          <t>A4</t>
        </is>
      </c>
    </row>
    <row r="94">
      <c r="A94" s="5" t="n">
        <v>46303</v>
      </c>
      <c r="B94" t="inlineStr">
        <is>
          <t>DO-0093</t>
        </is>
      </c>
      <c r="C94" t="inlineStr">
        <is>
          <t>BV-004</t>
        </is>
      </c>
      <c r="D94" s="3" t="n">
        <v>13</v>
      </c>
      <c r="E94" t="inlineStr">
        <is>
          <t>A4</t>
        </is>
      </c>
    </row>
    <row r="95">
      <c r="A95" s="5" t="n">
        <v>46303</v>
      </c>
      <c r="B95" t="inlineStr">
        <is>
          <t>DO-0094</t>
        </is>
      </c>
      <c r="C95" t="inlineStr">
        <is>
          <t>ST-001</t>
        </is>
      </c>
      <c r="D95" s="3" t="n">
        <v>29</v>
      </c>
      <c r="E95" t="inlineStr">
        <is>
          <t>B1</t>
        </is>
      </c>
    </row>
    <row r="96">
      <c r="A96" s="5" t="n">
        <v>46303</v>
      </c>
      <c r="B96" t="inlineStr">
        <is>
          <t>DO-0095</t>
        </is>
      </c>
      <c r="C96" t="inlineStr">
        <is>
          <t>PC-004</t>
        </is>
      </c>
      <c r="D96" s="3" t="n">
        <v>33</v>
      </c>
      <c r="E96" t="inlineStr">
        <is>
          <t>A1</t>
        </is>
      </c>
    </row>
    <row r="97">
      <c r="A97" s="5" t="n">
        <v>46303</v>
      </c>
      <c r="B97" t="inlineStr">
        <is>
          <t>DO-0096</t>
        </is>
      </c>
      <c r="C97" t="inlineStr">
        <is>
          <t>SN-006</t>
        </is>
      </c>
      <c r="D97" s="3" t="n">
        <v>59</v>
      </c>
      <c r="E97" t="inlineStr">
        <is>
          <t>B4</t>
        </is>
      </c>
    </row>
    <row r="98">
      <c r="A98" s="5" t="n">
        <v>46303</v>
      </c>
      <c r="B98" t="inlineStr">
        <is>
          <t>DO-0097</t>
        </is>
      </c>
      <c r="C98" t="inlineStr">
        <is>
          <t>BV-001</t>
        </is>
      </c>
      <c r="D98" s="3" t="n">
        <v>57</v>
      </c>
      <c r="E98" t="inlineStr">
        <is>
          <t>B3</t>
        </is>
      </c>
    </row>
    <row r="99">
      <c r="A99" s="5" t="n">
        <v>46303</v>
      </c>
      <c r="B99" t="inlineStr">
        <is>
          <t>DO-0098</t>
        </is>
      </c>
      <c r="C99" t="inlineStr">
        <is>
          <t>SN-001</t>
        </is>
      </c>
      <c r="D99" s="3" t="n">
        <v>7</v>
      </c>
      <c r="E99" t="inlineStr">
        <is>
          <t>A4</t>
        </is>
      </c>
    </row>
    <row r="100">
      <c r="A100" s="5" t="n">
        <v>46303</v>
      </c>
      <c r="B100" t="inlineStr">
        <is>
          <t>DO-0099</t>
        </is>
      </c>
      <c r="C100" t="inlineStr">
        <is>
          <t>BV-002</t>
        </is>
      </c>
      <c r="D100" s="3" t="n">
        <v>39</v>
      </c>
      <c r="E100" t="inlineStr">
        <is>
          <t>C3</t>
        </is>
      </c>
    </row>
    <row r="101">
      <c r="A101" s="5" t="n">
        <v>46303</v>
      </c>
      <c r="B101" t="inlineStr">
        <is>
          <t>DO-0100</t>
        </is>
      </c>
      <c r="C101" t="inlineStr">
        <is>
          <t>SN-001</t>
        </is>
      </c>
      <c r="D101" s="3" t="n">
        <v>19</v>
      </c>
      <c r="E101" t="inlineStr">
        <is>
          <t>A4</t>
        </is>
      </c>
    </row>
    <row r="102">
      <c r="A102" s="5" t="n">
        <v>46303</v>
      </c>
      <c r="B102" t="inlineStr">
        <is>
          <t>DO-0101</t>
        </is>
      </c>
      <c r="C102" t="inlineStr">
        <is>
          <t>ST-001</t>
        </is>
      </c>
      <c r="D102" s="3" t="n">
        <v>10</v>
      </c>
      <c r="E102" t="inlineStr">
        <is>
          <t>B1</t>
        </is>
      </c>
    </row>
    <row r="103">
      <c r="A103" s="5" t="n">
        <v>46303</v>
      </c>
      <c r="B103" t="inlineStr">
        <is>
          <t>DO-0102</t>
        </is>
      </c>
      <c r="C103" t="inlineStr">
        <is>
          <t>ST-005</t>
        </is>
      </c>
      <c r="D103" s="3" t="n">
        <v>21</v>
      </c>
      <c r="E103" t="inlineStr">
        <is>
          <t>A3</t>
        </is>
      </c>
    </row>
    <row r="104">
      <c r="A104" s="5" t="n">
        <v>46303</v>
      </c>
      <c r="B104" t="inlineStr">
        <is>
          <t>DO-0103</t>
        </is>
      </c>
      <c r="C104" t="inlineStr">
        <is>
          <t>BV-003</t>
        </is>
      </c>
      <c r="D104" s="3" t="n">
        <v>23</v>
      </c>
      <c r="E104" t="inlineStr">
        <is>
          <t>B2</t>
        </is>
      </c>
    </row>
    <row r="105">
      <c r="A105" s="5" t="n">
        <v>46304</v>
      </c>
      <c r="B105" t="inlineStr">
        <is>
          <t>DO-0104</t>
        </is>
      </c>
      <c r="C105" t="inlineStr">
        <is>
          <t>ST-008</t>
        </is>
      </c>
      <c r="D105" s="3" t="n">
        <v>19</v>
      </c>
      <c r="E105" t="inlineStr">
        <is>
          <t>C3</t>
        </is>
      </c>
    </row>
    <row r="106">
      <c r="A106" s="5" t="n">
        <v>46304</v>
      </c>
      <c r="B106" t="inlineStr">
        <is>
          <t>DO-0105</t>
        </is>
      </c>
      <c r="C106" t="inlineStr">
        <is>
          <t>SN-008</t>
        </is>
      </c>
      <c r="D106" s="3" t="n">
        <v>55</v>
      </c>
      <c r="E106" t="inlineStr">
        <is>
          <t>A1</t>
        </is>
      </c>
    </row>
    <row r="107">
      <c r="A107" s="5" t="n">
        <v>46304</v>
      </c>
      <c r="B107" t="inlineStr">
        <is>
          <t>DO-0106</t>
        </is>
      </c>
      <c r="C107" t="inlineStr">
        <is>
          <t>HH-004</t>
        </is>
      </c>
      <c r="D107" s="3" t="n">
        <v>6</v>
      </c>
      <c r="E107" t="inlineStr">
        <is>
          <t>B3</t>
        </is>
      </c>
    </row>
    <row r="108">
      <c r="A108" s="5" t="n">
        <v>46304</v>
      </c>
      <c r="B108" t="inlineStr">
        <is>
          <t>DO-0107</t>
        </is>
      </c>
      <c r="C108" t="inlineStr">
        <is>
          <t>PC-005</t>
        </is>
      </c>
      <c r="D108" s="3" t="n">
        <v>17</v>
      </c>
      <c r="E108" t="inlineStr">
        <is>
          <t>A2</t>
        </is>
      </c>
    </row>
    <row r="109">
      <c r="A109" s="5" t="n">
        <v>46304</v>
      </c>
      <c r="B109" t="inlineStr">
        <is>
          <t>DO-0108</t>
        </is>
      </c>
      <c r="C109" t="inlineStr">
        <is>
          <t>ST-005</t>
        </is>
      </c>
      <c r="D109" s="3" t="n">
        <v>7</v>
      </c>
      <c r="E109" t="inlineStr">
        <is>
          <t>A3</t>
        </is>
      </c>
    </row>
    <row r="110">
      <c r="A110" s="5" t="n">
        <v>46304</v>
      </c>
      <c r="B110" t="inlineStr">
        <is>
          <t>DO-0109</t>
        </is>
      </c>
      <c r="C110" t="inlineStr">
        <is>
          <t>SN-006</t>
        </is>
      </c>
      <c r="D110" s="3" t="n">
        <v>60</v>
      </c>
      <c r="E110" t="inlineStr">
        <is>
          <t>B4</t>
        </is>
      </c>
    </row>
    <row r="111">
      <c r="A111" s="5" t="n">
        <v>46304</v>
      </c>
      <c r="B111" t="inlineStr">
        <is>
          <t>DO-0110</t>
        </is>
      </c>
      <c r="C111" t="inlineStr">
        <is>
          <t>PC-005</t>
        </is>
      </c>
      <c r="D111" s="3" t="n">
        <v>4</v>
      </c>
      <c r="E111" t="inlineStr">
        <is>
          <t>A2</t>
        </is>
      </c>
    </row>
    <row r="112">
      <c r="A112" s="5" t="n">
        <v>46304</v>
      </c>
      <c r="B112" t="inlineStr">
        <is>
          <t>DO-0111</t>
        </is>
      </c>
      <c r="C112" t="inlineStr">
        <is>
          <t>HH-005</t>
        </is>
      </c>
      <c r="D112" s="3" t="n">
        <v>23</v>
      </c>
      <c r="E112" t="inlineStr">
        <is>
          <t>C3</t>
        </is>
      </c>
    </row>
    <row r="113">
      <c r="A113" s="5" t="n">
        <v>46304</v>
      </c>
      <c r="B113" t="inlineStr">
        <is>
          <t>DO-0112</t>
        </is>
      </c>
      <c r="C113" t="inlineStr">
        <is>
          <t>ST-002</t>
        </is>
      </c>
      <c r="D113" s="3" t="n">
        <v>49</v>
      </c>
      <c r="E113" t="inlineStr">
        <is>
          <t>C2</t>
        </is>
      </c>
    </row>
    <row r="114">
      <c r="A114" s="5" t="n">
        <v>46305</v>
      </c>
      <c r="B114" t="inlineStr">
        <is>
          <t>DO-0113</t>
        </is>
      </c>
      <c r="C114" t="inlineStr">
        <is>
          <t>ST-006</t>
        </is>
      </c>
      <c r="D114" s="3" t="n">
        <v>17</v>
      </c>
      <c r="E114" t="inlineStr">
        <is>
          <t>A4</t>
        </is>
      </c>
    </row>
    <row r="115">
      <c r="A115" s="5" t="n">
        <v>46305</v>
      </c>
      <c r="B115" t="inlineStr">
        <is>
          <t>DO-0114</t>
        </is>
      </c>
      <c r="C115" t="inlineStr">
        <is>
          <t>ST-002</t>
        </is>
      </c>
      <c r="D115" s="3" t="n">
        <v>18</v>
      </c>
      <c r="E115" t="inlineStr">
        <is>
          <t>C2</t>
        </is>
      </c>
    </row>
    <row r="116">
      <c r="A116" s="5" t="n">
        <v>46305</v>
      </c>
      <c r="B116" t="inlineStr">
        <is>
          <t>DO-0115</t>
        </is>
      </c>
      <c r="C116" t="inlineStr">
        <is>
          <t>SN-008</t>
        </is>
      </c>
      <c r="D116" s="3" t="n">
        <v>22</v>
      </c>
      <c r="E116" t="inlineStr">
        <is>
          <t>A1</t>
        </is>
      </c>
    </row>
    <row r="117">
      <c r="A117" s="5" t="n">
        <v>46305</v>
      </c>
      <c r="B117" t="inlineStr">
        <is>
          <t>DO-0116</t>
        </is>
      </c>
      <c r="C117" t="inlineStr">
        <is>
          <t>SN-005</t>
        </is>
      </c>
      <c r="D117" s="3" t="n">
        <v>43</v>
      </c>
      <c r="E117" t="inlineStr">
        <is>
          <t>C4</t>
        </is>
      </c>
    </row>
    <row r="118">
      <c r="A118" s="5" t="n">
        <v>46305</v>
      </c>
      <c r="B118" t="inlineStr">
        <is>
          <t>DO-0117</t>
        </is>
      </c>
      <c r="C118" t="inlineStr">
        <is>
          <t>BV-005</t>
        </is>
      </c>
      <c r="D118" s="3" t="n">
        <v>24</v>
      </c>
      <c r="E118" t="inlineStr">
        <is>
          <t>A2</t>
        </is>
      </c>
    </row>
    <row r="119">
      <c r="A119" s="5" t="n">
        <v>46305</v>
      </c>
      <c r="B119" t="inlineStr">
        <is>
          <t>DO-0118</t>
        </is>
      </c>
      <c r="C119" t="inlineStr">
        <is>
          <t>BV-008</t>
        </is>
      </c>
      <c r="D119" s="3" t="n">
        <v>18</v>
      </c>
      <c r="E119" t="inlineStr">
        <is>
          <t>C1</t>
        </is>
      </c>
    </row>
    <row r="120">
      <c r="A120" s="5" t="n">
        <v>46305</v>
      </c>
      <c r="B120" t="inlineStr">
        <is>
          <t>DO-0119</t>
        </is>
      </c>
      <c r="C120" t="inlineStr">
        <is>
          <t>ST-003</t>
        </is>
      </c>
      <c r="D120" s="3" t="n">
        <v>21</v>
      </c>
      <c r="E120" t="inlineStr">
        <is>
          <t>B1</t>
        </is>
      </c>
    </row>
    <row r="121">
      <c r="A121" s="5" t="n">
        <v>46305</v>
      </c>
      <c r="B121" t="inlineStr">
        <is>
          <t>DO-0120</t>
        </is>
      </c>
      <c r="C121" t="inlineStr">
        <is>
          <t>ST-003</t>
        </is>
      </c>
      <c r="D121" s="3" t="n">
        <v>58</v>
      </c>
      <c r="E121" t="inlineStr">
        <is>
          <t>B1</t>
        </is>
      </c>
    </row>
    <row r="122">
      <c r="A122" s="5" t="n">
        <v>46305</v>
      </c>
      <c r="B122" t="inlineStr">
        <is>
          <t>DO-0121</t>
        </is>
      </c>
      <c r="C122" t="inlineStr">
        <is>
          <t>HH-001</t>
        </is>
      </c>
      <c r="D122" s="3" t="n">
        <v>29</v>
      </c>
      <c r="E122" t="inlineStr">
        <is>
          <t>C1</t>
        </is>
      </c>
    </row>
    <row r="123">
      <c r="A123" s="5" t="n">
        <v>46306</v>
      </c>
      <c r="B123" t="inlineStr">
        <is>
          <t>DO-0122</t>
        </is>
      </c>
      <c r="C123" t="inlineStr">
        <is>
          <t>PC-004</t>
        </is>
      </c>
      <c r="D123" s="3" t="n">
        <v>13</v>
      </c>
      <c r="E123" t="inlineStr">
        <is>
          <t>A1</t>
        </is>
      </c>
    </row>
    <row r="124">
      <c r="A124" s="5" t="n">
        <v>46306</v>
      </c>
      <c r="B124" t="inlineStr">
        <is>
          <t>DO-0123</t>
        </is>
      </c>
      <c r="C124" t="inlineStr">
        <is>
          <t>ST-006</t>
        </is>
      </c>
      <c r="D124" s="3" t="n">
        <v>27</v>
      </c>
      <c r="E124" t="inlineStr">
        <is>
          <t>A4</t>
        </is>
      </c>
    </row>
    <row r="125">
      <c r="A125" s="5" t="n">
        <v>46306</v>
      </c>
      <c r="B125" t="inlineStr">
        <is>
          <t>DO-0124</t>
        </is>
      </c>
      <c r="C125" t="inlineStr">
        <is>
          <t>BV-005</t>
        </is>
      </c>
      <c r="D125" s="3" t="n">
        <v>11</v>
      </c>
      <c r="E125" t="inlineStr">
        <is>
          <t>A2</t>
        </is>
      </c>
    </row>
    <row r="126">
      <c r="A126" s="5" t="n">
        <v>46306</v>
      </c>
      <c r="B126" t="inlineStr">
        <is>
          <t>DO-0125</t>
        </is>
      </c>
      <c r="C126" t="inlineStr">
        <is>
          <t>PC-003</t>
        </is>
      </c>
      <c r="D126" s="3" t="n">
        <v>19</v>
      </c>
      <c r="E126" t="inlineStr">
        <is>
          <t>A1</t>
        </is>
      </c>
    </row>
    <row r="127">
      <c r="A127" s="5" t="n">
        <v>46306</v>
      </c>
      <c r="B127" t="inlineStr">
        <is>
          <t>DO-0126</t>
        </is>
      </c>
      <c r="C127" t="inlineStr">
        <is>
          <t>ST-002</t>
        </is>
      </c>
      <c r="D127" s="3" t="n">
        <v>5</v>
      </c>
      <c r="E127" t="inlineStr">
        <is>
          <t>C2</t>
        </is>
      </c>
    </row>
    <row r="128">
      <c r="A128" s="5" t="n">
        <v>46306</v>
      </c>
      <c r="B128" t="inlineStr">
        <is>
          <t>DO-0127</t>
        </is>
      </c>
      <c r="C128" t="inlineStr">
        <is>
          <t>ST-001</t>
        </is>
      </c>
      <c r="D128" s="3" t="n">
        <v>35</v>
      </c>
      <c r="E128" t="inlineStr">
        <is>
          <t>B1</t>
        </is>
      </c>
    </row>
    <row r="129">
      <c r="A129" s="5" t="n">
        <v>46306</v>
      </c>
      <c r="B129" t="inlineStr">
        <is>
          <t>DO-0128</t>
        </is>
      </c>
      <c r="C129" t="inlineStr">
        <is>
          <t>SN-006</t>
        </is>
      </c>
      <c r="D129" s="3" t="n">
        <v>16</v>
      </c>
      <c r="E129" t="inlineStr">
        <is>
          <t>B4</t>
        </is>
      </c>
    </row>
    <row r="130">
      <c r="A130" s="5" t="n">
        <v>46306</v>
      </c>
      <c r="B130" t="inlineStr">
        <is>
          <t>DO-0129</t>
        </is>
      </c>
      <c r="C130" t="inlineStr">
        <is>
          <t>BV-004</t>
        </is>
      </c>
      <c r="D130" s="3" t="n">
        <v>25</v>
      </c>
      <c r="E130" t="inlineStr">
        <is>
          <t>A4</t>
        </is>
      </c>
    </row>
    <row r="131">
      <c r="A131" s="5" t="n">
        <v>46306</v>
      </c>
      <c r="B131" t="inlineStr">
        <is>
          <t>DO-0130</t>
        </is>
      </c>
      <c r="C131" t="inlineStr">
        <is>
          <t>PC-003</t>
        </is>
      </c>
      <c r="D131" s="3" t="n">
        <v>20</v>
      </c>
      <c r="E131" t="inlineStr">
        <is>
          <t>A1</t>
        </is>
      </c>
    </row>
    <row r="132">
      <c r="A132" s="5" t="n">
        <v>46306</v>
      </c>
      <c r="B132" t="inlineStr">
        <is>
          <t>DO-0131</t>
        </is>
      </c>
      <c r="C132" t="inlineStr">
        <is>
          <t>PC-002</t>
        </is>
      </c>
      <c r="D132" s="3" t="n">
        <v>12</v>
      </c>
      <c r="E132" t="inlineStr">
        <is>
          <t>B1</t>
        </is>
      </c>
    </row>
    <row r="133">
      <c r="A133" s="5" t="n">
        <v>46306</v>
      </c>
      <c r="B133" t="inlineStr">
        <is>
          <t>DO-0132</t>
        </is>
      </c>
      <c r="C133" t="inlineStr">
        <is>
          <t>SN-004</t>
        </is>
      </c>
      <c r="D133" s="3" t="n">
        <v>56</v>
      </c>
      <c r="E133" t="inlineStr">
        <is>
          <t>B2</t>
        </is>
      </c>
    </row>
    <row r="134">
      <c r="A134" s="5" t="n">
        <v>46306</v>
      </c>
      <c r="B134" t="inlineStr">
        <is>
          <t>DO-0133</t>
        </is>
      </c>
      <c r="C134" t="inlineStr">
        <is>
          <t>SN-002</t>
        </is>
      </c>
      <c r="D134" s="3" t="n">
        <v>35</v>
      </c>
      <c r="E134" t="inlineStr">
        <is>
          <t>C4</t>
        </is>
      </c>
    </row>
    <row r="135">
      <c r="A135" s="5" t="n">
        <v>46306</v>
      </c>
      <c r="B135" t="inlineStr">
        <is>
          <t>DO-0134</t>
        </is>
      </c>
      <c r="C135" t="inlineStr">
        <is>
          <t>SN-004</t>
        </is>
      </c>
      <c r="D135" s="3" t="n">
        <v>41</v>
      </c>
      <c r="E135" t="inlineStr">
        <is>
          <t>B2</t>
        </is>
      </c>
    </row>
    <row r="136">
      <c r="A136" s="5" t="n">
        <v>46306</v>
      </c>
      <c r="B136" t="inlineStr">
        <is>
          <t>DO-0135</t>
        </is>
      </c>
      <c r="C136" t="inlineStr">
        <is>
          <t>PC-006</t>
        </is>
      </c>
      <c r="D136" s="3" t="n">
        <v>9</v>
      </c>
      <c r="E136" t="inlineStr">
        <is>
          <t>A3</t>
        </is>
      </c>
    </row>
    <row r="137">
      <c r="A137" s="5" t="n">
        <v>46307</v>
      </c>
      <c r="B137" t="inlineStr">
        <is>
          <t>DO-0136</t>
        </is>
      </c>
      <c r="C137" t="inlineStr">
        <is>
          <t>ST-004</t>
        </is>
      </c>
      <c r="D137" s="3" t="n">
        <v>38</v>
      </c>
      <c r="E137" t="inlineStr">
        <is>
          <t>C4</t>
        </is>
      </c>
    </row>
    <row r="138">
      <c r="A138" s="5" t="n">
        <v>46307</v>
      </c>
      <c r="B138" t="inlineStr">
        <is>
          <t>DO-0137</t>
        </is>
      </c>
      <c r="C138" t="inlineStr">
        <is>
          <t>BV-005</t>
        </is>
      </c>
      <c r="D138" s="3" t="n">
        <v>36</v>
      </c>
      <c r="E138" t="inlineStr">
        <is>
          <t>A2</t>
        </is>
      </c>
    </row>
    <row r="139">
      <c r="A139" s="5" t="n">
        <v>46307</v>
      </c>
      <c r="B139" t="inlineStr">
        <is>
          <t>DO-0138</t>
        </is>
      </c>
      <c r="C139" t="inlineStr">
        <is>
          <t>ST-008</t>
        </is>
      </c>
      <c r="D139" s="3" t="n">
        <v>42</v>
      </c>
      <c r="E139" t="inlineStr">
        <is>
          <t>C3</t>
        </is>
      </c>
    </row>
    <row r="140">
      <c r="A140" s="5" t="n">
        <v>46307</v>
      </c>
      <c r="B140" t="inlineStr">
        <is>
          <t>DO-0139</t>
        </is>
      </c>
      <c r="C140" t="inlineStr">
        <is>
          <t>SN-005</t>
        </is>
      </c>
      <c r="D140" s="3" t="n">
        <v>29</v>
      </c>
      <c r="E140" t="inlineStr">
        <is>
          <t>C4</t>
        </is>
      </c>
    </row>
    <row r="141">
      <c r="A141" s="5" t="n">
        <v>46307</v>
      </c>
      <c r="B141" t="inlineStr">
        <is>
          <t>DO-0140</t>
        </is>
      </c>
      <c r="C141" t="inlineStr">
        <is>
          <t>PC-004</t>
        </is>
      </c>
      <c r="D141" s="3" t="n">
        <v>7</v>
      </c>
      <c r="E141" t="inlineStr">
        <is>
          <t>A1</t>
        </is>
      </c>
    </row>
    <row r="142">
      <c r="A142" s="5" t="n">
        <v>46307</v>
      </c>
      <c r="B142" t="inlineStr">
        <is>
          <t>DO-0141</t>
        </is>
      </c>
      <c r="C142" t="inlineStr">
        <is>
          <t>HH-002</t>
        </is>
      </c>
      <c r="D142" s="3" t="n">
        <v>29</v>
      </c>
      <c r="E142" t="inlineStr">
        <is>
          <t>A2</t>
        </is>
      </c>
    </row>
    <row r="143">
      <c r="A143" s="5" t="n">
        <v>46307</v>
      </c>
      <c r="B143" t="inlineStr">
        <is>
          <t>DO-0142</t>
        </is>
      </c>
      <c r="C143" t="inlineStr">
        <is>
          <t>BV-005</t>
        </is>
      </c>
      <c r="D143" s="3" t="n">
        <v>29</v>
      </c>
      <c r="E143" t="inlineStr">
        <is>
          <t>A2</t>
        </is>
      </c>
    </row>
    <row r="144">
      <c r="A144" s="5" t="n">
        <v>46307</v>
      </c>
      <c r="B144" t="inlineStr">
        <is>
          <t>DO-0143</t>
        </is>
      </c>
      <c r="C144" t="inlineStr">
        <is>
          <t>PC-004</t>
        </is>
      </c>
      <c r="D144" s="3" t="n">
        <v>28</v>
      </c>
      <c r="E144" t="inlineStr">
        <is>
          <t>A1</t>
        </is>
      </c>
    </row>
    <row r="145">
      <c r="A145" s="5" t="n">
        <v>46307</v>
      </c>
      <c r="B145" t="inlineStr">
        <is>
          <t>DO-0144</t>
        </is>
      </c>
      <c r="C145" t="inlineStr">
        <is>
          <t>PC-002</t>
        </is>
      </c>
      <c r="D145" s="3" t="n">
        <v>56</v>
      </c>
      <c r="E145" t="inlineStr">
        <is>
          <t>B1</t>
        </is>
      </c>
    </row>
    <row r="146">
      <c r="A146" s="5" t="n">
        <v>46307</v>
      </c>
      <c r="B146" t="inlineStr">
        <is>
          <t>DO-0145</t>
        </is>
      </c>
      <c r="C146" t="inlineStr">
        <is>
          <t>SN-006</t>
        </is>
      </c>
      <c r="D146" s="3" t="n">
        <v>13</v>
      </c>
      <c r="E146" t="inlineStr">
        <is>
          <t>B4</t>
        </is>
      </c>
    </row>
    <row r="147">
      <c r="A147" s="5" t="n">
        <v>46308</v>
      </c>
      <c r="B147" t="inlineStr">
        <is>
          <t>DO-0146</t>
        </is>
      </c>
      <c r="C147" t="inlineStr">
        <is>
          <t>BV-005</t>
        </is>
      </c>
      <c r="D147" s="3" t="n">
        <v>18</v>
      </c>
      <c r="E147" t="inlineStr">
        <is>
          <t>A2</t>
        </is>
      </c>
    </row>
    <row r="148">
      <c r="A148" s="5" t="n">
        <v>46308</v>
      </c>
      <c r="B148" t="inlineStr">
        <is>
          <t>DO-0147</t>
        </is>
      </c>
      <c r="C148" t="inlineStr">
        <is>
          <t>SN-001</t>
        </is>
      </c>
      <c r="D148" s="3" t="n">
        <v>16</v>
      </c>
      <c r="E148" t="inlineStr">
        <is>
          <t>A4</t>
        </is>
      </c>
    </row>
    <row r="149">
      <c r="A149" s="5" t="n">
        <v>46308</v>
      </c>
      <c r="B149" t="inlineStr">
        <is>
          <t>DO-0148</t>
        </is>
      </c>
      <c r="C149" t="inlineStr">
        <is>
          <t>ST-001</t>
        </is>
      </c>
      <c r="D149" s="3" t="n">
        <v>24</v>
      </c>
      <c r="E149" t="inlineStr">
        <is>
          <t>B1</t>
        </is>
      </c>
    </row>
    <row r="150">
      <c r="A150" s="5" t="n">
        <v>46308</v>
      </c>
      <c r="B150" t="inlineStr">
        <is>
          <t>DO-0149</t>
        </is>
      </c>
      <c r="C150" t="inlineStr">
        <is>
          <t>BV-003</t>
        </is>
      </c>
      <c r="D150" s="3" t="n">
        <v>49</v>
      </c>
      <c r="E150" t="inlineStr">
        <is>
          <t>B2</t>
        </is>
      </c>
    </row>
    <row r="151">
      <c r="A151" s="5" t="n">
        <v>46308</v>
      </c>
      <c r="B151" t="inlineStr">
        <is>
          <t>DO-0150</t>
        </is>
      </c>
      <c r="C151" t="inlineStr">
        <is>
          <t>PC-004</t>
        </is>
      </c>
      <c r="D151" s="3" t="n">
        <v>35</v>
      </c>
      <c r="E151" t="inlineStr">
        <is>
          <t>A1</t>
        </is>
      </c>
    </row>
    <row r="152">
      <c r="A152" s="5" t="n">
        <v>46308</v>
      </c>
      <c r="B152" t="inlineStr">
        <is>
          <t>DO-0151</t>
        </is>
      </c>
      <c r="C152" t="inlineStr">
        <is>
          <t>BV-001</t>
        </is>
      </c>
      <c r="D152" s="3" t="n">
        <v>31</v>
      </c>
      <c r="E152" t="inlineStr">
        <is>
          <t>B3</t>
        </is>
      </c>
    </row>
    <row r="153">
      <c r="A153" s="5" t="n">
        <v>46308</v>
      </c>
      <c r="B153" t="inlineStr">
        <is>
          <t>DO-0152</t>
        </is>
      </c>
      <c r="C153" t="inlineStr">
        <is>
          <t>BV-006</t>
        </is>
      </c>
      <c r="D153" s="3" t="n">
        <v>37</v>
      </c>
      <c r="E153" t="inlineStr">
        <is>
          <t>C2</t>
        </is>
      </c>
    </row>
    <row r="154">
      <c r="A154" s="5" t="n">
        <v>46308</v>
      </c>
      <c r="B154" t="inlineStr">
        <is>
          <t>DO-0153</t>
        </is>
      </c>
      <c r="C154" t="inlineStr">
        <is>
          <t>ST-005</t>
        </is>
      </c>
      <c r="D154" s="3" t="n">
        <v>53</v>
      </c>
      <c r="E154" t="inlineStr">
        <is>
          <t>A3</t>
        </is>
      </c>
    </row>
    <row r="155">
      <c r="A155" s="5" t="n">
        <v>46308</v>
      </c>
      <c r="B155" t="inlineStr">
        <is>
          <t>DO-0154</t>
        </is>
      </c>
      <c r="C155" t="inlineStr">
        <is>
          <t>BV-005</t>
        </is>
      </c>
      <c r="D155" s="3" t="n">
        <v>48</v>
      </c>
      <c r="E155" t="inlineStr">
        <is>
          <t>A2</t>
        </is>
      </c>
    </row>
    <row r="156">
      <c r="A156" s="5" t="n">
        <v>46308</v>
      </c>
      <c r="B156" t="inlineStr">
        <is>
          <t>DO-0155</t>
        </is>
      </c>
      <c r="C156" t="inlineStr">
        <is>
          <t>BV-003</t>
        </is>
      </c>
      <c r="D156" s="3" t="n">
        <v>26</v>
      </c>
      <c r="E156" t="inlineStr">
        <is>
          <t>B2</t>
        </is>
      </c>
    </row>
    <row r="157">
      <c r="A157" s="5" t="n">
        <v>46308</v>
      </c>
      <c r="B157" t="inlineStr">
        <is>
          <t>DO-0156</t>
        </is>
      </c>
      <c r="C157" t="inlineStr">
        <is>
          <t>ST-001</t>
        </is>
      </c>
      <c r="D157" s="3" t="n">
        <v>8</v>
      </c>
      <c r="E157" t="inlineStr">
        <is>
          <t>B1</t>
        </is>
      </c>
    </row>
    <row r="158">
      <c r="A158" s="5" t="n">
        <v>46308</v>
      </c>
      <c r="B158" t="inlineStr">
        <is>
          <t>DO-0157</t>
        </is>
      </c>
      <c r="C158" t="inlineStr">
        <is>
          <t>SN-001</t>
        </is>
      </c>
      <c r="D158" s="3" t="n">
        <v>53</v>
      </c>
      <c r="E158" t="inlineStr">
        <is>
          <t>A4</t>
        </is>
      </c>
    </row>
    <row r="159">
      <c r="A159" s="5" t="n">
        <v>46309</v>
      </c>
      <c r="B159" t="inlineStr">
        <is>
          <t>DO-0158</t>
        </is>
      </c>
      <c r="C159" t="inlineStr">
        <is>
          <t>SN-007</t>
        </is>
      </c>
      <c r="D159" s="3" t="n">
        <v>50</v>
      </c>
      <c r="E159" t="inlineStr">
        <is>
          <t>B2</t>
        </is>
      </c>
    </row>
    <row r="160">
      <c r="A160" s="5" t="n">
        <v>46309</v>
      </c>
      <c r="B160" t="inlineStr">
        <is>
          <t>DO-0159</t>
        </is>
      </c>
      <c r="C160" t="inlineStr">
        <is>
          <t>SN-008</t>
        </is>
      </c>
      <c r="D160" s="3" t="n">
        <v>27</v>
      </c>
      <c r="E160" t="inlineStr">
        <is>
          <t>A1</t>
        </is>
      </c>
    </row>
    <row r="161">
      <c r="A161" s="5" t="n">
        <v>46309</v>
      </c>
      <c r="B161" t="inlineStr">
        <is>
          <t>DO-0160</t>
        </is>
      </c>
      <c r="C161" t="inlineStr">
        <is>
          <t>ST-008</t>
        </is>
      </c>
      <c r="D161" s="3" t="n">
        <v>38</v>
      </c>
      <c r="E161" t="inlineStr">
        <is>
          <t>C3</t>
        </is>
      </c>
    </row>
    <row r="162">
      <c r="A162" s="5" t="n">
        <v>46309</v>
      </c>
      <c r="B162" t="inlineStr">
        <is>
          <t>DO-0161</t>
        </is>
      </c>
      <c r="C162" t="inlineStr">
        <is>
          <t>SN-005</t>
        </is>
      </c>
      <c r="D162" s="3" t="n">
        <v>57</v>
      </c>
      <c r="E162" t="inlineStr">
        <is>
          <t>C4</t>
        </is>
      </c>
    </row>
    <row r="163">
      <c r="A163" s="5" t="n">
        <v>46309</v>
      </c>
      <c r="B163" t="inlineStr">
        <is>
          <t>DO-0162</t>
        </is>
      </c>
      <c r="C163" t="inlineStr">
        <is>
          <t>ST-002</t>
        </is>
      </c>
      <c r="D163" s="3" t="n">
        <v>16</v>
      </c>
      <c r="E163" t="inlineStr">
        <is>
          <t>C2</t>
        </is>
      </c>
    </row>
    <row r="164">
      <c r="A164" s="5" t="n">
        <v>46309</v>
      </c>
      <c r="B164" t="inlineStr">
        <is>
          <t>DO-0163</t>
        </is>
      </c>
      <c r="C164" t="inlineStr">
        <is>
          <t>BV-003</t>
        </is>
      </c>
      <c r="D164" s="3" t="n">
        <v>5</v>
      </c>
      <c r="E164" t="inlineStr">
        <is>
          <t>B2</t>
        </is>
      </c>
    </row>
    <row r="165">
      <c r="A165" s="5" t="n">
        <v>46309</v>
      </c>
      <c r="B165" t="inlineStr">
        <is>
          <t>DO-0164</t>
        </is>
      </c>
      <c r="C165" t="inlineStr">
        <is>
          <t>SN-005</t>
        </is>
      </c>
      <c r="D165" s="3" t="n">
        <v>30</v>
      </c>
      <c r="E165" t="inlineStr">
        <is>
          <t>C4</t>
        </is>
      </c>
    </row>
    <row r="166">
      <c r="A166" s="5" t="n">
        <v>46309</v>
      </c>
      <c r="B166" t="inlineStr">
        <is>
          <t>DO-0165</t>
        </is>
      </c>
      <c r="C166" t="inlineStr">
        <is>
          <t>SN-002</t>
        </is>
      </c>
      <c r="D166" s="3" t="n">
        <v>36</v>
      </c>
      <c r="E166" t="inlineStr">
        <is>
          <t>C4</t>
        </is>
      </c>
    </row>
    <row r="167">
      <c r="A167" s="5" t="n">
        <v>46309</v>
      </c>
      <c r="B167" t="inlineStr">
        <is>
          <t>DO-0166</t>
        </is>
      </c>
      <c r="C167" t="inlineStr">
        <is>
          <t>PC-003</t>
        </is>
      </c>
      <c r="D167" s="3" t="n">
        <v>39</v>
      </c>
      <c r="E167" t="inlineStr">
        <is>
          <t>A1</t>
        </is>
      </c>
    </row>
    <row r="168">
      <c r="A168" s="5" t="n">
        <v>46309</v>
      </c>
      <c r="B168" t="inlineStr">
        <is>
          <t>DO-0167</t>
        </is>
      </c>
      <c r="C168" t="inlineStr">
        <is>
          <t>ST-008</t>
        </is>
      </c>
      <c r="D168" s="3" t="n">
        <v>59</v>
      </c>
      <c r="E168" t="inlineStr">
        <is>
          <t>C3</t>
        </is>
      </c>
    </row>
    <row r="169">
      <c r="A169" s="5" t="n">
        <v>46309</v>
      </c>
      <c r="B169" t="inlineStr">
        <is>
          <t>DO-0168</t>
        </is>
      </c>
      <c r="C169" t="inlineStr">
        <is>
          <t>ST-001</t>
        </is>
      </c>
      <c r="D169" s="3" t="n">
        <v>40</v>
      </c>
      <c r="E169" t="inlineStr">
        <is>
          <t>B1</t>
        </is>
      </c>
    </row>
    <row r="170">
      <c r="A170" s="5" t="n">
        <v>46309</v>
      </c>
      <c r="B170" t="inlineStr">
        <is>
          <t>DO-0169</t>
        </is>
      </c>
      <c r="C170" t="inlineStr">
        <is>
          <t>ST-007</t>
        </is>
      </c>
      <c r="D170" s="3" t="n">
        <v>39</v>
      </c>
      <c r="E170" t="inlineStr">
        <is>
          <t>A3</t>
        </is>
      </c>
    </row>
    <row r="171">
      <c r="A171" s="5" t="n">
        <v>46309</v>
      </c>
      <c r="B171" t="inlineStr">
        <is>
          <t>DO-0170</t>
        </is>
      </c>
      <c r="C171" t="inlineStr">
        <is>
          <t>SN-005</t>
        </is>
      </c>
      <c r="D171" s="3" t="n">
        <v>25</v>
      </c>
      <c r="E171" t="inlineStr">
        <is>
          <t>C4</t>
        </is>
      </c>
    </row>
    <row r="172">
      <c r="A172" s="5" t="n">
        <v>46309</v>
      </c>
      <c r="B172" t="inlineStr">
        <is>
          <t>DO-0171</t>
        </is>
      </c>
      <c r="C172" t="inlineStr">
        <is>
          <t>SN-006</t>
        </is>
      </c>
      <c r="D172" s="3" t="n">
        <v>19</v>
      </c>
      <c r="E172" t="inlineStr">
        <is>
          <t>B4</t>
        </is>
      </c>
    </row>
    <row r="173">
      <c r="A173" s="5" t="n">
        <v>46309</v>
      </c>
      <c r="B173" t="inlineStr">
        <is>
          <t>DO-0172</t>
        </is>
      </c>
      <c r="C173" t="inlineStr">
        <is>
          <t>SN-004</t>
        </is>
      </c>
      <c r="D173" s="3" t="n">
        <v>56</v>
      </c>
      <c r="E173" t="inlineStr">
        <is>
          <t>B2</t>
        </is>
      </c>
    </row>
    <row r="174">
      <c r="A174" s="5" t="n">
        <v>46310</v>
      </c>
      <c r="B174" t="inlineStr">
        <is>
          <t>DO-0173</t>
        </is>
      </c>
      <c r="C174" t="inlineStr">
        <is>
          <t>PC-001</t>
        </is>
      </c>
      <c r="D174" s="3" t="n">
        <v>49</v>
      </c>
      <c r="E174" t="inlineStr">
        <is>
          <t>B3</t>
        </is>
      </c>
    </row>
    <row r="175">
      <c r="A175" s="5" t="n">
        <v>46310</v>
      </c>
      <c r="B175" t="inlineStr">
        <is>
          <t>DO-0174</t>
        </is>
      </c>
      <c r="C175" t="inlineStr">
        <is>
          <t>SN-008</t>
        </is>
      </c>
      <c r="D175" s="3" t="n">
        <v>49</v>
      </c>
      <c r="E175" t="inlineStr">
        <is>
          <t>A1</t>
        </is>
      </c>
    </row>
    <row r="176">
      <c r="A176" s="5" t="n">
        <v>46310</v>
      </c>
      <c r="B176" t="inlineStr">
        <is>
          <t>DO-0175</t>
        </is>
      </c>
      <c r="C176" t="inlineStr">
        <is>
          <t>BV-003</t>
        </is>
      </c>
      <c r="D176" s="3" t="n">
        <v>20</v>
      </c>
      <c r="E176" t="inlineStr">
        <is>
          <t>B2</t>
        </is>
      </c>
    </row>
    <row r="177">
      <c r="A177" s="5" t="n">
        <v>46310</v>
      </c>
      <c r="B177" t="inlineStr">
        <is>
          <t>DO-0176</t>
        </is>
      </c>
      <c r="C177" t="inlineStr">
        <is>
          <t>SN-005</t>
        </is>
      </c>
      <c r="D177" s="3" t="n">
        <v>53</v>
      </c>
      <c r="E177" t="inlineStr">
        <is>
          <t>C4</t>
        </is>
      </c>
    </row>
    <row r="178">
      <c r="A178" s="5" t="n">
        <v>46310</v>
      </c>
      <c r="B178" t="inlineStr">
        <is>
          <t>DO-0177</t>
        </is>
      </c>
      <c r="C178" t="inlineStr">
        <is>
          <t>ST-004</t>
        </is>
      </c>
      <c r="D178" s="3" t="n">
        <v>45</v>
      </c>
      <c r="E178" t="inlineStr">
        <is>
          <t>C4</t>
        </is>
      </c>
    </row>
    <row r="179">
      <c r="A179" s="5" t="n">
        <v>46310</v>
      </c>
      <c r="B179" t="inlineStr">
        <is>
          <t>DO-0178</t>
        </is>
      </c>
      <c r="C179" t="inlineStr">
        <is>
          <t>SN-004</t>
        </is>
      </c>
      <c r="D179" s="3" t="n">
        <v>17</v>
      </c>
      <c r="E179" t="inlineStr">
        <is>
          <t>B2</t>
        </is>
      </c>
    </row>
    <row r="180">
      <c r="A180" s="5" t="n">
        <v>46310</v>
      </c>
      <c r="B180" t="inlineStr">
        <is>
          <t>DO-0179</t>
        </is>
      </c>
      <c r="C180" t="inlineStr">
        <is>
          <t>BV-008</t>
        </is>
      </c>
      <c r="D180" s="3" t="n">
        <v>18</v>
      </c>
      <c r="E180" t="inlineStr">
        <is>
          <t>C1</t>
        </is>
      </c>
    </row>
    <row r="181">
      <c r="A181" s="5" t="n">
        <v>46310</v>
      </c>
      <c r="B181" t="inlineStr">
        <is>
          <t>DO-0180</t>
        </is>
      </c>
      <c r="C181" t="inlineStr">
        <is>
          <t>SN-008</t>
        </is>
      </c>
      <c r="D181" s="3" t="n">
        <v>38</v>
      </c>
      <c r="E181" t="inlineStr">
        <is>
          <t>A1</t>
        </is>
      </c>
    </row>
    <row r="182">
      <c r="A182" s="5" t="n">
        <v>46310</v>
      </c>
      <c r="B182" t="inlineStr">
        <is>
          <t>DO-0181</t>
        </is>
      </c>
      <c r="C182" t="inlineStr">
        <is>
          <t>SN-003</t>
        </is>
      </c>
      <c r="D182" s="3" t="n">
        <v>50</v>
      </c>
      <c r="E182" t="inlineStr">
        <is>
          <t>B4</t>
        </is>
      </c>
    </row>
    <row r="183">
      <c r="A183" s="5" t="n">
        <v>46310</v>
      </c>
      <c r="B183" t="inlineStr">
        <is>
          <t>DO-0182</t>
        </is>
      </c>
      <c r="C183" t="inlineStr">
        <is>
          <t>ST-001</t>
        </is>
      </c>
      <c r="D183" s="3" t="n">
        <v>19</v>
      </c>
      <c r="E183" t="inlineStr">
        <is>
          <t>B1</t>
        </is>
      </c>
    </row>
    <row r="184">
      <c r="A184" s="5" t="n">
        <v>46310</v>
      </c>
      <c r="B184" t="inlineStr">
        <is>
          <t>DO-0183</t>
        </is>
      </c>
      <c r="C184" t="inlineStr">
        <is>
          <t>PC-003</t>
        </is>
      </c>
      <c r="D184" s="3" t="n">
        <v>21</v>
      </c>
      <c r="E184" t="inlineStr">
        <is>
          <t>A1</t>
        </is>
      </c>
    </row>
    <row r="185">
      <c r="A185" s="5" t="n">
        <v>46310</v>
      </c>
      <c r="B185" t="inlineStr">
        <is>
          <t>DO-0184</t>
        </is>
      </c>
      <c r="C185" t="inlineStr">
        <is>
          <t>ST-007</t>
        </is>
      </c>
      <c r="D185" s="3" t="n">
        <v>35</v>
      </c>
      <c r="E185" t="inlineStr">
        <is>
          <t>A3</t>
        </is>
      </c>
    </row>
    <row r="186">
      <c r="A186" s="5" t="n">
        <v>46311</v>
      </c>
      <c r="B186" t="inlineStr">
        <is>
          <t>DO-0185</t>
        </is>
      </c>
      <c r="C186" t="inlineStr">
        <is>
          <t>HH-005</t>
        </is>
      </c>
      <c r="D186" s="3" t="n">
        <v>24</v>
      </c>
      <c r="E186" t="inlineStr">
        <is>
          <t>C3</t>
        </is>
      </c>
    </row>
    <row r="187">
      <c r="A187" s="5" t="n">
        <v>46311</v>
      </c>
      <c r="B187" t="inlineStr">
        <is>
          <t>DO-0186</t>
        </is>
      </c>
      <c r="C187" t="inlineStr">
        <is>
          <t>ST-002</t>
        </is>
      </c>
      <c r="D187" s="3" t="n">
        <v>20</v>
      </c>
      <c r="E187" t="inlineStr">
        <is>
          <t>C2</t>
        </is>
      </c>
    </row>
    <row r="188">
      <c r="A188" s="5" t="n">
        <v>46311</v>
      </c>
      <c r="B188" t="inlineStr">
        <is>
          <t>DO-0187</t>
        </is>
      </c>
      <c r="C188" t="inlineStr">
        <is>
          <t>SN-002</t>
        </is>
      </c>
      <c r="D188" s="3" t="n">
        <v>26</v>
      </c>
      <c r="E188" t="inlineStr">
        <is>
          <t>C4</t>
        </is>
      </c>
    </row>
    <row r="189">
      <c r="A189" s="5" t="n">
        <v>46311</v>
      </c>
      <c r="B189" t="inlineStr">
        <is>
          <t>DO-0188</t>
        </is>
      </c>
      <c r="C189" t="inlineStr">
        <is>
          <t>BV-007</t>
        </is>
      </c>
      <c r="D189" s="3" t="n">
        <v>37</v>
      </c>
      <c r="E189" t="inlineStr">
        <is>
          <t>C2</t>
        </is>
      </c>
    </row>
    <row r="190">
      <c r="A190" s="5" t="n">
        <v>46311</v>
      </c>
      <c r="B190" t="inlineStr">
        <is>
          <t>DO-0189</t>
        </is>
      </c>
      <c r="C190" t="inlineStr">
        <is>
          <t>HH-002</t>
        </is>
      </c>
      <c r="D190" s="3" t="n">
        <v>25</v>
      </c>
      <c r="E190" t="inlineStr">
        <is>
          <t>A2</t>
        </is>
      </c>
    </row>
    <row r="191">
      <c r="A191" s="5" t="n">
        <v>46311</v>
      </c>
      <c r="B191" t="inlineStr">
        <is>
          <t>DO-0190</t>
        </is>
      </c>
      <c r="C191" t="inlineStr">
        <is>
          <t>SN-005</t>
        </is>
      </c>
      <c r="D191" s="3" t="n">
        <v>53</v>
      </c>
      <c r="E191" t="inlineStr">
        <is>
          <t>C4</t>
        </is>
      </c>
    </row>
    <row r="192">
      <c r="A192" s="5" t="n">
        <v>46311</v>
      </c>
      <c r="B192" t="inlineStr">
        <is>
          <t>DO-0191</t>
        </is>
      </c>
      <c r="C192" t="inlineStr">
        <is>
          <t>BV-001</t>
        </is>
      </c>
      <c r="D192" s="3" t="n">
        <v>52</v>
      </c>
      <c r="E192" t="inlineStr">
        <is>
          <t>B3</t>
        </is>
      </c>
    </row>
    <row r="193">
      <c r="A193" s="5" t="n">
        <v>46311</v>
      </c>
      <c r="B193" t="inlineStr">
        <is>
          <t>DO-0192</t>
        </is>
      </c>
      <c r="C193" t="inlineStr">
        <is>
          <t>SN-005</t>
        </is>
      </c>
      <c r="D193" s="3" t="n">
        <v>39</v>
      </c>
      <c r="E193" t="inlineStr">
        <is>
          <t>C4</t>
        </is>
      </c>
    </row>
    <row r="194">
      <c r="A194" s="5" t="n">
        <v>46311</v>
      </c>
      <c r="B194" t="inlineStr">
        <is>
          <t>DO-0193</t>
        </is>
      </c>
      <c r="C194" t="inlineStr">
        <is>
          <t>ST-006</t>
        </is>
      </c>
      <c r="D194" s="3" t="n">
        <v>19</v>
      </c>
      <c r="E194" t="inlineStr">
        <is>
          <t>A4</t>
        </is>
      </c>
    </row>
    <row r="195">
      <c r="A195" s="5" t="n">
        <v>46311</v>
      </c>
      <c r="B195" t="inlineStr">
        <is>
          <t>DO-0194</t>
        </is>
      </c>
      <c r="C195" t="inlineStr">
        <is>
          <t>BV-006</t>
        </is>
      </c>
      <c r="D195" s="3" t="n">
        <v>40</v>
      </c>
      <c r="E195" t="inlineStr">
        <is>
          <t>C2</t>
        </is>
      </c>
    </row>
    <row r="196">
      <c r="A196" s="5" t="n">
        <v>46311</v>
      </c>
      <c r="B196" t="inlineStr">
        <is>
          <t>DO-0195</t>
        </is>
      </c>
      <c r="C196" t="inlineStr">
        <is>
          <t>HH-003</t>
        </is>
      </c>
      <c r="D196" s="3" t="n">
        <v>16</v>
      </c>
      <c r="E196" t="inlineStr">
        <is>
          <t>B4</t>
        </is>
      </c>
    </row>
    <row r="197">
      <c r="A197" s="5" t="n">
        <v>46311</v>
      </c>
      <c r="B197" t="inlineStr">
        <is>
          <t>DO-0196</t>
        </is>
      </c>
      <c r="C197" t="inlineStr">
        <is>
          <t>PC-003</t>
        </is>
      </c>
      <c r="D197" s="3" t="n">
        <v>20</v>
      </c>
      <c r="E197" t="inlineStr">
        <is>
          <t>A1</t>
        </is>
      </c>
    </row>
    <row r="198">
      <c r="A198" s="5" t="n">
        <v>46311</v>
      </c>
      <c r="B198" t="inlineStr">
        <is>
          <t>DO-0197</t>
        </is>
      </c>
      <c r="C198" t="inlineStr">
        <is>
          <t>SN-005</t>
        </is>
      </c>
      <c r="D198" s="3" t="n">
        <v>7</v>
      </c>
      <c r="E198" t="inlineStr">
        <is>
          <t>C4</t>
        </is>
      </c>
    </row>
    <row r="199">
      <c r="A199" s="5" t="n">
        <v>46312</v>
      </c>
      <c r="B199" t="inlineStr">
        <is>
          <t>DO-0198</t>
        </is>
      </c>
      <c r="C199" t="inlineStr">
        <is>
          <t>SN-005</t>
        </is>
      </c>
      <c r="D199" s="3" t="n">
        <v>29</v>
      </c>
      <c r="E199" t="inlineStr">
        <is>
          <t>C4</t>
        </is>
      </c>
    </row>
    <row r="200">
      <c r="A200" s="5" t="n">
        <v>46312</v>
      </c>
      <c r="B200" t="inlineStr">
        <is>
          <t>DO-0199</t>
        </is>
      </c>
      <c r="C200" t="inlineStr">
        <is>
          <t>PC-006</t>
        </is>
      </c>
      <c r="D200" s="3" t="n">
        <v>34</v>
      </c>
      <c r="E200" t="inlineStr">
        <is>
          <t>A3</t>
        </is>
      </c>
    </row>
    <row r="201">
      <c r="A201" s="5" t="n">
        <v>46312</v>
      </c>
      <c r="B201" t="inlineStr">
        <is>
          <t>DO-0200</t>
        </is>
      </c>
      <c r="C201" t="inlineStr">
        <is>
          <t>SN-001</t>
        </is>
      </c>
      <c r="D201" s="3" t="n">
        <v>31</v>
      </c>
      <c r="E201" t="inlineStr">
        <is>
          <t>A4</t>
        </is>
      </c>
    </row>
    <row r="202">
      <c r="A202" s="5" t="n">
        <v>46312</v>
      </c>
      <c r="B202" t="inlineStr">
        <is>
          <t>DO-0201</t>
        </is>
      </c>
      <c r="C202" t="inlineStr">
        <is>
          <t>BV-003</t>
        </is>
      </c>
      <c r="D202" s="3" t="n">
        <v>9</v>
      </c>
      <c r="E202" t="inlineStr">
        <is>
          <t>B2</t>
        </is>
      </c>
    </row>
    <row r="203">
      <c r="A203" s="5" t="n">
        <v>46312</v>
      </c>
      <c r="B203" t="inlineStr">
        <is>
          <t>DO-0202</t>
        </is>
      </c>
      <c r="C203" t="inlineStr">
        <is>
          <t>ST-002</t>
        </is>
      </c>
      <c r="D203" s="3" t="n">
        <v>46</v>
      </c>
      <c r="E203" t="inlineStr">
        <is>
          <t>C2</t>
        </is>
      </c>
    </row>
    <row r="204">
      <c r="A204" s="5" t="n">
        <v>46312</v>
      </c>
      <c r="B204" t="inlineStr">
        <is>
          <t>DO-0203</t>
        </is>
      </c>
      <c r="C204" t="inlineStr">
        <is>
          <t>BV-008</t>
        </is>
      </c>
      <c r="D204" s="3" t="n">
        <v>12</v>
      </c>
      <c r="E204" t="inlineStr">
        <is>
          <t>C1</t>
        </is>
      </c>
    </row>
    <row r="205">
      <c r="A205" s="5" t="n">
        <v>46312</v>
      </c>
      <c r="B205" t="inlineStr">
        <is>
          <t>DO-0204</t>
        </is>
      </c>
      <c r="C205" t="inlineStr">
        <is>
          <t>PC-004</t>
        </is>
      </c>
      <c r="D205" s="3" t="n">
        <v>34</v>
      </c>
      <c r="E205" t="inlineStr">
        <is>
          <t>A1</t>
        </is>
      </c>
    </row>
    <row r="206">
      <c r="A206" s="5" t="n">
        <v>46312</v>
      </c>
      <c r="B206" t="inlineStr">
        <is>
          <t>DO-0205</t>
        </is>
      </c>
      <c r="C206" t="inlineStr">
        <is>
          <t>ST-005</t>
        </is>
      </c>
      <c r="D206" s="3" t="n">
        <v>7</v>
      </c>
      <c r="E206" t="inlineStr">
        <is>
          <t>A3</t>
        </is>
      </c>
    </row>
    <row r="207">
      <c r="A207" s="5" t="n">
        <v>46312</v>
      </c>
      <c r="B207" t="inlineStr">
        <is>
          <t>DO-0206</t>
        </is>
      </c>
      <c r="C207" t="inlineStr">
        <is>
          <t>BV-003</t>
        </is>
      </c>
      <c r="D207" s="3" t="n">
        <v>26</v>
      </c>
      <c r="E207" t="inlineStr">
        <is>
          <t>B2</t>
        </is>
      </c>
    </row>
    <row r="208">
      <c r="A208" s="5" t="n">
        <v>46312</v>
      </c>
      <c r="B208" t="inlineStr">
        <is>
          <t>DO-0207</t>
        </is>
      </c>
      <c r="C208" t="inlineStr">
        <is>
          <t>SN-008</t>
        </is>
      </c>
      <c r="D208" s="3" t="n">
        <v>50</v>
      </c>
      <c r="E208" t="inlineStr">
        <is>
          <t>A1</t>
        </is>
      </c>
    </row>
    <row r="209">
      <c r="A209" s="5" t="n">
        <v>46312</v>
      </c>
      <c r="B209" t="inlineStr">
        <is>
          <t>DO-0208</t>
        </is>
      </c>
      <c r="C209" t="inlineStr">
        <is>
          <t>BV-003</t>
        </is>
      </c>
      <c r="D209" s="3" t="n">
        <v>60</v>
      </c>
      <c r="E209" t="inlineStr">
        <is>
          <t>B2</t>
        </is>
      </c>
    </row>
    <row r="210">
      <c r="A210" s="5" t="n">
        <v>46312</v>
      </c>
      <c r="B210" t="inlineStr">
        <is>
          <t>DO-0209</t>
        </is>
      </c>
      <c r="C210" t="inlineStr">
        <is>
          <t>ST-002</t>
        </is>
      </c>
      <c r="D210" s="3" t="n">
        <v>59</v>
      </c>
      <c r="E210" t="inlineStr">
        <is>
          <t>C2</t>
        </is>
      </c>
    </row>
    <row r="211">
      <c r="A211" s="5" t="n">
        <v>46312</v>
      </c>
      <c r="B211" t="inlineStr">
        <is>
          <t>DO-0210</t>
        </is>
      </c>
      <c r="C211" t="inlineStr">
        <is>
          <t>HH-001</t>
        </is>
      </c>
      <c r="D211" s="3" t="n">
        <v>34</v>
      </c>
      <c r="E211" t="inlineStr">
        <is>
          <t>C1</t>
        </is>
      </c>
    </row>
    <row r="212">
      <c r="A212" s="5" t="n">
        <v>46313</v>
      </c>
      <c r="B212" t="inlineStr">
        <is>
          <t>DO-0211</t>
        </is>
      </c>
      <c r="C212" t="inlineStr">
        <is>
          <t>ST-005</t>
        </is>
      </c>
      <c r="D212" s="3" t="n">
        <v>36</v>
      </c>
      <c r="E212" t="inlineStr">
        <is>
          <t>A3</t>
        </is>
      </c>
    </row>
    <row r="213">
      <c r="A213" s="5" t="n">
        <v>46313</v>
      </c>
      <c r="B213" t="inlineStr">
        <is>
          <t>DO-0212</t>
        </is>
      </c>
      <c r="C213" t="inlineStr">
        <is>
          <t>PC-003</t>
        </is>
      </c>
      <c r="D213" s="3" t="n">
        <v>22</v>
      </c>
      <c r="E213" t="inlineStr">
        <is>
          <t>A1</t>
        </is>
      </c>
    </row>
    <row r="214">
      <c r="A214" s="5" t="n">
        <v>46313</v>
      </c>
      <c r="B214" t="inlineStr">
        <is>
          <t>DO-0213</t>
        </is>
      </c>
      <c r="C214" t="inlineStr">
        <is>
          <t>ST-005</t>
        </is>
      </c>
      <c r="D214" s="3" t="n">
        <v>26</v>
      </c>
      <c r="E214" t="inlineStr">
        <is>
          <t>A3</t>
        </is>
      </c>
    </row>
    <row r="215">
      <c r="A215" s="5" t="n">
        <v>46313</v>
      </c>
      <c r="B215" t="inlineStr">
        <is>
          <t>DO-0214</t>
        </is>
      </c>
      <c r="C215" t="inlineStr">
        <is>
          <t>PC-002</t>
        </is>
      </c>
      <c r="D215" s="3" t="n">
        <v>9</v>
      </c>
      <c r="E215" t="inlineStr">
        <is>
          <t>B1</t>
        </is>
      </c>
    </row>
    <row r="216">
      <c r="A216" s="5" t="n">
        <v>46313</v>
      </c>
      <c r="B216" t="inlineStr">
        <is>
          <t>DO-0215</t>
        </is>
      </c>
      <c r="C216" t="inlineStr">
        <is>
          <t>HH-003</t>
        </is>
      </c>
      <c r="D216" s="3" t="n">
        <v>39</v>
      </c>
      <c r="E216" t="inlineStr">
        <is>
          <t>B4</t>
        </is>
      </c>
    </row>
    <row r="217">
      <c r="A217" s="5" t="n">
        <v>46313</v>
      </c>
      <c r="B217" t="inlineStr">
        <is>
          <t>DO-0216</t>
        </is>
      </c>
      <c r="C217" t="inlineStr">
        <is>
          <t>SN-003</t>
        </is>
      </c>
      <c r="D217" s="3" t="n">
        <v>10</v>
      </c>
      <c r="E217" t="inlineStr">
        <is>
          <t>B4</t>
        </is>
      </c>
    </row>
    <row r="218">
      <c r="A218" s="5" t="n">
        <v>46313</v>
      </c>
      <c r="B218" t="inlineStr">
        <is>
          <t>DO-0217</t>
        </is>
      </c>
      <c r="C218" t="inlineStr">
        <is>
          <t>PC-006</t>
        </is>
      </c>
      <c r="D218" s="3" t="n">
        <v>33</v>
      </c>
      <c r="E218" t="inlineStr">
        <is>
          <t>A3</t>
        </is>
      </c>
    </row>
    <row r="219">
      <c r="A219" s="5" t="n">
        <v>46313</v>
      </c>
      <c r="B219" t="inlineStr">
        <is>
          <t>DO-0218</t>
        </is>
      </c>
      <c r="C219" t="inlineStr">
        <is>
          <t>PC-004</t>
        </is>
      </c>
      <c r="D219" s="3" t="n">
        <v>35</v>
      </c>
      <c r="E219" t="inlineStr">
        <is>
          <t>A1</t>
        </is>
      </c>
    </row>
    <row r="220">
      <c r="A220" s="5" t="n">
        <v>46313</v>
      </c>
      <c r="B220" t="inlineStr">
        <is>
          <t>DO-0219</t>
        </is>
      </c>
      <c r="C220" t="inlineStr">
        <is>
          <t>ST-001</t>
        </is>
      </c>
      <c r="D220" s="3" t="n">
        <v>56</v>
      </c>
      <c r="E220" t="inlineStr">
        <is>
          <t>B1</t>
        </is>
      </c>
    </row>
    <row r="221">
      <c r="A221" s="5" t="n">
        <v>46313</v>
      </c>
      <c r="B221" t="inlineStr">
        <is>
          <t>DO-0220</t>
        </is>
      </c>
      <c r="C221" t="inlineStr">
        <is>
          <t>BV-002</t>
        </is>
      </c>
      <c r="D221" s="3" t="n">
        <v>33</v>
      </c>
      <c r="E221" t="inlineStr">
        <is>
          <t>C3</t>
        </is>
      </c>
    </row>
    <row r="222">
      <c r="A222" s="5" t="n">
        <v>46313</v>
      </c>
      <c r="B222" t="inlineStr">
        <is>
          <t>DO-0221</t>
        </is>
      </c>
      <c r="C222" t="inlineStr">
        <is>
          <t>ST-001</t>
        </is>
      </c>
      <c r="D222" s="3" t="n">
        <v>21</v>
      </c>
      <c r="E222" t="inlineStr">
        <is>
          <t>B1</t>
        </is>
      </c>
    </row>
    <row r="223">
      <c r="A223" s="5" t="n">
        <v>46313</v>
      </c>
      <c r="B223" t="inlineStr">
        <is>
          <t>DO-0222</t>
        </is>
      </c>
      <c r="C223" t="inlineStr">
        <is>
          <t>PC-006</t>
        </is>
      </c>
      <c r="D223" s="3" t="n">
        <v>47</v>
      </c>
      <c r="E223" t="inlineStr">
        <is>
          <t>A3</t>
        </is>
      </c>
    </row>
    <row r="224">
      <c r="A224" s="5" t="n">
        <v>46313</v>
      </c>
      <c r="B224" t="inlineStr">
        <is>
          <t>DO-0223</t>
        </is>
      </c>
      <c r="C224" t="inlineStr">
        <is>
          <t>SN-005</t>
        </is>
      </c>
      <c r="D224" s="3" t="n">
        <v>461</v>
      </c>
      <c r="E224" t="inlineStr">
        <is>
          <t>C4</t>
        </is>
      </c>
    </row>
  </sheetData>
  <autoFilter ref="A1:E2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9" customWidth="1" min="4" max="4"/>
    <col width="26" customWidth="1" min="5" max="5"/>
  </cols>
  <sheetData>
    <row r="1">
      <c r="A1" s="2" t="inlineStr">
        <is>
          <t>date</t>
        </is>
      </c>
      <c r="B1" s="2" t="inlineStr">
        <is>
          <t>adj_id</t>
        </is>
      </c>
      <c r="C1" s="2" t="inlineStr">
        <is>
          <t>sku</t>
        </is>
      </c>
      <c r="D1" s="2" t="inlineStr">
        <is>
          <t>qty</t>
        </is>
      </c>
      <c r="E1" s="2" t="inlineStr">
        <is>
          <t>reason</t>
        </is>
      </c>
    </row>
    <row r="2">
      <c r="A2" s="5" t="n">
        <v>46296</v>
      </c>
      <c r="B2" t="inlineStr">
        <is>
          <t>ADJ-0001</t>
        </is>
      </c>
      <c r="C2" t="inlineStr">
        <is>
          <t>HH-004</t>
        </is>
      </c>
      <c r="D2" s="3" t="n">
        <v>-4</v>
      </c>
      <c r="E2" t="inlineStr">
        <is>
          <t>Pilferage</t>
        </is>
      </c>
    </row>
    <row r="3">
      <c r="A3" s="5" t="n">
        <v>46296</v>
      </c>
      <c r="B3" t="inlineStr">
        <is>
          <t>ADJ-0002</t>
        </is>
      </c>
      <c r="C3" t="inlineStr">
        <is>
          <t>HH-002</t>
        </is>
      </c>
      <c r="D3" s="3" t="n">
        <v>-11</v>
      </c>
      <c r="E3" t="inlineStr">
        <is>
          <t>Pilferage</t>
        </is>
      </c>
    </row>
    <row r="4">
      <c r="A4" s="5" t="n">
        <v>46299</v>
      </c>
      <c r="B4" t="inlineStr">
        <is>
          <t>ADJ-0003</t>
        </is>
      </c>
      <c r="C4" t="inlineStr">
        <is>
          <t>PC-004</t>
        </is>
      </c>
      <c r="D4" s="3" t="n">
        <v>-12</v>
      </c>
      <c r="E4" t="inlineStr">
        <is>
          <t>Cycle-count correction</t>
        </is>
      </c>
    </row>
    <row r="5">
      <c r="A5" s="5" t="n">
        <v>46300</v>
      </c>
      <c r="B5" t="inlineStr">
        <is>
          <t>ADJ-0004</t>
        </is>
      </c>
      <c r="C5" t="inlineStr">
        <is>
          <t>BV-001</t>
        </is>
      </c>
      <c r="D5" s="3" t="n">
        <v>-14</v>
      </c>
      <c r="E5" t="inlineStr">
        <is>
          <t>Damaged in handling</t>
        </is>
      </c>
    </row>
    <row r="6">
      <c r="A6" s="5" t="n">
        <v>46303</v>
      </c>
      <c r="B6" t="inlineStr">
        <is>
          <t>ADJ-0005</t>
        </is>
      </c>
      <c r="C6" t="inlineStr">
        <is>
          <t>BV-002</t>
        </is>
      </c>
      <c r="D6" s="3" t="n">
        <v>-16</v>
      </c>
      <c r="E6" t="inlineStr">
        <is>
          <t>Pilferage</t>
        </is>
      </c>
    </row>
    <row r="7">
      <c r="A7" s="5" t="n">
        <v>46304</v>
      </c>
      <c r="B7" t="inlineStr">
        <is>
          <t>ADJ-0006</t>
        </is>
      </c>
      <c r="C7" t="inlineStr">
        <is>
          <t>BV-006</t>
        </is>
      </c>
      <c r="D7" s="3" t="n">
        <v>-4</v>
      </c>
      <c r="E7" t="inlineStr">
        <is>
          <t>Pilferage</t>
        </is>
      </c>
    </row>
    <row r="8">
      <c r="A8" s="5" t="n">
        <v>46304</v>
      </c>
      <c r="B8" t="inlineStr">
        <is>
          <t>ADJ-0007</t>
        </is>
      </c>
      <c r="C8" t="inlineStr">
        <is>
          <t>SN-008</t>
        </is>
      </c>
      <c r="D8" s="3" t="n">
        <v>-25</v>
      </c>
      <c r="E8" t="inlineStr">
        <is>
          <t>Damaged in handling</t>
        </is>
      </c>
    </row>
    <row r="9">
      <c r="A9" s="5" t="n">
        <v>46305</v>
      </c>
      <c r="B9" t="inlineStr">
        <is>
          <t>ADJ-0008</t>
        </is>
      </c>
      <c r="C9" t="inlineStr">
        <is>
          <t>PC-002</t>
        </is>
      </c>
      <c r="D9" s="3" t="n">
        <v>-18</v>
      </c>
      <c r="E9" t="inlineStr">
        <is>
          <t>Damaged in handling</t>
        </is>
      </c>
    </row>
    <row r="10">
      <c r="A10" s="5" t="n">
        <v>46305</v>
      </c>
      <c r="B10" t="inlineStr">
        <is>
          <t>ADJ-0009</t>
        </is>
      </c>
      <c r="C10" t="inlineStr">
        <is>
          <t>HH-001</t>
        </is>
      </c>
      <c r="D10" s="3" t="n">
        <v>-25</v>
      </c>
      <c r="E10" t="inlineStr">
        <is>
          <t>Pilferage</t>
        </is>
      </c>
    </row>
    <row r="11">
      <c r="A11" s="5" t="n">
        <v>46307</v>
      </c>
      <c r="B11" t="inlineStr">
        <is>
          <t>ADJ-0010</t>
        </is>
      </c>
      <c r="C11" t="inlineStr">
        <is>
          <t>BV-001</t>
        </is>
      </c>
      <c r="D11" s="3" t="n">
        <v>-16</v>
      </c>
      <c r="E11" t="inlineStr">
        <is>
          <t>Expired / quality hold</t>
        </is>
      </c>
    </row>
    <row r="12">
      <c r="A12" s="5" t="n">
        <v>46307</v>
      </c>
      <c r="B12" t="inlineStr">
        <is>
          <t>ADJ-0011</t>
        </is>
      </c>
      <c r="C12" t="inlineStr">
        <is>
          <t>PC-005</t>
        </is>
      </c>
      <c r="D12" s="3" t="n">
        <v>-8</v>
      </c>
      <c r="E12" t="inlineStr">
        <is>
          <t>Cycle-count correction</t>
        </is>
      </c>
    </row>
    <row r="13">
      <c r="A13" s="5" t="n">
        <v>46308</v>
      </c>
      <c r="B13" t="inlineStr">
        <is>
          <t>ADJ-0012</t>
        </is>
      </c>
      <c r="C13" t="inlineStr">
        <is>
          <t>ST-008</t>
        </is>
      </c>
      <c r="D13" s="3" t="n">
        <v>-4</v>
      </c>
      <c r="E13" t="inlineStr">
        <is>
          <t>Expired / quality hold</t>
        </is>
      </c>
    </row>
    <row r="14">
      <c r="A14" s="5" t="n">
        <v>46308</v>
      </c>
      <c r="B14" t="inlineStr">
        <is>
          <t>ADJ-0013</t>
        </is>
      </c>
      <c r="C14" t="inlineStr">
        <is>
          <t>ST-008</t>
        </is>
      </c>
      <c r="D14" s="3" t="n">
        <v>-3</v>
      </c>
      <c r="E14" t="inlineStr">
        <is>
          <t>Cycle-count correction</t>
        </is>
      </c>
    </row>
    <row r="15">
      <c r="A15" s="5" t="n">
        <v>46309</v>
      </c>
      <c r="B15" t="inlineStr">
        <is>
          <t>ADJ-0014</t>
        </is>
      </c>
      <c r="C15" t="inlineStr">
        <is>
          <t>ST-002</t>
        </is>
      </c>
      <c r="D15" s="3" t="n">
        <v>-9</v>
      </c>
      <c r="E15" t="inlineStr">
        <is>
          <t>Pilferage</t>
        </is>
      </c>
    </row>
    <row r="16">
      <c r="A16" s="5" t="n">
        <v>46309</v>
      </c>
      <c r="B16" t="inlineStr">
        <is>
          <t>ADJ-0015</t>
        </is>
      </c>
      <c r="C16" t="inlineStr">
        <is>
          <t>SN-006</t>
        </is>
      </c>
      <c r="D16" s="3" t="n">
        <v>-5</v>
      </c>
      <c r="E16" t="inlineStr">
        <is>
          <t>Expired / quality hold</t>
        </is>
      </c>
    </row>
    <row r="17">
      <c r="A17" s="5" t="n">
        <v>46312</v>
      </c>
      <c r="B17" t="inlineStr">
        <is>
          <t>ADJ-0016</t>
        </is>
      </c>
      <c r="C17" t="inlineStr">
        <is>
          <t>HH-002</t>
        </is>
      </c>
      <c r="D17" s="3" t="n">
        <v>-17</v>
      </c>
      <c r="E17" t="inlineStr">
        <is>
          <t>Pilferage</t>
        </is>
      </c>
    </row>
    <row r="18">
      <c r="A18" s="5" t="n">
        <v>46313</v>
      </c>
      <c r="B18" t="inlineStr">
        <is>
          <t>ADJ-0017</t>
        </is>
      </c>
      <c r="C18" t="inlineStr">
        <is>
          <t>HH-004</t>
        </is>
      </c>
      <c r="D18" s="3" t="n">
        <v>-8</v>
      </c>
      <c r="E18" t="inlineStr">
        <is>
          <t>Expired / quality hold</t>
        </is>
      </c>
    </row>
  </sheetData>
  <autoFilter ref="A1:E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7" customWidth="1" min="4" max="4"/>
    <col width="13" customWidth="1" min="5" max="5"/>
    <col width="10" customWidth="1" min="6" max="6"/>
    <col width="12" customWidth="1" min="7" max="7"/>
    <col width="14" customWidth="1" min="8" max="8"/>
    <col width="10" customWidth="1" min="9" max="9"/>
    <col width="9" customWidth="1" min="10" max="10"/>
    <col width="10" customWidth="1" min="11" max="11"/>
    <col width="11" customWidth="1" min="12" max="12"/>
    <col width="13" customWidth="1" min="13" max="13"/>
    <col width="13" customWidth="1" min="14" max="14"/>
    <col width="12" customWidth="1" min="15" max="15"/>
    <col width="11" customWidth="1" min="16" max="16"/>
    <col width="11" customWidth="1" min="17" max="17"/>
  </cols>
  <sheetData>
    <row r="1">
      <c r="A1" s="1" t="inlineStr">
        <is>
          <t>Stock_Ledger — every figure a live formula (paste new rows into Raw_*)</t>
        </is>
      </c>
    </row>
    <row r="2">
      <c r="A2" s="2" t="inlineStr">
        <is>
          <t>sku</t>
        </is>
      </c>
      <c r="B2" s="2" t="inlineStr">
        <is>
          <t>name</t>
        </is>
      </c>
      <c r="C2" s="2" t="inlineStr">
        <is>
          <t>category</t>
        </is>
      </c>
      <c r="D2" s="2" t="inlineStr">
        <is>
          <t>bin</t>
        </is>
      </c>
      <c r="E2" s="2" t="inlineStr">
        <is>
          <t>reorder_level</t>
        </is>
      </c>
      <c r="F2" s="2" t="inlineStr">
        <is>
          <t>opening</t>
        </is>
      </c>
      <c r="G2" s="2" t="inlineStr">
        <is>
          <t>receipts_qty</t>
        </is>
      </c>
      <c r="H2" s="2" t="inlineStr">
        <is>
          <t>receipts_value</t>
        </is>
      </c>
      <c r="I2" s="2" t="inlineStr">
        <is>
          <t>issues_qty</t>
        </is>
      </c>
      <c r="J2" s="2" t="inlineStr">
        <is>
          <t>adj_qty</t>
        </is>
      </c>
      <c r="K2" s="2" t="inlineStr">
        <is>
          <t>closing</t>
        </is>
      </c>
      <c r="L2" s="2" t="inlineStr">
        <is>
          <t>wac</t>
        </is>
      </c>
      <c r="M2" s="2" t="inlineStr">
        <is>
          <t>stock_value</t>
        </is>
      </c>
      <c r="N2" s="2" t="inlineStr">
        <is>
          <t>avg_daily_issue</t>
        </is>
      </c>
      <c r="O2" s="2" t="inlineStr">
        <is>
          <t>days_of_cover</t>
        </is>
      </c>
      <c r="P2" s="2" t="inlineStr">
        <is>
          <t>status</t>
        </is>
      </c>
      <c r="Q2" s="2" t="inlineStr">
        <is>
          <t>reorder_qty</t>
        </is>
      </c>
    </row>
    <row r="3">
      <c r="A3" t="inlineStr">
        <is>
          <t>ST-001</t>
        </is>
      </c>
      <c r="B3" t="inlineStr">
        <is>
          <t>Basmati Rice 5kg</t>
        </is>
      </c>
      <c r="C3" t="inlineStr">
        <is>
          <t>Staples</t>
        </is>
      </c>
      <c r="D3" t="inlineStr">
        <is>
          <t>B1</t>
        </is>
      </c>
      <c r="E3" s="3">
        <f>VLOOKUP($A3,SKU_Master!$A:$G,5,FALSE)</f>
        <v/>
      </c>
      <c r="F3" s="3">
        <f>VLOOKUP($A3,SKU_Master!$A:$H,8,FALSE)</f>
        <v/>
      </c>
      <c r="G3" s="3">
        <f>SUMIFS(Raw_Receipts!$D:$D,Raw_Receipts!$C:$C,$A3)</f>
        <v/>
      </c>
      <c r="H3" s="4">
        <f>SUMIFS(Raw_Receipts!$G:$G,Raw_Receipts!$C:$C,$A3)</f>
        <v/>
      </c>
      <c r="I3" s="3">
        <f>SUMIFS(Raw_Issues!$D:$D,Raw_Issues!$C:$C,$A3)</f>
        <v/>
      </c>
      <c r="J3" s="3">
        <f>SUMIFS(Raw_Adjustments!$D:$D,Raw_Adjustments!$C:$C,$A3)</f>
        <v/>
      </c>
      <c r="K3" s="3">
        <f>F3+G3-I3+J3</f>
        <v/>
      </c>
      <c r="L3" s="4">
        <f>IF((F3+G3)=0,VLOOKUP($A3,SKU_Master!$A:$G,6,FALSE),(F3*VLOOKUP($A3,SKU_Master!$A:$G,6,FALSE)+H3)/(F3+G3))</f>
        <v/>
      </c>
      <c r="M3" s="4">
        <f>K3*L3</f>
        <v/>
      </c>
      <c r="N3" s="6">
        <f>I3/18</f>
        <v/>
      </c>
      <c r="O3" s="6">
        <f>IF(N3=0,999,K3/N3)</f>
        <v/>
      </c>
      <c r="P3">
        <f>IF(K3=0,"STOCKOUT",IF(K3&lt;=E3,"REORDER",IF(O3&gt;60,"OVERSTOCK","OK")))</f>
        <v/>
      </c>
      <c r="Q3" s="3">
        <f>IF(P3="REORDER",MAX(0,E3*2-K3),0)</f>
        <v/>
      </c>
    </row>
    <row r="4">
      <c r="A4" t="inlineStr">
        <is>
          <t>ST-002</t>
        </is>
      </c>
      <c r="B4" t="inlineStr">
        <is>
          <t>Wheat Flour 10kg</t>
        </is>
      </c>
      <c r="C4" t="inlineStr">
        <is>
          <t>Staples</t>
        </is>
      </c>
      <c r="D4" t="inlineStr">
        <is>
          <t>C2</t>
        </is>
      </c>
      <c r="E4" s="3">
        <f>VLOOKUP($A4,SKU_Master!$A:$G,5,FALSE)</f>
        <v/>
      </c>
      <c r="F4" s="3">
        <f>VLOOKUP($A4,SKU_Master!$A:$H,8,FALSE)</f>
        <v/>
      </c>
      <c r="G4" s="3">
        <f>SUMIFS(Raw_Receipts!$D:$D,Raw_Receipts!$C:$C,$A4)</f>
        <v/>
      </c>
      <c r="H4" s="4">
        <f>SUMIFS(Raw_Receipts!$G:$G,Raw_Receipts!$C:$C,$A4)</f>
        <v/>
      </c>
      <c r="I4" s="3">
        <f>SUMIFS(Raw_Issues!$D:$D,Raw_Issues!$C:$C,$A4)</f>
        <v/>
      </c>
      <c r="J4" s="3">
        <f>SUMIFS(Raw_Adjustments!$D:$D,Raw_Adjustments!$C:$C,$A4)</f>
        <v/>
      </c>
      <c r="K4" s="3">
        <f>F4+G4-I4+J4</f>
        <v/>
      </c>
      <c r="L4" s="4">
        <f>IF((F4+G4)=0,VLOOKUP($A4,SKU_Master!$A:$G,6,FALSE),(F4*VLOOKUP($A4,SKU_Master!$A:$G,6,FALSE)+H4)/(F4+G4))</f>
        <v/>
      </c>
      <c r="M4" s="4">
        <f>K4*L4</f>
        <v/>
      </c>
      <c r="N4" s="6">
        <f>I4/18</f>
        <v/>
      </c>
      <c r="O4" s="6">
        <f>IF(N4=0,999,K4/N4)</f>
        <v/>
      </c>
      <c r="P4">
        <f>IF(K4=0,"STOCKOUT",IF(K4&lt;=E4,"REORDER",IF(O4&gt;60,"OVERSTOCK","OK")))</f>
        <v/>
      </c>
      <c r="Q4" s="3">
        <f>IF(P4="REORDER",MAX(0,E4*2-K4),0)</f>
        <v/>
      </c>
    </row>
    <row r="5">
      <c r="A5" t="inlineStr">
        <is>
          <t>ST-003</t>
        </is>
      </c>
      <c r="B5" t="inlineStr">
        <is>
          <t>Toor Dal 1kg</t>
        </is>
      </c>
      <c r="C5" t="inlineStr">
        <is>
          <t>Staples</t>
        </is>
      </c>
      <c r="D5" t="inlineStr">
        <is>
          <t>B1</t>
        </is>
      </c>
      <c r="E5" s="3">
        <f>VLOOKUP($A5,SKU_Master!$A:$G,5,FALSE)</f>
        <v/>
      </c>
      <c r="F5" s="3">
        <f>VLOOKUP($A5,SKU_Master!$A:$H,8,FALSE)</f>
        <v/>
      </c>
      <c r="G5" s="3">
        <f>SUMIFS(Raw_Receipts!$D:$D,Raw_Receipts!$C:$C,$A5)</f>
        <v/>
      </c>
      <c r="H5" s="4">
        <f>SUMIFS(Raw_Receipts!$G:$G,Raw_Receipts!$C:$C,$A5)</f>
        <v/>
      </c>
      <c r="I5" s="3">
        <f>SUMIFS(Raw_Issues!$D:$D,Raw_Issues!$C:$C,$A5)</f>
        <v/>
      </c>
      <c r="J5" s="3">
        <f>SUMIFS(Raw_Adjustments!$D:$D,Raw_Adjustments!$C:$C,$A5)</f>
        <v/>
      </c>
      <c r="K5" s="3">
        <f>F5+G5-I5+J5</f>
        <v/>
      </c>
      <c r="L5" s="4">
        <f>IF((F5+G5)=0,VLOOKUP($A5,SKU_Master!$A:$G,6,FALSE),(F5*VLOOKUP($A5,SKU_Master!$A:$G,6,FALSE)+H5)/(F5+G5))</f>
        <v/>
      </c>
      <c r="M5" s="4">
        <f>K5*L5</f>
        <v/>
      </c>
      <c r="N5" s="6">
        <f>I5/18</f>
        <v/>
      </c>
      <c r="O5" s="6">
        <f>IF(N5=0,999,K5/N5)</f>
        <v/>
      </c>
      <c r="P5">
        <f>IF(K5=0,"STOCKOUT",IF(K5&lt;=E5,"REORDER",IF(O5&gt;60,"OVERSTOCK","OK")))</f>
        <v/>
      </c>
      <c r="Q5" s="3">
        <f>IF(P5="REORDER",MAX(0,E5*2-K5),0)</f>
        <v/>
      </c>
    </row>
    <row r="6">
      <c r="A6" t="inlineStr">
        <is>
          <t>ST-004</t>
        </is>
      </c>
      <c r="B6" t="inlineStr">
        <is>
          <t>Sugar 5kg</t>
        </is>
      </c>
      <c r="C6" t="inlineStr">
        <is>
          <t>Staples</t>
        </is>
      </c>
      <c r="D6" t="inlineStr">
        <is>
          <t>C4</t>
        </is>
      </c>
      <c r="E6" s="3">
        <f>VLOOKUP($A6,SKU_Master!$A:$G,5,FALSE)</f>
        <v/>
      </c>
      <c r="F6" s="3">
        <f>VLOOKUP($A6,SKU_Master!$A:$H,8,FALSE)</f>
        <v/>
      </c>
      <c r="G6" s="3">
        <f>SUMIFS(Raw_Receipts!$D:$D,Raw_Receipts!$C:$C,$A6)</f>
        <v/>
      </c>
      <c r="H6" s="4">
        <f>SUMIFS(Raw_Receipts!$G:$G,Raw_Receipts!$C:$C,$A6)</f>
        <v/>
      </c>
      <c r="I6" s="3">
        <f>SUMIFS(Raw_Issues!$D:$D,Raw_Issues!$C:$C,$A6)</f>
        <v/>
      </c>
      <c r="J6" s="3">
        <f>SUMIFS(Raw_Adjustments!$D:$D,Raw_Adjustments!$C:$C,$A6)</f>
        <v/>
      </c>
      <c r="K6" s="3">
        <f>F6+G6-I6+J6</f>
        <v/>
      </c>
      <c r="L6" s="4">
        <f>IF((F6+G6)=0,VLOOKUP($A6,SKU_Master!$A:$G,6,FALSE),(F6*VLOOKUP($A6,SKU_Master!$A:$G,6,FALSE)+H6)/(F6+G6))</f>
        <v/>
      </c>
      <c r="M6" s="4">
        <f>K6*L6</f>
        <v/>
      </c>
      <c r="N6" s="6">
        <f>I6/18</f>
        <v/>
      </c>
      <c r="O6" s="6">
        <f>IF(N6=0,999,K6/N6)</f>
        <v/>
      </c>
      <c r="P6">
        <f>IF(K6=0,"STOCKOUT",IF(K6&lt;=E6,"REORDER",IF(O6&gt;60,"OVERSTOCK","OK")))</f>
        <v/>
      </c>
      <c r="Q6" s="3">
        <f>IF(P6="REORDER",MAX(0,E6*2-K6),0)</f>
        <v/>
      </c>
    </row>
    <row r="7">
      <c r="A7" t="inlineStr">
        <is>
          <t>ST-005</t>
        </is>
      </c>
      <c r="B7" t="inlineStr">
        <is>
          <t>Mustard Oil 1L</t>
        </is>
      </c>
      <c r="C7" t="inlineStr">
        <is>
          <t>Staples</t>
        </is>
      </c>
      <c r="D7" t="inlineStr">
        <is>
          <t>A3</t>
        </is>
      </c>
      <c r="E7" s="3">
        <f>VLOOKUP($A7,SKU_Master!$A:$G,5,FALSE)</f>
        <v/>
      </c>
      <c r="F7" s="3">
        <f>VLOOKUP($A7,SKU_Master!$A:$H,8,FALSE)</f>
        <v/>
      </c>
      <c r="G7" s="3">
        <f>SUMIFS(Raw_Receipts!$D:$D,Raw_Receipts!$C:$C,$A7)</f>
        <v/>
      </c>
      <c r="H7" s="4">
        <f>SUMIFS(Raw_Receipts!$G:$G,Raw_Receipts!$C:$C,$A7)</f>
        <v/>
      </c>
      <c r="I7" s="3">
        <f>SUMIFS(Raw_Issues!$D:$D,Raw_Issues!$C:$C,$A7)</f>
        <v/>
      </c>
      <c r="J7" s="3">
        <f>SUMIFS(Raw_Adjustments!$D:$D,Raw_Adjustments!$C:$C,$A7)</f>
        <v/>
      </c>
      <c r="K7" s="3">
        <f>F7+G7-I7+J7</f>
        <v/>
      </c>
      <c r="L7" s="4">
        <f>IF((F7+G7)=0,VLOOKUP($A7,SKU_Master!$A:$G,6,FALSE),(F7*VLOOKUP($A7,SKU_Master!$A:$G,6,FALSE)+H7)/(F7+G7))</f>
        <v/>
      </c>
      <c r="M7" s="4">
        <f>K7*L7</f>
        <v/>
      </c>
      <c r="N7" s="6">
        <f>I7/18</f>
        <v/>
      </c>
      <c r="O7" s="6">
        <f>IF(N7=0,999,K7/N7)</f>
        <v/>
      </c>
      <c r="P7">
        <f>IF(K7=0,"STOCKOUT",IF(K7&lt;=E7,"REORDER",IF(O7&gt;60,"OVERSTOCK","OK")))</f>
        <v/>
      </c>
      <c r="Q7" s="3">
        <f>IF(P7="REORDER",MAX(0,E7*2-K7),0)</f>
        <v/>
      </c>
    </row>
    <row r="8">
      <c r="A8" t="inlineStr">
        <is>
          <t>ST-006</t>
        </is>
      </c>
      <c r="B8" t="inlineStr">
        <is>
          <t>Salt 1kg</t>
        </is>
      </c>
      <c r="C8" t="inlineStr">
        <is>
          <t>Staples</t>
        </is>
      </c>
      <c r="D8" t="inlineStr">
        <is>
          <t>A4</t>
        </is>
      </c>
      <c r="E8" s="3">
        <f>VLOOKUP($A8,SKU_Master!$A:$G,5,FALSE)</f>
        <v/>
      </c>
      <c r="F8" s="3">
        <f>VLOOKUP($A8,SKU_Master!$A:$H,8,FALSE)</f>
        <v/>
      </c>
      <c r="G8" s="3">
        <f>SUMIFS(Raw_Receipts!$D:$D,Raw_Receipts!$C:$C,$A8)</f>
        <v/>
      </c>
      <c r="H8" s="4">
        <f>SUMIFS(Raw_Receipts!$G:$G,Raw_Receipts!$C:$C,$A8)</f>
        <v/>
      </c>
      <c r="I8" s="3">
        <f>SUMIFS(Raw_Issues!$D:$D,Raw_Issues!$C:$C,$A8)</f>
        <v/>
      </c>
      <c r="J8" s="3">
        <f>SUMIFS(Raw_Adjustments!$D:$D,Raw_Adjustments!$C:$C,$A8)</f>
        <v/>
      </c>
      <c r="K8" s="3">
        <f>F8+G8-I8+J8</f>
        <v/>
      </c>
      <c r="L8" s="4">
        <f>IF((F8+G8)=0,VLOOKUP($A8,SKU_Master!$A:$G,6,FALSE),(F8*VLOOKUP($A8,SKU_Master!$A:$G,6,FALSE)+H8)/(F8+G8))</f>
        <v/>
      </c>
      <c r="M8" s="4">
        <f>K8*L8</f>
        <v/>
      </c>
      <c r="N8" s="6">
        <f>I8/18</f>
        <v/>
      </c>
      <c r="O8" s="6">
        <f>IF(N8=0,999,K8/N8)</f>
        <v/>
      </c>
      <c r="P8">
        <f>IF(K8=0,"STOCKOUT",IF(K8&lt;=E8,"REORDER",IF(O8&gt;60,"OVERSTOCK","OK")))</f>
        <v/>
      </c>
      <c r="Q8" s="3">
        <f>IF(P8="REORDER",MAX(0,E8*2-K8),0)</f>
        <v/>
      </c>
    </row>
    <row r="9">
      <c r="A9" t="inlineStr">
        <is>
          <t>ST-007</t>
        </is>
      </c>
      <c r="B9" t="inlineStr">
        <is>
          <t>Poha 500g</t>
        </is>
      </c>
      <c r="C9" t="inlineStr">
        <is>
          <t>Staples</t>
        </is>
      </c>
      <c r="D9" t="inlineStr">
        <is>
          <t>A3</t>
        </is>
      </c>
      <c r="E9" s="3">
        <f>VLOOKUP($A9,SKU_Master!$A:$G,5,FALSE)</f>
        <v/>
      </c>
      <c r="F9" s="3">
        <f>VLOOKUP($A9,SKU_Master!$A:$H,8,FALSE)</f>
        <v/>
      </c>
      <c r="G9" s="3">
        <f>SUMIFS(Raw_Receipts!$D:$D,Raw_Receipts!$C:$C,$A9)</f>
        <v/>
      </c>
      <c r="H9" s="4">
        <f>SUMIFS(Raw_Receipts!$G:$G,Raw_Receipts!$C:$C,$A9)</f>
        <v/>
      </c>
      <c r="I9" s="3">
        <f>SUMIFS(Raw_Issues!$D:$D,Raw_Issues!$C:$C,$A9)</f>
        <v/>
      </c>
      <c r="J9" s="3">
        <f>SUMIFS(Raw_Adjustments!$D:$D,Raw_Adjustments!$C:$C,$A9)</f>
        <v/>
      </c>
      <c r="K9" s="3">
        <f>F9+G9-I9+J9</f>
        <v/>
      </c>
      <c r="L9" s="4">
        <f>IF((F9+G9)=0,VLOOKUP($A9,SKU_Master!$A:$G,6,FALSE),(F9*VLOOKUP($A9,SKU_Master!$A:$G,6,FALSE)+H9)/(F9+G9))</f>
        <v/>
      </c>
      <c r="M9" s="4">
        <f>K9*L9</f>
        <v/>
      </c>
      <c r="N9" s="6">
        <f>I9/18</f>
        <v/>
      </c>
      <c r="O9" s="6">
        <f>IF(N9=0,999,K9/N9)</f>
        <v/>
      </c>
      <c r="P9">
        <f>IF(K9=0,"STOCKOUT",IF(K9&lt;=E9,"REORDER",IF(O9&gt;60,"OVERSTOCK","OK")))</f>
        <v/>
      </c>
      <c r="Q9" s="3">
        <f>IF(P9="REORDER",MAX(0,E9*2-K9),0)</f>
        <v/>
      </c>
    </row>
    <row r="10">
      <c r="A10" t="inlineStr">
        <is>
          <t>ST-008</t>
        </is>
      </c>
      <c r="B10" t="inlineStr">
        <is>
          <t>Sona Masoori Rice 5kg</t>
        </is>
      </c>
      <c r="C10" t="inlineStr">
        <is>
          <t>Staples</t>
        </is>
      </c>
      <c r="D10" t="inlineStr">
        <is>
          <t>C3</t>
        </is>
      </c>
      <c r="E10" s="3">
        <f>VLOOKUP($A10,SKU_Master!$A:$G,5,FALSE)</f>
        <v/>
      </c>
      <c r="F10" s="3">
        <f>VLOOKUP($A10,SKU_Master!$A:$H,8,FALSE)</f>
        <v/>
      </c>
      <c r="G10" s="3">
        <f>SUMIFS(Raw_Receipts!$D:$D,Raw_Receipts!$C:$C,$A10)</f>
        <v/>
      </c>
      <c r="H10" s="4">
        <f>SUMIFS(Raw_Receipts!$G:$G,Raw_Receipts!$C:$C,$A10)</f>
        <v/>
      </c>
      <c r="I10" s="3">
        <f>SUMIFS(Raw_Issues!$D:$D,Raw_Issues!$C:$C,$A10)</f>
        <v/>
      </c>
      <c r="J10" s="3">
        <f>SUMIFS(Raw_Adjustments!$D:$D,Raw_Adjustments!$C:$C,$A10)</f>
        <v/>
      </c>
      <c r="K10" s="3">
        <f>F10+G10-I10+J10</f>
        <v/>
      </c>
      <c r="L10" s="4">
        <f>IF((F10+G10)=0,VLOOKUP($A10,SKU_Master!$A:$G,6,FALSE),(F10*VLOOKUP($A10,SKU_Master!$A:$G,6,FALSE)+H10)/(F10+G10))</f>
        <v/>
      </c>
      <c r="M10" s="4">
        <f>K10*L10</f>
        <v/>
      </c>
      <c r="N10" s="6">
        <f>I10/18</f>
        <v/>
      </c>
      <c r="O10" s="6">
        <f>IF(N10=0,999,K10/N10)</f>
        <v/>
      </c>
      <c r="P10">
        <f>IF(K10=0,"STOCKOUT",IF(K10&lt;=E10,"REORDER",IF(O10&gt;60,"OVERSTOCK","OK")))</f>
        <v/>
      </c>
      <c r="Q10" s="3">
        <f>IF(P10="REORDER",MAX(0,E10*2-K10),0)</f>
        <v/>
      </c>
    </row>
    <row r="11">
      <c r="A11" t="inlineStr">
        <is>
          <t>BV-001</t>
        </is>
      </c>
      <c r="B11" t="inlineStr">
        <is>
          <t>Masala Chai 250g</t>
        </is>
      </c>
      <c r="C11" t="inlineStr">
        <is>
          <t>Beverages</t>
        </is>
      </c>
      <c r="D11" t="inlineStr">
        <is>
          <t>B3</t>
        </is>
      </c>
      <c r="E11" s="3">
        <f>VLOOKUP($A11,SKU_Master!$A:$G,5,FALSE)</f>
        <v/>
      </c>
      <c r="F11" s="3">
        <f>VLOOKUP($A11,SKU_Master!$A:$H,8,FALSE)</f>
        <v/>
      </c>
      <c r="G11" s="3">
        <f>SUMIFS(Raw_Receipts!$D:$D,Raw_Receipts!$C:$C,$A11)</f>
        <v/>
      </c>
      <c r="H11" s="4">
        <f>SUMIFS(Raw_Receipts!$G:$G,Raw_Receipts!$C:$C,$A11)</f>
        <v/>
      </c>
      <c r="I11" s="3">
        <f>SUMIFS(Raw_Issues!$D:$D,Raw_Issues!$C:$C,$A11)</f>
        <v/>
      </c>
      <c r="J11" s="3">
        <f>SUMIFS(Raw_Adjustments!$D:$D,Raw_Adjustments!$C:$C,$A11)</f>
        <v/>
      </c>
      <c r="K11" s="3">
        <f>F11+G11-I11+J11</f>
        <v/>
      </c>
      <c r="L11" s="4">
        <f>IF((F11+G11)=0,VLOOKUP($A11,SKU_Master!$A:$G,6,FALSE),(F11*VLOOKUP($A11,SKU_Master!$A:$G,6,FALSE)+H11)/(F11+G11))</f>
        <v/>
      </c>
      <c r="M11" s="4">
        <f>K11*L11</f>
        <v/>
      </c>
      <c r="N11" s="6">
        <f>I11/18</f>
        <v/>
      </c>
      <c r="O11" s="6">
        <f>IF(N11=0,999,K11/N11)</f>
        <v/>
      </c>
      <c r="P11">
        <f>IF(K11=0,"STOCKOUT",IF(K11&lt;=E11,"REORDER",IF(O11&gt;60,"OVERSTOCK","OK")))</f>
        <v/>
      </c>
      <c r="Q11" s="3">
        <f>IF(P11="REORDER",MAX(0,E11*2-K11),0)</f>
        <v/>
      </c>
    </row>
    <row r="12">
      <c r="A12" t="inlineStr">
        <is>
          <t>BV-002</t>
        </is>
      </c>
      <c r="B12" t="inlineStr">
        <is>
          <t>Instant Coffee 100g</t>
        </is>
      </c>
      <c r="C12" t="inlineStr">
        <is>
          <t>Beverages</t>
        </is>
      </c>
      <c r="D12" t="inlineStr">
        <is>
          <t>C3</t>
        </is>
      </c>
      <c r="E12" s="3">
        <f>VLOOKUP($A12,SKU_Master!$A:$G,5,FALSE)</f>
        <v/>
      </c>
      <c r="F12" s="3">
        <f>VLOOKUP($A12,SKU_Master!$A:$H,8,FALSE)</f>
        <v/>
      </c>
      <c r="G12" s="3">
        <f>SUMIFS(Raw_Receipts!$D:$D,Raw_Receipts!$C:$C,$A12)</f>
        <v/>
      </c>
      <c r="H12" s="4">
        <f>SUMIFS(Raw_Receipts!$G:$G,Raw_Receipts!$C:$C,$A12)</f>
        <v/>
      </c>
      <c r="I12" s="3">
        <f>SUMIFS(Raw_Issues!$D:$D,Raw_Issues!$C:$C,$A12)</f>
        <v/>
      </c>
      <c r="J12" s="3">
        <f>SUMIFS(Raw_Adjustments!$D:$D,Raw_Adjustments!$C:$C,$A12)</f>
        <v/>
      </c>
      <c r="K12" s="3">
        <f>F12+G12-I12+J12</f>
        <v/>
      </c>
      <c r="L12" s="4">
        <f>IF((F12+G12)=0,VLOOKUP($A12,SKU_Master!$A:$G,6,FALSE),(F12*VLOOKUP($A12,SKU_Master!$A:$G,6,FALSE)+H12)/(F12+G12))</f>
        <v/>
      </c>
      <c r="M12" s="4">
        <f>K12*L12</f>
        <v/>
      </c>
      <c r="N12" s="6">
        <f>I12/18</f>
        <v/>
      </c>
      <c r="O12" s="6">
        <f>IF(N12=0,999,K12/N12)</f>
        <v/>
      </c>
      <c r="P12">
        <f>IF(K12=0,"STOCKOUT",IF(K12&lt;=E12,"REORDER",IF(O12&gt;60,"OVERSTOCK","OK")))</f>
        <v/>
      </c>
      <c r="Q12" s="3">
        <f>IF(P12="REORDER",MAX(0,E12*2-K12),0)</f>
        <v/>
      </c>
    </row>
    <row r="13">
      <c r="A13" t="inlineStr">
        <is>
          <t>BV-003</t>
        </is>
      </c>
      <c r="B13" t="inlineStr">
        <is>
          <t>Mango Juice 1L</t>
        </is>
      </c>
      <c r="C13" t="inlineStr">
        <is>
          <t>Beverages</t>
        </is>
      </c>
      <c r="D13" t="inlineStr">
        <is>
          <t>B2</t>
        </is>
      </c>
      <c r="E13" s="3">
        <f>VLOOKUP($A13,SKU_Master!$A:$G,5,FALSE)</f>
        <v/>
      </c>
      <c r="F13" s="3">
        <f>VLOOKUP($A13,SKU_Master!$A:$H,8,FALSE)</f>
        <v/>
      </c>
      <c r="G13" s="3">
        <f>SUMIFS(Raw_Receipts!$D:$D,Raw_Receipts!$C:$C,$A13)</f>
        <v/>
      </c>
      <c r="H13" s="4">
        <f>SUMIFS(Raw_Receipts!$G:$G,Raw_Receipts!$C:$C,$A13)</f>
        <v/>
      </c>
      <c r="I13" s="3">
        <f>SUMIFS(Raw_Issues!$D:$D,Raw_Issues!$C:$C,$A13)</f>
        <v/>
      </c>
      <c r="J13" s="3">
        <f>SUMIFS(Raw_Adjustments!$D:$D,Raw_Adjustments!$C:$C,$A13)</f>
        <v/>
      </c>
      <c r="K13" s="3">
        <f>F13+G13-I13+J13</f>
        <v/>
      </c>
      <c r="L13" s="4">
        <f>IF((F13+G13)=0,VLOOKUP($A13,SKU_Master!$A:$G,6,FALSE),(F13*VLOOKUP($A13,SKU_Master!$A:$G,6,FALSE)+H13)/(F13+G13))</f>
        <v/>
      </c>
      <c r="M13" s="4">
        <f>K13*L13</f>
        <v/>
      </c>
      <c r="N13" s="6">
        <f>I13/18</f>
        <v/>
      </c>
      <c r="O13" s="6">
        <f>IF(N13=0,999,K13/N13)</f>
        <v/>
      </c>
      <c r="P13">
        <f>IF(K13=0,"STOCKOUT",IF(K13&lt;=E13,"REORDER",IF(O13&gt;60,"OVERSTOCK","OK")))</f>
        <v/>
      </c>
      <c r="Q13" s="3">
        <f>IF(P13="REORDER",MAX(0,E13*2-K13),0)</f>
        <v/>
      </c>
    </row>
    <row r="14">
      <c r="A14" t="inlineStr">
        <is>
          <t>BV-004</t>
        </is>
      </c>
      <c r="B14" t="inlineStr">
        <is>
          <t>Cola 750ml x12 case</t>
        </is>
      </c>
      <c r="C14" t="inlineStr">
        <is>
          <t>Beverages</t>
        </is>
      </c>
      <c r="D14" t="inlineStr">
        <is>
          <t>A4</t>
        </is>
      </c>
      <c r="E14" s="3">
        <f>VLOOKUP($A14,SKU_Master!$A:$G,5,FALSE)</f>
        <v/>
      </c>
      <c r="F14" s="3">
        <f>VLOOKUP($A14,SKU_Master!$A:$H,8,FALSE)</f>
        <v/>
      </c>
      <c r="G14" s="3">
        <f>SUMIFS(Raw_Receipts!$D:$D,Raw_Receipts!$C:$C,$A14)</f>
        <v/>
      </c>
      <c r="H14" s="4">
        <f>SUMIFS(Raw_Receipts!$G:$G,Raw_Receipts!$C:$C,$A14)</f>
        <v/>
      </c>
      <c r="I14" s="3">
        <f>SUMIFS(Raw_Issues!$D:$D,Raw_Issues!$C:$C,$A14)</f>
        <v/>
      </c>
      <c r="J14" s="3">
        <f>SUMIFS(Raw_Adjustments!$D:$D,Raw_Adjustments!$C:$C,$A14)</f>
        <v/>
      </c>
      <c r="K14" s="3">
        <f>F14+G14-I14+J14</f>
        <v/>
      </c>
      <c r="L14" s="4">
        <f>IF((F14+G14)=0,VLOOKUP($A14,SKU_Master!$A:$G,6,FALSE),(F14*VLOOKUP($A14,SKU_Master!$A:$G,6,FALSE)+H14)/(F14+G14))</f>
        <v/>
      </c>
      <c r="M14" s="4">
        <f>K14*L14</f>
        <v/>
      </c>
      <c r="N14" s="6">
        <f>I14/18</f>
        <v/>
      </c>
      <c r="O14" s="6">
        <f>IF(N14=0,999,K14/N14)</f>
        <v/>
      </c>
      <c r="P14">
        <f>IF(K14=0,"STOCKOUT",IF(K14&lt;=E14,"REORDER",IF(O14&gt;60,"OVERSTOCK","OK")))</f>
        <v/>
      </c>
      <c r="Q14" s="3">
        <f>IF(P14="REORDER",MAX(0,E14*2-K14),0)</f>
        <v/>
      </c>
    </row>
    <row r="15">
      <c r="A15" t="inlineStr">
        <is>
          <t>BV-005</t>
        </is>
      </c>
      <c r="B15" t="inlineStr">
        <is>
          <t>Lassi 200ml x24 case</t>
        </is>
      </c>
      <c r="C15" t="inlineStr">
        <is>
          <t>Beverages</t>
        </is>
      </c>
      <c r="D15" t="inlineStr">
        <is>
          <t>A2</t>
        </is>
      </c>
      <c r="E15" s="3">
        <f>VLOOKUP($A15,SKU_Master!$A:$G,5,FALSE)</f>
        <v/>
      </c>
      <c r="F15" s="3">
        <f>VLOOKUP($A15,SKU_Master!$A:$H,8,FALSE)</f>
        <v/>
      </c>
      <c r="G15" s="3">
        <f>SUMIFS(Raw_Receipts!$D:$D,Raw_Receipts!$C:$C,$A15)</f>
        <v/>
      </c>
      <c r="H15" s="4">
        <f>SUMIFS(Raw_Receipts!$G:$G,Raw_Receipts!$C:$C,$A15)</f>
        <v/>
      </c>
      <c r="I15" s="3">
        <f>SUMIFS(Raw_Issues!$D:$D,Raw_Issues!$C:$C,$A15)</f>
        <v/>
      </c>
      <c r="J15" s="3">
        <f>SUMIFS(Raw_Adjustments!$D:$D,Raw_Adjustments!$C:$C,$A15)</f>
        <v/>
      </c>
      <c r="K15" s="3">
        <f>F15+G15-I15+J15</f>
        <v/>
      </c>
      <c r="L15" s="4">
        <f>IF((F15+G15)=0,VLOOKUP($A15,SKU_Master!$A:$G,6,FALSE),(F15*VLOOKUP($A15,SKU_Master!$A:$G,6,FALSE)+H15)/(F15+G15))</f>
        <v/>
      </c>
      <c r="M15" s="4">
        <f>K15*L15</f>
        <v/>
      </c>
      <c r="N15" s="6">
        <f>I15/18</f>
        <v/>
      </c>
      <c r="O15" s="6">
        <f>IF(N15=0,999,K15/N15)</f>
        <v/>
      </c>
      <c r="P15">
        <f>IF(K15=0,"STOCKOUT",IF(K15&lt;=E15,"REORDER",IF(O15&gt;60,"OVERSTOCK","OK")))</f>
        <v/>
      </c>
      <c r="Q15" s="3">
        <f>IF(P15="REORDER",MAX(0,E15*2-K15),0)</f>
        <v/>
      </c>
    </row>
    <row r="16">
      <c r="A16" t="inlineStr">
        <is>
          <t>BV-006</t>
        </is>
      </c>
      <c r="B16" t="inlineStr">
        <is>
          <t>Green Tea 100 bags</t>
        </is>
      </c>
      <c r="C16" t="inlineStr">
        <is>
          <t>Beverages</t>
        </is>
      </c>
      <c r="D16" t="inlineStr">
        <is>
          <t>C2</t>
        </is>
      </c>
      <c r="E16" s="3">
        <f>VLOOKUP($A16,SKU_Master!$A:$G,5,FALSE)</f>
        <v/>
      </c>
      <c r="F16" s="3">
        <f>VLOOKUP($A16,SKU_Master!$A:$H,8,FALSE)</f>
        <v/>
      </c>
      <c r="G16" s="3">
        <f>SUMIFS(Raw_Receipts!$D:$D,Raw_Receipts!$C:$C,$A16)</f>
        <v/>
      </c>
      <c r="H16" s="4">
        <f>SUMIFS(Raw_Receipts!$G:$G,Raw_Receipts!$C:$C,$A16)</f>
        <v/>
      </c>
      <c r="I16" s="3">
        <f>SUMIFS(Raw_Issues!$D:$D,Raw_Issues!$C:$C,$A16)</f>
        <v/>
      </c>
      <c r="J16" s="3">
        <f>SUMIFS(Raw_Adjustments!$D:$D,Raw_Adjustments!$C:$C,$A16)</f>
        <v/>
      </c>
      <c r="K16" s="3">
        <f>F16+G16-I16+J16</f>
        <v/>
      </c>
      <c r="L16" s="4">
        <f>IF((F16+G16)=0,VLOOKUP($A16,SKU_Master!$A:$G,6,FALSE),(F16*VLOOKUP($A16,SKU_Master!$A:$G,6,FALSE)+H16)/(F16+G16))</f>
        <v/>
      </c>
      <c r="M16" s="4">
        <f>K16*L16</f>
        <v/>
      </c>
      <c r="N16" s="6">
        <f>I16/18</f>
        <v/>
      </c>
      <c r="O16" s="6">
        <f>IF(N16=0,999,K16/N16)</f>
        <v/>
      </c>
      <c r="P16">
        <f>IF(K16=0,"STOCKOUT",IF(K16&lt;=E16,"REORDER",IF(O16&gt;60,"OVERSTOCK","OK")))</f>
        <v/>
      </c>
      <c r="Q16" s="3">
        <f>IF(P16="REORDER",MAX(0,E16*2-K16),0)</f>
        <v/>
      </c>
    </row>
    <row r="17">
      <c r="A17" t="inlineStr">
        <is>
          <t>BV-007</t>
        </is>
      </c>
      <c r="B17" t="inlineStr">
        <is>
          <t>Energy Drink 250ml x24</t>
        </is>
      </c>
      <c r="C17" t="inlineStr">
        <is>
          <t>Beverages</t>
        </is>
      </c>
      <c r="D17" t="inlineStr">
        <is>
          <t>C2</t>
        </is>
      </c>
      <c r="E17" s="3">
        <f>VLOOKUP($A17,SKU_Master!$A:$G,5,FALSE)</f>
        <v/>
      </c>
      <c r="F17" s="3">
        <f>VLOOKUP($A17,SKU_Master!$A:$H,8,FALSE)</f>
        <v/>
      </c>
      <c r="G17" s="3">
        <f>SUMIFS(Raw_Receipts!$D:$D,Raw_Receipts!$C:$C,$A17)</f>
        <v/>
      </c>
      <c r="H17" s="4">
        <f>SUMIFS(Raw_Receipts!$G:$G,Raw_Receipts!$C:$C,$A17)</f>
        <v/>
      </c>
      <c r="I17" s="3">
        <f>SUMIFS(Raw_Issues!$D:$D,Raw_Issues!$C:$C,$A17)</f>
        <v/>
      </c>
      <c r="J17" s="3">
        <f>SUMIFS(Raw_Adjustments!$D:$D,Raw_Adjustments!$C:$C,$A17)</f>
        <v/>
      </c>
      <c r="K17" s="3">
        <f>F17+G17-I17+J17</f>
        <v/>
      </c>
      <c r="L17" s="4">
        <f>IF((F17+G17)=0,VLOOKUP($A17,SKU_Master!$A:$G,6,FALSE),(F17*VLOOKUP($A17,SKU_Master!$A:$G,6,FALSE)+H17)/(F17+G17))</f>
        <v/>
      </c>
      <c r="M17" s="4">
        <f>K17*L17</f>
        <v/>
      </c>
      <c r="N17" s="6">
        <f>I17/18</f>
        <v/>
      </c>
      <c r="O17" s="6">
        <f>IF(N17=0,999,K17/N17)</f>
        <v/>
      </c>
      <c r="P17">
        <f>IF(K17=0,"STOCKOUT",IF(K17&lt;=E17,"REORDER",IF(O17&gt;60,"OVERSTOCK","OK")))</f>
        <v/>
      </c>
      <c r="Q17" s="3">
        <f>IF(P17="REORDER",MAX(0,E17*2-K17),0)</f>
        <v/>
      </c>
    </row>
    <row r="18">
      <c r="A18" t="inlineStr">
        <is>
          <t>BV-008</t>
        </is>
      </c>
      <c r="B18" t="inlineStr">
        <is>
          <t>Cold Coffee 300ml</t>
        </is>
      </c>
      <c r="C18" t="inlineStr">
        <is>
          <t>Beverages</t>
        </is>
      </c>
      <c r="D18" t="inlineStr">
        <is>
          <t>C1</t>
        </is>
      </c>
      <c r="E18" s="3">
        <f>VLOOKUP($A18,SKU_Master!$A:$G,5,FALSE)</f>
        <v/>
      </c>
      <c r="F18" s="3">
        <f>VLOOKUP($A18,SKU_Master!$A:$H,8,FALSE)</f>
        <v/>
      </c>
      <c r="G18" s="3">
        <f>SUMIFS(Raw_Receipts!$D:$D,Raw_Receipts!$C:$C,$A18)</f>
        <v/>
      </c>
      <c r="H18" s="4">
        <f>SUMIFS(Raw_Receipts!$G:$G,Raw_Receipts!$C:$C,$A18)</f>
        <v/>
      </c>
      <c r="I18" s="3">
        <f>SUMIFS(Raw_Issues!$D:$D,Raw_Issues!$C:$C,$A18)</f>
        <v/>
      </c>
      <c r="J18" s="3">
        <f>SUMIFS(Raw_Adjustments!$D:$D,Raw_Adjustments!$C:$C,$A18)</f>
        <v/>
      </c>
      <c r="K18" s="3">
        <f>F18+G18-I18+J18</f>
        <v/>
      </c>
      <c r="L18" s="4">
        <f>IF((F18+G18)=0,VLOOKUP($A18,SKU_Master!$A:$G,6,FALSE),(F18*VLOOKUP($A18,SKU_Master!$A:$G,6,FALSE)+H18)/(F18+G18))</f>
        <v/>
      </c>
      <c r="M18" s="4">
        <f>K18*L18</f>
        <v/>
      </c>
      <c r="N18" s="6">
        <f>I18/18</f>
        <v/>
      </c>
      <c r="O18" s="6">
        <f>IF(N18=0,999,K18/N18)</f>
        <v/>
      </c>
      <c r="P18">
        <f>IF(K18=0,"STOCKOUT",IF(K18&lt;=E18,"REORDER",IF(O18&gt;60,"OVERSTOCK","OK")))</f>
        <v/>
      </c>
      <c r="Q18" s="3">
        <f>IF(P18="REORDER",MAX(0,E18*2-K18),0)</f>
        <v/>
      </c>
    </row>
    <row r="19">
      <c r="A19" t="inlineStr">
        <is>
          <t>SN-001</t>
        </is>
      </c>
      <c r="B19" t="inlineStr">
        <is>
          <t>Potato Chips 150g x20</t>
        </is>
      </c>
      <c r="C19" t="inlineStr">
        <is>
          <t>Snacks</t>
        </is>
      </c>
      <c r="D19" t="inlineStr">
        <is>
          <t>A4</t>
        </is>
      </c>
      <c r="E19" s="3">
        <f>VLOOKUP($A19,SKU_Master!$A:$G,5,FALSE)</f>
        <v/>
      </c>
      <c r="F19" s="3">
        <f>VLOOKUP($A19,SKU_Master!$A:$H,8,FALSE)</f>
        <v/>
      </c>
      <c r="G19" s="3">
        <f>SUMIFS(Raw_Receipts!$D:$D,Raw_Receipts!$C:$C,$A19)</f>
        <v/>
      </c>
      <c r="H19" s="4">
        <f>SUMIFS(Raw_Receipts!$G:$G,Raw_Receipts!$C:$C,$A19)</f>
        <v/>
      </c>
      <c r="I19" s="3">
        <f>SUMIFS(Raw_Issues!$D:$D,Raw_Issues!$C:$C,$A19)</f>
        <v/>
      </c>
      <c r="J19" s="3">
        <f>SUMIFS(Raw_Adjustments!$D:$D,Raw_Adjustments!$C:$C,$A19)</f>
        <v/>
      </c>
      <c r="K19" s="3">
        <f>F19+G19-I19+J19</f>
        <v/>
      </c>
      <c r="L19" s="4">
        <f>IF((F19+G19)=0,VLOOKUP($A19,SKU_Master!$A:$G,6,FALSE),(F19*VLOOKUP($A19,SKU_Master!$A:$G,6,FALSE)+H19)/(F19+G19))</f>
        <v/>
      </c>
      <c r="M19" s="4">
        <f>K19*L19</f>
        <v/>
      </c>
      <c r="N19" s="6">
        <f>I19/18</f>
        <v/>
      </c>
      <c r="O19" s="6">
        <f>IF(N19=0,999,K19/N19)</f>
        <v/>
      </c>
      <c r="P19">
        <f>IF(K19=0,"STOCKOUT",IF(K19&lt;=E19,"REORDER",IF(O19&gt;60,"OVERSTOCK","OK")))</f>
        <v/>
      </c>
      <c r="Q19" s="3">
        <f>IF(P19="REORDER",MAX(0,E19*2-K19),0)</f>
        <v/>
      </c>
    </row>
    <row r="20">
      <c r="A20" t="inlineStr">
        <is>
          <t>SN-002</t>
        </is>
      </c>
      <c r="B20" t="inlineStr">
        <is>
          <t>Namkeen Mix 400g</t>
        </is>
      </c>
      <c r="C20" t="inlineStr">
        <is>
          <t>Snacks</t>
        </is>
      </c>
      <c r="D20" t="inlineStr">
        <is>
          <t>C4</t>
        </is>
      </c>
      <c r="E20" s="3">
        <f>VLOOKUP($A20,SKU_Master!$A:$G,5,FALSE)</f>
        <v/>
      </c>
      <c r="F20" s="3">
        <f>VLOOKUP($A20,SKU_Master!$A:$H,8,FALSE)</f>
        <v/>
      </c>
      <c r="G20" s="3">
        <f>SUMIFS(Raw_Receipts!$D:$D,Raw_Receipts!$C:$C,$A20)</f>
        <v/>
      </c>
      <c r="H20" s="4">
        <f>SUMIFS(Raw_Receipts!$G:$G,Raw_Receipts!$C:$C,$A20)</f>
        <v/>
      </c>
      <c r="I20" s="3">
        <f>SUMIFS(Raw_Issues!$D:$D,Raw_Issues!$C:$C,$A20)</f>
        <v/>
      </c>
      <c r="J20" s="3">
        <f>SUMIFS(Raw_Adjustments!$D:$D,Raw_Adjustments!$C:$C,$A20)</f>
        <v/>
      </c>
      <c r="K20" s="3">
        <f>F20+G20-I20+J20</f>
        <v/>
      </c>
      <c r="L20" s="4">
        <f>IF((F20+G20)=0,VLOOKUP($A20,SKU_Master!$A:$G,6,FALSE),(F20*VLOOKUP($A20,SKU_Master!$A:$G,6,FALSE)+H20)/(F20+G20))</f>
        <v/>
      </c>
      <c r="M20" s="4">
        <f>K20*L20</f>
        <v/>
      </c>
      <c r="N20" s="6">
        <f>I20/18</f>
        <v/>
      </c>
      <c r="O20" s="6">
        <f>IF(N20=0,999,K20/N20)</f>
        <v/>
      </c>
      <c r="P20">
        <f>IF(K20=0,"STOCKOUT",IF(K20&lt;=E20,"REORDER",IF(O20&gt;60,"OVERSTOCK","OK")))</f>
        <v/>
      </c>
      <c r="Q20" s="3">
        <f>IF(P20="REORDER",MAX(0,E20*2-K20),0)</f>
        <v/>
      </c>
    </row>
    <row r="21">
      <c r="A21" t="inlineStr">
        <is>
          <t>SN-003</t>
        </is>
      </c>
      <c r="B21" t="inlineStr">
        <is>
          <t>Biscuits 300g x12</t>
        </is>
      </c>
      <c r="C21" t="inlineStr">
        <is>
          <t>Snacks</t>
        </is>
      </c>
      <c r="D21" t="inlineStr">
        <is>
          <t>B4</t>
        </is>
      </c>
      <c r="E21" s="3">
        <f>VLOOKUP($A21,SKU_Master!$A:$G,5,FALSE)</f>
        <v/>
      </c>
      <c r="F21" s="3">
        <f>VLOOKUP($A21,SKU_Master!$A:$H,8,FALSE)</f>
        <v/>
      </c>
      <c r="G21" s="3">
        <f>SUMIFS(Raw_Receipts!$D:$D,Raw_Receipts!$C:$C,$A21)</f>
        <v/>
      </c>
      <c r="H21" s="4">
        <f>SUMIFS(Raw_Receipts!$G:$G,Raw_Receipts!$C:$C,$A21)</f>
        <v/>
      </c>
      <c r="I21" s="3">
        <f>SUMIFS(Raw_Issues!$D:$D,Raw_Issues!$C:$C,$A21)</f>
        <v/>
      </c>
      <c r="J21" s="3">
        <f>SUMIFS(Raw_Adjustments!$D:$D,Raw_Adjustments!$C:$C,$A21)</f>
        <v/>
      </c>
      <c r="K21" s="3">
        <f>F21+G21-I21+J21</f>
        <v/>
      </c>
      <c r="L21" s="4">
        <f>IF((F21+G21)=0,VLOOKUP($A21,SKU_Master!$A:$G,6,FALSE),(F21*VLOOKUP($A21,SKU_Master!$A:$G,6,FALSE)+H21)/(F21+G21))</f>
        <v/>
      </c>
      <c r="M21" s="4">
        <f>K21*L21</f>
        <v/>
      </c>
      <c r="N21" s="6">
        <f>I21/18</f>
        <v/>
      </c>
      <c r="O21" s="6">
        <f>IF(N21=0,999,K21/N21)</f>
        <v/>
      </c>
      <c r="P21">
        <f>IF(K21=0,"STOCKOUT",IF(K21&lt;=E21,"REORDER",IF(O21&gt;60,"OVERSTOCK","OK")))</f>
        <v/>
      </c>
      <c r="Q21" s="3">
        <f>IF(P21="REORDER",MAX(0,E21*2-K21),0)</f>
        <v/>
      </c>
    </row>
    <row r="22">
      <c r="A22" t="inlineStr">
        <is>
          <t>SN-004</t>
        </is>
      </c>
      <c r="B22" t="inlineStr">
        <is>
          <t>Dry Fruit Mix 500g</t>
        </is>
      </c>
      <c r="C22" t="inlineStr">
        <is>
          <t>Snacks</t>
        </is>
      </c>
      <c r="D22" t="inlineStr">
        <is>
          <t>B2</t>
        </is>
      </c>
      <c r="E22" s="3">
        <f>VLOOKUP($A22,SKU_Master!$A:$G,5,FALSE)</f>
        <v/>
      </c>
      <c r="F22" s="3">
        <f>VLOOKUP($A22,SKU_Master!$A:$H,8,FALSE)</f>
        <v/>
      </c>
      <c r="G22" s="3">
        <f>SUMIFS(Raw_Receipts!$D:$D,Raw_Receipts!$C:$C,$A22)</f>
        <v/>
      </c>
      <c r="H22" s="4">
        <f>SUMIFS(Raw_Receipts!$G:$G,Raw_Receipts!$C:$C,$A22)</f>
        <v/>
      </c>
      <c r="I22" s="3">
        <f>SUMIFS(Raw_Issues!$D:$D,Raw_Issues!$C:$C,$A22)</f>
        <v/>
      </c>
      <c r="J22" s="3">
        <f>SUMIFS(Raw_Adjustments!$D:$D,Raw_Adjustments!$C:$C,$A22)</f>
        <v/>
      </c>
      <c r="K22" s="3">
        <f>F22+G22-I22+J22</f>
        <v/>
      </c>
      <c r="L22" s="4">
        <f>IF((F22+G22)=0,VLOOKUP($A22,SKU_Master!$A:$G,6,FALSE),(F22*VLOOKUP($A22,SKU_Master!$A:$G,6,FALSE)+H22)/(F22+G22))</f>
        <v/>
      </c>
      <c r="M22" s="4">
        <f>K22*L22</f>
        <v/>
      </c>
      <c r="N22" s="6">
        <f>I22/18</f>
        <v/>
      </c>
      <c r="O22" s="6">
        <f>IF(N22=0,999,K22/N22)</f>
        <v/>
      </c>
      <c r="P22">
        <f>IF(K22=0,"STOCKOUT",IF(K22&lt;=E22,"REORDER",IF(O22&gt;60,"OVERSTOCK","OK")))</f>
        <v/>
      </c>
      <c r="Q22" s="3">
        <f>IF(P22="REORDER",MAX(0,E22*2-K22),0)</f>
        <v/>
      </c>
    </row>
    <row r="23">
      <c r="A23" t="inlineStr">
        <is>
          <t>SN-005</t>
        </is>
      </c>
      <c r="B23" t="inlineStr">
        <is>
          <t>Instant Noodles 70g x12</t>
        </is>
      </c>
      <c r="C23" t="inlineStr">
        <is>
          <t>Snacks</t>
        </is>
      </c>
      <c r="D23" t="inlineStr">
        <is>
          <t>C4</t>
        </is>
      </c>
      <c r="E23" s="3">
        <f>VLOOKUP($A23,SKU_Master!$A:$G,5,FALSE)</f>
        <v/>
      </c>
      <c r="F23" s="3">
        <f>VLOOKUP($A23,SKU_Master!$A:$H,8,FALSE)</f>
        <v/>
      </c>
      <c r="G23" s="3">
        <f>SUMIFS(Raw_Receipts!$D:$D,Raw_Receipts!$C:$C,$A23)</f>
        <v/>
      </c>
      <c r="H23" s="4">
        <f>SUMIFS(Raw_Receipts!$G:$G,Raw_Receipts!$C:$C,$A23)</f>
        <v/>
      </c>
      <c r="I23" s="3">
        <f>SUMIFS(Raw_Issues!$D:$D,Raw_Issues!$C:$C,$A23)</f>
        <v/>
      </c>
      <c r="J23" s="3">
        <f>SUMIFS(Raw_Adjustments!$D:$D,Raw_Adjustments!$C:$C,$A23)</f>
        <v/>
      </c>
      <c r="K23" s="3">
        <f>F23+G23-I23+J23</f>
        <v/>
      </c>
      <c r="L23" s="4">
        <f>IF((F23+G23)=0,VLOOKUP($A23,SKU_Master!$A:$G,6,FALSE),(F23*VLOOKUP($A23,SKU_Master!$A:$G,6,FALSE)+H23)/(F23+G23))</f>
        <v/>
      </c>
      <c r="M23" s="4">
        <f>K23*L23</f>
        <v/>
      </c>
      <c r="N23" s="6">
        <f>I23/18</f>
        <v/>
      </c>
      <c r="O23" s="6">
        <f>IF(N23=0,999,K23/N23)</f>
        <v/>
      </c>
      <c r="P23">
        <f>IF(K23=0,"STOCKOUT",IF(K23&lt;=E23,"REORDER",IF(O23&gt;60,"OVERSTOCK","OK")))</f>
        <v/>
      </c>
      <c r="Q23" s="3">
        <f>IF(P23="REORDER",MAX(0,E23*2-K23),0)</f>
        <v/>
      </c>
    </row>
    <row r="24">
      <c r="A24" t="inlineStr">
        <is>
          <t>SN-006</t>
        </is>
      </c>
      <c r="B24" t="inlineStr">
        <is>
          <t>Roasted Peanuts 200g</t>
        </is>
      </c>
      <c r="C24" t="inlineStr">
        <is>
          <t>Snacks</t>
        </is>
      </c>
      <c r="D24" t="inlineStr">
        <is>
          <t>B4</t>
        </is>
      </c>
      <c r="E24" s="3">
        <f>VLOOKUP($A24,SKU_Master!$A:$G,5,FALSE)</f>
        <v/>
      </c>
      <c r="F24" s="3">
        <f>VLOOKUP($A24,SKU_Master!$A:$H,8,FALSE)</f>
        <v/>
      </c>
      <c r="G24" s="3">
        <f>SUMIFS(Raw_Receipts!$D:$D,Raw_Receipts!$C:$C,$A24)</f>
        <v/>
      </c>
      <c r="H24" s="4">
        <f>SUMIFS(Raw_Receipts!$G:$G,Raw_Receipts!$C:$C,$A24)</f>
        <v/>
      </c>
      <c r="I24" s="3">
        <f>SUMIFS(Raw_Issues!$D:$D,Raw_Issues!$C:$C,$A24)</f>
        <v/>
      </c>
      <c r="J24" s="3">
        <f>SUMIFS(Raw_Adjustments!$D:$D,Raw_Adjustments!$C:$C,$A24)</f>
        <v/>
      </c>
      <c r="K24" s="3">
        <f>F24+G24-I24+J24</f>
        <v/>
      </c>
      <c r="L24" s="4">
        <f>IF((F24+G24)=0,VLOOKUP($A24,SKU_Master!$A:$G,6,FALSE),(F24*VLOOKUP($A24,SKU_Master!$A:$G,6,FALSE)+H24)/(F24+G24))</f>
        <v/>
      </c>
      <c r="M24" s="4">
        <f>K24*L24</f>
        <v/>
      </c>
      <c r="N24" s="6">
        <f>I24/18</f>
        <v/>
      </c>
      <c r="O24" s="6">
        <f>IF(N24=0,999,K24/N24)</f>
        <v/>
      </c>
      <c r="P24">
        <f>IF(K24=0,"STOCKOUT",IF(K24&lt;=E24,"REORDER",IF(O24&gt;60,"OVERSTOCK","OK")))</f>
        <v/>
      </c>
      <c r="Q24" s="3">
        <f>IF(P24="REORDER",MAX(0,E24*2-K24),0)</f>
        <v/>
      </c>
    </row>
    <row r="25">
      <c r="A25" t="inlineStr">
        <is>
          <t>SN-007</t>
        </is>
      </c>
      <c r="B25" t="inlineStr">
        <is>
          <t>Chocolate Bar 40g x30</t>
        </is>
      </c>
      <c r="C25" t="inlineStr">
        <is>
          <t>Snacks</t>
        </is>
      </c>
      <c r="D25" t="inlineStr">
        <is>
          <t>B2</t>
        </is>
      </c>
      <c r="E25" s="3">
        <f>VLOOKUP($A25,SKU_Master!$A:$G,5,FALSE)</f>
        <v/>
      </c>
      <c r="F25" s="3">
        <f>VLOOKUP($A25,SKU_Master!$A:$H,8,FALSE)</f>
        <v/>
      </c>
      <c r="G25" s="3">
        <f>SUMIFS(Raw_Receipts!$D:$D,Raw_Receipts!$C:$C,$A25)</f>
        <v/>
      </c>
      <c r="H25" s="4">
        <f>SUMIFS(Raw_Receipts!$G:$G,Raw_Receipts!$C:$C,$A25)</f>
        <v/>
      </c>
      <c r="I25" s="3">
        <f>SUMIFS(Raw_Issues!$D:$D,Raw_Issues!$C:$C,$A25)</f>
        <v/>
      </c>
      <c r="J25" s="3">
        <f>SUMIFS(Raw_Adjustments!$D:$D,Raw_Adjustments!$C:$C,$A25)</f>
        <v/>
      </c>
      <c r="K25" s="3">
        <f>F25+G25-I25+J25</f>
        <v/>
      </c>
      <c r="L25" s="4">
        <f>IF((F25+G25)=0,VLOOKUP($A25,SKU_Master!$A:$G,6,FALSE),(F25*VLOOKUP($A25,SKU_Master!$A:$G,6,FALSE)+H25)/(F25+G25))</f>
        <v/>
      </c>
      <c r="M25" s="4">
        <f>K25*L25</f>
        <v/>
      </c>
      <c r="N25" s="6">
        <f>I25/18</f>
        <v/>
      </c>
      <c r="O25" s="6">
        <f>IF(N25=0,999,K25/N25)</f>
        <v/>
      </c>
      <c r="P25">
        <f>IF(K25=0,"STOCKOUT",IF(K25&lt;=E25,"REORDER",IF(O25&gt;60,"OVERSTOCK","OK")))</f>
        <v/>
      </c>
      <c r="Q25" s="3">
        <f>IF(P25="REORDER",MAX(0,E25*2-K25),0)</f>
        <v/>
      </c>
    </row>
    <row r="26">
      <c r="A26" t="inlineStr">
        <is>
          <t>SN-008</t>
        </is>
      </c>
      <c r="B26" t="inlineStr">
        <is>
          <t>Popcorn Kernels 1kg</t>
        </is>
      </c>
      <c r="C26" t="inlineStr">
        <is>
          <t>Snacks</t>
        </is>
      </c>
      <c r="D26" t="inlineStr">
        <is>
          <t>A1</t>
        </is>
      </c>
      <c r="E26" s="3">
        <f>VLOOKUP($A26,SKU_Master!$A:$G,5,FALSE)</f>
        <v/>
      </c>
      <c r="F26" s="3">
        <f>VLOOKUP($A26,SKU_Master!$A:$H,8,FALSE)</f>
        <v/>
      </c>
      <c r="G26" s="3">
        <f>SUMIFS(Raw_Receipts!$D:$D,Raw_Receipts!$C:$C,$A26)</f>
        <v/>
      </c>
      <c r="H26" s="4">
        <f>SUMIFS(Raw_Receipts!$G:$G,Raw_Receipts!$C:$C,$A26)</f>
        <v/>
      </c>
      <c r="I26" s="3">
        <f>SUMIFS(Raw_Issues!$D:$D,Raw_Issues!$C:$C,$A26)</f>
        <v/>
      </c>
      <c r="J26" s="3">
        <f>SUMIFS(Raw_Adjustments!$D:$D,Raw_Adjustments!$C:$C,$A26)</f>
        <v/>
      </c>
      <c r="K26" s="3">
        <f>F26+G26-I26+J26</f>
        <v/>
      </c>
      <c r="L26" s="4">
        <f>IF((F26+G26)=0,VLOOKUP($A26,SKU_Master!$A:$G,6,FALSE),(F26*VLOOKUP($A26,SKU_Master!$A:$G,6,FALSE)+H26)/(F26+G26))</f>
        <v/>
      </c>
      <c r="M26" s="4">
        <f>K26*L26</f>
        <v/>
      </c>
      <c r="N26" s="6">
        <f>I26/18</f>
        <v/>
      </c>
      <c r="O26" s="6">
        <f>IF(N26=0,999,K26/N26)</f>
        <v/>
      </c>
      <c r="P26">
        <f>IF(K26=0,"STOCKOUT",IF(K26&lt;=E26,"REORDER",IF(O26&gt;60,"OVERSTOCK","OK")))</f>
        <v/>
      </c>
      <c r="Q26" s="3">
        <f>IF(P26="REORDER",MAX(0,E26*2-K26),0)</f>
        <v/>
      </c>
    </row>
    <row r="27">
      <c r="A27" t="inlineStr">
        <is>
          <t>PC-001</t>
        </is>
      </c>
      <c r="B27" t="inlineStr">
        <is>
          <t>Bath Soap 125g x4</t>
        </is>
      </c>
      <c r="C27" t="inlineStr">
        <is>
          <t>Personal Care</t>
        </is>
      </c>
      <c r="D27" t="inlineStr">
        <is>
          <t>B3</t>
        </is>
      </c>
      <c r="E27" s="3">
        <f>VLOOKUP($A27,SKU_Master!$A:$G,5,FALSE)</f>
        <v/>
      </c>
      <c r="F27" s="3">
        <f>VLOOKUP($A27,SKU_Master!$A:$H,8,FALSE)</f>
        <v/>
      </c>
      <c r="G27" s="3">
        <f>SUMIFS(Raw_Receipts!$D:$D,Raw_Receipts!$C:$C,$A27)</f>
        <v/>
      </c>
      <c r="H27" s="4">
        <f>SUMIFS(Raw_Receipts!$G:$G,Raw_Receipts!$C:$C,$A27)</f>
        <v/>
      </c>
      <c r="I27" s="3">
        <f>SUMIFS(Raw_Issues!$D:$D,Raw_Issues!$C:$C,$A27)</f>
        <v/>
      </c>
      <c r="J27" s="3">
        <f>SUMIFS(Raw_Adjustments!$D:$D,Raw_Adjustments!$C:$C,$A27)</f>
        <v/>
      </c>
      <c r="K27" s="3">
        <f>F27+G27-I27+J27</f>
        <v/>
      </c>
      <c r="L27" s="4">
        <f>IF((F27+G27)=0,VLOOKUP($A27,SKU_Master!$A:$G,6,FALSE),(F27*VLOOKUP($A27,SKU_Master!$A:$G,6,FALSE)+H27)/(F27+G27))</f>
        <v/>
      </c>
      <c r="M27" s="4">
        <f>K27*L27</f>
        <v/>
      </c>
      <c r="N27" s="6">
        <f>I27/18</f>
        <v/>
      </c>
      <c r="O27" s="6">
        <f>IF(N27=0,999,K27/N27)</f>
        <v/>
      </c>
      <c r="P27">
        <f>IF(K27=0,"STOCKOUT",IF(K27&lt;=E27,"REORDER",IF(O27&gt;60,"OVERSTOCK","OK")))</f>
        <v/>
      </c>
      <c r="Q27" s="3">
        <f>IF(P27="REORDER",MAX(0,E27*2-K27),0)</f>
        <v/>
      </c>
    </row>
    <row r="28">
      <c r="A28" t="inlineStr">
        <is>
          <t>PC-002</t>
        </is>
      </c>
      <c r="B28" t="inlineStr">
        <is>
          <t>Shampoo 340ml</t>
        </is>
      </c>
      <c r="C28" t="inlineStr">
        <is>
          <t>Personal Care</t>
        </is>
      </c>
      <c r="D28" t="inlineStr">
        <is>
          <t>B1</t>
        </is>
      </c>
      <c r="E28" s="3">
        <f>VLOOKUP($A28,SKU_Master!$A:$G,5,FALSE)</f>
        <v/>
      </c>
      <c r="F28" s="3">
        <f>VLOOKUP($A28,SKU_Master!$A:$H,8,FALSE)</f>
        <v/>
      </c>
      <c r="G28" s="3">
        <f>SUMIFS(Raw_Receipts!$D:$D,Raw_Receipts!$C:$C,$A28)</f>
        <v/>
      </c>
      <c r="H28" s="4">
        <f>SUMIFS(Raw_Receipts!$G:$G,Raw_Receipts!$C:$C,$A28)</f>
        <v/>
      </c>
      <c r="I28" s="3">
        <f>SUMIFS(Raw_Issues!$D:$D,Raw_Issues!$C:$C,$A28)</f>
        <v/>
      </c>
      <c r="J28" s="3">
        <f>SUMIFS(Raw_Adjustments!$D:$D,Raw_Adjustments!$C:$C,$A28)</f>
        <v/>
      </c>
      <c r="K28" s="3">
        <f>F28+G28-I28+J28</f>
        <v/>
      </c>
      <c r="L28" s="4">
        <f>IF((F28+G28)=0,VLOOKUP($A28,SKU_Master!$A:$G,6,FALSE),(F28*VLOOKUP($A28,SKU_Master!$A:$G,6,FALSE)+H28)/(F28+G28))</f>
        <v/>
      </c>
      <c r="M28" s="4">
        <f>K28*L28</f>
        <v/>
      </c>
      <c r="N28" s="6">
        <f>I28/18</f>
        <v/>
      </c>
      <c r="O28" s="6">
        <f>IF(N28=0,999,K28/N28)</f>
        <v/>
      </c>
      <c r="P28">
        <f>IF(K28=0,"STOCKOUT",IF(K28&lt;=E28,"REORDER",IF(O28&gt;60,"OVERSTOCK","OK")))</f>
        <v/>
      </c>
      <c r="Q28" s="3">
        <f>IF(P28="REORDER",MAX(0,E28*2-K28),0)</f>
        <v/>
      </c>
    </row>
    <row r="29">
      <c r="A29" t="inlineStr">
        <is>
          <t>PC-003</t>
        </is>
      </c>
      <c r="B29" t="inlineStr">
        <is>
          <t>Toothpaste 150g</t>
        </is>
      </c>
      <c r="C29" t="inlineStr">
        <is>
          <t>Personal Care</t>
        </is>
      </c>
      <c r="D29" t="inlineStr">
        <is>
          <t>A1</t>
        </is>
      </c>
      <c r="E29" s="3">
        <f>VLOOKUP($A29,SKU_Master!$A:$G,5,FALSE)</f>
        <v/>
      </c>
      <c r="F29" s="3">
        <f>VLOOKUP($A29,SKU_Master!$A:$H,8,FALSE)</f>
        <v/>
      </c>
      <c r="G29" s="3">
        <f>SUMIFS(Raw_Receipts!$D:$D,Raw_Receipts!$C:$C,$A29)</f>
        <v/>
      </c>
      <c r="H29" s="4">
        <f>SUMIFS(Raw_Receipts!$G:$G,Raw_Receipts!$C:$C,$A29)</f>
        <v/>
      </c>
      <c r="I29" s="3">
        <f>SUMIFS(Raw_Issues!$D:$D,Raw_Issues!$C:$C,$A29)</f>
        <v/>
      </c>
      <c r="J29" s="3">
        <f>SUMIFS(Raw_Adjustments!$D:$D,Raw_Adjustments!$C:$C,$A29)</f>
        <v/>
      </c>
      <c r="K29" s="3">
        <f>F29+G29-I29+J29</f>
        <v/>
      </c>
      <c r="L29" s="4">
        <f>IF((F29+G29)=0,VLOOKUP($A29,SKU_Master!$A:$G,6,FALSE),(F29*VLOOKUP($A29,SKU_Master!$A:$G,6,FALSE)+H29)/(F29+G29))</f>
        <v/>
      </c>
      <c r="M29" s="4">
        <f>K29*L29</f>
        <v/>
      </c>
      <c r="N29" s="6">
        <f>I29/18</f>
        <v/>
      </c>
      <c r="O29" s="6">
        <f>IF(N29=0,999,K29/N29)</f>
        <v/>
      </c>
      <c r="P29">
        <f>IF(K29=0,"STOCKOUT",IF(K29&lt;=E29,"REORDER",IF(O29&gt;60,"OVERSTOCK","OK")))</f>
        <v/>
      </c>
      <c r="Q29" s="3">
        <f>IF(P29="REORDER",MAX(0,E29*2-K29),0)</f>
        <v/>
      </c>
    </row>
    <row r="30">
      <c r="A30" t="inlineStr">
        <is>
          <t>PC-004</t>
        </is>
      </c>
      <c r="B30" t="inlineStr">
        <is>
          <t>Detergent Powder 1kg</t>
        </is>
      </c>
      <c r="C30" t="inlineStr">
        <is>
          <t>Personal Care</t>
        </is>
      </c>
      <c r="D30" t="inlineStr">
        <is>
          <t>A1</t>
        </is>
      </c>
      <c r="E30" s="3">
        <f>VLOOKUP($A30,SKU_Master!$A:$G,5,FALSE)</f>
        <v/>
      </c>
      <c r="F30" s="3">
        <f>VLOOKUP($A30,SKU_Master!$A:$H,8,FALSE)</f>
        <v/>
      </c>
      <c r="G30" s="3">
        <f>SUMIFS(Raw_Receipts!$D:$D,Raw_Receipts!$C:$C,$A30)</f>
        <v/>
      </c>
      <c r="H30" s="4">
        <f>SUMIFS(Raw_Receipts!$G:$G,Raw_Receipts!$C:$C,$A30)</f>
        <v/>
      </c>
      <c r="I30" s="3">
        <f>SUMIFS(Raw_Issues!$D:$D,Raw_Issues!$C:$C,$A30)</f>
        <v/>
      </c>
      <c r="J30" s="3">
        <f>SUMIFS(Raw_Adjustments!$D:$D,Raw_Adjustments!$C:$C,$A30)</f>
        <v/>
      </c>
      <c r="K30" s="3">
        <f>F30+G30-I30+J30</f>
        <v/>
      </c>
      <c r="L30" s="4">
        <f>IF((F30+G30)=0,VLOOKUP($A30,SKU_Master!$A:$G,6,FALSE),(F30*VLOOKUP($A30,SKU_Master!$A:$G,6,FALSE)+H30)/(F30+G30))</f>
        <v/>
      </c>
      <c r="M30" s="4">
        <f>K30*L30</f>
        <v/>
      </c>
      <c r="N30" s="6">
        <f>I30/18</f>
        <v/>
      </c>
      <c r="O30" s="6">
        <f>IF(N30=0,999,K30/N30)</f>
        <v/>
      </c>
      <c r="P30">
        <f>IF(K30=0,"STOCKOUT",IF(K30&lt;=E30,"REORDER",IF(O30&gt;60,"OVERSTOCK","OK")))</f>
        <v/>
      </c>
      <c r="Q30" s="3">
        <f>IF(P30="REORDER",MAX(0,E30*2-K30),0)</f>
        <v/>
      </c>
    </row>
    <row r="31">
      <c r="A31" t="inlineStr">
        <is>
          <t>PC-005</t>
        </is>
      </c>
      <c r="B31" t="inlineStr">
        <is>
          <t>Hair Oil 200ml</t>
        </is>
      </c>
      <c r="C31" t="inlineStr">
        <is>
          <t>Personal Care</t>
        </is>
      </c>
      <c r="D31" t="inlineStr">
        <is>
          <t>A2</t>
        </is>
      </c>
      <c r="E31" s="3">
        <f>VLOOKUP($A31,SKU_Master!$A:$G,5,FALSE)</f>
        <v/>
      </c>
      <c r="F31" s="3">
        <f>VLOOKUP($A31,SKU_Master!$A:$H,8,FALSE)</f>
        <v/>
      </c>
      <c r="G31" s="3">
        <f>SUMIFS(Raw_Receipts!$D:$D,Raw_Receipts!$C:$C,$A31)</f>
        <v/>
      </c>
      <c r="H31" s="4">
        <f>SUMIFS(Raw_Receipts!$G:$G,Raw_Receipts!$C:$C,$A31)</f>
        <v/>
      </c>
      <c r="I31" s="3">
        <f>SUMIFS(Raw_Issues!$D:$D,Raw_Issues!$C:$C,$A31)</f>
        <v/>
      </c>
      <c r="J31" s="3">
        <f>SUMIFS(Raw_Adjustments!$D:$D,Raw_Adjustments!$C:$C,$A31)</f>
        <v/>
      </c>
      <c r="K31" s="3">
        <f>F31+G31-I31+J31</f>
        <v/>
      </c>
      <c r="L31" s="4">
        <f>IF((F31+G31)=0,VLOOKUP($A31,SKU_Master!$A:$G,6,FALSE),(F31*VLOOKUP($A31,SKU_Master!$A:$G,6,FALSE)+H31)/(F31+G31))</f>
        <v/>
      </c>
      <c r="M31" s="4">
        <f>K31*L31</f>
        <v/>
      </c>
      <c r="N31" s="6">
        <f>I31/18</f>
        <v/>
      </c>
      <c r="O31" s="6">
        <f>IF(N31=0,999,K31/N31)</f>
        <v/>
      </c>
      <c r="P31">
        <f>IF(K31=0,"STOCKOUT",IF(K31&lt;=E31,"REORDER",IF(O31&gt;60,"OVERSTOCK","OK")))</f>
        <v/>
      </c>
      <c r="Q31" s="3">
        <f>IF(P31="REORDER",MAX(0,E31*2-K31),0)</f>
        <v/>
      </c>
    </row>
    <row r="32">
      <c r="A32" t="inlineStr">
        <is>
          <t>PC-006</t>
        </is>
      </c>
      <c r="B32" t="inlineStr">
        <is>
          <t>Face Wash 150ml</t>
        </is>
      </c>
      <c r="C32" t="inlineStr">
        <is>
          <t>Personal Care</t>
        </is>
      </c>
      <c r="D32" t="inlineStr">
        <is>
          <t>A3</t>
        </is>
      </c>
      <c r="E32" s="3">
        <f>VLOOKUP($A32,SKU_Master!$A:$G,5,FALSE)</f>
        <v/>
      </c>
      <c r="F32" s="3">
        <f>VLOOKUP($A32,SKU_Master!$A:$H,8,FALSE)</f>
        <v/>
      </c>
      <c r="G32" s="3">
        <f>SUMIFS(Raw_Receipts!$D:$D,Raw_Receipts!$C:$C,$A32)</f>
        <v/>
      </c>
      <c r="H32" s="4">
        <f>SUMIFS(Raw_Receipts!$G:$G,Raw_Receipts!$C:$C,$A32)</f>
        <v/>
      </c>
      <c r="I32" s="3">
        <f>SUMIFS(Raw_Issues!$D:$D,Raw_Issues!$C:$C,$A32)</f>
        <v/>
      </c>
      <c r="J32" s="3">
        <f>SUMIFS(Raw_Adjustments!$D:$D,Raw_Adjustments!$C:$C,$A32)</f>
        <v/>
      </c>
      <c r="K32" s="3">
        <f>F32+G32-I32+J32</f>
        <v/>
      </c>
      <c r="L32" s="4">
        <f>IF((F32+G32)=0,VLOOKUP($A32,SKU_Master!$A:$G,6,FALSE),(F32*VLOOKUP($A32,SKU_Master!$A:$G,6,FALSE)+H32)/(F32+G32))</f>
        <v/>
      </c>
      <c r="M32" s="4">
        <f>K32*L32</f>
        <v/>
      </c>
      <c r="N32" s="6">
        <f>I32/18</f>
        <v/>
      </c>
      <c r="O32" s="6">
        <f>IF(N32=0,999,K32/N32)</f>
        <v/>
      </c>
      <c r="P32">
        <f>IF(K32=0,"STOCKOUT",IF(K32&lt;=E32,"REORDER",IF(O32&gt;60,"OVERSTOCK","OK")))</f>
        <v/>
      </c>
      <c r="Q32" s="3">
        <f>IF(P32="REORDER",MAX(0,E32*2-K32),0)</f>
        <v/>
      </c>
    </row>
    <row r="33">
      <c r="A33" t="inlineStr">
        <is>
          <t>HH-001</t>
        </is>
      </c>
      <c r="B33" t="inlineStr">
        <is>
          <t>Dish Bar 200g x3</t>
        </is>
      </c>
      <c r="C33" t="inlineStr">
        <is>
          <t>Household</t>
        </is>
      </c>
      <c r="D33" t="inlineStr">
        <is>
          <t>C1</t>
        </is>
      </c>
      <c r="E33" s="3">
        <f>VLOOKUP($A33,SKU_Master!$A:$G,5,FALSE)</f>
        <v/>
      </c>
      <c r="F33" s="3">
        <f>VLOOKUP($A33,SKU_Master!$A:$H,8,FALSE)</f>
        <v/>
      </c>
      <c r="G33" s="3">
        <f>SUMIFS(Raw_Receipts!$D:$D,Raw_Receipts!$C:$C,$A33)</f>
        <v/>
      </c>
      <c r="H33" s="4">
        <f>SUMIFS(Raw_Receipts!$G:$G,Raw_Receipts!$C:$C,$A33)</f>
        <v/>
      </c>
      <c r="I33" s="3">
        <f>SUMIFS(Raw_Issues!$D:$D,Raw_Issues!$C:$C,$A33)</f>
        <v/>
      </c>
      <c r="J33" s="3">
        <f>SUMIFS(Raw_Adjustments!$D:$D,Raw_Adjustments!$C:$C,$A33)</f>
        <v/>
      </c>
      <c r="K33" s="3">
        <f>F33+G33-I33+J33</f>
        <v/>
      </c>
      <c r="L33" s="4">
        <f>IF((F33+G33)=0,VLOOKUP($A33,SKU_Master!$A:$G,6,FALSE),(F33*VLOOKUP($A33,SKU_Master!$A:$G,6,FALSE)+H33)/(F33+G33))</f>
        <v/>
      </c>
      <c r="M33" s="4">
        <f>K33*L33</f>
        <v/>
      </c>
      <c r="N33" s="6">
        <f>I33/18</f>
        <v/>
      </c>
      <c r="O33" s="6">
        <f>IF(N33=0,999,K33/N33)</f>
        <v/>
      </c>
      <c r="P33">
        <f>IF(K33=0,"STOCKOUT",IF(K33&lt;=E33,"REORDER",IF(O33&gt;60,"OVERSTOCK","OK")))</f>
        <v/>
      </c>
      <c r="Q33" s="3">
        <f>IF(P33="REORDER",MAX(0,E33*2-K33),0)</f>
        <v/>
      </c>
    </row>
    <row r="34">
      <c r="A34" t="inlineStr">
        <is>
          <t>HH-002</t>
        </is>
      </c>
      <c r="B34" t="inlineStr">
        <is>
          <t>Floor Cleaner 1L</t>
        </is>
      </c>
      <c r="C34" t="inlineStr">
        <is>
          <t>Household</t>
        </is>
      </c>
      <c r="D34" t="inlineStr">
        <is>
          <t>A2</t>
        </is>
      </c>
      <c r="E34" s="3">
        <f>VLOOKUP($A34,SKU_Master!$A:$G,5,FALSE)</f>
        <v/>
      </c>
      <c r="F34" s="3">
        <f>VLOOKUP($A34,SKU_Master!$A:$H,8,FALSE)</f>
        <v/>
      </c>
      <c r="G34" s="3">
        <f>SUMIFS(Raw_Receipts!$D:$D,Raw_Receipts!$C:$C,$A34)</f>
        <v/>
      </c>
      <c r="H34" s="4">
        <f>SUMIFS(Raw_Receipts!$G:$G,Raw_Receipts!$C:$C,$A34)</f>
        <v/>
      </c>
      <c r="I34" s="3">
        <f>SUMIFS(Raw_Issues!$D:$D,Raw_Issues!$C:$C,$A34)</f>
        <v/>
      </c>
      <c r="J34" s="3">
        <f>SUMIFS(Raw_Adjustments!$D:$D,Raw_Adjustments!$C:$C,$A34)</f>
        <v/>
      </c>
      <c r="K34" s="3">
        <f>F34+G34-I34+J34</f>
        <v/>
      </c>
      <c r="L34" s="4">
        <f>IF((F34+G34)=0,VLOOKUP($A34,SKU_Master!$A:$G,6,FALSE),(F34*VLOOKUP($A34,SKU_Master!$A:$G,6,FALSE)+H34)/(F34+G34))</f>
        <v/>
      </c>
      <c r="M34" s="4">
        <f>K34*L34</f>
        <v/>
      </c>
      <c r="N34" s="6">
        <f>I34/18</f>
        <v/>
      </c>
      <c r="O34" s="6">
        <f>IF(N34=0,999,K34/N34)</f>
        <v/>
      </c>
      <c r="P34">
        <f>IF(K34=0,"STOCKOUT",IF(K34&lt;=E34,"REORDER",IF(O34&gt;60,"OVERSTOCK","OK")))</f>
        <v/>
      </c>
      <c r="Q34" s="3">
        <f>IF(P34="REORDER",MAX(0,E34*2-K34),0)</f>
        <v/>
      </c>
    </row>
    <row r="35">
      <c r="A35" t="inlineStr">
        <is>
          <t>HH-003</t>
        </is>
      </c>
      <c r="B35" t="inlineStr">
        <is>
          <t>LED Bulb 9W x10</t>
        </is>
      </c>
      <c r="C35" t="inlineStr">
        <is>
          <t>Household</t>
        </is>
      </c>
      <c r="D35" t="inlineStr">
        <is>
          <t>B4</t>
        </is>
      </c>
      <c r="E35" s="3">
        <f>VLOOKUP($A35,SKU_Master!$A:$G,5,FALSE)</f>
        <v/>
      </c>
      <c r="F35" s="3">
        <f>VLOOKUP($A35,SKU_Master!$A:$H,8,FALSE)</f>
        <v/>
      </c>
      <c r="G35" s="3">
        <f>SUMIFS(Raw_Receipts!$D:$D,Raw_Receipts!$C:$C,$A35)</f>
        <v/>
      </c>
      <c r="H35" s="4">
        <f>SUMIFS(Raw_Receipts!$G:$G,Raw_Receipts!$C:$C,$A35)</f>
        <v/>
      </c>
      <c r="I35" s="3">
        <f>SUMIFS(Raw_Issues!$D:$D,Raw_Issues!$C:$C,$A35)</f>
        <v/>
      </c>
      <c r="J35" s="3">
        <f>SUMIFS(Raw_Adjustments!$D:$D,Raw_Adjustments!$C:$C,$A35)</f>
        <v/>
      </c>
      <c r="K35" s="3">
        <f>F35+G35-I35+J35</f>
        <v/>
      </c>
      <c r="L35" s="4">
        <f>IF((F35+G35)=0,VLOOKUP($A35,SKU_Master!$A:$G,6,FALSE),(F35*VLOOKUP($A35,SKU_Master!$A:$G,6,FALSE)+H35)/(F35+G35))</f>
        <v/>
      </c>
      <c r="M35" s="4">
        <f>K35*L35</f>
        <v/>
      </c>
      <c r="N35" s="6">
        <f>I35/18</f>
        <v/>
      </c>
      <c r="O35" s="6">
        <f>IF(N35=0,999,K35/N35)</f>
        <v/>
      </c>
      <c r="P35">
        <f>IF(K35=0,"STOCKOUT",IF(K35&lt;=E35,"REORDER",IF(O35&gt;60,"OVERSTOCK","OK")))</f>
        <v/>
      </c>
      <c r="Q35" s="3">
        <f>IF(P35="REORDER",MAX(0,E35*2-K35),0)</f>
        <v/>
      </c>
    </row>
    <row r="36">
      <c r="A36" t="inlineStr">
        <is>
          <t>HH-004</t>
        </is>
      </c>
      <c r="B36" t="inlineStr">
        <is>
          <t>Garbage Bags 30pc</t>
        </is>
      </c>
      <c r="C36" t="inlineStr">
        <is>
          <t>Household</t>
        </is>
      </c>
      <c r="D36" t="inlineStr">
        <is>
          <t>B3</t>
        </is>
      </c>
      <c r="E36" s="3">
        <f>VLOOKUP($A36,SKU_Master!$A:$G,5,FALSE)</f>
        <v/>
      </c>
      <c r="F36" s="3">
        <f>VLOOKUP($A36,SKU_Master!$A:$H,8,FALSE)</f>
        <v/>
      </c>
      <c r="G36" s="3">
        <f>SUMIFS(Raw_Receipts!$D:$D,Raw_Receipts!$C:$C,$A36)</f>
        <v/>
      </c>
      <c r="H36" s="4">
        <f>SUMIFS(Raw_Receipts!$G:$G,Raw_Receipts!$C:$C,$A36)</f>
        <v/>
      </c>
      <c r="I36" s="3">
        <f>SUMIFS(Raw_Issues!$D:$D,Raw_Issues!$C:$C,$A36)</f>
        <v/>
      </c>
      <c r="J36" s="3">
        <f>SUMIFS(Raw_Adjustments!$D:$D,Raw_Adjustments!$C:$C,$A36)</f>
        <v/>
      </c>
      <c r="K36" s="3">
        <f>F36+G36-I36+J36</f>
        <v/>
      </c>
      <c r="L36" s="4">
        <f>IF((F36+G36)=0,VLOOKUP($A36,SKU_Master!$A:$G,6,FALSE),(F36*VLOOKUP($A36,SKU_Master!$A:$G,6,FALSE)+H36)/(F36+G36))</f>
        <v/>
      </c>
      <c r="M36" s="4">
        <f>K36*L36</f>
        <v/>
      </c>
      <c r="N36" s="6">
        <f>I36/18</f>
        <v/>
      </c>
      <c r="O36" s="6">
        <f>IF(N36=0,999,K36/N36)</f>
        <v/>
      </c>
      <c r="P36">
        <f>IF(K36=0,"STOCKOUT",IF(K36&lt;=E36,"REORDER",IF(O36&gt;60,"OVERSTOCK","OK")))</f>
        <v/>
      </c>
      <c r="Q36" s="3">
        <f>IF(P36="REORDER",MAX(0,E36*2-K36),0)</f>
        <v/>
      </c>
    </row>
    <row r="37">
      <c r="A37" t="inlineStr">
        <is>
          <t>HH-005</t>
        </is>
      </c>
      <c r="B37" t="inlineStr">
        <is>
          <t>Broom + Dustpan set</t>
        </is>
      </c>
      <c r="C37" t="inlineStr">
        <is>
          <t>Household</t>
        </is>
      </c>
      <c r="D37" t="inlineStr">
        <is>
          <t>C3</t>
        </is>
      </c>
      <c r="E37" s="3">
        <f>VLOOKUP($A37,SKU_Master!$A:$G,5,FALSE)</f>
        <v/>
      </c>
      <c r="F37" s="3">
        <f>VLOOKUP($A37,SKU_Master!$A:$H,8,FALSE)</f>
        <v/>
      </c>
      <c r="G37" s="3">
        <f>SUMIFS(Raw_Receipts!$D:$D,Raw_Receipts!$C:$C,$A37)</f>
        <v/>
      </c>
      <c r="H37" s="4">
        <f>SUMIFS(Raw_Receipts!$G:$G,Raw_Receipts!$C:$C,$A37)</f>
        <v/>
      </c>
      <c r="I37" s="3">
        <f>SUMIFS(Raw_Issues!$D:$D,Raw_Issues!$C:$C,$A37)</f>
        <v/>
      </c>
      <c r="J37" s="3">
        <f>SUMIFS(Raw_Adjustments!$D:$D,Raw_Adjustments!$C:$C,$A37)</f>
        <v/>
      </c>
      <c r="K37" s="3">
        <f>F37+G37-I37+J37</f>
        <v/>
      </c>
      <c r="L37" s="4">
        <f>IF((F37+G37)=0,VLOOKUP($A37,SKU_Master!$A:$G,6,FALSE),(F37*VLOOKUP($A37,SKU_Master!$A:$G,6,FALSE)+H37)/(F37+G37))</f>
        <v/>
      </c>
      <c r="M37" s="4">
        <f>K37*L37</f>
        <v/>
      </c>
      <c r="N37" s="6">
        <f>I37/18</f>
        <v/>
      </c>
      <c r="O37" s="6">
        <f>IF(N37=0,999,K37/N37)</f>
        <v/>
      </c>
      <c r="P37">
        <f>IF(K37=0,"STOCKOUT",IF(K37&lt;=E37,"REORDER",IF(O37&gt;60,"OVERSTOCK","OK")))</f>
        <v/>
      </c>
      <c r="Q37" s="3">
        <f>IF(P37="REORDER",MAX(0,E37*2-K37),0)</f>
        <v/>
      </c>
    </row>
    <row r="38">
      <c r="A38" t="inlineStr">
        <is>
          <t>HH-006</t>
        </is>
      </c>
      <c r="B38" t="inlineStr">
        <is>
          <t>Storage Container 5L</t>
        </is>
      </c>
      <c r="C38" t="inlineStr">
        <is>
          <t>Household</t>
        </is>
      </c>
      <c r="D38" t="inlineStr">
        <is>
          <t>C1</t>
        </is>
      </c>
      <c r="E38" s="3">
        <f>VLOOKUP($A38,SKU_Master!$A:$G,5,FALSE)</f>
        <v/>
      </c>
      <c r="F38" s="3">
        <f>VLOOKUP($A38,SKU_Master!$A:$H,8,FALSE)</f>
        <v/>
      </c>
      <c r="G38" s="3">
        <f>SUMIFS(Raw_Receipts!$D:$D,Raw_Receipts!$C:$C,$A38)</f>
        <v/>
      </c>
      <c r="H38" s="4">
        <f>SUMIFS(Raw_Receipts!$G:$G,Raw_Receipts!$C:$C,$A38)</f>
        <v/>
      </c>
      <c r="I38" s="3">
        <f>SUMIFS(Raw_Issues!$D:$D,Raw_Issues!$C:$C,$A38)</f>
        <v/>
      </c>
      <c r="J38" s="3">
        <f>SUMIFS(Raw_Adjustments!$D:$D,Raw_Adjustments!$C:$C,$A38)</f>
        <v/>
      </c>
      <c r="K38" s="3">
        <f>F38+G38-I38+J38</f>
        <v/>
      </c>
      <c r="L38" s="4">
        <f>IF((F38+G38)=0,VLOOKUP($A38,SKU_Master!$A:$G,6,FALSE),(F38*VLOOKUP($A38,SKU_Master!$A:$G,6,FALSE)+H38)/(F38+G38))</f>
        <v/>
      </c>
      <c r="M38" s="4">
        <f>K38*L38</f>
        <v/>
      </c>
      <c r="N38" s="6">
        <f>I38/18</f>
        <v/>
      </c>
      <c r="O38" s="6">
        <f>IF(N38=0,999,K38/N38)</f>
        <v/>
      </c>
      <c r="P38">
        <f>IF(K38=0,"STOCKOUT",IF(K38&lt;=E38,"REORDER",IF(O38&gt;60,"OVERSTOCK","OK")))</f>
        <v/>
      </c>
      <c r="Q38" s="3">
        <f>IF(P38="REORDER",MAX(0,E38*2-K38),0)</f>
        <v/>
      </c>
    </row>
  </sheetData>
  <autoFilter ref="A2:Q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8" customWidth="1" min="4" max="4"/>
    <col width="12" customWidth="1" min="5" max="5"/>
    <col width="8" customWidth="1" min="6" max="6"/>
  </cols>
  <sheetData>
    <row r="1">
      <c r="A1" s="1" t="inlineStr">
        <is>
          <t>Bin_Map — per-bin stock and utilisation (formula-driven)</t>
        </is>
      </c>
    </row>
    <row r="2">
      <c r="A2" s="2" t="inlineStr">
        <is>
          <t>bin</t>
        </is>
      </c>
      <c r="B2" s="2" t="inlineStr">
        <is>
          <t>capacity</t>
        </is>
      </c>
      <c r="C2" s="2" t="inlineStr">
        <is>
          <t>qty_on_hand</t>
        </is>
      </c>
      <c r="D2" s="2" t="inlineStr">
        <is>
          <t>#_skus</t>
        </is>
      </c>
      <c r="E2" s="2" t="inlineStr">
        <is>
          <t>utilisation</t>
        </is>
      </c>
      <c r="F2" s="2" t="inlineStr">
        <is>
          <t>flag</t>
        </is>
      </c>
    </row>
    <row r="3">
      <c r="A3" t="inlineStr">
        <is>
          <t>A1</t>
        </is>
      </c>
      <c r="B3" s="3" t="n">
        <v>2000</v>
      </c>
      <c r="C3" s="3">
        <f>SUMIFS(Stock_Ledger!$K:$K,Stock_Ledger!$D:$D,$A3)</f>
        <v/>
      </c>
      <c r="D3" s="3">
        <f>COUNTIFS(Stock_Ledger!$D:$D,$A3)</f>
        <v/>
      </c>
      <c r="E3" s="7">
        <f>IF(B3=0,0,C3/B3)</f>
        <v/>
      </c>
      <c r="F3">
        <f>IF(E3&gt;0.9,"FULL",IF(C3=0,"EMPTY","OK"))</f>
        <v/>
      </c>
    </row>
    <row r="4">
      <c r="A4" t="inlineStr">
        <is>
          <t>A2</t>
        </is>
      </c>
      <c r="B4" s="3" t="n">
        <v>2000</v>
      </c>
      <c r="C4" s="3">
        <f>SUMIFS(Stock_Ledger!$K:$K,Stock_Ledger!$D:$D,$A4)</f>
        <v/>
      </c>
      <c r="D4" s="3">
        <f>COUNTIFS(Stock_Ledger!$D:$D,$A4)</f>
        <v/>
      </c>
      <c r="E4" s="7">
        <f>IF(B4=0,0,C4/B4)</f>
        <v/>
      </c>
      <c r="F4">
        <f>IF(E4&gt;0.9,"FULL",IF(C4=0,"EMPTY","OK"))</f>
        <v/>
      </c>
    </row>
    <row r="5">
      <c r="A5" t="inlineStr">
        <is>
          <t>A3</t>
        </is>
      </c>
      <c r="B5" s="3" t="n">
        <v>2000</v>
      </c>
      <c r="C5" s="3">
        <f>SUMIFS(Stock_Ledger!$K:$K,Stock_Ledger!$D:$D,$A5)</f>
        <v/>
      </c>
      <c r="D5" s="3">
        <f>COUNTIFS(Stock_Ledger!$D:$D,$A5)</f>
        <v/>
      </c>
      <c r="E5" s="7">
        <f>IF(B5=0,0,C5/B5)</f>
        <v/>
      </c>
      <c r="F5">
        <f>IF(E5&gt;0.9,"FULL",IF(C5=0,"EMPTY","OK"))</f>
        <v/>
      </c>
    </row>
    <row r="6">
      <c r="A6" t="inlineStr">
        <is>
          <t>A4</t>
        </is>
      </c>
      <c r="B6" s="3" t="n">
        <v>2000</v>
      </c>
      <c r="C6" s="3">
        <f>SUMIFS(Stock_Ledger!$K:$K,Stock_Ledger!$D:$D,$A6)</f>
        <v/>
      </c>
      <c r="D6" s="3">
        <f>COUNTIFS(Stock_Ledger!$D:$D,$A6)</f>
        <v/>
      </c>
      <c r="E6" s="7">
        <f>IF(B6=0,0,C6/B6)</f>
        <v/>
      </c>
      <c r="F6">
        <f>IF(E6&gt;0.9,"FULL",IF(C6=0,"EMPTY","OK"))</f>
        <v/>
      </c>
    </row>
    <row r="7">
      <c r="A7" t="inlineStr">
        <is>
          <t>B1</t>
        </is>
      </c>
      <c r="B7" s="3" t="n">
        <v>2000</v>
      </c>
      <c r="C7" s="3">
        <f>SUMIFS(Stock_Ledger!$K:$K,Stock_Ledger!$D:$D,$A7)</f>
        <v/>
      </c>
      <c r="D7" s="3">
        <f>COUNTIFS(Stock_Ledger!$D:$D,$A7)</f>
        <v/>
      </c>
      <c r="E7" s="7">
        <f>IF(B7=0,0,C7/B7)</f>
        <v/>
      </c>
      <c r="F7">
        <f>IF(E7&gt;0.9,"FULL",IF(C7=0,"EMPTY","OK"))</f>
        <v/>
      </c>
    </row>
    <row r="8">
      <c r="A8" t="inlineStr">
        <is>
          <t>B2</t>
        </is>
      </c>
      <c r="B8" s="3" t="n">
        <v>2000</v>
      </c>
      <c r="C8" s="3">
        <f>SUMIFS(Stock_Ledger!$K:$K,Stock_Ledger!$D:$D,$A8)</f>
        <v/>
      </c>
      <c r="D8" s="3">
        <f>COUNTIFS(Stock_Ledger!$D:$D,$A8)</f>
        <v/>
      </c>
      <c r="E8" s="7">
        <f>IF(B8=0,0,C8/B8)</f>
        <v/>
      </c>
      <c r="F8">
        <f>IF(E8&gt;0.9,"FULL",IF(C8=0,"EMPTY","OK"))</f>
        <v/>
      </c>
    </row>
    <row r="9">
      <c r="A9" t="inlineStr">
        <is>
          <t>B3</t>
        </is>
      </c>
      <c r="B9" s="3" t="n">
        <v>2000</v>
      </c>
      <c r="C9" s="3">
        <f>SUMIFS(Stock_Ledger!$K:$K,Stock_Ledger!$D:$D,$A9)</f>
        <v/>
      </c>
      <c r="D9" s="3">
        <f>COUNTIFS(Stock_Ledger!$D:$D,$A9)</f>
        <v/>
      </c>
      <c r="E9" s="7">
        <f>IF(B9=0,0,C9/B9)</f>
        <v/>
      </c>
      <c r="F9">
        <f>IF(E9&gt;0.9,"FULL",IF(C9=0,"EMPTY","OK"))</f>
        <v/>
      </c>
    </row>
    <row r="10">
      <c r="A10" t="inlineStr">
        <is>
          <t>B4</t>
        </is>
      </c>
      <c r="B10" s="3" t="n">
        <v>2000</v>
      </c>
      <c r="C10" s="3">
        <f>SUMIFS(Stock_Ledger!$K:$K,Stock_Ledger!$D:$D,$A10)</f>
        <v/>
      </c>
      <c r="D10" s="3">
        <f>COUNTIFS(Stock_Ledger!$D:$D,$A10)</f>
        <v/>
      </c>
      <c r="E10" s="7">
        <f>IF(B10=0,0,C10/B10)</f>
        <v/>
      </c>
      <c r="F10">
        <f>IF(E10&gt;0.9,"FULL",IF(C10=0,"EMPTY","OK"))</f>
        <v/>
      </c>
    </row>
    <row r="11">
      <c r="A11" t="inlineStr">
        <is>
          <t>C1</t>
        </is>
      </c>
      <c r="B11" s="3" t="n">
        <v>2000</v>
      </c>
      <c r="C11" s="3">
        <f>SUMIFS(Stock_Ledger!$K:$K,Stock_Ledger!$D:$D,$A11)</f>
        <v/>
      </c>
      <c r="D11" s="3">
        <f>COUNTIFS(Stock_Ledger!$D:$D,$A11)</f>
        <v/>
      </c>
      <c r="E11" s="7">
        <f>IF(B11=0,0,C11/B11)</f>
        <v/>
      </c>
      <c r="F11">
        <f>IF(E11&gt;0.9,"FULL",IF(C11=0,"EMPTY","OK"))</f>
        <v/>
      </c>
    </row>
    <row r="12">
      <c r="A12" t="inlineStr">
        <is>
          <t>C2</t>
        </is>
      </c>
      <c r="B12" s="3" t="n">
        <v>2000</v>
      </c>
      <c r="C12" s="3">
        <f>SUMIFS(Stock_Ledger!$K:$K,Stock_Ledger!$D:$D,$A12)</f>
        <v/>
      </c>
      <c r="D12" s="3">
        <f>COUNTIFS(Stock_Ledger!$D:$D,$A12)</f>
        <v/>
      </c>
      <c r="E12" s="7">
        <f>IF(B12=0,0,C12/B12)</f>
        <v/>
      </c>
      <c r="F12">
        <f>IF(E12&gt;0.9,"FULL",IF(C12=0,"EMPTY","OK"))</f>
        <v/>
      </c>
    </row>
    <row r="13">
      <c r="A13" t="inlineStr">
        <is>
          <t>C3</t>
        </is>
      </c>
      <c r="B13" s="3" t="n">
        <v>2000</v>
      </c>
      <c r="C13" s="3">
        <f>SUMIFS(Stock_Ledger!$K:$K,Stock_Ledger!$D:$D,$A13)</f>
        <v/>
      </c>
      <c r="D13" s="3">
        <f>COUNTIFS(Stock_Ledger!$D:$D,$A13)</f>
        <v/>
      </c>
      <c r="E13" s="7">
        <f>IF(B13=0,0,C13/B13)</f>
        <v/>
      </c>
      <c r="F13">
        <f>IF(E13&gt;0.9,"FULL",IF(C13=0,"EMPTY","OK"))</f>
        <v/>
      </c>
    </row>
    <row r="14">
      <c r="A14" t="inlineStr">
        <is>
          <t>C4</t>
        </is>
      </c>
      <c r="B14" s="3" t="n">
        <v>2000</v>
      </c>
      <c r="C14" s="3">
        <f>SUMIFS(Stock_Ledger!$K:$K,Stock_Ledger!$D:$D,$A14)</f>
        <v/>
      </c>
      <c r="D14" s="3">
        <f>COUNTIFS(Stock_Ledger!$D:$D,$A14)</f>
        <v/>
      </c>
      <c r="E14" s="7">
        <f>IF(B14=0,0,C14/B14)</f>
        <v/>
      </c>
      <c r="F14">
        <f>IF(E14&gt;0.9,"FULL",IF(C14=0,"EMPTY","OK"))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9" customWidth="1" min="3" max="3"/>
    <col width="9" customWidth="1" min="4" max="4"/>
    <col width="22" customWidth="1" min="5" max="5"/>
    <col width="30" customWidth="1" min="6" max="6"/>
    <col width="8" customWidth="1" min="7" max="7"/>
  </cols>
  <sheetData>
    <row r="1">
      <c r="A1" s="1" t="inlineStr">
        <is>
          <t>Entry — key today's movements here, then copy the row into the matching Raw_* sheet</t>
        </is>
      </c>
    </row>
    <row r="3">
      <c r="A3" s="2" t="inlineStr">
        <is>
          <t>date (dd-mmm-yy)</t>
        </is>
      </c>
      <c r="B3" s="2" t="inlineStr">
        <is>
          <t>type</t>
        </is>
      </c>
      <c r="C3" s="2" t="inlineStr">
        <is>
          <t>sku</t>
        </is>
      </c>
      <c r="D3" s="2" t="inlineStr">
        <is>
          <t>qty</t>
        </is>
      </c>
      <c r="E3" s="2" t="inlineStr">
        <is>
          <t>unit_cost (receipts only)</t>
        </is>
      </c>
      <c r="F3" s="2" t="inlineStr">
        <is>
          <t>sku name (auto)</t>
        </is>
      </c>
      <c r="G3" s="2" t="inlineStr">
        <is>
          <t>bin (auto)</t>
        </is>
      </c>
    </row>
    <row r="4">
      <c r="A4" s="5" t="n">
        <v>46314</v>
      </c>
      <c r="F4">
        <f>IF(C4="","",VLOOKUP(C4,SKU_Master!$A:$B,2,FALSE))</f>
        <v/>
      </c>
      <c r="G4">
        <f>IF(C4="","",VLOOKUP(C4,SKU_Master!$A:$G,7,FALSE))</f>
        <v/>
      </c>
    </row>
    <row r="5">
      <c r="A5" s="5" t="n">
        <v>46314</v>
      </c>
      <c r="F5">
        <f>IF(C5="","",VLOOKUP(C5,SKU_Master!$A:$B,2,FALSE))</f>
        <v/>
      </c>
      <c r="G5">
        <f>IF(C5="","",VLOOKUP(C5,SKU_Master!$A:$G,7,FALSE))</f>
        <v/>
      </c>
    </row>
    <row r="6">
      <c r="A6" s="5" t="n">
        <v>46314</v>
      </c>
      <c r="F6">
        <f>IF(C6="","",VLOOKUP(C6,SKU_Master!$A:$B,2,FALSE))</f>
        <v/>
      </c>
      <c r="G6">
        <f>IF(C6="","",VLOOKUP(C6,SKU_Master!$A:$G,7,FALSE))</f>
        <v/>
      </c>
    </row>
    <row r="7">
      <c r="A7" s="5" t="n">
        <v>46314</v>
      </c>
      <c r="F7">
        <f>IF(C7="","",VLOOKUP(C7,SKU_Master!$A:$B,2,FALSE))</f>
        <v/>
      </c>
      <c r="G7">
        <f>IF(C7="","",VLOOKUP(C7,SKU_Master!$A:$G,7,FALSE))</f>
        <v/>
      </c>
    </row>
    <row r="8">
      <c r="A8" s="5" t="n">
        <v>46314</v>
      </c>
      <c r="F8">
        <f>IF(C8="","",VLOOKUP(C8,SKU_Master!$A:$B,2,FALSE))</f>
        <v/>
      </c>
      <c r="G8">
        <f>IF(C8="","",VLOOKUP(C8,SKU_Master!$A:$G,7,FALSE))</f>
        <v/>
      </c>
    </row>
    <row r="9">
      <c r="A9" s="5" t="n">
        <v>46314</v>
      </c>
      <c r="F9">
        <f>IF(C9="","",VLOOKUP(C9,SKU_Master!$A:$B,2,FALSE))</f>
        <v/>
      </c>
      <c r="G9">
        <f>IF(C9="","",VLOOKUP(C9,SKU_Master!$A:$G,7,FALSE))</f>
        <v/>
      </c>
    </row>
    <row r="10">
      <c r="A10" s="5" t="n">
        <v>46314</v>
      </c>
      <c r="F10">
        <f>IF(C10="","",VLOOKUP(C10,SKU_Master!$A:$B,2,FALSE))</f>
        <v/>
      </c>
      <c r="G10">
        <f>IF(C10="","",VLOOKUP(C10,SKU_Master!$A:$G,7,FALSE))</f>
        <v/>
      </c>
    </row>
    <row r="11">
      <c r="A11" s="5" t="n">
        <v>46314</v>
      </c>
      <c r="F11">
        <f>IF(C11="","",VLOOKUP(C11,SKU_Master!$A:$B,2,FALSE))</f>
        <v/>
      </c>
      <c r="G11">
        <f>IF(C11="","",VLOOKUP(C11,SKU_Master!$A:$G,7,FALSE))</f>
        <v/>
      </c>
    </row>
    <row r="12">
      <c r="A12" s="5" t="n">
        <v>46314</v>
      </c>
      <c r="F12">
        <f>IF(C12="","",VLOOKUP(C12,SKU_Master!$A:$B,2,FALSE))</f>
        <v/>
      </c>
      <c r="G12">
        <f>IF(C12="","",VLOOKUP(C12,SKU_Master!$A:$G,7,FALSE))</f>
        <v/>
      </c>
    </row>
    <row r="13">
      <c r="A13" s="5" t="n">
        <v>46314</v>
      </c>
      <c r="F13">
        <f>IF(C13="","",VLOOKUP(C13,SKU_Master!$A:$B,2,FALSE))</f>
        <v/>
      </c>
      <c r="G13">
        <f>IF(C13="","",VLOOKUP(C13,SKU_Master!$A:$G,7,FALSE))</f>
        <v/>
      </c>
    </row>
    <row r="14">
      <c r="A14" s="5" t="n">
        <v>46314</v>
      </c>
      <c r="F14">
        <f>IF(C14="","",VLOOKUP(C14,SKU_Master!$A:$B,2,FALSE))</f>
        <v/>
      </c>
      <c r="G14">
        <f>IF(C14="","",VLOOKUP(C14,SKU_Master!$A:$G,7,FALSE))</f>
        <v/>
      </c>
    </row>
    <row r="15">
      <c r="A15" s="5" t="n">
        <v>46314</v>
      </c>
      <c r="F15">
        <f>IF(C15="","",VLOOKUP(C15,SKU_Master!$A:$B,2,FALSE))</f>
        <v/>
      </c>
      <c r="G15">
        <f>IF(C15="","",VLOOKUP(C15,SKU_Master!$A:$G,7,FALSE))</f>
        <v/>
      </c>
    </row>
    <row r="16">
      <c r="A16" s="5" t="n">
        <v>46314</v>
      </c>
      <c r="F16">
        <f>IF(C16="","",VLOOKUP(C16,SKU_Master!$A:$B,2,FALSE))</f>
        <v/>
      </c>
      <c r="G16">
        <f>IF(C16="","",VLOOKUP(C16,SKU_Master!$A:$G,7,FALSE))</f>
        <v/>
      </c>
    </row>
    <row r="17">
      <c r="A17" s="5" t="n">
        <v>46314</v>
      </c>
      <c r="F17">
        <f>IF(C17="","",VLOOKUP(C17,SKU_Master!$A:$B,2,FALSE))</f>
        <v/>
      </c>
      <c r="G17">
        <f>IF(C17="","",VLOOKUP(C17,SKU_Master!$A:$G,7,FALSE))</f>
        <v/>
      </c>
    </row>
    <row r="18">
      <c r="A18" s="5" t="n">
        <v>46314</v>
      </c>
      <c r="F18">
        <f>IF(C18="","",VLOOKUP(C18,SKU_Master!$A:$B,2,FALSE))</f>
        <v/>
      </c>
      <c r="G18">
        <f>IF(C18="","",VLOOKUP(C18,SKU_Master!$A:$G,7,FALSE))</f>
        <v/>
      </c>
    </row>
    <row r="19">
      <c r="A19" s="5" t="n">
        <v>46314</v>
      </c>
      <c r="F19">
        <f>IF(C19="","",VLOOKUP(C19,SKU_Master!$A:$B,2,FALSE))</f>
        <v/>
      </c>
      <c r="G19">
        <f>IF(C19="","",VLOOKUP(C19,SKU_Master!$A:$G,7,FALSE))</f>
        <v/>
      </c>
    </row>
    <row r="20">
      <c r="A20" s="5" t="n">
        <v>46314</v>
      </c>
      <c r="F20">
        <f>IF(C20="","",VLOOKUP(C20,SKU_Master!$A:$B,2,FALSE))</f>
        <v/>
      </c>
      <c r="G20">
        <f>IF(C20="","",VLOOKUP(C20,SKU_Master!$A:$G,7,FALSE))</f>
        <v/>
      </c>
    </row>
    <row r="21">
      <c r="A21" s="5" t="n">
        <v>46314</v>
      </c>
      <c r="F21">
        <f>IF(C21="","",VLOOKUP(C21,SKU_Master!$A:$B,2,FALSE))</f>
        <v/>
      </c>
      <c r="G21">
        <f>IF(C21="","",VLOOKUP(C21,SKU_Master!$A:$G,7,FALSE))</f>
        <v/>
      </c>
    </row>
    <row r="22">
      <c r="A22" s="5" t="n">
        <v>46314</v>
      </c>
      <c r="F22">
        <f>IF(C22="","",VLOOKUP(C22,SKU_Master!$A:$B,2,FALSE))</f>
        <v/>
      </c>
      <c r="G22">
        <f>IF(C22="","",VLOOKUP(C22,SKU_Master!$A:$G,7,FALSE))</f>
        <v/>
      </c>
    </row>
    <row r="23">
      <c r="A23" s="5" t="n">
        <v>46314</v>
      </c>
      <c r="F23">
        <f>IF(C23="","",VLOOKUP(C23,SKU_Master!$A:$B,2,FALSE))</f>
        <v/>
      </c>
      <c r="G23">
        <f>IF(C23="","",VLOOKUP(C23,SKU_Master!$A:$G,7,FALSE))</f>
        <v/>
      </c>
    </row>
    <row r="26">
      <c r="A26" s="8" t="inlineStr">
        <is>
          <t>How it works: pick type + SKU from the dropdowns, enter qty; the name/bin fill in automatically. Then copy the row into Raw_Receipts (needs unit_cost), Raw_Issues or Raw_Adjustments (qty may be negative). Use negative qty for damaged/expired stock.</t>
        </is>
      </c>
    </row>
    <row r="27">
      <c r="A27" s="8" t="inlineStr">
        <is>
          <t>Automation note: these Raw_* tables are plain ranges with AutoFilter (no Table objects) so the workbook recalculates in Excel, LibreOffice and Google Sheets. A 2-minute Power Query 'append new rows' routine is described on PowerBI_Model.</t>
        </is>
      </c>
    </row>
  </sheetData>
  <dataValidations count="2">
    <dataValidation sqref="B4:B23" showDropDown="0" showInputMessage="0" showErrorMessage="0" allowBlank="1" type="list">
      <formula1>"Receipt,Issue,Adjustment"</formula1>
    </dataValidation>
    <dataValidation sqref="C4:C23" showDropDown="0" showInputMessage="0" showErrorMessage="0" allowBlank="1" type="list">
      <formula1>SKU_Master!$A$2:$A$37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</sheetPr>
  <dimension ref="A1:AA5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hidden="1" width="13" customWidth="1" min="27" max="27"/>
  </cols>
  <sheetData>
    <row r="1">
      <c r="A1" s="1" t="inlineStr">
        <is>
          <t>Dashboard — KPIs (all formula-linked)</t>
        </is>
      </c>
    </row>
    <row r="3">
      <c r="A3" s="9" t="inlineStr">
        <is>
          <t>Total SKUs</t>
        </is>
      </c>
      <c r="B3" s="10">
        <f>COUNTA(Stock_Ledger!$A$3:$A$38)</f>
        <v/>
      </c>
      <c r="AA3" s="4">
        <f>IF(Stock_Ledger!$C3=$B$52,Stock_Ledger!$M3,0)</f>
        <v/>
      </c>
    </row>
    <row r="4">
      <c r="A4" s="9" t="inlineStr">
        <is>
          <t>Total stock value</t>
        </is>
      </c>
      <c r="B4" s="11">
        <f>SUM(Stock_Ledger!$M$3:$M$38)</f>
        <v/>
      </c>
      <c r="AA4" s="4">
        <f>IF(Stock_Ledger!$C4=$B$52,Stock_Ledger!$M4,0)</f>
        <v/>
      </c>
    </row>
    <row r="5">
      <c r="A5" s="9" t="inlineStr">
        <is>
          <t>SKUs on REORDER</t>
        </is>
      </c>
      <c r="B5" s="10">
        <f>COUNTIF(Stock_Ledger!$P$3:$P$38,"REORDER")</f>
        <v/>
      </c>
      <c r="AA5" s="4">
        <f>IF(Stock_Ledger!$C5=$B$52,Stock_Ledger!$M5,0)</f>
        <v/>
      </c>
    </row>
    <row r="6">
      <c r="A6" s="9" t="inlineStr">
        <is>
          <t>STOCKOUT SKUs</t>
        </is>
      </c>
      <c r="B6" s="10">
        <f>COUNTIF(Stock_Ledger!$P$3:$P$38,"STOCKOUT")</f>
        <v/>
      </c>
      <c r="AA6" s="4">
        <f>IF(Stock_Ledger!$C6=$B$52,Stock_Ledger!$M6,0)</f>
        <v/>
      </c>
    </row>
    <row r="7">
      <c r="A7" s="9" t="inlineStr">
        <is>
          <t>OVERSTOCK SKUs</t>
        </is>
      </c>
      <c r="B7" s="10">
        <f>COUNTIF(Stock_Ledger!$P$3:$P$38,"OVERSTOCK")</f>
        <v/>
      </c>
      <c r="AA7" s="4">
        <f>IF(Stock_Ledger!$C7=$B$52,Stock_Ledger!$M7,0)</f>
        <v/>
      </c>
    </row>
    <row r="8">
      <c r="A8" s="9" t="inlineStr">
        <is>
          <t>Avg days of cover</t>
        </is>
      </c>
      <c r="B8" s="12">
        <f>AVERAGEIF(Stock_Ledger!$O$3:$O$38,"&lt;900")</f>
        <v/>
      </c>
      <c r="AA8" s="4">
        <f>IF(Stock_Ledger!$C8=$B$52,Stock_Ledger!$M8,0)</f>
        <v/>
      </c>
    </row>
    <row r="9">
      <c r="A9" s="9" t="inlineStr">
        <is>
          <t>Receipts value (period)</t>
        </is>
      </c>
      <c r="B9" s="11">
        <f>SUM(Raw_Receipts!$G:$G)</f>
        <v/>
      </c>
      <c r="AA9" s="4">
        <f>IF(Stock_Ledger!$C9=$B$52,Stock_Ledger!$M9,0)</f>
        <v/>
      </c>
    </row>
    <row r="10">
      <c r="A10" s="9" t="inlineStr">
        <is>
          <t>Issues qty (period)</t>
        </is>
      </c>
      <c r="B10" s="10">
        <f>SUM(Raw_Issues!$D:$D)</f>
        <v/>
      </c>
      <c r="AA10" s="4">
        <f>IF(Stock_Ledger!$C10=$B$52,Stock_Ledger!$M10,0)</f>
        <v/>
      </c>
    </row>
    <row r="11">
      <c r="AA11" s="4">
        <f>IF(Stock_Ledger!$C11=$B$52,Stock_Ledger!$M11,0)</f>
        <v/>
      </c>
    </row>
    <row r="12">
      <c r="AA12" s="4">
        <f>IF(Stock_Ledger!$C12=$B$52,Stock_Ledger!$M12,0)</f>
        <v/>
      </c>
    </row>
    <row r="13">
      <c r="A13" s="13" t="inlineStr">
        <is>
          <t>Stock value by category</t>
        </is>
      </c>
      <c r="AA13" s="4">
        <f>IF(Stock_Ledger!$C13=$B$52,Stock_Ledger!$M13,0)</f>
        <v/>
      </c>
    </row>
    <row r="14">
      <c r="A14" s="14" t="inlineStr">
        <is>
          <t>Category</t>
        </is>
      </c>
      <c r="B14" s="14" t="inlineStr">
        <is>
          <t>Stock value</t>
        </is>
      </c>
      <c r="C14" s="14" t="inlineStr">
        <is>
          <t>SKUs</t>
        </is>
      </c>
      <c r="AA14" s="4">
        <f>IF(Stock_Ledger!$C14=$B$52,Stock_Ledger!$M14,0)</f>
        <v/>
      </c>
    </row>
    <row r="15">
      <c r="A15" t="inlineStr">
        <is>
          <t>Beverages</t>
        </is>
      </c>
      <c r="B15" s="4">
        <f>SUMIFS(Stock_Ledger!$M:$M,Stock_Ledger!$C:$C,$A15)</f>
        <v/>
      </c>
      <c r="C15" s="3">
        <f>COUNTIFS(Stock_Ledger!$C:$C,$A15)</f>
        <v/>
      </c>
      <c r="AA15" s="4">
        <f>IF(Stock_Ledger!$C15=$B$52,Stock_Ledger!$M15,0)</f>
        <v/>
      </c>
    </row>
    <row r="16">
      <c r="A16" t="inlineStr">
        <is>
          <t>Household</t>
        </is>
      </c>
      <c r="B16" s="4">
        <f>SUMIFS(Stock_Ledger!$M:$M,Stock_Ledger!$C:$C,$A16)</f>
        <v/>
      </c>
      <c r="C16" s="3">
        <f>COUNTIFS(Stock_Ledger!$C:$C,$A16)</f>
        <v/>
      </c>
      <c r="AA16" s="4">
        <f>IF(Stock_Ledger!$C16=$B$52,Stock_Ledger!$M16,0)</f>
        <v/>
      </c>
    </row>
    <row r="17">
      <c r="A17" t="inlineStr">
        <is>
          <t>Personal Care</t>
        </is>
      </c>
      <c r="B17" s="4">
        <f>SUMIFS(Stock_Ledger!$M:$M,Stock_Ledger!$C:$C,$A17)</f>
        <v/>
      </c>
      <c r="C17" s="3">
        <f>COUNTIFS(Stock_Ledger!$C:$C,$A17)</f>
        <v/>
      </c>
      <c r="AA17" s="4">
        <f>IF(Stock_Ledger!$C17=$B$52,Stock_Ledger!$M17,0)</f>
        <v/>
      </c>
    </row>
    <row r="18">
      <c r="A18" t="inlineStr">
        <is>
          <t>Snacks</t>
        </is>
      </c>
      <c r="B18" s="4">
        <f>SUMIFS(Stock_Ledger!$M:$M,Stock_Ledger!$C:$C,$A18)</f>
        <v/>
      </c>
      <c r="C18" s="3">
        <f>COUNTIFS(Stock_Ledger!$C:$C,$A18)</f>
        <v/>
      </c>
      <c r="AA18" s="4">
        <f>IF(Stock_Ledger!$C18=$B$52,Stock_Ledger!$M18,0)</f>
        <v/>
      </c>
    </row>
    <row r="19">
      <c r="A19" t="inlineStr">
        <is>
          <t>Staples</t>
        </is>
      </c>
      <c r="B19" s="4">
        <f>SUMIFS(Stock_Ledger!$M:$M,Stock_Ledger!$C:$C,$A19)</f>
        <v/>
      </c>
      <c r="C19" s="3">
        <f>COUNTIFS(Stock_Ledger!$C:$C,$A19)</f>
        <v/>
      </c>
      <c r="AA19" s="4">
        <f>IF(Stock_Ledger!$C19=$B$52,Stock_Ledger!$M19,0)</f>
        <v/>
      </c>
    </row>
    <row r="20">
      <c r="AA20" s="4">
        <f>IF(Stock_Ledger!$C20=$B$52,Stock_Ledger!$M20,0)</f>
        <v/>
      </c>
    </row>
    <row r="21">
      <c r="AA21" s="4">
        <f>IF(Stock_Ledger!$C21=$B$52,Stock_Ledger!$M21,0)</f>
        <v/>
      </c>
    </row>
    <row r="22">
      <c r="A22" s="13" t="inlineStr">
        <is>
          <t>Daily receipts vs issues (qty)</t>
        </is>
      </c>
      <c r="AA22" s="4">
        <f>IF(Stock_Ledger!$C22=$B$52,Stock_Ledger!$M22,0)</f>
        <v/>
      </c>
    </row>
    <row r="23">
      <c r="A23" s="14" t="inlineStr">
        <is>
          <t>Date</t>
        </is>
      </c>
      <c r="B23" s="14" t="inlineStr">
        <is>
          <t>Receipts qty</t>
        </is>
      </c>
      <c r="C23" s="14" t="inlineStr">
        <is>
          <t>Issues qty</t>
        </is>
      </c>
      <c r="AA23" s="4">
        <f>IF(Stock_Ledger!$C23=$B$52,Stock_Ledger!$M23,0)</f>
        <v/>
      </c>
    </row>
    <row r="24">
      <c r="A24" s="5" t="n">
        <v>46296</v>
      </c>
      <c r="B24" s="3">
        <f>SUMIFS(Raw_Receipts!$D:$D,Raw_Receipts!$A:$A,$A24)</f>
        <v/>
      </c>
      <c r="C24" s="3">
        <f>SUMIFS(Raw_Issues!$D:$D,Raw_Issues!$A:$A,$A24)</f>
        <v/>
      </c>
      <c r="AA24" s="4">
        <f>IF(Stock_Ledger!$C24=$B$52,Stock_Ledger!$M24,0)</f>
        <v/>
      </c>
    </row>
    <row r="25">
      <c r="A25" s="5" t="n">
        <v>46297</v>
      </c>
      <c r="B25" s="3">
        <f>SUMIFS(Raw_Receipts!$D:$D,Raw_Receipts!$A:$A,$A25)</f>
        <v/>
      </c>
      <c r="C25" s="3">
        <f>SUMIFS(Raw_Issues!$D:$D,Raw_Issues!$A:$A,$A25)</f>
        <v/>
      </c>
      <c r="AA25" s="4">
        <f>IF(Stock_Ledger!$C25=$B$52,Stock_Ledger!$M25,0)</f>
        <v/>
      </c>
    </row>
    <row r="26">
      <c r="A26" s="5" t="n">
        <v>46298</v>
      </c>
      <c r="B26" s="3">
        <f>SUMIFS(Raw_Receipts!$D:$D,Raw_Receipts!$A:$A,$A26)</f>
        <v/>
      </c>
      <c r="C26" s="3">
        <f>SUMIFS(Raw_Issues!$D:$D,Raw_Issues!$A:$A,$A26)</f>
        <v/>
      </c>
      <c r="AA26" s="4">
        <f>IF(Stock_Ledger!$C26=$B$52,Stock_Ledger!$M26,0)</f>
        <v/>
      </c>
    </row>
    <row r="27">
      <c r="A27" s="5" t="n">
        <v>46299</v>
      </c>
      <c r="B27" s="3">
        <f>SUMIFS(Raw_Receipts!$D:$D,Raw_Receipts!$A:$A,$A27)</f>
        <v/>
      </c>
      <c r="C27" s="3">
        <f>SUMIFS(Raw_Issues!$D:$D,Raw_Issues!$A:$A,$A27)</f>
        <v/>
      </c>
      <c r="AA27" s="4">
        <f>IF(Stock_Ledger!$C27=$B$52,Stock_Ledger!$M27,0)</f>
        <v/>
      </c>
    </row>
    <row r="28">
      <c r="A28" s="5" t="n">
        <v>46300</v>
      </c>
      <c r="B28" s="3">
        <f>SUMIFS(Raw_Receipts!$D:$D,Raw_Receipts!$A:$A,$A28)</f>
        <v/>
      </c>
      <c r="C28" s="3">
        <f>SUMIFS(Raw_Issues!$D:$D,Raw_Issues!$A:$A,$A28)</f>
        <v/>
      </c>
      <c r="AA28" s="4">
        <f>IF(Stock_Ledger!$C28=$B$52,Stock_Ledger!$M28,0)</f>
        <v/>
      </c>
    </row>
    <row r="29">
      <c r="A29" s="5" t="n">
        <v>46301</v>
      </c>
      <c r="B29" s="3">
        <f>SUMIFS(Raw_Receipts!$D:$D,Raw_Receipts!$A:$A,$A29)</f>
        <v/>
      </c>
      <c r="C29" s="3">
        <f>SUMIFS(Raw_Issues!$D:$D,Raw_Issues!$A:$A,$A29)</f>
        <v/>
      </c>
      <c r="AA29" s="4">
        <f>IF(Stock_Ledger!$C29=$B$52,Stock_Ledger!$M29,0)</f>
        <v/>
      </c>
    </row>
    <row r="30">
      <c r="A30" s="5" t="n">
        <v>46302</v>
      </c>
      <c r="B30" s="3">
        <f>SUMIFS(Raw_Receipts!$D:$D,Raw_Receipts!$A:$A,$A30)</f>
        <v/>
      </c>
      <c r="C30" s="3">
        <f>SUMIFS(Raw_Issues!$D:$D,Raw_Issues!$A:$A,$A30)</f>
        <v/>
      </c>
      <c r="AA30" s="4">
        <f>IF(Stock_Ledger!$C30=$B$52,Stock_Ledger!$M30,0)</f>
        <v/>
      </c>
    </row>
    <row r="31">
      <c r="A31" s="5" t="n">
        <v>46303</v>
      </c>
      <c r="B31" s="3">
        <f>SUMIFS(Raw_Receipts!$D:$D,Raw_Receipts!$A:$A,$A31)</f>
        <v/>
      </c>
      <c r="C31" s="3">
        <f>SUMIFS(Raw_Issues!$D:$D,Raw_Issues!$A:$A,$A31)</f>
        <v/>
      </c>
      <c r="AA31" s="4">
        <f>IF(Stock_Ledger!$C31=$B$52,Stock_Ledger!$M31,0)</f>
        <v/>
      </c>
    </row>
    <row r="32">
      <c r="A32" s="5" t="n">
        <v>46304</v>
      </c>
      <c r="B32" s="3">
        <f>SUMIFS(Raw_Receipts!$D:$D,Raw_Receipts!$A:$A,$A32)</f>
        <v/>
      </c>
      <c r="C32" s="3">
        <f>SUMIFS(Raw_Issues!$D:$D,Raw_Issues!$A:$A,$A32)</f>
        <v/>
      </c>
      <c r="AA32" s="4">
        <f>IF(Stock_Ledger!$C32=$B$52,Stock_Ledger!$M32,0)</f>
        <v/>
      </c>
    </row>
    <row r="33">
      <c r="A33" s="5" t="n">
        <v>46305</v>
      </c>
      <c r="B33" s="3">
        <f>SUMIFS(Raw_Receipts!$D:$D,Raw_Receipts!$A:$A,$A33)</f>
        <v/>
      </c>
      <c r="C33" s="3">
        <f>SUMIFS(Raw_Issues!$D:$D,Raw_Issues!$A:$A,$A33)</f>
        <v/>
      </c>
      <c r="AA33" s="4">
        <f>IF(Stock_Ledger!$C33=$B$52,Stock_Ledger!$M33,0)</f>
        <v/>
      </c>
    </row>
    <row r="34">
      <c r="A34" s="5" t="n">
        <v>46306</v>
      </c>
      <c r="B34" s="3">
        <f>SUMIFS(Raw_Receipts!$D:$D,Raw_Receipts!$A:$A,$A34)</f>
        <v/>
      </c>
      <c r="C34" s="3">
        <f>SUMIFS(Raw_Issues!$D:$D,Raw_Issues!$A:$A,$A34)</f>
        <v/>
      </c>
      <c r="AA34" s="4">
        <f>IF(Stock_Ledger!$C34=$B$52,Stock_Ledger!$M34,0)</f>
        <v/>
      </c>
    </row>
    <row r="35">
      <c r="A35" s="5" t="n">
        <v>46307</v>
      </c>
      <c r="B35" s="3">
        <f>SUMIFS(Raw_Receipts!$D:$D,Raw_Receipts!$A:$A,$A35)</f>
        <v/>
      </c>
      <c r="C35" s="3">
        <f>SUMIFS(Raw_Issues!$D:$D,Raw_Issues!$A:$A,$A35)</f>
        <v/>
      </c>
      <c r="AA35" s="4">
        <f>IF(Stock_Ledger!$C35=$B$52,Stock_Ledger!$M35,0)</f>
        <v/>
      </c>
    </row>
    <row r="36">
      <c r="A36" s="5" t="n">
        <v>46308</v>
      </c>
      <c r="B36" s="3">
        <f>SUMIFS(Raw_Receipts!$D:$D,Raw_Receipts!$A:$A,$A36)</f>
        <v/>
      </c>
      <c r="C36" s="3">
        <f>SUMIFS(Raw_Issues!$D:$D,Raw_Issues!$A:$A,$A36)</f>
        <v/>
      </c>
      <c r="AA36" s="4">
        <f>IF(Stock_Ledger!$C36=$B$52,Stock_Ledger!$M36,0)</f>
        <v/>
      </c>
    </row>
    <row r="37">
      <c r="A37" s="5" t="n">
        <v>46309</v>
      </c>
      <c r="B37" s="3">
        <f>SUMIFS(Raw_Receipts!$D:$D,Raw_Receipts!$A:$A,$A37)</f>
        <v/>
      </c>
      <c r="C37" s="3">
        <f>SUMIFS(Raw_Issues!$D:$D,Raw_Issues!$A:$A,$A37)</f>
        <v/>
      </c>
      <c r="AA37" s="4">
        <f>IF(Stock_Ledger!$C37=$B$52,Stock_Ledger!$M37,0)</f>
        <v/>
      </c>
    </row>
    <row r="38">
      <c r="A38" s="5" t="n">
        <v>46310</v>
      </c>
      <c r="B38" s="3">
        <f>SUMIFS(Raw_Receipts!$D:$D,Raw_Receipts!$A:$A,$A38)</f>
        <v/>
      </c>
      <c r="C38" s="3">
        <f>SUMIFS(Raw_Issues!$D:$D,Raw_Issues!$A:$A,$A38)</f>
        <v/>
      </c>
      <c r="AA38" s="4">
        <f>IF(Stock_Ledger!$C38=$B$52,Stock_Ledger!$M38,0)</f>
        <v/>
      </c>
    </row>
    <row r="39">
      <c r="A39" s="5" t="n">
        <v>46311</v>
      </c>
      <c r="B39" s="3">
        <f>SUMIFS(Raw_Receipts!$D:$D,Raw_Receipts!$A:$A,$A39)</f>
        <v/>
      </c>
      <c r="C39" s="3">
        <f>SUMIFS(Raw_Issues!$D:$D,Raw_Issues!$A:$A,$A39)</f>
        <v/>
      </c>
    </row>
    <row r="40">
      <c r="A40" s="5" t="n">
        <v>46312</v>
      </c>
      <c r="B40" s="3">
        <f>SUMIFS(Raw_Receipts!$D:$D,Raw_Receipts!$A:$A,$A40)</f>
        <v/>
      </c>
      <c r="C40" s="3">
        <f>SUMIFS(Raw_Issues!$D:$D,Raw_Issues!$A:$A,$A40)</f>
        <v/>
      </c>
    </row>
    <row r="41">
      <c r="A41" s="5" t="n">
        <v>46313</v>
      </c>
      <c r="B41" s="3">
        <f>SUMIFS(Raw_Receipts!$D:$D,Raw_Receipts!$A:$A,$A41)</f>
        <v/>
      </c>
      <c r="C41" s="3">
        <f>SUMIFS(Raw_Issues!$D:$D,Raw_Issues!$A:$A,$A41)</f>
        <v/>
      </c>
    </row>
    <row r="44">
      <c r="A44" s="13" t="inlineStr">
        <is>
          <t>Stock status mix</t>
        </is>
      </c>
    </row>
    <row r="45">
      <c r="A45" s="14" t="inlineStr">
        <is>
          <t>Status</t>
        </is>
      </c>
      <c r="B45" s="14" t="inlineStr">
        <is>
          <t>SKUs</t>
        </is>
      </c>
    </row>
    <row r="46">
      <c r="A46" t="inlineStr">
        <is>
          <t>OK</t>
        </is>
      </c>
      <c r="B46" s="3">
        <f>COUNTIF(Stock_Ledger!$P$3:$P$38,"OK")</f>
        <v/>
      </c>
    </row>
    <row r="47">
      <c r="A47" t="inlineStr">
        <is>
          <t>REORDER</t>
        </is>
      </c>
      <c r="B47" s="3">
        <f>COUNTIF(Stock_Ledger!$P$3:$P$38,"REORDER")</f>
        <v/>
      </c>
    </row>
    <row r="48">
      <c r="A48" t="inlineStr">
        <is>
          <t>STOCKOUT</t>
        </is>
      </c>
      <c r="B48" s="3">
        <f>COUNTIF(Stock_Ledger!$P$3:$P$38,"STOCKOUT")</f>
        <v/>
      </c>
    </row>
    <row r="49">
      <c r="A49" t="inlineStr">
        <is>
          <t>OVERSTOCK</t>
        </is>
      </c>
      <c r="B49" s="3">
        <f>COUNTIF(Stock_Ledger!$P$3:$P$38,"OVERSTOCK")</f>
        <v/>
      </c>
    </row>
    <row r="52">
      <c r="A52" s="13" t="inlineStr">
        <is>
          <t>Drill-through — top 5 SKUs by stock value in category:</t>
        </is>
      </c>
      <c r="B52" s="15" t="inlineStr">
        <is>
          <t>Beverages</t>
        </is>
      </c>
    </row>
    <row r="53">
      <c r="A53" s="14" t="inlineStr">
        <is>
          <t>Rank</t>
        </is>
      </c>
      <c r="B53" s="14" t="inlineStr">
        <is>
          <t>Stock value</t>
        </is>
      </c>
      <c r="C53" s="14" t="inlineStr">
        <is>
          <t>SKU</t>
        </is>
      </c>
      <c r="D53" s="14" t="inlineStr">
        <is>
          <t>Name</t>
        </is>
      </c>
      <c r="E53" s="14" t="inlineStr">
        <is>
          <t>Closing qty</t>
        </is>
      </c>
      <c r="F53" s="14" t="inlineStr">
        <is>
          <t>Value check</t>
        </is>
      </c>
    </row>
    <row r="54">
      <c r="A54" t="n">
        <v>1</v>
      </c>
      <c r="B54" s="4">
        <f>IF(COUNTIF($AA$3:$AA$38,"&gt;0")&gt;=1,LARGE($AA$3:$AA$38,1),0)</f>
        <v/>
      </c>
      <c r="C54">
        <f>IF($B54=0,"",INDEX(Stock_Ledger!$A$3:$A$38,MATCH($B54,$AA$3:$AA$38,0)))</f>
        <v/>
      </c>
      <c r="D54">
        <f>IF($C54="","",VLOOKUP($C54,Stock_Ledger!$A:$B,2,FALSE))</f>
        <v/>
      </c>
      <c r="E54" s="3">
        <f>IF($C54="","",VLOOKUP($C54,Stock_Ledger!$A:$K,11,FALSE))</f>
        <v/>
      </c>
      <c r="F54" s="4">
        <f>$B54</f>
        <v/>
      </c>
    </row>
    <row r="55">
      <c r="A55" t="n">
        <v>2</v>
      </c>
      <c r="B55" s="4">
        <f>IF(COUNTIF($AA$3:$AA$38,"&gt;0")&gt;=2,LARGE($AA$3:$AA$38,2),0)</f>
        <v/>
      </c>
      <c r="C55">
        <f>IF($B55=0,"",INDEX(Stock_Ledger!$A$3:$A$38,MATCH($B55,$AA$3:$AA$38,0)))</f>
        <v/>
      </c>
      <c r="D55">
        <f>IF($C55="","",VLOOKUP($C55,Stock_Ledger!$A:$B,2,FALSE))</f>
        <v/>
      </c>
      <c r="E55" s="3">
        <f>IF($C55="","",VLOOKUP($C55,Stock_Ledger!$A:$K,11,FALSE))</f>
        <v/>
      </c>
      <c r="F55" s="4">
        <f>$B55</f>
        <v/>
      </c>
    </row>
    <row r="56">
      <c r="A56" t="n">
        <v>3</v>
      </c>
      <c r="B56" s="4">
        <f>IF(COUNTIF($AA$3:$AA$38,"&gt;0")&gt;=3,LARGE($AA$3:$AA$38,3),0)</f>
        <v/>
      </c>
      <c r="C56">
        <f>IF($B56=0,"",INDEX(Stock_Ledger!$A$3:$A$38,MATCH($B56,$AA$3:$AA$38,0)))</f>
        <v/>
      </c>
      <c r="D56">
        <f>IF($C56="","",VLOOKUP($C56,Stock_Ledger!$A:$B,2,FALSE))</f>
        <v/>
      </c>
      <c r="E56" s="3">
        <f>IF($C56="","",VLOOKUP($C56,Stock_Ledger!$A:$K,11,FALSE))</f>
        <v/>
      </c>
      <c r="F56" s="4">
        <f>$B56</f>
        <v/>
      </c>
    </row>
    <row r="57">
      <c r="A57" t="n">
        <v>4</v>
      </c>
      <c r="B57" s="4">
        <f>IF(COUNTIF($AA$3:$AA$38,"&gt;0")&gt;=4,LARGE($AA$3:$AA$38,4),0)</f>
        <v/>
      </c>
      <c r="C57">
        <f>IF($B57=0,"",INDEX(Stock_Ledger!$A$3:$A$38,MATCH($B57,$AA$3:$AA$38,0)))</f>
        <v/>
      </c>
      <c r="D57">
        <f>IF($C57="","",VLOOKUP($C57,Stock_Ledger!$A:$B,2,FALSE))</f>
        <v/>
      </c>
      <c r="E57" s="3">
        <f>IF($C57="","",VLOOKUP($C57,Stock_Ledger!$A:$K,11,FALSE))</f>
        <v/>
      </c>
      <c r="F57" s="4">
        <f>$B57</f>
        <v/>
      </c>
    </row>
    <row r="58">
      <c r="A58" t="n">
        <v>5</v>
      </c>
      <c r="B58" s="4">
        <f>IF(COUNTIF($AA$3:$AA$38,"&gt;0")&gt;=5,LARGE($AA$3:$AA$38,5),0)</f>
        <v/>
      </c>
      <c r="C58">
        <f>IF($B58=0,"",INDEX(Stock_Ledger!$A$3:$A$38,MATCH($B58,$AA$3:$AA$38,0)))</f>
        <v/>
      </c>
      <c r="D58">
        <f>IF($C58="","",VLOOKUP($C58,Stock_Ledger!$A:$B,2,FALSE))</f>
        <v/>
      </c>
      <c r="E58" s="3">
        <f>IF($C58="","",VLOOKUP($C58,Stock_Ledger!$A:$K,11,FALSE))</f>
        <v/>
      </c>
      <c r="F58" s="4">
        <f>$B58</f>
        <v/>
      </c>
    </row>
  </sheetData>
  <dataValidations count="1">
    <dataValidation sqref="B52" showDropDown="0" showInputMessage="0" showErrorMessage="0" allowBlank="0" type="list">
      <formula1>"Beverages,Household,Personal Care,Snacks,Staples"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95" customWidth="1" min="1" max="1"/>
    <col width="18" customWidth="1" min="2" max="2"/>
  </cols>
  <sheetData>
    <row r="1">
      <c r="A1" s="1" t="inlineStr">
        <is>
          <t>AI_Report — rule-based narrative (recalculates with the data)</t>
        </is>
      </c>
    </row>
    <row r="3">
      <c r="A3" s="13" t="inlineStr">
        <is>
          <t>Key findings</t>
        </is>
      </c>
    </row>
    <row r="4">
      <c r="B4" s="4">
        <f>Dashboard!B4</f>
        <v/>
      </c>
    </row>
    <row r="5" ht="24" customHeight="1">
      <c r="A5" s="8">
        <f>"Stock on hand is "&amp;TEXT(B4,"₹#,##0")&amp;" across "&amp;TEXT(Dashboard!B3,"0")&amp;" SKUs. "&amp;TEXT(B5,"0")&amp;" SKUs need reorder and "&amp;TEXT(B6,"0")&amp;" are stocked out."</f>
        <v/>
      </c>
      <c r="B5" s="3">
        <f>Dashboard!B5</f>
        <v/>
      </c>
    </row>
    <row r="6" ht="24" customHeight="1">
      <c r="A6" s="13" t="inlineStr">
        <is>
          <t>Flags</t>
        </is>
      </c>
      <c r="B6" s="3">
        <f>Dashboard!B6</f>
        <v/>
      </c>
    </row>
    <row r="7" ht="24" customHeight="1">
      <c r="A7" s="8">
        <f>IF(B6&gt;0,"⚠ "&amp;B13&amp;" is STOCKED OUT — expedite purchase or transfer","✓ No stockouts")</f>
        <v/>
      </c>
      <c r="B7" s="4">
        <f>SUMIFS(Stock_Ledger!$M:$M,Stock_Ledger!$P:$P,"OVERSTOCK")</f>
        <v/>
      </c>
    </row>
    <row r="8" ht="24" customHeight="1">
      <c r="A8" s="8">
        <f>IF(B5&gt;3,"⚠ "&amp;TEXT(B5,"0")&amp;" SKUs at/below reorder level — raise POs for "&amp;TEXT(B14,"#,##0")&amp;" units total","✓ Reorder list is short")</f>
        <v/>
      </c>
      <c r="B8" s="4">
        <f>Dashboard!B9</f>
        <v/>
      </c>
    </row>
    <row r="9" ht="24" customHeight="1">
      <c r="A9" s="8">
        <f>IF(B7/B4&gt;0.2,"⚠ "&amp;TEXT(B7,"₹#,##0")&amp;" ("&amp;TEXT(B7/B4,"0%")&amp;") sits in OVERSTOCK — pause buying there","✓ No material overstock")</f>
        <v/>
      </c>
      <c r="B9" s="3">
        <f>Dashboard!B10</f>
        <v/>
      </c>
    </row>
    <row r="10" ht="24" customHeight="1">
      <c r="A10" s="8">
        <f>IF(B10&gt;0.2,"⚠ Dispatches up "&amp;TEXT(B10,"0%")&amp;" in the second half of the period — watch fast movers","✓ Dispatch pace is steady")</f>
        <v/>
      </c>
      <c r="B10" s="7">
        <f>IF(SUMIFS(Raw_Issues!$D:$D,Raw_Issues!$A:$A,"&lt;"&amp;DATE(2026,10,10))=0,0,SUMIFS(Raw_Issues!$D:$D,Raw_Issues!$A:$A,"&gt;="&amp;DATE(2026,10,10))/SUMIFS(Raw_Issues!$D:$D,Raw_Issues!$A:$A,"&lt;"&amp;DATE(2026,10,10))-1)</f>
        <v/>
      </c>
    </row>
    <row r="11" ht="24" customHeight="1">
      <c r="A11" s="8">
        <f>IF(B11&gt;0.4,"⚠ One category holds "&amp;TEXT(B11,"0%")&amp;" of stock value — concentration risk","✓ Stock value spread across categories")</f>
        <v/>
      </c>
      <c r="B11" s="7">
        <f>MAX(Dashboard!B15:B19)/Dashboard!B4</f>
        <v/>
      </c>
    </row>
    <row r="12" ht="24" customHeight="1">
      <c r="A12" s="8">
        <f>IF(B12&gt;0,"⚠ "&amp;TEXT(B12,"0")&amp;" bins are over 90% full — rebalance","✓ Bin utilisation is healthy")</f>
        <v/>
      </c>
      <c r="B12" s="3">
        <f>COUNTIF(Bin_Map!$F:$F,"FULL")</f>
        <v/>
      </c>
    </row>
    <row r="13" ht="24" customHeight="1">
      <c r="A13" s="8">
        <f>IF(SUMPRODUCT((Stock_Ledger!$K$3:$K$38&lt;0)+0)&gt;0,"⚠ Negative closing stock exists — data error","✓ No negative stock")</f>
        <v/>
      </c>
      <c r="B13">
        <f>IFERROR(INDEX(Stock_Ledger!$A:$A,MATCH("STOCKOUT",Stock_Ledger!$P:$P,0)),"none")</f>
        <v/>
      </c>
    </row>
    <row r="14" ht="24" customHeight="1">
      <c r="A14" s="8" t="inlineStr">
        <is>
          <t>"ℹ Next: paste today&amp;apos;s rows into Raw_* and the ledger, bins, dashboard and this report all refresh."</t>
        </is>
      </c>
      <c r="B14" s="3">
        <f>SUM(Stock_Ledger!$Q:$Q)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</cols>
  <sheetData>
    <row r="1">
      <c r="A1" s="1" t="inlineStr">
        <is>
          <t>Checks — all must be TRUE after recalculation</t>
        </is>
      </c>
    </row>
    <row r="2">
      <c r="A2" s="2" t="inlineStr">
        <is>
          <t>Check</t>
        </is>
      </c>
      <c r="B2" s="2" t="inlineStr">
        <is>
          <t>Result</t>
        </is>
      </c>
    </row>
    <row r="3">
      <c r="A3" t="inlineStr">
        <is>
          <t>Ledger closing = opening + receipts − issues + adjustments (all SKUs)</t>
        </is>
      </c>
      <c r="B3" s="9">
        <f>SUMPRODUCT(ABS(Stock_Ledger!$K$3:$K$38-(Stock_Ledger!$F$3:$F$38+Stock_Ledger!$G$3:$G$38-Stock_Ledger!$I$3:$I$38+Stock_Ledger!$J$3:$J$38)))&lt;0.01</f>
        <v/>
      </c>
    </row>
    <row r="4">
      <c r="A4" t="inlineStr">
        <is>
          <t>No negative closing stock</t>
        </is>
      </c>
      <c r="B4" s="9">
        <f>COUNTIF(Stock_Ledger!$K$3:$K$38,"&lt;0")=0</f>
        <v/>
      </c>
    </row>
    <row r="5">
      <c r="A5" t="inlineStr">
        <is>
          <t>Stock value = SUM(closing × WAC)</t>
        </is>
      </c>
      <c r="B5" s="9">
        <f>ABS(SUM(Stock_Ledger!$M$3:$M$38)-SUMPRODUCT(Stock_Ledger!$K$3:$K$38,Stock_Ledger!$L$3:$L$38))&lt;1</f>
        <v/>
      </c>
    </row>
    <row r="6">
      <c r="A6" t="inlineStr">
        <is>
          <t>Bin quantities tie to ledger closings</t>
        </is>
      </c>
      <c r="B6" s="9">
        <f>ABS(SUM(Bin_Map!$C$3:$C$14)-SUM(Stock_Ledger!$K$3:$K$38))&lt;0.01</f>
        <v/>
      </c>
    </row>
    <row r="7">
      <c r="A7" t="inlineStr">
        <is>
          <t>Receipts value ties raw ↔ ledger</t>
        </is>
      </c>
      <c r="B7" s="9">
        <f>ABS(SUM(Raw_Receipts!$G:$G)-SUM(Stock_Ledger!$H$3:$H$38))&lt;0.01</f>
        <v/>
      </c>
    </row>
    <row r="8">
      <c r="A8" t="inlineStr">
        <is>
          <t>Issues qty ties raw ↔ ledger</t>
        </is>
      </c>
      <c r="B8" s="9">
        <f>SUM(Raw_Issues!$D:$D)=SUM(Stock_Ledger!$I$3:$I$38)</f>
        <v/>
      </c>
    </row>
    <row r="9">
      <c r="A9" t="inlineStr">
        <is>
          <t>Status counts add up to total SKUs</t>
        </is>
      </c>
      <c r="B9" s="9">
        <f>(COUNTIF(Stock_Ledger!$P$3:$P$38,"OK")+COUNTIF(Stock_Ledger!$P$3:$P$38,"REORDER")+COUNTIF(Stock_Ledger!$P$3:$P$38,"STOCKOUT")+COUNTIF(Stock_Ledger!$P$3:$P$38,"OVERSTOCK"))=COUNTA(Stock_Ledger!$A$3:$A$38)</f>
        <v/>
      </c>
    </row>
    <row r="10">
      <c r="A10" t="inlineStr">
        <is>
          <t>No orphan SKUs in raw tables (all exist in SKU_Master)</t>
        </is>
      </c>
      <c r="B10" s="9">
        <f>SUMPRODUCT((COUNTIF(SKU_Master!$A:$A,Raw_Receipts!$C$2:$C$128)=0)+0)+SUMPRODUCT((COUNTIF(SKU_Master!$A:$A,Raw_Issues!$C$2:$C$224)=0)+0)+SUMPRODUCT((COUNTIF(SKU_Master!$A:$A,Raw_Adjustments!$C$2:$C$18)=0)+0)=0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PowerBI_Model — star schema + DAX for the Power BI dashboard</t>
        </is>
      </c>
    </row>
    <row r="3">
      <c r="A3" t="inlineStr">
        <is>
          <t>GRAIN: one row per SKU per day (fact_inventory_daily.csv).</t>
        </is>
      </c>
    </row>
    <row r="4">
      <c r="A4" t="inlineStr">
        <is>
          <t>Dimensions: dim_sku (36 SKUs, category, bin), dim_bin (12 bins, capacity),</t>
        </is>
      </c>
    </row>
    <row r="5">
      <c r="A5" t="inlineStr">
        <is>
          <t>dim_date (2026-10-01 .. 2026-12-31). All CSVs live in powerbi/.</t>
        </is>
      </c>
    </row>
    <row r="6">
      <c r="A6" t="inlineStr">
        <is>
          <t>Relationships: fact[sku] → dim_sku[sku]; fact[bin] → dim_bin[bin];</t>
        </is>
      </c>
    </row>
    <row r="7">
      <c r="A7" t="inlineStr">
        <is>
          <t>fact[date] → dim_date[date] (all single-direction, many-to-one).</t>
        </is>
      </c>
    </row>
    <row r="8">
      <c r="A8" t="inlineStr"/>
    </row>
    <row r="9">
      <c r="A9" t="inlineStr">
        <is>
          <t>DAX MEASURES (also in powerbi/MEASURES.md):</t>
        </is>
      </c>
    </row>
    <row r="10">
      <c r="A10" t="inlineStr">
        <is>
          <t xml:space="preserve">  Closing Qty = SUM(fact[closing_qty])</t>
        </is>
      </c>
    </row>
    <row r="11">
      <c r="A11" t="inlineStr">
        <is>
          <t xml:space="preserve">  Stock Value = SUMX(fact, fact[closing_qty] * RELATED(dim_sku[wac]))</t>
        </is>
      </c>
    </row>
    <row r="12">
      <c r="A12" t="inlineStr">
        <is>
          <t xml:space="preserve">  Days of Cover = DIVIDE([Closing Qty], DIVIDE(SUM(fact[issues_qty]), 18))</t>
        </is>
      </c>
    </row>
    <row r="13">
      <c r="A13" t="inlineStr">
        <is>
          <t xml:space="preserve">  Reorder SKUs = COUNTROWS(FILTER(VALUES(dim_sku[sku]), [Closing Qty] &lt;=</t>
        </is>
      </c>
    </row>
    <row r="14">
      <c r="A14" t="inlineStr">
        <is>
          <t xml:space="preserve">      MAX(dim_sku[reorder_level])))</t>
        </is>
      </c>
    </row>
    <row r="15">
      <c r="A15" t="inlineStr">
        <is>
          <t xml:space="preserve">  Stockout SKUs = COUNTROWS(FILTER(VALUES(dim_sku[sku]), [Closing Qty] = 0))</t>
        </is>
      </c>
    </row>
    <row r="16">
      <c r="A16" t="inlineStr">
        <is>
          <t xml:space="preserve">  Receipts Value = SUM(fact[receipts_value])</t>
        </is>
      </c>
    </row>
    <row r="17">
      <c r="A17" t="inlineStr">
        <is>
          <t xml:space="preserve">  Bin Utilisation % = DIVIDE(SUM(fact[closing_qty]), SUM(dim_bin[capacity]))</t>
        </is>
      </c>
    </row>
    <row r="18">
      <c r="A18" t="inlineStr"/>
    </row>
    <row r="19">
      <c r="A19" t="inlineStr">
        <is>
          <t>POWER QUERY REFRESH (2 minutes, no VBA):</t>
        </is>
      </c>
    </row>
    <row r="20">
      <c r="A20" t="inlineStr">
        <is>
          <t xml:space="preserve">  Data → Get Data → From Text/CSV → point at data/receipts.csv etc. →</t>
        </is>
      </c>
    </row>
    <row r="21">
      <c r="A21" t="inlineStr">
        <is>
          <t xml:space="preserve">  Append new daily exports with the same column order → Refresh All.</t>
        </is>
      </c>
    </row>
    <row r="22">
      <c r="A22" t="inlineStr">
        <is>
          <t xml:space="preserve">  The Excel workbook mirrors this: paste new rows into Raw_* and every</t>
        </is>
      </c>
    </row>
    <row r="23">
      <c r="A23" t="inlineStr">
        <is>
          <t xml:space="preserve">  formula sheet (ledger, bins, dashboard, report, checks) recalculates.</t>
        </is>
      </c>
    </row>
    <row r="24">
      <c r="A24" t="inlineStr"/>
    </row>
    <row r="25">
      <c r="A25" t="inlineStr">
        <is>
          <t>DRILL-THROUGH MAPPING (Excel prototype → Power BI page):</t>
        </is>
      </c>
    </row>
    <row r="26">
      <c r="A26" t="inlineStr">
        <is>
          <t xml:space="preserve">  Dashboard KPIs → KPI cards; category column chart → bar visual with</t>
        </is>
      </c>
    </row>
    <row r="27">
      <c r="A27" t="inlineStr">
        <is>
          <t xml:space="preserve">  category axis; daily line chart → line visual by dim_date[date];</t>
        </is>
      </c>
    </row>
    <row r="28">
      <c r="A28" t="inlineStr">
        <is>
          <t xml:space="preserve">  status pie → donut visual; category selector + top-5 table →</t>
        </is>
      </c>
    </row>
    <row r="29">
      <c r="A29" t="inlineStr">
        <is>
          <t xml:space="preserve">  Power BI drill-through page filtered by dim_sku[category].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2026-10-19T02:39:22+00:00Z</dcterms:created>
  <dcterms:modified xmlns:dcterms="http://purl.org/dc/terms/" xmlns:xsi="http://www.w3.org/2001/XMLSchema-instance" xsi:type="dcterms:W3CDTF">2026-10-19T02:39:22+00:00Z</dcterms:modified>
</cp:coreProperties>
</file>