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roject_Cost" sheetId="3" state="visible" r:id="rId3"/>
    <sheet xmlns:r="http://schemas.openxmlformats.org/officeDocument/2006/relationships" name="Means_of_Finance" sheetId="4" state="visible" r:id="rId4"/>
    <sheet xmlns:r="http://schemas.openxmlformats.org/officeDocument/2006/relationships" name="Loan_Schedule" sheetId="5" state="visible" r:id="rId5"/>
    <sheet xmlns:r="http://schemas.openxmlformats.org/officeDocument/2006/relationships" name="Revenue_Cost" sheetId="6" state="visible" r:id="rId6"/>
    <sheet xmlns:r="http://schemas.openxmlformats.org/officeDocument/2006/relationships" name="PL" sheetId="7" state="visible" r:id="rId7"/>
    <sheet xmlns:r="http://schemas.openxmlformats.org/officeDocument/2006/relationships" name="CashFlow_DSCR" sheetId="8" state="visible" r:id="rId8"/>
    <sheet xmlns:r="http://schemas.openxmlformats.org/officeDocument/2006/relationships" name="BalanceSheet" sheetId="9" state="visible" r:id="rId9"/>
    <sheet xmlns:r="http://schemas.openxmlformats.org/officeDocument/2006/relationships" name="Ratio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Dashboard" sheetId="12" state="visible" r:id="rId12"/>
    <sheet xmlns:r="http://schemas.openxmlformats.org/officeDocument/2006/relationships" name="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</font>
    <font>
      <b val="1"/>
      <color rgb="001F4E79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4" fontId="0" fillId="3" borderId="1" pivotButton="0" quotePrefix="0" xfId="0"/>
    <xf numFmtId="164" fontId="0" fillId="3" borderId="1" pivotButton="0" quotePrefix="0" xfId="0"/>
    <xf numFmtId="9" fontId="0" fillId="3" borderId="1" pivotButton="0" quotePrefix="0" xfId="0"/>
    <xf numFmtId="9" fontId="0" fillId="3" borderId="0" pivotButton="0" quotePrefix="0" xfId="0"/>
    <xf numFmtId="0" fontId="0" fillId="3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9" fontId="0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2" fontId="3" fillId="0" borderId="0" pivotButton="0" quotePrefix="0" xfId="0"/>
    <xf numFmtId="2" fontId="3" fillId="0" borderId="1" pivotButton="0" quotePrefix="0" xfId="0"/>
    <xf numFmtId="164" fontId="3" fillId="0" borderId="1" pivotButton="0" quotePrefix="0" xfId="0"/>
    <xf numFmtId="1" fontId="3" fillId="0" borderId="1" pivotButton="0" quotePrefix="0" xfId="0"/>
    <xf numFmtId="0" fontId="4" fillId="0" borderId="0" pivotButton="0" quotePrefix="0" xfId="0"/>
    <xf numFmtId="4" fontId="5" fillId="0" borderId="1" pivotButton="0" quotePrefix="0" xfId="0"/>
    <xf numFmtId="164" fontId="5" fillId="0" borderId="1" pivotButton="0" quotePrefix="0" xfId="0"/>
    <xf numFmtId="2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accruals vs debt service (Rs lakh)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'Dashboard'!$D$4:$D$10</f>
            </numRef>
          </cat>
          <val>
            <numRef>
              <f>'Dashboard'!$E$4:$E$10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by year (bank norm 1.25x)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'Dashboard'!$D$4:$D$10</f>
            </numRef>
          </cat>
          <val>
            <numRef>
              <f>'Dashboard'!$H$4:$H$10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Scenario NPV @12% (Rs lakh)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'Dashboard'!L3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'Dashboard'!$K$4:$K$7</f>
            </numRef>
          </cat>
          <val>
            <numRef>
              <f>'Dashboard'!$L$4:$L$7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DPRPulse — Detailed Project Report Financial Model</t>
        </is>
      </c>
      <c r="B1" s="1" t="n"/>
    </row>
    <row r="3">
      <c r="A3" s="2" t="inlineStr">
        <is>
          <t>Fictional demo case: Sharma Agro Foods, turmeric processing unit, Patna (Bihar). Project cost Rs 240 lakh; promoter margin 25%; term loan Rs 180 lakh @ 10% for 7 years (1-yr moratorium).</t>
        </is>
      </c>
    </row>
    <row r="5">
      <c r="A5" t="inlineStr">
        <is>
          <t>How to use:</t>
        </is>
      </c>
    </row>
    <row r="6">
      <c r="A6" s="2" t="inlineStr">
        <is>
          <t>1. Blue cells on the Assumptions sheet are the ONLY inputs — change them and the whole model recalculates.</t>
        </is>
      </c>
    </row>
    <row r="7">
      <c r="A7" s="2" t="inlineStr">
        <is>
          <t>2. Every other number in this workbook is a live formula. Nothing is pasted as a value.</t>
        </is>
      </c>
    </row>
    <row r="8">
      <c r="A8" s="2" t="inlineStr">
        <is>
          <t>3. Read order: Assumptions -&gt; Project_Cost -&gt; Means_of_Finance -&gt; Loan_Schedule -&gt; Revenue_Cost -&gt; PL -&gt; CashFlow_DSCR -&gt; BalanceSheet -&gt; Ratios -&gt; Sensitivity -&gt; Dashboard.</t>
        </is>
      </c>
    </row>
    <row r="9">
      <c r="A9" s="2" t="inlineStr">
        <is>
          <t>4. The Checks sheet must show TRUE on all 10 rows; the Dashboard carries the banker's summary.</t>
        </is>
      </c>
    </row>
    <row r="11" ht="15" customHeight="1">
      <c r="A11" s="3" t="inlineStr">
        <is>
          <t>Sheet</t>
        </is>
      </c>
      <c r="B11" s="3" t="inlineStr">
        <is>
          <t>What it holds</t>
        </is>
      </c>
    </row>
    <row r="12" ht="15" customHeight="1">
      <c r="A12" s="3" t="inlineStr">
        <is>
          <t>Assumptions</t>
        </is>
      </c>
      <c r="B12" s="3" t="inlineStr">
        <is>
          <t>All model inputs (blue). Utilisation ramp, prices, cost %, loan terms.</t>
        </is>
      </c>
    </row>
    <row r="13" ht="15" customHeight="1">
      <c r="A13" s="3" t="inlineStr">
        <is>
          <t>Project_Cost</t>
        </is>
      </c>
      <c r="B13" s="3" t="inlineStr">
        <is>
          <t>Rs 240 lakh capex split across 7 heads.</t>
        </is>
      </c>
    </row>
    <row r="14" ht="15" customHeight="1">
      <c r="A14" s="3" t="inlineStr">
        <is>
          <t>Means_of_Finance</t>
        </is>
      </c>
      <c r="B14" s="3" t="inlineStr">
        <is>
          <t>Promoter Rs 60 lakh + term loan Rs 180 lakh; margin 25%.</t>
        </is>
      </c>
    </row>
    <row r="15" ht="15" customHeight="1">
      <c r="A15" s="3" t="inlineStr">
        <is>
          <t>Loan_Schedule</t>
        </is>
      </c>
      <c r="B15" s="3" t="inlineStr">
        <is>
          <t>Annual amortisation: 1-yr moratorium, then 6 equal instalments.</t>
        </is>
      </c>
    </row>
    <row r="16" ht="15" customHeight="1">
      <c r="A16" s="3" t="inlineStr">
        <is>
          <t>Revenue_Cost</t>
        </is>
      </c>
      <c r="B16" s="3" t="inlineStr">
        <is>
          <t>Production, price, revenue and the 7 operating-cost lines.</t>
        </is>
      </c>
    </row>
    <row r="17" ht="15" customHeight="1">
      <c r="A17" s="3" t="inlineStr">
        <is>
          <t>PL</t>
        </is>
      </c>
      <c r="B17" s="3" t="inlineStr">
        <is>
          <t>7-year projected profit &amp; loss; tax 25% on positive PBT.</t>
        </is>
      </c>
    </row>
    <row r="18" ht="15" customHeight="1">
      <c r="A18" s="3" t="inlineStr">
        <is>
          <t>CashFlow_DSCR</t>
        </is>
      </c>
      <c r="B18" s="3" t="inlineStr">
        <is>
          <t>Cash accruals, debt service, DSCR, NPV @12%, equity IRR, payback.</t>
        </is>
      </c>
    </row>
    <row r="19" ht="15" customHeight="1">
      <c r="A19" s="3" t="inlineStr">
        <is>
          <t>BalanceSheet</t>
        </is>
      </c>
      <c r="B19" s="3" t="inlineStr">
        <is>
          <t>Projected balance sheet; assets = liabilities every year.</t>
        </is>
      </c>
    </row>
    <row r="20" ht="15" customHeight="1">
      <c r="A20" s="3" t="inlineStr">
        <is>
          <t>Ratios</t>
        </is>
      </c>
      <c r="B20" s="3" t="inlineStr">
        <is>
          <t>Bank ratios: DSCR, D:E, break-even utilisation, NPV, IRR.</t>
        </is>
      </c>
    </row>
    <row r="21" ht="15" customHeight="1">
      <c r="A21" s="3" t="inlineStr">
        <is>
          <t>Sensitivity</t>
        </is>
      </c>
      <c r="B21" s="3" t="inlineStr">
        <is>
          <t>4 scenarios: base, revenue -5%, raw +3pp, combined stress.</t>
        </is>
      </c>
    </row>
    <row r="22" ht="15" customHeight="1">
      <c r="A22" s="3" t="inlineStr">
        <is>
          <t>Dashboard</t>
        </is>
      </c>
      <c r="B22" s="3" t="inlineStr">
        <is>
          <t>8 KPIs, 3 charts, risk flags for the banker.</t>
        </is>
      </c>
    </row>
    <row r="23" ht="15" customHeight="1">
      <c r="A23" s="3" t="inlineStr">
        <is>
          <t>Checks</t>
        </is>
      </c>
      <c r="B23" s="3" t="inlineStr">
        <is>
          <t>10 mechanical integrity checks — all must read TRUE.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4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3" t="inlineStr">
        <is>
          <t>Capacity (MT/year)</t>
        </is>
      </c>
      <c r="B2" s="4" t="n">
        <v>1200</v>
      </c>
      <c r="C2" s="3" t="inlineStr"/>
    </row>
    <row r="3">
      <c r="A3" s="3" t="inlineStr">
        <is>
          <t>Selling price Y1 (Rs/kg)</t>
        </is>
      </c>
      <c r="B3" s="4" t="n">
        <v>150</v>
      </c>
      <c r="C3" s="3" t="inlineStr"/>
    </row>
    <row r="4">
      <c r="A4" s="3" t="inlineStr">
        <is>
          <t>Price escalation /yr</t>
        </is>
      </c>
      <c r="B4" s="5" t="n">
        <v>0.03</v>
      </c>
      <c r="C4" s="3" t="inlineStr"/>
    </row>
    <row r="5">
      <c r="A5" s="3" t="inlineStr">
        <is>
          <t>Capacity utilisation Y1..Y7</t>
        </is>
      </c>
      <c r="B5" s="6" t="n">
        <v>0.55</v>
      </c>
      <c r="C5" s="6" t="n">
        <v>0.65</v>
      </c>
      <c r="D5" s="7" t="n">
        <v>0.75</v>
      </c>
      <c r="E5" s="7" t="n">
        <v>0.85</v>
      </c>
      <c r="F5" s="7" t="n">
        <v>0.9</v>
      </c>
      <c r="G5" s="7" t="n">
        <v>0.9</v>
      </c>
      <c r="H5" s="7" t="n">
        <v>0.9</v>
      </c>
    </row>
    <row r="6">
      <c r="A6" s="3" t="inlineStr">
        <is>
          <t>Raw material (% of revenue)</t>
        </is>
      </c>
      <c r="B6" s="5" t="n">
        <v>0.76</v>
      </c>
      <c r="C6" s="3" t="inlineStr"/>
    </row>
    <row r="7">
      <c r="A7" s="3" t="inlineStr">
        <is>
          <t>Packing (% of revenue)</t>
        </is>
      </c>
      <c r="B7" s="5" t="n">
        <v>0.06</v>
      </c>
      <c r="C7" s="3" t="inlineStr"/>
    </row>
    <row r="8">
      <c r="A8" s="3" t="inlineStr">
        <is>
          <t>Admin &amp; selling (% of revenue)</t>
        </is>
      </c>
      <c r="B8" s="5" t="n">
        <v>0.05</v>
      </c>
      <c r="C8" s="3" t="inlineStr"/>
    </row>
    <row r="9">
      <c r="A9" s="3" t="inlineStr">
        <is>
          <t>Power &amp; fuel Y1 (Rs lakh)</t>
        </is>
      </c>
      <c r="B9" s="4" t="n">
        <v>22</v>
      </c>
      <c r="C9" s="3" t="inlineStr"/>
    </row>
    <row r="10">
      <c r="A10" s="3" t="inlineStr">
        <is>
          <t>Power escalation /yr</t>
        </is>
      </c>
      <c r="B10" s="5" t="n">
        <v>0.04</v>
      </c>
      <c r="C10" s="3" t="inlineStr"/>
    </row>
    <row r="11">
      <c r="A11" s="3" t="inlineStr">
        <is>
          <t>Salaries Y1 (Rs lakh)</t>
        </is>
      </c>
      <c r="B11" s="4" t="n">
        <v>34</v>
      </c>
      <c r="C11" s="3" t="inlineStr"/>
    </row>
    <row r="12">
      <c r="A12" s="3" t="inlineStr">
        <is>
          <t>Salary escalation /yr</t>
        </is>
      </c>
      <c r="B12" s="5" t="n">
        <v>0.05</v>
      </c>
      <c r="C12" s="3" t="inlineStr"/>
    </row>
    <row r="13">
      <c r="A13" s="3" t="inlineStr">
        <is>
          <t>Repairs &amp; maintenance (Rs lakh/yr)</t>
        </is>
      </c>
      <c r="B13" s="4" t="n">
        <v>2.2</v>
      </c>
      <c r="C13" s="3" t="inlineStr">
        <is>
          <t>flat</t>
        </is>
      </c>
    </row>
    <row r="14">
      <c r="A14" s="3" t="inlineStr">
        <is>
          <t>Insurance Y1 (Rs lakh)</t>
        </is>
      </c>
      <c r="B14" s="5" t="n">
        <v>1.5</v>
      </c>
      <c r="C14" s="3" t="inlineStr"/>
    </row>
    <row r="15">
      <c r="A15" s="3" t="inlineStr">
        <is>
          <t>Insurance escalation /yr</t>
        </is>
      </c>
      <c r="B15" s="4" t="n">
        <v>0.03</v>
      </c>
      <c r="C15" s="3" t="inlineStr"/>
    </row>
    <row r="16">
      <c r="A16" s="3" t="inlineStr">
        <is>
          <t>Depreciation - building (Rs lakh/yr)</t>
        </is>
      </c>
      <c r="B16" s="4" t="n">
        <v>2.75</v>
      </c>
      <c r="C16" s="3" t="inlineStr">
        <is>
          <t>55 / 20 yrs</t>
        </is>
      </c>
    </row>
    <row r="17">
      <c r="A17" s="3" t="inlineStr">
        <is>
          <t>Depreciation - P&amp;M incl. contingency</t>
        </is>
      </c>
      <c r="B17" s="4" t="n">
        <v>12</v>
      </c>
      <c r="C17" s="3" t="inlineStr">
        <is>
          <t>120 / 10 yrs</t>
        </is>
      </c>
    </row>
    <row r="18">
      <c r="A18" s="3" t="inlineStr">
        <is>
          <t>Depreciation - electricals</t>
        </is>
      </c>
      <c r="B18" s="4" t="n">
        <v>1.8</v>
      </c>
      <c r="C18" s="3" t="inlineStr">
        <is>
          <t>18 / 10 yrs</t>
        </is>
      </c>
    </row>
    <row r="19">
      <c r="A19" s="3" t="inlineStr">
        <is>
          <t>Preliminary amortisation Y1-Y5</t>
        </is>
      </c>
      <c r="B19" s="4" t="n">
        <v>2.4</v>
      </c>
      <c r="C19" s="3" t="inlineStr">
        <is>
          <t>12 / 5 yrs</t>
        </is>
      </c>
    </row>
    <row r="20">
      <c r="A20" s="3" t="inlineStr">
        <is>
          <t>Corporate tax rate</t>
        </is>
      </c>
      <c r="B20" s="6" t="n">
        <v>0.25</v>
      </c>
      <c r="C20" s="3" t="inlineStr">
        <is>
          <t>on positive PBT</t>
        </is>
      </c>
    </row>
    <row r="21">
      <c r="A21" s="3" t="inlineStr">
        <is>
          <t>Term loan (Rs lakh)</t>
        </is>
      </c>
      <c r="B21" s="4" t="n">
        <v>180</v>
      </c>
      <c r="C21" s="3" t="inlineStr"/>
    </row>
    <row r="22">
      <c r="A22" s="3" t="inlineStr">
        <is>
          <t>Interest rate /yr</t>
        </is>
      </c>
      <c r="B22" s="6" t="n">
        <v>0.1</v>
      </c>
      <c r="C22" s="3" t="inlineStr"/>
    </row>
    <row r="23">
      <c r="A23" s="3" t="inlineStr">
        <is>
          <t>Moratorium (years)</t>
        </is>
      </c>
      <c r="B23" s="8" t="n">
        <v>1</v>
      </c>
      <c r="C23" s="3" t="inlineStr">
        <is>
          <t>interest serviced</t>
        </is>
      </c>
    </row>
    <row r="24">
      <c r="A24" s="3" t="inlineStr">
        <is>
          <t>Repayment years</t>
        </is>
      </c>
      <c r="B24" s="8" t="n">
        <v>6</v>
      </c>
      <c r="C24" s="3" t="inlineStr">
        <is>
          <t>annual instalments</t>
        </is>
      </c>
    </row>
    <row r="25">
      <c r="A25" s="3" t="inlineStr">
        <is>
          <t>Promoter equity (Rs lakh)</t>
        </is>
      </c>
      <c r="B25" s="4" t="n">
        <v>60</v>
      </c>
      <c r="C25" s="3" t="inlineStr"/>
    </row>
    <row r="26">
      <c r="A26" s="3" t="inlineStr">
        <is>
          <t>Discount rate (NPV/IRR hurdle)</t>
        </is>
      </c>
      <c r="B26" s="5" t="n">
        <v>0.12</v>
      </c>
      <c r="C26" s="3" t="inlineStr"/>
    </row>
    <row r="27">
      <c r="A27" s="3" t="inlineStr">
        <is>
          <t>Project cost total (Rs lakh)</t>
        </is>
      </c>
      <c r="B27" s="4" t="n">
        <v>240</v>
      </c>
      <c r="C27" s="3" t="inlineStr">
        <is>
          <t>check vs Project_Cost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</cols>
  <sheetData>
    <row r="1">
      <c r="A1" s="1" t="inlineStr">
        <is>
          <t>Head</t>
        </is>
      </c>
      <c r="B1" s="1" t="inlineStr">
        <is>
          <t>Rs lakh</t>
        </is>
      </c>
      <c r="C1" s="1" t="inlineStr">
        <is>
          <t>% of total</t>
        </is>
      </c>
    </row>
    <row r="2">
      <c r="A2" s="3" t="inlineStr">
        <is>
          <t>Land &amp; site development</t>
        </is>
      </c>
      <c r="B2" s="9" t="n">
        <v>30</v>
      </c>
      <c r="C2" s="10">
        <f>B2/$B$9</f>
        <v/>
      </c>
    </row>
    <row r="3">
      <c r="A3" s="3" t="inlineStr">
        <is>
          <t>Building &amp; civil works</t>
        </is>
      </c>
      <c r="B3" s="9" t="n">
        <v>55</v>
      </c>
      <c r="C3" s="10">
        <f>B3/$B$9</f>
        <v/>
      </c>
    </row>
    <row r="4">
      <c r="A4" s="3" t="inlineStr">
        <is>
          <t>Plant &amp; machinery</t>
        </is>
      </c>
      <c r="B4" s="9" t="n">
        <v>110</v>
      </c>
      <c r="C4" s="10">
        <f>B4/$B$9</f>
        <v/>
      </c>
    </row>
    <row r="5">
      <c r="A5" s="3" t="inlineStr">
        <is>
          <t>Contingency</t>
        </is>
      </c>
      <c r="B5" s="9" t="n">
        <v>10</v>
      </c>
      <c r="C5" s="10">
        <f>B5/$B$9</f>
        <v/>
      </c>
    </row>
    <row r="6">
      <c r="A6" s="3" t="inlineStr">
        <is>
          <t>Electricals &amp; utilities</t>
        </is>
      </c>
      <c r="B6" s="9" t="n">
        <v>18</v>
      </c>
      <c r="C6" s="10">
        <f>B6/$B$9</f>
        <v/>
      </c>
    </row>
    <row r="7">
      <c r="A7" s="3" t="inlineStr">
        <is>
          <t>Preliminary &amp; pre-operative</t>
        </is>
      </c>
      <c r="B7" s="9" t="n">
        <v>12</v>
      </c>
      <c r="C7" s="10">
        <f>B7/$B$9</f>
        <v/>
      </c>
    </row>
    <row r="8">
      <c r="A8" s="3" t="inlineStr">
        <is>
          <t>Margin for working capital</t>
        </is>
      </c>
      <c r="B8" s="9" t="n">
        <v>5</v>
      </c>
      <c r="C8" s="10">
        <f>B8/$B$9</f>
        <v/>
      </c>
    </row>
    <row r="9">
      <c r="A9" s="11" t="inlineStr">
        <is>
          <t>TOTAL</t>
        </is>
      </c>
      <c r="B9" s="12">
        <f>SUM(B2:B8)</f>
        <v/>
      </c>
      <c r="C9" s="13">
        <f>SUM(C2:C8)</f>
        <v/>
      </c>
    </row>
    <row r="11">
      <c r="A11" s="3" t="inlineStr">
        <is>
          <t>Check: total = Rs 240 lakh?</t>
        </is>
      </c>
      <c r="B11" s="3">
        <f>B9=240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Source</t>
        </is>
      </c>
      <c r="B1" s="1" t="inlineStr">
        <is>
          <t>Rs lakh</t>
        </is>
      </c>
    </row>
    <row r="2">
      <c r="A2" s="3" t="inlineStr">
        <is>
          <t>Promoter contribution</t>
        </is>
      </c>
      <c r="B2" s="9">
        <f>Assumptions!$B$25</f>
        <v/>
      </c>
    </row>
    <row r="3">
      <c r="A3" s="3" t="inlineStr">
        <is>
          <t>Term loan</t>
        </is>
      </c>
      <c r="B3" s="9">
        <f>Assumptions!$B$21</f>
        <v/>
      </c>
    </row>
    <row r="4">
      <c r="A4" s="3" t="inlineStr">
        <is>
          <t>TOTAL</t>
        </is>
      </c>
      <c r="B4" s="12">
        <f>SUM(B2:B3)</f>
        <v/>
      </c>
    </row>
    <row r="6">
      <c r="A6" s="3" t="inlineStr">
        <is>
          <t>Promoter margin</t>
        </is>
      </c>
      <c r="B6" s="10">
        <f>B2/B4</f>
        <v/>
      </c>
    </row>
    <row r="7">
      <c r="A7" s="3" t="inlineStr">
        <is>
          <t>Debt-equity (at start)</t>
        </is>
      </c>
      <c r="B7" s="14">
        <f>B3/B2</f>
        <v/>
      </c>
    </row>
    <row r="9">
      <c r="A9" s="3" t="inlineStr">
        <is>
          <t>Check: total = project cost?</t>
        </is>
      </c>
      <c r="B9" s="3">
        <f>B4=Project_Cost!$B$9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Year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3" t="inlineStr">
        <is>
          <t>Opening balance</t>
        </is>
      </c>
      <c r="B2" s="9">
        <f>Assumptions!$B$21</f>
        <v/>
      </c>
      <c r="C2" s="9">
        <f>B6</f>
        <v/>
      </c>
      <c r="D2" s="9">
        <f>C6</f>
        <v/>
      </c>
      <c r="E2" s="9">
        <f>D6</f>
        <v/>
      </c>
      <c r="F2" s="9">
        <f>E6</f>
        <v/>
      </c>
      <c r="G2" s="9">
        <f>F6</f>
        <v/>
      </c>
      <c r="H2" s="9">
        <f>G6</f>
        <v/>
      </c>
      <c r="I2" s="9">
        <f>H6</f>
        <v/>
      </c>
    </row>
    <row r="3">
      <c r="A3" s="3" t="inlineStr">
        <is>
          <t>Interest</t>
        </is>
      </c>
      <c r="B3" s="9" t="inlineStr">
        <is>
          <t>0</t>
        </is>
      </c>
      <c r="C3" s="9">
        <f>C2*Assumptions!$B$22</f>
        <v/>
      </c>
      <c r="D3" s="9">
        <f>D2*Assumptions!$B$22</f>
        <v/>
      </c>
      <c r="E3" s="9">
        <f>E2*Assumptions!$B$22</f>
        <v/>
      </c>
      <c r="F3" s="9">
        <f>F2*Assumptions!$B$22</f>
        <v/>
      </c>
      <c r="G3" s="9">
        <f>G2*Assumptions!$B$22</f>
        <v/>
      </c>
      <c r="H3" s="9">
        <f>H2*Assumptions!$B$22</f>
        <v/>
      </c>
      <c r="I3" s="9">
        <f>I2*Assumptions!$B$22</f>
        <v/>
      </c>
    </row>
    <row r="4">
      <c r="A4" s="3" t="inlineStr">
        <is>
          <t>Annual payment</t>
        </is>
      </c>
      <c r="B4" s="9" t="inlineStr">
        <is>
          <t>0</t>
        </is>
      </c>
      <c r="C4" s="9">
        <f>C3</f>
        <v/>
      </c>
      <c r="D4" s="9">
        <f>-PMT(Assumptions!$B$22,Assumptions!$B$24,Assumptions!$B$21)</f>
        <v/>
      </c>
      <c r="E4" s="9">
        <f>-PMT(Assumptions!$B$22,Assumptions!$B$24,Assumptions!$B$21)</f>
        <v/>
      </c>
      <c r="F4" s="9">
        <f>-PMT(Assumptions!$B$22,Assumptions!$B$24,Assumptions!$B$21)</f>
        <v/>
      </c>
      <c r="G4" s="9">
        <f>-PMT(Assumptions!$B$22,Assumptions!$B$24,Assumptions!$B$21)</f>
        <v/>
      </c>
      <c r="H4" s="9">
        <f>-PMT(Assumptions!$B$22,Assumptions!$B$24,Assumptions!$B$21)</f>
        <v/>
      </c>
      <c r="I4" s="9">
        <f>-PMT(Assumptions!$B$22,Assumptions!$B$24,Assumptions!$B$21)</f>
        <v/>
      </c>
    </row>
    <row r="5">
      <c r="A5" s="3" t="inlineStr">
        <is>
          <t>Principal repaid</t>
        </is>
      </c>
      <c r="B5" s="9" t="inlineStr">
        <is>
          <t>0</t>
        </is>
      </c>
      <c r="C5" s="9" t="inlineStr">
        <is>
          <t>0</t>
        </is>
      </c>
      <c r="D5" s="9">
        <f>D4-D3</f>
        <v/>
      </c>
      <c r="E5" s="9">
        <f>E4-E3</f>
        <v/>
      </c>
      <c r="F5" s="9">
        <f>F4-F3</f>
        <v/>
      </c>
      <c r="G5" s="9">
        <f>G4-G3</f>
        <v/>
      </c>
      <c r="H5" s="9">
        <f>H4-H3</f>
        <v/>
      </c>
      <c r="I5" s="9">
        <f>I4-I3</f>
        <v/>
      </c>
    </row>
    <row r="6">
      <c r="A6" s="3" t="inlineStr">
        <is>
          <t>Closing balance</t>
        </is>
      </c>
      <c r="B6" s="9">
        <f>B2-B5</f>
        <v/>
      </c>
      <c r="C6" s="9">
        <f>C2-C5</f>
        <v/>
      </c>
      <c r="D6" s="9">
        <f>D2-D5</f>
        <v/>
      </c>
      <c r="E6" s="9">
        <f>E2-E5</f>
        <v/>
      </c>
      <c r="F6" s="9">
        <f>F2-F5</f>
        <v/>
      </c>
      <c r="G6" s="9">
        <f>G2-G5</f>
        <v/>
      </c>
      <c r="H6" s="9">
        <f>H2-H5</f>
        <v/>
      </c>
      <c r="I6" s="9">
        <f>I2-I5</f>
        <v/>
      </c>
    </row>
    <row r="8">
      <c r="A8" s="3" t="inlineStr">
        <is>
          <t>Check: fully repaid by Y7?</t>
        </is>
      </c>
      <c r="B8" s="3">
        <f>ABS(I6)&lt;0.01</f>
        <v/>
      </c>
    </row>
    <row r="9">
      <c r="A9" s="3" t="inlineStr">
        <is>
          <t>Annuity (Rs lakh, Y2-Y7)</t>
        </is>
      </c>
      <c r="B9" s="9">
        <f>D4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Year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s="3" t="inlineStr">
        <is>
          <t>Production (kg)</t>
        </is>
      </c>
      <c r="B2" s="15">
        <f>1200000*Assumptions!B5</f>
        <v/>
      </c>
      <c r="C2" s="15">
        <f>1200000*Assumptions!C5</f>
        <v/>
      </c>
      <c r="D2" s="15">
        <f>1200000*Assumptions!D5</f>
        <v/>
      </c>
      <c r="E2" s="15">
        <f>1200000*Assumptions!E5</f>
        <v/>
      </c>
      <c r="F2" s="15">
        <f>1200000*Assumptions!F5</f>
        <v/>
      </c>
      <c r="G2" s="15">
        <f>1200000*Assumptions!G5</f>
        <v/>
      </c>
      <c r="H2" s="15">
        <f>1200000*Assumptions!H5</f>
        <v/>
      </c>
    </row>
    <row r="3">
      <c r="A3" s="3" t="inlineStr">
        <is>
          <t>Selling price (Rs/kg)</t>
        </is>
      </c>
      <c r="B3" s="9">
        <f>Assumptions!$B$3</f>
        <v/>
      </c>
      <c r="C3" s="9">
        <f>B3*(1+Assumptions!$B$4)</f>
        <v/>
      </c>
      <c r="D3" s="9">
        <f>C3*(1+Assumptions!$B$4)</f>
        <v/>
      </c>
      <c r="E3" s="9">
        <f>D3*(1+Assumptions!$B$4)</f>
        <v/>
      </c>
      <c r="F3" s="9">
        <f>E3*(1+Assumptions!$B$4)</f>
        <v/>
      </c>
      <c r="G3" s="9">
        <f>F3*(1+Assumptions!$B$4)</f>
        <v/>
      </c>
      <c r="H3" s="9">
        <f>G3*(1+Assumptions!$B$4)</f>
        <v/>
      </c>
    </row>
    <row r="4">
      <c r="A4" s="3" t="inlineStr">
        <is>
          <t>Revenue (Rs lakh)</t>
        </is>
      </c>
      <c r="B4" s="9">
        <f>B2*B3/100000</f>
        <v/>
      </c>
      <c r="C4" s="9">
        <f>C2*C3/100000</f>
        <v/>
      </c>
      <c r="D4" s="9">
        <f>D2*D3/100000</f>
        <v/>
      </c>
      <c r="E4" s="9">
        <f>E2*E3/100000</f>
        <v/>
      </c>
      <c r="F4" s="9">
        <f>F2*F3/100000</f>
        <v/>
      </c>
      <c r="G4" s="9">
        <f>G2*G3/100000</f>
        <v/>
      </c>
      <c r="H4" s="9">
        <f>H2*H3/100000</f>
        <v/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inlineStr">
        <is>
          <t>Raw material</t>
        </is>
      </c>
      <c r="B6" s="9">
        <f>B4*Assumptions!$B$6</f>
        <v/>
      </c>
      <c r="C6" s="9">
        <f>C4*Assumptions!$B$6</f>
        <v/>
      </c>
      <c r="D6" s="9">
        <f>D4*Assumptions!$B$6</f>
        <v/>
      </c>
      <c r="E6" s="9">
        <f>E4*Assumptions!$B$6</f>
        <v/>
      </c>
      <c r="F6" s="9">
        <f>F4*Assumptions!$B$6</f>
        <v/>
      </c>
      <c r="G6" s="9">
        <f>G4*Assumptions!$B$6</f>
        <v/>
      </c>
      <c r="H6" s="9">
        <f>H4*Assumptions!$B$6</f>
        <v/>
      </c>
    </row>
    <row r="7">
      <c r="A7" s="3" t="inlineStr">
        <is>
          <t>Packing</t>
        </is>
      </c>
      <c r="B7" s="9">
        <f>B4*Assumptions!$B$7</f>
        <v/>
      </c>
      <c r="C7" s="9">
        <f>C4*Assumptions!$B$7</f>
        <v/>
      </c>
      <c r="D7" s="9">
        <f>D4*Assumptions!$B$7</f>
        <v/>
      </c>
      <c r="E7" s="9">
        <f>E4*Assumptions!$B$7</f>
        <v/>
      </c>
      <c r="F7" s="9">
        <f>F4*Assumptions!$B$7</f>
        <v/>
      </c>
      <c r="G7" s="9">
        <f>G4*Assumptions!$B$7</f>
        <v/>
      </c>
      <c r="H7" s="9">
        <f>H4*Assumptions!$B$7</f>
        <v/>
      </c>
    </row>
    <row r="8">
      <c r="A8" s="3" t="inlineStr">
        <is>
          <t>Power &amp; fuel</t>
        </is>
      </c>
      <c r="B8" s="9">
        <f>Assumptions!$B$9</f>
        <v/>
      </c>
      <c r="C8" s="9">
        <f>B8*(1+Assumptions!$B$10)</f>
        <v/>
      </c>
      <c r="D8" s="9">
        <f>C8*(1+Assumptions!$B$10)</f>
        <v/>
      </c>
      <c r="E8" s="9">
        <f>D8*(1+Assumptions!$B$10)</f>
        <v/>
      </c>
      <c r="F8" s="9">
        <f>E8*(1+Assumptions!$B$10)</f>
        <v/>
      </c>
      <c r="G8" s="9">
        <f>F8*(1+Assumptions!$B$10)</f>
        <v/>
      </c>
      <c r="H8" s="9">
        <f>G8*(1+Assumptions!$B$10)</f>
        <v/>
      </c>
    </row>
    <row r="9">
      <c r="A9" s="3" t="inlineStr">
        <is>
          <t>Salaries &amp; wages</t>
        </is>
      </c>
      <c r="B9" s="9">
        <f>Assumptions!$B$11</f>
        <v/>
      </c>
      <c r="C9" s="9">
        <f>B9*(1+Assumptions!$B$12)</f>
        <v/>
      </c>
      <c r="D9" s="9">
        <f>C9*(1+Assumptions!$B$12)</f>
        <v/>
      </c>
      <c r="E9" s="9">
        <f>D9*(1+Assumptions!$B$12)</f>
        <v/>
      </c>
      <c r="F9" s="9">
        <f>E9*(1+Assumptions!$B$12)</f>
        <v/>
      </c>
      <c r="G9" s="9">
        <f>F9*(1+Assumptions!$B$12)</f>
        <v/>
      </c>
      <c r="H9" s="9">
        <f>G9*(1+Assumptions!$B$12)</f>
        <v/>
      </c>
    </row>
    <row r="10">
      <c r="A10" s="3" t="inlineStr">
        <is>
          <t>Repairs &amp; maintenance</t>
        </is>
      </c>
      <c r="B10" s="9">
        <f>Assumptions!$B$13</f>
        <v/>
      </c>
      <c r="C10" s="9">
        <f>Assumptions!$B$13</f>
        <v/>
      </c>
      <c r="D10" s="9">
        <f>Assumptions!$B$13</f>
        <v/>
      </c>
      <c r="E10" s="9">
        <f>Assumptions!$B$13</f>
        <v/>
      </c>
      <c r="F10" s="9">
        <f>Assumptions!$B$13</f>
        <v/>
      </c>
      <c r="G10" s="9">
        <f>Assumptions!$B$13</f>
        <v/>
      </c>
      <c r="H10" s="9">
        <f>Assumptions!$B$13</f>
        <v/>
      </c>
    </row>
    <row r="11">
      <c r="A11" s="3" t="inlineStr">
        <is>
          <t>Admin &amp; selling</t>
        </is>
      </c>
      <c r="B11" s="9">
        <f>B4*Assumptions!$B$8</f>
        <v/>
      </c>
      <c r="C11" s="9">
        <f>C4*Assumptions!$B$8</f>
        <v/>
      </c>
      <c r="D11" s="9">
        <f>D4*Assumptions!$B$8</f>
        <v/>
      </c>
      <c r="E11" s="9">
        <f>E4*Assumptions!$B$8</f>
        <v/>
      </c>
      <c r="F11" s="9">
        <f>F4*Assumptions!$B$8</f>
        <v/>
      </c>
      <c r="G11" s="9">
        <f>G4*Assumptions!$B$8</f>
        <v/>
      </c>
      <c r="H11" s="9">
        <f>H4*Assumptions!$B$8</f>
        <v/>
      </c>
    </row>
    <row r="12">
      <c r="A12" s="3" t="inlineStr">
        <is>
          <t>Insurance</t>
        </is>
      </c>
      <c r="B12" s="9">
        <f>Assumptions!$B$14</f>
        <v/>
      </c>
      <c r="C12" s="9">
        <f>B12*(1+Assumptions!$B$15)</f>
        <v/>
      </c>
      <c r="D12" s="9">
        <f>C12*(1+Assumptions!$B$15)</f>
        <v/>
      </c>
      <c r="E12" s="9">
        <f>D12*(1+Assumptions!$B$15)</f>
        <v/>
      </c>
      <c r="F12" s="9">
        <f>E12*(1+Assumptions!$B$15)</f>
        <v/>
      </c>
      <c r="G12" s="9">
        <f>F12*(1+Assumptions!$B$15)</f>
        <v/>
      </c>
      <c r="H12" s="9">
        <f>G12*(1+Assumptions!$B$15)</f>
        <v/>
      </c>
    </row>
    <row r="13">
      <c r="A13" s="3" t="inlineStr">
        <is>
          <t>Total operating cost</t>
        </is>
      </c>
      <c r="B13" s="9">
        <f>SUM(B6:B12)</f>
        <v/>
      </c>
      <c r="C13" s="9">
        <f>SUM(C6:C12)</f>
        <v/>
      </c>
      <c r="D13" s="9">
        <f>SUM(D6:D12)</f>
        <v/>
      </c>
      <c r="E13" s="9">
        <f>SUM(E6:E12)</f>
        <v/>
      </c>
      <c r="F13" s="9">
        <f>SUM(F6:F12)</f>
        <v/>
      </c>
      <c r="G13" s="9">
        <f>SUM(G6:G12)</f>
        <v/>
      </c>
      <c r="H13" s="9">
        <f>SUM(H6:H12)</f>
        <v/>
      </c>
    </row>
    <row r="14">
      <c r="A14" s="3" t="inlineStr">
        <is>
          <t>EBITDA</t>
        </is>
      </c>
      <c r="B14" s="12">
        <f>B4-B13</f>
        <v/>
      </c>
      <c r="C14" s="12">
        <f>C4-C13</f>
        <v/>
      </c>
      <c r="D14" s="12">
        <f>D4-D13</f>
        <v/>
      </c>
      <c r="E14" s="12">
        <f>E4-E13</f>
        <v/>
      </c>
      <c r="F14" s="12">
        <f>F4-F13</f>
        <v/>
      </c>
      <c r="G14" s="12">
        <f>G4-G13</f>
        <v/>
      </c>
      <c r="H14" s="12">
        <f>H4-H13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Year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s="3" t="inlineStr">
        <is>
          <t>Revenue</t>
        </is>
      </c>
      <c r="B2" s="9">
        <f>Revenue_Cost!B4</f>
        <v/>
      </c>
      <c r="C2" s="9">
        <f>Revenue_Cost!C4</f>
        <v/>
      </c>
      <c r="D2" s="9">
        <f>Revenue_Cost!D4</f>
        <v/>
      </c>
      <c r="E2" s="9">
        <f>Revenue_Cost!E4</f>
        <v/>
      </c>
      <c r="F2" s="9">
        <f>Revenue_Cost!F4</f>
        <v/>
      </c>
      <c r="G2" s="9">
        <f>Revenue_Cost!G4</f>
        <v/>
      </c>
      <c r="H2" s="9">
        <f>Revenue_Cost!H4</f>
        <v/>
      </c>
    </row>
    <row r="3">
      <c r="A3" s="3" t="inlineStr">
        <is>
          <t>Total operating cost</t>
        </is>
      </c>
      <c r="B3" s="9">
        <f>Revenue_Cost!B13</f>
        <v/>
      </c>
      <c r="C3" s="9">
        <f>Revenue_Cost!C13</f>
        <v/>
      </c>
      <c r="D3" s="9">
        <f>Revenue_Cost!D13</f>
        <v/>
      </c>
      <c r="E3" s="9">
        <f>Revenue_Cost!E13</f>
        <v/>
      </c>
      <c r="F3" s="9">
        <f>Revenue_Cost!F13</f>
        <v/>
      </c>
      <c r="G3" s="9">
        <f>Revenue_Cost!G13</f>
        <v/>
      </c>
      <c r="H3" s="9">
        <f>Revenue_Cost!H13</f>
        <v/>
      </c>
    </row>
    <row r="4">
      <c r="A4" s="3" t="inlineStr">
        <is>
          <t>EBITDA</t>
        </is>
      </c>
      <c r="B4" s="9">
        <f>Revenue_Cost!B14</f>
        <v/>
      </c>
      <c r="C4" s="9">
        <f>Revenue_Cost!C14</f>
        <v/>
      </c>
      <c r="D4" s="9">
        <f>Revenue_Cost!D14</f>
        <v/>
      </c>
      <c r="E4" s="9">
        <f>Revenue_Cost!E14</f>
        <v/>
      </c>
      <c r="F4" s="9">
        <f>Revenue_Cost!F14</f>
        <v/>
      </c>
      <c r="G4" s="9">
        <f>Revenue_Cost!G14</f>
        <v/>
      </c>
      <c r="H4" s="9">
        <f>Revenue_Cost!H14</f>
        <v/>
      </c>
    </row>
    <row r="5">
      <c r="A5" s="3" t="inlineStr">
        <is>
          <t>Depreciation &amp; amortisation</t>
        </is>
      </c>
      <c r="B5" s="9">
        <f>Assumptions!$B$16+Assumptions!$B$17+Assumptions!$B$18+IF(B$1&lt;=5,Assumptions!$B$19,0)</f>
        <v/>
      </c>
      <c r="C5" s="9">
        <f>Assumptions!$B$16+Assumptions!$B$17+Assumptions!$B$18+IF(C$1&lt;=5,Assumptions!$B$19,0)</f>
        <v/>
      </c>
      <c r="D5" s="9">
        <f>Assumptions!$B$16+Assumptions!$B$17+Assumptions!$B$18+IF(D$1&lt;=5,Assumptions!$B$19,0)</f>
        <v/>
      </c>
      <c r="E5" s="9">
        <f>Assumptions!$B$16+Assumptions!$B$17+Assumptions!$B$18+IF(E$1&lt;=5,Assumptions!$B$19,0)</f>
        <v/>
      </c>
      <c r="F5" s="9">
        <f>Assumptions!$B$16+Assumptions!$B$17+Assumptions!$B$18+IF(F$1&lt;=5,Assumptions!$B$19,0)</f>
        <v/>
      </c>
      <c r="G5" s="9">
        <f>Assumptions!$B$16+Assumptions!$B$17+Assumptions!$B$18+IF(G$1&lt;=5,Assumptions!$B$19,0)</f>
        <v/>
      </c>
      <c r="H5" s="9">
        <f>Assumptions!$B$16+Assumptions!$B$17+Assumptions!$B$18+IF(H$1&lt;=5,Assumptions!$B$19,0)</f>
        <v/>
      </c>
    </row>
    <row r="6">
      <c r="A6" s="3" t="inlineStr">
        <is>
          <t>Interest</t>
        </is>
      </c>
      <c r="B6" s="9">
        <f>Loan_Schedule!C3</f>
        <v/>
      </c>
      <c r="C6" s="9">
        <f>Loan_Schedule!D3</f>
        <v/>
      </c>
      <c r="D6" s="9">
        <f>Loan_Schedule!E3</f>
        <v/>
      </c>
      <c r="E6" s="9">
        <f>Loan_Schedule!F3</f>
        <v/>
      </c>
      <c r="F6" s="9">
        <f>Loan_Schedule!G3</f>
        <v/>
      </c>
      <c r="G6" s="9">
        <f>Loan_Schedule!H3</f>
        <v/>
      </c>
      <c r="H6" s="9">
        <f>Loan_Schedule!I3</f>
        <v/>
      </c>
    </row>
    <row r="7">
      <c r="A7" s="3" t="inlineStr">
        <is>
          <t>Profit before tax</t>
        </is>
      </c>
      <c r="B7" s="9">
        <f>B4-B5-B6</f>
        <v/>
      </c>
      <c r="C7" s="9">
        <f>C4-C5-C6</f>
        <v/>
      </c>
      <c r="D7" s="9">
        <f>D4-D5-D6</f>
        <v/>
      </c>
      <c r="E7" s="9">
        <f>E4-E5-E6</f>
        <v/>
      </c>
      <c r="F7" s="9">
        <f>F4-F5-F6</f>
        <v/>
      </c>
      <c r="G7" s="9">
        <f>G4-G5-G6</f>
        <v/>
      </c>
      <c r="H7" s="9">
        <f>H4-H5-H6</f>
        <v/>
      </c>
    </row>
    <row r="8">
      <c r="A8" s="3" t="inlineStr">
        <is>
          <t>Tax</t>
        </is>
      </c>
      <c r="B8" s="9">
        <f>IF(B7&gt;0,B7*Assumptions!$B$20,0)</f>
        <v/>
      </c>
      <c r="C8" s="9">
        <f>IF(C7&gt;0,C7*Assumptions!$B$20,0)</f>
        <v/>
      </c>
      <c r="D8" s="9">
        <f>IF(D7&gt;0,D7*Assumptions!$B$20,0)</f>
        <v/>
      </c>
      <c r="E8" s="9">
        <f>IF(E7&gt;0,E7*Assumptions!$B$20,0)</f>
        <v/>
      </c>
      <c r="F8" s="9">
        <f>IF(F7&gt;0,F7*Assumptions!$B$20,0)</f>
        <v/>
      </c>
      <c r="G8" s="9">
        <f>IF(G7&gt;0,G7*Assumptions!$B$20,0)</f>
        <v/>
      </c>
      <c r="H8" s="9">
        <f>IF(H7&gt;0,H7*Assumptions!$B$20,0)</f>
        <v/>
      </c>
    </row>
    <row r="9">
      <c r="A9" s="3" t="inlineStr">
        <is>
          <t>Profit after tax</t>
        </is>
      </c>
      <c r="B9" s="12">
        <f>B7-B8</f>
        <v/>
      </c>
      <c r="C9" s="12">
        <f>C7-C8</f>
        <v/>
      </c>
      <c r="D9" s="12">
        <f>D7-D8</f>
        <v/>
      </c>
      <c r="E9" s="12">
        <f>E7-E8</f>
        <v/>
      </c>
      <c r="F9" s="12">
        <f>F7-F8</f>
        <v/>
      </c>
      <c r="G9" s="12">
        <f>G7-G8</f>
        <v/>
      </c>
      <c r="H9" s="12">
        <f>H7-H8</f>
        <v/>
      </c>
    </row>
    <row r="10">
      <c r="A10" s="3" t="inlineStr">
        <is>
          <t>Cash accruals (PAT + depr.)</t>
        </is>
      </c>
      <c r="B10" s="12">
        <f>B9+B5</f>
        <v/>
      </c>
      <c r="C10" s="12">
        <f>C9+C5</f>
        <v/>
      </c>
      <c r="D10" s="12">
        <f>D9+D5</f>
        <v/>
      </c>
      <c r="E10" s="12">
        <f>E9+E5</f>
        <v/>
      </c>
      <c r="F10" s="12">
        <f>F9+F5</f>
        <v/>
      </c>
      <c r="G10" s="12">
        <f>G9+G5</f>
        <v/>
      </c>
      <c r="H10" s="12">
        <f>H9+H5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Year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3" t="inlineStr">
        <is>
          <t>Cash accruals</t>
        </is>
      </c>
      <c r="B2" s="9" t="n">
        <v>0</v>
      </c>
      <c r="C2" s="9">
        <f>PL!B10</f>
        <v/>
      </c>
      <c r="D2" s="9">
        <f>PL!C10</f>
        <v/>
      </c>
      <c r="E2" s="9">
        <f>PL!D10</f>
        <v/>
      </c>
      <c r="F2" s="9">
        <f>PL!E10</f>
        <v/>
      </c>
      <c r="G2" s="9">
        <f>PL!F10</f>
        <v/>
      </c>
      <c r="H2" s="9">
        <f>PL!G10</f>
        <v/>
      </c>
      <c r="I2" s="9">
        <f>PL!H10</f>
        <v/>
      </c>
    </row>
    <row r="3">
      <c r="A3" s="3" t="inlineStr">
        <is>
          <t>Debt service (interest + principal)</t>
        </is>
      </c>
      <c r="B3" s="9" t="n">
        <v>0</v>
      </c>
      <c r="C3" s="9">
        <f>Loan_Schedule!C3+Loan_Schedule!C5</f>
        <v/>
      </c>
      <c r="D3" s="9">
        <f>Loan_Schedule!D3+Loan_Schedule!D5</f>
        <v/>
      </c>
      <c r="E3" s="9">
        <f>Loan_Schedule!E3+Loan_Schedule!E5</f>
        <v/>
      </c>
      <c r="F3" s="9">
        <f>Loan_Schedule!F3+Loan_Schedule!F5</f>
        <v/>
      </c>
      <c r="G3" s="9">
        <f>Loan_Schedule!G3+Loan_Schedule!G5</f>
        <v/>
      </c>
      <c r="H3" s="9">
        <f>Loan_Schedule!H3+Loan_Schedule!H5</f>
        <v/>
      </c>
      <c r="I3" s="9">
        <f>Loan_Schedule!I3+Loan_Schedule!I5</f>
        <v/>
      </c>
    </row>
    <row r="4">
      <c r="A4" s="3" t="inlineStr">
        <is>
          <t>Net cash to equity</t>
        </is>
      </c>
      <c r="B4" s="12">
        <f>-Assumptions!$B$25</f>
        <v/>
      </c>
      <c r="C4" s="12">
        <f>C2-Loan_Schedule!C5</f>
        <v/>
      </c>
      <c r="D4" s="12">
        <f>D2-Loan_Schedule!D5</f>
        <v/>
      </c>
      <c r="E4" s="12">
        <f>E2-Loan_Schedule!E5</f>
        <v/>
      </c>
      <c r="F4" s="12">
        <f>F2-Loan_Schedule!F5</f>
        <v/>
      </c>
      <c r="G4" s="12">
        <f>G2-Loan_Schedule!G5</f>
        <v/>
      </c>
      <c r="H4" s="12">
        <f>H2-Loan_Schedule!H5</f>
        <v/>
      </c>
      <c r="I4" s="12">
        <f>I2-Loan_Schedule!I5</f>
        <v/>
      </c>
    </row>
    <row r="5">
      <c r="A5" s="3" t="inlineStr">
        <is>
          <t>Cumulative (incl. Y0 equity)</t>
        </is>
      </c>
      <c r="B5" s="9">
        <f>B4</f>
        <v/>
      </c>
      <c r="C5" s="9">
        <f>B5+C4</f>
        <v/>
      </c>
      <c r="D5" s="9">
        <f>C5+D4</f>
        <v/>
      </c>
      <c r="E5" s="9">
        <f>D5+E4</f>
        <v/>
      </c>
      <c r="F5" s="9">
        <f>E5+F4</f>
        <v/>
      </c>
      <c r="G5" s="9">
        <f>F5+G4</f>
        <v/>
      </c>
      <c r="H5" s="9">
        <f>G5+H4</f>
        <v/>
      </c>
      <c r="I5" s="9">
        <f>H5+I4</f>
        <v/>
      </c>
    </row>
    <row r="6">
      <c r="A6" s="3" t="inlineStr">
        <is>
          <t>DSCR</t>
        </is>
      </c>
      <c r="B6" s="14" t="n"/>
      <c r="C6" s="14">
        <f>IF(C3=0,"",C2/C3)</f>
        <v/>
      </c>
      <c r="D6" s="14">
        <f>IF(D3=0,"",D2/D3)</f>
        <v/>
      </c>
      <c r="E6" s="14">
        <f>IF(E3=0,"",E2/E3)</f>
        <v/>
      </c>
      <c r="F6" s="14">
        <f>IF(F3=0,"",F2/F3)</f>
        <v/>
      </c>
      <c r="G6" s="14">
        <f>IF(G3=0,"",G2/G3)</f>
        <v/>
      </c>
      <c r="H6" s="14">
        <f>IF(H3=0,"",H2/H3)</f>
        <v/>
      </c>
      <c r="I6" s="14">
        <f>IF(I3=0,"",I2/I3)</f>
        <v/>
      </c>
    </row>
    <row r="7">
      <c r="A7" s="3" t="inlineStr">
        <is>
          <t>Payback flag</t>
        </is>
      </c>
      <c r="B7" s="3">
        <f>IF(B5&gt;=0,B$1,"")</f>
        <v/>
      </c>
      <c r="C7" s="3">
        <f>IF(C5&gt;=0,C$1,"")</f>
        <v/>
      </c>
      <c r="D7" s="3">
        <f>IF(D5&gt;=0,D$1,"")</f>
        <v/>
      </c>
      <c r="E7" s="3">
        <f>IF(E5&gt;=0,E$1,"")</f>
        <v/>
      </c>
      <c r="F7" s="3">
        <f>IF(F5&gt;=0,F$1,"")</f>
        <v/>
      </c>
      <c r="G7" s="3">
        <f>IF(G5&gt;=0,G$1,"")</f>
        <v/>
      </c>
      <c r="H7" s="3">
        <f>IF(H5&gt;=0,H$1,"")</f>
        <v/>
      </c>
      <c r="I7" s="3">
        <f>IF(I5&gt;=0,I$1,"")</f>
        <v/>
      </c>
    </row>
    <row r="9">
      <c r="A9" t="inlineStr">
        <is>
          <t>Average DSCR (Y1-Y7)</t>
        </is>
      </c>
      <c r="B9" s="16">
        <f>AVERAGE(C6:I6)</f>
        <v/>
      </c>
    </row>
    <row r="10">
      <c r="A10" s="3" t="inlineStr">
        <is>
          <t>Minimum DSCR, repayment years (Y2-Y7)</t>
        </is>
      </c>
      <c r="B10" s="17">
        <f>MIN(D6:I6)</f>
        <v/>
      </c>
    </row>
    <row r="11">
      <c r="A11" s="3" t="inlineStr">
        <is>
          <t>NPV @12% (Rs lakh)</t>
        </is>
      </c>
      <c r="B11" s="12">
        <f>B4+NPV(Assumptions!$B$26,C4:I4)</f>
        <v/>
      </c>
    </row>
    <row r="12">
      <c r="A12" s="3" t="inlineStr">
        <is>
          <t>Equity IRR</t>
        </is>
      </c>
      <c r="B12" s="18">
        <f>IRR(B4:I4)</f>
        <v/>
      </c>
    </row>
    <row r="13">
      <c r="A13" s="3" t="inlineStr">
        <is>
          <t>Payback year</t>
        </is>
      </c>
      <c r="B13" s="19">
        <f>MIN(B7:I7)</f>
        <v/>
      </c>
    </row>
    <row r="14">
      <c r="A14" s="3" t="n"/>
      <c r="B14" s="3" t="n"/>
    </row>
    <row r="15">
      <c r="A15" s="3" t="inlineStr">
        <is>
          <t>Principal repaid</t>
        </is>
      </c>
      <c r="B15" s="9" t="n">
        <v>0</v>
      </c>
      <c r="C15" s="9">
        <f>Loan_Schedule!C5</f>
        <v/>
      </c>
      <c r="D15" s="9">
        <f>Loan_Schedule!D5</f>
        <v/>
      </c>
      <c r="E15" s="9">
        <f>Loan_Schedule!E5</f>
        <v/>
      </c>
      <c r="F15" s="9">
        <f>Loan_Schedule!F5</f>
        <v/>
      </c>
      <c r="G15" s="9">
        <f>Loan_Schedule!G5</f>
        <v/>
      </c>
      <c r="H15" s="9">
        <f>Loan_Schedule!H5</f>
        <v/>
      </c>
      <c r="I15" s="9">
        <f>Loan_Schedule!I5</f>
        <v/>
      </c>
    </row>
    <row r="16">
      <c r="A16" s="3" t="inlineStr">
        <is>
          <t>Project cash balance</t>
        </is>
      </c>
      <c r="B16" s="9">
        <f>5</f>
        <v/>
      </c>
      <c r="C16" s="9">
        <f>B16+C2-C15</f>
        <v/>
      </c>
      <c r="D16" s="9">
        <f>C16+D2-D15</f>
        <v/>
      </c>
      <c r="E16" s="9">
        <f>D16+E2-E15</f>
        <v/>
      </c>
      <c r="F16" s="9">
        <f>E16+F2-F15</f>
        <v/>
      </c>
      <c r="G16" s="9">
        <f>F16+G2-G15</f>
        <v/>
      </c>
      <c r="H16" s="9">
        <f>G16+H2-H15</f>
        <v/>
      </c>
      <c r="I16" s="9">
        <f>H16+I2-I15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Year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3" t="inlineStr">
        <is>
          <t>Net block (fixed assets)</t>
        </is>
      </c>
      <c r="B2" s="9">
        <f>30+55+120+18</f>
        <v/>
      </c>
      <c r="C2" s="9">
        <f>(30+55+120+18)-(Assumptions!$B$16+Assumptions!$B$17+Assumptions!$B$18)*C$1</f>
        <v/>
      </c>
      <c r="D2" s="9">
        <f>(30+55+120+18)-(Assumptions!$B$16+Assumptions!$B$17+Assumptions!$B$18)*D$1</f>
        <v/>
      </c>
      <c r="E2" s="9">
        <f>(30+55+120+18)-(Assumptions!$B$16+Assumptions!$B$17+Assumptions!$B$18)*E$1</f>
        <v/>
      </c>
      <c r="F2" s="9">
        <f>(30+55+120+18)-(Assumptions!$B$16+Assumptions!$B$17+Assumptions!$B$18)*F$1</f>
        <v/>
      </c>
      <c r="G2" s="9">
        <f>(30+55+120+18)-(Assumptions!$B$16+Assumptions!$B$17+Assumptions!$B$18)*G$1</f>
        <v/>
      </c>
      <c r="H2" s="9">
        <f>(30+55+120+18)-(Assumptions!$B$16+Assumptions!$B$17+Assumptions!$B$18)*H$1</f>
        <v/>
      </c>
      <c r="I2" s="9">
        <f>(30+55+120+18)-(Assumptions!$B$16+Assumptions!$B$17+Assumptions!$B$18)*I$1</f>
        <v/>
      </c>
    </row>
    <row r="3">
      <c r="A3" s="3" t="inlineStr">
        <is>
          <t>Preliminary expenses not written off</t>
        </is>
      </c>
      <c r="B3" s="9">
        <f>12</f>
        <v/>
      </c>
      <c r="C3" s="9">
        <f>12-Assumptions!$B$19*MIN(C$1,5)</f>
        <v/>
      </c>
      <c r="D3" s="9">
        <f>12-Assumptions!$B$19*MIN(D$1,5)</f>
        <v/>
      </c>
      <c r="E3" s="9">
        <f>12-Assumptions!$B$19*MIN(E$1,5)</f>
        <v/>
      </c>
      <c r="F3" s="9">
        <f>12-Assumptions!$B$19*MIN(F$1,5)</f>
        <v/>
      </c>
      <c r="G3" s="9">
        <f>12-Assumptions!$B$19*MIN(G$1,5)</f>
        <v/>
      </c>
      <c r="H3" s="9">
        <f>12-Assumptions!$B$19*MIN(H$1,5)</f>
        <v/>
      </c>
      <c r="I3" s="9">
        <f>12-Assumptions!$B$19*MIN(I$1,5)</f>
        <v/>
      </c>
    </row>
    <row r="4">
      <c r="A4" s="3" t="inlineStr">
        <is>
          <t>Cash &amp; bank</t>
        </is>
      </c>
      <c r="B4" s="9">
        <f>CashFlow_DSCR!B16</f>
        <v/>
      </c>
      <c r="C4" s="9">
        <f>CashFlow_DSCR!C16</f>
        <v/>
      </c>
      <c r="D4" s="9">
        <f>CashFlow_DSCR!D16</f>
        <v/>
      </c>
      <c r="E4" s="9">
        <f>CashFlow_DSCR!E16</f>
        <v/>
      </c>
      <c r="F4" s="9">
        <f>CashFlow_DSCR!F16</f>
        <v/>
      </c>
      <c r="G4" s="9">
        <f>CashFlow_DSCR!G16</f>
        <v/>
      </c>
      <c r="H4" s="9">
        <f>CashFlow_DSCR!H16</f>
        <v/>
      </c>
      <c r="I4" s="9">
        <f>CashFlow_DSCR!I16</f>
        <v/>
      </c>
    </row>
    <row r="5">
      <c r="A5" s="3" t="inlineStr">
        <is>
          <t>TOTAL ASSETS</t>
        </is>
      </c>
      <c r="B5" s="12">
        <f>SUM(B2:B4)</f>
        <v/>
      </c>
      <c r="C5" s="12">
        <f>SUM(C2:C4)</f>
        <v/>
      </c>
      <c r="D5" s="12">
        <f>SUM(D2:D4)</f>
        <v/>
      </c>
      <c r="E5" s="12">
        <f>SUM(E2:E4)</f>
        <v/>
      </c>
      <c r="F5" s="12">
        <f>SUM(F2:F4)</f>
        <v/>
      </c>
      <c r="G5" s="12">
        <f>SUM(G2:G4)</f>
        <v/>
      </c>
      <c r="H5" s="12">
        <f>SUM(H2:H4)</f>
        <v/>
      </c>
      <c r="I5" s="12">
        <f>SUM(I2:I4)</f>
        <v/>
      </c>
    </row>
    <row r="7">
      <c r="A7" s="3" t="inlineStr">
        <is>
          <t>Equity capital</t>
        </is>
      </c>
      <c r="B7" s="9">
        <f>60</f>
        <v/>
      </c>
      <c r="C7" s="9">
        <f>60</f>
        <v/>
      </c>
      <c r="D7" s="9">
        <f>60</f>
        <v/>
      </c>
      <c r="E7" s="9">
        <f>60</f>
        <v/>
      </c>
      <c r="F7" s="9">
        <f>60</f>
        <v/>
      </c>
      <c r="G7" s="9">
        <f>60</f>
        <v/>
      </c>
      <c r="H7" s="9">
        <f>60</f>
        <v/>
      </c>
      <c r="I7" s="9">
        <f>60</f>
        <v/>
      </c>
    </row>
    <row r="8">
      <c r="A8" s="3" t="inlineStr">
        <is>
          <t>Reserves (accumulated PAT)</t>
        </is>
      </c>
      <c r="B8" s="9">
        <f>0</f>
        <v/>
      </c>
      <c r="C8" s="9">
        <f>B8+PL!B9</f>
        <v/>
      </c>
      <c r="D8" s="9">
        <f>C8+PL!C9</f>
        <v/>
      </c>
      <c r="E8" s="9">
        <f>D8+PL!D9</f>
        <v/>
      </c>
      <c r="F8" s="9">
        <f>E8+PL!E9</f>
        <v/>
      </c>
      <c r="G8" s="9">
        <f>F8+PL!F9</f>
        <v/>
      </c>
      <c r="H8" s="9">
        <f>G8+PL!G9</f>
        <v/>
      </c>
      <c r="I8" s="9">
        <f>H8+PL!H9</f>
        <v/>
      </c>
    </row>
    <row r="9">
      <c r="A9" s="3" t="inlineStr">
        <is>
          <t>Term loan outstanding</t>
        </is>
      </c>
      <c r="B9" s="9">
        <f>Loan_Schedule!B6</f>
        <v/>
      </c>
      <c r="C9" s="9">
        <f>Loan_Schedule!C6</f>
        <v/>
      </c>
      <c r="D9" s="9">
        <f>Loan_Schedule!D6</f>
        <v/>
      </c>
      <c r="E9" s="9">
        <f>Loan_Schedule!E6</f>
        <v/>
      </c>
      <c r="F9" s="9">
        <f>Loan_Schedule!F6</f>
        <v/>
      </c>
      <c r="G9" s="9">
        <f>Loan_Schedule!G6</f>
        <v/>
      </c>
      <c r="H9" s="9">
        <f>Loan_Schedule!H6</f>
        <v/>
      </c>
      <c r="I9" s="9">
        <f>Loan_Schedule!I6</f>
        <v/>
      </c>
    </row>
    <row r="10">
      <c r="A10" s="3" t="inlineStr">
        <is>
          <t>TOTAL LIABILITIES</t>
        </is>
      </c>
      <c r="B10" s="12">
        <f>SUM(B7:B9)</f>
        <v/>
      </c>
      <c r="C10" s="12">
        <f>SUM(C7:C9)</f>
        <v/>
      </c>
      <c r="D10" s="12">
        <f>SUM(D7:D9)</f>
        <v/>
      </c>
      <c r="E10" s="12">
        <f>SUM(E7:E9)</f>
        <v/>
      </c>
      <c r="F10" s="12">
        <f>SUM(F7:F9)</f>
        <v/>
      </c>
      <c r="G10" s="12">
        <f>SUM(G7:G9)</f>
        <v/>
      </c>
      <c r="H10" s="12">
        <f>SUM(H7:H9)</f>
        <v/>
      </c>
      <c r="I10" s="12">
        <f>SUM(I7:I9)</f>
        <v/>
      </c>
    </row>
    <row r="11">
      <c r="A11" s="3" t="inlineStr">
        <is>
          <t>Check: assets - liabilities</t>
        </is>
      </c>
      <c r="B11" s="9">
        <f>B5-B10</f>
        <v/>
      </c>
      <c r="C11" s="9">
        <f>C5-C10</f>
        <v/>
      </c>
      <c r="D11" s="9">
        <f>D5-D10</f>
        <v/>
      </c>
      <c r="E11" s="9">
        <f>E5-E10</f>
        <v/>
      </c>
      <c r="F11" s="9">
        <f>F5-F10</f>
        <v/>
      </c>
      <c r="G11" s="9">
        <f>G5-G10</f>
        <v/>
      </c>
      <c r="H11" s="9">
        <f>H5-H10</f>
        <v/>
      </c>
      <c r="I11" s="9">
        <f>I5-I10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Ratio</t>
        </is>
      </c>
      <c r="B1" s="1" t="inlineStr">
        <is>
          <t>Value</t>
        </is>
      </c>
    </row>
    <row r="2">
      <c r="A2" s="3" t="inlineStr">
        <is>
          <t>Project cost (Rs lakh)</t>
        </is>
      </c>
      <c r="B2" s="12">
        <f>Project_Cost!$B$9</f>
        <v/>
      </c>
    </row>
    <row r="3">
      <c r="A3" s="3" t="inlineStr">
        <is>
          <t>Term loan (Rs lakh)</t>
        </is>
      </c>
      <c r="B3" s="12">
        <f>Assumptions!$B$21</f>
        <v/>
      </c>
    </row>
    <row r="4">
      <c r="A4" s="3" t="inlineStr">
        <is>
          <t>Promoter margin</t>
        </is>
      </c>
      <c r="B4" s="18">
        <f>Means_of_Finance!$B$6</f>
        <v/>
      </c>
    </row>
    <row r="5">
      <c r="A5" s="3" t="inlineStr">
        <is>
          <t>Debt-equity (at start)</t>
        </is>
      </c>
      <c r="B5" s="17">
        <f>Means_of_Finance!$B$7</f>
        <v/>
      </c>
    </row>
    <row r="6">
      <c r="A6" s="3" t="inlineStr">
        <is>
          <t>Average DSCR (Y1-Y7)</t>
        </is>
      </c>
      <c r="B6" s="17">
        <f>CashFlow_DSCR!$B$9</f>
        <v/>
      </c>
    </row>
    <row r="7">
      <c r="A7" s="3" t="inlineStr">
        <is>
          <t>Minimum DSCR, repayment years</t>
        </is>
      </c>
      <c r="B7" s="17">
        <f>CashFlow_DSCR!$B$10</f>
        <v/>
      </c>
    </row>
    <row r="8">
      <c r="A8" s="3" t="inlineStr">
        <is>
          <t>NPV @12% (Rs lakh)</t>
        </is>
      </c>
      <c r="B8" s="12">
        <f>CashFlow_DSCR!$B$11</f>
        <v/>
      </c>
    </row>
    <row r="9">
      <c r="A9" s="3" t="inlineStr">
        <is>
          <t>Equity IRR</t>
        </is>
      </c>
      <c r="B9" s="18">
        <f>CashFlow_DSCR!$B$12</f>
        <v/>
      </c>
    </row>
    <row r="10">
      <c r="A10" s="3" t="inlineStr">
        <is>
          <t>Payback year</t>
        </is>
      </c>
      <c r="B10" s="19">
        <f>CashFlow_DSCR!$B$13</f>
        <v/>
      </c>
    </row>
    <row r="11">
      <c r="A11" s="3" t="inlineStr">
        <is>
          <t>Break-even capacity utilisation</t>
        </is>
      </c>
      <c r="B11" s="18">
        <f>(Revenue_Cost!$B$8+Revenue_Cost!$B$9+Revenue_Cost!$B$10+Revenue_Cost!$B$12+PL!$B$5+Loan_Schedule!$C$3)/(1-Assumptions!$B$6-Assumptions!$B$7-Assumptions!$B$8)/(1200000*Assumptions!$B$3/100000)</f>
        <v/>
      </c>
    </row>
    <row r="12">
      <c r="A12" s="3" t="inlineStr">
        <is>
          <t>Bank norm: min DSCR &gt;= 1.25x?</t>
        </is>
      </c>
      <c r="B12" s="11">
        <f>B7&gt;=1.25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Scenario / line</t>
        </is>
      </c>
      <c r="B1" s="1" t="inlineStr">
        <is>
          <t>Y0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20" t="inlineStr">
        <is>
          <t>S0 Base  (revenue x 1.0, raw 76%)</t>
        </is>
      </c>
    </row>
    <row r="3">
      <c r="A3" s="3" t="inlineStr">
        <is>
          <t>Revenue (Rs lakh)</t>
        </is>
      </c>
      <c r="B3" s="9" t="n">
        <v>0</v>
      </c>
      <c r="C3" s="9">
        <f>Revenue_Cost!B4*1.0</f>
        <v/>
      </c>
      <c r="D3" s="9">
        <f>Revenue_Cost!C4*1.0</f>
        <v/>
      </c>
      <c r="E3" s="9">
        <f>Revenue_Cost!D4*1.0</f>
        <v/>
      </c>
      <c r="F3" s="9">
        <f>Revenue_Cost!E4*1.0</f>
        <v/>
      </c>
      <c r="G3" s="9">
        <f>Revenue_Cost!F4*1.0</f>
        <v/>
      </c>
      <c r="H3" s="9">
        <f>Revenue_Cost!G4*1.0</f>
        <v/>
      </c>
      <c r="I3" s="9">
        <f>Revenue_Cost!H4*1.0</f>
        <v/>
      </c>
    </row>
    <row r="4">
      <c r="A4" s="3" t="inlineStr">
        <is>
          <t>Raw material</t>
        </is>
      </c>
      <c r="B4" s="9" t="n">
        <v>0</v>
      </c>
      <c r="C4" s="9">
        <f>C3*0.76</f>
        <v/>
      </c>
      <c r="D4" s="9">
        <f>D3*0.76</f>
        <v/>
      </c>
      <c r="E4" s="9">
        <f>E3*0.76</f>
        <v/>
      </c>
      <c r="F4" s="9">
        <f>F3*0.76</f>
        <v/>
      </c>
      <c r="G4" s="9">
        <f>G3*0.76</f>
        <v/>
      </c>
      <c r="H4" s="9">
        <f>H3*0.76</f>
        <v/>
      </c>
      <c r="I4" s="9">
        <f>I3*0.76</f>
        <v/>
      </c>
    </row>
    <row r="5">
      <c r="A5" s="3" t="inlineStr">
        <is>
          <t>Packing</t>
        </is>
      </c>
      <c r="B5" s="9" t="n">
        <v>0</v>
      </c>
      <c r="C5" s="9">
        <f>C3*Assumptions!$B$7</f>
        <v/>
      </c>
      <c r="D5" s="9">
        <f>D3*Assumptions!$B$7</f>
        <v/>
      </c>
      <c r="E5" s="9">
        <f>E3*Assumptions!$B$7</f>
        <v/>
      </c>
      <c r="F5" s="9">
        <f>F3*Assumptions!$B$7</f>
        <v/>
      </c>
      <c r="G5" s="9">
        <f>G3*Assumptions!$B$7</f>
        <v/>
      </c>
      <c r="H5" s="9">
        <f>H3*Assumptions!$B$7</f>
        <v/>
      </c>
      <c r="I5" s="9">
        <f>I3*Assumptions!$B$7</f>
        <v/>
      </c>
    </row>
    <row r="6">
      <c r="A6" s="3" t="inlineStr">
        <is>
          <t>Power &amp; fuel</t>
        </is>
      </c>
      <c r="B6" s="9" t="n">
        <v>0</v>
      </c>
      <c r="C6" s="9">
        <f>Revenue_Cost!B8</f>
        <v/>
      </c>
      <c r="D6" s="9">
        <f>Revenue_Cost!C8</f>
        <v/>
      </c>
      <c r="E6" s="9">
        <f>Revenue_Cost!D8</f>
        <v/>
      </c>
      <c r="F6" s="9">
        <f>Revenue_Cost!E8</f>
        <v/>
      </c>
      <c r="G6" s="9">
        <f>Revenue_Cost!F8</f>
        <v/>
      </c>
      <c r="H6" s="9">
        <f>Revenue_Cost!G8</f>
        <v/>
      </c>
      <c r="I6" s="9">
        <f>Revenue_Cost!H8</f>
        <v/>
      </c>
    </row>
    <row r="7">
      <c r="A7" s="3" t="inlineStr">
        <is>
          <t>Salaries</t>
        </is>
      </c>
      <c r="B7" s="9" t="n">
        <v>0</v>
      </c>
      <c r="C7" s="9">
        <f>Revenue_Cost!B9</f>
        <v/>
      </c>
      <c r="D7" s="9">
        <f>Revenue_Cost!C9</f>
        <v/>
      </c>
      <c r="E7" s="9">
        <f>Revenue_Cost!D9</f>
        <v/>
      </c>
      <c r="F7" s="9">
        <f>Revenue_Cost!E9</f>
        <v/>
      </c>
      <c r="G7" s="9">
        <f>Revenue_Cost!F9</f>
        <v/>
      </c>
      <c r="H7" s="9">
        <f>Revenue_Cost!G9</f>
        <v/>
      </c>
      <c r="I7" s="9">
        <f>Revenue_Cost!H9</f>
        <v/>
      </c>
    </row>
    <row r="8">
      <c r="A8" s="3" t="inlineStr">
        <is>
          <t>Repairs</t>
        </is>
      </c>
      <c r="B8" s="9" t="n">
        <v>0</v>
      </c>
      <c r="C8" s="9">
        <f>Assumptions!$B$13</f>
        <v/>
      </c>
      <c r="D8" s="9">
        <f>Assumptions!$B$13</f>
        <v/>
      </c>
      <c r="E8" s="9">
        <f>Assumptions!$B$13</f>
        <v/>
      </c>
      <c r="F8" s="9">
        <f>Assumptions!$B$13</f>
        <v/>
      </c>
      <c r="G8" s="9">
        <f>Assumptions!$B$13</f>
        <v/>
      </c>
      <c r="H8" s="9">
        <f>Assumptions!$B$13</f>
        <v/>
      </c>
      <c r="I8" s="9">
        <f>Assumptions!$B$13</f>
        <v/>
      </c>
    </row>
    <row r="9">
      <c r="A9" s="3" t="inlineStr">
        <is>
          <t>Admin &amp; selling</t>
        </is>
      </c>
      <c r="B9" s="9" t="n">
        <v>0</v>
      </c>
      <c r="C9" s="9">
        <f>C3*Assumptions!$B$8</f>
        <v/>
      </c>
      <c r="D9" s="9">
        <f>D3*Assumptions!$B$8</f>
        <v/>
      </c>
      <c r="E9" s="9">
        <f>E3*Assumptions!$B$8</f>
        <v/>
      </c>
      <c r="F9" s="9">
        <f>F3*Assumptions!$B$8</f>
        <v/>
      </c>
      <c r="G9" s="9">
        <f>G3*Assumptions!$B$8</f>
        <v/>
      </c>
      <c r="H9" s="9">
        <f>H3*Assumptions!$B$8</f>
        <v/>
      </c>
      <c r="I9" s="9">
        <f>I3*Assumptions!$B$8</f>
        <v/>
      </c>
    </row>
    <row r="10">
      <c r="A10" s="3" t="inlineStr">
        <is>
          <t>Insurance</t>
        </is>
      </c>
      <c r="B10" s="9" t="n">
        <v>0</v>
      </c>
      <c r="C10" s="9">
        <f>Revenue_Cost!B12</f>
        <v/>
      </c>
      <c r="D10" s="9">
        <f>Revenue_Cost!C12</f>
        <v/>
      </c>
      <c r="E10" s="9">
        <f>Revenue_Cost!D12</f>
        <v/>
      </c>
      <c r="F10" s="9">
        <f>Revenue_Cost!E12</f>
        <v/>
      </c>
      <c r="G10" s="9">
        <f>Revenue_Cost!F12</f>
        <v/>
      </c>
      <c r="H10" s="9">
        <f>Revenue_Cost!G12</f>
        <v/>
      </c>
      <c r="I10" s="9">
        <f>Revenue_Cost!H12</f>
        <v/>
      </c>
    </row>
    <row r="11">
      <c r="A11" s="3" t="inlineStr">
        <is>
          <t>Total operating cost</t>
        </is>
      </c>
      <c r="B11" s="9" t="n">
        <v>0</v>
      </c>
      <c r="C11" s="9">
        <f>SUM(C4:C10)</f>
        <v/>
      </c>
      <c r="D11" s="9">
        <f>SUM(D4:D10)</f>
        <v/>
      </c>
      <c r="E11" s="9">
        <f>SUM(E4:E10)</f>
        <v/>
      </c>
      <c r="F11" s="9">
        <f>SUM(F4:F10)</f>
        <v/>
      </c>
      <c r="G11" s="9">
        <f>SUM(G4:G10)</f>
        <v/>
      </c>
      <c r="H11" s="9">
        <f>SUM(H4:H10)</f>
        <v/>
      </c>
      <c r="I11" s="9">
        <f>SUM(I4:I10)</f>
        <v/>
      </c>
    </row>
    <row r="12">
      <c r="A12" s="3" t="inlineStr">
        <is>
          <t>EBITDA</t>
        </is>
      </c>
      <c r="B12" s="9" t="n">
        <v>0</v>
      </c>
      <c r="C12" s="9">
        <f>C3-C11</f>
        <v/>
      </c>
      <c r="D12" s="9">
        <f>D3-D11</f>
        <v/>
      </c>
      <c r="E12" s="9">
        <f>E3-E11</f>
        <v/>
      </c>
      <c r="F12" s="9">
        <f>F3-F11</f>
        <v/>
      </c>
      <c r="G12" s="9">
        <f>G3-G11</f>
        <v/>
      </c>
      <c r="H12" s="9">
        <f>H3-H11</f>
        <v/>
      </c>
      <c r="I12" s="9">
        <f>I3-I11</f>
        <v/>
      </c>
    </row>
    <row r="13">
      <c r="A13" s="3" t="inlineStr">
        <is>
          <t>Depreciation</t>
        </is>
      </c>
      <c r="B13" s="9" t="n">
        <v>0</v>
      </c>
      <c r="C13" s="9">
        <f>PL!B5</f>
        <v/>
      </c>
      <c r="D13" s="9">
        <f>PL!C5</f>
        <v/>
      </c>
      <c r="E13" s="9">
        <f>PL!D5</f>
        <v/>
      </c>
      <c r="F13" s="9">
        <f>PL!E5</f>
        <v/>
      </c>
      <c r="G13" s="9">
        <f>PL!F5</f>
        <v/>
      </c>
      <c r="H13" s="9">
        <f>PL!G5</f>
        <v/>
      </c>
      <c r="I13" s="9">
        <f>PL!H5</f>
        <v/>
      </c>
    </row>
    <row r="14">
      <c r="A14" s="3" t="inlineStr">
        <is>
          <t>Interest</t>
        </is>
      </c>
      <c r="B14" s="9" t="n">
        <v>0</v>
      </c>
      <c r="C14" s="9">
        <f>Loan_Schedule!C3</f>
        <v/>
      </c>
      <c r="D14" s="9">
        <f>Loan_Schedule!D3</f>
        <v/>
      </c>
      <c r="E14" s="9">
        <f>Loan_Schedule!E3</f>
        <v/>
      </c>
      <c r="F14" s="9">
        <f>Loan_Schedule!F3</f>
        <v/>
      </c>
      <c r="G14" s="9">
        <f>Loan_Schedule!G3</f>
        <v/>
      </c>
      <c r="H14" s="9">
        <f>Loan_Schedule!H3</f>
        <v/>
      </c>
      <c r="I14" s="9">
        <f>Loan_Schedule!I3</f>
        <v/>
      </c>
    </row>
    <row r="15">
      <c r="A15" s="3" t="inlineStr">
        <is>
          <t>PBT</t>
        </is>
      </c>
      <c r="B15" s="9" t="n">
        <v>0</v>
      </c>
      <c r="C15" s="9">
        <f>C12-C13-C14</f>
        <v/>
      </c>
      <c r="D15" s="9">
        <f>D12-D13-D14</f>
        <v/>
      </c>
      <c r="E15" s="9">
        <f>E12-E13-E14</f>
        <v/>
      </c>
      <c r="F15" s="9">
        <f>F12-F13-F14</f>
        <v/>
      </c>
      <c r="G15" s="9">
        <f>G12-G13-G14</f>
        <v/>
      </c>
      <c r="H15" s="9">
        <f>H12-H13-H14</f>
        <v/>
      </c>
      <c r="I15" s="9">
        <f>I12-I13-I14</f>
        <v/>
      </c>
    </row>
    <row r="16">
      <c r="A16" s="3" t="inlineStr">
        <is>
          <t>Tax</t>
        </is>
      </c>
      <c r="B16" s="9" t="n">
        <v>0</v>
      </c>
      <c r="C16" s="9">
        <f>IF(C15&gt;0,C15*Assumptions!$B$20,0)</f>
        <v/>
      </c>
      <c r="D16" s="9">
        <f>IF(D15&gt;0,D15*Assumptions!$B$20,0)</f>
        <v/>
      </c>
      <c r="E16" s="9">
        <f>IF(E15&gt;0,E15*Assumptions!$B$20,0)</f>
        <v/>
      </c>
      <c r="F16" s="9">
        <f>IF(F15&gt;0,F15*Assumptions!$B$20,0)</f>
        <v/>
      </c>
      <c r="G16" s="9">
        <f>IF(G15&gt;0,G15*Assumptions!$B$20,0)</f>
        <v/>
      </c>
      <c r="H16" s="9">
        <f>IF(H15&gt;0,H15*Assumptions!$B$20,0)</f>
        <v/>
      </c>
      <c r="I16" s="9">
        <f>IF(I15&gt;0,I15*Assumptions!$B$20,0)</f>
        <v/>
      </c>
    </row>
    <row r="17">
      <c r="A17" s="3" t="inlineStr">
        <is>
          <t>PAT</t>
        </is>
      </c>
      <c r="B17" s="9" t="n">
        <v>0</v>
      </c>
      <c r="C17" s="9">
        <f>C15-C16</f>
        <v/>
      </c>
      <c r="D17" s="9">
        <f>D15-D16</f>
        <v/>
      </c>
      <c r="E17" s="9">
        <f>E15-E16</f>
        <v/>
      </c>
      <c r="F17" s="9">
        <f>F15-F16</f>
        <v/>
      </c>
      <c r="G17" s="9">
        <f>G15-G16</f>
        <v/>
      </c>
      <c r="H17" s="9">
        <f>H15-H16</f>
        <v/>
      </c>
      <c r="I17" s="9">
        <f>I15-I16</f>
        <v/>
      </c>
    </row>
    <row r="18">
      <c r="A18" s="3" t="inlineStr">
        <is>
          <t>Cash accruals</t>
        </is>
      </c>
      <c r="B18" s="9" t="n">
        <v>0</v>
      </c>
      <c r="C18" s="9">
        <f>C17+C13</f>
        <v/>
      </c>
      <c r="D18" s="9">
        <f>D17+D13</f>
        <v/>
      </c>
      <c r="E18" s="9">
        <f>E17+E13</f>
        <v/>
      </c>
      <c r="F18" s="9">
        <f>F17+F13</f>
        <v/>
      </c>
      <c r="G18" s="9">
        <f>G17+G13</f>
        <v/>
      </c>
      <c r="H18" s="9">
        <f>H17+H13</f>
        <v/>
      </c>
      <c r="I18" s="9">
        <f>I17+I13</f>
        <v/>
      </c>
    </row>
    <row r="19">
      <c r="A19" s="3" t="inlineStr">
        <is>
          <t>Debt service</t>
        </is>
      </c>
      <c r="B19" s="9" t="n">
        <v>0</v>
      </c>
      <c r="C19" s="9">
        <f>CashFlow_DSCR!C3</f>
        <v/>
      </c>
      <c r="D19" s="9">
        <f>CashFlow_DSCR!D3</f>
        <v/>
      </c>
      <c r="E19" s="9">
        <f>CashFlow_DSCR!E3</f>
        <v/>
      </c>
      <c r="F19" s="9">
        <f>CashFlow_DSCR!F3</f>
        <v/>
      </c>
      <c r="G19" s="9">
        <f>CashFlow_DSCR!G3</f>
        <v/>
      </c>
      <c r="H19" s="9">
        <f>CashFlow_DSCR!H3</f>
        <v/>
      </c>
      <c r="I19" s="9">
        <f>CashFlow_DSCR!I3</f>
        <v/>
      </c>
    </row>
    <row r="20">
      <c r="A20" s="3" t="inlineStr">
        <is>
          <t>Net cash to equity</t>
        </is>
      </c>
      <c r="B20" s="9">
        <f>-Assumptions!$B$25</f>
        <v/>
      </c>
      <c r="C20" s="9">
        <f>C18-Loan_Schedule!C5</f>
        <v/>
      </c>
      <c r="D20" s="9">
        <f>D18-Loan_Schedule!D5</f>
        <v/>
      </c>
      <c r="E20" s="9">
        <f>E18-Loan_Schedule!E5</f>
        <v/>
      </c>
      <c r="F20" s="9">
        <f>F18-Loan_Schedule!F5</f>
        <v/>
      </c>
      <c r="G20" s="9">
        <f>G18-Loan_Schedule!G5</f>
        <v/>
      </c>
      <c r="H20" s="9">
        <f>H18-Loan_Schedule!H5</f>
        <v/>
      </c>
      <c r="I20" s="9">
        <f>I18-Loan_Schedule!I5</f>
        <v/>
      </c>
    </row>
    <row r="21">
      <c r="A21" s="3" t="inlineStr">
        <is>
          <t>DSCR</t>
        </is>
      </c>
      <c r="B21" s="3" t="n"/>
      <c r="C21" s="14">
        <f>IF(C19=0,"",C18/C19)</f>
        <v/>
      </c>
      <c r="D21" s="14">
        <f>IF(D19=0,"",D18/D19)</f>
        <v/>
      </c>
      <c r="E21" s="14">
        <f>IF(E19=0,"",E18/E19)</f>
        <v/>
      </c>
      <c r="F21" s="14">
        <f>IF(F19=0,"",F18/F19)</f>
        <v/>
      </c>
      <c r="G21" s="14">
        <f>IF(G19=0,"",G18/G19)</f>
        <v/>
      </c>
      <c r="H21" s="14">
        <f>IF(H19=0,"",H18/H19)</f>
        <v/>
      </c>
      <c r="I21" s="14">
        <f>IF(I19=0,"",I18/I19)</f>
        <v/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inlineStr">
        <is>
          <t>Min DSCR, repayment years (Y2-Y7)</t>
        </is>
      </c>
      <c r="B23" s="17">
        <f>MIN(D21:I21)</f>
        <v/>
      </c>
      <c r="C23" s="3" t="n"/>
      <c r="D23" s="3" t="n"/>
      <c r="E23" s="3" t="n"/>
      <c r="F23" s="3" t="n"/>
      <c r="G23" s="3" t="n"/>
      <c r="H23" s="3" t="n"/>
      <c r="I23" s="3" t="n"/>
    </row>
    <row r="24">
      <c r="A24" s="3" t="inlineStr">
        <is>
          <t>Average DSCR (Y1-Y7)</t>
        </is>
      </c>
      <c r="B24" s="17">
        <f>AVERAGE(C21:I21)</f>
        <v/>
      </c>
      <c r="C24" s="3" t="n"/>
      <c r="D24" s="3" t="n"/>
      <c r="E24" s="3" t="n"/>
      <c r="F24" s="3" t="n"/>
      <c r="G24" s="3" t="n"/>
      <c r="H24" s="3" t="n"/>
      <c r="I24" s="3" t="n"/>
    </row>
    <row r="25">
      <c r="A25" s="3" t="inlineStr">
        <is>
          <t>NPV @12% (Rs lakh)</t>
        </is>
      </c>
      <c r="B25" s="12">
        <f>B20+NPV(Assumptions!$B$26,C20:I20)</f>
        <v/>
      </c>
      <c r="C25" s="3" t="n"/>
      <c r="D25" s="3" t="n"/>
      <c r="E25" s="3" t="n"/>
      <c r="F25" s="3" t="n"/>
      <c r="G25" s="3" t="n"/>
      <c r="H25" s="3" t="n"/>
      <c r="I25" s="3" t="n"/>
    </row>
    <row r="26">
      <c r="A26" s="3" t="inlineStr">
        <is>
          <t>Equity IRR</t>
        </is>
      </c>
      <c r="B26" s="18">
        <f>IRR(B20:I20)</f>
        <v/>
      </c>
      <c r="C26" s="3" t="n"/>
      <c r="D26" s="3" t="n"/>
      <c r="E26" s="3" t="n"/>
      <c r="F26" s="3" t="n"/>
      <c r="G26" s="3" t="n"/>
      <c r="H26" s="3" t="n"/>
      <c r="I26" s="3" t="n"/>
    </row>
    <row r="27">
      <c r="A27" s="20" t="inlineStr">
        <is>
          <t>S1 Revenue -5%  (revenue x 0.95, raw 76%)</t>
        </is>
      </c>
    </row>
    <row r="28">
      <c r="A28" s="3" t="inlineStr">
        <is>
          <t>Revenue (Rs lakh)</t>
        </is>
      </c>
      <c r="B28" s="9" t="n">
        <v>0</v>
      </c>
      <c r="C28" s="9">
        <f>Revenue_Cost!B4*0.95</f>
        <v/>
      </c>
      <c r="D28" s="9">
        <f>Revenue_Cost!C4*0.95</f>
        <v/>
      </c>
      <c r="E28" s="9">
        <f>Revenue_Cost!D4*0.95</f>
        <v/>
      </c>
      <c r="F28" s="9">
        <f>Revenue_Cost!E4*0.95</f>
        <v/>
      </c>
      <c r="G28" s="9">
        <f>Revenue_Cost!F4*0.95</f>
        <v/>
      </c>
      <c r="H28" s="9">
        <f>Revenue_Cost!G4*0.95</f>
        <v/>
      </c>
      <c r="I28" s="9">
        <f>Revenue_Cost!H4*0.95</f>
        <v/>
      </c>
    </row>
    <row r="29">
      <c r="A29" s="3" t="inlineStr">
        <is>
          <t>Raw material</t>
        </is>
      </c>
      <c r="B29" s="9" t="n">
        <v>0</v>
      </c>
      <c r="C29" s="9">
        <f>C28*0.76</f>
        <v/>
      </c>
      <c r="D29" s="9">
        <f>D28*0.76</f>
        <v/>
      </c>
      <c r="E29" s="9">
        <f>E28*0.76</f>
        <v/>
      </c>
      <c r="F29" s="9">
        <f>F28*0.76</f>
        <v/>
      </c>
      <c r="G29" s="9">
        <f>G28*0.76</f>
        <v/>
      </c>
      <c r="H29" s="9">
        <f>H28*0.76</f>
        <v/>
      </c>
      <c r="I29" s="9">
        <f>I28*0.76</f>
        <v/>
      </c>
    </row>
    <row r="30">
      <c r="A30" s="3" t="inlineStr">
        <is>
          <t>Packing</t>
        </is>
      </c>
      <c r="B30" s="9" t="n">
        <v>0</v>
      </c>
      <c r="C30" s="9">
        <f>C28*Assumptions!$B$7</f>
        <v/>
      </c>
      <c r="D30" s="9">
        <f>D28*Assumptions!$B$7</f>
        <v/>
      </c>
      <c r="E30" s="9">
        <f>E28*Assumptions!$B$7</f>
        <v/>
      </c>
      <c r="F30" s="9">
        <f>F28*Assumptions!$B$7</f>
        <v/>
      </c>
      <c r="G30" s="9">
        <f>G28*Assumptions!$B$7</f>
        <v/>
      </c>
      <c r="H30" s="9">
        <f>H28*Assumptions!$B$7</f>
        <v/>
      </c>
      <c r="I30" s="9">
        <f>I28*Assumptions!$B$7</f>
        <v/>
      </c>
    </row>
    <row r="31">
      <c r="A31" s="3" t="inlineStr">
        <is>
          <t>Power &amp; fuel</t>
        </is>
      </c>
      <c r="B31" s="9" t="n">
        <v>0</v>
      </c>
      <c r="C31" s="9">
        <f>Revenue_Cost!B8</f>
        <v/>
      </c>
      <c r="D31" s="9">
        <f>Revenue_Cost!C8</f>
        <v/>
      </c>
      <c r="E31" s="9">
        <f>Revenue_Cost!D8</f>
        <v/>
      </c>
      <c r="F31" s="9">
        <f>Revenue_Cost!E8</f>
        <v/>
      </c>
      <c r="G31" s="9">
        <f>Revenue_Cost!F8</f>
        <v/>
      </c>
      <c r="H31" s="9">
        <f>Revenue_Cost!G8</f>
        <v/>
      </c>
      <c r="I31" s="9">
        <f>Revenue_Cost!H8</f>
        <v/>
      </c>
    </row>
    <row r="32">
      <c r="A32" s="3" t="inlineStr">
        <is>
          <t>Salaries</t>
        </is>
      </c>
      <c r="B32" s="9" t="n">
        <v>0</v>
      </c>
      <c r="C32" s="9">
        <f>Revenue_Cost!B9</f>
        <v/>
      </c>
      <c r="D32" s="9">
        <f>Revenue_Cost!C9</f>
        <v/>
      </c>
      <c r="E32" s="9">
        <f>Revenue_Cost!D9</f>
        <v/>
      </c>
      <c r="F32" s="9">
        <f>Revenue_Cost!E9</f>
        <v/>
      </c>
      <c r="G32" s="9">
        <f>Revenue_Cost!F9</f>
        <v/>
      </c>
      <c r="H32" s="9">
        <f>Revenue_Cost!G9</f>
        <v/>
      </c>
      <c r="I32" s="9">
        <f>Revenue_Cost!H9</f>
        <v/>
      </c>
    </row>
    <row r="33">
      <c r="A33" s="3" t="inlineStr">
        <is>
          <t>Repairs</t>
        </is>
      </c>
      <c r="B33" s="9" t="n">
        <v>0</v>
      </c>
      <c r="C33" s="9">
        <f>Assumptions!$B$13</f>
        <v/>
      </c>
      <c r="D33" s="9">
        <f>Assumptions!$B$13</f>
        <v/>
      </c>
      <c r="E33" s="9">
        <f>Assumptions!$B$13</f>
        <v/>
      </c>
      <c r="F33" s="9">
        <f>Assumptions!$B$13</f>
        <v/>
      </c>
      <c r="G33" s="9">
        <f>Assumptions!$B$13</f>
        <v/>
      </c>
      <c r="H33" s="9">
        <f>Assumptions!$B$13</f>
        <v/>
      </c>
      <c r="I33" s="9">
        <f>Assumptions!$B$13</f>
        <v/>
      </c>
    </row>
    <row r="34">
      <c r="A34" s="3" t="inlineStr">
        <is>
          <t>Admin &amp; selling</t>
        </is>
      </c>
      <c r="B34" s="9" t="n">
        <v>0</v>
      </c>
      <c r="C34" s="9">
        <f>C28*Assumptions!$B$8</f>
        <v/>
      </c>
      <c r="D34" s="9">
        <f>D28*Assumptions!$B$8</f>
        <v/>
      </c>
      <c r="E34" s="9">
        <f>E28*Assumptions!$B$8</f>
        <v/>
      </c>
      <c r="F34" s="9">
        <f>F28*Assumptions!$B$8</f>
        <v/>
      </c>
      <c r="G34" s="9">
        <f>G28*Assumptions!$B$8</f>
        <v/>
      </c>
      <c r="H34" s="9">
        <f>H28*Assumptions!$B$8</f>
        <v/>
      </c>
      <c r="I34" s="9">
        <f>I28*Assumptions!$B$8</f>
        <v/>
      </c>
    </row>
    <row r="35">
      <c r="A35" s="3" t="inlineStr">
        <is>
          <t>Insurance</t>
        </is>
      </c>
      <c r="B35" s="9" t="n">
        <v>0</v>
      </c>
      <c r="C35" s="9">
        <f>Revenue_Cost!B12</f>
        <v/>
      </c>
      <c r="D35" s="9">
        <f>Revenue_Cost!C12</f>
        <v/>
      </c>
      <c r="E35" s="9">
        <f>Revenue_Cost!D12</f>
        <v/>
      </c>
      <c r="F35" s="9">
        <f>Revenue_Cost!E12</f>
        <v/>
      </c>
      <c r="G35" s="9">
        <f>Revenue_Cost!F12</f>
        <v/>
      </c>
      <c r="H35" s="9">
        <f>Revenue_Cost!G12</f>
        <v/>
      </c>
      <c r="I35" s="9">
        <f>Revenue_Cost!H12</f>
        <v/>
      </c>
    </row>
    <row r="36">
      <c r="A36" s="3" t="inlineStr">
        <is>
          <t>Total operating cost</t>
        </is>
      </c>
      <c r="B36" s="9" t="n">
        <v>0</v>
      </c>
      <c r="C36" s="9">
        <f>SUM(C29:C35)</f>
        <v/>
      </c>
      <c r="D36" s="9">
        <f>SUM(D29:D35)</f>
        <v/>
      </c>
      <c r="E36" s="9">
        <f>SUM(E29:E35)</f>
        <v/>
      </c>
      <c r="F36" s="9">
        <f>SUM(F29:F35)</f>
        <v/>
      </c>
      <c r="G36" s="9">
        <f>SUM(G29:G35)</f>
        <v/>
      </c>
      <c r="H36" s="9">
        <f>SUM(H29:H35)</f>
        <v/>
      </c>
      <c r="I36" s="9">
        <f>SUM(I29:I35)</f>
        <v/>
      </c>
    </row>
    <row r="37">
      <c r="A37" s="3" t="inlineStr">
        <is>
          <t>EBITDA</t>
        </is>
      </c>
      <c r="B37" s="9" t="n">
        <v>0</v>
      </c>
      <c r="C37" s="9">
        <f>C28-C36</f>
        <v/>
      </c>
      <c r="D37" s="9">
        <f>D28-D36</f>
        <v/>
      </c>
      <c r="E37" s="9">
        <f>E28-E36</f>
        <v/>
      </c>
      <c r="F37" s="9">
        <f>F28-F36</f>
        <v/>
      </c>
      <c r="G37" s="9">
        <f>G28-G36</f>
        <v/>
      </c>
      <c r="H37" s="9">
        <f>H28-H36</f>
        <v/>
      </c>
      <c r="I37" s="9">
        <f>I28-I36</f>
        <v/>
      </c>
    </row>
    <row r="38">
      <c r="A38" s="3" t="inlineStr">
        <is>
          <t>Depreciation</t>
        </is>
      </c>
      <c r="B38" s="9" t="n">
        <v>0</v>
      </c>
      <c r="C38" s="9">
        <f>PL!B5</f>
        <v/>
      </c>
      <c r="D38" s="9">
        <f>PL!C5</f>
        <v/>
      </c>
      <c r="E38" s="9">
        <f>PL!D5</f>
        <v/>
      </c>
      <c r="F38" s="9">
        <f>PL!E5</f>
        <v/>
      </c>
      <c r="G38" s="9">
        <f>PL!F5</f>
        <v/>
      </c>
      <c r="H38" s="9">
        <f>PL!G5</f>
        <v/>
      </c>
      <c r="I38" s="9">
        <f>PL!H5</f>
        <v/>
      </c>
    </row>
    <row r="39">
      <c r="A39" s="3" t="inlineStr">
        <is>
          <t>Interest</t>
        </is>
      </c>
      <c r="B39" s="9" t="n">
        <v>0</v>
      </c>
      <c r="C39" s="9">
        <f>Loan_Schedule!C3</f>
        <v/>
      </c>
      <c r="D39" s="9">
        <f>Loan_Schedule!D3</f>
        <v/>
      </c>
      <c r="E39" s="9">
        <f>Loan_Schedule!E3</f>
        <v/>
      </c>
      <c r="F39" s="9">
        <f>Loan_Schedule!F3</f>
        <v/>
      </c>
      <c r="G39" s="9">
        <f>Loan_Schedule!G3</f>
        <v/>
      </c>
      <c r="H39" s="9">
        <f>Loan_Schedule!H3</f>
        <v/>
      </c>
      <c r="I39" s="9">
        <f>Loan_Schedule!I3</f>
        <v/>
      </c>
    </row>
    <row r="40">
      <c r="A40" s="3" t="inlineStr">
        <is>
          <t>PBT</t>
        </is>
      </c>
      <c r="B40" s="9" t="n">
        <v>0</v>
      </c>
      <c r="C40" s="9">
        <f>C37-C38-C39</f>
        <v/>
      </c>
      <c r="D40" s="9">
        <f>D37-D38-D39</f>
        <v/>
      </c>
      <c r="E40" s="9">
        <f>E37-E38-E39</f>
        <v/>
      </c>
      <c r="F40" s="9">
        <f>F37-F38-F39</f>
        <v/>
      </c>
      <c r="G40" s="9">
        <f>G37-G38-G39</f>
        <v/>
      </c>
      <c r="H40" s="9">
        <f>H37-H38-H39</f>
        <v/>
      </c>
      <c r="I40" s="9">
        <f>I37-I38-I39</f>
        <v/>
      </c>
    </row>
    <row r="41">
      <c r="A41" s="3" t="inlineStr">
        <is>
          <t>Tax</t>
        </is>
      </c>
      <c r="B41" s="9" t="n">
        <v>0</v>
      </c>
      <c r="C41" s="9">
        <f>IF(C40&gt;0,C40*Assumptions!$B$20,0)</f>
        <v/>
      </c>
      <c r="D41" s="9">
        <f>IF(D40&gt;0,D40*Assumptions!$B$20,0)</f>
        <v/>
      </c>
      <c r="E41" s="9">
        <f>IF(E40&gt;0,E40*Assumptions!$B$20,0)</f>
        <v/>
      </c>
      <c r="F41" s="9">
        <f>IF(F40&gt;0,F40*Assumptions!$B$20,0)</f>
        <v/>
      </c>
      <c r="G41" s="9">
        <f>IF(G40&gt;0,G40*Assumptions!$B$20,0)</f>
        <v/>
      </c>
      <c r="H41" s="9">
        <f>IF(H40&gt;0,H40*Assumptions!$B$20,0)</f>
        <v/>
      </c>
      <c r="I41" s="9">
        <f>IF(I40&gt;0,I40*Assumptions!$B$20,0)</f>
        <v/>
      </c>
    </row>
    <row r="42">
      <c r="A42" s="3" t="inlineStr">
        <is>
          <t>PAT</t>
        </is>
      </c>
      <c r="B42" s="9" t="n">
        <v>0</v>
      </c>
      <c r="C42" s="9">
        <f>C40-C41</f>
        <v/>
      </c>
      <c r="D42" s="9">
        <f>D40-D41</f>
        <v/>
      </c>
      <c r="E42" s="9">
        <f>E40-E41</f>
        <v/>
      </c>
      <c r="F42" s="9">
        <f>F40-F41</f>
        <v/>
      </c>
      <c r="G42" s="9">
        <f>G40-G41</f>
        <v/>
      </c>
      <c r="H42" s="9">
        <f>H40-H41</f>
        <v/>
      </c>
      <c r="I42" s="9">
        <f>I40-I41</f>
        <v/>
      </c>
    </row>
    <row r="43">
      <c r="A43" s="3" t="inlineStr">
        <is>
          <t>Cash accruals</t>
        </is>
      </c>
      <c r="B43" s="9" t="n">
        <v>0</v>
      </c>
      <c r="C43" s="9">
        <f>C42+C38</f>
        <v/>
      </c>
      <c r="D43" s="9">
        <f>D42+D38</f>
        <v/>
      </c>
      <c r="E43" s="9">
        <f>E42+E38</f>
        <v/>
      </c>
      <c r="F43" s="9">
        <f>F42+F38</f>
        <v/>
      </c>
      <c r="G43" s="9">
        <f>G42+G38</f>
        <v/>
      </c>
      <c r="H43" s="9">
        <f>H42+H38</f>
        <v/>
      </c>
      <c r="I43" s="9">
        <f>I42+I38</f>
        <v/>
      </c>
    </row>
    <row r="44">
      <c r="A44" s="3" t="inlineStr">
        <is>
          <t>Debt service</t>
        </is>
      </c>
      <c r="B44" s="9" t="n">
        <v>0</v>
      </c>
      <c r="C44" s="9">
        <f>CashFlow_DSCR!C3</f>
        <v/>
      </c>
      <c r="D44" s="9">
        <f>CashFlow_DSCR!D3</f>
        <v/>
      </c>
      <c r="E44" s="9">
        <f>CashFlow_DSCR!E3</f>
        <v/>
      </c>
      <c r="F44" s="9">
        <f>CashFlow_DSCR!F3</f>
        <v/>
      </c>
      <c r="G44" s="9">
        <f>CashFlow_DSCR!G3</f>
        <v/>
      </c>
      <c r="H44" s="9">
        <f>CashFlow_DSCR!H3</f>
        <v/>
      </c>
      <c r="I44" s="9">
        <f>CashFlow_DSCR!I3</f>
        <v/>
      </c>
    </row>
    <row r="45">
      <c r="A45" s="3" t="inlineStr">
        <is>
          <t>Net cash to equity</t>
        </is>
      </c>
      <c r="B45" s="9">
        <f>-Assumptions!$B$25</f>
        <v/>
      </c>
      <c r="C45" s="9">
        <f>C43-Loan_Schedule!C5</f>
        <v/>
      </c>
      <c r="D45" s="9">
        <f>D43-Loan_Schedule!D5</f>
        <v/>
      </c>
      <c r="E45" s="9">
        <f>E43-Loan_Schedule!E5</f>
        <v/>
      </c>
      <c r="F45" s="9">
        <f>F43-Loan_Schedule!F5</f>
        <v/>
      </c>
      <c r="G45" s="9">
        <f>G43-Loan_Schedule!G5</f>
        <v/>
      </c>
      <c r="H45" s="9">
        <f>H43-Loan_Schedule!H5</f>
        <v/>
      </c>
      <c r="I45" s="9">
        <f>I43-Loan_Schedule!I5</f>
        <v/>
      </c>
    </row>
    <row r="46">
      <c r="A46" s="3" t="inlineStr">
        <is>
          <t>DSCR</t>
        </is>
      </c>
      <c r="B46" s="3" t="n"/>
      <c r="C46" s="14">
        <f>IF(C44=0,"",C43/C44)</f>
        <v/>
      </c>
      <c r="D46" s="14">
        <f>IF(D44=0,"",D43/D44)</f>
        <v/>
      </c>
      <c r="E46" s="14">
        <f>IF(E44=0,"",E43/E44)</f>
        <v/>
      </c>
      <c r="F46" s="14">
        <f>IF(F44=0,"",F43/F44)</f>
        <v/>
      </c>
      <c r="G46" s="14">
        <f>IF(G44=0,"",G43/G44)</f>
        <v/>
      </c>
      <c r="H46" s="14">
        <f>IF(H44=0,"",H43/H44)</f>
        <v/>
      </c>
      <c r="I46" s="14">
        <f>IF(I44=0,"",I43/I44)</f>
        <v/>
      </c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inlineStr">
        <is>
          <t>Min DSCR, repayment years (Y2-Y7)</t>
        </is>
      </c>
      <c r="B48" s="17">
        <f>MIN(D46:I46)</f>
        <v/>
      </c>
      <c r="C48" s="3" t="n"/>
      <c r="D48" s="3" t="n"/>
      <c r="E48" s="3" t="n"/>
      <c r="F48" s="3" t="n"/>
      <c r="G48" s="3" t="n"/>
      <c r="H48" s="3" t="n"/>
      <c r="I48" s="3" t="n"/>
    </row>
    <row r="49">
      <c r="A49" s="3" t="inlineStr">
        <is>
          <t>Average DSCR (Y1-Y7)</t>
        </is>
      </c>
      <c r="B49" s="17">
        <f>AVERAGE(C46:I46)</f>
        <v/>
      </c>
      <c r="C49" s="3" t="n"/>
      <c r="D49" s="3" t="n"/>
      <c r="E49" s="3" t="n"/>
      <c r="F49" s="3" t="n"/>
      <c r="G49" s="3" t="n"/>
      <c r="H49" s="3" t="n"/>
      <c r="I49" s="3" t="n"/>
    </row>
    <row r="50">
      <c r="A50" s="3" t="inlineStr">
        <is>
          <t>NPV @12% (Rs lakh)</t>
        </is>
      </c>
      <c r="B50" s="12">
        <f>B45+NPV(Assumptions!$B$26,C45:I45)</f>
        <v/>
      </c>
      <c r="C50" s="3" t="n"/>
      <c r="D50" s="3" t="n"/>
      <c r="E50" s="3" t="n"/>
      <c r="F50" s="3" t="n"/>
      <c r="G50" s="3" t="n"/>
      <c r="H50" s="3" t="n"/>
      <c r="I50" s="3" t="n"/>
    </row>
    <row r="51">
      <c r="A51" s="3" t="inlineStr">
        <is>
          <t>Equity IRR</t>
        </is>
      </c>
      <c r="B51" s="18">
        <f>IRR(B45:I45)</f>
        <v/>
      </c>
      <c r="C51" s="3" t="n"/>
      <c r="D51" s="3" t="n"/>
      <c r="E51" s="3" t="n"/>
      <c r="F51" s="3" t="n"/>
      <c r="G51" s="3" t="n"/>
      <c r="H51" s="3" t="n"/>
      <c r="I51" s="3" t="n"/>
    </row>
    <row r="52">
      <c r="A52" s="20" t="inlineStr">
        <is>
          <t>S2 Raw material +3pp  (revenue x 1.0, raw 79%)</t>
        </is>
      </c>
    </row>
    <row r="53">
      <c r="A53" s="3" t="inlineStr">
        <is>
          <t>Revenue (Rs lakh)</t>
        </is>
      </c>
      <c r="B53" s="9" t="n">
        <v>0</v>
      </c>
      <c r="C53" s="9">
        <f>Revenue_Cost!B4*1.0</f>
        <v/>
      </c>
      <c r="D53" s="9">
        <f>Revenue_Cost!C4*1.0</f>
        <v/>
      </c>
      <c r="E53" s="9">
        <f>Revenue_Cost!D4*1.0</f>
        <v/>
      </c>
      <c r="F53" s="9">
        <f>Revenue_Cost!E4*1.0</f>
        <v/>
      </c>
      <c r="G53" s="9">
        <f>Revenue_Cost!F4*1.0</f>
        <v/>
      </c>
      <c r="H53" s="9">
        <f>Revenue_Cost!G4*1.0</f>
        <v/>
      </c>
      <c r="I53" s="9">
        <f>Revenue_Cost!H4*1.0</f>
        <v/>
      </c>
    </row>
    <row r="54">
      <c r="A54" s="3" t="inlineStr">
        <is>
          <t>Raw material</t>
        </is>
      </c>
      <c r="B54" s="9" t="n">
        <v>0</v>
      </c>
      <c r="C54" s="9">
        <f>C53*0.79</f>
        <v/>
      </c>
      <c r="D54" s="9">
        <f>D53*0.79</f>
        <v/>
      </c>
      <c r="E54" s="9">
        <f>E53*0.79</f>
        <v/>
      </c>
      <c r="F54" s="9">
        <f>F53*0.79</f>
        <v/>
      </c>
      <c r="G54" s="9">
        <f>G53*0.79</f>
        <v/>
      </c>
      <c r="H54" s="9">
        <f>H53*0.79</f>
        <v/>
      </c>
      <c r="I54" s="9">
        <f>I53*0.79</f>
        <v/>
      </c>
    </row>
    <row r="55">
      <c r="A55" s="3" t="inlineStr">
        <is>
          <t>Packing</t>
        </is>
      </c>
      <c r="B55" s="9" t="n">
        <v>0</v>
      </c>
      <c r="C55" s="9">
        <f>C53*Assumptions!$B$7</f>
        <v/>
      </c>
      <c r="D55" s="9">
        <f>D53*Assumptions!$B$7</f>
        <v/>
      </c>
      <c r="E55" s="9">
        <f>E53*Assumptions!$B$7</f>
        <v/>
      </c>
      <c r="F55" s="9">
        <f>F53*Assumptions!$B$7</f>
        <v/>
      </c>
      <c r="G55" s="9">
        <f>G53*Assumptions!$B$7</f>
        <v/>
      </c>
      <c r="H55" s="9">
        <f>H53*Assumptions!$B$7</f>
        <v/>
      </c>
      <c r="I55" s="9">
        <f>I53*Assumptions!$B$7</f>
        <v/>
      </c>
    </row>
    <row r="56">
      <c r="A56" s="3" t="inlineStr">
        <is>
          <t>Power &amp; fuel</t>
        </is>
      </c>
      <c r="B56" s="9" t="n">
        <v>0</v>
      </c>
      <c r="C56" s="9">
        <f>Revenue_Cost!B8</f>
        <v/>
      </c>
      <c r="D56" s="9">
        <f>Revenue_Cost!C8</f>
        <v/>
      </c>
      <c r="E56" s="9">
        <f>Revenue_Cost!D8</f>
        <v/>
      </c>
      <c r="F56" s="9">
        <f>Revenue_Cost!E8</f>
        <v/>
      </c>
      <c r="G56" s="9">
        <f>Revenue_Cost!F8</f>
        <v/>
      </c>
      <c r="H56" s="9">
        <f>Revenue_Cost!G8</f>
        <v/>
      </c>
      <c r="I56" s="9">
        <f>Revenue_Cost!H8</f>
        <v/>
      </c>
    </row>
    <row r="57">
      <c r="A57" s="3" t="inlineStr">
        <is>
          <t>Salaries</t>
        </is>
      </c>
      <c r="B57" s="9" t="n">
        <v>0</v>
      </c>
      <c r="C57" s="9">
        <f>Revenue_Cost!B9</f>
        <v/>
      </c>
      <c r="D57" s="9">
        <f>Revenue_Cost!C9</f>
        <v/>
      </c>
      <c r="E57" s="9">
        <f>Revenue_Cost!D9</f>
        <v/>
      </c>
      <c r="F57" s="9">
        <f>Revenue_Cost!E9</f>
        <v/>
      </c>
      <c r="G57" s="9">
        <f>Revenue_Cost!F9</f>
        <v/>
      </c>
      <c r="H57" s="9">
        <f>Revenue_Cost!G9</f>
        <v/>
      </c>
      <c r="I57" s="9">
        <f>Revenue_Cost!H9</f>
        <v/>
      </c>
    </row>
    <row r="58">
      <c r="A58" s="3" t="inlineStr">
        <is>
          <t>Repairs</t>
        </is>
      </c>
      <c r="B58" s="9" t="n">
        <v>0</v>
      </c>
      <c r="C58" s="9">
        <f>Assumptions!$B$13</f>
        <v/>
      </c>
      <c r="D58" s="9">
        <f>Assumptions!$B$13</f>
        <v/>
      </c>
      <c r="E58" s="9">
        <f>Assumptions!$B$13</f>
        <v/>
      </c>
      <c r="F58" s="9">
        <f>Assumptions!$B$13</f>
        <v/>
      </c>
      <c r="G58" s="9">
        <f>Assumptions!$B$13</f>
        <v/>
      </c>
      <c r="H58" s="9">
        <f>Assumptions!$B$13</f>
        <v/>
      </c>
      <c r="I58" s="9">
        <f>Assumptions!$B$13</f>
        <v/>
      </c>
    </row>
    <row r="59">
      <c r="A59" s="3" t="inlineStr">
        <is>
          <t>Admin &amp; selling</t>
        </is>
      </c>
      <c r="B59" s="9" t="n">
        <v>0</v>
      </c>
      <c r="C59" s="9">
        <f>C53*Assumptions!$B$8</f>
        <v/>
      </c>
      <c r="D59" s="9">
        <f>D53*Assumptions!$B$8</f>
        <v/>
      </c>
      <c r="E59" s="9">
        <f>E53*Assumptions!$B$8</f>
        <v/>
      </c>
      <c r="F59" s="9">
        <f>F53*Assumptions!$B$8</f>
        <v/>
      </c>
      <c r="G59" s="9">
        <f>G53*Assumptions!$B$8</f>
        <v/>
      </c>
      <c r="H59" s="9">
        <f>H53*Assumptions!$B$8</f>
        <v/>
      </c>
      <c r="I59" s="9">
        <f>I53*Assumptions!$B$8</f>
        <v/>
      </c>
    </row>
    <row r="60">
      <c r="A60" s="3" t="inlineStr">
        <is>
          <t>Insurance</t>
        </is>
      </c>
      <c r="B60" s="9" t="n">
        <v>0</v>
      </c>
      <c r="C60" s="9">
        <f>Revenue_Cost!B12</f>
        <v/>
      </c>
      <c r="D60" s="9">
        <f>Revenue_Cost!C12</f>
        <v/>
      </c>
      <c r="E60" s="9">
        <f>Revenue_Cost!D12</f>
        <v/>
      </c>
      <c r="F60" s="9">
        <f>Revenue_Cost!E12</f>
        <v/>
      </c>
      <c r="G60" s="9">
        <f>Revenue_Cost!F12</f>
        <v/>
      </c>
      <c r="H60" s="9">
        <f>Revenue_Cost!G12</f>
        <v/>
      </c>
      <c r="I60" s="9">
        <f>Revenue_Cost!H12</f>
        <v/>
      </c>
    </row>
    <row r="61">
      <c r="A61" s="3" t="inlineStr">
        <is>
          <t>Total operating cost</t>
        </is>
      </c>
      <c r="B61" s="9" t="n">
        <v>0</v>
      </c>
      <c r="C61" s="9">
        <f>SUM(C54:C60)</f>
        <v/>
      </c>
      <c r="D61" s="9">
        <f>SUM(D54:D60)</f>
        <v/>
      </c>
      <c r="E61" s="9">
        <f>SUM(E54:E60)</f>
        <v/>
      </c>
      <c r="F61" s="9">
        <f>SUM(F54:F60)</f>
        <v/>
      </c>
      <c r="G61" s="9">
        <f>SUM(G54:G60)</f>
        <v/>
      </c>
      <c r="H61" s="9">
        <f>SUM(H54:H60)</f>
        <v/>
      </c>
      <c r="I61" s="9">
        <f>SUM(I54:I60)</f>
        <v/>
      </c>
    </row>
    <row r="62">
      <c r="A62" s="3" t="inlineStr">
        <is>
          <t>EBITDA</t>
        </is>
      </c>
      <c r="B62" s="9" t="n">
        <v>0</v>
      </c>
      <c r="C62" s="9">
        <f>C53-C61</f>
        <v/>
      </c>
      <c r="D62" s="9">
        <f>D53-D61</f>
        <v/>
      </c>
      <c r="E62" s="9">
        <f>E53-E61</f>
        <v/>
      </c>
      <c r="F62" s="9">
        <f>F53-F61</f>
        <v/>
      </c>
      <c r="G62" s="9">
        <f>G53-G61</f>
        <v/>
      </c>
      <c r="H62" s="9">
        <f>H53-H61</f>
        <v/>
      </c>
      <c r="I62" s="9">
        <f>I53-I61</f>
        <v/>
      </c>
    </row>
    <row r="63">
      <c r="A63" s="3" t="inlineStr">
        <is>
          <t>Depreciation</t>
        </is>
      </c>
      <c r="B63" s="9" t="n">
        <v>0</v>
      </c>
      <c r="C63" s="9">
        <f>PL!B5</f>
        <v/>
      </c>
      <c r="D63" s="9">
        <f>PL!C5</f>
        <v/>
      </c>
      <c r="E63" s="9">
        <f>PL!D5</f>
        <v/>
      </c>
      <c r="F63" s="9">
        <f>PL!E5</f>
        <v/>
      </c>
      <c r="G63" s="9">
        <f>PL!F5</f>
        <v/>
      </c>
      <c r="H63" s="9">
        <f>PL!G5</f>
        <v/>
      </c>
      <c r="I63" s="9">
        <f>PL!H5</f>
        <v/>
      </c>
    </row>
    <row r="64">
      <c r="A64" s="3" t="inlineStr">
        <is>
          <t>Interest</t>
        </is>
      </c>
      <c r="B64" s="9" t="n">
        <v>0</v>
      </c>
      <c r="C64" s="9">
        <f>Loan_Schedule!C3</f>
        <v/>
      </c>
      <c r="D64" s="9">
        <f>Loan_Schedule!D3</f>
        <v/>
      </c>
      <c r="E64" s="9">
        <f>Loan_Schedule!E3</f>
        <v/>
      </c>
      <c r="F64" s="9">
        <f>Loan_Schedule!F3</f>
        <v/>
      </c>
      <c r="G64" s="9">
        <f>Loan_Schedule!G3</f>
        <v/>
      </c>
      <c r="H64" s="9">
        <f>Loan_Schedule!H3</f>
        <v/>
      </c>
      <c r="I64" s="9">
        <f>Loan_Schedule!I3</f>
        <v/>
      </c>
    </row>
    <row r="65">
      <c r="A65" s="3" t="inlineStr">
        <is>
          <t>PBT</t>
        </is>
      </c>
      <c r="B65" s="9" t="n">
        <v>0</v>
      </c>
      <c r="C65" s="9">
        <f>C62-C63-C64</f>
        <v/>
      </c>
      <c r="D65" s="9">
        <f>D62-D63-D64</f>
        <v/>
      </c>
      <c r="E65" s="9">
        <f>E62-E63-E64</f>
        <v/>
      </c>
      <c r="F65" s="9">
        <f>F62-F63-F64</f>
        <v/>
      </c>
      <c r="G65" s="9">
        <f>G62-G63-G64</f>
        <v/>
      </c>
      <c r="H65" s="9">
        <f>H62-H63-H64</f>
        <v/>
      </c>
      <c r="I65" s="9">
        <f>I62-I63-I64</f>
        <v/>
      </c>
    </row>
    <row r="66">
      <c r="A66" s="3" t="inlineStr">
        <is>
          <t>Tax</t>
        </is>
      </c>
      <c r="B66" s="9" t="n">
        <v>0</v>
      </c>
      <c r="C66" s="9">
        <f>IF(C65&gt;0,C65*Assumptions!$B$20,0)</f>
        <v/>
      </c>
      <c r="D66" s="9">
        <f>IF(D65&gt;0,D65*Assumptions!$B$20,0)</f>
        <v/>
      </c>
      <c r="E66" s="9">
        <f>IF(E65&gt;0,E65*Assumptions!$B$20,0)</f>
        <v/>
      </c>
      <c r="F66" s="9">
        <f>IF(F65&gt;0,F65*Assumptions!$B$20,0)</f>
        <v/>
      </c>
      <c r="G66" s="9">
        <f>IF(G65&gt;0,G65*Assumptions!$B$20,0)</f>
        <v/>
      </c>
      <c r="H66" s="9">
        <f>IF(H65&gt;0,H65*Assumptions!$B$20,0)</f>
        <v/>
      </c>
      <c r="I66" s="9">
        <f>IF(I65&gt;0,I65*Assumptions!$B$20,0)</f>
        <v/>
      </c>
    </row>
    <row r="67">
      <c r="A67" s="3" t="inlineStr">
        <is>
          <t>PAT</t>
        </is>
      </c>
      <c r="B67" s="9" t="n">
        <v>0</v>
      </c>
      <c r="C67" s="9">
        <f>C65-C66</f>
        <v/>
      </c>
      <c r="D67" s="9">
        <f>D65-D66</f>
        <v/>
      </c>
      <c r="E67" s="9">
        <f>E65-E66</f>
        <v/>
      </c>
      <c r="F67" s="9">
        <f>F65-F66</f>
        <v/>
      </c>
      <c r="G67" s="9">
        <f>G65-G66</f>
        <v/>
      </c>
      <c r="H67" s="9">
        <f>H65-H66</f>
        <v/>
      </c>
      <c r="I67" s="9">
        <f>I65-I66</f>
        <v/>
      </c>
    </row>
    <row r="68">
      <c r="A68" s="3" t="inlineStr">
        <is>
          <t>Cash accruals</t>
        </is>
      </c>
      <c r="B68" s="9" t="n">
        <v>0</v>
      </c>
      <c r="C68" s="9">
        <f>C67+C63</f>
        <v/>
      </c>
      <c r="D68" s="9">
        <f>D67+D63</f>
        <v/>
      </c>
      <c r="E68" s="9">
        <f>E67+E63</f>
        <v/>
      </c>
      <c r="F68" s="9">
        <f>F67+F63</f>
        <v/>
      </c>
      <c r="G68" s="9">
        <f>G67+G63</f>
        <v/>
      </c>
      <c r="H68" s="9">
        <f>H67+H63</f>
        <v/>
      </c>
      <c r="I68" s="9">
        <f>I67+I63</f>
        <v/>
      </c>
    </row>
    <row r="69">
      <c r="A69" s="3" t="inlineStr">
        <is>
          <t>Debt service</t>
        </is>
      </c>
      <c r="B69" s="9" t="n">
        <v>0</v>
      </c>
      <c r="C69" s="9">
        <f>CashFlow_DSCR!C3</f>
        <v/>
      </c>
      <c r="D69" s="9">
        <f>CashFlow_DSCR!D3</f>
        <v/>
      </c>
      <c r="E69" s="9">
        <f>CashFlow_DSCR!E3</f>
        <v/>
      </c>
      <c r="F69" s="9">
        <f>CashFlow_DSCR!F3</f>
        <v/>
      </c>
      <c r="G69" s="9">
        <f>CashFlow_DSCR!G3</f>
        <v/>
      </c>
      <c r="H69" s="9">
        <f>CashFlow_DSCR!H3</f>
        <v/>
      </c>
      <c r="I69" s="9">
        <f>CashFlow_DSCR!I3</f>
        <v/>
      </c>
    </row>
    <row r="70">
      <c r="A70" s="3" t="inlineStr">
        <is>
          <t>Net cash to equity</t>
        </is>
      </c>
      <c r="B70" s="9">
        <f>-Assumptions!$B$25</f>
        <v/>
      </c>
      <c r="C70" s="9">
        <f>C68-Loan_Schedule!C5</f>
        <v/>
      </c>
      <c r="D70" s="9">
        <f>D68-Loan_Schedule!D5</f>
        <v/>
      </c>
      <c r="E70" s="9">
        <f>E68-Loan_Schedule!E5</f>
        <v/>
      </c>
      <c r="F70" s="9">
        <f>F68-Loan_Schedule!F5</f>
        <v/>
      </c>
      <c r="G70" s="9">
        <f>G68-Loan_Schedule!G5</f>
        <v/>
      </c>
      <c r="H70" s="9">
        <f>H68-Loan_Schedule!H5</f>
        <v/>
      </c>
      <c r="I70" s="9">
        <f>I68-Loan_Schedule!I5</f>
        <v/>
      </c>
    </row>
    <row r="71">
      <c r="A71" s="3" t="inlineStr">
        <is>
          <t>DSCR</t>
        </is>
      </c>
      <c r="B71" s="3" t="n"/>
      <c r="C71" s="14">
        <f>IF(C69=0,"",C68/C69)</f>
        <v/>
      </c>
      <c r="D71" s="14">
        <f>IF(D69=0,"",D68/D69)</f>
        <v/>
      </c>
      <c r="E71" s="14">
        <f>IF(E69=0,"",E68/E69)</f>
        <v/>
      </c>
      <c r="F71" s="14">
        <f>IF(F69=0,"",F68/F69)</f>
        <v/>
      </c>
      <c r="G71" s="14">
        <f>IF(G69=0,"",G68/G69)</f>
        <v/>
      </c>
      <c r="H71" s="14">
        <f>IF(H69=0,"",H68/H69)</f>
        <v/>
      </c>
      <c r="I71" s="14">
        <f>IF(I69=0,"",I68/I69)</f>
        <v/>
      </c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>
      <c r="A73" s="3" t="inlineStr">
        <is>
          <t>Min DSCR, repayment years (Y2-Y7)</t>
        </is>
      </c>
      <c r="B73" s="17">
        <f>MIN(D71:I71)</f>
        <v/>
      </c>
      <c r="C73" s="3" t="n"/>
      <c r="D73" s="3" t="n"/>
      <c r="E73" s="3" t="n"/>
      <c r="F73" s="3" t="n"/>
      <c r="G73" s="3" t="n"/>
      <c r="H73" s="3" t="n"/>
      <c r="I73" s="3" t="n"/>
    </row>
    <row r="74">
      <c r="A74" s="3" t="inlineStr">
        <is>
          <t>Average DSCR (Y1-Y7)</t>
        </is>
      </c>
      <c r="B74" s="17">
        <f>AVERAGE(C71:I71)</f>
        <v/>
      </c>
      <c r="C74" s="3" t="n"/>
      <c r="D74" s="3" t="n"/>
      <c r="E74" s="3" t="n"/>
      <c r="F74" s="3" t="n"/>
      <c r="G74" s="3" t="n"/>
      <c r="H74" s="3" t="n"/>
      <c r="I74" s="3" t="n"/>
    </row>
    <row r="75">
      <c r="A75" s="3" t="inlineStr">
        <is>
          <t>NPV @12% (Rs lakh)</t>
        </is>
      </c>
      <c r="B75" s="12">
        <f>B70+NPV(Assumptions!$B$26,C70:I70)</f>
        <v/>
      </c>
      <c r="C75" s="3" t="n"/>
      <c r="D75" s="3" t="n"/>
      <c r="E75" s="3" t="n"/>
      <c r="F75" s="3" t="n"/>
      <c r="G75" s="3" t="n"/>
      <c r="H75" s="3" t="n"/>
      <c r="I75" s="3" t="n"/>
    </row>
    <row r="76">
      <c r="A76" s="3" t="inlineStr">
        <is>
          <t>Equity IRR</t>
        </is>
      </c>
      <c r="B76" s="18">
        <f>IRR(B70:I70)</f>
        <v/>
      </c>
      <c r="C76" s="3" t="n"/>
      <c r="D76" s="3" t="n"/>
      <c r="E76" s="3" t="n"/>
      <c r="F76" s="3" t="n"/>
      <c r="G76" s="3" t="n"/>
      <c r="H76" s="3" t="n"/>
      <c r="I76" s="3" t="n"/>
    </row>
    <row r="77">
      <c r="A77" s="20" t="inlineStr">
        <is>
          <t>S3 Combined stress  (revenue x 0.95, raw 79%)</t>
        </is>
      </c>
    </row>
    <row r="78">
      <c r="A78" s="3" t="inlineStr">
        <is>
          <t>Revenue (Rs lakh)</t>
        </is>
      </c>
      <c r="B78" s="9" t="n">
        <v>0</v>
      </c>
      <c r="C78" s="9">
        <f>Revenue_Cost!B4*0.95</f>
        <v/>
      </c>
      <c r="D78" s="9">
        <f>Revenue_Cost!C4*0.95</f>
        <v/>
      </c>
      <c r="E78" s="9">
        <f>Revenue_Cost!D4*0.95</f>
        <v/>
      </c>
      <c r="F78" s="9">
        <f>Revenue_Cost!E4*0.95</f>
        <v/>
      </c>
      <c r="G78" s="9">
        <f>Revenue_Cost!F4*0.95</f>
        <v/>
      </c>
      <c r="H78" s="9">
        <f>Revenue_Cost!G4*0.95</f>
        <v/>
      </c>
      <c r="I78" s="9">
        <f>Revenue_Cost!H4*0.95</f>
        <v/>
      </c>
    </row>
    <row r="79">
      <c r="A79" s="3" t="inlineStr">
        <is>
          <t>Raw material</t>
        </is>
      </c>
      <c r="B79" s="9" t="n">
        <v>0</v>
      </c>
      <c r="C79" s="9">
        <f>C78*0.79</f>
        <v/>
      </c>
      <c r="D79" s="9">
        <f>D78*0.79</f>
        <v/>
      </c>
      <c r="E79" s="9">
        <f>E78*0.79</f>
        <v/>
      </c>
      <c r="F79" s="9">
        <f>F78*0.79</f>
        <v/>
      </c>
      <c r="G79" s="9">
        <f>G78*0.79</f>
        <v/>
      </c>
      <c r="H79" s="9">
        <f>H78*0.79</f>
        <v/>
      </c>
      <c r="I79" s="9">
        <f>I78*0.79</f>
        <v/>
      </c>
    </row>
    <row r="80">
      <c r="A80" s="3" t="inlineStr">
        <is>
          <t>Packing</t>
        </is>
      </c>
      <c r="B80" s="9" t="n">
        <v>0</v>
      </c>
      <c r="C80" s="9">
        <f>C78*Assumptions!$B$7</f>
        <v/>
      </c>
      <c r="D80" s="9">
        <f>D78*Assumptions!$B$7</f>
        <v/>
      </c>
      <c r="E80" s="9">
        <f>E78*Assumptions!$B$7</f>
        <v/>
      </c>
      <c r="F80" s="9">
        <f>F78*Assumptions!$B$7</f>
        <v/>
      </c>
      <c r="G80" s="9">
        <f>G78*Assumptions!$B$7</f>
        <v/>
      </c>
      <c r="H80" s="9">
        <f>H78*Assumptions!$B$7</f>
        <v/>
      </c>
      <c r="I80" s="9">
        <f>I78*Assumptions!$B$7</f>
        <v/>
      </c>
    </row>
    <row r="81">
      <c r="A81" s="3" t="inlineStr">
        <is>
          <t>Power &amp; fuel</t>
        </is>
      </c>
      <c r="B81" s="9" t="n">
        <v>0</v>
      </c>
      <c r="C81" s="9">
        <f>Revenue_Cost!B8</f>
        <v/>
      </c>
      <c r="D81" s="9">
        <f>Revenue_Cost!C8</f>
        <v/>
      </c>
      <c r="E81" s="9">
        <f>Revenue_Cost!D8</f>
        <v/>
      </c>
      <c r="F81" s="9">
        <f>Revenue_Cost!E8</f>
        <v/>
      </c>
      <c r="G81" s="9">
        <f>Revenue_Cost!F8</f>
        <v/>
      </c>
      <c r="H81" s="9">
        <f>Revenue_Cost!G8</f>
        <v/>
      </c>
      <c r="I81" s="9">
        <f>Revenue_Cost!H8</f>
        <v/>
      </c>
    </row>
    <row r="82">
      <c r="A82" s="3" t="inlineStr">
        <is>
          <t>Salaries</t>
        </is>
      </c>
      <c r="B82" s="9" t="n">
        <v>0</v>
      </c>
      <c r="C82" s="9">
        <f>Revenue_Cost!B9</f>
        <v/>
      </c>
      <c r="D82" s="9">
        <f>Revenue_Cost!C9</f>
        <v/>
      </c>
      <c r="E82" s="9">
        <f>Revenue_Cost!D9</f>
        <v/>
      </c>
      <c r="F82" s="9">
        <f>Revenue_Cost!E9</f>
        <v/>
      </c>
      <c r="G82" s="9">
        <f>Revenue_Cost!F9</f>
        <v/>
      </c>
      <c r="H82" s="9">
        <f>Revenue_Cost!G9</f>
        <v/>
      </c>
      <c r="I82" s="9">
        <f>Revenue_Cost!H9</f>
        <v/>
      </c>
    </row>
    <row r="83">
      <c r="A83" s="3" t="inlineStr">
        <is>
          <t>Repairs</t>
        </is>
      </c>
      <c r="B83" s="9" t="n">
        <v>0</v>
      </c>
      <c r="C83" s="9">
        <f>Assumptions!$B$13</f>
        <v/>
      </c>
      <c r="D83" s="9">
        <f>Assumptions!$B$13</f>
        <v/>
      </c>
      <c r="E83" s="9">
        <f>Assumptions!$B$13</f>
        <v/>
      </c>
      <c r="F83" s="9">
        <f>Assumptions!$B$13</f>
        <v/>
      </c>
      <c r="G83" s="9">
        <f>Assumptions!$B$13</f>
        <v/>
      </c>
      <c r="H83" s="9">
        <f>Assumptions!$B$13</f>
        <v/>
      </c>
      <c r="I83" s="9">
        <f>Assumptions!$B$13</f>
        <v/>
      </c>
    </row>
    <row r="84">
      <c r="A84" s="3" t="inlineStr">
        <is>
          <t>Admin &amp; selling</t>
        </is>
      </c>
      <c r="B84" s="9" t="n">
        <v>0</v>
      </c>
      <c r="C84" s="9">
        <f>C78*Assumptions!$B$8</f>
        <v/>
      </c>
      <c r="D84" s="9">
        <f>D78*Assumptions!$B$8</f>
        <v/>
      </c>
      <c r="E84" s="9">
        <f>E78*Assumptions!$B$8</f>
        <v/>
      </c>
      <c r="F84" s="9">
        <f>F78*Assumptions!$B$8</f>
        <v/>
      </c>
      <c r="G84" s="9">
        <f>G78*Assumptions!$B$8</f>
        <v/>
      </c>
      <c r="H84" s="9">
        <f>H78*Assumptions!$B$8</f>
        <v/>
      </c>
      <c r="I84" s="9">
        <f>I78*Assumptions!$B$8</f>
        <v/>
      </c>
    </row>
    <row r="85">
      <c r="A85" s="3" t="inlineStr">
        <is>
          <t>Insurance</t>
        </is>
      </c>
      <c r="B85" s="9" t="n">
        <v>0</v>
      </c>
      <c r="C85" s="9">
        <f>Revenue_Cost!B12</f>
        <v/>
      </c>
      <c r="D85" s="9">
        <f>Revenue_Cost!C12</f>
        <v/>
      </c>
      <c r="E85" s="9">
        <f>Revenue_Cost!D12</f>
        <v/>
      </c>
      <c r="F85" s="9">
        <f>Revenue_Cost!E12</f>
        <v/>
      </c>
      <c r="G85" s="9">
        <f>Revenue_Cost!F12</f>
        <v/>
      </c>
      <c r="H85" s="9">
        <f>Revenue_Cost!G12</f>
        <v/>
      </c>
      <c r="I85" s="9">
        <f>Revenue_Cost!H12</f>
        <v/>
      </c>
    </row>
    <row r="86">
      <c r="A86" s="3" t="inlineStr">
        <is>
          <t>Total operating cost</t>
        </is>
      </c>
      <c r="B86" s="9" t="n">
        <v>0</v>
      </c>
      <c r="C86" s="9">
        <f>SUM(C79:C85)</f>
        <v/>
      </c>
      <c r="D86" s="9">
        <f>SUM(D79:D85)</f>
        <v/>
      </c>
      <c r="E86" s="9">
        <f>SUM(E79:E85)</f>
        <v/>
      </c>
      <c r="F86" s="9">
        <f>SUM(F79:F85)</f>
        <v/>
      </c>
      <c r="G86" s="9">
        <f>SUM(G79:G85)</f>
        <v/>
      </c>
      <c r="H86" s="9">
        <f>SUM(H79:H85)</f>
        <v/>
      </c>
      <c r="I86" s="9">
        <f>SUM(I79:I85)</f>
        <v/>
      </c>
    </row>
    <row r="87">
      <c r="A87" s="3" t="inlineStr">
        <is>
          <t>EBITDA</t>
        </is>
      </c>
      <c r="B87" s="9" t="n">
        <v>0</v>
      </c>
      <c r="C87" s="9">
        <f>C78-C86</f>
        <v/>
      </c>
      <c r="D87" s="9">
        <f>D78-D86</f>
        <v/>
      </c>
      <c r="E87" s="9">
        <f>E78-E86</f>
        <v/>
      </c>
      <c r="F87" s="9">
        <f>F78-F86</f>
        <v/>
      </c>
      <c r="G87" s="9">
        <f>G78-G86</f>
        <v/>
      </c>
      <c r="H87" s="9">
        <f>H78-H86</f>
        <v/>
      </c>
      <c r="I87" s="9">
        <f>I78-I86</f>
        <v/>
      </c>
    </row>
    <row r="88">
      <c r="A88" s="3" t="inlineStr">
        <is>
          <t>Depreciation</t>
        </is>
      </c>
      <c r="B88" s="9" t="n">
        <v>0</v>
      </c>
      <c r="C88" s="9">
        <f>PL!B5</f>
        <v/>
      </c>
      <c r="D88" s="9">
        <f>PL!C5</f>
        <v/>
      </c>
      <c r="E88" s="9">
        <f>PL!D5</f>
        <v/>
      </c>
      <c r="F88" s="9">
        <f>PL!E5</f>
        <v/>
      </c>
      <c r="G88" s="9">
        <f>PL!F5</f>
        <v/>
      </c>
      <c r="H88" s="9">
        <f>PL!G5</f>
        <v/>
      </c>
      <c r="I88" s="9">
        <f>PL!H5</f>
        <v/>
      </c>
    </row>
    <row r="89">
      <c r="A89" s="3" t="inlineStr">
        <is>
          <t>Interest</t>
        </is>
      </c>
      <c r="B89" s="9" t="n">
        <v>0</v>
      </c>
      <c r="C89" s="9">
        <f>Loan_Schedule!C3</f>
        <v/>
      </c>
      <c r="D89" s="9">
        <f>Loan_Schedule!D3</f>
        <v/>
      </c>
      <c r="E89" s="9">
        <f>Loan_Schedule!E3</f>
        <v/>
      </c>
      <c r="F89" s="9">
        <f>Loan_Schedule!F3</f>
        <v/>
      </c>
      <c r="G89" s="9">
        <f>Loan_Schedule!G3</f>
        <v/>
      </c>
      <c r="H89" s="9">
        <f>Loan_Schedule!H3</f>
        <v/>
      </c>
      <c r="I89" s="9">
        <f>Loan_Schedule!I3</f>
        <v/>
      </c>
    </row>
    <row r="90">
      <c r="A90" s="3" t="inlineStr">
        <is>
          <t>PBT</t>
        </is>
      </c>
      <c r="B90" s="9" t="n">
        <v>0</v>
      </c>
      <c r="C90" s="9">
        <f>C87-C88-C89</f>
        <v/>
      </c>
      <c r="D90" s="9">
        <f>D87-D88-D89</f>
        <v/>
      </c>
      <c r="E90" s="9">
        <f>E87-E88-E89</f>
        <v/>
      </c>
      <c r="F90" s="9">
        <f>F87-F88-F89</f>
        <v/>
      </c>
      <c r="G90" s="9">
        <f>G87-G88-G89</f>
        <v/>
      </c>
      <c r="H90" s="9">
        <f>H87-H88-H89</f>
        <v/>
      </c>
      <c r="I90" s="9">
        <f>I87-I88-I89</f>
        <v/>
      </c>
    </row>
    <row r="91">
      <c r="A91" s="3" t="inlineStr">
        <is>
          <t>Tax</t>
        </is>
      </c>
      <c r="B91" s="9" t="n">
        <v>0</v>
      </c>
      <c r="C91" s="9">
        <f>IF(C90&gt;0,C90*Assumptions!$B$20,0)</f>
        <v/>
      </c>
      <c r="D91" s="9">
        <f>IF(D90&gt;0,D90*Assumptions!$B$20,0)</f>
        <v/>
      </c>
      <c r="E91" s="9">
        <f>IF(E90&gt;0,E90*Assumptions!$B$20,0)</f>
        <v/>
      </c>
      <c r="F91" s="9">
        <f>IF(F90&gt;0,F90*Assumptions!$B$20,0)</f>
        <v/>
      </c>
      <c r="G91" s="9">
        <f>IF(G90&gt;0,G90*Assumptions!$B$20,0)</f>
        <v/>
      </c>
      <c r="H91" s="9">
        <f>IF(H90&gt;0,H90*Assumptions!$B$20,0)</f>
        <v/>
      </c>
      <c r="I91" s="9">
        <f>IF(I90&gt;0,I90*Assumptions!$B$20,0)</f>
        <v/>
      </c>
    </row>
    <row r="92">
      <c r="A92" s="3" t="inlineStr">
        <is>
          <t>PAT</t>
        </is>
      </c>
      <c r="B92" s="9" t="n">
        <v>0</v>
      </c>
      <c r="C92" s="9">
        <f>C90-C91</f>
        <v/>
      </c>
      <c r="D92" s="9">
        <f>D90-D91</f>
        <v/>
      </c>
      <c r="E92" s="9">
        <f>E90-E91</f>
        <v/>
      </c>
      <c r="F92" s="9">
        <f>F90-F91</f>
        <v/>
      </c>
      <c r="G92" s="9">
        <f>G90-G91</f>
        <v/>
      </c>
      <c r="H92" s="9">
        <f>H90-H91</f>
        <v/>
      </c>
      <c r="I92" s="9">
        <f>I90-I91</f>
        <v/>
      </c>
    </row>
    <row r="93">
      <c r="A93" s="3" t="inlineStr">
        <is>
          <t>Cash accruals</t>
        </is>
      </c>
      <c r="B93" s="9" t="n">
        <v>0</v>
      </c>
      <c r="C93" s="9">
        <f>C92+C88</f>
        <v/>
      </c>
      <c r="D93" s="9">
        <f>D92+D88</f>
        <v/>
      </c>
      <c r="E93" s="9">
        <f>E92+E88</f>
        <v/>
      </c>
      <c r="F93" s="9">
        <f>F92+F88</f>
        <v/>
      </c>
      <c r="G93" s="9">
        <f>G92+G88</f>
        <v/>
      </c>
      <c r="H93" s="9">
        <f>H92+H88</f>
        <v/>
      </c>
      <c r="I93" s="9">
        <f>I92+I88</f>
        <v/>
      </c>
    </row>
    <row r="94">
      <c r="A94" s="3" t="inlineStr">
        <is>
          <t>Debt service</t>
        </is>
      </c>
      <c r="B94" s="9" t="n">
        <v>0</v>
      </c>
      <c r="C94" s="9">
        <f>CashFlow_DSCR!C3</f>
        <v/>
      </c>
      <c r="D94" s="9">
        <f>CashFlow_DSCR!D3</f>
        <v/>
      </c>
      <c r="E94" s="9">
        <f>CashFlow_DSCR!E3</f>
        <v/>
      </c>
      <c r="F94" s="9">
        <f>CashFlow_DSCR!F3</f>
        <v/>
      </c>
      <c r="G94" s="9">
        <f>CashFlow_DSCR!G3</f>
        <v/>
      </c>
      <c r="H94" s="9">
        <f>CashFlow_DSCR!H3</f>
        <v/>
      </c>
      <c r="I94" s="9">
        <f>CashFlow_DSCR!I3</f>
        <v/>
      </c>
    </row>
    <row r="95">
      <c r="A95" s="3" t="inlineStr">
        <is>
          <t>Net cash to equity</t>
        </is>
      </c>
      <c r="B95" s="9">
        <f>-Assumptions!$B$25</f>
        <v/>
      </c>
      <c r="C95" s="9">
        <f>C93-Loan_Schedule!C5</f>
        <v/>
      </c>
      <c r="D95" s="9">
        <f>D93-Loan_Schedule!D5</f>
        <v/>
      </c>
      <c r="E95" s="9">
        <f>E93-Loan_Schedule!E5</f>
        <v/>
      </c>
      <c r="F95" s="9">
        <f>F93-Loan_Schedule!F5</f>
        <v/>
      </c>
      <c r="G95" s="9">
        <f>G93-Loan_Schedule!G5</f>
        <v/>
      </c>
      <c r="H95" s="9">
        <f>H93-Loan_Schedule!H5</f>
        <v/>
      </c>
      <c r="I95" s="9">
        <f>I93-Loan_Schedule!I5</f>
        <v/>
      </c>
    </row>
    <row r="96">
      <c r="A96" s="3" t="inlineStr">
        <is>
          <t>DSCR</t>
        </is>
      </c>
      <c r="B96" s="3" t="n"/>
      <c r="C96" s="14">
        <f>IF(C94=0,"",C93/C94)</f>
        <v/>
      </c>
      <c r="D96" s="14">
        <f>IF(D94=0,"",D93/D94)</f>
        <v/>
      </c>
      <c r="E96" s="14">
        <f>IF(E94=0,"",E93/E94)</f>
        <v/>
      </c>
      <c r="F96" s="14">
        <f>IF(F94=0,"",F93/F94)</f>
        <v/>
      </c>
      <c r="G96" s="14">
        <f>IF(G94=0,"",G93/G94)</f>
        <v/>
      </c>
      <c r="H96" s="14">
        <f>IF(H94=0,"",H93/H94)</f>
        <v/>
      </c>
      <c r="I96" s="14">
        <f>IF(I94=0,"",I93/I94)</f>
        <v/>
      </c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</row>
    <row r="98">
      <c r="A98" s="3" t="inlineStr">
        <is>
          <t>Min DSCR, repayment years (Y2-Y7)</t>
        </is>
      </c>
      <c r="B98" s="17">
        <f>MIN(D96:I96)</f>
        <v/>
      </c>
      <c r="C98" s="3" t="n"/>
      <c r="D98" s="3" t="n"/>
      <c r="E98" s="3" t="n"/>
      <c r="F98" s="3" t="n"/>
      <c r="G98" s="3" t="n"/>
      <c r="H98" s="3" t="n"/>
      <c r="I98" s="3" t="n"/>
    </row>
    <row r="99">
      <c r="A99" s="3" t="inlineStr">
        <is>
          <t>Average DSCR (Y1-Y7)</t>
        </is>
      </c>
      <c r="B99" s="17">
        <f>AVERAGE(C96:I96)</f>
        <v/>
      </c>
      <c r="C99" s="3" t="n"/>
      <c r="D99" s="3" t="n"/>
      <c r="E99" s="3" t="n"/>
      <c r="F99" s="3" t="n"/>
      <c r="G99" s="3" t="n"/>
      <c r="H99" s="3" t="n"/>
      <c r="I99" s="3" t="n"/>
    </row>
    <row r="100">
      <c r="A100" s="3" t="inlineStr">
        <is>
          <t>NPV @12% (Rs lakh)</t>
        </is>
      </c>
      <c r="B100" s="12">
        <f>B95+NPV(Assumptions!$B$26,C95:I95)</f>
        <v/>
      </c>
      <c r="C100" s="3" t="n"/>
      <c r="D100" s="3" t="n"/>
      <c r="E100" s="3" t="n"/>
      <c r="F100" s="3" t="n"/>
      <c r="G100" s="3" t="n"/>
      <c r="H100" s="3" t="n"/>
      <c r="I100" s="3" t="n"/>
    </row>
    <row r="101">
      <c r="A101" s="3" t="inlineStr">
        <is>
          <t>Equity IRR</t>
        </is>
      </c>
      <c r="B101" s="18">
        <f>IRR(B95:I95)</f>
        <v/>
      </c>
      <c r="C101" s="3" t="n"/>
      <c r="D101" s="3" t="n"/>
      <c r="E101" s="3" t="n"/>
      <c r="F101" s="3" t="n"/>
      <c r="G101" s="3" t="n"/>
      <c r="H101" s="3" t="n"/>
      <c r="I101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" customWidth="1" min="3" max="3"/>
    <col width="8" customWidth="1" min="4" max="4"/>
    <col width="16" customWidth="1" min="5" max="5"/>
    <col width="14" customWidth="1" min="6" max="6"/>
    <col width="4" customWidth="1" min="7" max="7"/>
    <col width="10" customWidth="1" min="8" max="8"/>
    <col width="12" customWidth="1" min="9" max="9"/>
    <col width="4" customWidth="1" min="10" max="10"/>
    <col width="24" customWidth="1" min="11" max="11"/>
    <col width="14" customWidth="1" min="12" max="12"/>
  </cols>
  <sheetData>
    <row r="1">
      <c r="A1" s="1" t="inlineStr">
        <is>
          <t>DPRPulse — Banker's Dashboard</t>
        </is>
      </c>
      <c r="B1" s="1" t="n"/>
    </row>
    <row r="3">
      <c r="A3" s="3" t="inlineStr">
        <is>
          <t>KPI</t>
        </is>
      </c>
      <c r="B3" s="3" t="inlineStr">
        <is>
          <t>Value</t>
        </is>
      </c>
      <c r="D3" t="inlineStr">
        <is>
          <t>Year</t>
        </is>
      </c>
      <c r="E3" t="inlineStr">
        <is>
          <t>Cash accruals</t>
        </is>
      </c>
      <c r="F3" t="inlineStr">
        <is>
          <t>Debt service</t>
        </is>
      </c>
      <c r="H3" t="inlineStr">
        <is>
          <t>DSCR</t>
        </is>
      </c>
      <c r="I3" t="inlineStr">
        <is>
          <t>Bank norm</t>
        </is>
      </c>
      <c r="K3" t="inlineStr">
        <is>
          <t>Scenario</t>
        </is>
      </c>
      <c r="L3" t="inlineStr">
        <is>
          <t>NPV @12%</t>
        </is>
      </c>
    </row>
    <row r="4">
      <c r="A4" s="3" t="inlineStr">
        <is>
          <t>Project cost (Rs lakh)</t>
        </is>
      </c>
      <c r="B4" s="21">
        <f>Ratios!$B$2</f>
        <v/>
      </c>
      <c r="D4" t="n">
        <v>1</v>
      </c>
      <c r="E4">
        <f>CashFlow_DSCR!C2</f>
        <v/>
      </c>
      <c r="F4">
        <f>CashFlow_DSCR!C3</f>
        <v/>
      </c>
      <c r="H4">
        <f>CashFlow_DSCR!C6</f>
        <v/>
      </c>
      <c r="I4" t="n">
        <v>1.25</v>
      </c>
      <c r="K4" t="inlineStr">
        <is>
          <t>S0 Base</t>
        </is>
      </c>
      <c r="L4">
        <f>Sensitivity!B25</f>
        <v/>
      </c>
    </row>
    <row r="5">
      <c r="A5" s="3" t="inlineStr">
        <is>
          <t>Term loan (Rs lakh)</t>
        </is>
      </c>
      <c r="B5" s="21">
        <f>Ratios!$B$3</f>
        <v/>
      </c>
      <c r="D5" t="n">
        <v>2</v>
      </c>
      <c r="E5">
        <f>CashFlow_DSCR!D2</f>
        <v/>
      </c>
      <c r="F5">
        <f>CashFlow_DSCR!D3</f>
        <v/>
      </c>
      <c r="H5">
        <f>CashFlow_DSCR!D6</f>
        <v/>
      </c>
      <c r="I5" t="n">
        <v>1.25</v>
      </c>
      <c r="K5" t="inlineStr">
        <is>
          <t>S1 Revenue -5%</t>
        </is>
      </c>
      <c r="L5">
        <f>Sensitivity!B50</f>
        <v/>
      </c>
    </row>
    <row r="6">
      <c r="A6" s="3" t="inlineStr">
        <is>
          <t>Promoter margin</t>
        </is>
      </c>
      <c r="B6" s="22">
        <f>Ratios!$B$4</f>
        <v/>
      </c>
      <c r="D6" t="n">
        <v>3</v>
      </c>
      <c r="E6">
        <f>CashFlow_DSCR!E2</f>
        <v/>
      </c>
      <c r="F6">
        <f>CashFlow_DSCR!E3</f>
        <v/>
      </c>
      <c r="H6">
        <f>CashFlow_DSCR!E6</f>
        <v/>
      </c>
      <c r="I6" t="n">
        <v>1.25</v>
      </c>
      <c r="K6" t="inlineStr">
        <is>
          <t>S2 Raw material +3pp</t>
        </is>
      </c>
      <c r="L6">
        <f>Sensitivity!B75</f>
        <v/>
      </c>
    </row>
    <row r="7">
      <c r="A7" s="3" t="inlineStr">
        <is>
          <t>Average DSCR</t>
        </is>
      </c>
      <c r="B7" s="23">
        <f>Ratios!$B$6</f>
        <v/>
      </c>
      <c r="D7" t="n">
        <v>4</v>
      </c>
      <c r="E7">
        <f>CashFlow_DSCR!F2</f>
        <v/>
      </c>
      <c r="F7">
        <f>CashFlow_DSCR!F3</f>
        <v/>
      </c>
      <c r="H7">
        <f>CashFlow_DSCR!F6</f>
        <v/>
      </c>
      <c r="I7" t="n">
        <v>1.25</v>
      </c>
      <c r="K7" t="inlineStr">
        <is>
          <t>S3 Combined stress</t>
        </is>
      </c>
      <c r="L7">
        <f>Sensitivity!B100</f>
        <v/>
      </c>
    </row>
    <row r="8">
      <c r="A8" s="3" t="inlineStr">
        <is>
          <t>Minimum DSCR (repayment)</t>
        </is>
      </c>
      <c r="B8" s="23">
        <f>Ratios!$B$7</f>
        <v/>
      </c>
      <c r="D8" t="n">
        <v>5</v>
      </c>
      <c r="E8">
        <f>CashFlow_DSCR!G2</f>
        <v/>
      </c>
      <c r="F8">
        <f>CashFlow_DSCR!G3</f>
        <v/>
      </c>
      <c r="H8">
        <f>CashFlow_DSCR!G6</f>
        <v/>
      </c>
      <c r="I8" t="n">
        <v>1.25</v>
      </c>
    </row>
    <row r="9">
      <c r="A9" s="3" t="inlineStr">
        <is>
          <t>NPV @12% (Rs lakh)</t>
        </is>
      </c>
      <c r="B9" s="21">
        <f>Ratios!$B$8</f>
        <v/>
      </c>
      <c r="D9" t="n">
        <v>6</v>
      </c>
      <c r="E9">
        <f>CashFlow_DSCR!H2</f>
        <v/>
      </c>
      <c r="F9">
        <f>CashFlow_DSCR!H3</f>
        <v/>
      </c>
      <c r="H9">
        <f>CashFlow_DSCR!H6</f>
        <v/>
      </c>
      <c r="I9" t="n">
        <v>1.25</v>
      </c>
    </row>
    <row r="10">
      <c r="A10" s="3" t="inlineStr">
        <is>
          <t>Equity IRR</t>
        </is>
      </c>
      <c r="B10" s="22">
        <f>Ratios!$B$9</f>
        <v/>
      </c>
      <c r="D10" t="n">
        <v>7</v>
      </c>
      <c r="E10">
        <f>CashFlow_DSCR!I2</f>
        <v/>
      </c>
      <c r="F10">
        <f>CashFlow_DSCR!I3</f>
        <v/>
      </c>
      <c r="H10">
        <f>CashFlow_DSCR!I6</f>
        <v/>
      </c>
      <c r="I10" t="n">
        <v>1.25</v>
      </c>
    </row>
    <row r="11">
      <c r="A11" s="3" t="inlineStr">
        <is>
          <t>Break-even utilisation</t>
        </is>
      </c>
      <c r="B11" s="22">
        <f>Ratios!$B$11</f>
        <v/>
      </c>
    </row>
    <row r="13">
      <c r="A13" s="20" t="inlineStr">
        <is>
          <t>Risk flags</t>
        </is>
      </c>
    </row>
    <row r="14" ht="30" customHeight="1">
      <c r="A14" s="2">
        <f>IF(Sensitivity!B73&lt;1.25,"RISK: raw-material +3pp drags min DSCR to "&amp;TEXT(Sensitivity!B73,"0.00")&amp;"x - lock input prices","OK: raw-material +3pp stays above 1.25x")</f>
        <v/>
      </c>
    </row>
    <row r="15" ht="30" customHeight="1">
      <c r="A15" s="2">
        <f>IF(Sensitivity!B98&lt;1.25,"RISK: combined stress drags min DSCR to "&amp;TEXT(Sensitivity!B98,"0.00")&amp;"x - keep a contingency buffer","OK: combined stress stays above 1.25x")</f>
        <v/>
      </c>
    </row>
    <row r="16" ht="30" customHeight="1">
      <c r="A16" s="2">
        <f>IF(CashFlow_DSCR!$B$10&gt;=1.25,"Base case services debt comfortably (min DSCR "&amp;TEXT(CashFlow_DSCR!$B$10,"0.00")&amp;"x)","Base case DSCR below 1.25x - restructure")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4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Note</t>
        </is>
      </c>
    </row>
    <row r="2">
      <c r="A2" s="3" t="inlineStr">
        <is>
          <t>Project cost adds to Rs 240 lakh</t>
        </is>
      </c>
      <c r="B2" s="11">
        <f>Project_Cost!$B$9=240</f>
        <v/>
      </c>
      <c r="C2" s="3" t="inlineStr">
        <is>
          <t>7 capex heads</t>
        </is>
      </c>
    </row>
    <row r="3">
      <c r="A3" s="3" t="inlineStr">
        <is>
          <t>Means of finance = project cost</t>
        </is>
      </c>
      <c r="B3" s="11">
        <f>Means_of_Finance!$B$4=Project_Cost!$B$9</f>
        <v/>
      </c>
      <c r="C3" s="3" t="inlineStr"/>
    </row>
    <row r="4">
      <c r="A4" s="3" t="inlineStr">
        <is>
          <t>Term loan fully repaid by Y7</t>
        </is>
      </c>
      <c r="B4" s="11">
        <f>ABS(Loan_Schedule!$I$6)&lt;0.01</f>
        <v/>
      </c>
      <c r="C4" s="3" t="inlineStr"/>
    </row>
    <row r="5">
      <c r="A5" s="3" t="inlineStr">
        <is>
          <t>Balance sheet balances every year</t>
        </is>
      </c>
      <c r="B5" s="11">
        <f>AND(ABS(BalanceSheet!B11)&lt;0.01,ABS(BalanceSheet!C11)&lt;0.01,ABS(BalanceSheet!D11)&lt;0.01,ABS(BalanceSheet!E11)&lt;0.01,ABS(BalanceSheet!F11)&lt;0.01,ABS(BalanceSheet!G11)&lt;0.01,ABS(BalanceSheet!H11)&lt;0.01,ABS(BalanceSheet!I11)&lt;0.01)</f>
        <v/>
      </c>
      <c r="C5" s="3" t="inlineStr">
        <is>
          <t>assets - liabilities within 0.01</t>
        </is>
      </c>
    </row>
    <row r="6">
      <c r="A6" s="3" t="inlineStr">
        <is>
          <t>Min DSCR (repayment) &gt;= 1.25x</t>
        </is>
      </c>
      <c r="B6" s="11">
        <f>CashFlow_DSCR!$B$10&gt;=1.25</f>
        <v/>
      </c>
      <c r="C6" s="3" t="inlineStr">
        <is>
          <t>bank norm</t>
        </is>
      </c>
    </row>
    <row r="7">
      <c r="A7" s="3" t="inlineStr">
        <is>
          <t>Cash balance never negative</t>
        </is>
      </c>
      <c r="B7" s="11">
        <f>MIN(BalanceSheet!$B$4:$I$4)&gt;=0</f>
        <v/>
      </c>
      <c r="C7" s="3" t="inlineStr"/>
    </row>
    <row r="8">
      <c r="A8" s="3" t="inlineStr">
        <is>
          <t>NPV @12% positive</t>
        </is>
      </c>
      <c r="B8" s="11">
        <f>Ratios!$B$8&gt;0</f>
        <v/>
      </c>
      <c r="C8" s="3" t="inlineStr"/>
    </row>
    <row r="9">
      <c r="A9" s="3" t="inlineStr">
        <is>
          <t>IRR exceeds hurdle rate</t>
        </is>
      </c>
      <c r="B9" s="11">
        <f>Ratios!$B$9&gt;Assumptions!$B$26</f>
        <v/>
      </c>
      <c r="C9" s="3" t="inlineStr"/>
    </row>
    <row r="10">
      <c r="A10" s="3" t="inlineStr">
        <is>
          <t>Utilisation ramp non-decreasing</t>
        </is>
      </c>
      <c r="B10" s="11">
        <f>AND(Assumptions!C5&gt;=Assumptions!B5,Assumptions!D5&gt;=Assumptions!C5,Assumptions!E5&gt;=Assumptions!D5,Assumptions!F5&gt;=Assumptions!E5,Assumptions!G5&gt;=Assumptions!F5,Assumptions!H5&gt;=Assumptions!G5)</f>
        <v/>
      </c>
      <c r="C10" s="3" t="inlineStr"/>
    </row>
    <row r="11">
      <c r="A11" s="3" t="inlineStr">
        <is>
          <t>S1 mild stress still services debt</t>
        </is>
      </c>
      <c r="B11" s="11">
        <f>Sensitivity!$B$48&gt;=1.25</f>
        <v/>
      </c>
      <c r="C11" s="3" t="inlineStr">
        <is>
          <t>revenue -5%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2026-10-21T02:28:29+00:00Z</dcterms:created>
  <dcterms:modified xmlns:dcterms="http://purl.org/dc/terms/" xmlns:xsi="http://www.w3.org/2001/XMLSchema-instance" xsi:type="dcterms:W3CDTF">2026-10-21T02:28:29+00:00Z</dcterms:modified>
</cp:coreProperties>
</file>