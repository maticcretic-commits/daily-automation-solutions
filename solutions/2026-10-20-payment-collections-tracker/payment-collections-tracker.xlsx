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aw_Schedule" sheetId="2" state="visible" r:id="rId2"/>
    <sheet xmlns:r="http://schemas.openxmlformats.org/officeDocument/2006/relationships" name="Raw_Payments" sheetId="3" state="visible" r:id="rId3"/>
    <sheet xmlns:r="http://schemas.openxmlformats.org/officeDocument/2006/relationships" name="Receivables_Ledger" sheetId="4" state="visible" r:id="rId4"/>
    <sheet xmlns:r="http://schemas.openxmlformats.org/officeDocument/2006/relationships" name="Aging" sheetId="5" state="visible" r:id="rId5"/>
    <sheet xmlns:r="http://schemas.openxmlformats.org/officeDocument/2006/relationships" name="Collector_Scorecard" sheetId="6" state="visible" r:id="rId6"/>
    <sheet xmlns:r="http://schemas.openxmlformats.org/officeDocument/2006/relationships" name="FollowUp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AI_Report" sheetId="9" state="visible" r:id="rId9"/>
    <sheet xmlns:r="http://schemas.openxmlformats.org/officeDocument/2006/relationships" name="Checks" sheetId="10" state="visible" r:id="rId10"/>
  </sheets>
  <definedNames>
    <definedName name="_xlnm._FilterDatabase" localSheetId="1" hidden="1">'Raw_Schedule'!$A$1:$H$1201</definedName>
    <definedName name="_xlnm._FilterDatabase" localSheetId="2" hidden="1">'Raw_Payments'!$A$1:$F$1079</definedName>
    <definedName name="_xlnm._FilterDatabase" localSheetId="3" hidden="1">'Receivables_Ledger'!$A$1:$P$1201</definedName>
    <definedName name="_xlnm._FilterDatabase" localSheetId="6" hidden="1">'FollowUp'!$A$1:$H$169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  <sz val="11"/>
    </font>
    <font>
      <b val="1"/>
      <color rgb="001F4E79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" fontId="4" fillId="0" borderId="1" pivotButton="0" quotePrefix="0" xfId="0"/>
    <xf numFmtId="167" fontId="4" fillId="0" borderId="1" pivotButton="0" quotePrefix="0" xfId="0"/>
    <xf numFmtId="0" fontId="4" fillId="0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collection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'Dashboard'!$A$14:$A$19</f>
            </numRef>
          </cat>
          <val>
            <numRef>
              <f>'Dashboard'!$D$14:$D$19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Outstanding by DPD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'Aging'!E1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'Aging'!$A$2:$A$6</f>
            </numRef>
          </cat>
          <val>
            <numRef>
              <f>'Aging'!$E$2:$E$6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Collector efficiency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'Collector_Scorecard'!E1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'Collector_Scorecard'!$A$2:$A$7</f>
            </numRef>
          </cat>
          <val>
            <numRef>
              <f>'Collector_Scorecard'!$E$2:$E$7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CollectionPulse — Payment Collections Tracker</t>
        </is>
      </c>
      <c r="B1" s="1" t="n"/>
    </row>
    <row r="3">
      <c r="A3" t="inlineStr">
        <is>
          <t>As-of date (all DPD maths anchor here):</t>
        </is>
      </c>
      <c r="B3" s="2" t="n">
        <v>46315</v>
      </c>
    </row>
    <row r="5">
      <c r="A5" t="inlineStr">
        <is>
          <t>Sheet</t>
        </is>
      </c>
      <c r="B5" t="inlineStr">
        <is>
          <t>What it holds</t>
        </is>
      </c>
    </row>
    <row r="6">
      <c r="A6" t="inlineStr">
        <is>
          <t>Raw_Schedule</t>
        </is>
      </c>
      <c r="B6" t="inlineStr">
        <is>
          <t>One row per scheduled EMI due (read-only source data)</t>
        </is>
      </c>
    </row>
    <row r="7">
      <c r="A7" t="inlineStr">
        <is>
          <t>Raw_Payments</t>
        </is>
      </c>
      <c r="B7" t="inlineStr">
        <is>
          <t>One row per actual receipt (read-only source data)</t>
        </is>
      </c>
    </row>
    <row r="8">
      <c r="A8" t="inlineStr">
        <is>
          <t>Receivables_Ledger</t>
        </is>
      </c>
      <c r="B8" t="inlineStr">
        <is>
          <t>Per-due ledger: paid, outstanding, status, DPD, bucket — all formulas</t>
        </is>
      </c>
    </row>
    <row r="9">
      <c r="A9" t="inlineStr">
        <is>
          <t>Aging</t>
        </is>
      </c>
      <c r="B9" t="inlineStr">
        <is>
          <t>Outstanding by DPD bucket (COLLECTED / 1-30 / 31-60 / 61-90 / 90+)</t>
        </is>
      </c>
    </row>
    <row r="10">
      <c r="A10" t="inlineStr">
        <is>
          <t>Collector_Scorecard</t>
        </is>
      </c>
      <c r="B10" t="inlineStr">
        <is>
          <t>Per-collector efficiency, overdue load, avg DPD, rank</t>
        </is>
      </c>
    </row>
    <row r="11">
      <c r="A11" t="inlineStr">
        <is>
          <t>FollowUp</t>
        </is>
      </c>
      <c r="B11" t="inlineStr">
        <is>
          <t>Auto-built action list: every overdue due with severity + next-action date</t>
        </is>
      </c>
    </row>
    <row r="12">
      <c r="A12" t="inlineStr">
        <is>
          <t>Dashboard</t>
        </is>
      </c>
      <c r="B12" t="inlineStr">
        <is>
          <t>8 KPIs + 3 native charts (monthly efficiency, aging, collectors)</t>
        </is>
      </c>
    </row>
    <row r="13">
      <c r="A13" t="inlineStr">
        <is>
          <t>AI_Report</t>
        </is>
      </c>
      <c r="B13" t="inlineStr">
        <is>
          <t>Rule-based narrative summary + 8 status flags</t>
        </is>
      </c>
    </row>
    <row r="14">
      <c r="A14" t="inlineStr">
        <is>
          <t>Checks</t>
        </is>
      </c>
      <c r="B14" t="inlineStr">
        <is>
          <t>8 integrity checks — all must read TRUE</t>
        </is>
      </c>
    </row>
    <row r="16">
      <c r="A16" t="inlineStr">
        <is>
          <t>How to refresh: paste new dues into Raw_Schedule and receipts into Raw_Payments,</t>
        </is>
      </c>
    </row>
    <row r="17">
      <c r="A17" t="inlineStr">
        <is>
          <t>extend the Receivables_Ledger formulas down, and every sheet recalculates.</t>
        </is>
      </c>
    </row>
    <row r="19">
      <c r="A19" t="inlineStr">
        <is>
          <t>Demo data is fictional (seeded generator). Replace with real exports to go 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3" customWidth="1" min="4" max="4"/>
    <col width="12" customWidth="1" min="5" max="5"/>
    <col width="10" customWidth="1" min="6" max="6"/>
    <col width="12" customWidth="1" min="7" max="7"/>
    <col width="11" customWidth="1" min="8" max="8"/>
  </cols>
  <sheetData>
    <row r="1">
      <c r="A1" s="1" t="inlineStr">
        <is>
          <t>DueID</t>
        </is>
      </c>
      <c r="B1" s="1" t="inlineStr">
        <is>
          <t>Account</t>
        </is>
      </c>
      <c r="C1" s="1" t="inlineStr">
        <is>
          <t>Borrower</t>
        </is>
      </c>
      <c r="D1" s="1" t="inlineStr">
        <is>
          <t>Branch</t>
        </is>
      </c>
      <c r="E1" s="1" t="inlineStr">
        <is>
          <t>Collector</t>
        </is>
      </c>
      <c r="F1" s="1" t="inlineStr">
        <is>
          <t>LoanType</t>
        </is>
      </c>
      <c r="G1" s="1" t="inlineStr">
        <is>
          <t>DueDate</t>
        </is>
      </c>
      <c r="H1" s="1" t="inlineStr">
        <is>
          <t>DueAmount</t>
        </is>
      </c>
    </row>
    <row r="2">
      <c r="A2" s="3" t="inlineStr">
        <is>
          <t>D0001</t>
        </is>
      </c>
      <c r="B2" s="3" t="inlineStr">
        <is>
          <t>A0001</t>
        </is>
      </c>
      <c r="C2" s="3" t="inlineStr">
        <is>
          <t>Mohan Rai</t>
        </is>
      </c>
      <c r="D2" s="3" t="inlineStr">
        <is>
          <t>Muzaffarpur</t>
        </is>
      </c>
      <c r="E2" s="3" t="inlineStr">
        <is>
          <t>S. Gupta</t>
        </is>
      </c>
      <c r="F2" s="3" t="inlineStr">
        <is>
          <t>Personal</t>
        </is>
      </c>
      <c r="G2" s="4" t="n">
        <v>46117</v>
      </c>
      <c r="H2" s="5" t="n">
        <v>5833</v>
      </c>
    </row>
    <row r="3">
      <c r="A3" s="3" t="inlineStr">
        <is>
          <t>D0002</t>
        </is>
      </c>
      <c r="B3" s="3" t="inlineStr">
        <is>
          <t>A0001</t>
        </is>
      </c>
      <c r="C3" s="3" t="inlineStr">
        <is>
          <t>Mohan Rai</t>
        </is>
      </c>
      <c r="D3" s="3" t="inlineStr">
        <is>
          <t>Muzaffarpur</t>
        </is>
      </c>
      <c r="E3" s="3" t="inlineStr">
        <is>
          <t>S. Gupta</t>
        </is>
      </c>
      <c r="F3" s="3" t="inlineStr">
        <is>
          <t>Personal</t>
        </is>
      </c>
      <c r="G3" s="4" t="n">
        <v>46147</v>
      </c>
      <c r="H3" s="5" t="n">
        <v>5833</v>
      </c>
    </row>
    <row r="4">
      <c r="A4" s="3" t="inlineStr">
        <is>
          <t>D0003</t>
        </is>
      </c>
      <c r="B4" s="3" t="inlineStr">
        <is>
          <t>A0001</t>
        </is>
      </c>
      <c r="C4" s="3" t="inlineStr">
        <is>
          <t>Mohan Rai</t>
        </is>
      </c>
      <c r="D4" s="3" t="inlineStr">
        <is>
          <t>Muzaffarpur</t>
        </is>
      </c>
      <c r="E4" s="3" t="inlineStr">
        <is>
          <t>S. Gupta</t>
        </is>
      </c>
      <c r="F4" s="3" t="inlineStr">
        <is>
          <t>Personal</t>
        </is>
      </c>
      <c r="G4" s="4" t="n">
        <v>46178</v>
      </c>
      <c r="H4" s="5" t="n">
        <v>5833</v>
      </c>
    </row>
    <row r="5">
      <c r="A5" s="3" t="inlineStr">
        <is>
          <t>D0004</t>
        </is>
      </c>
      <c r="B5" s="3" t="inlineStr">
        <is>
          <t>A0001</t>
        </is>
      </c>
      <c r="C5" s="3" t="inlineStr">
        <is>
          <t>Mohan Rai</t>
        </is>
      </c>
      <c r="D5" s="3" t="inlineStr">
        <is>
          <t>Muzaffarpur</t>
        </is>
      </c>
      <c r="E5" s="3" t="inlineStr">
        <is>
          <t>S. Gupta</t>
        </is>
      </c>
      <c r="F5" s="3" t="inlineStr">
        <is>
          <t>Personal</t>
        </is>
      </c>
      <c r="G5" s="4" t="n">
        <v>46208</v>
      </c>
      <c r="H5" s="5" t="n">
        <v>5833</v>
      </c>
    </row>
    <row r="6">
      <c r="A6" s="3" t="inlineStr">
        <is>
          <t>D0005</t>
        </is>
      </c>
      <c r="B6" s="3" t="inlineStr">
        <is>
          <t>A0001</t>
        </is>
      </c>
      <c r="C6" s="3" t="inlineStr">
        <is>
          <t>Mohan Rai</t>
        </is>
      </c>
      <c r="D6" s="3" t="inlineStr">
        <is>
          <t>Muzaffarpur</t>
        </is>
      </c>
      <c r="E6" s="3" t="inlineStr">
        <is>
          <t>S. Gupta</t>
        </is>
      </c>
      <c r="F6" s="3" t="inlineStr">
        <is>
          <t>Personal</t>
        </is>
      </c>
      <c r="G6" s="4" t="n">
        <v>46239</v>
      </c>
      <c r="H6" s="5" t="n">
        <v>5833</v>
      </c>
    </row>
    <row r="7">
      <c r="A7" s="3" t="inlineStr">
        <is>
          <t>D0006</t>
        </is>
      </c>
      <c r="B7" s="3" t="inlineStr">
        <is>
          <t>A0001</t>
        </is>
      </c>
      <c r="C7" s="3" t="inlineStr">
        <is>
          <t>Mohan Rai</t>
        </is>
      </c>
      <c r="D7" s="3" t="inlineStr">
        <is>
          <t>Muzaffarpur</t>
        </is>
      </c>
      <c r="E7" s="3" t="inlineStr">
        <is>
          <t>S. Gupta</t>
        </is>
      </c>
      <c r="F7" s="3" t="inlineStr">
        <is>
          <t>Personal</t>
        </is>
      </c>
      <c r="G7" s="4" t="n">
        <v>46270</v>
      </c>
      <c r="H7" s="5" t="n">
        <v>5833</v>
      </c>
    </row>
    <row r="8">
      <c r="A8" s="3" t="inlineStr">
        <is>
          <t>D0007</t>
        </is>
      </c>
      <c r="B8" s="3" t="inlineStr">
        <is>
          <t>A0002</t>
        </is>
      </c>
      <c r="C8" s="3" t="inlineStr">
        <is>
          <t>Naresh Yadav</t>
        </is>
      </c>
      <c r="D8" s="3" t="inlineStr">
        <is>
          <t>Darbhanga</t>
        </is>
      </c>
      <c r="E8" s="3" t="inlineStr">
        <is>
          <t>S. Gupta</t>
        </is>
      </c>
      <c r="F8" s="3" t="inlineStr">
        <is>
          <t>Trade</t>
        </is>
      </c>
      <c r="G8" s="4" t="n">
        <v>46117</v>
      </c>
      <c r="H8" s="5" t="n">
        <v>5333</v>
      </c>
    </row>
    <row r="9">
      <c r="A9" s="3" t="inlineStr">
        <is>
          <t>D0008</t>
        </is>
      </c>
      <c r="B9" s="3" t="inlineStr">
        <is>
          <t>A0002</t>
        </is>
      </c>
      <c r="C9" s="3" t="inlineStr">
        <is>
          <t>Naresh Yadav</t>
        </is>
      </c>
      <c r="D9" s="3" t="inlineStr">
        <is>
          <t>Darbhanga</t>
        </is>
      </c>
      <c r="E9" s="3" t="inlineStr">
        <is>
          <t>S. Gupta</t>
        </is>
      </c>
      <c r="F9" s="3" t="inlineStr">
        <is>
          <t>Trade</t>
        </is>
      </c>
      <c r="G9" s="4" t="n">
        <v>46147</v>
      </c>
      <c r="H9" s="5" t="n">
        <v>5333</v>
      </c>
    </row>
    <row r="10">
      <c r="A10" s="3" t="inlineStr">
        <is>
          <t>D0009</t>
        </is>
      </c>
      <c r="B10" s="3" t="inlineStr">
        <is>
          <t>A0002</t>
        </is>
      </c>
      <c r="C10" s="3" t="inlineStr">
        <is>
          <t>Naresh Yadav</t>
        </is>
      </c>
      <c r="D10" s="3" t="inlineStr">
        <is>
          <t>Darbhanga</t>
        </is>
      </c>
      <c r="E10" s="3" t="inlineStr">
        <is>
          <t>S. Gupta</t>
        </is>
      </c>
      <c r="F10" s="3" t="inlineStr">
        <is>
          <t>Trade</t>
        </is>
      </c>
      <c r="G10" s="4" t="n">
        <v>46178</v>
      </c>
      <c r="H10" s="5" t="n">
        <v>5333</v>
      </c>
    </row>
    <row r="11">
      <c r="A11" s="3" t="inlineStr">
        <is>
          <t>D0010</t>
        </is>
      </c>
      <c r="B11" s="3" t="inlineStr">
        <is>
          <t>A0002</t>
        </is>
      </c>
      <c r="C11" s="3" t="inlineStr">
        <is>
          <t>Naresh Yadav</t>
        </is>
      </c>
      <c r="D11" s="3" t="inlineStr">
        <is>
          <t>Darbhanga</t>
        </is>
      </c>
      <c r="E11" s="3" t="inlineStr">
        <is>
          <t>S. Gupta</t>
        </is>
      </c>
      <c r="F11" s="3" t="inlineStr">
        <is>
          <t>Trade</t>
        </is>
      </c>
      <c r="G11" s="4" t="n">
        <v>46208</v>
      </c>
      <c r="H11" s="5" t="n">
        <v>5333</v>
      </c>
    </row>
    <row r="12">
      <c r="A12" s="3" t="inlineStr">
        <is>
          <t>D0011</t>
        </is>
      </c>
      <c r="B12" s="3" t="inlineStr">
        <is>
          <t>A0002</t>
        </is>
      </c>
      <c r="C12" s="3" t="inlineStr">
        <is>
          <t>Naresh Yadav</t>
        </is>
      </c>
      <c r="D12" s="3" t="inlineStr">
        <is>
          <t>Darbhanga</t>
        </is>
      </c>
      <c r="E12" s="3" t="inlineStr">
        <is>
          <t>S. Gupta</t>
        </is>
      </c>
      <c r="F12" s="3" t="inlineStr">
        <is>
          <t>Trade</t>
        </is>
      </c>
      <c r="G12" s="4" t="n">
        <v>46239</v>
      </c>
      <c r="H12" s="5" t="n">
        <v>5333</v>
      </c>
    </row>
    <row r="13">
      <c r="A13" s="3" t="inlineStr">
        <is>
          <t>D0012</t>
        </is>
      </c>
      <c r="B13" s="3" t="inlineStr">
        <is>
          <t>A0002</t>
        </is>
      </c>
      <c r="C13" s="3" t="inlineStr">
        <is>
          <t>Naresh Yadav</t>
        </is>
      </c>
      <c r="D13" s="3" t="inlineStr">
        <is>
          <t>Darbhanga</t>
        </is>
      </c>
      <c r="E13" s="3" t="inlineStr">
        <is>
          <t>S. Gupta</t>
        </is>
      </c>
      <c r="F13" s="3" t="inlineStr">
        <is>
          <t>Trade</t>
        </is>
      </c>
      <c r="G13" s="4" t="n">
        <v>46270</v>
      </c>
      <c r="H13" s="5" t="n">
        <v>5333</v>
      </c>
    </row>
    <row r="14">
      <c r="A14" s="3" t="inlineStr">
        <is>
          <t>D0013</t>
        </is>
      </c>
      <c r="B14" s="3" t="inlineStr">
        <is>
          <t>A0003</t>
        </is>
      </c>
      <c r="C14" s="3" t="inlineStr">
        <is>
          <t>Amit Rai</t>
        </is>
      </c>
      <c r="D14" s="3" t="inlineStr">
        <is>
          <t>Darbhanga</t>
        </is>
      </c>
      <c r="E14" s="3" t="inlineStr">
        <is>
          <t>K. Sharma</t>
        </is>
      </c>
      <c r="F14" s="3" t="inlineStr">
        <is>
          <t>Agri</t>
        </is>
      </c>
      <c r="G14" s="4" t="n">
        <v>46117</v>
      </c>
      <c r="H14" s="5" t="n">
        <v>24833</v>
      </c>
    </row>
    <row r="15">
      <c r="A15" s="3" t="inlineStr">
        <is>
          <t>D0014</t>
        </is>
      </c>
      <c r="B15" s="3" t="inlineStr">
        <is>
          <t>A0003</t>
        </is>
      </c>
      <c r="C15" s="3" t="inlineStr">
        <is>
          <t>Amit Rai</t>
        </is>
      </c>
      <c r="D15" s="3" t="inlineStr">
        <is>
          <t>Darbhanga</t>
        </is>
      </c>
      <c r="E15" s="3" t="inlineStr">
        <is>
          <t>K. Sharma</t>
        </is>
      </c>
      <c r="F15" s="3" t="inlineStr">
        <is>
          <t>Agri</t>
        </is>
      </c>
      <c r="G15" s="4" t="n">
        <v>46147</v>
      </c>
      <c r="H15" s="5" t="n">
        <v>24833</v>
      </c>
    </row>
    <row r="16">
      <c r="A16" s="3" t="inlineStr">
        <is>
          <t>D0015</t>
        </is>
      </c>
      <c r="B16" s="3" t="inlineStr">
        <is>
          <t>A0003</t>
        </is>
      </c>
      <c r="C16" s="3" t="inlineStr">
        <is>
          <t>Amit Rai</t>
        </is>
      </c>
      <c r="D16" s="3" t="inlineStr">
        <is>
          <t>Darbhanga</t>
        </is>
      </c>
      <c r="E16" s="3" t="inlineStr">
        <is>
          <t>K. Sharma</t>
        </is>
      </c>
      <c r="F16" s="3" t="inlineStr">
        <is>
          <t>Agri</t>
        </is>
      </c>
      <c r="G16" s="4" t="n">
        <v>46178</v>
      </c>
      <c r="H16" s="5" t="n">
        <v>24833</v>
      </c>
    </row>
    <row r="17">
      <c r="A17" s="3" t="inlineStr">
        <is>
          <t>D0016</t>
        </is>
      </c>
      <c r="B17" s="3" t="inlineStr">
        <is>
          <t>A0003</t>
        </is>
      </c>
      <c r="C17" s="3" t="inlineStr">
        <is>
          <t>Amit Rai</t>
        </is>
      </c>
      <c r="D17" s="3" t="inlineStr">
        <is>
          <t>Darbhanga</t>
        </is>
      </c>
      <c r="E17" s="3" t="inlineStr">
        <is>
          <t>K. Sharma</t>
        </is>
      </c>
      <c r="F17" s="3" t="inlineStr">
        <is>
          <t>Agri</t>
        </is>
      </c>
      <c r="G17" s="4" t="n">
        <v>46208</v>
      </c>
      <c r="H17" s="5" t="n">
        <v>24833</v>
      </c>
    </row>
    <row r="18">
      <c r="A18" s="3" t="inlineStr">
        <is>
          <t>D0017</t>
        </is>
      </c>
      <c r="B18" s="3" t="inlineStr">
        <is>
          <t>A0003</t>
        </is>
      </c>
      <c r="C18" s="3" t="inlineStr">
        <is>
          <t>Amit Rai</t>
        </is>
      </c>
      <c r="D18" s="3" t="inlineStr">
        <is>
          <t>Darbhanga</t>
        </is>
      </c>
      <c r="E18" s="3" t="inlineStr">
        <is>
          <t>K. Sharma</t>
        </is>
      </c>
      <c r="F18" s="3" t="inlineStr">
        <is>
          <t>Agri</t>
        </is>
      </c>
      <c r="G18" s="4" t="n">
        <v>46239</v>
      </c>
      <c r="H18" s="5" t="n">
        <v>24833</v>
      </c>
    </row>
    <row r="19">
      <c r="A19" s="3" t="inlineStr">
        <is>
          <t>D0018</t>
        </is>
      </c>
      <c r="B19" s="3" t="inlineStr">
        <is>
          <t>A0003</t>
        </is>
      </c>
      <c r="C19" s="3" t="inlineStr">
        <is>
          <t>Amit Rai</t>
        </is>
      </c>
      <c r="D19" s="3" t="inlineStr">
        <is>
          <t>Darbhanga</t>
        </is>
      </c>
      <c r="E19" s="3" t="inlineStr">
        <is>
          <t>K. Sharma</t>
        </is>
      </c>
      <c r="F19" s="3" t="inlineStr">
        <is>
          <t>Agri</t>
        </is>
      </c>
      <c r="G19" s="4" t="n">
        <v>46270</v>
      </c>
      <c r="H19" s="5" t="n">
        <v>24833</v>
      </c>
    </row>
    <row r="20">
      <c r="A20" s="3" t="inlineStr">
        <is>
          <t>D0019</t>
        </is>
      </c>
      <c r="B20" s="3" t="inlineStr">
        <is>
          <t>A0004</t>
        </is>
      </c>
      <c r="C20" s="3" t="inlineStr">
        <is>
          <t>Rajesh Mandal</t>
        </is>
      </c>
      <c r="D20" s="3" t="inlineStr">
        <is>
          <t>Muzaffarpur</t>
        </is>
      </c>
      <c r="E20" s="3" t="inlineStr">
        <is>
          <t>S. Gupta</t>
        </is>
      </c>
      <c r="F20" s="3" t="inlineStr">
        <is>
          <t>Vehicle</t>
        </is>
      </c>
      <c r="G20" s="4" t="n">
        <v>46117</v>
      </c>
      <c r="H20" s="5" t="n">
        <v>27500</v>
      </c>
    </row>
    <row r="21">
      <c r="A21" s="3" t="inlineStr">
        <is>
          <t>D0020</t>
        </is>
      </c>
      <c r="B21" s="3" t="inlineStr">
        <is>
          <t>A0004</t>
        </is>
      </c>
      <c r="C21" s="3" t="inlineStr">
        <is>
          <t>Rajesh Mandal</t>
        </is>
      </c>
      <c r="D21" s="3" t="inlineStr">
        <is>
          <t>Muzaffarpur</t>
        </is>
      </c>
      <c r="E21" s="3" t="inlineStr">
        <is>
          <t>S. Gupta</t>
        </is>
      </c>
      <c r="F21" s="3" t="inlineStr">
        <is>
          <t>Vehicle</t>
        </is>
      </c>
      <c r="G21" s="4" t="n">
        <v>46147</v>
      </c>
      <c r="H21" s="5" t="n">
        <v>27500</v>
      </c>
    </row>
    <row r="22">
      <c r="A22" s="3" t="inlineStr">
        <is>
          <t>D0021</t>
        </is>
      </c>
      <c r="B22" s="3" t="inlineStr">
        <is>
          <t>A0004</t>
        </is>
      </c>
      <c r="C22" s="3" t="inlineStr">
        <is>
          <t>Rajesh Mandal</t>
        </is>
      </c>
      <c r="D22" s="3" t="inlineStr">
        <is>
          <t>Muzaffarpur</t>
        </is>
      </c>
      <c r="E22" s="3" t="inlineStr">
        <is>
          <t>S. Gupta</t>
        </is>
      </c>
      <c r="F22" s="3" t="inlineStr">
        <is>
          <t>Vehicle</t>
        </is>
      </c>
      <c r="G22" s="4" t="n">
        <v>46178</v>
      </c>
      <c r="H22" s="5" t="n">
        <v>27500</v>
      </c>
    </row>
    <row r="23">
      <c r="A23" s="3" t="inlineStr">
        <is>
          <t>D0022</t>
        </is>
      </c>
      <c r="B23" s="3" t="inlineStr">
        <is>
          <t>A0004</t>
        </is>
      </c>
      <c r="C23" s="3" t="inlineStr">
        <is>
          <t>Rajesh Mandal</t>
        </is>
      </c>
      <c r="D23" s="3" t="inlineStr">
        <is>
          <t>Muzaffarpur</t>
        </is>
      </c>
      <c r="E23" s="3" t="inlineStr">
        <is>
          <t>S. Gupta</t>
        </is>
      </c>
      <c r="F23" s="3" t="inlineStr">
        <is>
          <t>Vehicle</t>
        </is>
      </c>
      <c r="G23" s="4" t="n">
        <v>46208</v>
      </c>
      <c r="H23" s="5" t="n">
        <v>27500</v>
      </c>
    </row>
    <row r="24">
      <c r="A24" s="3" t="inlineStr">
        <is>
          <t>D0023</t>
        </is>
      </c>
      <c r="B24" s="3" t="inlineStr">
        <is>
          <t>A0004</t>
        </is>
      </c>
      <c r="C24" s="3" t="inlineStr">
        <is>
          <t>Rajesh Mandal</t>
        </is>
      </c>
      <c r="D24" s="3" t="inlineStr">
        <is>
          <t>Muzaffarpur</t>
        </is>
      </c>
      <c r="E24" s="3" t="inlineStr">
        <is>
          <t>S. Gupta</t>
        </is>
      </c>
      <c r="F24" s="3" t="inlineStr">
        <is>
          <t>Vehicle</t>
        </is>
      </c>
      <c r="G24" s="4" t="n">
        <v>46239</v>
      </c>
      <c r="H24" s="5" t="n">
        <v>27500</v>
      </c>
    </row>
    <row r="25">
      <c r="A25" s="3" t="inlineStr">
        <is>
          <t>D0024</t>
        </is>
      </c>
      <c r="B25" s="3" t="inlineStr">
        <is>
          <t>A0004</t>
        </is>
      </c>
      <c r="C25" s="3" t="inlineStr">
        <is>
          <t>Rajesh Mandal</t>
        </is>
      </c>
      <c r="D25" s="3" t="inlineStr">
        <is>
          <t>Muzaffarpur</t>
        </is>
      </c>
      <c r="E25" s="3" t="inlineStr">
        <is>
          <t>S. Gupta</t>
        </is>
      </c>
      <c r="F25" s="3" t="inlineStr">
        <is>
          <t>Vehicle</t>
        </is>
      </c>
      <c r="G25" s="4" t="n">
        <v>46270</v>
      </c>
      <c r="H25" s="5" t="n">
        <v>27500</v>
      </c>
    </row>
    <row r="26">
      <c r="A26" s="3" t="inlineStr">
        <is>
          <t>D0025</t>
        </is>
      </c>
      <c r="B26" s="3" t="inlineStr">
        <is>
          <t>A0005</t>
        </is>
      </c>
      <c r="C26" s="3" t="inlineStr">
        <is>
          <t>Deepak Sah</t>
        </is>
      </c>
      <c r="D26" s="3" t="inlineStr">
        <is>
          <t>Darbhanga</t>
        </is>
      </c>
      <c r="E26" s="3" t="inlineStr">
        <is>
          <t>P. Yadav</t>
        </is>
      </c>
      <c r="F26" s="3" t="inlineStr">
        <is>
          <t>Housing</t>
        </is>
      </c>
      <c r="G26" s="4" t="n">
        <v>46117</v>
      </c>
      <c r="H26" s="5" t="n">
        <v>8833</v>
      </c>
    </row>
    <row r="27">
      <c r="A27" s="3" t="inlineStr">
        <is>
          <t>D0026</t>
        </is>
      </c>
      <c r="B27" s="3" t="inlineStr">
        <is>
          <t>A0005</t>
        </is>
      </c>
      <c r="C27" s="3" t="inlineStr">
        <is>
          <t>Deepak Sah</t>
        </is>
      </c>
      <c r="D27" s="3" t="inlineStr">
        <is>
          <t>Darbhanga</t>
        </is>
      </c>
      <c r="E27" s="3" t="inlineStr">
        <is>
          <t>P. Yadav</t>
        </is>
      </c>
      <c r="F27" s="3" t="inlineStr">
        <is>
          <t>Housing</t>
        </is>
      </c>
      <c r="G27" s="4" t="n">
        <v>46147</v>
      </c>
      <c r="H27" s="5" t="n">
        <v>8833</v>
      </c>
    </row>
    <row r="28">
      <c r="A28" s="3" t="inlineStr">
        <is>
          <t>D0027</t>
        </is>
      </c>
      <c r="B28" s="3" t="inlineStr">
        <is>
          <t>A0005</t>
        </is>
      </c>
      <c r="C28" s="3" t="inlineStr">
        <is>
          <t>Deepak Sah</t>
        </is>
      </c>
      <c r="D28" s="3" t="inlineStr">
        <is>
          <t>Darbhanga</t>
        </is>
      </c>
      <c r="E28" s="3" t="inlineStr">
        <is>
          <t>P. Yadav</t>
        </is>
      </c>
      <c r="F28" s="3" t="inlineStr">
        <is>
          <t>Housing</t>
        </is>
      </c>
      <c r="G28" s="4" t="n">
        <v>46178</v>
      </c>
      <c r="H28" s="5" t="n">
        <v>8833</v>
      </c>
    </row>
    <row r="29">
      <c r="A29" s="3" t="inlineStr">
        <is>
          <t>D0028</t>
        </is>
      </c>
      <c r="B29" s="3" t="inlineStr">
        <is>
          <t>A0005</t>
        </is>
      </c>
      <c r="C29" s="3" t="inlineStr">
        <is>
          <t>Deepak Sah</t>
        </is>
      </c>
      <c r="D29" s="3" t="inlineStr">
        <is>
          <t>Darbhanga</t>
        </is>
      </c>
      <c r="E29" s="3" t="inlineStr">
        <is>
          <t>P. Yadav</t>
        </is>
      </c>
      <c r="F29" s="3" t="inlineStr">
        <is>
          <t>Housing</t>
        </is>
      </c>
      <c r="G29" s="4" t="n">
        <v>46208</v>
      </c>
      <c r="H29" s="5" t="n">
        <v>8833</v>
      </c>
    </row>
    <row r="30">
      <c r="A30" s="3" t="inlineStr">
        <is>
          <t>D0029</t>
        </is>
      </c>
      <c r="B30" s="3" t="inlineStr">
        <is>
          <t>A0005</t>
        </is>
      </c>
      <c r="C30" s="3" t="inlineStr">
        <is>
          <t>Deepak Sah</t>
        </is>
      </c>
      <c r="D30" s="3" t="inlineStr">
        <is>
          <t>Darbhanga</t>
        </is>
      </c>
      <c r="E30" s="3" t="inlineStr">
        <is>
          <t>P. Yadav</t>
        </is>
      </c>
      <c r="F30" s="3" t="inlineStr">
        <is>
          <t>Housing</t>
        </is>
      </c>
      <c r="G30" s="4" t="n">
        <v>46239</v>
      </c>
      <c r="H30" s="5" t="n">
        <v>8833</v>
      </c>
    </row>
    <row r="31">
      <c r="A31" s="3" t="inlineStr">
        <is>
          <t>D0030</t>
        </is>
      </c>
      <c r="B31" s="3" t="inlineStr">
        <is>
          <t>A0005</t>
        </is>
      </c>
      <c r="C31" s="3" t="inlineStr">
        <is>
          <t>Deepak Sah</t>
        </is>
      </c>
      <c r="D31" s="3" t="inlineStr">
        <is>
          <t>Darbhanga</t>
        </is>
      </c>
      <c r="E31" s="3" t="inlineStr">
        <is>
          <t>P. Yadav</t>
        </is>
      </c>
      <c r="F31" s="3" t="inlineStr">
        <is>
          <t>Housing</t>
        </is>
      </c>
      <c r="G31" s="4" t="n">
        <v>46270</v>
      </c>
      <c r="H31" s="5" t="n">
        <v>8833</v>
      </c>
    </row>
    <row r="32">
      <c r="A32" s="3" t="inlineStr">
        <is>
          <t>D0031</t>
        </is>
      </c>
      <c r="B32" s="3" t="inlineStr">
        <is>
          <t>A0006</t>
        </is>
      </c>
      <c r="C32" s="3" t="inlineStr">
        <is>
          <t>Sunita Yadav</t>
        </is>
      </c>
      <c r="D32" s="3" t="inlineStr">
        <is>
          <t>Patna</t>
        </is>
      </c>
      <c r="E32" s="3" t="inlineStr">
        <is>
          <t>A. Verma</t>
        </is>
      </c>
      <c r="F32" s="3" t="inlineStr">
        <is>
          <t>Housing</t>
        </is>
      </c>
      <c r="G32" s="4" t="n">
        <v>46117</v>
      </c>
      <c r="H32" s="5" t="n">
        <v>11667</v>
      </c>
    </row>
    <row r="33">
      <c r="A33" s="3" t="inlineStr">
        <is>
          <t>D0032</t>
        </is>
      </c>
      <c r="B33" s="3" t="inlineStr">
        <is>
          <t>A0006</t>
        </is>
      </c>
      <c r="C33" s="3" t="inlineStr">
        <is>
          <t>Sunita Yadav</t>
        </is>
      </c>
      <c r="D33" s="3" t="inlineStr">
        <is>
          <t>Patna</t>
        </is>
      </c>
      <c r="E33" s="3" t="inlineStr">
        <is>
          <t>A. Verma</t>
        </is>
      </c>
      <c r="F33" s="3" t="inlineStr">
        <is>
          <t>Housing</t>
        </is>
      </c>
      <c r="G33" s="4" t="n">
        <v>46147</v>
      </c>
      <c r="H33" s="5" t="n">
        <v>11667</v>
      </c>
    </row>
    <row r="34">
      <c r="A34" s="3" t="inlineStr">
        <is>
          <t>D0033</t>
        </is>
      </c>
      <c r="B34" s="3" t="inlineStr">
        <is>
          <t>A0006</t>
        </is>
      </c>
      <c r="C34" s="3" t="inlineStr">
        <is>
          <t>Sunita Yadav</t>
        </is>
      </c>
      <c r="D34" s="3" t="inlineStr">
        <is>
          <t>Patna</t>
        </is>
      </c>
      <c r="E34" s="3" t="inlineStr">
        <is>
          <t>A. Verma</t>
        </is>
      </c>
      <c r="F34" s="3" t="inlineStr">
        <is>
          <t>Housing</t>
        </is>
      </c>
      <c r="G34" s="4" t="n">
        <v>46178</v>
      </c>
      <c r="H34" s="5" t="n">
        <v>11667</v>
      </c>
    </row>
    <row r="35">
      <c r="A35" s="3" t="inlineStr">
        <is>
          <t>D0034</t>
        </is>
      </c>
      <c r="B35" s="3" t="inlineStr">
        <is>
          <t>A0006</t>
        </is>
      </c>
      <c r="C35" s="3" t="inlineStr">
        <is>
          <t>Sunita Yadav</t>
        </is>
      </c>
      <c r="D35" s="3" t="inlineStr">
        <is>
          <t>Patna</t>
        </is>
      </c>
      <c r="E35" s="3" t="inlineStr">
        <is>
          <t>A. Verma</t>
        </is>
      </c>
      <c r="F35" s="3" t="inlineStr">
        <is>
          <t>Housing</t>
        </is>
      </c>
      <c r="G35" s="4" t="n">
        <v>46208</v>
      </c>
      <c r="H35" s="5" t="n">
        <v>11667</v>
      </c>
    </row>
    <row r="36">
      <c r="A36" s="3" t="inlineStr">
        <is>
          <t>D0035</t>
        </is>
      </c>
      <c r="B36" s="3" t="inlineStr">
        <is>
          <t>A0006</t>
        </is>
      </c>
      <c r="C36" s="3" t="inlineStr">
        <is>
          <t>Sunita Yadav</t>
        </is>
      </c>
      <c r="D36" s="3" t="inlineStr">
        <is>
          <t>Patna</t>
        </is>
      </c>
      <c r="E36" s="3" t="inlineStr">
        <is>
          <t>A. Verma</t>
        </is>
      </c>
      <c r="F36" s="3" t="inlineStr">
        <is>
          <t>Housing</t>
        </is>
      </c>
      <c r="G36" s="4" t="n">
        <v>46239</v>
      </c>
      <c r="H36" s="5" t="n">
        <v>11667</v>
      </c>
    </row>
    <row r="37">
      <c r="A37" s="3" t="inlineStr">
        <is>
          <t>D0036</t>
        </is>
      </c>
      <c r="B37" s="3" t="inlineStr">
        <is>
          <t>A0006</t>
        </is>
      </c>
      <c r="C37" s="3" t="inlineStr">
        <is>
          <t>Sunita Yadav</t>
        </is>
      </c>
      <c r="D37" s="3" t="inlineStr">
        <is>
          <t>Patna</t>
        </is>
      </c>
      <c r="E37" s="3" t="inlineStr">
        <is>
          <t>A. Verma</t>
        </is>
      </c>
      <c r="F37" s="3" t="inlineStr">
        <is>
          <t>Housing</t>
        </is>
      </c>
      <c r="G37" s="4" t="n">
        <v>46270</v>
      </c>
      <c r="H37" s="5" t="n">
        <v>11667</v>
      </c>
    </row>
    <row r="38">
      <c r="A38" s="3" t="inlineStr">
        <is>
          <t>D0037</t>
        </is>
      </c>
      <c r="B38" s="3" t="inlineStr">
        <is>
          <t>A0007</t>
        </is>
      </c>
      <c r="C38" s="3" t="inlineStr">
        <is>
          <t>Geeta Paswan</t>
        </is>
      </c>
      <c r="D38" s="3" t="inlineStr">
        <is>
          <t>Gaya</t>
        </is>
      </c>
      <c r="E38" s="3" t="inlineStr">
        <is>
          <t>R. Singh</t>
        </is>
      </c>
      <c r="F38" s="3" t="inlineStr">
        <is>
          <t>Agri</t>
        </is>
      </c>
      <c r="G38" s="4" t="n">
        <v>46117</v>
      </c>
      <c r="H38" s="5" t="n">
        <v>33167</v>
      </c>
    </row>
    <row r="39">
      <c r="A39" s="3" t="inlineStr">
        <is>
          <t>D0038</t>
        </is>
      </c>
      <c r="B39" s="3" t="inlineStr">
        <is>
          <t>A0007</t>
        </is>
      </c>
      <c r="C39" s="3" t="inlineStr">
        <is>
          <t>Geeta Paswan</t>
        </is>
      </c>
      <c r="D39" s="3" t="inlineStr">
        <is>
          <t>Gaya</t>
        </is>
      </c>
      <c r="E39" s="3" t="inlineStr">
        <is>
          <t>R. Singh</t>
        </is>
      </c>
      <c r="F39" s="3" t="inlineStr">
        <is>
          <t>Agri</t>
        </is>
      </c>
      <c r="G39" s="4" t="n">
        <v>46147</v>
      </c>
      <c r="H39" s="5" t="n">
        <v>33167</v>
      </c>
    </row>
    <row r="40">
      <c r="A40" s="3" t="inlineStr">
        <is>
          <t>D0039</t>
        </is>
      </c>
      <c r="B40" s="3" t="inlineStr">
        <is>
          <t>A0007</t>
        </is>
      </c>
      <c r="C40" s="3" t="inlineStr">
        <is>
          <t>Geeta Paswan</t>
        </is>
      </c>
      <c r="D40" s="3" t="inlineStr">
        <is>
          <t>Gaya</t>
        </is>
      </c>
      <c r="E40" s="3" t="inlineStr">
        <is>
          <t>R. Singh</t>
        </is>
      </c>
      <c r="F40" s="3" t="inlineStr">
        <is>
          <t>Agri</t>
        </is>
      </c>
      <c r="G40" s="4" t="n">
        <v>46178</v>
      </c>
      <c r="H40" s="5" t="n">
        <v>33167</v>
      </c>
    </row>
    <row r="41">
      <c r="A41" s="3" t="inlineStr">
        <is>
          <t>D0040</t>
        </is>
      </c>
      <c r="B41" s="3" t="inlineStr">
        <is>
          <t>A0007</t>
        </is>
      </c>
      <c r="C41" s="3" t="inlineStr">
        <is>
          <t>Geeta Paswan</t>
        </is>
      </c>
      <c r="D41" s="3" t="inlineStr">
        <is>
          <t>Gaya</t>
        </is>
      </c>
      <c r="E41" s="3" t="inlineStr">
        <is>
          <t>R. Singh</t>
        </is>
      </c>
      <c r="F41" s="3" t="inlineStr">
        <is>
          <t>Agri</t>
        </is>
      </c>
      <c r="G41" s="4" t="n">
        <v>46208</v>
      </c>
      <c r="H41" s="5" t="n">
        <v>33167</v>
      </c>
    </row>
    <row r="42">
      <c r="A42" s="3" t="inlineStr">
        <is>
          <t>D0041</t>
        </is>
      </c>
      <c r="B42" s="3" t="inlineStr">
        <is>
          <t>A0007</t>
        </is>
      </c>
      <c r="C42" s="3" t="inlineStr">
        <is>
          <t>Geeta Paswan</t>
        </is>
      </c>
      <c r="D42" s="3" t="inlineStr">
        <is>
          <t>Gaya</t>
        </is>
      </c>
      <c r="E42" s="3" t="inlineStr">
        <is>
          <t>R. Singh</t>
        </is>
      </c>
      <c r="F42" s="3" t="inlineStr">
        <is>
          <t>Agri</t>
        </is>
      </c>
      <c r="G42" s="4" t="n">
        <v>46239</v>
      </c>
      <c r="H42" s="5" t="n">
        <v>33167</v>
      </c>
    </row>
    <row r="43">
      <c r="A43" s="3" t="inlineStr">
        <is>
          <t>D0042</t>
        </is>
      </c>
      <c r="B43" s="3" t="inlineStr">
        <is>
          <t>A0007</t>
        </is>
      </c>
      <c r="C43" s="3" t="inlineStr">
        <is>
          <t>Geeta Paswan</t>
        </is>
      </c>
      <c r="D43" s="3" t="inlineStr">
        <is>
          <t>Gaya</t>
        </is>
      </c>
      <c r="E43" s="3" t="inlineStr">
        <is>
          <t>R. Singh</t>
        </is>
      </c>
      <c r="F43" s="3" t="inlineStr">
        <is>
          <t>Agri</t>
        </is>
      </c>
      <c r="G43" s="4" t="n">
        <v>46270</v>
      </c>
      <c r="H43" s="5" t="n">
        <v>33167</v>
      </c>
    </row>
    <row r="44">
      <c r="A44" s="3" t="inlineStr">
        <is>
          <t>D0043</t>
        </is>
      </c>
      <c r="B44" s="3" t="inlineStr">
        <is>
          <t>A0008</t>
        </is>
      </c>
      <c r="C44" s="3" t="inlineStr">
        <is>
          <t>Mohan Chaudhary</t>
        </is>
      </c>
      <c r="D44" s="3" t="inlineStr">
        <is>
          <t>Patna</t>
        </is>
      </c>
      <c r="E44" s="3" t="inlineStr">
        <is>
          <t>R. Singh</t>
        </is>
      </c>
      <c r="F44" s="3" t="inlineStr">
        <is>
          <t>Personal</t>
        </is>
      </c>
      <c r="G44" s="4" t="n">
        <v>46117</v>
      </c>
      <c r="H44" s="5" t="n">
        <v>24000</v>
      </c>
    </row>
    <row r="45">
      <c r="A45" s="3" t="inlineStr">
        <is>
          <t>D0044</t>
        </is>
      </c>
      <c r="B45" s="3" t="inlineStr">
        <is>
          <t>A0008</t>
        </is>
      </c>
      <c r="C45" s="3" t="inlineStr">
        <is>
          <t>Mohan Chaudhary</t>
        </is>
      </c>
      <c r="D45" s="3" t="inlineStr">
        <is>
          <t>Patna</t>
        </is>
      </c>
      <c r="E45" s="3" t="inlineStr">
        <is>
          <t>R. Singh</t>
        </is>
      </c>
      <c r="F45" s="3" t="inlineStr">
        <is>
          <t>Personal</t>
        </is>
      </c>
      <c r="G45" s="4" t="n">
        <v>46147</v>
      </c>
      <c r="H45" s="5" t="n">
        <v>24000</v>
      </c>
    </row>
    <row r="46">
      <c r="A46" s="3" t="inlineStr">
        <is>
          <t>D0045</t>
        </is>
      </c>
      <c r="B46" s="3" t="inlineStr">
        <is>
          <t>A0008</t>
        </is>
      </c>
      <c r="C46" s="3" t="inlineStr">
        <is>
          <t>Mohan Chaudhary</t>
        </is>
      </c>
      <c r="D46" s="3" t="inlineStr">
        <is>
          <t>Patna</t>
        </is>
      </c>
      <c r="E46" s="3" t="inlineStr">
        <is>
          <t>R. Singh</t>
        </is>
      </c>
      <c r="F46" s="3" t="inlineStr">
        <is>
          <t>Personal</t>
        </is>
      </c>
      <c r="G46" s="4" t="n">
        <v>46178</v>
      </c>
      <c r="H46" s="5" t="n">
        <v>24000</v>
      </c>
    </row>
    <row r="47">
      <c r="A47" s="3" t="inlineStr">
        <is>
          <t>D0046</t>
        </is>
      </c>
      <c r="B47" s="3" t="inlineStr">
        <is>
          <t>A0008</t>
        </is>
      </c>
      <c r="C47" s="3" t="inlineStr">
        <is>
          <t>Mohan Chaudhary</t>
        </is>
      </c>
      <c r="D47" s="3" t="inlineStr">
        <is>
          <t>Patna</t>
        </is>
      </c>
      <c r="E47" s="3" t="inlineStr">
        <is>
          <t>R. Singh</t>
        </is>
      </c>
      <c r="F47" s="3" t="inlineStr">
        <is>
          <t>Personal</t>
        </is>
      </c>
      <c r="G47" s="4" t="n">
        <v>46208</v>
      </c>
      <c r="H47" s="5" t="n">
        <v>24000</v>
      </c>
    </row>
    <row r="48">
      <c r="A48" s="3" t="inlineStr">
        <is>
          <t>D0047</t>
        </is>
      </c>
      <c r="B48" s="3" t="inlineStr">
        <is>
          <t>A0008</t>
        </is>
      </c>
      <c r="C48" s="3" t="inlineStr">
        <is>
          <t>Mohan Chaudhary</t>
        </is>
      </c>
      <c r="D48" s="3" t="inlineStr">
        <is>
          <t>Patna</t>
        </is>
      </c>
      <c r="E48" s="3" t="inlineStr">
        <is>
          <t>R. Singh</t>
        </is>
      </c>
      <c r="F48" s="3" t="inlineStr">
        <is>
          <t>Personal</t>
        </is>
      </c>
      <c r="G48" s="4" t="n">
        <v>46239</v>
      </c>
      <c r="H48" s="5" t="n">
        <v>24000</v>
      </c>
    </row>
    <row r="49">
      <c r="A49" s="3" t="inlineStr">
        <is>
          <t>D0048</t>
        </is>
      </c>
      <c r="B49" s="3" t="inlineStr">
        <is>
          <t>A0008</t>
        </is>
      </c>
      <c r="C49" s="3" t="inlineStr">
        <is>
          <t>Mohan Chaudhary</t>
        </is>
      </c>
      <c r="D49" s="3" t="inlineStr">
        <is>
          <t>Patna</t>
        </is>
      </c>
      <c r="E49" s="3" t="inlineStr">
        <is>
          <t>R. Singh</t>
        </is>
      </c>
      <c r="F49" s="3" t="inlineStr">
        <is>
          <t>Personal</t>
        </is>
      </c>
      <c r="G49" s="4" t="n">
        <v>46270</v>
      </c>
      <c r="H49" s="5" t="n">
        <v>24000</v>
      </c>
    </row>
    <row r="50">
      <c r="A50" s="3" t="inlineStr">
        <is>
          <t>D0049</t>
        </is>
      </c>
      <c r="B50" s="3" t="inlineStr">
        <is>
          <t>A0009</t>
        </is>
      </c>
      <c r="C50" s="3" t="inlineStr">
        <is>
          <t>Sanjay Sharma</t>
        </is>
      </c>
      <c r="D50" s="3" t="inlineStr">
        <is>
          <t>Bhagalpur</t>
        </is>
      </c>
      <c r="E50" s="3" t="inlineStr">
        <is>
          <t>M. Mandal</t>
        </is>
      </c>
      <c r="F50" s="3" t="inlineStr">
        <is>
          <t>Personal</t>
        </is>
      </c>
      <c r="G50" s="4" t="n">
        <v>46117</v>
      </c>
      <c r="H50" s="5" t="n">
        <v>19833</v>
      </c>
    </row>
    <row r="51">
      <c r="A51" s="3" t="inlineStr">
        <is>
          <t>D0050</t>
        </is>
      </c>
      <c r="B51" s="3" t="inlineStr">
        <is>
          <t>A0009</t>
        </is>
      </c>
      <c r="C51" s="3" t="inlineStr">
        <is>
          <t>Sanjay Sharma</t>
        </is>
      </c>
      <c r="D51" s="3" t="inlineStr">
        <is>
          <t>Bhagalpur</t>
        </is>
      </c>
      <c r="E51" s="3" t="inlineStr">
        <is>
          <t>M. Mandal</t>
        </is>
      </c>
      <c r="F51" s="3" t="inlineStr">
        <is>
          <t>Personal</t>
        </is>
      </c>
      <c r="G51" s="4" t="n">
        <v>46147</v>
      </c>
      <c r="H51" s="5" t="n">
        <v>19833</v>
      </c>
    </row>
    <row r="52">
      <c r="A52" s="3" t="inlineStr">
        <is>
          <t>D0051</t>
        </is>
      </c>
      <c r="B52" s="3" t="inlineStr">
        <is>
          <t>A0009</t>
        </is>
      </c>
      <c r="C52" s="3" t="inlineStr">
        <is>
          <t>Sanjay Sharma</t>
        </is>
      </c>
      <c r="D52" s="3" t="inlineStr">
        <is>
          <t>Bhagalpur</t>
        </is>
      </c>
      <c r="E52" s="3" t="inlineStr">
        <is>
          <t>M. Mandal</t>
        </is>
      </c>
      <c r="F52" s="3" t="inlineStr">
        <is>
          <t>Personal</t>
        </is>
      </c>
      <c r="G52" s="4" t="n">
        <v>46178</v>
      </c>
      <c r="H52" s="5" t="n">
        <v>19833</v>
      </c>
    </row>
    <row r="53">
      <c r="A53" s="3" t="inlineStr">
        <is>
          <t>D0052</t>
        </is>
      </c>
      <c r="B53" s="3" t="inlineStr">
        <is>
          <t>A0009</t>
        </is>
      </c>
      <c r="C53" s="3" t="inlineStr">
        <is>
          <t>Sanjay Sharma</t>
        </is>
      </c>
      <c r="D53" s="3" t="inlineStr">
        <is>
          <t>Bhagalpur</t>
        </is>
      </c>
      <c r="E53" s="3" t="inlineStr">
        <is>
          <t>M. Mandal</t>
        </is>
      </c>
      <c r="F53" s="3" t="inlineStr">
        <is>
          <t>Personal</t>
        </is>
      </c>
      <c r="G53" s="4" t="n">
        <v>46208</v>
      </c>
      <c r="H53" s="5" t="n">
        <v>19833</v>
      </c>
    </row>
    <row r="54">
      <c r="A54" s="3" t="inlineStr">
        <is>
          <t>D0053</t>
        </is>
      </c>
      <c r="B54" s="3" t="inlineStr">
        <is>
          <t>A0009</t>
        </is>
      </c>
      <c r="C54" s="3" t="inlineStr">
        <is>
          <t>Sanjay Sharma</t>
        </is>
      </c>
      <c r="D54" s="3" t="inlineStr">
        <is>
          <t>Bhagalpur</t>
        </is>
      </c>
      <c r="E54" s="3" t="inlineStr">
        <is>
          <t>M. Mandal</t>
        </is>
      </c>
      <c r="F54" s="3" t="inlineStr">
        <is>
          <t>Personal</t>
        </is>
      </c>
      <c r="G54" s="4" t="n">
        <v>46239</v>
      </c>
      <c r="H54" s="5" t="n">
        <v>19833</v>
      </c>
    </row>
    <row r="55">
      <c r="A55" s="3" t="inlineStr">
        <is>
          <t>D0054</t>
        </is>
      </c>
      <c r="B55" s="3" t="inlineStr">
        <is>
          <t>A0009</t>
        </is>
      </c>
      <c r="C55" s="3" t="inlineStr">
        <is>
          <t>Sanjay Sharma</t>
        </is>
      </c>
      <c r="D55" s="3" t="inlineStr">
        <is>
          <t>Bhagalpur</t>
        </is>
      </c>
      <c r="E55" s="3" t="inlineStr">
        <is>
          <t>M. Mandal</t>
        </is>
      </c>
      <c r="F55" s="3" t="inlineStr">
        <is>
          <t>Personal</t>
        </is>
      </c>
      <c r="G55" s="4" t="n">
        <v>46270</v>
      </c>
      <c r="H55" s="5" t="n">
        <v>19833</v>
      </c>
    </row>
    <row r="56">
      <c r="A56" s="3" t="inlineStr">
        <is>
          <t>D0055</t>
        </is>
      </c>
      <c r="B56" s="3" t="inlineStr">
        <is>
          <t>A0010</t>
        </is>
      </c>
      <c r="C56" s="3" t="inlineStr">
        <is>
          <t>Vikash Singh</t>
        </is>
      </c>
      <c r="D56" s="3" t="inlineStr">
        <is>
          <t>Darbhanga</t>
        </is>
      </c>
      <c r="E56" s="3" t="inlineStr">
        <is>
          <t>R. Singh</t>
        </is>
      </c>
      <c r="F56" s="3" t="inlineStr">
        <is>
          <t>Agri</t>
        </is>
      </c>
      <c r="G56" s="4" t="n">
        <v>46117</v>
      </c>
      <c r="H56" s="5" t="n">
        <v>9667</v>
      </c>
    </row>
    <row r="57">
      <c r="A57" s="3" t="inlineStr">
        <is>
          <t>D0056</t>
        </is>
      </c>
      <c r="B57" s="3" t="inlineStr">
        <is>
          <t>A0010</t>
        </is>
      </c>
      <c r="C57" s="3" t="inlineStr">
        <is>
          <t>Vikash Singh</t>
        </is>
      </c>
      <c r="D57" s="3" t="inlineStr">
        <is>
          <t>Darbhanga</t>
        </is>
      </c>
      <c r="E57" s="3" t="inlineStr">
        <is>
          <t>R. Singh</t>
        </is>
      </c>
      <c r="F57" s="3" t="inlineStr">
        <is>
          <t>Agri</t>
        </is>
      </c>
      <c r="G57" s="4" t="n">
        <v>46147</v>
      </c>
      <c r="H57" s="5" t="n">
        <v>9667</v>
      </c>
    </row>
    <row r="58">
      <c r="A58" s="3" t="inlineStr">
        <is>
          <t>D0057</t>
        </is>
      </c>
      <c r="B58" s="3" t="inlineStr">
        <is>
          <t>A0010</t>
        </is>
      </c>
      <c r="C58" s="3" t="inlineStr">
        <is>
          <t>Vikash Singh</t>
        </is>
      </c>
      <c r="D58" s="3" t="inlineStr">
        <is>
          <t>Darbhanga</t>
        </is>
      </c>
      <c r="E58" s="3" t="inlineStr">
        <is>
          <t>R. Singh</t>
        </is>
      </c>
      <c r="F58" s="3" t="inlineStr">
        <is>
          <t>Agri</t>
        </is>
      </c>
      <c r="G58" s="4" t="n">
        <v>46178</v>
      </c>
      <c r="H58" s="5" t="n">
        <v>9667</v>
      </c>
    </row>
    <row r="59">
      <c r="A59" s="3" t="inlineStr">
        <is>
          <t>D0058</t>
        </is>
      </c>
      <c r="B59" s="3" t="inlineStr">
        <is>
          <t>A0010</t>
        </is>
      </c>
      <c r="C59" s="3" t="inlineStr">
        <is>
          <t>Vikash Singh</t>
        </is>
      </c>
      <c r="D59" s="3" t="inlineStr">
        <is>
          <t>Darbhanga</t>
        </is>
      </c>
      <c r="E59" s="3" t="inlineStr">
        <is>
          <t>R. Singh</t>
        </is>
      </c>
      <c r="F59" s="3" t="inlineStr">
        <is>
          <t>Agri</t>
        </is>
      </c>
      <c r="G59" s="4" t="n">
        <v>46208</v>
      </c>
      <c r="H59" s="5" t="n">
        <v>9667</v>
      </c>
    </row>
    <row r="60">
      <c r="A60" s="3" t="inlineStr">
        <is>
          <t>D0059</t>
        </is>
      </c>
      <c r="B60" s="3" t="inlineStr">
        <is>
          <t>A0010</t>
        </is>
      </c>
      <c r="C60" s="3" t="inlineStr">
        <is>
          <t>Vikash Singh</t>
        </is>
      </c>
      <c r="D60" s="3" t="inlineStr">
        <is>
          <t>Darbhanga</t>
        </is>
      </c>
      <c r="E60" s="3" t="inlineStr">
        <is>
          <t>R. Singh</t>
        </is>
      </c>
      <c r="F60" s="3" t="inlineStr">
        <is>
          <t>Agri</t>
        </is>
      </c>
      <c r="G60" s="4" t="n">
        <v>46239</v>
      </c>
      <c r="H60" s="5" t="n">
        <v>9667</v>
      </c>
    </row>
    <row r="61">
      <c r="A61" s="3" t="inlineStr">
        <is>
          <t>D0060</t>
        </is>
      </c>
      <c r="B61" s="3" t="inlineStr">
        <is>
          <t>A0010</t>
        </is>
      </c>
      <c r="C61" s="3" t="inlineStr">
        <is>
          <t>Vikash Singh</t>
        </is>
      </c>
      <c r="D61" s="3" t="inlineStr">
        <is>
          <t>Darbhanga</t>
        </is>
      </c>
      <c r="E61" s="3" t="inlineStr">
        <is>
          <t>R. Singh</t>
        </is>
      </c>
      <c r="F61" s="3" t="inlineStr">
        <is>
          <t>Agri</t>
        </is>
      </c>
      <c r="G61" s="4" t="n">
        <v>46270</v>
      </c>
      <c r="H61" s="5" t="n">
        <v>9667</v>
      </c>
    </row>
    <row r="62">
      <c r="A62" s="3" t="inlineStr">
        <is>
          <t>D0061</t>
        </is>
      </c>
      <c r="B62" s="3" t="inlineStr">
        <is>
          <t>A0011</t>
        </is>
      </c>
      <c r="C62" s="3" t="inlineStr">
        <is>
          <t>Sanjay Rai</t>
        </is>
      </c>
      <c r="D62" s="3" t="inlineStr">
        <is>
          <t>Gaya</t>
        </is>
      </c>
      <c r="E62" s="3" t="inlineStr">
        <is>
          <t>A. Verma</t>
        </is>
      </c>
      <c r="F62" s="3" t="inlineStr">
        <is>
          <t>Personal</t>
        </is>
      </c>
      <c r="G62" s="4" t="n">
        <v>46117</v>
      </c>
      <c r="H62" s="5" t="n">
        <v>15000</v>
      </c>
    </row>
    <row r="63">
      <c r="A63" s="3" t="inlineStr">
        <is>
          <t>D0062</t>
        </is>
      </c>
      <c r="B63" s="3" t="inlineStr">
        <is>
          <t>A0011</t>
        </is>
      </c>
      <c r="C63" s="3" t="inlineStr">
        <is>
          <t>Sanjay Rai</t>
        </is>
      </c>
      <c r="D63" s="3" t="inlineStr">
        <is>
          <t>Gaya</t>
        </is>
      </c>
      <c r="E63" s="3" t="inlineStr">
        <is>
          <t>A. Verma</t>
        </is>
      </c>
      <c r="F63" s="3" t="inlineStr">
        <is>
          <t>Personal</t>
        </is>
      </c>
      <c r="G63" s="4" t="n">
        <v>46147</v>
      </c>
      <c r="H63" s="5" t="n">
        <v>15000</v>
      </c>
    </row>
    <row r="64">
      <c r="A64" s="3" t="inlineStr">
        <is>
          <t>D0063</t>
        </is>
      </c>
      <c r="B64" s="3" t="inlineStr">
        <is>
          <t>A0011</t>
        </is>
      </c>
      <c r="C64" s="3" t="inlineStr">
        <is>
          <t>Sanjay Rai</t>
        </is>
      </c>
      <c r="D64" s="3" t="inlineStr">
        <is>
          <t>Gaya</t>
        </is>
      </c>
      <c r="E64" s="3" t="inlineStr">
        <is>
          <t>A. Verma</t>
        </is>
      </c>
      <c r="F64" s="3" t="inlineStr">
        <is>
          <t>Personal</t>
        </is>
      </c>
      <c r="G64" s="4" t="n">
        <v>46178</v>
      </c>
      <c r="H64" s="5" t="n">
        <v>15000</v>
      </c>
    </row>
    <row r="65">
      <c r="A65" s="3" t="inlineStr">
        <is>
          <t>D0064</t>
        </is>
      </c>
      <c r="B65" s="3" t="inlineStr">
        <is>
          <t>A0011</t>
        </is>
      </c>
      <c r="C65" s="3" t="inlineStr">
        <is>
          <t>Sanjay Rai</t>
        </is>
      </c>
      <c r="D65" s="3" t="inlineStr">
        <is>
          <t>Gaya</t>
        </is>
      </c>
      <c r="E65" s="3" t="inlineStr">
        <is>
          <t>A. Verma</t>
        </is>
      </c>
      <c r="F65" s="3" t="inlineStr">
        <is>
          <t>Personal</t>
        </is>
      </c>
      <c r="G65" s="4" t="n">
        <v>46208</v>
      </c>
      <c r="H65" s="5" t="n">
        <v>15000</v>
      </c>
    </row>
    <row r="66">
      <c r="A66" s="3" t="inlineStr">
        <is>
          <t>D0065</t>
        </is>
      </c>
      <c r="B66" s="3" t="inlineStr">
        <is>
          <t>A0011</t>
        </is>
      </c>
      <c r="C66" s="3" t="inlineStr">
        <is>
          <t>Sanjay Rai</t>
        </is>
      </c>
      <c r="D66" s="3" t="inlineStr">
        <is>
          <t>Gaya</t>
        </is>
      </c>
      <c r="E66" s="3" t="inlineStr">
        <is>
          <t>A. Verma</t>
        </is>
      </c>
      <c r="F66" s="3" t="inlineStr">
        <is>
          <t>Personal</t>
        </is>
      </c>
      <c r="G66" s="4" t="n">
        <v>46239</v>
      </c>
      <c r="H66" s="5" t="n">
        <v>15000</v>
      </c>
    </row>
    <row r="67">
      <c r="A67" s="3" t="inlineStr">
        <is>
          <t>D0066</t>
        </is>
      </c>
      <c r="B67" s="3" t="inlineStr">
        <is>
          <t>A0011</t>
        </is>
      </c>
      <c r="C67" s="3" t="inlineStr">
        <is>
          <t>Sanjay Rai</t>
        </is>
      </c>
      <c r="D67" s="3" t="inlineStr">
        <is>
          <t>Gaya</t>
        </is>
      </c>
      <c r="E67" s="3" t="inlineStr">
        <is>
          <t>A. Verma</t>
        </is>
      </c>
      <c r="F67" s="3" t="inlineStr">
        <is>
          <t>Personal</t>
        </is>
      </c>
      <c r="G67" s="4" t="n">
        <v>46270</v>
      </c>
      <c r="H67" s="5" t="n">
        <v>15000</v>
      </c>
    </row>
    <row r="68">
      <c r="A68" s="3" t="inlineStr">
        <is>
          <t>D0067</t>
        </is>
      </c>
      <c r="B68" s="3" t="inlineStr">
        <is>
          <t>A0012</t>
        </is>
      </c>
      <c r="C68" s="3" t="inlineStr">
        <is>
          <t>Vikash Kumar</t>
        </is>
      </c>
      <c r="D68" s="3" t="inlineStr">
        <is>
          <t>Darbhanga</t>
        </is>
      </c>
      <c r="E68" s="3" t="inlineStr">
        <is>
          <t>K. Sharma</t>
        </is>
      </c>
      <c r="F68" s="3" t="inlineStr">
        <is>
          <t>Agri</t>
        </is>
      </c>
      <c r="G68" s="4" t="n">
        <v>46117</v>
      </c>
      <c r="H68" s="5" t="n">
        <v>3833</v>
      </c>
    </row>
    <row r="69">
      <c r="A69" s="3" t="inlineStr">
        <is>
          <t>D0068</t>
        </is>
      </c>
      <c r="B69" s="3" t="inlineStr">
        <is>
          <t>A0012</t>
        </is>
      </c>
      <c r="C69" s="3" t="inlineStr">
        <is>
          <t>Vikash Kumar</t>
        </is>
      </c>
      <c r="D69" s="3" t="inlineStr">
        <is>
          <t>Darbhanga</t>
        </is>
      </c>
      <c r="E69" s="3" t="inlineStr">
        <is>
          <t>K. Sharma</t>
        </is>
      </c>
      <c r="F69" s="3" t="inlineStr">
        <is>
          <t>Agri</t>
        </is>
      </c>
      <c r="G69" s="4" t="n">
        <v>46147</v>
      </c>
      <c r="H69" s="5" t="n">
        <v>3833</v>
      </c>
    </row>
    <row r="70">
      <c r="A70" s="3" t="inlineStr">
        <is>
          <t>D0069</t>
        </is>
      </c>
      <c r="B70" s="3" t="inlineStr">
        <is>
          <t>A0012</t>
        </is>
      </c>
      <c r="C70" s="3" t="inlineStr">
        <is>
          <t>Vikash Kumar</t>
        </is>
      </c>
      <c r="D70" s="3" t="inlineStr">
        <is>
          <t>Darbhanga</t>
        </is>
      </c>
      <c r="E70" s="3" t="inlineStr">
        <is>
          <t>K. Sharma</t>
        </is>
      </c>
      <c r="F70" s="3" t="inlineStr">
        <is>
          <t>Agri</t>
        </is>
      </c>
      <c r="G70" s="4" t="n">
        <v>46178</v>
      </c>
      <c r="H70" s="5" t="n">
        <v>3833</v>
      </c>
    </row>
    <row r="71">
      <c r="A71" s="3" t="inlineStr">
        <is>
          <t>D0070</t>
        </is>
      </c>
      <c r="B71" s="3" t="inlineStr">
        <is>
          <t>A0012</t>
        </is>
      </c>
      <c r="C71" s="3" t="inlineStr">
        <is>
          <t>Vikash Kumar</t>
        </is>
      </c>
      <c r="D71" s="3" t="inlineStr">
        <is>
          <t>Darbhanga</t>
        </is>
      </c>
      <c r="E71" s="3" t="inlineStr">
        <is>
          <t>K. Sharma</t>
        </is>
      </c>
      <c r="F71" s="3" t="inlineStr">
        <is>
          <t>Agri</t>
        </is>
      </c>
      <c r="G71" s="4" t="n">
        <v>46208</v>
      </c>
      <c r="H71" s="5" t="n">
        <v>3833</v>
      </c>
    </row>
    <row r="72">
      <c r="A72" s="3" t="inlineStr">
        <is>
          <t>D0071</t>
        </is>
      </c>
      <c r="B72" s="3" t="inlineStr">
        <is>
          <t>A0012</t>
        </is>
      </c>
      <c r="C72" s="3" t="inlineStr">
        <is>
          <t>Vikash Kumar</t>
        </is>
      </c>
      <c r="D72" s="3" t="inlineStr">
        <is>
          <t>Darbhanga</t>
        </is>
      </c>
      <c r="E72" s="3" t="inlineStr">
        <is>
          <t>K. Sharma</t>
        </is>
      </c>
      <c r="F72" s="3" t="inlineStr">
        <is>
          <t>Agri</t>
        </is>
      </c>
      <c r="G72" s="4" t="n">
        <v>46239</v>
      </c>
      <c r="H72" s="5" t="n">
        <v>3833</v>
      </c>
    </row>
    <row r="73">
      <c r="A73" s="3" t="inlineStr">
        <is>
          <t>D0072</t>
        </is>
      </c>
      <c r="B73" s="3" t="inlineStr">
        <is>
          <t>A0012</t>
        </is>
      </c>
      <c r="C73" s="3" t="inlineStr">
        <is>
          <t>Vikash Kumar</t>
        </is>
      </c>
      <c r="D73" s="3" t="inlineStr">
        <is>
          <t>Darbhanga</t>
        </is>
      </c>
      <c r="E73" s="3" t="inlineStr">
        <is>
          <t>K. Sharma</t>
        </is>
      </c>
      <c r="F73" s="3" t="inlineStr">
        <is>
          <t>Agri</t>
        </is>
      </c>
      <c r="G73" s="4" t="n">
        <v>46270</v>
      </c>
      <c r="H73" s="5" t="n">
        <v>3833</v>
      </c>
    </row>
    <row r="74">
      <c r="A74" s="3" t="inlineStr">
        <is>
          <t>D0073</t>
        </is>
      </c>
      <c r="B74" s="3" t="inlineStr">
        <is>
          <t>A0013</t>
        </is>
      </c>
      <c r="C74" s="3" t="inlineStr">
        <is>
          <t>Pooja Prasad</t>
        </is>
      </c>
      <c r="D74" s="3" t="inlineStr">
        <is>
          <t>Muzaffarpur</t>
        </is>
      </c>
      <c r="E74" s="3" t="inlineStr">
        <is>
          <t>A. Verma</t>
        </is>
      </c>
      <c r="F74" s="3" t="inlineStr">
        <is>
          <t>Trade</t>
        </is>
      </c>
      <c r="G74" s="4" t="n">
        <v>46117</v>
      </c>
      <c r="H74" s="5" t="n">
        <v>5833</v>
      </c>
    </row>
    <row r="75">
      <c r="A75" s="3" t="inlineStr">
        <is>
          <t>D0074</t>
        </is>
      </c>
      <c r="B75" s="3" t="inlineStr">
        <is>
          <t>A0013</t>
        </is>
      </c>
      <c r="C75" s="3" t="inlineStr">
        <is>
          <t>Pooja Prasad</t>
        </is>
      </c>
      <c r="D75" s="3" t="inlineStr">
        <is>
          <t>Muzaffarpur</t>
        </is>
      </c>
      <c r="E75" s="3" t="inlineStr">
        <is>
          <t>A. Verma</t>
        </is>
      </c>
      <c r="F75" s="3" t="inlineStr">
        <is>
          <t>Trade</t>
        </is>
      </c>
      <c r="G75" s="4" t="n">
        <v>46147</v>
      </c>
      <c r="H75" s="5" t="n">
        <v>5833</v>
      </c>
    </row>
    <row r="76">
      <c r="A76" s="3" t="inlineStr">
        <is>
          <t>D0075</t>
        </is>
      </c>
      <c r="B76" s="3" t="inlineStr">
        <is>
          <t>A0013</t>
        </is>
      </c>
      <c r="C76" s="3" t="inlineStr">
        <is>
          <t>Pooja Prasad</t>
        </is>
      </c>
      <c r="D76" s="3" t="inlineStr">
        <is>
          <t>Muzaffarpur</t>
        </is>
      </c>
      <c r="E76" s="3" t="inlineStr">
        <is>
          <t>A. Verma</t>
        </is>
      </c>
      <c r="F76" s="3" t="inlineStr">
        <is>
          <t>Trade</t>
        </is>
      </c>
      <c r="G76" s="4" t="n">
        <v>46178</v>
      </c>
      <c r="H76" s="5" t="n">
        <v>5833</v>
      </c>
    </row>
    <row r="77">
      <c r="A77" s="3" t="inlineStr">
        <is>
          <t>D0076</t>
        </is>
      </c>
      <c r="B77" s="3" t="inlineStr">
        <is>
          <t>A0013</t>
        </is>
      </c>
      <c r="C77" s="3" t="inlineStr">
        <is>
          <t>Pooja Prasad</t>
        </is>
      </c>
      <c r="D77" s="3" t="inlineStr">
        <is>
          <t>Muzaffarpur</t>
        </is>
      </c>
      <c r="E77" s="3" t="inlineStr">
        <is>
          <t>A. Verma</t>
        </is>
      </c>
      <c r="F77" s="3" t="inlineStr">
        <is>
          <t>Trade</t>
        </is>
      </c>
      <c r="G77" s="4" t="n">
        <v>46208</v>
      </c>
      <c r="H77" s="5" t="n">
        <v>5833</v>
      </c>
    </row>
    <row r="78">
      <c r="A78" s="3" t="inlineStr">
        <is>
          <t>D0077</t>
        </is>
      </c>
      <c r="B78" s="3" t="inlineStr">
        <is>
          <t>A0013</t>
        </is>
      </c>
      <c r="C78" s="3" t="inlineStr">
        <is>
          <t>Pooja Prasad</t>
        </is>
      </c>
      <c r="D78" s="3" t="inlineStr">
        <is>
          <t>Muzaffarpur</t>
        </is>
      </c>
      <c r="E78" s="3" t="inlineStr">
        <is>
          <t>A. Verma</t>
        </is>
      </c>
      <c r="F78" s="3" t="inlineStr">
        <is>
          <t>Trade</t>
        </is>
      </c>
      <c r="G78" s="4" t="n">
        <v>46239</v>
      </c>
      <c r="H78" s="5" t="n">
        <v>5833</v>
      </c>
    </row>
    <row r="79">
      <c r="A79" s="3" t="inlineStr">
        <is>
          <t>D0078</t>
        </is>
      </c>
      <c r="B79" s="3" t="inlineStr">
        <is>
          <t>A0013</t>
        </is>
      </c>
      <c r="C79" s="3" t="inlineStr">
        <is>
          <t>Pooja Prasad</t>
        </is>
      </c>
      <c r="D79" s="3" t="inlineStr">
        <is>
          <t>Muzaffarpur</t>
        </is>
      </c>
      <c r="E79" s="3" t="inlineStr">
        <is>
          <t>A. Verma</t>
        </is>
      </c>
      <c r="F79" s="3" t="inlineStr">
        <is>
          <t>Trade</t>
        </is>
      </c>
      <c r="G79" s="4" t="n">
        <v>46270</v>
      </c>
      <c r="H79" s="5" t="n">
        <v>5833</v>
      </c>
    </row>
    <row r="80">
      <c r="A80" s="3" t="inlineStr">
        <is>
          <t>D0079</t>
        </is>
      </c>
      <c r="B80" s="3" t="inlineStr">
        <is>
          <t>A0014</t>
        </is>
      </c>
      <c r="C80" s="3" t="inlineStr">
        <is>
          <t>Deepak Sharma</t>
        </is>
      </c>
      <c r="D80" s="3" t="inlineStr">
        <is>
          <t>Patna</t>
        </is>
      </c>
      <c r="E80" s="3" t="inlineStr">
        <is>
          <t>P. Yadav</t>
        </is>
      </c>
      <c r="F80" s="3" t="inlineStr">
        <is>
          <t>Personal</t>
        </is>
      </c>
      <c r="G80" s="4" t="n">
        <v>46117</v>
      </c>
      <c r="H80" s="5" t="n">
        <v>4167</v>
      </c>
    </row>
    <row r="81">
      <c r="A81" s="3" t="inlineStr">
        <is>
          <t>D0080</t>
        </is>
      </c>
      <c r="B81" s="3" t="inlineStr">
        <is>
          <t>A0014</t>
        </is>
      </c>
      <c r="C81" s="3" t="inlineStr">
        <is>
          <t>Deepak Sharma</t>
        </is>
      </c>
      <c r="D81" s="3" t="inlineStr">
        <is>
          <t>Patna</t>
        </is>
      </c>
      <c r="E81" s="3" t="inlineStr">
        <is>
          <t>P. Yadav</t>
        </is>
      </c>
      <c r="F81" s="3" t="inlineStr">
        <is>
          <t>Personal</t>
        </is>
      </c>
      <c r="G81" s="4" t="n">
        <v>46147</v>
      </c>
      <c r="H81" s="5" t="n">
        <v>4167</v>
      </c>
    </row>
    <row r="82">
      <c r="A82" s="3" t="inlineStr">
        <is>
          <t>D0081</t>
        </is>
      </c>
      <c r="B82" s="3" t="inlineStr">
        <is>
          <t>A0014</t>
        </is>
      </c>
      <c r="C82" s="3" t="inlineStr">
        <is>
          <t>Deepak Sharma</t>
        </is>
      </c>
      <c r="D82" s="3" t="inlineStr">
        <is>
          <t>Patna</t>
        </is>
      </c>
      <c r="E82" s="3" t="inlineStr">
        <is>
          <t>P. Yadav</t>
        </is>
      </c>
      <c r="F82" s="3" t="inlineStr">
        <is>
          <t>Personal</t>
        </is>
      </c>
      <c r="G82" s="4" t="n">
        <v>46178</v>
      </c>
      <c r="H82" s="5" t="n">
        <v>4167</v>
      </c>
    </row>
    <row r="83">
      <c r="A83" s="3" t="inlineStr">
        <is>
          <t>D0082</t>
        </is>
      </c>
      <c r="B83" s="3" t="inlineStr">
        <is>
          <t>A0014</t>
        </is>
      </c>
      <c r="C83" s="3" t="inlineStr">
        <is>
          <t>Deepak Sharma</t>
        </is>
      </c>
      <c r="D83" s="3" t="inlineStr">
        <is>
          <t>Patna</t>
        </is>
      </c>
      <c r="E83" s="3" t="inlineStr">
        <is>
          <t>P. Yadav</t>
        </is>
      </c>
      <c r="F83" s="3" t="inlineStr">
        <is>
          <t>Personal</t>
        </is>
      </c>
      <c r="G83" s="4" t="n">
        <v>46208</v>
      </c>
      <c r="H83" s="5" t="n">
        <v>4167</v>
      </c>
    </row>
    <row r="84">
      <c r="A84" s="3" t="inlineStr">
        <is>
          <t>D0083</t>
        </is>
      </c>
      <c r="B84" s="3" t="inlineStr">
        <is>
          <t>A0014</t>
        </is>
      </c>
      <c r="C84" s="3" t="inlineStr">
        <is>
          <t>Deepak Sharma</t>
        </is>
      </c>
      <c r="D84" s="3" t="inlineStr">
        <is>
          <t>Patna</t>
        </is>
      </c>
      <c r="E84" s="3" t="inlineStr">
        <is>
          <t>P. Yadav</t>
        </is>
      </c>
      <c r="F84" s="3" t="inlineStr">
        <is>
          <t>Personal</t>
        </is>
      </c>
      <c r="G84" s="4" t="n">
        <v>46239</v>
      </c>
      <c r="H84" s="5" t="n">
        <v>4167</v>
      </c>
    </row>
    <row r="85">
      <c r="A85" s="3" t="inlineStr">
        <is>
          <t>D0084</t>
        </is>
      </c>
      <c r="B85" s="3" t="inlineStr">
        <is>
          <t>A0014</t>
        </is>
      </c>
      <c r="C85" s="3" t="inlineStr">
        <is>
          <t>Deepak Sharma</t>
        </is>
      </c>
      <c r="D85" s="3" t="inlineStr">
        <is>
          <t>Patna</t>
        </is>
      </c>
      <c r="E85" s="3" t="inlineStr">
        <is>
          <t>P. Yadav</t>
        </is>
      </c>
      <c r="F85" s="3" t="inlineStr">
        <is>
          <t>Personal</t>
        </is>
      </c>
      <c r="G85" s="4" t="n">
        <v>46270</v>
      </c>
      <c r="H85" s="5" t="n">
        <v>4167</v>
      </c>
    </row>
    <row r="86">
      <c r="A86" s="3" t="inlineStr">
        <is>
          <t>D0085</t>
        </is>
      </c>
      <c r="B86" s="3" t="inlineStr">
        <is>
          <t>A0015</t>
        </is>
      </c>
      <c r="C86" s="3" t="inlineStr">
        <is>
          <t>Deepak Paswan</t>
        </is>
      </c>
      <c r="D86" s="3" t="inlineStr">
        <is>
          <t>Bhagalpur</t>
        </is>
      </c>
      <c r="E86" s="3" t="inlineStr">
        <is>
          <t>S. Gupta</t>
        </is>
      </c>
      <c r="F86" s="3" t="inlineStr">
        <is>
          <t>Housing</t>
        </is>
      </c>
      <c r="G86" s="4" t="n">
        <v>46117</v>
      </c>
      <c r="H86" s="5" t="n">
        <v>25500</v>
      </c>
    </row>
    <row r="87">
      <c r="A87" s="3" t="inlineStr">
        <is>
          <t>D0086</t>
        </is>
      </c>
      <c r="B87" s="3" t="inlineStr">
        <is>
          <t>A0015</t>
        </is>
      </c>
      <c r="C87" s="3" t="inlineStr">
        <is>
          <t>Deepak Paswan</t>
        </is>
      </c>
      <c r="D87" s="3" t="inlineStr">
        <is>
          <t>Bhagalpur</t>
        </is>
      </c>
      <c r="E87" s="3" t="inlineStr">
        <is>
          <t>S. Gupta</t>
        </is>
      </c>
      <c r="F87" s="3" t="inlineStr">
        <is>
          <t>Housing</t>
        </is>
      </c>
      <c r="G87" s="4" t="n">
        <v>46147</v>
      </c>
      <c r="H87" s="5" t="n">
        <v>25500</v>
      </c>
    </row>
    <row r="88">
      <c r="A88" s="3" t="inlineStr">
        <is>
          <t>D0087</t>
        </is>
      </c>
      <c r="B88" s="3" t="inlineStr">
        <is>
          <t>A0015</t>
        </is>
      </c>
      <c r="C88" s="3" t="inlineStr">
        <is>
          <t>Deepak Paswan</t>
        </is>
      </c>
      <c r="D88" s="3" t="inlineStr">
        <is>
          <t>Bhagalpur</t>
        </is>
      </c>
      <c r="E88" s="3" t="inlineStr">
        <is>
          <t>S. Gupta</t>
        </is>
      </c>
      <c r="F88" s="3" t="inlineStr">
        <is>
          <t>Housing</t>
        </is>
      </c>
      <c r="G88" s="4" t="n">
        <v>46178</v>
      </c>
      <c r="H88" s="5" t="n">
        <v>25500</v>
      </c>
    </row>
    <row r="89">
      <c r="A89" s="3" t="inlineStr">
        <is>
          <t>D0088</t>
        </is>
      </c>
      <c r="B89" s="3" t="inlineStr">
        <is>
          <t>A0015</t>
        </is>
      </c>
      <c r="C89" s="3" t="inlineStr">
        <is>
          <t>Deepak Paswan</t>
        </is>
      </c>
      <c r="D89" s="3" t="inlineStr">
        <is>
          <t>Bhagalpur</t>
        </is>
      </c>
      <c r="E89" s="3" t="inlineStr">
        <is>
          <t>S. Gupta</t>
        </is>
      </c>
      <c r="F89" s="3" t="inlineStr">
        <is>
          <t>Housing</t>
        </is>
      </c>
      <c r="G89" s="4" t="n">
        <v>46208</v>
      </c>
      <c r="H89" s="5" t="n">
        <v>25500</v>
      </c>
    </row>
    <row r="90">
      <c r="A90" s="3" t="inlineStr">
        <is>
          <t>D0089</t>
        </is>
      </c>
      <c r="B90" s="3" t="inlineStr">
        <is>
          <t>A0015</t>
        </is>
      </c>
      <c r="C90" s="3" t="inlineStr">
        <is>
          <t>Deepak Paswan</t>
        </is>
      </c>
      <c r="D90" s="3" t="inlineStr">
        <is>
          <t>Bhagalpur</t>
        </is>
      </c>
      <c r="E90" s="3" t="inlineStr">
        <is>
          <t>S. Gupta</t>
        </is>
      </c>
      <c r="F90" s="3" t="inlineStr">
        <is>
          <t>Housing</t>
        </is>
      </c>
      <c r="G90" s="4" t="n">
        <v>46239</v>
      </c>
      <c r="H90" s="5" t="n">
        <v>25500</v>
      </c>
    </row>
    <row r="91">
      <c r="A91" s="3" t="inlineStr">
        <is>
          <t>D0090</t>
        </is>
      </c>
      <c r="B91" s="3" t="inlineStr">
        <is>
          <t>A0015</t>
        </is>
      </c>
      <c r="C91" s="3" t="inlineStr">
        <is>
          <t>Deepak Paswan</t>
        </is>
      </c>
      <c r="D91" s="3" t="inlineStr">
        <is>
          <t>Bhagalpur</t>
        </is>
      </c>
      <c r="E91" s="3" t="inlineStr">
        <is>
          <t>S. Gupta</t>
        </is>
      </c>
      <c r="F91" s="3" t="inlineStr">
        <is>
          <t>Housing</t>
        </is>
      </c>
      <c r="G91" s="4" t="n">
        <v>46270</v>
      </c>
      <c r="H91" s="5" t="n">
        <v>25500</v>
      </c>
    </row>
    <row r="92">
      <c r="A92" s="3" t="inlineStr">
        <is>
          <t>D0091</t>
        </is>
      </c>
      <c r="B92" s="3" t="inlineStr">
        <is>
          <t>A0016</t>
        </is>
      </c>
      <c r="C92" s="3" t="inlineStr">
        <is>
          <t>Prakash Chaudhary</t>
        </is>
      </c>
      <c r="D92" s="3" t="inlineStr">
        <is>
          <t>Patna</t>
        </is>
      </c>
      <c r="E92" s="3" t="inlineStr">
        <is>
          <t>P. Yadav</t>
        </is>
      </c>
      <c r="F92" s="3" t="inlineStr">
        <is>
          <t>Housing</t>
        </is>
      </c>
      <c r="G92" s="4" t="n">
        <v>46117</v>
      </c>
      <c r="H92" s="5" t="n">
        <v>20333</v>
      </c>
    </row>
    <row r="93">
      <c r="A93" s="3" t="inlineStr">
        <is>
          <t>D0092</t>
        </is>
      </c>
      <c r="B93" s="3" t="inlineStr">
        <is>
          <t>A0016</t>
        </is>
      </c>
      <c r="C93" s="3" t="inlineStr">
        <is>
          <t>Prakash Chaudhary</t>
        </is>
      </c>
      <c r="D93" s="3" t="inlineStr">
        <is>
          <t>Patna</t>
        </is>
      </c>
      <c r="E93" s="3" t="inlineStr">
        <is>
          <t>P. Yadav</t>
        </is>
      </c>
      <c r="F93" s="3" t="inlineStr">
        <is>
          <t>Housing</t>
        </is>
      </c>
      <c r="G93" s="4" t="n">
        <v>46147</v>
      </c>
      <c r="H93" s="5" t="n">
        <v>20333</v>
      </c>
    </row>
    <row r="94">
      <c r="A94" s="3" t="inlineStr">
        <is>
          <t>D0093</t>
        </is>
      </c>
      <c r="B94" s="3" t="inlineStr">
        <is>
          <t>A0016</t>
        </is>
      </c>
      <c r="C94" s="3" t="inlineStr">
        <is>
          <t>Prakash Chaudhary</t>
        </is>
      </c>
      <c r="D94" s="3" t="inlineStr">
        <is>
          <t>Patna</t>
        </is>
      </c>
      <c r="E94" s="3" t="inlineStr">
        <is>
          <t>P. Yadav</t>
        </is>
      </c>
      <c r="F94" s="3" t="inlineStr">
        <is>
          <t>Housing</t>
        </is>
      </c>
      <c r="G94" s="4" t="n">
        <v>46178</v>
      </c>
      <c r="H94" s="5" t="n">
        <v>20333</v>
      </c>
    </row>
    <row r="95">
      <c r="A95" s="3" t="inlineStr">
        <is>
          <t>D0094</t>
        </is>
      </c>
      <c r="B95" s="3" t="inlineStr">
        <is>
          <t>A0016</t>
        </is>
      </c>
      <c r="C95" s="3" t="inlineStr">
        <is>
          <t>Prakash Chaudhary</t>
        </is>
      </c>
      <c r="D95" s="3" t="inlineStr">
        <is>
          <t>Patna</t>
        </is>
      </c>
      <c r="E95" s="3" t="inlineStr">
        <is>
          <t>P. Yadav</t>
        </is>
      </c>
      <c r="F95" s="3" t="inlineStr">
        <is>
          <t>Housing</t>
        </is>
      </c>
      <c r="G95" s="4" t="n">
        <v>46208</v>
      </c>
      <c r="H95" s="5" t="n">
        <v>20333</v>
      </c>
    </row>
    <row r="96">
      <c r="A96" s="3" t="inlineStr">
        <is>
          <t>D0095</t>
        </is>
      </c>
      <c r="B96" s="3" t="inlineStr">
        <is>
          <t>A0016</t>
        </is>
      </c>
      <c r="C96" s="3" t="inlineStr">
        <is>
          <t>Prakash Chaudhary</t>
        </is>
      </c>
      <c r="D96" s="3" t="inlineStr">
        <is>
          <t>Patna</t>
        </is>
      </c>
      <c r="E96" s="3" t="inlineStr">
        <is>
          <t>P. Yadav</t>
        </is>
      </c>
      <c r="F96" s="3" t="inlineStr">
        <is>
          <t>Housing</t>
        </is>
      </c>
      <c r="G96" s="4" t="n">
        <v>46239</v>
      </c>
      <c r="H96" s="5" t="n">
        <v>20333</v>
      </c>
    </row>
    <row r="97">
      <c r="A97" s="3" t="inlineStr">
        <is>
          <t>D0096</t>
        </is>
      </c>
      <c r="B97" s="3" t="inlineStr">
        <is>
          <t>A0016</t>
        </is>
      </c>
      <c r="C97" s="3" t="inlineStr">
        <is>
          <t>Prakash Chaudhary</t>
        </is>
      </c>
      <c r="D97" s="3" t="inlineStr">
        <is>
          <t>Patna</t>
        </is>
      </c>
      <c r="E97" s="3" t="inlineStr">
        <is>
          <t>P. Yadav</t>
        </is>
      </c>
      <c r="F97" s="3" t="inlineStr">
        <is>
          <t>Housing</t>
        </is>
      </c>
      <c r="G97" s="4" t="n">
        <v>46270</v>
      </c>
      <c r="H97" s="5" t="n">
        <v>20333</v>
      </c>
    </row>
    <row r="98">
      <c r="A98" s="3" t="inlineStr">
        <is>
          <t>D0097</t>
        </is>
      </c>
      <c r="B98" s="3" t="inlineStr">
        <is>
          <t>A0017</t>
        </is>
      </c>
      <c r="C98" s="3" t="inlineStr">
        <is>
          <t>Bablu Singh</t>
        </is>
      </c>
      <c r="D98" s="3" t="inlineStr">
        <is>
          <t>Darbhanga</t>
        </is>
      </c>
      <c r="E98" s="3" t="inlineStr">
        <is>
          <t>R. Singh</t>
        </is>
      </c>
      <c r="F98" s="3" t="inlineStr">
        <is>
          <t>Personal</t>
        </is>
      </c>
      <c r="G98" s="4" t="n">
        <v>46117</v>
      </c>
      <c r="H98" s="5" t="n">
        <v>11000</v>
      </c>
    </row>
    <row r="99">
      <c r="A99" s="3" t="inlineStr">
        <is>
          <t>D0098</t>
        </is>
      </c>
      <c r="B99" s="3" t="inlineStr">
        <is>
          <t>A0017</t>
        </is>
      </c>
      <c r="C99" s="3" t="inlineStr">
        <is>
          <t>Bablu Singh</t>
        </is>
      </c>
      <c r="D99" s="3" t="inlineStr">
        <is>
          <t>Darbhanga</t>
        </is>
      </c>
      <c r="E99" s="3" t="inlineStr">
        <is>
          <t>R. Singh</t>
        </is>
      </c>
      <c r="F99" s="3" t="inlineStr">
        <is>
          <t>Personal</t>
        </is>
      </c>
      <c r="G99" s="4" t="n">
        <v>46147</v>
      </c>
      <c r="H99" s="5" t="n">
        <v>11000</v>
      </c>
    </row>
    <row r="100">
      <c r="A100" s="3" t="inlineStr">
        <is>
          <t>D0099</t>
        </is>
      </c>
      <c r="B100" s="3" t="inlineStr">
        <is>
          <t>A0017</t>
        </is>
      </c>
      <c r="C100" s="3" t="inlineStr">
        <is>
          <t>Bablu Singh</t>
        </is>
      </c>
      <c r="D100" s="3" t="inlineStr">
        <is>
          <t>Darbhanga</t>
        </is>
      </c>
      <c r="E100" s="3" t="inlineStr">
        <is>
          <t>R. Singh</t>
        </is>
      </c>
      <c r="F100" s="3" t="inlineStr">
        <is>
          <t>Personal</t>
        </is>
      </c>
      <c r="G100" s="4" t="n">
        <v>46178</v>
      </c>
      <c r="H100" s="5" t="n">
        <v>11000</v>
      </c>
    </row>
    <row r="101">
      <c r="A101" s="3" t="inlineStr">
        <is>
          <t>D0100</t>
        </is>
      </c>
      <c r="B101" s="3" t="inlineStr">
        <is>
          <t>A0017</t>
        </is>
      </c>
      <c r="C101" s="3" t="inlineStr">
        <is>
          <t>Bablu Singh</t>
        </is>
      </c>
      <c r="D101" s="3" t="inlineStr">
        <is>
          <t>Darbhanga</t>
        </is>
      </c>
      <c r="E101" s="3" t="inlineStr">
        <is>
          <t>R. Singh</t>
        </is>
      </c>
      <c r="F101" s="3" t="inlineStr">
        <is>
          <t>Personal</t>
        </is>
      </c>
      <c r="G101" s="4" t="n">
        <v>46208</v>
      </c>
      <c r="H101" s="5" t="n">
        <v>11000</v>
      </c>
    </row>
    <row r="102">
      <c r="A102" s="3" t="inlineStr">
        <is>
          <t>D0101</t>
        </is>
      </c>
      <c r="B102" s="3" t="inlineStr">
        <is>
          <t>A0017</t>
        </is>
      </c>
      <c r="C102" s="3" t="inlineStr">
        <is>
          <t>Bablu Singh</t>
        </is>
      </c>
      <c r="D102" s="3" t="inlineStr">
        <is>
          <t>Darbhanga</t>
        </is>
      </c>
      <c r="E102" s="3" t="inlineStr">
        <is>
          <t>R. Singh</t>
        </is>
      </c>
      <c r="F102" s="3" t="inlineStr">
        <is>
          <t>Personal</t>
        </is>
      </c>
      <c r="G102" s="4" t="n">
        <v>46239</v>
      </c>
      <c r="H102" s="5" t="n">
        <v>11000</v>
      </c>
    </row>
    <row r="103">
      <c r="A103" s="3" t="inlineStr">
        <is>
          <t>D0102</t>
        </is>
      </c>
      <c r="B103" s="3" t="inlineStr">
        <is>
          <t>A0017</t>
        </is>
      </c>
      <c r="C103" s="3" t="inlineStr">
        <is>
          <t>Bablu Singh</t>
        </is>
      </c>
      <c r="D103" s="3" t="inlineStr">
        <is>
          <t>Darbhanga</t>
        </is>
      </c>
      <c r="E103" s="3" t="inlineStr">
        <is>
          <t>R. Singh</t>
        </is>
      </c>
      <c r="F103" s="3" t="inlineStr">
        <is>
          <t>Personal</t>
        </is>
      </c>
      <c r="G103" s="4" t="n">
        <v>46270</v>
      </c>
      <c r="H103" s="5" t="n">
        <v>11000</v>
      </c>
    </row>
    <row r="104">
      <c r="A104" s="3" t="inlineStr">
        <is>
          <t>D0103</t>
        </is>
      </c>
      <c r="B104" s="3" t="inlineStr">
        <is>
          <t>A0018</t>
        </is>
      </c>
      <c r="C104" s="3" t="inlineStr">
        <is>
          <t>Manoj Tiwari</t>
        </is>
      </c>
      <c r="D104" s="3" t="inlineStr">
        <is>
          <t>Bhagalpur</t>
        </is>
      </c>
      <c r="E104" s="3" t="inlineStr">
        <is>
          <t>S. Gupta</t>
        </is>
      </c>
      <c r="F104" s="3" t="inlineStr">
        <is>
          <t>Vehicle</t>
        </is>
      </c>
      <c r="G104" s="4" t="n">
        <v>46117</v>
      </c>
      <c r="H104" s="5" t="n">
        <v>24167</v>
      </c>
    </row>
    <row r="105">
      <c r="A105" s="3" t="inlineStr">
        <is>
          <t>D0104</t>
        </is>
      </c>
      <c r="B105" s="3" t="inlineStr">
        <is>
          <t>A0018</t>
        </is>
      </c>
      <c r="C105" s="3" t="inlineStr">
        <is>
          <t>Manoj Tiwari</t>
        </is>
      </c>
      <c r="D105" s="3" t="inlineStr">
        <is>
          <t>Bhagalpur</t>
        </is>
      </c>
      <c r="E105" s="3" t="inlineStr">
        <is>
          <t>S. Gupta</t>
        </is>
      </c>
      <c r="F105" s="3" t="inlineStr">
        <is>
          <t>Vehicle</t>
        </is>
      </c>
      <c r="G105" s="4" t="n">
        <v>46147</v>
      </c>
      <c r="H105" s="5" t="n">
        <v>24167</v>
      </c>
    </row>
    <row r="106">
      <c r="A106" s="3" t="inlineStr">
        <is>
          <t>D0105</t>
        </is>
      </c>
      <c r="B106" s="3" t="inlineStr">
        <is>
          <t>A0018</t>
        </is>
      </c>
      <c r="C106" s="3" t="inlineStr">
        <is>
          <t>Manoj Tiwari</t>
        </is>
      </c>
      <c r="D106" s="3" t="inlineStr">
        <is>
          <t>Bhagalpur</t>
        </is>
      </c>
      <c r="E106" s="3" t="inlineStr">
        <is>
          <t>S. Gupta</t>
        </is>
      </c>
      <c r="F106" s="3" t="inlineStr">
        <is>
          <t>Vehicle</t>
        </is>
      </c>
      <c r="G106" s="4" t="n">
        <v>46178</v>
      </c>
      <c r="H106" s="5" t="n">
        <v>24167</v>
      </c>
    </row>
    <row r="107">
      <c r="A107" s="3" t="inlineStr">
        <is>
          <t>D0106</t>
        </is>
      </c>
      <c r="B107" s="3" t="inlineStr">
        <is>
          <t>A0018</t>
        </is>
      </c>
      <c r="C107" s="3" t="inlineStr">
        <is>
          <t>Manoj Tiwari</t>
        </is>
      </c>
      <c r="D107" s="3" t="inlineStr">
        <is>
          <t>Bhagalpur</t>
        </is>
      </c>
      <c r="E107" s="3" t="inlineStr">
        <is>
          <t>S. Gupta</t>
        </is>
      </c>
      <c r="F107" s="3" t="inlineStr">
        <is>
          <t>Vehicle</t>
        </is>
      </c>
      <c r="G107" s="4" t="n">
        <v>46208</v>
      </c>
      <c r="H107" s="5" t="n">
        <v>24167</v>
      </c>
    </row>
    <row r="108">
      <c r="A108" s="3" t="inlineStr">
        <is>
          <t>D0107</t>
        </is>
      </c>
      <c r="B108" s="3" t="inlineStr">
        <is>
          <t>A0018</t>
        </is>
      </c>
      <c r="C108" s="3" t="inlineStr">
        <is>
          <t>Manoj Tiwari</t>
        </is>
      </c>
      <c r="D108" s="3" t="inlineStr">
        <is>
          <t>Bhagalpur</t>
        </is>
      </c>
      <c r="E108" s="3" t="inlineStr">
        <is>
          <t>S. Gupta</t>
        </is>
      </c>
      <c r="F108" s="3" t="inlineStr">
        <is>
          <t>Vehicle</t>
        </is>
      </c>
      <c r="G108" s="4" t="n">
        <v>46239</v>
      </c>
      <c r="H108" s="5" t="n">
        <v>24167</v>
      </c>
    </row>
    <row r="109">
      <c r="A109" s="3" t="inlineStr">
        <is>
          <t>D0108</t>
        </is>
      </c>
      <c r="B109" s="3" t="inlineStr">
        <is>
          <t>A0018</t>
        </is>
      </c>
      <c r="C109" s="3" t="inlineStr">
        <is>
          <t>Manoj Tiwari</t>
        </is>
      </c>
      <c r="D109" s="3" t="inlineStr">
        <is>
          <t>Bhagalpur</t>
        </is>
      </c>
      <c r="E109" s="3" t="inlineStr">
        <is>
          <t>S. Gupta</t>
        </is>
      </c>
      <c r="F109" s="3" t="inlineStr">
        <is>
          <t>Vehicle</t>
        </is>
      </c>
      <c r="G109" s="4" t="n">
        <v>46270</v>
      </c>
      <c r="H109" s="5" t="n">
        <v>24167</v>
      </c>
    </row>
    <row r="110">
      <c r="A110" s="3" t="inlineStr">
        <is>
          <t>D0109</t>
        </is>
      </c>
      <c r="B110" s="3" t="inlineStr">
        <is>
          <t>A0019</t>
        </is>
      </c>
      <c r="C110" s="3" t="inlineStr">
        <is>
          <t>Mohan Sharma</t>
        </is>
      </c>
      <c r="D110" s="3" t="inlineStr">
        <is>
          <t>Gaya</t>
        </is>
      </c>
      <c r="E110" s="3" t="inlineStr">
        <is>
          <t>A. Verma</t>
        </is>
      </c>
      <c r="F110" s="3" t="inlineStr">
        <is>
          <t>Housing</t>
        </is>
      </c>
      <c r="G110" s="4" t="n">
        <v>46117</v>
      </c>
      <c r="H110" s="5" t="n">
        <v>18333</v>
      </c>
    </row>
    <row r="111">
      <c r="A111" s="3" t="inlineStr">
        <is>
          <t>D0110</t>
        </is>
      </c>
      <c r="B111" s="3" t="inlineStr">
        <is>
          <t>A0019</t>
        </is>
      </c>
      <c r="C111" s="3" t="inlineStr">
        <is>
          <t>Mohan Sharma</t>
        </is>
      </c>
      <c r="D111" s="3" t="inlineStr">
        <is>
          <t>Gaya</t>
        </is>
      </c>
      <c r="E111" s="3" t="inlineStr">
        <is>
          <t>A. Verma</t>
        </is>
      </c>
      <c r="F111" s="3" t="inlineStr">
        <is>
          <t>Housing</t>
        </is>
      </c>
      <c r="G111" s="4" t="n">
        <v>46147</v>
      </c>
      <c r="H111" s="5" t="n">
        <v>18333</v>
      </c>
    </row>
    <row r="112">
      <c r="A112" s="3" t="inlineStr">
        <is>
          <t>D0111</t>
        </is>
      </c>
      <c r="B112" s="3" t="inlineStr">
        <is>
          <t>A0019</t>
        </is>
      </c>
      <c r="C112" s="3" t="inlineStr">
        <is>
          <t>Mohan Sharma</t>
        </is>
      </c>
      <c r="D112" s="3" t="inlineStr">
        <is>
          <t>Gaya</t>
        </is>
      </c>
      <c r="E112" s="3" t="inlineStr">
        <is>
          <t>A. Verma</t>
        </is>
      </c>
      <c r="F112" s="3" t="inlineStr">
        <is>
          <t>Housing</t>
        </is>
      </c>
      <c r="G112" s="4" t="n">
        <v>46178</v>
      </c>
      <c r="H112" s="5" t="n">
        <v>18333</v>
      </c>
    </row>
    <row r="113">
      <c r="A113" s="3" t="inlineStr">
        <is>
          <t>D0112</t>
        </is>
      </c>
      <c r="B113" s="3" t="inlineStr">
        <is>
          <t>A0019</t>
        </is>
      </c>
      <c r="C113" s="3" t="inlineStr">
        <is>
          <t>Mohan Sharma</t>
        </is>
      </c>
      <c r="D113" s="3" t="inlineStr">
        <is>
          <t>Gaya</t>
        </is>
      </c>
      <c r="E113" s="3" t="inlineStr">
        <is>
          <t>A. Verma</t>
        </is>
      </c>
      <c r="F113" s="3" t="inlineStr">
        <is>
          <t>Housing</t>
        </is>
      </c>
      <c r="G113" s="4" t="n">
        <v>46208</v>
      </c>
      <c r="H113" s="5" t="n">
        <v>18333</v>
      </c>
    </row>
    <row r="114">
      <c r="A114" s="3" t="inlineStr">
        <is>
          <t>D0113</t>
        </is>
      </c>
      <c r="B114" s="3" t="inlineStr">
        <is>
          <t>A0019</t>
        </is>
      </c>
      <c r="C114" s="3" t="inlineStr">
        <is>
          <t>Mohan Sharma</t>
        </is>
      </c>
      <c r="D114" s="3" t="inlineStr">
        <is>
          <t>Gaya</t>
        </is>
      </c>
      <c r="E114" s="3" t="inlineStr">
        <is>
          <t>A. Verma</t>
        </is>
      </c>
      <c r="F114" s="3" t="inlineStr">
        <is>
          <t>Housing</t>
        </is>
      </c>
      <c r="G114" s="4" t="n">
        <v>46239</v>
      </c>
      <c r="H114" s="5" t="n">
        <v>18333</v>
      </c>
    </row>
    <row r="115">
      <c r="A115" s="3" t="inlineStr">
        <is>
          <t>D0114</t>
        </is>
      </c>
      <c r="B115" s="3" t="inlineStr">
        <is>
          <t>A0019</t>
        </is>
      </c>
      <c r="C115" s="3" t="inlineStr">
        <is>
          <t>Mohan Sharma</t>
        </is>
      </c>
      <c r="D115" s="3" t="inlineStr">
        <is>
          <t>Gaya</t>
        </is>
      </c>
      <c r="E115" s="3" t="inlineStr">
        <is>
          <t>A. Verma</t>
        </is>
      </c>
      <c r="F115" s="3" t="inlineStr">
        <is>
          <t>Housing</t>
        </is>
      </c>
      <c r="G115" s="4" t="n">
        <v>46270</v>
      </c>
      <c r="H115" s="5" t="n">
        <v>18333</v>
      </c>
    </row>
    <row r="116">
      <c r="A116" s="3" t="inlineStr">
        <is>
          <t>D0115</t>
        </is>
      </c>
      <c r="B116" s="3" t="inlineStr">
        <is>
          <t>A0020</t>
        </is>
      </c>
      <c r="C116" s="3" t="inlineStr">
        <is>
          <t>Mohan Sah</t>
        </is>
      </c>
      <c r="D116" s="3" t="inlineStr">
        <is>
          <t>Muzaffarpur</t>
        </is>
      </c>
      <c r="E116" s="3" t="inlineStr">
        <is>
          <t>R. Singh</t>
        </is>
      </c>
      <c r="F116" s="3" t="inlineStr">
        <is>
          <t>Personal</t>
        </is>
      </c>
      <c r="G116" s="4" t="n">
        <v>46117</v>
      </c>
      <c r="H116" s="5" t="n">
        <v>25167</v>
      </c>
    </row>
    <row r="117">
      <c r="A117" s="3" t="inlineStr">
        <is>
          <t>D0116</t>
        </is>
      </c>
      <c r="B117" s="3" t="inlineStr">
        <is>
          <t>A0020</t>
        </is>
      </c>
      <c r="C117" s="3" t="inlineStr">
        <is>
          <t>Mohan Sah</t>
        </is>
      </c>
      <c r="D117" s="3" t="inlineStr">
        <is>
          <t>Muzaffarpur</t>
        </is>
      </c>
      <c r="E117" s="3" t="inlineStr">
        <is>
          <t>R. Singh</t>
        </is>
      </c>
      <c r="F117" s="3" t="inlineStr">
        <is>
          <t>Personal</t>
        </is>
      </c>
      <c r="G117" s="4" t="n">
        <v>46147</v>
      </c>
      <c r="H117" s="5" t="n">
        <v>25167</v>
      </c>
    </row>
    <row r="118">
      <c r="A118" s="3" t="inlineStr">
        <is>
          <t>D0117</t>
        </is>
      </c>
      <c r="B118" s="3" t="inlineStr">
        <is>
          <t>A0020</t>
        </is>
      </c>
      <c r="C118" s="3" t="inlineStr">
        <is>
          <t>Mohan Sah</t>
        </is>
      </c>
      <c r="D118" s="3" t="inlineStr">
        <is>
          <t>Muzaffarpur</t>
        </is>
      </c>
      <c r="E118" s="3" t="inlineStr">
        <is>
          <t>R. Singh</t>
        </is>
      </c>
      <c r="F118" s="3" t="inlineStr">
        <is>
          <t>Personal</t>
        </is>
      </c>
      <c r="G118" s="4" t="n">
        <v>46178</v>
      </c>
      <c r="H118" s="5" t="n">
        <v>25167</v>
      </c>
    </row>
    <row r="119">
      <c r="A119" s="3" t="inlineStr">
        <is>
          <t>D0118</t>
        </is>
      </c>
      <c r="B119" s="3" t="inlineStr">
        <is>
          <t>A0020</t>
        </is>
      </c>
      <c r="C119" s="3" t="inlineStr">
        <is>
          <t>Mohan Sah</t>
        </is>
      </c>
      <c r="D119" s="3" t="inlineStr">
        <is>
          <t>Muzaffarpur</t>
        </is>
      </c>
      <c r="E119" s="3" t="inlineStr">
        <is>
          <t>R. Singh</t>
        </is>
      </c>
      <c r="F119" s="3" t="inlineStr">
        <is>
          <t>Personal</t>
        </is>
      </c>
      <c r="G119" s="4" t="n">
        <v>46208</v>
      </c>
      <c r="H119" s="5" t="n">
        <v>25167</v>
      </c>
    </row>
    <row r="120">
      <c r="A120" s="3" t="inlineStr">
        <is>
          <t>D0119</t>
        </is>
      </c>
      <c r="B120" s="3" t="inlineStr">
        <is>
          <t>A0020</t>
        </is>
      </c>
      <c r="C120" s="3" t="inlineStr">
        <is>
          <t>Mohan Sah</t>
        </is>
      </c>
      <c r="D120" s="3" t="inlineStr">
        <is>
          <t>Muzaffarpur</t>
        </is>
      </c>
      <c r="E120" s="3" t="inlineStr">
        <is>
          <t>R. Singh</t>
        </is>
      </c>
      <c r="F120" s="3" t="inlineStr">
        <is>
          <t>Personal</t>
        </is>
      </c>
      <c r="G120" s="4" t="n">
        <v>46239</v>
      </c>
      <c r="H120" s="5" t="n">
        <v>25167</v>
      </c>
    </row>
    <row r="121">
      <c r="A121" s="3" t="inlineStr">
        <is>
          <t>D0120</t>
        </is>
      </c>
      <c r="B121" s="3" t="inlineStr">
        <is>
          <t>A0020</t>
        </is>
      </c>
      <c r="C121" s="3" t="inlineStr">
        <is>
          <t>Mohan Sah</t>
        </is>
      </c>
      <c r="D121" s="3" t="inlineStr">
        <is>
          <t>Muzaffarpur</t>
        </is>
      </c>
      <c r="E121" s="3" t="inlineStr">
        <is>
          <t>R. Singh</t>
        </is>
      </c>
      <c r="F121" s="3" t="inlineStr">
        <is>
          <t>Personal</t>
        </is>
      </c>
      <c r="G121" s="4" t="n">
        <v>46270</v>
      </c>
      <c r="H121" s="5" t="n">
        <v>25167</v>
      </c>
    </row>
    <row r="122">
      <c r="A122" s="3" t="inlineStr">
        <is>
          <t>D0121</t>
        </is>
      </c>
      <c r="B122" s="3" t="inlineStr">
        <is>
          <t>A0021</t>
        </is>
      </c>
      <c r="C122" s="3" t="inlineStr">
        <is>
          <t>Vikash Sah</t>
        </is>
      </c>
      <c r="D122" s="3" t="inlineStr">
        <is>
          <t>Muzaffarpur</t>
        </is>
      </c>
      <c r="E122" s="3" t="inlineStr">
        <is>
          <t>S. Gupta</t>
        </is>
      </c>
      <c r="F122" s="3" t="inlineStr">
        <is>
          <t>Agri</t>
        </is>
      </c>
      <c r="G122" s="4" t="n">
        <v>46117</v>
      </c>
      <c r="H122" s="5" t="n">
        <v>18500</v>
      </c>
    </row>
    <row r="123">
      <c r="A123" s="3" t="inlineStr">
        <is>
          <t>D0122</t>
        </is>
      </c>
      <c r="B123" s="3" t="inlineStr">
        <is>
          <t>A0021</t>
        </is>
      </c>
      <c r="C123" s="3" t="inlineStr">
        <is>
          <t>Vikash Sah</t>
        </is>
      </c>
      <c r="D123" s="3" t="inlineStr">
        <is>
          <t>Muzaffarpur</t>
        </is>
      </c>
      <c r="E123" s="3" t="inlineStr">
        <is>
          <t>S. Gupta</t>
        </is>
      </c>
      <c r="F123" s="3" t="inlineStr">
        <is>
          <t>Agri</t>
        </is>
      </c>
      <c r="G123" s="4" t="n">
        <v>46147</v>
      </c>
      <c r="H123" s="5" t="n">
        <v>18500</v>
      </c>
    </row>
    <row r="124">
      <c r="A124" s="3" t="inlineStr">
        <is>
          <t>D0123</t>
        </is>
      </c>
      <c r="B124" s="3" t="inlineStr">
        <is>
          <t>A0021</t>
        </is>
      </c>
      <c r="C124" s="3" t="inlineStr">
        <is>
          <t>Vikash Sah</t>
        </is>
      </c>
      <c r="D124" s="3" t="inlineStr">
        <is>
          <t>Muzaffarpur</t>
        </is>
      </c>
      <c r="E124" s="3" t="inlineStr">
        <is>
          <t>S. Gupta</t>
        </is>
      </c>
      <c r="F124" s="3" t="inlineStr">
        <is>
          <t>Agri</t>
        </is>
      </c>
      <c r="G124" s="4" t="n">
        <v>46178</v>
      </c>
      <c r="H124" s="5" t="n">
        <v>18500</v>
      </c>
    </row>
    <row r="125">
      <c r="A125" s="3" t="inlineStr">
        <is>
          <t>D0124</t>
        </is>
      </c>
      <c r="B125" s="3" t="inlineStr">
        <is>
          <t>A0021</t>
        </is>
      </c>
      <c r="C125" s="3" t="inlineStr">
        <is>
          <t>Vikash Sah</t>
        </is>
      </c>
      <c r="D125" s="3" t="inlineStr">
        <is>
          <t>Muzaffarpur</t>
        </is>
      </c>
      <c r="E125" s="3" t="inlineStr">
        <is>
          <t>S. Gupta</t>
        </is>
      </c>
      <c r="F125" s="3" t="inlineStr">
        <is>
          <t>Agri</t>
        </is>
      </c>
      <c r="G125" s="4" t="n">
        <v>46208</v>
      </c>
      <c r="H125" s="5" t="n">
        <v>18500</v>
      </c>
    </row>
    <row r="126">
      <c r="A126" s="3" t="inlineStr">
        <is>
          <t>D0125</t>
        </is>
      </c>
      <c r="B126" s="3" t="inlineStr">
        <is>
          <t>A0021</t>
        </is>
      </c>
      <c r="C126" s="3" t="inlineStr">
        <is>
          <t>Vikash Sah</t>
        </is>
      </c>
      <c r="D126" s="3" t="inlineStr">
        <is>
          <t>Muzaffarpur</t>
        </is>
      </c>
      <c r="E126" s="3" t="inlineStr">
        <is>
          <t>S. Gupta</t>
        </is>
      </c>
      <c r="F126" s="3" t="inlineStr">
        <is>
          <t>Agri</t>
        </is>
      </c>
      <c r="G126" s="4" t="n">
        <v>46239</v>
      </c>
      <c r="H126" s="5" t="n">
        <v>18500</v>
      </c>
    </row>
    <row r="127">
      <c r="A127" s="3" t="inlineStr">
        <is>
          <t>D0126</t>
        </is>
      </c>
      <c r="B127" s="3" t="inlineStr">
        <is>
          <t>A0021</t>
        </is>
      </c>
      <c r="C127" s="3" t="inlineStr">
        <is>
          <t>Vikash Sah</t>
        </is>
      </c>
      <c r="D127" s="3" t="inlineStr">
        <is>
          <t>Muzaffarpur</t>
        </is>
      </c>
      <c r="E127" s="3" t="inlineStr">
        <is>
          <t>S. Gupta</t>
        </is>
      </c>
      <c r="F127" s="3" t="inlineStr">
        <is>
          <t>Agri</t>
        </is>
      </c>
      <c r="G127" s="4" t="n">
        <v>46270</v>
      </c>
      <c r="H127" s="5" t="n">
        <v>18500</v>
      </c>
    </row>
    <row r="128">
      <c r="A128" s="3" t="inlineStr">
        <is>
          <t>D0127</t>
        </is>
      </c>
      <c r="B128" s="3" t="inlineStr">
        <is>
          <t>A0022</t>
        </is>
      </c>
      <c r="C128" s="3" t="inlineStr">
        <is>
          <t>Anita Chaudhary</t>
        </is>
      </c>
      <c r="D128" s="3" t="inlineStr">
        <is>
          <t>Gaya</t>
        </is>
      </c>
      <c r="E128" s="3" t="inlineStr">
        <is>
          <t>P. Yadav</t>
        </is>
      </c>
      <c r="F128" s="3" t="inlineStr">
        <is>
          <t>Personal</t>
        </is>
      </c>
      <c r="G128" s="4" t="n">
        <v>46117</v>
      </c>
      <c r="H128" s="5" t="n">
        <v>25167</v>
      </c>
    </row>
    <row r="129">
      <c r="A129" s="3" t="inlineStr">
        <is>
          <t>D0128</t>
        </is>
      </c>
      <c r="B129" s="3" t="inlineStr">
        <is>
          <t>A0022</t>
        </is>
      </c>
      <c r="C129" s="3" t="inlineStr">
        <is>
          <t>Anita Chaudhary</t>
        </is>
      </c>
      <c r="D129" s="3" t="inlineStr">
        <is>
          <t>Gaya</t>
        </is>
      </c>
      <c r="E129" s="3" t="inlineStr">
        <is>
          <t>P. Yadav</t>
        </is>
      </c>
      <c r="F129" s="3" t="inlineStr">
        <is>
          <t>Personal</t>
        </is>
      </c>
      <c r="G129" s="4" t="n">
        <v>46147</v>
      </c>
      <c r="H129" s="5" t="n">
        <v>25167</v>
      </c>
    </row>
    <row r="130">
      <c r="A130" s="3" t="inlineStr">
        <is>
          <t>D0129</t>
        </is>
      </c>
      <c r="B130" s="3" t="inlineStr">
        <is>
          <t>A0022</t>
        </is>
      </c>
      <c r="C130" s="3" t="inlineStr">
        <is>
          <t>Anita Chaudhary</t>
        </is>
      </c>
      <c r="D130" s="3" t="inlineStr">
        <is>
          <t>Gaya</t>
        </is>
      </c>
      <c r="E130" s="3" t="inlineStr">
        <is>
          <t>P. Yadav</t>
        </is>
      </c>
      <c r="F130" s="3" t="inlineStr">
        <is>
          <t>Personal</t>
        </is>
      </c>
      <c r="G130" s="4" t="n">
        <v>46178</v>
      </c>
      <c r="H130" s="5" t="n">
        <v>25167</v>
      </c>
    </row>
    <row r="131">
      <c r="A131" s="3" t="inlineStr">
        <is>
          <t>D0130</t>
        </is>
      </c>
      <c r="B131" s="3" t="inlineStr">
        <is>
          <t>A0022</t>
        </is>
      </c>
      <c r="C131" s="3" t="inlineStr">
        <is>
          <t>Anita Chaudhary</t>
        </is>
      </c>
      <c r="D131" s="3" t="inlineStr">
        <is>
          <t>Gaya</t>
        </is>
      </c>
      <c r="E131" s="3" t="inlineStr">
        <is>
          <t>P. Yadav</t>
        </is>
      </c>
      <c r="F131" s="3" t="inlineStr">
        <is>
          <t>Personal</t>
        </is>
      </c>
      <c r="G131" s="4" t="n">
        <v>46208</v>
      </c>
      <c r="H131" s="5" t="n">
        <v>25167</v>
      </c>
    </row>
    <row r="132">
      <c r="A132" s="3" t="inlineStr">
        <is>
          <t>D0131</t>
        </is>
      </c>
      <c r="B132" s="3" t="inlineStr">
        <is>
          <t>A0022</t>
        </is>
      </c>
      <c r="C132" s="3" t="inlineStr">
        <is>
          <t>Anita Chaudhary</t>
        </is>
      </c>
      <c r="D132" s="3" t="inlineStr">
        <is>
          <t>Gaya</t>
        </is>
      </c>
      <c r="E132" s="3" t="inlineStr">
        <is>
          <t>P. Yadav</t>
        </is>
      </c>
      <c r="F132" s="3" t="inlineStr">
        <is>
          <t>Personal</t>
        </is>
      </c>
      <c r="G132" s="4" t="n">
        <v>46239</v>
      </c>
      <c r="H132" s="5" t="n">
        <v>25167</v>
      </c>
    </row>
    <row r="133">
      <c r="A133" s="3" t="inlineStr">
        <is>
          <t>D0132</t>
        </is>
      </c>
      <c r="B133" s="3" t="inlineStr">
        <is>
          <t>A0022</t>
        </is>
      </c>
      <c r="C133" s="3" t="inlineStr">
        <is>
          <t>Anita Chaudhary</t>
        </is>
      </c>
      <c r="D133" s="3" t="inlineStr">
        <is>
          <t>Gaya</t>
        </is>
      </c>
      <c r="E133" s="3" t="inlineStr">
        <is>
          <t>P. Yadav</t>
        </is>
      </c>
      <c r="F133" s="3" t="inlineStr">
        <is>
          <t>Personal</t>
        </is>
      </c>
      <c r="G133" s="4" t="n">
        <v>46270</v>
      </c>
      <c r="H133" s="5" t="n">
        <v>25167</v>
      </c>
    </row>
    <row r="134">
      <c r="A134" s="3" t="inlineStr">
        <is>
          <t>D0133</t>
        </is>
      </c>
      <c r="B134" s="3" t="inlineStr">
        <is>
          <t>A0023</t>
        </is>
      </c>
      <c r="C134" s="3" t="inlineStr">
        <is>
          <t>Rina Sharma</t>
        </is>
      </c>
      <c r="D134" s="3" t="inlineStr">
        <is>
          <t>Darbhanga</t>
        </is>
      </c>
      <c r="E134" s="3" t="inlineStr">
        <is>
          <t>K. Sharma</t>
        </is>
      </c>
      <c r="F134" s="3" t="inlineStr">
        <is>
          <t>Trade</t>
        </is>
      </c>
      <c r="G134" s="4" t="n">
        <v>46117</v>
      </c>
      <c r="H134" s="5" t="n">
        <v>4000</v>
      </c>
    </row>
    <row r="135">
      <c r="A135" s="3" t="inlineStr">
        <is>
          <t>D0134</t>
        </is>
      </c>
      <c r="B135" s="3" t="inlineStr">
        <is>
          <t>A0023</t>
        </is>
      </c>
      <c r="C135" s="3" t="inlineStr">
        <is>
          <t>Rina Sharma</t>
        </is>
      </c>
      <c r="D135" s="3" t="inlineStr">
        <is>
          <t>Darbhanga</t>
        </is>
      </c>
      <c r="E135" s="3" t="inlineStr">
        <is>
          <t>K. Sharma</t>
        </is>
      </c>
      <c r="F135" s="3" t="inlineStr">
        <is>
          <t>Trade</t>
        </is>
      </c>
      <c r="G135" s="4" t="n">
        <v>46147</v>
      </c>
      <c r="H135" s="5" t="n">
        <v>4000</v>
      </c>
    </row>
    <row r="136">
      <c r="A136" s="3" t="inlineStr">
        <is>
          <t>D0135</t>
        </is>
      </c>
      <c r="B136" s="3" t="inlineStr">
        <is>
          <t>A0023</t>
        </is>
      </c>
      <c r="C136" s="3" t="inlineStr">
        <is>
          <t>Rina Sharma</t>
        </is>
      </c>
      <c r="D136" s="3" t="inlineStr">
        <is>
          <t>Darbhanga</t>
        </is>
      </c>
      <c r="E136" s="3" t="inlineStr">
        <is>
          <t>K. Sharma</t>
        </is>
      </c>
      <c r="F136" s="3" t="inlineStr">
        <is>
          <t>Trade</t>
        </is>
      </c>
      <c r="G136" s="4" t="n">
        <v>46178</v>
      </c>
      <c r="H136" s="5" t="n">
        <v>4000</v>
      </c>
    </row>
    <row r="137">
      <c r="A137" s="3" t="inlineStr">
        <is>
          <t>D0136</t>
        </is>
      </c>
      <c r="B137" s="3" t="inlineStr">
        <is>
          <t>A0023</t>
        </is>
      </c>
      <c r="C137" s="3" t="inlineStr">
        <is>
          <t>Rina Sharma</t>
        </is>
      </c>
      <c r="D137" s="3" t="inlineStr">
        <is>
          <t>Darbhanga</t>
        </is>
      </c>
      <c r="E137" s="3" t="inlineStr">
        <is>
          <t>K. Sharma</t>
        </is>
      </c>
      <c r="F137" s="3" t="inlineStr">
        <is>
          <t>Trade</t>
        </is>
      </c>
      <c r="G137" s="4" t="n">
        <v>46208</v>
      </c>
      <c r="H137" s="5" t="n">
        <v>4000</v>
      </c>
    </row>
    <row r="138">
      <c r="A138" s="3" t="inlineStr">
        <is>
          <t>D0137</t>
        </is>
      </c>
      <c r="B138" s="3" t="inlineStr">
        <is>
          <t>A0023</t>
        </is>
      </c>
      <c r="C138" s="3" t="inlineStr">
        <is>
          <t>Rina Sharma</t>
        </is>
      </c>
      <c r="D138" s="3" t="inlineStr">
        <is>
          <t>Darbhanga</t>
        </is>
      </c>
      <c r="E138" s="3" t="inlineStr">
        <is>
          <t>K. Sharma</t>
        </is>
      </c>
      <c r="F138" s="3" t="inlineStr">
        <is>
          <t>Trade</t>
        </is>
      </c>
      <c r="G138" s="4" t="n">
        <v>46239</v>
      </c>
      <c r="H138" s="5" t="n">
        <v>4000</v>
      </c>
    </row>
    <row r="139">
      <c r="A139" s="3" t="inlineStr">
        <is>
          <t>D0138</t>
        </is>
      </c>
      <c r="B139" s="3" t="inlineStr">
        <is>
          <t>A0023</t>
        </is>
      </c>
      <c r="C139" s="3" t="inlineStr">
        <is>
          <t>Rina Sharma</t>
        </is>
      </c>
      <c r="D139" s="3" t="inlineStr">
        <is>
          <t>Darbhanga</t>
        </is>
      </c>
      <c r="E139" s="3" t="inlineStr">
        <is>
          <t>K. Sharma</t>
        </is>
      </c>
      <c r="F139" s="3" t="inlineStr">
        <is>
          <t>Trade</t>
        </is>
      </c>
      <c r="G139" s="4" t="n">
        <v>46270</v>
      </c>
      <c r="H139" s="5" t="n">
        <v>4000</v>
      </c>
    </row>
    <row r="140">
      <c r="A140" s="3" t="inlineStr">
        <is>
          <t>D0139</t>
        </is>
      </c>
      <c r="B140" s="3" t="inlineStr">
        <is>
          <t>A0024</t>
        </is>
      </c>
      <c r="C140" s="3" t="inlineStr">
        <is>
          <t>Bablu Gupta</t>
        </is>
      </c>
      <c r="D140" s="3" t="inlineStr">
        <is>
          <t>Patna</t>
        </is>
      </c>
      <c r="E140" s="3" t="inlineStr">
        <is>
          <t>R. Singh</t>
        </is>
      </c>
      <c r="F140" s="3" t="inlineStr">
        <is>
          <t>Agri</t>
        </is>
      </c>
      <c r="G140" s="4" t="n">
        <v>46117</v>
      </c>
      <c r="H140" s="5" t="n">
        <v>28333</v>
      </c>
    </row>
    <row r="141">
      <c r="A141" s="3" t="inlineStr">
        <is>
          <t>D0140</t>
        </is>
      </c>
      <c r="B141" s="3" t="inlineStr">
        <is>
          <t>A0024</t>
        </is>
      </c>
      <c r="C141" s="3" t="inlineStr">
        <is>
          <t>Bablu Gupta</t>
        </is>
      </c>
      <c r="D141" s="3" t="inlineStr">
        <is>
          <t>Patna</t>
        </is>
      </c>
      <c r="E141" s="3" t="inlineStr">
        <is>
          <t>R. Singh</t>
        </is>
      </c>
      <c r="F141" s="3" t="inlineStr">
        <is>
          <t>Agri</t>
        </is>
      </c>
      <c r="G141" s="4" t="n">
        <v>46147</v>
      </c>
      <c r="H141" s="5" t="n">
        <v>28333</v>
      </c>
    </row>
    <row r="142">
      <c r="A142" s="3" t="inlineStr">
        <is>
          <t>D0141</t>
        </is>
      </c>
      <c r="B142" s="3" t="inlineStr">
        <is>
          <t>A0024</t>
        </is>
      </c>
      <c r="C142" s="3" t="inlineStr">
        <is>
          <t>Bablu Gupta</t>
        </is>
      </c>
      <c r="D142" s="3" t="inlineStr">
        <is>
          <t>Patna</t>
        </is>
      </c>
      <c r="E142" s="3" t="inlineStr">
        <is>
          <t>R. Singh</t>
        </is>
      </c>
      <c r="F142" s="3" t="inlineStr">
        <is>
          <t>Agri</t>
        </is>
      </c>
      <c r="G142" s="4" t="n">
        <v>46178</v>
      </c>
      <c r="H142" s="5" t="n">
        <v>28333</v>
      </c>
    </row>
    <row r="143">
      <c r="A143" s="3" t="inlineStr">
        <is>
          <t>D0142</t>
        </is>
      </c>
      <c r="B143" s="3" t="inlineStr">
        <is>
          <t>A0024</t>
        </is>
      </c>
      <c r="C143" s="3" t="inlineStr">
        <is>
          <t>Bablu Gupta</t>
        </is>
      </c>
      <c r="D143" s="3" t="inlineStr">
        <is>
          <t>Patna</t>
        </is>
      </c>
      <c r="E143" s="3" t="inlineStr">
        <is>
          <t>R. Singh</t>
        </is>
      </c>
      <c r="F143" s="3" t="inlineStr">
        <is>
          <t>Agri</t>
        </is>
      </c>
      <c r="G143" s="4" t="n">
        <v>46208</v>
      </c>
      <c r="H143" s="5" t="n">
        <v>28333</v>
      </c>
    </row>
    <row r="144">
      <c r="A144" s="3" t="inlineStr">
        <is>
          <t>D0143</t>
        </is>
      </c>
      <c r="B144" s="3" t="inlineStr">
        <is>
          <t>A0024</t>
        </is>
      </c>
      <c r="C144" s="3" t="inlineStr">
        <is>
          <t>Bablu Gupta</t>
        </is>
      </c>
      <c r="D144" s="3" t="inlineStr">
        <is>
          <t>Patna</t>
        </is>
      </c>
      <c r="E144" s="3" t="inlineStr">
        <is>
          <t>R. Singh</t>
        </is>
      </c>
      <c r="F144" s="3" t="inlineStr">
        <is>
          <t>Agri</t>
        </is>
      </c>
      <c r="G144" s="4" t="n">
        <v>46239</v>
      </c>
      <c r="H144" s="5" t="n">
        <v>28333</v>
      </c>
    </row>
    <row r="145">
      <c r="A145" s="3" t="inlineStr">
        <is>
          <t>D0144</t>
        </is>
      </c>
      <c r="B145" s="3" t="inlineStr">
        <is>
          <t>A0024</t>
        </is>
      </c>
      <c r="C145" s="3" t="inlineStr">
        <is>
          <t>Bablu Gupta</t>
        </is>
      </c>
      <c r="D145" s="3" t="inlineStr">
        <is>
          <t>Patna</t>
        </is>
      </c>
      <c r="E145" s="3" t="inlineStr">
        <is>
          <t>R. Singh</t>
        </is>
      </c>
      <c r="F145" s="3" t="inlineStr">
        <is>
          <t>Agri</t>
        </is>
      </c>
      <c r="G145" s="4" t="n">
        <v>46270</v>
      </c>
      <c r="H145" s="5" t="n">
        <v>28333</v>
      </c>
    </row>
    <row r="146">
      <c r="A146" s="3" t="inlineStr">
        <is>
          <t>D0145</t>
        </is>
      </c>
      <c r="B146" s="3" t="inlineStr">
        <is>
          <t>A0025</t>
        </is>
      </c>
      <c r="C146" s="3" t="inlineStr">
        <is>
          <t>Amit Gupta</t>
        </is>
      </c>
      <c r="D146" s="3" t="inlineStr">
        <is>
          <t>Patna</t>
        </is>
      </c>
      <c r="E146" s="3" t="inlineStr">
        <is>
          <t>S. Gupta</t>
        </is>
      </c>
      <c r="F146" s="3" t="inlineStr">
        <is>
          <t>Vehicle</t>
        </is>
      </c>
      <c r="G146" s="4" t="n">
        <v>46117</v>
      </c>
      <c r="H146" s="5" t="n">
        <v>4333</v>
      </c>
    </row>
    <row r="147">
      <c r="A147" s="3" t="inlineStr">
        <is>
          <t>D0146</t>
        </is>
      </c>
      <c r="B147" s="3" t="inlineStr">
        <is>
          <t>A0025</t>
        </is>
      </c>
      <c r="C147" s="3" t="inlineStr">
        <is>
          <t>Amit Gupta</t>
        </is>
      </c>
      <c r="D147" s="3" t="inlineStr">
        <is>
          <t>Patna</t>
        </is>
      </c>
      <c r="E147" s="3" t="inlineStr">
        <is>
          <t>S. Gupta</t>
        </is>
      </c>
      <c r="F147" s="3" t="inlineStr">
        <is>
          <t>Vehicle</t>
        </is>
      </c>
      <c r="G147" s="4" t="n">
        <v>46147</v>
      </c>
      <c r="H147" s="5" t="n">
        <v>4333</v>
      </c>
    </row>
    <row r="148">
      <c r="A148" s="3" t="inlineStr">
        <is>
          <t>D0147</t>
        </is>
      </c>
      <c r="B148" s="3" t="inlineStr">
        <is>
          <t>A0025</t>
        </is>
      </c>
      <c r="C148" s="3" t="inlineStr">
        <is>
          <t>Amit Gupta</t>
        </is>
      </c>
      <c r="D148" s="3" t="inlineStr">
        <is>
          <t>Patna</t>
        </is>
      </c>
      <c r="E148" s="3" t="inlineStr">
        <is>
          <t>S. Gupta</t>
        </is>
      </c>
      <c r="F148" s="3" t="inlineStr">
        <is>
          <t>Vehicle</t>
        </is>
      </c>
      <c r="G148" s="4" t="n">
        <v>46178</v>
      </c>
      <c r="H148" s="5" t="n">
        <v>4333</v>
      </c>
    </row>
    <row r="149">
      <c r="A149" s="3" t="inlineStr">
        <is>
          <t>D0148</t>
        </is>
      </c>
      <c r="B149" s="3" t="inlineStr">
        <is>
          <t>A0025</t>
        </is>
      </c>
      <c r="C149" s="3" t="inlineStr">
        <is>
          <t>Amit Gupta</t>
        </is>
      </c>
      <c r="D149" s="3" t="inlineStr">
        <is>
          <t>Patna</t>
        </is>
      </c>
      <c r="E149" s="3" t="inlineStr">
        <is>
          <t>S. Gupta</t>
        </is>
      </c>
      <c r="F149" s="3" t="inlineStr">
        <is>
          <t>Vehicle</t>
        </is>
      </c>
      <c r="G149" s="4" t="n">
        <v>46208</v>
      </c>
      <c r="H149" s="5" t="n">
        <v>4333</v>
      </c>
    </row>
    <row r="150">
      <c r="A150" s="3" t="inlineStr">
        <is>
          <t>D0149</t>
        </is>
      </c>
      <c r="B150" s="3" t="inlineStr">
        <is>
          <t>A0025</t>
        </is>
      </c>
      <c r="C150" s="3" t="inlineStr">
        <is>
          <t>Amit Gupta</t>
        </is>
      </c>
      <c r="D150" s="3" t="inlineStr">
        <is>
          <t>Patna</t>
        </is>
      </c>
      <c r="E150" s="3" t="inlineStr">
        <is>
          <t>S. Gupta</t>
        </is>
      </c>
      <c r="F150" s="3" t="inlineStr">
        <is>
          <t>Vehicle</t>
        </is>
      </c>
      <c r="G150" s="4" t="n">
        <v>46239</v>
      </c>
      <c r="H150" s="5" t="n">
        <v>4333</v>
      </c>
    </row>
    <row r="151">
      <c r="A151" s="3" t="inlineStr">
        <is>
          <t>D0150</t>
        </is>
      </c>
      <c r="B151" s="3" t="inlineStr">
        <is>
          <t>A0025</t>
        </is>
      </c>
      <c r="C151" s="3" t="inlineStr">
        <is>
          <t>Amit Gupta</t>
        </is>
      </c>
      <c r="D151" s="3" t="inlineStr">
        <is>
          <t>Patna</t>
        </is>
      </c>
      <c r="E151" s="3" t="inlineStr">
        <is>
          <t>S. Gupta</t>
        </is>
      </c>
      <c r="F151" s="3" t="inlineStr">
        <is>
          <t>Vehicle</t>
        </is>
      </c>
      <c r="G151" s="4" t="n">
        <v>46270</v>
      </c>
      <c r="H151" s="5" t="n">
        <v>4333</v>
      </c>
    </row>
    <row r="152">
      <c r="A152" s="3" t="inlineStr">
        <is>
          <t>D0151</t>
        </is>
      </c>
      <c r="B152" s="3" t="inlineStr">
        <is>
          <t>A0026</t>
        </is>
      </c>
      <c r="C152" s="3" t="inlineStr">
        <is>
          <t>Rajesh Mandal</t>
        </is>
      </c>
      <c r="D152" s="3" t="inlineStr">
        <is>
          <t>Patna</t>
        </is>
      </c>
      <c r="E152" s="3" t="inlineStr">
        <is>
          <t>A. Verma</t>
        </is>
      </c>
      <c r="F152" s="3" t="inlineStr">
        <is>
          <t>Vehicle</t>
        </is>
      </c>
      <c r="G152" s="4" t="n">
        <v>46117</v>
      </c>
      <c r="H152" s="5" t="n">
        <v>5667</v>
      </c>
    </row>
    <row r="153">
      <c r="A153" s="3" t="inlineStr">
        <is>
          <t>D0152</t>
        </is>
      </c>
      <c r="B153" s="3" t="inlineStr">
        <is>
          <t>A0026</t>
        </is>
      </c>
      <c r="C153" s="3" t="inlineStr">
        <is>
          <t>Rajesh Mandal</t>
        </is>
      </c>
      <c r="D153" s="3" t="inlineStr">
        <is>
          <t>Patna</t>
        </is>
      </c>
      <c r="E153" s="3" t="inlineStr">
        <is>
          <t>A. Verma</t>
        </is>
      </c>
      <c r="F153" s="3" t="inlineStr">
        <is>
          <t>Vehicle</t>
        </is>
      </c>
      <c r="G153" s="4" t="n">
        <v>46147</v>
      </c>
      <c r="H153" s="5" t="n">
        <v>5667</v>
      </c>
    </row>
    <row r="154">
      <c r="A154" s="3" t="inlineStr">
        <is>
          <t>D0153</t>
        </is>
      </c>
      <c r="B154" s="3" t="inlineStr">
        <is>
          <t>A0026</t>
        </is>
      </c>
      <c r="C154" s="3" t="inlineStr">
        <is>
          <t>Rajesh Mandal</t>
        </is>
      </c>
      <c r="D154" s="3" t="inlineStr">
        <is>
          <t>Patna</t>
        </is>
      </c>
      <c r="E154" s="3" t="inlineStr">
        <is>
          <t>A. Verma</t>
        </is>
      </c>
      <c r="F154" s="3" t="inlineStr">
        <is>
          <t>Vehicle</t>
        </is>
      </c>
      <c r="G154" s="4" t="n">
        <v>46178</v>
      </c>
      <c r="H154" s="5" t="n">
        <v>5667</v>
      </c>
    </row>
    <row r="155">
      <c r="A155" s="3" t="inlineStr">
        <is>
          <t>D0154</t>
        </is>
      </c>
      <c r="B155" s="3" t="inlineStr">
        <is>
          <t>A0026</t>
        </is>
      </c>
      <c r="C155" s="3" t="inlineStr">
        <is>
          <t>Rajesh Mandal</t>
        </is>
      </c>
      <c r="D155" s="3" t="inlineStr">
        <is>
          <t>Patna</t>
        </is>
      </c>
      <c r="E155" s="3" t="inlineStr">
        <is>
          <t>A. Verma</t>
        </is>
      </c>
      <c r="F155" s="3" t="inlineStr">
        <is>
          <t>Vehicle</t>
        </is>
      </c>
      <c r="G155" s="4" t="n">
        <v>46208</v>
      </c>
      <c r="H155" s="5" t="n">
        <v>5667</v>
      </c>
    </row>
    <row r="156">
      <c r="A156" s="3" t="inlineStr">
        <is>
          <t>D0155</t>
        </is>
      </c>
      <c r="B156" s="3" t="inlineStr">
        <is>
          <t>A0026</t>
        </is>
      </c>
      <c r="C156" s="3" t="inlineStr">
        <is>
          <t>Rajesh Mandal</t>
        </is>
      </c>
      <c r="D156" s="3" t="inlineStr">
        <is>
          <t>Patna</t>
        </is>
      </c>
      <c r="E156" s="3" t="inlineStr">
        <is>
          <t>A. Verma</t>
        </is>
      </c>
      <c r="F156" s="3" t="inlineStr">
        <is>
          <t>Vehicle</t>
        </is>
      </c>
      <c r="G156" s="4" t="n">
        <v>46239</v>
      </c>
      <c r="H156" s="5" t="n">
        <v>5667</v>
      </c>
    </row>
    <row r="157">
      <c r="A157" s="3" t="inlineStr">
        <is>
          <t>D0156</t>
        </is>
      </c>
      <c r="B157" s="3" t="inlineStr">
        <is>
          <t>A0026</t>
        </is>
      </c>
      <c r="C157" s="3" t="inlineStr">
        <is>
          <t>Rajesh Mandal</t>
        </is>
      </c>
      <c r="D157" s="3" t="inlineStr">
        <is>
          <t>Patna</t>
        </is>
      </c>
      <c r="E157" s="3" t="inlineStr">
        <is>
          <t>A. Verma</t>
        </is>
      </c>
      <c r="F157" s="3" t="inlineStr">
        <is>
          <t>Vehicle</t>
        </is>
      </c>
      <c r="G157" s="4" t="n">
        <v>46270</v>
      </c>
      <c r="H157" s="5" t="n">
        <v>5667</v>
      </c>
    </row>
    <row r="158">
      <c r="A158" s="3" t="inlineStr">
        <is>
          <t>D0157</t>
        </is>
      </c>
      <c r="B158" s="3" t="inlineStr">
        <is>
          <t>A0027</t>
        </is>
      </c>
      <c r="C158" s="3" t="inlineStr">
        <is>
          <t>Anita Mandal</t>
        </is>
      </c>
      <c r="D158" s="3" t="inlineStr">
        <is>
          <t>Bhagalpur</t>
        </is>
      </c>
      <c r="E158" s="3" t="inlineStr">
        <is>
          <t>P. Yadav</t>
        </is>
      </c>
      <c r="F158" s="3" t="inlineStr">
        <is>
          <t>Agri</t>
        </is>
      </c>
      <c r="G158" s="4" t="n">
        <v>46117</v>
      </c>
      <c r="H158" s="5" t="n">
        <v>21333</v>
      </c>
    </row>
    <row r="159">
      <c r="A159" s="3" t="inlineStr">
        <is>
          <t>D0158</t>
        </is>
      </c>
      <c r="B159" s="3" t="inlineStr">
        <is>
          <t>A0027</t>
        </is>
      </c>
      <c r="C159" s="3" t="inlineStr">
        <is>
          <t>Anita Mandal</t>
        </is>
      </c>
      <c r="D159" s="3" t="inlineStr">
        <is>
          <t>Bhagalpur</t>
        </is>
      </c>
      <c r="E159" s="3" t="inlineStr">
        <is>
          <t>P. Yadav</t>
        </is>
      </c>
      <c r="F159" s="3" t="inlineStr">
        <is>
          <t>Agri</t>
        </is>
      </c>
      <c r="G159" s="4" t="n">
        <v>46147</v>
      </c>
      <c r="H159" s="5" t="n">
        <v>21333</v>
      </c>
    </row>
    <row r="160">
      <c r="A160" s="3" t="inlineStr">
        <is>
          <t>D0159</t>
        </is>
      </c>
      <c r="B160" s="3" t="inlineStr">
        <is>
          <t>A0027</t>
        </is>
      </c>
      <c r="C160" s="3" t="inlineStr">
        <is>
          <t>Anita Mandal</t>
        </is>
      </c>
      <c r="D160" s="3" t="inlineStr">
        <is>
          <t>Bhagalpur</t>
        </is>
      </c>
      <c r="E160" s="3" t="inlineStr">
        <is>
          <t>P. Yadav</t>
        </is>
      </c>
      <c r="F160" s="3" t="inlineStr">
        <is>
          <t>Agri</t>
        </is>
      </c>
      <c r="G160" s="4" t="n">
        <v>46178</v>
      </c>
      <c r="H160" s="5" t="n">
        <v>21333</v>
      </c>
    </row>
    <row r="161">
      <c r="A161" s="3" t="inlineStr">
        <is>
          <t>D0160</t>
        </is>
      </c>
      <c r="B161" s="3" t="inlineStr">
        <is>
          <t>A0027</t>
        </is>
      </c>
      <c r="C161" s="3" t="inlineStr">
        <is>
          <t>Anita Mandal</t>
        </is>
      </c>
      <c r="D161" s="3" t="inlineStr">
        <is>
          <t>Bhagalpur</t>
        </is>
      </c>
      <c r="E161" s="3" t="inlineStr">
        <is>
          <t>P. Yadav</t>
        </is>
      </c>
      <c r="F161" s="3" t="inlineStr">
        <is>
          <t>Agri</t>
        </is>
      </c>
      <c r="G161" s="4" t="n">
        <v>46208</v>
      </c>
      <c r="H161" s="5" t="n">
        <v>21333</v>
      </c>
    </row>
    <row r="162">
      <c r="A162" s="3" t="inlineStr">
        <is>
          <t>D0161</t>
        </is>
      </c>
      <c r="B162" s="3" t="inlineStr">
        <is>
          <t>A0027</t>
        </is>
      </c>
      <c r="C162" s="3" t="inlineStr">
        <is>
          <t>Anita Mandal</t>
        </is>
      </c>
      <c r="D162" s="3" t="inlineStr">
        <is>
          <t>Bhagalpur</t>
        </is>
      </c>
      <c r="E162" s="3" t="inlineStr">
        <is>
          <t>P. Yadav</t>
        </is>
      </c>
      <c r="F162" s="3" t="inlineStr">
        <is>
          <t>Agri</t>
        </is>
      </c>
      <c r="G162" s="4" t="n">
        <v>46239</v>
      </c>
      <c r="H162" s="5" t="n">
        <v>21333</v>
      </c>
    </row>
    <row r="163">
      <c r="A163" s="3" t="inlineStr">
        <is>
          <t>D0162</t>
        </is>
      </c>
      <c r="B163" s="3" t="inlineStr">
        <is>
          <t>A0027</t>
        </is>
      </c>
      <c r="C163" s="3" t="inlineStr">
        <is>
          <t>Anita Mandal</t>
        </is>
      </c>
      <c r="D163" s="3" t="inlineStr">
        <is>
          <t>Bhagalpur</t>
        </is>
      </c>
      <c r="E163" s="3" t="inlineStr">
        <is>
          <t>P. Yadav</t>
        </is>
      </c>
      <c r="F163" s="3" t="inlineStr">
        <is>
          <t>Agri</t>
        </is>
      </c>
      <c r="G163" s="4" t="n">
        <v>46270</v>
      </c>
      <c r="H163" s="5" t="n">
        <v>21333</v>
      </c>
    </row>
    <row r="164">
      <c r="A164" s="3" t="inlineStr">
        <is>
          <t>D0163</t>
        </is>
      </c>
      <c r="B164" s="3" t="inlineStr">
        <is>
          <t>A0028</t>
        </is>
      </c>
      <c r="C164" s="3" t="inlineStr">
        <is>
          <t>Deepak Verma</t>
        </is>
      </c>
      <c r="D164" s="3" t="inlineStr">
        <is>
          <t>Bhagalpur</t>
        </is>
      </c>
      <c r="E164" s="3" t="inlineStr">
        <is>
          <t>M. Mandal</t>
        </is>
      </c>
      <c r="F164" s="3" t="inlineStr">
        <is>
          <t>Personal</t>
        </is>
      </c>
      <c r="G164" s="4" t="n">
        <v>46117</v>
      </c>
      <c r="H164" s="5" t="n">
        <v>28667</v>
      </c>
    </row>
    <row r="165">
      <c r="A165" s="3" t="inlineStr">
        <is>
          <t>D0164</t>
        </is>
      </c>
      <c r="B165" s="3" t="inlineStr">
        <is>
          <t>A0028</t>
        </is>
      </c>
      <c r="C165" s="3" t="inlineStr">
        <is>
          <t>Deepak Verma</t>
        </is>
      </c>
      <c r="D165" s="3" t="inlineStr">
        <is>
          <t>Bhagalpur</t>
        </is>
      </c>
      <c r="E165" s="3" t="inlineStr">
        <is>
          <t>M. Mandal</t>
        </is>
      </c>
      <c r="F165" s="3" t="inlineStr">
        <is>
          <t>Personal</t>
        </is>
      </c>
      <c r="G165" s="4" t="n">
        <v>46147</v>
      </c>
      <c r="H165" s="5" t="n">
        <v>28667</v>
      </c>
    </row>
    <row r="166">
      <c r="A166" s="3" t="inlineStr">
        <is>
          <t>D0165</t>
        </is>
      </c>
      <c r="B166" s="3" t="inlineStr">
        <is>
          <t>A0028</t>
        </is>
      </c>
      <c r="C166" s="3" t="inlineStr">
        <is>
          <t>Deepak Verma</t>
        </is>
      </c>
      <c r="D166" s="3" t="inlineStr">
        <is>
          <t>Bhagalpur</t>
        </is>
      </c>
      <c r="E166" s="3" t="inlineStr">
        <is>
          <t>M. Mandal</t>
        </is>
      </c>
      <c r="F166" s="3" t="inlineStr">
        <is>
          <t>Personal</t>
        </is>
      </c>
      <c r="G166" s="4" t="n">
        <v>46178</v>
      </c>
      <c r="H166" s="5" t="n">
        <v>28667</v>
      </c>
    </row>
    <row r="167">
      <c r="A167" s="3" t="inlineStr">
        <is>
          <t>D0166</t>
        </is>
      </c>
      <c r="B167" s="3" t="inlineStr">
        <is>
          <t>A0028</t>
        </is>
      </c>
      <c r="C167" s="3" t="inlineStr">
        <is>
          <t>Deepak Verma</t>
        </is>
      </c>
      <c r="D167" s="3" t="inlineStr">
        <is>
          <t>Bhagalpur</t>
        </is>
      </c>
      <c r="E167" s="3" t="inlineStr">
        <is>
          <t>M. Mandal</t>
        </is>
      </c>
      <c r="F167" s="3" t="inlineStr">
        <is>
          <t>Personal</t>
        </is>
      </c>
      <c r="G167" s="4" t="n">
        <v>46208</v>
      </c>
      <c r="H167" s="5" t="n">
        <v>28667</v>
      </c>
    </row>
    <row r="168">
      <c r="A168" s="3" t="inlineStr">
        <is>
          <t>D0167</t>
        </is>
      </c>
      <c r="B168" s="3" t="inlineStr">
        <is>
          <t>A0028</t>
        </is>
      </c>
      <c r="C168" s="3" t="inlineStr">
        <is>
          <t>Deepak Verma</t>
        </is>
      </c>
      <c r="D168" s="3" t="inlineStr">
        <is>
          <t>Bhagalpur</t>
        </is>
      </c>
      <c r="E168" s="3" t="inlineStr">
        <is>
          <t>M. Mandal</t>
        </is>
      </c>
      <c r="F168" s="3" t="inlineStr">
        <is>
          <t>Personal</t>
        </is>
      </c>
      <c r="G168" s="4" t="n">
        <v>46239</v>
      </c>
      <c r="H168" s="5" t="n">
        <v>28667</v>
      </c>
    </row>
    <row r="169">
      <c r="A169" s="3" t="inlineStr">
        <is>
          <t>D0168</t>
        </is>
      </c>
      <c r="B169" s="3" t="inlineStr">
        <is>
          <t>A0028</t>
        </is>
      </c>
      <c r="C169" s="3" t="inlineStr">
        <is>
          <t>Deepak Verma</t>
        </is>
      </c>
      <c r="D169" s="3" t="inlineStr">
        <is>
          <t>Bhagalpur</t>
        </is>
      </c>
      <c r="E169" s="3" t="inlineStr">
        <is>
          <t>M. Mandal</t>
        </is>
      </c>
      <c r="F169" s="3" t="inlineStr">
        <is>
          <t>Personal</t>
        </is>
      </c>
      <c r="G169" s="4" t="n">
        <v>46270</v>
      </c>
      <c r="H169" s="5" t="n">
        <v>28667</v>
      </c>
    </row>
    <row r="170">
      <c r="A170" s="3" t="inlineStr">
        <is>
          <t>D0169</t>
        </is>
      </c>
      <c r="B170" s="3" t="inlineStr">
        <is>
          <t>A0029</t>
        </is>
      </c>
      <c r="C170" s="3" t="inlineStr">
        <is>
          <t>Sanjay Yadav</t>
        </is>
      </c>
      <c r="D170" s="3" t="inlineStr">
        <is>
          <t>Bhagalpur</t>
        </is>
      </c>
      <c r="E170" s="3" t="inlineStr">
        <is>
          <t>A. Verma</t>
        </is>
      </c>
      <c r="F170" s="3" t="inlineStr">
        <is>
          <t>Agri</t>
        </is>
      </c>
      <c r="G170" s="4" t="n">
        <v>46117</v>
      </c>
      <c r="H170" s="5" t="n">
        <v>31333</v>
      </c>
    </row>
    <row r="171">
      <c r="A171" s="3" t="inlineStr">
        <is>
          <t>D0170</t>
        </is>
      </c>
      <c r="B171" s="3" t="inlineStr">
        <is>
          <t>A0029</t>
        </is>
      </c>
      <c r="C171" s="3" t="inlineStr">
        <is>
          <t>Sanjay Yadav</t>
        </is>
      </c>
      <c r="D171" s="3" t="inlineStr">
        <is>
          <t>Bhagalpur</t>
        </is>
      </c>
      <c r="E171" s="3" t="inlineStr">
        <is>
          <t>A. Verma</t>
        </is>
      </c>
      <c r="F171" s="3" t="inlineStr">
        <is>
          <t>Agri</t>
        </is>
      </c>
      <c r="G171" s="4" t="n">
        <v>46147</v>
      </c>
      <c r="H171" s="5" t="n">
        <v>31333</v>
      </c>
    </row>
    <row r="172">
      <c r="A172" s="3" t="inlineStr">
        <is>
          <t>D0171</t>
        </is>
      </c>
      <c r="B172" s="3" t="inlineStr">
        <is>
          <t>A0029</t>
        </is>
      </c>
      <c r="C172" s="3" t="inlineStr">
        <is>
          <t>Sanjay Yadav</t>
        </is>
      </c>
      <c r="D172" s="3" t="inlineStr">
        <is>
          <t>Bhagalpur</t>
        </is>
      </c>
      <c r="E172" s="3" t="inlineStr">
        <is>
          <t>A. Verma</t>
        </is>
      </c>
      <c r="F172" s="3" t="inlineStr">
        <is>
          <t>Agri</t>
        </is>
      </c>
      <c r="G172" s="4" t="n">
        <v>46178</v>
      </c>
      <c r="H172" s="5" t="n">
        <v>31333</v>
      </c>
    </row>
    <row r="173">
      <c r="A173" s="3" t="inlineStr">
        <is>
          <t>D0172</t>
        </is>
      </c>
      <c r="B173" s="3" t="inlineStr">
        <is>
          <t>A0029</t>
        </is>
      </c>
      <c r="C173" s="3" t="inlineStr">
        <is>
          <t>Sanjay Yadav</t>
        </is>
      </c>
      <c r="D173" s="3" t="inlineStr">
        <is>
          <t>Bhagalpur</t>
        </is>
      </c>
      <c r="E173" s="3" t="inlineStr">
        <is>
          <t>A. Verma</t>
        </is>
      </c>
      <c r="F173" s="3" t="inlineStr">
        <is>
          <t>Agri</t>
        </is>
      </c>
      <c r="G173" s="4" t="n">
        <v>46208</v>
      </c>
      <c r="H173" s="5" t="n">
        <v>31333</v>
      </c>
    </row>
    <row r="174">
      <c r="A174" s="3" t="inlineStr">
        <is>
          <t>D0173</t>
        </is>
      </c>
      <c r="B174" s="3" t="inlineStr">
        <is>
          <t>A0029</t>
        </is>
      </c>
      <c r="C174" s="3" t="inlineStr">
        <is>
          <t>Sanjay Yadav</t>
        </is>
      </c>
      <c r="D174" s="3" t="inlineStr">
        <is>
          <t>Bhagalpur</t>
        </is>
      </c>
      <c r="E174" s="3" t="inlineStr">
        <is>
          <t>A. Verma</t>
        </is>
      </c>
      <c r="F174" s="3" t="inlineStr">
        <is>
          <t>Agri</t>
        </is>
      </c>
      <c r="G174" s="4" t="n">
        <v>46239</v>
      </c>
      <c r="H174" s="5" t="n">
        <v>31333</v>
      </c>
    </row>
    <row r="175">
      <c r="A175" s="3" t="inlineStr">
        <is>
          <t>D0174</t>
        </is>
      </c>
      <c r="B175" s="3" t="inlineStr">
        <is>
          <t>A0029</t>
        </is>
      </c>
      <c r="C175" s="3" t="inlineStr">
        <is>
          <t>Sanjay Yadav</t>
        </is>
      </c>
      <c r="D175" s="3" t="inlineStr">
        <is>
          <t>Bhagalpur</t>
        </is>
      </c>
      <c r="E175" s="3" t="inlineStr">
        <is>
          <t>A. Verma</t>
        </is>
      </c>
      <c r="F175" s="3" t="inlineStr">
        <is>
          <t>Agri</t>
        </is>
      </c>
      <c r="G175" s="4" t="n">
        <v>46270</v>
      </c>
      <c r="H175" s="5" t="n">
        <v>31333</v>
      </c>
    </row>
    <row r="176">
      <c r="A176" s="3" t="inlineStr">
        <is>
          <t>D0175</t>
        </is>
      </c>
      <c r="B176" s="3" t="inlineStr">
        <is>
          <t>A0030</t>
        </is>
      </c>
      <c r="C176" s="3" t="inlineStr">
        <is>
          <t>Rina Chaudhary</t>
        </is>
      </c>
      <c r="D176" s="3" t="inlineStr">
        <is>
          <t>Muzaffarpur</t>
        </is>
      </c>
      <c r="E176" s="3" t="inlineStr">
        <is>
          <t>K. Sharma</t>
        </is>
      </c>
      <c r="F176" s="3" t="inlineStr">
        <is>
          <t>Housing</t>
        </is>
      </c>
      <c r="G176" s="4" t="n">
        <v>46117</v>
      </c>
      <c r="H176" s="5" t="n">
        <v>8333</v>
      </c>
    </row>
    <row r="177">
      <c r="A177" s="3" t="inlineStr">
        <is>
          <t>D0176</t>
        </is>
      </c>
      <c r="B177" s="3" t="inlineStr">
        <is>
          <t>A0030</t>
        </is>
      </c>
      <c r="C177" s="3" t="inlineStr">
        <is>
          <t>Rina Chaudhary</t>
        </is>
      </c>
      <c r="D177" s="3" t="inlineStr">
        <is>
          <t>Muzaffarpur</t>
        </is>
      </c>
      <c r="E177" s="3" t="inlineStr">
        <is>
          <t>K. Sharma</t>
        </is>
      </c>
      <c r="F177" s="3" t="inlineStr">
        <is>
          <t>Housing</t>
        </is>
      </c>
      <c r="G177" s="4" t="n">
        <v>46147</v>
      </c>
      <c r="H177" s="5" t="n">
        <v>8333</v>
      </c>
    </row>
    <row r="178">
      <c r="A178" s="3" t="inlineStr">
        <is>
          <t>D0177</t>
        </is>
      </c>
      <c r="B178" s="3" t="inlineStr">
        <is>
          <t>A0030</t>
        </is>
      </c>
      <c r="C178" s="3" t="inlineStr">
        <is>
          <t>Rina Chaudhary</t>
        </is>
      </c>
      <c r="D178" s="3" t="inlineStr">
        <is>
          <t>Muzaffarpur</t>
        </is>
      </c>
      <c r="E178" s="3" t="inlineStr">
        <is>
          <t>K. Sharma</t>
        </is>
      </c>
      <c r="F178" s="3" t="inlineStr">
        <is>
          <t>Housing</t>
        </is>
      </c>
      <c r="G178" s="4" t="n">
        <v>46178</v>
      </c>
      <c r="H178" s="5" t="n">
        <v>8333</v>
      </c>
    </row>
    <row r="179">
      <c r="A179" s="3" t="inlineStr">
        <is>
          <t>D0178</t>
        </is>
      </c>
      <c r="B179" s="3" t="inlineStr">
        <is>
          <t>A0030</t>
        </is>
      </c>
      <c r="C179" s="3" t="inlineStr">
        <is>
          <t>Rina Chaudhary</t>
        </is>
      </c>
      <c r="D179" s="3" t="inlineStr">
        <is>
          <t>Muzaffarpur</t>
        </is>
      </c>
      <c r="E179" s="3" t="inlineStr">
        <is>
          <t>K. Sharma</t>
        </is>
      </c>
      <c r="F179" s="3" t="inlineStr">
        <is>
          <t>Housing</t>
        </is>
      </c>
      <c r="G179" s="4" t="n">
        <v>46208</v>
      </c>
      <c r="H179" s="5" t="n">
        <v>8333</v>
      </c>
    </row>
    <row r="180">
      <c r="A180" s="3" t="inlineStr">
        <is>
          <t>D0179</t>
        </is>
      </c>
      <c r="B180" s="3" t="inlineStr">
        <is>
          <t>A0030</t>
        </is>
      </c>
      <c r="C180" s="3" t="inlineStr">
        <is>
          <t>Rina Chaudhary</t>
        </is>
      </c>
      <c r="D180" s="3" t="inlineStr">
        <is>
          <t>Muzaffarpur</t>
        </is>
      </c>
      <c r="E180" s="3" t="inlineStr">
        <is>
          <t>K. Sharma</t>
        </is>
      </c>
      <c r="F180" s="3" t="inlineStr">
        <is>
          <t>Housing</t>
        </is>
      </c>
      <c r="G180" s="4" t="n">
        <v>46239</v>
      </c>
      <c r="H180" s="5" t="n">
        <v>8333</v>
      </c>
    </row>
    <row r="181">
      <c r="A181" s="3" t="inlineStr">
        <is>
          <t>D0180</t>
        </is>
      </c>
      <c r="B181" s="3" t="inlineStr">
        <is>
          <t>A0030</t>
        </is>
      </c>
      <c r="C181" s="3" t="inlineStr">
        <is>
          <t>Rina Chaudhary</t>
        </is>
      </c>
      <c r="D181" s="3" t="inlineStr">
        <is>
          <t>Muzaffarpur</t>
        </is>
      </c>
      <c r="E181" s="3" t="inlineStr">
        <is>
          <t>K. Sharma</t>
        </is>
      </c>
      <c r="F181" s="3" t="inlineStr">
        <is>
          <t>Housing</t>
        </is>
      </c>
      <c r="G181" s="4" t="n">
        <v>46270</v>
      </c>
      <c r="H181" s="5" t="n">
        <v>8333</v>
      </c>
    </row>
    <row r="182">
      <c r="A182" s="3" t="inlineStr">
        <is>
          <t>D0181</t>
        </is>
      </c>
      <c r="B182" s="3" t="inlineStr">
        <is>
          <t>A0031</t>
        </is>
      </c>
      <c r="C182" s="3" t="inlineStr">
        <is>
          <t>Geeta Mishra</t>
        </is>
      </c>
      <c r="D182" s="3" t="inlineStr">
        <is>
          <t>Gaya</t>
        </is>
      </c>
      <c r="E182" s="3" t="inlineStr">
        <is>
          <t>A. Verma</t>
        </is>
      </c>
      <c r="F182" s="3" t="inlineStr">
        <is>
          <t>Agri</t>
        </is>
      </c>
      <c r="G182" s="4" t="n">
        <v>46117</v>
      </c>
      <c r="H182" s="5" t="n">
        <v>32167</v>
      </c>
    </row>
    <row r="183">
      <c r="A183" s="3" t="inlineStr">
        <is>
          <t>D0182</t>
        </is>
      </c>
      <c r="B183" s="3" t="inlineStr">
        <is>
          <t>A0031</t>
        </is>
      </c>
      <c r="C183" s="3" t="inlineStr">
        <is>
          <t>Geeta Mishra</t>
        </is>
      </c>
      <c r="D183" s="3" t="inlineStr">
        <is>
          <t>Gaya</t>
        </is>
      </c>
      <c r="E183" s="3" t="inlineStr">
        <is>
          <t>A. Verma</t>
        </is>
      </c>
      <c r="F183" s="3" t="inlineStr">
        <is>
          <t>Agri</t>
        </is>
      </c>
      <c r="G183" s="4" t="n">
        <v>46147</v>
      </c>
      <c r="H183" s="5" t="n">
        <v>32167</v>
      </c>
    </row>
    <row r="184">
      <c r="A184" s="3" t="inlineStr">
        <is>
          <t>D0183</t>
        </is>
      </c>
      <c r="B184" s="3" t="inlineStr">
        <is>
          <t>A0031</t>
        </is>
      </c>
      <c r="C184" s="3" t="inlineStr">
        <is>
          <t>Geeta Mishra</t>
        </is>
      </c>
      <c r="D184" s="3" t="inlineStr">
        <is>
          <t>Gaya</t>
        </is>
      </c>
      <c r="E184" s="3" t="inlineStr">
        <is>
          <t>A. Verma</t>
        </is>
      </c>
      <c r="F184" s="3" t="inlineStr">
        <is>
          <t>Agri</t>
        </is>
      </c>
      <c r="G184" s="4" t="n">
        <v>46178</v>
      </c>
      <c r="H184" s="5" t="n">
        <v>32167</v>
      </c>
    </row>
    <row r="185">
      <c r="A185" s="3" t="inlineStr">
        <is>
          <t>D0184</t>
        </is>
      </c>
      <c r="B185" s="3" t="inlineStr">
        <is>
          <t>A0031</t>
        </is>
      </c>
      <c r="C185" s="3" t="inlineStr">
        <is>
          <t>Geeta Mishra</t>
        </is>
      </c>
      <c r="D185" s="3" t="inlineStr">
        <is>
          <t>Gaya</t>
        </is>
      </c>
      <c r="E185" s="3" t="inlineStr">
        <is>
          <t>A. Verma</t>
        </is>
      </c>
      <c r="F185" s="3" t="inlineStr">
        <is>
          <t>Agri</t>
        </is>
      </c>
      <c r="G185" s="4" t="n">
        <v>46208</v>
      </c>
      <c r="H185" s="5" t="n">
        <v>32167</v>
      </c>
    </row>
    <row r="186">
      <c r="A186" s="3" t="inlineStr">
        <is>
          <t>D0185</t>
        </is>
      </c>
      <c r="B186" s="3" t="inlineStr">
        <is>
          <t>A0031</t>
        </is>
      </c>
      <c r="C186" s="3" t="inlineStr">
        <is>
          <t>Geeta Mishra</t>
        </is>
      </c>
      <c r="D186" s="3" t="inlineStr">
        <is>
          <t>Gaya</t>
        </is>
      </c>
      <c r="E186" s="3" t="inlineStr">
        <is>
          <t>A. Verma</t>
        </is>
      </c>
      <c r="F186" s="3" t="inlineStr">
        <is>
          <t>Agri</t>
        </is>
      </c>
      <c r="G186" s="4" t="n">
        <v>46239</v>
      </c>
      <c r="H186" s="5" t="n">
        <v>32167</v>
      </c>
    </row>
    <row r="187">
      <c r="A187" s="3" t="inlineStr">
        <is>
          <t>D0186</t>
        </is>
      </c>
      <c r="B187" s="3" t="inlineStr">
        <is>
          <t>A0031</t>
        </is>
      </c>
      <c r="C187" s="3" t="inlineStr">
        <is>
          <t>Geeta Mishra</t>
        </is>
      </c>
      <c r="D187" s="3" t="inlineStr">
        <is>
          <t>Gaya</t>
        </is>
      </c>
      <c r="E187" s="3" t="inlineStr">
        <is>
          <t>A. Verma</t>
        </is>
      </c>
      <c r="F187" s="3" t="inlineStr">
        <is>
          <t>Agri</t>
        </is>
      </c>
      <c r="G187" s="4" t="n">
        <v>46270</v>
      </c>
      <c r="H187" s="5" t="n">
        <v>32167</v>
      </c>
    </row>
    <row r="188">
      <c r="A188" s="3" t="inlineStr">
        <is>
          <t>D0187</t>
        </is>
      </c>
      <c r="B188" s="3" t="inlineStr">
        <is>
          <t>A0032</t>
        </is>
      </c>
      <c r="C188" s="3" t="inlineStr">
        <is>
          <t>Bablu Mishra</t>
        </is>
      </c>
      <c r="D188" s="3" t="inlineStr">
        <is>
          <t>Darbhanga</t>
        </is>
      </c>
      <c r="E188" s="3" t="inlineStr">
        <is>
          <t>R. Singh</t>
        </is>
      </c>
      <c r="F188" s="3" t="inlineStr">
        <is>
          <t>Trade</t>
        </is>
      </c>
      <c r="G188" s="4" t="n">
        <v>46117</v>
      </c>
      <c r="H188" s="5" t="n">
        <v>9500</v>
      </c>
    </row>
    <row r="189">
      <c r="A189" s="3" t="inlineStr">
        <is>
          <t>D0188</t>
        </is>
      </c>
      <c r="B189" s="3" t="inlineStr">
        <is>
          <t>A0032</t>
        </is>
      </c>
      <c r="C189" s="3" t="inlineStr">
        <is>
          <t>Bablu Mishra</t>
        </is>
      </c>
      <c r="D189" s="3" t="inlineStr">
        <is>
          <t>Darbhanga</t>
        </is>
      </c>
      <c r="E189" s="3" t="inlineStr">
        <is>
          <t>R. Singh</t>
        </is>
      </c>
      <c r="F189" s="3" t="inlineStr">
        <is>
          <t>Trade</t>
        </is>
      </c>
      <c r="G189" s="4" t="n">
        <v>46147</v>
      </c>
      <c r="H189" s="5" t="n">
        <v>9500</v>
      </c>
    </row>
    <row r="190">
      <c r="A190" s="3" t="inlineStr">
        <is>
          <t>D0189</t>
        </is>
      </c>
      <c r="B190" s="3" t="inlineStr">
        <is>
          <t>A0032</t>
        </is>
      </c>
      <c r="C190" s="3" t="inlineStr">
        <is>
          <t>Bablu Mishra</t>
        </is>
      </c>
      <c r="D190" s="3" t="inlineStr">
        <is>
          <t>Darbhanga</t>
        </is>
      </c>
      <c r="E190" s="3" t="inlineStr">
        <is>
          <t>R. Singh</t>
        </is>
      </c>
      <c r="F190" s="3" t="inlineStr">
        <is>
          <t>Trade</t>
        </is>
      </c>
      <c r="G190" s="4" t="n">
        <v>46178</v>
      </c>
      <c r="H190" s="5" t="n">
        <v>9500</v>
      </c>
    </row>
    <row r="191">
      <c r="A191" s="3" t="inlineStr">
        <is>
          <t>D0190</t>
        </is>
      </c>
      <c r="B191" s="3" t="inlineStr">
        <is>
          <t>A0032</t>
        </is>
      </c>
      <c r="C191" s="3" t="inlineStr">
        <is>
          <t>Bablu Mishra</t>
        </is>
      </c>
      <c r="D191" s="3" t="inlineStr">
        <is>
          <t>Darbhanga</t>
        </is>
      </c>
      <c r="E191" s="3" t="inlineStr">
        <is>
          <t>R. Singh</t>
        </is>
      </c>
      <c r="F191" s="3" t="inlineStr">
        <is>
          <t>Trade</t>
        </is>
      </c>
      <c r="G191" s="4" t="n">
        <v>46208</v>
      </c>
      <c r="H191" s="5" t="n">
        <v>9500</v>
      </c>
    </row>
    <row r="192">
      <c r="A192" s="3" t="inlineStr">
        <is>
          <t>D0191</t>
        </is>
      </c>
      <c r="B192" s="3" t="inlineStr">
        <is>
          <t>A0032</t>
        </is>
      </c>
      <c r="C192" s="3" t="inlineStr">
        <is>
          <t>Bablu Mishra</t>
        </is>
      </c>
      <c r="D192" s="3" t="inlineStr">
        <is>
          <t>Darbhanga</t>
        </is>
      </c>
      <c r="E192" s="3" t="inlineStr">
        <is>
          <t>R. Singh</t>
        </is>
      </c>
      <c r="F192" s="3" t="inlineStr">
        <is>
          <t>Trade</t>
        </is>
      </c>
      <c r="G192" s="4" t="n">
        <v>46239</v>
      </c>
      <c r="H192" s="5" t="n">
        <v>9500</v>
      </c>
    </row>
    <row r="193">
      <c r="A193" s="3" t="inlineStr">
        <is>
          <t>D0192</t>
        </is>
      </c>
      <c r="B193" s="3" t="inlineStr">
        <is>
          <t>A0032</t>
        </is>
      </c>
      <c r="C193" s="3" t="inlineStr">
        <is>
          <t>Bablu Mishra</t>
        </is>
      </c>
      <c r="D193" s="3" t="inlineStr">
        <is>
          <t>Darbhanga</t>
        </is>
      </c>
      <c r="E193" s="3" t="inlineStr">
        <is>
          <t>R. Singh</t>
        </is>
      </c>
      <c r="F193" s="3" t="inlineStr">
        <is>
          <t>Trade</t>
        </is>
      </c>
      <c r="G193" s="4" t="n">
        <v>46270</v>
      </c>
      <c r="H193" s="5" t="n">
        <v>9500</v>
      </c>
    </row>
    <row r="194">
      <c r="A194" s="3" t="inlineStr">
        <is>
          <t>D0193</t>
        </is>
      </c>
      <c r="B194" s="3" t="inlineStr">
        <is>
          <t>A0033</t>
        </is>
      </c>
      <c r="C194" s="3" t="inlineStr">
        <is>
          <t>Ramesh Chaudhary</t>
        </is>
      </c>
      <c r="D194" s="3" t="inlineStr">
        <is>
          <t>Darbhanga</t>
        </is>
      </c>
      <c r="E194" s="3" t="inlineStr">
        <is>
          <t>R. Singh</t>
        </is>
      </c>
      <c r="F194" s="3" t="inlineStr">
        <is>
          <t>Housing</t>
        </is>
      </c>
      <c r="G194" s="4" t="n">
        <v>46117</v>
      </c>
      <c r="H194" s="5" t="n">
        <v>30000</v>
      </c>
    </row>
    <row r="195">
      <c r="A195" s="3" t="inlineStr">
        <is>
          <t>D0194</t>
        </is>
      </c>
      <c r="B195" s="3" t="inlineStr">
        <is>
          <t>A0033</t>
        </is>
      </c>
      <c r="C195" s="3" t="inlineStr">
        <is>
          <t>Ramesh Chaudhary</t>
        </is>
      </c>
      <c r="D195" s="3" t="inlineStr">
        <is>
          <t>Darbhanga</t>
        </is>
      </c>
      <c r="E195" s="3" t="inlineStr">
        <is>
          <t>R. Singh</t>
        </is>
      </c>
      <c r="F195" s="3" t="inlineStr">
        <is>
          <t>Housing</t>
        </is>
      </c>
      <c r="G195" s="4" t="n">
        <v>46147</v>
      </c>
      <c r="H195" s="5" t="n">
        <v>30000</v>
      </c>
    </row>
    <row r="196">
      <c r="A196" s="3" t="inlineStr">
        <is>
          <t>D0195</t>
        </is>
      </c>
      <c r="B196" s="3" t="inlineStr">
        <is>
          <t>A0033</t>
        </is>
      </c>
      <c r="C196" s="3" t="inlineStr">
        <is>
          <t>Ramesh Chaudhary</t>
        </is>
      </c>
      <c r="D196" s="3" t="inlineStr">
        <is>
          <t>Darbhanga</t>
        </is>
      </c>
      <c r="E196" s="3" t="inlineStr">
        <is>
          <t>R. Singh</t>
        </is>
      </c>
      <c r="F196" s="3" t="inlineStr">
        <is>
          <t>Housing</t>
        </is>
      </c>
      <c r="G196" s="4" t="n">
        <v>46178</v>
      </c>
      <c r="H196" s="5" t="n">
        <v>30000</v>
      </c>
    </row>
    <row r="197">
      <c r="A197" s="3" t="inlineStr">
        <is>
          <t>D0196</t>
        </is>
      </c>
      <c r="B197" s="3" t="inlineStr">
        <is>
          <t>A0033</t>
        </is>
      </c>
      <c r="C197" s="3" t="inlineStr">
        <is>
          <t>Ramesh Chaudhary</t>
        </is>
      </c>
      <c r="D197" s="3" t="inlineStr">
        <is>
          <t>Darbhanga</t>
        </is>
      </c>
      <c r="E197" s="3" t="inlineStr">
        <is>
          <t>R. Singh</t>
        </is>
      </c>
      <c r="F197" s="3" t="inlineStr">
        <is>
          <t>Housing</t>
        </is>
      </c>
      <c r="G197" s="4" t="n">
        <v>46208</v>
      </c>
      <c r="H197" s="5" t="n">
        <v>30000</v>
      </c>
    </row>
    <row r="198">
      <c r="A198" s="3" t="inlineStr">
        <is>
          <t>D0197</t>
        </is>
      </c>
      <c r="B198" s="3" t="inlineStr">
        <is>
          <t>A0033</t>
        </is>
      </c>
      <c r="C198" s="3" t="inlineStr">
        <is>
          <t>Ramesh Chaudhary</t>
        </is>
      </c>
      <c r="D198" s="3" t="inlineStr">
        <is>
          <t>Darbhanga</t>
        </is>
      </c>
      <c r="E198" s="3" t="inlineStr">
        <is>
          <t>R. Singh</t>
        </is>
      </c>
      <c r="F198" s="3" t="inlineStr">
        <is>
          <t>Housing</t>
        </is>
      </c>
      <c r="G198" s="4" t="n">
        <v>46239</v>
      </c>
      <c r="H198" s="5" t="n">
        <v>30000</v>
      </c>
    </row>
    <row r="199">
      <c r="A199" s="3" t="inlineStr">
        <is>
          <t>D0198</t>
        </is>
      </c>
      <c r="B199" s="3" t="inlineStr">
        <is>
          <t>A0033</t>
        </is>
      </c>
      <c r="C199" s="3" t="inlineStr">
        <is>
          <t>Ramesh Chaudhary</t>
        </is>
      </c>
      <c r="D199" s="3" t="inlineStr">
        <is>
          <t>Darbhanga</t>
        </is>
      </c>
      <c r="E199" s="3" t="inlineStr">
        <is>
          <t>R. Singh</t>
        </is>
      </c>
      <c r="F199" s="3" t="inlineStr">
        <is>
          <t>Housing</t>
        </is>
      </c>
      <c r="G199" s="4" t="n">
        <v>46270</v>
      </c>
      <c r="H199" s="5" t="n">
        <v>30000</v>
      </c>
    </row>
    <row r="200">
      <c r="A200" s="3" t="inlineStr">
        <is>
          <t>D0199</t>
        </is>
      </c>
      <c r="B200" s="3" t="inlineStr">
        <is>
          <t>A0034</t>
        </is>
      </c>
      <c r="C200" s="3" t="inlineStr">
        <is>
          <t>Ramesh Gupta</t>
        </is>
      </c>
      <c r="D200" s="3" t="inlineStr">
        <is>
          <t>Patna</t>
        </is>
      </c>
      <c r="E200" s="3" t="inlineStr">
        <is>
          <t>K. Sharma</t>
        </is>
      </c>
      <c r="F200" s="3" t="inlineStr">
        <is>
          <t>Housing</t>
        </is>
      </c>
      <c r="G200" s="4" t="n">
        <v>46117</v>
      </c>
      <c r="H200" s="5" t="n">
        <v>16333</v>
      </c>
    </row>
    <row r="201">
      <c r="A201" s="3" t="inlineStr">
        <is>
          <t>D0200</t>
        </is>
      </c>
      <c r="B201" s="3" t="inlineStr">
        <is>
          <t>A0034</t>
        </is>
      </c>
      <c r="C201" s="3" t="inlineStr">
        <is>
          <t>Ramesh Gupta</t>
        </is>
      </c>
      <c r="D201" s="3" t="inlineStr">
        <is>
          <t>Patna</t>
        </is>
      </c>
      <c r="E201" s="3" t="inlineStr">
        <is>
          <t>K. Sharma</t>
        </is>
      </c>
      <c r="F201" s="3" t="inlineStr">
        <is>
          <t>Housing</t>
        </is>
      </c>
      <c r="G201" s="4" t="n">
        <v>46147</v>
      </c>
      <c r="H201" s="5" t="n">
        <v>16333</v>
      </c>
    </row>
    <row r="202">
      <c r="A202" s="3" t="inlineStr">
        <is>
          <t>D0201</t>
        </is>
      </c>
      <c r="B202" s="3" t="inlineStr">
        <is>
          <t>A0034</t>
        </is>
      </c>
      <c r="C202" s="3" t="inlineStr">
        <is>
          <t>Ramesh Gupta</t>
        </is>
      </c>
      <c r="D202" s="3" t="inlineStr">
        <is>
          <t>Patna</t>
        </is>
      </c>
      <c r="E202" s="3" t="inlineStr">
        <is>
          <t>K. Sharma</t>
        </is>
      </c>
      <c r="F202" s="3" t="inlineStr">
        <is>
          <t>Housing</t>
        </is>
      </c>
      <c r="G202" s="4" t="n">
        <v>46178</v>
      </c>
      <c r="H202" s="5" t="n">
        <v>16333</v>
      </c>
    </row>
    <row r="203">
      <c r="A203" s="3" t="inlineStr">
        <is>
          <t>D0202</t>
        </is>
      </c>
      <c r="B203" s="3" t="inlineStr">
        <is>
          <t>A0034</t>
        </is>
      </c>
      <c r="C203" s="3" t="inlineStr">
        <is>
          <t>Ramesh Gupta</t>
        </is>
      </c>
      <c r="D203" s="3" t="inlineStr">
        <is>
          <t>Patna</t>
        </is>
      </c>
      <c r="E203" s="3" t="inlineStr">
        <is>
          <t>K. Sharma</t>
        </is>
      </c>
      <c r="F203" s="3" t="inlineStr">
        <is>
          <t>Housing</t>
        </is>
      </c>
      <c r="G203" s="4" t="n">
        <v>46208</v>
      </c>
      <c r="H203" s="5" t="n">
        <v>16333</v>
      </c>
    </row>
    <row r="204">
      <c r="A204" s="3" t="inlineStr">
        <is>
          <t>D0203</t>
        </is>
      </c>
      <c r="B204" s="3" t="inlineStr">
        <is>
          <t>A0034</t>
        </is>
      </c>
      <c r="C204" s="3" t="inlineStr">
        <is>
          <t>Ramesh Gupta</t>
        </is>
      </c>
      <c r="D204" s="3" t="inlineStr">
        <is>
          <t>Patna</t>
        </is>
      </c>
      <c r="E204" s="3" t="inlineStr">
        <is>
          <t>K. Sharma</t>
        </is>
      </c>
      <c r="F204" s="3" t="inlineStr">
        <is>
          <t>Housing</t>
        </is>
      </c>
      <c r="G204" s="4" t="n">
        <v>46239</v>
      </c>
      <c r="H204" s="5" t="n">
        <v>16333</v>
      </c>
    </row>
    <row r="205">
      <c r="A205" s="3" t="inlineStr">
        <is>
          <t>D0204</t>
        </is>
      </c>
      <c r="B205" s="3" t="inlineStr">
        <is>
          <t>A0034</t>
        </is>
      </c>
      <c r="C205" s="3" t="inlineStr">
        <is>
          <t>Ramesh Gupta</t>
        </is>
      </c>
      <c r="D205" s="3" t="inlineStr">
        <is>
          <t>Patna</t>
        </is>
      </c>
      <c r="E205" s="3" t="inlineStr">
        <is>
          <t>K. Sharma</t>
        </is>
      </c>
      <c r="F205" s="3" t="inlineStr">
        <is>
          <t>Housing</t>
        </is>
      </c>
      <c r="G205" s="4" t="n">
        <v>46270</v>
      </c>
      <c r="H205" s="5" t="n">
        <v>16333</v>
      </c>
    </row>
    <row r="206">
      <c r="A206" s="3" t="inlineStr">
        <is>
          <t>D0205</t>
        </is>
      </c>
      <c r="B206" s="3" t="inlineStr">
        <is>
          <t>A0035</t>
        </is>
      </c>
      <c r="C206" s="3" t="inlineStr">
        <is>
          <t>Ravi Singh</t>
        </is>
      </c>
      <c r="D206" s="3" t="inlineStr">
        <is>
          <t>Gaya</t>
        </is>
      </c>
      <c r="E206" s="3" t="inlineStr">
        <is>
          <t>M. Mandal</t>
        </is>
      </c>
      <c r="F206" s="3" t="inlineStr">
        <is>
          <t>Personal</t>
        </is>
      </c>
      <c r="G206" s="4" t="n">
        <v>46117</v>
      </c>
      <c r="H206" s="5" t="n">
        <v>18833</v>
      </c>
    </row>
    <row r="207">
      <c r="A207" s="3" t="inlineStr">
        <is>
          <t>D0206</t>
        </is>
      </c>
      <c r="B207" s="3" t="inlineStr">
        <is>
          <t>A0035</t>
        </is>
      </c>
      <c r="C207" s="3" t="inlineStr">
        <is>
          <t>Ravi Singh</t>
        </is>
      </c>
      <c r="D207" s="3" t="inlineStr">
        <is>
          <t>Gaya</t>
        </is>
      </c>
      <c r="E207" s="3" t="inlineStr">
        <is>
          <t>M. Mandal</t>
        </is>
      </c>
      <c r="F207" s="3" t="inlineStr">
        <is>
          <t>Personal</t>
        </is>
      </c>
      <c r="G207" s="4" t="n">
        <v>46147</v>
      </c>
      <c r="H207" s="5" t="n">
        <v>18833</v>
      </c>
    </row>
    <row r="208">
      <c r="A208" s="3" t="inlineStr">
        <is>
          <t>D0207</t>
        </is>
      </c>
      <c r="B208" s="3" t="inlineStr">
        <is>
          <t>A0035</t>
        </is>
      </c>
      <c r="C208" s="3" t="inlineStr">
        <is>
          <t>Ravi Singh</t>
        </is>
      </c>
      <c r="D208" s="3" t="inlineStr">
        <is>
          <t>Gaya</t>
        </is>
      </c>
      <c r="E208" s="3" t="inlineStr">
        <is>
          <t>M. Mandal</t>
        </is>
      </c>
      <c r="F208" s="3" t="inlineStr">
        <is>
          <t>Personal</t>
        </is>
      </c>
      <c r="G208" s="4" t="n">
        <v>46178</v>
      </c>
      <c r="H208" s="5" t="n">
        <v>18833</v>
      </c>
    </row>
    <row r="209">
      <c r="A209" s="3" t="inlineStr">
        <is>
          <t>D0208</t>
        </is>
      </c>
      <c r="B209" s="3" t="inlineStr">
        <is>
          <t>A0035</t>
        </is>
      </c>
      <c r="C209" s="3" t="inlineStr">
        <is>
          <t>Ravi Singh</t>
        </is>
      </c>
      <c r="D209" s="3" t="inlineStr">
        <is>
          <t>Gaya</t>
        </is>
      </c>
      <c r="E209" s="3" t="inlineStr">
        <is>
          <t>M. Mandal</t>
        </is>
      </c>
      <c r="F209" s="3" t="inlineStr">
        <is>
          <t>Personal</t>
        </is>
      </c>
      <c r="G209" s="4" t="n">
        <v>46208</v>
      </c>
      <c r="H209" s="5" t="n">
        <v>18833</v>
      </c>
    </row>
    <row r="210">
      <c r="A210" s="3" t="inlineStr">
        <is>
          <t>D0209</t>
        </is>
      </c>
      <c r="B210" s="3" t="inlineStr">
        <is>
          <t>A0035</t>
        </is>
      </c>
      <c r="C210" s="3" t="inlineStr">
        <is>
          <t>Ravi Singh</t>
        </is>
      </c>
      <c r="D210" s="3" t="inlineStr">
        <is>
          <t>Gaya</t>
        </is>
      </c>
      <c r="E210" s="3" t="inlineStr">
        <is>
          <t>M. Mandal</t>
        </is>
      </c>
      <c r="F210" s="3" t="inlineStr">
        <is>
          <t>Personal</t>
        </is>
      </c>
      <c r="G210" s="4" t="n">
        <v>46239</v>
      </c>
      <c r="H210" s="5" t="n">
        <v>18833</v>
      </c>
    </row>
    <row r="211">
      <c r="A211" s="3" t="inlineStr">
        <is>
          <t>D0210</t>
        </is>
      </c>
      <c r="B211" s="3" t="inlineStr">
        <is>
          <t>A0035</t>
        </is>
      </c>
      <c r="C211" s="3" t="inlineStr">
        <is>
          <t>Ravi Singh</t>
        </is>
      </c>
      <c r="D211" s="3" t="inlineStr">
        <is>
          <t>Gaya</t>
        </is>
      </c>
      <c r="E211" s="3" t="inlineStr">
        <is>
          <t>M. Mandal</t>
        </is>
      </c>
      <c r="F211" s="3" t="inlineStr">
        <is>
          <t>Personal</t>
        </is>
      </c>
      <c r="G211" s="4" t="n">
        <v>46270</v>
      </c>
      <c r="H211" s="5" t="n">
        <v>18833</v>
      </c>
    </row>
    <row r="212">
      <c r="A212" s="3" t="inlineStr">
        <is>
          <t>D0211</t>
        </is>
      </c>
      <c r="B212" s="3" t="inlineStr">
        <is>
          <t>A0036</t>
        </is>
      </c>
      <c r="C212" s="3" t="inlineStr">
        <is>
          <t>Bablu Kumar</t>
        </is>
      </c>
      <c r="D212" s="3" t="inlineStr">
        <is>
          <t>Darbhanga</t>
        </is>
      </c>
      <c r="E212" s="3" t="inlineStr">
        <is>
          <t>K. Sharma</t>
        </is>
      </c>
      <c r="F212" s="3" t="inlineStr">
        <is>
          <t>Vehicle</t>
        </is>
      </c>
      <c r="G212" s="4" t="n">
        <v>46117</v>
      </c>
      <c r="H212" s="5" t="n">
        <v>16333</v>
      </c>
    </row>
    <row r="213">
      <c r="A213" s="3" t="inlineStr">
        <is>
          <t>D0212</t>
        </is>
      </c>
      <c r="B213" s="3" t="inlineStr">
        <is>
          <t>A0036</t>
        </is>
      </c>
      <c r="C213" s="3" t="inlineStr">
        <is>
          <t>Bablu Kumar</t>
        </is>
      </c>
      <c r="D213" s="3" t="inlineStr">
        <is>
          <t>Darbhanga</t>
        </is>
      </c>
      <c r="E213" s="3" t="inlineStr">
        <is>
          <t>K. Sharma</t>
        </is>
      </c>
      <c r="F213" s="3" t="inlineStr">
        <is>
          <t>Vehicle</t>
        </is>
      </c>
      <c r="G213" s="4" t="n">
        <v>46147</v>
      </c>
      <c r="H213" s="5" t="n">
        <v>16333</v>
      </c>
    </row>
    <row r="214">
      <c r="A214" s="3" t="inlineStr">
        <is>
          <t>D0213</t>
        </is>
      </c>
      <c r="B214" s="3" t="inlineStr">
        <is>
          <t>A0036</t>
        </is>
      </c>
      <c r="C214" s="3" t="inlineStr">
        <is>
          <t>Bablu Kumar</t>
        </is>
      </c>
      <c r="D214" s="3" t="inlineStr">
        <is>
          <t>Darbhanga</t>
        </is>
      </c>
      <c r="E214" s="3" t="inlineStr">
        <is>
          <t>K. Sharma</t>
        </is>
      </c>
      <c r="F214" s="3" t="inlineStr">
        <is>
          <t>Vehicle</t>
        </is>
      </c>
      <c r="G214" s="4" t="n">
        <v>46178</v>
      </c>
      <c r="H214" s="5" t="n">
        <v>16333</v>
      </c>
    </row>
    <row r="215">
      <c r="A215" s="3" t="inlineStr">
        <is>
          <t>D0214</t>
        </is>
      </c>
      <c r="B215" s="3" t="inlineStr">
        <is>
          <t>A0036</t>
        </is>
      </c>
      <c r="C215" s="3" t="inlineStr">
        <is>
          <t>Bablu Kumar</t>
        </is>
      </c>
      <c r="D215" s="3" t="inlineStr">
        <is>
          <t>Darbhanga</t>
        </is>
      </c>
      <c r="E215" s="3" t="inlineStr">
        <is>
          <t>K. Sharma</t>
        </is>
      </c>
      <c r="F215" s="3" t="inlineStr">
        <is>
          <t>Vehicle</t>
        </is>
      </c>
      <c r="G215" s="4" t="n">
        <v>46208</v>
      </c>
      <c r="H215" s="5" t="n">
        <v>16333</v>
      </c>
    </row>
    <row r="216">
      <c r="A216" s="3" t="inlineStr">
        <is>
          <t>D0215</t>
        </is>
      </c>
      <c r="B216" s="3" t="inlineStr">
        <is>
          <t>A0036</t>
        </is>
      </c>
      <c r="C216" s="3" t="inlineStr">
        <is>
          <t>Bablu Kumar</t>
        </is>
      </c>
      <c r="D216" s="3" t="inlineStr">
        <is>
          <t>Darbhanga</t>
        </is>
      </c>
      <c r="E216" s="3" t="inlineStr">
        <is>
          <t>K. Sharma</t>
        </is>
      </c>
      <c r="F216" s="3" t="inlineStr">
        <is>
          <t>Vehicle</t>
        </is>
      </c>
      <c r="G216" s="4" t="n">
        <v>46239</v>
      </c>
      <c r="H216" s="5" t="n">
        <v>16333</v>
      </c>
    </row>
    <row r="217">
      <c r="A217" s="3" t="inlineStr">
        <is>
          <t>D0216</t>
        </is>
      </c>
      <c r="B217" s="3" t="inlineStr">
        <is>
          <t>A0036</t>
        </is>
      </c>
      <c r="C217" s="3" t="inlineStr">
        <is>
          <t>Bablu Kumar</t>
        </is>
      </c>
      <c r="D217" s="3" t="inlineStr">
        <is>
          <t>Darbhanga</t>
        </is>
      </c>
      <c r="E217" s="3" t="inlineStr">
        <is>
          <t>K. Sharma</t>
        </is>
      </c>
      <c r="F217" s="3" t="inlineStr">
        <is>
          <t>Vehicle</t>
        </is>
      </c>
      <c r="G217" s="4" t="n">
        <v>46270</v>
      </c>
      <c r="H217" s="5" t="n">
        <v>16333</v>
      </c>
    </row>
    <row r="218">
      <c r="A218" s="3" t="inlineStr">
        <is>
          <t>D0217</t>
        </is>
      </c>
      <c r="B218" s="3" t="inlineStr">
        <is>
          <t>A0037</t>
        </is>
      </c>
      <c r="C218" s="3" t="inlineStr">
        <is>
          <t>Geeta Rai</t>
        </is>
      </c>
      <c r="D218" s="3" t="inlineStr">
        <is>
          <t>Darbhanga</t>
        </is>
      </c>
      <c r="E218" s="3" t="inlineStr">
        <is>
          <t>A. Verma</t>
        </is>
      </c>
      <c r="F218" s="3" t="inlineStr">
        <is>
          <t>Agri</t>
        </is>
      </c>
      <c r="G218" s="4" t="n">
        <v>46117</v>
      </c>
      <c r="H218" s="5" t="n">
        <v>22833</v>
      </c>
    </row>
    <row r="219">
      <c r="A219" s="3" t="inlineStr">
        <is>
          <t>D0218</t>
        </is>
      </c>
      <c r="B219" s="3" t="inlineStr">
        <is>
          <t>A0037</t>
        </is>
      </c>
      <c r="C219" s="3" t="inlineStr">
        <is>
          <t>Geeta Rai</t>
        </is>
      </c>
      <c r="D219" s="3" t="inlineStr">
        <is>
          <t>Darbhanga</t>
        </is>
      </c>
      <c r="E219" s="3" t="inlineStr">
        <is>
          <t>A. Verma</t>
        </is>
      </c>
      <c r="F219" s="3" t="inlineStr">
        <is>
          <t>Agri</t>
        </is>
      </c>
      <c r="G219" s="4" t="n">
        <v>46147</v>
      </c>
      <c r="H219" s="5" t="n">
        <v>22833</v>
      </c>
    </row>
    <row r="220">
      <c r="A220" s="3" t="inlineStr">
        <is>
          <t>D0219</t>
        </is>
      </c>
      <c r="B220" s="3" t="inlineStr">
        <is>
          <t>A0037</t>
        </is>
      </c>
      <c r="C220" s="3" t="inlineStr">
        <is>
          <t>Geeta Rai</t>
        </is>
      </c>
      <c r="D220" s="3" t="inlineStr">
        <is>
          <t>Darbhanga</t>
        </is>
      </c>
      <c r="E220" s="3" t="inlineStr">
        <is>
          <t>A. Verma</t>
        </is>
      </c>
      <c r="F220" s="3" t="inlineStr">
        <is>
          <t>Agri</t>
        </is>
      </c>
      <c r="G220" s="4" t="n">
        <v>46178</v>
      </c>
      <c r="H220" s="5" t="n">
        <v>22833</v>
      </c>
    </row>
    <row r="221">
      <c r="A221" s="3" t="inlineStr">
        <is>
          <t>D0220</t>
        </is>
      </c>
      <c r="B221" s="3" t="inlineStr">
        <is>
          <t>A0037</t>
        </is>
      </c>
      <c r="C221" s="3" t="inlineStr">
        <is>
          <t>Geeta Rai</t>
        </is>
      </c>
      <c r="D221" s="3" t="inlineStr">
        <is>
          <t>Darbhanga</t>
        </is>
      </c>
      <c r="E221" s="3" t="inlineStr">
        <is>
          <t>A. Verma</t>
        </is>
      </c>
      <c r="F221" s="3" t="inlineStr">
        <is>
          <t>Agri</t>
        </is>
      </c>
      <c r="G221" s="4" t="n">
        <v>46208</v>
      </c>
      <c r="H221" s="5" t="n">
        <v>22833</v>
      </c>
    </row>
    <row r="222">
      <c r="A222" s="3" t="inlineStr">
        <is>
          <t>D0221</t>
        </is>
      </c>
      <c r="B222" s="3" t="inlineStr">
        <is>
          <t>A0037</t>
        </is>
      </c>
      <c r="C222" s="3" t="inlineStr">
        <is>
          <t>Geeta Rai</t>
        </is>
      </c>
      <c r="D222" s="3" t="inlineStr">
        <is>
          <t>Darbhanga</t>
        </is>
      </c>
      <c r="E222" s="3" t="inlineStr">
        <is>
          <t>A. Verma</t>
        </is>
      </c>
      <c r="F222" s="3" t="inlineStr">
        <is>
          <t>Agri</t>
        </is>
      </c>
      <c r="G222" s="4" t="n">
        <v>46239</v>
      </c>
      <c r="H222" s="5" t="n">
        <v>22833</v>
      </c>
    </row>
    <row r="223">
      <c r="A223" s="3" t="inlineStr">
        <is>
          <t>D0222</t>
        </is>
      </c>
      <c r="B223" s="3" t="inlineStr">
        <is>
          <t>A0037</t>
        </is>
      </c>
      <c r="C223" s="3" t="inlineStr">
        <is>
          <t>Geeta Rai</t>
        </is>
      </c>
      <c r="D223" s="3" t="inlineStr">
        <is>
          <t>Darbhanga</t>
        </is>
      </c>
      <c r="E223" s="3" t="inlineStr">
        <is>
          <t>A. Verma</t>
        </is>
      </c>
      <c r="F223" s="3" t="inlineStr">
        <is>
          <t>Agri</t>
        </is>
      </c>
      <c r="G223" s="4" t="n">
        <v>46270</v>
      </c>
      <c r="H223" s="5" t="n">
        <v>22833</v>
      </c>
    </row>
    <row r="224">
      <c r="A224" s="3" t="inlineStr">
        <is>
          <t>D0223</t>
        </is>
      </c>
      <c r="B224" s="3" t="inlineStr">
        <is>
          <t>A0038</t>
        </is>
      </c>
      <c r="C224" s="3" t="inlineStr">
        <is>
          <t>Ravi Tiwari</t>
        </is>
      </c>
      <c r="D224" s="3" t="inlineStr">
        <is>
          <t>Patna</t>
        </is>
      </c>
      <c r="E224" s="3" t="inlineStr">
        <is>
          <t>A. Verma</t>
        </is>
      </c>
      <c r="F224" s="3" t="inlineStr">
        <is>
          <t>Vehicle</t>
        </is>
      </c>
      <c r="G224" s="4" t="n">
        <v>46117</v>
      </c>
      <c r="H224" s="5" t="n">
        <v>11167</v>
      </c>
    </row>
    <row r="225">
      <c r="A225" s="3" t="inlineStr">
        <is>
          <t>D0224</t>
        </is>
      </c>
      <c r="B225" s="3" t="inlineStr">
        <is>
          <t>A0038</t>
        </is>
      </c>
      <c r="C225" s="3" t="inlineStr">
        <is>
          <t>Ravi Tiwari</t>
        </is>
      </c>
      <c r="D225" s="3" t="inlineStr">
        <is>
          <t>Patna</t>
        </is>
      </c>
      <c r="E225" s="3" t="inlineStr">
        <is>
          <t>A. Verma</t>
        </is>
      </c>
      <c r="F225" s="3" t="inlineStr">
        <is>
          <t>Vehicle</t>
        </is>
      </c>
      <c r="G225" s="4" t="n">
        <v>46147</v>
      </c>
      <c r="H225" s="5" t="n">
        <v>11167</v>
      </c>
    </row>
    <row r="226">
      <c r="A226" s="3" t="inlineStr">
        <is>
          <t>D0225</t>
        </is>
      </c>
      <c r="B226" s="3" t="inlineStr">
        <is>
          <t>A0038</t>
        </is>
      </c>
      <c r="C226" s="3" t="inlineStr">
        <is>
          <t>Ravi Tiwari</t>
        </is>
      </c>
      <c r="D226" s="3" t="inlineStr">
        <is>
          <t>Patna</t>
        </is>
      </c>
      <c r="E226" s="3" t="inlineStr">
        <is>
          <t>A. Verma</t>
        </is>
      </c>
      <c r="F226" s="3" t="inlineStr">
        <is>
          <t>Vehicle</t>
        </is>
      </c>
      <c r="G226" s="4" t="n">
        <v>46178</v>
      </c>
      <c r="H226" s="5" t="n">
        <v>11167</v>
      </c>
    </row>
    <row r="227">
      <c r="A227" s="3" t="inlineStr">
        <is>
          <t>D0226</t>
        </is>
      </c>
      <c r="B227" s="3" t="inlineStr">
        <is>
          <t>A0038</t>
        </is>
      </c>
      <c r="C227" s="3" t="inlineStr">
        <is>
          <t>Ravi Tiwari</t>
        </is>
      </c>
      <c r="D227" s="3" t="inlineStr">
        <is>
          <t>Patna</t>
        </is>
      </c>
      <c r="E227" s="3" t="inlineStr">
        <is>
          <t>A. Verma</t>
        </is>
      </c>
      <c r="F227" s="3" t="inlineStr">
        <is>
          <t>Vehicle</t>
        </is>
      </c>
      <c r="G227" s="4" t="n">
        <v>46208</v>
      </c>
      <c r="H227" s="5" t="n">
        <v>11167</v>
      </c>
    </row>
    <row r="228">
      <c r="A228" s="3" t="inlineStr">
        <is>
          <t>D0227</t>
        </is>
      </c>
      <c r="B228" s="3" t="inlineStr">
        <is>
          <t>A0038</t>
        </is>
      </c>
      <c r="C228" s="3" t="inlineStr">
        <is>
          <t>Ravi Tiwari</t>
        </is>
      </c>
      <c r="D228" s="3" t="inlineStr">
        <is>
          <t>Patna</t>
        </is>
      </c>
      <c r="E228" s="3" t="inlineStr">
        <is>
          <t>A. Verma</t>
        </is>
      </c>
      <c r="F228" s="3" t="inlineStr">
        <is>
          <t>Vehicle</t>
        </is>
      </c>
      <c r="G228" s="4" t="n">
        <v>46239</v>
      </c>
      <c r="H228" s="5" t="n">
        <v>11167</v>
      </c>
    </row>
    <row r="229">
      <c r="A229" s="3" t="inlineStr">
        <is>
          <t>D0228</t>
        </is>
      </c>
      <c r="B229" s="3" t="inlineStr">
        <is>
          <t>A0038</t>
        </is>
      </c>
      <c r="C229" s="3" t="inlineStr">
        <is>
          <t>Ravi Tiwari</t>
        </is>
      </c>
      <c r="D229" s="3" t="inlineStr">
        <is>
          <t>Patna</t>
        </is>
      </c>
      <c r="E229" s="3" t="inlineStr">
        <is>
          <t>A. Verma</t>
        </is>
      </c>
      <c r="F229" s="3" t="inlineStr">
        <is>
          <t>Vehicle</t>
        </is>
      </c>
      <c r="G229" s="4" t="n">
        <v>46270</v>
      </c>
      <c r="H229" s="5" t="n">
        <v>11167</v>
      </c>
    </row>
    <row r="230">
      <c r="A230" s="3" t="inlineStr">
        <is>
          <t>D0229</t>
        </is>
      </c>
      <c r="B230" s="3" t="inlineStr">
        <is>
          <t>A0039</t>
        </is>
      </c>
      <c r="C230" s="3" t="inlineStr">
        <is>
          <t>Ramesh Yadav</t>
        </is>
      </c>
      <c r="D230" s="3" t="inlineStr">
        <is>
          <t>Darbhanga</t>
        </is>
      </c>
      <c r="E230" s="3" t="inlineStr">
        <is>
          <t>K. Sharma</t>
        </is>
      </c>
      <c r="F230" s="3" t="inlineStr">
        <is>
          <t>Vehicle</t>
        </is>
      </c>
      <c r="G230" s="4" t="n">
        <v>46117</v>
      </c>
      <c r="H230" s="5" t="n">
        <v>27000</v>
      </c>
    </row>
    <row r="231">
      <c r="A231" s="3" t="inlineStr">
        <is>
          <t>D0230</t>
        </is>
      </c>
      <c r="B231" s="3" t="inlineStr">
        <is>
          <t>A0039</t>
        </is>
      </c>
      <c r="C231" s="3" t="inlineStr">
        <is>
          <t>Ramesh Yadav</t>
        </is>
      </c>
      <c r="D231" s="3" t="inlineStr">
        <is>
          <t>Darbhanga</t>
        </is>
      </c>
      <c r="E231" s="3" t="inlineStr">
        <is>
          <t>K. Sharma</t>
        </is>
      </c>
      <c r="F231" s="3" t="inlineStr">
        <is>
          <t>Vehicle</t>
        </is>
      </c>
      <c r="G231" s="4" t="n">
        <v>46147</v>
      </c>
      <c r="H231" s="5" t="n">
        <v>27000</v>
      </c>
    </row>
    <row r="232">
      <c r="A232" s="3" t="inlineStr">
        <is>
          <t>D0231</t>
        </is>
      </c>
      <c r="B232" s="3" t="inlineStr">
        <is>
          <t>A0039</t>
        </is>
      </c>
      <c r="C232" s="3" t="inlineStr">
        <is>
          <t>Ramesh Yadav</t>
        </is>
      </c>
      <c r="D232" s="3" t="inlineStr">
        <is>
          <t>Darbhanga</t>
        </is>
      </c>
      <c r="E232" s="3" t="inlineStr">
        <is>
          <t>K. Sharma</t>
        </is>
      </c>
      <c r="F232" s="3" t="inlineStr">
        <is>
          <t>Vehicle</t>
        </is>
      </c>
      <c r="G232" s="4" t="n">
        <v>46178</v>
      </c>
      <c r="H232" s="5" t="n">
        <v>27000</v>
      </c>
    </row>
    <row r="233">
      <c r="A233" s="3" t="inlineStr">
        <is>
          <t>D0232</t>
        </is>
      </c>
      <c r="B233" s="3" t="inlineStr">
        <is>
          <t>A0039</t>
        </is>
      </c>
      <c r="C233" s="3" t="inlineStr">
        <is>
          <t>Ramesh Yadav</t>
        </is>
      </c>
      <c r="D233" s="3" t="inlineStr">
        <is>
          <t>Darbhanga</t>
        </is>
      </c>
      <c r="E233" s="3" t="inlineStr">
        <is>
          <t>K. Sharma</t>
        </is>
      </c>
      <c r="F233" s="3" t="inlineStr">
        <is>
          <t>Vehicle</t>
        </is>
      </c>
      <c r="G233" s="4" t="n">
        <v>46208</v>
      </c>
      <c r="H233" s="5" t="n">
        <v>27000</v>
      </c>
    </row>
    <row r="234">
      <c r="A234" s="3" t="inlineStr">
        <is>
          <t>D0233</t>
        </is>
      </c>
      <c r="B234" s="3" t="inlineStr">
        <is>
          <t>A0039</t>
        </is>
      </c>
      <c r="C234" s="3" t="inlineStr">
        <is>
          <t>Ramesh Yadav</t>
        </is>
      </c>
      <c r="D234" s="3" t="inlineStr">
        <is>
          <t>Darbhanga</t>
        </is>
      </c>
      <c r="E234" s="3" t="inlineStr">
        <is>
          <t>K. Sharma</t>
        </is>
      </c>
      <c r="F234" s="3" t="inlineStr">
        <is>
          <t>Vehicle</t>
        </is>
      </c>
      <c r="G234" s="4" t="n">
        <v>46239</v>
      </c>
      <c r="H234" s="5" t="n">
        <v>27000</v>
      </c>
    </row>
    <row r="235">
      <c r="A235" s="3" t="inlineStr">
        <is>
          <t>D0234</t>
        </is>
      </c>
      <c r="B235" s="3" t="inlineStr">
        <is>
          <t>A0039</t>
        </is>
      </c>
      <c r="C235" s="3" t="inlineStr">
        <is>
          <t>Ramesh Yadav</t>
        </is>
      </c>
      <c r="D235" s="3" t="inlineStr">
        <is>
          <t>Darbhanga</t>
        </is>
      </c>
      <c r="E235" s="3" t="inlineStr">
        <is>
          <t>K. Sharma</t>
        </is>
      </c>
      <c r="F235" s="3" t="inlineStr">
        <is>
          <t>Vehicle</t>
        </is>
      </c>
      <c r="G235" s="4" t="n">
        <v>46270</v>
      </c>
      <c r="H235" s="5" t="n">
        <v>27000</v>
      </c>
    </row>
    <row r="236">
      <c r="A236" s="3" t="inlineStr">
        <is>
          <t>D0235</t>
        </is>
      </c>
      <c r="B236" s="3" t="inlineStr">
        <is>
          <t>A0040</t>
        </is>
      </c>
      <c r="C236" s="3" t="inlineStr">
        <is>
          <t>Bablu Mishra</t>
        </is>
      </c>
      <c r="D236" s="3" t="inlineStr">
        <is>
          <t>Bhagalpur</t>
        </is>
      </c>
      <c r="E236" s="3" t="inlineStr">
        <is>
          <t>A. Verma</t>
        </is>
      </c>
      <c r="F236" s="3" t="inlineStr">
        <is>
          <t>Agri</t>
        </is>
      </c>
      <c r="G236" s="4" t="n">
        <v>46117</v>
      </c>
      <c r="H236" s="5" t="n">
        <v>7167</v>
      </c>
    </row>
    <row r="237">
      <c r="A237" s="3" t="inlineStr">
        <is>
          <t>D0236</t>
        </is>
      </c>
      <c r="B237" s="3" t="inlineStr">
        <is>
          <t>A0040</t>
        </is>
      </c>
      <c r="C237" s="3" t="inlineStr">
        <is>
          <t>Bablu Mishra</t>
        </is>
      </c>
      <c r="D237" s="3" t="inlineStr">
        <is>
          <t>Bhagalpur</t>
        </is>
      </c>
      <c r="E237" s="3" t="inlineStr">
        <is>
          <t>A. Verma</t>
        </is>
      </c>
      <c r="F237" s="3" t="inlineStr">
        <is>
          <t>Agri</t>
        </is>
      </c>
      <c r="G237" s="4" t="n">
        <v>46147</v>
      </c>
      <c r="H237" s="5" t="n">
        <v>7167</v>
      </c>
    </row>
    <row r="238">
      <c r="A238" s="3" t="inlineStr">
        <is>
          <t>D0237</t>
        </is>
      </c>
      <c r="B238" s="3" t="inlineStr">
        <is>
          <t>A0040</t>
        </is>
      </c>
      <c r="C238" s="3" t="inlineStr">
        <is>
          <t>Bablu Mishra</t>
        </is>
      </c>
      <c r="D238" s="3" t="inlineStr">
        <is>
          <t>Bhagalpur</t>
        </is>
      </c>
      <c r="E238" s="3" t="inlineStr">
        <is>
          <t>A. Verma</t>
        </is>
      </c>
      <c r="F238" s="3" t="inlineStr">
        <is>
          <t>Agri</t>
        </is>
      </c>
      <c r="G238" s="4" t="n">
        <v>46178</v>
      </c>
      <c r="H238" s="5" t="n">
        <v>7167</v>
      </c>
    </row>
    <row r="239">
      <c r="A239" s="3" t="inlineStr">
        <is>
          <t>D0238</t>
        </is>
      </c>
      <c r="B239" s="3" t="inlineStr">
        <is>
          <t>A0040</t>
        </is>
      </c>
      <c r="C239" s="3" t="inlineStr">
        <is>
          <t>Bablu Mishra</t>
        </is>
      </c>
      <c r="D239" s="3" t="inlineStr">
        <is>
          <t>Bhagalpur</t>
        </is>
      </c>
      <c r="E239" s="3" t="inlineStr">
        <is>
          <t>A. Verma</t>
        </is>
      </c>
      <c r="F239" s="3" t="inlineStr">
        <is>
          <t>Agri</t>
        </is>
      </c>
      <c r="G239" s="4" t="n">
        <v>46208</v>
      </c>
      <c r="H239" s="5" t="n">
        <v>7167</v>
      </c>
    </row>
    <row r="240">
      <c r="A240" s="3" t="inlineStr">
        <is>
          <t>D0239</t>
        </is>
      </c>
      <c r="B240" s="3" t="inlineStr">
        <is>
          <t>A0040</t>
        </is>
      </c>
      <c r="C240" s="3" t="inlineStr">
        <is>
          <t>Bablu Mishra</t>
        </is>
      </c>
      <c r="D240" s="3" t="inlineStr">
        <is>
          <t>Bhagalpur</t>
        </is>
      </c>
      <c r="E240" s="3" t="inlineStr">
        <is>
          <t>A. Verma</t>
        </is>
      </c>
      <c r="F240" s="3" t="inlineStr">
        <is>
          <t>Agri</t>
        </is>
      </c>
      <c r="G240" s="4" t="n">
        <v>46239</v>
      </c>
      <c r="H240" s="5" t="n">
        <v>7167</v>
      </c>
    </row>
    <row r="241">
      <c r="A241" s="3" t="inlineStr">
        <is>
          <t>D0240</t>
        </is>
      </c>
      <c r="B241" s="3" t="inlineStr">
        <is>
          <t>A0040</t>
        </is>
      </c>
      <c r="C241" s="3" t="inlineStr">
        <is>
          <t>Bablu Mishra</t>
        </is>
      </c>
      <c r="D241" s="3" t="inlineStr">
        <is>
          <t>Bhagalpur</t>
        </is>
      </c>
      <c r="E241" s="3" t="inlineStr">
        <is>
          <t>A. Verma</t>
        </is>
      </c>
      <c r="F241" s="3" t="inlineStr">
        <is>
          <t>Agri</t>
        </is>
      </c>
      <c r="G241" s="4" t="n">
        <v>46270</v>
      </c>
      <c r="H241" s="5" t="n">
        <v>7167</v>
      </c>
    </row>
    <row r="242">
      <c r="A242" s="3" t="inlineStr">
        <is>
          <t>D0241</t>
        </is>
      </c>
      <c r="B242" s="3" t="inlineStr">
        <is>
          <t>A0041</t>
        </is>
      </c>
      <c r="C242" s="3" t="inlineStr">
        <is>
          <t>Rina Mishra</t>
        </is>
      </c>
      <c r="D242" s="3" t="inlineStr">
        <is>
          <t>Muzaffarpur</t>
        </is>
      </c>
      <c r="E242" s="3" t="inlineStr">
        <is>
          <t>S. Gupta</t>
        </is>
      </c>
      <c r="F242" s="3" t="inlineStr">
        <is>
          <t>Personal</t>
        </is>
      </c>
      <c r="G242" s="4" t="n">
        <v>46117</v>
      </c>
      <c r="H242" s="5" t="n">
        <v>19667</v>
      </c>
    </row>
    <row r="243">
      <c r="A243" s="3" t="inlineStr">
        <is>
          <t>D0242</t>
        </is>
      </c>
      <c r="B243" s="3" t="inlineStr">
        <is>
          <t>A0041</t>
        </is>
      </c>
      <c r="C243" s="3" t="inlineStr">
        <is>
          <t>Rina Mishra</t>
        </is>
      </c>
      <c r="D243" s="3" t="inlineStr">
        <is>
          <t>Muzaffarpur</t>
        </is>
      </c>
      <c r="E243" s="3" t="inlineStr">
        <is>
          <t>S. Gupta</t>
        </is>
      </c>
      <c r="F243" s="3" t="inlineStr">
        <is>
          <t>Personal</t>
        </is>
      </c>
      <c r="G243" s="4" t="n">
        <v>46147</v>
      </c>
      <c r="H243" s="5" t="n">
        <v>19667</v>
      </c>
    </row>
    <row r="244">
      <c r="A244" s="3" t="inlineStr">
        <is>
          <t>D0243</t>
        </is>
      </c>
      <c r="B244" s="3" t="inlineStr">
        <is>
          <t>A0041</t>
        </is>
      </c>
      <c r="C244" s="3" t="inlineStr">
        <is>
          <t>Rina Mishra</t>
        </is>
      </c>
      <c r="D244" s="3" t="inlineStr">
        <is>
          <t>Muzaffarpur</t>
        </is>
      </c>
      <c r="E244" s="3" t="inlineStr">
        <is>
          <t>S. Gupta</t>
        </is>
      </c>
      <c r="F244" s="3" t="inlineStr">
        <is>
          <t>Personal</t>
        </is>
      </c>
      <c r="G244" s="4" t="n">
        <v>46178</v>
      </c>
      <c r="H244" s="5" t="n">
        <v>19667</v>
      </c>
    </row>
    <row r="245">
      <c r="A245" s="3" t="inlineStr">
        <is>
          <t>D0244</t>
        </is>
      </c>
      <c r="B245" s="3" t="inlineStr">
        <is>
          <t>A0041</t>
        </is>
      </c>
      <c r="C245" s="3" t="inlineStr">
        <is>
          <t>Rina Mishra</t>
        </is>
      </c>
      <c r="D245" s="3" t="inlineStr">
        <is>
          <t>Muzaffarpur</t>
        </is>
      </c>
      <c r="E245" s="3" t="inlineStr">
        <is>
          <t>S. Gupta</t>
        </is>
      </c>
      <c r="F245" s="3" t="inlineStr">
        <is>
          <t>Personal</t>
        </is>
      </c>
      <c r="G245" s="4" t="n">
        <v>46208</v>
      </c>
      <c r="H245" s="5" t="n">
        <v>19667</v>
      </c>
    </row>
    <row r="246">
      <c r="A246" s="3" t="inlineStr">
        <is>
          <t>D0245</t>
        </is>
      </c>
      <c r="B246" s="3" t="inlineStr">
        <is>
          <t>A0041</t>
        </is>
      </c>
      <c r="C246" s="3" t="inlineStr">
        <is>
          <t>Rina Mishra</t>
        </is>
      </c>
      <c r="D246" s="3" t="inlineStr">
        <is>
          <t>Muzaffarpur</t>
        </is>
      </c>
      <c r="E246" s="3" t="inlineStr">
        <is>
          <t>S. Gupta</t>
        </is>
      </c>
      <c r="F246" s="3" t="inlineStr">
        <is>
          <t>Personal</t>
        </is>
      </c>
      <c r="G246" s="4" t="n">
        <v>46239</v>
      </c>
      <c r="H246" s="5" t="n">
        <v>19667</v>
      </c>
    </row>
    <row r="247">
      <c r="A247" s="3" t="inlineStr">
        <is>
          <t>D0246</t>
        </is>
      </c>
      <c r="B247" s="3" t="inlineStr">
        <is>
          <t>A0041</t>
        </is>
      </c>
      <c r="C247" s="3" t="inlineStr">
        <is>
          <t>Rina Mishra</t>
        </is>
      </c>
      <c r="D247" s="3" t="inlineStr">
        <is>
          <t>Muzaffarpur</t>
        </is>
      </c>
      <c r="E247" s="3" t="inlineStr">
        <is>
          <t>S. Gupta</t>
        </is>
      </c>
      <c r="F247" s="3" t="inlineStr">
        <is>
          <t>Personal</t>
        </is>
      </c>
      <c r="G247" s="4" t="n">
        <v>46270</v>
      </c>
      <c r="H247" s="5" t="n">
        <v>19667</v>
      </c>
    </row>
    <row r="248">
      <c r="A248" s="3" t="inlineStr">
        <is>
          <t>D0247</t>
        </is>
      </c>
      <c r="B248" s="3" t="inlineStr">
        <is>
          <t>A0042</t>
        </is>
      </c>
      <c r="C248" s="3" t="inlineStr">
        <is>
          <t>Amit Verma</t>
        </is>
      </c>
      <c r="D248" s="3" t="inlineStr">
        <is>
          <t>Darbhanga</t>
        </is>
      </c>
      <c r="E248" s="3" t="inlineStr">
        <is>
          <t>P. Yadav</t>
        </is>
      </c>
      <c r="F248" s="3" t="inlineStr">
        <is>
          <t>Trade</t>
        </is>
      </c>
      <c r="G248" s="4" t="n">
        <v>46117</v>
      </c>
      <c r="H248" s="5" t="n">
        <v>11000</v>
      </c>
    </row>
    <row r="249">
      <c r="A249" s="3" t="inlineStr">
        <is>
          <t>D0248</t>
        </is>
      </c>
      <c r="B249" s="3" t="inlineStr">
        <is>
          <t>A0042</t>
        </is>
      </c>
      <c r="C249" s="3" t="inlineStr">
        <is>
          <t>Amit Verma</t>
        </is>
      </c>
      <c r="D249" s="3" t="inlineStr">
        <is>
          <t>Darbhanga</t>
        </is>
      </c>
      <c r="E249" s="3" t="inlineStr">
        <is>
          <t>P. Yadav</t>
        </is>
      </c>
      <c r="F249" s="3" t="inlineStr">
        <is>
          <t>Trade</t>
        </is>
      </c>
      <c r="G249" s="4" t="n">
        <v>46147</v>
      </c>
      <c r="H249" s="5" t="n">
        <v>11000</v>
      </c>
    </row>
    <row r="250">
      <c r="A250" s="3" t="inlineStr">
        <is>
          <t>D0249</t>
        </is>
      </c>
      <c r="B250" s="3" t="inlineStr">
        <is>
          <t>A0042</t>
        </is>
      </c>
      <c r="C250" s="3" t="inlineStr">
        <is>
          <t>Amit Verma</t>
        </is>
      </c>
      <c r="D250" s="3" t="inlineStr">
        <is>
          <t>Darbhanga</t>
        </is>
      </c>
      <c r="E250" s="3" t="inlineStr">
        <is>
          <t>P. Yadav</t>
        </is>
      </c>
      <c r="F250" s="3" t="inlineStr">
        <is>
          <t>Trade</t>
        </is>
      </c>
      <c r="G250" s="4" t="n">
        <v>46178</v>
      </c>
      <c r="H250" s="5" t="n">
        <v>11000</v>
      </c>
    </row>
    <row r="251">
      <c r="A251" s="3" t="inlineStr">
        <is>
          <t>D0250</t>
        </is>
      </c>
      <c r="B251" s="3" t="inlineStr">
        <is>
          <t>A0042</t>
        </is>
      </c>
      <c r="C251" s="3" t="inlineStr">
        <is>
          <t>Amit Verma</t>
        </is>
      </c>
      <c r="D251" s="3" t="inlineStr">
        <is>
          <t>Darbhanga</t>
        </is>
      </c>
      <c r="E251" s="3" t="inlineStr">
        <is>
          <t>P. Yadav</t>
        </is>
      </c>
      <c r="F251" s="3" t="inlineStr">
        <is>
          <t>Trade</t>
        </is>
      </c>
      <c r="G251" s="4" t="n">
        <v>46208</v>
      </c>
      <c r="H251" s="5" t="n">
        <v>11000</v>
      </c>
    </row>
    <row r="252">
      <c r="A252" s="3" t="inlineStr">
        <is>
          <t>D0251</t>
        </is>
      </c>
      <c r="B252" s="3" t="inlineStr">
        <is>
          <t>A0042</t>
        </is>
      </c>
      <c r="C252" s="3" t="inlineStr">
        <is>
          <t>Amit Verma</t>
        </is>
      </c>
      <c r="D252" s="3" t="inlineStr">
        <is>
          <t>Darbhanga</t>
        </is>
      </c>
      <c r="E252" s="3" t="inlineStr">
        <is>
          <t>P. Yadav</t>
        </is>
      </c>
      <c r="F252" s="3" t="inlineStr">
        <is>
          <t>Trade</t>
        </is>
      </c>
      <c r="G252" s="4" t="n">
        <v>46239</v>
      </c>
      <c r="H252" s="5" t="n">
        <v>11000</v>
      </c>
    </row>
    <row r="253">
      <c r="A253" s="3" t="inlineStr">
        <is>
          <t>D0252</t>
        </is>
      </c>
      <c r="B253" s="3" t="inlineStr">
        <is>
          <t>A0042</t>
        </is>
      </c>
      <c r="C253" s="3" t="inlineStr">
        <is>
          <t>Amit Verma</t>
        </is>
      </c>
      <c r="D253" s="3" t="inlineStr">
        <is>
          <t>Darbhanga</t>
        </is>
      </c>
      <c r="E253" s="3" t="inlineStr">
        <is>
          <t>P. Yadav</t>
        </is>
      </c>
      <c r="F253" s="3" t="inlineStr">
        <is>
          <t>Trade</t>
        </is>
      </c>
      <c r="G253" s="4" t="n">
        <v>46270</v>
      </c>
      <c r="H253" s="5" t="n">
        <v>11000</v>
      </c>
    </row>
    <row r="254">
      <c r="A254" s="3" t="inlineStr">
        <is>
          <t>D0253</t>
        </is>
      </c>
      <c r="B254" s="3" t="inlineStr">
        <is>
          <t>A0043</t>
        </is>
      </c>
      <c r="C254" s="3" t="inlineStr">
        <is>
          <t>Umesh Sah</t>
        </is>
      </c>
      <c r="D254" s="3" t="inlineStr">
        <is>
          <t>Darbhanga</t>
        </is>
      </c>
      <c r="E254" s="3" t="inlineStr">
        <is>
          <t>R. Singh</t>
        </is>
      </c>
      <c r="F254" s="3" t="inlineStr">
        <is>
          <t>Trade</t>
        </is>
      </c>
      <c r="G254" s="4" t="n">
        <v>46117</v>
      </c>
      <c r="H254" s="5" t="n">
        <v>25667</v>
      </c>
    </row>
    <row r="255">
      <c r="A255" s="3" t="inlineStr">
        <is>
          <t>D0254</t>
        </is>
      </c>
      <c r="B255" s="3" t="inlineStr">
        <is>
          <t>A0043</t>
        </is>
      </c>
      <c r="C255" s="3" t="inlineStr">
        <is>
          <t>Umesh Sah</t>
        </is>
      </c>
      <c r="D255" s="3" t="inlineStr">
        <is>
          <t>Darbhanga</t>
        </is>
      </c>
      <c r="E255" s="3" t="inlineStr">
        <is>
          <t>R. Singh</t>
        </is>
      </c>
      <c r="F255" s="3" t="inlineStr">
        <is>
          <t>Trade</t>
        </is>
      </c>
      <c r="G255" s="4" t="n">
        <v>46147</v>
      </c>
      <c r="H255" s="5" t="n">
        <v>25667</v>
      </c>
    </row>
    <row r="256">
      <c r="A256" s="3" t="inlineStr">
        <is>
          <t>D0255</t>
        </is>
      </c>
      <c r="B256" s="3" t="inlineStr">
        <is>
          <t>A0043</t>
        </is>
      </c>
      <c r="C256" s="3" t="inlineStr">
        <is>
          <t>Umesh Sah</t>
        </is>
      </c>
      <c r="D256" s="3" t="inlineStr">
        <is>
          <t>Darbhanga</t>
        </is>
      </c>
      <c r="E256" s="3" t="inlineStr">
        <is>
          <t>R. Singh</t>
        </is>
      </c>
      <c r="F256" s="3" t="inlineStr">
        <is>
          <t>Trade</t>
        </is>
      </c>
      <c r="G256" s="4" t="n">
        <v>46178</v>
      </c>
      <c r="H256" s="5" t="n">
        <v>25667</v>
      </c>
    </row>
    <row r="257">
      <c r="A257" s="3" t="inlineStr">
        <is>
          <t>D0256</t>
        </is>
      </c>
      <c r="B257" s="3" t="inlineStr">
        <is>
          <t>A0043</t>
        </is>
      </c>
      <c r="C257" s="3" t="inlineStr">
        <is>
          <t>Umesh Sah</t>
        </is>
      </c>
      <c r="D257" s="3" t="inlineStr">
        <is>
          <t>Darbhanga</t>
        </is>
      </c>
      <c r="E257" s="3" t="inlineStr">
        <is>
          <t>R. Singh</t>
        </is>
      </c>
      <c r="F257" s="3" t="inlineStr">
        <is>
          <t>Trade</t>
        </is>
      </c>
      <c r="G257" s="4" t="n">
        <v>46208</v>
      </c>
      <c r="H257" s="5" t="n">
        <v>25667</v>
      </c>
    </row>
    <row r="258">
      <c r="A258" s="3" t="inlineStr">
        <is>
          <t>D0257</t>
        </is>
      </c>
      <c r="B258" s="3" t="inlineStr">
        <is>
          <t>A0043</t>
        </is>
      </c>
      <c r="C258" s="3" t="inlineStr">
        <is>
          <t>Umesh Sah</t>
        </is>
      </c>
      <c r="D258" s="3" t="inlineStr">
        <is>
          <t>Darbhanga</t>
        </is>
      </c>
      <c r="E258" s="3" t="inlineStr">
        <is>
          <t>R. Singh</t>
        </is>
      </c>
      <c r="F258" s="3" t="inlineStr">
        <is>
          <t>Trade</t>
        </is>
      </c>
      <c r="G258" s="4" t="n">
        <v>46239</v>
      </c>
      <c r="H258" s="5" t="n">
        <v>25667</v>
      </c>
    </row>
    <row r="259">
      <c r="A259" s="3" t="inlineStr">
        <is>
          <t>D0258</t>
        </is>
      </c>
      <c r="B259" s="3" t="inlineStr">
        <is>
          <t>A0043</t>
        </is>
      </c>
      <c r="C259" s="3" t="inlineStr">
        <is>
          <t>Umesh Sah</t>
        </is>
      </c>
      <c r="D259" s="3" t="inlineStr">
        <is>
          <t>Darbhanga</t>
        </is>
      </c>
      <c r="E259" s="3" t="inlineStr">
        <is>
          <t>R. Singh</t>
        </is>
      </c>
      <c r="F259" s="3" t="inlineStr">
        <is>
          <t>Trade</t>
        </is>
      </c>
      <c r="G259" s="4" t="n">
        <v>46270</v>
      </c>
      <c r="H259" s="5" t="n">
        <v>25667</v>
      </c>
    </row>
    <row r="260">
      <c r="A260" s="3" t="inlineStr">
        <is>
          <t>D0259</t>
        </is>
      </c>
      <c r="B260" s="3" t="inlineStr">
        <is>
          <t>A0044</t>
        </is>
      </c>
      <c r="C260" s="3" t="inlineStr">
        <is>
          <t>Prakash Chaudhary</t>
        </is>
      </c>
      <c r="D260" s="3" t="inlineStr">
        <is>
          <t>Patna</t>
        </is>
      </c>
      <c r="E260" s="3" t="inlineStr">
        <is>
          <t>P. Yadav</t>
        </is>
      </c>
      <c r="F260" s="3" t="inlineStr">
        <is>
          <t>Personal</t>
        </is>
      </c>
      <c r="G260" s="4" t="n">
        <v>46117</v>
      </c>
      <c r="H260" s="5" t="n">
        <v>18000</v>
      </c>
    </row>
    <row r="261">
      <c r="A261" s="3" t="inlineStr">
        <is>
          <t>D0260</t>
        </is>
      </c>
      <c r="B261" s="3" t="inlineStr">
        <is>
          <t>A0044</t>
        </is>
      </c>
      <c r="C261" s="3" t="inlineStr">
        <is>
          <t>Prakash Chaudhary</t>
        </is>
      </c>
      <c r="D261" s="3" t="inlineStr">
        <is>
          <t>Patna</t>
        </is>
      </c>
      <c r="E261" s="3" t="inlineStr">
        <is>
          <t>P. Yadav</t>
        </is>
      </c>
      <c r="F261" s="3" t="inlineStr">
        <is>
          <t>Personal</t>
        </is>
      </c>
      <c r="G261" s="4" t="n">
        <v>46147</v>
      </c>
      <c r="H261" s="5" t="n">
        <v>18000</v>
      </c>
    </row>
    <row r="262">
      <c r="A262" s="3" t="inlineStr">
        <is>
          <t>D0261</t>
        </is>
      </c>
      <c r="B262" s="3" t="inlineStr">
        <is>
          <t>A0044</t>
        </is>
      </c>
      <c r="C262" s="3" t="inlineStr">
        <is>
          <t>Prakash Chaudhary</t>
        </is>
      </c>
      <c r="D262" s="3" t="inlineStr">
        <is>
          <t>Patna</t>
        </is>
      </c>
      <c r="E262" s="3" t="inlineStr">
        <is>
          <t>P. Yadav</t>
        </is>
      </c>
      <c r="F262" s="3" t="inlineStr">
        <is>
          <t>Personal</t>
        </is>
      </c>
      <c r="G262" s="4" t="n">
        <v>46178</v>
      </c>
      <c r="H262" s="5" t="n">
        <v>18000</v>
      </c>
    </row>
    <row r="263">
      <c r="A263" s="3" t="inlineStr">
        <is>
          <t>D0262</t>
        </is>
      </c>
      <c r="B263" s="3" t="inlineStr">
        <is>
          <t>A0044</t>
        </is>
      </c>
      <c r="C263" s="3" t="inlineStr">
        <is>
          <t>Prakash Chaudhary</t>
        </is>
      </c>
      <c r="D263" s="3" t="inlineStr">
        <is>
          <t>Patna</t>
        </is>
      </c>
      <c r="E263" s="3" t="inlineStr">
        <is>
          <t>P. Yadav</t>
        </is>
      </c>
      <c r="F263" s="3" t="inlineStr">
        <is>
          <t>Personal</t>
        </is>
      </c>
      <c r="G263" s="4" t="n">
        <v>46208</v>
      </c>
      <c r="H263" s="5" t="n">
        <v>18000</v>
      </c>
    </row>
    <row r="264">
      <c r="A264" s="3" t="inlineStr">
        <is>
          <t>D0263</t>
        </is>
      </c>
      <c r="B264" s="3" t="inlineStr">
        <is>
          <t>A0044</t>
        </is>
      </c>
      <c r="C264" s="3" t="inlineStr">
        <is>
          <t>Prakash Chaudhary</t>
        </is>
      </c>
      <c r="D264" s="3" t="inlineStr">
        <is>
          <t>Patna</t>
        </is>
      </c>
      <c r="E264" s="3" t="inlineStr">
        <is>
          <t>P. Yadav</t>
        </is>
      </c>
      <c r="F264" s="3" t="inlineStr">
        <is>
          <t>Personal</t>
        </is>
      </c>
      <c r="G264" s="4" t="n">
        <v>46239</v>
      </c>
      <c r="H264" s="5" t="n">
        <v>18000</v>
      </c>
    </row>
    <row r="265">
      <c r="A265" s="3" t="inlineStr">
        <is>
          <t>D0264</t>
        </is>
      </c>
      <c r="B265" s="3" t="inlineStr">
        <is>
          <t>A0044</t>
        </is>
      </c>
      <c r="C265" s="3" t="inlineStr">
        <is>
          <t>Prakash Chaudhary</t>
        </is>
      </c>
      <c r="D265" s="3" t="inlineStr">
        <is>
          <t>Patna</t>
        </is>
      </c>
      <c r="E265" s="3" t="inlineStr">
        <is>
          <t>P. Yadav</t>
        </is>
      </c>
      <c r="F265" s="3" t="inlineStr">
        <is>
          <t>Personal</t>
        </is>
      </c>
      <c r="G265" s="4" t="n">
        <v>46270</v>
      </c>
      <c r="H265" s="5" t="n">
        <v>18000</v>
      </c>
    </row>
    <row r="266">
      <c r="A266" s="3" t="inlineStr">
        <is>
          <t>D0265</t>
        </is>
      </c>
      <c r="B266" s="3" t="inlineStr">
        <is>
          <t>A0045</t>
        </is>
      </c>
      <c r="C266" s="3" t="inlineStr">
        <is>
          <t>Rajesh Prasad</t>
        </is>
      </c>
      <c r="D266" s="3" t="inlineStr">
        <is>
          <t>Bhagalpur</t>
        </is>
      </c>
      <c r="E266" s="3" t="inlineStr">
        <is>
          <t>R. Singh</t>
        </is>
      </c>
      <c r="F266" s="3" t="inlineStr">
        <is>
          <t>Housing</t>
        </is>
      </c>
      <c r="G266" s="4" t="n">
        <v>46117</v>
      </c>
      <c r="H266" s="5" t="n">
        <v>32500</v>
      </c>
    </row>
    <row r="267">
      <c r="A267" s="3" t="inlineStr">
        <is>
          <t>D0266</t>
        </is>
      </c>
      <c r="B267" s="3" t="inlineStr">
        <is>
          <t>A0045</t>
        </is>
      </c>
      <c r="C267" s="3" t="inlineStr">
        <is>
          <t>Rajesh Prasad</t>
        </is>
      </c>
      <c r="D267" s="3" t="inlineStr">
        <is>
          <t>Bhagalpur</t>
        </is>
      </c>
      <c r="E267" s="3" t="inlineStr">
        <is>
          <t>R. Singh</t>
        </is>
      </c>
      <c r="F267" s="3" t="inlineStr">
        <is>
          <t>Housing</t>
        </is>
      </c>
      <c r="G267" s="4" t="n">
        <v>46147</v>
      </c>
      <c r="H267" s="5" t="n">
        <v>32500</v>
      </c>
    </row>
    <row r="268">
      <c r="A268" s="3" t="inlineStr">
        <is>
          <t>D0267</t>
        </is>
      </c>
      <c r="B268" s="3" t="inlineStr">
        <is>
          <t>A0045</t>
        </is>
      </c>
      <c r="C268" s="3" t="inlineStr">
        <is>
          <t>Rajesh Prasad</t>
        </is>
      </c>
      <c r="D268" s="3" t="inlineStr">
        <is>
          <t>Bhagalpur</t>
        </is>
      </c>
      <c r="E268" s="3" t="inlineStr">
        <is>
          <t>R. Singh</t>
        </is>
      </c>
      <c r="F268" s="3" t="inlineStr">
        <is>
          <t>Housing</t>
        </is>
      </c>
      <c r="G268" s="4" t="n">
        <v>46178</v>
      </c>
      <c r="H268" s="5" t="n">
        <v>32500</v>
      </c>
    </row>
    <row r="269">
      <c r="A269" s="3" t="inlineStr">
        <is>
          <t>D0268</t>
        </is>
      </c>
      <c r="B269" s="3" t="inlineStr">
        <is>
          <t>A0045</t>
        </is>
      </c>
      <c r="C269" s="3" t="inlineStr">
        <is>
          <t>Rajesh Prasad</t>
        </is>
      </c>
      <c r="D269" s="3" t="inlineStr">
        <is>
          <t>Bhagalpur</t>
        </is>
      </c>
      <c r="E269" s="3" t="inlineStr">
        <is>
          <t>R. Singh</t>
        </is>
      </c>
      <c r="F269" s="3" t="inlineStr">
        <is>
          <t>Housing</t>
        </is>
      </c>
      <c r="G269" s="4" t="n">
        <v>46208</v>
      </c>
      <c r="H269" s="5" t="n">
        <v>32500</v>
      </c>
    </row>
    <row r="270">
      <c r="A270" s="3" t="inlineStr">
        <is>
          <t>D0269</t>
        </is>
      </c>
      <c r="B270" s="3" t="inlineStr">
        <is>
          <t>A0045</t>
        </is>
      </c>
      <c r="C270" s="3" t="inlineStr">
        <is>
          <t>Rajesh Prasad</t>
        </is>
      </c>
      <c r="D270" s="3" t="inlineStr">
        <is>
          <t>Bhagalpur</t>
        </is>
      </c>
      <c r="E270" s="3" t="inlineStr">
        <is>
          <t>R. Singh</t>
        </is>
      </c>
      <c r="F270" s="3" t="inlineStr">
        <is>
          <t>Housing</t>
        </is>
      </c>
      <c r="G270" s="4" t="n">
        <v>46239</v>
      </c>
      <c r="H270" s="5" t="n">
        <v>32500</v>
      </c>
    </row>
    <row r="271">
      <c r="A271" s="3" t="inlineStr">
        <is>
          <t>D0270</t>
        </is>
      </c>
      <c r="B271" s="3" t="inlineStr">
        <is>
          <t>A0045</t>
        </is>
      </c>
      <c r="C271" s="3" t="inlineStr">
        <is>
          <t>Rajesh Prasad</t>
        </is>
      </c>
      <c r="D271" s="3" t="inlineStr">
        <is>
          <t>Bhagalpur</t>
        </is>
      </c>
      <c r="E271" s="3" t="inlineStr">
        <is>
          <t>R. Singh</t>
        </is>
      </c>
      <c r="F271" s="3" t="inlineStr">
        <is>
          <t>Housing</t>
        </is>
      </c>
      <c r="G271" s="4" t="n">
        <v>46270</v>
      </c>
      <c r="H271" s="5" t="n">
        <v>32500</v>
      </c>
    </row>
    <row r="272">
      <c r="A272" s="3" t="inlineStr">
        <is>
          <t>D0271</t>
        </is>
      </c>
      <c r="B272" s="3" t="inlineStr">
        <is>
          <t>A0046</t>
        </is>
      </c>
      <c r="C272" s="3" t="inlineStr">
        <is>
          <t>Pooja Kumar</t>
        </is>
      </c>
      <c r="D272" s="3" t="inlineStr">
        <is>
          <t>Bhagalpur</t>
        </is>
      </c>
      <c r="E272" s="3" t="inlineStr">
        <is>
          <t>R. Singh</t>
        </is>
      </c>
      <c r="F272" s="3" t="inlineStr">
        <is>
          <t>Agri</t>
        </is>
      </c>
      <c r="G272" s="4" t="n">
        <v>46117</v>
      </c>
      <c r="H272" s="5" t="n">
        <v>20000</v>
      </c>
    </row>
    <row r="273">
      <c r="A273" s="3" t="inlineStr">
        <is>
          <t>D0272</t>
        </is>
      </c>
      <c r="B273" s="3" t="inlineStr">
        <is>
          <t>A0046</t>
        </is>
      </c>
      <c r="C273" s="3" t="inlineStr">
        <is>
          <t>Pooja Kumar</t>
        </is>
      </c>
      <c r="D273" s="3" t="inlineStr">
        <is>
          <t>Bhagalpur</t>
        </is>
      </c>
      <c r="E273" s="3" t="inlineStr">
        <is>
          <t>R. Singh</t>
        </is>
      </c>
      <c r="F273" s="3" t="inlineStr">
        <is>
          <t>Agri</t>
        </is>
      </c>
      <c r="G273" s="4" t="n">
        <v>46147</v>
      </c>
      <c r="H273" s="5" t="n">
        <v>20000</v>
      </c>
    </row>
    <row r="274">
      <c r="A274" s="3" t="inlineStr">
        <is>
          <t>D0273</t>
        </is>
      </c>
      <c r="B274" s="3" t="inlineStr">
        <is>
          <t>A0046</t>
        </is>
      </c>
      <c r="C274" s="3" t="inlineStr">
        <is>
          <t>Pooja Kumar</t>
        </is>
      </c>
      <c r="D274" s="3" t="inlineStr">
        <is>
          <t>Bhagalpur</t>
        </is>
      </c>
      <c r="E274" s="3" t="inlineStr">
        <is>
          <t>R. Singh</t>
        </is>
      </c>
      <c r="F274" s="3" t="inlineStr">
        <is>
          <t>Agri</t>
        </is>
      </c>
      <c r="G274" s="4" t="n">
        <v>46178</v>
      </c>
      <c r="H274" s="5" t="n">
        <v>20000</v>
      </c>
    </row>
    <row r="275">
      <c r="A275" s="3" t="inlineStr">
        <is>
          <t>D0274</t>
        </is>
      </c>
      <c r="B275" s="3" t="inlineStr">
        <is>
          <t>A0046</t>
        </is>
      </c>
      <c r="C275" s="3" t="inlineStr">
        <is>
          <t>Pooja Kumar</t>
        </is>
      </c>
      <c r="D275" s="3" t="inlineStr">
        <is>
          <t>Bhagalpur</t>
        </is>
      </c>
      <c r="E275" s="3" t="inlineStr">
        <is>
          <t>R. Singh</t>
        </is>
      </c>
      <c r="F275" s="3" t="inlineStr">
        <is>
          <t>Agri</t>
        </is>
      </c>
      <c r="G275" s="4" t="n">
        <v>46208</v>
      </c>
      <c r="H275" s="5" t="n">
        <v>20000</v>
      </c>
    </row>
    <row r="276">
      <c r="A276" s="3" t="inlineStr">
        <is>
          <t>D0275</t>
        </is>
      </c>
      <c r="B276" s="3" t="inlineStr">
        <is>
          <t>A0046</t>
        </is>
      </c>
      <c r="C276" s="3" t="inlineStr">
        <is>
          <t>Pooja Kumar</t>
        </is>
      </c>
      <c r="D276" s="3" t="inlineStr">
        <is>
          <t>Bhagalpur</t>
        </is>
      </c>
      <c r="E276" s="3" t="inlineStr">
        <is>
          <t>R. Singh</t>
        </is>
      </c>
      <c r="F276" s="3" t="inlineStr">
        <is>
          <t>Agri</t>
        </is>
      </c>
      <c r="G276" s="4" t="n">
        <v>46239</v>
      </c>
      <c r="H276" s="5" t="n">
        <v>20000</v>
      </c>
    </row>
    <row r="277">
      <c r="A277" s="3" t="inlineStr">
        <is>
          <t>D0276</t>
        </is>
      </c>
      <c r="B277" s="3" t="inlineStr">
        <is>
          <t>A0046</t>
        </is>
      </c>
      <c r="C277" s="3" t="inlineStr">
        <is>
          <t>Pooja Kumar</t>
        </is>
      </c>
      <c r="D277" s="3" t="inlineStr">
        <is>
          <t>Bhagalpur</t>
        </is>
      </c>
      <c r="E277" s="3" t="inlineStr">
        <is>
          <t>R. Singh</t>
        </is>
      </c>
      <c r="F277" s="3" t="inlineStr">
        <is>
          <t>Agri</t>
        </is>
      </c>
      <c r="G277" s="4" t="n">
        <v>46270</v>
      </c>
      <c r="H277" s="5" t="n">
        <v>20000</v>
      </c>
    </row>
    <row r="278">
      <c r="A278" s="3" t="inlineStr">
        <is>
          <t>D0277</t>
        </is>
      </c>
      <c r="B278" s="3" t="inlineStr">
        <is>
          <t>A0047</t>
        </is>
      </c>
      <c r="C278" s="3" t="inlineStr">
        <is>
          <t>Kiran Mandal</t>
        </is>
      </c>
      <c r="D278" s="3" t="inlineStr">
        <is>
          <t>Bhagalpur</t>
        </is>
      </c>
      <c r="E278" s="3" t="inlineStr">
        <is>
          <t>M. Mandal</t>
        </is>
      </c>
      <c r="F278" s="3" t="inlineStr">
        <is>
          <t>Trade</t>
        </is>
      </c>
      <c r="G278" s="4" t="n">
        <v>46117</v>
      </c>
      <c r="H278" s="5" t="n">
        <v>24167</v>
      </c>
    </row>
    <row r="279">
      <c r="A279" s="3" t="inlineStr">
        <is>
          <t>D0278</t>
        </is>
      </c>
      <c r="B279" s="3" t="inlineStr">
        <is>
          <t>A0047</t>
        </is>
      </c>
      <c r="C279" s="3" t="inlineStr">
        <is>
          <t>Kiran Mandal</t>
        </is>
      </c>
      <c r="D279" s="3" t="inlineStr">
        <is>
          <t>Bhagalpur</t>
        </is>
      </c>
      <c r="E279" s="3" t="inlineStr">
        <is>
          <t>M. Mandal</t>
        </is>
      </c>
      <c r="F279" s="3" t="inlineStr">
        <is>
          <t>Trade</t>
        </is>
      </c>
      <c r="G279" s="4" t="n">
        <v>46147</v>
      </c>
      <c r="H279" s="5" t="n">
        <v>24167</v>
      </c>
    </row>
    <row r="280">
      <c r="A280" s="3" t="inlineStr">
        <is>
          <t>D0279</t>
        </is>
      </c>
      <c r="B280" s="3" t="inlineStr">
        <is>
          <t>A0047</t>
        </is>
      </c>
      <c r="C280" s="3" t="inlineStr">
        <is>
          <t>Kiran Mandal</t>
        </is>
      </c>
      <c r="D280" s="3" t="inlineStr">
        <is>
          <t>Bhagalpur</t>
        </is>
      </c>
      <c r="E280" s="3" t="inlineStr">
        <is>
          <t>M. Mandal</t>
        </is>
      </c>
      <c r="F280" s="3" t="inlineStr">
        <is>
          <t>Trade</t>
        </is>
      </c>
      <c r="G280" s="4" t="n">
        <v>46178</v>
      </c>
      <c r="H280" s="5" t="n">
        <v>24167</v>
      </c>
    </row>
    <row r="281">
      <c r="A281" s="3" t="inlineStr">
        <is>
          <t>D0280</t>
        </is>
      </c>
      <c r="B281" s="3" t="inlineStr">
        <is>
          <t>A0047</t>
        </is>
      </c>
      <c r="C281" s="3" t="inlineStr">
        <is>
          <t>Kiran Mandal</t>
        </is>
      </c>
      <c r="D281" s="3" t="inlineStr">
        <is>
          <t>Bhagalpur</t>
        </is>
      </c>
      <c r="E281" s="3" t="inlineStr">
        <is>
          <t>M. Mandal</t>
        </is>
      </c>
      <c r="F281" s="3" t="inlineStr">
        <is>
          <t>Trade</t>
        </is>
      </c>
      <c r="G281" s="4" t="n">
        <v>46208</v>
      </c>
      <c r="H281" s="5" t="n">
        <v>24167</v>
      </c>
    </row>
    <row r="282">
      <c r="A282" s="3" t="inlineStr">
        <is>
          <t>D0281</t>
        </is>
      </c>
      <c r="B282" s="3" t="inlineStr">
        <is>
          <t>A0047</t>
        </is>
      </c>
      <c r="C282" s="3" t="inlineStr">
        <is>
          <t>Kiran Mandal</t>
        </is>
      </c>
      <c r="D282" s="3" t="inlineStr">
        <is>
          <t>Bhagalpur</t>
        </is>
      </c>
      <c r="E282" s="3" t="inlineStr">
        <is>
          <t>M. Mandal</t>
        </is>
      </c>
      <c r="F282" s="3" t="inlineStr">
        <is>
          <t>Trade</t>
        </is>
      </c>
      <c r="G282" s="4" t="n">
        <v>46239</v>
      </c>
      <c r="H282" s="5" t="n">
        <v>24167</v>
      </c>
    </row>
    <row r="283">
      <c r="A283" s="3" t="inlineStr">
        <is>
          <t>D0282</t>
        </is>
      </c>
      <c r="B283" s="3" t="inlineStr">
        <is>
          <t>A0047</t>
        </is>
      </c>
      <c r="C283" s="3" t="inlineStr">
        <is>
          <t>Kiran Mandal</t>
        </is>
      </c>
      <c r="D283" s="3" t="inlineStr">
        <is>
          <t>Bhagalpur</t>
        </is>
      </c>
      <c r="E283" s="3" t="inlineStr">
        <is>
          <t>M. Mandal</t>
        </is>
      </c>
      <c r="F283" s="3" t="inlineStr">
        <is>
          <t>Trade</t>
        </is>
      </c>
      <c r="G283" s="4" t="n">
        <v>46270</v>
      </c>
      <c r="H283" s="5" t="n">
        <v>24167</v>
      </c>
    </row>
    <row r="284">
      <c r="A284" s="3" t="inlineStr">
        <is>
          <t>D0283</t>
        </is>
      </c>
      <c r="B284" s="3" t="inlineStr">
        <is>
          <t>A0048</t>
        </is>
      </c>
      <c r="C284" s="3" t="inlineStr">
        <is>
          <t>Ravi Prasad</t>
        </is>
      </c>
      <c r="D284" s="3" t="inlineStr">
        <is>
          <t>Gaya</t>
        </is>
      </c>
      <c r="E284" s="3" t="inlineStr">
        <is>
          <t>M. Mandal</t>
        </is>
      </c>
      <c r="F284" s="3" t="inlineStr">
        <is>
          <t>Vehicle</t>
        </is>
      </c>
      <c r="G284" s="4" t="n">
        <v>46117</v>
      </c>
      <c r="H284" s="5" t="n">
        <v>14167</v>
      </c>
    </row>
    <row r="285">
      <c r="A285" s="3" t="inlineStr">
        <is>
          <t>D0284</t>
        </is>
      </c>
      <c r="B285" s="3" t="inlineStr">
        <is>
          <t>A0048</t>
        </is>
      </c>
      <c r="C285" s="3" t="inlineStr">
        <is>
          <t>Ravi Prasad</t>
        </is>
      </c>
      <c r="D285" s="3" t="inlineStr">
        <is>
          <t>Gaya</t>
        </is>
      </c>
      <c r="E285" s="3" t="inlineStr">
        <is>
          <t>M. Mandal</t>
        </is>
      </c>
      <c r="F285" s="3" t="inlineStr">
        <is>
          <t>Vehicle</t>
        </is>
      </c>
      <c r="G285" s="4" t="n">
        <v>46147</v>
      </c>
      <c r="H285" s="5" t="n">
        <v>14167</v>
      </c>
    </row>
    <row r="286">
      <c r="A286" s="3" t="inlineStr">
        <is>
          <t>D0285</t>
        </is>
      </c>
      <c r="B286" s="3" t="inlineStr">
        <is>
          <t>A0048</t>
        </is>
      </c>
      <c r="C286" s="3" t="inlineStr">
        <is>
          <t>Ravi Prasad</t>
        </is>
      </c>
      <c r="D286" s="3" t="inlineStr">
        <is>
          <t>Gaya</t>
        </is>
      </c>
      <c r="E286" s="3" t="inlineStr">
        <is>
          <t>M. Mandal</t>
        </is>
      </c>
      <c r="F286" s="3" t="inlineStr">
        <is>
          <t>Vehicle</t>
        </is>
      </c>
      <c r="G286" s="4" t="n">
        <v>46178</v>
      </c>
      <c r="H286" s="5" t="n">
        <v>14167</v>
      </c>
    </row>
    <row r="287">
      <c r="A287" s="3" t="inlineStr">
        <is>
          <t>D0286</t>
        </is>
      </c>
      <c r="B287" s="3" t="inlineStr">
        <is>
          <t>A0048</t>
        </is>
      </c>
      <c r="C287" s="3" t="inlineStr">
        <is>
          <t>Ravi Prasad</t>
        </is>
      </c>
      <c r="D287" s="3" t="inlineStr">
        <is>
          <t>Gaya</t>
        </is>
      </c>
      <c r="E287" s="3" t="inlineStr">
        <is>
          <t>M. Mandal</t>
        </is>
      </c>
      <c r="F287" s="3" t="inlineStr">
        <is>
          <t>Vehicle</t>
        </is>
      </c>
      <c r="G287" s="4" t="n">
        <v>46208</v>
      </c>
      <c r="H287" s="5" t="n">
        <v>14167</v>
      </c>
    </row>
    <row r="288">
      <c r="A288" s="3" t="inlineStr">
        <is>
          <t>D0287</t>
        </is>
      </c>
      <c r="B288" s="3" t="inlineStr">
        <is>
          <t>A0048</t>
        </is>
      </c>
      <c r="C288" s="3" t="inlineStr">
        <is>
          <t>Ravi Prasad</t>
        </is>
      </c>
      <c r="D288" s="3" t="inlineStr">
        <is>
          <t>Gaya</t>
        </is>
      </c>
      <c r="E288" s="3" t="inlineStr">
        <is>
          <t>M. Mandal</t>
        </is>
      </c>
      <c r="F288" s="3" t="inlineStr">
        <is>
          <t>Vehicle</t>
        </is>
      </c>
      <c r="G288" s="4" t="n">
        <v>46239</v>
      </c>
      <c r="H288" s="5" t="n">
        <v>14167</v>
      </c>
    </row>
    <row r="289">
      <c r="A289" s="3" t="inlineStr">
        <is>
          <t>D0288</t>
        </is>
      </c>
      <c r="B289" s="3" t="inlineStr">
        <is>
          <t>A0048</t>
        </is>
      </c>
      <c r="C289" s="3" t="inlineStr">
        <is>
          <t>Ravi Prasad</t>
        </is>
      </c>
      <c r="D289" s="3" t="inlineStr">
        <is>
          <t>Gaya</t>
        </is>
      </c>
      <c r="E289" s="3" t="inlineStr">
        <is>
          <t>M. Mandal</t>
        </is>
      </c>
      <c r="F289" s="3" t="inlineStr">
        <is>
          <t>Vehicle</t>
        </is>
      </c>
      <c r="G289" s="4" t="n">
        <v>46270</v>
      </c>
      <c r="H289" s="5" t="n">
        <v>14167</v>
      </c>
    </row>
    <row r="290">
      <c r="A290" s="3" t="inlineStr">
        <is>
          <t>D0289</t>
        </is>
      </c>
      <c r="B290" s="3" t="inlineStr">
        <is>
          <t>A0049</t>
        </is>
      </c>
      <c r="C290" s="3" t="inlineStr">
        <is>
          <t>Ramesh Paswan</t>
        </is>
      </c>
      <c r="D290" s="3" t="inlineStr">
        <is>
          <t>Gaya</t>
        </is>
      </c>
      <c r="E290" s="3" t="inlineStr">
        <is>
          <t>P. Yadav</t>
        </is>
      </c>
      <c r="F290" s="3" t="inlineStr">
        <is>
          <t>Personal</t>
        </is>
      </c>
      <c r="G290" s="4" t="n">
        <v>46117</v>
      </c>
      <c r="H290" s="5" t="n">
        <v>5667</v>
      </c>
    </row>
    <row r="291">
      <c r="A291" s="3" t="inlineStr">
        <is>
          <t>D0290</t>
        </is>
      </c>
      <c r="B291" s="3" t="inlineStr">
        <is>
          <t>A0049</t>
        </is>
      </c>
      <c r="C291" s="3" t="inlineStr">
        <is>
          <t>Ramesh Paswan</t>
        </is>
      </c>
      <c r="D291" s="3" t="inlineStr">
        <is>
          <t>Gaya</t>
        </is>
      </c>
      <c r="E291" s="3" t="inlineStr">
        <is>
          <t>P. Yadav</t>
        </is>
      </c>
      <c r="F291" s="3" t="inlineStr">
        <is>
          <t>Personal</t>
        </is>
      </c>
      <c r="G291" s="4" t="n">
        <v>46147</v>
      </c>
      <c r="H291" s="5" t="n">
        <v>5667</v>
      </c>
    </row>
    <row r="292">
      <c r="A292" s="3" t="inlineStr">
        <is>
          <t>D0291</t>
        </is>
      </c>
      <c r="B292" s="3" t="inlineStr">
        <is>
          <t>A0049</t>
        </is>
      </c>
      <c r="C292" s="3" t="inlineStr">
        <is>
          <t>Ramesh Paswan</t>
        </is>
      </c>
      <c r="D292" s="3" t="inlineStr">
        <is>
          <t>Gaya</t>
        </is>
      </c>
      <c r="E292" s="3" t="inlineStr">
        <is>
          <t>P. Yadav</t>
        </is>
      </c>
      <c r="F292" s="3" t="inlineStr">
        <is>
          <t>Personal</t>
        </is>
      </c>
      <c r="G292" s="4" t="n">
        <v>46178</v>
      </c>
      <c r="H292" s="5" t="n">
        <v>5667</v>
      </c>
    </row>
    <row r="293">
      <c r="A293" s="3" t="inlineStr">
        <is>
          <t>D0292</t>
        </is>
      </c>
      <c r="B293" s="3" t="inlineStr">
        <is>
          <t>A0049</t>
        </is>
      </c>
      <c r="C293" s="3" t="inlineStr">
        <is>
          <t>Ramesh Paswan</t>
        </is>
      </c>
      <c r="D293" s="3" t="inlineStr">
        <is>
          <t>Gaya</t>
        </is>
      </c>
      <c r="E293" s="3" t="inlineStr">
        <is>
          <t>P. Yadav</t>
        </is>
      </c>
      <c r="F293" s="3" t="inlineStr">
        <is>
          <t>Personal</t>
        </is>
      </c>
      <c r="G293" s="4" t="n">
        <v>46208</v>
      </c>
      <c r="H293" s="5" t="n">
        <v>5667</v>
      </c>
    </row>
    <row r="294">
      <c r="A294" s="3" t="inlineStr">
        <is>
          <t>D0293</t>
        </is>
      </c>
      <c r="B294" s="3" t="inlineStr">
        <is>
          <t>A0049</t>
        </is>
      </c>
      <c r="C294" s="3" t="inlineStr">
        <is>
          <t>Ramesh Paswan</t>
        </is>
      </c>
      <c r="D294" s="3" t="inlineStr">
        <is>
          <t>Gaya</t>
        </is>
      </c>
      <c r="E294" s="3" t="inlineStr">
        <is>
          <t>P. Yadav</t>
        </is>
      </c>
      <c r="F294" s="3" t="inlineStr">
        <is>
          <t>Personal</t>
        </is>
      </c>
      <c r="G294" s="4" t="n">
        <v>46239</v>
      </c>
      <c r="H294" s="5" t="n">
        <v>5667</v>
      </c>
    </row>
    <row r="295">
      <c r="A295" s="3" t="inlineStr">
        <is>
          <t>D0294</t>
        </is>
      </c>
      <c r="B295" s="3" t="inlineStr">
        <is>
          <t>A0049</t>
        </is>
      </c>
      <c r="C295" s="3" t="inlineStr">
        <is>
          <t>Ramesh Paswan</t>
        </is>
      </c>
      <c r="D295" s="3" t="inlineStr">
        <is>
          <t>Gaya</t>
        </is>
      </c>
      <c r="E295" s="3" t="inlineStr">
        <is>
          <t>P. Yadav</t>
        </is>
      </c>
      <c r="F295" s="3" t="inlineStr">
        <is>
          <t>Personal</t>
        </is>
      </c>
      <c r="G295" s="4" t="n">
        <v>46270</v>
      </c>
      <c r="H295" s="5" t="n">
        <v>5667</v>
      </c>
    </row>
    <row r="296">
      <c r="A296" s="3" t="inlineStr">
        <is>
          <t>D0295</t>
        </is>
      </c>
      <c r="B296" s="3" t="inlineStr">
        <is>
          <t>A0050</t>
        </is>
      </c>
      <c r="C296" s="3" t="inlineStr">
        <is>
          <t>Deepak Chaudhary</t>
        </is>
      </c>
      <c r="D296" s="3" t="inlineStr">
        <is>
          <t>Gaya</t>
        </is>
      </c>
      <c r="E296" s="3" t="inlineStr">
        <is>
          <t>P. Yadav</t>
        </is>
      </c>
      <c r="F296" s="3" t="inlineStr">
        <is>
          <t>Vehicle</t>
        </is>
      </c>
      <c r="G296" s="4" t="n">
        <v>46117</v>
      </c>
      <c r="H296" s="5" t="n">
        <v>29833</v>
      </c>
    </row>
    <row r="297">
      <c r="A297" s="3" t="inlineStr">
        <is>
          <t>D0296</t>
        </is>
      </c>
      <c r="B297" s="3" t="inlineStr">
        <is>
          <t>A0050</t>
        </is>
      </c>
      <c r="C297" s="3" t="inlineStr">
        <is>
          <t>Deepak Chaudhary</t>
        </is>
      </c>
      <c r="D297" s="3" t="inlineStr">
        <is>
          <t>Gaya</t>
        </is>
      </c>
      <c r="E297" s="3" t="inlineStr">
        <is>
          <t>P. Yadav</t>
        </is>
      </c>
      <c r="F297" s="3" t="inlineStr">
        <is>
          <t>Vehicle</t>
        </is>
      </c>
      <c r="G297" s="4" t="n">
        <v>46147</v>
      </c>
      <c r="H297" s="5" t="n">
        <v>29833</v>
      </c>
    </row>
    <row r="298">
      <c r="A298" s="3" t="inlineStr">
        <is>
          <t>D0297</t>
        </is>
      </c>
      <c r="B298" s="3" t="inlineStr">
        <is>
          <t>A0050</t>
        </is>
      </c>
      <c r="C298" s="3" t="inlineStr">
        <is>
          <t>Deepak Chaudhary</t>
        </is>
      </c>
      <c r="D298" s="3" t="inlineStr">
        <is>
          <t>Gaya</t>
        </is>
      </c>
      <c r="E298" s="3" t="inlineStr">
        <is>
          <t>P. Yadav</t>
        </is>
      </c>
      <c r="F298" s="3" t="inlineStr">
        <is>
          <t>Vehicle</t>
        </is>
      </c>
      <c r="G298" s="4" t="n">
        <v>46178</v>
      </c>
      <c r="H298" s="5" t="n">
        <v>29833</v>
      </c>
    </row>
    <row r="299">
      <c r="A299" s="3" t="inlineStr">
        <is>
          <t>D0298</t>
        </is>
      </c>
      <c r="B299" s="3" t="inlineStr">
        <is>
          <t>A0050</t>
        </is>
      </c>
      <c r="C299" s="3" t="inlineStr">
        <is>
          <t>Deepak Chaudhary</t>
        </is>
      </c>
      <c r="D299" s="3" t="inlineStr">
        <is>
          <t>Gaya</t>
        </is>
      </c>
      <c r="E299" s="3" t="inlineStr">
        <is>
          <t>P. Yadav</t>
        </is>
      </c>
      <c r="F299" s="3" t="inlineStr">
        <is>
          <t>Vehicle</t>
        </is>
      </c>
      <c r="G299" s="4" t="n">
        <v>46208</v>
      </c>
      <c r="H299" s="5" t="n">
        <v>29833</v>
      </c>
    </row>
    <row r="300">
      <c r="A300" s="3" t="inlineStr">
        <is>
          <t>D0299</t>
        </is>
      </c>
      <c r="B300" s="3" t="inlineStr">
        <is>
          <t>A0050</t>
        </is>
      </c>
      <c r="C300" s="3" t="inlineStr">
        <is>
          <t>Deepak Chaudhary</t>
        </is>
      </c>
      <c r="D300" s="3" t="inlineStr">
        <is>
          <t>Gaya</t>
        </is>
      </c>
      <c r="E300" s="3" t="inlineStr">
        <is>
          <t>P. Yadav</t>
        </is>
      </c>
      <c r="F300" s="3" t="inlineStr">
        <is>
          <t>Vehicle</t>
        </is>
      </c>
      <c r="G300" s="4" t="n">
        <v>46239</v>
      </c>
      <c r="H300" s="5" t="n">
        <v>29833</v>
      </c>
    </row>
    <row r="301">
      <c r="A301" s="3" t="inlineStr">
        <is>
          <t>D0300</t>
        </is>
      </c>
      <c r="B301" s="3" t="inlineStr">
        <is>
          <t>A0050</t>
        </is>
      </c>
      <c r="C301" s="3" t="inlineStr">
        <is>
          <t>Deepak Chaudhary</t>
        </is>
      </c>
      <c r="D301" s="3" t="inlineStr">
        <is>
          <t>Gaya</t>
        </is>
      </c>
      <c r="E301" s="3" t="inlineStr">
        <is>
          <t>P. Yadav</t>
        </is>
      </c>
      <c r="F301" s="3" t="inlineStr">
        <is>
          <t>Vehicle</t>
        </is>
      </c>
      <c r="G301" s="4" t="n">
        <v>46270</v>
      </c>
      <c r="H301" s="5" t="n">
        <v>29833</v>
      </c>
    </row>
    <row r="302">
      <c r="A302" s="3" t="inlineStr">
        <is>
          <t>D0301</t>
        </is>
      </c>
      <c r="B302" s="3" t="inlineStr">
        <is>
          <t>A0051</t>
        </is>
      </c>
      <c r="C302" s="3" t="inlineStr">
        <is>
          <t>Ramesh Rai</t>
        </is>
      </c>
      <c r="D302" s="3" t="inlineStr">
        <is>
          <t>Bhagalpur</t>
        </is>
      </c>
      <c r="E302" s="3" t="inlineStr">
        <is>
          <t>M. Mandal</t>
        </is>
      </c>
      <c r="F302" s="3" t="inlineStr">
        <is>
          <t>Vehicle</t>
        </is>
      </c>
      <c r="G302" s="4" t="n">
        <v>46117</v>
      </c>
      <c r="H302" s="5" t="n">
        <v>22333</v>
      </c>
    </row>
    <row r="303">
      <c r="A303" s="3" t="inlineStr">
        <is>
          <t>D0302</t>
        </is>
      </c>
      <c r="B303" s="3" t="inlineStr">
        <is>
          <t>A0051</t>
        </is>
      </c>
      <c r="C303" s="3" t="inlineStr">
        <is>
          <t>Ramesh Rai</t>
        </is>
      </c>
      <c r="D303" s="3" t="inlineStr">
        <is>
          <t>Bhagalpur</t>
        </is>
      </c>
      <c r="E303" s="3" t="inlineStr">
        <is>
          <t>M. Mandal</t>
        </is>
      </c>
      <c r="F303" s="3" t="inlineStr">
        <is>
          <t>Vehicle</t>
        </is>
      </c>
      <c r="G303" s="4" t="n">
        <v>46147</v>
      </c>
      <c r="H303" s="5" t="n">
        <v>22333</v>
      </c>
    </row>
    <row r="304">
      <c r="A304" s="3" t="inlineStr">
        <is>
          <t>D0303</t>
        </is>
      </c>
      <c r="B304" s="3" t="inlineStr">
        <is>
          <t>A0051</t>
        </is>
      </c>
      <c r="C304" s="3" t="inlineStr">
        <is>
          <t>Ramesh Rai</t>
        </is>
      </c>
      <c r="D304" s="3" t="inlineStr">
        <is>
          <t>Bhagalpur</t>
        </is>
      </c>
      <c r="E304" s="3" t="inlineStr">
        <is>
          <t>M. Mandal</t>
        </is>
      </c>
      <c r="F304" s="3" t="inlineStr">
        <is>
          <t>Vehicle</t>
        </is>
      </c>
      <c r="G304" s="4" t="n">
        <v>46178</v>
      </c>
      <c r="H304" s="5" t="n">
        <v>22333</v>
      </c>
    </row>
    <row r="305">
      <c r="A305" s="3" t="inlineStr">
        <is>
          <t>D0304</t>
        </is>
      </c>
      <c r="B305" s="3" t="inlineStr">
        <is>
          <t>A0051</t>
        </is>
      </c>
      <c r="C305" s="3" t="inlineStr">
        <is>
          <t>Ramesh Rai</t>
        </is>
      </c>
      <c r="D305" s="3" t="inlineStr">
        <is>
          <t>Bhagalpur</t>
        </is>
      </c>
      <c r="E305" s="3" t="inlineStr">
        <is>
          <t>M. Mandal</t>
        </is>
      </c>
      <c r="F305" s="3" t="inlineStr">
        <is>
          <t>Vehicle</t>
        </is>
      </c>
      <c r="G305" s="4" t="n">
        <v>46208</v>
      </c>
      <c r="H305" s="5" t="n">
        <v>22333</v>
      </c>
    </row>
    <row r="306">
      <c r="A306" s="3" t="inlineStr">
        <is>
          <t>D0305</t>
        </is>
      </c>
      <c r="B306" s="3" t="inlineStr">
        <is>
          <t>A0051</t>
        </is>
      </c>
      <c r="C306" s="3" t="inlineStr">
        <is>
          <t>Ramesh Rai</t>
        </is>
      </c>
      <c r="D306" s="3" t="inlineStr">
        <is>
          <t>Bhagalpur</t>
        </is>
      </c>
      <c r="E306" s="3" t="inlineStr">
        <is>
          <t>M. Mandal</t>
        </is>
      </c>
      <c r="F306" s="3" t="inlineStr">
        <is>
          <t>Vehicle</t>
        </is>
      </c>
      <c r="G306" s="4" t="n">
        <v>46239</v>
      </c>
      <c r="H306" s="5" t="n">
        <v>22333</v>
      </c>
    </row>
    <row r="307">
      <c r="A307" s="3" t="inlineStr">
        <is>
          <t>D0306</t>
        </is>
      </c>
      <c r="B307" s="3" t="inlineStr">
        <is>
          <t>A0051</t>
        </is>
      </c>
      <c r="C307" s="3" t="inlineStr">
        <is>
          <t>Ramesh Rai</t>
        </is>
      </c>
      <c r="D307" s="3" t="inlineStr">
        <is>
          <t>Bhagalpur</t>
        </is>
      </c>
      <c r="E307" s="3" t="inlineStr">
        <is>
          <t>M. Mandal</t>
        </is>
      </c>
      <c r="F307" s="3" t="inlineStr">
        <is>
          <t>Vehicle</t>
        </is>
      </c>
      <c r="G307" s="4" t="n">
        <v>46270</v>
      </c>
      <c r="H307" s="5" t="n">
        <v>22333</v>
      </c>
    </row>
    <row r="308">
      <c r="A308" s="3" t="inlineStr">
        <is>
          <t>D0307</t>
        </is>
      </c>
      <c r="B308" s="3" t="inlineStr">
        <is>
          <t>A0052</t>
        </is>
      </c>
      <c r="C308" s="3" t="inlineStr">
        <is>
          <t>Pooja Mishra</t>
        </is>
      </c>
      <c r="D308" s="3" t="inlineStr">
        <is>
          <t>Patna</t>
        </is>
      </c>
      <c r="E308" s="3" t="inlineStr">
        <is>
          <t>R. Singh</t>
        </is>
      </c>
      <c r="F308" s="3" t="inlineStr">
        <is>
          <t>Housing</t>
        </is>
      </c>
      <c r="G308" s="4" t="n">
        <v>46117</v>
      </c>
      <c r="H308" s="5" t="n">
        <v>27833</v>
      </c>
    </row>
    <row r="309">
      <c r="A309" s="3" t="inlineStr">
        <is>
          <t>D0308</t>
        </is>
      </c>
      <c r="B309" s="3" t="inlineStr">
        <is>
          <t>A0052</t>
        </is>
      </c>
      <c r="C309" s="3" t="inlineStr">
        <is>
          <t>Pooja Mishra</t>
        </is>
      </c>
      <c r="D309" s="3" t="inlineStr">
        <is>
          <t>Patna</t>
        </is>
      </c>
      <c r="E309" s="3" t="inlineStr">
        <is>
          <t>R. Singh</t>
        </is>
      </c>
      <c r="F309" s="3" t="inlineStr">
        <is>
          <t>Housing</t>
        </is>
      </c>
      <c r="G309" s="4" t="n">
        <v>46147</v>
      </c>
      <c r="H309" s="5" t="n">
        <v>27833</v>
      </c>
    </row>
    <row r="310">
      <c r="A310" s="3" t="inlineStr">
        <is>
          <t>D0309</t>
        </is>
      </c>
      <c r="B310" s="3" t="inlineStr">
        <is>
          <t>A0052</t>
        </is>
      </c>
      <c r="C310" s="3" t="inlineStr">
        <is>
          <t>Pooja Mishra</t>
        </is>
      </c>
      <c r="D310" s="3" t="inlineStr">
        <is>
          <t>Patna</t>
        </is>
      </c>
      <c r="E310" s="3" t="inlineStr">
        <is>
          <t>R. Singh</t>
        </is>
      </c>
      <c r="F310" s="3" t="inlineStr">
        <is>
          <t>Housing</t>
        </is>
      </c>
      <c r="G310" s="4" t="n">
        <v>46178</v>
      </c>
      <c r="H310" s="5" t="n">
        <v>27833</v>
      </c>
    </row>
    <row r="311">
      <c r="A311" s="3" t="inlineStr">
        <is>
          <t>D0310</t>
        </is>
      </c>
      <c r="B311" s="3" t="inlineStr">
        <is>
          <t>A0052</t>
        </is>
      </c>
      <c r="C311" s="3" t="inlineStr">
        <is>
          <t>Pooja Mishra</t>
        </is>
      </c>
      <c r="D311" s="3" t="inlineStr">
        <is>
          <t>Patna</t>
        </is>
      </c>
      <c r="E311" s="3" t="inlineStr">
        <is>
          <t>R. Singh</t>
        </is>
      </c>
      <c r="F311" s="3" t="inlineStr">
        <is>
          <t>Housing</t>
        </is>
      </c>
      <c r="G311" s="4" t="n">
        <v>46208</v>
      </c>
      <c r="H311" s="5" t="n">
        <v>27833</v>
      </c>
    </row>
    <row r="312">
      <c r="A312" s="3" t="inlineStr">
        <is>
          <t>D0311</t>
        </is>
      </c>
      <c r="B312" s="3" t="inlineStr">
        <is>
          <t>A0052</t>
        </is>
      </c>
      <c r="C312" s="3" t="inlineStr">
        <is>
          <t>Pooja Mishra</t>
        </is>
      </c>
      <c r="D312" s="3" t="inlineStr">
        <is>
          <t>Patna</t>
        </is>
      </c>
      <c r="E312" s="3" t="inlineStr">
        <is>
          <t>R. Singh</t>
        </is>
      </c>
      <c r="F312" s="3" t="inlineStr">
        <is>
          <t>Housing</t>
        </is>
      </c>
      <c r="G312" s="4" t="n">
        <v>46239</v>
      </c>
      <c r="H312" s="5" t="n">
        <v>27833</v>
      </c>
    </row>
    <row r="313">
      <c r="A313" s="3" t="inlineStr">
        <is>
          <t>D0312</t>
        </is>
      </c>
      <c r="B313" s="3" t="inlineStr">
        <is>
          <t>A0052</t>
        </is>
      </c>
      <c r="C313" s="3" t="inlineStr">
        <is>
          <t>Pooja Mishra</t>
        </is>
      </c>
      <c r="D313" s="3" t="inlineStr">
        <is>
          <t>Patna</t>
        </is>
      </c>
      <c r="E313" s="3" t="inlineStr">
        <is>
          <t>R. Singh</t>
        </is>
      </c>
      <c r="F313" s="3" t="inlineStr">
        <is>
          <t>Housing</t>
        </is>
      </c>
      <c r="G313" s="4" t="n">
        <v>46270</v>
      </c>
      <c r="H313" s="5" t="n">
        <v>27833</v>
      </c>
    </row>
    <row r="314">
      <c r="A314" s="3" t="inlineStr">
        <is>
          <t>D0313</t>
        </is>
      </c>
      <c r="B314" s="3" t="inlineStr">
        <is>
          <t>A0053</t>
        </is>
      </c>
      <c r="C314" s="3" t="inlineStr">
        <is>
          <t>Bablu Chaudhary</t>
        </is>
      </c>
      <c r="D314" s="3" t="inlineStr">
        <is>
          <t>Patna</t>
        </is>
      </c>
      <c r="E314" s="3" t="inlineStr">
        <is>
          <t>P. Yadav</t>
        </is>
      </c>
      <c r="F314" s="3" t="inlineStr">
        <is>
          <t>Personal</t>
        </is>
      </c>
      <c r="G314" s="4" t="n">
        <v>46117</v>
      </c>
      <c r="H314" s="5" t="n">
        <v>27500</v>
      </c>
    </row>
    <row r="315">
      <c r="A315" s="3" t="inlineStr">
        <is>
          <t>D0314</t>
        </is>
      </c>
      <c r="B315" s="3" t="inlineStr">
        <is>
          <t>A0053</t>
        </is>
      </c>
      <c r="C315" s="3" t="inlineStr">
        <is>
          <t>Bablu Chaudhary</t>
        </is>
      </c>
      <c r="D315" s="3" t="inlineStr">
        <is>
          <t>Patna</t>
        </is>
      </c>
      <c r="E315" s="3" t="inlineStr">
        <is>
          <t>P. Yadav</t>
        </is>
      </c>
      <c r="F315" s="3" t="inlineStr">
        <is>
          <t>Personal</t>
        </is>
      </c>
      <c r="G315" s="4" t="n">
        <v>46147</v>
      </c>
      <c r="H315" s="5" t="n">
        <v>27500</v>
      </c>
    </row>
    <row r="316">
      <c r="A316" s="3" t="inlineStr">
        <is>
          <t>D0315</t>
        </is>
      </c>
      <c r="B316" s="3" t="inlineStr">
        <is>
          <t>A0053</t>
        </is>
      </c>
      <c r="C316" s="3" t="inlineStr">
        <is>
          <t>Bablu Chaudhary</t>
        </is>
      </c>
      <c r="D316" s="3" t="inlineStr">
        <is>
          <t>Patna</t>
        </is>
      </c>
      <c r="E316" s="3" t="inlineStr">
        <is>
          <t>P. Yadav</t>
        </is>
      </c>
      <c r="F316" s="3" t="inlineStr">
        <is>
          <t>Personal</t>
        </is>
      </c>
      <c r="G316" s="4" t="n">
        <v>46178</v>
      </c>
      <c r="H316" s="5" t="n">
        <v>27500</v>
      </c>
    </row>
    <row r="317">
      <c r="A317" s="3" t="inlineStr">
        <is>
          <t>D0316</t>
        </is>
      </c>
      <c r="B317" s="3" t="inlineStr">
        <is>
          <t>A0053</t>
        </is>
      </c>
      <c r="C317" s="3" t="inlineStr">
        <is>
          <t>Bablu Chaudhary</t>
        </is>
      </c>
      <c r="D317" s="3" t="inlineStr">
        <is>
          <t>Patna</t>
        </is>
      </c>
      <c r="E317" s="3" t="inlineStr">
        <is>
          <t>P. Yadav</t>
        </is>
      </c>
      <c r="F317" s="3" t="inlineStr">
        <is>
          <t>Personal</t>
        </is>
      </c>
      <c r="G317" s="4" t="n">
        <v>46208</v>
      </c>
      <c r="H317" s="5" t="n">
        <v>27500</v>
      </c>
    </row>
    <row r="318">
      <c r="A318" s="3" t="inlineStr">
        <is>
          <t>D0317</t>
        </is>
      </c>
      <c r="B318" s="3" t="inlineStr">
        <is>
          <t>A0053</t>
        </is>
      </c>
      <c r="C318" s="3" t="inlineStr">
        <is>
          <t>Bablu Chaudhary</t>
        </is>
      </c>
      <c r="D318" s="3" t="inlineStr">
        <is>
          <t>Patna</t>
        </is>
      </c>
      <c r="E318" s="3" t="inlineStr">
        <is>
          <t>P. Yadav</t>
        </is>
      </c>
      <c r="F318" s="3" t="inlineStr">
        <is>
          <t>Personal</t>
        </is>
      </c>
      <c r="G318" s="4" t="n">
        <v>46239</v>
      </c>
      <c r="H318" s="5" t="n">
        <v>27500</v>
      </c>
    </row>
    <row r="319">
      <c r="A319" s="3" t="inlineStr">
        <is>
          <t>D0318</t>
        </is>
      </c>
      <c r="B319" s="3" t="inlineStr">
        <is>
          <t>A0053</t>
        </is>
      </c>
      <c r="C319" s="3" t="inlineStr">
        <is>
          <t>Bablu Chaudhary</t>
        </is>
      </c>
      <c r="D319" s="3" t="inlineStr">
        <is>
          <t>Patna</t>
        </is>
      </c>
      <c r="E319" s="3" t="inlineStr">
        <is>
          <t>P. Yadav</t>
        </is>
      </c>
      <c r="F319" s="3" t="inlineStr">
        <is>
          <t>Personal</t>
        </is>
      </c>
      <c r="G319" s="4" t="n">
        <v>46270</v>
      </c>
      <c r="H319" s="5" t="n">
        <v>27500</v>
      </c>
    </row>
    <row r="320">
      <c r="A320" s="3" t="inlineStr">
        <is>
          <t>D0319</t>
        </is>
      </c>
      <c r="B320" s="3" t="inlineStr">
        <is>
          <t>A0054</t>
        </is>
      </c>
      <c r="C320" s="3" t="inlineStr">
        <is>
          <t>Rina Sah</t>
        </is>
      </c>
      <c r="D320" s="3" t="inlineStr">
        <is>
          <t>Patna</t>
        </is>
      </c>
      <c r="E320" s="3" t="inlineStr">
        <is>
          <t>R. Singh</t>
        </is>
      </c>
      <c r="F320" s="3" t="inlineStr">
        <is>
          <t>Vehicle</t>
        </is>
      </c>
      <c r="G320" s="4" t="n">
        <v>46117</v>
      </c>
      <c r="H320" s="5" t="n">
        <v>20667</v>
      </c>
    </row>
    <row r="321">
      <c r="A321" s="3" t="inlineStr">
        <is>
          <t>D0320</t>
        </is>
      </c>
      <c r="B321" s="3" t="inlineStr">
        <is>
          <t>A0054</t>
        </is>
      </c>
      <c r="C321" s="3" t="inlineStr">
        <is>
          <t>Rina Sah</t>
        </is>
      </c>
      <c r="D321" s="3" t="inlineStr">
        <is>
          <t>Patna</t>
        </is>
      </c>
      <c r="E321" s="3" t="inlineStr">
        <is>
          <t>R. Singh</t>
        </is>
      </c>
      <c r="F321" s="3" t="inlineStr">
        <is>
          <t>Vehicle</t>
        </is>
      </c>
      <c r="G321" s="4" t="n">
        <v>46147</v>
      </c>
      <c r="H321" s="5" t="n">
        <v>20667</v>
      </c>
    </row>
    <row r="322">
      <c r="A322" s="3" t="inlineStr">
        <is>
          <t>D0321</t>
        </is>
      </c>
      <c r="B322" s="3" t="inlineStr">
        <is>
          <t>A0054</t>
        </is>
      </c>
      <c r="C322" s="3" t="inlineStr">
        <is>
          <t>Rina Sah</t>
        </is>
      </c>
      <c r="D322" s="3" t="inlineStr">
        <is>
          <t>Patna</t>
        </is>
      </c>
      <c r="E322" s="3" t="inlineStr">
        <is>
          <t>R. Singh</t>
        </is>
      </c>
      <c r="F322" s="3" t="inlineStr">
        <is>
          <t>Vehicle</t>
        </is>
      </c>
      <c r="G322" s="4" t="n">
        <v>46178</v>
      </c>
      <c r="H322" s="5" t="n">
        <v>20667</v>
      </c>
    </row>
    <row r="323">
      <c r="A323" s="3" t="inlineStr">
        <is>
          <t>D0322</t>
        </is>
      </c>
      <c r="B323" s="3" t="inlineStr">
        <is>
          <t>A0054</t>
        </is>
      </c>
      <c r="C323" s="3" t="inlineStr">
        <is>
          <t>Rina Sah</t>
        </is>
      </c>
      <c r="D323" s="3" t="inlineStr">
        <is>
          <t>Patna</t>
        </is>
      </c>
      <c r="E323" s="3" t="inlineStr">
        <is>
          <t>R. Singh</t>
        </is>
      </c>
      <c r="F323" s="3" t="inlineStr">
        <is>
          <t>Vehicle</t>
        </is>
      </c>
      <c r="G323" s="4" t="n">
        <v>46208</v>
      </c>
      <c r="H323" s="5" t="n">
        <v>20667</v>
      </c>
    </row>
    <row r="324">
      <c r="A324" s="3" t="inlineStr">
        <is>
          <t>D0323</t>
        </is>
      </c>
      <c r="B324" s="3" t="inlineStr">
        <is>
          <t>A0054</t>
        </is>
      </c>
      <c r="C324" s="3" t="inlineStr">
        <is>
          <t>Rina Sah</t>
        </is>
      </c>
      <c r="D324" s="3" t="inlineStr">
        <is>
          <t>Patna</t>
        </is>
      </c>
      <c r="E324" s="3" t="inlineStr">
        <is>
          <t>R. Singh</t>
        </is>
      </c>
      <c r="F324" s="3" t="inlineStr">
        <is>
          <t>Vehicle</t>
        </is>
      </c>
      <c r="G324" s="4" t="n">
        <v>46239</v>
      </c>
      <c r="H324" s="5" t="n">
        <v>20667</v>
      </c>
    </row>
    <row r="325">
      <c r="A325" s="3" t="inlineStr">
        <is>
          <t>D0324</t>
        </is>
      </c>
      <c r="B325" s="3" t="inlineStr">
        <is>
          <t>A0054</t>
        </is>
      </c>
      <c r="C325" s="3" t="inlineStr">
        <is>
          <t>Rina Sah</t>
        </is>
      </c>
      <c r="D325" s="3" t="inlineStr">
        <is>
          <t>Patna</t>
        </is>
      </c>
      <c r="E325" s="3" t="inlineStr">
        <is>
          <t>R. Singh</t>
        </is>
      </c>
      <c r="F325" s="3" t="inlineStr">
        <is>
          <t>Vehicle</t>
        </is>
      </c>
      <c r="G325" s="4" t="n">
        <v>46270</v>
      </c>
      <c r="H325" s="5" t="n">
        <v>20667</v>
      </c>
    </row>
    <row r="326">
      <c r="A326" s="3" t="inlineStr">
        <is>
          <t>D0325</t>
        </is>
      </c>
      <c r="B326" s="3" t="inlineStr">
        <is>
          <t>A0055</t>
        </is>
      </c>
      <c r="C326" s="3" t="inlineStr">
        <is>
          <t>Rajesh Tiwari</t>
        </is>
      </c>
      <c r="D326" s="3" t="inlineStr">
        <is>
          <t>Patna</t>
        </is>
      </c>
      <c r="E326" s="3" t="inlineStr">
        <is>
          <t>M. Mandal</t>
        </is>
      </c>
      <c r="F326" s="3" t="inlineStr">
        <is>
          <t>Housing</t>
        </is>
      </c>
      <c r="G326" s="4" t="n">
        <v>46117</v>
      </c>
      <c r="H326" s="5" t="n">
        <v>21333</v>
      </c>
    </row>
    <row r="327">
      <c r="A327" s="3" t="inlineStr">
        <is>
          <t>D0326</t>
        </is>
      </c>
      <c r="B327" s="3" t="inlineStr">
        <is>
          <t>A0055</t>
        </is>
      </c>
      <c r="C327" s="3" t="inlineStr">
        <is>
          <t>Rajesh Tiwari</t>
        </is>
      </c>
      <c r="D327" s="3" t="inlineStr">
        <is>
          <t>Patna</t>
        </is>
      </c>
      <c r="E327" s="3" t="inlineStr">
        <is>
          <t>M. Mandal</t>
        </is>
      </c>
      <c r="F327" s="3" t="inlineStr">
        <is>
          <t>Housing</t>
        </is>
      </c>
      <c r="G327" s="4" t="n">
        <v>46147</v>
      </c>
      <c r="H327" s="5" t="n">
        <v>21333</v>
      </c>
    </row>
    <row r="328">
      <c r="A328" s="3" t="inlineStr">
        <is>
          <t>D0327</t>
        </is>
      </c>
      <c r="B328" s="3" t="inlineStr">
        <is>
          <t>A0055</t>
        </is>
      </c>
      <c r="C328" s="3" t="inlineStr">
        <is>
          <t>Rajesh Tiwari</t>
        </is>
      </c>
      <c r="D328" s="3" t="inlineStr">
        <is>
          <t>Patna</t>
        </is>
      </c>
      <c r="E328" s="3" t="inlineStr">
        <is>
          <t>M. Mandal</t>
        </is>
      </c>
      <c r="F328" s="3" t="inlineStr">
        <is>
          <t>Housing</t>
        </is>
      </c>
      <c r="G328" s="4" t="n">
        <v>46178</v>
      </c>
      <c r="H328" s="5" t="n">
        <v>21333</v>
      </c>
    </row>
    <row r="329">
      <c r="A329" s="3" t="inlineStr">
        <is>
          <t>D0328</t>
        </is>
      </c>
      <c r="B329" s="3" t="inlineStr">
        <is>
          <t>A0055</t>
        </is>
      </c>
      <c r="C329" s="3" t="inlineStr">
        <is>
          <t>Rajesh Tiwari</t>
        </is>
      </c>
      <c r="D329" s="3" t="inlineStr">
        <is>
          <t>Patna</t>
        </is>
      </c>
      <c r="E329" s="3" t="inlineStr">
        <is>
          <t>M. Mandal</t>
        </is>
      </c>
      <c r="F329" s="3" t="inlineStr">
        <is>
          <t>Housing</t>
        </is>
      </c>
      <c r="G329" s="4" t="n">
        <v>46208</v>
      </c>
      <c r="H329" s="5" t="n">
        <v>21333</v>
      </c>
    </row>
    <row r="330">
      <c r="A330" s="3" t="inlineStr">
        <is>
          <t>D0329</t>
        </is>
      </c>
      <c r="B330" s="3" t="inlineStr">
        <is>
          <t>A0055</t>
        </is>
      </c>
      <c r="C330" s="3" t="inlineStr">
        <is>
          <t>Rajesh Tiwari</t>
        </is>
      </c>
      <c r="D330" s="3" t="inlineStr">
        <is>
          <t>Patna</t>
        </is>
      </c>
      <c r="E330" s="3" t="inlineStr">
        <is>
          <t>M. Mandal</t>
        </is>
      </c>
      <c r="F330" s="3" t="inlineStr">
        <is>
          <t>Housing</t>
        </is>
      </c>
      <c r="G330" s="4" t="n">
        <v>46239</v>
      </c>
      <c r="H330" s="5" t="n">
        <v>21333</v>
      </c>
    </row>
    <row r="331">
      <c r="A331" s="3" t="inlineStr">
        <is>
          <t>D0330</t>
        </is>
      </c>
      <c r="B331" s="3" t="inlineStr">
        <is>
          <t>A0055</t>
        </is>
      </c>
      <c r="C331" s="3" t="inlineStr">
        <is>
          <t>Rajesh Tiwari</t>
        </is>
      </c>
      <c r="D331" s="3" t="inlineStr">
        <is>
          <t>Patna</t>
        </is>
      </c>
      <c r="E331" s="3" t="inlineStr">
        <is>
          <t>M. Mandal</t>
        </is>
      </c>
      <c r="F331" s="3" t="inlineStr">
        <is>
          <t>Housing</t>
        </is>
      </c>
      <c r="G331" s="4" t="n">
        <v>46270</v>
      </c>
      <c r="H331" s="5" t="n">
        <v>21333</v>
      </c>
    </row>
    <row r="332">
      <c r="A332" s="3" t="inlineStr">
        <is>
          <t>D0331</t>
        </is>
      </c>
      <c r="B332" s="3" t="inlineStr">
        <is>
          <t>A0056</t>
        </is>
      </c>
      <c r="C332" s="3" t="inlineStr">
        <is>
          <t>Sanjay Tiwari</t>
        </is>
      </c>
      <c r="D332" s="3" t="inlineStr">
        <is>
          <t>Bhagalpur</t>
        </is>
      </c>
      <c r="E332" s="3" t="inlineStr">
        <is>
          <t>K. Sharma</t>
        </is>
      </c>
      <c r="F332" s="3" t="inlineStr">
        <is>
          <t>Housing</t>
        </is>
      </c>
      <c r="G332" s="4" t="n">
        <v>46117</v>
      </c>
      <c r="H332" s="5" t="n">
        <v>11500</v>
      </c>
    </row>
    <row r="333">
      <c r="A333" s="3" t="inlineStr">
        <is>
          <t>D0332</t>
        </is>
      </c>
      <c r="B333" s="3" t="inlineStr">
        <is>
          <t>A0056</t>
        </is>
      </c>
      <c r="C333" s="3" t="inlineStr">
        <is>
          <t>Sanjay Tiwari</t>
        </is>
      </c>
      <c r="D333" s="3" t="inlineStr">
        <is>
          <t>Bhagalpur</t>
        </is>
      </c>
      <c r="E333" s="3" t="inlineStr">
        <is>
          <t>K. Sharma</t>
        </is>
      </c>
      <c r="F333" s="3" t="inlineStr">
        <is>
          <t>Housing</t>
        </is>
      </c>
      <c r="G333" s="4" t="n">
        <v>46147</v>
      </c>
      <c r="H333" s="5" t="n">
        <v>11500</v>
      </c>
    </row>
    <row r="334">
      <c r="A334" s="3" t="inlineStr">
        <is>
          <t>D0333</t>
        </is>
      </c>
      <c r="B334" s="3" t="inlineStr">
        <is>
          <t>A0056</t>
        </is>
      </c>
      <c r="C334" s="3" t="inlineStr">
        <is>
          <t>Sanjay Tiwari</t>
        </is>
      </c>
      <c r="D334" s="3" t="inlineStr">
        <is>
          <t>Bhagalpur</t>
        </is>
      </c>
      <c r="E334" s="3" t="inlineStr">
        <is>
          <t>K. Sharma</t>
        </is>
      </c>
      <c r="F334" s="3" t="inlineStr">
        <is>
          <t>Housing</t>
        </is>
      </c>
      <c r="G334" s="4" t="n">
        <v>46178</v>
      </c>
      <c r="H334" s="5" t="n">
        <v>11500</v>
      </c>
    </row>
    <row r="335">
      <c r="A335" s="3" t="inlineStr">
        <is>
          <t>D0334</t>
        </is>
      </c>
      <c r="B335" s="3" t="inlineStr">
        <is>
          <t>A0056</t>
        </is>
      </c>
      <c r="C335" s="3" t="inlineStr">
        <is>
          <t>Sanjay Tiwari</t>
        </is>
      </c>
      <c r="D335" s="3" t="inlineStr">
        <is>
          <t>Bhagalpur</t>
        </is>
      </c>
      <c r="E335" s="3" t="inlineStr">
        <is>
          <t>K. Sharma</t>
        </is>
      </c>
      <c r="F335" s="3" t="inlineStr">
        <is>
          <t>Housing</t>
        </is>
      </c>
      <c r="G335" s="4" t="n">
        <v>46208</v>
      </c>
      <c r="H335" s="5" t="n">
        <v>11500</v>
      </c>
    </row>
    <row r="336">
      <c r="A336" s="3" t="inlineStr">
        <is>
          <t>D0335</t>
        </is>
      </c>
      <c r="B336" s="3" t="inlineStr">
        <is>
          <t>A0056</t>
        </is>
      </c>
      <c r="C336" s="3" t="inlineStr">
        <is>
          <t>Sanjay Tiwari</t>
        </is>
      </c>
      <c r="D336" s="3" t="inlineStr">
        <is>
          <t>Bhagalpur</t>
        </is>
      </c>
      <c r="E336" s="3" t="inlineStr">
        <is>
          <t>K. Sharma</t>
        </is>
      </c>
      <c r="F336" s="3" t="inlineStr">
        <is>
          <t>Housing</t>
        </is>
      </c>
      <c r="G336" s="4" t="n">
        <v>46239</v>
      </c>
      <c r="H336" s="5" t="n">
        <v>11500</v>
      </c>
    </row>
    <row r="337">
      <c r="A337" s="3" t="inlineStr">
        <is>
          <t>D0336</t>
        </is>
      </c>
      <c r="B337" s="3" t="inlineStr">
        <is>
          <t>A0056</t>
        </is>
      </c>
      <c r="C337" s="3" t="inlineStr">
        <is>
          <t>Sanjay Tiwari</t>
        </is>
      </c>
      <c r="D337" s="3" t="inlineStr">
        <is>
          <t>Bhagalpur</t>
        </is>
      </c>
      <c r="E337" s="3" t="inlineStr">
        <is>
          <t>K. Sharma</t>
        </is>
      </c>
      <c r="F337" s="3" t="inlineStr">
        <is>
          <t>Housing</t>
        </is>
      </c>
      <c r="G337" s="4" t="n">
        <v>46270</v>
      </c>
      <c r="H337" s="5" t="n">
        <v>11500</v>
      </c>
    </row>
    <row r="338">
      <c r="A338" s="3" t="inlineStr">
        <is>
          <t>D0337</t>
        </is>
      </c>
      <c r="B338" s="3" t="inlineStr">
        <is>
          <t>A0057</t>
        </is>
      </c>
      <c r="C338" s="3" t="inlineStr">
        <is>
          <t>Ramesh Sharma</t>
        </is>
      </c>
      <c r="D338" s="3" t="inlineStr">
        <is>
          <t>Gaya</t>
        </is>
      </c>
      <c r="E338" s="3" t="inlineStr">
        <is>
          <t>P. Yadav</t>
        </is>
      </c>
      <c r="F338" s="3" t="inlineStr">
        <is>
          <t>Trade</t>
        </is>
      </c>
      <c r="G338" s="4" t="n">
        <v>46117</v>
      </c>
      <c r="H338" s="5" t="n">
        <v>15667</v>
      </c>
    </row>
    <row r="339">
      <c r="A339" s="3" t="inlineStr">
        <is>
          <t>D0338</t>
        </is>
      </c>
      <c r="B339" s="3" t="inlineStr">
        <is>
          <t>A0057</t>
        </is>
      </c>
      <c r="C339" s="3" t="inlineStr">
        <is>
          <t>Ramesh Sharma</t>
        </is>
      </c>
      <c r="D339" s="3" t="inlineStr">
        <is>
          <t>Gaya</t>
        </is>
      </c>
      <c r="E339" s="3" t="inlineStr">
        <is>
          <t>P. Yadav</t>
        </is>
      </c>
      <c r="F339" s="3" t="inlineStr">
        <is>
          <t>Trade</t>
        </is>
      </c>
      <c r="G339" s="4" t="n">
        <v>46147</v>
      </c>
      <c r="H339" s="5" t="n">
        <v>15667</v>
      </c>
    </row>
    <row r="340">
      <c r="A340" s="3" t="inlineStr">
        <is>
          <t>D0339</t>
        </is>
      </c>
      <c r="B340" s="3" t="inlineStr">
        <is>
          <t>A0057</t>
        </is>
      </c>
      <c r="C340" s="3" t="inlineStr">
        <is>
          <t>Ramesh Sharma</t>
        </is>
      </c>
      <c r="D340" s="3" t="inlineStr">
        <is>
          <t>Gaya</t>
        </is>
      </c>
      <c r="E340" s="3" t="inlineStr">
        <is>
          <t>P. Yadav</t>
        </is>
      </c>
      <c r="F340" s="3" t="inlineStr">
        <is>
          <t>Trade</t>
        </is>
      </c>
      <c r="G340" s="4" t="n">
        <v>46178</v>
      </c>
      <c r="H340" s="5" t="n">
        <v>15667</v>
      </c>
    </row>
    <row r="341">
      <c r="A341" s="3" t="inlineStr">
        <is>
          <t>D0340</t>
        </is>
      </c>
      <c r="B341" s="3" t="inlineStr">
        <is>
          <t>A0057</t>
        </is>
      </c>
      <c r="C341" s="3" t="inlineStr">
        <is>
          <t>Ramesh Sharma</t>
        </is>
      </c>
      <c r="D341" s="3" t="inlineStr">
        <is>
          <t>Gaya</t>
        </is>
      </c>
      <c r="E341" s="3" t="inlineStr">
        <is>
          <t>P. Yadav</t>
        </is>
      </c>
      <c r="F341" s="3" t="inlineStr">
        <is>
          <t>Trade</t>
        </is>
      </c>
      <c r="G341" s="4" t="n">
        <v>46208</v>
      </c>
      <c r="H341" s="5" t="n">
        <v>15667</v>
      </c>
    </row>
    <row r="342">
      <c r="A342" s="3" t="inlineStr">
        <is>
          <t>D0341</t>
        </is>
      </c>
      <c r="B342" s="3" t="inlineStr">
        <is>
          <t>A0057</t>
        </is>
      </c>
      <c r="C342" s="3" t="inlineStr">
        <is>
          <t>Ramesh Sharma</t>
        </is>
      </c>
      <c r="D342" s="3" t="inlineStr">
        <is>
          <t>Gaya</t>
        </is>
      </c>
      <c r="E342" s="3" t="inlineStr">
        <is>
          <t>P. Yadav</t>
        </is>
      </c>
      <c r="F342" s="3" t="inlineStr">
        <is>
          <t>Trade</t>
        </is>
      </c>
      <c r="G342" s="4" t="n">
        <v>46239</v>
      </c>
      <c r="H342" s="5" t="n">
        <v>15667</v>
      </c>
    </row>
    <row r="343">
      <c r="A343" s="3" t="inlineStr">
        <is>
          <t>D0342</t>
        </is>
      </c>
      <c r="B343" s="3" t="inlineStr">
        <is>
          <t>A0057</t>
        </is>
      </c>
      <c r="C343" s="3" t="inlineStr">
        <is>
          <t>Ramesh Sharma</t>
        </is>
      </c>
      <c r="D343" s="3" t="inlineStr">
        <is>
          <t>Gaya</t>
        </is>
      </c>
      <c r="E343" s="3" t="inlineStr">
        <is>
          <t>P. Yadav</t>
        </is>
      </c>
      <c r="F343" s="3" t="inlineStr">
        <is>
          <t>Trade</t>
        </is>
      </c>
      <c r="G343" s="4" t="n">
        <v>46270</v>
      </c>
      <c r="H343" s="5" t="n">
        <v>15667</v>
      </c>
    </row>
    <row r="344">
      <c r="A344" s="3" t="inlineStr">
        <is>
          <t>D0343</t>
        </is>
      </c>
      <c r="B344" s="3" t="inlineStr">
        <is>
          <t>A0058</t>
        </is>
      </c>
      <c r="C344" s="3" t="inlineStr">
        <is>
          <t>Amit Paswan</t>
        </is>
      </c>
      <c r="D344" s="3" t="inlineStr">
        <is>
          <t>Bhagalpur</t>
        </is>
      </c>
      <c r="E344" s="3" t="inlineStr">
        <is>
          <t>R. Singh</t>
        </is>
      </c>
      <c r="F344" s="3" t="inlineStr">
        <is>
          <t>Personal</t>
        </is>
      </c>
      <c r="G344" s="4" t="n">
        <v>46117</v>
      </c>
      <c r="H344" s="5" t="n">
        <v>5000</v>
      </c>
    </row>
    <row r="345">
      <c r="A345" s="3" t="inlineStr">
        <is>
          <t>D0344</t>
        </is>
      </c>
      <c r="B345" s="3" t="inlineStr">
        <is>
          <t>A0058</t>
        </is>
      </c>
      <c r="C345" s="3" t="inlineStr">
        <is>
          <t>Amit Paswan</t>
        </is>
      </c>
      <c r="D345" s="3" t="inlineStr">
        <is>
          <t>Bhagalpur</t>
        </is>
      </c>
      <c r="E345" s="3" t="inlineStr">
        <is>
          <t>R. Singh</t>
        </is>
      </c>
      <c r="F345" s="3" t="inlineStr">
        <is>
          <t>Personal</t>
        </is>
      </c>
      <c r="G345" s="4" t="n">
        <v>46147</v>
      </c>
      <c r="H345" s="5" t="n">
        <v>5000</v>
      </c>
    </row>
    <row r="346">
      <c r="A346" s="3" t="inlineStr">
        <is>
          <t>D0345</t>
        </is>
      </c>
      <c r="B346" s="3" t="inlineStr">
        <is>
          <t>A0058</t>
        </is>
      </c>
      <c r="C346" s="3" t="inlineStr">
        <is>
          <t>Amit Paswan</t>
        </is>
      </c>
      <c r="D346" s="3" t="inlineStr">
        <is>
          <t>Bhagalpur</t>
        </is>
      </c>
      <c r="E346" s="3" t="inlineStr">
        <is>
          <t>R. Singh</t>
        </is>
      </c>
      <c r="F346" s="3" t="inlineStr">
        <is>
          <t>Personal</t>
        </is>
      </c>
      <c r="G346" s="4" t="n">
        <v>46178</v>
      </c>
      <c r="H346" s="5" t="n">
        <v>5000</v>
      </c>
    </row>
    <row r="347">
      <c r="A347" s="3" t="inlineStr">
        <is>
          <t>D0346</t>
        </is>
      </c>
      <c r="B347" s="3" t="inlineStr">
        <is>
          <t>A0058</t>
        </is>
      </c>
      <c r="C347" s="3" t="inlineStr">
        <is>
          <t>Amit Paswan</t>
        </is>
      </c>
      <c r="D347" s="3" t="inlineStr">
        <is>
          <t>Bhagalpur</t>
        </is>
      </c>
      <c r="E347" s="3" t="inlineStr">
        <is>
          <t>R. Singh</t>
        </is>
      </c>
      <c r="F347" s="3" t="inlineStr">
        <is>
          <t>Personal</t>
        </is>
      </c>
      <c r="G347" s="4" t="n">
        <v>46208</v>
      </c>
      <c r="H347" s="5" t="n">
        <v>5000</v>
      </c>
    </row>
    <row r="348">
      <c r="A348" s="3" t="inlineStr">
        <is>
          <t>D0347</t>
        </is>
      </c>
      <c r="B348" s="3" t="inlineStr">
        <is>
          <t>A0058</t>
        </is>
      </c>
      <c r="C348" s="3" t="inlineStr">
        <is>
          <t>Amit Paswan</t>
        </is>
      </c>
      <c r="D348" s="3" t="inlineStr">
        <is>
          <t>Bhagalpur</t>
        </is>
      </c>
      <c r="E348" s="3" t="inlineStr">
        <is>
          <t>R. Singh</t>
        </is>
      </c>
      <c r="F348" s="3" t="inlineStr">
        <is>
          <t>Personal</t>
        </is>
      </c>
      <c r="G348" s="4" t="n">
        <v>46239</v>
      </c>
      <c r="H348" s="5" t="n">
        <v>5000</v>
      </c>
    </row>
    <row r="349">
      <c r="A349" s="3" t="inlineStr">
        <is>
          <t>D0348</t>
        </is>
      </c>
      <c r="B349" s="3" t="inlineStr">
        <is>
          <t>A0058</t>
        </is>
      </c>
      <c r="C349" s="3" t="inlineStr">
        <is>
          <t>Amit Paswan</t>
        </is>
      </c>
      <c r="D349" s="3" t="inlineStr">
        <is>
          <t>Bhagalpur</t>
        </is>
      </c>
      <c r="E349" s="3" t="inlineStr">
        <is>
          <t>R. Singh</t>
        </is>
      </c>
      <c r="F349" s="3" t="inlineStr">
        <is>
          <t>Personal</t>
        </is>
      </c>
      <c r="G349" s="4" t="n">
        <v>46270</v>
      </c>
      <c r="H349" s="5" t="n">
        <v>5000</v>
      </c>
    </row>
    <row r="350">
      <c r="A350" s="3" t="inlineStr">
        <is>
          <t>D0349</t>
        </is>
      </c>
      <c r="B350" s="3" t="inlineStr">
        <is>
          <t>A0059</t>
        </is>
      </c>
      <c r="C350" s="3" t="inlineStr">
        <is>
          <t>Amit Tiwari</t>
        </is>
      </c>
      <c r="D350" s="3" t="inlineStr">
        <is>
          <t>Darbhanga</t>
        </is>
      </c>
      <c r="E350" s="3" t="inlineStr">
        <is>
          <t>K. Sharma</t>
        </is>
      </c>
      <c r="F350" s="3" t="inlineStr">
        <is>
          <t>Agri</t>
        </is>
      </c>
      <c r="G350" s="4" t="n">
        <v>46117</v>
      </c>
      <c r="H350" s="5" t="n">
        <v>29167</v>
      </c>
    </row>
    <row r="351">
      <c r="A351" s="3" t="inlineStr">
        <is>
          <t>D0350</t>
        </is>
      </c>
      <c r="B351" s="3" t="inlineStr">
        <is>
          <t>A0059</t>
        </is>
      </c>
      <c r="C351" s="3" t="inlineStr">
        <is>
          <t>Amit Tiwari</t>
        </is>
      </c>
      <c r="D351" s="3" t="inlineStr">
        <is>
          <t>Darbhanga</t>
        </is>
      </c>
      <c r="E351" s="3" t="inlineStr">
        <is>
          <t>K. Sharma</t>
        </is>
      </c>
      <c r="F351" s="3" t="inlineStr">
        <is>
          <t>Agri</t>
        </is>
      </c>
      <c r="G351" s="4" t="n">
        <v>46147</v>
      </c>
      <c r="H351" s="5" t="n">
        <v>29167</v>
      </c>
    </row>
    <row r="352">
      <c r="A352" s="3" t="inlineStr">
        <is>
          <t>D0351</t>
        </is>
      </c>
      <c r="B352" s="3" t="inlineStr">
        <is>
          <t>A0059</t>
        </is>
      </c>
      <c r="C352" s="3" t="inlineStr">
        <is>
          <t>Amit Tiwari</t>
        </is>
      </c>
      <c r="D352" s="3" t="inlineStr">
        <is>
          <t>Darbhanga</t>
        </is>
      </c>
      <c r="E352" s="3" t="inlineStr">
        <is>
          <t>K. Sharma</t>
        </is>
      </c>
      <c r="F352" s="3" t="inlineStr">
        <is>
          <t>Agri</t>
        </is>
      </c>
      <c r="G352" s="4" t="n">
        <v>46178</v>
      </c>
      <c r="H352" s="5" t="n">
        <v>29167</v>
      </c>
    </row>
    <row r="353">
      <c r="A353" s="3" t="inlineStr">
        <is>
          <t>D0352</t>
        </is>
      </c>
      <c r="B353" s="3" t="inlineStr">
        <is>
          <t>A0059</t>
        </is>
      </c>
      <c r="C353" s="3" t="inlineStr">
        <is>
          <t>Amit Tiwari</t>
        </is>
      </c>
      <c r="D353" s="3" t="inlineStr">
        <is>
          <t>Darbhanga</t>
        </is>
      </c>
      <c r="E353" s="3" t="inlineStr">
        <is>
          <t>K. Sharma</t>
        </is>
      </c>
      <c r="F353" s="3" t="inlineStr">
        <is>
          <t>Agri</t>
        </is>
      </c>
      <c r="G353" s="4" t="n">
        <v>46208</v>
      </c>
      <c r="H353" s="5" t="n">
        <v>29167</v>
      </c>
    </row>
    <row r="354">
      <c r="A354" s="3" t="inlineStr">
        <is>
          <t>D0353</t>
        </is>
      </c>
      <c r="B354" s="3" t="inlineStr">
        <is>
          <t>A0059</t>
        </is>
      </c>
      <c r="C354" s="3" t="inlineStr">
        <is>
          <t>Amit Tiwari</t>
        </is>
      </c>
      <c r="D354" s="3" t="inlineStr">
        <is>
          <t>Darbhanga</t>
        </is>
      </c>
      <c r="E354" s="3" t="inlineStr">
        <is>
          <t>K. Sharma</t>
        </is>
      </c>
      <c r="F354" s="3" t="inlineStr">
        <is>
          <t>Agri</t>
        </is>
      </c>
      <c r="G354" s="4" t="n">
        <v>46239</v>
      </c>
      <c r="H354" s="5" t="n">
        <v>29167</v>
      </c>
    </row>
    <row r="355">
      <c r="A355" s="3" t="inlineStr">
        <is>
          <t>D0354</t>
        </is>
      </c>
      <c r="B355" s="3" t="inlineStr">
        <is>
          <t>A0059</t>
        </is>
      </c>
      <c r="C355" s="3" t="inlineStr">
        <is>
          <t>Amit Tiwari</t>
        </is>
      </c>
      <c r="D355" s="3" t="inlineStr">
        <is>
          <t>Darbhanga</t>
        </is>
      </c>
      <c r="E355" s="3" t="inlineStr">
        <is>
          <t>K. Sharma</t>
        </is>
      </c>
      <c r="F355" s="3" t="inlineStr">
        <is>
          <t>Agri</t>
        </is>
      </c>
      <c r="G355" s="4" t="n">
        <v>46270</v>
      </c>
      <c r="H355" s="5" t="n">
        <v>29167</v>
      </c>
    </row>
    <row r="356">
      <c r="A356" s="3" t="inlineStr">
        <is>
          <t>D0355</t>
        </is>
      </c>
      <c r="B356" s="3" t="inlineStr">
        <is>
          <t>A0060</t>
        </is>
      </c>
      <c r="C356" s="3" t="inlineStr">
        <is>
          <t>Geeta Prasad</t>
        </is>
      </c>
      <c r="D356" s="3" t="inlineStr">
        <is>
          <t>Patna</t>
        </is>
      </c>
      <c r="E356" s="3" t="inlineStr">
        <is>
          <t>P. Yadav</t>
        </is>
      </c>
      <c r="F356" s="3" t="inlineStr">
        <is>
          <t>Vehicle</t>
        </is>
      </c>
      <c r="G356" s="4" t="n">
        <v>46117</v>
      </c>
      <c r="H356" s="5" t="n">
        <v>21333</v>
      </c>
    </row>
    <row r="357">
      <c r="A357" s="3" t="inlineStr">
        <is>
          <t>D0356</t>
        </is>
      </c>
      <c r="B357" s="3" t="inlineStr">
        <is>
          <t>A0060</t>
        </is>
      </c>
      <c r="C357" s="3" t="inlineStr">
        <is>
          <t>Geeta Prasad</t>
        </is>
      </c>
      <c r="D357" s="3" t="inlineStr">
        <is>
          <t>Patna</t>
        </is>
      </c>
      <c r="E357" s="3" t="inlineStr">
        <is>
          <t>P. Yadav</t>
        </is>
      </c>
      <c r="F357" s="3" t="inlineStr">
        <is>
          <t>Vehicle</t>
        </is>
      </c>
      <c r="G357" s="4" t="n">
        <v>46147</v>
      </c>
      <c r="H357" s="5" t="n">
        <v>21333</v>
      </c>
    </row>
    <row r="358">
      <c r="A358" s="3" t="inlineStr">
        <is>
          <t>D0357</t>
        </is>
      </c>
      <c r="B358" s="3" t="inlineStr">
        <is>
          <t>A0060</t>
        </is>
      </c>
      <c r="C358" s="3" t="inlineStr">
        <is>
          <t>Geeta Prasad</t>
        </is>
      </c>
      <c r="D358" s="3" t="inlineStr">
        <is>
          <t>Patna</t>
        </is>
      </c>
      <c r="E358" s="3" t="inlineStr">
        <is>
          <t>P. Yadav</t>
        </is>
      </c>
      <c r="F358" s="3" t="inlineStr">
        <is>
          <t>Vehicle</t>
        </is>
      </c>
      <c r="G358" s="4" t="n">
        <v>46178</v>
      </c>
      <c r="H358" s="5" t="n">
        <v>21333</v>
      </c>
    </row>
    <row r="359">
      <c r="A359" s="3" t="inlineStr">
        <is>
          <t>D0358</t>
        </is>
      </c>
      <c r="B359" s="3" t="inlineStr">
        <is>
          <t>A0060</t>
        </is>
      </c>
      <c r="C359" s="3" t="inlineStr">
        <is>
          <t>Geeta Prasad</t>
        </is>
      </c>
      <c r="D359" s="3" t="inlineStr">
        <is>
          <t>Patna</t>
        </is>
      </c>
      <c r="E359" s="3" t="inlineStr">
        <is>
          <t>P. Yadav</t>
        </is>
      </c>
      <c r="F359" s="3" t="inlineStr">
        <is>
          <t>Vehicle</t>
        </is>
      </c>
      <c r="G359" s="4" t="n">
        <v>46208</v>
      </c>
      <c r="H359" s="5" t="n">
        <v>21333</v>
      </c>
    </row>
    <row r="360">
      <c r="A360" s="3" t="inlineStr">
        <is>
          <t>D0359</t>
        </is>
      </c>
      <c r="B360" s="3" t="inlineStr">
        <is>
          <t>A0060</t>
        </is>
      </c>
      <c r="C360" s="3" t="inlineStr">
        <is>
          <t>Geeta Prasad</t>
        </is>
      </c>
      <c r="D360" s="3" t="inlineStr">
        <is>
          <t>Patna</t>
        </is>
      </c>
      <c r="E360" s="3" t="inlineStr">
        <is>
          <t>P. Yadav</t>
        </is>
      </c>
      <c r="F360" s="3" t="inlineStr">
        <is>
          <t>Vehicle</t>
        </is>
      </c>
      <c r="G360" s="4" t="n">
        <v>46239</v>
      </c>
      <c r="H360" s="5" t="n">
        <v>21333</v>
      </c>
    </row>
    <row r="361">
      <c r="A361" s="3" t="inlineStr">
        <is>
          <t>D0360</t>
        </is>
      </c>
      <c r="B361" s="3" t="inlineStr">
        <is>
          <t>A0060</t>
        </is>
      </c>
      <c r="C361" s="3" t="inlineStr">
        <is>
          <t>Geeta Prasad</t>
        </is>
      </c>
      <c r="D361" s="3" t="inlineStr">
        <is>
          <t>Patna</t>
        </is>
      </c>
      <c r="E361" s="3" t="inlineStr">
        <is>
          <t>P. Yadav</t>
        </is>
      </c>
      <c r="F361" s="3" t="inlineStr">
        <is>
          <t>Vehicle</t>
        </is>
      </c>
      <c r="G361" s="4" t="n">
        <v>46270</v>
      </c>
      <c r="H361" s="5" t="n">
        <v>21333</v>
      </c>
    </row>
    <row r="362">
      <c r="A362" s="3" t="inlineStr">
        <is>
          <t>D0361</t>
        </is>
      </c>
      <c r="B362" s="3" t="inlineStr">
        <is>
          <t>A0061</t>
        </is>
      </c>
      <c r="C362" s="3" t="inlineStr">
        <is>
          <t>Prakash Mishra</t>
        </is>
      </c>
      <c r="D362" s="3" t="inlineStr">
        <is>
          <t>Bhagalpur</t>
        </is>
      </c>
      <c r="E362" s="3" t="inlineStr">
        <is>
          <t>P. Yadav</t>
        </is>
      </c>
      <c r="F362" s="3" t="inlineStr">
        <is>
          <t>Vehicle</t>
        </is>
      </c>
      <c r="G362" s="4" t="n">
        <v>46117</v>
      </c>
      <c r="H362" s="5" t="n">
        <v>14000</v>
      </c>
    </row>
    <row r="363">
      <c r="A363" s="3" t="inlineStr">
        <is>
          <t>D0362</t>
        </is>
      </c>
      <c r="B363" s="3" t="inlineStr">
        <is>
          <t>A0061</t>
        </is>
      </c>
      <c r="C363" s="3" t="inlineStr">
        <is>
          <t>Prakash Mishra</t>
        </is>
      </c>
      <c r="D363" s="3" t="inlineStr">
        <is>
          <t>Bhagalpur</t>
        </is>
      </c>
      <c r="E363" s="3" t="inlineStr">
        <is>
          <t>P. Yadav</t>
        </is>
      </c>
      <c r="F363" s="3" t="inlineStr">
        <is>
          <t>Vehicle</t>
        </is>
      </c>
      <c r="G363" s="4" t="n">
        <v>46147</v>
      </c>
      <c r="H363" s="5" t="n">
        <v>14000</v>
      </c>
    </row>
    <row r="364">
      <c r="A364" s="3" t="inlineStr">
        <is>
          <t>D0363</t>
        </is>
      </c>
      <c r="B364" s="3" t="inlineStr">
        <is>
          <t>A0061</t>
        </is>
      </c>
      <c r="C364" s="3" t="inlineStr">
        <is>
          <t>Prakash Mishra</t>
        </is>
      </c>
      <c r="D364" s="3" t="inlineStr">
        <is>
          <t>Bhagalpur</t>
        </is>
      </c>
      <c r="E364" s="3" t="inlineStr">
        <is>
          <t>P. Yadav</t>
        </is>
      </c>
      <c r="F364" s="3" t="inlineStr">
        <is>
          <t>Vehicle</t>
        </is>
      </c>
      <c r="G364" s="4" t="n">
        <v>46178</v>
      </c>
      <c r="H364" s="5" t="n">
        <v>14000</v>
      </c>
    </row>
    <row r="365">
      <c r="A365" s="3" t="inlineStr">
        <is>
          <t>D0364</t>
        </is>
      </c>
      <c r="B365" s="3" t="inlineStr">
        <is>
          <t>A0061</t>
        </is>
      </c>
      <c r="C365" s="3" t="inlineStr">
        <is>
          <t>Prakash Mishra</t>
        </is>
      </c>
      <c r="D365" s="3" t="inlineStr">
        <is>
          <t>Bhagalpur</t>
        </is>
      </c>
      <c r="E365" s="3" t="inlineStr">
        <is>
          <t>P. Yadav</t>
        </is>
      </c>
      <c r="F365" s="3" t="inlineStr">
        <is>
          <t>Vehicle</t>
        </is>
      </c>
      <c r="G365" s="4" t="n">
        <v>46208</v>
      </c>
      <c r="H365" s="5" t="n">
        <v>14000</v>
      </c>
    </row>
    <row r="366">
      <c r="A366" s="3" t="inlineStr">
        <is>
          <t>D0365</t>
        </is>
      </c>
      <c r="B366" s="3" t="inlineStr">
        <is>
          <t>A0061</t>
        </is>
      </c>
      <c r="C366" s="3" t="inlineStr">
        <is>
          <t>Prakash Mishra</t>
        </is>
      </c>
      <c r="D366" s="3" t="inlineStr">
        <is>
          <t>Bhagalpur</t>
        </is>
      </c>
      <c r="E366" s="3" t="inlineStr">
        <is>
          <t>P. Yadav</t>
        </is>
      </c>
      <c r="F366" s="3" t="inlineStr">
        <is>
          <t>Vehicle</t>
        </is>
      </c>
      <c r="G366" s="4" t="n">
        <v>46239</v>
      </c>
      <c r="H366" s="5" t="n">
        <v>14000</v>
      </c>
    </row>
    <row r="367">
      <c r="A367" s="3" t="inlineStr">
        <is>
          <t>D0366</t>
        </is>
      </c>
      <c r="B367" s="3" t="inlineStr">
        <is>
          <t>A0061</t>
        </is>
      </c>
      <c r="C367" s="3" t="inlineStr">
        <is>
          <t>Prakash Mishra</t>
        </is>
      </c>
      <c r="D367" s="3" t="inlineStr">
        <is>
          <t>Bhagalpur</t>
        </is>
      </c>
      <c r="E367" s="3" t="inlineStr">
        <is>
          <t>P. Yadav</t>
        </is>
      </c>
      <c r="F367" s="3" t="inlineStr">
        <is>
          <t>Vehicle</t>
        </is>
      </c>
      <c r="G367" s="4" t="n">
        <v>46270</v>
      </c>
      <c r="H367" s="5" t="n">
        <v>14000</v>
      </c>
    </row>
    <row r="368">
      <c r="A368" s="3" t="inlineStr">
        <is>
          <t>D0367</t>
        </is>
      </c>
      <c r="B368" s="3" t="inlineStr">
        <is>
          <t>A0062</t>
        </is>
      </c>
      <c r="C368" s="3" t="inlineStr">
        <is>
          <t>Amit Mandal</t>
        </is>
      </c>
      <c r="D368" s="3" t="inlineStr">
        <is>
          <t>Muzaffarpur</t>
        </is>
      </c>
      <c r="E368" s="3" t="inlineStr">
        <is>
          <t>R. Singh</t>
        </is>
      </c>
      <c r="F368" s="3" t="inlineStr">
        <is>
          <t>Vehicle</t>
        </is>
      </c>
      <c r="G368" s="4" t="n">
        <v>46117</v>
      </c>
      <c r="H368" s="5" t="n">
        <v>21500</v>
      </c>
    </row>
    <row r="369">
      <c r="A369" s="3" t="inlineStr">
        <is>
          <t>D0368</t>
        </is>
      </c>
      <c r="B369" s="3" t="inlineStr">
        <is>
          <t>A0062</t>
        </is>
      </c>
      <c r="C369" s="3" t="inlineStr">
        <is>
          <t>Amit Mandal</t>
        </is>
      </c>
      <c r="D369" s="3" t="inlineStr">
        <is>
          <t>Muzaffarpur</t>
        </is>
      </c>
      <c r="E369" s="3" t="inlineStr">
        <is>
          <t>R. Singh</t>
        </is>
      </c>
      <c r="F369" s="3" t="inlineStr">
        <is>
          <t>Vehicle</t>
        </is>
      </c>
      <c r="G369" s="4" t="n">
        <v>46147</v>
      </c>
      <c r="H369" s="5" t="n">
        <v>21500</v>
      </c>
    </row>
    <row r="370">
      <c r="A370" s="3" t="inlineStr">
        <is>
          <t>D0369</t>
        </is>
      </c>
      <c r="B370" s="3" t="inlineStr">
        <is>
          <t>A0062</t>
        </is>
      </c>
      <c r="C370" s="3" t="inlineStr">
        <is>
          <t>Amit Mandal</t>
        </is>
      </c>
      <c r="D370" s="3" t="inlineStr">
        <is>
          <t>Muzaffarpur</t>
        </is>
      </c>
      <c r="E370" s="3" t="inlineStr">
        <is>
          <t>R. Singh</t>
        </is>
      </c>
      <c r="F370" s="3" t="inlineStr">
        <is>
          <t>Vehicle</t>
        </is>
      </c>
      <c r="G370" s="4" t="n">
        <v>46178</v>
      </c>
      <c r="H370" s="5" t="n">
        <v>21500</v>
      </c>
    </row>
    <row r="371">
      <c r="A371" s="3" t="inlineStr">
        <is>
          <t>D0370</t>
        </is>
      </c>
      <c r="B371" s="3" t="inlineStr">
        <is>
          <t>A0062</t>
        </is>
      </c>
      <c r="C371" s="3" t="inlineStr">
        <is>
          <t>Amit Mandal</t>
        </is>
      </c>
      <c r="D371" s="3" t="inlineStr">
        <is>
          <t>Muzaffarpur</t>
        </is>
      </c>
      <c r="E371" s="3" t="inlineStr">
        <is>
          <t>R. Singh</t>
        </is>
      </c>
      <c r="F371" s="3" t="inlineStr">
        <is>
          <t>Vehicle</t>
        </is>
      </c>
      <c r="G371" s="4" t="n">
        <v>46208</v>
      </c>
      <c r="H371" s="5" t="n">
        <v>21500</v>
      </c>
    </row>
    <row r="372">
      <c r="A372" s="3" t="inlineStr">
        <is>
          <t>D0371</t>
        </is>
      </c>
      <c r="B372" s="3" t="inlineStr">
        <is>
          <t>A0062</t>
        </is>
      </c>
      <c r="C372" s="3" t="inlineStr">
        <is>
          <t>Amit Mandal</t>
        </is>
      </c>
      <c r="D372" s="3" t="inlineStr">
        <is>
          <t>Muzaffarpur</t>
        </is>
      </c>
      <c r="E372" s="3" t="inlineStr">
        <is>
          <t>R. Singh</t>
        </is>
      </c>
      <c r="F372" s="3" t="inlineStr">
        <is>
          <t>Vehicle</t>
        </is>
      </c>
      <c r="G372" s="4" t="n">
        <v>46239</v>
      </c>
      <c r="H372" s="5" t="n">
        <v>21500</v>
      </c>
    </row>
    <row r="373">
      <c r="A373" s="3" t="inlineStr">
        <is>
          <t>D0372</t>
        </is>
      </c>
      <c r="B373" s="3" t="inlineStr">
        <is>
          <t>A0062</t>
        </is>
      </c>
      <c r="C373" s="3" t="inlineStr">
        <is>
          <t>Amit Mandal</t>
        </is>
      </c>
      <c r="D373" s="3" t="inlineStr">
        <is>
          <t>Muzaffarpur</t>
        </is>
      </c>
      <c r="E373" s="3" t="inlineStr">
        <is>
          <t>R. Singh</t>
        </is>
      </c>
      <c r="F373" s="3" t="inlineStr">
        <is>
          <t>Vehicle</t>
        </is>
      </c>
      <c r="G373" s="4" t="n">
        <v>46270</v>
      </c>
      <c r="H373" s="5" t="n">
        <v>21500</v>
      </c>
    </row>
    <row r="374">
      <c r="A374" s="3" t="inlineStr">
        <is>
          <t>D0373</t>
        </is>
      </c>
      <c r="B374" s="3" t="inlineStr">
        <is>
          <t>A0063</t>
        </is>
      </c>
      <c r="C374" s="3" t="inlineStr">
        <is>
          <t>Naresh Yadav</t>
        </is>
      </c>
      <c r="D374" s="3" t="inlineStr">
        <is>
          <t>Patna</t>
        </is>
      </c>
      <c r="E374" s="3" t="inlineStr">
        <is>
          <t>A. Verma</t>
        </is>
      </c>
      <c r="F374" s="3" t="inlineStr">
        <is>
          <t>Agri</t>
        </is>
      </c>
      <c r="G374" s="4" t="n">
        <v>46117</v>
      </c>
      <c r="H374" s="5" t="n">
        <v>32000</v>
      </c>
    </row>
    <row r="375">
      <c r="A375" s="3" t="inlineStr">
        <is>
          <t>D0374</t>
        </is>
      </c>
      <c r="B375" s="3" t="inlineStr">
        <is>
          <t>A0063</t>
        </is>
      </c>
      <c r="C375" s="3" t="inlineStr">
        <is>
          <t>Naresh Yadav</t>
        </is>
      </c>
      <c r="D375" s="3" t="inlineStr">
        <is>
          <t>Patna</t>
        </is>
      </c>
      <c r="E375" s="3" t="inlineStr">
        <is>
          <t>A. Verma</t>
        </is>
      </c>
      <c r="F375" s="3" t="inlineStr">
        <is>
          <t>Agri</t>
        </is>
      </c>
      <c r="G375" s="4" t="n">
        <v>46147</v>
      </c>
      <c r="H375" s="5" t="n">
        <v>32000</v>
      </c>
    </row>
    <row r="376">
      <c r="A376" s="3" t="inlineStr">
        <is>
          <t>D0375</t>
        </is>
      </c>
      <c r="B376" s="3" t="inlineStr">
        <is>
          <t>A0063</t>
        </is>
      </c>
      <c r="C376" s="3" t="inlineStr">
        <is>
          <t>Naresh Yadav</t>
        </is>
      </c>
      <c r="D376" s="3" t="inlineStr">
        <is>
          <t>Patna</t>
        </is>
      </c>
      <c r="E376" s="3" t="inlineStr">
        <is>
          <t>A. Verma</t>
        </is>
      </c>
      <c r="F376" s="3" t="inlineStr">
        <is>
          <t>Agri</t>
        </is>
      </c>
      <c r="G376" s="4" t="n">
        <v>46178</v>
      </c>
      <c r="H376" s="5" t="n">
        <v>32000</v>
      </c>
    </row>
    <row r="377">
      <c r="A377" s="3" t="inlineStr">
        <is>
          <t>D0376</t>
        </is>
      </c>
      <c r="B377" s="3" t="inlineStr">
        <is>
          <t>A0063</t>
        </is>
      </c>
      <c r="C377" s="3" t="inlineStr">
        <is>
          <t>Naresh Yadav</t>
        </is>
      </c>
      <c r="D377" s="3" t="inlineStr">
        <is>
          <t>Patna</t>
        </is>
      </c>
      <c r="E377" s="3" t="inlineStr">
        <is>
          <t>A. Verma</t>
        </is>
      </c>
      <c r="F377" s="3" t="inlineStr">
        <is>
          <t>Agri</t>
        </is>
      </c>
      <c r="G377" s="4" t="n">
        <v>46208</v>
      </c>
      <c r="H377" s="5" t="n">
        <v>32000</v>
      </c>
    </row>
    <row r="378">
      <c r="A378" s="3" t="inlineStr">
        <is>
          <t>D0377</t>
        </is>
      </c>
      <c r="B378" s="3" t="inlineStr">
        <is>
          <t>A0063</t>
        </is>
      </c>
      <c r="C378" s="3" t="inlineStr">
        <is>
          <t>Naresh Yadav</t>
        </is>
      </c>
      <c r="D378" s="3" t="inlineStr">
        <is>
          <t>Patna</t>
        </is>
      </c>
      <c r="E378" s="3" t="inlineStr">
        <is>
          <t>A. Verma</t>
        </is>
      </c>
      <c r="F378" s="3" t="inlineStr">
        <is>
          <t>Agri</t>
        </is>
      </c>
      <c r="G378" s="4" t="n">
        <v>46239</v>
      </c>
      <c r="H378" s="5" t="n">
        <v>32000</v>
      </c>
    </row>
    <row r="379">
      <c r="A379" s="3" t="inlineStr">
        <is>
          <t>D0378</t>
        </is>
      </c>
      <c r="B379" s="3" t="inlineStr">
        <is>
          <t>A0063</t>
        </is>
      </c>
      <c r="C379" s="3" t="inlineStr">
        <is>
          <t>Naresh Yadav</t>
        </is>
      </c>
      <c r="D379" s="3" t="inlineStr">
        <is>
          <t>Patna</t>
        </is>
      </c>
      <c r="E379" s="3" t="inlineStr">
        <is>
          <t>A. Verma</t>
        </is>
      </c>
      <c r="F379" s="3" t="inlineStr">
        <is>
          <t>Agri</t>
        </is>
      </c>
      <c r="G379" s="4" t="n">
        <v>46270</v>
      </c>
      <c r="H379" s="5" t="n">
        <v>32000</v>
      </c>
    </row>
    <row r="380">
      <c r="A380" s="3" t="inlineStr">
        <is>
          <t>D0379</t>
        </is>
      </c>
      <c r="B380" s="3" t="inlineStr">
        <is>
          <t>A0064</t>
        </is>
      </c>
      <c r="C380" s="3" t="inlineStr">
        <is>
          <t>Vikash Singh</t>
        </is>
      </c>
      <c r="D380" s="3" t="inlineStr">
        <is>
          <t>Darbhanga</t>
        </is>
      </c>
      <c r="E380" s="3" t="inlineStr">
        <is>
          <t>R. Singh</t>
        </is>
      </c>
      <c r="F380" s="3" t="inlineStr">
        <is>
          <t>Agri</t>
        </is>
      </c>
      <c r="G380" s="4" t="n">
        <v>46117</v>
      </c>
      <c r="H380" s="5" t="n">
        <v>30500</v>
      </c>
    </row>
    <row r="381">
      <c r="A381" s="3" t="inlineStr">
        <is>
          <t>D0380</t>
        </is>
      </c>
      <c r="B381" s="3" t="inlineStr">
        <is>
          <t>A0064</t>
        </is>
      </c>
      <c r="C381" s="3" t="inlineStr">
        <is>
          <t>Vikash Singh</t>
        </is>
      </c>
      <c r="D381" s="3" t="inlineStr">
        <is>
          <t>Darbhanga</t>
        </is>
      </c>
      <c r="E381" s="3" t="inlineStr">
        <is>
          <t>R. Singh</t>
        </is>
      </c>
      <c r="F381" s="3" t="inlineStr">
        <is>
          <t>Agri</t>
        </is>
      </c>
      <c r="G381" s="4" t="n">
        <v>46147</v>
      </c>
      <c r="H381" s="5" t="n">
        <v>30500</v>
      </c>
    </row>
    <row r="382">
      <c r="A382" s="3" t="inlineStr">
        <is>
          <t>D0381</t>
        </is>
      </c>
      <c r="B382" s="3" t="inlineStr">
        <is>
          <t>A0064</t>
        </is>
      </c>
      <c r="C382" s="3" t="inlineStr">
        <is>
          <t>Vikash Singh</t>
        </is>
      </c>
      <c r="D382" s="3" t="inlineStr">
        <is>
          <t>Darbhanga</t>
        </is>
      </c>
      <c r="E382" s="3" t="inlineStr">
        <is>
          <t>R. Singh</t>
        </is>
      </c>
      <c r="F382" s="3" t="inlineStr">
        <is>
          <t>Agri</t>
        </is>
      </c>
      <c r="G382" s="4" t="n">
        <v>46178</v>
      </c>
      <c r="H382" s="5" t="n">
        <v>30500</v>
      </c>
    </row>
    <row r="383">
      <c r="A383" s="3" t="inlineStr">
        <is>
          <t>D0382</t>
        </is>
      </c>
      <c r="B383" s="3" t="inlineStr">
        <is>
          <t>A0064</t>
        </is>
      </c>
      <c r="C383" s="3" t="inlineStr">
        <is>
          <t>Vikash Singh</t>
        </is>
      </c>
      <c r="D383" s="3" t="inlineStr">
        <is>
          <t>Darbhanga</t>
        </is>
      </c>
      <c r="E383" s="3" t="inlineStr">
        <is>
          <t>R. Singh</t>
        </is>
      </c>
      <c r="F383" s="3" t="inlineStr">
        <is>
          <t>Agri</t>
        </is>
      </c>
      <c r="G383" s="4" t="n">
        <v>46208</v>
      </c>
      <c r="H383" s="5" t="n">
        <v>30500</v>
      </c>
    </row>
    <row r="384">
      <c r="A384" s="3" t="inlineStr">
        <is>
          <t>D0383</t>
        </is>
      </c>
      <c r="B384" s="3" t="inlineStr">
        <is>
          <t>A0064</t>
        </is>
      </c>
      <c r="C384" s="3" t="inlineStr">
        <is>
          <t>Vikash Singh</t>
        </is>
      </c>
      <c r="D384" s="3" t="inlineStr">
        <is>
          <t>Darbhanga</t>
        </is>
      </c>
      <c r="E384" s="3" t="inlineStr">
        <is>
          <t>R. Singh</t>
        </is>
      </c>
      <c r="F384" s="3" t="inlineStr">
        <is>
          <t>Agri</t>
        </is>
      </c>
      <c r="G384" s="4" t="n">
        <v>46239</v>
      </c>
      <c r="H384" s="5" t="n">
        <v>30500</v>
      </c>
    </row>
    <row r="385">
      <c r="A385" s="3" t="inlineStr">
        <is>
          <t>D0384</t>
        </is>
      </c>
      <c r="B385" s="3" t="inlineStr">
        <is>
          <t>A0064</t>
        </is>
      </c>
      <c r="C385" s="3" t="inlineStr">
        <is>
          <t>Vikash Singh</t>
        </is>
      </c>
      <c r="D385" s="3" t="inlineStr">
        <is>
          <t>Darbhanga</t>
        </is>
      </c>
      <c r="E385" s="3" t="inlineStr">
        <is>
          <t>R. Singh</t>
        </is>
      </c>
      <c r="F385" s="3" t="inlineStr">
        <is>
          <t>Agri</t>
        </is>
      </c>
      <c r="G385" s="4" t="n">
        <v>46270</v>
      </c>
      <c r="H385" s="5" t="n">
        <v>30500</v>
      </c>
    </row>
    <row r="386">
      <c r="A386" s="3" t="inlineStr">
        <is>
          <t>D0385</t>
        </is>
      </c>
      <c r="B386" s="3" t="inlineStr">
        <is>
          <t>A0065</t>
        </is>
      </c>
      <c r="C386" s="3" t="inlineStr">
        <is>
          <t>Ravi Gupta</t>
        </is>
      </c>
      <c r="D386" s="3" t="inlineStr">
        <is>
          <t>Bhagalpur</t>
        </is>
      </c>
      <c r="E386" s="3" t="inlineStr">
        <is>
          <t>R. Singh</t>
        </is>
      </c>
      <c r="F386" s="3" t="inlineStr">
        <is>
          <t>Agri</t>
        </is>
      </c>
      <c r="G386" s="4" t="n">
        <v>46117</v>
      </c>
      <c r="H386" s="5" t="n">
        <v>19333</v>
      </c>
    </row>
    <row r="387">
      <c r="A387" s="3" t="inlineStr">
        <is>
          <t>D0386</t>
        </is>
      </c>
      <c r="B387" s="3" t="inlineStr">
        <is>
          <t>A0065</t>
        </is>
      </c>
      <c r="C387" s="3" t="inlineStr">
        <is>
          <t>Ravi Gupta</t>
        </is>
      </c>
      <c r="D387" s="3" t="inlineStr">
        <is>
          <t>Bhagalpur</t>
        </is>
      </c>
      <c r="E387" s="3" t="inlineStr">
        <is>
          <t>R. Singh</t>
        </is>
      </c>
      <c r="F387" s="3" t="inlineStr">
        <is>
          <t>Agri</t>
        </is>
      </c>
      <c r="G387" s="4" t="n">
        <v>46147</v>
      </c>
      <c r="H387" s="5" t="n">
        <v>19333</v>
      </c>
    </row>
    <row r="388">
      <c r="A388" s="3" t="inlineStr">
        <is>
          <t>D0387</t>
        </is>
      </c>
      <c r="B388" s="3" t="inlineStr">
        <is>
          <t>A0065</t>
        </is>
      </c>
      <c r="C388" s="3" t="inlineStr">
        <is>
          <t>Ravi Gupta</t>
        </is>
      </c>
      <c r="D388" s="3" t="inlineStr">
        <is>
          <t>Bhagalpur</t>
        </is>
      </c>
      <c r="E388" s="3" t="inlineStr">
        <is>
          <t>R. Singh</t>
        </is>
      </c>
      <c r="F388" s="3" t="inlineStr">
        <is>
          <t>Agri</t>
        </is>
      </c>
      <c r="G388" s="4" t="n">
        <v>46178</v>
      </c>
      <c r="H388" s="5" t="n">
        <v>19333</v>
      </c>
    </row>
    <row r="389">
      <c r="A389" s="3" t="inlineStr">
        <is>
          <t>D0388</t>
        </is>
      </c>
      <c r="B389" s="3" t="inlineStr">
        <is>
          <t>A0065</t>
        </is>
      </c>
      <c r="C389" s="3" t="inlineStr">
        <is>
          <t>Ravi Gupta</t>
        </is>
      </c>
      <c r="D389" s="3" t="inlineStr">
        <is>
          <t>Bhagalpur</t>
        </is>
      </c>
      <c r="E389" s="3" t="inlineStr">
        <is>
          <t>R. Singh</t>
        </is>
      </c>
      <c r="F389" s="3" t="inlineStr">
        <is>
          <t>Agri</t>
        </is>
      </c>
      <c r="G389" s="4" t="n">
        <v>46208</v>
      </c>
      <c r="H389" s="5" t="n">
        <v>19333</v>
      </c>
    </row>
    <row r="390">
      <c r="A390" s="3" t="inlineStr">
        <is>
          <t>D0389</t>
        </is>
      </c>
      <c r="B390" s="3" t="inlineStr">
        <is>
          <t>A0065</t>
        </is>
      </c>
      <c r="C390" s="3" t="inlineStr">
        <is>
          <t>Ravi Gupta</t>
        </is>
      </c>
      <c r="D390" s="3" t="inlineStr">
        <is>
          <t>Bhagalpur</t>
        </is>
      </c>
      <c r="E390" s="3" t="inlineStr">
        <is>
          <t>R. Singh</t>
        </is>
      </c>
      <c r="F390" s="3" t="inlineStr">
        <is>
          <t>Agri</t>
        </is>
      </c>
      <c r="G390" s="4" t="n">
        <v>46239</v>
      </c>
      <c r="H390" s="5" t="n">
        <v>19333</v>
      </c>
    </row>
    <row r="391">
      <c r="A391" s="3" t="inlineStr">
        <is>
          <t>D0390</t>
        </is>
      </c>
      <c r="B391" s="3" t="inlineStr">
        <is>
          <t>A0065</t>
        </is>
      </c>
      <c r="C391" s="3" t="inlineStr">
        <is>
          <t>Ravi Gupta</t>
        </is>
      </c>
      <c r="D391" s="3" t="inlineStr">
        <is>
          <t>Bhagalpur</t>
        </is>
      </c>
      <c r="E391" s="3" t="inlineStr">
        <is>
          <t>R. Singh</t>
        </is>
      </c>
      <c r="F391" s="3" t="inlineStr">
        <is>
          <t>Agri</t>
        </is>
      </c>
      <c r="G391" s="4" t="n">
        <v>46270</v>
      </c>
      <c r="H391" s="5" t="n">
        <v>19333</v>
      </c>
    </row>
    <row r="392">
      <c r="A392" s="3" t="inlineStr">
        <is>
          <t>D0391</t>
        </is>
      </c>
      <c r="B392" s="3" t="inlineStr">
        <is>
          <t>A0066</t>
        </is>
      </c>
      <c r="C392" s="3" t="inlineStr">
        <is>
          <t>Amit Mandal</t>
        </is>
      </c>
      <c r="D392" s="3" t="inlineStr">
        <is>
          <t>Muzaffarpur</t>
        </is>
      </c>
      <c r="E392" s="3" t="inlineStr">
        <is>
          <t>S. Gupta</t>
        </is>
      </c>
      <c r="F392" s="3" t="inlineStr">
        <is>
          <t>Housing</t>
        </is>
      </c>
      <c r="G392" s="4" t="n">
        <v>46117</v>
      </c>
      <c r="H392" s="5" t="n">
        <v>9500</v>
      </c>
    </row>
    <row r="393">
      <c r="A393" s="3" t="inlineStr">
        <is>
          <t>D0392</t>
        </is>
      </c>
      <c r="B393" s="3" t="inlineStr">
        <is>
          <t>A0066</t>
        </is>
      </c>
      <c r="C393" s="3" t="inlineStr">
        <is>
          <t>Amit Mandal</t>
        </is>
      </c>
      <c r="D393" s="3" t="inlineStr">
        <is>
          <t>Muzaffarpur</t>
        </is>
      </c>
      <c r="E393" s="3" t="inlineStr">
        <is>
          <t>S. Gupta</t>
        </is>
      </c>
      <c r="F393" s="3" t="inlineStr">
        <is>
          <t>Housing</t>
        </is>
      </c>
      <c r="G393" s="4" t="n">
        <v>46147</v>
      </c>
      <c r="H393" s="5" t="n">
        <v>9500</v>
      </c>
    </row>
    <row r="394">
      <c r="A394" s="3" t="inlineStr">
        <is>
          <t>D0393</t>
        </is>
      </c>
      <c r="B394" s="3" t="inlineStr">
        <is>
          <t>A0066</t>
        </is>
      </c>
      <c r="C394" s="3" t="inlineStr">
        <is>
          <t>Amit Mandal</t>
        </is>
      </c>
      <c r="D394" s="3" t="inlineStr">
        <is>
          <t>Muzaffarpur</t>
        </is>
      </c>
      <c r="E394" s="3" t="inlineStr">
        <is>
          <t>S. Gupta</t>
        </is>
      </c>
      <c r="F394" s="3" t="inlineStr">
        <is>
          <t>Housing</t>
        </is>
      </c>
      <c r="G394" s="4" t="n">
        <v>46178</v>
      </c>
      <c r="H394" s="5" t="n">
        <v>9500</v>
      </c>
    </row>
    <row r="395">
      <c r="A395" s="3" t="inlineStr">
        <is>
          <t>D0394</t>
        </is>
      </c>
      <c r="B395" s="3" t="inlineStr">
        <is>
          <t>A0066</t>
        </is>
      </c>
      <c r="C395" s="3" t="inlineStr">
        <is>
          <t>Amit Mandal</t>
        </is>
      </c>
      <c r="D395" s="3" t="inlineStr">
        <is>
          <t>Muzaffarpur</t>
        </is>
      </c>
      <c r="E395" s="3" t="inlineStr">
        <is>
          <t>S. Gupta</t>
        </is>
      </c>
      <c r="F395" s="3" t="inlineStr">
        <is>
          <t>Housing</t>
        </is>
      </c>
      <c r="G395" s="4" t="n">
        <v>46208</v>
      </c>
      <c r="H395" s="5" t="n">
        <v>9500</v>
      </c>
    </row>
    <row r="396">
      <c r="A396" s="3" t="inlineStr">
        <is>
          <t>D0395</t>
        </is>
      </c>
      <c r="B396" s="3" t="inlineStr">
        <is>
          <t>A0066</t>
        </is>
      </c>
      <c r="C396" s="3" t="inlineStr">
        <is>
          <t>Amit Mandal</t>
        </is>
      </c>
      <c r="D396" s="3" t="inlineStr">
        <is>
          <t>Muzaffarpur</t>
        </is>
      </c>
      <c r="E396" s="3" t="inlineStr">
        <is>
          <t>S. Gupta</t>
        </is>
      </c>
      <c r="F396" s="3" t="inlineStr">
        <is>
          <t>Housing</t>
        </is>
      </c>
      <c r="G396" s="4" t="n">
        <v>46239</v>
      </c>
      <c r="H396" s="5" t="n">
        <v>9500</v>
      </c>
    </row>
    <row r="397">
      <c r="A397" s="3" t="inlineStr">
        <is>
          <t>D0396</t>
        </is>
      </c>
      <c r="B397" s="3" t="inlineStr">
        <is>
          <t>A0066</t>
        </is>
      </c>
      <c r="C397" s="3" t="inlineStr">
        <is>
          <t>Amit Mandal</t>
        </is>
      </c>
      <c r="D397" s="3" t="inlineStr">
        <is>
          <t>Muzaffarpur</t>
        </is>
      </c>
      <c r="E397" s="3" t="inlineStr">
        <is>
          <t>S. Gupta</t>
        </is>
      </c>
      <c r="F397" s="3" t="inlineStr">
        <is>
          <t>Housing</t>
        </is>
      </c>
      <c r="G397" s="4" t="n">
        <v>46270</v>
      </c>
      <c r="H397" s="5" t="n">
        <v>9500</v>
      </c>
    </row>
    <row r="398">
      <c r="A398" s="3" t="inlineStr">
        <is>
          <t>D0397</t>
        </is>
      </c>
      <c r="B398" s="3" t="inlineStr">
        <is>
          <t>A0067</t>
        </is>
      </c>
      <c r="C398" s="3" t="inlineStr">
        <is>
          <t>Prakash Rai</t>
        </is>
      </c>
      <c r="D398" s="3" t="inlineStr">
        <is>
          <t>Patna</t>
        </is>
      </c>
      <c r="E398" s="3" t="inlineStr">
        <is>
          <t>M. Mandal</t>
        </is>
      </c>
      <c r="F398" s="3" t="inlineStr">
        <is>
          <t>Trade</t>
        </is>
      </c>
      <c r="G398" s="4" t="n">
        <v>46117</v>
      </c>
      <c r="H398" s="5" t="n">
        <v>8167</v>
      </c>
    </row>
    <row r="399">
      <c r="A399" s="3" t="inlineStr">
        <is>
          <t>D0398</t>
        </is>
      </c>
      <c r="B399" s="3" t="inlineStr">
        <is>
          <t>A0067</t>
        </is>
      </c>
      <c r="C399" s="3" t="inlineStr">
        <is>
          <t>Prakash Rai</t>
        </is>
      </c>
      <c r="D399" s="3" t="inlineStr">
        <is>
          <t>Patna</t>
        </is>
      </c>
      <c r="E399" s="3" t="inlineStr">
        <is>
          <t>M. Mandal</t>
        </is>
      </c>
      <c r="F399" s="3" t="inlineStr">
        <is>
          <t>Trade</t>
        </is>
      </c>
      <c r="G399" s="4" t="n">
        <v>46147</v>
      </c>
      <c r="H399" s="5" t="n">
        <v>8167</v>
      </c>
    </row>
    <row r="400">
      <c r="A400" s="3" t="inlineStr">
        <is>
          <t>D0399</t>
        </is>
      </c>
      <c r="B400" s="3" t="inlineStr">
        <is>
          <t>A0067</t>
        </is>
      </c>
      <c r="C400" s="3" t="inlineStr">
        <is>
          <t>Prakash Rai</t>
        </is>
      </c>
      <c r="D400" s="3" t="inlineStr">
        <is>
          <t>Patna</t>
        </is>
      </c>
      <c r="E400" s="3" t="inlineStr">
        <is>
          <t>M. Mandal</t>
        </is>
      </c>
      <c r="F400" s="3" t="inlineStr">
        <is>
          <t>Trade</t>
        </is>
      </c>
      <c r="G400" s="4" t="n">
        <v>46178</v>
      </c>
      <c r="H400" s="5" t="n">
        <v>8167</v>
      </c>
    </row>
    <row r="401">
      <c r="A401" s="3" t="inlineStr">
        <is>
          <t>D0400</t>
        </is>
      </c>
      <c r="B401" s="3" t="inlineStr">
        <is>
          <t>A0067</t>
        </is>
      </c>
      <c r="C401" s="3" t="inlineStr">
        <is>
          <t>Prakash Rai</t>
        </is>
      </c>
      <c r="D401" s="3" t="inlineStr">
        <is>
          <t>Patna</t>
        </is>
      </c>
      <c r="E401" s="3" t="inlineStr">
        <is>
          <t>M. Mandal</t>
        </is>
      </c>
      <c r="F401" s="3" t="inlineStr">
        <is>
          <t>Trade</t>
        </is>
      </c>
      <c r="G401" s="4" t="n">
        <v>46208</v>
      </c>
      <c r="H401" s="5" t="n">
        <v>8167</v>
      </c>
    </row>
    <row r="402">
      <c r="A402" s="3" t="inlineStr">
        <is>
          <t>D0401</t>
        </is>
      </c>
      <c r="B402" s="3" t="inlineStr">
        <is>
          <t>A0067</t>
        </is>
      </c>
      <c r="C402" s="3" t="inlineStr">
        <is>
          <t>Prakash Rai</t>
        </is>
      </c>
      <c r="D402" s="3" t="inlineStr">
        <is>
          <t>Patna</t>
        </is>
      </c>
      <c r="E402" s="3" t="inlineStr">
        <is>
          <t>M. Mandal</t>
        </is>
      </c>
      <c r="F402" s="3" t="inlineStr">
        <is>
          <t>Trade</t>
        </is>
      </c>
      <c r="G402" s="4" t="n">
        <v>46239</v>
      </c>
      <c r="H402" s="5" t="n">
        <v>8167</v>
      </c>
    </row>
    <row r="403">
      <c r="A403" s="3" t="inlineStr">
        <is>
          <t>D0402</t>
        </is>
      </c>
      <c r="B403" s="3" t="inlineStr">
        <is>
          <t>A0067</t>
        </is>
      </c>
      <c r="C403" s="3" t="inlineStr">
        <is>
          <t>Prakash Rai</t>
        </is>
      </c>
      <c r="D403" s="3" t="inlineStr">
        <is>
          <t>Patna</t>
        </is>
      </c>
      <c r="E403" s="3" t="inlineStr">
        <is>
          <t>M. Mandal</t>
        </is>
      </c>
      <c r="F403" s="3" t="inlineStr">
        <is>
          <t>Trade</t>
        </is>
      </c>
      <c r="G403" s="4" t="n">
        <v>46270</v>
      </c>
      <c r="H403" s="5" t="n">
        <v>8167</v>
      </c>
    </row>
    <row r="404">
      <c r="A404" s="3" t="inlineStr">
        <is>
          <t>D0403</t>
        </is>
      </c>
      <c r="B404" s="3" t="inlineStr">
        <is>
          <t>A0068</t>
        </is>
      </c>
      <c r="C404" s="3" t="inlineStr">
        <is>
          <t>Manoj Tiwari</t>
        </is>
      </c>
      <c r="D404" s="3" t="inlineStr">
        <is>
          <t>Patna</t>
        </is>
      </c>
      <c r="E404" s="3" t="inlineStr">
        <is>
          <t>M. Mandal</t>
        </is>
      </c>
      <c r="F404" s="3" t="inlineStr">
        <is>
          <t>Housing</t>
        </is>
      </c>
      <c r="G404" s="4" t="n">
        <v>46117</v>
      </c>
      <c r="H404" s="5" t="n">
        <v>5500</v>
      </c>
    </row>
    <row r="405">
      <c r="A405" s="3" t="inlineStr">
        <is>
          <t>D0404</t>
        </is>
      </c>
      <c r="B405" s="3" t="inlineStr">
        <is>
          <t>A0068</t>
        </is>
      </c>
      <c r="C405" s="3" t="inlineStr">
        <is>
          <t>Manoj Tiwari</t>
        </is>
      </c>
      <c r="D405" s="3" t="inlineStr">
        <is>
          <t>Patna</t>
        </is>
      </c>
      <c r="E405" s="3" t="inlineStr">
        <is>
          <t>M. Mandal</t>
        </is>
      </c>
      <c r="F405" s="3" t="inlineStr">
        <is>
          <t>Housing</t>
        </is>
      </c>
      <c r="G405" s="4" t="n">
        <v>46147</v>
      </c>
      <c r="H405" s="5" t="n">
        <v>5500</v>
      </c>
    </row>
    <row r="406">
      <c r="A406" s="3" t="inlineStr">
        <is>
          <t>D0405</t>
        </is>
      </c>
      <c r="B406" s="3" t="inlineStr">
        <is>
          <t>A0068</t>
        </is>
      </c>
      <c r="C406" s="3" t="inlineStr">
        <is>
          <t>Manoj Tiwari</t>
        </is>
      </c>
      <c r="D406" s="3" t="inlineStr">
        <is>
          <t>Patna</t>
        </is>
      </c>
      <c r="E406" s="3" t="inlineStr">
        <is>
          <t>M. Mandal</t>
        </is>
      </c>
      <c r="F406" s="3" t="inlineStr">
        <is>
          <t>Housing</t>
        </is>
      </c>
      <c r="G406" s="4" t="n">
        <v>46178</v>
      </c>
      <c r="H406" s="5" t="n">
        <v>5500</v>
      </c>
    </row>
    <row r="407">
      <c r="A407" s="3" t="inlineStr">
        <is>
          <t>D0406</t>
        </is>
      </c>
      <c r="B407" s="3" t="inlineStr">
        <is>
          <t>A0068</t>
        </is>
      </c>
      <c r="C407" s="3" t="inlineStr">
        <is>
          <t>Manoj Tiwari</t>
        </is>
      </c>
      <c r="D407" s="3" t="inlineStr">
        <is>
          <t>Patna</t>
        </is>
      </c>
      <c r="E407" s="3" t="inlineStr">
        <is>
          <t>M. Mandal</t>
        </is>
      </c>
      <c r="F407" s="3" t="inlineStr">
        <is>
          <t>Housing</t>
        </is>
      </c>
      <c r="G407" s="4" t="n">
        <v>46208</v>
      </c>
      <c r="H407" s="5" t="n">
        <v>5500</v>
      </c>
    </row>
    <row r="408">
      <c r="A408" s="3" t="inlineStr">
        <is>
          <t>D0407</t>
        </is>
      </c>
      <c r="B408" s="3" t="inlineStr">
        <is>
          <t>A0068</t>
        </is>
      </c>
      <c r="C408" s="3" t="inlineStr">
        <is>
          <t>Manoj Tiwari</t>
        </is>
      </c>
      <c r="D408" s="3" t="inlineStr">
        <is>
          <t>Patna</t>
        </is>
      </c>
      <c r="E408" s="3" t="inlineStr">
        <is>
          <t>M. Mandal</t>
        </is>
      </c>
      <c r="F408" s="3" t="inlineStr">
        <is>
          <t>Housing</t>
        </is>
      </c>
      <c r="G408" s="4" t="n">
        <v>46239</v>
      </c>
      <c r="H408" s="5" t="n">
        <v>5500</v>
      </c>
    </row>
    <row r="409">
      <c r="A409" s="3" t="inlineStr">
        <is>
          <t>D0408</t>
        </is>
      </c>
      <c r="B409" s="3" t="inlineStr">
        <is>
          <t>A0068</t>
        </is>
      </c>
      <c r="C409" s="3" t="inlineStr">
        <is>
          <t>Manoj Tiwari</t>
        </is>
      </c>
      <c r="D409" s="3" t="inlineStr">
        <is>
          <t>Patna</t>
        </is>
      </c>
      <c r="E409" s="3" t="inlineStr">
        <is>
          <t>M. Mandal</t>
        </is>
      </c>
      <c r="F409" s="3" t="inlineStr">
        <is>
          <t>Housing</t>
        </is>
      </c>
      <c r="G409" s="4" t="n">
        <v>46270</v>
      </c>
      <c r="H409" s="5" t="n">
        <v>5500</v>
      </c>
    </row>
    <row r="410">
      <c r="A410" s="3" t="inlineStr">
        <is>
          <t>D0409</t>
        </is>
      </c>
      <c r="B410" s="3" t="inlineStr">
        <is>
          <t>A0069</t>
        </is>
      </c>
      <c r="C410" s="3" t="inlineStr">
        <is>
          <t>Sunita Mandal</t>
        </is>
      </c>
      <c r="D410" s="3" t="inlineStr">
        <is>
          <t>Patna</t>
        </is>
      </c>
      <c r="E410" s="3" t="inlineStr">
        <is>
          <t>R. Singh</t>
        </is>
      </c>
      <c r="F410" s="3" t="inlineStr">
        <is>
          <t>Vehicle</t>
        </is>
      </c>
      <c r="G410" s="4" t="n">
        <v>46117</v>
      </c>
      <c r="H410" s="5" t="n">
        <v>25167</v>
      </c>
    </row>
    <row r="411">
      <c r="A411" s="3" t="inlineStr">
        <is>
          <t>D0410</t>
        </is>
      </c>
      <c r="B411" s="3" t="inlineStr">
        <is>
          <t>A0069</t>
        </is>
      </c>
      <c r="C411" s="3" t="inlineStr">
        <is>
          <t>Sunita Mandal</t>
        </is>
      </c>
      <c r="D411" s="3" t="inlineStr">
        <is>
          <t>Patna</t>
        </is>
      </c>
      <c r="E411" s="3" t="inlineStr">
        <is>
          <t>R. Singh</t>
        </is>
      </c>
      <c r="F411" s="3" t="inlineStr">
        <is>
          <t>Vehicle</t>
        </is>
      </c>
      <c r="G411" s="4" t="n">
        <v>46147</v>
      </c>
      <c r="H411" s="5" t="n">
        <v>25167</v>
      </c>
    </row>
    <row r="412">
      <c r="A412" s="3" t="inlineStr">
        <is>
          <t>D0411</t>
        </is>
      </c>
      <c r="B412" s="3" t="inlineStr">
        <is>
          <t>A0069</t>
        </is>
      </c>
      <c r="C412" s="3" t="inlineStr">
        <is>
          <t>Sunita Mandal</t>
        </is>
      </c>
      <c r="D412" s="3" t="inlineStr">
        <is>
          <t>Patna</t>
        </is>
      </c>
      <c r="E412" s="3" t="inlineStr">
        <is>
          <t>R. Singh</t>
        </is>
      </c>
      <c r="F412" s="3" t="inlineStr">
        <is>
          <t>Vehicle</t>
        </is>
      </c>
      <c r="G412" s="4" t="n">
        <v>46178</v>
      </c>
      <c r="H412" s="5" t="n">
        <v>25167</v>
      </c>
    </row>
    <row r="413">
      <c r="A413" s="3" t="inlineStr">
        <is>
          <t>D0412</t>
        </is>
      </c>
      <c r="B413" s="3" t="inlineStr">
        <is>
          <t>A0069</t>
        </is>
      </c>
      <c r="C413" s="3" t="inlineStr">
        <is>
          <t>Sunita Mandal</t>
        </is>
      </c>
      <c r="D413" s="3" t="inlineStr">
        <is>
          <t>Patna</t>
        </is>
      </c>
      <c r="E413" s="3" t="inlineStr">
        <is>
          <t>R. Singh</t>
        </is>
      </c>
      <c r="F413" s="3" t="inlineStr">
        <is>
          <t>Vehicle</t>
        </is>
      </c>
      <c r="G413" s="4" t="n">
        <v>46208</v>
      </c>
      <c r="H413" s="5" t="n">
        <v>25167</v>
      </c>
    </row>
    <row r="414">
      <c r="A414" s="3" t="inlineStr">
        <is>
          <t>D0413</t>
        </is>
      </c>
      <c r="B414" s="3" t="inlineStr">
        <is>
          <t>A0069</t>
        </is>
      </c>
      <c r="C414" s="3" t="inlineStr">
        <is>
          <t>Sunita Mandal</t>
        </is>
      </c>
      <c r="D414" s="3" t="inlineStr">
        <is>
          <t>Patna</t>
        </is>
      </c>
      <c r="E414" s="3" t="inlineStr">
        <is>
          <t>R. Singh</t>
        </is>
      </c>
      <c r="F414" s="3" t="inlineStr">
        <is>
          <t>Vehicle</t>
        </is>
      </c>
      <c r="G414" s="4" t="n">
        <v>46239</v>
      </c>
      <c r="H414" s="5" t="n">
        <v>25167</v>
      </c>
    </row>
    <row r="415">
      <c r="A415" s="3" t="inlineStr">
        <is>
          <t>D0414</t>
        </is>
      </c>
      <c r="B415" s="3" t="inlineStr">
        <is>
          <t>A0069</t>
        </is>
      </c>
      <c r="C415" s="3" t="inlineStr">
        <is>
          <t>Sunita Mandal</t>
        </is>
      </c>
      <c r="D415" s="3" t="inlineStr">
        <is>
          <t>Patna</t>
        </is>
      </c>
      <c r="E415" s="3" t="inlineStr">
        <is>
          <t>R. Singh</t>
        </is>
      </c>
      <c r="F415" s="3" t="inlineStr">
        <is>
          <t>Vehicle</t>
        </is>
      </c>
      <c r="G415" s="4" t="n">
        <v>46270</v>
      </c>
      <c r="H415" s="5" t="n">
        <v>25167</v>
      </c>
    </row>
    <row r="416">
      <c r="A416" s="3" t="inlineStr">
        <is>
          <t>D0415</t>
        </is>
      </c>
      <c r="B416" s="3" t="inlineStr">
        <is>
          <t>A0070</t>
        </is>
      </c>
      <c r="C416" s="3" t="inlineStr">
        <is>
          <t>Sanjay Chaudhary</t>
        </is>
      </c>
      <c r="D416" s="3" t="inlineStr">
        <is>
          <t>Patna</t>
        </is>
      </c>
      <c r="E416" s="3" t="inlineStr">
        <is>
          <t>R. Singh</t>
        </is>
      </c>
      <c r="F416" s="3" t="inlineStr">
        <is>
          <t>Housing</t>
        </is>
      </c>
      <c r="G416" s="4" t="n">
        <v>46117</v>
      </c>
      <c r="H416" s="5" t="n">
        <v>15000</v>
      </c>
    </row>
    <row r="417">
      <c r="A417" s="3" t="inlineStr">
        <is>
          <t>D0416</t>
        </is>
      </c>
      <c r="B417" s="3" t="inlineStr">
        <is>
          <t>A0070</t>
        </is>
      </c>
      <c r="C417" s="3" t="inlineStr">
        <is>
          <t>Sanjay Chaudhary</t>
        </is>
      </c>
      <c r="D417" s="3" t="inlineStr">
        <is>
          <t>Patna</t>
        </is>
      </c>
      <c r="E417" s="3" t="inlineStr">
        <is>
          <t>R. Singh</t>
        </is>
      </c>
      <c r="F417" s="3" t="inlineStr">
        <is>
          <t>Housing</t>
        </is>
      </c>
      <c r="G417" s="4" t="n">
        <v>46147</v>
      </c>
      <c r="H417" s="5" t="n">
        <v>15000</v>
      </c>
    </row>
    <row r="418">
      <c r="A418" s="3" t="inlineStr">
        <is>
          <t>D0417</t>
        </is>
      </c>
      <c r="B418" s="3" t="inlineStr">
        <is>
          <t>A0070</t>
        </is>
      </c>
      <c r="C418" s="3" t="inlineStr">
        <is>
          <t>Sanjay Chaudhary</t>
        </is>
      </c>
      <c r="D418" s="3" t="inlineStr">
        <is>
          <t>Patna</t>
        </is>
      </c>
      <c r="E418" s="3" t="inlineStr">
        <is>
          <t>R. Singh</t>
        </is>
      </c>
      <c r="F418" s="3" t="inlineStr">
        <is>
          <t>Housing</t>
        </is>
      </c>
      <c r="G418" s="4" t="n">
        <v>46178</v>
      </c>
      <c r="H418" s="5" t="n">
        <v>15000</v>
      </c>
    </row>
    <row r="419">
      <c r="A419" s="3" t="inlineStr">
        <is>
          <t>D0418</t>
        </is>
      </c>
      <c r="B419" s="3" t="inlineStr">
        <is>
          <t>A0070</t>
        </is>
      </c>
      <c r="C419" s="3" t="inlineStr">
        <is>
          <t>Sanjay Chaudhary</t>
        </is>
      </c>
      <c r="D419" s="3" t="inlineStr">
        <is>
          <t>Patna</t>
        </is>
      </c>
      <c r="E419" s="3" t="inlineStr">
        <is>
          <t>R. Singh</t>
        </is>
      </c>
      <c r="F419" s="3" t="inlineStr">
        <is>
          <t>Housing</t>
        </is>
      </c>
      <c r="G419" s="4" t="n">
        <v>46208</v>
      </c>
      <c r="H419" s="5" t="n">
        <v>15000</v>
      </c>
    </row>
    <row r="420">
      <c r="A420" s="3" t="inlineStr">
        <is>
          <t>D0419</t>
        </is>
      </c>
      <c r="B420" s="3" t="inlineStr">
        <is>
          <t>A0070</t>
        </is>
      </c>
      <c r="C420" s="3" t="inlineStr">
        <is>
          <t>Sanjay Chaudhary</t>
        </is>
      </c>
      <c r="D420" s="3" t="inlineStr">
        <is>
          <t>Patna</t>
        </is>
      </c>
      <c r="E420" s="3" t="inlineStr">
        <is>
          <t>R. Singh</t>
        </is>
      </c>
      <c r="F420" s="3" t="inlineStr">
        <is>
          <t>Housing</t>
        </is>
      </c>
      <c r="G420" s="4" t="n">
        <v>46239</v>
      </c>
      <c r="H420" s="5" t="n">
        <v>15000</v>
      </c>
    </row>
    <row r="421">
      <c r="A421" s="3" t="inlineStr">
        <is>
          <t>D0420</t>
        </is>
      </c>
      <c r="B421" s="3" t="inlineStr">
        <is>
          <t>A0070</t>
        </is>
      </c>
      <c r="C421" s="3" t="inlineStr">
        <is>
          <t>Sanjay Chaudhary</t>
        </is>
      </c>
      <c r="D421" s="3" t="inlineStr">
        <is>
          <t>Patna</t>
        </is>
      </c>
      <c r="E421" s="3" t="inlineStr">
        <is>
          <t>R. Singh</t>
        </is>
      </c>
      <c r="F421" s="3" t="inlineStr">
        <is>
          <t>Housing</t>
        </is>
      </c>
      <c r="G421" s="4" t="n">
        <v>46270</v>
      </c>
      <c r="H421" s="5" t="n">
        <v>15000</v>
      </c>
    </row>
    <row r="422">
      <c r="A422" s="3" t="inlineStr">
        <is>
          <t>D0421</t>
        </is>
      </c>
      <c r="B422" s="3" t="inlineStr">
        <is>
          <t>A0071</t>
        </is>
      </c>
      <c r="C422" s="3" t="inlineStr">
        <is>
          <t>Amit Sah</t>
        </is>
      </c>
      <c r="D422" s="3" t="inlineStr">
        <is>
          <t>Darbhanga</t>
        </is>
      </c>
      <c r="E422" s="3" t="inlineStr">
        <is>
          <t>A. Verma</t>
        </is>
      </c>
      <c r="F422" s="3" t="inlineStr">
        <is>
          <t>Personal</t>
        </is>
      </c>
      <c r="G422" s="4" t="n">
        <v>46117</v>
      </c>
      <c r="H422" s="5" t="n">
        <v>10167</v>
      </c>
    </row>
    <row r="423">
      <c r="A423" s="3" t="inlineStr">
        <is>
          <t>D0422</t>
        </is>
      </c>
      <c r="B423" s="3" t="inlineStr">
        <is>
          <t>A0071</t>
        </is>
      </c>
      <c r="C423" s="3" t="inlineStr">
        <is>
          <t>Amit Sah</t>
        </is>
      </c>
      <c r="D423" s="3" t="inlineStr">
        <is>
          <t>Darbhanga</t>
        </is>
      </c>
      <c r="E423" s="3" t="inlineStr">
        <is>
          <t>A. Verma</t>
        </is>
      </c>
      <c r="F423" s="3" t="inlineStr">
        <is>
          <t>Personal</t>
        </is>
      </c>
      <c r="G423" s="4" t="n">
        <v>46147</v>
      </c>
      <c r="H423" s="5" t="n">
        <v>10167</v>
      </c>
    </row>
    <row r="424">
      <c r="A424" s="3" t="inlineStr">
        <is>
          <t>D0423</t>
        </is>
      </c>
      <c r="B424" s="3" t="inlineStr">
        <is>
          <t>A0071</t>
        </is>
      </c>
      <c r="C424" s="3" t="inlineStr">
        <is>
          <t>Amit Sah</t>
        </is>
      </c>
      <c r="D424" s="3" t="inlineStr">
        <is>
          <t>Darbhanga</t>
        </is>
      </c>
      <c r="E424" s="3" t="inlineStr">
        <is>
          <t>A. Verma</t>
        </is>
      </c>
      <c r="F424" s="3" t="inlineStr">
        <is>
          <t>Personal</t>
        </is>
      </c>
      <c r="G424" s="4" t="n">
        <v>46178</v>
      </c>
      <c r="H424" s="5" t="n">
        <v>10167</v>
      </c>
    </row>
    <row r="425">
      <c r="A425" s="3" t="inlineStr">
        <is>
          <t>D0424</t>
        </is>
      </c>
      <c r="B425" s="3" t="inlineStr">
        <is>
          <t>A0071</t>
        </is>
      </c>
      <c r="C425" s="3" t="inlineStr">
        <is>
          <t>Amit Sah</t>
        </is>
      </c>
      <c r="D425" s="3" t="inlineStr">
        <is>
          <t>Darbhanga</t>
        </is>
      </c>
      <c r="E425" s="3" t="inlineStr">
        <is>
          <t>A. Verma</t>
        </is>
      </c>
      <c r="F425" s="3" t="inlineStr">
        <is>
          <t>Personal</t>
        </is>
      </c>
      <c r="G425" s="4" t="n">
        <v>46208</v>
      </c>
      <c r="H425" s="5" t="n">
        <v>10167</v>
      </c>
    </row>
    <row r="426">
      <c r="A426" s="3" t="inlineStr">
        <is>
          <t>D0425</t>
        </is>
      </c>
      <c r="B426" s="3" t="inlineStr">
        <is>
          <t>A0071</t>
        </is>
      </c>
      <c r="C426" s="3" t="inlineStr">
        <is>
          <t>Amit Sah</t>
        </is>
      </c>
      <c r="D426" s="3" t="inlineStr">
        <is>
          <t>Darbhanga</t>
        </is>
      </c>
      <c r="E426" s="3" t="inlineStr">
        <is>
          <t>A. Verma</t>
        </is>
      </c>
      <c r="F426" s="3" t="inlineStr">
        <is>
          <t>Personal</t>
        </is>
      </c>
      <c r="G426" s="4" t="n">
        <v>46239</v>
      </c>
      <c r="H426" s="5" t="n">
        <v>10167</v>
      </c>
    </row>
    <row r="427">
      <c r="A427" s="3" t="inlineStr">
        <is>
          <t>D0426</t>
        </is>
      </c>
      <c r="B427" s="3" t="inlineStr">
        <is>
          <t>A0071</t>
        </is>
      </c>
      <c r="C427" s="3" t="inlineStr">
        <is>
          <t>Amit Sah</t>
        </is>
      </c>
      <c r="D427" s="3" t="inlineStr">
        <is>
          <t>Darbhanga</t>
        </is>
      </c>
      <c r="E427" s="3" t="inlineStr">
        <is>
          <t>A. Verma</t>
        </is>
      </c>
      <c r="F427" s="3" t="inlineStr">
        <is>
          <t>Personal</t>
        </is>
      </c>
      <c r="G427" s="4" t="n">
        <v>46270</v>
      </c>
      <c r="H427" s="5" t="n">
        <v>10167</v>
      </c>
    </row>
    <row r="428">
      <c r="A428" s="3" t="inlineStr">
        <is>
          <t>D0427</t>
        </is>
      </c>
      <c r="B428" s="3" t="inlineStr">
        <is>
          <t>A0072</t>
        </is>
      </c>
      <c r="C428" s="3" t="inlineStr">
        <is>
          <t>Sanjay Tiwari</t>
        </is>
      </c>
      <c r="D428" s="3" t="inlineStr">
        <is>
          <t>Patna</t>
        </is>
      </c>
      <c r="E428" s="3" t="inlineStr">
        <is>
          <t>R. Singh</t>
        </is>
      </c>
      <c r="F428" s="3" t="inlineStr">
        <is>
          <t>Agri</t>
        </is>
      </c>
      <c r="G428" s="4" t="n">
        <v>46117</v>
      </c>
      <c r="H428" s="5" t="n">
        <v>26833</v>
      </c>
    </row>
    <row r="429">
      <c r="A429" s="3" t="inlineStr">
        <is>
          <t>D0428</t>
        </is>
      </c>
      <c r="B429" s="3" t="inlineStr">
        <is>
          <t>A0072</t>
        </is>
      </c>
      <c r="C429" s="3" t="inlineStr">
        <is>
          <t>Sanjay Tiwari</t>
        </is>
      </c>
      <c r="D429" s="3" t="inlineStr">
        <is>
          <t>Patna</t>
        </is>
      </c>
      <c r="E429" s="3" t="inlineStr">
        <is>
          <t>R. Singh</t>
        </is>
      </c>
      <c r="F429" s="3" t="inlineStr">
        <is>
          <t>Agri</t>
        </is>
      </c>
      <c r="G429" s="4" t="n">
        <v>46147</v>
      </c>
      <c r="H429" s="5" t="n">
        <v>26833</v>
      </c>
    </row>
    <row r="430">
      <c r="A430" s="3" t="inlineStr">
        <is>
          <t>D0429</t>
        </is>
      </c>
      <c r="B430" s="3" t="inlineStr">
        <is>
          <t>A0072</t>
        </is>
      </c>
      <c r="C430" s="3" t="inlineStr">
        <is>
          <t>Sanjay Tiwari</t>
        </is>
      </c>
      <c r="D430" s="3" t="inlineStr">
        <is>
          <t>Patna</t>
        </is>
      </c>
      <c r="E430" s="3" t="inlineStr">
        <is>
          <t>R. Singh</t>
        </is>
      </c>
      <c r="F430" s="3" t="inlineStr">
        <is>
          <t>Agri</t>
        </is>
      </c>
      <c r="G430" s="4" t="n">
        <v>46178</v>
      </c>
      <c r="H430" s="5" t="n">
        <v>26833</v>
      </c>
    </row>
    <row r="431">
      <c r="A431" s="3" t="inlineStr">
        <is>
          <t>D0430</t>
        </is>
      </c>
      <c r="B431" s="3" t="inlineStr">
        <is>
          <t>A0072</t>
        </is>
      </c>
      <c r="C431" s="3" t="inlineStr">
        <is>
          <t>Sanjay Tiwari</t>
        </is>
      </c>
      <c r="D431" s="3" t="inlineStr">
        <is>
          <t>Patna</t>
        </is>
      </c>
      <c r="E431" s="3" t="inlineStr">
        <is>
          <t>R. Singh</t>
        </is>
      </c>
      <c r="F431" s="3" t="inlineStr">
        <is>
          <t>Agri</t>
        </is>
      </c>
      <c r="G431" s="4" t="n">
        <v>46208</v>
      </c>
      <c r="H431" s="5" t="n">
        <v>26833</v>
      </c>
    </row>
    <row r="432">
      <c r="A432" s="3" t="inlineStr">
        <is>
          <t>D0431</t>
        </is>
      </c>
      <c r="B432" s="3" t="inlineStr">
        <is>
          <t>A0072</t>
        </is>
      </c>
      <c r="C432" s="3" t="inlineStr">
        <is>
          <t>Sanjay Tiwari</t>
        </is>
      </c>
      <c r="D432" s="3" t="inlineStr">
        <is>
          <t>Patna</t>
        </is>
      </c>
      <c r="E432" s="3" t="inlineStr">
        <is>
          <t>R. Singh</t>
        </is>
      </c>
      <c r="F432" s="3" t="inlineStr">
        <is>
          <t>Agri</t>
        </is>
      </c>
      <c r="G432" s="4" t="n">
        <v>46239</v>
      </c>
      <c r="H432" s="5" t="n">
        <v>26833</v>
      </c>
    </row>
    <row r="433">
      <c r="A433" s="3" t="inlineStr">
        <is>
          <t>D0432</t>
        </is>
      </c>
      <c r="B433" s="3" t="inlineStr">
        <is>
          <t>A0072</t>
        </is>
      </c>
      <c r="C433" s="3" t="inlineStr">
        <is>
          <t>Sanjay Tiwari</t>
        </is>
      </c>
      <c r="D433" s="3" t="inlineStr">
        <is>
          <t>Patna</t>
        </is>
      </c>
      <c r="E433" s="3" t="inlineStr">
        <is>
          <t>R. Singh</t>
        </is>
      </c>
      <c r="F433" s="3" t="inlineStr">
        <is>
          <t>Agri</t>
        </is>
      </c>
      <c r="G433" s="4" t="n">
        <v>46270</v>
      </c>
      <c r="H433" s="5" t="n">
        <v>26833</v>
      </c>
    </row>
    <row r="434">
      <c r="A434" s="3" t="inlineStr">
        <is>
          <t>D0433</t>
        </is>
      </c>
      <c r="B434" s="3" t="inlineStr">
        <is>
          <t>A0073</t>
        </is>
      </c>
      <c r="C434" s="3" t="inlineStr">
        <is>
          <t>Amit Sharma</t>
        </is>
      </c>
      <c r="D434" s="3" t="inlineStr">
        <is>
          <t>Darbhanga</t>
        </is>
      </c>
      <c r="E434" s="3" t="inlineStr">
        <is>
          <t>M. Mandal</t>
        </is>
      </c>
      <c r="F434" s="3" t="inlineStr">
        <is>
          <t>Personal</t>
        </is>
      </c>
      <c r="G434" s="4" t="n">
        <v>46117</v>
      </c>
      <c r="H434" s="5" t="n">
        <v>26000</v>
      </c>
    </row>
    <row r="435">
      <c r="A435" s="3" t="inlineStr">
        <is>
          <t>D0434</t>
        </is>
      </c>
      <c r="B435" s="3" t="inlineStr">
        <is>
          <t>A0073</t>
        </is>
      </c>
      <c r="C435" s="3" t="inlineStr">
        <is>
          <t>Amit Sharma</t>
        </is>
      </c>
      <c r="D435" s="3" t="inlineStr">
        <is>
          <t>Darbhanga</t>
        </is>
      </c>
      <c r="E435" s="3" t="inlineStr">
        <is>
          <t>M. Mandal</t>
        </is>
      </c>
      <c r="F435" s="3" t="inlineStr">
        <is>
          <t>Personal</t>
        </is>
      </c>
      <c r="G435" s="4" t="n">
        <v>46147</v>
      </c>
      <c r="H435" s="5" t="n">
        <v>26000</v>
      </c>
    </row>
    <row r="436">
      <c r="A436" s="3" t="inlineStr">
        <is>
          <t>D0435</t>
        </is>
      </c>
      <c r="B436" s="3" t="inlineStr">
        <is>
          <t>A0073</t>
        </is>
      </c>
      <c r="C436" s="3" t="inlineStr">
        <is>
          <t>Amit Sharma</t>
        </is>
      </c>
      <c r="D436" s="3" t="inlineStr">
        <is>
          <t>Darbhanga</t>
        </is>
      </c>
      <c r="E436" s="3" t="inlineStr">
        <is>
          <t>M. Mandal</t>
        </is>
      </c>
      <c r="F436" s="3" t="inlineStr">
        <is>
          <t>Personal</t>
        </is>
      </c>
      <c r="G436" s="4" t="n">
        <v>46178</v>
      </c>
      <c r="H436" s="5" t="n">
        <v>26000</v>
      </c>
    </row>
    <row r="437">
      <c r="A437" s="3" t="inlineStr">
        <is>
          <t>D0436</t>
        </is>
      </c>
      <c r="B437" s="3" t="inlineStr">
        <is>
          <t>A0073</t>
        </is>
      </c>
      <c r="C437" s="3" t="inlineStr">
        <is>
          <t>Amit Sharma</t>
        </is>
      </c>
      <c r="D437" s="3" t="inlineStr">
        <is>
          <t>Darbhanga</t>
        </is>
      </c>
      <c r="E437" s="3" t="inlineStr">
        <is>
          <t>M. Mandal</t>
        </is>
      </c>
      <c r="F437" s="3" t="inlineStr">
        <is>
          <t>Personal</t>
        </is>
      </c>
      <c r="G437" s="4" t="n">
        <v>46208</v>
      </c>
      <c r="H437" s="5" t="n">
        <v>26000</v>
      </c>
    </row>
    <row r="438">
      <c r="A438" s="3" t="inlineStr">
        <is>
          <t>D0437</t>
        </is>
      </c>
      <c r="B438" s="3" t="inlineStr">
        <is>
          <t>A0073</t>
        </is>
      </c>
      <c r="C438" s="3" t="inlineStr">
        <is>
          <t>Amit Sharma</t>
        </is>
      </c>
      <c r="D438" s="3" t="inlineStr">
        <is>
          <t>Darbhanga</t>
        </is>
      </c>
      <c r="E438" s="3" t="inlineStr">
        <is>
          <t>M. Mandal</t>
        </is>
      </c>
      <c r="F438" s="3" t="inlineStr">
        <is>
          <t>Personal</t>
        </is>
      </c>
      <c r="G438" s="4" t="n">
        <v>46239</v>
      </c>
      <c r="H438" s="5" t="n">
        <v>26000</v>
      </c>
    </row>
    <row r="439">
      <c r="A439" s="3" t="inlineStr">
        <is>
          <t>D0438</t>
        </is>
      </c>
      <c r="B439" s="3" t="inlineStr">
        <is>
          <t>A0073</t>
        </is>
      </c>
      <c r="C439" s="3" t="inlineStr">
        <is>
          <t>Amit Sharma</t>
        </is>
      </c>
      <c r="D439" s="3" t="inlineStr">
        <is>
          <t>Darbhanga</t>
        </is>
      </c>
      <c r="E439" s="3" t="inlineStr">
        <is>
          <t>M. Mandal</t>
        </is>
      </c>
      <c r="F439" s="3" t="inlineStr">
        <is>
          <t>Personal</t>
        </is>
      </c>
      <c r="G439" s="4" t="n">
        <v>46270</v>
      </c>
      <c r="H439" s="5" t="n">
        <v>26000</v>
      </c>
    </row>
    <row r="440">
      <c r="A440" s="3" t="inlineStr">
        <is>
          <t>D0439</t>
        </is>
      </c>
      <c r="B440" s="3" t="inlineStr">
        <is>
          <t>A0074</t>
        </is>
      </c>
      <c r="C440" s="3" t="inlineStr">
        <is>
          <t>Amit Sah</t>
        </is>
      </c>
      <c r="D440" s="3" t="inlineStr">
        <is>
          <t>Gaya</t>
        </is>
      </c>
      <c r="E440" s="3" t="inlineStr">
        <is>
          <t>R. Singh</t>
        </is>
      </c>
      <c r="F440" s="3" t="inlineStr">
        <is>
          <t>Agri</t>
        </is>
      </c>
      <c r="G440" s="4" t="n">
        <v>46117</v>
      </c>
      <c r="H440" s="5" t="n">
        <v>9000</v>
      </c>
    </row>
    <row r="441">
      <c r="A441" s="3" t="inlineStr">
        <is>
          <t>D0440</t>
        </is>
      </c>
      <c r="B441" s="3" t="inlineStr">
        <is>
          <t>A0074</t>
        </is>
      </c>
      <c r="C441" s="3" t="inlineStr">
        <is>
          <t>Amit Sah</t>
        </is>
      </c>
      <c r="D441" s="3" t="inlineStr">
        <is>
          <t>Gaya</t>
        </is>
      </c>
      <c r="E441" s="3" t="inlineStr">
        <is>
          <t>R. Singh</t>
        </is>
      </c>
      <c r="F441" s="3" t="inlineStr">
        <is>
          <t>Agri</t>
        </is>
      </c>
      <c r="G441" s="4" t="n">
        <v>46147</v>
      </c>
      <c r="H441" s="5" t="n">
        <v>9000</v>
      </c>
    </row>
    <row r="442">
      <c r="A442" s="3" t="inlineStr">
        <is>
          <t>D0441</t>
        </is>
      </c>
      <c r="B442" s="3" t="inlineStr">
        <is>
          <t>A0074</t>
        </is>
      </c>
      <c r="C442" s="3" t="inlineStr">
        <is>
          <t>Amit Sah</t>
        </is>
      </c>
      <c r="D442" s="3" t="inlineStr">
        <is>
          <t>Gaya</t>
        </is>
      </c>
      <c r="E442" s="3" t="inlineStr">
        <is>
          <t>R. Singh</t>
        </is>
      </c>
      <c r="F442" s="3" t="inlineStr">
        <is>
          <t>Agri</t>
        </is>
      </c>
      <c r="G442" s="4" t="n">
        <v>46178</v>
      </c>
      <c r="H442" s="5" t="n">
        <v>9000</v>
      </c>
    </row>
    <row r="443">
      <c r="A443" s="3" t="inlineStr">
        <is>
          <t>D0442</t>
        </is>
      </c>
      <c r="B443" s="3" t="inlineStr">
        <is>
          <t>A0074</t>
        </is>
      </c>
      <c r="C443" s="3" t="inlineStr">
        <is>
          <t>Amit Sah</t>
        </is>
      </c>
      <c r="D443" s="3" t="inlineStr">
        <is>
          <t>Gaya</t>
        </is>
      </c>
      <c r="E443" s="3" t="inlineStr">
        <is>
          <t>R. Singh</t>
        </is>
      </c>
      <c r="F443" s="3" t="inlineStr">
        <is>
          <t>Agri</t>
        </is>
      </c>
      <c r="G443" s="4" t="n">
        <v>46208</v>
      </c>
      <c r="H443" s="5" t="n">
        <v>9000</v>
      </c>
    </row>
    <row r="444">
      <c r="A444" s="3" t="inlineStr">
        <is>
          <t>D0443</t>
        </is>
      </c>
      <c r="B444" s="3" t="inlineStr">
        <is>
          <t>A0074</t>
        </is>
      </c>
      <c r="C444" s="3" t="inlineStr">
        <is>
          <t>Amit Sah</t>
        </is>
      </c>
      <c r="D444" s="3" t="inlineStr">
        <is>
          <t>Gaya</t>
        </is>
      </c>
      <c r="E444" s="3" t="inlineStr">
        <is>
          <t>R. Singh</t>
        </is>
      </c>
      <c r="F444" s="3" t="inlineStr">
        <is>
          <t>Agri</t>
        </is>
      </c>
      <c r="G444" s="4" t="n">
        <v>46239</v>
      </c>
      <c r="H444" s="5" t="n">
        <v>9000</v>
      </c>
    </row>
    <row r="445">
      <c r="A445" s="3" t="inlineStr">
        <is>
          <t>D0444</t>
        </is>
      </c>
      <c r="B445" s="3" t="inlineStr">
        <is>
          <t>A0074</t>
        </is>
      </c>
      <c r="C445" s="3" t="inlineStr">
        <is>
          <t>Amit Sah</t>
        </is>
      </c>
      <c r="D445" s="3" t="inlineStr">
        <is>
          <t>Gaya</t>
        </is>
      </c>
      <c r="E445" s="3" t="inlineStr">
        <is>
          <t>R. Singh</t>
        </is>
      </c>
      <c r="F445" s="3" t="inlineStr">
        <is>
          <t>Agri</t>
        </is>
      </c>
      <c r="G445" s="4" t="n">
        <v>46270</v>
      </c>
      <c r="H445" s="5" t="n">
        <v>9000</v>
      </c>
    </row>
    <row r="446">
      <c r="A446" s="3" t="inlineStr">
        <is>
          <t>D0445</t>
        </is>
      </c>
      <c r="B446" s="3" t="inlineStr">
        <is>
          <t>A0075</t>
        </is>
      </c>
      <c r="C446" s="3" t="inlineStr">
        <is>
          <t>Umesh Verma</t>
        </is>
      </c>
      <c r="D446" s="3" t="inlineStr">
        <is>
          <t>Patna</t>
        </is>
      </c>
      <c r="E446" s="3" t="inlineStr">
        <is>
          <t>K. Sharma</t>
        </is>
      </c>
      <c r="F446" s="3" t="inlineStr">
        <is>
          <t>Housing</t>
        </is>
      </c>
      <c r="G446" s="4" t="n">
        <v>46117</v>
      </c>
      <c r="H446" s="5" t="n">
        <v>28333</v>
      </c>
    </row>
    <row r="447">
      <c r="A447" s="3" t="inlineStr">
        <is>
          <t>D0446</t>
        </is>
      </c>
      <c r="B447" s="3" t="inlineStr">
        <is>
          <t>A0075</t>
        </is>
      </c>
      <c r="C447" s="3" t="inlineStr">
        <is>
          <t>Umesh Verma</t>
        </is>
      </c>
      <c r="D447" s="3" t="inlineStr">
        <is>
          <t>Patna</t>
        </is>
      </c>
      <c r="E447" s="3" t="inlineStr">
        <is>
          <t>K. Sharma</t>
        </is>
      </c>
      <c r="F447" s="3" t="inlineStr">
        <is>
          <t>Housing</t>
        </is>
      </c>
      <c r="G447" s="4" t="n">
        <v>46147</v>
      </c>
      <c r="H447" s="5" t="n">
        <v>28333</v>
      </c>
    </row>
    <row r="448">
      <c r="A448" s="3" t="inlineStr">
        <is>
          <t>D0447</t>
        </is>
      </c>
      <c r="B448" s="3" t="inlineStr">
        <is>
          <t>A0075</t>
        </is>
      </c>
      <c r="C448" s="3" t="inlineStr">
        <is>
          <t>Umesh Verma</t>
        </is>
      </c>
      <c r="D448" s="3" t="inlineStr">
        <is>
          <t>Patna</t>
        </is>
      </c>
      <c r="E448" s="3" t="inlineStr">
        <is>
          <t>K. Sharma</t>
        </is>
      </c>
      <c r="F448" s="3" t="inlineStr">
        <is>
          <t>Housing</t>
        </is>
      </c>
      <c r="G448" s="4" t="n">
        <v>46178</v>
      </c>
      <c r="H448" s="5" t="n">
        <v>28333</v>
      </c>
    </row>
    <row r="449">
      <c r="A449" s="3" t="inlineStr">
        <is>
          <t>D0448</t>
        </is>
      </c>
      <c r="B449" s="3" t="inlineStr">
        <is>
          <t>A0075</t>
        </is>
      </c>
      <c r="C449" s="3" t="inlineStr">
        <is>
          <t>Umesh Verma</t>
        </is>
      </c>
      <c r="D449" s="3" t="inlineStr">
        <is>
          <t>Patna</t>
        </is>
      </c>
      <c r="E449" s="3" t="inlineStr">
        <is>
          <t>K. Sharma</t>
        </is>
      </c>
      <c r="F449" s="3" t="inlineStr">
        <is>
          <t>Housing</t>
        </is>
      </c>
      <c r="G449" s="4" t="n">
        <v>46208</v>
      </c>
      <c r="H449" s="5" t="n">
        <v>28333</v>
      </c>
    </row>
    <row r="450">
      <c r="A450" s="3" t="inlineStr">
        <is>
          <t>D0449</t>
        </is>
      </c>
      <c r="B450" s="3" t="inlineStr">
        <is>
          <t>A0075</t>
        </is>
      </c>
      <c r="C450" s="3" t="inlineStr">
        <is>
          <t>Umesh Verma</t>
        </is>
      </c>
      <c r="D450" s="3" t="inlineStr">
        <is>
          <t>Patna</t>
        </is>
      </c>
      <c r="E450" s="3" t="inlineStr">
        <is>
          <t>K. Sharma</t>
        </is>
      </c>
      <c r="F450" s="3" t="inlineStr">
        <is>
          <t>Housing</t>
        </is>
      </c>
      <c r="G450" s="4" t="n">
        <v>46239</v>
      </c>
      <c r="H450" s="5" t="n">
        <v>28333</v>
      </c>
    </row>
    <row r="451">
      <c r="A451" s="3" t="inlineStr">
        <is>
          <t>D0450</t>
        </is>
      </c>
      <c r="B451" s="3" t="inlineStr">
        <is>
          <t>A0075</t>
        </is>
      </c>
      <c r="C451" s="3" t="inlineStr">
        <is>
          <t>Umesh Verma</t>
        </is>
      </c>
      <c r="D451" s="3" t="inlineStr">
        <is>
          <t>Patna</t>
        </is>
      </c>
      <c r="E451" s="3" t="inlineStr">
        <is>
          <t>K. Sharma</t>
        </is>
      </c>
      <c r="F451" s="3" t="inlineStr">
        <is>
          <t>Housing</t>
        </is>
      </c>
      <c r="G451" s="4" t="n">
        <v>46270</v>
      </c>
      <c r="H451" s="5" t="n">
        <v>28333</v>
      </c>
    </row>
    <row r="452">
      <c r="A452" s="3" t="inlineStr">
        <is>
          <t>D0451</t>
        </is>
      </c>
      <c r="B452" s="3" t="inlineStr">
        <is>
          <t>A0076</t>
        </is>
      </c>
      <c r="C452" s="3" t="inlineStr">
        <is>
          <t>Prakash Mishra</t>
        </is>
      </c>
      <c r="D452" s="3" t="inlineStr">
        <is>
          <t>Bhagalpur</t>
        </is>
      </c>
      <c r="E452" s="3" t="inlineStr">
        <is>
          <t>S. Gupta</t>
        </is>
      </c>
      <c r="F452" s="3" t="inlineStr">
        <is>
          <t>Personal</t>
        </is>
      </c>
      <c r="G452" s="4" t="n">
        <v>46117</v>
      </c>
      <c r="H452" s="5" t="n">
        <v>5333</v>
      </c>
    </row>
    <row r="453">
      <c r="A453" s="3" t="inlineStr">
        <is>
          <t>D0452</t>
        </is>
      </c>
      <c r="B453" s="3" t="inlineStr">
        <is>
          <t>A0076</t>
        </is>
      </c>
      <c r="C453" s="3" t="inlineStr">
        <is>
          <t>Prakash Mishra</t>
        </is>
      </c>
      <c r="D453" s="3" t="inlineStr">
        <is>
          <t>Bhagalpur</t>
        </is>
      </c>
      <c r="E453" s="3" t="inlineStr">
        <is>
          <t>S. Gupta</t>
        </is>
      </c>
      <c r="F453" s="3" t="inlineStr">
        <is>
          <t>Personal</t>
        </is>
      </c>
      <c r="G453" s="4" t="n">
        <v>46147</v>
      </c>
      <c r="H453" s="5" t="n">
        <v>5333</v>
      </c>
    </row>
    <row r="454">
      <c r="A454" s="3" t="inlineStr">
        <is>
          <t>D0453</t>
        </is>
      </c>
      <c r="B454" s="3" t="inlineStr">
        <is>
          <t>A0076</t>
        </is>
      </c>
      <c r="C454" s="3" t="inlineStr">
        <is>
          <t>Prakash Mishra</t>
        </is>
      </c>
      <c r="D454" s="3" t="inlineStr">
        <is>
          <t>Bhagalpur</t>
        </is>
      </c>
      <c r="E454" s="3" t="inlineStr">
        <is>
          <t>S. Gupta</t>
        </is>
      </c>
      <c r="F454" s="3" t="inlineStr">
        <is>
          <t>Personal</t>
        </is>
      </c>
      <c r="G454" s="4" t="n">
        <v>46178</v>
      </c>
      <c r="H454" s="5" t="n">
        <v>5333</v>
      </c>
    </row>
    <row r="455">
      <c r="A455" s="3" t="inlineStr">
        <is>
          <t>D0454</t>
        </is>
      </c>
      <c r="B455" s="3" t="inlineStr">
        <is>
          <t>A0076</t>
        </is>
      </c>
      <c r="C455" s="3" t="inlineStr">
        <is>
          <t>Prakash Mishra</t>
        </is>
      </c>
      <c r="D455" s="3" t="inlineStr">
        <is>
          <t>Bhagalpur</t>
        </is>
      </c>
      <c r="E455" s="3" t="inlineStr">
        <is>
          <t>S. Gupta</t>
        </is>
      </c>
      <c r="F455" s="3" t="inlineStr">
        <is>
          <t>Personal</t>
        </is>
      </c>
      <c r="G455" s="4" t="n">
        <v>46208</v>
      </c>
      <c r="H455" s="5" t="n">
        <v>5333</v>
      </c>
    </row>
    <row r="456">
      <c r="A456" s="3" t="inlineStr">
        <is>
          <t>D0455</t>
        </is>
      </c>
      <c r="B456" s="3" t="inlineStr">
        <is>
          <t>A0076</t>
        </is>
      </c>
      <c r="C456" s="3" t="inlineStr">
        <is>
          <t>Prakash Mishra</t>
        </is>
      </c>
      <c r="D456" s="3" t="inlineStr">
        <is>
          <t>Bhagalpur</t>
        </is>
      </c>
      <c r="E456" s="3" t="inlineStr">
        <is>
          <t>S. Gupta</t>
        </is>
      </c>
      <c r="F456" s="3" t="inlineStr">
        <is>
          <t>Personal</t>
        </is>
      </c>
      <c r="G456" s="4" t="n">
        <v>46239</v>
      </c>
      <c r="H456" s="5" t="n">
        <v>5333</v>
      </c>
    </row>
    <row r="457">
      <c r="A457" s="3" t="inlineStr">
        <is>
          <t>D0456</t>
        </is>
      </c>
      <c r="B457" s="3" t="inlineStr">
        <is>
          <t>A0076</t>
        </is>
      </c>
      <c r="C457" s="3" t="inlineStr">
        <is>
          <t>Prakash Mishra</t>
        </is>
      </c>
      <c r="D457" s="3" t="inlineStr">
        <is>
          <t>Bhagalpur</t>
        </is>
      </c>
      <c r="E457" s="3" t="inlineStr">
        <is>
          <t>S. Gupta</t>
        </is>
      </c>
      <c r="F457" s="3" t="inlineStr">
        <is>
          <t>Personal</t>
        </is>
      </c>
      <c r="G457" s="4" t="n">
        <v>46270</v>
      </c>
      <c r="H457" s="5" t="n">
        <v>5333</v>
      </c>
    </row>
    <row r="458">
      <c r="A458" s="3" t="inlineStr">
        <is>
          <t>D0457</t>
        </is>
      </c>
      <c r="B458" s="3" t="inlineStr">
        <is>
          <t>A0077</t>
        </is>
      </c>
      <c r="C458" s="3" t="inlineStr">
        <is>
          <t>Kiran Sah</t>
        </is>
      </c>
      <c r="D458" s="3" t="inlineStr">
        <is>
          <t>Patna</t>
        </is>
      </c>
      <c r="E458" s="3" t="inlineStr">
        <is>
          <t>M. Mandal</t>
        </is>
      </c>
      <c r="F458" s="3" t="inlineStr">
        <is>
          <t>Trade</t>
        </is>
      </c>
      <c r="G458" s="4" t="n">
        <v>46117</v>
      </c>
      <c r="H458" s="5" t="n">
        <v>19333</v>
      </c>
    </row>
    <row r="459">
      <c r="A459" s="3" t="inlineStr">
        <is>
          <t>D0458</t>
        </is>
      </c>
      <c r="B459" s="3" t="inlineStr">
        <is>
          <t>A0077</t>
        </is>
      </c>
      <c r="C459" s="3" t="inlineStr">
        <is>
          <t>Kiran Sah</t>
        </is>
      </c>
      <c r="D459" s="3" t="inlineStr">
        <is>
          <t>Patna</t>
        </is>
      </c>
      <c r="E459" s="3" t="inlineStr">
        <is>
          <t>M. Mandal</t>
        </is>
      </c>
      <c r="F459" s="3" t="inlineStr">
        <is>
          <t>Trade</t>
        </is>
      </c>
      <c r="G459" s="4" t="n">
        <v>46147</v>
      </c>
      <c r="H459" s="5" t="n">
        <v>19333</v>
      </c>
    </row>
    <row r="460">
      <c r="A460" s="3" t="inlineStr">
        <is>
          <t>D0459</t>
        </is>
      </c>
      <c r="B460" s="3" t="inlineStr">
        <is>
          <t>A0077</t>
        </is>
      </c>
      <c r="C460" s="3" t="inlineStr">
        <is>
          <t>Kiran Sah</t>
        </is>
      </c>
      <c r="D460" s="3" t="inlineStr">
        <is>
          <t>Patna</t>
        </is>
      </c>
      <c r="E460" s="3" t="inlineStr">
        <is>
          <t>M. Mandal</t>
        </is>
      </c>
      <c r="F460" s="3" t="inlineStr">
        <is>
          <t>Trade</t>
        </is>
      </c>
      <c r="G460" s="4" t="n">
        <v>46178</v>
      </c>
      <c r="H460" s="5" t="n">
        <v>19333</v>
      </c>
    </row>
    <row r="461">
      <c r="A461" s="3" t="inlineStr">
        <is>
          <t>D0460</t>
        </is>
      </c>
      <c r="B461" s="3" t="inlineStr">
        <is>
          <t>A0077</t>
        </is>
      </c>
      <c r="C461" s="3" t="inlineStr">
        <is>
          <t>Kiran Sah</t>
        </is>
      </c>
      <c r="D461" s="3" t="inlineStr">
        <is>
          <t>Patna</t>
        </is>
      </c>
      <c r="E461" s="3" t="inlineStr">
        <is>
          <t>M. Mandal</t>
        </is>
      </c>
      <c r="F461" s="3" t="inlineStr">
        <is>
          <t>Trade</t>
        </is>
      </c>
      <c r="G461" s="4" t="n">
        <v>46208</v>
      </c>
      <c r="H461" s="5" t="n">
        <v>19333</v>
      </c>
    </row>
    <row r="462">
      <c r="A462" s="3" t="inlineStr">
        <is>
          <t>D0461</t>
        </is>
      </c>
      <c r="B462" s="3" t="inlineStr">
        <is>
          <t>A0077</t>
        </is>
      </c>
      <c r="C462" s="3" t="inlineStr">
        <is>
          <t>Kiran Sah</t>
        </is>
      </c>
      <c r="D462" s="3" t="inlineStr">
        <is>
          <t>Patna</t>
        </is>
      </c>
      <c r="E462" s="3" t="inlineStr">
        <is>
          <t>M. Mandal</t>
        </is>
      </c>
      <c r="F462" s="3" t="inlineStr">
        <is>
          <t>Trade</t>
        </is>
      </c>
      <c r="G462" s="4" t="n">
        <v>46239</v>
      </c>
      <c r="H462" s="5" t="n">
        <v>19333</v>
      </c>
    </row>
    <row r="463">
      <c r="A463" s="3" t="inlineStr">
        <is>
          <t>D0462</t>
        </is>
      </c>
      <c r="B463" s="3" t="inlineStr">
        <is>
          <t>A0077</t>
        </is>
      </c>
      <c r="C463" s="3" t="inlineStr">
        <is>
          <t>Kiran Sah</t>
        </is>
      </c>
      <c r="D463" s="3" t="inlineStr">
        <is>
          <t>Patna</t>
        </is>
      </c>
      <c r="E463" s="3" t="inlineStr">
        <is>
          <t>M. Mandal</t>
        </is>
      </c>
      <c r="F463" s="3" t="inlineStr">
        <is>
          <t>Trade</t>
        </is>
      </c>
      <c r="G463" s="4" t="n">
        <v>46270</v>
      </c>
      <c r="H463" s="5" t="n">
        <v>19333</v>
      </c>
    </row>
    <row r="464">
      <c r="A464" s="3" t="inlineStr">
        <is>
          <t>D0463</t>
        </is>
      </c>
      <c r="B464" s="3" t="inlineStr">
        <is>
          <t>A0078</t>
        </is>
      </c>
      <c r="C464" s="3" t="inlineStr">
        <is>
          <t>Geeta Yadav</t>
        </is>
      </c>
      <c r="D464" s="3" t="inlineStr">
        <is>
          <t>Gaya</t>
        </is>
      </c>
      <c r="E464" s="3" t="inlineStr">
        <is>
          <t>K. Sharma</t>
        </is>
      </c>
      <c r="F464" s="3" t="inlineStr">
        <is>
          <t>Agri</t>
        </is>
      </c>
      <c r="G464" s="4" t="n">
        <v>46117</v>
      </c>
      <c r="H464" s="5" t="n">
        <v>7000</v>
      </c>
    </row>
    <row r="465">
      <c r="A465" s="3" t="inlineStr">
        <is>
          <t>D0464</t>
        </is>
      </c>
      <c r="B465" s="3" t="inlineStr">
        <is>
          <t>A0078</t>
        </is>
      </c>
      <c r="C465" s="3" t="inlineStr">
        <is>
          <t>Geeta Yadav</t>
        </is>
      </c>
      <c r="D465" s="3" t="inlineStr">
        <is>
          <t>Gaya</t>
        </is>
      </c>
      <c r="E465" s="3" t="inlineStr">
        <is>
          <t>K. Sharma</t>
        </is>
      </c>
      <c r="F465" s="3" t="inlineStr">
        <is>
          <t>Agri</t>
        </is>
      </c>
      <c r="G465" s="4" t="n">
        <v>46147</v>
      </c>
      <c r="H465" s="5" t="n">
        <v>7000</v>
      </c>
    </row>
    <row r="466">
      <c r="A466" s="3" t="inlineStr">
        <is>
          <t>D0465</t>
        </is>
      </c>
      <c r="B466" s="3" t="inlineStr">
        <is>
          <t>A0078</t>
        </is>
      </c>
      <c r="C466" s="3" t="inlineStr">
        <is>
          <t>Geeta Yadav</t>
        </is>
      </c>
      <c r="D466" s="3" t="inlineStr">
        <is>
          <t>Gaya</t>
        </is>
      </c>
      <c r="E466" s="3" t="inlineStr">
        <is>
          <t>K. Sharma</t>
        </is>
      </c>
      <c r="F466" s="3" t="inlineStr">
        <is>
          <t>Agri</t>
        </is>
      </c>
      <c r="G466" s="4" t="n">
        <v>46178</v>
      </c>
      <c r="H466" s="5" t="n">
        <v>7000</v>
      </c>
    </row>
    <row r="467">
      <c r="A467" s="3" t="inlineStr">
        <is>
          <t>D0466</t>
        </is>
      </c>
      <c r="B467" s="3" t="inlineStr">
        <is>
          <t>A0078</t>
        </is>
      </c>
      <c r="C467" s="3" t="inlineStr">
        <is>
          <t>Geeta Yadav</t>
        </is>
      </c>
      <c r="D467" s="3" t="inlineStr">
        <is>
          <t>Gaya</t>
        </is>
      </c>
      <c r="E467" s="3" t="inlineStr">
        <is>
          <t>K. Sharma</t>
        </is>
      </c>
      <c r="F467" s="3" t="inlineStr">
        <is>
          <t>Agri</t>
        </is>
      </c>
      <c r="G467" s="4" t="n">
        <v>46208</v>
      </c>
      <c r="H467" s="5" t="n">
        <v>7000</v>
      </c>
    </row>
    <row r="468">
      <c r="A468" s="3" t="inlineStr">
        <is>
          <t>D0467</t>
        </is>
      </c>
      <c r="B468" s="3" t="inlineStr">
        <is>
          <t>A0078</t>
        </is>
      </c>
      <c r="C468" s="3" t="inlineStr">
        <is>
          <t>Geeta Yadav</t>
        </is>
      </c>
      <c r="D468" s="3" t="inlineStr">
        <is>
          <t>Gaya</t>
        </is>
      </c>
      <c r="E468" s="3" t="inlineStr">
        <is>
          <t>K. Sharma</t>
        </is>
      </c>
      <c r="F468" s="3" t="inlineStr">
        <is>
          <t>Agri</t>
        </is>
      </c>
      <c r="G468" s="4" t="n">
        <v>46239</v>
      </c>
      <c r="H468" s="5" t="n">
        <v>7000</v>
      </c>
    </row>
    <row r="469">
      <c r="A469" s="3" t="inlineStr">
        <is>
          <t>D0468</t>
        </is>
      </c>
      <c r="B469" s="3" t="inlineStr">
        <is>
          <t>A0078</t>
        </is>
      </c>
      <c r="C469" s="3" t="inlineStr">
        <is>
          <t>Geeta Yadav</t>
        </is>
      </c>
      <c r="D469" s="3" t="inlineStr">
        <is>
          <t>Gaya</t>
        </is>
      </c>
      <c r="E469" s="3" t="inlineStr">
        <is>
          <t>K. Sharma</t>
        </is>
      </c>
      <c r="F469" s="3" t="inlineStr">
        <is>
          <t>Agri</t>
        </is>
      </c>
      <c r="G469" s="4" t="n">
        <v>46270</v>
      </c>
      <c r="H469" s="5" t="n">
        <v>7000</v>
      </c>
    </row>
    <row r="470">
      <c r="A470" s="3" t="inlineStr">
        <is>
          <t>D0469</t>
        </is>
      </c>
      <c r="B470" s="3" t="inlineStr">
        <is>
          <t>A0079</t>
        </is>
      </c>
      <c r="C470" s="3" t="inlineStr">
        <is>
          <t>Naresh Chaudhary</t>
        </is>
      </c>
      <c r="D470" s="3" t="inlineStr">
        <is>
          <t>Darbhanga</t>
        </is>
      </c>
      <c r="E470" s="3" t="inlineStr">
        <is>
          <t>A. Verma</t>
        </is>
      </c>
      <c r="F470" s="3" t="inlineStr">
        <is>
          <t>Trade</t>
        </is>
      </c>
      <c r="G470" s="4" t="n">
        <v>46117</v>
      </c>
      <c r="H470" s="5" t="n">
        <v>9333</v>
      </c>
    </row>
    <row r="471">
      <c r="A471" s="3" t="inlineStr">
        <is>
          <t>D0470</t>
        </is>
      </c>
      <c r="B471" s="3" t="inlineStr">
        <is>
          <t>A0079</t>
        </is>
      </c>
      <c r="C471" s="3" t="inlineStr">
        <is>
          <t>Naresh Chaudhary</t>
        </is>
      </c>
      <c r="D471" s="3" t="inlineStr">
        <is>
          <t>Darbhanga</t>
        </is>
      </c>
      <c r="E471" s="3" t="inlineStr">
        <is>
          <t>A. Verma</t>
        </is>
      </c>
      <c r="F471" s="3" t="inlineStr">
        <is>
          <t>Trade</t>
        </is>
      </c>
      <c r="G471" s="4" t="n">
        <v>46147</v>
      </c>
      <c r="H471" s="5" t="n">
        <v>9333</v>
      </c>
    </row>
    <row r="472">
      <c r="A472" s="3" t="inlineStr">
        <is>
          <t>D0471</t>
        </is>
      </c>
      <c r="B472" s="3" t="inlineStr">
        <is>
          <t>A0079</t>
        </is>
      </c>
      <c r="C472" s="3" t="inlineStr">
        <is>
          <t>Naresh Chaudhary</t>
        </is>
      </c>
      <c r="D472" s="3" t="inlineStr">
        <is>
          <t>Darbhanga</t>
        </is>
      </c>
      <c r="E472" s="3" t="inlineStr">
        <is>
          <t>A. Verma</t>
        </is>
      </c>
      <c r="F472" s="3" t="inlineStr">
        <is>
          <t>Trade</t>
        </is>
      </c>
      <c r="G472" s="4" t="n">
        <v>46178</v>
      </c>
      <c r="H472" s="5" t="n">
        <v>9333</v>
      </c>
    </row>
    <row r="473">
      <c r="A473" s="3" t="inlineStr">
        <is>
          <t>D0472</t>
        </is>
      </c>
      <c r="B473" s="3" t="inlineStr">
        <is>
          <t>A0079</t>
        </is>
      </c>
      <c r="C473" s="3" t="inlineStr">
        <is>
          <t>Naresh Chaudhary</t>
        </is>
      </c>
      <c r="D473" s="3" t="inlineStr">
        <is>
          <t>Darbhanga</t>
        </is>
      </c>
      <c r="E473" s="3" t="inlineStr">
        <is>
          <t>A. Verma</t>
        </is>
      </c>
      <c r="F473" s="3" t="inlineStr">
        <is>
          <t>Trade</t>
        </is>
      </c>
      <c r="G473" s="4" t="n">
        <v>46208</v>
      </c>
      <c r="H473" s="5" t="n">
        <v>9333</v>
      </c>
    </row>
    <row r="474">
      <c r="A474" s="3" t="inlineStr">
        <is>
          <t>D0473</t>
        </is>
      </c>
      <c r="B474" s="3" t="inlineStr">
        <is>
          <t>A0079</t>
        </is>
      </c>
      <c r="C474" s="3" t="inlineStr">
        <is>
          <t>Naresh Chaudhary</t>
        </is>
      </c>
      <c r="D474" s="3" t="inlineStr">
        <is>
          <t>Darbhanga</t>
        </is>
      </c>
      <c r="E474" s="3" t="inlineStr">
        <is>
          <t>A. Verma</t>
        </is>
      </c>
      <c r="F474" s="3" t="inlineStr">
        <is>
          <t>Trade</t>
        </is>
      </c>
      <c r="G474" s="4" t="n">
        <v>46239</v>
      </c>
      <c r="H474" s="5" t="n">
        <v>9333</v>
      </c>
    </row>
    <row r="475">
      <c r="A475" s="3" t="inlineStr">
        <is>
          <t>D0474</t>
        </is>
      </c>
      <c r="B475" s="3" t="inlineStr">
        <is>
          <t>A0079</t>
        </is>
      </c>
      <c r="C475" s="3" t="inlineStr">
        <is>
          <t>Naresh Chaudhary</t>
        </is>
      </c>
      <c r="D475" s="3" t="inlineStr">
        <is>
          <t>Darbhanga</t>
        </is>
      </c>
      <c r="E475" s="3" t="inlineStr">
        <is>
          <t>A. Verma</t>
        </is>
      </c>
      <c r="F475" s="3" t="inlineStr">
        <is>
          <t>Trade</t>
        </is>
      </c>
      <c r="G475" s="4" t="n">
        <v>46270</v>
      </c>
      <c r="H475" s="5" t="n">
        <v>9333</v>
      </c>
    </row>
    <row r="476">
      <c r="A476" s="3" t="inlineStr">
        <is>
          <t>D0475</t>
        </is>
      </c>
      <c r="B476" s="3" t="inlineStr">
        <is>
          <t>A0080</t>
        </is>
      </c>
      <c r="C476" s="3" t="inlineStr">
        <is>
          <t>Manoj Mishra</t>
        </is>
      </c>
      <c r="D476" s="3" t="inlineStr">
        <is>
          <t>Muzaffarpur</t>
        </is>
      </c>
      <c r="E476" s="3" t="inlineStr">
        <is>
          <t>S. Gupta</t>
        </is>
      </c>
      <c r="F476" s="3" t="inlineStr">
        <is>
          <t>Housing</t>
        </is>
      </c>
      <c r="G476" s="4" t="n">
        <v>46117</v>
      </c>
      <c r="H476" s="5" t="n">
        <v>14667</v>
      </c>
    </row>
    <row r="477">
      <c r="A477" s="3" t="inlineStr">
        <is>
          <t>D0476</t>
        </is>
      </c>
      <c r="B477" s="3" t="inlineStr">
        <is>
          <t>A0080</t>
        </is>
      </c>
      <c r="C477" s="3" t="inlineStr">
        <is>
          <t>Manoj Mishra</t>
        </is>
      </c>
      <c r="D477" s="3" t="inlineStr">
        <is>
          <t>Muzaffarpur</t>
        </is>
      </c>
      <c r="E477" s="3" t="inlineStr">
        <is>
          <t>S. Gupta</t>
        </is>
      </c>
      <c r="F477" s="3" t="inlineStr">
        <is>
          <t>Housing</t>
        </is>
      </c>
      <c r="G477" s="4" t="n">
        <v>46147</v>
      </c>
      <c r="H477" s="5" t="n">
        <v>14667</v>
      </c>
    </row>
    <row r="478">
      <c r="A478" s="3" t="inlineStr">
        <is>
          <t>D0477</t>
        </is>
      </c>
      <c r="B478" s="3" t="inlineStr">
        <is>
          <t>A0080</t>
        </is>
      </c>
      <c r="C478" s="3" t="inlineStr">
        <is>
          <t>Manoj Mishra</t>
        </is>
      </c>
      <c r="D478" s="3" t="inlineStr">
        <is>
          <t>Muzaffarpur</t>
        </is>
      </c>
      <c r="E478" s="3" t="inlineStr">
        <is>
          <t>S. Gupta</t>
        </is>
      </c>
      <c r="F478" s="3" t="inlineStr">
        <is>
          <t>Housing</t>
        </is>
      </c>
      <c r="G478" s="4" t="n">
        <v>46178</v>
      </c>
      <c r="H478" s="5" t="n">
        <v>14667</v>
      </c>
    </row>
    <row r="479">
      <c r="A479" s="3" t="inlineStr">
        <is>
          <t>D0478</t>
        </is>
      </c>
      <c r="B479" s="3" t="inlineStr">
        <is>
          <t>A0080</t>
        </is>
      </c>
      <c r="C479" s="3" t="inlineStr">
        <is>
          <t>Manoj Mishra</t>
        </is>
      </c>
      <c r="D479" s="3" t="inlineStr">
        <is>
          <t>Muzaffarpur</t>
        </is>
      </c>
      <c r="E479" s="3" t="inlineStr">
        <is>
          <t>S. Gupta</t>
        </is>
      </c>
      <c r="F479" s="3" t="inlineStr">
        <is>
          <t>Housing</t>
        </is>
      </c>
      <c r="G479" s="4" t="n">
        <v>46208</v>
      </c>
      <c r="H479" s="5" t="n">
        <v>14667</v>
      </c>
    </row>
    <row r="480">
      <c r="A480" s="3" t="inlineStr">
        <is>
          <t>D0479</t>
        </is>
      </c>
      <c r="B480" s="3" t="inlineStr">
        <is>
          <t>A0080</t>
        </is>
      </c>
      <c r="C480" s="3" t="inlineStr">
        <is>
          <t>Manoj Mishra</t>
        </is>
      </c>
      <c r="D480" s="3" t="inlineStr">
        <is>
          <t>Muzaffarpur</t>
        </is>
      </c>
      <c r="E480" s="3" t="inlineStr">
        <is>
          <t>S. Gupta</t>
        </is>
      </c>
      <c r="F480" s="3" t="inlineStr">
        <is>
          <t>Housing</t>
        </is>
      </c>
      <c r="G480" s="4" t="n">
        <v>46239</v>
      </c>
      <c r="H480" s="5" t="n">
        <v>14667</v>
      </c>
    </row>
    <row r="481">
      <c r="A481" s="3" t="inlineStr">
        <is>
          <t>D0480</t>
        </is>
      </c>
      <c r="B481" s="3" t="inlineStr">
        <is>
          <t>A0080</t>
        </is>
      </c>
      <c r="C481" s="3" t="inlineStr">
        <is>
          <t>Manoj Mishra</t>
        </is>
      </c>
      <c r="D481" s="3" t="inlineStr">
        <is>
          <t>Muzaffarpur</t>
        </is>
      </c>
      <c r="E481" s="3" t="inlineStr">
        <is>
          <t>S. Gupta</t>
        </is>
      </c>
      <c r="F481" s="3" t="inlineStr">
        <is>
          <t>Housing</t>
        </is>
      </c>
      <c r="G481" s="4" t="n">
        <v>46270</v>
      </c>
      <c r="H481" s="5" t="n">
        <v>14667</v>
      </c>
    </row>
    <row r="482">
      <c r="A482" s="3" t="inlineStr">
        <is>
          <t>D0481</t>
        </is>
      </c>
      <c r="B482" s="3" t="inlineStr">
        <is>
          <t>A0081</t>
        </is>
      </c>
      <c r="C482" s="3" t="inlineStr">
        <is>
          <t>Sunita Chaudhary</t>
        </is>
      </c>
      <c r="D482" s="3" t="inlineStr">
        <is>
          <t>Muzaffarpur</t>
        </is>
      </c>
      <c r="E482" s="3" t="inlineStr">
        <is>
          <t>A. Verma</t>
        </is>
      </c>
      <c r="F482" s="3" t="inlineStr">
        <is>
          <t>Personal</t>
        </is>
      </c>
      <c r="G482" s="4" t="n">
        <v>46117</v>
      </c>
      <c r="H482" s="5" t="n">
        <v>3333</v>
      </c>
    </row>
    <row r="483">
      <c r="A483" s="3" t="inlineStr">
        <is>
          <t>D0482</t>
        </is>
      </c>
      <c r="B483" s="3" t="inlineStr">
        <is>
          <t>A0081</t>
        </is>
      </c>
      <c r="C483" s="3" t="inlineStr">
        <is>
          <t>Sunita Chaudhary</t>
        </is>
      </c>
      <c r="D483" s="3" t="inlineStr">
        <is>
          <t>Muzaffarpur</t>
        </is>
      </c>
      <c r="E483" s="3" t="inlineStr">
        <is>
          <t>A. Verma</t>
        </is>
      </c>
      <c r="F483" s="3" t="inlineStr">
        <is>
          <t>Personal</t>
        </is>
      </c>
      <c r="G483" s="4" t="n">
        <v>46147</v>
      </c>
      <c r="H483" s="5" t="n">
        <v>3333</v>
      </c>
    </row>
    <row r="484">
      <c r="A484" s="3" t="inlineStr">
        <is>
          <t>D0483</t>
        </is>
      </c>
      <c r="B484" s="3" t="inlineStr">
        <is>
          <t>A0081</t>
        </is>
      </c>
      <c r="C484" s="3" t="inlineStr">
        <is>
          <t>Sunita Chaudhary</t>
        </is>
      </c>
      <c r="D484" s="3" t="inlineStr">
        <is>
          <t>Muzaffarpur</t>
        </is>
      </c>
      <c r="E484" s="3" t="inlineStr">
        <is>
          <t>A. Verma</t>
        </is>
      </c>
      <c r="F484" s="3" t="inlineStr">
        <is>
          <t>Personal</t>
        </is>
      </c>
      <c r="G484" s="4" t="n">
        <v>46178</v>
      </c>
      <c r="H484" s="5" t="n">
        <v>3333</v>
      </c>
    </row>
    <row r="485">
      <c r="A485" s="3" t="inlineStr">
        <is>
          <t>D0484</t>
        </is>
      </c>
      <c r="B485" s="3" t="inlineStr">
        <is>
          <t>A0081</t>
        </is>
      </c>
      <c r="C485" s="3" t="inlineStr">
        <is>
          <t>Sunita Chaudhary</t>
        </is>
      </c>
      <c r="D485" s="3" t="inlineStr">
        <is>
          <t>Muzaffarpur</t>
        </is>
      </c>
      <c r="E485" s="3" t="inlineStr">
        <is>
          <t>A. Verma</t>
        </is>
      </c>
      <c r="F485" s="3" t="inlineStr">
        <is>
          <t>Personal</t>
        </is>
      </c>
      <c r="G485" s="4" t="n">
        <v>46208</v>
      </c>
      <c r="H485" s="5" t="n">
        <v>3333</v>
      </c>
    </row>
    <row r="486">
      <c r="A486" s="3" t="inlineStr">
        <is>
          <t>D0485</t>
        </is>
      </c>
      <c r="B486" s="3" t="inlineStr">
        <is>
          <t>A0081</t>
        </is>
      </c>
      <c r="C486" s="3" t="inlineStr">
        <is>
          <t>Sunita Chaudhary</t>
        </is>
      </c>
      <c r="D486" s="3" t="inlineStr">
        <is>
          <t>Muzaffarpur</t>
        </is>
      </c>
      <c r="E486" s="3" t="inlineStr">
        <is>
          <t>A. Verma</t>
        </is>
      </c>
      <c r="F486" s="3" t="inlineStr">
        <is>
          <t>Personal</t>
        </is>
      </c>
      <c r="G486" s="4" t="n">
        <v>46239</v>
      </c>
      <c r="H486" s="5" t="n">
        <v>3333</v>
      </c>
    </row>
    <row r="487">
      <c r="A487" s="3" t="inlineStr">
        <is>
          <t>D0486</t>
        </is>
      </c>
      <c r="B487" s="3" t="inlineStr">
        <is>
          <t>A0081</t>
        </is>
      </c>
      <c r="C487" s="3" t="inlineStr">
        <is>
          <t>Sunita Chaudhary</t>
        </is>
      </c>
      <c r="D487" s="3" t="inlineStr">
        <is>
          <t>Muzaffarpur</t>
        </is>
      </c>
      <c r="E487" s="3" t="inlineStr">
        <is>
          <t>A. Verma</t>
        </is>
      </c>
      <c r="F487" s="3" t="inlineStr">
        <is>
          <t>Personal</t>
        </is>
      </c>
      <c r="G487" s="4" t="n">
        <v>46270</v>
      </c>
      <c r="H487" s="5" t="n">
        <v>3333</v>
      </c>
    </row>
    <row r="488">
      <c r="A488" s="3" t="inlineStr">
        <is>
          <t>D0487</t>
        </is>
      </c>
      <c r="B488" s="3" t="inlineStr">
        <is>
          <t>A0082</t>
        </is>
      </c>
      <c r="C488" s="3" t="inlineStr">
        <is>
          <t>Deepak Rai</t>
        </is>
      </c>
      <c r="D488" s="3" t="inlineStr">
        <is>
          <t>Gaya</t>
        </is>
      </c>
      <c r="E488" s="3" t="inlineStr">
        <is>
          <t>R. Singh</t>
        </is>
      </c>
      <c r="F488" s="3" t="inlineStr">
        <is>
          <t>Personal</t>
        </is>
      </c>
      <c r="G488" s="4" t="n">
        <v>46117</v>
      </c>
      <c r="H488" s="5" t="n">
        <v>5167</v>
      </c>
    </row>
    <row r="489">
      <c r="A489" s="3" t="inlineStr">
        <is>
          <t>D0488</t>
        </is>
      </c>
      <c r="B489" s="3" t="inlineStr">
        <is>
          <t>A0082</t>
        </is>
      </c>
      <c r="C489" s="3" t="inlineStr">
        <is>
          <t>Deepak Rai</t>
        </is>
      </c>
      <c r="D489" s="3" t="inlineStr">
        <is>
          <t>Gaya</t>
        </is>
      </c>
      <c r="E489" s="3" t="inlineStr">
        <is>
          <t>R. Singh</t>
        </is>
      </c>
      <c r="F489" s="3" t="inlineStr">
        <is>
          <t>Personal</t>
        </is>
      </c>
      <c r="G489" s="4" t="n">
        <v>46147</v>
      </c>
      <c r="H489" s="5" t="n">
        <v>5167</v>
      </c>
    </row>
    <row r="490">
      <c r="A490" s="3" t="inlineStr">
        <is>
          <t>D0489</t>
        </is>
      </c>
      <c r="B490" s="3" t="inlineStr">
        <is>
          <t>A0082</t>
        </is>
      </c>
      <c r="C490" s="3" t="inlineStr">
        <is>
          <t>Deepak Rai</t>
        </is>
      </c>
      <c r="D490" s="3" t="inlineStr">
        <is>
          <t>Gaya</t>
        </is>
      </c>
      <c r="E490" s="3" t="inlineStr">
        <is>
          <t>R. Singh</t>
        </is>
      </c>
      <c r="F490" s="3" t="inlineStr">
        <is>
          <t>Personal</t>
        </is>
      </c>
      <c r="G490" s="4" t="n">
        <v>46178</v>
      </c>
      <c r="H490" s="5" t="n">
        <v>5167</v>
      </c>
    </row>
    <row r="491">
      <c r="A491" s="3" t="inlineStr">
        <is>
          <t>D0490</t>
        </is>
      </c>
      <c r="B491" s="3" t="inlineStr">
        <is>
          <t>A0082</t>
        </is>
      </c>
      <c r="C491" s="3" t="inlineStr">
        <is>
          <t>Deepak Rai</t>
        </is>
      </c>
      <c r="D491" s="3" t="inlineStr">
        <is>
          <t>Gaya</t>
        </is>
      </c>
      <c r="E491" s="3" t="inlineStr">
        <is>
          <t>R. Singh</t>
        </is>
      </c>
      <c r="F491" s="3" t="inlineStr">
        <is>
          <t>Personal</t>
        </is>
      </c>
      <c r="G491" s="4" t="n">
        <v>46208</v>
      </c>
      <c r="H491" s="5" t="n">
        <v>5167</v>
      </c>
    </row>
    <row r="492">
      <c r="A492" s="3" t="inlineStr">
        <is>
          <t>D0491</t>
        </is>
      </c>
      <c r="B492" s="3" t="inlineStr">
        <is>
          <t>A0082</t>
        </is>
      </c>
      <c r="C492" s="3" t="inlineStr">
        <is>
          <t>Deepak Rai</t>
        </is>
      </c>
      <c r="D492" s="3" t="inlineStr">
        <is>
          <t>Gaya</t>
        </is>
      </c>
      <c r="E492" s="3" t="inlineStr">
        <is>
          <t>R. Singh</t>
        </is>
      </c>
      <c r="F492" s="3" t="inlineStr">
        <is>
          <t>Personal</t>
        </is>
      </c>
      <c r="G492" s="4" t="n">
        <v>46239</v>
      </c>
      <c r="H492" s="5" t="n">
        <v>5167</v>
      </c>
    </row>
    <row r="493">
      <c r="A493" s="3" t="inlineStr">
        <is>
          <t>D0492</t>
        </is>
      </c>
      <c r="B493" s="3" t="inlineStr">
        <is>
          <t>A0082</t>
        </is>
      </c>
      <c r="C493" s="3" t="inlineStr">
        <is>
          <t>Deepak Rai</t>
        </is>
      </c>
      <c r="D493" s="3" t="inlineStr">
        <is>
          <t>Gaya</t>
        </is>
      </c>
      <c r="E493" s="3" t="inlineStr">
        <is>
          <t>R. Singh</t>
        </is>
      </c>
      <c r="F493" s="3" t="inlineStr">
        <is>
          <t>Personal</t>
        </is>
      </c>
      <c r="G493" s="4" t="n">
        <v>46270</v>
      </c>
      <c r="H493" s="5" t="n">
        <v>5167</v>
      </c>
    </row>
    <row r="494">
      <c r="A494" s="3" t="inlineStr">
        <is>
          <t>D0493</t>
        </is>
      </c>
      <c r="B494" s="3" t="inlineStr">
        <is>
          <t>A0083</t>
        </is>
      </c>
      <c r="C494" s="3" t="inlineStr">
        <is>
          <t>Umesh Verma</t>
        </is>
      </c>
      <c r="D494" s="3" t="inlineStr">
        <is>
          <t>Patna</t>
        </is>
      </c>
      <c r="E494" s="3" t="inlineStr">
        <is>
          <t>S. Gupta</t>
        </is>
      </c>
      <c r="F494" s="3" t="inlineStr">
        <is>
          <t>Agri</t>
        </is>
      </c>
      <c r="G494" s="4" t="n">
        <v>46117</v>
      </c>
      <c r="H494" s="5" t="n">
        <v>9333</v>
      </c>
    </row>
    <row r="495">
      <c r="A495" s="3" t="inlineStr">
        <is>
          <t>D0494</t>
        </is>
      </c>
      <c r="B495" s="3" t="inlineStr">
        <is>
          <t>A0083</t>
        </is>
      </c>
      <c r="C495" s="3" t="inlineStr">
        <is>
          <t>Umesh Verma</t>
        </is>
      </c>
      <c r="D495" s="3" t="inlineStr">
        <is>
          <t>Patna</t>
        </is>
      </c>
      <c r="E495" s="3" t="inlineStr">
        <is>
          <t>S. Gupta</t>
        </is>
      </c>
      <c r="F495" s="3" t="inlineStr">
        <is>
          <t>Agri</t>
        </is>
      </c>
      <c r="G495" s="4" t="n">
        <v>46147</v>
      </c>
      <c r="H495" s="5" t="n">
        <v>9333</v>
      </c>
    </row>
    <row r="496">
      <c r="A496" s="3" t="inlineStr">
        <is>
          <t>D0495</t>
        </is>
      </c>
      <c r="B496" s="3" t="inlineStr">
        <is>
          <t>A0083</t>
        </is>
      </c>
      <c r="C496" s="3" t="inlineStr">
        <is>
          <t>Umesh Verma</t>
        </is>
      </c>
      <c r="D496" s="3" t="inlineStr">
        <is>
          <t>Patna</t>
        </is>
      </c>
      <c r="E496" s="3" t="inlineStr">
        <is>
          <t>S. Gupta</t>
        </is>
      </c>
      <c r="F496" s="3" t="inlineStr">
        <is>
          <t>Agri</t>
        </is>
      </c>
      <c r="G496" s="4" t="n">
        <v>46178</v>
      </c>
      <c r="H496" s="5" t="n">
        <v>9333</v>
      </c>
    </row>
    <row r="497">
      <c r="A497" s="3" t="inlineStr">
        <is>
          <t>D0496</t>
        </is>
      </c>
      <c r="B497" s="3" t="inlineStr">
        <is>
          <t>A0083</t>
        </is>
      </c>
      <c r="C497" s="3" t="inlineStr">
        <is>
          <t>Umesh Verma</t>
        </is>
      </c>
      <c r="D497" s="3" t="inlineStr">
        <is>
          <t>Patna</t>
        </is>
      </c>
      <c r="E497" s="3" t="inlineStr">
        <is>
          <t>S. Gupta</t>
        </is>
      </c>
      <c r="F497" s="3" t="inlineStr">
        <is>
          <t>Agri</t>
        </is>
      </c>
      <c r="G497" s="4" t="n">
        <v>46208</v>
      </c>
      <c r="H497" s="5" t="n">
        <v>9333</v>
      </c>
    </row>
    <row r="498">
      <c r="A498" s="3" t="inlineStr">
        <is>
          <t>D0497</t>
        </is>
      </c>
      <c r="B498" s="3" t="inlineStr">
        <is>
          <t>A0083</t>
        </is>
      </c>
      <c r="C498" s="3" t="inlineStr">
        <is>
          <t>Umesh Verma</t>
        </is>
      </c>
      <c r="D498" s="3" t="inlineStr">
        <is>
          <t>Patna</t>
        </is>
      </c>
      <c r="E498" s="3" t="inlineStr">
        <is>
          <t>S. Gupta</t>
        </is>
      </c>
      <c r="F498" s="3" t="inlineStr">
        <is>
          <t>Agri</t>
        </is>
      </c>
      <c r="G498" s="4" t="n">
        <v>46239</v>
      </c>
      <c r="H498" s="5" t="n">
        <v>9333</v>
      </c>
    </row>
    <row r="499">
      <c r="A499" s="3" t="inlineStr">
        <is>
          <t>D0498</t>
        </is>
      </c>
      <c r="B499" s="3" t="inlineStr">
        <is>
          <t>A0083</t>
        </is>
      </c>
      <c r="C499" s="3" t="inlineStr">
        <is>
          <t>Umesh Verma</t>
        </is>
      </c>
      <c r="D499" s="3" t="inlineStr">
        <is>
          <t>Patna</t>
        </is>
      </c>
      <c r="E499" s="3" t="inlineStr">
        <is>
          <t>S. Gupta</t>
        </is>
      </c>
      <c r="F499" s="3" t="inlineStr">
        <is>
          <t>Agri</t>
        </is>
      </c>
      <c r="G499" s="4" t="n">
        <v>46270</v>
      </c>
      <c r="H499" s="5" t="n">
        <v>9333</v>
      </c>
    </row>
    <row r="500">
      <c r="A500" s="3" t="inlineStr">
        <is>
          <t>D0499</t>
        </is>
      </c>
      <c r="B500" s="3" t="inlineStr">
        <is>
          <t>A0084</t>
        </is>
      </c>
      <c r="C500" s="3" t="inlineStr">
        <is>
          <t>Anita Rai</t>
        </is>
      </c>
      <c r="D500" s="3" t="inlineStr">
        <is>
          <t>Darbhanga</t>
        </is>
      </c>
      <c r="E500" s="3" t="inlineStr">
        <is>
          <t>A. Verma</t>
        </is>
      </c>
      <c r="F500" s="3" t="inlineStr">
        <is>
          <t>Vehicle</t>
        </is>
      </c>
      <c r="G500" s="4" t="n">
        <v>46117</v>
      </c>
      <c r="H500" s="5" t="n">
        <v>29333</v>
      </c>
    </row>
    <row r="501">
      <c r="A501" s="3" t="inlineStr">
        <is>
          <t>D0500</t>
        </is>
      </c>
      <c r="B501" s="3" t="inlineStr">
        <is>
          <t>A0084</t>
        </is>
      </c>
      <c r="C501" s="3" t="inlineStr">
        <is>
          <t>Anita Rai</t>
        </is>
      </c>
      <c r="D501" s="3" t="inlineStr">
        <is>
          <t>Darbhanga</t>
        </is>
      </c>
      <c r="E501" s="3" t="inlineStr">
        <is>
          <t>A. Verma</t>
        </is>
      </c>
      <c r="F501" s="3" t="inlineStr">
        <is>
          <t>Vehicle</t>
        </is>
      </c>
      <c r="G501" s="4" t="n">
        <v>46147</v>
      </c>
      <c r="H501" s="5" t="n">
        <v>29333</v>
      </c>
    </row>
    <row r="502">
      <c r="A502" s="3" t="inlineStr">
        <is>
          <t>D0501</t>
        </is>
      </c>
      <c r="B502" s="3" t="inlineStr">
        <is>
          <t>A0084</t>
        </is>
      </c>
      <c r="C502" s="3" t="inlineStr">
        <is>
          <t>Anita Rai</t>
        </is>
      </c>
      <c r="D502" s="3" t="inlineStr">
        <is>
          <t>Darbhanga</t>
        </is>
      </c>
      <c r="E502" s="3" t="inlineStr">
        <is>
          <t>A. Verma</t>
        </is>
      </c>
      <c r="F502" s="3" t="inlineStr">
        <is>
          <t>Vehicle</t>
        </is>
      </c>
      <c r="G502" s="4" t="n">
        <v>46178</v>
      </c>
      <c r="H502" s="5" t="n">
        <v>29333</v>
      </c>
    </row>
    <row r="503">
      <c r="A503" s="3" t="inlineStr">
        <is>
          <t>D0502</t>
        </is>
      </c>
      <c r="B503" s="3" t="inlineStr">
        <is>
          <t>A0084</t>
        </is>
      </c>
      <c r="C503" s="3" t="inlineStr">
        <is>
          <t>Anita Rai</t>
        </is>
      </c>
      <c r="D503" s="3" t="inlineStr">
        <is>
          <t>Darbhanga</t>
        </is>
      </c>
      <c r="E503" s="3" t="inlineStr">
        <is>
          <t>A. Verma</t>
        </is>
      </c>
      <c r="F503" s="3" t="inlineStr">
        <is>
          <t>Vehicle</t>
        </is>
      </c>
      <c r="G503" s="4" t="n">
        <v>46208</v>
      </c>
      <c r="H503" s="5" t="n">
        <v>29333</v>
      </c>
    </row>
    <row r="504">
      <c r="A504" s="3" t="inlineStr">
        <is>
          <t>D0503</t>
        </is>
      </c>
      <c r="B504" s="3" t="inlineStr">
        <is>
          <t>A0084</t>
        </is>
      </c>
      <c r="C504" s="3" t="inlineStr">
        <is>
          <t>Anita Rai</t>
        </is>
      </c>
      <c r="D504" s="3" t="inlineStr">
        <is>
          <t>Darbhanga</t>
        </is>
      </c>
      <c r="E504" s="3" t="inlineStr">
        <is>
          <t>A. Verma</t>
        </is>
      </c>
      <c r="F504" s="3" t="inlineStr">
        <is>
          <t>Vehicle</t>
        </is>
      </c>
      <c r="G504" s="4" t="n">
        <v>46239</v>
      </c>
      <c r="H504" s="5" t="n">
        <v>29333</v>
      </c>
    </row>
    <row r="505">
      <c r="A505" s="3" t="inlineStr">
        <is>
          <t>D0504</t>
        </is>
      </c>
      <c r="B505" s="3" t="inlineStr">
        <is>
          <t>A0084</t>
        </is>
      </c>
      <c r="C505" s="3" t="inlineStr">
        <is>
          <t>Anita Rai</t>
        </is>
      </c>
      <c r="D505" s="3" t="inlineStr">
        <is>
          <t>Darbhanga</t>
        </is>
      </c>
      <c r="E505" s="3" t="inlineStr">
        <is>
          <t>A. Verma</t>
        </is>
      </c>
      <c r="F505" s="3" t="inlineStr">
        <is>
          <t>Vehicle</t>
        </is>
      </c>
      <c r="G505" s="4" t="n">
        <v>46270</v>
      </c>
      <c r="H505" s="5" t="n">
        <v>29333</v>
      </c>
    </row>
    <row r="506">
      <c r="A506" s="3" t="inlineStr">
        <is>
          <t>D0505</t>
        </is>
      </c>
      <c r="B506" s="3" t="inlineStr">
        <is>
          <t>A0085</t>
        </is>
      </c>
      <c r="C506" s="3" t="inlineStr">
        <is>
          <t>Vikash Chaudhary</t>
        </is>
      </c>
      <c r="D506" s="3" t="inlineStr">
        <is>
          <t>Darbhanga</t>
        </is>
      </c>
      <c r="E506" s="3" t="inlineStr">
        <is>
          <t>P. Yadav</t>
        </is>
      </c>
      <c r="F506" s="3" t="inlineStr">
        <is>
          <t>Agri</t>
        </is>
      </c>
      <c r="G506" s="4" t="n">
        <v>46117</v>
      </c>
      <c r="H506" s="5" t="n">
        <v>29500</v>
      </c>
    </row>
    <row r="507">
      <c r="A507" s="3" t="inlineStr">
        <is>
          <t>D0506</t>
        </is>
      </c>
      <c r="B507" s="3" t="inlineStr">
        <is>
          <t>A0085</t>
        </is>
      </c>
      <c r="C507" s="3" t="inlineStr">
        <is>
          <t>Vikash Chaudhary</t>
        </is>
      </c>
      <c r="D507" s="3" t="inlineStr">
        <is>
          <t>Darbhanga</t>
        </is>
      </c>
      <c r="E507" s="3" t="inlineStr">
        <is>
          <t>P. Yadav</t>
        </is>
      </c>
      <c r="F507" s="3" t="inlineStr">
        <is>
          <t>Agri</t>
        </is>
      </c>
      <c r="G507" s="4" t="n">
        <v>46147</v>
      </c>
      <c r="H507" s="5" t="n">
        <v>29500</v>
      </c>
    </row>
    <row r="508">
      <c r="A508" s="3" t="inlineStr">
        <is>
          <t>D0507</t>
        </is>
      </c>
      <c r="B508" s="3" t="inlineStr">
        <is>
          <t>A0085</t>
        </is>
      </c>
      <c r="C508" s="3" t="inlineStr">
        <is>
          <t>Vikash Chaudhary</t>
        </is>
      </c>
      <c r="D508" s="3" t="inlineStr">
        <is>
          <t>Darbhanga</t>
        </is>
      </c>
      <c r="E508" s="3" t="inlineStr">
        <is>
          <t>P. Yadav</t>
        </is>
      </c>
      <c r="F508" s="3" t="inlineStr">
        <is>
          <t>Agri</t>
        </is>
      </c>
      <c r="G508" s="4" t="n">
        <v>46178</v>
      </c>
      <c r="H508" s="5" t="n">
        <v>29500</v>
      </c>
    </row>
    <row r="509">
      <c r="A509" s="3" t="inlineStr">
        <is>
          <t>D0508</t>
        </is>
      </c>
      <c r="B509" s="3" t="inlineStr">
        <is>
          <t>A0085</t>
        </is>
      </c>
      <c r="C509" s="3" t="inlineStr">
        <is>
          <t>Vikash Chaudhary</t>
        </is>
      </c>
      <c r="D509" s="3" t="inlineStr">
        <is>
          <t>Darbhanga</t>
        </is>
      </c>
      <c r="E509" s="3" t="inlineStr">
        <is>
          <t>P. Yadav</t>
        </is>
      </c>
      <c r="F509" s="3" t="inlineStr">
        <is>
          <t>Agri</t>
        </is>
      </c>
      <c r="G509" s="4" t="n">
        <v>46208</v>
      </c>
      <c r="H509" s="5" t="n">
        <v>29500</v>
      </c>
    </row>
    <row r="510">
      <c r="A510" s="3" t="inlineStr">
        <is>
          <t>D0509</t>
        </is>
      </c>
      <c r="B510" s="3" t="inlineStr">
        <is>
          <t>A0085</t>
        </is>
      </c>
      <c r="C510" s="3" t="inlineStr">
        <is>
          <t>Vikash Chaudhary</t>
        </is>
      </c>
      <c r="D510" s="3" t="inlineStr">
        <is>
          <t>Darbhanga</t>
        </is>
      </c>
      <c r="E510" s="3" t="inlineStr">
        <is>
          <t>P. Yadav</t>
        </is>
      </c>
      <c r="F510" s="3" t="inlineStr">
        <is>
          <t>Agri</t>
        </is>
      </c>
      <c r="G510" s="4" t="n">
        <v>46239</v>
      </c>
      <c r="H510" s="5" t="n">
        <v>29500</v>
      </c>
    </row>
    <row r="511">
      <c r="A511" s="3" t="inlineStr">
        <is>
          <t>D0510</t>
        </is>
      </c>
      <c r="B511" s="3" t="inlineStr">
        <is>
          <t>A0085</t>
        </is>
      </c>
      <c r="C511" s="3" t="inlineStr">
        <is>
          <t>Vikash Chaudhary</t>
        </is>
      </c>
      <c r="D511" s="3" t="inlineStr">
        <is>
          <t>Darbhanga</t>
        </is>
      </c>
      <c r="E511" s="3" t="inlineStr">
        <is>
          <t>P. Yadav</t>
        </is>
      </c>
      <c r="F511" s="3" t="inlineStr">
        <is>
          <t>Agri</t>
        </is>
      </c>
      <c r="G511" s="4" t="n">
        <v>46270</v>
      </c>
      <c r="H511" s="5" t="n">
        <v>29500</v>
      </c>
    </row>
    <row r="512">
      <c r="A512" s="3" t="inlineStr">
        <is>
          <t>D0511</t>
        </is>
      </c>
      <c r="B512" s="3" t="inlineStr">
        <is>
          <t>A0086</t>
        </is>
      </c>
      <c r="C512" s="3" t="inlineStr">
        <is>
          <t>Vikash Paswan</t>
        </is>
      </c>
      <c r="D512" s="3" t="inlineStr">
        <is>
          <t>Gaya</t>
        </is>
      </c>
      <c r="E512" s="3" t="inlineStr">
        <is>
          <t>P. Yadav</t>
        </is>
      </c>
      <c r="F512" s="3" t="inlineStr">
        <is>
          <t>Vehicle</t>
        </is>
      </c>
      <c r="G512" s="4" t="n">
        <v>46117</v>
      </c>
      <c r="H512" s="5" t="n">
        <v>22667</v>
      </c>
    </row>
    <row r="513">
      <c r="A513" s="3" t="inlineStr">
        <is>
          <t>D0512</t>
        </is>
      </c>
      <c r="B513" s="3" t="inlineStr">
        <is>
          <t>A0086</t>
        </is>
      </c>
      <c r="C513" s="3" t="inlineStr">
        <is>
          <t>Vikash Paswan</t>
        </is>
      </c>
      <c r="D513" s="3" t="inlineStr">
        <is>
          <t>Gaya</t>
        </is>
      </c>
      <c r="E513" s="3" t="inlineStr">
        <is>
          <t>P. Yadav</t>
        </is>
      </c>
      <c r="F513" s="3" t="inlineStr">
        <is>
          <t>Vehicle</t>
        </is>
      </c>
      <c r="G513" s="4" t="n">
        <v>46147</v>
      </c>
      <c r="H513" s="5" t="n">
        <v>22667</v>
      </c>
    </row>
    <row r="514">
      <c r="A514" s="3" t="inlineStr">
        <is>
          <t>D0513</t>
        </is>
      </c>
      <c r="B514" s="3" t="inlineStr">
        <is>
          <t>A0086</t>
        </is>
      </c>
      <c r="C514" s="3" t="inlineStr">
        <is>
          <t>Vikash Paswan</t>
        </is>
      </c>
      <c r="D514" s="3" t="inlineStr">
        <is>
          <t>Gaya</t>
        </is>
      </c>
      <c r="E514" s="3" t="inlineStr">
        <is>
          <t>P. Yadav</t>
        </is>
      </c>
      <c r="F514" s="3" t="inlineStr">
        <is>
          <t>Vehicle</t>
        </is>
      </c>
      <c r="G514" s="4" t="n">
        <v>46178</v>
      </c>
      <c r="H514" s="5" t="n">
        <v>22667</v>
      </c>
    </row>
    <row r="515">
      <c r="A515" s="3" t="inlineStr">
        <is>
          <t>D0514</t>
        </is>
      </c>
      <c r="B515" s="3" t="inlineStr">
        <is>
          <t>A0086</t>
        </is>
      </c>
      <c r="C515" s="3" t="inlineStr">
        <is>
          <t>Vikash Paswan</t>
        </is>
      </c>
      <c r="D515" s="3" t="inlineStr">
        <is>
          <t>Gaya</t>
        </is>
      </c>
      <c r="E515" s="3" t="inlineStr">
        <is>
          <t>P. Yadav</t>
        </is>
      </c>
      <c r="F515" s="3" t="inlineStr">
        <is>
          <t>Vehicle</t>
        </is>
      </c>
      <c r="G515" s="4" t="n">
        <v>46208</v>
      </c>
      <c r="H515" s="5" t="n">
        <v>22667</v>
      </c>
    </row>
    <row r="516">
      <c r="A516" s="3" t="inlineStr">
        <is>
          <t>D0515</t>
        </is>
      </c>
      <c r="B516" s="3" t="inlineStr">
        <is>
          <t>A0086</t>
        </is>
      </c>
      <c r="C516" s="3" t="inlineStr">
        <is>
          <t>Vikash Paswan</t>
        </is>
      </c>
      <c r="D516" s="3" t="inlineStr">
        <is>
          <t>Gaya</t>
        </is>
      </c>
      <c r="E516" s="3" t="inlineStr">
        <is>
          <t>P. Yadav</t>
        </is>
      </c>
      <c r="F516" s="3" t="inlineStr">
        <is>
          <t>Vehicle</t>
        </is>
      </c>
      <c r="G516" s="4" t="n">
        <v>46239</v>
      </c>
      <c r="H516" s="5" t="n">
        <v>22667</v>
      </c>
    </row>
    <row r="517">
      <c r="A517" s="3" t="inlineStr">
        <is>
          <t>D0516</t>
        </is>
      </c>
      <c r="B517" s="3" t="inlineStr">
        <is>
          <t>A0086</t>
        </is>
      </c>
      <c r="C517" s="3" t="inlineStr">
        <is>
          <t>Vikash Paswan</t>
        </is>
      </c>
      <c r="D517" s="3" t="inlineStr">
        <is>
          <t>Gaya</t>
        </is>
      </c>
      <c r="E517" s="3" t="inlineStr">
        <is>
          <t>P. Yadav</t>
        </is>
      </c>
      <c r="F517" s="3" t="inlineStr">
        <is>
          <t>Vehicle</t>
        </is>
      </c>
      <c r="G517" s="4" t="n">
        <v>46270</v>
      </c>
      <c r="H517" s="5" t="n">
        <v>22667</v>
      </c>
    </row>
    <row r="518">
      <c r="A518" s="3" t="inlineStr">
        <is>
          <t>D0517</t>
        </is>
      </c>
      <c r="B518" s="3" t="inlineStr">
        <is>
          <t>A0087</t>
        </is>
      </c>
      <c r="C518" s="3" t="inlineStr">
        <is>
          <t>Sanjay Singh</t>
        </is>
      </c>
      <c r="D518" s="3" t="inlineStr">
        <is>
          <t>Gaya</t>
        </is>
      </c>
      <c r="E518" s="3" t="inlineStr">
        <is>
          <t>S. Gupta</t>
        </is>
      </c>
      <c r="F518" s="3" t="inlineStr">
        <is>
          <t>Housing</t>
        </is>
      </c>
      <c r="G518" s="4" t="n">
        <v>46117</v>
      </c>
      <c r="H518" s="5" t="n">
        <v>19833</v>
      </c>
    </row>
    <row r="519">
      <c r="A519" s="3" t="inlineStr">
        <is>
          <t>D0518</t>
        </is>
      </c>
      <c r="B519" s="3" t="inlineStr">
        <is>
          <t>A0087</t>
        </is>
      </c>
      <c r="C519" s="3" t="inlineStr">
        <is>
          <t>Sanjay Singh</t>
        </is>
      </c>
      <c r="D519" s="3" t="inlineStr">
        <is>
          <t>Gaya</t>
        </is>
      </c>
      <c r="E519" s="3" t="inlineStr">
        <is>
          <t>S. Gupta</t>
        </is>
      </c>
      <c r="F519" s="3" t="inlineStr">
        <is>
          <t>Housing</t>
        </is>
      </c>
      <c r="G519" s="4" t="n">
        <v>46147</v>
      </c>
      <c r="H519" s="5" t="n">
        <v>19833</v>
      </c>
    </row>
    <row r="520">
      <c r="A520" s="3" t="inlineStr">
        <is>
          <t>D0519</t>
        </is>
      </c>
      <c r="B520" s="3" t="inlineStr">
        <is>
          <t>A0087</t>
        </is>
      </c>
      <c r="C520" s="3" t="inlineStr">
        <is>
          <t>Sanjay Singh</t>
        </is>
      </c>
      <c r="D520" s="3" t="inlineStr">
        <is>
          <t>Gaya</t>
        </is>
      </c>
      <c r="E520" s="3" t="inlineStr">
        <is>
          <t>S. Gupta</t>
        </is>
      </c>
      <c r="F520" s="3" t="inlineStr">
        <is>
          <t>Housing</t>
        </is>
      </c>
      <c r="G520" s="4" t="n">
        <v>46178</v>
      </c>
      <c r="H520" s="5" t="n">
        <v>19833</v>
      </c>
    </row>
    <row r="521">
      <c r="A521" s="3" t="inlineStr">
        <is>
          <t>D0520</t>
        </is>
      </c>
      <c r="B521" s="3" t="inlineStr">
        <is>
          <t>A0087</t>
        </is>
      </c>
      <c r="C521" s="3" t="inlineStr">
        <is>
          <t>Sanjay Singh</t>
        </is>
      </c>
      <c r="D521" s="3" t="inlineStr">
        <is>
          <t>Gaya</t>
        </is>
      </c>
      <c r="E521" s="3" t="inlineStr">
        <is>
          <t>S. Gupta</t>
        </is>
      </c>
      <c r="F521" s="3" t="inlineStr">
        <is>
          <t>Housing</t>
        </is>
      </c>
      <c r="G521" s="4" t="n">
        <v>46208</v>
      </c>
      <c r="H521" s="5" t="n">
        <v>19833</v>
      </c>
    </row>
    <row r="522">
      <c r="A522" s="3" t="inlineStr">
        <is>
          <t>D0521</t>
        </is>
      </c>
      <c r="B522" s="3" t="inlineStr">
        <is>
          <t>A0087</t>
        </is>
      </c>
      <c r="C522" s="3" t="inlineStr">
        <is>
          <t>Sanjay Singh</t>
        </is>
      </c>
      <c r="D522" s="3" t="inlineStr">
        <is>
          <t>Gaya</t>
        </is>
      </c>
      <c r="E522" s="3" t="inlineStr">
        <is>
          <t>S. Gupta</t>
        </is>
      </c>
      <c r="F522" s="3" t="inlineStr">
        <is>
          <t>Housing</t>
        </is>
      </c>
      <c r="G522" s="4" t="n">
        <v>46239</v>
      </c>
      <c r="H522" s="5" t="n">
        <v>19833</v>
      </c>
    </row>
    <row r="523">
      <c r="A523" s="3" t="inlineStr">
        <is>
          <t>D0522</t>
        </is>
      </c>
      <c r="B523" s="3" t="inlineStr">
        <is>
          <t>A0087</t>
        </is>
      </c>
      <c r="C523" s="3" t="inlineStr">
        <is>
          <t>Sanjay Singh</t>
        </is>
      </c>
      <c r="D523" s="3" t="inlineStr">
        <is>
          <t>Gaya</t>
        </is>
      </c>
      <c r="E523" s="3" t="inlineStr">
        <is>
          <t>S. Gupta</t>
        </is>
      </c>
      <c r="F523" s="3" t="inlineStr">
        <is>
          <t>Housing</t>
        </is>
      </c>
      <c r="G523" s="4" t="n">
        <v>46270</v>
      </c>
      <c r="H523" s="5" t="n">
        <v>19833</v>
      </c>
    </row>
    <row r="524">
      <c r="A524" s="3" t="inlineStr">
        <is>
          <t>D0523</t>
        </is>
      </c>
      <c r="B524" s="3" t="inlineStr">
        <is>
          <t>A0088</t>
        </is>
      </c>
      <c r="C524" s="3" t="inlineStr">
        <is>
          <t>Prakash Singh</t>
        </is>
      </c>
      <c r="D524" s="3" t="inlineStr">
        <is>
          <t>Gaya</t>
        </is>
      </c>
      <c r="E524" s="3" t="inlineStr">
        <is>
          <t>M. Mandal</t>
        </is>
      </c>
      <c r="F524" s="3" t="inlineStr">
        <is>
          <t>Personal</t>
        </is>
      </c>
      <c r="G524" s="4" t="n">
        <v>46117</v>
      </c>
      <c r="H524" s="5" t="n">
        <v>5500</v>
      </c>
    </row>
    <row r="525">
      <c r="A525" s="3" t="inlineStr">
        <is>
          <t>D0524</t>
        </is>
      </c>
      <c r="B525" s="3" t="inlineStr">
        <is>
          <t>A0088</t>
        </is>
      </c>
      <c r="C525" s="3" t="inlineStr">
        <is>
          <t>Prakash Singh</t>
        </is>
      </c>
      <c r="D525" s="3" t="inlineStr">
        <is>
          <t>Gaya</t>
        </is>
      </c>
      <c r="E525" s="3" t="inlineStr">
        <is>
          <t>M. Mandal</t>
        </is>
      </c>
      <c r="F525" s="3" t="inlineStr">
        <is>
          <t>Personal</t>
        </is>
      </c>
      <c r="G525" s="4" t="n">
        <v>46147</v>
      </c>
      <c r="H525" s="5" t="n">
        <v>5500</v>
      </c>
    </row>
    <row r="526">
      <c r="A526" s="3" t="inlineStr">
        <is>
          <t>D0525</t>
        </is>
      </c>
      <c r="B526" s="3" t="inlineStr">
        <is>
          <t>A0088</t>
        </is>
      </c>
      <c r="C526" s="3" t="inlineStr">
        <is>
          <t>Prakash Singh</t>
        </is>
      </c>
      <c r="D526" s="3" t="inlineStr">
        <is>
          <t>Gaya</t>
        </is>
      </c>
      <c r="E526" s="3" t="inlineStr">
        <is>
          <t>M. Mandal</t>
        </is>
      </c>
      <c r="F526" s="3" t="inlineStr">
        <is>
          <t>Personal</t>
        </is>
      </c>
      <c r="G526" s="4" t="n">
        <v>46178</v>
      </c>
      <c r="H526" s="5" t="n">
        <v>5500</v>
      </c>
    </row>
    <row r="527">
      <c r="A527" s="3" t="inlineStr">
        <is>
          <t>D0526</t>
        </is>
      </c>
      <c r="B527" s="3" t="inlineStr">
        <is>
          <t>A0088</t>
        </is>
      </c>
      <c r="C527" s="3" t="inlineStr">
        <is>
          <t>Prakash Singh</t>
        </is>
      </c>
      <c r="D527" s="3" t="inlineStr">
        <is>
          <t>Gaya</t>
        </is>
      </c>
      <c r="E527" s="3" t="inlineStr">
        <is>
          <t>M. Mandal</t>
        </is>
      </c>
      <c r="F527" s="3" t="inlineStr">
        <is>
          <t>Personal</t>
        </is>
      </c>
      <c r="G527" s="4" t="n">
        <v>46208</v>
      </c>
      <c r="H527" s="5" t="n">
        <v>5500</v>
      </c>
    </row>
    <row r="528">
      <c r="A528" s="3" t="inlineStr">
        <is>
          <t>D0527</t>
        </is>
      </c>
      <c r="B528" s="3" t="inlineStr">
        <is>
          <t>A0088</t>
        </is>
      </c>
      <c r="C528" s="3" t="inlineStr">
        <is>
          <t>Prakash Singh</t>
        </is>
      </c>
      <c r="D528" s="3" t="inlineStr">
        <is>
          <t>Gaya</t>
        </is>
      </c>
      <c r="E528" s="3" t="inlineStr">
        <is>
          <t>M. Mandal</t>
        </is>
      </c>
      <c r="F528" s="3" t="inlineStr">
        <is>
          <t>Personal</t>
        </is>
      </c>
      <c r="G528" s="4" t="n">
        <v>46239</v>
      </c>
      <c r="H528" s="5" t="n">
        <v>5500</v>
      </c>
    </row>
    <row r="529">
      <c r="A529" s="3" t="inlineStr">
        <is>
          <t>D0528</t>
        </is>
      </c>
      <c r="B529" s="3" t="inlineStr">
        <is>
          <t>A0088</t>
        </is>
      </c>
      <c r="C529" s="3" t="inlineStr">
        <is>
          <t>Prakash Singh</t>
        </is>
      </c>
      <c r="D529" s="3" t="inlineStr">
        <is>
          <t>Gaya</t>
        </is>
      </c>
      <c r="E529" s="3" t="inlineStr">
        <is>
          <t>M. Mandal</t>
        </is>
      </c>
      <c r="F529" s="3" t="inlineStr">
        <is>
          <t>Personal</t>
        </is>
      </c>
      <c r="G529" s="4" t="n">
        <v>46270</v>
      </c>
      <c r="H529" s="5" t="n">
        <v>5500</v>
      </c>
    </row>
    <row r="530">
      <c r="A530" s="3" t="inlineStr">
        <is>
          <t>D0529</t>
        </is>
      </c>
      <c r="B530" s="3" t="inlineStr">
        <is>
          <t>A0089</t>
        </is>
      </c>
      <c r="C530" s="3" t="inlineStr">
        <is>
          <t>Manoj Rai</t>
        </is>
      </c>
      <c r="D530" s="3" t="inlineStr">
        <is>
          <t>Muzaffarpur</t>
        </is>
      </c>
      <c r="E530" s="3" t="inlineStr">
        <is>
          <t>M. Mandal</t>
        </is>
      </c>
      <c r="F530" s="3" t="inlineStr">
        <is>
          <t>Vehicle</t>
        </is>
      </c>
      <c r="G530" s="4" t="n">
        <v>46117</v>
      </c>
      <c r="H530" s="5" t="n">
        <v>11833</v>
      </c>
    </row>
    <row r="531">
      <c r="A531" s="3" t="inlineStr">
        <is>
          <t>D0530</t>
        </is>
      </c>
      <c r="B531" s="3" t="inlineStr">
        <is>
          <t>A0089</t>
        </is>
      </c>
      <c r="C531" s="3" t="inlineStr">
        <is>
          <t>Manoj Rai</t>
        </is>
      </c>
      <c r="D531" s="3" t="inlineStr">
        <is>
          <t>Muzaffarpur</t>
        </is>
      </c>
      <c r="E531" s="3" t="inlineStr">
        <is>
          <t>M. Mandal</t>
        </is>
      </c>
      <c r="F531" s="3" t="inlineStr">
        <is>
          <t>Vehicle</t>
        </is>
      </c>
      <c r="G531" s="4" t="n">
        <v>46147</v>
      </c>
      <c r="H531" s="5" t="n">
        <v>11833</v>
      </c>
    </row>
    <row r="532">
      <c r="A532" s="3" t="inlineStr">
        <is>
          <t>D0531</t>
        </is>
      </c>
      <c r="B532" s="3" t="inlineStr">
        <is>
          <t>A0089</t>
        </is>
      </c>
      <c r="C532" s="3" t="inlineStr">
        <is>
          <t>Manoj Rai</t>
        </is>
      </c>
      <c r="D532" s="3" t="inlineStr">
        <is>
          <t>Muzaffarpur</t>
        </is>
      </c>
      <c r="E532" s="3" t="inlineStr">
        <is>
          <t>M. Mandal</t>
        </is>
      </c>
      <c r="F532" s="3" t="inlineStr">
        <is>
          <t>Vehicle</t>
        </is>
      </c>
      <c r="G532" s="4" t="n">
        <v>46178</v>
      </c>
      <c r="H532" s="5" t="n">
        <v>11833</v>
      </c>
    </row>
    <row r="533">
      <c r="A533" s="3" t="inlineStr">
        <is>
          <t>D0532</t>
        </is>
      </c>
      <c r="B533" s="3" t="inlineStr">
        <is>
          <t>A0089</t>
        </is>
      </c>
      <c r="C533" s="3" t="inlineStr">
        <is>
          <t>Manoj Rai</t>
        </is>
      </c>
      <c r="D533" s="3" t="inlineStr">
        <is>
          <t>Muzaffarpur</t>
        </is>
      </c>
      <c r="E533" s="3" t="inlineStr">
        <is>
          <t>M. Mandal</t>
        </is>
      </c>
      <c r="F533" s="3" t="inlineStr">
        <is>
          <t>Vehicle</t>
        </is>
      </c>
      <c r="G533" s="4" t="n">
        <v>46208</v>
      </c>
      <c r="H533" s="5" t="n">
        <v>11833</v>
      </c>
    </row>
    <row r="534">
      <c r="A534" s="3" t="inlineStr">
        <is>
          <t>D0533</t>
        </is>
      </c>
      <c r="B534" s="3" t="inlineStr">
        <is>
          <t>A0089</t>
        </is>
      </c>
      <c r="C534" s="3" t="inlineStr">
        <is>
          <t>Manoj Rai</t>
        </is>
      </c>
      <c r="D534" s="3" t="inlineStr">
        <is>
          <t>Muzaffarpur</t>
        </is>
      </c>
      <c r="E534" s="3" t="inlineStr">
        <is>
          <t>M. Mandal</t>
        </is>
      </c>
      <c r="F534" s="3" t="inlineStr">
        <is>
          <t>Vehicle</t>
        </is>
      </c>
      <c r="G534" s="4" t="n">
        <v>46239</v>
      </c>
      <c r="H534" s="5" t="n">
        <v>11833</v>
      </c>
    </row>
    <row r="535">
      <c r="A535" s="3" t="inlineStr">
        <is>
          <t>D0534</t>
        </is>
      </c>
      <c r="B535" s="3" t="inlineStr">
        <is>
          <t>A0089</t>
        </is>
      </c>
      <c r="C535" s="3" t="inlineStr">
        <is>
          <t>Manoj Rai</t>
        </is>
      </c>
      <c r="D535" s="3" t="inlineStr">
        <is>
          <t>Muzaffarpur</t>
        </is>
      </c>
      <c r="E535" s="3" t="inlineStr">
        <is>
          <t>M. Mandal</t>
        </is>
      </c>
      <c r="F535" s="3" t="inlineStr">
        <is>
          <t>Vehicle</t>
        </is>
      </c>
      <c r="G535" s="4" t="n">
        <v>46270</v>
      </c>
      <c r="H535" s="5" t="n">
        <v>11833</v>
      </c>
    </row>
    <row r="536">
      <c r="A536" s="3" t="inlineStr">
        <is>
          <t>D0535</t>
        </is>
      </c>
      <c r="B536" s="3" t="inlineStr">
        <is>
          <t>A0090</t>
        </is>
      </c>
      <c r="C536" s="3" t="inlineStr">
        <is>
          <t>Suresh Verma</t>
        </is>
      </c>
      <c r="D536" s="3" t="inlineStr">
        <is>
          <t>Gaya</t>
        </is>
      </c>
      <c r="E536" s="3" t="inlineStr">
        <is>
          <t>P. Yadav</t>
        </is>
      </c>
      <c r="F536" s="3" t="inlineStr">
        <is>
          <t>Personal</t>
        </is>
      </c>
      <c r="G536" s="4" t="n">
        <v>46117</v>
      </c>
      <c r="H536" s="5" t="n">
        <v>5167</v>
      </c>
    </row>
    <row r="537">
      <c r="A537" s="3" t="inlineStr">
        <is>
          <t>D0536</t>
        </is>
      </c>
      <c r="B537" s="3" t="inlineStr">
        <is>
          <t>A0090</t>
        </is>
      </c>
      <c r="C537" s="3" t="inlineStr">
        <is>
          <t>Suresh Verma</t>
        </is>
      </c>
      <c r="D537" s="3" t="inlineStr">
        <is>
          <t>Gaya</t>
        </is>
      </c>
      <c r="E537" s="3" t="inlineStr">
        <is>
          <t>P. Yadav</t>
        </is>
      </c>
      <c r="F537" s="3" t="inlineStr">
        <is>
          <t>Personal</t>
        </is>
      </c>
      <c r="G537" s="4" t="n">
        <v>46147</v>
      </c>
      <c r="H537" s="5" t="n">
        <v>5167</v>
      </c>
    </row>
    <row r="538">
      <c r="A538" s="3" t="inlineStr">
        <is>
          <t>D0537</t>
        </is>
      </c>
      <c r="B538" s="3" t="inlineStr">
        <is>
          <t>A0090</t>
        </is>
      </c>
      <c r="C538" s="3" t="inlineStr">
        <is>
          <t>Suresh Verma</t>
        </is>
      </c>
      <c r="D538" s="3" t="inlineStr">
        <is>
          <t>Gaya</t>
        </is>
      </c>
      <c r="E538" s="3" t="inlineStr">
        <is>
          <t>P. Yadav</t>
        </is>
      </c>
      <c r="F538" s="3" t="inlineStr">
        <is>
          <t>Personal</t>
        </is>
      </c>
      <c r="G538" s="4" t="n">
        <v>46178</v>
      </c>
      <c r="H538" s="5" t="n">
        <v>5167</v>
      </c>
    </row>
    <row r="539">
      <c r="A539" s="3" t="inlineStr">
        <is>
          <t>D0538</t>
        </is>
      </c>
      <c r="B539" s="3" t="inlineStr">
        <is>
          <t>A0090</t>
        </is>
      </c>
      <c r="C539" s="3" t="inlineStr">
        <is>
          <t>Suresh Verma</t>
        </is>
      </c>
      <c r="D539" s="3" t="inlineStr">
        <is>
          <t>Gaya</t>
        </is>
      </c>
      <c r="E539" s="3" t="inlineStr">
        <is>
          <t>P. Yadav</t>
        </is>
      </c>
      <c r="F539" s="3" t="inlineStr">
        <is>
          <t>Personal</t>
        </is>
      </c>
      <c r="G539" s="4" t="n">
        <v>46208</v>
      </c>
      <c r="H539" s="5" t="n">
        <v>5167</v>
      </c>
    </row>
    <row r="540">
      <c r="A540" s="3" t="inlineStr">
        <is>
          <t>D0539</t>
        </is>
      </c>
      <c r="B540" s="3" t="inlineStr">
        <is>
          <t>A0090</t>
        </is>
      </c>
      <c r="C540" s="3" t="inlineStr">
        <is>
          <t>Suresh Verma</t>
        </is>
      </c>
      <c r="D540" s="3" t="inlineStr">
        <is>
          <t>Gaya</t>
        </is>
      </c>
      <c r="E540" s="3" t="inlineStr">
        <is>
          <t>P. Yadav</t>
        </is>
      </c>
      <c r="F540" s="3" t="inlineStr">
        <is>
          <t>Personal</t>
        </is>
      </c>
      <c r="G540" s="4" t="n">
        <v>46239</v>
      </c>
      <c r="H540" s="5" t="n">
        <v>5167</v>
      </c>
    </row>
    <row r="541">
      <c r="A541" s="3" t="inlineStr">
        <is>
          <t>D0540</t>
        </is>
      </c>
      <c r="B541" s="3" t="inlineStr">
        <is>
          <t>A0090</t>
        </is>
      </c>
      <c r="C541" s="3" t="inlineStr">
        <is>
          <t>Suresh Verma</t>
        </is>
      </c>
      <c r="D541" s="3" t="inlineStr">
        <is>
          <t>Gaya</t>
        </is>
      </c>
      <c r="E541" s="3" t="inlineStr">
        <is>
          <t>P. Yadav</t>
        </is>
      </c>
      <c r="F541" s="3" t="inlineStr">
        <is>
          <t>Personal</t>
        </is>
      </c>
      <c r="G541" s="4" t="n">
        <v>46270</v>
      </c>
      <c r="H541" s="5" t="n">
        <v>5167</v>
      </c>
    </row>
    <row r="542">
      <c r="A542" s="3" t="inlineStr">
        <is>
          <t>D0541</t>
        </is>
      </c>
      <c r="B542" s="3" t="inlineStr">
        <is>
          <t>A0091</t>
        </is>
      </c>
      <c r="C542" s="3" t="inlineStr">
        <is>
          <t>Rajesh Tiwari</t>
        </is>
      </c>
      <c r="D542" s="3" t="inlineStr">
        <is>
          <t>Patna</t>
        </is>
      </c>
      <c r="E542" s="3" t="inlineStr">
        <is>
          <t>M. Mandal</t>
        </is>
      </c>
      <c r="F542" s="3" t="inlineStr">
        <is>
          <t>Personal</t>
        </is>
      </c>
      <c r="G542" s="4" t="n">
        <v>46117</v>
      </c>
      <c r="H542" s="5" t="n">
        <v>11000</v>
      </c>
    </row>
    <row r="543">
      <c r="A543" s="3" t="inlineStr">
        <is>
          <t>D0542</t>
        </is>
      </c>
      <c r="B543" s="3" t="inlineStr">
        <is>
          <t>A0091</t>
        </is>
      </c>
      <c r="C543" s="3" t="inlineStr">
        <is>
          <t>Rajesh Tiwari</t>
        </is>
      </c>
      <c r="D543" s="3" t="inlineStr">
        <is>
          <t>Patna</t>
        </is>
      </c>
      <c r="E543" s="3" t="inlineStr">
        <is>
          <t>M. Mandal</t>
        </is>
      </c>
      <c r="F543" s="3" t="inlineStr">
        <is>
          <t>Personal</t>
        </is>
      </c>
      <c r="G543" s="4" t="n">
        <v>46147</v>
      </c>
      <c r="H543" s="5" t="n">
        <v>11000</v>
      </c>
    </row>
    <row r="544">
      <c r="A544" s="3" t="inlineStr">
        <is>
          <t>D0543</t>
        </is>
      </c>
      <c r="B544" s="3" t="inlineStr">
        <is>
          <t>A0091</t>
        </is>
      </c>
      <c r="C544" s="3" t="inlineStr">
        <is>
          <t>Rajesh Tiwari</t>
        </is>
      </c>
      <c r="D544" s="3" t="inlineStr">
        <is>
          <t>Patna</t>
        </is>
      </c>
      <c r="E544" s="3" t="inlineStr">
        <is>
          <t>M. Mandal</t>
        </is>
      </c>
      <c r="F544" s="3" t="inlineStr">
        <is>
          <t>Personal</t>
        </is>
      </c>
      <c r="G544" s="4" t="n">
        <v>46178</v>
      </c>
      <c r="H544" s="5" t="n">
        <v>11000</v>
      </c>
    </row>
    <row r="545">
      <c r="A545" s="3" t="inlineStr">
        <is>
          <t>D0544</t>
        </is>
      </c>
      <c r="B545" s="3" t="inlineStr">
        <is>
          <t>A0091</t>
        </is>
      </c>
      <c r="C545" s="3" t="inlineStr">
        <is>
          <t>Rajesh Tiwari</t>
        </is>
      </c>
      <c r="D545" s="3" t="inlineStr">
        <is>
          <t>Patna</t>
        </is>
      </c>
      <c r="E545" s="3" t="inlineStr">
        <is>
          <t>M. Mandal</t>
        </is>
      </c>
      <c r="F545" s="3" t="inlineStr">
        <is>
          <t>Personal</t>
        </is>
      </c>
      <c r="G545" s="4" t="n">
        <v>46208</v>
      </c>
      <c r="H545" s="5" t="n">
        <v>11000</v>
      </c>
    </row>
    <row r="546">
      <c r="A546" s="3" t="inlineStr">
        <is>
          <t>D0545</t>
        </is>
      </c>
      <c r="B546" s="3" t="inlineStr">
        <is>
          <t>A0091</t>
        </is>
      </c>
      <c r="C546" s="3" t="inlineStr">
        <is>
          <t>Rajesh Tiwari</t>
        </is>
      </c>
      <c r="D546" s="3" t="inlineStr">
        <is>
          <t>Patna</t>
        </is>
      </c>
      <c r="E546" s="3" t="inlineStr">
        <is>
          <t>M. Mandal</t>
        </is>
      </c>
      <c r="F546" s="3" t="inlineStr">
        <is>
          <t>Personal</t>
        </is>
      </c>
      <c r="G546" s="4" t="n">
        <v>46239</v>
      </c>
      <c r="H546" s="5" t="n">
        <v>11000</v>
      </c>
    </row>
    <row r="547">
      <c r="A547" s="3" t="inlineStr">
        <is>
          <t>D0546</t>
        </is>
      </c>
      <c r="B547" s="3" t="inlineStr">
        <is>
          <t>A0091</t>
        </is>
      </c>
      <c r="C547" s="3" t="inlineStr">
        <is>
          <t>Rajesh Tiwari</t>
        </is>
      </c>
      <c r="D547" s="3" t="inlineStr">
        <is>
          <t>Patna</t>
        </is>
      </c>
      <c r="E547" s="3" t="inlineStr">
        <is>
          <t>M. Mandal</t>
        </is>
      </c>
      <c r="F547" s="3" t="inlineStr">
        <is>
          <t>Personal</t>
        </is>
      </c>
      <c r="G547" s="4" t="n">
        <v>46270</v>
      </c>
      <c r="H547" s="5" t="n">
        <v>11000</v>
      </c>
    </row>
    <row r="548">
      <c r="A548" s="3" t="inlineStr">
        <is>
          <t>D0547</t>
        </is>
      </c>
      <c r="B548" s="3" t="inlineStr">
        <is>
          <t>A0092</t>
        </is>
      </c>
      <c r="C548" s="3" t="inlineStr">
        <is>
          <t>Pooja Mishra</t>
        </is>
      </c>
      <c r="D548" s="3" t="inlineStr">
        <is>
          <t>Muzaffarpur</t>
        </is>
      </c>
      <c r="E548" s="3" t="inlineStr">
        <is>
          <t>P. Yadav</t>
        </is>
      </c>
      <c r="F548" s="3" t="inlineStr">
        <is>
          <t>Personal</t>
        </is>
      </c>
      <c r="G548" s="4" t="n">
        <v>46117</v>
      </c>
      <c r="H548" s="5" t="n">
        <v>27667</v>
      </c>
    </row>
    <row r="549">
      <c r="A549" s="3" t="inlineStr">
        <is>
          <t>D0548</t>
        </is>
      </c>
      <c r="B549" s="3" t="inlineStr">
        <is>
          <t>A0092</t>
        </is>
      </c>
      <c r="C549" s="3" t="inlineStr">
        <is>
          <t>Pooja Mishra</t>
        </is>
      </c>
      <c r="D549" s="3" t="inlineStr">
        <is>
          <t>Muzaffarpur</t>
        </is>
      </c>
      <c r="E549" s="3" t="inlineStr">
        <is>
          <t>P. Yadav</t>
        </is>
      </c>
      <c r="F549" s="3" t="inlineStr">
        <is>
          <t>Personal</t>
        </is>
      </c>
      <c r="G549" s="4" t="n">
        <v>46147</v>
      </c>
      <c r="H549" s="5" t="n">
        <v>27667</v>
      </c>
    </row>
    <row r="550">
      <c r="A550" s="3" t="inlineStr">
        <is>
          <t>D0549</t>
        </is>
      </c>
      <c r="B550" s="3" t="inlineStr">
        <is>
          <t>A0092</t>
        </is>
      </c>
      <c r="C550" s="3" t="inlineStr">
        <is>
          <t>Pooja Mishra</t>
        </is>
      </c>
      <c r="D550" s="3" t="inlineStr">
        <is>
          <t>Muzaffarpur</t>
        </is>
      </c>
      <c r="E550" s="3" t="inlineStr">
        <is>
          <t>P. Yadav</t>
        </is>
      </c>
      <c r="F550" s="3" t="inlineStr">
        <is>
          <t>Personal</t>
        </is>
      </c>
      <c r="G550" s="4" t="n">
        <v>46178</v>
      </c>
      <c r="H550" s="5" t="n">
        <v>27667</v>
      </c>
    </row>
    <row r="551">
      <c r="A551" s="3" t="inlineStr">
        <is>
          <t>D0550</t>
        </is>
      </c>
      <c r="B551" s="3" t="inlineStr">
        <is>
          <t>A0092</t>
        </is>
      </c>
      <c r="C551" s="3" t="inlineStr">
        <is>
          <t>Pooja Mishra</t>
        </is>
      </c>
      <c r="D551" s="3" t="inlineStr">
        <is>
          <t>Muzaffarpur</t>
        </is>
      </c>
      <c r="E551" s="3" t="inlineStr">
        <is>
          <t>P. Yadav</t>
        </is>
      </c>
      <c r="F551" s="3" t="inlineStr">
        <is>
          <t>Personal</t>
        </is>
      </c>
      <c r="G551" s="4" t="n">
        <v>46208</v>
      </c>
      <c r="H551" s="5" t="n">
        <v>27667</v>
      </c>
    </row>
    <row r="552">
      <c r="A552" s="3" t="inlineStr">
        <is>
          <t>D0551</t>
        </is>
      </c>
      <c r="B552" s="3" t="inlineStr">
        <is>
          <t>A0092</t>
        </is>
      </c>
      <c r="C552" s="3" t="inlineStr">
        <is>
          <t>Pooja Mishra</t>
        </is>
      </c>
      <c r="D552" s="3" t="inlineStr">
        <is>
          <t>Muzaffarpur</t>
        </is>
      </c>
      <c r="E552" s="3" t="inlineStr">
        <is>
          <t>P. Yadav</t>
        </is>
      </c>
      <c r="F552" s="3" t="inlineStr">
        <is>
          <t>Personal</t>
        </is>
      </c>
      <c r="G552" s="4" t="n">
        <v>46239</v>
      </c>
      <c r="H552" s="5" t="n">
        <v>27667</v>
      </c>
    </row>
    <row r="553">
      <c r="A553" s="3" t="inlineStr">
        <is>
          <t>D0552</t>
        </is>
      </c>
      <c r="B553" s="3" t="inlineStr">
        <is>
          <t>A0092</t>
        </is>
      </c>
      <c r="C553" s="3" t="inlineStr">
        <is>
          <t>Pooja Mishra</t>
        </is>
      </c>
      <c r="D553" s="3" t="inlineStr">
        <is>
          <t>Muzaffarpur</t>
        </is>
      </c>
      <c r="E553" s="3" t="inlineStr">
        <is>
          <t>P. Yadav</t>
        </is>
      </c>
      <c r="F553" s="3" t="inlineStr">
        <is>
          <t>Personal</t>
        </is>
      </c>
      <c r="G553" s="4" t="n">
        <v>46270</v>
      </c>
      <c r="H553" s="5" t="n">
        <v>27667</v>
      </c>
    </row>
    <row r="554">
      <c r="A554" s="3" t="inlineStr">
        <is>
          <t>D0553</t>
        </is>
      </c>
      <c r="B554" s="3" t="inlineStr">
        <is>
          <t>A0093</t>
        </is>
      </c>
      <c r="C554" s="3" t="inlineStr">
        <is>
          <t>Deepak Singh</t>
        </is>
      </c>
      <c r="D554" s="3" t="inlineStr">
        <is>
          <t>Patna</t>
        </is>
      </c>
      <c r="E554" s="3" t="inlineStr">
        <is>
          <t>A. Verma</t>
        </is>
      </c>
      <c r="F554" s="3" t="inlineStr">
        <is>
          <t>Housing</t>
        </is>
      </c>
      <c r="G554" s="4" t="n">
        <v>46117</v>
      </c>
      <c r="H554" s="5" t="n">
        <v>12333</v>
      </c>
    </row>
    <row r="555">
      <c r="A555" s="3" t="inlineStr">
        <is>
          <t>D0554</t>
        </is>
      </c>
      <c r="B555" s="3" t="inlineStr">
        <is>
          <t>A0093</t>
        </is>
      </c>
      <c r="C555" s="3" t="inlineStr">
        <is>
          <t>Deepak Singh</t>
        </is>
      </c>
      <c r="D555" s="3" t="inlineStr">
        <is>
          <t>Patna</t>
        </is>
      </c>
      <c r="E555" s="3" t="inlineStr">
        <is>
          <t>A. Verma</t>
        </is>
      </c>
      <c r="F555" s="3" t="inlineStr">
        <is>
          <t>Housing</t>
        </is>
      </c>
      <c r="G555" s="4" t="n">
        <v>46147</v>
      </c>
      <c r="H555" s="5" t="n">
        <v>12333</v>
      </c>
    </row>
    <row r="556">
      <c r="A556" s="3" t="inlineStr">
        <is>
          <t>D0555</t>
        </is>
      </c>
      <c r="B556" s="3" t="inlineStr">
        <is>
          <t>A0093</t>
        </is>
      </c>
      <c r="C556" s="3" t="inlineStr">
        <is>
          <t>Deepak Singh</t>
        </is>
      </c>
      <c r="D556" s="3" t="inlineStr">
        <is>
          <t>Patna</t>
        </is>
      </c>
      <c r="E556" s="3" t="inlineStr">
        <is>
          <t>A. Verma</t>
        </is>
      </c>
      <c r="F556" s="3" t="inlineStr">
        <is>
          <t>Housing</t>
        </is>
      </c>
      <c r="G556" s="4" t="n">
        <v>46178</v>
      </c>
      <c r="H556" s="5" t="n">
        <v>12333</v>
      </c>
    </row>
    <row r="557">
      <c r="A557" s="3" t="inlineStr">
        <is>
          <t>D0556</t>
        </is>
      </c>
      <c r="B557" s="3" t="inlineStr">
        <is>
          <t>A0093</t>
        </is>
      </c>
      <c r="C557" s="3" t="inlineStr">
        <is>
          <t>Deepak Singh</t>
        </is>
      </c>
      <c r="D557" s="3" t="inlineStr">
        <is>
          <t>Patna</t>
        </is>
      </c>
      <c r="E557" s="3" t="inlineStr">
        <is>
          <t>A. Verma</t>
        </is>
      </c>
      <c r="F557" s="3" t="inlineStr">
        <is>
          <t>Housing</t>
        </is>
      </c>
      <c r="G557" s="4" t="n">
        <v>46208</v>
      </c>
      <c r="H557" s="5" t="n">
        <v>12333</v>
      </c>
    </row>
    <row r="558">
      <c r="A558" s="3" t="inlineStr">
        <is>
          <t>D0557</t>
        </is>
      </c>
      <c r="B558" s="3" t="inlineStr">
        <is>
          <t>A0093</t>
        </is>
      </c>
      <c r="C558" s="3" t="inlineStr">
        <is>
          <t>Deepak Singh</t>
        </is>
      </c>
      <c r="D558" s="3" t="inlineStr">
        <is>
          <t>Patna</t>
        </is>
      </c>
      <c r="E558" s="3" t="inlineStr">
        <is>
          <t>A. Verma</t>
        </is>
      </c>
      <c r="F558" s="3" t="inlineStr">
        <is>
          <t>Housing</t>
        </is>
      </c>
      <c r="G558" s="4" t="n">
        <v>46239</v>
      </c>
      <c r="H558" s="5" t="n">
        <v>12333</v>
      </c>
    </row>
    <row r="559">
      <c r="A559" s="3" t="inlineStr">
        <is>
          <t>D0558</t>
        </is>
      </c>
      <c r="B559" s="3" t="inlineStr">
        <is>
          <t>A0093</t>
        </is>
      </c>
      <c r="C559" s="3" t="inlineStr">
        <is>
          <t>Deepak Singh</t>
        </is>
      </c>
      <c r="D559" s="3" t="inlineStr">
        <is>
          <t>Patna</t>
        </is>
      </c>
      <c r="E559" s="3" t="inlineStr">
        <is>
          <t>A. Verma</t>
        </is>
      </c>
      <c r="F559" s="3" t="inlineStr">
        <is>
          <t>Housing</t>
        </is>
      </c>
      <c r="G559" s="4" t="n">
        <v>46270</v>
      </c>
      <c r="H559" s="5" t="n">
        <v>12333</v>
      </c>
    </row>
    <row r="560">
      <c r="A560" s="3" t="inlineStr">
        <is>
          <t>D0559</t>
        </is>
      </c>
      <c r="B560" s="3" t="inlineStr">
        <is>
          <t>A0094</t>
        </is>
      </c>
      <c r="C560" s="3" t="inlineStr">
        <is>
          <t>Umesh Mandal</t>
        </is>
      </c>
      <c r="D560" s="3" t="inlineStr">
        <is>
          <t>Darbhanga</t>
        </is>
      </c>
      <c r="E560" s="3" t="inlineStr">
        <is>
          <t>K. Sharma</t>
        </is>
      </c>
      <c r="F560" s="3" t="inlineStr">
        <is>
          <t>Trade</t>
        </is>
      </c>
      <c r="G560" s="4" t="n">
        <v>46117</v>
      </c>
      <c r="H560" s="5" t="n">
        <v>25500</v>
      </c>
    </row>
    <row r="561">
      <c r="A561" s="3" t="inlineStr">
        <is>
          <t>D0560</t>
        </is>
      </c>
      <c r="B561" s="3" t="inlineStr">
        <is>
          <t>A0094</t>
        </is>
      </c>
      <c r="C561" s="3" t="inlineStr">
        <is>
          <t>Umesh Mandal</t>
        </is>
      </c>
      <c r="D561" s="3" t="inlineStr">
        <is>
          <t>Darbhanga</t>
        </is>
      </c>
      <c r="E561" s="3" t="inlineStr">
        <is>
          <t>K. Sharma</t>
        </is>
      </c>
      <c r="F561" s="3" t="inlineStr">
        <is>
          <t>Trade</t>
        </is>
      </c>
      <c r="G561" s="4" t="n">
        <v>46147</v>
      </c>
      <c r="H561" s="5" t="n">
        <v>25500</v>
      </c>
    </row>
    <row r="562">
      <c r="A562" s="3" t="inlineStr">
        <is>
          <t>D0561</t>
        </is>
      </c>
      <c r="B562" s="3" t="inlineStr">
        <is>
          <t>A0094</t>
        </is>
      </c>
      <c r="C562" s="3" t="inlineStr">
        <is>
          <t>Umesh Mandal</t>
        </is>
      </c>
      <c r="D562" s="3" t="inlineStr">
        <is>
          <t>Darbhanga</t>
        </is>
      </c>
      <c r="E562" s="3" t="inlineStr">
        <is>
          <t>K. Sharma</t>
        </is>
      </c>
      <c r="F562" s="3" t="inlineStr">
        <is>
          <t>Trade</t>
        </is>
      </c>
      <c r="G562" s="4" t="n">
        <v>46178</v>
      </c>
      <c r="H562" s="5" t="n">
        <v>25500</v>
      </c>
    </row>
    <row r="563">
      <c r="A563" s="3" t="inlineStr">
        <is>
          <t>D0562</t>
        </is>
      </c>
      <c r="B563" s="3" t="inlineStr">
        <is>
          <t>A0094</t>
        </is>
      </c>
      <c r="C563" s="3" t="inlineStr">
        <is>
          <t>Umesh Mandal</t>
        </is>
      </c>
      <c r="D563" s="3" t="inlineStr">
        <is>
          <t>Darbhanga</t>
        </is>
      </c>
      <c r="E563" s="3" t="inlineStr">
        <is>
          <t>K. Sharma</t>
        </is>
      </c>
      <c r="F563" s="3" t="inlineStr">
        <is>
          <t>Trade</t>
        </is>
      </c>
      <c r="G563" s="4" t="n">
        <v>46208</v>
      </c>
      <c r="H563" s="5" t="n">
        <v>25500</v>
      </c>
    </row>
    <row r="564">
      <c r="A564" s="3" t="inlineStr">
        <is>
          <t>D0563</t>
        </is>
      </c>
      <c r="B564" s="3" t="inlineStr">
        <is>
          <t>A0094</t>
        </is>
      </c>
      <c r="C564" s="3" t="inlineStr">
        <is>
          <t>Umesh Mandal</t>
        </is>
      </c>
      <c r="D564" s="3" t="inlineStr">
        <is>
          <t>Darbhanga</t>
        </is>
      </c>
      <c r="E564" s="3" t="inlineStr">
        <is>
          <t>K. Sharma</t>
        </is>
      </c>
      <c r="F564" s="3" t="inlineStr">
        <is>
          <t>Trade</t>
        </is>
      </c>
      <c r="G564" s="4" t="n">
        <v>46239</v>
      </c>
      <c r="H564" s="5" t="n">
        <v>25500</v>
      </c>
    </row>
    <row r="565">
      <c r="A565" s="3" t="inlineStr">
        <is>
          <t>D0564</t>
        </is>
      </c>
      <c r="B565" s="3" t="inlineStr">
        <is>
          <t>A0094</t>
        </is>
      </c>
      <c r="C565" s="3" t="inlineStr">
        <is>
          <t>Umesh Mandal</t>
        </is>
      </c>
      <c r="D565" s="3" t="inlineStr">
        <is>
          <t>Darbhanga</t>
        </is>
      </c>
      <c r="E565" s="3" t="inlineStr">
        <is>
          <t>K. Sharma</t>
        </is>
      </c>
      <c r="F565" s="3" t="inlineStr">
        <is>
          <t>Trade</t>
        </is>
      </c>
      <c r="G565" s="4" t="n">
        <v>46270</v>
      </c>
      <c r="H565" s="5" t="n">
        <v>25500</v>
      </c>
    </row>
    <row r="566">
      <c r="A566" s="3" t="inlineStr">
        <is>
          <t>D0565</t>
        </is>
      </c>
      <c r="B566" s="3" t="inlineStr">
        <is>
          <t>A0095</t>
        </is>
      </c>
      <c r="C566" s="3" t="inlineStr">
        <is>
          <t>Vikash Singh</t>
        </is>
      </c>
      <c r="D566" s="3" t="inlineStr">
        <is>
          <t>Patna</t>
        </is>
      </c>
      <c r="E566" s="3" t="inlineStr">
        <is>
          <t>M. Mandal</t>
        </is>
      </c>
      <c r="F566" s="3" t="inlineStr">
        <is>
          <t>Housing</t>
        </is>
      </c>
      <c r="G566" s="4" t="n">
        <v>46117</v>
      </c>
      <c r="H566" s="5" t="n">
        <v>19500</v>
      </c>
    </row>
    <row r="567">
      <c r="A567" s="3" t="inlineStr">
        <is>
          <t>D0566</t>
        </is>
      </c>
      <c r="B567" s="3" t="inlineStr">
        <is>
          <t>A0095</t>
        </is>
      </c>
      <c r="C567" s="3" t="inlineStr">
        <is>
          <t>Vikash Singh</t>
        </is>
      </c>
      <c r="D567" s="3" t="inlineStr">
        <is>
          <t>Patna</t>
        </is>
      </c>
      <c r="E567" s="3" t="inlineStr">
        <is>
          <t>M. Mandal</t>
        </is>
      </c>
      <c r="F567" s="3" t="inlineStr">
        <is>
          <t>Housing</t>
        </is>
      </c>
      <c r="G567" s="4" t="n">
        <v>46147</v>
      </c>
      <c r="H567" s="5" t="n">
        <v>19500</v>
      </c>
    </row>
    <row r="568">
      <c r="A568" s="3" t="inlineStr">
        <is>
          <t>D0567</t>
        </is>
      </c>
      <c r="B568" s="3" t="inlineStr">
        <is>
          <t>A0095</t>
        </is>
      </c>
      <c r="C568" s="3" t="inlineStr">
        <is>
          <t>Vikash Singh</t>
        </is>
      </c>
      <c r="D568" s="3" t="inlineStr">
        <is>
          <t>Patna</t>
        </is>
      </c>
      <c r="E568" s="3" t="inlineStr">
        <is>
          <t>M. Mandal</t>
        </is>
      </c>
      <c r="F568" s="3" t="inlineStr">
        <is>
          <t>Housing</t>
        </is>
      </c>
      <c r="G568" s="4" t="n">
        <v>46178</v>
      </c>
      <c r="H568" s="5" t="n">
        <v>19500</v>
      </c>
    </row>
    <row r="569">
      <c r="A569" s="3" t="inlineStr">
        <is>
          <t>D0568</t>
        </is>
      </c>
      <c r="B569" s="3" t="inlineStr">
        <is>
          <t>A0095</t>
        </is>
      </c>
      <c r="C569" s="3" t="inlineStr">
        <is>
          <t>Vikash Singh</t>
        </is>
      </c>
      <c r="D569" s="3" t="inlineStr">
        <is>
          <t>Patna</t>
        </is>
      </c>
      <c r="E569" s="3" t="inlineStr">
        <is>
          <t>M. Mandal</t>
        </is>
      </c>
      <c r="F569" s="3" t="inlineStr">
        <is>
          <t>Housing</t>
        </is>
      </c>
      <c r="G569" s="4" t="n">
        <v>46208</v>
      </c>
      <c r="H569" s="5" t="n">
        <v>19500</v>
      </c>
    </row>
    <row r="570">
      <c r="A570" s="3" t="inlineStr">
        <is>
          <t>D0569</t>
        </is>
      </c>
      <c r="B570" s="3" t="inlineStr">
        <is>
          <t>A0095</t>
        </is>
      </c>
      <c r="C570" s="3" t="inlineStr">
        <is>
          <t>Vikash Singh</t>
        </is>
      </c>
      <c r="D570" s="3" t="inlineStr">
        <is>
          <t>Patna</t>
        </is>
      </c>
      <c r="E570" s="3" t="inlineStr">
        <is>
          <t>M. Mandal</t>
        </is>
      </c>
      <c r="F570" s="3" t="inlineStr">
        <is>
          <t>Housing</t>
        </is>
      </c>
      <c r="G570" s="4" t="n">
        <v>46239</v>
      </c>
      <c r="H570" s="5" t="n">
        <v>19500</v>
      </c>
    </row>
    <row r="571">
      <c r="A571" s="3" t="inlineStr">
        <is>
          <t>D0570</t>
        </is>
      </c>
      <c r="B571" s="3" t="inlineStr">
        <is>
          <t>A0095</t>
        </is>
      </c>
      <c r="C571" s="3" t="inlineStr">
        <is>
          <t>Vikash Singh</t>
        </is>
      </c>
      <c r="D571" s="3" t="inlineStr">
        <is>
          <t>Patna</t>
        </is>
      </c>
      <c r="E571" s="3" t="inlineStr">
        <is>
          <t>M. Mandal</t>
        </is>
      </c>
      <c r="F571" s="3" t="inlineStr">
        <is>
          <t>Housing</t>
        </is>
      </c>
      <c r="G571" s="4" t="n">
        <v>46270</v>
      </c>
      <c r="H571" s="5" t="n">
        <v>19500</v>
      </c>
    </row>
    <row r="572">
      <c r="A572" s="3" t="inlineStr">
        <is>
          <t>D0571</t>
        </is>
      </c>
      <c r="B572" s="3" t="inlineStr">
        <is>
          <t>A0096</t>
        </is>
      </c>
      <c r="C572" s="3" t="inlineStr">
        <is>
          <t>Prakash Mandal</t>
        </is>
      </c>
      <c r="D572" s="3" t="inlineStr">
        <is>
          <t>Gaya</t>
        </is>
      </c>
      <c r="E572" s="3" t="inlineStr">
        <is>
          <t>M. Mandal</t>
        </is>
      </c>
      <c r="F572" s="3" t="inlineStr">
        <is>
          <t>Trade</t>
        </is>
      </c>
      <c r="G572" s="4" t="n">
        <v>46117</v>
      </c>
      <c r="H572" s="5" t="n">
        <v>3667</v>
      </c>
    </row>
    <row r="573">
      <c r="A573" s="3" t="inlineStr">
        <is>
          <t>D0572</t>
        </is>
      </c>
      <c r="B573" s="3" t="inlineStr">
        <is>
          <t>A0096</t>
        </is>
      </c>
      <c r="C573" s="3" t="inlineStr">
        <is>
          <t>Prakash Mandal</t>
        </is>
      </c>
      <c r="D573" s="3" t="inlineStr">
        <is>
          <t>Gaya</t>
        </is>
      </c>
      <c r="E573" s="3" t="inlineStr">
        <is>
          <t>M. Mandal</t>
        </is>
      </c>
      <c r="F573" s="3" t="inlineStr">
        <is>
          <t>Trade</t>
        </is>
      </c>
      <c r="G573" s="4" t="n">
        <v>46147</v>
      </c>
      <c r="H573" s="5" t="n">
        <v>3667</v>
      </c>
    </row>
    <row r="574">
      <c r="A574" s="3" t="inlineStr">
        <is>
          <t>D0573</t>
        </is>
      </c>
      <c r="B574" s="3" t="inlineStr">
        <is>
          <t>A0096</t>
        </is>
      </c>
      <c r="C574" s="3" t="inlineStr">
        <is>
          <t>Prakash Mandal</t>
        </is>
      </c>
      <c r="D574" s="3" t="inlineStr">
        <is>
          <t>Gaya</t>
        </is>
      </c>
      <c r="E574" s="3" t="inlineStr">
        <is>
          <t>M. Mandal</t>
        </is>
      </c>
      <c r="F574" s="3" t="inlineStr">
        <is>
          <t>Trade</t>
        </is>
      </c>
      <c r="G574" s="4" t="n">
        <v>46178</v>
      </c>
      <c r="H574" s="5" t="n">
        <v>3667</v>
      </c>
    </row>
    <row r="575">
      <c r="A575" s="3" t="inlineStr">
        <is>
          <t>D0574</t>
        </is>
      </c>
      <c r="B575" s="3" t="inlineStr">
        <is>
          <t>A0096</t>
        </is>
      </c>
      <c r="C575" s="3" t="inlineStr">
        <is>
          <t>Prakash Mandal</t>
        </is>
      </c>
      <c r="D575" s="3" t="inlineStr">
        <is>
          <t>Gaya</t>
        </is>
      </c>
      <c r="E575" s="3" t="inlineStr">
        <is>
          <t>M. Mandal</t>
        </is>
      </c>
      <c r="F575" s="3" t="inlineStr">
        <is>
          <t>Trade</t>
        </is>
      </c>
      <c r="G575" s="4" t="n">
        <v>46208</v>
      </c>
      <c r="H575" s="5" t="n">
        <v>3667</v>
      </c>
    </row>
    <row r="576">
      <c r="A576" s="3" t="inlineStr">
        <is>
          <t>D0575</t>
        </is>
      </c>
      <c r="B576" s="3" t="inlineStr">
        <is>
          <t>A0096</t>
        </is>
      </c>
      <c r="C576" s="3" t="inlineStr">
        <is>
          <t>Prakash Mandal</t>
        </is>
      </c>
      <c r="D576" s="3" t="inlineStr">
        <is>
          <t>Gaya</t>
        </is>
      </c>
      <c r="E576" s="3" t="inlineStr">
        <is>
          <t>M. Mandal</t>
        </is>
      </c>
      <c r="F576" s="3" t="inlineStr">
        <is>
          <t>Trade</t>
        </is>
      </c>
      <c r="G576" s="4" t="n">
        <v>46239</v>
      </c>
      <c r="H576" s="5" t="n">
        <v>3667</v>
      </c>
    </row>
    <row r="577">
      <c r="A577" s="3" t="inlineStr">
        <is>
          <t>D0576</t>
        </is>
      </c>
      <c r="B577" s="3" t="inlineStr">
        <is>
          <t>A0096</t>
        </is>
      </c>
      <c r="C577" s="3" t="inlineStr">
        <is>
          <t>Prakash Mandal</t>
        </is>
      </c>
      <c r="D577" s="3" t="inlineStr">
        <is>
          <t>Gaya</t>
        </is>
      </c>
      <c r="E577" s="3" t="inlineStr">
        <is>
          <t>M. Mandal</t>
        </is>
      </c>
      <c r="F577" s="3" t="inlineStr">
        <is>
          <t>Trade</t>
        </is>
      </c>
      <c r="G577" s="4" t="n">
        <v>46270</v>
      </c>
      <c r="H577" s="5" t="n">
        <v>3667</v>
      </c>
    </row>
    <row r="578">
      <c r="A578" s="3" t="inlineStr">
        <is>
          <t>D0577</t>
        </is>
      </c>
      <c r="B578" s="3" t="inlineStr">
        <is>
          <t>A0097</t>
        </is>
      </c>
      <c r="C578" s="3" t="inlineStr">
        <is>
          <t>Mohan Kumar</t>
        </is>
      </c>
      <c r="D578" s="3" t="inlineStr">
        <is>
          <t>Muzaffarpur</t>
        </is>
      </c>
      <c r="E578" s="3" t="inlineStr">
        <is>
          <t>P. Yadav</t>
        </is>
      </c>
      <c r="F578" s="3" t="inlineStr">
        <is>
          <t>Personal</t>
        </is>
      </c>
      <c r="G578" s="4" t="n">
        <v>46117</v>
      </c>
      <c r="H578" s="5" t="n">
        <v>32833</v>
      </c>
    </row>
    <row r="579">
      <c r="A579" s="3" t="inlineStr">
        <is>
          <t>D0578</t>
        </is>
      </c>
      <c r="B579" s="3" t="inlineStr">
        <is>
          <t>A0097</t>
        </is>
      </c>
      <c r="C579" s="3" t="inlineStr">
        <is>
          <t>Mohan Kumar</t>
        </is>
      </c>
      <c r="D579" s="3" t="inlineStr">
        <is>
          <t>Muzaffarpur</t>
        </is>
      </c>
      <c r="E579" s="3" t="inlineStr">
        <is>
          <t>P. Yadav</t>
        </is>
      </c>
      <c r="F579" s="3" t="inlineStr">
        <is>
          <t>Personal</t>
        </is>
      </c>
      <c r="G579" s="4" t="n">
        <v>46147</v>
      </c>
      <c r="H579" s="5" t="n">
        <v>32833</v>
      </c>
    </row>
    <row r="580">
      <c r="A580" s="3" t="inlineStr">
        <is>
          <t>D0579</t>
        </is>
      </c>
      <c r="B580" s="3" t="inlineStr">
        <is>
          <t>A0097</t>
        </is>
      </c>
      <c r="C580" s="3" t="inlineStr">
        <is>
          <t>Mohan Kumar</t>
        </is>
      </c>
      <c r="D580" s="3" t="inlineStr">
        <is>
          <t>Muzaffarpur</t>
        </is>
      </c>
      <c r="E580" s="3" t="inlineStr">
        <is>
          <t>P. Yadav</t>
        </is>
      </c>
      <c r="F580" s="3" t="inlineStr">
        <is>
          <t>Personal</t>
        </is>
      </c>
      <c r="G580" s="4" t="n">
        <v>46178</v>
      </c>
      <c r="H580" s="5" t="n">
        <v>32833</v>
      </c>
    </row>
    <row r="581">
      <c r="A581" s="3" t="inlineStr">
        <is>
          <t>D0580</t>
        </is>
      </c>
      <c r="B581" s="3" t="inlineStr">
        <is>
          <t>A0097</t>
        </is>
      </c>
      <c r="C581" s="3" t="inlineStr">
        <is>
          <t>Mohan Kumar</t>
        </is>
      </c>
      <c r="D581" s="3" t="inlineStr">
        <is>
          <t>Muzaffarpur</t>
        </is>
      </c>
      <c r="E581" s="3" t="inlineStr">
        <is>
          <t>P. Yadav</t>
        </is>
      </c>
      <c r="F581" s="3" t="inlineStr">
        <is>
          <t>Personal</t>
        </is>
      </c>
      <c r="G581" s="4" t="n">
        <v>46208</v>
      </c>
      <c r="H581" s="5" t="n">
        <v>32833</v>
      </c>
    </row>
    <row r="582">
      <c r="A582" s="3" t="inlineStr">
        <is>
          <t>D0581</t>
        </is>
      </c>
      <c r="B582" s="3" t="inlineStr">
        <is>
          <t>A0097</t>
        </is>
      </c>
      <c r="C582" s="3" t="inlineStr">
        <is>
          <t>Mohan Kumar</t>
        </is>
      </c>
      <c r="D582" s="3" t="inlineStr">
        <is>
          <t>Muzaffarpur</t>
        </is>
      </c>
      <c r="E582" s="3" t="inlineStr">
        <is>
          <t>P. Yadav</t>
        </is>
      </c>
      <c r="F582" s="3" t="inlineStr">
        <is>
          <t>Personal</t>
        </is>
      </c>
      <c r="G582" s="4" t="n">
        <v>46239</v>
      </c>
      <c r="H582" s="5" t="n">
        <v>32833</v>
      </c>
    </row>
    <row r="583">
      <c r="A583" s="3" t="inlineStr">
        <is>
          <t>D0582</t>
        </is>
      </c>
      <c r="B583" s="3" t="inlineStr">
        <is>
          <t>A0097</t>
        </is>
      </c>
      <c r="C583" s="3" t="inlineStr">
        <is>
          <t>Mohan Kumar</t>
        </is>
      </c>
      <c r="D583" s="3" t="inlineStr">
        <is>
          <t>Muzaffarpur</t>
        </is>
      </c>
      <c r="E583" s="3" t="inlineStr">
        <is>
          <t>P. Yadav</t>
        </is>
      </c>
      <c r="F583" s="3" t="inlineStr">
        <is>
          <t>Personal</t>
        </is>
      </c>
      <c r="G583" s="4" t="n">
        <v>46270</v>
      </c>
      <c r="H583" s="5" t="n">
        <v>32833</v>
      </c>
    </row>
    <row r="584">
      <c r="A584" s="3" t="inlineStr">
        <is>
          <t>D0583</t>
        </is>
      </c>
      <c r="B584" s="3" t="inlineStr">
        <is>
          <t>A0098</t>
        </is>
      </c>
      <c r="C584" s="3" t="inlineStr">
        <is>
          <t>Prakash Prasad</t>
        </is>
      </c>
      <c r="D584" s="3" t="inlineStr">
        <is>
          <t>Patna</t>
        </is>
      </c>
      <c r="E584" s="3" t="inlineStr">
        <is>
          <t>R. Singh</t>
        </is>
      </c>
      <c r="F584" s="3" t="inlineStr">
        <is>
          <t>Trade</t>
        </is>
      </c>
      <c r="G584" s="4" t="n">
        <v>46117</v>
      </c>
      <c r="H584" s="5" t="n">
        <v>15167</v>
      </c>
    </row>
    <row r="585">
      <c r="A585" s="3" t="inlineStr">
        <is>
          <t>D0584</t>
        </is>
      </c>
      <c r="B585" s="3" t="inlineStr">
        <is>
          <t>A0098</t>
        </is>
      </c>
      <c r="C585" s="3" t="inlineStr">
        <is>
          <t>Prakash Prasad</t>
        </is>
      </c>
      <c r="D585" s="3" t="inlineStr">
        <is>
          <t>Patna</t>
        </is>
      </c>
      <c r="E585" s="3" t="inlineStr">
        <is>
          <t>R. Singh</t>
        </is>
      </c>
      <c r="F585" s="3" t="inlineStr">
        <is>
          <t>Trade</t>
        </is>
      </c>
      <c r="G585" s="4" t="n">
        <v>46147</v>
      </c>
      <c r="H585" s="5" t="n">
        <v>15167</v>
      </c>
    </row>
    <row r="586">
      <c r="A586" s="3" t="inlineStr">
        <is>
          <t>D0585</t>
        </is>
      </c>
      <c r="B586" s="3" t="inlineStr">
        <is>
          <t>A0098</t>
        </is>
      </c>
      <c r="C586" s="3" t="inlineStr">
        <is>
          <t>Prakash Prasad</t>
        </is>
      </c>
      <c r="D586" s="3" t="inlineStr">
        <is>
          <t>Patna</t>
        </is>
      </c>
      <c r="E586" s="3" t="inlineStr">
        <is>
          <t>R. Singh</t>
        </is>
      </c>
      <c r="F586" s="3" t="inlineStr">
        <is>
          <t>Trade</t>
        </is>
      </c>
      <c r="G586" s="4" t="n">
        <v>46178</v>
      </c>
      <c r="H586" s="5" t="n">
        <v>15167</v>
      </c>
    </row>
    <row r="587">
      <c r="A587" s="3" t="inlineStr">
        <is>
          <t>D0586</t>
        </is>
      </c>
      <c r="B587" s="3" t="inlineStr">
        <is>
          <t>A0098</t>
        </is>
      </c>
      <c r="C587" s="3" t="inlineStr">
        <is>
          <t>Prakash Prasad</t>
        </is>
      </c>
      <c r="D587" s="3" t="inlineStr">
        <is>
          <t>Patna</t>
        </is>
      </c>
      <c r="E587" s="3" t="inlineStr">
        <is>
          <t>R. Singh</t>
        </is>
      </c>
      <c r="F587" s="3" t="inlineStr">
        <is>
          <t>Trade</t>
        </is>
      </c>
      <c r="G587" s="4" t="n">
        <v>46208</v>
      </c>
      <c r="H587" s="5" t="n">
        <v>15167</v>
      </c>
    </row>
    <row r="588">
      <c r="A588" s="3" t="inlineStr">
        <is>
          <t>D0587</t>
        </is>
      </c>
      <c r="B588" s="3" t="inlineStr">
        <is>
          <t>A0098</t>
        </is>
      </c>
      <c r="C588" s="3" t="inlineStr">
        <is>
          <t>Prakash Prasad</t>
        </is>
      </c>
      <c r="D588" s="3" t="inlineStr">
        <is>
          <t>Patna</t>
        </is>
      </c>
      <c r="E588" s="3" t="inlineStr">
        <is>
          <t>R. Singh</t>
        </is>
      </c>
      <c r="F588" s="3" t="inlineStr">
        <is>
          <t>Trade</t>
        </is>
      </c>
      <c r="G588" s="4" t="n">
        <v>46239</v>
      </c>
      <c r="H588" s="5" t="n">
        <v>15167</v>
      </c>
    </row>
    <row r="589">
      <c r="A589" s="3" t="inlineStr">
        <is>
          <t>D0588</t>
        </is>
      </c>
      <c r="B589" s="3" t="inlineStr">
        <is>
          <t>A0098</t>
        </is>
      </c>
      <c r="C589" s="3" t="inlineStr">
        <is>
          <t>Prakash Prasad</t>
        </is>
      </c>
      <c r="D589" s="3" t="inlineStr">
        <is>
          <t>Patna</t>
        </is>
      </c>
      <c r="E589" s="3" t="inlineStr">
        <is>
          <t>R. Singh</t>
        </is>
      </c>
      <c r="F589" s="3" t="inlineStr">
        <is>
          <t>Trade</t>
        </is>
      </c>
      <c r="G589" s="4" t="n">
        <v>46270</v>
      </c>
      <c r="H589" s="5" t="n">
        <v>15167</v>
      </c>
    </row>
    <row r="590">
      <c r="A590" s="3" t="inlineStr">
        <is>
          <t>D0589</t>
        </is>
      </c>
      <c r="B590" s="3" t="inlineStr">
        <is>
          <t>A0099</t>
        </is>
      </c>
      <c r="C590" s="3" t="inlineStr">
        <is>
          <t>Ramesh Sah</t>
        </is>
      </c>
      <c r="D590" s="3" t="inlineStr">
        <is>
          <t>Bhagalpur</t>
        </is>
      </c>
      <c r="E590" s="3" t="inlineStr">
        <is>
          <t>R. Singh</t>
        </is>
      </c>
      <c r="F590" s="3" t="inlineStr">
        <is>
          <t>Vehicle</t>
        </is>
      </c>
      <c r="G590" s="4" t="n">
        <v>46117</v>
      </c>
      <c r="H590" s="5" t="n">
        <v>9500</v>
      </c>
    </row>
    <row r="591">
      <c r="A591" s="3" t="inlineStr">
        <is>
          <t>D0590</t>
        </is>
      </c>
      <c r="B591" s="3" t="inlineStr">
        <is>
          <t>A0099</t>
        </is>
      </c>
      <c r="C591" s="3" t="inlineStr">
        <is>
          <t>Ramesh Sah</t>
        </is>
      </c>
      <c r="D591" s="3" t="inlineStr">
        <is>
          <t>Bhagalpur</t>
        </is>
      </c>
      <c r="E591" s="3" t="inlineStr">
        <is>
          <t>R. Singh</t>
        </is>
      </c>
      <c r="F591" s="3" t="inlineStr">
        <is>
          <t>Vehicle</t>
        </is>
      </c>
      <c r="G591" s="4" t="n">
        <v>46147</v>
      </c>
      <c r="H591" s="5" t="n">
        <v>9500</v>
      </c>
    </row>
    <row r="592">
      <c r="A592" s="3" t="inlineStr">
        <is>
          <t>D0591</t>
        </is>
      </c>
      <c r="B592" s="3" t="inlineStr">
        <is>
          <t>A0099</t>
        </is>
      </c>
      <c r="C592" s="3" t="inlineStr">
        <is>
          <t>Ramesh Sah</t>
        </is>
      </c>
      <c r="D592" s="3" t="inlineStr">
        <is>
          <t>Bhagalpur</t>
        </is>
      </c>
      <c r="E592" s="3" t="inlineStr">
        <is>
          <t>R. Singh</t>
        </is>
      </c>
      <c r="F592" s="3" t="inlineStr">
        <is>
          <t>Vehicle</t>
        </is>
      </c>
      <c r="G592" s="4" t="n">
        <v>46178</v>
      </c>
      <c r="H592" s="5" t="n">
        <v>9500</v>
      </c>
    </row>
    <row r="593">
      <c r="A593" s="3" t="inlineStr">
        <is>
          <t>D0592</t>
        </is>
      </c>
      <c r="B593" s="3" t="inlineStr">
        <is>
          <t>A0099</t>
        </is>
      </c>
      <c r="C593" s="3" t="inlineStr">
        <is>
          <t>Ramesh Sah</t>
        </is>
      </c>
      <c r="D593" s="3" t="inlineStr">
        <is>
          <t>Bhagalpur</t>
        </is>
      </c>
      <c r="E593" s="3" t="inlineStr">
        <is>
          <t>R. Singh</t>
        </is>
      </c>
      <c r="F593" s="3" t="inlineStr">
        <is>
          <t>Vehicle</t>
        </is>
      </c>
      <c r="G593" s="4" t="n">
        <v>46208</v>
      </c>
      <c r="H593" s="5" t="n">
        <v>9500</v>
      </c>
    </row>
    <row r="594">
      <c r="A594" s="3" t="inlineStr">
        <is>
          <t>D0593</t>
        </is>
      </c>
      <c r="B594" s="3" t="inlineStr">
        <is>
          <t>A0099</t>
        </is>
      </c>
      <c r="C594" s="3" t="inlineStr">
        <is>
          <t>Ramesh Sah</t>
        </is>
      </c>
      <c r="D594" s="3" t="inlineStr">
        <is>
          <t>Bhagalpur</t>
        </is>
      </c>
      <c r="E594" s="3" t="inlineStr">
        <is>
          <t>R. Singh</t>
        </is>
      </c>
      <c r="F594" s="3" t="inlineStr">
        <is>
          <t>Vehicle</t>
        </is>
      </c>
      <c r="G594" s="4" t="n">
        <v>46239</v>
      </c>
      <c r="H594" s="5" t="n">
        <v>9500</v>
      </c>
    </row>
    <row r="595">
      <c r="A595" s="3" t="inlineStr">
        <is>
          <t>D0594</t>
        </is>
      </c>
      <c r="B595" s="3" t="inlineStr">
        <is>
          <t>A0099</t>
        </is>
      </c>
      <c r="C595" s="3" t="inlineStr">
        <is>
          <t>Ramesh Sah</t>
        </is>
      </c>
      <c r="D595" s="3" t="inlineStr">
        <is>
          <t>Bhagalpur</t>
        </is>
      </c>
      <c r="E595" s="3" t="inlineStr">
        <is>
          <t>R. Singh</t>
        </is>
      </c>
      <c r="F595" s="3" t="inlineStr">
        <is>
          <t>Vehicle</t>
        </is>
      </c>
      <c r="G595" s="4" t="n">
        <v>46270</v>
      </c>
      <c r="H595" s="5" t="n">
        <v>9500</v>
      </c>
    </row>
    <row r="596">
      <c r="A596" s="3" t="inlineStr">
        <is>
          <t>D0595</t>
        </is>
      </c>
      <c r="B596" s="3" t="inlineStr">
        <is>
          <t>A0100</t>
        </is>
      </c>
      <c r="C596" s="3" t="inlineStr">
        <is>
          <t>Ravi Kumar</t>
        </is>
      </c>
      <c r="D596" s="3" t="inlineStr">
        <is>
          <t>Muzaffarpur</t>
        </is>
      </c>
      <c r="E596" s="3" t="inlineStr">
        <is>
          <t>R. Singh</t>
        </is>
      </c>
      <c r="F596" s="3" t="inlineStr">
        <is>
          <t>Agri</t>
        </is>
      </c>
      <c r="G596" s="4" t="n">
        <v>46117</v>
      </c>
      <c r="H596" s="5" t="n">
        <v>29833</v>
      </c>
    </row>
    <row r="597">
      <c r="A597" s="3" t="inlineStr">
        <is>
          <t>D0596</t>
        </is>
      </c>
      <c r="B597" s="3" t="inlineStr">
        <is>
          <t>A0100</t>
        </is>
      </c>
      <c r="C597" s="3" t="inlineStr">
        <is>
          <t>Ravi Kumar</t>
        </is>
      </c>
      <c r="D597" s="3" t="inlineStr">
        <is>
          <t>Muzaffarpur</t>
        </is>
      </c>
      <c r="E597" s="3" t="inlineStr">
        <is>
          <t>R. Singh</t>
        </is>
      </c>
      <c r="F597" s="3" t="inlineStr">
        <is>
          <t>Agri</t>
        </is>
      </c>
      <c r="G597" s="4" t="n">
        <v>46147</v>
      </c>
      <c r="H597" s="5" t="n">
        <v>29833</v>
      </c>
    </row>
    <row r="598">
      <c r="A598" s="3" t="inlineStr">
        <is>
          <t>D0597</t>
        </is>
      </c>
      <c r="B598" s="3" t="inlineStr">
        <is>
          <t>A0100</t>
        </is>
      </c>
      <c r="C598" s="3" t="inlineStr">
        <is>
          <t>Ravi Kumar</t>
        </is>
      </c>
      <c r="D598" s="3" t="inlineStr">
        <is>
          <t>Muzaffarpur</t>
        </is>
      </c>
      <c r="E598" s="3" t="inlineStr">
        <is>
          <t>R. Singh</t>
        </is>
      </c>
      <c r="F598" s="3" t="inlineStr">
        <is>
          <t>Agri</t>
        </is>
      </c>
      <c r="G598" s="4" t="n">
        <v>46178</v>
      </c>
      <c r="H598" s="5" t="n">
        <v>29833</v>
      </c>
    </row>
    <row r="599">
      <c r="A599" s="3" t="inlineStr">
        <is>
          <t>D0598</t>
        </is>
      </c>
      <c r="B599" s="3" t="inlineStr">
        <is>
          <t>A0100</t>
        </is>
      </c>
      <c r="C599" s="3" t="inlineStr">
        <is>
          <t>Ravi Kumar</t>
        </is>
      </c>
      <c r="D599" s="3" t="inlineStr">
        <is>
          <t>Muzaffarpur</t>
        </is>
      </c>
      <c r="E599" s="3" t="inlineStr">
        <is>
          <t>R. Singh</t>
        </is>
      </c>
      <c r="F599" s="3" t="inlineStr">
        <is>
          <t>Agri</t>
        </is>
      </c>
      <c r="G599" s="4" t="n">
        <v>46208</v>
      </c>
      <c r="H599" s="5" t="n">
        <v>29833</v>
      </c>
    </row>
    <row r="600">
      <c r="A600" s="3" t="inlineStr">
        <is>
          <t>D0599</t>
        </is>
      </c>
      <c r="B600" s="3" t="inlineStr">
        <is>
          <t>A0100</t>
        </is>
      </c>
      <c r="C600" s="3" t="inlineStr">
        <is>
          <t>Ravi Kumar</t>
        </is>
      </c>
      <c r="D600" s="3" t="inlineStr">
        <is>
          <t>Muzaffarpur</t>
        </is>
      </c>
      <c r="E600" s="3" t="inlineStr">
        <is>
          <t>R. Singh</t>
        </is>
      </c>
      <c r="F600" s="3" t="inlineStr">
        <is>
          <t>Agri</t>
        </is>
      </c>
      <c r="G600" s="4" t="n">
        <v>46239</v>
      </c>
      <c r="H600" s="5" t="n">
        <v>29833</v>
      </c>
    </row>
    <row r="601">
      <c r="A601" s="3" t="inlineStr">
        <is>
          <t>D0600</t>
        </is>
      </c>
      <c r="B601" s="3" t="inlineStr">
        <is>
          <t>A0100</t>
        </is>
      </c>
      <c r="C601" s="3" t="inlineStr">
        <is>
          <t>Ravi Kumar</t>
        </is>
      </c>
      <c r="D601" s="3" t="inlineStr">
        <is>
          <t>Muzaffarpur</t>
        </is>
      </c>
      <c r="E601" s="3" t="inlineStr">
        <is>
          <t>R. Singh</t>
        </is>
      </c>
      <c r="F601" s="3" t="inlineStr">
        <is>
          <t>Agri</t>
        </is>
      </c>
      <c r="G601" s="4" t="n">
        <v>46270</v>
      </c>
      <c r="H601" s="5" t="n">
        <v>29833</v>
      </c>
    </row>
    <row r="602">
      <c r="A602" s="3" t="inlineStr">
        <is>
          <t>D0601</t>
        </is>
      </c>
      <c r="B602" s="3" t="inlineStr">
        <is>
          <t>A0101</t>
        </is>
      </c>
      <c r="C602" s="3" t="inlineStr">
        <is>
          <t>Sunita Paswan</t>
        </is>
      </c>
      <c r="D602" s="3" t="inlineStr">
        <is>
          <t>Patna</t>
        </is>
      </c>
      <c r="E602" s="3" t="inlineStr">
        <is>
          <t>R. Singh</t>
        </is>
      </c>
      <c r="F602" s="3" t="inlineStr">
        <is>
          <t>Agri</t>
        </is>
      </c>
      <c r="G602" s="4" t="n">
        <v>46117</v>
      </c>
      <c r="H602" s="5" t="n">
        <v>32167</v>
      </c>
    </row>
    <row r="603">
      <c r="A603" s="3" t="inlineStr">
        <is>
          <t>D0602</t>
        </is>
      </c>
      <c r="B603" s="3" t="inlineStr">
        <is>
          <t>A0101</t>
        </is>
      </c>
      <c r="C603" s="3" t="inlineStr">
        <is>
          <t>Sunita Paswan</t>
        </is>
      </c>
      <c r="D603" s="3" t="inlineStr">
        <is>
          <t>Patna</t>
        </is>
      </c>
      <c r="E603" s="3" t="inlineStr">
        <is>
          <t>R. Singh</t>
        </is>
      </c>
      <c r="F603" s="3" t="inlineStr">
        <is>
          <t>Agri</t>
        </is>
      </c>
      <c r="G603" s="4" t="n">
        <v>46147</v>
      </c>
      <c r="H603" s="5" t="n">
        <v>32167</v>
      </c>
    </row>
    <row r="604">
      <c r="A604" s="3" t="inlineStr">
        <is>
          <t>D0603</t>
        </is>
      </c>
      <c r="B604" s="3" t="inlineStr">
        <is>
          <t>A0101</t>
        </is>
      </c>
      <c r="C604" s="3" t="inlineStr">
        <is>
          <t>Sunita Paswan</t>
        </is>
      </c>
      <c r="D604" s="3" t="inlineStr">
        <is>
          <t>Patna</t>
        </is>
      </c>
      <c r="E604" s="3" t="inlineStr">
        <is>
          <t>R. Singh</t>
        </is>
      </c>
      <c r="F604" s="3" t="inlineStr">
        <is>
          <t>Agri</t>
        </is>
      </c>
      <c r="G604" s="4" t="n">
        <v>46178</v>
      </c>
      <c r="H604" s="5" t="n">
        <v>32167</v>
      </c>
    </row>
    <row r="605">
      <c r="A605" s="3" t="inlineStr">
        <is>
          <t>D0604</t>
        </is>
      </c>
      <c r="B605" s="3" t="inlineStr">
        <is>
          <t>A0101</t>
        </is>
      </c>
      <c r="C605" s="3" t="inlineStr">
        <is>
          <t>Sunita Paswan</t>
        </is>
      </c>
      <c r="D605" s="3" t="inlineStr">
        <is>
          <t>Patna</t>
        </is>
      </c>
      <c r="E605" s="3" t="inlineStr">
        <is>
          <t>R. Singh</t>
        </is>
      </c>
      <c r="F605" s="3" t="inlineStr">
        <is>
          <t>Agri</t>
        </is>
      </c>
      <c r="G605" s="4" t="n">
        <v>46208</v>
      </c>
      <c r="H605" s="5" t="n">
        <v>32167</v>
      </c>
    </row>
    <row r="606">
      <c r="A606" s="3" t="inlineStr">
        <is>
          <t>D0605</t>
        </is>
      </c>
      <c r="B606" s="3" t="inlineStr">
        <is>
          <t>A0101</t>
        </is>
      </c>
      <c r="C606" s="3" t="inlineStr">
        <is>
          <t>Sunita Paswan</t>
        </is>
      </c>
      <c r="D606" s="3" t="inlineStr">
        <is>
          <t>Patna</t>
        </is>
      </c>
      <c r="E606" s="3" t="inlineStr">
        <is>
          <t>R. Singh</t>
        </is>
      </c>
      <c r="F606" s="3" t="inlineStr">
        <is>
          <t>Agri</t>
        </is>
      </c>
      <c r="G606" s="4" t="n">
        <v>46239</v>
      </c>
      <c r="H606" s="5" t="n">
        <v>32167</v>
      </c>
    </row>
    <row r="607">
      <c r="A607" s="3" t="inlineStr">
        <is>
          <t>D0606</t>
        </is>
      </c>
      <c r="B607" s="3" t="inlineStr">
        <is>
          <t>A0101</t>
        </is>
      </c>
      <c r="C607" s="3" t="inlineStr">
        <is>
          <t>Sunita Paswan</t>
        </is>
      </c>
      <c r="D607" s="3" t="inlineStr">
        <is>
          <t>Patna</t>
        </is>
      </c>
      <c r="E607" s="3" t="inlineStr">
        <is>
          <t>R. Singh</t>
        </is>
      </c>
      <c r="F607" s="3" t="inlineStr">
        <is>
          <t>Agri</t>
        </is>
      </c>
      <c r="G607" s="4" t="n">
        <v>46270</v>
      </c>
      <c r="H607" s="5" t="n">
        <v>32167</v>
      </c>
    </row>
    <row r="608">
      <c r="A608" s="3" t="inlineStr">
        <is>
          <t>D0607</t>
        </is>
      </c>
      <c r="B608" s="3" t="inlineStr">
        <is>
          <t>A0102</t>
        </is>
      </c>
      <c r="C608" s="3" t="inlineStr">
        <is>
          <t>Pooja Mishra</t>
        </is>
      </c>
      <c r="D608" s="3" t="inlineStr">
        <is>
          <t>Gaya</t>
        </is>
      </c>
      <c r="E608" s="3" t="inlineStr">
        <is>
          <t>S. Gupta</t>
        </is>
      </c>
      <c r="F608" s="3" t="inlineStr">
        <is>
          <t>Vehicle</t>
        </is>
      </c>
      <c r="G608" s="4" t="n">
        <v>46117</v>
      </c>
      <c r="H608" s="5" t="n">
        <v>31500</v>
      </c>
    </row>
    <row r="609">
      <c r="A609" s="3" t="inlineStr">
        <is>
          <t>D0608</t>
        </is>
      </c>
      <c r="B609" s="3" t="inlineStr">
        <is>
          <t>A0102</t>
        </is>
      </c>
      <c r="C609" s="3" t="inlineStr">
        <is>
          <t>Pooja Mishra</t>
        </is>
      </c>
      <c r="D609" s="3" t="inlineStr">
        <is>
          <t>Gaya</t>
        </is>
      </c>
      <c r="E609" s="3" t="inlineStr">
        <is>
          <t>S. Gupta</t>
        </is>
      </c>
      <c r="F609" s="3" t="inlineStr">
        <is>
          <t>Vehicle</t>
        </is>
      </c>
      <c r="G609" s="4" t="n">
        <v>46147</v>
      </c>
      <c r="H609" s="5" t="n">
        <v>31500</v>
      </c>
    </row>
    <row r="610">
      <c r="A610" s="3" t="inlineStr">
        <is>
          <t>D0609</t>
        </is>
      </c>
      <c r="B610" s="3" t="inlineStr">
        <is>
          <t>A0102</t>
        </is>
      </c>
      <c r="C610" s="3" t="inlineStr">
        <is>
          <t>Pooja Mishra</t>
        </is>
      </c>
      <c r="D610" s="3" t="inlineStr">
        <is>
          <t>Gaya</t>
        </is>
      </c>
      <c r="E610" s="3" t="inlineStr">
        <is>
          <t>S. Gupta</t>
        </is>
      </c>
      <c r="F610" s="3" t="inlineStr">
        <is>
          <t>Vehicle</t>
        </is>
      </c>
      <c r="G610" s="4" t="n">
        <v>46178</v>
      </c>
      <c r="H610" s="5" t="n">
        <v>31500</v>
      </c>
    </row>
    <row r="611">
      <c r="A611" s="3" t="inlineStr">
        <is>
          <t>D0610</t>
        </is>
      </c>
      <c r="B611" s="3" t="inlineStr">
        <is>
          <t>A0102</t>
        </is>
      </c>
      <c r="C611" s="3" t="inlineStr">
        <is>
          <t>Pooja Mishra</t>
        </is>
      </c>
      <c r="D611" s="3" t="inlineStr">
        <is>
          <t>Gaya</t>
        </is>
      </c>
      <c r="E611" s="3" t="inlineStr">
        <is>
          <t>S. Gupta</t>
        </is>
      </c>
      <c r="F611" s="3" t="inlineStr">
        <is>
          <t>Vehicle</t>
        </is>
      </c>
      <c r="G611" s="4" t="n">
        <v>46208</v>
      </c>
      <c r="H611" s="5" t="n">
        <v>31500</v>
      </c>
    </row>
    <row r="612">
      <c r="A612" s="3" t="inlineStr">
        <is>
          <t>D0611</t>
        </is>
      </c>
      <c r="B612" s="3" t="inlineStr">
        <is>
          <t>A0102</t>
        </is>
      </c>
      <c r="C612" s="3" t="inlineStr">
        <is>
          <t>Pooja Mishra</t>
        </is>
      </c>
      <c r="D612" s="3" t="inlineStr">
        <is>
          <t>Gaya</t>
        </is>
      </c>
      <c r="E612" s="3" t="inlineStr">
        <is>
          <t>S. Gupta</t>
        </is>
      </c>
      <c r="F612" s="3" t="inlineStr">
        <is>
          <t>Vehicle</t>
        </is>
      </c>
      <c r="G612" s="4" t="n">
        <v>46239</v>
      </c>
      <c r="H612" s="5" t="n">
        <v>31500</v>
      </c>
    </row>
    <row r="613">
      <c r="A613" s="3" t="inlineStr">
        <is>
          <t>D0612</t>
        </is>
      </c>
      <c r="B613" s="3" t="inlineStr">
        <is>
          <t>A0102</t>
        </is>
      </c>
      <c r="C613" s="3" t="inlineStr">
        <is>
          <t>Pooja Mishra</t>
        </is>
      </c>
      <c r="D613" s="3" t="inlineStr">
        <is>
          <t>Gaya</t>
        </is>
      </c>
      <c r="E613" s="3" t="inlineStr">
        <is>
          <t>S. Gupta</t>
        </is>
      </c>
      <c r="F613" s="3" t="inlineStr">
        <is>
          <t>Vehicle</t>
        </is>
      </c>
      <c r="G613" s="4" t="n">
        <v>46270</v>
      </c>
      <c r="H613" s="5" t="n">
        <v>31500</v>
      </c>
    </row>
    <row r="614">
      <c r="A614" s="3" t="inlineStr">
        <is>
          <t>D0613</t>
        </is>
      </c>
      <c r="B614" s="3" t="inlineStr">
        <is>
          <t>A0103</t>
        </is>
      </c>
      <c r="C614" s="3" t="inlineStr">
        <is>
          <t>Sunita Gupta</t>
        </is>
      </c>
      <c r="D614" s="3" t="inlineStr">
        <is>
          <t>Darbhanga</t>
        </is>
      </c>
      <c r="E614" s="3" t="inlineStr">
        <is>
          <t>K. Sharma</t>
        </is>
      </c>
      <c r="F614" s="3" t="inlineStr">
        <is>
          <t>Housing</t>
        </is>
      </c>
      <c r="G614" s="4" t="n">
        <v>46117</v>
      </c>
      <c r="H614" s="5" t="n">
        <v>28500</v>
      </c>
    </row>
    <row r="615">
      <c r="A615" s="3" t="inlineStr">
        <is>
          <t>D0614</t>
        </is>
      </c>
      <c r="B615" s="3" t="inlineStr">
        <is>
          <t>A0103</t>
        </is>
      </c>
      <c r="C615" s="3" t="inlineStr">
        <is>
          <t>Sunita Gupta</t>
        </is>
      </c>
      <c r="D615" s="3" t="inlineStr">
        <is>
          <t>Darbhanga</t>
        </is>
      </c>
      <c r="E615" s="3" t="inlineStr">
        <is>
          <t>K. Sharma</t>
        </is>
      </c>
      <c r="F615" s="3" t="inlineStr">
        <is>
          <t>Housing</t>
        </is>
      </c>
      <c r="G615" s="4" t="n">
        <v>46147</v>
      </c>
      <c r="H615" s="5" t="n">
        <v>28500</v>
      </c>
    </row>
    <row r="616">
      <c r="A616" s="3" t="inlineStr">
        <is>
          <t>D0615</t>
        </is>
      </c>
      <c r="B616" s="3" t="inlineStr">
        <is>
          <t>A0103</t>
        </is>
      </c>
      <c r="C616" s="3" t="inlineStr">
        <is>
          <t>Sunita Gupta</t>
        </is>
      </c>
      <c r="D616" s="3" t="inlineStr">
        <is>
          <t>Darbhanga</t>
        </is>
      </c>
      <c r="E616" s="3" t="inlineStr">
        <is>
          <t>K. Sharma</t>
        </is>
      </c>
      <c r="F616" s="3" t="inlineStr">
        <is>
          <t>Housing</t>
        </is>
      </c>
      <c r="G616" s="4" t="n">
        <v>46178</v>
      </c>
      <c r="H616" s="5" t="n">
        <v>28500</v>
      </c>
    </row>
    <row r="617">
      <c r="A617" s="3" t="inlineStr">
        <is>
          <t>D0616</t>
        </is>
      </c>
      <c r="B617" s="3" t="inlineStr">
        <is>
          <t>A0103</t>
        </is>
      </c>
      <c r="C617" s="3" t="inlineStr">
        <is>
          <t>Sunita Gupta</t>
        </is>
      </c>
      <c r="D617" s="3" t="inlineStr">
        <is>
          <t>Darbhanga</t>
        </is>
      </c>
      <c r="E617" s="3" t="inlineStr">
        <is>
          <t>K. Sharma</t>
        </is>
      </c>
      <c r="F617" s="3" t="inlineStr">
        <is>
          <t>Housing</t>
        </is>
      </c>
      <c r="G617" s="4" t="n">
        <v>46208</v>
      </c>
      <c r="H617" s="5" t="n">
        <v>28500</v>
      </c>
    </row>
    <row r="618">
      <c r="A618" s="3" t="inlineStr">
        <is>
          <t>D0617</t>
        </is>
      </c>
      <c r="B618" s="3" t="inlineStr">
        <is>
          <t>A0103</t>
        </is>
      </c>
      <c r="C618" s="3" t="inlineStr">
        <is>
          <t>Sunita Gupta</t>
        </is>
      </c>
      <c r="D618" s="3" t="inlineStr">
        <is>
          <t>Darbhanga</t>
        </is>
      </c>
      <c r="E618" s="3" t="inlineStr">
        <is>
          <t>K. Sharma</t>
        </is>
      </c>
      <c r="F618" s="3" t="inlineStr">
        <is>
          <t>Housing</t>
        </is>
      </c>
      <c r="G618" s="4" t="n">
        <v>46239</v>
      </c>
      <c r="H618" s="5" t="n">
        <v>28500</v>
      </c>
    </row>
    <row r="619">
      <c r="A619" s="3" t="inlineStr">
        <is>
          <t>D0618</t>
        </is>
      </c>
      <c r="B619" s="3" t="inlineStr">
        <is>
          <t>A0103</t>
        </is>
      </c>
      <c r="C619" s="3" t="inlineStr">
        <is>
          <t>Sunita Gupta</t>
        </is>
      </c>
      <c r="D619" s="3" t="inlineStr">
        <is>
          <t>Darbhanga</t>
        </is>
      </c>
      <c r="E619" s="3" t="inlineStr">
        <is>
          <t>K. Sharma</t>
        </is>
      </c>
      <c r="F619" s="3" t="inlineStr">
        <is>
          <t>Housing</t>
        </is>
      </c>
      <c r="G619" s="4" t="n">
        <v>46270</v>
      </c>
      <c r="H619" s="5" t="n">
        <v>28500</v>
      </c>
    </row>
    <row r="620">
      <c r="A620" s="3" t="inlineStr">
        <is>
          <t>D0619</t>
        </is>
      </c>
      <c r="B620" s="3" t="inlineStr">
        <is>
          <t>A0104</t>
        </is>
      </c>
      <c r="C620" s="3" t="inlineStr">
        <is>
          <t>Amit Sharma</t>
        </is>
      </c>
      <c r="D620" s="3" t="inlineStr">
        <is>
          <t>Bhagalpur</t>
        </is>
      </c>
      <c r="E620" s="3" t="inlineStr">
        <is>
          <t>R. Singh</t>
        </is>
      </c>
      <c r="F620" s="3" t="inlineStr">
        <is>
          <t>Trade</t>
        </is>
      </c>
      <c r="G620" s="4" t="n">
        <v>46117</v>
      </c>
      <c r="H620" s="5" t="n">
        <v>16167</v>
      </c>
    </row>
    <row r="621">
      <c r="A621" s="3" t="inlineStr">
        <is>
          <t>D0620</t>
        </is>
      </c>
      <c r="B621" s="3" t="inlineStr">
        <is>
          <t>A0104</t>
        </is>
      </c>
      <c r="C621" s="3" t="inlineStr">
        <is>
          <t>Amit Sharma</t>
        </is>
      </c>
      <c r="D621" s="3" t="inlineStr">
        <is>
          <t>Bhagalpur</t>
        </is>
      </c>
      <c r="E621" s="3" t="inlineStr">
        <is>
          <t>R. Singh</t>
        </is>
      </c>
      <c r="F621" s="3" t="inlineStr">
        <is>
          <t>Trade</t>
        </is>
      </c>
      <c r="G621" s="4" t="n">
        <v>46147</v>
      </c>
      <c r="H621" s="5" t="n">
        <v>16167</v>
      </c>
    </row>
    <row r="622">
      <c r="A622" s="3" t="inlineStr">
        <is>
          <t>D0621</t>
        </is>
      </c>
      <c r="B622" s="3" t="inlineStr">
        <is>
          <t>A0104</t>
        </is>
      </c>
      <c r="C622" s="3" t="inlineStr">
        <is>
          <t>Amit Sharma</t>
        </is>
      </c>
      <c r="D622" s="3" t="inlineStr">
        <is>
          <t>Bhagalpur</t>
        </is>
      </c>
      <c r="E622" s="3" t="inlineStr">
        <is>
          <t>R. Singh</t>
        </is>
      </c>
      <c r="F622" s="3" t="inlineStr">
        <is>
          <t>Trade</t>
        </is>
      </c>
      <c r="G622" s="4" t="n">
        <v>46178</v>
      </c>
      <c r="H622" s="5" t="n">
        <v>16167</v>
      </c>
    </row>
    <row r="623">
      <c r="A623" s="3" t="inlineStr">
        <is>
          <t>D0622</t>
        </is>
      </c>
      <c r="B623" s="3" t="inlineStr">
        <is>
          <t>A0104</t>
        </is>
      </c>
      <c r="C623" s="3" t="inlineStr">
        <is>
          <t>Amit Sharma</t>
        </is>
      </c>
      <c r="D623" s="3" t="inlineStr">
        <is>
          <t>Bhagalpur</t>
        </is>
      </c>
      <c r="E623" s="3" t="inlineStr">
        <is>
          <t>R. Singh</t>
        </is>
      </c>
      <c r="F623" s="3" t="inlineStr">
        <is>
          <t>Trade</t>
        </is>
      </c>
      <c r="G623" s="4" t="n">
        <v>46208</v>
      </c>
      <c r="H623" s="5" t="n">
        <v>16167</v>
      </c>
    </row>
    <row r="624">
      <c r="A624" s="3" t="inlineStr">
        <is>
          <t>D0623</t>
        </is>
      </c>
      <c r="B624" s="3" t="inlineStr">
        <is>
          <t>A0104</t>
        </is>
      </c>
      <c r="C624" s="3" t="inlineStr">
        <is>
          <t>Amit Sharma</t>
        </is>
      </c>
      <c r="D624" s="3" t="inlineStr">
        <is>
          <t>Bhagalpur</t>
        </is>
      </c>
      <c r="E624" s="3" t="inlineStr">
        <is>
          <t>R. Singh</t>
        </is>
      </c>
      <c r="F624" s="3" t="inlineStr">
        <is>
          <t>Trade</t>
        </is>
      </c>
      <c r="G624" s="4" t="n">
        <v>46239</v>
      </c>
      <c r="H624" s="5" t="n">
        <v>16167</v>
      </c>
    </row>
    <row r="625">
      <c r="A625" s="3" t="inlineStr">
        <is>
          <t>D0624</t>
        </is>
      </c>
      <c r="B625" s="3" t="inlineStr">
        <is>
          <t>A0104</t>
        </is>
      </c>
      <c r="C625" s="3" t="inlineStr">
        <is>
          <t>Amit Sharma</t>
        </is>
      </c>
      <c r="D625" s="3" t="inlineStr">
        <is>
          <t>Bhagalpur</t>
        </is>
      </c>
      <c r="E625" s="3" t="inlineStr">
        <is>
          <t>R. Singh</t>
        </is>
      </c>
      <c r="F625" s="3" t="inlineStr">
        <is>
          <t>Trade</t>
        </is>
      </c>
      <c r="G625" s="4" t="n">
        <v>46270</v>
      </c>
      <c r="H625" s="5" t="n">
        <v>16167</v>
      </c>
    </row>
    <row r="626">
      <c r="A626" s="3" t="inlineStr">
        <is>
          <t>D0625</t>
        </is>
      </c>
      <c r="B626" s="3" t="inlineStr">
        <is>
          <t>A0105</t>
        </is>
      </c>
      <c r="C626" s="3" t="inlineStr">
        <is>
          <t>Vikash Sah</t>
        </is>
      </c>
      <c r="D626" s="3" t="inlineStr">
        <is>
          <t>Gaya</t>
        </is>
      </c>
      <c r="E626" s="3" t="inlineStr">
        <is>
          <t>K. Sharma</t>
        </is>
      </c>
      <c r="F626" s="3" t="inlineStr">
        <is>
          <t>Trade</t>
        </is>
      </c>
      <c r="G626" s="4" t="n">
        <v>46117</v>
      </c>
      <c r="H626" s="5" t="n">
        <v>11500</v>
      </c>
    </row>
    <row r="627">
      <c r="A627" s="3" t="inlineStr">
        <is>
          <t>D0626</t>
        </is>
      </c>
      <c r="B627" s="3" t="inlineStr">
        <is>
          <t>A0105</t>
        </is>
      </c>
      <c r="C627" s="3" t="inlineStr">
        <is>
          <t>Vikash Sah</t>
        </is>
      </c>
      <c r="D627" s="3" t="inlineStr">
        <is>
          <t>Gaya</t>
        </is>
      </c>
      <c r="E627" s="3" t="inlineStr">
        <is>
          <t>K. Sharma</t>
        </is>
      </c>
      <c r="F627" s="3" t="inlineStr">
        <is>
          <t>Trade</t>
        </is>
      </c>
      <c r="G627" s="4" t="n">
        <v>46147</v>
      </c>
      <c r="H627" s="5" t="n">
        <v>11500</v>
      </c>
    </row>
    <row r="628">
      <c r="A628" s="3" t="inlineStr">
        <is>
          <t>D0627</t>
        </is>
      </c>
      <c r="B628" s="3" t="inlineStr">
        <is>
          <t>A0105</t>
        </is>
      </c>
      <c r="C628" s="3" t="inlineStr">
        <is>
          <t>Vikash Sah</t>
        </is>
      </c>
      <c r="D628" s="3" t="inlineStr">
        <is>
          <t>Gaya</t>
        </is>
      </c>
      <c r="E628" s="3" t="inlineStr">
        <is>
          <t>K. Sharma</t>
        </is>
      </c>
      <c r="F628" s="3" t="inlineStr">
        <is>
          <t>Trade</t>
        </is>
      </c>
      <c r="G628" s="4" t="n">
        <v>46178</v>
      </c>
      <c r="H628" s="5" t="n">
        <v>11500</v>
      </c>
    </row>
    <row r="629">
      <c r="A629" s="3" t="inlineStr">
        <is>
          <t>D0628</t>
        </is>
      </c>
      <c r="B629" s="3" t="inlineStr">
        <is>
          <t>A0105</t>
        </is>
      </c>
      <c r="C629" s="3" t="inlineStr">
        <is>
          <t>Vikash Sah</t>
        </is>
      </c>
      <c r="D629" s="3" t="inlineStr">
        <is>
          <t>Gaya</t>
        </is>
      </c>
      <c r="E629" s="3" t="inlineStr">
        <is>
          <t>K. Sharma</t>
        </is>
      </c>
      <c r="F629" s="3" t="inlineStr">
        <is>
          <t>Trade</t>
        </is>
      </c>
      <c r="G629" s="4" t="n">
        <v>46208</v>
      </c>
      <c r="H629" s="5" t="n">
        <v>11500</v>
      </c>
    </row>
    <row r="630">
      <c r="A630" s="3" t="inlineStr">
        <is>
          <t>D0629</t>
        </is>
      </c>
      <c r="B630" s="3" t="inlineStr">
        <is>
          <t>A0105</t>
        </is>
      </c>
      <c r="C630" s="3" t="inlineStr">
        <is>
          <t>Vikash Sah</t>
        </is>
      </c>
      <c r="D630" s="3" t="inlineStr">
        <is>
          <t>Gaya</t>
        </is>
      </c>
      <c r="E630" s="3" t="inlineStr">
        <is>
          <t>K. Sharma</t>
        </is>
      </c>
      <c r="F630" s="3" t="inlineStr">
        <is>
          <t>Trade</t>
        </is>
      </c>
      <c r="G630" s="4" t="n">
        <v>46239</v>
      </c>
      <c r="H630" s="5" t="n">
        <v>11500</v>
      </c>
    </row>
    <row r="631">
      <c r="A631" s="3" t="inlineStr">
        <is>
          <t>D0630</t>
        </is>
      </c>
      <c r="B631" s="3" t="inlineStr">
        <is>
          <t>A0105</t>
        </is>
      </c>
      <c r="C631" s="3" t="inlineStr">
        <is>
          <t>Vikash Sah</t>
        </is>
      </c>
      <c r="D631" s="3" t="inlineStr">
        <is>
          <t>Gaya</t>
        </is>
      </c>
      <c r="E631" s="3" t="inlineStr">
        <is>
          <t>K. Sharma</t>
        </is>
      </c>
      <c r="F631" s="3" t="inlineStr">
        <is>
          <t>Trade</t>
        </is>
      </c>
      <c r="G631" s="4" t="n">
        <v>46270</v>
      </c>
      <c r="H631" s="5" t="n">
        <v>11500</v>
      </c>
    </row>
    <row r="632">
      <c r="A632" s="3" t="inlineStr">
        <is>
          <t>D0631</t>
        </is>
      </c>
      <c r="B632" s="3" t="inlineStr">
        <is>
          <t>A0106</t>
        </is>
      </c>
      <c r="C632" s="3" t="inlineStr">
        <is>
          <t>Mohan Verma</t>
        </is>
      </c>
      <c r="D632" s="3" t="inlineStr">
        <is>
          <t>Bhagalpur</t>
        </is>
      </c>
      <c r="E632" s="3" t="inlineStr">
        <is>
          <t>K. Sharma</t>
        </is>
      </c>
      <c r="F632" s="3" t="inlineStr">
        <is>
          <t>Agri</t>
        </is>
      </c>
      <c r="G632" s="4" t="n">
        <v>46117</v>
      </c>
      <c r="H632" s="5" t="n">
        <v>11500</v>
      </c>
    </row>
    <row r="633">
      <c r="A633" s="3" t="inlineStr">
        <is>
          <t>D0632</t>
        </is>
      </c>
      <c r="B633" s="3" t="inlineStr">
        <is>
          <t>A0106</t>
        </is>
      </c>
      <c r="C633" s="3" t="inlineStr">
        <is>
          <t>Mohan Verma</t>
        </is>
      </c>
      <c r="D633" s="3" t="inlineStr">
        <is>
          <t>Bhagalpur</t>
        </is>
      </c>
      <c r="E633" s="3" t="inlineStr">
        <is>
          <t>K. Sharma</t>
        </is>
      </c>
      <c r="F633" s="3" t="inlineStr">
        <is>
          <t>Agri</t>
        </is>
      </c>
      <c r="G633" s="4" t="n">
        <v>46147</v>
      </c>
      <c r="H633" s="5" t="n">
        <v>11500</v>
      </c>
    </row>
    <row r="634">
      <c r="A634" s="3" t="inlineStr">
        <is>
          <t>D0633</t>
        </is>
      </c>
      <c r="B634" s="3" t="inlineStr">
        <is>
          <t>A0106</t>
        </is>
      </c>
      <c r="C634" s="3" t="inlineStr">
        <is>
          <t>Mohan Verma</t>
        </is>
      </c>
      <c r="D634" s="3" t="inlineStr">
        <is>
          <t>Bhagalpur</t>
        </is>
      </c>
      <c r="E634" s="3" t="inlineStr">
        <is>
          <t>K. Sharma</t>
        </is>
      </c>
      <c r="F634" s="3" t="inlineStr">
        <is>
          <t>Agri</t>
        </is>
      </c>
      <c r="G634" s="4" t="n">
        <v>46178</v>
      </c>
      <c r="H634" s="5" t="n">
        <v>11500</v>
      </c>
    </row>
    <row r="635">
      <c r="A635" s="3" t="inlineStr">
        <is>
          <t>D0634</t>
        </is>
      </c>
      <c r="B635" s="3" t="inlineStr">
        <is>
          <t>A0106</t>
        </is>
      </c>
      <c r="C635" s="3" t="inlineStr">
        <is>
          <t>Mohan Verma</t>
        </is>
      </c>
      <c r="D635" s="3" t="inlineStr">
        <is>
          <t>Bhagalpur</t>
        </is>
      </c>
      <c r="E635" s="3" t="inlineStr">
        <is>
          <t>K. Sharma</t>
        </is>
      </c>
      <c r="F635" s="3" t="inlineStr">
        <is>
          <t>Agri</t>
        </is>
      </c>
      <c r="G635" s="4" t="n">
        <v>46208</v>
      </c>
      <c r="H635" s="5" t="n">
        <v>11500</v>
      </c>
    </row>
    <row r="636">
      <c r="A636" s="3" t="inlineStr">
        <is>
          <t>D0635</t>
        </is>
      </c>
      <c r="B636" s="3" t="inlineStr">
        <is>
          <t>A0106</t>
        </is>
      </c>
      <c r="C636" s="3" t="inlineStr">
        <is>
          <t>Mohan Verma</t>
        </is>
      </c>
      <c r="D636" s="3" t="inlineStr">
        <is>
          <t>Bhagalpur</t>
        </is>
      </c>
      <c r="E636" s="3" t="inlineStr">
        <is>
          <t>K. Sharma</t>
        </is>
      </c>
      <c r="F636" s="3" t="inlineStr">
        <is>
          <t>Agri</t>
        </is>
      </c>
      <c r="G636" s="4" t="n">
        <v>46239</v>
      </c>
      <c r="H636" s="5" t="n">
        <v>11500</v>
      </c>
    </row>
    <row r="637">
      <c r="A637" s="3" t="inlineStr">
        <is>
          <t>D0636</t>
        </is>
      </c>
      <c r="B637" s="3" t="inlineStr">
        <is>
          <t>A0106</t>
        </is>
      </c>
      <c r="C637" s="3" t="inlineStr">
        <is>
          <t>Mohan Verma</t>
        </is>
      </c>
      <c r="D637" s="3" t="inlineStr">
        <is>
          <t>Bhagalpur</t>
        </is>
      </c>
      <c r="E637" s="3" t="inlineStr">
        <is>
          <t>K. Sharma</t>
        </is>
      </c>
      <c r="F637" s="3" t="inlineStr">
        <is>
          <t>Agri</t>
        </is>
      </c>
      <c r="G637" s="4" t="n">
        <v>46270</v>
      </c>
      <c r="H637" s="5" t="n">
        <v>11500</v>
      </c>
    </row>
    <row r="638">
      <c r="A638" s="3" t="inlineStr">
        <is>
          <t>D0637</t>
        </is>
      </c>
      <c r="B638" s="3" t="inlineStr">
        <is>
          <t>A0107</t>
        </is>
      </c>
      <c r="C638" s="3" t="inlineStr">
        <is>
          <t>Vikash Tiwari</t>
        </is>
      </c>
      <c r="D638" s="3" t="inlineStr">
        <is>
          <t>Gaya</t>
        </is>
      </c>
      <c r="E638" s="3" t="inlineStr">
        <is>
          <t>S. Gupta</t>
        </is>
      </c>
      <c r="F638" s="3" t="inlineStr">
        <is>
          <t>Personal</t>
        </is>
      </c>
      <c r="G638" s="4" t="n">
        <v>46117</v>
      </c>
      <c r="H638" s="5" t="n">
        <v>28500</v>
      </c>
    </row>
    <row r="639">
      <c r="A639" s="3" t="inlineStr">
        <is>
          <t>D0638</t>
        </is>
      </c>
      <c r="B639" s="3" t="inlineStr">
        <is>
          <t>A0107</t>
        </is>
      </c>
      <c r="C639" s="3" t="inlineStr">
        <is>
          <t>Vikash Tiwari</t>
        </is>
      </c>
      <c r="D639" s="3" t="inlineStr">
        <is>
          <t>Gaya</t>
        </is>
      </c>
      <c r="E639" s="3" t="inlineStr">
        <is>
          <t>S. Gupta</t>
        </is>
      </c>
      <c r="F639" s="3" t="inlineStr">
        <is>
          <t>Personal</t>
        </is>
      </c>
      <c r="G639" s="4" t="n">
        <v>46147</v>
      </c>
      <c r="H639" s="5" t="n">
        <v>28500</v>
      </c>
    </row>
    <row r="640">
      <c r="A640" s="3" t="inlineStr">
        <is>
          <t>D0639</t>
        </is>
      </c>
      <c r="B640" s="3" t="inlineStr">
        <is>
          <t>A0107</t>
        </is>
      </c>
      <c r="C640" s="3" t="inlineStr">
        <is>
          <t>Vikash Tiwari</t>
        </is>
      </c>
      <c r="D640" s="3" t="inlineStr">
        <is>
          <t>Gaya</t>
        </is>
      </c>
      <c r="E640" s="3" t="inlineStr">
        <is>
          <t>S. Gupta</t>
        </is>
      </c>
      <c r="F640" s="3" t="inlineStr">
        <is>
          <t>Personal</t>
        </is>
      </c>
      <c r="G640" s="4" t="n">
        <v>46178</v>
      </c>
      <c r="H640" s="5" t="n">
        <v>28500</v>
      </c>
    </row>
    <row r="641">
      <c r="A641" s="3" t="inlineStr">
        <is>
          <t>D0640</t>
        </is>
      </c>
      <c r="B641" s="3" t="inlineStr">
        <is>
          <t>A0107</t>
        </is>
      </c>
      <c r="C641" s="3" t="inlineStr">
        <is>
          <t>Vikash Tiwari</t>
        </is>
      </c>
      <c r="D641" s="3" t="inlineStr">
        <is>
          <t>Gaya</t>
        </is>
      </c>
      <c r="E641" s="3" t="inlineStr">
        <is>
          <t>S. Gupta</t>
        </is>
      </c>
      <c r="F641" s="3" t="inlineStr">
        <is>
          <t>Personal</t>
        </is>
      </c>
      <c r="G641" s="4" t="n">
        <v>46208</v>
      </c>
      <c r="H641" s="5" t="n">
        <v>28500</v>
      </c>
    </row>
    <row r="642">
      <c r="A642" s="3" t="inlineStr">
        <is>
          <t>D0641</t>
        </is>
      </c>
      <c r="B642" s="3" t="inlineStr">
        <is>
          <t>A0107</t>
        </is>
      </c>
      <c r="C642" s="3" t="inlineStr">
        <is>
          <t>Vikash Tiwari</t>
        </is>
      </c>
      <c r="D642" s="3" t="inlineStr">
        <is>
          <t>Gaya</t>
        </is>
      </c>
      <c r="E642" s="3" t="inlineStr">
        <is>
          <t>S. Gupta</t>
        </is>
      </c>
      <c r="F642" s="3" t="inlineStr">
        <is>
          <t>Personal</t>
        </is>
      </c>
      <c r="G642" s="4" t="n">
        <v>46239</v>
      </c>
      <c r="H642" s="5" t="n">
        <v>28500</v>
      </c>
    </row>
    <row r="643">
      <c r="A643" s="3" t="inlineStr">
        <is>
          <t>D0642</t>
        </is>
      </c>
      <c r="B643" s="3" t="inlineStr">
        <is>
          <t>A0107</t>
        </is>
      </c>
      <c r="C643" s="3" t="inlineStr">
        <is>
          <t>Vikash Tiwari</t>
        </is>
      </c>
      <c r="D643" s="3" t="inlineStr">
        <is>
          <t>Gaya</t>
        </is>
      </c>
      <c r="E643" s="3" t="inlineStr">
        <is>
          <t>S. Gupta</t>
        </is>
      </c>
      <c r="F643" s="3" t="inlineStr">
        <is>
          <t>Personal</t>
        </is>
      </c>
      <c r="G643" s="4" t="n">
        <v>46270</v>
      </c>
      <c r="H643" s="5" t="n">
        <v>28500</v>
      </c>
    </row>
    <row r="644">
      <c r="A644" s="3" t="inlineStr">
        <is>
          <t>D0643</t>
        </is>
      </c>
      <c r="B644" s="3" t="inlineStr">
        <is>
          <t>A0108</t>
        </is>
      </c>
      <c r="C644" s="3" t="inlineStr">
        <is>
          <t>Suresh Singh</t>
        </is>
      </c>
      <c r="D644" s="3" t="inlineStr">
        <is>
          <t>Patna</t>
        </is>
      </c>
      <c r="E644" s="3" t="inlineStr">
        <is>
          <t>A. Verma</t>
        </is>
      </c>
      <c r="F644" s="3" t="inlineStr">
        <is>
          <t>Trade</t>
        </is>
      </c>
      <c r="G644" s="4" t="n">
        <v>46117</v>
      </c>
      <c r="H644" s="5" t="n">
        <v>5000</v>
      </c>
    </row>
    <row r="645">
      <c r="A645" s="3" t="inlineStr">
        <is>
          <t>D0644</t>
        </is>
      </c>
      <c r="B645" s="3" t="inlineStr">
        <is>
          <t>A0108</t>
        </is>
      </c>
      <c r="C645" s="3" t="inlineStr">
        <is>
          <t>Suresh Singh</t>
        </is>
      </c>
      <c r="D645" s="3" t="inlineStr">
        <is>
          <t>Patna</t>
        </is>
      </c>
      <c r="E645" s="3" t="inlineStr">
        <is>
          <t>A. Verma</t>
        </is>
      </c>
      <c r="F645" s="3" t="inlineStr">
        <is>
          <t>Trade</t>
        </is>
      </c>
      <c r="G645" s="4" t="n">
        <v>46147</v>
      </c>
      <c r="H645" s="5" t="n">
        <v>5000</v>
      </c>
    </row>
    <row r="646">
      <c r="A646" s="3" t="inlineStr">
        <is>
          <t>D0645</t>
        </is>
      </c>
      <c r="B646" s="3" t="inlineStr">
        <is>
          <t>A0108</t>
        </is>
      </c>
      <c r="C646" s="3" t="inlineStr">
        <is>
          <t>Suresh Singh</t>
        </is>
      </c>
      <c r="D646" s="3" t="inlineStr">
        <is>
          <t>Patna</t>
        </is>
      </c>
      <c r="E646" s="3" t="inlineStr">
        <is>
          <t>A. Verma</t>
        </is>
      </c>
      <c r="F646" s="3" t="inlineStr">
        <is>
          <t>Trade</t>
        </is>
      </c>
      <c r="G646" s="4" t="n">
        <v>46178</v>
      </c>
      <c r="H646" s="5" t="n">
        <v>5000</v>
      </c>
    </row>
    <row r="647">
      <c r="A647" s="3" t="inlineStr">
        <is>
          <t>D0646</t>
        </is>
      </c>
      <c r="B647" s="3" t="inlineStr">
        <is>
          <t>A0108</t>
        </is>
      </c>
      <c r="C647" s="3" t="inlineStr">
        <is>
          <t>Suresh Singh</t>
        </is>
      </c>
      <c r="D647" s="3" t="inlineStr">
        <is>
          <t>Patna</t>
        </is>
      </c>
      <c r="E647" s="3" t="inlineStr">
        <is>
          <t>A. Verma</t>
        </is>
      </c>
      <c r="F647" s="3" t="inlineStr">
        <is>
          <t>Trade</t>
        </is>
      </c>
      <c r="G647" s="4" t="n">
        <v>46208</v>
      </c>
      <c r="H647" s="5" t="n">
        <v>5000</v>
      </c>
    </row>
    <row r="648">
      <c r="A648" s="3" t="inlineStr">
        <is>
          <t>D0647</t>
        </is>
      </c>
      <c r="B648" s="3" t="inlineStr">
        <is>
          <t>A0108</t>
        </is>
      </c>
      <c r="C648" s="3" t="inlineStr">
        <is>
          <t>Suresh Singh</t>
        </is>
      </c>
      <c r="D648" s="3" t="inlineStr">
        <is>
          <t>Patna</t>
        </is>
      </c>
      <c r="E648" s="3" t="inlineStr">
        <is>
          <t>A. Verma</t>
        </is>
      </c>
      <c r="F648" s="3" t="inlineStr">
        <is>
          <t>Trade</t>
        </is>
      </c>
      <c r="G648" s="4" t="n">
        <v>46239</v>
      </c>
      <c r="H648" s="5" t="n">
        <v>5000</v>
      </c>
    </row>
    <row r="649">
      <c r="A649" s="3" t="inlineStr">
        <is>
          <t>D0648</t>
        </is>
      </c>
      <c r="B649" s="3" t="inlineStr">
        <is>
          <t>A0108</t>
        </is>
      </c>
      <c r="C649" s="3" t="inlineStr">
        <is>
          <t>Suresh Singh</t>
        </is>
      </c>
      <c r="D649" s="3" t="inlineStr">
        <is>
          <t>Patna</t>
        </is>
      </c>
      <c r="E649" s="3" t="inlineStr">
        <is>
          <t>A. Verma</t>
        </is>
      </c>
      <c r="F649" s="3" t="inlineStr">
        <is>
          <t>Trade</t>
        </is>
      </c>
      <c r="G649" s="4" t="n">
        <v>46270</v>
      </c>
      <c r="H649" s="5" t="n">
        <v>5000</v>
      </c>
    </row>
    <row r="650">
      <c r="A650" s="3" t="inlineStr">
        <is>
          <t>D0649</t>
        </is>
      </c>
      <c r="B650" s="3" t="inlineStr">
        <is>
          <t>A0109</t>
        </is>
      </c>
      <c r="C650" s="3" t="inlineStr">
        <is>
          <t>Naresh Rai</t>
        </is>
      </c>
      <c r="D650" s="3" t="inlineStr">
        <is>
          <t>Muzaffarpur</t>
        </is>
      </c>
      <c r="E650" s="3" t="inlineStr">
        <is>
          <t>K. Sharma</t>
        </is>
      </c>
      <c r="F650" s="3" t="inlineStr">
        <is>
          <t>Vehicle</t>
        </is>
      </c>
      <c r="G650" s="4" t="n">
        <v>46117</v>
      </c>
      <c r="H650" s="5" t="n">
        <v>14167</v>
      </c>
    </row>
    <row r="651">
      <c r="A651" s="3" t="inlineStr">
        <is>
          <t>D0650</t>
        </is>
      </c>
      <c r="B651" s="3" t="inlineStr">
        <is>
          <t>A0109</t>
        </is>
      </c>
      <c r="C651" s="3" t="inlineStr">
        <is>
          <t>Naresh Rai</t>
        </is>
      </c>
      <c r="D651" s="3" t="inlineStr">
        <is>
          <t>Muzaffarpur</t>
        </is>
      </c>
      <c r="E651" s="3" t="inlineStr">
        <is>
          <t>K. Sharma</t>
        </is>
      </c>
      <c r="F651" s="3" t="inlineStr">
        <is>
          <t>Vehicle</t>
        </is>
      </c>
      <c r="G651" s="4" t="n">
        <v>46147</v>
      </c>
      <c r="H651" s="5" t="n">
        <v>14167</v>
      </c>
    </row>
    <row r="652">
      <c r="A652" s="3" t="inlineStr">
        <is>
          <t>D0651</t>
        </is>
      </c>
      <c r="B652" s="3" t="inlineStr">
        <is>
          <t>A0109</t>
        </is>
      </c>
      <c r="C652" s="3" t="inlineStr">
        <is>
          <t>Naresh Rai</t>
        </is>
      </c>
      <c r="D652" s="3" t="inlineStr">
        <is>
          <t>Muzaffarpur</t>
        </is>
      </c>
      <c r="E652" s="3" t="inlineStr">
        <is>
          <t>K. Sharma</t>
        </is>
      </c>
      <c r="F652" s="3" t="inlineStr">
        <is>
          <t>Vehicle</t>
        </is>
      </c>
      <c r="G652" s="4" t="n">
        <v>46178</v>
      </c>
      <c r="H652" s="5" t="n">
        <v>14167</v>
      </c>
    </row>
    <row r="653">
      <c r="A653" s="3" t="inlineStr">
        <is>
          <t>D0652</t>
        </is>
      </c>
      <c r="B653" s="3" t="inlineStr">
        <is>
          <t>A0109</t>
        </is>
      </c>
      <c r="C653" s="3" t="inlineStr">
        <is>
          <t>Naresh Rai</t>
        </is>
      </c>
      <c r="D653" s="3" t="inlineStr">
        <is>
          <t>Muzaffarpur</t>
        </is>
      </c>
      <c r="E653" s="3" t="inlineStr">
        <is>
          <t>K. Sharma</t>
        </is>
      </c>
      <c r="F653" s="3" t="inlineStr">
        <is>
          <t>Vehicle</t>
        </is>
      </c>
      <c r="G653" s="4" t="n">
        <v>46208</v>
      </c>
      <c r="H653" s="5" t="n">
        <v>14167</v>
      </c>
    </row>
    <row r="654">
      <c r="A654" s="3" t="inlineStr">
        <is>
          <t>D0653</t>
        </is>
      </c>
      <c r="B654" s="3" t="inlineStr">
        <is>
          <t>A0109</t>
        </is>
      </c>
      <c r="C654" s="3" t="inlineStr">
        <is>
          <t>Naresh Rai</t>
        </is>
      </c>
      <c r="D654" s="3" t="inlineStr">
        <is>
          <t>Muzaffarpur</t>
        </is>
      </c>
      <c r="E654" s="3" t="inlineStr">
        <is>
          <t>K. Sharma</t>
        </is>
      </c>
      <c r="F654" s="3" t="inlineStr">
        <is>
          <t>Vehicle</t>
        </is>
      </c>
      <c r="G654" s="4" t="n">
        <v>46239</v>
      </c>
      <c r="H654" s="5" t="n">
        <v>14167</v>
      </c>
    </row>
    <row r="655">
      <c r="A655" s="3" t="inlineStr">
        <is>
          <t>D0654</t>
        </is>
      </c>
      <c r="B655" s="3" t="inlineStr">
        <is>
          <t>A0109</t>
        </is>
      </c>
      <c r="C655" s="3" t="inlineStr">
        <is>
          <t>Naresh Rai</t>
        </is>
      </c>
      <c r="D655" s="3" t="inlineStr">
        <is>
          <t>Muzaffarpur</t>
        </is>
      </c>
      <c r="E655" s="3" t="inlineStr">
        <is>
          <t>K. Sharma</t>
        </is>
      </c>
      <c r="F655" s="3" t="inlineStr">
        <is>
          <t>Vehicle</t>
        </is>
      </c>
      <c r="G655" s="4" t="n">
        <v>46270</v>
      </c>
      <c r="H655" s="5" t="n">
        <v>14167</v>
      </c>
    </row>
    <row r="656">
      <c r="A656" s="3" t="inlineStr">
        <is>
          <t>D0655</t>
        </is>
      </c>
      <c r="B656" s="3" t="inlineStr">
        <is>
          <t>A0110</t>
        </is>
      </c>
      <c r="C656" s="3" t="inlineStr">
        <is>
          <t>Ramesh Mishra</t>
        </is>
      </c>
      <c r="D656" s="3" t="inlineStr">
        <is>
          <t>Gaya</t>
        </is>
      </c>
      <c r="E656" s="3" t="inlineStr">
        <is>
          <t>R. Singh</t>
        </is>
      </c>
      <c r="F656" s="3" t="inlineStr">
        <is>
          <t>Vehicle</t>
        </is>
      </c>
      <c r="G656" s="4" t="n">
        <v>46117</v>
      </c>
      <c r="H656" s="5" t="n">
        <v>26333</v>
      </c>
    </row>
    <row r="657">
      <c r="A657" s="3" t="inlineStr">
        <is>
          <t>D0656</t>
        </is>
      </c>
      <c r="B657" s="3" t="inlineStr">
        <is>
          <t>A0110</t>
        </is>
      </c>
      <c r="C657" s="3" t="inlineStr">
        <is>
          <t>Ramesh Mishra</t>
        </is>
      </c>
      <c r="D657" s="3" t="inlineStr">
        <is>
          <t>Gaya</t>
        </is>
      </c>
      <c r="E657" s="3" t="inlineStr">
        <is>
          <t>R. Singh</t>
        </is>
      </c>
      <c r="F657" s="3" t="inlineStr">
        <is>
          <t>Vehicle</t>
        </is>
      </c>
      <c r="G657" s="4" t="n">
        <v>46147</v>
      </c>
      <c r="H657" s="5" t="n">
        <v>26333</v>
      </c>
    </row>
    <row r="658">
      <c r="A658" s="3" t="inlineStr">
        <is>
          <t>D0657</t>
        </is>
      </c>
      <c r="B658" s="3" t="inlineStr">
        <is>
          <t>A0110</t>
        </is>
      </c>
      <c r="C658" s="3" t="inlineStr">
        <is>
          <t>Ramesh Mishra</t>
        </is>
      </c>
      <c r="D658" s="3" t="inlineStr">
        <is>
          <t>Gaya</t>
        </is>
      </c>
      <c r="E658" s="3" t="inlineStr">
        <is>
          <t>R. Singh</t>
        </is>
      </c>
      <c r="F658" s="3" t="inlineStr">
        <is>
          <t>Vehicle</t>
        </is>
      </c>
      <c r="G658" s="4" t="n">
        <v>46178</v>
      </c>
      <c r="H658" s="5" t="n">
        <v>26333</v>
      </c>
    </row>
    <row r="659">
      <c r="A659" s="3" t="inlineStr">
        <is>
          <t>D0658</t>
        </is>
      </c>
      <c r="B659" s="3" t="inlineStr">
        <is>
          <t>A0110</t>
        </is>
      </c>
      <c r="C659" s="3" t="inlineStr">
        <is>
          <t>Ramesh Mishra</t>
        </is>
      </c>
      <c r="D659" s="3" t="inlineStr">
        <is>
          <t>Gaya</t>
        </is>
      </c>
      <c r="E659" s="3" t="inlineStr">
        <is>
          <t>R. Singh</t>
        </is>
      </c>
      <c r="F659" s="3" t="inlineStr">
        <is>
          <t>Vehicle</t>
        </is>
      </c>
      <c r="G659" s="4" t="n">
        <v>46208</v>
      </c>
      <c r="H659" s="5" t="n">
        <v>26333</v>
      </c>
    </row>
    <row r="660">
      <c r="A660" s="3" t="inlineStr">
        <is>
          <t>D0659</t>
        </is>
      </c>
      <c r="B660" s="3" t="inlineStr">
        <is>
          <t>A0110</t>
        </is>
      </c>
      <c r="C660" s="3" t="inlineStr">
        <is>
          <t>Ramesh Mishra</t>
        </is>
      </c>
      <c r="D660" s="3" t="inlineStr">
        <is>
          <t>Gaya</t>
        </is>
      </c>
      <c r="E660" s="3" t="inlineStr">
        <is>
          <t>R. Singh</t>
        </is>
      </c>
      <c r="F660" s="3" t="inlineStr">
        <is>
          <t>Vehicle</t>
        </is>
      </c>
      <c r="G660" s="4" t="n">
        <v>46239</v>
      </c>
      <c r="H660" s="5" t="n">
        <v>26333</v>
      </c>
    </row>
    <row r="661">
      <c r="A661" s="3" t="inlineStr">
        <is>
          <t>D0660</t>
        </is>
      </c>
      <c r="B661" s="3" t="inlineStr">
        <is>
          <t>A0110</t>
        </is>
      </c>
      <c r="C661" s="3" t="inlineStr">
        <is>
          <t>Ramesh Mishra</t>
        </is>
      </c>
      <c r="D661" s="3" t="inlineStr">
        <is>
          <t>Gaya</t>
        </is>
      </c>
      <c r="E661" s="3" t="inlineStr">
        <is>
          <t>R. Singh</t>
        </is>
      </c>
      <c r="F661" s="3" t="inlineStr">
        <is>
          <t>Vehicle</t>
        </is>
      </c>
      <c r="G661" s="4" t="n">
        <v>46270</v>
      </c>
      <c r="H661" s="5" t="n">
        <v>26333</v>
      </c>
    </row>
    <row r="662">
      <c r="A662" s="3" t="inlineStr">
        <is>
          <t>D0661</t>
        </is>
      </c>
      <c r="B662" s="3" t="inlineStr">
        <is>
          <t>A0111</t>
        </is>
      </c>
      <c r="C662" s="3" t="inlineStr">
        <is>
          <t>Manoj Verma</t>
        </is>
      </c>
      <c r="D662" s="3" t="inlineStr">
        <is>
          <t>Muzaffarpur</t>
        </is>
      </c>
      <c r="E662" s="3" t="inlineStr">
        <is>
          <t>S. Gupta</t>
        </is>
      </c>
      <c r="F662" s="3" t="inlineStr">
        <is>
          <t>Vehicle</t>
        </is>
      </c>
      <c r="G662" s="4" t="n">
        <v>46117</v>
      </c>
      <c r="H662" s="5" t="n">
        <v>24500</v>
      </c>
    </row>
    <row r="663">
      <c r="A663" s="3" t="inlineStr">
        <is>
          <t>D0662</t>
        </is>
      </c>
      <c r="B663" s="3" t="inlineStr">
        <is>
          <t>A0111</t>
        </is>
      </c>
      <c r="C663" s="3" t="inlineStr">
        <is>
          <t>Manoj Verma</t>
        </is>
      </c>
      <c r="D663" s="3" t="inlineStr">
        <is>
          <t>Muzaffarpur</t>
        </is>
      </c>
      <c r="E663" s="3" t="inlineStr">
        <is>
          <t>S. Gupta</t>
        </is>
      </c>
      <c r="F663" s="3" t="inlineStr">
        <is>
          <t>Vehicle</t>
        </is>
      </c>
      <c r="G663" s="4" t="n">
        <v>46147</v>
      </c>
      <c r="H663" s="5" t="n">
        <v>24500</v>
      </c>
    </row>
    <row r="664">
      <c r="A664" s="3" t="inlineStr">
        <is>
          <t>D0663</t>
        </is>
      </c>
      <c r="B664" s="3" t="inlineStr">
        <is>
          <t>A0111</t>
        </is>
      </c>
      <c r="C664" s="3" t="inlineStr">
        <is>
          <t>Manoj Verma</t>
        </is>
      </c>
      <c r="D664" s="3" t="inlineStr">
        <is>
          <t>Muzaffarpur</t>
        </is>
      </c>
      <c r="E664" s="3" t="inlineStr">
        <is>
          <t>S. Gupta</t>
        </is>
      </c>
      <c r="F664" s="3" t="inlineStr">
        <is>
          <t>Vehicle</t>
        </is>
      </c>
      <c r="G664" s="4" t="n">
        <v>46178</v>
      </c>
      <c r="H664" s="5" t="n">
        <v>24500</v>
      </c>
    </row>
    <row r="665">
      <c r="A665" s="3" t="inlineStr">
        <is>
          <t>D0664</t>
        </is>
      </c>
      <c r="B665" s="3" t="inlineStr">
        <is>
          <t>A0111</t>
        </is>
      </c>
      <c r="C665" s="3" t="inlineStr">
        <is>
          <t>Manoj Verma</t>
        </is>
      </c>
      <c r="D665" s="3" t="inlineStr">
        <is>
          <t>Muzaffarpur</t>
        </is>
      </c>
      <c r="E665" s="3" t="inlineStr">
        <is>
          <t>S. Gupta</t>
        </is>
      </c>
      <c r="F665" s="3" t="inlineStr">
        <is>
          <t>Vehicle</t>
        </is>
      </c>
      <c r="G665" s="4" t="n">
        <v>46208</v>
      </c>
      <c r="H665" s="5" t="n">
        <v>24500</v>
      </c>
    </row>
    <row r="666">
      <c r="A666" s="3" t="inlineStr">
        <is>
          <t>D0665</t>
        </is>
      </c>
      <c r="B666" s="3" t="inlineStr">
        <is>
          <t>A0111</t>
        </is>
      </c>
      <c r="C666" s="3" t="inlineStr">
        <is>
          <t>Manoj Verma</t>
        </is>
      </c>
      <c r="D666" s="3" t="inlineStr">
        <is>
          <t>Muzaffarpur</t>
        </is>
      </c>
      <c r="E666" s="3" t="inlineStr">
        <is>
          <t>S. Gupta</t>
        </is>
      </c>
      <c r="F666" s="3" t="inlineStr">
        <is>
          <t>Vehicle</t>
        </is>
      </c>
      <c r="G666" s="4" t="n">
        <v>46239</v>
      </c>
      <c r="H666" s="5" t="n">
        <v>24500</v>
      </c>
    </row>
    <row r="667">
      <c r="A667" s="3" t="inlineStr">
        <is>
          <t>D0666</t>
        </is>
      </c>
      <c r="B667" s="3" t="inlineStr">
        <is>
          <t>A0111</t>
        </is>
      </c>
      <c r="C667" s="3" t="inlineStr">
        <is>
          <t>Manoj Verma</t>
        </is>
      </c>
      <c r="D667" s="3" t="inlineStr">
        <is>
          <t>Muzaffarpur</t>
        </is>
      </c>
      <c r="E667" s="3" t="inlineStr">
        <is>
          <t>S. Gupta</t>
        </is>
      </c>
      <c r="F667" s="3" t="inlineStr">
        <is>
          <t>Vehicle</t>
        </is>
      </c>
      <c r="G667" s="4" t="n">
        <v>46270</v>
      </c>
      <c r="H667" s="5" t="n">
        <v>24500</v>
      </c>
    </row>
    <row r="668">
      <c r="A668" s="3" t="inlineStr">
        <is>
          <t>D0667</t>
        </is>
      </c>
      <c r="B668" s="3" t="inlineStr">
        <is>
          <t>A0112</t>
        </is>
      </c>
      <c r="C668" s="3" t="inlineStr">
        <is>
          <t>Ramesh Tiwari</t>
        </is>
      </c>
      <c r="D668" s="3" t="inlineStr">
        <is>
          <t>Muzaffarpur</t>
        </is>
      </c>
      <c r="E668" s="3" t="inlineStr">
        <is>
          <t>S. Gupta</t>
        </is>
      </c>
      <c r="F668" s="3" t="inlineStr">
        <is>
          <t>Housing</t>
        </is>
      </c>
      <c r="G668" s="4" t="n">
        <v>46117</v>
      </c>
      <c r="H668" s="5" t="n">
        <v>10167</v>
      </c>
    </row>
    <row r="669">
      <c r="A669" s="3" t="inlineStr">
        <is>
          <t>D0668</t>
        </is>
      </c>
      <c r="B669" s="3" t="inlineStr">
        <is>
          <t>A0112</t>
        </is>
      </c>
      <c r="C669" s="3" t="inlineStr">
        <is>
          <t>Ramesh Tiwari</t>
        </is>
      </c>
      <c r="D669" s="3" t="inlineStr">
        <is>
          <t>Muzaffarpur</t>
        </is>
      </c>
      <c r="E669" s="3" t="inlineStr">
        <is>
          <t>S. Gupta</t>
        </is>
      </c>
      <c r="F669" s="3" t="inlineStr">
        <is>
          <t>Housing</t>
        </is>
      </c>
      <c r="G669" s="4" t="n">
        <v>46147</v>
      </c>
      <c r="H669" s="5" t="n">
        <v>10167</v>
      </c>
    </row>
    <row r="670">
      <c r="A670" s="3" t="inlineStr">
        <is>
          <t>D0669</t>
        </is>
      </c>
      <c r="B670" s="3" t="inlineStr">
        <is>
          <t>A0112</t>
        </is>
      </c>
      <c r="C670" s="3" t="inlineStr">
        <is>
          <t>Ramesh Tiwari</t>
        </is>
      </c>
      <c r="D670" s="3" t="inlineStr">
        <is>
          <t>Muzaffarpur</t>
        </is>
      </c>
      <c r="E670" s="3" t="inlineStr">
        <is>
          <t>S. Gupta</t>
        </is>
      </c>
      <c r="F670" s="3" t="inlineStr">
        <is>
          <t>Housing</t>
        </is>
      </c>
      <c r="G670" s="4" t="n">
        <v>46178</v>
      </c>
      <c r="H670" s="5" t="n">
        <v>10167</v>
      </c>
    </row>
    <row r="671">
      <c r="A671" s="3" t="inlineStr">
        <is>
          <t>D0670</t>
        </is>
      </c>
      <c r="B671" s="3" t="inlineStr">
        <is>
          <t>A0112</t>
        </is>
      </c>
      <c r="C671" s="3" t="inlineStr">
        <is>
          <t>Ramesh Tiwari</t>
        </is>
      </c>
      <c r="D671" s="3" t="inlineStr">
        <is>
          <t>Muzaffarpur</t>
        </is>
      </c>
      <c r="E671" s="3" t="inlineStr">
        <is>
          <t>S. Gupta</t>
        </is>
      </c>
      <c r="F671" s="3" t="inlineStr">
        <is>
          <t>Housing</t>
        </is>
      </c>
      <c r="G671" s="4" t="n">
        <v>46208</v>
      </c>
      <c r="H671" s="5" t="n">
        <v>10167</v>
      </c>
    </row>
    <row r="672">
      <c r="A672" s="3" t="inlineStr">
        <is>
          <t>D0671</t>
        </is>
      </c>
      <c r="B672" s="3" t="inlineStr">
        <is>
          <t>A0112</t>
        </is>
      </c>
      <c r="C672" s="3" t="inlineStr">
        <is>
          <t>Ramesh Tiwari</t>
        </is>
      </c>
      <c r="D672" s="3" t="inlineStr">
        <is>
          <t>Muzaffarpur</t>
        </is>
      </c>
      <c r="E672" s="3" t="inlineStr">
        <is>
          <t>S. Gupta</t>
        </is>
      </c>
      <c r="F672" s="3" t="inlineStr">
        <is>
          <t>Housing</t>
        </is>
      </c>
      <c r="G672" s="4" t="n">
        <v>46239</v>
      </c>
      <c r="H672" s="5" t="n">
        <v>10167</v>
      </c>
    </row>
    <row r="673">
      <c r="A673" s="3" t="inlineStr">
        <is>
          <t>D0672</t>
        </is>
      </c>
      <c r="B673" s="3" t="inlineStr">
        <is>
          <t>A0112</t>
        </is>
      </c>
      <c r="C673" s="3" t="inlineStr">
        <is>
          <t>Ramesh Tiwari</t>
        </is>
      </c>
      <c r="D673" s="3" t="inlineStr">
        <is>
          <t>Muzaffarpur</t>
        </is>
      </c>
      <c r="E673" s="3" t="inlineStr">
        <is>
          <t>S. Gupta</t>
        </is>
      </c>
      <c r="F673" s="3" t="inlineStr">
        <is>
          <t>Housing</t>
        </is>
      </c>
      <c r="G673" s="4" t="n">
        <v>46270</v>
      </c>
      <c r="H673" s="5" t="n">
        <v>10167</v>
      </c>
    </row>
    <row r="674">
      <c r="A674" s="3" t="inlineStr">
        <is>
          <t>D0673</t>
        </is>
      </c>
      <c r="B674" s="3" t="inlineStr">
        <is>
          <t>A0113</t>
        </is>
      </c>
      <c r="C674" s="3" t="inlineStr">
        <is>
          <t>Amit Gupta</t>
        </is>
      </c>
      <c r="D674" s="3" t="inlineStr">
        <is>
          <t>Darbhanga</t>
        </is>
      </c>
      <c r="E674" s="3" t="inlineStr">
        <is>
          <t>K. Sharma</t>
        </is>
      </c>
      <c r="F674" s="3" t="inlineStr">
        <is>
          <t>Vehicle</t>
        </is>
      </c>
      <c r="G674" s="4" t="n">
        <v>46117</v>
      </c>
      <c r="H674" s="5" t="n">
        <v>28000</v>
      </c>
    </row>
    <row r="675">
      <c r="A675" s="3" t="inlineStr">
        <is>
          <t>D0674</t>
        </is>
      </c>
      <c r="B675" s="3" t="inlineStr">
        <is>
          <t>A0113</t>
        </is>
      </c>
      <c r="C675" s="3" t="inlineStr">
        <is>
          <t>Amit Gupta</t>
        </is>
      </c>
      <c r="D675" s="3" t="inlineStr">
        <is>
          <t>Darbhanga</t>
        </is>
      </c>
      <c r="E675" s="3" t="inlineStr">
        <is>
          <t>K. Sharma</t>
        </is>
      </c>
      <c r="F675" s="3" t="inlineStr">
        <is>
          <t>Vehicle</t>
        </is>
      </c>
      <c r="G675" s="4" t="n">
        <v>46147</v>
      </c>
      <c r="H675" s="5" t="n">
        <v>28000</v>
      </c>
    </row>
    <row r="676">
      <c r="A676" s="3" t="inlineStr">
        <is>
          <t>D0675</t>
        </is>
      </c>
      <c r="B676" s="3" t="inlineStr">
        <is>
          <t>A0113</t>
        </is>
      </c>
      <c r="C676" s="3" t="inlineStr">
        <is>
          <t>Amit Gupta</t>
        </is>
      </c>
      <c r="D676" s="3" t="inlineStr">
        <is>
          <t>Darbhanga</t>
        </is>
      </c>
      <c r="E676" s="3" t="inlineStr">
        <is>
          <t>K. Sharma</t>
        </is>
      </c>
      <c r="F676" s="3" t="inlineStr">
        <is>
          <t>Vehicle</t>
        </is>
      </c>
      <c r="G676" s="4" t="n">
        <v>46178</v>
      </c>
      <c r="H676" s="5" t="n">
        <v>28000</v>
      </c>
    </row>
    <row r="677">
      <c r="A677" s="3" t="inlineStr">
        <is>
          <t>D0676</t>
        </is>
      </c>
      <c r="B677" s="3" t="inlineStr">
        <is>
          <t>A0113</t>
        </is>
      </c>
      <c r="C677" s="3" t="inlineStr">
        <is>
          <t>Amit Gupta</t>
        </is>
      </c>
      <c r="D677" s="3" t="inlineStr">
        <is>
          <t>Darbhanga</t>
        </is>
      </c>
      <c r="E677" s="3" t="inlineStr">
        <is>
          <t>K. Sharma</t>
        </is>
      </c>
      <c r="F677" s="3" t="inlineStr">
        <is>
          <t>Vehicle</t>
        </is>
      </c>
      <c r="G677" s="4" t="n">
        <v>46208</v>
      </c>
      <c r="H677" s="5" t="n">
        <v>28000</v>
      </c>
    </row>
    <row r="678">
      <c r="A678" s="3" t="inlineStr">
        <is>
          <t>D0677</t>
        </is>
      </c>
      <c r="B678" s="3" t="inlineStr">
        <is>
          <t>A0113</t>
        </is>
      </c>
      <c r="C678" s="3" t="inlineStr">
        <is>
          <t>Amit Gupta</t>
        </is>
      </c>
      <c r="D678" s="3" t="inlineStr">
        <is>
          <t>Darbhanga</t>
        </is>
      </c>
      <c r="E678" s="3" t="inlineStr">
        <is>
          <t>K. Sharma</t>
        </is>
      </c>
      <c r="F678" s="3" t="inlineStr">
        <is>
          <t>Vehicle</t>
        </is>
      </c>
      <c r="G678" s="4" t="n">
        <v>46239</v>
      </c>
      <c r="H678" s="5" t="n">
        <v>28000</v>
      </c>
    </row>
    <row r="679">
      <c r="A679" s="3" t="inlineStr">
        <is>
          <t>D0678</t>
        </is>
      </c>
      <c r="B679" s="3" t="inlineStr">
        <is>
          <t>A0113</t>
        </is>
      </c>
      <c r="C679" s="3" t="inlineStr">
        <is>
          <t>Amit Gupta</t>
        </is>
      </c>
      <c r="D679" s="3" t="inlineStr">
        <is>
          <t>Darbhanga</t>
        </is>
      </c>
      <c r="E679" s="3" t="inlineStr">
        <is>
          <t>K. Sharma</t>
        </is>
      </c>
      <c r="F679" s="3" t="inlineStr">
        <is>
          <t>Vehicle</t>
        </is>
      </c>
      <c r="G679" s="4" t="n">
        <v>46270</v>
      </c>
      <c r="H679" s="5" t="n">
        <v>28000</v>
      </c>
    </row>
    <row r="680">
      <c r="A680" s="3" t="inlineStr">
        <is>
          <t>D0679</t>
        </is>
      </c>
      <c r="B680" s="3" t="inlineStr">
        <is>
          <t>A0114</t>
        </is>
      </c>
      <c r="C680" s="3" t="inlineStr">
        <is>
          <t>Pooja Singh</t>
        </is>
      </c>
      <c r="D680" s="3" t="inlineStr">
        <is>
          <t>Darbhanga</t>
        </is>
      </c>
      <c r="E680" s="3" t="inlineStr">
        <is>
          <t>K. Sharma</t>
        </is>
      </c>
      <c r="F680" s="3" t="inlineStr">
        <is>
          <t>Vehicle</t>
        </is>
      </c>
      <c r="G680" s="4" t="n">
        <v>46117</v>
      </c>
      <c r="H680" s="5" t="n">
        <v>19333</v>
      </c>
    </row>
    <row r="681">
      <c r="A681" s="3" t="inlineStr">
        <is>
          <t>D0680</t>
        </is>
      </c>
      <c r="B681" s="3" t="inlineStr">
        <is>
          <t>A0114</t>
        </is>
      </c>
      <c r="C681" s="3" t="inlineStr">
        <is>
          <t>Pooja Singh</t>
        </is>
      </c>
      <c r="D681" s="3" t="inlineStr">
        <is>
          <t>Darbhanga</t>
        </is>
      </c>
      <c r="E681" s="3" t="inlineStr">
        <is>
          <t>K. Sharma</t>
        </is>
      </c>
      <c r="F681" s="3" t="inlineStr">
        <is>
          <t>Vehicle</t>
        </is>
      </c>
      <c r="G681" s="4" t="n">
        <v>46147</v>
      </c>
      <c r="H681" s="5" t="n">
        <v>19333</v>
      </c>
    </row>
    <row r="682">
      <c r="A682" s="3" t="inlineStr">
        <is>
          <t>D0681</t>
        </is>
      </c>
      <c r="B682" s="3" t="inlineStr">
        <is>
          <t>A0114</t>
        </is>
      </c>
      <c r="C682" s="3" t="inlineStr">
        <is>
          <t>Pooja Singh</t>
        </is>
      </c>
      <c r="D682" s="3" t="inlineStr">
        <is>
          <t>Darbhanga</t>
        </is>
      </c>
      <c r="E682" s="3" t="inlineStr">
        <is>
          <t>K. Sharma</t>
        </is>
      </c>
      <c r="F682" s="3" t="inlineStr">
        <is>
          <t>Vehicle</t>
        </is>
      </c>
      <c r="G682" s="4" t="n">
        <v>46178</v>
      </c>
      <c r="H682" s="5" t="n">
        <v>19333</v>
      </c>
    </row>
    <row r="683">
      <c r="A683" s="3" t="inlineStr">
        <is>
          <t>D0682</t>
        </is>
      </c>
      <c r="B683" s="3" t="inlineStr">
        <is>
          <t>A0114</t>
        </is>
      </c>
      <c r="C683" s="3" t="inlineStr">
        <is>
          <t>Pooja Singh</t>
        </is>
      </c>
      <c r="D683" s="3" t="inlineStr">
        <is>
          <t>Darbhanga</t>
        </is>
      </c>
      <c r="E683" s="3" t="inlineStr">
        <is>
          <t>K. Sharma</t>
        </is>
      </c>
      <c r="F683" s="3" t="inlineStr">
        <is>
          <t>Vehicle</t>
        </is>
      </c>
      <c r="G683" s="4" t="n">
        <v>46208</v>
      </c>
      <c r="H683" s="5" t="n">
        <v>19333</v>
      </c>
    </row>
    <row r="684">
      <c r="A684" s="3" t="inlineStr">
        <is>
          <t>D0683</t>
        </is>
      </c>
      <c r="B684" s="3" t="inlineStr">
        <is>
          <t>A0114</t>
        </is>
      </c>
      <c r="C684" s="3" t="inlineStr">
        <is>
          <t>Pooja Singh</t>
        </is>
      </c>
      <c r="D684" s="3" t="inlineStr">
        <is>
          <t>Darbhanga</t>
        </is>
      </c>
      <c r="E684" s="3" t="inlineStr">
        <is>
          <t>K. Sharma</t>
        </is>
      </c>
      <c r="F684" s="3" t="inlineStr">
        <is>
          <t>Vehicle</t>
        </is>
      </c>
      <c r="G684" s="4" t="n">
        <v>46239</v>
      </c>
      <c r="H684" s="5" t="n">
        <v>19333</v>
      </c>
    </row>
    <row r="685">
      <c r="A685" s="3" t="inlineStr">
        <is>
          <t>D0684</t>
        </is>
      </c>
      <c r="B685" s="3" t="inlineStr">
        <is>
          <t>A0114</t>
        </is>
      </c>
      <c r="C685" s="3" t="inlineStr">
        <is>
          <t>Pooja Singh</t>
        </is>
      </c>
      <c r="D685" s="3" t="inlineStr">
        <is>
          <t>Darbhanga</t>
        </is>
      </c>
      <c r="E685" s="3" t="inlineStr">
        <is>
          <t>K. Sharma</t>
        </is>
      </c>
      <c r="F685" s="3" t="inlineStr">
        <is>
          <t>Vehicle</t>
        </is>
      </c>
      <c r="G685" s="4" t="n">
        <v>46270</v>
      </c>
      <c r="H685" s="5" t="n">
        <v>19333</v>
      </c>
    </row>
    <row r="686">
      <c r="A686" s="3" t="inlineStr">
        <is>
          <t>D0685</t>
        </is>
      </c>
      <c r="B686" s="3" t="inlineStr">
        <is>
          <t>A0115</t>
        </is>
      </c>
      <c r="C686" s="3" t="inlineStr">
        <is>
          <t>Manoj Tiwari</t>
        </is>
      </c>
      <c r="D686" s="3" t="inlineStr">
        <is>
          <t>Muzaffarpur</t>
        </is>
      </c>
      <c r="E686" s="3" t="inlineStr">
        <is>
          <t>R. Singh</t>
        </is>
      </c>
      <c r="F686" s="3" t="inlineStr">
        <is>
          <t>Housing</t>
        </is>
      </c>
      <c r="G686" s="4" t="n">
        <v>46117</v>
      </c>
      <c r="H686" s="5" t="n">
        <v>29000</v>
      </c>
    </row>
    <row r="687">
      <c r="A687" s="3" t="inlineStr">
        <is>
          <t>D0686</t>
        </is>
      </c>
      <c r="B687" s="3" t="inlineStr">
        <is>
          <t>A0115</t>
        </is>
      </c>
      <c r="C687" s="3" t="inlineStr">
        <is>
          <t>Manoj Tiwari</t>
        </is>
      </c>
      <c r="D687" s="3" t="inlineStr">
        <is>
          <t>Muzaffarpur</t>
        </is>
      </c>
      <c r="E687" s="3" t="inlineStr">
        <is>
          <t>R. Singh</t>
        </is>
      </c>
      <c r="F687" s="3" t="inlineStr">
        <is>
          <t>Housing</t>
        </is>
      </c>
      <c r="G687" s="4" t="n">
        <v>46147</v>
      </c>
      <c r="H687" s="5" t="n">
        <v>29000</v>
      </c>
    </row>
    <row r="688">
      <c r="A688" s="3" t="inlineStr">
        <is>
          <t>D0687</t>
        </is>
      </c>
      <c r="B688" s="3" t="inlineStr">
        <is>
          <t>A0115</t>
        </is>
      </c>
      <c r="C688" s="3" t="inlineStr">
        <is>
          <t>Manoj Tiwari</t>
        </is>
      </c>
      <c r="D688" s="3" t="inlineStr">
        <is>
          <t>Muzaffarpur</t>
        </is>
      </c>
      <c r="E688" s="3" t="inlineStr">
        <is>
          <t>R. Singh</t>
        </is>
      </c>
      <c r="F688" s="3" t="inlineStr">
        <is>
          <t>Housing</t>
        </is>
      </c>
      <c r="G688" s="4" t="n">
        <v>46178</v>
      </c>
      <c r="H688" s="5" t="n">
        <v>29000</v>
      </c>
    </row>
    <row r="689">
      <c r="A689" s="3" t="inlineStr">
        <is>
          <t>D0688</t>
        </is>
      </c>
      <c r="B689" s="3" t="inlineStr">
        <is>
          <t>A0115</t>
        </is>
      </c>
      <c r="C689" s="3" t="inlineStr">
        <is>
          <t>Manoj Tiwari</t>
        </is>
      </c>
      <c r="D689" s="3" t="inlineStr">
        <is>
          <t>Muzaffarpur</t>
        </is>
      </c>
      <c r="E689" s="3" t="inlineStr">
        <is>
          <t>R. Singh</t>
        </is>
      </c>
      <c r="F689" s="3" t="inlineStr">
        <is>
          <t>Housing</t>
        </is>
      </c>
      <c r="G689" s="4" t="n">
        <v>46208</v>
      </c>
      <c r="H689" s="5" t="n">
        <v>29000</v>
      </c>
    </row>
    <row r="690">
      <c r="A690" s="3" t="inlineStr">
        <is>
          <t>D0689</t>
        </is>
      </c>
      <c r="B690" s="3" t="inlineStr">
        <is>
          <t>A0115</t>
        </is>
      </c>
      <c r="C690" s="3" t="inlineStr">
        <is>
          <t>Manoj Tiwari</t>
        </is>
      </c>
      <c r="D690" s="3" t="inlineStr">
        <is>
          <t>Muzaffarpur</t>
        </is>
      </c>
      <c r="E690" s="3" t="inlineStr">
        <is>
          <t>R. Singh</t>
        </is>
      </c>
      <c r="F690" s="3" t="inlineStr">
        <is>
          <t>Housing</t>
        </is>
      </c>
      <c r="G690" s="4" t="n">
        <v>46239</v>
      </c>
      <c r="H690" s="5" t="n">
        <v>29000</v>
      </c>
    </row>
    <row r="691">
      <c r="A691" s="3" t="inlineStr">
        <is>
          <t>D0690</t>
        </is>
      </c>
      <c r="B691" s="3" t="inlineStr">
        <is>
          <t>A0115</t>
        </is>
      </c>
      <c r="C691" s="3" t="inlineStr">
        <is>
          <t>Manoj Tiwari</t>
        </is>
      </c>
      <c r="D691" s="3" t="inlineStr">
        <is>
          <t>Muzaffarpur</t>
        </is>
      </c>
      <c r="E691" s="3" t="inlineStr">
        <is>
          <t>R. Singh</t>
        </is>
      </c>
      <c r="F691" s="3" t="inlineStr">
        <is>
          <t>Housing</t>
        </is>
      </c>
      <c r="G691" s="4" t="n">
        <v>46270</v>
      </c>
      <c r="H691" s="5" t="n">
        <v>29000</v>
      </c>
    </row>
    <row r="692">
      <c r="A692" s="3" t="inlineStr">
        <is>
          <t>D0691</t>
        </is>
      </c>
      <c r="B692" s="3" t="inlineStr">
        <is>
          <t>A0116</t>
        </is>
      </c>
      <c r="C692" s="3" t="inlineStr">
        <is>
          <t>Bablu Kumar</t>
        </is>
      </c>
      <c r="D692" s="3" t="inlineStr">
        <is>
          <t>Patna</t>
        </is>
      </c>
      <c r="E692" s="3" t="inlineStr">
        <is>
          <t>A. Verma</t>
        </is>
      </c>
      <c r="F692" s="3" t="inlineStr">
        <is>
          <t>Vehicle</t>
        </is>
      </c>
      <c r="G692" s="4" t="n">
        <v>46117</v>
      </c>
      <c r="H692" s="5" t="n">
        <v>20833</v>
      </c>
    </row>
    <row r="693">
      <c r="A693" s="3" t="inlineStr">
        <is>
          <t>D0692</t>
        </is>
      </c>
      <c r="B693" s="3" t="inlineStr">
        <is>
          <t>A0116</t>
        </is>
      </c>
      <c r="C693" s="3" t="inlineStr">
        <is>
          <t>Bablu Kumar</t>
        </is>
      </c>
      <c r="D693" s="3" t="inlineStr">
        <is>
          <t>Patna</t>
        </is>
      </c>
      <c r="E693" s="3" t="inlineStr">
        <is>
          <t>A. Verma</t>
        </is>
      </c>
      <c r="F693" s="3" t="inlineStr">
        <is>
          <t>Vehicle</t>
        </is>
      </c>
      <c r="G693" s="4" t="n">
        <v>46147</v>
      </c>
      <c r="H693" s="5" t="n">
        <v>20833</v>
      </c>
    </row>
    <row r="694">
      <c r="A694" s="3" t="inlineStr">
        <is>
          <t>D0693</t>
        </is>
      </c>
      <c r="B694" s="3" t="inlineStr">
        <is>
          <t>A0116</t>
        </is>
      </c>
      <c r="C694" s="3" t="inlineStr">
        <is>
          <t>Bablu Kumar</t>
        </is>
      </c>
      <c r="D694" s="3" t="inlineStr">
        <is>
          <t>Patna</t>
        </is>
      </c>
      <c r="E694" s="3" t="inlineStr">
        <is>
          <t>A. Verma</t>
        </is>
      </c>
      <c r="F694" s="3" t="inlineStr">
        <is>
          <t>Vehicle</t>
        </is>
      </c>
      <c r="G694" s="4" t="n">
        <v>46178</v>
      </c>
      <c r="H694" s="5" t="n">
        <v>20833</v>
      </c>
    </row>
    <row r="695">
      <c r="A695" s="3" t="inlineStr">
        <is>
          <t>D0694</t>
        </is>
      </c>
      <c r="B695" s="3" t="inlineStr">
        <is>
          <t>A0116</t>
        </is>
      </c>
      <c r="C695" s="3" t="inlineStr">
        <is>
          <t>Bablu Kumar</t>
        </is>
      </c>
      <c r="D695" s="3" t="inlineStr">
        <is>
          <t>Patna</t>
        </is>
      </c>
      <c r="E695" s="3" t="inlineStr">
        <is>
          <t>A. Verma</t>
        </is>
      </c>
      <c r="F695" s="3" t="inlineStr">
        <is>
          <t>Vehicle</t>
        </is>
      </c>
      <c r="G695" s="4" t="n">
        <v>46208</v>
      </c>
      <c r="H695" s="5" t="n">
        <v>20833</v>
      </c>
    </row>
    <row r="696">
      <c r="A696" s="3" t="inlineStr">
        <is>
          <t>D0695</t>
        </is>
      </c>
      <c r="B696" s="3" t="inlineStr">
        <is>
          <t>A0116</t>
        </is>
      </c>
      <c r="C696" s="3" t="inlineStr">
        <is>
          <t>Bablu Kumar</t>
        </is>
      </c>
      <c r="D696" s="3" t="inlineStr">
        <is>
          <t>Patna</t>
        </is>
      </c>
      <c r="E696" s="3" t="inlineStr">
        <is>
          <t>A. Verma</t>
        </is>
      </c>
      <c r="F696" s="3" t="inlineStr">
        <is>
          <t>Vehicle</t>
        </is>
      </c>
      <c r="G696" s="4" t="n">
        <v>46239</v>
      </c>
      <c r="H696" s="5" t="n">
        <v>20833</v>
      </c>
    </row>
    <row r="697">
      <c r="A697" s="3" t="inlineStr">
        <is>
          <t>D0696</t>
        </is>
      </c>
      <c r="B697" s="3" t="inlineStr">
        <is>
          <t>A0116</t>
        </is>
      </c>
      <c r="C697" s="3" t="inlineStr">
        <is>
          <t>Bablu Kumar</t>
        </is>
      </c>
      <c r="D697" s="3" t="inlineStr">
        <is>
          <t>Patna</t>
        </is>
      </c>
      <c r="E697" s="3" t="inlineStr">
        <is>
          <t>A. Verma</t>
        </is>
      </c>
      <c r="F697" s="3" t="inlineStr">
        <is>
          <t>Vehicle</t>
        </is>
      </c>
      <c r="G697" s="4" t="n">
        <v>46270</v>
      </c>
      <c r="H697" s="5" t="n">
        <v>20833</v>
      </c>
    </row>
    <row r="698">
      <c r="A698" s="3" t="inlineStr">
        <is>
          <t>D0697</t>
        </is>
      </c>
      <c r="B698" s="3" t="inlineStr">
        <is>
          <t>A0117</t>
        </is>
      </c>
      <c r="C698" s="3" t="inlineStr">
        <is>
          <t>Rajesh Sah</t>
        </is>
      </c>
      <c r="D698" s="3" t="inlineStr">
        <is>
          <t>Patna</t>
        </is>
      </c>
      <c r="E698" s="3" t="inlineStr">
        <is>
          <t>S. Gupta</t>
        </is>
      </c>
      <c r="F698" s="3" t="inlineStr">
        <is>
          <t>Agri</t>
        </is>
      </c>
      <c r="G698" s="4" t="n">
        <v>46117</v>
      </c>
      <c r="H698" s="5" t="n">
        <v>26500</v>
      </c>
    </row>
    <row r="699">
      <c r="A699" s="3" t="inlineStr">
        <is>
          <t>D0698</t>
        </is>
      </c>
      <c r="B699" s="3" t="inlineStr">
        <is>
          <t>A0117</t>
        </is>
      </c>
      <c r="C699" s="3" t="inlineStr">
        <is>
          <t>Rajesh Sah</t>
        </is>
      </c>
      <c r="D699" s="3" t="inlineStr">
        <is>
          <t>Patna</t>
        </is>
      </c>
      <c r="E699" s="3" t="inlineStr">
        <is>
          <t>S. Gupta</t>
        </is>
      </c>
      <c r="F699" s="3" t="inlineStr">
        <is>
          <t>Agri</t>
        </is>
      </c>
      <c r="G699" s="4" t="n">
        <v>46147</v>
      </c>
      <c r="H699" s="5" t="n">
        <v>26500</v>
      </c>
    </row>
    <row r="700">
      <c r="A700" s="3" t="inlineStr">
        <is>
          <t>D0699</t>
        </is>
      </c>
      <c r="B700" s="3" t="inlineStr">
        <is>
          <t>A0117</t>
        </is>
      </c>
      <c r="C700" s="3" t="inlineStr">
        <is>
          <t>Rajesh Sah</t>
        </is>
      </c>
      <c r="D700" s="3" t="inlineStr">
        <is>
          <t>Patna</t>
        </is>
      </c>
      <c r="E700" s="3" t="inlineStr">
        <is>
          <t>S. Gupta</t>
        </is>
      </c>
      <c r="F700" s="3" t="inlineStr">
        <is>
          <t>Agri</t>
        </is>
      </c>
      <c r="G700" s="4" t="n">
        <v>46178</v>
      </c>
      <c r="H700" s="5" t="n">
        <v>26500</v>
      </c>
    </row>
    <row r="701">
      <c r="A701" s="3" t="inlineStr">
        <is>
          <t>D0700</t>
        </is>
      </c>
      <c r="B701" s="3" t="inlineStr">
        <is>
          <t>A0117</t>
        </is>
      </c>
      <c r="C701" s="3" t="inlineStr">
        <is>
          <t>Rajesh Sah</t>
        </is>
      </c>
      <c r="D701" s="3" t="inlineStr">
        <is>
          <t>Patna</t>
        </is>
      </c>
      <c r="E701" s="3" t="inlineStr">
        <is>
          <t>S. Gupta</t>
        </is>
      </c>
      <c r="F701" s="3" t="inlineStr">
        <is>
          <t>Agri</t>
        </is>
      </c>
      <c r="G701" s="4" t="n">
        <v>46208</v>
      </c>
      <c r="H701" s="5" t="n">
        <v>26500</v>
      </c>
    </row>
    <row r="702">
      <c r="A702" s="3" t="inlineStr">
        <is>
          <t>D0701</t>
        </is>
      </c>
      <c r="B702" s="3" t="inlineStr">
        <is>
          <t>A0117</t>
        </is>
      </c>
      <c r="C702" s="3" t="inlineStr">
        <is>
          <t>Rajesh Sah</t>
        </is>
      </c>
      <c r="D702" s="3" t="inlineStr">
        <is>
          <t>Patna</t>
        </is>
      </c>
      <c r="E702" s="3" t="inlineStr">
        <is>
          <t>S. Gupta</t>
        </is>
      </c>
      <c r="F702" s="3" t="inlineStr">
        <is>
          <t>Agri</t>
        </is>
      </c>
      <c r="G702" s="4" t="n">
        <v>46239</v>
      </c>
      <c r="H702" s="5" t="n">
        <v>26500</v>
      </c>
    </row>
    <row r="703">
      <c r="A703" s="3" t="inlineStr">
        <is>
          <t>D0702</t>
        </is>
      </c>
      <c r="B703" s="3" t="inlineStr">
        <is>
          <t>A0117</t>
        </is>
      </c>
      <c r="C703" s="3" t="inlineStr">
        <is>
          <t>Rajesh Sah</t>
        </is>
      </c>
      <c r="D703" s="3" t="inlineStr">
        <is>
          <t>Patna</t>
        </is>
      </c>
      <c r="E703" s="3" t="inlineStr">
        <is>
          <t>S. Gupta</t>
        </is>
      </c>
      <c r="F703" s="3" t="inlineStr">
        <is>
          <t>Agri</t>
        </is>
      </c>
      <c r="G703" s="4" t="n">
        <v>46270</v>
      </c>
      <c r="H703" s="5" t="n">
        <v>26500</v>
      </c>
    </row>
    <row r="704">
      <c r="A704" s="3" t="inlineStr">
        <is>
          <t>D0703</t>
        </is>
      </c>
      <c r="B704" s="3" t="inlineStr">
        <is>
          <t>A0118</t>
        </is>
      </c>
      <c r="C704" s="3" t="inlineStr">
        <is>
          <t>Vikash Tiwari</t>
        </is>
      </c>
      <c r="D704" s="3" t="inlineStr">
        <is>
          <t>Darbhanga</t>
        </is>
      </c>
      <c r="E704" s="3" t="inlineStr">
        <is>
          <t>A. Verma</t>
        </is>
      </c>
      <c r="F704" s="3" t="inlineStr">
        <is>
          <t>Vehicle</t>
        </is>
      </c>
      <c r="G704" s="4" t="n">
        <v>46117</v>
      </c>
      <c r="H704" s="5" t="n">
        <v>8167</v>
      </c>
    </row>
    <row r="705">
      <c r="A705" s="3" t="inlineStr">
        <is>
          <t>D0704</t>
        </is>
      </c>
      <c r="B705" s="3" t="inlineStr">
        <is>
          <t>A0118</t>
        </is>
      </c>
      <c r="C705" s="3" t="inlineStr">
        <is>
          <t>Vikash Tiwari</t>
        </is>
      </c>
      <c r="D705" s="3" t="inlineStr">
        <is>
          <t>Darbhanga</t>
        </is>
      </c>
      <c r="E705" s="3" t="inlineStr">
        <is>
          <t>A. Verma</t>
        </is>
      </c>
      <c r="F705" s="3" t="inlineStr">
        <is>
          <t>Vehicle</t>
        </is>
      </c>
      <c r="G705" s="4" t="n">
        <v>46147</v>
      </c>
      <c r="H705" s="5" t="n">
        <v>8167</v>
      </c>
    </row>
    <row r="706">
      <c r="A706" s="3" t="inlineStr">
        <is>
          <t>D0705</t>
        </is>
      </c>
      <c r="B706" s="3" t="inlineStr">
        <is>
          <t>A0118</t>
        </is>
      </c>
      <c r="C706" s="3" t="inlineStr">
        <is>
          <t>Vikash Tiwari</t>
        </is>
      </c>
      <c r="D706" s="3" t="inlineStr">
        <is>
          <t>Darbhanga</t>
        </is>
      </c>
      <c r="E706" s="3" t="inlineStr">
        <is>
          <t>A. Verma</t>
        </is>
      </c>
      <c r="F706" s="3" t="inlineStr">
        <is>
          <t>Vehicle</t>
        </is>
      </c>
      <c r="G706" s="4" t="n">
        <v>46178</v>
      </c>
      <c r="H706" s="5" t="n">
        <v>8167</v>
      </c>
    </row>
    <row r="707">
      <c r="A707" s="3" t="inlineStr">
        <is>
          <t>D0706</t>
        </is>
      </c>
      <c r="B707" s="3" t="inlineStr">
        <is>
          <t>A0118</t>
        </is>
      </c>
      <c r="C707" s="3" t="inlineStr">
        <is>
          <t>Vikash Tiwari</t>
        </is>
      </c>
      <c r="D707" s="3" t="inlineStr">
        <is>
          <t>Darbhanga</t>
        </is>
      </c>
      <c r="E707" s="3" t="inlineStr">
        <is>
          <t>A. Verma</t>
        </is>
      </c>
      <c r="F707" s="3" t="inlineStr">
        <is>
          <t>Vehicle</t>
        </is>
      </c>
      <c r="G707" s="4" t="n">
        <v>46208</v>
      </c>
      <c r="H707" s="5" t="n">
        <v>8167</v>
      </c>
    </row>
    <row r="708">
      <c r="A708" s="3" t="inlineStr">
        <is>
          <t>D0707</t>
        </is>
      </c>
      <c r="B708" s="3" t="inlineStr">
        <is>
          <t>A0118</t>
        </is>
      </c>
      <c r="C708" s="3" t="inlineStr">
        <is>
          <t>Vikash Tiwari</t>
        </is>
      </c>
      <c r="D708" s="3" t="inlineStr">
        <is>
          <t>Darbhanga</t>
        </is>
      </c>
      <c r="E708" s="3" t="inlineStr">
        <is>
          <t>A. Verma</t>
        </is>
      </c>
      <c r="F708" s="3" t="inlineStr">
        <is>
          <t>Vehicle</t>
        </is>
      </c>
      <c r="G708" s="4" t="n">
        <v>46239</v>
      </c>
      <c r="H708" s="5" t="n">
        <v>8167</v>
      </c>
    </row>
    <row r="709">
      <c r="A709" s="3" t="inlineStr">
        <is>
          <t>D0708</t>
        </is>
      </c>
      <c r="B709" s="3" t="inlineStr">
        <is>
          <t>A0118</t>
        </is>
      </c>
      <c r="C709" s="3" t="inlineStr">
        <is>
          <t>Vikash Tiwari</t>
        </is>
      </c>
      <c r="D709" s="3" t="inlineStr">
        <is>
          <t>Darbhanga</t>
        </is>
      </c>
      <c r="E709" s="3" t="inlineStr">
        <is>
          <t>A. Verma</t>
        </is>
      </c>
      <c r="F709" s="3" t="inlineStr">
        <is>
          <t>Vehicle</t>
        </is>
      </c>
      <c r="G709" s="4" t="n">
        <v>46270</v>
      </c>
      <c r="H709" s="5" t="n">
        <v>8167</v>
      </c>
    </row>
    <row r="710">
      <c r="A710" s="3" t="inlineStr">
        <is>
          <t>D0709</t>
        </is>
      </c>
      <c r="B710" s="3" t="inlineStr">
        <is>
          <t>A0119</t>
        </is>
      </c>
      <c r="C710" s="3" t="inlineStr">
        <is>
          <t>Vikash Gupta</t>
        </is>
      </c>
      <c r="D710" s="3" t="inlineStr">
        <is>
          <t>Patna</t>
        </is>
      </c>
      <c r="E710" s="3" t="inlineStr">
        <is>
          <t>K. Sharma</t>
        </is>
      </c>
      <c r="F710" s="3" t="inlineStr">
        <is>
          <t>Trade</t>
        </is>
      </c>
      <c r="G710" s="4" t="n">
        <v>46117</v>
      </c>
      <c r="H710" s="5" t="n">
        <v>19167</v>
      </c>
    </row>
    <row r="711">
      <c r="A711" s="3" t="inlineStr">
        <is>
          <t>D0710</t>
        </is>
      </c>
      <c r="B711" s="3" t="inlineStr">
        <is>
          <t>A0119</t>
        </is>
      </c>
      <c r="C711" s="3" t="inlineStr">
        <is>
          <t>Vikash Gupta</t>
        </is>
      </c>
      <c r="D711" s="3" t="inlineStr">
        <is>
          <t>Patna</t>
        </is>
      </c>
      <c r="E711" s="3" t="inlineStr">
        <is>
          <t>K. Sharma</t>
        </is>
      </c>
      <c r="F711" s="3" t="inlineStr">
        <is>
          <t>Trade</t>
        </is>
      </c>
      <c r="G711" s="4" t="n">
        <v>46147</v>
      </c>
      <c r="H711" s="5" t="n">
        <v>19167</v>
      </c>
    </row>
    <row r="712">
      <c r="A712" s="3" t="inlineStr">
        <is>
          <t>D0711</t>
        </is>
      </c>
      <c r="B712" s="3" t="inlineStr">
        <is>
          <t>A0119</t>
        </is>
      </c>
      <c r="C712" s="3" t="inlineStr">
        <is>
          <t>Vikash Gupta</t>
        </is>
      </c>
      <c r="D712" s="3" t="inlineStr">
        <is>
          <t>Patna</t>
        </is>
      </c>
      <c r="E712" s="3" t="inlineStr">
        <is>
          <t>K. Sharma</t>
        </is>
      </c>
      <c r="F712" s="3" t="inlineStr">
        <is>
          <t>Trade</t>
        </is>
      </c>
      <c r="G712" s="4" t="n">
        <v>46178</v>
      </c>
      <c r="H712" s="5" t="n">
        <v>19167</v>
      </c>
    </row>
    <row r="713">
      <c r="A713" s="3" t="inlineStr">
        <is>
          <t>D0712</t>
        </is>
      </c>
      <c r="B713" s="3" t="inlineStr">
        <is>
          <t>A0119</t>
        </is>
      </c>
      <c r="C713" s="3" t="inlineStr">
        <is>
          <t>Vikash Gupta</t>
        </is>
      </c>
      <c r="D713" s="3" t="inlineStr">
        <is>
          <t>Patna</t>
        </is>
      </c>
      <c r="E713" s="3" t="inlineStr">
        <is>
          <t>K. Sharma</t>
        </is>
      </c>
      <c r="F713" s="3" t="inlineStr">
        <is>
          <t>Trade</t>
        </is>
      </c>
      <c r="G713" s="4" t="n">
        <v>46208</v>
      </c>
      <c r="H713" s="5" t="n">
        <v>19167</v>
      </c>
    </row>
    <row r="714">
      <c r="A714" s="3" t="inlineStr">
        <is>
          <t>D0713</t>
        </is>
      </c>
      <c r="B714" s="3" t="inlineStr">
        <is>
          <t>A0119</t>
        </is>
      </c>
      <c r="C714" s="3" t="inlineStr">
        <is>
          <t>Vikash Gupta</t>
        </is>
      </c>
      <c r="D714" s="3" t="inlineStr">
        <is>
          <t>Patna</t>
        </is>
      </c>
      <c r="E714" s="3" t="inlineStr">
        <is>
          <t>K. Sharma</t>
        </is>
      </c>
      <c r="F714" s="3" t="inlineStr">
        <is>
          <t>Trade</t>
        </is>
      </c>
      <c r="G714" s="4" t="n">
        <v>46239</v>
      </c>
      <c r="H714" s="5" t="n">
        <v>19167</v>
      </c>
    </row>
    <row r="715">
      <c r="A715" s="3" t="inlineStr">
        <is>
          <t>D0714</t>
        </is>
      </c>
      <c r="B715" s="3" t="inlineStr">
        <is>
          <t>A0119</t>
        </is>
      </c>
      <c r="C715" s="3" t="inlineStr">
        <is>
          <t>Vikash Gupta</t>
        </is>
      </c>
      <c r="D715" s="3" t="inlineStr">
        <is>
          <t>Patna</t>
        </is>
      </c>
      <c r="E715" s="3" t="inlineStr">
        <is>
          <t>K. Sharma</t>
        </is>
      </c>
      <c r="F715" s="3" t="inlineStr">
        <is>
          <t>Trade</t>
        </is>
      </c>
      <c r="G715" s="4" t="n">
        <v>46270</v>
      </c>
      <c r="H715" s="5" t="n">
        <v>19167</v>
      </c>
    </row>
    <row r="716">
      <c r="A716" s="3" t="inlineStr">
        <is>
          <t>D0715</t>
        </is>
      </c>
      <c r="B716" s="3" t="inlineStr">
        <is>
          <t>A0120</t>
        </is>
      </c>
      <c r="C716" s="3" t="inlineStr">
        <is>
          <t>Ravi Rai</t>
        </is>
      </c>
      <c r="D716" s="3" t="inlineStr">
        <is>
          <t>Muzaffarpur</t>
        </is>
      </c>
      <c r="E716" s="3" t="inlineStr">
        <is>
          <t>R. Singh</t>
        </is>
      </c>
      <c r="F716" s="3" t="inlineStr">
        <is>
          <t>Housing</t>
        </is>
      </c>
      <c r="G716" s="4" t="n">
        <v>46117</v>
      </c>
      <c r="H716" s="5" t="n">
        <v>17500</v>
      </c>
    </row>
    <row r="717">
      <c r="A717" s="3" t="inlineStr">
        <is>
          <t>D0716</t>
        </is>
      </c>
      <c r="B717" s="3" t="inlineStr">
        <is>
          <t>A0120</t>
        </is>
      </c>
      <c r="C717" s="3" t="inlineStr">
        <is>
          <t>Ravi Rai</t>
        </is>
      </c>
      <c r="D717" s="3" t="inlineStr">
        <is>
          <t>Muzaffarpur</t>
        </is>
      </c>
      <c r="E717" s="3" t="inlineStr">
        <is>
          <t>R. Singh</t>
        </is>
      </c>
      <c r="F717" s="3" t="inlineStr">
        <is>
          <t>Housing</t>
        </is>
      </c>
      <c r="G717" s="4" t="n">
        <v>46147</v>
      </c>
      <c r="H717" s="5" t="n">
        <v>17500</v>
      </c>
    </row>
    <row r="718">
      <c r="A718" s="3" t="inlineStr">
        <is>
          <t>D0717</t>
        </is>
      </c>
      <c r="B718" s="3" t="inlineStr">
        <is>
          <t>A0120</t>
        </is>
      </c>
      <c r="C718" s="3" t="inlineStr">
        <is>
          <t>Ravi Rai</t>
        </is>
      </c>
      <c r="D718" s="3" t="inlineStr">
        <is>
          <t>Muzaffarpur</t>
        </is>
      </c>
      <c r="E718" s="3" t="inlineStr">
        <is>
          <t>R. Singh</t>
        </is>
      </c>
      <c r="F718" s="3" t="inlineStr">
        <is>
          <t>Housing</t>
        </is>
      </c>
      <c r="G718" s="4" t="n">
        <v>46178</v>
      </c>
      <c r="H718" s="5" t="n">
        <v>17500</v>
      </c>
    </row>
    <row r="719">
      <c r="A719" s="3" t="inlineStr">
        <is>
          <t>D0718</t>
        </is>
      </c>
      <c r="B719" s="3" t="inlineStr">
        <is>
          <t>A0120</t>
        </is>
      </c>
      <c r="C719" s="3" t="inlineStr">
        <is>
          <t>Ravi Rai</t>
        </is>
      </c>
      <c r="D719" s="3" t="inlineStr">
        <is>
          <t>Muzaffarpur</t>
        </is>
      </c>
      <c r="E719" s="3" t="inlineStr">
        <is>
          <t>R. Singh</t>
        </is>
      </c>
      <c r="F719" s="3" t="inlineStr">
        <is>
          <t>Housing</t>
        </is>
      </c>
      <c r="G719" s="4" t="n">
        <v>46208</v>
      </c>
      <c r="H719" s="5" t="n">
        <v>17500</v>
      </c>
    </row>
    <row r="720">
      <c r="A720" s="3" t="inlineStr">
        <is>
          <t>D0719</t>
        </is>
      </c>
      <c r="B720" s="3" t="inlineStr">
        <is>
          <t>A0120</t>
        </is>
      </c>
      <c r="C720" s="3" t="inlineStr">
        <is>
          <t>Ravi Rai</t>
        </is>
      </c>
      <c r="D720" s="3" t="inlineStr">
        <is>
          <t>Muzaffarpur</t>
        </is>
      </c>
      <c r="E720" s="3" t="inlineStr">
        <is>
          <t>R. Singh</t>
        </is>
      </c>
      <c r="F720" s="3" t="inlineStr">
        <is>
          <t>Housing</t>
        </is>
      </c>
      <c r="G720" s="4" t="n">
        <v>46239</v>
      </c>
      <c r="H720" s="5" t="n">
        <v>17500</v>
      </c>
    </row>
    <row r="721">
      <c r="A721" s="3" t="inlineStr">
        <is>
          <t>D0720</t>
        </is>
      </c>
      <c r="B721" s="3" t="inlineStr">
        <is>
          <t>A0120</t>
        </is>
      </c>
      <c r="C721" s="3" t="inlineStr">
        <is>
          <t>Ravi Rai</t>
        </is>
      </c>
      <c r="D721" s="3" t="inlineStr">
        <is>
          <t>Muzaffarpur</t>
        </is>
      </c>
      <c r="E721" s="3" t="inlineStr">
        <is>
          <t>R. Singh</t>
        </is>
      </c>
      <c r="F721" s="3" t="inlineStr">
        <is>
          <t>Housing</t>
        </is>
      </c>
      <c r="G721" s="4" t="n">
        <v>46270</v>
      </c>
      <c r="H721" s="5" t="n">
        <v>17500</v>
      </c>
    </row>
    <row r="722">
      <c r="A722" s="3" t="inlineStr">
        <is>
          <t>D0721</t>
        </is>
      </c>
      <c r="B722" s="3" t="inlineStr">
        <is>
          <t>A0121</t>
        </is>
      </c>
      <c r="C722" s="3" t="inlineStr">
        <is>
          <t>Kiran Mandal</t>
        </is>
      </c>
      <c r="D722" s="3" t="inlineStr">
        <is>
          <t>Patna</t>
        </is>
      </c>
      <c r="E722" s="3" t="inlineStr">
        <is>
          <t>A. Verma</t>
        </is>
      </c>
      <c r="F722" s="3" t="inlineStr">
        <is>
          <t>Trade</t>
        </is>
      </c>
      <c r="G722" s="4" t="n">
        <v>46117</v>
      </c>
      <c r="H722" s="5" t="n">
        <v>19000</v>
      </c>
    </row>
    <row r="723">
      <c r="A723" s="3" t="inlineStr">
        <is>
          <t>D0722</t>
        </is>
      </c>
      <c r="B723" s="3" t="inlineStr">
        <is>
          <t>A0121</t>
        </is>
      </c>
      <c r="C723" s="3" t="inlineStr">
        <is>
          <t>Kiran Mandal</t>
        </is>
      </c>
      <c r="D723" s="3" t="inlineStr">
        <is>
          <t>Patna</t>
        </is>
      </c>
      <c r="E723" s="3" t="inlineStr">
        <is>
          <t>A. Verma</t>
        </is>
      </c>
      <c r="F723" s="3" t="inlineStr">
        <is>
          <t>Trade</t>
        </is>
      </c>
      <c r="G723" s="4" t="n">
        <v>46147</v>
      </c>
      <c r="H723" s="5" t="n">
        <v>19000</v>
      </c>
    </row>
    <row r="724">
      <c r="A724" s="3" t="inlineStr">
        <is>
          <t>D0723</t>
        </is>
      </c>
      <c r="B724" s="3" t="inlineStr">
        <is>
          <t>A0121</t>
        </is>
      </c>
      <c r="C724" s="3" t="inlineStr">
        <is>
          <t>Kiran Mandal</t>
        </is>
      </c>
      <c r="D724" s="3" t="inlineStr">
        <is>
          <t>Patna</t>
        </is>
      </c>
      <c r="E724" s="3" t="inlineStr">
        <is>
          <t>A. Verma</t>
        </is>
      </c>
      <c r="F724" s="3" t="inlineStr">
        <is>
          <t>Trade</t>
        </is>
      </c>
      <c r="G724" s="4" t="n">
        <v>46178</v>
      </c>
      <c r="H724" s="5" t="n">
        <v>19000</v>
      </c>
    </row>
    <row r="725">
      <c r="A725" s="3" t="inlineStr">
        <is>
          <t>D0724</t>
        </is>
      </c>
      <c r="B725" s="3" t="inlineStr">
        <is>
          <t>A0121</t>
        </is>
      </c>
      <c r="C725" s="3" t="inlineStr">
        <is>
          <t>Kiran Mandal</t>
        </is>
      </c>
      <c r="D725" s="3" t="inlineStr">
        <is>
          <t>Patna</t>
        </is>
      </c>
      <c r="E725" s="3" t="inlineStr">
        <is>
          <t>A. Verma</t>
        </is>
      </c>
      <c r="F725" s="3" t="inlineStr">
        <is>
          <t>Trade</t>
        </is>
      </c>
      <c r="G725" s="4" t="n">
        <v>46208</v>
      </c>
      <c r="H725" s="5" t="n">
        <v>19000</v>
      </c>
    </row>
    <row r="726">
      <c r="A726" s="3" t="inlineStr">
        <is>
          <t>D0725</t>
        </is>
      </c>
      <c r="B726" s="3" t="inlineStr">
        <is>
          <t>A0121</t>
        </is>
      </c>
      <c r="C726" s="3" t="inlineStr">
        <is>
          <t>Kiran Mandal</t>
        </is>
      </c>
      <c r="D726" s="3" t="inlineStr">
        <is>
          <t>Patna</t>
        </is>
      </c>
      <c r="E726" s="3" t="inlineStr">
        <is>
          <t>A. Verma</t>
        </is>
      </c>
      <c r="F726" s="3" t="inlineStr">
        <is>
          <t>Trade</t>
        </is>
      </c>
      <c r="G726" s="4" t="n">
        <v>46239</v>
      </c>
      <c r="H726" s="5" t="n">
        <v>19000</v>
      </c>
    </row>
    <row r="727">
      <c r="A727" s="3" t="inlineStr">
        <is>
          <t>D0726</t>
        </is>
      </c>
      <c r="B727" s="3" t="inlineStr">
        <is>
          <t>A0121</t>
        </is>
      </c>
      <c r="C727" s="3" t="inlineStr">
        <is>
          <t>Kiran Mandal</t>
        </is>
      </c>
      <c r="D727" s="3" t="inlineStr">
        <is>
          <t>Patna</t>
        </is>
      </c>
      <c r="E727" s="3" t="inlineStr">
        <is>
          <t>A. Verma</t>
        </is>
      </c>
      <c r="F727" s="3" t="inlineStr">
        <is>
          <t>Trade</t>
        </is>
      </c>
      <c r="G727" s="4" t="n">
        <v>46270</v>
      </c>
      <c r="H727" s="5" t="n">
        <v>19000</v>
      </c>
    </row>
    <row r="728">
      <c r="A728" s="3" t="inlineStr">
        <is>
          <t>D0727</t>
        </is>
      </c>
      <c r="B728" s="3" t="inlineStr">
        <is>
          <t>A0122</t>
        </is>
      </c>
      <c r="C728" s="3" t="inlineStr">
        <is>
          <t>Deepak Chaudhary</t>
        </is>
      </c>
      <c r="D728" s="3" t="inlineStr">
        <is>
          <t>Darbhanga</t>
        </is>
      </c>
      <c r="E728" s="3" t="inlineStr">
        <is>
          <t>A. Verma</t>
        </is>
      </c>
      <c r="F728" s="3" t="inlineStr">
        <is>
          <t>Agri</t>
        </is>
      </c>
      <c r="G728" s="4" t="n">
        <v>46117</v>
      </c>
      <c r="H728" s="5" t="n">
        <v>7167</v>
      </c>
    </row>
    <row r="729">
      <c r="A729" s="3" t="inlineStr">
        <is>
          <t>D0728</t>
        </is>
      </c>
      <c r="B729" s="3" t="inlineStr">
        <is>
          <t>A0122</t>
        </is>
      </c>
      <c r="C729" s="3" t="inlineStr">
        <is>
          <t>Deepak Chaudhary</t>
        </is>
      </c>
      <c r="D729" s="3" t="inlineStr">
        <is>
          <t>Darbhanga</t>
        </is>
      </c>
      <c r="E729" s="3" t="inlineStr">
        <is>
          <t>A. Verma</t>
        </is>
      </c>
      <c r="F729" s="3" t="inlineStr">
        <is>
          <t>Agri</t>
        </is>
      </c>
      <c r="G729" s="4" t="n">
        <v>46147</v>
      </c>
      <c r="H729" s="5" t="n">
        <v>7167</v>
      </c>
    </row>
    <row r="730">
      <c r="A730" s="3" t="inlineStr">
        <is>
          <t>D0729</t>
        </is>
      </c>
      <c r="B730" s="3" t="inlineStr">
        <is>
          <t>A0122</t>
        </is>
      </c>
      <c r="C730" s="3" t="inlineStr">
        <is>
          <t>Deepak Chaudhary</t>
        </is>
      </c>
      <c r="D730" s="3" t="inlineStr">
        <is>
          <t>Darbhanga</t>
        </is>
      </c>
      <c r="E730" s="3" t="inlineStr">
        <is>
          <t>A. Verma</t>
        </is>
      </c>
      <c r="F730" s="3" t="inlineStr">
        <is>
          <t>Agri</t>
        </is>
      </c>
      <c r="G730" s="4" t="n">
        <v>46178</v>
      </c>
      <c r="H730" s="5" t="n">
        <v>7167</v>
      </c>
    </row>
    <row r="731">
      <c r="A731" s="3" t="inlineStr">
        <is>
          <t>D0730</t>
        </is>
      </c>
      <c r="B731" s="3" t="inlineStr">
        <is>
          <t>A0122</t>
        </is>
      </c>
      <c r="C731" s="3" t="inlineStr">
        <is>
          <t>Deepak Chaudhary</t>
        </is>
      </c>
      <c r="D731" s="3" t="inlineStr">
        <is>
          <t>Darbhanga</t>
        </is>
      </c>
      <c r="E731" s="3" t="inlineStr">
        <is>
          <t>A. Verma</t>
        </is>
      </c>
      <c r="F731" s="3" t="inlineStr">
        <is>
          <t>Agri</t>
        </is>
      </c>
      <c r="G731" s="4" t="n">
        <v>46208</v>
      </c>
      <c r="H731" s="5" t="n">
        <v>7167</v>
      </c>
    </row>
    <row r="732">
      <c r="A732" s="3" t="inlineStr">
        <is>
          <t>D0731</t>
        </is>
      </c>
      <c r="B732" s="3" t="inlineStr">
        <is>
          <t>A0122</t>
        </is>
      </c>
      <c r="C732" s="3" t="inlineStr">
        <is>
          <t>Deepak Chaudhary</t>
        </is>
      </c>
      <c r="D732" s="3" t="inlineStr">
        <is>
          <t>Darbhanga</t>
        </is>
      </c>
      <c r="E732" s="3" t="inlineStr">
        <is>
          <t>A. Verma</t>
        </is>
      </c>
      <c r="F732" s="3" t="inlineStr">
        <is>
          <t>Agri</t>
        </is>
      </c>
      <c r="G732" s="4" t="n">
        <v>46239</v>
      </c>
      <c r="H732" s="5" t="n">
        <v>7167</v>
      </c>
    </row>
    <row r="733">
      <c r="A733" s="3" t="inlineStr">
        <is>
          <t>D0732</t>
        </is>
      </c>
      <c r="B733" s="3" t="inlineStr">
        <is>
          <t>A0122</t>
        </is>
      </c>
      <c r="C733" s="3" t="inlineStr">
        <is>
          <t>Deepak Chaudhary</t>
        </is>
      </c>
      <c r="D733" s="3" t="inlineStr">
        <is>
          <t>Darbhanga</t>
        </is>
      </c>
      <c r="E733" s="3" t="inlineStr">
        <is>
          <t>A. Verma</t>
        </is>
      </c>
      <c r="F733" s="3" t="inlineStr">
        <is>
          <t>Agri</t>
        </is>
      </c>
      <c r="G733" s="4" t="n">
        <v>46270</v>
      </c>
      <c r="H733" s="5" t="n">
        <v>7167</v>
      </c>
    </row>
    <row r="734">
      <c r="A734" s="3" t="inlineStr">
        <is>
          <t>D0733</t>
        </is>
      </c>
      <c r="B734" s="3" t="inlineStr">
        <is>
          <t>A0123</t>
        </is>
      </c>
      <c r="C734" s="3" t="inlineStr">
        <is>
          <t>Geeta Verma</t>
        </is>
      </c>
      <c r="D734" s="3" t="inlineStr">
        <is>
          <t>Patna</t>
        </is>
      </c>
      <c r="E734" s="3" t="inlineStr">
        <is>
          <t>P. Yadav</t>
        </is>
      </c>
      <c r="F734" s="3" t="inlineStr">
        <is>
          <t>Trade</t>
        </is>
      </c>
      <c r="G734" s="4" t="n">
        <v>46117</v>
      </c>
      <c r="H734" s="5" t="n">
        <v>18000</v>
      </c>
    </row>
    <row r="735">
      <c r="A735" s="3" t="inlineStr">
        <is>
          <t>D0734</t>
        </is>
      </c>
      <c r="B735" s="3" t="inlineStr">
        <is>
          <t>A0123</t>
        </is>
      </c>
      <c r="C735" s="3" t="inlineStr">
        <is>
          <t>Geeta Verma</t>
        </is>
      </c>
      <c r="D735" s="3" t="inlineStr">
        <is>
          <t>Patna</t>
        </is>
      </c>
      <c r="E735" s="3" t="inlineStr">
        <is>
          <t>P. Yadav</t>
        </is>
      </c>
      <c r="F735" s="3" t="inlineStr">
        <is>
          <t>Trade</t>
        </is>
      </c>
      <c r="G735" s="4" t="n">
        <v>46147</v>
      </c>
      <c r="H735" s="5" t="n">
        <v>18000</v>
      </c>
    </row>
    <row r="736">
      <c r="A736" s="3" t="inlineStr">
        <is>
          <t>D0735</t>
        </is>
      </c>
      <c r="B736" s="3" t="inlineStr">
        <is>
          <t>A0123</t>
        </is>
      </c>
      <c r="C736" s="3" t="inlineStr">
        <is>
          <t>Geeta Verma</t>
        </is>
      </c>
      <c r="D736" s="3" t="inlineStr">
        <is>
          <t>Patna</t>
        </is>
      </c>
      <c r="E736" s="3" t="inlineStr">
        <is>
          <t>P. Yadav</t>
        </is>
      </c>
      <c r="F736" s="3" t="inlineStr">
        <is>
          <t>Trade</t>
        </is>
      </c>
      <c r="G736" s="4" t="n">
        <v>46178</v>
      </c>
      <c r="H736" s="5" t="n">
        <v>18000</v>
      </c>
    </row>
    <row r="737">
      <c r="A737" s="3" t="inlineStr">
        <is>
          <t>D0736</t>
        </is>
      </c>
      <c r="B737" s="3" t="inlineStr">
        <is>
          <t>A0123</t>
        </is>
      </c>
      <c r="C737" s="3" t="inlineStr">
        <is>
          <t>Geeta Verma</t>
        </is>
      </c>
      <c r="D737" s="3" t="inlineStr">
        <is>
          <t>Patna</t>
        </is>
      </c>
      <c r="E737" s="3" t="inlineStr">
        <is>
          <t>P. Yadav</t>
        </is>
      </c>
      <c r="F737" s="3" t="inlineStr">
        <is>
          <t>Trade</t>
        </is>
      </c>
      <c r="G737" s="4" t="n">
        <v>46208</v>
      </c>
      <c r="H737" s="5" t="n">
        <v>18000</v>
      </c>
    </row>
    <row r="738">
      <c r="A738" s="3" t="inlineStr">
        <is>
          <t>D0737</t>
        </is>
      </c>
      <c r="B738" s="3" t="inlineStr">
        <is>
          <t>A0123</t>
        </is>
      </c>
      <c r="C738" s="3" t="inlineStr">
        <is>
          <t>Geeta Verma</t>
        </is>
      </c>
      <c r="D738" s="3" t="inlineStr">
        <is>
          <t>Patna</t>
        </is>
      </c>
      <c r="E738" s="3" t="inlineStr">
        <is>
          <t>P. Yadav</t>
        </is>
      </c>
      <c r="F738" s="3" t="inlineStr">
        <is>
          <t>Trade</t>
        </is>
      </c>
      <c r="G738" s="4" t="n">
        <v>46239</v>
      </c>
      <c r="H738" s="5" t="n">
        <v>18000</v>
      </c>
    </row>
    <row r="739">
      <c r="A739" s="3" t="inlineStr">
        <is>
          <t>D0738</t>
        </is>
      </c>
      <c r="B739" s="3" t="inlineStr">
        <is>
          <t>A0123</t>
        </is>
      </c>
      <c r="C739" s="3" t="inlineStr">
        <is>
          <t>Geeta Verma</t>
        </is>
      </c>
      <c r="D739" s="3" t="inlineStr">
        <is>
          <t>Patna</t>
        </is>
      </c>
      <c r="E739" s="3" t="inlineStr">
        <is>
          <t>P. Yadav</t>
        </is>
      </c>
      <c r="F739" s="3" t="inlineStr">
        <is>
          <t>Trade</t>
        </is>
      </c>
      <c r="G739" s="4" t="n">
        <v>46270</v>
      </c>
      <c r="H739" s="5" t="n">
        <v>18000</v>
      </c>
    </row>
    <row r="740">
      <c r="A740" s="3" t="inlineStr">
        <is>
          <t>D0739</t>
        </is>
      </c>
      <c r="B740" s="3" t="inlineStr">
        <is>
          <t>A0124</t>
        </is>
      </c>
      <c r="C740" s="3" t="inlineStr">
        <is>
          <t>Sanjay Yadav</t>
        </is>
      </c>
      <c r="D740" s="3" t="inlineStr">
        <is>
          <t>Bhagalpur</t>
        </is>
      </c>
      <c r="E740" s="3" t="inlineStr">
        <is>
          <t>P. Yadav</t>
        </is>
      </c>
      <c r="F740" s="3" t="inlineStr">
        <is>
          <t>Trade</t>
        </is>
      </c>
      <c r="G740" s="4" t="n">
        <v>46117</v>
      </c>
      <c r="H740" s="5" t="n">
        <v>19500</v>
      </c>
    </row>
    <row r="741">
      <c r="A741" s="3" t="inlineStr">
        <is>
          <t>D0740</t>
        </is>
      </c>
      <c r="B741" s="3" t="inlineStr">
        <is>
          <t>A0124</t>
        </is>
      </c>
      <c r="C741" s="3" t="inlineStr">
        <is>
          <t>Sanjay Yadav</t>
        </is>
      </c>
      <c r="D741" s="3" t="inlineStr">
        <is>
          <t>Bhagalpur</t>
        </is>
      </c>
      <c r="E741" s="3" t="inlineStr">
        <is>
          <t>P. Yadav</t>
        </is>
      </c>
      <c r="F741" s="3" t="inlineStr">
        <is>
          <t>Trade</t>
        </is>
      </c>
      <c r="G741" s="4" t="n">
        <v>46147</v>
      </c>
      <c r="H741" s="5" t="n">
        <v>19500</v>
      </c>
    </row>
    <row r="742">
      <c r="A742" s="3" t="inlineStr">
        <is>
          <t>D0741</t>
        </is>
      </c>
      <c r="B742" s="3" t="inlineStr">
        <is>
          <t>A0124</t>
        </is>
      </c>
      <c r="C742" s="3" t="inlineStr">
        <is>
          <t>Sanjay Yadav</t>
        </is>
      </c>
      <c r="D742" s="3" t="inlineStr">
        <is>
          <t>Bhagalpur</t>
        </is>
      </c>
      <c r="E742" s="3" t="inlineStr">
        <is>
          <t>P. Yadav</t>
        </is>
      </c>
      <c r="F742" s="3" t="inlineStr">
        <is>
          <t>Trade</t>
        </is>
      </c>
      <c r="G742" s="4" t="n">
        <v>46178</v>
      </c>
      <c r="H742" s="5" t="n">
        <v>19500</v>
      </c>
    </row>
    <row r="743">
      <c r="A743" s="3" t="inlineStr">
        <is>
          <t>D0742</t>
        </is>
      </c>
      <c r="B743" s="3" t="inlineStr">
        <is>
          <t>A0124</t>
        </is>
      </c>
      <c r="C743" s="3" t="inlineStr">
        <is>
          <t>Sanjay Yadav</t>
        </is>
      </c>
      <c r="D743" s="3" t="inlineStr">
        <is>
          <t>Bhagalpur</t>
        </is>
      </c>
      <c r="E743" s="3" t="inlineStr">
        <is>
          <t>P. Yadav</t>
        </is>
      </c>
      <c r="F743" s="3" t="inlineStr">
        <is>
          <t>Trade</t>
        </is>
      </c>
      <c r="G743" s="4" t="n">
        <v>46208</v>
      </c>
      <c r="H743" s="5" t="n">
        <v>19500</v>
      </c>
    </row>
    <row r="744">
      <c r="A744" s="3" t="inlineStr">
        <is>
          <t>D0743</t>
        </is>
      </c>
      <c r="B744" s="3" t="inlineStr">
        <is>
          <t>A0124</t>
        </is>
      </c>
      <c r="C744" s="3" t="inlineStr">
        <is>
          <t>Sanjay Yadav</t>
        </is>
      </c>
      <c r="D744" s="3" t="inlineStr">
        <is>
          <t>Bhagalpur</t>
        </is>
      </c>
      <c r="E744" s="3" t="inlineStr">
        <is>
          <t>P. Yadav</t>
        </is>
      </c>
      <c r="F744" s="3" t="inlineStr">
        <is>
          <t>Trade</t>
        </is>
      </c>
      <c r="G744" s="4" t="n">
        <v>46239</v>
      </c>
      <c r="H744" s="5" t="n">
        <v>19500</v>
      </c>
    </row>
    <row r="745">
      <c r="A745" s="3" t="inlineStr">
        <is>
          <t>D0744</t>
        </is>
      </c>
      <c r="B745" s="3" t="inlineStr">
        <is>
          <t>A0124</t>
        </is>
      </c>
      <c r="C745" s="3" t="inlineStr">
        <is>
          <t>Sanjay Yadav</t>
        </is>
      </c>
      <c r="D745" s="3" t="inlineStr">
        <is>
          <t>Bhagalpur</t>
        </is>
      </c>
      <c r="E745" s="3" t="inlineStr">
        <is>
          <t>P. Yadav</t>
        </is>
      </c>
      <c r="F745" s="3" t="inlineStr">
        <is>
          <t>Trade</t>
        </is>
      </c>
      <c r="G745" s="4" t="n">
        <v>46270</v>
      </c>
      <c r="H745" s="5" t="n">
        <v>19500</v>
      </c>
    </row>
    <row r="746">
      <c r="A746" s="3" t="inlineStr">
        <is>
          <t>D0745</t>
        </is>
      </c>
      <c r="B746" s="3" t="inlineStr">
        <is>
          <t>A0125</t>
        </is>
      </c>
      <c r="C746" s="3" t="inlineStr">
        <is>
          <t>Rajesh Prasad</t>
        </is>
      </c>
      <c r="D746" s="3" t="inlineStr">
        <is>
          <t>Bhagalpur</t>
        </is>
      </c>
      <c r="E746" s="3" t="inlineStr">
        <is>
          <t>K. Sharma</t>
        </is>
      </c>
      <c r="F746" s="3" t="inlineStr">
        <is>
          <t>Trade</t>
        </is>
      </c>
      <c r="G746" s="4" t="n">
        <v>46117</v>
      </c>
      <c r="H746" s="5" t="n">
        <v>29667</v>
      </c>
    </row>
    <row r="747">
      <c r="A747" s="3" t="inlineStr">
        <is>
          <t>D0746</t>
        </is>
      </c>
      <c r="B747" s="3" t="inlineStr">
        <is>
          <t>A0125</t>
        </is>
      </c>
      <c r="C747" s="3" t="inlineStr">
        <is>
          <t>Rajesh Prasad</t>
        </is>
      </c>
      <c r="D747" s="3" t="inlineStr">
        <is>
          <t>Bhagalpur</t>
        </is>
      </c>
      <c r="E747" s="3" t="inlineStr">
        <is>
          <t>K. Sharma</t>
        </is>
      </c>
      <c r="F747" s="3" t="inlineStr">
        <is>
          <t>Trade</t>
        </is>
      </c>
      <c r="G747" s="4" t="n">
        <v>46147</v>
      </c>
      <c r="H747" s="5" t="n">
        <v>29667</v>
      </c>
    </row>
    <row r="748">
      <c r="A748" s="3" t="inlineStr">
        <is>
          <t>D0747</t>
        </is>
      </c>
      <c r="B748" s="3" t="inlineStr">
        <is>
          <t>A0125</t>
        </is>
      </c>
      <c r="C748" s="3" t="inlineStr">
        <is>
          <t>Rajesh Prasad</t>
        </is>
      </c>
      <c r="D748" s="3" t="inlineStr">
        <is>
          <t>Bhagalpur</t>
        </is>
      </c>
      <c r="E748" s="3" t="inlineStr">
        <is>
          <t>K. Sharma</t>
        </is>
      </c>
      <c r="F748" s="3" t="inlineStr">
        <is>
          <t>Trade</t>
        </is>
      </c>
      <c r="G748" s="4" t="n">
        <v>46178</v>
      </c>
      <c r="H748" s="5" t="n">
        <v>29667</v>
      </c>
    </row>
    <row r="749">
      <c r="A749" s="3" t="inlineStr">
        <is>
          <t>D0748</t>
        </is>
      </c>
      <c r="B749" s="3" t="inlineStr">
        <is>
          <t>A0125</t>
        </is>
      </c>
      <c r="C749" s="3" t="inlineStr">
        <is>
          <t>Rajesh Prasad</t>
        </is>
      </c>
      <c r="D749" s="3" t="inlineStr">
        <is>
          <t>Bhagalpur</t>
        </is>
      </c>
      <c r="E749" s="3" t="inlineStr">
        <is>
          <t>K. Sharma</t>
        </is>
      </c>
      <c r="F749" s="3" t="inlineStr">
        <is>
          <t>Trade</t>
        </is>
      </c>
      <c r="G749" s="4" t="n">
        <v>46208</v>
      </c>
      <c r="H749" s="5" t="n">
        <v>29667</v>
      </c>
    </row>
    <row r="750">
      <c r="A750" s="3" t="inlineStr">
        <is>
          <t>D0749</t>
        </is>
      </c>
      <c r="B750" s="3" t="inlineStr">
        <is>
          <t>A0125</t>
        </is>
      </c>
      <c r="C750" s="3" t="inlineStr">
        <is>
          <t>Rajesh Prasad</t>
        </is>
      </c>
      <c r="D750" s="3" t="inlineStr">
        <is>
          <t>Bhagalpur</t>
        </is>
      </c>
      <c r="E750" s="3" t="inlineStr">
        <is>
          <t>K. Sharma</t>
        </is>
      </c>
      <c r="F750" s="3" t="inlineStr">
        <is>
          <t>Trade</t>
        </is>
      </c>
      <c r="G750" s="4" t="n">
        <v>46239</v>
      </c>
      <c r="H750" s="5" t="n">
        <v>29667</v>
      </c>
    </row>
    <row r="751">
      <c r="A751" s="3" t="inlineStr">
        <is>
          <t>D0750</t>
        </is>
      </c>
      <c r="B751" s="3" t="inlineStr">
        <is>
          <t>A0125</t>
        </is>
      </c>
      <c r="C751" s="3" t="inlineStr">
        <is>
          <t>Rajesh Prasad</t>
        </is>
      </c>
      <c r="D751" s="3" t="inlineStr">
        <is>
          <t>Bhagalpur</t>
        </is>
      </c>
      <c r="E751" s="3" t="inlineStr">
        <is>
          <t>K. Sharma</t>
        </is>
      </c>
      <c r="F751" s="3" t="inlineStr">
        <is>
          <t>Trade</t>
        </is>
      </c>
      <c r="G751" s="4" t="n">
        <v>46270</v>
      </c>
      <c r="H751" s="5" t="n">
        <v>29667</v>
      </c>
    </row>
    <row r="752">
      <c r="A752" s="3" t="inlineStr">
        <is>
          <t>D0751</t>
        </is>
      </c>
      <c r="B752" s="3" t="inlineStr">
        <is>
          <t>A0126</t>
        </is>
      </c>
      <c r="C752" s="3" t="inlineStr">
        <is>
          <t>Sanjay Singh</t>
        </is>
      </c>
      <c r="D752" s="3" t="inlineStr">
        <is>
          <t>Gaya</t>
        </is>
      </c>
      <c r="E752" s="3" t="inlineStr">
        <is>
          <t>R. Singh</t>
        </is>
      </c>
      <c r="F752" s="3" t="inlineStr">
        <is>
          <t>Personal</t>
        </is>
      </c>
      <c r="G752" s="4" t="n">
        <v>46117</v>
      </c>
      <c r="H752" s="5" t="n">
        <v>21333</v>
      </c>
    </row>
    <row r="753">
      <c r="A753" s="3" t="inlineStr">
        <is>
          <t>D0752</t>
        </is>
      </c>
      <c r="B753" s="3" t="inlineStr">
        <is>
          <t>A0126</t>
        </is>
      </c>
      <c r="C753" s="3" t="inlineStr">
        <is>
          <t>Sanjay Singh</t>
        </is>
      </c>
      <c r="D753" s="3" t="inlineStr">
        <is>
          <t>Gaya</t>
        </is>
      </c>
      <c r="E753" s="3" t="inlineStr">
        <is>
          <t>R. Singh</t>
        </is>
      </c>
      <c r="F753" s="3" t="inlineStr">
        <is>
          <t>Personal</t>
        </is>
      </c>
      <c r="G753" s="4" t="n">
        <v>46147</v>
      </c>
      <c r="H753" s="5" t="n">
        <v>21333</v>
      </c>
    </row>
    <row r="754">
      <c r="A754" s="3" t="inlineStr">
        <is>
          <t>D0753</t>
        </is>
      </c>
      <c r="B754" s="3" t="inlineStr">
        <is>
          <t>A0126</t>
        </is>
      </c>
      <c r="C754" s="3" t="inlineStr">
        <is>
          <t>Sanjay Singh</t>
        </is>
      </c>
      <c r="D754" s="3" t="inlineStr">
        <is>
          <t>Gaya</t>
        </is>
      </c>
      <c r="E754" s="3" t="inlineStr">
        <is>
          <t>R. Singh</t>
        </is>
      </c>
      <c r="F754" s="3" t="inlineStr">
        <is>
          <t>Personal</t>
        </is>
      </c>
      <c r="G754" s="4" t="n">
        <v>46178</v>
      </c>
      <c r="H754" s="5" t="n">
        <v>21333</v>
      </c>
    </row>
    <row r="755">
      <c r="A755" s="3" t="inlineStr">
        <is>
          <t>D0754</t>
        </is>
      </c>
      <c r="B755" s="3" t="inlineStr">
        <is>
          <t>A0126</t>
        </is>
      </c>
      <c r="C755" s="3" t="inlineStr">
        <is>
          <t>Sanjay Singh</t>
        </is>
      </c>
      <c r="D755" s="3" t="inlineStr">
        <is>
          <t>Gaya</t>
        </is>
      </c>
      <c r="E755" s="3" t="inlineStr">
        <is>
          <t>R. Singh</t>
        </is>
      </c>
      <c r="F755" s="3" t="inlineStr">
        <is>
          <t>Personal</t>
        </is>
      </c>
      <c r="G755" s="4" t="n">
        <v>46208</v>
      </c>
      <c r="H755" s="5" t="n">
        <v>21333</v>
      </c>
    </row>
    <row r="756">
      <c r="A756" s="3" t="inlineStr">
        <is>
          <t>D0755</t>
        </is>
      </c>
      <c r="B756" s="3" t="inlineStr">
        <is>
          <t>A0126</t>
        </is>
      </c>
      <c r="C756" s="3" t="inlineStr">
        <is>
          <t>Sanjay Singh</t>
        </is>
      </c>
      <c r="D756" s="3" t="inlineStr">
        <is>
          <t>Gaya</t>
        </is>
      </c>
      <c r="E756" s="3" t="inlineStr">
        <is>
          <t>R. Singh</t>
        </is>
      </c>
      <c r="F756" s="3" t="inlineStr">
        <is>
          <t>Personal</t>
        </is>
      </c>
      <c r="G756" s="4" t="n">
        <v>46239</v>
      </c>
      <c r="H756" s="5" t="n">
        <v>21333</v>
      </c>
    </row>
    <row r="757">
      <c r="A757" s="3" t="inlineStr">
        <is>
          <t>D0756</t>
        </is>
      </c>
      <c r="B757" s="3" t="inlineStr">
        <is>
          <t>A0126</t>
        </is>
      </c>
      <c r="C757" s="3" t="inlineStr">
        <is>
          <t>Sanjay Singh</t>
        </is>
      </c>
      <c r="D757" s="3" t="inlineStr">
        <is>
          <t>Gaya</t>
        </is>
      </c>
      <c r="E757" s="3" t="inlineStr">
        <is>
          <t>R. Singh</t>
        </is>
      </c>
      <c r="F757" s="3" t="inlineStr">
        <is>
          <t>Personal</t>
        </is>
      </c>
      <c r="G757" s="4" t="n">
        <v>46270</v>
      </c>
      <c r="H757" s="5" t="n">
        <v>21333</v>
      </c>
    </row>
    <row r="758">
      <c r="A758" s="3" t="inlineStr">
        <is>
          <t>D0757</t>
        </is>
      </c>
      <c r="B758" s="3" t="inlineStr">
        <is>
          <t>A0127</t>
        </is>
      </c>
      <c r="C758" s="3" t="inlineStr">
        <is>
          <t>Kiran Rai</t>
        </is>
      </c>
      <c r="D758" s="3" t="inlineStr">
        <is>
          <t>Gaya</t>
        </is>
      </c>
      <c r="E758" s="3" t="inlineStr">
        <is>
          <t>R. Singh</t>
        </is>
      </c>
      <c r="F758" s="3" t="inlineStr">
        <is>
          <t>Personal</t>
        </is>
      </c>
      <c r="G758" s="4" t="n">
        <v>46117</v>
      </c>
      <c r="H758" s="5" t="n">
        <v>7000</v>
      </c>
    </row>
    <row r="759">
      <c r="A759" s="3" t="inlineStr">
        <is>
          <t>D0758</t>
        </is>
      </c>
      <c r="B759" s="3" t="inlineStr">
        <is>
          <t>A0127</t>
        </is>
      </c>
      <c r="C759" s="3" t="inlineStr">
        <is>
          <t>Kiran Rai</t>
        </is>
      </c>
      <c r="D759" s="3" t="inlineStr">
        <is>
          <t>Gaya</t>
        </is>
      </c>
      <c r="E759" s="3" t="inlineStr">
        <is>
          <t>R. Singh</t>
        </is>
      </c>
      <c r="F759" s="3" t="inlineStr">
        <is>
          <t>Personal</t>
        </is>
      </c>
      <c r="G759" s="4" t="n">
        <v>46147</v>
      </c>
      <c r="H759" s="5" t="n">
        <v>7000</v>
      </c>
    </row>
    <row r="760">
      <c r="A760" s="3" t="inlineStr">
        <is>
          <t>D0759</t>
        </is>
      </c>
      <c r="B760" s="3" t="inlineStr">
        <is>
          <t>A0127</t>
        </is>
      </c>
      <c r="C760" s="3" t="inlineStr">
        <is>
          <t>Kiran Rai</t>
        </is>
      </c>
      <c r="D760" s="3" t="inlineStr">
        <is>
          <t>Gaya</t>
        </is>
      </c>
      <c r="E760" s="3" t="inlineStr">
        <is>
          <t>R. Singh</t>
        </is>
      </c>
      <c r="F760" s="3" t="inlineStr">
        <is>
          <t>Personal</t>
        </is>
      </c>
      <c r="G760" s="4" t="n">
        <v>46178</v>
      </c>
      <c r="H760" s="5" t="n">
        <v>7000</v>
      </c>
    </row>
    <row r="761">
      <c r="A761" s="3" t="inlineStr">
        <is>
          <t>D0760</t>
        </is>
      </c>
      <c r="B761" s="3" t="inlineStr">
        <is>
          <t>A0127</t>
        </is>
      </c>
      <c r="C761" s="3" t="inlineStr">
        <is>
          <t>Kiran Rai</t>
        </is>
      </c>
      <c r="D761" s="3" t="inlineStr">
        <is>
          <t>Gaya</t>
        </is>
      </c>
      <c r="E761" s="3" t="inlineStr">
        <is>
          <t>R. Singh</t>
        </is>
      </c>
      <c r="F761" s="3" t="inlineStr">
        <is>
          <t>Personal</t>
        </is>
      </c>
      <c r="G761" s="4" t="n">
        <v>46208</v>
      </c>
      <c r="H761" s="5" t="n">
        <v>7000</v>
      </c>
    </row>
    <row r="762">
      <c r="A762" s="3" t="inlineStr">
        <is>
          <t>D0761</t>
        </is>
      </c>
      <c r="B762" s="3" t="inlineStr">
        <is>
          <t>A0127</t>
        </is>
      </c>
      <c r="C762" s="3" t="inlineStr">
        <is>
          <t>Kiran Rai</t>
        </is>
      </c>
      <c r="D762" s="3" t="inlineStr">
        <is>
          <t>Gaya</t>
        </is>
      </c>
      <c r="E762" s="3" t="inlineStr">
        <is>
          <t>R. Singh</t>
        </is>
      </c>
      <c r="F762" s="3" t="inlineStr">
        <is>
          <t>Personal</t>
        </is>
      </c>
      <c r="G762" s="4" t="n">
        <v>46239</v>
      </c>
      <c r="H762" s="5" t="n">
        <v>7000</v>
      </c>
    </row>
    <row r="763">
      <c r="A763" s="3" t="inlineStr">
        <is>
          <t>D0762</t>
        </is>
      </c>
      <c r="B763" s="3" t="inlineStr">
        <is>
          <t>A0127</t>
        </is>
      </c>
      <c r="C763" s="3" t="inlineStr">
        <is>
          <t>Kiran Rai</t>
        </is>
      </c>
      <c r="D763" s="3" t="inlineStr">
        <is>
          <t>Gaya</t>
        </is>
      </c>
      <c r="E763" s="3" t="inlineStr">
        <is>
          <t>R. Singh</t>
        </is>
      </c>
      <c r="F763" s="3" t="inlineStr">
        <is>
          <t>Personal</t>
        </is>
      </c>
      <c r="G763" s="4" t="n">
        <v>46270</v>
      </c>
      <c r="H763" s="5" t="n">
        <v>7000</v>
      </c>
    </row>
    <row r="764">
      <c r="A764" s="3" t="inlineStr">
        <is>
          <t>D0763</t>
        </is>
      </c>
      <c r="B764" s="3" t="inlineStr">
        <is>
          <t>A0128</t>
        </is>
      </c>
      <c r="C764" s="3" t="inlineStr">
        <is>
          <t>Rajesh Tiwari</t>
        </is>
      </c>
      <c r="D764" s="3" t="inlineStr">
        <is>
          <t>Darbhanga</t>
        </is>
      </c>
      <c r="E764" s="3" t="inlineStr">
        <is>
          <t>S. Gupta</t>
        </is>
      </c>
      <c r="F764" s="3" t="inlineStr">
        <is>
          <t>Vehicle</t>
        </is>
      </c>
      <c r="G764" s="4" t="n">
        <v>46117</v>
      </c>
      <c r="H764" s="5" t="n">
        <v>33333</v>
      </c>
    </row>
    <row r="765">
      <c r="A765" s="3" t="inlineStr">
        <is>
          <t>D0764</t>
        </is>
      </c>
      <c r="B765" s="3" t="inlineStr">
        <is>
          <t>A0128</t>
        </is>
      </c>
      <c r="C765" s="3" t="inlineStr">
        <is>
          <t>Rajesh Tiwari</t>
        </is>
      </c>
      <c r="D765" s="3" t="inlineStr">
        <is>
          <t>Darbhanga</t>
        </is>
      </c>
      <c r="E765" s="3" t="inlineStr">
        <is>
          <t>S. Gupta</t>
        </is>
      </c>
      <c r="F765" s="3" t="inlineStr">
        <is>
          <t>Vehicle</t>
        </is>
      </c>
      <c r="G765" s="4" t="n">
        <v>46147</v>
      </c>
      <c r="H765" s="5" t="n">
        <v>33333</v>
      </c>
    </row>
    <row r="766">
      <c r="A766" s="3" t="inlineStr">
        <is>
          <t>D0765</t>
        </is>
      </c>
      <c r="B766" s="3" t="inlineStr">
        <is>
          <t>A0128</t>
        </is>
      </c>
      <c r="C766" s="3" t="inlineStr">
        <is>
          <t>Rajesh Tiwari</t>
        </is>
      </c>
      <c r="D766" s="3" t="inlineStr">
        <is>
          <t>Darbhanga</t>
        </is>
      </c>
      <c r="E766" s="3" t="inlineStr">
        <is>
          <t>S. Gupta</t>
        </is>
      </c>
      <c r="F766" s="3" t="inlineStr">
        <is>
          <t>Vehicle</t>
        </is>
      </c>
      <c r="G766" s="4" t="n">
        <v>46178</v>
      </c>
      <c r="H766" s="5" t="n">
        <v>33333</v>
      </c>
    </row>
    <row r="767">
      <c r="A767" s="3" t="inlineStr">
        <is>
          <t>D0766</t>
        </is>
      </c>
      <c r="B767" s="3" t="inlineStr">
        <is>
          <t>A0128</t>
        </is>
      </c>
      <c r="C767" s="3" t="inlineStr">
        <is>
          <t>Rajesh Tiwari</t>
        </is>
      </c>
      <c r="D767" s="3" t="inlineStr">
        <is>
          <t>Darbhanga</t>
        </is>
      </c>
      <c r="E767" s="3" t="inlineStr">
        <is>
          <t>S. Gupta</t>
        </is>
      </c>
      <c r="F767" s="3" t="inlineStr">
        <is>
          <t>Vehicle</t>
        </is>
      </c>
      <c r="G767" s="4" t="n">
        <v>46208</v>
      </c>
      <c r="H767" s="5" t="n">
        <v>33333</v>
      </c>
    </row>
    <row r="768">
      <c r="A768" s="3" t="inlineStr">
        <is>
          <t>D0767</t>
        </is>
      </c>
      <c r="B768" s="3" t="inlineStr">
        <is>
          <t>A0128</t>
        </is>
      </c>
      <c r="C768" s="3" t="inlineStr">
        <is>
          <t>Rajesh Tiwari</t>
        </is>
      </c>
      <c r="D768" s="3" t="inlineStr">
        <is>
          <t>Darbhanga</t>
        </is>
      </c>
      <c r="E768" s="3" t="inlineStr">
        <is>
          <t>S. Gupta</t>
        </is>
      </c>
      <c r="F768" s="3" t="inlineStr">
        <is>
          <t>Vehicle</t>
        </is>
      </c>
      <c r="G768" s="4" t="n">
        <v>46239</v>
      </c>
      <c r="H768" s="5" t="n">
        <v>33333</v>
      </c>
    </row>
    <row r="769">
      <c r="A769" s="3" t="inlineStr">
        <is>
          <t>D0768</t>
        </is>
      </c>
      <c r="B769" s="3" t="inlineStr">
        <is>
          <t>A0128</t>
        </is>
      </c>
      <c r="C769" s="3" t="inlineStr">
        <is>
          <t>Rajesh Tiwari</t>
        </is>
      </c>
      <c r="D769" s="3" t="inlineStr">
        <is>
          <t>Darbhanga</t>
        </is>
      </c>
      <c r="E769" s="3" t="inlineStr">
        <is>
          <t>S. Gupta</t>
        </is>
      </c>
      <c r="F769" s="3" t="inlineStr">
        <is>
          <t>Vehicle</t>
        </is>
      </c>
      <c r="G769" s="4" t="n">
        <v>46270</v>
      </c>
      <c r="H769" s="5" t="n">
        <v>33333</v>
      </c>
    </row>
    <row r="770">
      <c r="A770" s="3" t="inlineStr">
        <is>
          <t>D0769</t>
        </is>
      </c>
      <c r="B770" s="3" t="inlineStr">
        <is>
          <t>A0129</t>
        </is>
      </c>
      <c r="C770" s="3" t="inlineStr">
        <is>
          <t>Rina Singh</t>
        </is>
      </c>
      <c r="D770" s="3" t="inlineStr">
        <is>
          <t>Bhagalpur</t>
        </is>
      </c>
      <c r="E770" s="3" t="inlineStr">
        <is>
          <t>P. Yadav</t>
        </is>
      </c>
      <c r="F770" s="3" t="inlineStr">
        <is>
          <t>Personal</t>
        </is>
      </c>
      <c r="G770" s="4" t="n">
        <v>46117</v>
      </c>
      <c r="H770" s="5" t="n">
        <v>3333</v>
      </c>
    </row>
    <row r="771">
      <c r="A771" s="3" t="inlineStr">
        <is>
          <t>D0770</t>
        </is>
      </c>
      <c r="B771" s="3" t="inlineStr">
        <is>
          <t>A0129</t>
        </is>
      </c>
      <c r="C771" s="3" t="inlineStr">
        <is>
          <t>Rina Singh</t>
        </is>
      </c>
      <c r="D771" s="3" t="inlineStr">
        <is>
          <t>Bhagalpur</t>
        </is>
      </c>
      <c r="E771" s="3" t="inlineStr">
        <is>
          <t>P. Yadav</t>
        </is>
      </c>
      <c r="F771" s="3" t="inlineStr">
        <is>
          <t>Personal</t>
        </is>
      </c>
      <c r="G771" s="4" t="n">
        <v>46147</v>
      </c>
      <c r="H771" s="5" t="n">
        <v>3333</v>
      </c>
    </row>
    <row r="772">
      <c r="A772" s="3" t="inlineStr">
        <is>
          <t>D0771</t>
        </is>
      </c>
      <c r="B772" s="3" t="inlineStr">
        <is>
          <t>A0129</t>
        </is>
      </c>
      <c r="C772" s="3" t="inlineStr">
        <is>
          <t>Rina Singh</t>
        </is>
      </c>
      <c r="D772" s="3" t="inlineStr">
        <is>
          <t>Bhagalpur</t>
        </is>
      </c>
      <c r="E772" s="3" t="inlineStr">
        <is>
          <t>P. Yadav</t>
        </is>
      </c>
      <c r="F772" s="3" t="inlineStr">
        <is>
          <t>Personal</t>
        </is>
      </c>
      <c r="G772" s="4" t="n">
        <v>46178</v>
      </c>
      <c r="H772" s="5" t="n">
        <v>3333</v>
      </c>
    </row>
    <row r="773">
      <c r="A773" s="3" t="inlineStr">
        <is>
          <t>D0772</t>
        </is>
      </c>
      <c r="B773" s="3" t="inlineStr">
        <is>
          <t>A0129</t>
        </is>
      </c>
      <c r="C773" s="3" t="inlineStr">
        <is>
          <t>Rina Singh</t>
        </is>
      </c>
      <c r="D773" s="3" t="inlineStr">
        <is>
          <t>Bhagalpur</t>
        </is>
      </c>
      <c r="E773" s="3" t="inlineStr">
        <is>
          <t>P. Yadav</t>
        </is>
      </c>
      <c r="F773" s="3" t="inlineStr">
        <is>
          <t>Personal</t>
        </is>
      </c>
      <c r="G773" s="4" t="n">
        <v>46208</v>
      </c>
      <c r="H773" s="5" t="n">
        <v>3333</v>
      </c>
    </row>
    <row r="774">
      <c r="A774" s="3" t="inlineStr">
        <is>
          <t>D0773</t>
        </is>
      </c>
      <c r="B774" s="3" t="inlineStr">
        <is>
          <t>A0129</t>
        </is>
      </c>
      <c r="C774" s="3" t="inlineStr">
        <is>
          <t>Rina Singh</t>
        </is>
      </c>
      <c r="D774" s="3" t="inlineStr">
        <is>
          <t>Bhagalpur</t>
        </is>
      </c>
      <c r="E774" s="3" t="inlineStr">
        <is>
          <t>P. Yadav</t>
        </is>
      </c>
      <c r="F774" s="3" t="inlineStr">
        <is>
          <t>Personal</t>
        </is>
      </c>
      <c r="G774" s="4" t="n">
        <v>46239</v>
      </c>
      <c r="H774" s="5" t="n">
        <v>3333</v>
      </c>
    </row>
    <row r="775">
      <c r="A775" s="3" t="inlineStr">
        <is>
          <t>D0774</t>
        </is>
      </c>
      <c r="B775" s="3" t="inlineStr">
        <is>
          <t>A0129</t>
        </is>
      </c>
      <c r="C775" s="3" t="inlineStr">
        <is>
          <t>Rina Singh</t>
        </is>
      </c>
      <c r="D775" s="3" t="inlineStr">
        <is>
          <t>Bhagalpur</t>
        </is>
      </c>
      <c r="E775" s="3" t="inlineStr">
        <is>
          <t>P. Yadav</t>
        </is>
      </c>
      <c r="F775" s="3" t="inlineStr">
        <is>
          <t>Personal</t>
        </is>
      </c>
      <c r="G775" s="4" t="n">
        <v>46270</v>
      </c>
      <c r="H775" s="5" t="n">
        <v>3333</v>
      </c>
    </row>
    <row r="776">
      <c r="A776" s="3" t="inlineStr">
        <is>
          <t>D0775</t>
        </is>
      </c>
      <c r="B776" s="3" t="inlineStr">
        <is>
          <t>A0130</t>
        </is>
      </c>
      <c r="C776" s="3" t="inlineStr">
        <is>
          <t>Rina Kumar</t>
        </is>
      </c>
      <c r="D776" s="3" t="inlineStr">
        <is>
          <t>Darbhanga</t>
        </is>
      </c>
      <c r="E776" s="3" t="inlineStr">
        <is>
          <t>R. Singh</t>
        </is>
      </c>
      <c r="F776" s="3" t="inlineStr">
        <is>
          <t>Housing</t>
        </is>
      </c>
      <c r="G776" s="4" t="n">
        <v>46117</v>
      </c>
      <c r="H776" s="5" t="n">
        <v>11833</v>
      </c>
    </row>
    <row r="777">
      <c r="A777" s="3" t="inlineStr">
        <is>
          <t>D0776</t>
        </is>
      </c>
      <c r="B777" s="3" t="inlineStr">
        <is>
          <t>A0130</t>
        </is>
      </c>
      <c r="C777" s="3" t="inlineStr">
        <is>
          <t>Rina Kumar</t>
        </is>
      </c>
      <c r="D777" s="3" t="inlineStr">
        <is>
          <t>Darbhanga</t>
        </is>
      </c>
      <c r="E777" s="3" t="inlineStr">
        <is>
          <t>R. Singh</t>
        </is>
      </c>
      <c r="F777" s="3" t="inlineStr">
        <is>
          <t>Housing</t>
        </is>
      </c>
      <c r="G777" s="4" t="n">
        <v>46147</v>
      </c>
      <c r="H777" s="5" t="n">
        <v>11833</v>
      </c>
    </row>
    <row r="778">
      <c r="A778" s="3" t="inlineStr">
        <is>
          <t>D0777</t>
        </is>
      </c>
      <c r="B778" s="3" t="inlineStr">
        <is>
          <t>A0130</t>
        </is>
      </c>
      <c r="C778" s="3" t="inlineStr">
        <is>
          <t>Rina Kumar</t>
        </is>
      </c>
      <c r="D778" s="3" t="inlineStr">
        <is>
          <t>Darbhanga</t>
        </is>
      </c>
      <c r="E778" s="3" t="inlineStr">
        <is>
          <t>R. Singh</t>
        </is>
      </c>
      <c r="F778" s="3" t="inlineStr">
        <is>
          <t>Housing</t>
        </is>
      </c>
      <c r="G778" s="4" t="n">
        <v>46178</v>
      </c>
      <c r="H778" s="5" t="n">
        <v>11833</v>
      </c>
    </row>
    <row r="779">
      <c r="A779" s="3" t="inlineStr">
        <is>
          <t>D0778</t>
        </is>
      </c>
      <c r="B779" s="3" t="inlineStr">
        <is>
          <t>A0130</t>
        </is>
      </c>
      <c r="C779" s="3" t="inlineStr">
        <is>
          <t>Rina Kumar</t>
        </is>
      </c>
      <c r="D779" s="3" t="inlineStr">
        <is>
          <t>Darbhanga</t>
        </is>
      </c>
      <c r="E779" s="3" t="inlineStr">
        <is>
          <t>R. Singh</t>
        </is>
      </c>
      <c r="F779" s="3" t="inlineStr">
        <is>
          <t>Housing</t>
        </is>
      </c>
      <c r="G779" s="4" t="n">
        <v>46208</v>
      </c>
      <c r="H779" s="5" t="n">
        <v>11833</v>
      </c>
    </row>
    <row r="780">
      <c r="A780" s="3" t="inlineStr">
        <is>
          <t>D0779</t>
        </is>
      </c>
      <c r="B780" s="3" t="inlineStr">
        <is>
          <t>A0130</t>
        </is>
      </c>
      <c r="C780" s="3" t="inlineStr">
        <is>
          <t>Rina Kumar</t>
        </is>
      </c>
      <c r="D780" s="3" t="inlineStr">
        <is>
          <t>Darbhanga</t>
        </is>
      </c>
      <c r="E780" s="3" t="inlineStr">
        <is>
          <t>R. Singh</t>
        </is>
      </c>
      <c r="F780" s="3" t="inlineStr">
        <is>
          <t>Housing</t>
        </is>
      </c>
      <c r="G780" s="4" t="n">
        <v>46239</v>
      </c>
      <c r="H780" s="5" t="n">
        <v>11833</v>
      </c>
    </row>
    <row r="781">
      <c r="A781" s="3" t="inlineStr">
        <is>
          <t>D0780</t>
        </is>
      </c>
      <c r="B781" s="3" t="inlineStr">
        <is>
          <t>A0130</t>
        </is>
      </c>
      <c r="C781" s="3" t="inlineStr">
        <is>
          <t>Rina Kumar</t>
        </is>
      </c>
      <c r="D781" s="3" t="inlineStr">
        <is>
          <t>Darbhanga</t>
        </is>
      </c>
      <c r="E781" s="3" t="inlineStr">
        <is>
          <t>R. Singh</t>
        </is>
      </c>
      <c r="F781" s="3" t="inlineStr">
        <is>
          <t>Housing</t>
        </is>
      </c>
      <c r="G781" s="4" t="n">
        <v>46270</v>
      </c>
      <c r="H781" s="5" t="n">
        <v>11833</v>
      </c>
    </row>
    <row r="782">
      <c r="A782" s="3" t="inlineStr">
        <is>
          <t>D0781</t>
        </is>
      </c>
      <c r="B782" s="3" t="inlineStr">
        <is>
          <t>A0131</t>
        </is>
      </c>
      <c r="C782" s="3" t="inlineStr">
        <is>
          <t>Ramesh Sah</t>
        </is>
      </c>
      <c r="D782" s="3" t="inlineStr">
        <is>
          <t>Gaya</t>
        </is>
      </c>
      <c r="E782" s="3" t="inlineStr">
        <is>
          <t>M. Mandal</t>
        </is>
      </c>
      <c r="F782" s="3" t="inlineStr">
        <is>
          <t>Housing</t>
        </is>
      </c>
      <c r="G782" s="4" t="n">
        <v>46117</v>
      </c>
      <c r="H782" s="5" t="n">
        <v>17833</v>
      </c>
    </row>
    <row r="783">
      <c r="A783" s="3" t="inlineStr">
        <is>
          <t>D0782</t>
        </is>
      </c>
      <c r="B783" s="3" t="inlineStr">
        <is>
          <t>A0131</t>
        </is>
      </c>
      <c r="C783" s="3" t="inlineStr">
        <is>
          <t>Ramesh Sah</t>
        </is>
      </c>
      <c r="D783" s="3" t="inlineStr">
        <is>
          <t>Gaya</t>
        </is>
      </c>
      <c r="E783" s="3" t="inlineStr">
        <is>
          <t>M. Mandal</t>
        </is>
      </c>
      <c r="F783" s="3" t="inlineStr">
        <is>
          <t>Housing</t>
        </is>
      </c>
      <c r="G783" s="4" t="n">
        <v>46147</v>
      </c>
      <c r="H783" s="5" t="n">
        <v>17833</v>
      </c>
    </row>
    <row r="784">
      <c r="A784" s="3" t="inlineStr">
        <is>
          <t>D0783</t>
        </is>
      </c>
      <c r="B784" s="3" t="inlineStr">
        <is>
          <t>A0131</t>
        </is>
      </c>
      <c r="C784" s="3" t="inlineStr">
        <is>
          <t>Ramesh Sah</t>
        </is>
      </c>
      <c r="D784" s="3" t="inlineStr">
        <is>
          <t>Gaya</t>
        </is>
      </c>
      <c r="E784" s="3" t="inlineStr">
        <is>
          <t>M. Mandal</t>
        </is>
      </c>
      <c r="F784" s="3" t="inlineStr">
        <is>
          <t>Housing</t>
        </is>
      </c>
      <c r="G784" s="4" t="n">
        <v>46178</v>
      </c>
      <c r="H784" s="5" t="n">
        <v>17833</v>
      </c>
    </row>
    <row r="785">
      <c r="A785" s="3" t="inlineStr">
        <is>
          <t>D0784</t>
        </is>
      </c>
      <c r="B785" s="3" t="inlineStr">
        <is>
          <t>A0131</t>
        </is>
      </c>
      <c r="C785" s="3" t="inlineStr">
        <is>
          <t>Ramesh Sah</t>
        </is>
      </c>
      <c r="D785" s="3" t="inlineStr">
        <is>
          <t>Gaya</t>
        </is>
      </c>
      <c r="E785" s="3" t="inlineStr">
        <is>
          <t>M. Mandal</t>
        </is>
      </c>
      <c r="F785" s="3" t="inlineStr">
        <is>
          <t>Housing</t>
        </is>
      </c>
      <c r="G785" s="4" t="n">
        <v>46208</v>
      </c>
      <c r="H785" s="5" t="n">
        <v>17833</v>
      </c>
    </row>
    <row r="786">
      <c r="A786" s="3" t="inlineStr">
        <is>
          <t>D0785</t>
        </is>
      </c>
      <c r="B786" s="3" t="inlineStr">
        <is>
          <t>A0131</t>
        </is>
      </c>
      <c r="C786" s="3" t="inlineStr">
        <is>
          <t>Ramesh Sah</t>
        </is>
      </c>
      <c r="D786" s="3" t="inlineStr">
        <is>
          <t>Gaya</t>
        </is>
      </c>
      <c r="E786" s="3" t="inlineStr">
        <is>
          <t>M. Mandal</t>
        </is>
      </c>
      <c r="F786" s="3" t="inlineStr">
        <is>
          <t>Housing</t>
        </is>
      </c>
      <c r="G786" s="4" t="n">
        <v>46239</v>
      </c>
      <c r="H786" s="5" t="n">
        <v>17833</v>
      </c>
    </row>
    <row r="787">
      <c r="A787" s="3" t="inlineStr">
        <is>
          <t>D0786</t>
        </is>
      </c>
      <c r="B787" s="3" t="inlineStr">
        <is>
          <t>A0131</t>
        </is>
      </c>
      <c r="C787" s="3" t="inlineStr">
        <is>
          <t>Ramesh Sah</t>
        </is>
      </c>
      <c r="D787" s="3" t="inlineStr">
        <is>
          <t>Gaya</t>
        </is>
      </c>
      <c r="E787" s="3" t="inlineStr">
        <is>
          <t>M. Mandal</t>
        </is>
      </c>
      <c r="F787" s="3" t="inlineStr">
        <is>
          <t>Housing</t>
        </is>
      </c>
      <c r="G787" s="4" t="n">
        <v>46270</v>
      </c>
      <c r="H787" s="5" t="n">
        <v>17833</v>
      </c>
    </row>
    <row r="788">
      <c r="A788" s="3" t="inlineStr">
        <is>
          <t>D0787</t>
        </is>
      </c>
      <c r="B788" s="3" t="inlineStr">
        <is>
          <t>A0132</t>
        </is>
      </c>
      <c r="C788" s="3" t="inlineStr">
        <is>
          <t>Sunita Mishra</t>
        </is>
      </c>
      <c r="D788" s="3" t="inlineStr">
        <is>
          <t>Gaya</t>
        </is>
      </c>
      <c r="E788" s="3" t="inlineStr">
        <is>
          <t>A. Verma</t>
        </is>
      </c>
      <c r="F788" s="3" t="inlineStr">
        <is>
          <t>Housing</t>
        </is>
      </c>
      <c r="G788" s="4" t="n">
        <v>46117</v>
      </c>
      <c r="H788" s="5" t="n">
        <v>12167</v>
      </c>
    </row>
    <row r="789">
      <c r="A789" s="3" t="inlineStr">
        <is>
          <t>D0788</t>
        </is>
      </c>
      <c r="B789" s="3" t="inlineStr">
        <is>
          <t>A0132</t>
        </is>
      </c>
      <c r="C789" s="3" t="inlineStr">
        <is>
          <t>Sunita Mishra</t>
        </is>
      </c>
      <c r="D789" s="3" t="inlineStr">
        <is>
          <t>Gaya</t>
        </is>
      </c>
      <c r="E789" s="3" t="inlineStr">
        <is>
          <t>A. Verma</t>
        </is>
      </c>
      <c r="F789" s="3" t="inlineStr">
        <is>
          <t>Housing</t>
        </is>
      </c>
      <c r="G789" s="4" t="n">
        <v>46147</v>
      </c>
      <c r="H789" s="5" t="n">
        <v>12167</v>
      </c>
    </row>
    <row r="790">
      <c r="A790" s="3" t="inlineStr">
        <is>
          <t>D0789</t>
        </is>
      </c>
      <c r="B790" s="3" t="inlineStr">
        <is>
          <t>A0132</t>
        </is>
      </c>
      <c r="C790" s="3" t="inlineStr">
        <is>
          <t>Sunita Mishra</t>
        </is>
      </c>
      <c r="D790" s="3" t="inlineStr">
        <is>
          <t>Gaya</t>
        </is>
      </c>
      <c r="E790" s="3" t="inlineStr">
        <is>
          <t>A. Verma</t>
        </is>
      </c>
      <c r="F790" s="3" t="inlineStr">
        <is>
          <t>Housing</t>
        </is>
      </c>
      <c r="G790" s="4" t="n">
        <v>46178</v>
      </c>
      <c r="H790" s="5" t="n">
        <v>12167</v>
      </c>
    </row>
    <row r="791">
      <c r="A791" s="3" t="inlineStr">
        <is>
          <t>D0790</t>
        </is>
      </c>
      <c r="B791" s="3" t="inlineStr">
        <is>
          <t>A0132</t>
        </is>
      </c>
      <c r="C791" s="3" t="inlineStr">
        <is>
          <t>Sunita Mishra</t>
        </is>
      </c>
      <c r="D791" s="3" t="inlineStr">
        <is>
          <t>Gaya</t>
        </is>
      </c>
      <c r="E791" s="3" t="inlineStr">
        <is>
          <t>A. Verma</t>
        </is>
      </c>
      <c r="F791" s="3" t="inlineStr">
        <is>
          <t>Housing</t>
        </is>
      </c>
      <c r="G791" s="4" t="n">
        <v>46208</v>
      </c>
      <c r="H791" s="5" t="n">
        <v>12167</v>
      </c>
    </row>
    <row r="792">
      <c r="A792" s="3" t="inlineStr">
        <is>
          <t>D0791</t>
        </is>
      </c>
      <c r="B792" s="3" t="inlineStr">
        <is>
          <t>A0132</t>
        </is>
      </c>
      <c r="C792" s="3" t="inlineStr">
        <is>
          <t>Sunita Mishra</t>
        </is>
      </c>
      <c r="D792" s="3" t="inlineStr">
        <is>
          <t>Gaya</t>
        </is>
      </c>
      <c r="E792" s="3" t="inlineStr">
        <is>
          <t>A. Verma</t>
        </is>
      </c>
      <c r="F792" s="3" t="inlineStr">
        <is>
          <t>Housing</t>
        </is>
      </c>
      <c r="G792" s="4" t="n">
        <v>46239</v>
      </c>
      <c r="H792" s="5" t="n">
        <v>12167</v>
      </c>
    </row>
    <row r="793">
      <c r="A793" s="3" t="inlineStr">
        <is>
          <t>D0792</t>
        </is>
      </c>
      <c r="B793" s="3" t="inlineStr">
        <is>
          <t>A0132</t>
        </is>
      </c>
      <c r="C793" s="3" t="inlineStr">
        <is>
          <t>Sunita Mishra</t>
        </is>
      </c>
      <c r="D793" s="3" t="inlineStr">
        <is>
          <t>Gaya</t>
        </is>
      </c>
      <c r="E793" s="3" t="inlineStr">
        <is>
          <t>A. Verma</t>
        </is>
      </c>
      <c r="F793" s="3" t="inlineStr">
        <is>
          <t>Housing</t>
        </is>
      </c>
      <c r="G793" s="4" t="n">
        <v>46270</v>
      </c>
      <c r="H793" s="5" t="n">
        <v>12167</v>
      </c>
    </row>
    <row r="794">
      <c r="A794" s="3" t="inlineStr">
        <is>
          <t>D0793</t>
        </is>
      </c>
      <c r="B794" s="3" t="inlineStr">
        <is>
          <t>A0133</t>
        </is>
      </c>
      <c r="C794" s="3" t="inlineStr">
        <is>
          <t>Sunita Tiwari</t>
        </is>
      </c>
      <c r="D794" s="3" t="inlineStr">
        <is>
          <t>Bhagalpur</t>
        </is>
      </c>
      <c r="E794" s="3" t="inlineStr">
        <is>
          <t>S. Gupta</t>
        </is>
      </c>
      <c r="F794" s="3" t="inlineStr">
        <is>
          <t>Housing</t>
        </is>
      </c>
      <c r="G794" s="4" t="n">
        <v>46117</v>
      </c>
      <c r="H794" s="5" t="n">
        <v>17667</v>
      </c>
    </row>
    <row r="795">
      <c r="A795" s="3" t="inlineStr">
        <is>
          <t>D0794</t>
        </is>
      </c>
      <c r="B795" s="3" t="inlineStr">
        <is>
          <t>A0133</t>
        </is>
      </c>
      <c r="C795" s="3" t="inlineStr">
        <is>
          <t>Sunita Tiwari</t>
        </is>
      </c>
      <c r="D795" s="3" t="inlineStr">
        <is>
          <t>Bhagalpur</t>
        </is>
      </c>
      <c r="E795" s="3" t="inlineStr">
        <is>
          <t>S. Gupta</t>
        </is>
      </c>
      <c r="F795" s="3" t="inlineStr">
        <is>
          <t>Housing</t>
        </is>
      </c>
      <c r="G795" s="4" t="n">
        <v>46147</v>
      </c>
      <c r="H795" s="5" t="n">
        <v>17667</v>
      </c>
    </row>
    <row r="796">
      <c r="A796" s="3" t="inlineStr">
        <is>
          <t>D0795</t>
        </is>
      </c>
      <c r="B796" s="3" t="inlineStr">
        <is>
          <t>A0133</t>
        </is>
      </c>
      <c r="C796" s="3" t="inlineStr">
        <is>
          <t>Sunita Tiwari</t>
        </is>
      </c>
      <c r="D796" s="3" t="inlineStr">
        <is>
          <t>Bhagalpur</t>
        </is>
      </c>
      <c r="E796" s="3" t="inlineStr">
        <is>
          <t>S. Gupta</t>
        </is>
      </c>
      <c r="F796" s="3" t="inlineStr">
        <is>
          <t>Housing</t>
        </is>
      </c>
      <c r="G796" s="4" t="n">
        <v>46178</v>
      </c>
      <c r="H796" s="5" t="n">
        <v>17667</v>
      </c>
    </row>
    <row r="797">
      <c r="A797" s="3" t="inlineStr">
        <is>
          <t>D0796</t>
        </is>
      </c>
      <c r="B797" s="3" t="inlineStr">
        <is>
          <t>A0133</t>
        </is>
      </c>
      <c r="C797" s="3" t="inlineStr">
        <is>
          <t>Sunita Tiwari</t>
        </is>
      </c>
      <c r="D797" s="3" t="inlineStr">
        <is>
          <t>Bhagalpur</t>
        </is>
      </c>
      <c r="E797" s="3" t="inlineStr">
        <is>
          <t>S. Gupta</t>
        </is>
      </c>
      <c r="F797" s="3" t="inlineStr">
        <is>
          <t>Housing</t>
        </is>
      </c>
      <c r="G797" s="4" t="n">
        <v>46208</v>
      </c>
      <c r="H797" s="5" t="n">
        <v>17667</v>
      </c>
    </row>
    <row r="798">
      <c r="A798" s="3" t="inlineStr">
        <is>
          <t>D0797</t>
        </is>
      </c>
      <c r="B798" s="3" t="inlineStr">
        <is>
          <t>A0133</t>
        </is>
      </c>
      <c r="C798" s="3" t="inlineStr">
        <is>
          <t>Sunita Tiwari</t>
        </is>
      </c>
      <c r="D798" s="3" t="inlineStr">
        <is>
          <t>Bhagalpur</t>
        </is>
      </c>
      <c r="E798" s="3" t="inlineStr">
        <is>
          <t>S. Gupta</t>
        </is>
      </c>
      <c r="F798" s="3" t="inlineStr">
        <is>
          <t>Housing</t>
        </is>
      </c>
      <c r="G798" s="4" t="n">
        <v>46239</v>
      </c>
      <c r="H798" s="5" t="n">
        <v>17667</v>
      </c>
    </row>
    <row r="799">
      <c r="A799" s="3" t="inlineStr">
        <is>
          <t>D0798</t>
        </is>
      </c>
      <c r="B799" s="3" t="inlineStr">
        <is>
          <t>A0133</t>
        </is>
      </c>
      <c r="C799" s="3" t="inlineStr">
        <is>
          <t>Sunita Tiwari</t>
        </is>
      </c>
      <c r="D799" s="3" t="inlineStr">
        <is>
          <t>Bhagalpur</t>
        </is>
      </c>
      <c r="E799" s="3" t="inlineStr">
        <is>
          <t>S. Gupta</t>
        </is>
      </c>
      <c r="F799" s="3" t="inlineStr">
        <is>
          <t>Housing</t>
        </is>
      </c>
      <c r="G799" s="4" t="n">
        <v>46270</v>
      </c>
      <c r="H799" s="5" t="n">
        <v>17667</v>
      </c>
    </row>
    <row r="800">
      <c r="A800" s="3" t="inlineStr">
        <is>
          <t>D0799</t>
        </is>
      </c>
      <c r="B800" s="3" t="inlineStr">
        <is>
          <t>A0134</t>
        </is>
      </c>
      <c r="C800" s="3" t="inlineStr">
        <is>
          <t>Deepak Rai</t>
        </is>
      </c>
      <c r="D800" s="3" t="inlineStr">
        <is>
          <t>Bhagalpur</t>
        </is>
      </c>
      <c r="E800" s="3" t="inlineStr">
        <is>
          <t>A. Verma</t>
        </is>
      </c>
      <c r="F800" s="3" t="inlineStr">
        <is>
          <t>Housing</t>
        </is>
      </c>
      <c r="G800" s="4" t="n">
        <v>46117</v>
      </c>
      <c r="H800" s="5" t="n">
        <v>29500</v>
      </c>
    </row>
    <row r="801">
      <c r="A801" s="3" t="inlineStr">
        <is>
          <t>D0800</t>
        </is>
      </c>
      <c r="B801" s="3" t="inlineStr">
        <is>
          <t>A0134</t>
        </is>
      </c>
      <c r="C801" s="3" t="inlineStr">
        <is>
          <t>Deepak Rai</t>
        </is>
      </c>
      <c r="D801" s="3" t="inlineStr">
        <is>
          <t>Bhagalpur</t>
        </is>
      </c>
      <c r="E801" s="3" t="inlineStr">
        <is>
          <t>A. Verma</t>
        </is>
      </c>
      <c r="F801" s="3" t="inlineStr">
        <is>
          <t>Housing</t>
        </is>
      </c>
      <c r="G801" s="4" t="n">
        <v>46147</v>
      </c>
      <c r="H801" s="5" t="n">
        <v>29500</v>
      </c>
    </row>
    <row r="802">
      <c r="A802" s="3" t="inlineStr">
        <is>
          <t>D0801</t>
        </is>
      </c>
      <c r="B802" s="3" t="inlineStr">
        <is>
          <t>A0134</t>
        </is>
      </c>
      <c r="C802" s="3" t="inlineStr">
        <is>
          <t>Deepak Rai</t>
        </is>
      </c>
      <c r="D802" s="3" t="inlineStr">
        <is>
          <t>Bhagalpur</t>
        </is>
      </c>
      <c r="E802" s="3" t="inlineStr">
        <is>
          <t>A. Verma</t>
        </is>
      </c>
      <c r="F802" s="3" t="inlineStr">
        <is>
          <t>Housing</t>
        </is>
      </c>
      <c r="G802" s="4" t="n">
        <v>46178</v>
      </c>
      <c r="H802" s="5" t="n">
        <v>29500</v>
      </c>
    </row>
    <row r="803">
      <c r="A803" s="3" t="inlineStr">
        <is>
          <t>D0802</t>
        </is>
      </c>
      <c r="B803" s="3" t="inlineStr">
        <is>
          <t>A0134</t>
        </is>
      </c>
      <c r="C803" s="3" t="inlineStr">
        <is>
          <t>Deepak Rai</t>
        </is>
      </c>
      <c r="D803" s="3" t="inlineStr">
        <is>
          <t>Bhagalpur</t>
        </is>
      </c>
      <c r="E803" s="3" t="inlineStr">
        <is>
          <t>A. Verma</t>
        </is>
      </c>
      <c r="F803" s="3" t="inlineStr">
        <is>
          <t>Housing</t>
        </is>
      </c>
      <c r="G803" s="4" t="n">
        <v>46208</v>
      </c>
      <c r="H803" s="5" t="n">
        <v>29500</v>
      </c>
    </row>
    <row r="804">
      <c r="A804" s="3" t="inlineStr">
        <is>
          <t>D0803</t>
        </is>
      </c>
      <c r="B804" s="3" t="inlineStr">
        <is>
          <t>A0134</t>
        </is>
      </c>
      <c r="C804" s="3" t="inlineStr">
        <is>
          <t>Deepak Rai</t>
        </is>
      </c>
      <c r="D804" s="3" t="inlineStr">
        <is>
          <t>Bhagalpur</t>
        </is>
      </c>
      <c r="E804" s="3" t="inlineStr">
        <is>
          <t>A. Verma</t>
        </is>
      </c>
      <c r="F804" s="3" t="inlineStr">
        <is>
          <t>Housing</t>
        </is>
      </c>
      <c r="G804" s="4" t="n">
        <v>46239</v>
      </c>
      <c r="H804" s="5" t="n">
        <v>29500</v>
      </c>
    </row>
    <row r="805">
      <c r="A805" s="3" t="inlineStr">
        <is>
          <t>D0804</t>
        </is>
      </c>
      <c r="B805" s="3" t="inlineStr">
        <is>
          <t>A0134</t>
        </is>
      </c>
      <c r="C805" s="3" t="inlineStr">
        <is>
          <t>Deepak Rai</t>
        </is>
      </c>
      <c r="D805" s="3" t="inlineStr">
        <is>
          <t>Bhagalpur</t>
        </is>
      </c>
      <c r="E805" s="3" t="inlineStr">
        <is>
          <t>A. Verma</t>
        </is>
      </c>
      <c r="F805" s="3" t="inlineStr">
        <is>
          <t>Housing</t>
        </is>
      </c>
      <c r="G805" s="4" t="n">
        <v>46270</v>
      </c>
      <c r="H805" s="5" t="n">
        <v>29500</v>
      </c>
    </row>
    <row r="806">
      <c r="A806" s="3" t="inlineStr">
        <is>
          <t>D0805</t>
        </is>
      </c>
      <c r="B806" s="3" t="inlineStr">
        <is>
          <t>A0135</t>
        </is>
      </c>
      <c r="C806" s="3" t="inlineStr">
        <is>
          <t>Kiran Mandal</t>
        </is>
      </c>
      <c r="D806" s="3" t="inlineStr">
        <is>
          <t>Bhagalpur</t>
        </is>
      </c>
      <c r="E806" s="3" t="inlineStr">
        <is>
          <t>A. Verma</t>
        </is>
      </c>
      <c r="F806" s="3" t="inlineStr">
        <is>
          <t>Agri</t>
        </is>
      </c>
      <c r="G806" s="4" t="n">
        <v>46117</v>
      </c>
      <c r="H806" s="5" t="n">
        <v>14833</v>
      </c>
    </row>
    <row r="807">
      <c r="A807" s="3" t="inlineStr">
        <is>
          <t>D0806</t>
        </is>
      </c>
      <c r="B807" s="3" t="inlineStr">
        <is>
          <t>A0135</t>
        </is>
      </c>
      <c r="C807" s="3" t="inlineStr">
        <is>
          <t>Kiran Mandal</t>
        </is>
      </c>
      <c r="D807" s="3" t="inlineStr">
        <is>
          <t>Bhagalpur</t>
        </is>
      </c>
      <c r="E807" s="3" t="inlineStr">
        <is>
          <t>A. Verma</t>
        </is>
      </c>
      <c r="F807" s="3" t="inlineStr">
        <is>
          <t>Agri</t>
        </is>
      </c>
      <c r="G807" s="4" t="n">
        <v>46147</v>
      </c>
      <c r="H807" s="5" t="n">
        <v>14833</v>
      </c>
    </row>
    <row r="808">
      <c r="A808" s="3" t="inlineStr">
        <is>
          <t>D0807</t>
        </is>
      </c>
      <c r="B808" s="3" t="inlineStr">
        <is>
          <t>A0135</t>
        </is>
      </c>
      <c r="C808" s="3" t="inlineStr">
        <is>
          <t>Kiran Mandal</t>
        </is>
      </c>
      <c r="D808" s="3" t="inlineStr">
        <is>
          <t>Bhagalpur</t>
        </is>
      </c>
      <c r="E808" s="3" t="inlineStr">
        <is>
          <t>A. Verma</t>
        </is>
      </c>
      <c r="F808" s="3" t="inlineStr">
        <is>
          <t>Agri</t>
        </is>
      </c>
      <c r="G808" s="4" t="n">
        <v>46178</v>
      </c>
      <c r="H808" s="5" t="n">
        <v>14833</v>
      </c>
    </row>
    <row r="809">
      <c r="A809" s="3" t="inlineStr">
        <is>
          <t>D0808</t>
        </is>
      </c>
      <c r="B809" s="3" t="inlineStr">
        <is>
          <t>A0135</t>
        </is>
      </c>
      <c r="C809" s="3" t="inlineStr">
        <is>
          <t>Kiran Mandal</t>
        </is>
      </c>
      <c r="D809" s="3" t="inlineStr">
        <is>
          <t>Bhagalpur</t>
        </is>
      </c>
      <c r="E809" s="3" t="inlineStr">
        <is>
          <t>A. Verma</t>
        </is>
      </c>
      <c r="F809" s="3" t="inlineStr">
        <is>
          <t>Agri</t>
        </is>
      </c>
      <c r="G809" s="4" t="n">
        <v>46208</v>
      </c>
      <c r="H809" s="5" t="n">
        <v>14833</v>
      </c>
    </row>
    <row r="810">
      <c r="A810" s="3" t="inlineStr">
        <is>
          <t>D0809</t>
        </is>
      </c>
      <c r="B810" s="3" t="inlineStr">
        <is>
          <t>A0135</t>
        </is>
      </c>
      <c r="C810" s="3" t="inlineStr">
        <is>
          <t>Kiran Mandal</t>
        </is>
      </c>
      <c r="D810" s="3" t="inlineStr">
        <is>
          <t>Bhagalpur</t>
        </is>
      </c>
      <c r="E810" s="3" t="inlineStr">
        <is>
          <t>A. Verma</t>
        </is>
      </c>
      <c r="F810" s="3" t="inlineStr">
        <is>
          <t>Agri</t>
        </is>
      </c>
      <c r="G810" s="4" t="n">
        <v>46239</v>
      </c>
      <c r="H810" s="5" t="n">
        <v>14833</v>
      </c>
    </row>
    <row r="811">
      <c r="A811" s="3" t="inlineStr">
        <is>
          <t>D0810</t>
        </is>
      </c>
      <c r="B811" s="3" t="inlineStr">
        <is>
          <t>A0135</t>
        </is>
      </c>
      <c r="C811" s="3" t="inlineStr">
        <is>
          <t>Kiran Mandal</t>
        </is>
      </c>
      <c r="D811" s="3" t="inlineStr">
        <is>
          <t>Bhagalpur</t>
        </is>
      </c>
      <c r="E811" s="3" t="inlineStr">
        <is>
          <t>A. Verma</t>
        </is>
      </c>
      <c r="F811" s="3" t="inlineStr">
        <is>
          <t>Agri</t>
        </is>
      </c>
      <c r="G811" s="4" t="n">
        <v>46270</v>
      </c>
      <c r="H811" s="5" t="n">
        <v>14833</v>
      </c>
    </row>
    <row r="812">
      <c r="A812" s="3" t="inlineStr">
        <is>
          <t>D0811</t>
        </is>
      </c>
      <c r="B812" s="3" t="inlineStr">
        <is>
          <t>A0136</t>
        </is>
      </c>
      <c r="C812" s="3" t="inlineStr">
        <is>
          <t>Sanjay Mishra</t>
        </is>
      </c>
      <c r="D812" s="3" t="inlineStr">
        <is>
          <t>Bhagalpur</t>
        </is>
      </c>
      <c r="E812" s="3" t="inlineStr">
        <is>
          <t>K. Sharma</t>
        </is>
      </c>
      <c r="F812" s="3" t="inlineStr">
        <is>
          <t>Housing</t>
        </is>
      </c>
      <c r="G812" s="4" t="n">
        <v>46117</v>
      </c>
      <c r="H812" s="5" t="n">
        <v>4167</v>
      </c>
    </row>
    <row r="813">
      <c r="A813" s="3" t="inlineStr">
        <is>
          <t>D0812</t>
        </is>
      </c>
      <c r="B813" s="3" t="inlineStr">
        <is>
          <t>A0136</t>
        </is>
      </c>
      <c r="C813" s="3" t="inlineStr">
        <is>
          <t>Sanjay Mishra</t>
        </is>
      </c>
      <c r="D813" s="3" t="inlineStr">
        <is>
          <t>Bhagalpur</t>
        </is>
      </c>
      <c r="E813" s="3" t="inlineStr">
        <is>
          <t>K. Sharma</t>
        </is>
      </c>
      <c r="F813" s="3" t="inlineStr">
        <is>
          <t>Housing</t>
        </is>
      </c>
      <c r="G813" s="4" t="n">
        <v>46147</v>
      </c>
      <c r="H813" s="5" t="n">
        <v>4167</v>
      </c>
    </row>
    <row r="814">
      <c r="A814" s="3" t="inlineStr">
        <is>
          <t>D0813</t>
        </is>
      </c>
      <c r="B814" s="3" t="inlineStr">
        <is>
          <t>A0136</t>
        </is>
      </c>
      <c r="C814" s="3" t="inlineStr">
        <is>
          <t>Sanjay Mishra</t>
        </is>
      </c>
      <c r="D814" s="3" t="inlineStr">
        <is>
          <t>Bhagalpur</t>
        </is>
      </c>
      <c r="E814" s="3" t="inlineStr">
        <is>
          <t>K. Sharma</t>
        </is>
      </c>
      <c r="F814" s="3" t="inlineStr">
        <is>
          <t>Housing</t>
        </is>
      </c>
      <c r="G814" s="4" t="n">
        <v>46178</v>
      </c>
      <c r="H814" s="5" t="n">
        <v>4167</v>
      </c>
    </row>
    <row r="815">
      <c r="A815" s="3" t="inlineStr">
        <is>
          <t>D0814</t>
        </is>
      </c>
      <c r="B815" s="3" t="inlineStr">
        <is>
          <t>A0136</t>
        </is>
      </c>
      <c r="C815" s="3" t="inlineStr">
        <is>
          <t>Sanjay Mishra</t>
        </is>
      </c>
      <c r="D815" s="3" t="inlineStr">
        <is>
          <t>Bhagalpur</t>
        </is>
      </c>
      <c r="E815" s="3" t="inlineStr">
        <is>
          <t>K. Sharma</t>
        </is>
      </c>
      <c r="F815" s="3" t="inlineStr">
        <is>
          <t>Housing</t>
        </is>
      </c>
      <c r="G815" s="4" t="n">
        <v>46208</v>
      </c>
      <c r="H815" s="5" t="n">
        <v>4167</v>
      </c>
    </row>
    <row r="816">
      <c r="A816" s="3" t="inlineStr">
        <is>
          <t>D0815</t>
        </is>
      </c>
      <c r="B816" s="3" t="inlineStr">
        <is>
          <t>A0136</t>
        </is>
      </c>
      <c r="C816" s="3" t="inlineStr">
        <is>
          <t>Sanjay Mishra</t>
        </is>
      </c>
      <c r="D816" s="3" t="inlineStr">
        <is>
          <t>Bhagalpur</t>
        </is>
      </c>
      <c r="E816" s="3" t="inlineStr">
        <is>
          <t>K. Sharma</t>
        </is>
      </c>
      <c r="F816" s="3" t="inlineStr">
        <is>
          <t>Housing</t>
        </is>
      </c>
      <c r="G816" s="4" t="n">
        <v>46239</v>
      </c>
      <c r="H816" s="5" t="n">
        <v>4167</v>
      </c>
    </row>
    <row r="817">
      <c r="A817" s="3" t="inlineStr">
        <is>
          <t>D0816</t>
        </is>
      </c>
      <c r="B817" s="3" t="inlineStr">
        <is>
          <t>A0136</t>
        </is>
      </c>
      <c r="C817" s="3" t="inlineStr">
        <is>
          <t>Sanjay Mishra</t>
        </is>
      </c>
      <c r="D817" s="3" t="inlineStr">
        <is>
          <t>Bhagalpur</t>
        </is>
      </c>
      <c r="E817" s="3" t="inlineStr">
        <is>
          <t>K. Sharma</t>
        </is>
      </c>
      <c r="F817" s="3" t="inlineStr">
        <is>
          <t>Housing</t>
        </is>
      </c>
      <c r="G817" s="4" t="n">
        <v>46270</v>
      </c>
      <c r="H817" s="5" t="n">
        <v>4167</v>
      </c>
    </row>
    <row r="818">
      <c r="A818" s="3" t="inlineStr">
        <is>
          <t>D0817</t>
        </is>
      </c>
      <c r="B818" s="3" t="inlineStr">
        <is>
          <t>A0137</t>
        </is>
      </c>
      <c r="C818" s="3" t="inlineStr">
        <is>
          <t>Ravi Yadav</t>
        </is>
      </c>
      <c r="D818" s="3" t="inlineStr">
        <is>
          <t>Bhagalpur</t>
        </is>
      </c>
      <c r="E818" s="3" t="inlineStr">
        <is>
          <t>A. Verma</t>
        </is>
      </c>
      <c r="F818" s="3" t="inlineStr">
        <is>
          <t>Housing</t>
        </is>
      </c>
      <c r="G818" s="4" t="n">
        <v>46117</v>
      </c>
      <c r="H818" s="5" t="n">
        <v>32167</v>
      </c>
    </row>
    <row r="819">
      <c r="A819" s="3" t="inlineStr">
        <is>
          <t>D0818</t>
        </is>
      </c>
      <c r="B819" s="3" t="inlineStr">
        <is>
          <t>A0137</t>
        </is>
      </c>
      <c r="C819" s="3" t="inlineStr">
        <is>
          <t>Ravi Yadav</t>
        </is>
      </c>
      <c r="D819" s="3" t="inlineStr">
        <is>
          <t>Bhagalpur</t>
        </is>
      </c>
      <c r="E819" s="3" t="inlineStr">
        <is>
          <t>A. Verma</t>
        </is>
      </c>
      <c r="F819" s="3" t="inlineStr">
        <is>
          <t>Housing</t>
        </is>
      </c>
      <c r="G819" s="4" t="n">
        <v>46147</v>
      </c>
      <c r="H819" s="5" t="n">
        <v>32167</v>
      </c>
    </row>
    <row r="820">
      <c r="A820" s="3" t="inlineStr">
        <is>
          <t>D0819</t>
        </is>
      </c>
      <c r="B820" s="3" t="inlineStr">
        <is>
          <t>A0137</t>
        </is>
      </c>
      <c r="C820" s="3" t="inlineStr">
        <is>
          <t>Ravi Yadav</t>
        </is>
      </c>
      <c r="D820" s="3" t="inlineStr">
        <is>
          <t>Bhagalpur</t>
        </is>
      </c>
      <c r="E820" s="3" t="inlineStr">
        <is>
          <t>A. Verma</t>
        </is>
      </c>
      <c r="F820" s="3" t="inlineStr">
        <is>
          <t>Housing</t>
        </is>
      </c>
      <c r="G820" s="4" t="n">
        <v>46178</v>
      </c>
      <c r="H820" s="5" t="n">
        <v>32167</v>
      </c>
    </row>
    <row r="821">
      <c r="A821" s="3" t="inlineStr">
        <is>
          <t>D0820</t>
        </is>
      </c>
      <c r="B821" s="3" t="inlineStr">
        <is>
          <t>A0137</t>
        </is>
      </c>
      <c r="C821" s="3" t="inlineStr">
        <is>
          <t>Ravi Yadav</t>
        </is>
      </c>
      <c r="D821" s="3" t="inlineStr">
        <is>
          <t>Bhagalpur</t>
        </is>
      </c>
      <c r="E821" s="3" t="inlineStr">
        <is>
          <t>A. Verma</t>
        </is>
      </c>
      <c r="F821" s="3" t="inlineStr">
        <is>
          <t>Housing</t>
        </is>
      </c>
      <c r="G821" s="4" t="n">
        <v>46208</v>
      </c>
      <c r="H821" s="5" t="n">
        <v>32167</v>
      </c>
    </row>
    <row r="822">
      <c r="A822" s="3" t="inlineStr">
        <is>
          <t>D0821</t>
        </is>
      </c>
      <c r="B822" s="3" t="inlineStr">
        <is>
          <t>A0137</t>
        </is>
      </c>
      <c r="C822" s="3" t="inlineStr">
        <is>
          <t>Ravi Yadav</t>
        </is>
      </c>
      <c r="D822" s="3" t="inlineStr">
        <is>
          <t>Bhagalpur</t>
        </is>
      </c>
      <c r="E822" s="3" t="inlineStr">
        <is>
          <t>A. Verma</t>
        </is>
      </c>
      <c r="F822" s="3" t="inlineStr">
        <is>
          <t>Housing</t>
        </is>
      </c>
      <c r="G822" s="4" t="n">
        <v>46239</v>
      </c>
      <c r="H822" s="5" t="n">
        <v>32167</v>
      </c>
    </row>
    <row r="823">
      <c r="A823" s="3" t="inlineStr">
        <is>
          <t>D0822</t>
        </is>
      </c>
      <c r="B823" s="3" t="inlineStr">
        <is>
          <t>A0137</t>
        </is>
      </c>
      <c r="C823" s="3" t="inlineStr">
        <is>
          <t>Ravi Yadav</t>
        </is>
      </c>
      <c r="D823" s="3" t="inlineStr">
        <is>
          <t>Bhagalpur</t>
        </is>
      </c>
      <c r="E823" s="3" t="inlineStr">
        <is>
          <t>A. Verma</t>
        </is>
      </c>
      <c r="F823" s="3" t="inlineStr">
        <is>
          <t>Housing</t>
        </is>
      </c>
      <c r="G823" s="4" t="n">
        <v>46270</v>
      </c>
      <c r="H823" s="5" t="n">
        <v>32167</v>
      </c>
    </row>
    <row r="824">
      <c r="A824" s="3" t="inlineStr">
        <is>
          <t>D0823</t>
        </is>
      </c>
      <c r="B824" s="3" t="inlineStr">
        <is>
          <t>A0138</t>
        </is>
      </c>
      <c r="C824" s="3" t="inlineStr">
        <is>
          <t>Ramesh Kumar</t>
        </is>
      </c>
      <c r="D824" s="3" t="inlineStr">
        <is>
          <t>Darbhanga</t>
        </is>
      </c>
      <c r="E824" s="3" t="inlineStr">
        <is>
          <t>M. Mandal</t>
        </is>
      </c>
      <c r="F824" s="3" t="inlineStr">
        <is>
          <t>Personal</t>
        </is>
      </c>
      <c r="G824" s="4" t="n">
        <v>46117</v>
      </c>
      <c r="H824" s="5" t="n">
        <v>13167</v>
      </c>
    </row>
    <row r="825">
      <c r="A825" s="3" t="inlineStr">
        <is>
          <t>D0824</t>
        </is>
      </c>
      <c r="B825" s="3" t="inlineStr">
        <is>
          <t>A0138</t>
        </is>
      </c>
      <c r="C825" s="3" t="inlineStr">
        <is>
          <t>Ramesh Kumar</t>
        </is>
      </c>
      <c r="D825" s="3" t="inlineStr">
        <is>
          <t>Darbhanga</t>
        </is>
      </c>
      <c r="E825" s="3" t="inlineStr">
        <is>
          <t>M. Mandal</t>
        </is>
      </c>
      <c r="F825" s="3" t="inlineStr">
        <is>
          <t>Personal</t>
        </is>
      </c>
      <c r="G825" s="4" t="n">
        <v>46147</v>
      </c>
      <c r="H825" s="5" t="n">
        <v>13167</v>
      </c>
    </row>
    <row r="826">
      <c r="A826" s="3" t="inlineStr">
        <is>
          <t>D0825</t>
        </is>
      </c>
      <c r="B826" s="3" t="inlineStr">
        <is>
          <t>A0138</t>
        </is>
      </c>
      <c r="C826" s="3" t="inlineStr">
        <is>
          <t>Ramesh Kumar</t>
        </is>
      </c>
      <c r="D826" s="3" t="inlineStr">
        <is>
          <t>Darbhanga</t>
        </is>
      </c>
      <c r="E826" s="3" t="inlineStr">
        <is>
          <t>M. Mandal</t>
        </is>
      </c>
      <c r="F826" s="3" t="inlineStr">
        <is>
          <t>Personal</t>
        </is>
      </c>
      <c r="G826" s="4" t="n">
        <v>46178</v>
      </c>
      <c r="H826" s="5" t="n">
        <v>13167</v>
      </c>
    </row>
    <row r="827">
      <c r="A827" s="3" t="inlineStr">
        <is>
          <t>D0826</t>
        </is>
      </c>
      <c r="B827" s="3" t="inlineStr">
        <is>
          <t>A0138</t>
        </is>
      </c>
      <c r="C827" s="3" t="inlineStr">
        <is>
          <t>Ramesh Kumar</t>
        </is>
      </c>
      <c r="D827" s="3" t="inlineStr">
        <is>
          <t>Darbhanga</t>
        </is>
      </c>
      <c r="E827" s="3" t="inlineStr">
        <is>
          <t>M. Mandal</t>
        </is>
      </c>
      <c r="F827" s="3" t="inlineStr">
        <is>
          <t>Personal</t>
        </is>
      </c>
      <c r="G827" s="4" t="n">
        <v>46208</v>
      </c>
      <c r="H827" s="5" t="n">
        <v>13167</v>
      </c>
    </row>
    <row r="828">
      <c r="A828" s="3" t="inlineStr">
        <is>
          <t>D0827</t>
        </is>
      </c>
      <c r="B828" s="3" t="inlineStr">
        <is>
          <t>A0138</t>
        </is>
      </c>
      <c r="C828" s="3" t="inlineStr">
        <is>
          <t>Ramesh Kumar</t>
        </is>
      </c>
      <c r="D828" s="3" t="inlineStr">
        <is>
          <t>Darbhanga</t>
        </is>
      </c>
      <c r="E828" s="3" t="inlineStr">
        <is>
          <t>M. Mandal</t>
        </is>
      </c>
      <c r="F828" s="3" t="inlineStr">
        <is>
          <t>Personal</t>
        </is>
      </c>
      <c r="G828" s="4" t="n">
        <v>46239</v>
      </c>
      <c r="H828" s="5" t="n">
        <v>13167</v>
      </c>
    </row>
    <row r="829">
      <c r="A829" s="3" t="inlineStr">
        <is>
          <t>D0828</t>
        </is>
      </c>
      <c r="B829" s="3" t="inlineStr">
        <is>
          <t>A0138</t>
        </is>
      </c>
      <c r="C829" s="3" t="inlineStr">
        <is>
          <t>Ramesh Kumar</t>
        </is>
      </c>
      <c r="D829" s="3" t="inlineStr">
        <is>
          <t>Darbhanga</t>
        </is>
      </c>
      <c r="E829" s="3" t="inlineStr">
        <is>
          <t>M. Mandal</t>
        </is>
      </c>
      <c r="F829" s="3" t="inlineStr">
        <is>
          <t>Personal</t>
        </is>
      </c>
      <c r="G829" s="4" t="n">
        <v>46270</v>
      </c>
      <c r="H829" s="5" t="n">
        <v>13167</v>
      </c>
    </row>
    <row r="830">
      <c r="A830" s="3" t="inlineStr">
        <is>
          <t>D0829</t>
        </is>
      </c>
      <c r="B830" s="3" t="inlineStr">
        <is>
          <t>A0139</t>
        </is>
      </c>
      <c r="C830" s="3" t="inlineStr">
        <is>
          <t>Rina Mandal</t>
        </is>
      </c>
      <c r="D830" s="3" t="inlineStr">
        <is>
          <t>Gaya</t>
        </is>
      </c>
      <c r="E830" s="3" t="inlineStr">
        <is>
          <t>M. Mandal</t>
        </is>
      </c>
      <c r="F830" s="3" t="inlineStr">
        <is>
          <t>Trade</t>
        </is>
      </c>
      <c r="G830" s="4" t="n">
        <v>46117</v>
      </c>
      <c r="H830" s="5" t="n">
        <v>23667</v>
      </c>
    </row>
    <row r="831">
      <c r="A831" s="3" t="inlineStr">
        <is>
          <t>D0830</t>
        </is>
      </c>
      <c r="B831" s="3" t="inlineStr">
        <is>
          <t>A0139</t>
        </is>
      </c>
      <c r="C831" s="3" t="inlineStr">
        <is>
          <t>Rina Mandal</t>
        </is>
      </c>
      <c r="D831" s="3" t="inlineStr">
        <is>
          <t>Gaya</t>
        </is>
      </c>
      <c r="E831" s="3" t="inlineStr">
        <is>
          <t>M. Mandal</t>
        </is>
      </c>
      <c r="F831" s="3" t="inlineStr">
        <is>
          <t>Trade</t>
        </is>
      </c>
      <c r="G831" s="4" t="n">
        <v>46147</v>
      </c>
      <c r="H831" s="5" t="n">
        <v>23667</v>
      </c>
    </row>
    <row r="832">
      <c r="A832" s="3" t="inlineStr">
        <is>
          <t>D0831</t>
        </is>
      </c>
      <c r="B832" s="3" t="inlineStr">
        <is>
          <t>A0139</t>
        </is>
      </c>
      <c r="C832" s="3" t="inlineStr">
        <is>
          <t>Rina Mandal</t>
        </is>
      </c>
      <c r="D832" s="3" t="inlineStr">
        <is>
          <t>Gaya</t>
        </is>
      </c>
      <c r="E832" s="3" t="inlineStr">
        <is>
          <t>M. Mandal</t>
        </is>
      </c>
      <c r="F832" s="3" t="inlineStr">
        <is>
          <t>Trade</t>
        </is>
      </c>
      <c r="G832" s="4" t="n">
        <v>46178</v>
      </c>
      <c r="H832" s="5" t="n">
        <v>23667</v>
      </c>
    </row>
    <row r="833">
      <c r="A833" s="3" t="inlineStr">
        <is>
          <t>D0832</t>
        </is>
      </c>
      <c r="B833" s="3" t="inlineStr">
        <is>
          <t>A0139</t>
        </is>
      </c>
      <c r="C833" s="3" t="inlineStr">
        <is>
          <t>Rina Mandal</t>
        </is>
      </c>
      <c r="D833" s="3" t="inlineStr">
        <is>
          <t>Gaya</t>
        </is>
      </c>
      <c r="E833" s="3" t="inlineStr">
        <is>
          <t>M. Mandal</t>
        </is>
      </c>
      <c r="F833" s="3" t="inlineStr">
        <is>
          <t>Trade</t>
        </is>
      </c>
      <c r="G833" s="4" t="n">
        <v>46208</v>
      </c>
      <c r="H833" s="5" t="n">
        <v>23667</v>
      </c>
    </row>
    <row r="834">
      <c r="A834" s="3" t="inlineStr">
        <is>
          <t>D0833</t>
        </is>
      </c>
      <c r="B834" s="3" t="inlineStr">
        <is>
          <t>A0139</t>
        </is>
      </c>
      <c r="C834" s="3" t="inlineStr">
        <is>
          <t>Rina Mandal</t>
        </is>
      </c>
      <c r="D834" s="3" t="inlineStr">
        <is>
          <t>Gaya</t>
        </is>
      </c>
      <c r="E834" s="3" t="inlineStr">
        <is>
          <t>M. Mandal</t>
        </is>
      </c>
      <c r="F834" s="3" t="inlineStr">
        <is>
          <t>Trade</t>
        </is>
      </c>
      <c r="G834" s="4" t="n">
        <v>46239</v>
      </c>
      <c r="H834" s="5" t="n">
        <v>23667</v>
      </c>
    </row>
    <row r="835">
      <c r="A835" s="3" t="inlineStr">
        <is>
          <t>D0834</t>
        </is>
      </c>
      <c r="B835" s="3" t="inlineStr">
        <is>
          <t>A0139</t>
        </is>
      </c>
      <c r="C835" s="3" t="inlineStr">
        <is>
          <t>Rina Mandal</t>
        </is>
      </c>
      <c r="D835" s="3" t="inlineStr">
        <is>
          <t>Gaya</t>
        </is>
      </c>
      <c r="E835" s="3" t="inlineStr">
        <is>
          <t>M. Mandal</t>
        </is>
      </c>
      <c r="F835" s="3" t="inlineStr">
        <is>
          <t>Trade</t>
        </is>
      </c>
      <c r="G835" s="4" t="n">
        <v>46270</v>
      </c>
      <c r="H835" s="5" t="n">
        <v>23667</v>
      </c>
    </row>
    <row r="836">
      <c r="A836" s="3" t="inlineStr">
        <is>
          <t>D0835</t>
        </is>
      </c>
      <c r="B836" s="3" t="inlineStr">
        <is>
          <t>A0140</t>
        </is>
      </c>
      <c r="C836" s="3" t="inlineStr">
        <is>
          <t>Pooja Sharma</t>
        </is>
      </c>
      <c r="D836" s="3" t="inlineStr">
        <is>
          <t>Bhagalpur</t>
        </is>
      </c>
      <c r="E836" s="3" t="inlineStr">
        <is>
          <t>S. Gupta</t>
        </is>
      </c>
      <c r="F836" s="3" t="inlineStr">
        <is>
          <t>Personal</t>
        </is>
      </c>
      <c r="G836" s="4" t="n">
        <v>46117</v>
      </c>
      <c r="H836" s="5" t="n">
        <v>32167</v>
      </c>
    </row>
    <row r="837">
      <c r="A837" s="3" t="inlineStr">
        <is>
          <t>D0836</t>
        </is>
      </c>
      <c r="B837" s="3" t="inlineStr">
        <is>
          <t>A0140</t>
        </is>
      </c>
      <c r="C837" s="3" t="inlineStr">
        <is>
          <t>Pooja Sharma</t>
        </is>
      </c>
      <c r="D837" s="3" t="inlineStr">
        <is>
          <t>Bhagalpur</t>
        </is>
      </c>
      <c r="E837" s="3" t="inlineStr">
        <is>
          <t>S. Gupta</t>
        </is>
      </c>
      <c r="F837" s="3" t="inlineStr">
        <is>
          <t>Personal</t>
        </is>
      </c>
      <c r="G837" s="4" t="n">
        <v>46147</v>
      </c>
      <c r="H837" s="5" t="n">
        <v>32167</v>
      </c>
    </row>
    <row r="838">
      <c r="A838" s="3" t="inlineStr">
        <is>
          <t>D0837</t>
        </is>
      </c>
      <c r="B838" s="3" t="inlineStr">
        <is>
          <t>A0140</t>
        </is>
      </c>
      <c r="C838" s="3" t="inlineStr">
        <is>
          <t>Pooja Sharma</t>
        </is>
      </c>
      <c r="D838" s="3" t="inlineStr">
        <is>
          <t>Bhagalpur</t>
        </is>
      </c>
      <c r="E838" s="3" t="inlineStr">
        <is>
          <t>S. Gupta</t>
        </is>
      </c>
      <c r="F838" s="3" t="inlineStr">
        <is>
          <t>Personal</t>
        </is>
      </c>
      <c r="G838" s="4" t="n">
        <v>46178</v>
      </c>
      <c r="H838" s="5" t="n">
        <v>32167</v>
      </c>
    </row>
    <row r="839">
      <c r="A839" s="3" t="inlineStr">
        <is>
          <t>D0838</t>
        </is>
      </c>
      <c r="B839" s="3" t="inlineStr">
        <is>
          <t>A0140</t>
        </is>
      </c>
      <c r="C839" s="3" t="inlineStr">
        <is>
          <t>Pooja Sharma</t>
        </is>
      </c>
      <c r="D839" s="3" t="inlineStr">
        <is>
          <t>Bhagalpur</t>
        </is>
      </c>
      <c r="E839" s="3" t="inlineStr">
        <is>
          <t>S. Gupta</t>
        </is>
      </c>
      <c r="F839" s="3" t="inlineStr">
        <is>
          <t>Personal</t>
        </is>
      </c>
      <c r="G839" s="4" t="n">
        <v>46208</v>
      </c>
      <c r="H839" s="5" t="n">
        <v>32167</v>
      </c>
    </row>
    <row r="840">
      <c r="A840" s="3" t="inlineStr">
        <is>
          <t>D0839</t>
        </is>
      </c>
      <c r="B840" s="3" t="inlineStr">
        <is>
          <t>A0140</t>
        </is>
      </c>
      <c r="C840" s="3" t="inlineStr">
        <is>
          <t>Pooja Sharma</t>
        </is>
      </c>
      <c r="D840" s="3" t="inlineStr">
        <is>
          <t>Bhagalpur</t>
        </is>
      </c>
      <c r="E840" s="3" t="inlineStr">
        <is>
          <t>S. Gupta</t>
        </is>
      </c>
      <c r="F840" s="3" t="inlineStr">
        <is>
          <t>Personal</t>
        </is>
      </c>
      <c r="G840" s="4" t="n">
        <v>46239</v>
      </c>
      <c r="H840" s="5" t="n">
        <v>32167</v>
      </c>
    </row>
    <row r="841">
      <c r="A841" s="3" t="inlineStr">
        <is>
          <t>D0840</t>
        </is>
      </c>
      <c r="B841" s="3" t="inlineStr">
        <is>
          <t>A0140</t>
        </is>
      </c>
      <c r="C841" s="3" t="inlineStr">
        <is>
          <t>Pooja Sharma</t>
        </is>
      </c>
      <c r="D841" s="3" t="inlineStr">
        <is>
          <t>Bhagalpur</t>
        </is>
      </c>
      <c r="E841" s="3" t="inlineStr">
        <is>
          <t>S. Gupta</t>
        </is>
      </c>
      <c r="F841" s="3" t="inlineStr">
        <is>
          <t>Personal</t>
        </is>
      </c>
      <c r="G841" s="4" t="n">
        <v>46270</v>
      </c>
      <c r="H841" s="5" t="n">
        <v>32167</v>
      </c>
    </row>
    <row r="842">
      <c r="A842" s="3" t="inlineStr">
        <is>
          <t>D0841</t>
        </is>
      </c>
      <c r="B842" s="3" t="inlineStr">
        <is>
          <t>A0141</t>
        </is>
      </c>
      <c r="C842" s="3" t="inlineStr">
        <is>
          <t>Prakash Verma</t>
        </is>
      </c>
      <c r="D842" s="3" t="inlineStr">
        <is>
          <t>Gaya</t>
        </is>
      </c>
      <c r="E842" s="3" t="inlineStr">
        <is>
          <t>P. Yadav</t>
        </is>
      </c>
      <c r="F842" s="3" t="inlineStr">
        <is>
          <t>Trade</t>
        </is>
      </c>
      <c r="G842" s="4" t="n">
        <v>46117</v>
      </c>
      <c r="H842" s="5" t="n">
        <v>12000</v>
      </c>
    </row>
    <row r="843">
      <c r="A843" s="3" t="inlineStr">
        <is>
          <t>D0842</t>
        </is>
      </c>
      <c r="B843" s="3" t="inlineStr">
        <is>
          <t>A0141</t>
        </is>
      </c>
      <c r="C843" s="3" t="inlineStr">
        <is>
          <t>Prakash Verma</t>
        </is>
      </c>
      <c r="D843" s="3" t="inlineStr">
        <is>
          <t>Gaya</t>
        </is>
      </c>
      <c r="E843" s="3" t="inlineStr">
        <is>
          <t>P. Yadav</t>
        </is>
      </c>
      <c r="F843" s="3" t="inlineStr">
        <is>
          <t>Trade</t>
        </is>
      </c>
      <c r="G843" s="4" t="n">
        <v>46147</v>
      </c>
      <c r="H843" s="5" t="n">
        <v>12000</v>
      </c>
    </row>
    <row r="844">
      <c r="A844" s="3" t="inlineStr">
        <is>
          <t>D0843</t>
        </is>
      </c>
      <c r="B844" s="3" t="inlineStr">
        <is>
          <t>A0141</t>
        </is>
      </c>
      <c r="C844" s="3" t="inlineStr">
        <is>
          <t>Prakash Verma</t>
        </is>
      </c>
      <c r="D844" s="3" t="inlineStr">
        <is>
          <t>Gaya</t>
        </is>
      </c>
      <c r="E844" s="3" t="inlineStr">
        <is>
          <t>P. Yadav</t>
        </is>
      </c>
      <c r="F844" s="3" t="inlineStr">
        <is>
          <t>Trade</t>
        </is>
      </c>
      <c r="G844" s="4" t="n">
        <v>46178</v>
      </c>
      <c r="H844" s="5" t="n">
        <v>12000</v>
      </c>
    </row>
    <row r="845">
      <c r="A845" s="3" t="inlineStr">
        <is>
          <t>D0844</t>
        </is>
      </c>
      <c r="B845" s="3" t="inlineStr">
        <is>
          <t>A0141</t>
        </is>
      </c>
      <c r="C845" s="3" t="inlineStr">
        <is>
          <t>Prakash Verma</t>
        </is>
      </c>
      <c r="D845" s="3" t="inlineStr">
        <is>
          <t>Gaya</t>
        </is>
      </c>
      <c r="E845" s="3" t="inlineStr">
        <is>
          <t>P. Yadav</t>
        </is>
      </c>
      <c r="F845" s="3" t="inlineStr">
        <is>
          <t>Trade</t>
        </is>
      </c>
      <c r="G845" s="4" t="n">
        <v>46208</v>
      </c>
      <c r="H845" s="5" t="n">
        <v>12000</v>
      </c>
    </row>
    <row r="846">
      <c r="A846" s="3" t="inlineStr">
        <is>
          <t>D0845</t>
        </is>
      </c>
      <c r="B846" s="3" t="inlineStr">
        <is>
          <t>A0141</t>
        </is>
      </c>
      <c r="C846" s="3" t="inlineStr">
        <is>
          <t>Prakash Verma</t>
        </is>
      </c>
      <c r="D846" s="3" t="inlineStr">
        <is>
          <t>Gaya</t>
        </is>
      </c>
      <c r="E846" s="3" t="inlineStr">
        <is>
          <t>P. Yadav</t>
        </is>
      </c>
      <c r="F846" s="3" t="inlineStr">
        <is>
          <t>Trade</t>
        </is>
      </c>
      <c r="G846" s="4" t="n">
        <v>46239</v>
      </c>
      <c r="H846" s="5" t="n">
        <v>12000</v>
      </c>
    </row>
    <row r="847">
      <c r="A847" s="3" t="inlineStr">
        <is>
          <t>D0846</t>
        </is>
      </c>
      <c r="B847" s="3" t="inlineStr">
        <is>
          <t>A0141</t>
        </is>
      </c>
      <c r="C847" s="3" t="inlineStr">
        <is>
          <t>Prakash Verma</t>
        </is>
      </c>
      <c r="D847" s="3" t="inlineStr">
        <is>
          <t>Gaya</t>
        </is>
      </c>
      <c r="E847" s="3" t="inlineStr">
        <is>
          <t>P. Yadav</t>
        </is>
      </c>
      <c r="F847" s="3" t="inlineStr">
        <is>
          <t>Trade</t>
        </is>
      </c>
      <c r="G847" s="4" t="n">
        <v>46270</v>
      </c>
      <c r="H847" s="5" t="n">
        <v>12000</v>
      </c>
    </row>
    <row r="848">
      <c r="A848" s="3" t="inlineStr">
        <is>
          <t>D0847</t>
        </is>
      </c>
      <c r="B848" s="3" t="inlineStr">
        <is>
          <t>A0142</t>
        </is>
      </c>
      <c r="C848" s="3" t="inlineStr">
        <is>
          <t>Geeta Mandal</t>
        </is>
      </c>
      <c r="D848" s="3" t="inlineStr">
        <is>
          <t>Gaya</t>
        </is>
      </c>
      <c r="E848" s="3" t="inlineStr">
        <is>
          <t>M. Mandal</t>
        </is>
      </c>
      <c r="F848" s="3" t="inlineStr">
        <is>
          <t>Personal</t>
        </is>
      </c>
      <c r="G848" s="4" t="n">
        <v>46117</v>
      </c>
      <c r="H848" s="5" t="n">
        <v>17333</v>
      </c>
    </row>
    <row r="849">
      <c r="A849" s="3" t="inlineStr">
        <is>
          <t>D0848</t>
        </is>
      </c>
      <c r="B849" s="3" t="inlineStr">
        <is>
          <t>A0142</t>
        </is>
      </c>
      <c r="C849" s="3" t="inlineStr">
        <is>
          <t>Geeta Mandal</t>
        </is>
      </c>
      <c r="D849" s="3" t="inlineStr">
        <is>
          <t>Gaya</t>
        </is>
      </c>
      <c r="E849" s="3" t="inlineStr">
        <is>
          <t>M. Mandal</t>
        </is>
      </c>
      <c r="F849" s="3" t="inlineStr">
        <is>
          <t>Personal</t>
        </is>
      </c>
      <c r="G849" s="4" t="n">
        <v>46147</v>
      </c>
      <c r="H849" s="5" t="n">
        <v>17333</v>
      </c>
    </row>
    <row r="850">
      <c r="A850" s="3" t="inlineStr">
        <is>
          <t>D0849</t>
        </is>
      </c>
      <c r="B850" s="3" t="inlineStr">
        <is>
          <t>A0142</t>
        </is>
      </c>
      <c r="C850" s="3" t="inlineStr">
        <is>
          <t>Geeta Mandal</t>
        </is>
      </c>
      <c r="D850" s="3" t="inlineStr">
        <is>
          <t>Gaya</t>
        </is>
      </c>
      <c r="E850" s="3" t="inlineStr">
        <is>
          <t>M. Mandal</t>
        </is>
      </c>
      <c r="F850" s="3" t="inlineStr">
        <is>
          <t>Personal</t>
        </is>
      </c>
      <c r="G850" s="4" t="n">
        <v>46178</v>
      </c>
      <c r="H850" s="5" t="n">
        <v>17333</v>
      </c>
    </row>
    <row r="851">
      <c r="A851" s="3" t="inlineStr">
        <is>
          <t>D0850</t>
        </is>
      </c>
      <c r="B851" s="3" t="inlineStr">
        <is>
          <t>A0142</t>
        </is>
      </c>
      <c r="C851" s="3" t="inlineStr">
        <is>
          <t>Geeta Mandal</t>
        </is>
      </c>
      <c r="D851" s="3" t="inlineStr">
        <is>
          <t>Gaya</t>
        </is>
      </c>
      <c r="E851" s="3" t="inlineStr">
        <is>
          <t>M. Mandal</t>
        </is>
      </c>
      <c r="F851" s="3" t="inlineStr">
        <is>
          <t>Personal</t>
        </is>
      </c>
      <c r="G851" s="4" t="n">
        <v>46208</v>
      </c>
      <c r="H851" s="5" t="n">
        <v>17333</v>
      </c>
    </row>
    <row r="852">
      <c r="A852" s="3" t="inlineStr">
        <is>
          <t>D0851</t>
        </is>
      </c>
      <c r="B852" s="3" t="inlineStr">
        <is>
          <t>A0142</t>
        </is>
      </c>
      <c r="C852" s="3" t="inlineStr">
        <is>
          <t>Geeta Mandal</t>
        </is>
      </c>
      <c r="D852" s="3" t="inlineStr">
        <is>
          <t>Gaya</t>
        </is>
      </c>
      <c r="E852" s="3" t="inlineStr">
        <is>
          <t>M. Mandal</t>
        </is>
      </c>
      <c r="F852" s="3" t="inlineStr">
        <is>
          <t>Personal</t>
        </is>
      </c>
      <c r="G852" s="4" t="n">
        <v>46239</v>
      </c>
      <c r="H852" s="5" t="n">
        <v>17333</v>
      </c>
    </row>
    <row r="853">
      <c r="A853" s="3" t="inlineStr">
        <is>
          <t>D0852</t>
        </is>
      </c>
      <c r="B853" s="3" t="inlineStr">
        <is>
          <t>A0142</t>
        </is>
      </c>
      <c r="C853" s="3" t="inlineStr">
        <is>
          <t>Geeta Mandal</t>
        </is>
      </c>
      <c r="D853" s="3" t="inlineStr">
        <is>
          <t>Gaya</t>
        </is>
      </c>
      <c r="E853" s="3" t="inlineStr">
        <is>
          <t>M. Mandal</t>
        </is>
      </c>
      <c r="F853" s="3" t="inlineStr">
        <is>
          <t>Personal</t>
        </is>
      </c>
      <c r="G853" s="4" t="n">
        <v>46270</v>
      </c>
      <c r="H853" s="5" t="n">
        <v>17333</v>
      </c>
    </row>
    <row r="854">
      <c r="A854" s="3" t="inlineStr">
        <is>
          <t>D0853</t>
        </is>
      </c>
      <c r="B854" s="3" t="inlineStr">
        <is>
          <t>A0143</t>
        </is>
      </c>
      <c r="C854" s="3" t="inlineStr">
        <is>
          <t>Prakash Tiwari</t>
        </is>
      </c>
      <c r="D854" s="3" t="inlineStr">
        <is>
          <t>Bhagalpur</t>
        </is>
      </c>
      <c r="E854" s="3" t="inlineStr">
        <is>
          <t>K. Sharma</t>
        </is>
      </c>
      <c r="F854" s="3" t="inlineStr">
        <is>
          <t>Vehicle</t>
        </is>
      </c>
      <c r="G854" s="4" t="n">
        <v>46117</v>
      </c>
      <c r="H854" s="5" t="n">
        <v>11000</v>
      </c>
    </row>
    <row r="855">
      <c r="A855" s="3" t="inlineStr">
        <is>
          <t>D0854</t>
        </is>
      </c>
      <c r="B855" s="3" t="inlineStr">
        <is>
          <t>A0143</t>
        </is>
      </c>
      <c r="C855" s="3" t="inlineStr">
        <is>
          <t>Prakash Tiwari</t>
        </is>
      </c>
      <c r="D855" s="3" t="inlineStr">
        <is>
          <t>Bhagalpur</t>
        </is>
      </c>
      <c r="E855" s="3" t="inlineStr">
        <is>
          <t>K. Sharma</t>
        </is>
      </c>
      <c r="F855" s="3" t="inlineStr">
        <is>
          <t>Vehicle</t>
        </is>
      </c>
      <c r="G855" s="4" t="n">
        <v>46147</v>
      </c>
      <c r="H855" s="5" t="n">
        <v>11000</v>
      </c>
    </row>
    <row r="856">
      <c r="A856" s="3" t="inlineStr">
        <is>
          <t>D0855</t>
        </is>
      </c>
      <c r="B856" s="3" t="inlineStr">
        <is>
          <t>A0143</t>
        </is>
      </c>
      <c r="C856" s="3" t="inlineStr">
        <is>
          <t>Prakash Tiwari</t>
        </is>
      </c>
      <c r="D856" s="3" t="inlineStr">
        <is>
          <t>Bhagalpur</t>
        </is>
      </c>
      <c r="E856" s="3" t="inlineStr">
        <is>
          <t>K. Sharma</t>
        </is>
      </c>
      <c r="F856" s="3" t="inlineStr">
        <is>
          <t>Vehicle</t>
        </is>
      </c>
      <c r="G856" s="4" t="n">
        <v>46178</v>
      </c>
      <c r="H856" s="5" t="n">
        <v>11000</v>
      </c>
    </row>
    <row r="857">
      <c r="A857" s="3" t="inlineStr">
        <is>
          <t>D0856</t>
        </is>
      </c>
      <c r="B857" s="3" t="inlineStr">
        <is>
          <t>A0143</t>
        </is>
      </c>
      <c r="C857" s="3" t="inlineStr">
        <is>
          <t>Prakash Tiwari</t>
        </is>
      </c>
      <c r="D857" s="3" t="inlineStr">
        <is>
          <t>Bhagalpur</t>
        </is>
      </c>
      <c r="E857" s="3" t="inlineStr">
        <is>
          <t>K. Sharma</t>
        </is>
      </c>
      <c r="F857" s="3" t="inlineStr">
        <is>
          <t>Vehicle</t>
        </is>
      </c>
      <c r="G857" s="4" t="n">
        <v>46208</v>
      </c>
      <c r="H857" s="5" t="n">
        <v>11000</v>
      </c>
    </row>
    <row r="858">
      <c r="A858" s="3" t="inlineStr">
        <is>
          <t>D0857</t>
        </is>
      </c>
      <c r="B858" s="3" t="inlineStr">
        <is>
          <t>A0143</t>
        </is>
      </c>
      <c r="C858" s="3" t="inlineStr">
        <is>
          <t>Prakash Tiwari</t>
        </is>
      </c>
      <c r="D858" s="3" t="inlineStr">
        <is>
          <t>Bhagalpur</t>
        </is>
      </c>
      <c r="E858" s="3" t="inlineStr">
        <is>
          <t>K. Sharma</t>
        </is>
      </c>
      <c r="F858" s="3" t="inlineStr">
        <is>
          <t>Vehicle</t>
        </is>
      </c>
      <c r="G858" s="4" t="n">
        <v>46239</v>
      </c>
      <c r="H858" s="5" t="n">
        <v>11000</v>
      </c>
    </row>
    <row r="859">
      <c r="A859" s="3" t="inlineStr">
        <is>
          <t>D0858</t>
        </is>
      </c>
      <c r="B859" s="3" t="inlineStr">
        <is>
          <t>A0143</t>
        </is>
      </c>
      <c r="C859" s="3" t="inlineStr">
        <is>
          <t>Prakash Tiwari</t>
        </is>
      </c>
      <c r="D859" s="3" t="inlineStr">
        <is>
          <t>Bhagalpur</t>
        </is>
      </c>
      <c r="E859" s="3" t="inlineStr">
        <is>
          <t>K. Sharma</t>
        </is>
      </c>
      <c r="F859" s="3" t="inlineStr">
        <is>
          <t>Vehicle</t>
        </is>
      </c>
      <c r="G859" s="4" t="n">
        <v>46270</v>
      </c>
      <c r="H859" s="5" t="n">
        <v>11000</v>
      </c>
    </row>
    <row r="860">
      <c r="A860" s="3" t="inlineStr">
        <is>
          <t>D0859</t>
        </is>
      </c>
      <c r="B860" s="3" t="inlineStr">
        <is>
          <t>A0144</t>
        </is>
      </c>
      <c r="C860" s="3" t="inlineStr">
        <is>
          <t>Sunita Yadav</t>
        </is>
      </c>
      <c r="D860" s="3" t="inlineStr">
        <is>
          <t>Gaya</t>
        </is>
      </c>
      <c r="E860" s="3" t="inlineStr">
        <is>
          <t>A. Verma</t>
        </is>
      </c>
      <c r="F860" s="3" t="inlineStr">
        <is>
          <t>Personal</t>
        </is>
      </c>
      <c r="G860" s="4" t="n">
        <v>46117</v>
      </c>
      <c r="H860" s="5" t="n">
        <v>23333</v>
      </c>
    </row>
    <row r="861">
      <c r="A861" s="3" t="inlineStr">
        <is>
          <t>D0860</t>
        </is>
      </c>
      <c r="B861" s="3" t="inlineStr">
        <is>
          <t>A0144</t>
        </is>
      </c>
      <c r="C861" s="3" t="inlineStr">
        <is>
          <t>Sunita Yadav</t>
        </is>
      </c>
      <c r="D861" s="3" t="inlineStr">
        <is>
          <t>Gaya</t>
        </is>
      </c>
      <c r="E861" s="3" t="inlineStr">
        <is>
          <t>A. Verma</t>
        </is>
      </c>
      <c r="F861" s="3" t="inlineStr">
        <is>
          <t>Personal</t>
        </is>
      </c>
      <c r="G861" s="4" t="n">
        <v>46147</v>
      </c>
      <c r="H861" s="5" t="n">
        <v>23333</v>
      </c>
    </row>
    <row r="862">
      <c r="A862" s="3" t="inlineStr">
        <is>
          <t>D0861</t>
        </is>
      </c>
      <c r="B862" s="3" t="inlineStr">
        <is>
          <t>A0144</t>
        </is>
      </c>
      <c r="C862" s="3" t="inlineStr">
        <is>
          <t>Sunita Yadav</t>
        </is>
      </c>
      <c r="D862" s="3" t="inlineStr">
        <is>
          <t>Gaya</t>
        </is>
      </c>
      <c r="E862" s="3" t="inlineStr">
        <is>
          <t>A. Verma</t>
        </is>
      </c>
      <c r="F862" s="3" t="inlineStr">
        <is>
          <t>Personal</t>
        </is>
      </c>
      <c r="G862" s="4" t="n">
        <v>46178</v>
      </c>
      <c r="H862" s="5" t="n">
        <v>23333</v>
      </c>
    </row>
    <row r="863">
      <c r="A863" s="3" t="inlineStr">
        <is>
          <t>D0862</t>
        </is>
      </c>
      <c r="B863" s="3" t="inlineStr">
        <is>
          <t>A0144</t>
        </is>
      </c>
      <c r="C863" s="3" t="inlineStr">
        <is>
          <t>Sunita Yadav</t>
        </is>
      </c>
      <c r="D863" s="3" t="inlineStr">
        <is>
          <t>Gaya</t>
        </is>
      </c>
      <c r="E863" s="3" t="inlineStr">
        <is>
          <t>A. Verma</t>
        </is>
      </c>
      <c r="F863" s="3" t="inlineStr">
        <is>
          <t>Personal</t>
        </is>
      </c>
      <c r="G863" s="4" t="n">
        <v>46208</v>
      </c>
      <c r="H863" s="5" t="n">
        <v>23333</v>
      </c>
    </row>
    <row r="864">
      <c r="A864" s="3" t="inlineStr">
        <is>
          <t>D0863</t>
        </is>
      </c>
      <c r="B864" s="3" t="inlineStr">
        <is>
          <t>A0144</t>
        </is>
      </c>
      <c r="C864" s="3" t="inlineStr">
        <is>
          <t>Sunita Yadav</t>
        </is>
      </c>
      <c r="D864" s="3" t="inlineStr">
        <is>
          <t>Gaya</t>
        </is>
      </c>
      <c r="E864" s="3" t="inlineStr">
        <is>
          <t>A. Verma</t>
        </is>
      </c>
      <c r="F864" s="3" t="inlineStr">
        <is>
          <t>Personal</t>
        </is>
      </c>
      <c r="G864" s="4" t="n">
        <v>46239</v>
      </c>
      <c r="H864" s="5" t="n">
        <v>23333</v>
      </c>
    </row>
    <row r="865">
      <c r="A865" s="3" t="inlineStr">
        <is>
          <t>D0864</t>
        </is>
      </c>
      <c r="B865" s="3" t="inlineStr">
        <is>
          <t>A0144</t>
        </is>
      </c>
      <c r="C865" s="3" t="inlineStr">
        <is>
          <t>Sunita Yadav</t>
        </is>
      </c>
      <c r="D865" s="3" t="inlineStr">
        <is>
          <t>Gaya</t>
        </is>
      </c>
      <c r="E865" s="3" t="inlineStr">
        <is>
          <t>A. Verma</t>
        </is>
      </c>
      <c r="F865" s="3" t="inlineStr">
        <is>
          <t>Personal</t>
        </is>
      </c>
      <c r="G865" s="4" t="n">
        <v>46270</v>
      </c>
      <c r="H865" s="5" t="n">
        <v>23333</v>
      </c>
    </row>
    <row r="866">
      <c r="A866" s="3" t="inlineStr">
        <is>
          <t>D0865</t>
        </is>
      </c>
      <c r="B866" s="3" t="inlineStr">
        <is>
          <t>A0145</t>
        </is>
      </c>
      <c r="C866" s="3" t="inlineStr">
        <is>
          <t>Ramesh Yadav</t>
        </is>
      </c>
      <c r="D866" s="3" t="inlineStr">
        <is>
          <t>Muzaffarpur</t>
        </is>
      </c>
      <c r="E866" s="3" t="inlineStr">
        <is>
          <t>M. Mandal</t>
        </is>
      </c>
      <c r="F866" s="3" t="inlineStr">
        <is>
          <t>Trade</t>
        </is>
      </c>
      <c r="G866" s="4" t="n">
        <v>46117</v>
      </c>
      <c r="H866" s="5" t="n">
        <v>17833</v>
      </c>
    </row>
    <row r="867">
      <c r="A867" s="3" t="inlineStr">
        <is>
          <t>D0866</t>
        </is>
      </c>
      <c r="B867" s="3" t="inlineStr">
        <is>
          <t>A0145</t>
        </is>
      </c>
      <c r="C867" s="3" t="inlineStr">
        <is>
          <t>Ramesh Yadav</t>
        </is>
      </c>
      <c r="D867" s="3" t="inlineStr">
        <is>
          <t>Muzaffarpur</t>
        </is>
      </c>
      <c r="E867" s="3" t="inlineStr">
        <is>
          <t>M. Mandal</t>
        </is>
      </c>
      <c r="F867" s="3" t="inlineStr">
        <is>
          <t>Trade</t>
        </is>
      </c>
      <c r="G867" s="4" t="n">
        <v>46147</v>
      </c>
      <c r="H867" s="5" t="n">
        <v>17833</v>
      </c>
    </row>
    <row r="868">
      <c r="A868" s="3" t="inlineStr">
        <is>
          <t>D0867</t>
        </is>
      </c>
      <c r="B868" s="3" t="inlineStr">
        <is>
          <t>A0145</t>
        </is>
      </c>
      <c r="C868" s="3" t="inlineStr">
        <is>
          <t>Ramesh Yadav</t>
        </is>
      </c>
      <c r="D868" s="3" t="inlineStr">
        <is>
          <t>Muzaffarpur</t>
        </is>
      </c>
      <c r="E868" s="3" t="inlineStr">
        <is>
          <t>M. Mandal</t>
        </is>
      </c>
      <c r="F868" s="3" t="inlineStr">
        <is>
          <t>Trade</t>
        </is>
      </c>
      <c r="G868" s="4" t="n">
        <v>46178</v>
      </c>
      <c r="H868" s="5" t="n">
        <v>17833</v>
      </c>
    </row>
    <row r="869">
      <c r="A869" s="3" t="inlineStr">
        <is>
          <t>D0868</t>
        </is>
      </c>
      <c r="B869" s="3" t="inlineStr">
        <is>
          <t>A0145</t>
        </is>
      </c>
      <c r="C869" s="3" t="inlineStr">
        <is>
          <t>Ramesh Yadav</t>
        </is>
      </c>
      <c r="D869" s="3" t="inlineStr">
        <is>
          <t>Muzaffarpur</t>
        </is>
      </c>
      <c r="E869" s="3" t="inlineStr">
        <is>
          <t>M. Mandal</t>
        </is>
      </c>
      <c r="F869" s="3" t="inlineStr">
        <is>
          <t>Trade</t>
        </is>
      </c>
      <c r="G869" s="4" t="n">
        <v>46208</v>
      </c>
      <c r="H869" s="5" t="n">
        <v>17833</v>
      </c>
    </row>
    <row r="870">
      <c r="A870" s="3" t="inlineStr">
        <is>
          <t>D0869</t>
        </is>
      </c>
      <c r="B870" s="3" t="inlineStr">
        <is>
          <t>A0145</t>
        </is>
      </c>
      <c r="C870" s="3" t="inlineStr">
        <is>
          <t>Ramesh Yadav</t>
        </is>
      </c>
      <c r="D870" s="3" t="inlineStr">
        <is>
          <t>Muzaffarpur</t>
        </is>
      </c>
      <c r="E870" s="3" t="inlineStr">
        <is>
          <t>M. Mandal</t>
        </is>
      </c>
      <c r="F870" s="3" t="inlineStr">
        <is>
          <t>Trade</t>
        </is>
      </c>
      <c r="G870" s="4" t="n">
        <v>46239</v>
      </c>
      <c r="H870" s="5" t="n">
        <v>17833</v>
      </c>
    </row>
    <row r="871">
      <c r="A871" s="3" t="inlineStr">
        <is>
          <t>D0870</t>
        </is>
      </c>
      <c r="B871" s="3" t="inlineStr">
        <is>
          <t>A0145</t>
        </is>
      </c>
      <c r="C871" s="3" t="inlineStr">
        <is>
          <t>Ramesh Yadav</t>
        </is>
      </c>
      <c r="D871" s="3" t="inlineStr">
        <is>
          <t>Muzaffarpur</t>
        </is>
      </c>
      <c r="E871" s="3" t="inlineStr">
        <is>
          <t>M. Mandal</t>
        </is>
      </c>
      <c r="F871" s="3" t="inlineStr">
        <is>
          <t>Trade</t>
        </is>
      </c>
      <c r="G871" s="4" t="n">
        <v>46270</v>
      </c>
      <c r="H871" s="5" t="n">
        <v>17833</v>
      </c>
    </row>
    <row r="872">
      <c r="A872" s="3" t="inlineStr">
        <is>
          <t>D0871</t>
        </is>
      </c>
      <c r="B872" s="3" t="inlineStr">
        <is>
          <t>A0146</t>
        </is>
      </c>
      <c r="C872" s="3" t="inlineStr">
        <is>
          <t>Manoj Mishra</t>
        </is>
      </c>
      <c r="D872" s="3" t="inlineStr">
        <is>
          <t>Darbhanga</t>
        </is>
      </c>
      <c r="E872" s="3" t="inlineStr">
        <is>
          <t>R. Singh</t>
        </is>
      </c>
      <c r="F872" s="3" t="inlineStr">
        <is>
          <t>Agri</t>
        </is>
      </c>
      <c r="G872" s="4" t="n">
        <v>46117</v>
      </c>
      <c r="H872" s="5" t="n">
        <v>21333</v>
      </c>
    </row>
    <row r="873">
      <c r="A873" s="3" t="inlineStr">
        <is>
          <t>D0872</t>
        </is>
      </c>
      <c r="B873" s="3" t="inlineStr">
        <is>
          <t>A0146</t>
        </is>
      </c>
      <c r="C873" s="3" t="inlineStr">
        <is>
          <t>Manoj Mishra</t>
        </is>
      </c>
      <c r="D873" s="3" t="inlineStr">
        <is>
          <t>Darbhanga</t>
        </is>
      </c>
      <c r="E873" s="3" t="inlineStr">
        <is>
          <t>R. Singh</t>
        </is>
      </c>
      <c r="F873" s="3" t="inlineStr">
        <is>
          <t>Agri</t>
        </is>
      </c>
      <c r="G873" s="4" t="n">
        <v>46147</v>
      </c>
      <c r="H873" s="5" t="n">
        <v>21333</v>
      </c>
    </row>
    <row r="874">
      <c r="A874" s="3" t="inlineStr">
        <is>
          <t>D0873</t>
        </is>
      </c>
      <c r="B874" s="3" t="inlineStr">
        <is>
          <t>A0146</t>
        </is>
      </c>
      <c r="C874" s="3" t="inlineStr">
        <is>
          <t>Manoj Mishra</t>
        </is>
      </c>
      <c r="D874" s="3" t="inlineStr">
        <is>
          <t>Darbhanga</t>
        </is>
      </c>
      <c r="E874" s="3" t="inlineStr">
        <is>
          <t>R. Singh</t>
        </is>
      </c>
      <c r="F874" s="3" t="inlineStr">
        <is>
          <t>Agri</t>
        </is>
      </c>
      <c r="G874" s="4" t="n">
        <v>46178</v>
      </c>
      <c r="H874" s="5" t="n">
        <v>21333</v>
      </c>
    </row>
    <row r="875">
      <c r="A875" s="3" t="inlineStr">
        <is>
          <t>D0874</t>
        </is>
      </c>
      <c r="B875" s="3" t="inlineStr">
        <is>
          <t>A0146</t>
        </is>
      </c>
      <c r="C875" s="3" t="inlineStr">
        <is>
          <t>Manoj Mishra</t>
        </is>
      </c>
      <c r="D875" s="3" t="inlineStr">
        <is>
          <t>Darbhanga</t>
        </is>
      </c>
      <c r="E875" s="3" t="inlineStr">
        <is>
          <t>R. Singh</t>
        </is>
      </c>
      <c r="F875" s="3" t="inlineStr">
        <is>
          <t>Agri</t>
        </is>
      </c>
      <c r="G875" s="4" t="n">
        <v>46208</v>
      </c>
      <c r="H875" s="5" t="n">
        <v>21333</v>
      </c>
    </row>
    <row r="876">
      <c r="A876" s="3" t="inlineStr">
        <is>
          <t>D0875</t>
        </is>
      </c>
      <c r="B876" s="3" t="inlineStr">
        <is>
          <t>A0146</t>
        </is>
      </c>
      <c r="C876" s="3" t="inlineStr">
        <is>
          <t>Manoj Mishra</t>
        </is>
      </c>
      <c r="D876" s="3" t="inlineStr">
        <is>
          <t>Darbhanga</t>
        </is>
      </c>
      <c r="E876" s="3" t="inlineStr">
        <is>
          <t>R. Singh</t>
        </is>
      </c>
      <c r="F876" s="3" t="inlineStr">
        <is>
          <t>Agri</t>
        </is>
      </c>
      <c r="G876" s="4" t="n">
        <v>46239</v>
      </c>
      <c r="H876" s="5" t="n">
        <v>21333</v>
      </c>
    </row>
    <row r="877">
      <c r="A877" s="3" t="inlineStr">
        <is>
          <t>D0876</t>
        </is>
      </c>
      <c r="B877" s="3" t="inlineStr">
        <is>
          <t>A0146</t>
        </is>
      </c>
      <c r="C877" s="3" t="inlineStr">
        <is>
          <t>Manoj Mishra</t>
        </is>
      </c>
      <c r="D877" s="3" t="inlineStr">
        <is>
          <t>Darbhanga</t>
        </is>
      </c>
      <c r="E877" s="3" t="inlineStr">
        <is>
          <t>R. Singh</t>
        </is>
      </c>
      <c r="F877" s="3" t="inlineStr">
        <is>
          <t>Agri</t>
        </is>
      </c>
      <c r="G877" s="4" t="n">
        <v>46270</v>
      </c>
      <c r="H877" s="5" t="n">
        <v>21333</v>
      </c>
    </row>
    <row r="878">
      <c r="A878" s="3" t="inlineStr">
        <is>
          <t>D0877</t>
        </is>
      </c>
      <c r="B878" s="3" t="inlineStr">
        <is>
          <t>A0147</t>
        </is>
      </c>
      <c r="C878" s="3" t="inlineStr">
        <is>
          <t>Ravi Paswan</t>
        </is>
      </c>
      <c r="D878" s="3" t="inlineStr">
        <is>
          <t>Bhagalpur</t>
        </is>
      </c>
      <c r="E878" s="3" t="inlineStr">
        <is>
          <t>K. Sharma</t>
        </is>
      </c>
      <c r="F878" s="3" t="inlineStr">
        <is>
          <t>Trade</t>
        </is>
      </c>
      <c r="G878" s="4" t="n">
        <v>46117</v>
      </c>
      <c r="H878" s="5" t="n">
        <v>11833</v>
      </c>
    </row>
    <row r="879">
      <c r="A879" s="3" t="inlineStr">
        <is>
          <t>D0878</t>
        </is>
      </c>
      <c r="B879" s="3" t="inlineStr">
        <is>
          <t>A0147</t>
        </is>
      </c>
      <c r="C879" s="3" t="inlineStr">
        <is>
          <t>Ravi Paswan</t>
        </is>
      </c>
      <c r="D879" s="3" t="inlineStr">
        <is>
          <t>Bhagalpur</t>
        </is>
      </c>
      <c r="E879" s="3" t="inlineStr">
        <is>
          <t>K. Sharma</t>
        </is>
      </c>
      <c r="F879" s="3" t="inlineStr">
        <is>
          <t>Trade</t>
        </is>
      </c>
      <c r="G879" s="4" t="n">
        <v>46147</v>
      </c>
      <c r="H879" s="5" t="n">
        <v>11833</v>
      </c>
    </row>
    <row r="880">
      <c r="A880" s="3" t="inlineStr">
        <is>
          <t>D0879</t>
        </is>
      </c>
      <c r="B880" s="3" t="inlineStr">
        <is>
          <t>A0147</t>
        </is>
      </c>
      <c r="C880" s="3" t="inlineStr">
        <is>
          <t>Ravi Paswan</t>
        </is>
      </c>
      <c r="D880" s="3" t="inlineStr">
        <is>
          <t>Bhagalpur</t>
        </is>
      </c>
      <c r="E880" s="3" t="inlineStr">
        <is>
          <t>K. Sharma</t>
        </is>
      </c>
      <c r="F880" s="3" t="inlineStr">
        <is>
          <t>Trade</t>
        </is>
      </c>
      <c r="G880" s="4" t="n">
        <v>46178</v>
      </c>
      <c r="H880" s="5" t="n">
        <v>11833</v>
      </c>
    </row>
    <row r="881">
      <c r="A881" s="3" t="inlineStr">
        <is>
          <t>D0880</t>
        </is>
      </c>
      <c r="B881" s="3" t="inlineStr">
        <is>
          <t>A0147</t>
        </is>
      </c>
      <c r="C881" s="3" t="inlineStr">
        <is>
          <t>Ravi Paswan</t>
        </is>
      </c>
      <c r="D881" s="3" t="inlineStr">
        <is>
          <t>Bhagalpur</t>
        </is>
      </c>
      <c r="E881" s="3" t="inlineStr">
        <is>
          <t>K. Sharma</t>
        </is>
      </c>
      <c r="F881" s="3" t="inlineStr">
        <is>
          <t>Trade</t>
        </is>
      </c>
      <c r="G881" s="4" t="n">
        <v>46208</v>
      </c>
      <c r="H881" s="5" t="n">
        <v>11833</v>
      </c>
    </row>
    <row r="882">
      <c r="A882" s="3" t="inlineStr">
        <is>
          <t>D0881</t>
        </is>
      </c>
      <c r="B882" s="3" t="inlineStr">
        <is>
          <t>A0147</t>
        </is>
      </c>
      <c r="C882" s="3" t="inlineStr">
        <is>
          <t>Ravi Paswan</t>
        </is>
      </c>
      <c r="D882" s="3" t="inlineStr">
        <is>
          <t>Bhagalpur</t>
        </is>
      </c>
      <c r="E882" s="3" t="inlineStr">
        <is>
          <t>K. Sharma</t>
        </is>
      </c>
      <c r="F882" s="3" t="inlineStr">
        <is>
          <t>Trade</t>
        </is>
      </c>
      <c r="G882" s="4" t="n">
        <v>46239</v>
      </c>
      <c r="H882" s="5" t="n">
        <v>11833</v>
      </c>
    </row>
    <row r="883">
      <c r="A883" s="3" t="inlineStr">
        <is>
          <t>D0882</t>
        </is>
      </c>
      <c r="B883" s="3" t="inlineStr">
        <is>
          <t>A0147</t>
        </is>
      </c>
      <c r="C883" s="3" t="inlineStr">
        <is>
          <t>Ravi Paswan</t>
        </is>
      </c>
      <c r="D883" s="3" t="inlineStr">
        <is>
          <t>Bhagalpur</t>
        </is>
      </c>
      <c r="E883" s="3" t="inlineStr">
        <is>
          <t>K. Sharma</t>
        </is>
      </c>
      <c r="F883" s="3" t="inlineStr">
        <is>
          <t>Trade</t>
        </is>
      </c>
      <c r="G883" s="4" t="n">
        <v>46270</v>
      </c>
      <c r="H883" s="5" t="n">
        <v>11833</v>
      </c>
    </row>
    <row r="884">
      <c r="A884" s="3" t="inlineStr">
        <is>
          <t>D0883</t>
        </is>
      </c>
      <c r="B884" s="3" t="inlineStr">
        <is>
          <t>A0148</t>
        </is>
      </c>
      <c r="C884" s="3" t="inlineStr">
        <is>
          <t>Umesh Prasad</t>
        </is>
      </c>
      <c r="D884" s="3" t="inlineStr">
        <is>
          <t>Muzaffarpur</t>
        </is>
      </c>
      <c r="E884" s="3" t="inlineStr">
        <is>
          <t>A. Verma</t>
        </is>
      </c>
      <c r="F884" s="3" t="inlineStr">
        <is>
          <t>Personal</t>
        </is>
      </c>
      <c r="G884" s="4" t="n">
        <v>46117</v>
      </c>
      <c r="H884" s="5" t="n">
        <v>28833</v>
      </c>
    </row>
    <row r="885">
      <c r="A885" s="3" t="inlineStr">
        <is>
          <t>D0884</t>
        </is>
      </c>
      <c r="B885" s="3" t="inlineStr">
        <is>
          <t>A0148</t>
        </is>
      </c>
      <c r="C885" s="3" t="inlineStr">
        <is>
          <t>Umesh Prasad</t>
        </is>
      </c>
      <c r="D885" s="3" t="inlineStr">
        <is>
          <t>Muzaffarpur</t>
        </is>
      </c>
      <c r="E885" s="3" t="inlineStr">
        <is>
          <t>A. Verma</t>
        </is>
      </c>
      <c r="F885" s="3" t="inlineStr">
        <is>
          <t>Personal</t>
        </is>
      </c>
      <c r="G885" s="4" t="n">
        <v>46147</v>
      </c>
      <c r="H885" s="5" t="n">
        <v>28833</v>
      </c>
    </row>
    <row r="886">
      <c r="A886" s="3" t="inlineStr">
        <is>
          <t>D0885</t>
        </is>
      </c>
      <c r="B886" s="3" t="inlineStr">
        <is>
          <t>A0148</t>
        </is>
      </c>
      <c r="C886" s="3" t="inlineStr">
        <is>
          <t>Umesh Prasad</t>
        </is>
      </c>
      <c r="D886" s="3" t="inlineStr">
        <is>
          <t>Muzaffarpur</t>
        </is>
      </c>
      <c r="E886" s="3" t="inlineStr">
        <is>
          <t>A. Verma</t>
        </is>
      </c>
      <c r="F886" s="3" t="inlineStr">
        <is>
          <t>Personal</t>
        </is>
      </c>
      <c r="G886" s="4" t="n">
        <v>46178</v>
      </c>
      <c r="H886" s="5" t="n">
        <v>28833</v>
      </c>
    </row>
    <row r="887">
      <c r="A887" s="3" t="inlineStr">
        <is>
          <t>D0886</t>
        </is>
      </c>
      <c r="B887" s="3" t="inlineStr">
        <is>
          <t>A0148</t>
        </is>
      </c>
      <c r="C887" s="3" t="inlineStr">
        <is>
          <t>Umesh Prasad</t>
        </is>
      </c>
      <c r="D887" s="3" t="inlineStr">
        <is>
          <t>Muzaffarpur</t>
        </is>
      </c>
      <c r="E887" s="3" t="inlineStr">
        <is>
          <t>A. Verma</t>
        </is>
      </c>
      <c r="F887" s="3" t="inlineStr">
        <is>
          <t>Personal</t>
        </is>
      </c>
      <c r="G887" s="4" t="n">
        <v>46208</v>
      </c>
      <c r="H887" s="5" t="n">
        <v>28833</v>
      </c>
    </row>
    <row r="888">
      <c r="A888" s="3" t="inlineStr">
        <is>
          <t>D0887</t>
        </is>
      </c>
      <c r="B888" s="3" t="inlineStr">
        <is>
          <t>A0148</t>
        </is>
      </c>
      <c r="C888" s="3" t="inlineStr">
        <is>
          <t>Umesh Prasad</t>
        </is>
      </c>
      <c r="D888" s="3" t="inlineStr">
        <is>
          <t>Muzaffarpur</t>
        </is>
      </c>
      <c r="E888" s="3" t="inlineStr">
        <is>
          <t>A. Verma</t>
        </is>
      </c>
      <c r="F888" s="3" t="inlineStr">
        <is>
          <t>Personal</t>
        </is>
      </c>
      <c r="G888" s="4" t="n">
        <v>46239</v>
      </c>
      <c r="H888" s="5" t="n">
        <v>28833</v>
      </c>
    </row>
    <row r="889">
      <c r="A889" s="3" t="inlineStr">
        <is>
          <t>D0888</t>
        </is>
      </c>
      <c r="B889" s="3" t="inlineStr">
        <is>
          <t>A0148</t>
        </is>
      </c>
      <c r="C889" s="3" t="inlineStr">
        <is>
          <t>Umesh Prasad</t>
        </is>
      </c>
      <c r="D889" s="3" t="inlineStr">
        <is>
          <t>Muzaffarpur</t>
        </is>
      </c>
      <c r="E889" s="3" t="inlineStr">
        <is>
          <t>A. Verma</t>
        </is>
      </c>
      <c r="F889" s="3" t="inlineStr">
        <is>
          <t>Personal</t>
        </is>
      </c>
      <c r="G889" s="4" t="n">
        <v>46270</v>
      </c>
      <c r="H889" s="5" t="n">
        <v>28833</v>
      </c>
    </row>
    <row r="890">
      <c r="A890" s="3" t="inlineStr">
        <is>
          <t>D0889</t>
        </is>
      </c>
      <c r="B890" s="3" t="inlineStr">
        <is>
          <t>A0149</t>
        </is>
      </c>
      <c r="C890" s="3" t="inlineStr">
        <is>
          <t>Pooja Prasad</t>
        </is>
      </c>
      <c r="D890" s="3" t="inlineStr">
        <is>
          <t>Muzaffarpur</t>
        </is>
      </c>
      <c r="E890" s="3" t="inlineStr">
        <is>
          <t>A. Verma</t>
        </is>
      </c>
      <c r="F890" s="3" t="inlineStr">
        <is>
          <t>Housing</t>
        </is>
      </c>
      <c r="G890" s="4" t="n">
        <v>46117</v>
      </c>
      <c r="H890" s="5" t="n">
        <v>27500</v>
      </c>
    </row>
    <row r="891">
      <c r="A891" s="3" t="inlineStr">
        <is>
          <t>D0890</t>
        </is>
      </c>
      <c r="B891" s="3" t="inlineStr">
        <is>
          <t>A0149</t>
        </is>
      </c>
      <c r="C891" s="3" t="inlineStr">
        <is>
          <t>Pooja Prasad</t>
        </is>
      </c>
      <c r="D891" s="3" t="inlineStr">
        <is>
          <t>Muzaffarpur</t>
        </is>
      </c>
      <c r="E891" s="3" t="inlineStr">
        <is>
          <t>A. Verma</t>
        </is>
      </c>
      <c r="F891" s="3" t="inlineStr">
        <is>
          <t>Housing</t>
        </is>
      </c>
      <c r="G891" s="4" t="n">
        <v>46147</v>
      </c>
      <c r="H891" s="5" t="n">
        <v>27500</v>
      </c>
    </row>
    <row r="892">
      <c r="A892" s="3" t="inlineStr">
        <is>
          <t>D0891</t>
        </is>
      </c>
      <c r="B892" s="3" t="inlineStr">
        <is>
          <t>A0149</t>
        </is>
      </c>
      <c r="C892" s="3" t="inlineStr">
        <is>
          <t>Pooja Prasad</t>
        </is>
      </c>
      <c r="D892" s="3" t="inlineStr">
        <is>
          <t>Muzaffarpur</t>
        </is>
      </c>
      <c r="E892" s="3" t="inlineStr">
        <is>
          <t>A. Verma</t>
        </is>
      </c>
      <c r="F892" s="3" t="inlineStr">
        <is>
          <t>Housing</t>
        </is>
      </c>
      <c r="G892" s="4" t="n">
        <v>46178</v>
      </c>
      <c r="H892" s="5" t="n">
        <v>27500</v>
      </c>
    </row>
    <row r="893">
      <c r="A893" s="3" t="inlineStr">
        <is>
          <t>D0892</t>
        </is>
      </c>
      <c r="B893" s="3" t="inlineStr">
        <is>
          <t>A0149</t>
        </is>
      </c>
      <c r="C893" s="3" t="inlineStr">
        <is>
          <t>Pooja Prasad</t>
        </is>
      </c>
      <c r="D893" s="3" t="inlineStr">
        <is>
          <t>Muzaffarpur</t>
        </is>
      </c>
      <c r="E893" s="3" t="inlineStr">
        <is>
          <t>A. Verma</t>
        </is>
      </c>
      <c r="F893" s="3" t="inlineStr">
        <is>
          <t>Housing</t>
        </is>
      </c>
      <c r="G893" s="4" t="n">
        <v>46208</v>
      </c>
      <c r="H893" s="5" t="n">
        <v>27500</v>
      </c>
    </row>
    <row r="894">
      <c r="A894" s="3" t="inlineStr">
        <is>
          <t>D0893</t>
        </is>
      </c>
      <c r="B894" s="3" t="inlineStr">
        <is>
          <t>A0149</t>
        </is>
      </c>
      <c r="C894" s="3" t="inlineStr">
        <is>
          <t>Pooja Prasad</t>
        </is>
      </c>
      <c r="D894" s="3" t="inlineStr">
        <is>
          <t>Muzaffarpur</t>
        </is>
      </c>
      <c r="E894" s="3" t="inlineStr">
        <is>
          <t>A. Verma</t>
        </is>
      </c>
      <c r="F894" s="3" t="inlineStr">
        <is>
          <t>Housing</t>
        </is>
      </c>
      <c r="G894" s="4" t="n">
        <v>46239</v>
      </c>
      <c r="H894" s="5" t="n">
        <v>27500</v>
      </c>
    </row>
    <row r="895">
      <c r="A895" s="3" t="inlineStr">
        <is>
          <t>D0894</t>
        </is>
      </c>
      <c r="B895" s="3" t="inlineStr">
        <is>
          <t>A0149</t>
        </is>
      </c>
      <c r="C895" s="3" t="inlineStr">
        <is>
          <t>Pooja Prasad</t>
        </is>
      </c>
      <c r="D895" s="3" t="inlineStr">
        <is>
          <t>Muzaffarpur</t>
        </is>
      </c>
      <c r="E895" s="3" t="inlineStr">
        <is>
          <t>A. Verma</t>
        </is>
      </c>
      <c r="F895" s="3" t="inlineStr">
        <is>
          <t>Housing</t>
        </is>
      </c>
      <c r="G895" s="4" t="n">
        <v>46270</v>
      </c>
      <c r="H895" s="5" t="n">
        <v>27500</v>
      </c>
    </row>
    <row r="896">
      <c r="A896" s="3" t="inlineStr">
        <is>
          <t>D0895</t>
        </is>
      </c>
      <c r="B896" s="3" t="inlineStr">
        <is>
          <t>A0150</t>
        </is>
      </c>
      <c r="C896" s="3" t="inlineStr">
        <is>
          <t>Umesh Yadav</t>
        </is>
      </c>
      <c r="D896" s="3" t="inlineStr">
        <is>
          <t>Muzaffarpur</t>
        </is>
      </c>
      <c r="E896" s="3" t="inlineStr">
        <is>
          <t>K. Sharma</t>
        </is>
      </c>
      <c r="F896" s="3" t="inlineStr">
        <is>
          <t>Agri</t>
        </is>
      </c>
      <c r="G896" s="4" t="n">
        <v>46117</v>
      </c>
      <c r="H896" s="5" t="n">
        <v>13333</v>
      </c>
    </row>
    <row r="897">
      <c r="A897" s="3" t="inlineStr">
        <is>
          <t>D0896</t>
        </is>
      </c>
      <c r="B897" s="3" t="inlineStr">
        <is>
          <t>A0150</t>
        </is>
      </c>
      <c r="C897" s="3" t="inlineStr">
        <is>
          <t>Umesh Yadav</t>
        </is>
      </c>
      <c r="D897" s="3" t="inlineStr">
        <is>
          <t>Muzaffarpur</t>
        </is>
      </c>
      <c r="E897" s="3" t="inlineStr">
        <is>
          <t>K. Sharma</t>
        </is>
      </c>
      <c r="F897" s="3" t="inlineStr">
        <is>
          <t>Agri</t>
        </is>
      </c>
      <c r="G897" s="4" t="n">
        <v>46147</v>
      </c>
      <c r="H897" s="5" t="n">
        <v>13333</v>
      </c>
    </row>
    <row r="898">
      <c r="A898" s="3" t="inlineStr">
        <is>
          <t>D0897</t>
        </is>
      </c>
      <c r="B898" s="3" t="inlineStr">
        <is>
          <t>A0150</t>
        </is>
      </c>
      <c r="C898" s="3" t="inlineStr">
        <is>
          <t>Umesh Yadav</t>
        </is>
      </c>
      <c r="D898" s="3" t="inlineStr">
        <is>
          <t>Muzaffarpur</t>
        </is>
      </c>
      <c r="E898" s="3" t="inlineStr">
        <is>
          <t>K. Sharma</t>
        </is>
      </c>
      <c r="F898" s="3" t="inlineStr">
        <is>
          <t>Agri</t>
        </is>
      </c>
      <c r="G898" s="4" t="n">
        <v>46178</v>
      </c>
      <c r="H898" s="5" t="n">
        <v>13333</v>
      </c>
    </row>
    <row r="899">
      <c r="A899" s="3" t="inlineStr">
        <is>
          <t>D0898</t>
        </is>
      </c>
      <c r="B899" s="3" t="inlineStr">
        <is>
          <t>A0150</t>
        </is>
      </c>
      <c r="C899" s="3" t="inlineStr">
        <is>
          <t>Umesh Yadav</t>
        </is>
      </c>
      <c r="D899" s="3" t="inlineStr">
        <is>
          <t>Muzaffarpur</t>
        </is>
      </c>
      <c r="E899" s="3" t="inlineStr">
        <is>
          <t>K. Sharma</t>
        </is>
      </c>
      <c r="F899" s="3" t="inlineStr">
        <is>
          <t>Agri</t>
        </is>
      </c>
      <c r="G899" s="4" t="n">
        <v>46208</v>
      </c>
      <c r="H899" s="5" t="n">
        <v>13333</v>
      </c>
    </row>
    <row r="900">
      <c r="A900" s="3" t="inlineStr">
        <is>
          <t>D0899</t>
        </is>
      </c>
      <c r="B900" s="3" t="inlineStr">
        <is>
          <t>A0150</t>
        </is>
      </c>
      <c r="C900" s="3" t="inlineStr">
        <is>
          <t>Umesh Yadav</t>
        </is>
      </c>
      <c r="D900" s="3" t="inlineStr">
        <is>
          <t>Muzaffarpur</t>
        </is>
      </c>
      <c r="E900" s="3" t="inlineStr">
        <is>
          <t>K. Sharma</t>
        </is>
      </c>
      <c r="F900" s="3" t="inlineStr">
        <is>
          <t>Agri</t>
        </is>
      </c>
      <c r="G900" s="4" t="n">
        <v>46239</v>
      </c>
      <c r="H900" s="5" t="n">
        <v>13333</v>
      </c>
    </row>
    <row r="901">
      <c r="A901" s="3" t="inlineStr">
        <is>
          <t>D0900</t>
        </is>
      </c>
      <c r="B901" s="3" t="inlineStr">
        <is>
          <t>A0150</t>
        </is>
      </c>
      <c r="C901" s="3" t="inlineStr">
        <is>
          <t>Umesh Yadav</t>
        </is>
      </c>
      <c r="D901" s="3" t="inlineStr">
        <is>
          <t>Muzaffarpur</t>
        </is>
      </c>
      <c r="E901" s="3" t="inlineStr">
        <is>
          <t>K. Sharma</t>
        </is>
      </c>
      <c r="F901" s="3" t="inlineStr">
        <is>
          <t>Agri</t>
        </is>
      </c>
      <c r="G901" s="4" t="n">
        <v>46270</v>
      </c>
      <c r="H901" s="5" t="n">
        <v>13333</v>
      </c>
    </row>
    <row r="902">
      <c r="A902" s="3" t="inlineStr">
        <is>
          <t>D0901</t>
        </is>
      </c>
      <c r="B902" s="3" t="inlineStr">
        <is>
          <t>A0151</t>
        </is>
      </c>
      <c r="C902" s="3" t="inlineStr">
        <is>
          <t>Rina Kumar</t>
        </is>
      </c>
      <c r="D902" s="3" t="inlineStr">
        <is>
          <t>Muzaffarpur</t>
        </is>
      </c>
      <c r="E902" s="3" t="inlineStr">
        <is>
          <t>A. Verma</t>
        </is>
      </c>
      <c r="F902" s="3" t="inlineStr">
        <is>
          <t>Vehicle</t>
        </is>
      </c>
      <c r="G902" s="4" t="n">
        <v>46117</v>
      </c>
      <c r="H902" s="5" t="n">
        <v>8000</v>
      </c>
    </row>
    <row r="903">
      <c r="A903" s="3" t="inlineStr">
        <is>
          <t>D0902</t>
        </is>
      </c>
      <c r="B903" s="3" t="inlineStr">
        <is>
          <t>A0151</t>
        </is>
      </c>
      <c r="C903" s="3" t="inlineStr">
        <is>
          <t>Rina Kumar</t>
        </is>
      </c>
      <c r="D903" s="3" t="inlineStr">
        <is>
          <t>Muzaffarpur</t>
        </is>
      </c>
      <c r="E903" s="3" t="inlineStr">
        <is>
          <t>A. Verma</t>
        </is>
      </c>
      <c r="F903" s="3" t="inlineStr">
        <is>
          <t>Vehicle</t>
        </is>
      </c>
      <c r="G903" s="4" t="n">
        <v>46147</v>
      </c>
      <c r="H903" s="5" t="n">
        <v>8000</v>
      </c>
    </row>
    <row r="904">
      <c r="A904" s="3" t="inlineStr">
        <is>
          <t>D0903</t>
        </is>
      </c>
      <c r="B904" s="3" t="inlineStr">
        <is>
          <t>A0151</t>
        </is>
      </c>
      <c r="C904" s="3" t="inlineStr">
        <is>
          <t>Rina Kumar</t>
        </is>
      </c>
      <c r="D904" s="3" t="inlineStr">
        <is>
          <t>Muzaffarpur</t>
        </is>
      </c>
      <c r="E904" s="3" t="inlineStr">
        <is>
          <t>A. Verma</t>
        </is>
      </c>
      <c r="F904" s="3" t="inlineStr">
        <is>
          <t>Vehicle</t>
        </is>
      </c>
      <c r="G904" s="4" t="n">
        <v>46178</v>
      </c>
      <c r="H904" s="5" t="n">
        <v>8000</v>
      </c>
    </row>
    <row r="905">
      <c r="A905" s="3" t="inlineStr">
        <is>
          <t>D0904</t>
        </is>
      </c>
      <c r="B905" s="3" t="inlineStr">
        <is>
          <t>A0151</t>
        </is>
      </c>
      <c r="C905" s="3" t="inlineStr">
        <is>
          <t>Rina Kumar</t>
        </is>
      </c>
      <c r="D905" s="3" t="inlineStr">
        <is>
          <t>Muzaffarpur</t>
        </is>
      </c>
      <c r="E905" s="3" t="inlineStr">
        <is>
          <t>A. Verma</t>
        </is>
      </c>
      <c r="F905" s="3" t="inlineStr">
        <is>
          <t>Vehicle</t>
        </is>
      </c>
      <c r="G905" s="4" t="n">
        <v>46208</v>
      </c>
      <c r="H905" s="5" t="n">
        <v>8000</v>
      </c>
    </row>
    <row r="906">
      <c r="A906" s="3" t="inlineStr">
        <is>
          <t>D0905</t>
        </is>
      </c>
      <c r="B906" s="3" t="inlineStr">
        <is>
          <t>A0151</t>
        </is>
      </c>
      <c r="C906" s="3" t="inlineStr">
        <is>
          <t>Rina Kumar</t>
        </is>
      </c>
      <c r="D906" s="3" t="inlineStr">
        <is>
          <t>Muzaffarpur</t>
        </is>
      </c>
      <c r="E906" s="3" t="inlineStr">
        <is>
          <t>A. Verma</t>
        </is>
      </c>
      <c r="F906" s="3" t="inlineStr">
        <is>
          <t>Vehicle</t>
        </is>
      </c>
      <c r="G906" s="4" t="n">
        <v>46239</v>
      </c>
      <c r="H906" s="5" t="n">
        <v>8000</v>
      </c>
    </row>
    <row r="907">
      <c r="A907" s="3" t="inlineStr">
        <is>
          <t>D0906</t>
        </is>
      </c>
      <c r="B907" s="3" t="inlineStr">
        <is>
          <t>A0151</t>
        </is>
      </c>
      <c r="C907" s="3" t="inlineStr">
        <is>
          <t>Rina Kumar</t>
        </is>
      </c>
      <c r="D907" s="3" t="inlineStr">
        <is>
          <t>Muzaffarpur</t>
        </is>
      </c>
      <c r="E907" s="3" t="inlineStr">
        <is>
          <t>A. Verma</t>
        </is>
      </c>
      <c r="F907" s="3" t="inlineStr">
        <is>
          <t>Vehicle</t>
        </is>
      </c>
      <c r="G907" s="4" t="n">
        <v>46270</v>
      </c>
      <c r="H907" s="5" t="n">
        <v>8000</v>
      </c>
    </row>
    <row r="908">
      <c r="A908" s="3" t="inlineStr">
        <is>
          <t>D0907</t>
        </is>
      </c>
      <c r="B908" s="3" t="inlineStr">
        <is>
          <t>A0152</t>
        </is>
      </c>
      <c r="C908" s="3" t="inlineStr">
        <is>
          <t>Sunita Tiwari</t>
        </is>
      </c>
      <c r="D908" s="3" t="inlineStr">
        <is>
          <t>Gaya</t>
        </is>
      </c>
      <c r="E908" s="3" t="inlineStr">
        <is>
          <t>P. Yadav</t>
        </is>
      </c>
      <c r="F908" s="3" t="inlineStr">
        <is>
          <t>Personal</t>
        </is>
      </c>
      <c r="G908" s="4" t="n">
        <v>46117</v>
      </c>
      <c r="H908" s="5" t="n">
        <v>9500</v>
      </c>
    </row>
    <row r="909">
      <c r="A909" s="3" t="inlineStr">
        <is>
          <t>D0908</t>
        </is>
      </c>
      <c r="B909" s="3" t="inlineStr">
        <is>
          <t>A0152</t>
        </is>
      </c>
      <c r="C909" s="3" t="inlineStr">
        <is>
          <t>Sunita Tiwari</t>
        </is>
      </c>
      <c r="D909" s="3" t="inlineStr">
        <is>
          <t>Gaya</t>
        </is>
      </c>
      <c r="E909" s="3" t="inlineStr">
        <is>
          <t>P. Yadav</t>
        </is>
      </c>
      <c r="F909" s="3" t="inlineStr">
        <is>
          <t>Personal</t>
        </is>
      </c>
      <c r="G909" s="4" t="n">
        <v>46147</v>
      </c>
      <c r="H909" s="5" t="n">
        <v>9500</v>
      </c>
    </row>
    <row r="910">
      <c r="A910" s="3" t="inlineStr">
        <is>
          <t>D0909</t>
        </is>
      </c>
      <c r="B910" s="3" t="inlineStr">
        <is>
          <t>A0152</t>
        </is>
      </c>
      <c r="C910" s="3" t="inlineStr">
        <is>
          <t>Sunita Tiwari</t>
        </is>
      </c>
      <c r="D910" s="3" t="inlineStr">
        <is>
          <t>Gaya</t>
        </is>
      </c>
      <c r="E910" s="3" t="inlineStr">
        <is>
          <t>P. Yadav</t>
        </is>
      </c>
      <c r="F910" s="3" t="inlineStr">
        <is>
          <t>Personal</t>
        </is>
      </c>
      <c r="G910" s="4" t="n">
        <v>46178</v>
      </c>
      <c r="H910" s="5" t="n">
        <v>9500</v>
      </c>
    </row>
    <row r="911">
      <c r="A911" s="3" t="inlineStr">
        <is>
          <t>D0910</t>
        </is>
      </c>
      <c r="B911" s="3" t="inlineStr">
        <is>
          <t>A0152</t>
        </is>
      </c>
      <c r="C911" s="3" t="inlineStr">
        <is>
          <t>Sunita Tiwari</t>
        </is>
      </c>
      <c r="D911" s="3" t="inlineStr">
        <is>
          <t>Gaya</t>
        </is>
      </c>
      <c r="E911" s="3" t="inlineStr">
        <is>
          <t>P. Yadav</t>
        </is>
      </c>
      <c r="F911" s="3" t="inlineStr">
        <is>
          <t>Personal</t>
        </is>
      </c>
      <c r="G911" s="4" t="n">
        <v>46208</v>
      </c>
      <c r="H911" s="5" t="n">
        <v>9500</v>
      </c>
    </row>
    <row r="912">
      <c r="A912" s="3" t="inlineStr">
        <is>
          <t>D0911</t>
        </is>
      </c>
      <c r="B912" s="3" t="inlineStr">
        <is>
          <t>A0152</t>
        </is>
      </c>
      <c r="C912" s="3" t="inlineStr">
        <is>
          <t>Sunita Tiwari</t>
        </is>
      </c>
      <c r="D912" s="3" t="inlineStr">
        <is>
          <t>Gaya</t>
        </is>
      </c>
      <c r="E912" s="3" t="inlineStr">
        <is>
          <t>P. Yadav</t>
        </is>
      </c>
      <c r="F912" s="3" t="inlineStr">
        <is>
          <t>Personal</t>
        </is>
      </c>
      <c r="G912" s="4" t="n">
        <v>46239</v>
      </c>
      <c r="H912" s="5" t="n">
        <v>9500</v>
      </c>
    </row>
    <row r="913">
      <c r="A913" s="3" t="inlineStr">
        <is>
          <t>D0912</t>
        </is>
      </c>
      <c r="B913" s="3" t="inlineStr">
        <is>
          <t>A0152</t>
        </is>
      </c>
      <c r="C913" s="3" t="inlineStr">
        <is>
          <t>Sunita Tiwari</t>
        </is>
      </c>
      <c r="D913" s="3" t="inlineStr">
        <is>
          <t>Gaya</t>
        </is>
      </c>
      <c r="E913" s="3" t="inlineStr">
        <is>
          <t>P. Yadav</t>
        </is>
      </c>
      <c r="F913" s="3" t="inlineStr">
        <is>
          <t>Personal</t>
        </is>
      </c>
      <c r="G913" s="4" t="n">
        <v>46270</v>
      </c>
      <c r="H913" s="5" t="n">
        <v>9500</v>
      </c>
    </row>
    <row r="914">
      <c r="A914" s="3" t="inlineStr">
        <is>
          <t>D0913</t>
        </is>
      </c>
      <c r="B914" s="3" t="inlineStr">
        <is>
          <t>A0153</t>
        </is>
      </c>
      <c r="C914" s="3" t="inlineStr">
        <is>
          <t>Naresh Sharma</t>
        </is>
      </c>
      <c r="D914" s="3" t="inlineStr">
        <is>
          <t>Bhagalpur</t>
        </is>
      </c>
      <c r="E914" s="3" t="inlineStr">
        <is>
          <t>R. Singh</t>
        </is>
      </c>
      <c r="F914" s="3" t="inlineStr">
        <is>
          <t>Housing</t>
        </is>
      </c>
      <c r="G914" s="4" t="n">
        <v>46117</v>
      </c>
      <c r="H914" s="5" t="n">
        <v>17333</v>
      </c>
    </row>
    <row r="915">
      <c r="A915" s="3" t="inlineStr">
        <is>
          <t>D0914</t>
        </is>
      </c>
      <c r="B915" s="3" t="inlineStr">
        <is>
          <t>A0153</t>
        </is>
      </c>
      <c r="C915" s="3" t="inlineStr">
        <is>
          <t>Naresh Sharma</t>
        </is>
      </c>
      <c r="D915" s="3" t="inlineStr">
        <is>
          <t>Bhagalpur</t>
        </is>
      </c>
      <c r="E915" s="3" t="inlineStr">
        <is>
          <t>R. Singh</t>
        </is>
      </c>
      <c r="F915" s="3" t="inlineStr">
        <is>
          <t>Housing</t>
        </is>
      </c>
      <c r="G915" s="4" t="n">
        <v>46147</v>
      </c>
      <c r="H915" s="5" t="n">
        <v>17333</v>
      </c>
    </row>
    <row r="916">
      <c r="A916" s="3" t="inlineStr">
        <is>
          <t>D0915</t>
        </is>
      </c>
      <c r="B916" s="3" t="inlineStr">
        <is>
          <t>A0153</t>
        </is>
      </c>
      <c r="C916" s="3" t="inlineStr">
        <is>
          <t>Naresh Sharma</t>
        </is>
      </c>
      <c r="D916" s="3" t="inlineStr">
        <is>
          <t>Bhagalpur</t>
        </is>
      </c>
      <c r="E916" s="3" t="inlineStr">
        <is>
          <t>R. Singh</t>
        </is>
      </c>
      <c r="F916" s="3" t="inlineStr">
        <is>
          <t>Housing</t>
        </is>
      </c>
      <c r="G916" s="4" t="n">
        <v>46178</v>
      </c>
      <c r="H916" s="5" t="n">
        <v>17333</v>
      </c>
    </row>
    <row r="917">
      <c r="A917" s="3" t="inlineStr">
        <is>
          <t>D0916</t>
        </is>
      </c>
      <c r="B917" s="3" t="inlineStr">
        <is>
          <t>A0153</t>
        </is>
      </c>
      <c r="C917" s="3" t="inlineStr">
        <is>
          <t>Naresh Sharma</t>
        </is>
      </c>
      <c r="D917" s="3" t="inlineStr">
        <is>
          <t>Bhagalpur</t>
        </is>
      </c>
      <c r="E917" s="3" t="inlineStr">
        <is>
          <t>R. Singh</t>
        </is>
      </c>
      <c r="F917" s="3" t="inlineStr">
        <is>
          <t>Housing</t>
        </is>
      </c>
      <c r="G917" s="4" t="n">
        <v>46208</v>
      </c>
      <c r="H917" s="5" t="n">
        <v>17333</v>
      </c>
    </row>
    <row r="918">
      <c r="A918" s="3" t="inlineStr">
        <is>
          <t>D0917</t>
        </is>
      </c>
      <c r="B918" s="3" t="inlineStr">
        <is>
          <t>A0153</t>
        </is>
      </c>
      <c r="C918" s="3" t="inlineStr">
        <is>
          <t>Naresh Sharma</t>
        </is>
      </c>
      <c r="D918" s="3" t="inlineStr">
        <is>
          <t>Bhagalpur</t>
        </is>
      </c>
      <c r="E918" s="3" t="inlineStr">
        <is>
          <t>R. Singh</t>
        </is>
      </c>
      <c r="F918" s="3" t="inlineStr">
        <is>
          <t>Housing</t>
        </is>
      </c>
      <c r="G918" s="4" t="n">
        <v>46239</v>
      </c>
      <c r="H918" s="5" t="n">
        <v>17333</v>
      </c>
    </row>
    <row r="919">
      <c r="A919" s="3" t="inlineStr">
        <is>
          <t>D0918</t>
        </is>
      </c>
      <c r="B919" s="3" t="inlineStr">
        <is>
          <t>A0153</t>
        </is>
      </c>
      <c r="C919" s="3" t="inlineStr">
        <is>
          <t>Naresh Sharma</t>
        </is>
      </c>
      <c r="D919" s="3" t="inlineStr">
        <is>
          <t>Bhagalpur</t>
        </is>
      </c>
      <c r="E919" s="3" t="inlineStr">
        <is>
          <t>R. Singh</t>
        </is>
      </c>
      <c r="F919" s="3" t="inlineStr">
        <is>
          <t>Housing</t>
        </is>
      </c>
      <c r="G919" s="4" t="n">
        <v>46270</v>
      </c>
      <c r="H919" s="5" t="n">
        <v>17333</v>
      </c>
    </row>
    <row r="920">
      <c r="A920" s="3" t="inlineStr">
        <is>
          <t>D0919</t>
        </is>
      </c>
      <c r="B920" s="3" t="inlineStr">
        <is>
          <t>A0154</t>
        </is>
      </c>
      <c r="C920" s="3" t="inlineStr">
        <is>
          <t>Bablu Yadav</t>
        </is>
      </c>
      <c r="D920" s="3" t="inlineStr">
        <is>
          <t>Patna</t>
        </is>
      </c>
      <c r="E920" s="3" t="inlineStr">
        <is>
          <t>K. Sharma</t>
        </is>
      </c>
      <c r="F920" s="3" t="inlineStr">
        <is>
          <t>Trade</t>
        </is>
      </c>
      <c r="G920" s="4" t="n">
        <v>46117</v>
      </c>
      <c r="H920" s="5" t="n">
        <v>21167</v>
      </c>
    </row>
    <row r="921">
      <c r="A921" s="3" t="inlineStr">
        <is>
          <t>D0920</t>
        </is>
      </c>
      <c r="B921" s="3" t="inlineStr">
        <is>
          <t>A0154</t>
        </is>
      </c>
      <c r="C921" s="3" t="inlineStr">
        <is>
          <t>Bablu Yadav</t>
        </is>
      </c>
      <c r="D921" s="3" t="inlineStr">
        <is>
          <t>Patna</t>
        </is>
      </c>
      <c r="E921" s="3" t="inlineStr">
        <is>
          <t>K. Sharma</t>
        </is>
      </c>
      <c r="F921" s="3" t="inlineStr">
        <is>
          <t>Trade</t>
        </is>
      </c>
      <c r="G921" s="4" t="n">
        <v>46147</v>
      </c>
      <c r="H921" s="5" t="n">
        <v>21167</v>
      </c>
    </row>
    <row r="922">
      <c r="A922" s="3" t="inlineStr">
        <is>
          <t>D0921</t>
        </is>
      </c>
      <c r="B922" s="3" t="inlineStr">
        <is>
          <t>A0154</t>
        </is>
      </c>
      <c r="C922" s="3" t="inlineStr">
        <is>
          <t>Bablu Yadav</t>
        </is>
      </c>
      <c r="D922" s="3" t="inlineStr">
        <is>
          <t>Patna</t>
        </is>
      </c>
      <c r="E922" s="3" t="inlineStr">
        <is>
          <t>K. Sharma</t>
        </is>
      </c>
      <c r="F922" s="3" t="inlineStr">
        <is>
          <t>Trade</t>
        </is>
      </c>
      <c r="G922" s="4" t="n">
        <v>46178</v>
      </c>
      <c r="H922" s="5" t="n">
        <v>21167</v>
      </c>
    </row>
    <row r="923">
      <c r="A923" s="3" t="inlineStr">
        <is>
          <t>D0922</t>
        </is>
      </c>
      <c r="B923" s="3" t="inlineStr">
        <is>
          <t>A0154</t>
        </is>
      </c>
      <c r="C923" s="3" t="inlineStr">
        <is>
          <t>Bablu Yadav</t>
        </is>
      </c>
      <c r="D923" s="3" t="inlineStr">
        <is>
          <t>Patna</t>
        </is>
      </c>
      <c r="E923" s="3" t="inlineStr">
        <is>
          <t>K. Sharma</t>
        </is>
      </c>
      <c r="F923" s="3" t="inlineStr">
        <is>
          <t>Trade</t>
        </is>
      </c>
      <c r="G923" s="4" t="n">
        <v>46208</v>
      </c>
      <c r="H923" s="5" t="n">
        <v>21167</v>
      </c>
    </row>
    <row r="924">
      <c r="A924" s="3" t="inlineStr">
        <is>
          <t>D0923</t>
        </is>
      </c>
      <c r="B924" s="3" t="inlineStr">
        <is>
          <t>A0154</t>
        </is>
      </c>
      <c r="C924" s="3" t="inlineStr">
        <is>
          <t>Bablu Yadav</t>
        </is>
      </c>
      <c r="D924" s="3" t="inlineStr">
        <is>
          <t>Patna</t>
        </is>
      </c>
      <c r="E924" s="3" t="inlineStr">
        <is>
          <t>K. Sharma</t>
        </is>
      </c>
      <c r="F924" s="3" t="inlineStr">
        <is>
          <t>Trade</t>
        </is>
      </c>
      <c r="G924" s="4" t="n">
        <v>46239</v>
      </c>
      <c r="H924" s="5" t="n">
        <v>21167</v>
      </c>
    </row>
    <row r="925">
      <c r="A925" s="3" t="inlineStr">
        <is>
          <t>D0924</t>
        </is>
      </c>
      <c r="B925" s="3" t="inlineStr">
        <is>
          <t>A0154</t>
        </is>
      </c>
      <c r="C925" s="3" t="inlineStr">
        <is>
          <t>Bablu Yadav</t>
        </is>
      </c>
      <c r="D925" s="3" t="inlineStr">
        <is>
          <t>Patna</t>
        </is>
      </c>
      <c r="E925" s="3" t="inlineStr">
        <is>
          <t>K. Sharma</t>
        </is>
      </c>
      <c r="F925" s="3" t="inlineStr">
        <is>
          <t>Trade</t>
        </is>
      </c>
      <c r="G925" s="4" t="n">
        <v>46270</v>
      </c>
      <c r="H925" s="5" t="n">
        <v>21167</v>
      </c>
    </row>
    <row r="926">
      <c r="A926" s="3" t="inlineStr">
        <is>
          <t>D0925</t>
        </is>
      </c>
      <c r="B926" s="3" t="inlineStr">
        <is>
          <t>A0155</t>
        </is>
      </c>
      <c r="C926" s="3" t="inlineStr">
        <is>
          <t>Deepak Paswan</t>
        </is>
      </c>
      <c r="D926" s="3" t="inlineStr">
        <is>
          <t>Patna</t>
        </is>
      </c>
      <c r="E926" s="3" t="inlineStr">
        <is>
          <t>P. Yadav</t>
        </is>
      </c>
      <c r="F926" s="3" t="inlineStr">
        <is>
          <t>Personal</t>
        </is>
      </c>
      <c r="G926" s="4" t="n">
        <v>46117</v>
      </c>
      <c r="H926" s="5" t="n">
        <v>31500</v>
      </c>
    </row>
    <row r="927">
      <c r="A927" s="3" t="inlineStr">
        <is>
          <t>D0926</t>
        </is>
      </c>
      <c r="B927" s="3" t="inlineStr">
        <is>
          <t>A0155</t>
        </is>
      </c>
      <c r="C927" s="3" t="inlineStr">
        <is>
          <t>Deepak Paswan</t>
        </is>
      </c>
      <c r="D927" s="3" t="inlineStr">
        <is>
          <t>Patna</t>
        </is>
      </c>
      <c r="E927" s="3" t="inlineStr">
        <is>
          <t>P. Yadav</t>
        </is>
      </c>
      <c r="F927" s="3" t="inlineStr">
        <is>
          <t>Personal</t>
        </is>
      </c>
      <c r="G927" s="4" t="n">
        <v>46147</v>
      </c>
      <c r="H927" s="5" t="n">
        <v>31500</v>
      </c>
    </row>
    <row r="928">
      <c r="A928" s="3" t="inlineStr">
        <is>
          <t>D0927</t>
        </is>
      </c>
      <c r="B928" s="3" t="inlineStr">
        <is>
          <t>A0155</t>
        </is>
      </c>
      <c r="C928" s="3" t="inlineStr">
        <is>
          <t>Deepak Paswan</t>
        </is>
      </c>
      <c r="D928" s="3" t="inlineStr">
        <is>
          <t>Patna</t>
        </is>
      </c>
      <c r="E928" s="3" t="inlineStr">
        <is>
          <t>P. Yadav</t>
        </is>
      </c>
      <c r="F928" s="3" t="inlineStr">
        <is>
          <t>Personal</t>
        </is>
      </c>
      <c r="G928" s="4" t="n">
        <v>46178</v>
      </c>
      <c r="H928" s="5" t="n">
        <v>31500</v>
      </c>
    </row>
    <row r="929">
      <c r="A929" s="3" t="inlineStr">
        <is>
          <t>D0928</t>
        </is>
      </c>
      <c r="B929" s="3" t="inlineStr">
        <is>
          <t>A0155</t>
        </is>
      </c>
      <c r="C929" s="3" t="inlineStr">
        <is>
          <t>Deepak Paswan</t>
        </is>
      </c>
      <c r="D929" s="3" t="inlineStr">
        <is>
          <t>Patna</t>
        </is>
      </c>
      <c r="E929" s="3" t="inlineStr">
        <is>
          <t>P. Yadav</t>
        </is>
      </c>
      <c r="F929" s="3" t="inlineStr">
        <is>
          <t>Personal</t>
        </is>
      </c>
      <c r="G929" s="4" t="n">
        <v>46208</v>
      </c>
      <c r="H929" s="5" t="n">
        <v>31500</v>
      </c>
    </row>
    <row r="930">
      <c r="A930" s="3" t="inlineStr">
        <is>
          <t>D0929</t>
        </is>
      </c>
      <c r="B930" s="3" t="inlineStr">
        <is>
          <t>A0155</t>
        </is>
      </c>
      <c r="C930" s="3" t="inlineStr">
        <is>
          <t>Deepak Paswan</t>
        </is>
      </c>
      <c r="D930" s="3" t="inlineStr">
        <is>
          <t>Patna</t>
        </is>
      </c>
      <c r="E930" s="3" t="inlineStr">
        <is>
          <t>P. Yadav</t>
        </is>
      </c>
      <c r="F930" s="3" t="inlineStr">
        <is>
          <t>Personal</t>
        </is>
      </c>
      <c r="G930" s="4" t="n">
        <v>46239</v>
      </c>
      <c r="H930" s="5" t="n">
        <v>31500</v>
      </c>
    </row>
    <row r="931">
      <c r="A931" s="3" t="inlineStr">
        <is>
          <t>D0930</t>
        </is>
      </c>
      <c r="B931" s="3" t="inlineStr">
        <is>
          <t>A0155</t>
        </is>
      </c>
      <c r="C931" s="3" t="inlineStr">
        <is>
          <t>Deepak Paswan</t>
        </is>
      </c>
      <c r="D931" s="3" t="inlineStr">
        <is>
          <t>Patna</t>
        </is>
      </c>
      <c r="E931" s="3" t="inlineStr">
        <is>
          <t>P. Yadav</t>
        </is>
      </c>
      <c r="F931" s="3" t="inlineStr">
        <is>
          <t>Personal</t>
        </is>
      </c>
      <c r="G931" s="4" t="n">
        <v>46270</v>
      </c>
      <c r="H931" s="5" t="n">
        <v>31500</v>
      </c>
    </row>
    <row r="932">
      <c r="A932" s="3" t="inlineStr">
        <is>
          <t>D0931</t>
        </is>
      </c>
      <c r="B932" s="3" t="inlineStr">
        <is>
          <t>A0156</t>
        </is>
      </c>
      <c r="C932" s="3" t="inlineStr">
        <is>
          <t>Manoj Sharma</t>
        </is>
      </c>
      <c r="D932" s="3" t="inlineStr">
        <is>
          <t>Bhagalpur</t>
        </is>
      </c>
      <c r="E932" s="3" t="inlineStr">
        <is>
          <t>S. Gupta</t>
        </is>
      </c>
      <c r="F932" s="3" t="inlineStr">
        <is>
          <t>Vehicle</t>
        </is>
      </c>
      <c r="G932" s="4" t="n">
        <v>46117</v>
      </c>
      <c r="H932" s="5" t="n">
        <v>19667</v>
      </c>
    </row>
    <row r="933">
      <c r="A933" s="3" t="inlineStr">
        <is>
          <t>D0932</t>
        </is>
      </c>
      <c r="B933" s="3" t="inlineStr">
        <is>
          <t>A0156</t>
        </is>
      </c>
      <c r="C933" s="3" t="inlineStr">
        <is>
          <t>Manoj Sharma</t>
        </is>
      </c>
      <c r="D933" s="3" t="inlineStr">
        <is>
          <t>Bhagalpur</t>
        </is>
      </c>
      <c r="E933" s="3" t="inlineStr">
        <is>
          <t>S. Gupta</t>
        </is>
      </c>
      <c r="F933" s="3" t="inlineStr">
        <is>
          <t>Vehicle</t>
        </is>
      </c>
      <c r="G933" s="4" t="n">
        <v>46147</v>
      </c>
      <c r="H933" s="5" t="n">
        <v>19667</v>
      </c>
    </row>
    <row r="934">
      <c r="A934" s="3" t="inlineStr">
        <is>
          <t>D0933</t>
        </is>
      </c>
      <c r="B934" s="3" t="inlineStr">
        <is>
          <t>A0156</t>
        </is>
      </c>
      <c r="C934" s="3" t="inlineStr">
        <is>
          <t>Manoj Sharma</t>
        </is>
      </c>
      <c r="D934" s="3" t="inlineStr">
        <is>
          <t>Bhagalpur</t>
        </is>
      </c>
      <c r="E934" s="3" t="inlineStr">
        <is>
          <t>S. Gupta</t>
        </is>
      </c>
      <c r="F934" s="3" t="inlineStr">
        <is>
          <t>Vehicle</t>
        </is>
      </c>
      <c r="G934" s="4" t="n">
        <v>46178</v>
      </c>
      <c r="H934" s="5" t="n">
        <v>19667</v>
      </c>
    </row>
    <row r="935">
      <c r="A935" s="3" t="inlineStr">
        <is>
          <t>D0934</t>
        </is>
      </c>
      <c r="B935" s="3" t="inlineStr">
        <is>
          <t>A0156</t>
        </is>
      </c>
      <c r="C935" s="3" t="inlineStr">
        <is>
          <t>Manoj Sharma</t>
        </is>
      </c>
      <c r="D935" s="3" t="inlineStr">
        <is>
          <t>Bhagalpur</t>
        </is>
      </c>
      <c r="E935" s="3" t="inlineStr">
        <is>
          <t>S. Gupta</t>
        </is>
      </c>
      <c r="F935" s="3" t="inlineStr">
        <is>
          <t>Vehicle</t>
        </is>
      </c>
      <c r="G935" s="4" t="n">
        <v>46208</v>
      </c>
      <c r="H935" s="5" t="n">
        <v>19667</v>
      </c>
    </row>
    <row r="936">
      <c r="A936" s="3" t="inlineStr">
        <is>
          <t>D0935</t>
        </is>
      </c>
      <c r="B936" s="3" t="inlineStr">
        <is>
          <t>A0156</t>
        </is>
      </c>
      <c r="C936" s="3" t="inlineStr">
        <is>
          <t>Manoj Sharma</t>
        </is>
      </c>
      <c r="D936" s="3" t="inlineStr">
        <is>
          <t>Bhagalpur</t>
        </is>
      </c>
      <c r="E936" s="3" t="inlineStr">
        <is>
          <t>S. Gupta</t>
        </is>
      </c>
      <c r="F936" s="3" t="inlineStr">
        <is>
          <t>Vehicle</t>
        </is>
      </c>
      <c r="G936" s="4" t="n">
        <v>46239</v>
      </c>
      <c r="H936" s="5" t="n">
        <v>19667</v>
      </c>
    </row>
    <row r="937">
      <c r="A937" s="3" t="inlineStr">
        <is>
          <t>D0936</t>
        </is>
      </c>
      <c r="B937" s="3" t="inlineStr">
        <is>
          <t>A0156</t>
        </is>
      </c>
      <c r="C937" s="3" t="inlineStr">
        <is>
          <t>Manoj Sharma</t>
        </is>
      </c>
      <c r="D937" s="3" t="inlineStr">
        <is>
          <t>Bhagalpur</t>
        </is>
      </c>
      <c r="E937" s="3" t="inlineStr">
        <is>
          <t>S. Gupta</t>
        </is>
      </c>
      <c r="F937" s="3" t="inlineStr">
        <is>
          <t>Vehicle</t>
        </is>
      </c>
      <c r="G937" s="4" t="n">
        <v>46270</v>
      </c>
      <c r="H937" s="5" t="n">
        <v>19667</v>
      </c>
    </row>
    <row r="938">
      <c r="A938" s="3" t="inlineStr">
        <is>
          <t>D0937</t>
        </is>
      </c>
      <c r="B938" s="3" t="inlineStr">
        <is>
          <t>A0157</t>
        </is>
      </c>
      <c r="C938" s="3" t="inlineStr">
        <is>
          <t>Rajesh Sharma</t>
        </is>
      </c>
      <c r="D938" s="3" t="inlineStr">
        <is>
          <t>Bhagalpur</t>
        </is>
      </c>
      <c r="E938" s="3" t="inlineStr">
        <is>
          <t>M. Mandal</t>
        </is>
      </c>
      <c r="F938" s="3" t="inlineStr">
        <is>
          <t>Personal</t>
        </is>
      </c>
      <c r="G938" s="4" t="n">
        <v>46117</v>
      </c>
      <c r="H938" s="5" t="n">
        <v>18833</v>
      </c>
    </row>
    <row r="939">
      <c r="A939" s="3" t="inlineStr">
        <is>
          <t>D0938</t>
        </is>
      </c>
      <c r="B939" s="3" t="inlineStr">
        <is>
          <t>A0157</t>
        </is>
      </c>
      <c r="C939" s="3" t="inlineStr">
        <is>
          <t>Rajesh Sharma</t>
        </is>
      </c>
      <c r="D939" s="3" t="inlineStr">
        <is>
          <t>Bhagalpur</t>
        </is>
      </c>
      <c r="E939" s="3" t="inlineStr">
        <is>
          <t>M. Mandal</t>
        </is>
      </c>
      <c r="F939" s="3" t="inlineStr">
        <is>
          <t>Personal</t>
        </is>
      </c>
      <c r="G939" s="4" t="n">
        <v>46147</v>
      </c>
      <c r="H939" s="5" t="n">
        <v>18833</v>
      </c>
    </row>
    <row r="940">
      <c r="A940" s="3" t="inlineStr">
        <is>
          <t>D0939</t>
        </is>
      </c>
      <c r="B940" s="3" t="inlineStr">
        <is>
          <t>A0157</t>
        </is>
      </c>
      <c r="C940" s="3" t="inlineStr">
        <is>
          <t>Rajesh Sharma</t>
        </is>
      </c>
      <c r="D940" s="3" t="inlineStr">
        <is>
          <t>Bhagalpur</t>
        </is>
      </c>
      <c r="E940" s="3" t="inlineStr">
        <is>
          <t>M. Mandal</t>
        </is>
      </c>
      <c r="F940" s="3" t="inlineStr">
        <is>
          <t>Personal</t>
        </is>
      </c>
      <c r="G940" s="4" t="n">
        <v>46178</v>
      </c>
      <c r="H940" s="5" t="n">
        <v>18833</v>
      </c>
    </row>
    <row r="941">
      <c r="A941" s="3" t="inlineStr">
        <is>
          <t>D0940</t>
        </is>
      </c>
      <c r="B941" s="3" t="inlineStr">
        <is>
          <t>A0157</t>
        </is>
      </c>
      <c r="C941" s="3" t="inlineStr">
        <is>
          <t>Rajesh Sharma</t>
        </is>
      </c>
      <c r="D941" s="3" t="inlineStr">
        <is>
          <t>Bhagalpur</t>
        </is>
      </c>
      <c r="E941" s="3" t="inlineStr">
        <is>
          <t>M. Mandal</t>
        </is>
      </c>
      <c r="F941" s="3" t="inlineStr">
        <is>
          <t>Personal</t>
        </is>
      </c>
      <c r="G941" s="4" t="n">
        <v>46208</v>
      </c>
      <c r="H941" s="5" t="n">
        <v>18833</v>
      </c>
    </row>
    <row r="942">
      <c r="A942" s="3" t="inlineStr">
        <is>
          <t>D0941</t>
        </is>
      </c>
      <c r="B942" s="3" t="inlineStr">
        <is>
          <t>A0157</t>
        </is>
      </c>
      <c r="C942" s="3" t="inlineStr">
        <is>
          <t>Rajesh Sharma</t>
        </is>
      </c>
      <c r="D942" s="3" t="inlineStr">
        <is>
          <t>Bhagalpur</t>
        </is>
      </c>
      <c r="E942" s="3" t="inlineStr">
        <is>
          <t>M. Mandal</t>
        </is>
      </c>
      <c r="F942" s="3" t="inlineStr">
        <is>
          <t>Personal</t>
        </is>
      </c>
      <c r="G942" s="4" t="n">
        <v>46239</v>
      </c>
      <c r="H942" s="5" t="n">
        <v>18833</v>
      </c>
    </row>
    <row r="943">
      <c r="A943" s="3" t="inlineStr">
        <is>
          <t>D0942</t>
        </is>
      </c>
      <c r="B943" s="3" t="inlineStr">
        <is>
          <t>A0157</t>
        </is>
      </c>
      <c r="C943" s="3" t="inlineStr">
        <is>
          <t>Rajesh Sharma</t>
        </is>
      </c>
      <c r="D943" s="3" t="inlineStr">
        <is>
          <t>Bhagalpur</t>
        </is>
      </c>
      <c r="E943" s="3" t="inlineStr">
        <is>
          <t>M. Mandal</t>
        </is>
      </c>
      <c r="F943" s="3" t="inlineStr">
        <is>
          <t>Personal</t>
        </is>
      </c>
      <c r="G943" s="4" t="n">
        <v>46270</v>
      </c>
      <c r="H943" s="5" t="n">
        <v>18833</v>
      </c>
    </row>
    <row r="944">
      <c r="A944" s="3" t="inlineStr">
        <is>
          <t>D0943</t>
        </is>
      </c>
      <c r="B944" s="3" t="inlineStr">
        <is>
          <t>A0158</t>
        </is>
      </c>
      <c r="C944" s="3" t="inlineStr">
        <is>
          <t>Geeta Rai</t>
        </is>
      </c>
      <c r="D944" s="3" t="inlineStr">
        <is>
          <t>Darbhanga</t>
        </is>
      </c>
      <c r="E944" s="3" t="inlineStr">
        <is>
          <t>M. Mandal</t>
        </is>
      </c>
      <c r="F944" s="3" t="inlineStr">
        <is>
          <t>Trade</t>
        </is>
      </c>
      <c r="G944" s="4" t="n">
        <v>46117</v>
      </c>
      <c r="H944" s="5" t="n">
        <v>5333</v>
      </c>
    </row>
    <row r="945">
      <c r="A945" s="3" t="inlineStr">
        <is>
          <t>D0944</t>
        </is>
      </c>
      <c r="B945" s="3" t="inlineStr">
        <is>
          <t>A0158</t>
        </is>
      </c>
      <c r="C945" s="3" t="inlineStr">
        <is>
          <t>Geeta Rai</t>
        </is>
      </c>
      <c r="D945" s="3" t="inlineStr">
        <is>
          <t>Darbhanga</t>
        </is>
      </c>
      <c r="E945" s="3" t="inlineStr">
        <is>
          <t>M. Mandal</t>
        </is>
      </c>
      <c r="F945" s="3" t="inlineStr">
        <is>
          <t>Trade</t>
        </is>
      </c>
      <c r="G945" s="4" t="n">
        <v>46147</v>
      </c>
      <c r="H945" s="5" t="n">
        <v>5333</v>
      </c>
    </row>
    <row r="946">
      <c r="A946" s="3" t="inlineStr">
        <is>
          <t>D0945</t>
        </is>
      </c>
      <c r="B946" s="3" t="inlineStr">
        <is>
          <t>A0158</t>
        </is>
      </c>
      <c r="C946" s="3" t="inlineStr">
        <is>
          <t>Geeta Rai</t>
        </is>
      </c>
      <c r="D946" s="3" t="inlineStr">
        <is>
          <t>Darbhanga</t>
        </is>
      </c>
      <c r="E946" s="3" t="inlineStr">
        <is>
          <t>M. Mandal</t>
        </is>
      </c>
      <c r="F946" s="3" t="inlineStr">
        <is>
          <t>Trade</t>
        </is>
      </c>
      <c r="G946" s="4" t="n">
        <v>46178</v>
      </c>
      <c r="H946" s="5" t="n">
        <v>5333</v>
      </c>
    </row>
    <row r="947">
      <c r="A947" s="3" t="inlineStr">
        <is>
          <t>D0946</t>
        </is>
      </c>
      <c r="B947" s="3" t="inlineStr">
        <is>
          <t>A0158</t>
        </is>
      </c>
      <c r="C947" s="3" t="inlineStr">
        <is>
          <t>Geeta Rai</t>
        </is>
      </c>
      <c r="D947" s="3" t="inlineStr">
        <is>
          <t>Darbhanga</t>
        </is>
      </c>
      <c r="E947" s="3" t="inlineStr">
        <is>
          <t>M. Mandal</t>
        </is>
      </c>
      <c r="F947" s="3" t="inlineStr">
        <is>
          <t>Trade</t>
        </is>
      </c>
      <c r="G947" s="4" t="n">
        <v>46208</v>
      </c>
      <c r="H947" s="5" t="n">
        <v>5333</v>
      </c>
    </row>
    <row r="948">
      <c r="A948" s="3" t="inlineStr">
        <is>
          <t>D0947</t>
        </is>
      </c>
      <c r="B948" s="3" t="inlineStr">
        <is>
          <t>A0158</t>
        </is>
      </c>
      <c r="C948" s="3" t="inlineStr">
        <is>
          <t>Geeta Rai</t>
        </is>
      </c>
      <c r="D948" s="3" t="inlineStr">
        <is>
          <t>Darbhanga</t>
        </is>
      </c>
      <c r="E948" s="3" t="inlineStr">
        <is>
          <t>M. Mandal</t>
        </is>
      </c>
      <c r="F948" s="3" t="inlineStr">
        <is>
          <t>Trade</t>
        </is>
      </c>
      <c r="G948" s="4" t="n">
        <v>46239</v>
      </c>
      <c r="H948" s="5" t="n">
        <v>5333</v>
      </c>
    </row>
    <row r="949">
      <c r="A949" s="3" t="inlineStr">
        <is>
          <t>D0948</t>
        </is>
      </c>
      <c r="B949" s="3" t="inlineStr">
        <is>
          <t>A0158</t>
        </is>
      </c>
      <c r="C949" s="3" t="inlineStr">
        <is>
          <t>Geeta Rai</t>
        </is>
      </c>
      <c r="D949" s="3" t="inlineStr">
        <is>
          <t>Darbhanga</t>
        </is>
      </c>
      <c r="E949" s="3" t="inlineStr">
        <is>
          <t>M. Mandal</t>
        </is>
      </c>
      <c r="F949" s="3" t="inlineStr">
        <is>
          <t>Trade</t>
        </is>
      </c>
      <c r="G949" s="4" t="n">
        <v>46270</v>
      </c>
      <c r="H949" s="5" t="n">
        <v>5333</v>
      </c>
    </row>
    <row r="950">
      <c r="A950" s="3" t="inlineStr">
        <is>
          <t>D0949</t>
        </is>
      </c>
      <c r="B950" s="3" t="inlineStr">
        <is>
          <t>A0159</t>
        </is>
      </c>
      <c r="C950" s="3" t="inlineStr">
        <is>
          <t>Rina Paswan</t>
        </is>
      </c>
      <c r="D950" s="3" t="inlineStr">
        <is>
          <t>Gaya</t>
        </is>
      </c>
      <c r="E950" s="3" t="inlineStr">
        <is>
          <t>R. Singh</t>
        </is>
      </c>
      <c r="F950" s="3" t="inlineStr">
        <is>
          <t>Vehicle</t>
        </is>
      </c>
      <c r="G950" s="4" t="n">
        <v>46117</v>
      </c>
      <c r="H950" s="5" t="n">
        <v>32500</v>
      </c>
    </row>
    <row r="951">
      <c r="A951" s="3" t="inlineStr">
        <is>
          <t>D0950</t>
        </is>
      </c>
      <c r="B951" s="3" t="inlineStr">
        <is>
          <t>A0159</t>
        </is>
      </c>
      <c r="C951" s="3" t="inlineStr">
        <is>
          <t>Rina Paswan</t>
        </is>
      </c>
      <c r="D951" s="3" t="inlineStr">
        <is>
          <t>Gaya</t>
        </is>
      </c>
      <c r="E951" s="3" t="inlineStr">
        <is>
          <t>R. Singh</t>
        </is>
      </c>
      <c r="F951" s="3" t="inlineStr">
        <is>
          <t>Vehicle</t>
        </is>
      </c>
      <c r="G951" s="4" t="n">
        <v>46147</v>
      </c>
      <c r="H951" s="5" t="n">
        <v>32500</v>
      </c>
    </row>
    <row r="952">
      <c r="A952" s="3" t="inlineStr">
        <is>
          <t>D0951</t>
        </is>
      </c>
      <c r="B952" s="3" t="inlineStr">
        <is>
          <t>A0159</t>
        </is>
      </c>
      <c r="C952" s="3" t="inlineStr">
        <is>
          <t>Rina Paswan</t>
        </is>
      </c>
      <c r="D952" s="3" t="inlineStr">
        <is>
          <t>Gaya</t>
        </is>
      </c>
      <c r="E952" s="3" t="inlineStr">
        <is>
          <t>R. Singh</t>
        </is>
      </c>
      <c r="F952" s="3" t="inlineStr">
        <is>
          <t>Vehicle</t>
        </is>
      </c>
      <c r="G952" s="4" t="n">
        <v>46178</v>
      </c>
      <c r="H952" s="5" t="n">
        <v>32500</v>
      </c>
    </row>
    <row r="953">
      <c r="A953" s="3" t="inlineStr">
        <is>
          <t>D0952</t>
        </is>
      </c>
      <c r="B953" s="3" t="inlineStr">
        <is>
          <t>A0159</t>
        </is>
      </c>
      <c r="C953" s="3" t="inlineStr">
        <is>
          <t>Rina Paswan</t>
        </is>
      </c>
      <c r="D953" s="3" t="inlineStr">
        <is>
          <t>Gaya</t>
        </is>
      </c>
      <c r="E953" s="3" t="inlineStr">
        <is>
          <t>R. Singh</t>
        </is>
      </c>
      <c r="F953" s="3" t="inlineStr">
        <is>
          <t>Vehicle</t>
        </is>
      </c>
      <c r="G953" s="4" t="n">
        <v>46208</v>
      </c>
      <c r="H953" s="5" t="n">
        <v>32500</v>
      </c>
    </row>
    <row r="954">
      <c r="A954" s="3" t="inlineStr">
        <is>
          <t>D0953</t>
        </is>
      </c>
      <c r="B954" s="3" t="inlineStr">
        <is>
          <t>A0159</t>
        </is>
      </c>
      <c r="C954" s="3" t="inlineStr">
        <is>
          <t>Rina Paswan</t>
        </is>
      </c>
      <c r="D954" s="3" t="inlineStr">
        <is>
          <t>Gaya</t>
        </is>
      </c>
      <c r="E954" s="3" t="inlineStr">
        <is>
          <t>R. Singh</t>
        </is>
      </c>
      <c r="F954" s="3" t="inlineStr">
        <is>
          <t>Vehicle</t>
        </is>
      </c>
      <c r="G954" s="4" t="n">
        <v>46239</v>
      </c>
      <c r="H954" s="5" t="n">
        <v>32500</v>
      </c>
    </row>
    <row r="955">
      <c r="A955" s="3" t="inlineStr">
        <is>
          <t>D0954</t>
        </is>
      </c>
      <c r="B955" s="3" t="inlineStr">
        <is>
          <t>A0159</t>
        </is>
      </c>
      <c r="C955" s="3" t="inlineStr">
        <is>
          <t>Rina Paswan</t>
        </is>
      </c>
      <c r="D955" s="3" t="inlineStr">
        <is>
          <t>Gaya</t>
        </is>
      </c>
      <c r="E955" s="3" t="inlineStr">
        <is>
          <t>R. Singh</t>
        </is>
      </c>
      <c r="F955" s="3" t="inlineStr">
        <is>
          <t>Vehicle</t>
        </is>
      </c>
      <c r="G955" s="4" t="n">
        <v>46270</v>
      </c>
      <c r="H955" s="5" t="n">
        <v>32500</v>
      </c>
    </row>
    <row r="956">
      <c r="A956" s="3" t="inlineStr">
        <is>
          <t>D0955</t>
        </is>
      </c>
      <c r="B956" s="3" t="inlineStr">
        <is>
          <t>A0160</t>
        </is>
      </c>
      <c r="C956" s="3" t="inlineStr">
        <is>
          <t>Deepak Mandal</t>
        </is>
      </c>
      <c r="D956" s="3" t="inlineStr">
        <is>
          <t>Patna</t>
        </is>
      </c>
      <c r="E956" s="3" t="inlineStr">
        <is>
          <t>M. Mandal</t>
        </is>
      </c>
      <c r="F956" s="3" t="inlineStr">
        <is>
          <t>Agri</t>
        </is>
      </c>
      <c r="G956" s="4" t="n">
        <v>46117</v>
      </c>
      <c r="H956" s="5" t="n">
        <v>10500</v>
      </c>
    </row>
    <row r="957">
      <c r="A957" s="3" t="inlineStr">
        <is>
          <t>D0956</t>
        </is>
      </c>
      <c r="B957" s="3" t="inlineStr">
        <is>
          <t>A0160</t>
        </is>
      </c>
      <c r="C957" s="3" t="inlineStr">
        <is>
          <t>Deepak Mandal</t>
        </is>
      </c>
      <c r="D957" s="3" t="inlineStr">
        <is>
          <t>Patna</t>
        </is>
      </c>
      <c r="E957" s="3" t="inlineStr">
        <is>
          <t>M. Mandal</t>
        </is>
      </c>
      <c r="F957" s="3" t="inlineStr">
        <is>
          <t>Agri</t>
        </is>
      </c>
      <c r="G957" s="4" t="n">
        <v>46147</v>
      </c>
      <c r="H957" s="5" t="n">
        <v>10500</v>
      </c>
    </row>
    <row r="958">
      <c r="A958" s="3" t="inlineStr">
        <is>
          <t>D0957</t>
        </is>
      </c>
      <c r="B958" s="3" t="inlineStr">
        <is>
          <t>A0160</t>
        </is>
      </c>
      <c r="C958" s="3" t="inlineStr">
        <is>
          <t>Deepak Mandal</t>
        </is>
      </c>
      <c r="D958" s="3" t="inlineStr">
        <is>
          <t>Patna</t>
        </is>
      </c>
      <c r="E958" s="3" t="inlineStr">
        <is>
          <t>M. Mandal</t>
        </is>
      </c>
      <c r="F958" s="3" t="inlineStr">
        <is>
          <t>Agri</t>
        </is>
      </c>
      <c r="G958" s="4" t="n">
        <v>46178</v>
      </c>
      <c r="H958" s="5" t="n">
        <v>10500</v>
      </c>
    </row>
    <row r="959">
      <c r="A959" s="3" t="inlineStr">
        <is>
          <t>D0958</t>
        </is>
      </c>
      <c r="B959" s="3" t="inlineStr">
        <is>
          <t>A0160</t>
        </is>
      </c>
      <c r="C959" s="3" t="inlineStr">
        <is>
          <t>Deepak Mandal</t>
        </is>
      </c>
      <c r="D959" s="3" t="inlineStr">
        <is>
          <t>Patna</t>
        </is>
      </c>
      <c r="E959" s="3" t="inlineStr">
        <is>
          <t>M. Mandal</t>
        </is>
      </c>
      <c r="F959" s="3" t="inlineStr">
        <is>
          <t>Agri</t>
        </is>
      </c>
      <c r="G959" s="4" t="n">
        <v>46208</v>
      </c>
      <c r="H959" s="5" t="n">
        <v>10500</v>
      </c>
    </row>
    <row r="960">
      <c r="A960" s="3" t="inlineStr">
        <is>
          <t>D0959</t>
        </is>
      </c>
      <c r="B960" s="3" t="inlineStr">
        <is>
          <t>A0160</t>
        </is>
      </c>
      <c r="C960" s="3" t="inlineStr">
        <is>
          <t>Deepak Mandal</t>
        </is>
      </c>
      <c r="D960" s="3" t="inlineStr">
        <is>
          <t>Patna</t>
        </is>
      </c>
      <c r="E960" s="3" t="inlineStr">
        <is>
          <t>M. Mandal</t>
        </is>
      </c>
      <c r="F960" s="3" t="inlineStr">
        <is>
          <t>Agri</t>
        </is>
      </c>
      <c r="G960" s="4" t="n">
        <v>46239</v>
      </c>
      <c r="H960" s="5" t="n">
        <v>10500</v>
      </c>
    </row>
    <row r="961">
      <c r="A961" s="3" t="inlineStr">
        <is>
          <t>D0960</t>
        </is>
      </c>
      <c r="B961" s="3" t="inlineStr">
        <is>
          <t>A0160</t>
        </is>
      </c>
      <c r="C961" s="3" t="inlineStr">
        <is>
          <t>Deepak Mandal</t>
        </is>
      </c>
      <c r="D961" s="3" t="inlineStr">
        <is>
          <t>Patna</t>
        </is>
      </c>
      <c r="E961" s="3" t="inlineStr">
        <is>
          <t>M. Mandal</t>
        </is>
      </c>
      <c r="F961" s="3" t="inlineStr">
        <is>
          <t>Agri</t>
        </is>
      </c>
      <c r="G961" s="4" t="n">
        <v>46270</v>
      </c>
      <c r="H961" s="5" t="n">
        <v>10500</v>
      </c>
    </row>
    <row r="962">
      <c r="A962" s="3" t="inlineStr">
        <is>
          <t>D0961</t>
        </is>
      </c>
      <c r="B962" s="3" t="inlineStr">
        <is>
          <t>A0161</t>
        </is>
      </c>
      <c r="C962" s="3" t="inlineStr">
        <is>
          <t>Prakash Verma</t>
        </is>
      </c>
      <c r="D962" s="3" t="inlineStr">
        <is>
          <t>Darbhanga</t>
        </is>
      </c>
      <c r="E962" s="3" t="inlineStr">
        <is>
          <t>R. Singh</t>
        </is>
      </c>
      <c r="F962" s="3" t="inlineStr">
        <is>
          <t>Housing</t>
        </is>
      </c>
      <c r="G962" s="4" t="n">
        <v>46117</v>
      </c>
      <c r="H962" s="5" t="n">
        <v>8833</v>
      </c>
    </row>
    <row r="963">
      <c r="A963" s="3" t="inlineStr">
        <is>
          <t>D0962</t>
        </is>
      </c>
      <c r="B963" s="3" t="inlineStr">
        <is>
          <t>A0161</t>
        </is>
      </c>
      <c r="C963" s="3" t="inlineStr">
        <is>
          <t>Prakash Verma</t>
        </is>
      </c>
      <c r="D963" s="3" t="inlineStr">
        <is>
          <t>Darbhanga</t>
        </is>
      </c>
      <c r="E963" s="3" t="inlineStr">
        <is>
          <t>R. Singh</t>
        </is>
      </c>
      <c r="F963" s="3" t="inlineStr">
        <is>
          <t>Housing</t>
        </is>
      </c>
      <c r="G963" s="4" t="n">
        <v>46147</v>
      </c>
      <c r="H963" s="5" t="n">
        <v>8833</v>
      </c>
    </row>
    <row r="964">
      <c r="A964" s="3" t="inlineStr">
        <is>
          <t>D0963</t>
        </is>
      </c>
      <c r="B964" s="3" t="inlineStr">
        <is>
          <t>A0161</t>
        </is>
      </c>
      <c r="C964" s="3" t="inlineStr">
        <is>
          <t>Prakash Verma</t>
        </is>
      </c>
      <c r="D964" s="3" t="inlineStr">
        <is>
          <t>Darbhanga</t>
        </is>
      </c>
      <c r="E964" s="3" t="inlineStr">
        <is>
          <t>R. Singh</t>
        </is>
      </c>
      <c r="F964" s="3" t="inlineStr">
        <is>
          <t>Housing</t>
        </is>
      </c>
      <c r="G964" s="4" t="n">
        <v>46178</v>
      </c>
      <c r="H964" s="5" t="n">
        <v>8833</v>
      </c>
    </row>
    <row r="965">
      <c r="A965" s="3" t="inlineStr">
        <is>
          <t>D0964</t>
        </is>
      </c>
      <c r="B965" s="3" t="inlineStr">
        <is>
          <t>A0161</t>
        </is>
      </c>
      <c r="C965" s="3" t="inlineStr">
        <is>
          <t>Prakash Verma</t>
        </is>
      </c>
      <c r="D965" s="3" t="inlineStr">
        <is>
          <t>Darbhanga</t>
        </is>
      </c>
      <c r="E965" s="3" t="inlineStr">
        <is>
          <t>R. Singh</t>
        </is>
      </c>
      <c r="F965" s="3" t="inlineStr">
        <is>
          <t>Housing</t>
        </is>
      </c>
      <c r="G965" s="4" t="n">
        <v>46208</v>
      </c>
      <c r="H965" s="5" t="n">
        <v>8833</v>
      </c>
    </row>
    <row r="966">
      <c r="A966" s="3" t="inlineStr">
        <is>
          <t>D0965</t>
        </is>
      </c>
      <c r="B966" s="3" t="inlineStr">
        <is>
          <t>A0161</t>
        </is>
      </c>
      <c r="C966" s="3" t="inlineStr">
        <is>
          <t>Prakash Verma</t>
        </is>
      </c>
      <c r="D966" s="3" t="inlineStr">
        <is>
          <t>Darbhanga</t>
        </is>
      </c>
      <c r="E966" s="3" t="inlineStr">
        <is>
          <t>R. Singh</t>
        </is>
      </c>
      <c r="F966" s="3" t="inlineStr">
        <is>
          <t>Housing</t>
        </is>
      </c>
      <c r="G966" s="4" t="n">
        <v>46239</v>
      </c>
      <c r="H966" s="5" t="n">
        <v>8833</v>
      </c>
    </row>
    <row r="967">
      <c r="A967" s="3" t="inlineStr">
        <is>
          <t>D0966</t>
        </is>
      </c>
      <c r="B967" s="3" t="inlineStr">
        <is>
          <t>A0161</t>
        </is>
      </c>
      <c r="C967" s="3" t="inlineStr">
        <is>
          <t>Prakash Verma</t>
        </is>
      </c>
      <c r="D967" s="3" t="inlineStr">
        <is>
          <t>Darbhanga</t>
        </is>
      </c>
      <c r="E967" s="3" t="inlineStr">
        <is>
          <t>R. Singh</t>
        </is>
      </c>
      <c r="F967" s="3" t="inlineStr">
        <is>
          <t>Housing</t>
        </is>
      </c>
      <c r="G967" s="4" t="n">
        <v>46270</v>
      </c>
      <c r="H967" s="5" t="n">
        <v>8833</v>
      </c>
    </row>
    <row r="968">
      <c r="A968" s="3" t="inlineStr">
        <is>
          <t>D0967</t>
        </is>
      </c>
      <c r="B968" s="3" t="inlineStr">
        <is>
          <t>A0162</t>
        </is>
      </c>
      <c r="C968" s="3" t="inlineStr">
        <is>
          <t>Naresh Yadav</t>
        </is>
      </c>
      <c r="D968" s="3" t="inlineStr">
        <is>
          <t>Gaya</t>
        </is>
      </c>
      <c r="E968" s="3" t="inlineStr">
        <is>
          <t>M. Mandal</t>
        </is>
      </c>
      <c r="F968" s="3" t="inlineStr">
        <is>
          <t>Agri</t>
        </is>
      </c>
      <c r="G968" s="4" t="n">
        <v>46117</v>
      </c>
      <c r="H968" s="5" t="n">
        <v>19500</v>
      </c>
    </row>
    <row r="969">
      <c r="A969" s="3" t="inlineStr">
        <is>
          <t>D0968</t>
        </is>
      </c>
      <c r="B969" s="3" t="inlineStr">
        <is>
          <t>A0162</t>
        </is>
      </c>
      <c r="C969" s="3" t="inlineStr">
        <is>
          <t>Naresh Yadav</t>
        </is>
      </c>
      <c r="D969" s="3" t="inlineStr">
        <is>
          <t>Gaya</t>
        </is>
      </c>
      <c r="E969" s="3" t="inlineStr">
        <is>
          <t>M. Mandal</t>
        </is>
      </c>
      <c r="F969" s="3" t="inlineStr">
        <is>
          <t>Agri</t>
        </is>
      </c>
      <c r="G969" s="4" t="n">
        <v>46147</v>
      </c>
      <c r="H969" s="5" t="n">
        <v>19500</v>
      </c>
    </row>
    <row r="970">
      <c r="A970" s="3" t="inlineStr">
        <is>
          <t>D0969</t>
        </is>
      </c>
      <c r="B970" s="3" t="inlineStr">
        <is>
          <t>A0162</t>
        </is>
      </c>
      <c r="C970" s="3" t="inlineStr">
        <is>
          <t>Naresh Yadav</t>
        </is>
      </c>
      <c r="D970" s="3" t="inlineStr">
        <is>
          <t>Gaya</t>
        </is>
      </c>
      <c r="E970" s="3" t="inlineStr">
        <is>
          <t>M. Mandal</t>
        </is>
      </c>
      <c r="F970" s="3" t="inlineStr">
        <is>
          <t>Agri</t>
        </is>
      </c>
      <c r="G970" s="4" t="n">
        <v>46178</v>
      </c>
      <c r="H970" s="5" t="n">
        <v>19500</v>
      </c>
    </row>
    <row r="971">
      <c r="A971" s="3" t="inlineStr">
        <is>
          <t>D0970</t>
        </is>
      </c>
      <c r="B971" s="3" t="inlineStr">
        <is>
          <t>A0162</t>
        </is>
      </c>
      <c r="C971" s="3" t="inlineStr">
        <is>
          <t>Naresh Yadav</t>
        </is>
      </c>
      <c r="D971" s="3" t="inlineStr">
        <is>
          <t>Gaya</t>
        </is>
      </c>
      <c r="E971" s="3" t="inlineStr">
        <is>
          <t>M. Mandal</t>
        </is>
      </c>
      <c r="F971" s="3" t="inlineStr">
        <is>
          <t>Agri</t>
        </is>
      </c>
      <c r="G971" s="4" t="n">
        <v>46208</v>
      </c>
      <c r="H971" s="5" t="n">
        <v>19500</v>
      </c>
    </row>
    <row r="972">
      <c r="A972" s="3" t="inlineStr">
        <is>
          <t>D0971</t>
        </is>
      </c>
      <c r="B972" s="3" t="inlineStr">
        <is>
          <t>A0162</t>
        </is>
      </c>
      <c r="C972" s="3" t="inlineStr">
        <is>
          <t>Naresh Yadav</t>
        </is>
      </c>
      <c r="D972" s="3" t="inlineStr">
        <is>
          <t>Gaya</t>
        </is>
      </c>
      <c r="E972" s="3" t="inlineStr">
        <is>
          <t>M. Mandal</t>
        </is>
      </c>
      <c r="F972" s="3" t="inlineStr">
        <is>
          <t>Agri</t>
        </is>
      </c>
      <c r="G972" s="4" t="n">
        <v>46239</v>
      </c>
      <c r="H972" s="5" t="n">
        <v>19500</v>
      </c>
    </row>
    <row r="973">
      <c r="A973" s="3" t="inlineStr">
        <is>
          <t>D0972</t>
        </is>
      </c>
      <c r="B973" s="3" t="inlineStr">
        <is>
          <t>A0162</t>
        </is>
      </c>
      <c r="C973" s="3" t="inlineStr">
        <is>
          <t>Naresh Yadav</t>
        </is>
      </c>
      <c r="D973" s="3" t="inlineStr">
        <is>
          <t>Gaya</t>
        </is>
      </c>
      <c r="E973" s="3" t="inlineStr">
        <is>
          <t>M. Mandal</t>
        </is>
      </c>
      <c r="F973" s="3" t="inlineStr">
        <is>
          <t>Agri</t>
        </is>
      </c>
      <c r="G973" s="4" t="n">
        <v>46270</v>
      </c>
      <c r="H973" s="5" t="n">
        <v>19500</v>
      </c>
    </row>
    <row r="974">
      <c r="A974" s="3" t="inlineStr">
        <is>
          <t>D0973</t>
        </is>
      </c>
      <c r="B974" s="3" t="inlineStr">
        <is>
          <t>A0163</t>
        </is>
      </c>
      <c r="C974" s="3" t="inlineStr">
        <is>
          <t>Kiran Singh</t>
        </is>
      </c>
      <c r="D974" s="3" t="inlineStr">
        <is>
          <t>Patna</t>
        </is>
      </c>
      <c r="E974" s="3" t="inlineStr">
        <is>
          <t>P. Yadav</t>
        </is>
      </c>
      <c r="F974" s="3" t="inlineStr">
        <is>
          <t>Housing</t>
        </is>
      </c>
      <c r="G974" s="4" t="n">
        <v>46117</v>
      </c>
      <c r="H974" s="5" t="n">
        <v>17833</v>
      </c>
    </row>
    <row r="975">
      <c r="A975" s="3" t="inlineStr">
        <is>
          <t>D0974</t>
        </is>
      </c>
      <c r="B975" s="3" t="inlineStr">
        <is>
          <t>A0163</t>
        </is>
      </c>
      <c r="C975" s="3" t="inlineStr">
        <is>
          <t>Kiran Singh</t>
        </is>
      </c>
      <c r="D975" s="3" t="inlineStr">
        <is>
          <t>Patna</t>
        </is>
      </c>
      <c r="E975" s="3" t="inlineStr">
        <is>
          <t>P. Yadav</t>
        </is>
      </c>
      <c r="F975" s="3" t="inlineStr">
        <is>
          <t>Housing</t>
        </is>
      </c>
      <c r="G975" s="4" t="n">
        <v>46147</v>
      </c>
      <c r="H975" s="5" t="n">
        <v>17833</v>
      </c>
    </row>
    <row r="976">
      <c r="A976" s="3" t="inlineStr">
        <is>
          <t>D0975</t>
        </is>
      </c>
      <c r="B976" s="3" t="inlineStr">
        <is>
          <t>A0163</t>
        </is>
      </c>
      <c r="C976" s="3" t="inlineStr">
        <is>
          <t>Kiran Singh</t>
        </is>
      </c>
      <c r="D976" s="3" t="inlineStr">
        <is>
          <t>Patna</t>
        </is>
      </c>
      <c r="E976" s="3" t="inlineStr">
        <is>
          <t>P. Yadav</t>
        </is>
      </c>
      <c r="F976" s="3" t="inlineStr">
        <is>
          <t>Housing</t>
        </is>
      </c>
      <c r="G976" s="4" t="n">
        <v>46178</v>
      </c>
      <c r="H976" s="5" t="n">
        <v>17833</v>
      </c>
    </row>
    <row r="977">
      <c r="A977" s="3" t="inlineStr">
        <is>
          <t>D0976</t>
        </is>
      </c>
      <c r="B977" s="3" t="inlineStr">
        <is>
          <t>A0163</t>
        </is>
      </c>
      <c r="C977" s="3" t="inlineStr">
        <is>
          <t>Kiran Singh</t>
        </is>
      </c>
      <c r="D977" s="3" t="inlineStr">
        <is>
          <t>Patna</t>
        </is>
      </c>
      <c r="E977" s="3" t="inlineStr">
        <is>
          <t>P. Yadav</t>
        </is>
      </c>
      <c r="F977" s="3" t="inlineStr">
        <is>
          <t>Housing</t>
        </is>
      </c>
      <c r="G977" s="4" t="n">
        <v>46208</v>
      </c>
      <c r="H977" s="5" t="n">
        <v>17833</v>
      </c>
    </row>
    <row r="978">
      <c r="A978" s="3" t="inlineStr">
        <is>
          <t>D0977</t>
        </is>
      </c>
      <c r="B978" s="3" t="inlineStr">
        <is>
          <t>A0163</t>
        </is>
      </c>
      <c r="C978" s="3" t="inlineStr">
        <is>
          <t>Kiran Singh</t>
        </is>
      </c>
      <c r="D978" s="3" t="inlineStr">
        <is>
          <t>Patna</t>
        </is>
      </c>
      <c r="E978" s="3" t="inlineStr">
        <is>
          <t>P. Yadav</t>
        </is>
      </c>
      <c r="F978" s="3" t="inlineStr">
        <is>
          <t>Housing</t>
        </is>
      </c>
      <c r="G978" s="4" t="n">
        <v>46239</v>
      </c>
      <c r="H978" s="5" t="n">
        <v>17833</v>
      </c>
    </row>
    <row r="979">
      <c r="A979" s="3" t="inlineStr">
        <is>
          <t>D0978</t>
        </is>
      </c>
      <c r="B979" s="3" t="inlineStr">
        <is>
          <t>A0163</t>
        </is>
      </c>
      <c r="C979" s="3" t="inlineStr">
        <is>
          <t>Kiran Singh</t>
        </is>
      </c>
      <c r="D979" s="3" t="inlineStr">
        <is>
          <t>Patna</t>
        </is>
      </c>
      <c r="E979" s="3" t="inlineStr">
        <is>
          <t>P. Yadav</t>
        </is>
      </c>
      <c r="F979" s="3" t="inlineStr">
        <is>
          <t>Housing</t>
        </is>
      </c>
      <c r="G979" s="4" t="n">
        <v>46270</v>
      </c>
      <c r="H979" s="5" t="n">
        <v>17833</v>
      </c>
    </row>
    <row r="980">
      <c r="A980" s="3" t="inlineStr">
        <is>
          <t>D0979</t>
        </is>
      </c>
      <c r="B980" s="3" t="inlineStr">
        <is>
          <t>A0164</t>
        </is>
      </c>
      <c r="C980" s="3" t="inlineStr">
        <is>
          <t>Ravi Kumar</t>
        </is>
      </c>
      <c r="D980" s="3" t="inlineStr">
        <is>
          <t>Muzaffarpur</t>
        </is>
      </c>
      <c r="E980" s="3" t="inlineStr">
        <is>
          <t>K. Sharma</t>
        </is>
      </c>
      <c r="F980" s="3" t="inlineStr">
        <is>
          <t>Housing</t>
        </is>
      </c>
      <c r="G980" s="4" t="n">
        <v>46117</v>
      </c>
      <c r="H980" s="5" t="n">
        <v>26167</v>
      </c>
    </row>
    <row r="981">
      <c r="A981" s="3" t="inlineStr">
        <is>
          <t>D0980</t>
        </is>
      </c>
      <c r="B981" s="3" t="inlineStr">
        <is>
          <t>A0164</t>
        </is>
      </c>
      <c r="C981" s="3" t="inlineStr">
        <is>
          <t>Ravi Kumar</t>
        </is>
      </c>
      <c r="D981" s="3" t="inlineStr">
        <is>
          <t>Muzaffarpur</t>
        </is>
      </c>
      <c r="E981" s="3" t="inlineStr">
        <is>
          <t>K. Sharma</t>
        </is>
      </c>
      <c r="F981" s="3" t="inlineStr">
        <is>
          <t>Housing</t>
        </is>
      </c>
      <c r="G981" s="4" t="n">
        <v>46147</v>
      </c>
      <c r="H981" s="5" t="n">
        <v>26167</v>
      </c>
    </row>
    <row r="982">
      <c r="A982" s="3" t="inlineStr">
        <is>
          <t>D0981</t>
        </is>
      </c>
      <c r="B982" s="3" t="inlineStr">
        <is>
          <t>A0164</t>
        </is>
      </c>
      <c r="C982" s="3" t="inlineStr">
        <is>
          <t>Ravi Kumar</t>
        </is>
      </c>
      <c r="D982" s="3" t="inlineStr">
        <is>
          <t>Muzaffarpur</t>
        </is>
      </c>
      <c r="E982" s="3" t="inlineStr">
        <is>
          <t>K. Sharma</t>
        </is>
      </c>
      <c r="F982" s="3" t="inlineStr">
        <is>
          <t>Housing</t>
        </is>
      </c>
      <c r="G982" s="4" t="n">
        <v>46178</v>
      </c>
      <c r="H982" s="5" t="n">
        <v>26167</v>
      </c>
    </row>
    <row r="983">
      <c r="A983" s="3" t="inlineStr">
        <is>
          <t>D0982</t>
        </is>
      </c>
      <c r="B983" s="3" t="inlineStr">
        <is>
          <t>A0164</t>
        </is>
      </c>
      <c r="C983" s="3" t="inlineStr">
        <is>
          <t>Ravi Kumar</t>
        </is>
      </c>
      <c r="D983" s="3" t="inlineStr">
        <is>
          <t>Muzaffarpur</t>
        </is>
      </c>
      <c r="E983" s="3" t="inlineStr">
        <is>
          <t>K. Sharma</t>
        </is>
      </c>
      <c r="F983" s="3" t="inlineStr">
        <is>
          <t>Housing</t>
        </is>
      </c>
      <c r="G983" s="4" t="n">
        <v>46208</v>
      </c>
      <c r="H983" s="5" t="n">
        <v>26167</v>
      </c>
    </row>
    <row r="984">
      <c r="A984" s="3" t="inlineStr">
        <is>
          <t>D0983</t>
        </is>
      </c>
      <c r="B984" s="3" t="inlineStr">
        <is>
          <t>A0164</t>
        </is>
      </c>
      <c r="C984" s="3" t="inlineStr">
        <is>
          <t>Ravi Kumar</t>
        </is>
      </c>
      <c r="D984" s="3" t="inlineStr">
        <is>
          <t>Muzaffarpur</t>
        </is>
      </c>
      <c r="E984" s="3" t="inlineStr">
        <is>
          <t>K. Sharma</t>
        </is>
      </c>
      <c r="F984" s="3" t="inlineStr">
        <is>
          <t>Housing</t>
        </is>
      </c>
      <c r="G984" s="4" t="n">
        <v>46239</v>
      </c>
      <c r="H984" s="5" t="n">
        <v>26167</v>
      </c>
    </row>
    <row r="985">
      <c r="A985" s="3" t="inlineStr">
        <is>
          <t>D0984</t>
        </is>
      </c>
      <c r="B985" s="3" t="inlineStr">
        <is>
          <t>A0164</t>
        </is>
      </c>
      <c r="C985" s="3" t="inlineStr">
        <is>
          <t>Ravi Kumar</t>
        </is>
      </c>
      <c r="D985" s="3" t="inlineStr">
        <is>
          <t>Muzaffarpur</t>
        </is>
      </c>
      <c r="E985" s="3" t="inlineStr">
        <is>
          <t>K. Sharma</t>
        </is>
      </c>
      <c r="F985" s="3" t="inlineStr">
        <is>
          <t>Housing</t>
        </is>
      </c>
      <c r="G985" s="4" t="n">
        <v>46270</v>
      </c>
      <c r="H985" s="5" t="n">
        <v>26167</v>
      </c>
    </row>
    <row r="986">
      <c r="A986" s="3" t="inlineStr">
        <is>
          <t>D0985</t>
        </is>
      </c>
      <c r="B986" s="3" t="inlineStr">
        <is>
          <t>A0165</t>
        </is>
      </c>
      <c r="C986" s="3" t="inlineStr">
        <is>
          <t>Rina Singh</t>
        </is>
      </c>
      <c r="D986" s="3" t="inlineStr">
        <is>
          <t>Patna</t>
        </is>
      </c>
      <c r="E986" s="3" t="inlineStr">
        <is>
          <t>M. Mandal</t>
        </is>
      </c>
      <c r="F986" s="3" t="inlineStr">
        <is>
          <t>Agri</t>
        </is>
      </c>
      <c r="G986" s="4" t="n">
        <v>46117</v>
      </c>
      <c r="H986" s="5" t="n">
        <v>5500</v>
      </c>
    </row>
    <row r="987">
      <c r="A987" s="3" t="inlineStr">
        <is>
          <t>D0986</t>
        </is>
      </c>
      <c r="B987" s="3" t="inlineStr">
        <is>
          <t>A0165</t>
        </is>
      </c>
      <c r="C987" s="3" t="inlineStr">
        <is>
          <t>Rina Singh</t>
        </is>
      </c>
      <c r="D987" s="3" t="inlineStr">
        <is>
          <t>Patna</t>
        </is>
      </c>
      <c r="E987" s="3" t="inlineStr">
        <is>
          <t>M. Mandal</t>
        </is>
      </c>
      <c r="F987" s="3" t="inlineStr">
        <is>
          <t>Agri</t>
        </is>
      </c>
      <c r="G987" s="4" t="n">
        <v>46147</v>
      </c>
      <c r="H987" s="5" t="n">
        <v>5500</v>
      </c>
    </row>
    <row r="988">
      <c r="A988" s="3" t="inlineStr">
        <is>
          <t>D0987</t>
        </is>
      </c>
      <c r="B988" s="3" t="inlineStr">
        <is>
          <t>A0165</t>
        </is>
      </c>
      <c r="C988" s="3" t="inlineStr">
        <is>
          <t>Rina Singh</t>
        </is>
      </c>
      <c r="D988" s="3" t="inlineStr">
        <is>
          <t>Patna</t>
        </is>
      </c>
      <c r="E988" s="3" t="inlineStr">
        <is>
          <t>M. Mandal</t>
        </is>
      </c>
      <c r="F988" s="3" t="inlineStr">
        <is>
          <t>Agri</t>
        </is>
      </c>
      <c r="G988" s="4" t="n">
        <v>46178</v>
      </c>
      <c r="H988" s="5" t="n">
        <v>5500</v>
      </c>
    </row>
    <row r="989">
      <c r="A989" s="3" t="inlineStr">
        <is>
          <t>D0988</t>
        </is>
      </c>
      <c r="B989" s="3" t="inlineStr">
        <is>
          <t>A0165</t>
        </is>
      </c>
      <c r="C989" s="3" t="inlineStr">
        <is>
          <t>Rina Singh</t>
        </is>
      </c>
      <c r="D989" s="3" t="inlineStr">
        <is>
          <t>Patna</t>
        </is>
      </c>
      <c r="E989" s="3" t="inlineStr">
        <is>
          <t>M. Mandal</t>
        </is>
      </c>
      <c r="F989" s="3" t="inlineStr">
        <is>
          <t>Agri</t>
        </is>
      </c>
      <c r="G989" s="4" t="n">
        <v>46208</v>
      </c>
      <c r="H989" s="5" t="n">
        <v>5500</v>
      </c>
    </row>
    <row r="990">
      <c r="A990" s="3" t="inlineStr">
        <is>
          <t>D0989</t>
        </is>
      </c>
      <c r="B990" s="3" t="inlineStr">
        <is>
          <t>A0165</t>
        </is>
      </c>
      <c r="C990" s="3" t="inlineStr">
        <is>
          <t>Rina Singh</t>
        </is>
      </c>
      <c r="D990" s="3" t="inlineStr">
        <is>
          <t>Patna</t>
        </is>
      </c>
      <c r="E990" s="3" t="inlineStr">
        <is>
          <t>M. Mandal</t>
        </is>
      </c>
      <c r="F990" s="3" t="inlineStr">
        <is>
          <t>Agri</t>
        </is>
      </c>
      <c r="G990" s="4" t="n">
        <v>46239</v>
      </c>
      <c r="H990" s="5" t="n">
        <v>5500</v>
      </c>
    </row>
    <row r="991">
      <c r="A991" s="3" t="inlineStr">
        <is>
          <t>D0990</t>
        </is>
      </c>
      <c r="B991" s="3" t="inlineStr">
        <is>
          <t>A0165</t>
        </is>
      </c>
      <c r="C991" s="3" t="inlineStr">
        <is>
          <t>Rina Singh</t>
        </is>
      </c>
      <c r="D991" s="3" t="inlineStr">
        <is>
          <t>Patna</t>
        </is>
      </c>
      <c r="E991" s="3" t="inlineStr">
        <is>
          <t>M. Mandal</t>
        </is>
      </c>
      <c r="F991" s="3" t="inlineStr">
        <is>
          <t>Agri</t>
        </is>
      </c>
      <c r="G991" s="4" t="n">
        <v>46270</v>
      </c>
      <c r="H991" s="5" t="n">
        <v>5500</v>
      </c>
    </row>
    <row r="992">
      <c r="A992" s="3" t="inlineStr">
        <is>
          <t>D0991</t>
        </is>
      </c>
      <c r="B992" s="3" t="inlineStr">
        <is>
          <t>A0166</t>
        </is>
      </c>
      <c r="C992" s="3" t="inlineStr">
        <is>
          <t>Naresh Sah</t>
        </is>
      </c>
      <c r="D992" s="3" t="inlineStr">
        <is>
          <t>Gaya</t>
        </is>
      </c>
      <c r="E992" s="3" t="inlineStr">
        <is>
          <t>P. Yadav</t>
        </is>
      </c>
      <c r="F992" s="3" t="inlineStr">
        <is>
          <t>Agri</t>
        </is>
      </c>
      <c r="G992" s="4" t="n">
        <v>46117</v>
      </c>
      <c r="H992" s="5" t="n">
        <v>8167</v>
      </c>
    </row>
    <row r="993">
      <c r="A993" s="3" t="inlineStr">
        <is>
          <t>D0992</t>
        </is>
      </c>
      <c r="B993" s="3" t="inlineStr">
        <is>
          <t>A0166</t>
        </is>
      </c>
      <c r="C993" s="3" t="inlineStr">
        <is>
          <t>Naresh Sah</t>
        </is>
      </c>
      <c r="D993" s="3" t="inlineStr">
        <is>
          <t>Gaya</t>
        </is>
      </c>
      <c r="E993" s="3" t="inlineStr">
        <is>
          <t>P. Yadav</t>
        </is>
      </c>
      <c r="F993" s="3" t="inlineStr">
        <is>
          <t>Agri</t>
        </is>
      </c>
      <c r="G993" s="4" t="n">
        <v>46147</v>
      </c>
      <c r="H993" s="5" t="n">
        <v>8167</v>
      </c>
    </row>
    <row r="994">
      <c r="A994" s="3" t="inlineStr">
        <is>
          <t>D0993</t>
        </is>
      </c>
      <c r="B994" s="3" t="inlineStr">
        <is>
          <t>A0166</t>
        </is>
      </c>
      <c r="C994" s="3" t="inlineStr">
        <is>
          <t>Naresh Sah</t>
        </is>
      </c>
      <c r="D994" s="3" t="inlineStr">
        <is>
          <t>Gaya</t>
        </is>
      </c>
      <c r="E994" s="3" t="inlineStr">
        <is>
          <t>P. Yadav</t>
        </is>
      </c>
      <c r="F994" s="3" t="inlineStr">
        <is>
          <t>Agri</t>
        </is>
      </c>
      <c r="G994" s="4" t="n">
        <v>46178</v>
      </c>
      <c r="H994" s="5" t="n">
        <v>8167</v>
      </c>
    </row>
    <row r="995">
      <c r="A995" s="3" t="inlineStr">
        <is>
          <t>D0994</t>
        </is>
      </c>
      <c r="B995" s="3" t="inlineStr">
        <is>
          <t>A0166</t>
        </is>
      </c>
      <c r="C995" s="3" t="inlineStr">
        <is>
          <t>Naresh Sah</t>
        </is>
      </c>
      <c r="D995" s="3" t="inlineStr">
        <is>
          <t>Gaya</t>
        </is>
      </c>
      <c r="E995" s="3" t="inlineStr">
        <is>
          <t>P. Yadav</t>
        </is>
      </c>
      <c r="F995" s="3" t="inlineStr">
        <is>
          <t>Agri</t>
        </is>
      </c>
      <c r="G995" s="4" t="n">
        <v>46208</v>
      </c>
      <c r="H995" s="5" t="n">
        <v>8167</v>
      </c>
    </row>
    <row r="996">
      <c r="A996" s="3" t="inlineStr">
        <is>
          <t>D0995</t>
        </is>
      </c>
      <c r="B996" s="3" t="inlineStr">
        <is>
          <t>A0166</t>
        </is>
      </c>
      <c r="C996" s="3" t="inlineStr">
        <is>
          <t>Naresh Sah</t>
        </is>
      </c>
      <c r="D996" s="3" t="inlineStr">
        <is>
          <t>Gaya</t>
        </is>
      </c>
      <c r="E996" s="3" t="inlineStr">
        <is>
          <t>P. Yadav</t>
        </is>
      </c>
      <c r="F996" s="3" t="inlineStr">
        <is>
          <t>Agri</t>
        </is>
      </c>
      <c r="G996" s="4" t="n">
        <v>46239</v>
      </c>
      <c r="H996" s="5" t="n">
        <v>8167</v>
      </c>
    </row>
    <row r="997">
      <c r="A997" s="3" t="inlineStr">
        <is>
          <t>D0996</t>
        </is>
      </c>
      <c r="B997" s="3" t="inlineStr">
        <is>
          <t>A0166</t>
        </is>
      </c>
      <c r="C997" s="3" t="inlineStr">
        <is>
          <t>Naresh Sah</t>
        </is>
      </c>
      <c r="D997" s="3" t="inlineStr">
        <is>
          <t>Gaya</t>
        </is>
      </c>
      <c r="E997" s="3" t="inlineStr">
        <is>
          <t>P. Yadav</t>
        </is>
      </c>
      <c r="F997" s="3" t="inlineStr">
        <is>
          <t>Agri</t>
        </is>
      </c>
      <c r="G997" s="4" t="n">
        <v>46270</v>
      </c>
      <c r="H997" s="5" t="n">
        <v>8167</v>
      </c>
    </row>
    <row r="998">
      <c r="A998" s="3" t="inlineStr">
        <is>
          <t>D0997</t>
        </is>
      </c>
      <c r="B998" s="3" t="inlineStr">
        <is>
          <t>A0167</t>
        </is>
      </c>
      <c r="C998" s="3" t="inlineStr">
        <is>
          <t>Ravi Rai</t>
        </is>
      </c>
      <c r="D998" s="3" t="inlineStr">
        <is>
          <t>Darbhanga</t>
        </is>
      </c>
      <c r="E998" s="3" t="inlineStr">
        <is>
          <t>R. Singh</t>
        </is>
      </c>
      <c r="F998" s="3" t="inlineStr">
        <is>
          <t>Personal</t>
        </is>
      </c>
      <c r="G998" s="4" t="n">
        <v>46117</v>
      </c>
      <c r="H998" s="5" t="n">
        <v>22167</v>
      </c>
    </row>
    <row r="999">
      <c r="A999" s="3" t="inlineStr">
        <is>
          <t>D0998</t>
        </is>
      </c>
      <c r="B999" s="3" t="inlineStr">
        <is>
          <t>A0167</t>
        </is>
      </c>
      <c r="C999" s="3" t="inlineStr">
        <is>
          <t>Ravi Rai</t>
        </is>
      </c>
      <c r="D999" s="3" t="inlineStr">
        <is>
          <t>Darbhanga</t>
        </is>
      </c>
      <c r="E999" s="3" t="inlineStr">
        <is>
          <t>R. Singh</t>
        </is>
      </c>
      <c r="F999" s="3" t="inlineStr">
        <is>
          <t>Personal</t>
        </is>
      </c>
      <c r="G999" s="4" t="n">
        <v>46147</v>
      </c>
      <c r="H999" s="5" t="n">
        <v>22167</v>
      </c>
    </row>
    <row r="1000">
      <c r="A1000" s="3" t="inlineStr">
        <is>
          <t>D0999</t>
        </is>
      </c>
      <c r="B1000" s="3" t="inlineStr">
        <is>
          <t>A0167</t>
        </is>
      </c>
      <c r="C1000" s="3" t="inlineStr">
        <is>
          <t>Ravi Rai</t>
        </is>
      </c>
      <c r="D1000" s="3" t="inlineStr">
        <is>
          <t>Darbhanga</t>
        </is>
      </c>
      <c r="E1000" s="3" t="inlineStr">
        <is>
          <t>R. Singh</t>
        </is>
      </c>
      <c r="F1000" s="3" t="inlineStr">
        <is>
          <t>Personal</t>
        </is>
      </c>
      <c r="G1000" s="4" t="n">
        <v>46178</v>
      </c>
      <c r="H1000" s="5" t="n">
        <v>22167</v>
      </c>
    </row>
    <row r="1001">
      <c r="A1001" s="3" t="inlineStr">
        <is>
          <t>D1000</t>
        </is>
      </c>
      <c r="B1001" s="3" t="inlineStr">
        <is>
          <t>A0167</t>
        </is>
      </c>
      <c r="C1001" s="3" t="inlineStr">
        <is>
          <t>Ravi Rai</t>
        </is>
      </c>
      <c r="D1001" s="3" t="inlineStr">
        <is>
          <t>Darbhanga</t>
        </is>
      </c>
      <c r="E1001" s="3" t="inlineStr">
        <is>
          <t>R. Singh</t>
        </is>
      </c>
      <c r="F1001" s="3" t="inlineStr">
        <is>
          <t>Personal</t>
        </is>
      </c>
      <c r="G1001" s="4" t="n">
        <v>46208</v>
      </c>
      <c r="H1001" s="5" t="n">
        <v>22167</v>
      </c>
    </row>
    <row r="1002">
      <c r="A1002" s="3" t="inlineStr">
        <is>
          <t>D1001</t>
        </is>
      </c>
      <c r="B1002" s="3" t="inlineStr">
        <is>
          <t>A0167</t>
        </is>
      </c>
      <c r="C1002" s="3" t="inlineStr">
        <is>
          <t>Ravi Rai</t>
        </is>
      </c>
      <c r="D1002" s="3" t="inlineStr">
        <is>
          <t>Darbhanga</t>
        </is>
      </c>
      <c r="E1002" s="3" t="inlineStr">
        <is>
          <t>R. Singh</t>
        </is>
      </c>
      <c r="F1002" s="3" t="inlineStr">
        <is>
          <t>Personal</t>
        </is>
      </c>
      <c r="G1002" s="4" t="n">
        <v>46239</v>
      </c>
      <c r="H1002" s="5" t="n">
        <v>22167</v>
      </c>
    </row>
    <row r="1003">
      <c r="A1003" s="3" t="inlineStr">
        <is>
          <t>D1002</t>
        </is>
      </c>
      <c r="B1003" s="3" t="inlineStr">
        <is>
          <t>A0167</t>
        </is>
      </c>
      <c r="C1003" s="3" t="inlineStr">
        <is>
          <t>Ravi Rai</t>
        </is>
      </c>
      <c r="D1003" s="3" t="inlineStr">
        <is>
          <t>Darbhanga</t>
        </is>
      </c>
      <c r="E1003" s="3" t="inlineStr">
        <is>
          <t>R. Singh</t>
        </is>
      </c>
      <c r="F1003" s="3" t="inlineStr">
        <is>
          <t>Personal</t>
        </is>
      </c>
      <c r="G1003" s="4" t="n">
        <v>46270</v>
      </c>
      <c r="H1003" s="5" t="n">
        <v>22167</v>
      </c>
    </row>
    <row r="1004">
      <c r="A1004" s="3" t="inlineStr">
        <is>
          <t>D1003</t>
        </is>
      </c>
      <c r="B1004" s="3" t="inlineStr">
        <is>
          <t>A0168</t>
        </is>
      </c>
      <c r="C1004" s="3" t="inlineStr">
        <is>
          <t>Ravi Sah</t>
        </is>
      </c>
      <c r="D1004" s="3" t="inlineStr">
        <is>
          <t>Muzaffarpur</t>
        </is>
      </c>
      <c r="E1004" s="3" t="inlineStr">
        <is>
          <t>K. Sharma</t>
        </is>
      </c>
      <c r="F1004" s="3" t="inlineStr">
        <is>
          <t>Agri</t>
        </is>
      </c>
      <c r="G1004" s="4" t="n">
        <v>46117</v>
      </c>
      <c r="H1004" s="5" t="n">
        <v>27667</v>
      </c>
    </row>
    <row r="1005">
      <c r="A1005" s="3" t="inlineStr">
        <is>
          <t>D1004</t>
        </is>
      </c>
      <c r="B1005" s="3" t="inlineStr">
        <is>
          <t>A0168</t>
        </is>
      </c>
      <c r="C1005" s="3" t="inlineStr">
        <is>
          <t>Ravi Sah</t>
        </is>
      </c>
      <c r="D1005" s="3" t="inlineStr">
        <is>
          <t>Muzaffarpur</t>
        </is>
      </c>
      <c r="E1005" s="3" t="inlineStr">
        <is>
          <t>K. Sharma</t>
        </is>
      </c>
      <c r="F1005" s="3" t="inlineStr">
        <is>
          <t>Agri</t>
        </is>
      </c>
      <c r="G1005" s="4" t="n">
        <v>46147</v>
      </c>
      <c r="H1005" s="5" t="n">
        <v>27667</v>
      </c>
    </row>
    <row r="1006">
      <c r="A1006" s="3" t="inlineStr">
        <is>
          <t>D1005</t>
        </is>
      </c>
      <c r="B1006" s="3" t="inlineStr">
        <is>
          <t>A0168</t>
        </is>
      </c>
      <c r="C1006" s="3" t="inlineStr">
        <is>
          <t>Ravi Sah</t>
        </is>
      </c>
      <c r="D1006" s="3" t="inlineStr">
        <is>
          <t>Muzaffarpur</t>
        </is>
      </c>
      <c r="E1006" s="3" t="inlineStr">
        <is>
          <t>K. Sharma</t>
        </is>
      </c>
      <c r="F1006" s="3" t="inlineStr">
        <is>
          <t>Agri</t>
        </is>
      </c>
      <c r="G1006" s="4" t="n">
        <v>46178</v>
      </c>
      <c r="H1006" s="5" t="n">
        <v>27667</v>
      </c>
    </row>
    <row r="1007">
      <c r="A1007" s="3" t="inlineStr">
        <is>
          <t>D1006</t>
        </is>
      </c>
      <c r="B1007" s="3" t="inlineStr">
        <is>
          <t>A0168</t>
        </is>
      </c>
      <c r="C1007" s="3" t="inlineStr">
        <is>
          <t>Ravi Sah</t>
        </is>
      </c>
      <c r="D1007" s="3" t="inlineStr">
        <is>
          <t>Muzaffarpur</t>
        </is>
      </c>
      <c r="E1007" s="3" t="inlineStr">
        <is>
          <t>K. Sharma</t>
        </is>
      </c>
      <c r="F1007" s="3" t="inlineStr">
        <is>
          <t>Agri</t>
        </is>
      </c>
      <c r="G1007" s="4" t="n">
        <v>46208</v>
      </c>
      <c r="H1007" s="5" t="n">
        <v>27667</v>
      </c>
    </row>
    <row r="1008">
      <c r="A1008" s="3" t="inlineStr">
        <is>
          <t>D1007</t>
        </is>
      </c>
      <c r="B1008" s="3" t="inlineStr">
        <is>
          <t>A0168</t>
        </is>
      </c>
      <c r="C1008" s="3" t="inlineStr">
        <is>
          <t>Ravi Sah</t>
        </is>
      </c>
      <c r="D1008" s="3" t="inlineStr">
        <is>
          <t>Muzaffarpur</t>
        </is>
      </c>
      <c r="E1008" s="3" t="inlineStr">
        <is>
          <t>K. Sharma</t>
        </is>
      </c>
      <c r="F1008" s="3" t="inlineStr">
        <is>
          <t>Agri</t>
        </is>
      </c>
      <c r="G1008" s="4" t="n">
        <v>46239</v>
      </c>
      <c r="H1008" s="5" t="n">
        <v>27667</v>
      </c>
    </row>
    <row r="1009">
      <c r="A1009" s="3" t="inlineStr">
        <is>
          <t>D1008</t>
        </is>
      </c>
      <c r="B1009" s="3" t="inlineStr">
        <is>
          <t>A0168</t>
        </is>
      </c>
      <c r="C1009" s="3" t="inlineStr">
        <is>
          <t>Ravi Sah</t>
        </is>
      </c>
      <c r="D1009" s="3" t="inlineStr">
        <is>
          <t>Muzaffarpur</t>
        </is>
      </c>
      <c r="E1009" s="3" t="inlineStr">
        <is>
          <t>K. Sharma</t>
        </is>
      </c>
      <c r="F1009" s="3" t="inlineStr">
        <is>
          <t>Agri</t>
        </is>
      </c>
      <c r="G1009" s="4" t="n">
        <v>46270</v>
      </c>
      <c r="H1009" s="5" t="n">
        <v>27667</v>
      </c>
    </row>
    <row r="1010">
      <c r="A1010" s="3" t="inlineStr">
        <is>
          <t>D1009</t>
        </is>
      </c>
      <c r="B1010" s="3" t="inlineStr">
        <is>
          <t>A0169</t>
        </is>
      </c>
      <c r="C1010" s="3" t="inlineStr">
        <is>
          <t>Geeta Sah</t>
        </is>
      </c>
      <c r="D1010" s="3" t="inlineStr">
        <is>
          <t>Bhagalpur</t>
        </is>
      </c>
      <c r="E1010" s="3" t="inlineStr">
        <is>
          <t>A. Verma</t>
        </is>
      </c>
      <c r="F1010" s="3" t="inlineStr">
        <is>
          <t>Vehicle</t>
        </is>
      </c>
      <c r="G1010" s="4" t="n">
        <v>46117</v>
      </c>
      <c r="H1010" s="5" t="n">
        <v>33333</v>
      </c>
    </row>
    <row r="1011">
      <c r="A1011" s="3" t="inlineStr">
        <is>
          <t>D1010</t>
        </is>
      </c>
      <c r="B1011" s="3" t="inlineStr">
        <is>
          <t>A0169</t>
        </is>
      </c>
      <c r="C1011" s="3" t="inlineStr">
        <is>
          <t>Geeta Sah</t>
        </is>
      </c>
      <c r="D1011" s="3" t="inlineStr">
        <is>
          <t>Bhagalpur</t>
        </is>
      </c>
      <c r="E1011" s="3" t="inlineStr">
        <is>
          <t>A. Verma</t>
        </is>
      </c>
      <c r="F1011" s="3" t="inlineStr">
        <is>
          <t>Vehicle</t>
        </is>
      </c>
      <c r="G1011" s="4" t="n">
        <v>46147</v>
      </c>
      <c r="H1011" s="5" t="n">
        <v>33333</v>
      </c>
    </row>
    <row r="1012">
      <c r="A1012" s="3" t="inlineStr">
        <is>
          <t>D1011</t>
        </is>
      </c>
      <c r="B1012" s="3" t="inlineStr">
        <is>
          <t>A0169</t>
        </is>
      </c>
      <c r="C1012" s="3" t="inlineStr">
        <is>
          <t>Geeta Sah</t>
        </is>
      </c>
      <c r="D1012" s="3" t="inlineStr">
        <is>
          <t>Bhagalpur</t>
        </is>
      </c>
      <c r="E1012" s="3" t="inlineStr">
        <is>
          <t>A. Verma</t>
        </is>
      </c>
      <c r="F1012" s="3" t="inlineStr">
        <is>
          <t>Vehicle</t>
        </is>
      </c>
      <c r="G1012" s="4" t="n">
        <v>46178</v>
      </c>
      <c r="H1012" s="5" t="n">
        <v>33333</v>
      </c>
    </row>
    <row r="1013">
      <c r="A1013" s="3" t="inlineStr">
        <is>
          <t>D1012</t>
        </is>
      </c>
      <c r="B1013" s="3" t="inlineStr">
        <is>
          <t>A0169</t>
        </is>
      </c>
      <c r="C1013" s="3" t="inlineStr">
        <is>
          <t>Geeta Sah</t>
        </is>
      </c>
      <c r="D1013" s="3" t="inlineStr">
        <is>
          <t>Bhagalpur</t>
        </is>
      </c>
      <c r="E1013" s="3" t="inlineStr">
        <is>
          <t>A. Verma</t>
        </is>
      </c>
      <c r="F1013" s="3" t="inlineStr">
        <is>
          <t>Vehicle</t>
        </is>
      </c>
      <c r="G1013" s="4" t="n">
        <v>46208</v>
      </c>
      <c r="H1013" s="5" t="n">
        <v>33333</v>
      </c>
    </row>
    <row r="1014">
      <c r="A1014" s="3" t="inlineStr">
        <is>
          <t>D1013</t>
        </is>
      </c>
      <c r="B1014" s="3" t="inlineStr">
        <is>
          <t>A0169</t>
        </is>
      </c>
      <c r="C1014" s="3" t="inlineStr">
        <is>
          <t>Geeta Sah</t>
        </is>
      </c>
      <c r="D1014" s="3" t="inlineStr">
        <is>
          <t>Bhagalpur</t>
        </is>
      </c>
      <c r="E1014" s="3" t="inlineStr">
        <is>
          <t>A. Verma</t>
        </is>
      </c>
      <c r="F1014" s="3" t="inlineStr">
        <is>
          <t>Vehicle</t>
        </is>
      </c>
      <c r="G1014" s="4" t="n">
        <v>46239</v>
      </c>
      <c r="H1014" s="5" t="n">
        <v>33333</v>
      </c>
    </row>
    <row r="1015">
      <c r="A1015" s="3" t="inlineStr">
        <is>
          <t>D1014</t>
        </is>
      </c>
      <c r="B1015" s="3" t="inlineStr">
        <is>
          <t>A0169</t>
        </is>
      </c>
      <c r="C1015" s="3" t="inlineStr">
        <is>
          <t>Geeta Sah</t>
        </is>
      </c>
      <c r="D1015" s="3" t="inlineStr">
        <is>
          <t>Bhagalpur</t>
        </is>
      </c>
      <c r="E1015" s="3" t="inlineStr">
        <is>
          <t>A. Verma</t>
        </is>
      </c>
      <c r="F1015" s="3" t="inlineStr">
        <is>
          <t>Vehicle</t>
        </is>
      </c>
      <c r="G1015" s="4" t="n">
        <v>46270</v>
      </c>
      <c r="H1015" s="5" t="n">
        <v>33333</v>
      </c>
    </row>
    <row r="1016">
      <c r="A1016" s="3" t="inlineStr">
        <is>
          <t>D1015</t>
        </is>
      </c>
      <c r="B1016" s="3" t="inlineStr">
        <is>
          <t>A0170</t>
        </is>
      </c>
      <c r="C1016" s="3" t="inlineStr">
        <is>
          <t>Kiran Yadav</t>
        </is>
      </c>
      <c r="D1016" s="3" t="inlineStr">
        <is>
          <t>Darbhanga</t>
        </is>
      </c>
      <c r="E1016" s="3" t="inlineStr">
        <is>
          <t>P. Yadav</t>
        </is>
      </c>
      <c r="F1016" s="3" t="inlineStr">
        <is>
          <t>Personal</t>
        </is>
      </c>
      <c r="G1016" s="4" t="n">
        <v>46117</v>
      </c>
      <c r="H1016" s="5" t="n">
        <v>28167</v>
      </c>
    </row>
    <row r="1017">
      <c r="A1017" s="3" t="inlineStr">
        <is>
          <t>D1016</t>
        </is>
      </c>
      <c r="B1017" s="3" t="inlineStr">
        <is>
          <t>A0170</t>
        </is>
      </c>
      <c r="C1017" s="3" t="inlineStr">
        <is>
          <t>Kiran Yadav</t>
        </is>
      </c>
      <c r="D1017" s="3" t="inlineStr">
        <is>
          <t>Darbhanga</t>
        </is>
      </c>
      <c r="E1017" s="3" t="inlineStr">
        <is>
          <t>P. Yadav</t>
        </is>
      </c>
      <c r="F1017" s="3" t="inlineStr">
        <is>
          <t>Personal</t>
        </is>
      </c>
      <c r="G1017" s="4" t="n">
        <v>46147</v>
      </c>
      <c r="H1017" s="5" t="n">
        <v>28167</v>
      </c>
    </row>
    <row r="1018">
      <c r="A1018" s="3" t="inlineStr">
        <is>
          <t>D1017</t>
        </is>
      </c>
      <c r="B1018" s="3" t="inlineStr">
        <is>
          <t>A0170</t>
        </is>
      </c>
      <c r="C1018" s="3" t="inlineStr">
        <is>
          <t>Kiran Yadav</t>
        </is>
      </c>
      <c r="D1018" s="3" t="inlineStr">
        <is>
          <t>Darbhanga</t>
        </is>
      </c>
      <c r="E1018" s="3" t="inlineStr">
        <is>
          <t>P. Yadav</t>
        </is>
      </c>
      <c r="F1018" s="3" t="inlineStr">
        <is>
          <t>Personal</t>
        </is>
      </c>
      <c r="G1018" s="4" t="n">
        <v>46178</v>
      </c>
      <c r="H1018" s="5" t="n">
        <v>28167</v>
      </c>
    </row>
    <row r="1019">
      <c r="A1019" s="3" t="inlineStr">
        <is>
          <t>D1018</t>
        </is>
      </c>
      <c r="B1019" s="3" t="inlineStr">
        <is>
          <t>A0170</t>
        </is>
      </c>
      <c r="C1019" s="3" t="inlineStr">
        <is>
          <t>Kiran Yadav</t>
        </is>
      </c>
      <c r="D1019" s="3" t="inlineStr">
        <is>
          <t>Darbhanga</t>
        </is>
      </c>
      <c r="E1019" s="3" t="inlineStr">
        <is>
          <t>P. Yadav</t>
        </is>
      </c>
      <c r="F1019" s="3" t="inlineStr">
        <is>
          <t>Personal</t>
        </is>
      </c>
      <c r="G1019" s="4" t="n">
        <v>46208</v>
      </c>
      <c r="H1019" s="5" t="n">
        <v>28167</v>
      </c>
    </row>
    <row r="1020">
      <c r="A1020" s="3" t="inlineStr">
        <is>
          <t>D1019</t>
        </is>
      </c>
      <c r="B1020" s="3" t="inlineStr">
        <is>
          <t>A0170</t>
        </is>
      </c>
      <c r="C1020" s="3" t="inlineStr">
        <is>
          <t>Kiran Yadav</t>
        </is>
      </c>
      <c r="D1020" s="3" t="inlineStr">
        <is>
          <t>Darbhanga</t>
        </is>
      </c>
      <c r="E1020" s="3" t="inlineStr">
        <is>
          <t>P. Yadav</t>
        </is>
      </c>
      <c r="F1020" s="3" t="inlineStr">
        <is>
          <t>Personal</t>
        </is>
      </c>
      <c r="G1020" s="4" t="n">
        <v>46239</v>
      </c>
      <c r="H1020" s="5" t="n">
        <v>28167</v>
      </c>
    </row>
    <row r="1021">
      <c r="A1021" s="3" t="inlineStr">
        <is>
          <t>D1020</t>
        </is>
      </c>
      <c r="B1021" s="3" t="inlineStr">
        <is>
          <t>A0170</t>
        </is>
      </c>
      <c r="C1021" s="3" t="inlineStr">
        <is>
          <t>Kiran Yadav</t>
        </is>
      </c>
      <c r="D1021" s="3" t="inlineStr">
        <is>
          <t>Darbhanga</t>
        </is>
      </c>
      <c r="E1021" s="3" t="inlineStr">
        <is>
          <t>P. Yadav</t>
        </is>
      </c>
      <c r="F1021" s="3" t="inlineStr">
        <is>
          <t>Personal</t>
        </is>
      </c>
      <c r="G1021" s="4" t="n">
        <v>46270</v>
      </c>
      <c r="H1021" s="5" t="n">
        <v>28167</v>
      </c>
    </row>
    <row r="1022">
      <c r="A1022" s="3" t="inlineStr">
        <is>
          <t>D1021</t>
        </is>
      </c>
      <c r="B1022" s="3" t="inlineStr">
        <is>
          <t>A0171</t>
        </is>
      </c>
      <c r="C1022" s="3" t="inlineStr">
        <is>
          <t>Geeta Kumar</t>
        </is>
      </c>
      <c r="D1022" s="3" t="inlineStr">
        <is>
          <t>Patna</t>
        </is>
      </c>
      <c r="E1022" s="3" t="inlineStr">
        <is>
          <t>S. Gupta</t>
        </is>
      </c>
      <c r="F1022" s="3" t="inlineStr">
        <is>
          <t>Agri</t>
        </is>
      </c>
      <c r="G1022" s="4" t="n">
        <v>46117</v>
      </c>
      <c r="H1022" s="5" t="n">
        <v>14500</v>
      </c>
    </row>
    <row r="1023">
      <c r="A1023" s="3" t="inlineStr">
        <is>
          <t>D1022</t>
        </is>
      </c>
      <c r="B1023" s="3" t="inlineStr">
        <is>
          <t>A0171</t>
        </is>
      </c>
      <c r="C1023" s="3" t="inlineStr">
        <is>
          <t>Geeta Kumar</t>
        </is>
      </c>
      <c r="D1023" s="3" t="inlineStr">
        <is>
          <t>Patna</t>
        </is>
      </c>
      <c r="E1023" s="3" t="inlineStr">
        <is>
          <t>S. Gupta</t>
        </is>
      </c>
      <c r="F1023" s="3" t="inlineStr">
        <is>
          <t>Agri</t>
        </is>
      </c>
      <c r="G1023" s="4" t="n">
        <v>46147</v>
      </c>
      <c r="H1023" s="5" t="n">
        <v>14500</v>
      </c>
    </row>
    <row r="1024">
      <c r="A1024" s="3" t="inlineStr">
        <is>
          <t>D1023</t>
        </is>
      </c>
      <c r="B1024" s="3" t="inlineStr">
        <is>
          <t>A0171</t>
        </is>
      </c>
      <c r="C1024" s="3" t="inlineStr">
        <is>
          <t>Geeta Kumar</t>
        </is>
      </c>
      <c r="D1024" s="3" t="inlineStr">
        <is>
          <t>Patna</t>
        </is>
      </c>
      <c r="E1024" s="3" t="inlineStr">
        <is>
          <t>S. Gupta</t>
        </is>
      </c>
      <c r="F1024" s="3" t="inlineStr">
        <is>
          <t>Agri</t>
        </is>
      </c>
      <c r="G1024" s="4" t="n">
        <v>46178</v>
      </c>
      <c r="H1024" s="5" t="n">
        <v>14500</v>
      </c>
    </row>
    <row r="1025">
      <c r="A1025" s="3" t="inlineStr">
        <is>
          <t>D1024</t>
        </is>
      </c>
      <c r="B1025" s="3" t="inlineStr">
        <is>
          <t>A0171</t>
        </is>
      </c>
      <c r="C1025" s="3" t="inlineStr">
        <is>
          <t>Geeta Kumar</t>
        </is>
      </c>
      <c r="D1025" s="3" t="inlineStr">
        <is>
          <t>Patna</t>
        </is>
      </c>
      <c r="E1025" s="3" t="inlineStr">
        <is>
          <t>S. Gupta</t>
        </is>
      </c>
      <c r="F1025" s="3" t="inlineStr">
        <is>
          <t>Agri</t>
        </is>
      </c>
      <c r="G1025" s="4" t="n">
        <v>46208</v>
      </c>
      <c r="H1025" s="5" t="n">
        <v>14500</v>
      </c>
    </row>
    <row r="1026">
      <c r="A1026" s="3" t="inlineStr">
        <is>
          <t>D1025</t>
        </is>
      </c>
      <c r="B1026" s="3" t="inlineStr">
        <is>
          <t>A0171</t>
        </is>
      </c>
      <c r="C1026" s="3" t="inlineStr">
        <is>
          <t>Geeta Kumar</t>
        </is>
      </c>
      <c r="D1026" s="3" t="inlineStr">
        <is>
          <t>Patna</t>
        </is>
      </c>
      <c r="E1026" s="3" t="inlineStr">
        <is>
          <t>S. Gupta</t>
        </is>
      </c>
      <c r="F1026" s="3" t="inlineStr">
        <is>
          <t>Agri</t>
        </is>
      </c>
      <c r="G1026" s="4" t="n">
        <v>46239</v>
      </c>
      <c r="H1026" s="5" t="n">
        <v>14500</v>
      </c>
    </row>
    <row r="1027">
      <c r="A1027" s="3" t="inlineStr">
        <is>
          <t>D1026</t>
        </is>
      </c>
      <c r="B1027" s="3" t="inlineStr">
        <is>
          <t>A0171</t>
        </is>
      </c>
      <c r="C1027" s="3" t="inlineStr">
        <is>
          <t>Geeta Kumar</t>
        </is>
      </c>
      <c r="D1027" s="3" t="inlineStr">
        <is>
          <t>Patna</t>
        </is>
      </c>
      <c r="E1027" s="3" t="inlineStr">
        <is>
          <t>S. Gupta</t>
        </is>
      </c>
      <c r="F1027" s="3" t="inlineStr">
        <is>
          <t>Agri</t>
        </is>
      </c>
      <c r="G1027" s="4" t="n">
        <v>46270</v>
      </c>
      <c r="H1027" s="5" t="n">
        <v>14500</v>
      </c>
    </row>
    <row r="1028">
      <c r="A1028" s="3" t="inlineStr">
        <is>
          <t>D1027</t>
        </is>
      </c>
      <c r="B1028" s="3" t="inlineStr">
        <is>
          <t>A0172</t>
        </is>
      </c>
      <c r="C1028" s="3" t="inlineStr">
        <is>
          <t>Vikash Paswan</t>
        </is>
      </c>
      <c r="D1028" s="3" t="inlineStr">
        <is>
          <t>Bhagalpur</t>
        </is>
      </c>
      <c r="E1028" s="3" t="inlineStr">
        <is>
          <t>R. Singh</t>
        </is>
      </c>
      <c r="F1028" s="3" t="inlineStr">
        <is>
          <t>Housing</t>
        </is>
      </c>
      <c r="G1028" s="4" t="n">
        <v>46117</v>
      </c>
      <c r="H1028" s="5" t="n">
        <v>13167</v>
      </c>
    </row>
    <row r="1029">
      <c r="A1029" s="3" t="inlineStr">
        <is>
          <t>D1028</t>
        </is>
      </c>
      <c r="B1029" s="3" t="inlineStr">
        <is>
          <t>A0172</t>
        </is>
      </c>
      <c r="C1029" s="3" t="inlineStr">
        <is>
          <t>Vikash Paswan</t>
        </is>
      </c>
      <c r="D1029" s="3" t="inlineStr">
        <is>
          <t>Bhagalpur</t>
        </is>
      </c>
      <c r="E1029" s="3" t="inlineStr">
        <is>
          <t>R. Singh</t>
        </is>
      </c>
      <c r="F1029" s="3" t="inlineStr">
        <is>
          <t>Housing</t>
        </is>
      </c>
      <c r="G1029" s="4" t="n">
        <v>46147</v>
      </c>
      <c r="H1029" s="5" t="n">
        <v>13167</v>
      </c>
    </row>
    <row r="1030">
      <c r="A1030" s="3" t="inlineStr">
        <is>
          <t>D1029</t>
        </is>
      </c>
      <c r="B1030" s="3" t="inlineStr">
        <is>
          <t>A0172</t>
        </is>
      </c>
      <c r="C1030" s="3" t="inlineStr">
        <is>
          <t>Vikash Paswan</t>
        </is>
      </c>
      <c r="D1030" s="3" t="inlineStr">
        <is>
          <t>Bhagalpur</t>
        </is>
      </c>
      <c r="E1030" s="3" t="inlineStr">
        <is>
          <t>R. Singh</t>
        </is>
      </c>
      <c r="F1030" s="3" t="inlineStr">
        <is>
          <t>Housing</t>
        </is>
      </c>
      <c r="G1030" s="4" t="n">
        <v>46178</v>
      </c>
      <c r="H1030" s="5" t="n">
        <v>13167</v>
      </c>
    </row>
    <row r="1031">
      <c r="A1031" s="3" t="inlineStr">
        <is>
          <t>D1030</t>
        </is>
      </c>
      <c r="B1031" s="3" t="inlineStr">
        <is>
          <t>A0172</t>
        </is>
      </c>
      <c r="C1031" s="3" t="inlineStr">
        <is>
          <t>Vikash Paswan</t>
        </is>
      </c>
      <c r="D1031" s="3" t="inlineStr">
        <is>
          <t>Bhagalpur</t>
        </is>
      </c>
      <c r="E1031" s="3" t="inlineStr">
        <is>
          <t>R. Singh</t>
        </is>
      </c>
      <c r="F1031" s="3" t="inlineStr">
        <is>
          <t>Housing</t>
        </is>
      </c>
      <c r="G1031" s="4" t="n">
        <v>46208</v>
      </c>
      <c r="H1031" s="5" t="n">
        <v>13167</v>
      </c>
    </row>
    <row r="1032">
      <c r="A1032" s="3" t="inlineStr">
        <is>
          <t>D1031</t>
        </is>
      </c>
      <c r="B1032" s="3" t="inlineStr">
        <is>
          <t>A0172</t>
        </is>
      </c>
      <c r="C1032" s="3" t="inlineStr">
        <is>
          <t>Vikash Paswan</t>
        </is>
      </c>
      <c r="D1032" s="3" t="inlineStr">
        <is>
          <t>Bhagalpur</t>
        </is>
      </c>
      <c r="E1032" s="3" t="inlineStr">
        <is>
          <t>R. Singh</t>
        </is>
      </c>
      <c r="F1032" s="3" t="inlineStr">
        <is>
          <t>Housing</t>
        </is>
      </c>
      <c r="G1032" s="4" t="n">
        <v>46239</v>
      </c>
      <c r="H1032" s="5" t="n">
        <v>13167</v>
      </c>
    </row>
    <row r="1033">
      <c r="A1033" s="3" t="inlineStr">
        <is>
          <t>D1032</t>
        </is>
      </c>
      <c r="B1033" s="3" t="inlineStr">
        <is>
          <t>A0172</t>
        </is>
      </c>
      <c r="C1033" s="3" t="inlineStr">
        <is>
          <t>Vikash Paswan</t>
        </is>
      </c>
      <c r="D1033" s="3" t="inlineStr">
        <is>
          <t>Bhagalpur</t>
        </is>
      </c>
      <c r="E1033" s="3" t="inlineStr">
        <is>
          <t>R. Singh</t>
        </is>
      </c>
      <c r="F1033" s="3" t="inlineStr">
        <is>
          <t>Housing</t>
        </is>
      </c>
      <c r="G1033" s="4" t="n">
        <v>46270</v>
      </c>
      <c r="H1033" s="5" t="n">
        <v>13167</v>
      </c>
    </row>
    <row r="1034">
      <c r="A1034" s="3" t="inlineStr">
        <is>
          <t>D1033</t>
        </is>
      </c>
      <c r="B1034" s="3" t="inlineStr">
        <is>
          <t>A0173</t>
        </is>
      </c>
      <c r="C1034" s="3" t="inlineStr">
        <is>
          <t>Anita Gupta</t>
        </is>
      </c>
      <c r="D1034" s="3" t="inlineStr">
        <is>
          <t>Darbhanga</t>
        </is>
      </c>
      <c r="E1034" s="3" t="inlineStr">
        <is>
          <t>A. Verma</t>
        </is>
      </c>
      <c r="F1034" s="3" t="inlineStr">
        <is>
          <t>Trade</t>
        </is>
      </c>
      <c r="G1034" s="4" t="n">
        <v>46117</v>
      </c>
      <c r="H1034" s="5" t="n">
        <v>25500</v>
      </c>
    </row>
    <row r="1035">
      <c r="A1035" s="3" t="inlineStr">
        <is>
          <t>D1034</t>
        </is>
      </c>
      <c r="B1035" s="3" t="inlineStr">
        <is>
          <t>A0173</t>
        </is>
      </c>
      <c r="C1035" s="3" t="inlineStr">
        <is>
          <t>Anita Gupta</t>
        </is>
      </c>
      <c r="D1035" s="3" t="inlineStr">
        <is>
          <t>Darbhanga</t>
        </is>
      </c>
      <c r="E1035" s="3" t="inlineStr">
        <is>
          <t>A. Verma</t>
        </is>
      </c>
      <c r="F1035" s="3" t="inlineStr">
        <is>
          <t>Trade</t>
        </is>
      </c>
      <c r="G1035" s="4" t="n">
        <v>46147</v>
      </c>
      <c r="H1035" s="5" t="n">
        <v>25500</v>
      </c>
    </row>
    <row r="1036">
      <c r="A1036" s="3" t="inlineStr">
        <is>
          <t>D1035</t>
        </is>
      </c>
      <c r="B1036" s="3" t="inlineStr">
        <is>
          <t>A0173</t>
        </is>
      </c>
      <c r="C1036" s="3" t="inlineStr">
        <is>
          <t>Anita Gupta</t>
        </is>
      </c>
      <c r="D1036" s="3" t="inlineStr">
        <is>
          <t>Darbhanga</t>
        </is>
      </c>
      <c r="E1036" s="3" t="inlineStr">
        <is>
          <t>A. Verma</t>
        </is>
      </c>
      <c r="F1036" s="3" t="inlineStr">
        <is>
          <t>Trade</t>
        </is>
      </c>
      <c r="G1036" s="4" t="n">
        <v>46178</v>
      </c>
      <c r="H1036" s="5" t="n">
        <v>25500</v>
      </c>
    </row>
    <row r="1037">
      <c r="A1037" s="3" t="inlineStr">
        <is>
          <t>D1036</t>
        </is>
      </c>
      <c r="B1037" s="3" t="inlineStr">
        <is>
          <t>A0173</t>
        </is>
      </c>
      <c r="C1037" s="3" t="inlineStr">
        <is>
          <t>Anita Gupta</t>
        </is>
      </c>
      <c r="D1037" s="3" t="inlineStr">
        <is>
          <t>Darbhanga</t>
        </is>
      </c>
      <c r="E1037" s="3" t="inlineStr">
        <is>
          <t>A. Verma</t>
        </is>
      </c>
      <c r="F1037" s="3" t="inlineStr">
        <is>
          <t>Trade</t>
        </is>
      </c>
      <c r="G1037" s="4" t="n">
        <v>46208</v>
      </c>
      <c r="H1037" s="5" t="n">
        <v>25500</v>
      </c>
    </row>
    <row r="1038">
      <c r="A1038" s="3" t="inlineStr">
        <is>
          <t>D1037</t>
        </is>
      </c>
      <c r="B1038" s="3" t="inlineStr">
        <is>
          <t>A0173</t>
        </is>
      </c>
      <c r="C1038" s="3" t="inlineStr">
        <is>
          <t>Anita Gupta</t>
        </is>
      </c>
      <c r="D1038" s="3" t="inlineStr">
        <is>
          <t>Darbhanga</t>
        </is>
      </c>
      <c r="E1038" s="3" t="inlineStr">
        <is>
          <t>A. Verma</t>
        </is>
      </c>
      <c r="F1038" s="3" t="inlineStr">
        <is>
          <t>Trade</t>
        </is>
      </c>
      <c r="G1038" s="4" t="n">
        <v>46239</v>
      </c>
      <c r="H1038" s="5" t="n">
        <v>25500</v>
      </c>
    </row>
    <row r="1039">
      <c r="A1039" s="3" t="inlineStr">
        <is>
          <t>D1038</t>
        </is>
      </c>
      <c r="B1039" s="3" t="inlineStr">
        <is>
          <t>A0173</t>
        </is>
      </c>
      <c r="C1039" s="3" t="inlineStr">
        <is>
          <t>Anita Gupta</t>
        </is>
      </c>
      <c r="D1039" s="3" t="inlineStr">
        <is>
          <t>Darbhanga</t>
        </is>
      </c>
      <c r="E1039" s="3" t="inlineStr">
        <is>
          <t>A. Verma</t>
        </is>
      </c>
      <c r="F1039" s="3" t="inlineStr">
        <is>
          <t>Trade</t>
        </is>
      </c>
      <c r="G1039" s="4" t="n">
        <v>46270</v>
      </c>
      <c r="H1039" s="5" t="n">
        <v>25500</v>
      </c>
    </row>
    <row r="1040">
      <c r="A1040" s="3" t="inlineStr">
        <is>
          <t>D1039</t>
        </is>
      </c>
      <c r="B1040" s="3" t="inlineStr">
        <is>
          <t>A0174</t>
        </is>
      </c>
      <c r="C1040" s="3" t="inlineStr">
        <is>
          <t>Pooja Chaudhary</t>
        </is>
      </c>
      <c r="D1040" s="3" t="inlineStr">
        <is>
          <t>Darbhanga</t>
        </is>
      </c>
      <c r="E1040" s="3" t="inlineStr">
        <is>
          <t>K. Sharma</t>
        </is>
      </c>
      <c r="F1040" s="3" t="inlineStr">
        <is>
          <t>Agri</t>
        </is>
      </c>
      <c r="G1040" s="4" t="n">
        <v>46117</v>
      </c>
      <c r="H1040" s="5" t="n">
        <v>30000</v>
      </c>
    </row>
    <row r="1041">
      <c r="A1041" s="3" t="inlineStr">
        <is>
          <t>D1040</t>
        </is>
      </c>
      <c r="B1041" s="3" t="inlineStr">
        <is>
          <t>A0174</t>
        </is>
      </c>
      <c r="C1041" s="3" t="inlineStr">
        <is>
          <t>Pooja Chaudhary</t>
        </is>
      </c>
      <c r="D1041" s="3" t="inlineStr">
        <is>
          <t>Darbhanga</t>
        </is>
      </c>
      <c r="E1041" s="3" t="inlineStr">
        <is>
          <t>K. Sharma</t>
        </is>
      </c>
      <c r="F1041" s="3" t="inlineStr">
        <is>
          <t>Agri</t>
        </is>
      </c>
      <c r="G1041" s="4" t="n">
        <v>46147</v>
      </c>
      <c r="H1041" s="5" t="n">
        <v>30000</v>
      </c>
    </row>
    <row r="1042">
      <c r="A1042" s="3" t="inlineStr">
        <is>
          <t>D1041</t>
        </is>
      </c>
      <c r="B1042" s="3" t="inlineStr">
        <is>
          <t>A0174</t>
        </is>
      </c>
      <c r="C1042" s="3" t="inlineStr">
        <is>
          <t>Pooja Chaudhary</t>
        </is>
      </c>
      <c r="D1042" s="3" t="inlineStr">
        <is>
          <t>Darbhanga</t>
        </is>
      </c>
      <c r="E1042" s="3" t="inlineStr">
        <is>
          <t>K. Sharma</t>
        </is>
      </c>
      <c r="F1042" s="3" t="inlineStr">
        <is>
          <t>Agri</t>
        </is>
      </c>
      <c r="G1042" s="4" t="n">
        <v>46178</v>
      </c>
      <c r="H1042" s="5" t="n">
        <v>30000</v>
      </c>
    </row>
    <row r="1043">
      <c r="A1043" s="3" t="inlineStr">
        <is>
          <t>D1042</t>
        </is>
      </c>
      <c r="B1043" s="3" t="inlineStr">
        <is>
          <t>A0174</t>
        </is>
      </c>
      <c r="C1043" s="3" t="inlineStr">
        <is>
          <t>Pooja Chaudhary</t>
        </is>
      </c>
      <c r="D1043" s="3" t="inlineStr">
        <is>
          <t>Darbhanga</t>
        </is>
      </c>
      <c r="E1043" s="3" t="inlineStr">
        <is>
          <t>K. Sharma</t>
        </is>
      </c>
      <c r="F1043" s="3" t="inlineStr">
        <is>
          <t>Agri</t>
        </is>
      </c>
      <c r="G1043" s="4" t="n">
        <v>46208</v>
      </c>
      <c r="H1043" s="5" t="n">
        <v>30000</v>
      </c>
    </row>
    <row r="1044">
      <c r="A1044" s="3" t="inlineStr">
        <is>
          <t>D1043</t>
        </is>
      </c>
      <c r="B1044" s="3" t="inlineStr">
        <is>
          <t>A0174</t>
        </is>
      </c>
      <c r="C1044" s="3" t="inlineStr">
        <is>
          <t>Pooja Chaudhary</t>
        </is>
      </c>
      <c r="D1044" s="3" t="inlineStr">
        <is>
          <t>Darbhanga</t>
        </is>
      </c>
      <c r="E1044" s="3" t="inlineStr">
        <is>
          <t>K. Sharma</t>
        </is>
      </c>
      <c r="F1044" s="3" t="inlineStr">
        <is>
          <t>Agri</t>
        </is>
      </c>
      <c r="G1044" s="4" t="n">
        <v>46239</v>
      </c>
      <c r="H1044" s="5" t="n">
        <v>30000</v>
      </c>
    </row>
    <row r="1045">
      <c r="A1045" s="3" t="inlineStr">
        <is>
          <t>D1044</t>
        </is>
      </c>
      <c r="B1045" s="3" t="inlineStr">
        <is>
          <t>A0174</t>
        </is>
      </c>
      <c r="C1045" s="3" t="inlineStr">
        <is>
          <t>Pooja Chaudhary</t>
        </is>
      </c>
      <c r="D1045" s="3" t="inlineStr">
        <is>
          <t>Darbhanga</t>
        </is>
      </c>
      <c r="E1045" s="3" t="inlineStr">
        <is>
          <t>K. Sharma</t>
        </is>
      </c>
      <c r="F1045" s="3" t="inlineStr">
        <is>
          <t>Agri</t>
        </is>
      </c>
      <c r="G1045" s="4" t="n">
        <v>46270</v>
      </c>
      <c r="H1045" s="5" t="n">
        <v>30000</v>
      </c>
    </row>
    <row r="1046">
      <c r="A1046" s="3" t="inlineStr">
        <is>
          <t>D1045</t>
        </is>
      </c>
      <c r="B1046" s="3" t="inlineStr">
        <is>
          <t>A0175</t>
        </is>
      </c>
      <c r="C1046" s="3" t="inlineStr">
        <is>
          <t>Rina Prasad</t>
        </is>
      </c>
      <c r="D1046" s="3" t="inlineStr">
        <is>
          <t>Patna</t>
        </is>
      </c>
      <c r="E1046" s="3" t="inlineStr">
        <is>
          <t>P. Yadav</t>
        </is>
      </c>
      <c r="F1046" s="3" t="inlineStr">
        <is>
          <t>Agri</t>
        </is>
      </c>
      <c r="G1046" s="4" t="n">
        <v>46117</v>
      </c>
      <c r="H1046" s="5" t="n">
        <v>9500</v>
      </c>
    </row>
    <row r="1047">
      <c r="A1047" s="3" t="inlineStr">
        <is>
          <t>D1046</t>
        </is>
      </c>
      <c r="B1047" s="3" t="inlineStr">
        <is>
          <t>A0175</t>
        </is>
      </c>
      <c r="C1047" s="3" t="inlineStr">
        <is>
          <t>Rina Prasad</t>
        </is>
      </c>
      <c r="D1047" s="3" t="inlineStr">
        <is>
          <t>Patna</t>
        </is>
      </c>
      <c r="E1047" s="3" t="inlineStr">
        <is>
          <t>P. Yadav</t>
        </is>
      </c>
      <c r="F1047" s="3" t="inlineStr">
        <is>
          <t>Agri</t>
        </is>
      </c>
      <c r="G1047" s="4" t="n">
        <v>46147</v>
      </c>
      <c r="H1047" s="5" t="n">
        <v>9500</v>
      </c>
    </row>
    <row r="1048">
      <c r="A1048" s="3" t="inlineStr">
        <is>
          <t>D1047</t>
        </is>
      </c>
      <c r="B1048" s="3" t="inlineStr">
        <is>
          <t>A0175</t>
        </is>
      </c>
      <c r="C1048" s="3" t="inlineStr">
        <is>
          <t>Rina Prasad</t>
        </is>
      </c>
      <c r="D1048" s="3" t="inlineStr">
        <is>
          <t>Patna</t>
        </is>
      </c>
      <c r="E1048" s="3" t="inlineStr">
        <is>
          <t>P. Yadav</t>
        </is>
      </c>
      <c r="F1048" s="3" t="inlineStr">
        <is>
          <t>Agri</t>
        </is>
      </c>
      <c r="G1048" s="4" t="n">
        <v>46178</v>
      </c>
      <c r="H1048" s="5" t="n">
        <v>9500</v>
      </c>
    </row>
    <row r="1049">
      <c r="A1049" s="3" t="inlineStr">
        <is>
          <t>D1048</t>
        </is>
      </c>
      <c r="B1049" s="3" t="inlineStr">
        <is>
          <t>A0175</t>
        </is>
      </c>
      <c r="C1049" s="3" t="inlineStr">
        <is>
          <t>Rina Prasad</t>
        </is>
      </c>
      <c r="D1049" s="3" t="inlineStr">
        <is>
          <t>Patna</t>
        </is>
      </c>
      <c r="E1049" s="3" t="inlineStr">
        <is>
          <t>P. Yadav</t>
        </is>
      </c>
      <c r="F1049" s="3" t="inlineStr">
        <is>
          <t>Agri</t>
        </is>
      </c>
      <c r="G1049" s="4" t="n">
        <v>46208</v>
      </c>
      <c r="H1049" s="5" t="n">
        <v>9500</v>
      </c>
    </row>
    <row r="1050">
      <c r="A1050" s="3" t="inlineStr">
        <is>
          <t>D1049</t>
        </is>
      </c>
      <c r="B1050" s="3" t="inlineStr">
        <is>
          <t>A0175</t>
        </is>
      </c>
      <c r="C1050" s="3" t="inlineStr">
        <is>
          <t>Rina Prasad</t>
        </is>
      </c>
      <c r="D1050" s="3" t="inlineStr">
        <is>
          <t>Patna</t>
        </is>
      </c>
      <c r="E1050" s="3" t="inlineStr">
        <is>
          <t>P. Yadav</t>
        </is>
      </c>
      <c r="F1050" s="3" t="inlineStr">
        <is>
          <t>Agri</t>
        </is>
      </c>
      <c r="G1050" s="4" t="n">
        <v>46239</v>
      </c>
      <c r="H1050" s="5" t="n">
        <v>9500</v>
      </c>
    </row>
    <row r="1051">
      <c r="A1051" s="3" t="inlineStr">
        <is>
          <t>D1050</t>
        </is>
      </c>
      <c r="B1051" s="3" t="inlineStr">
        <is>
          <t>A0175</t>
        </is>
      </c>
      <c r="C1051" s="3" t="inlineStr">
        <is>
          <t>Rina Prasad</t>
        </is>
      </c>
      <c r="D1051" s="3" t="inlineStr">
        <is>
          <t>Patna</t>
        </is>
      </c>
      <c r="E1051" s="3" t="inlineStr">
        <is>
          <t>P. Yadav</t>
        </is>
      </c>
      <c r="F1051" s="3" t="inlineStr">
        <is>
          <t>Agri</t>
        </is>
      </c>
      <c r="G1051" s="4" t="n">
        <v>46270</v>
      </c>
      <c r="H1051" s="5" t="n">
        <v>9500</v>
      </c>
    </row>
    <row r="1052">
      <c r="A1052" s="3" t="inlineStr">
        <is>
          <t>D1051</t>
        </is>
      </c>
      <c r="B1052" s="3" t="inlineStr">
        <is>
          <t>A0176</t>
        </is>
      </c>
      <c r="C1052" s="3" t="inlineStr">
        <is>
          <t>Deepak Yadav</t>
        </is>
      </c>
      <c r="D1052" s="3" t="inlineStr">
        <is>
          <t>Darbhanga</t>
        </is>
      </c>
      <c r="E1052" s="3" t="inlineStr">
        <is>
          <t>M. Mandal</t>
        </is>
      </c>
      <c r="F1052" s="3" t="inlineStr">
        <is>
          <t>Housing</t>
        </is>
      </c>
      <c r="G1052" s="4" t="n">
        <v>46117</v>
      </c>
      <c r="H1052" s="5" t="n">
        <v>26333</v>
      </c>
    </row>
    <row r="1053">
      <c r="A1053" s="3" t="inlineStr">
        <is>
          <t>D1052</t>
        </is>
      </c>
      <c r="B1053" s="3" t="inlineStr">
        <is>
          <t>A0176</t>
        </is>
      </c>
      <c r="C1053" s="3" t="inlineStr">
        <is>
          <t>Deepak Yadav</t>
        </is>
      </c>
      <c r="D1053" s="3" t="inlineStr">
        <is>
          <t>Darbhanga</t>
        </is>
      </c>
      <c r="E1053" s="3" t="inlineStr">
        <is>
          <t>M. Mandal</t>
        </is>
      </c>
      <c r="F1053" s="3" t="inlineStr">
        <is>
          <t>Housing</t>
        </is>
      </c>
      <c r="G1053" s="4" t="n">
        <v>46147</v>
      </c>
      <c r="H1053" s="5" t="n">
        <v>26333</v>
      </c>
    </row>
    <row r="1054">
      <c r="A1054" s="3" t="inlineStr">
        <is>
          <t>D1053</t>
        </is>
      </c>
      <c r="B1054" s="3" t="inlineStr">
        <is>
          <t>A0176</t>
        </is>
      </c>
      <c r="C1054" s="3" t="inlineStr">
        <is>
          <t>Deepak Yadav</t>
        </is>
      </c>
      <c r="D1054" s="3" t="inlineStr">
        <is>
          <t>Darbhanga</t>
        </is>
      </c>
      <c r="E1054" s="3" t="inlineStr">
        <is>
          <t>M. Mandal</t>
        </is>
      </c>
      <c r="F1054" s="3" t="inlineStr">
        <is>
          <t>Housing</t>
        </is>
      </c>
      <c r="G1054" s="4" t="n">
        <v>46178</v>
      </c>
      <c r="H1054" s="5" t="n">
        <v>26333</v>
      </c>
    </row>
    <row r="1055">
      <c r="A1055" s="3" t="inlineStr">
        <is>
          <t>D1054</t>
        </is>
      </c>
      <c r="B1055" s="3" t="inlineStr">
        <is>
          <t>A0176</t>
        </is>
      </c>
      <c r="C1055" s="3" t="inlineStr">
        <is>
          <t>Deepak Yadav</t>
        </is>
      </c>
      <c r="D1055" s="3" t="inlineStr">
        <is>
          <t>Darbhanga</t>
        </is>
      </c>
      <c r="E1055" s="3" t="inlineStr">
        <is>
          <t>M. Mandal</t>
        </is>
      </c>
      <c r="F1055" s="3" t="inlineStr">
        <is>
          <t>Housing</t>
        </is>
      </c>
      <c r="G1055" s="4" t="n">
        <v>46208</v>
      </c>
      <c r="H1055" s="5" t="n">
        <v>26333</v>
      </c>
    </row>
    <row r="1056">
      <c r="A1056" s="3" t="inlineStr">
        <is>
          <t>D1055</t>
        </is>
      </c>
      <c r="B1056" s="3" t="inlineStr">
        <is>
          <t>A0176</t>
        </is>
      </c>
      <c r="C1056" s="3" t="inlineStr">
        <is>
          <t>Deepak Yadav</t>
        </is>
      </c>
      <c r="D1056" s="3" t="inlineStr">
        <is>
          <t>Darbhanga</t>
        </is>
      </c>
      <c r="E1056" s="3" t="inlineStr">
        <is>
          <t>M. Mandal</t>
        </is>
      </c>
      <c r="F1056" s="3" t="inlineStr">
        <is>
          <t>Housing</t>
        </is>
      </c>
      <c r="G1056" s="4" t="n">
        <v>46239</v>
      </c>
      <c r="H1056" s="5" t="n">
        <v>26333</v>
      </c>
    </row>
    <row r="1057">
      <c r="A1057" s="3" t="inlineStr">
        <is>
          <t>D1056</t>
        </is>
      </c>
      <c r="B1057" s="3" t="inlineStr">
        <is>
          <t>A0176</t>
        </is>
      </c>
      <c r="C1057" s="3" t="inlineStr">
        <is>
          <t>Deepak Yadav</t>
        </is>
      </c>
      <c r="D1057" s="3" t="inlineStr">
        <is>
          <t>Darbhanga</t>
        </is>
      </c>
      <c r="E1057" s="3" t="inlineStr">
        <is>
          <t>M. Mandal</t>
        </is>
      </c>
      <c r="F1057" s="3" t="inlineStr">
        <is>
          <t>Housing</t>
        </is>
      </c>
      <c r="G1057" s="4" t="n">
        <v>46270</v>
      </c>
      <c r="H1057" s="5" t="n">
        <v>26333</v>
      </c>
    </row>
    <row r="1058">
      <c r="A1058" s="3" t="inlineStr">
        <is>
          <t>D1057</t>
        </is>
      </c>
      <c r="B1058" s="3" t="inlineStr">
        <is>
          <t>A0177</t>
        </is>
      </c>
      <c r="C1058" s="3" t="inlineStr">
        <is>
          <t>Suresh Gupta</t>
        </is>
      </c>
      <c r="D1058" s="3" t="inlineStr">
        <is>
          <t>Gaya</t>
        </is>
      </c>
      <c r="E1058" s="3" t="inlineStr">
        <is>
          <t>K. Sharma</t>
        </is>
      </c>
      <c r="F1058" s="3" t="inlineStr">
        <is>
          <t>Vehicle</t>
        </is>
      </c>
      <c r="G1058" s="4" t="n">
        <v>46117</v>
      </c>
      <c r="H1058" s="5" t="n">
        <v>10667</v>
      </c>
    </row>
    <row r="1059">
      <c r="A1059" s="3" t="inlineStr">
        <is>
          <t>D1058</t>
        </is>
      </c>
      <c r="B1059" s="3" t="inlineStr">
        <is>
          <t>A0177</t>
        </is>
      </c>
      <c r="C1059" s="3" t="inlineStr">
        <is>
          <t>Suresh Gupta</t>
        </is>
      </c>
      <c r="D1059" s="3" t="inlineStr">
        <is>
          <t>Gaya</t>
        </is>
      </c>
      <c r="E1059" s="3" t="inlineStr">
        <is>
          <t>K. Sharma</t>
        </is>
      </c>
      <c r="F1059" s="3" t="inlineStr">
        <is>
          <t>Vehicle</t>
        </is>
      </c>
      <c r="G1059" s="4" t="n">
        <v>46147</v>
      </c>
      <c r="H1059" s="5" t="n">
        <v>10667</v>
      </c>
    </row>
    <row r="1060">
      <c r="A1060" s="3" t="inlineStr">
        <is>
          <t>D1059</t>
        </is>
      </c>
      <c r="B1060" s="3" t="inlineStr">
        <is>
          <t>A0177</t>
        </is>
      </c>
      <c r="C1060" s="3" t="inlineStr">
        <is>
          <t>Suresh Gupta</t>
        </is>
      </c>
      <c r="D1060" s="3" t="inlineStr">
        <is>
          <t>Gaya</t>
        </is>
      </c>
      <c r="E1060" s="3" t="inlineStr">
        <is>
          <t>K. Sharma</t>
        </is>
      </c>
      <c r="F1060" s="3" t="inlineStr">
        <is>
          <t>Vehicle</t>
        </is>
      </c>
      <c r="G1060" s="4" t="n">
        <v>46178</v>
      </c>
      <c r="H1060" s="5" t="n">
        <v>10667</v>
      </c>
    </row>
    <row r="1061">
      <c r="A1061" s="3" t="inlineStr">
        <is>
          <t>D1060</t>
        </is>
      </c>
      <c r="B1061" s="3" t="inlineStr">
        <is>
          <t>A0177</t>
        </is>
      </c>
      <c r="C1061" s="3" t="inlineStr">
        <is>
          <t>Suresh Gupta</t>
        </is>
      </c>
      <c r="D1061" s="3" t="inlineStr">
        <is>
          <t>Gaya</t>
        </is>
      </c>
      <c r="E1061" s="3" t="inlineStr">
        <is>
          <t>K. Sharma</t>
        </is>
      </c>
      <c r="F1061" s="3" t="inlineStr">
        <is>
          <t>Vehicle</t>
        </is>
      </c>
      <c r="G1061" s="4" t="n">
        <v>46208</v>
      </c>
      <c r="H1061" s="5" t="n">
        <v>10667</v>
      </c>
    </row>
    <row r="1062">
      <c r="A1062" s="3" t="inlineStr">
        <is>
          <t>D1061</t>
        </is>
      </c>
      <c r="B1062" s="3" t="inlineStr">
        <is>
          <t>A0177</t>
        </is>
      </c>
      <c r="C1062" s="3" t="inlineStr">
        <is>
          <t>Suresh Gupta</t>
        </is>
      </c>
      <c r="D1062" s="3" t="inlineStr">
        <is>
          <t>Gaya</t>
        </is>
      </c>
      <c r="E1062" s="3" t="inlineStr">
        <is>
          <t>K. Sharma</t>
        </is>
      </c>
      <c r="F1062" s="3" t="inlineStr">
        <is>
          <t>Vehicle</t>
        </is>
      </c>
      <c r="G1062" s="4" t="n">
        <v>46239</v>
      </c>
      <c r="H1062" s="5" t="n">
        <v>10667</v>
      </c>
    </row>
    <row r="1063">
      <c r="A1063" s="3" t="inlineStr">
        <is>
          <t>D1062</t>
        </is>
      </c>
      <c r="B1063" s="3" t="inlineStr">
        <is>
          <t>A0177</t>
        </is>
      </c>
      <c r="C1063" s="3" t="inlineStr">
        <is>
          <t>Suresh Gupta</t>
        </is>
      </c>
      <c r="D1063" s="3" t="inlineStr">
        <is>
          <t>Gaya</t>
        </is>
      </c>
      <c r="E1063" s="3" t="inlineStr">
        <is>
          <t>K. Sharma</t>
        </is>
      </c>
      <c r="F1063" s="3" t="inlineStr">
        <is>
          <t>Vehicle</t>
        </is>
      </c>
      <c r="G1063" s="4" t="n">
        <v>46270</v>
      </c>
      <c r="H1063" s="5" t="n">
        <v>10667</v>
      </c>
    </row>
    <row r="1064">
      <c r="A1064" s="3" t="inlineStr">
        <is>
          <t>D1063</t>
        </is>
      </c>
      <c r="B1064" s="3" t="inlineStr">
        <is>
          <t>A0178</t>
        </is>
      </c>
      <c r="C1064" s="3" t="inlineStr">
        <is>
          <t>Sanjay Mandal</t>
        </is>
      </c>
      <c r="D1064" s="3" t="inlineStr">
        <is>
          <t>Patna</t>
        </is>
      </c>
      <c r="E1064" s="3" t="inlineStr">
        <is>
          <t>P. Yadav</t>
        </is>
      </c>
      <c r="F1064" s="3" t="inlineStr">
        <is>
          <t>Trade</t>
        </is>
      </c>
      <c r="G1064" s="4" t="n">
        <v>46117</v>
      </c>
      <c r="H1064" s="5" t="n">
        <v>11667</v>
      </c>
    </row>
    <row r="1065">
      <c r="A1065" s="3" t="inlineStr">
        <is>
          <t>D1064</t>
        </is>
      </c>
      <c r="B1065" s="3" t="inlineStr">
        <is>
          <t>A0178</t>
        </is>
      </c>
      <c r="C1065" s="3" t="inlineStr">
        <is>
          <t>Sanjay Mandal</t>
        </is>
      </c>
      <c r="D1065" s="3" t="inlineStr">
        <is>
          <t>Patna</t>
        </is>
      </c>
      <c r="E1065" s="3" t="inlineStr">
        <is>
          <t>P. Yadav</t>
        </is>
      </c>
      <c r="F1065" s="3" t="inlineStr">
        <is>
          <t>Trade</t>
        </is>
      </c>
      <c r="G1065" s="4" t="n">
        <v>46147</v>
      </c>
      <c r="H1065" s="5" t="n">
        <v>11667</v>
      </c>
    </row>
    <row r="1066">
      <c r="A1066" s="3" t="inlineStr">
        <is>
          <t>D1065</t>
        </is>
      </c>
      <c r="B1066" s="3" t="inlineStr">
        <is>
          <t>A0178</t>
        </is>
      </c>
      <c r="C1066" s="3" t="inlineStr">
        <is>
          <t>Sanjay Mandal</t>
        </is>
      </c>
      <c r="D1066" s="3" t="inlineStr">
        <is>
          <t>Patna</t>
        </is>
      </c>
      <c r="E1066" s="3" t="inlineStr">
        <is>
          <t>P. Yadav</t>
        </is>
      </c>
      <c r="F1066" s="3" t="inlineStr">
        <is>
          <t>Trade</t>
        </is>
      </c>
      <c r="G1066" s="4" t="n">
        <v>46178</v>
      </c>
      <c r="H1066" s="5" t="n">
        <v>11667</v>
      </c>
    </row>
    <row r="1067">
      <c r="A1067" s="3" t="inlineStr">
        <is>
          <t>D1066</t>
        </is>
      </c>
      <c r="B1067" s="3" t="inlineStr">
        <is>
          <t>A0178</t>
        </is>
      </c>
      <c r="C1067" s="3" t="inlineStr">
        <is>
          <t>Sanjay Mandal</t>
        </is>
      </c>
      <c r="D1067" s="3" t="inlineStr">
        <is>
          <t>Patna</t>
        </is>
      </c>
      <c r="E1067" s="3" t="inlineStr">
        <is>
          <t>P. Yadav</t>
        </is>
      </c>
      <c r="F1067" s="3" t="inlineStr">
        <is>
          <t>Trade</t>
        </is>
      </c>
      <c r="G1067" s="4" t="n">
        <v>46208</v>
      </c>
      <c r="H1067" s="5" t="n">
        <v>11667</v>
      </c>
    </row>
    <row r="1068">
      <c r="A1068" s="3" t="inlineStr">
        <is>
          <t>D1067</t>
        </is>
      </c>
      <c r="B1068" s="3" t="inlineStr">
        <is>
          <t>A0178</t>
        </is>
      </c>
      <c r="C1068" s="3" t="inlineStr">
        <is>
          <t>Sanjay Mandal</t>
        </is>
      </c>
      <c r="D1068" s="3" t="inlineStr">
        <is>
          <t>Patna</t>
        </is>
      </c>
      <c r="E1068" s="3" t="inlineStr">
        <is>
          <t>P. Yadav</t>
        </is>
      </c>
      <c r="F1068" s="3" t="inlineStr">
        <is>
          <t>Trade</t>
        </is>
      </c>
      <c r="G1068" s="4" t="n">
        <v>46239</v>
      </c>
      <c r="H1068" s="5" t="n">
        <v>11667</v>
      </c>
    </row>
    <row r="1069">
      <c r="A1069" s="3" t="inlineStr">
        <is>
          <t>D1068</t>
        </is>
      </c>
      <c r="B1069" s="3" t="inlineStr">
        <is>
          <t>A0178</t>
        </is>
      </c>
      <c r="C1069" s="3" t="inlineStr">
        <is>
          <t>Sanjay Mandal</t>
        </is>
      </c>
      <c r="D1069" s="3" t="inlineStr">
        <is>
          <t>Patna</t>
        </is>
      </c>
      <c r="E1069" s="3" t="inlineStr">
        <is>
          <t>P. Yadav</t>
        </is>
      </c>
      <c r="F1069" s="3" t="inlineStr">
        <is>
          <t>Trade</t>
        </is>
      </c>
      <c r="G1069" s="4" t="n">
        <v>46270</v>
      </c>
      <c r="H1069" s="5" t="n">
        <v>11667</v>
      </c>
    </row>
    <row r="1070">
      <c r="A1070" s="3" t="inlineStr">
        <is>
          <t>D1069</t>
        </is>
      </c>
      <c r="B1070" s="3" t="inlineStr">
        <is>
          <t>A0179</t>
        </is>
      </c>
      <c r="C1070" s="3" t="inlineStr">
        <is>
          <t>Bablu Tiwari</t>
        </is>
      </c>
      <c r="D1070" s="3" t="inlineStr">
        <is>
          <t>Patna</t>
        </is>
      </c>
      <c r="E1070" s="3" t="inlineStr">
        <is>
          <t>P. Yadav</t>
        </is>
      </c>
      <c r="F1070" s="3" t="inlineStr">
        <is>
          <t>Personal</t>
        </is>
      </c>
      <c r="G1070" s="4" t="n">
        <v>46117</v>
      </c>
      <c r="H1070" s="5" t="n">
        <v>31000</v>
      </c>
    </row>
    <row r="1071">
      <c r="A1071" s="3" t="inlineStr">
        <is>
          <t>D1070</t>
        </is>
      </c>
      <c r="B1071" s="3" t="inlineStr">
        <is>
          <t>A0179</t>
        </is>
      </c>
      <c r="C1071" s="3" t="inlineStr">
        <is>
          <t>Bablu Tiwari</t>
        </is>
      </c>
      <c r="D1071" s="3" t="inlineStr">
        <is>
          <t>Patna</t>
        </is>
      </c>
      <c r="E1071" s="3" t="inlineStr">
        <is>
          <t>P. Yadav</t>
        </is>
      </c>
      <c r="F1071" s="3" t="inlineStr">
        <is>
          <t>Personal</t>
        </is>
      </c>
      <c r="G1071" s="4" t="n">
        <v>46147</v>
      </c>
      <c r="H1071" s="5" t="n">
        <v>31000</v>
      </c>
    </row>
    <row r="1072">
      <c r="A1072" s="3" t="inlineStr">
        <is>
          <t>D1071</t>
        </is>
      </c>
      <c r="B1072" s="3" t="inlineStr">
        <is>
          <t>A0179</t>
        </is>
      </c>
      <c r="C1072" s="3" t="inlineStr">
        <is>
          <t>Bablu Tiwari</t>
        </is>
      </c>
      <c r="D1072" s="3" t="inlineStr">
        <is>
          <t>Patna</t>
        </is>
      </c>
      <c r="E1072" s="3" t="inlineStr">
        <is>
          <t>P. Yadav</t>
        </is>
      </c>
      <c r="F1072" s="3" t="inlineStr">
        <is>
          <t>Personal</t>
        </is>
      </c>
      <c r="G1072" s="4" t="n">
        <v>46178</v>
      </c>
      <c r="H1072" s="5" t="n">
        <v>31000</v>
      </c>
    </row>
    <row r="1073">
      <c r="A1073" s="3" t="inlineStr">
        <is>
          <t>D1072</t>
        </is>
      </c>
      <c r="B1073" s="3" t="inlineStr">
        <is>
          <t>A0179</t>
        </is>
      </c>
      <c r="C1073" s="3" t="inlineStr">
        <is>
          <t>Bablu Tiwari</t>
        </is>
      </c>
      <c r="D1073" s="3" t="inlineStr">
        <is>
          <t>Patna</t>
        </is>
      </c>
      <c r="E1073" s="3" t="inlineStr">
        <is>
          <t>P. Yadav</t>
        </is>
      </c>
      <c r="F1073" s="3" t="inlineStr">
        <is>
          <t>Personal</t>
        </is>
      </c>
      <c r="G1073" s="4" t="n">
        <v>46208</v>
      </c>
      <c r="H1073" s="5" t="n">
        <v>31000</v>
      </c>
    </row>
    <row r="1074">
      <c r="A1074" s="3" t="inlineStr">
        <is>
          <t>D1073</t>
        </is>
      </c>
      <c r="B1074" s="3" t="inlineStr">
        <is>
          <t>A0179</t>
        </is>
      </c>
      <c r="C1074" s="3" t="inlineStr">
        <is>
          <t>Bablu Tiwari</t>
        </is>
      </c>
      <c r="D1074" s="3" t="inlineStr">
        <is>
          <t>Patna</t>
        </is>
      </c>
      <c r="E1074" s="3" t="inlineStr">
        <is>
          <t>P. Yadav</t>
        </is>
      </c>
      <c r="F1074" s="3" t="inlineStr">
        <is>
          <t>Personal</t>
        </is>
      </c>
      <c r="G1074" s="4" t="n">
        <v>46239</v>
      </c>
      <c r="H1074" s="5" t="n">
        <v>31000</v>
      </c>
    </row>
    <row r="1075">
      <c r="A1075" s="3" t="inlineStr">
        <is>
          <t>D1074</t>
        </is>
      </c>
      <c r="B1075" s="3" t="inlineStr">
        <is>
          <t>A0179</t>
        </is>
      </c>
      <c r="C1075" s="3" t="inlineStr">
        <is>
          <t>Bablu Tiwari</t>
        </is>
      </c>
      <c r="D1075" s="3" t="inlineStr">
        <is>
          <t>Patna</t>
        </is>
      </c>
      <c r="E1075" s="3" t="inlineStr">
        <is>
          <t>P. Yadav</t>
        </is>
      </c>
      <c r="F1075" s="3" t="inlineStr">
        <is>
          <t>Personal</t>
        </is>
      </c>
      <c r="G1075" s="4" t="n">
        <v>46270</v>
      </c>
      <c r="H1075" s="5" t="n">
        <v>31000</v>
      </c>
    </row>
    <row r="1076">
      <c r="A1076" s="3" t="inlineStr">
        <is>
          <t>D1075</t>
        </is>
      </c>
      <c r="B1076" s="3" t="inlineStr">
        <is>
          <t>A0180</t>
        </is>
      </c>
      <c r="C1076" s="3" t="inlineStr">
        <is>
          <t>Pooja Paswan</t>
        </is>
      </c>
      <c r="D1076" s="3" t="inlineStr">
        <is>
          <t>Gaya</t>
        </is>
      </c>
      <c r="E1076" s="3" t="inlineStr">
        <is>
          <t>S. Gupta</t>
        </is>
      </c>
      <c r="F1076" s="3" t="inlineStr">
        <is>
          <t>Agri</t>
        </is>
      </c>
      <c r="G1076" s="4" t="n">
        <v>46117</v>
      </c>
      <c r="H1076" s="5" t="n">
        <v>14667</v>
      </c>
    </row>
    <row r="1077">
      <c r="A1077" s="3" t="inlineStr">
        <is>
          <t>D1076</t>
        </is>
      </c>
      <c r="B1077" s="3" t="inlineStr">
        <is>
          <t>A0180</t>
        </is>
      </c>
      <c r="C1077" s="3" t="inlineStr">
        <is>
          <t>Pooja Paswan</t>
        </is>
      </c>
      <c r="D1077" s="3" t="inlineStr">
        <is>
          <t>Gaya</t>
        </is>
      </c>
      <c r="E1077" s="3" t="inlineStr">
        <is>
          <t>S. Gupta</t>
        </is>
      </c>
      <c r="F1077" s="3" t="inlineStr">
        <is>
          <t>Agri</t>
        </is>
      </c>
      <c r="G1077" s="4" t="n">
        <v>46147</v>
      </c>
      <c r="H1077" s="5" t="n">
        <v>14667</v>
      </c>
    </row>
    <row r="1078">
      <c r="A1078" s="3" t="inlineStr">
        <is>
          <t>D1077</t>
        </is>
      </c>
      <c r="B1078" s="3" t="inlineStr">
        <is>
          <t>A0180</t>
        </is>
      </c>
      <c r="C1078" s="3" t="inlineStr">
        <is>
          <t>Pooja Paswan</t>
        </is>
      </c>
      <c r="D1078" s="3" t="inlineStr">
        <is>
          <t>Gaya</t>
        </is>
      </c>
      <c r="E1078" s="3" t="inlineStr">
        <is>
          <t>S. Gupta</t>
        </is>
      </c>
      <c r="F1078" s="3" t="inlineStr">
        <is>
          <t>Agri</t>
        </is>
      </c>
      <c r="G1078" s="4" t="n">
        <v>46178</v>
      </c>
      <c r="H1078" s="5" t="n">
        <v>14667</v>
      </c>
    </row>
    <row r="1079">
      <c r="A1079" s="3" t="inlineStr">
        <is>
          <t>D1078</t>
        </is>
      </c>
      <c r="B1079" s="3" t="inlineStr">
        <is>
          <t>A0180</t>
        </is>
      </c>
      <c r="C1079" s="3" t="inlineStr">
        <is>
          <t>Pooja Paswan</t>
        </is>
      </c>
      <c r="D1079" s="3" t="inlineStr">
        <is>
          <t>Gaya</t>
        </is>
      </c>
      <c r="E1079" s="3" t="inlineStr">
        <is>
          <t>S. Gupta</t>
        </is>
      </c>
      <c r="F1079" s="3" t="inlineStr">
        <is>
          <t>Agri</t>
        </is>
      </c>
      <c r="G1079" s="4" t="n">
        <v>46208</v>
      </c>
      <c r="H1079" s="5" t="n">
        <v>14667</v>
      </c>
    </row>
    <row r="1080">
      <c r="A1080" s="3" t="inlineStr">
        <is>
          <t>D1079</t>
        </is>
      </c>
      <c r="B1080" s="3" t="inlineStr">
        <is>
          <t>A0180</t>
        </is>
      </c>
      <c r="C1080" s="3" t="inlineStr">
        <is>
          <t>Pooja Paswan</t>
        </is>
      </c>
      <c r="D1080" s="3" t="inlineStr">
        <is>
          <t>Gaya</t>
        </is>
      </c>
      <c r="E1080" s="3" t="inlineStr">
        <is>
          <t>S. Gupta</t>
        </is>
      </c>
      <c r="F1080" s="3" t="inlineStr">
        <is>
          <t>Agri</t>
        </is>
      </c>
      <c r="G1080" s="4" t="n">
        <v>46239</v>
      </c>
      <c r="H1080" s="5" t="n">
        <v>14667</v>
      </c>
    </row>
    <row r="1081">
      <c r="A1081" s="3" t="inlineStr">
        <is>
          <t>D1080</t>
        </is>
      </c>
      <c r="B1081" s="3" t="inlineStr">
        <is>
          <t>A0180</t>
        </is>
      </c>
      <c r="C1081" s="3" t="inlineStr">
        <is>
          <t>Pooja Paswan</t>
        </is>
      </c>
      <c r="D1081" s="3" t="inlineStr">
        <is>
          <t>Gaya</t>
        </is>
      </c>
      <c r="E1081" s="3" t="inlineStr">
        <is>
          <t>S. Gupta</t>
        </is>
      </c>
      <c r="F1081" s="3" t="inlineStr">
        <is>
          <t>Agri</t>
        </is>
      </c>
      <c r="G1081" s="4" t="n">
        <v>46270</v>
      </c>
      <c r="H1081" s="5" t="n">
        <v>14667</v>
      </c>
    </row>
    <row r="1082">
      <c r="A1082" s="3" t="inlineStr">
        <is>
          <t>D1081</t>
        </is>
      </c>
      <c r="B1082" s="3" t="inlineStr">
        <is>
          <t>A0181</t>
        </is>
      </c>
      <c r="C1082" s="3" t="inlineStr">
        <is>
          <t>Geeta Mandal</t>
        </is>
      </c>
      <c r="D1082" s="3" t="inlineStr">
        <is>
          <t>Gaya</t>
        </is>
      </c>
      <c r="E1082" s="3" t="inlineStr">
        <is>
          <t>A. Verma</t>
        </is>
      </c>
      <c r="F1082" s="3" t="inlineStr">
        <is>
          <t>Personal</t>
        </is>
      </c>
      <c r="G1082" s="4" t="n">
        <v>46117</v>
      </c>
      <c r="H1082" s="5" t="n">
        <v>4333</v>
      </c>
    </row>
    <row r="1083">
      <c r="A1083" s="3" t="inlineStr">
        <is>
          <t>D1082</t>
        </is>
      </c>
      <c r="B1083" s="3" t="inlineStr">
        <is>
          <t>A0181</t>
        </is>
      </c>
      <c r="C1083" s="3" t="inlineStr">
        <is>
          <t>Geeta Mandal</t>
        </is>
      </c>
      <c r="D1083" s="3" t="inlineStr">
        <is>
          <t>Gaya</t>
        </is>
      </c>
      <c r="E1083" s="3" t="inlineStr">
        <is>
          <t>A. Verma</t>
        </is>
      </c>
      <c r="F1083" s="3" t="inlineStr">
        <is>
          <t>Personal</t>
        </is>
      </c>
      <c r="G1083" s="4" t="n">
        <v>46147</v>
      </c>
      <c r="H1083" s="5" t="n">
        <v>4333</v>
      </c>
    </row>
    <row r="1084">
      <c r="A1084" s="3" t="inlineStr">
        <is>
          <t>D1083</t>
        </is>
      </c>
      <c r="B1084" s="3" t="inlineStr">
        <is>
          <t>A0181</t>
        </is>
      </c>
      <c r="C1084" s="3" t="inlineStr">
        <is>
          <t>Geeta Mandal</t>
        </is>
      </c>
      <c r="D1084" s="3" t="inlineStr">
        <is>
          <t>Gaya</t>
        </is>
      </c>
      <c r="E1084" s="3" t="inlineStr">
        <is>
          <t>A. Verma</t>
        </is>
      </c>
      <c r="F1084" s="3" t="inlineStr">
        <is>
          <t>Personal</t>
        </is>
      </c>
      <c r="G1084" s="4" t="n">
        <v>46178</v>
      </c>
      <c r="H1084" s="5" t="n">
        <v>4333</v>
      </c>
    </row>
    <row r="1085">
      <c r="A1085" s="3" t="inlineStr">
        <is>
          <t>D1084</t>
        </is>
      </c>
      <c r="B1085" s="3" t="inlineStr">
        <is>
          <t>A0181</t>
        </is>
      </c>
      <c r="C1085" s="3" t="inlineStr">
        <is>
          <t>Geeta Mandal</t>
        </is>
      </c>
      <c r="D1085" s="3" t="inlineStr">
        <is>
          <t>Gaya</t>
        </is>
      </c>
      <c r="E1085" s="3" t="inlineStr">
        <is>
          <t>A. Verma</t>
        </is>
      </c>
      <c r="F1085" s="3" t="inlineStr">
        <is>
          <t>Personal</t>
        </is>
      </c>
      <c r="G1085" s="4" t="n">
        <v>46208</v>
      </c>
      <c r="H1085" s="5" t="n">
        <v>4333</v>
      </c>
    </row>
    <row r="1086">
      <c r="A1086" s="3" t="inlineStr">
        <is>
          <t>D1085</t>
        </is>
      </c>
      <c r="B1086" s="3" t="inlineStr">
        <is>
          <t>A0181</t>
        </is>
      </c>
      <c r="C1086" s="3" t="inlineStr">
        <is>
          <t>Geeta Mandal</t>
        </is>
      </c>
      <c r="D1086" s="3" t="inlineStr">
        <is>
          <t>Gaya</t>
        </is>
      </c>
      <c r="E1086" s="3" t="inlineStr">
        <is>
          <t>A. Verma</t>
        </is>
      </c>
      <c r="F1086" s="3" t="inlineStr">
        <is>
          <t>Personal</t>
        </is>
      </c>
      <c r="G1086" s="4" t="n">
        <v>46239</v>
      </c>
      <c r="H1086" s="5" t="n">
        <v>4333</v>
      </c>
    </row>
    <row r="1087">
      <c r="A1087" s="3" t="inlineStr">
        <is>
          <t>D1086</t>
        </is>
      </c>
      <c r="B1087" s="3" t="inlineStr">
        <is>
          <t>A0181</t>
        </is>
      </c>
      <c r="C1087" s="3" t="inlineStr">
        <is>
          <t>Geeta Mandal</t>
        </is>
      </c>
      <c r="D1087" s="3" t="inlineStr">
        <is>
          <t>Gaya</t>
        </is>
      </c>
      <c r="E1087" s="3" t="inlineStr">
        <is>
          <t>A. Verma</t>
        </is>
      </c>
      <c r="F1087" s="3" t="inlineStr">
        <is>
          <t>Personal</t>
        </is>
      </c>
      <c r="G1087" s="4" t="n">
        <v>46270</v>
      </c>
      <c r="H1087" s="5" t="n">
        <v>4333</v>
      </c>
    </row>
    <row r="1088">
      <c r="A1088" s="3" t="inlineStr">
        <is>
          <t>D1087</t>
        </is>
      </c>
      <c r="B1088" s="3" t="inlineStr">
        <is>
          <t>A0182</t>
        </is>
      </c>
      <c r="C1088" s="3" t="inlineStr">
        <is>
          <t>Suresh Kumar</t>
        </is>
      </c>
      <c r="D1088" s="3" t="inlineStr">
        <is>
          <t>Bhagalpur</t>
        </is>
      </c>
      <c r="E1088" s="3" t="inlineStr">
        <is>
          <t>A. Verma</t>
        </is>
      </c>
      <c r="F1088" s="3" t="inlineStr">
        <is>
          <t>Agri</t>
        </is>
      </c>
      <c r="G1088" s="4" t="n">
        <v>46117</v>
      </c>
      <c r="H1088" s="5" t="n">
        <v>19000</v>
      </c>
    </row>
    <row r="1089">
      <c r="A1089" s="3" t="inlineStr">
        <is>
          <t>D1088</t>
        </is>
      </c>
      <c r="B1089" s="3" t="inlineStr">
        <is>
          <t>A0182</t>
        </is>
      </c>
      <c r="C1089" s="3" t="inlineStr">
        <is>
          <t>Suresh Kumar</t>
        </is>
      </c>
      <c r="D1089" s="3" t="inlineStr">
        <is>
          <t>Bhagalpur</t>
        </is>
      </c>
      <c r="E1089" s="3" t="inlineStr">
        <is>
          <t>A. Verma</t>
        </is>
      </c>
      <c r="F1089" s="3" t="inlineStr">
        <is>
          <t>Agri</t>
        </is>
      </c>
      <c r="G1089" s="4" t="n">
        <v>46147</v>
      </c>
      <c r="H1089" s="5" t="n">
        <v>19000</v>
      </c>
    </row>
    <row r="1090">
      <c r="A1090" s="3" t="inlineStr">
        <is>
          <t>D1089</t>
        </is>
      </c>
      <c r="B1090" s="3" t="inlineStr">
        <is>
          <t>A0182</t>
        </is>
      </c>
      <c r="C1090" s="3" t="inlineStr">
        <is>
          <t>Suresh Kumar</t>
        </is>
      </c>
      <c r="D1090" s="3" t="inlineStr">
        <is>
          <t>Bhagalpur</t>
        </is>
      </c>
      <c r="E1090" s="3" t="inlineStr">
        <is>
          <t>A. Verma</t>
        </is>
      </c>
      <c r="F1090" s="3" t="inlineStr">
        <is>
          <t>Agri</t>
        </is>
      </c>
      <c r="G1090" s="4" t="n">
        <v>46178</v>
      </c>
      <c r="H1090" s="5" t="n">
        <v>19000</v>
      </c>
    </row>
    <row r="1091">
      <c r="A1091" s="3" t="inlineStr">
        <is>
          <t>D1090</t>
        </is>
      </c>
      <c r="B1091" s="3" t="inlineStr">
        <is>
          <t>A0182</t>
        </is>
      </c>
      <c r="C1091" s="3" t="inlineStr">
        <is>
          <t>Suresh Kumar</t>
        </is>
      </c>
      <c r="D1091" s="3" t="inlineStr">
        <is>
          <t>Bhagalpur</t>
        </is>
      </c>
      <c r="E1091" s="3" t="inlineStr">
        <is>
          <t>A. Verma</t>
        </is>
      </c>
      <c r="F1091" s="3" t="inlineStr">
        <is>
          <t>Agri</t>
        </is>
      </c>
      <c r="G1091" s="4" t="n">
        <v>46208</v>
      </c>
      <c r="H1091" s="5" t="n">
        <v>19000</v>
      </c>
    </row>
    <row r="1092">
      <c r="A1092" s="3" t="inlineStr">
        <is>
          <t>D1091</t>
        </is>
      </c>
      <c r="B1092" s="3" t="inlineStr">
        <is>
          <t>A0182</t>
        </is>
      </c>
      <c r="C1092" s="3" t="inlineStr">
        <is>
          <t>Suresh Kumar</t>
        </is>
      </c>
      <c r="D1092" s="3" t="inlineStr">
        <is>
          <t>Bhagalpur</t>
        </is>
      </c>
      <c r="E1092" s="3" t="inlineStr">
        <is>
          <t>A. Verma</t>
        </is>
      </c>
      <c r="F1092" s="3" t="inlineStr">
        <is>
          <t>Agri</t>
        </is>
      </c>
      <c r="G1092" s="4" t="n">
        <v>46239</v>
      </c>
      <c r="H1092" s="5" t="n">
        <v>19000</v>
      </c>
    </row>
    <row r="1093">
      <c r="A1093" s="3" t="inlineStr">
        <is>
          <t>D1092</t>
        </is>
      </c>
      <c r="B1093" s="3" t="inlineStr">
        <is>
          <t>A0182</t>
        </is>
      </c>
      <c r="C1093" s="3" t="inlineStr">
        <is>
          <t>Suresh Kumar</t>
        </is>
      </c>
      <c r="D1093" s="3" t="inlineStr">
        <is>
          <t>Bhagalpur</t>
        </is>
      </c>
      <c r="E1093" s="3" t="inlineStr">
        <is>
          <t>A. Verma</t>
        </is>
      </c>
      <c r="F1093" s="3" t="inlineStr">
        <is>
          <t>Agri</t>
        </is>
      </c>
      <c r="G1093" s="4" t="n">
        <v>46270</v>
      </c>
      <c r="H1093" s="5" t="n">
        <v>19000</v>
      </c>
    </row>
    <row r="1094">
      <c r="A1094" s="3" t="inlineStr">
        <is>
          <t>D1093</t>
        </is>
      </c>
      <c r="B1094" s="3" t="inlineStr">
        <is>
          <t>A0183</t>
        </is>
      </c>
      <c r="C1094" s="3" t="inlineStr">
        <is>
          <t>Sanjay Singh</t>
        </is>
      </c>
      <c r="D1094" s="3" t="inlineStr">
        <is>
          <t>Muzaffarpur</t>
        </is>
      </c>
      <c r="E1094" s="3" t="inlineStr">
        <is>
          <t>A. Verma</t>
        </is>
      </c>
      <c r="F1094" s="3" t="inlineStr">
        <is>
          <t>Housing</t>
        </is>
      </c>
      <c r="G1094" s="4" t="n">
        <v>46117</v>
      </c>
      <c r="H1094" s="5" t="n">
        <v>7833</v>
      </c>
    </row>
    <row r="1095">
      <c r="A1095" s="3" t="inlineStr">
        <is>
          <t>D1094</t>
        </is>
      </c>
      <c r="B1095" s="3" t="inlineStr">
        <is>
          <t>A0183</t>
        </is>
      </c>
      <c r="C1095" s="3" t="inlineStr">
        <is>
          <t>Sanjay Singh</t>
        </is>
      </c>
      <c r="D1095" s="3" t="inlineStr">
        <is>
          <t>Muzaffarpur</t>
        </is>
      </c>
      <c r="E1095" s="3" t="inlineStr">
        <is>
          <t>A. Verma</t>
        </is>
      </c>
      <c r="F1095" s="3" t="inlineStr">
        <is>
          <t>Housing</t>
        </is>
      </c>
      <c r="G1095" s="4" t="n">
        <v>46147</v>
      </c>
      <c r="H1095" s="5" t="n">
        <v>7833</v>
      </c>
    </row>
    <row r="1096">
      <c r="A1096" s="3" t="inlineStr">
        <is>
          <t>D1095</t>
        </is>
      </c>
      <c r="B1096" s="3" t="inlineStr">
        <is>
          <t>A0183</t>
        </is>
      </c>
      <c r="C1096" s="3" t="inlineStr">
        <is>
          <t>Sanjay Singh</t>
        </is>
      </c>
      <c r="D1096" s="3" t="inlineStr">
        <is>
          <t>Muzaffarpur</t>
        </is>
      </c>
      <c r="E1096" s="3" t="inlineStr">
        <is>
          <t>A. Verma</t>
        </is>
      </c>
      <c r="F1096" s="3" t="inlineStr">
        <is>
          <t>Housing</t>
        </is>
      </c>
      <c r="G1096" s="4" t="n">
        <v>46178</v>
      </c>
      <c r="H1096" s="5" t="n">
        <v>7833</v>
      </c>
    </row>
    <row r="1097">
      <c r="A1097" s="3" t="inlineStr">
        <is>
          <t>D1096</t>
        </is>
      </c>
      <c r="B1097" s="3" t="inlineStr">
        <is>
          <t>A0183</t>
        </is>
      </c>
      <c r="C1097" s="3" t="inlineStr">
        <is>
          <t>Sanjay Singh</t>
        </is>
      </c>
      <c r="D1097" s="3" t="inlineStr">
        <is>
          <t>Muzaffarpur</t>
        </is>
      </c>
      <c r="E1097" s="3" t="inlineStr">
        <is>
          <t>A. Verma</t>
        </is>
      </c>
      <c r="F1097" s="3" t="inlineStr">
        <is>
          <t>Housing</t>
        </is>
      </c>
      <c r="G1097" s="4" t="n">
        <v>46208</v>
      </c>
      <c r="H1097" s="5" t="n">
        <v>7833</v>
      </c>
    </row>
    <row r="1098">
      <c r="A1098" s="3" t="inlineStr">
        <is>
          <t>D1097</t>
        </is>
      </c>
      <c r="B1098" s="3" t="inlineStr">
        <is>
          <t>A0183</t>
        </is>
      </c>
      <c r="C1098" s="3" t="inlineStr">
        <is>
          <t>Sanjay Singh</t>
        </is>
      </c>
      <c r="D1098" s="3" t="inlineStr">
        <is>
          <t>Muzaffarpur</t>
        </is>
      </c>
      <c r="E1098" s="3" t="inlineStr">
        <is>
          <t>A. Verma</t>
        </is>
      </c>
      <c r="F1098" s="3" t="inlineStr">
        <is>
          <t>Housing</t>
        </is>
      </c>
      <c r="G1098" s="4" t="n">
        <v>46239</v>
      </c>
      <c r="H1098" s="5" t="n">
        <v>7833</v>
      </c>
    </row>
    <row r="1099">
      <c r="A1099" s="3" t="inlineStr">
        <is>
          <t>D1098</t>
        </is>
      </c>
      <c r="B1099" s="3" t="inlineStr">
        <is>
          <t>A0183</t>
        </is>
      </c>
      <c r="C1099" s="3" t="inlineStr">
        <is>
          <t>Sanjay Singh</t>
        </is>
      </c>
      <c r="D1099" s="3" t="inlineStr">
        <is>
          <t>Muzaffarpur</t>
        </is>
      </c>
      <c r="E1099" s="3" t="inlineStr">
        <is>
          <t>A. Verma</t>
        </is>
      </c>
      <c r="F1099" s="3" t="inlineStr">
        <is>
          <t>Housing</t>
        </is>
      </c>
      <c r="G1099" s="4" t="n">
        <v>46270</v>
      </c>
      <c r="H1099" s="5" t="n">
        <v>7833</v>
      </c>
    </row>
    <row r="1100">
      <c r="A1100" s="3" t="inlineStr">
        <is>
          <t>D1099</t>
        </is>
      </c>
      <c r="B1100" s="3" t="inlineStr">
        <is>
          <t>A0184</t>
        </is>
      </c>
      <c r="C1100" s="3" t="inlineStr">
        <is>
          <t>Vikash Gupta</t>
        </is>
      </c>
      <c r="D1100" s="3" t="inlineStr">
        <is>
          <t>Patna</t>
        </is>
      </c>
      <c r="E1100" s="3" t="inlineStr">
        <is>
          <t>A. Verma</t>
        </is>
      </c>
      <c r="F1100" s="3" t="inlineStr">
        <is>
          <t>Agri</t>
        </is>
      </c>
      <c r="G1100" s="4" t="n">
        <v>46117</v>
      </c>
      <c r="H1100" s="5" t="n">
        <v>7167</v>
      </c>
    </row>
    <row r="1101">
      <c r="A1101" s="3" t="inlineStr">
        <is>
          <t>D1100</t>
        </is>
      </c>
      <c r="B1101" s="3" t="inlineStr">
        <is>
          <t>A0184</t>
        </is>
      </c>
      <c r="C1101" s="3" t="inlineStr">
        <is>
          <t>Vikash Gupta</t>
        </is>
      </c>
      <c r="D1101" s="3" t="inlineStr">
        <is>
          <t>Patna</t>
        </is>
      </c>
      <c r="E1101" s="3" t="inlineStr">
        <is>
          <t>A. Verma</t>
        </is>
      </c>
      <c r="F1101" s="3" t="inlineStr">
        <is>
          <t>Agri</t>
        </is>
      </c>
      <c r="G1101" s="4" t="n">
        <v>46147</v>
      </c>
      <c r="H1101" s="5" t="n">
        <v>7167</v>
      </c>
    </row>
    <row r="1102">
      <c r="A1102" s="3" t="inlineStr">
        <is>
          <t>D1101</t>
        </is>
      </c>
      <c r="B1102" s="3" t="inlineStr">
        <is>
          <t>A0184</t>
        </is>
      </c>
      <c r="C1102" s="3" t="inlineStr">
        <is>
          <t>Vikash Gupta</t>
        </is>
      </c>
      <c r="D1102" s="3" t="inlineStr">
        <is>
          <t>Patna</t>
        </is>
      </c>
      <c r="E1102" s="3" t="inlineStr">
        <is>
          <t>A. Verma</t>
        </is>
      </c>
      <c r="F1102" s="3" t="inlineStr">
        <is>
          <t>Agri</t>
        </is>
      </c>
      <c r="G1102" s="4" t="n">
        <v>46178</v>
      </c>
      <c r="H1102" s="5" t="n">
        <v>7167</v>
      </c>
    </row>
    <row r="1103">
      <c r="A1103" s="3" t="inlineStr">
        <is>
          <t>D1102</t>
        </is>
      </c>
      <c r="B1103" s="3" t="inlineStr">
        <is>
          <t>A0184</t>
        </is>
      </c>
      <c r="C1103" s="3" t="inlineStr">
        <is>
          <t>Vikash Gupta</t>
        </is>
      </c>
      <c r="D1103" s="3" t="inlineStr">
        <is>
          <t>Patna</t>
        </is>
      </c>
      <c r="E1103" s="3" t="inlineStr">
        <is>
          <t>A. Verma</t>
        </is>
      </c>
      <c r="F1103" s="3" t="inlineStr">
        <is>
          <t>Agri</t>
        </is>
      </c>
      <c r="G1103" s="4" t="n">
        <v>46208</v>
      </c>
      <c r="H1103" s="5" t="n">
        <v>7167</v>
      </c>
    </row>
    <row r="1104">
      <c r="A1104" s="3" t="inlineStr">
        <is>
          <t>D1103</t>
        </is>
      </c>
      <c r="B1104" s="3" t="inlineStr">
        <is>
          <t>A0184</t>
        </is>
      </c>
      <c r="C1104" s="3" t="inlineStr">
        <is>
          <t>Vikash Gupta</t>
        </is>
      </c>
      <c r="D1104" s="3" t="inlineStr">
        <is>
          <t>Patna</t>
        </is>
      </c>
      <c r="E1104" s="3" t="inlineStr">
        <is>
          <t>A. Verma</t>
        </is>
      </c>
      <c r="F1104" s="3" t="inlineStr">
        <is>
          <t>Agri</t>
        </is>
      </c>
      <c r="G1104" s="4" t="n">
        <v>46239</v>
      </c>
      <c r="H1104" s="5" t="n">
        <v>7167</v>
      </c>
    </row>
    <row r="1105">
      <c r="A1105" s="3" t="inlineStr">
        <is>
          <t>D1104</t>
        </is>
      </c>
      <c r="B1105" s="3" t="inlineStr">
        <is>
          <t>A0184</t>
        </is>
      </c>
      <c r="C1105" s="3" t="inlineStr">
        <is>
          <t>Vikash Gupta</t>
        </is>
      </c>
      <c r="D1105" s="3" t="inlineStr">
        <is>
          <t>Patna</t>
        </is>
      </c>
      <c r="E1105" s="3" t="inlineStr">
        <is>
          <t>A. Verma</t>
        </is>
      </c>
      <c r="F1105" s="3" t="inlineStr">
        <is>
          <t>Agri</t>
        </is>
      </c>
      <c r="G1105" s="4" t="n">
        <v>46270</v>
      </c>
      <c r="H1105" s="5" t="n">
        <v>7167</v>
      </c>
    </row>
    <row r="1106">
      <c r="A1106" s="3" t="inlineStr">
        <is>
          <t>D1105</t>
        </is>
      </c>
      <c r="B1106" s="3" t="inlineStr">
        <is>
          <t>A0185</t>
        </is>
      </c>
      <c r="C1106" s="3" t="inlineStr">
        <is>
          <t>Ravi Paswan</t>
        </is>
      </c>
      <c r="D1106" s="3" t="inlineStr">
        <is>
          <t>Bhagalpur</t>
        </is>
      </c>
      <c r="E1106" s="3" t="inlineStr">
        <is>
          <t>A. Verma</t>
        </is>
      </c>
      <c r="F1106" s="3" t="inlineStr">
        <is>
          <t>Trade</t>
        </is>
      </c>
      <c r="G1106" s="4" t="n">
        <v>46117</v>
      </c>
      <c r="H1106" s="5" t="n">
        <v>33000</v>
      </c>
    </row>
    <row r="1107">
      <c r="A1107" s="3" t="inlineStr">
        <is>
          <t>D1106</t>
        </is>
      </c>
      <c r="B1107" s="3" t="inlineStr">
        <is>
          <t>A0185</t>
        </is>
      </c>
      <c r="C1107" s="3" t="inlineStr">
        <is>
          <t>Ravi Paswan</t>
        </is>
      </c>
      <c r="D1107" s="3" t="inlineStr">
        <is>
          <t>Bhagalpur</t>
        </is>
      </c>
      <c r="E1107" s="3" t="inlineStr">
        <is>
          <t>A. Verma</t>
        </is>
      </c>
      <c r="F1107" s="3" t="inlineStr">
        <is>
          <t>Trade</t>
        </is>
      </c>
      <c r="G1107" s="4" t="n">
        <v>46147</v>
      </c>
      <c r="H1107" s="5" t="n">
        <v>33000</v>
      </c>
    </row>
    <row r="1108">
      <c r="A1108" s="3" t="inlineStr">
        <is>
          <t>D1107</t>
        </is>
      </c>
      <c r="B1108" s="3" t="inlineStr">
        <is>
          <t>A0185</t>
        </is>
      </c>
      <c r="C1108" s="3" t="inlineStr">
        <is>
          <t>Ravi Paswan</t>
        </is>
      </c>
      <c r="D1108" s="3" t="inlineStr">
        <is>
          <t>Bhagalpur</t>
        </is>
      </c>
      <c r="E1108" s="3" t="inlineStr">
        <is>
          <t>A. Verma</t>
        </is>
      </c>
      <c r="F1108" s="3" t="inlineStr">
        <is>
          <t>Trade</t>
        </is>
      </c>
      <c r="G1108" s="4" t="n">
        <v>46178</v>
      </c>
      <c r="H1108" s="5" t="n">
        <v>33000</v>
      </c>
    </row>
    <row r="1109">
      <c r="A1109" s="3" t="inlineStr">
        <is>
          <t>D1108</t>
        </is>
      </c>
      <c r="B1109" s="3" t="inlineStr">
        <is>
          <t>A0185</t>
        </is>
      </c>
      <c r="C1109" s="3" t="inlineStr">
        <is>
          <t>Ravi Paswan</t>
        </is>
      </c>
      <c r="D1109" s="3" t="inlineStr">
        <is>
          <t>Bhagalpur</t>
        </is>
      </c>
      <c r="E1109" s="3" t="inlineStr">
        <is>
          <t>A. Verma</t>
        </is>
      </c>
      <c r="F1109" s="3" t="inlineStr">
        <is>
          <t>Trade</t>
        </is>
      </c>
      <c r="G1109" s="4" t="n">
        <v>46208</v>
      </c>
      <c r="H1109" s="5" t="n">
        <v>33000</v>
      </c>
    </row>
    <row r="1110">
      <c r="A1110" s="3" t="inlineStr">
        <is>
          <t>D1109</t>
        </is>
      </c>
      <c r="B1110" s="3" t="inlineStr">
        <is>
          <t>A0185</t>
        </is>
      </c>
      <c r="C1110" s="3" t="inlineStr">
        <is>
          <t>Ravi Paswan</t>
        </is>
      </c>
      <c r="D1110" s="3" t="inlineStr">
        <is>
          <t>Bhagalpur</t>
        </is>
      </c>
      <c r="E1110" s="3" t="inlineStr">
        <is>
          <t>A. Verma</t>
        </is>
      </c>
      <c r="F1110" s="3" t="inlineStr">
        <is>
          <t>Trade</t>
        </is>
      </c>
      <c r="G1110" s="4" t="n">
        <v>46239</v>
      </c>
      <c r="H1110" s="5" t="n">
        <v>33000</v>
      </c>
    </row>
    <row r="1111">
      <c r="A1111" s="3" t="inlineStr">
        <is>
          <t>D1110</t>
        </is>
      </c>
      <c r="B1111" s="3" t="inlineStr">
        <is>
          <t>A0185</t>
        </is>
      </c>
      <c r="C1111" s="3" t="inlineStr">
        <is>
          <t>Ravi Paswan</t>
        </is>
      </c>
      <c r="D1111" s="3" t="inlineStr">
        <is>
          <t>Bhagalpur</t>
        </is>
      </c>
      <c r="E1111" s="3" t="inlineStr">
        <is>
          <t>A. Verma</t>
        </is>
      </c>
      <c r="F1111" s="3" t="inlineStr">
        <is>
          <t>Trade</t>
        </is>
      </c>
      <c r="G1111" s="4" t="n">
        <v>46270</v>
      </c>
      <c r="H1111" s="5" t="n">
        <v>33000</v>
      </c>
    </row>
    <row r="1112">
      <c r="A1112" s="3" t="inlineStr">
        <is>
          <t>D1111</t>
        </is>
      </c>
      <c r="B1112" s="3" t="inlineStr">
        <is>
          <t>A0186</t>
        </is>
      </c>
      <c r="C1112" s="3" t="inlineStr">
        <is>
          <t>Pooja Mandal</t>
        </is>
      </c>
      <c r="D1112" s="3" t="inlineStr">
        <is>
          <t>Muzaffarpur</t>
        </is>
      </c>
      <c r="E1112" s="3" t="inlineStr">
        <is>
          <t>M. Mandal</t>
        </is>
      </c>
      <c r="F1112" s="3" t="inlineStr">
        <is>
          <t>Trade</t>
        </is>
      </c>
      <c r="G1112" s="4" t="n">
        <v>46117</v>
      </c>
      <c r="H1112" s="5" t="n">
        <v>12167</v>
      </c>
    </row>
    <row r="1113">
      <c r="A1113" s="3" t="inlineStr">
        <is>
          <t>D1112</t>
        </is>
      </c>
      <c r="B1113" s="3" t="inlineStr">
        <is>
          <t>A0186</t>
        </is>
      </c>
      <c r="C1113" s="3" t="inlineStr">
        <is>
          <t>Pooja Mandal</t>
        </is>
      </c>
      <c r="D1113" s="3" t="inlineStr">
        <is>
          <t>Muzaffarpur</t>
        </is>
      </c>
      <c r="E1113" s="3" t="inlineStr">
        <is>
          <t>M. Mandal</t>
        </is>
      </c>
      <c r="F1113" s="3" t="inlineStr">
        <is>
          <t>Trade</t>
        </is>
      </c>
      <c r="G1113" s="4" t="n">
        <v>46147</v>
      </c>
      <c r="H1113" s="5" t="n">
        <v>12167</v>
      </c>
    </row>
    <row r="1114">
      <c r="A1114" s="3" t="inlineStr">
        <is>
          <t>D1113</t>
        </is>
      </c>
      <c r="B1114" s="3" t="inlineStr">
        <is>
          <t>A0186</t>
        </is>
      </c>
      <c r="C1114" s="3" t="inlineStr">
        <is>
          <t>Pooja Mandal</t>
        </is>
      </c>
      <c r="D1114" s="3" t="inlineStr">
        <is>
          <t>Muzaffarpur</t>
        </is>
      </c>
      <c r="E1114" s="3" t="inlineStr">
        <is>
          <t>M. Mandal</t>
        </is>
      </c>
      <c r="F1114" s="3" t="inlineStr">
        <is>
          <t>Trade</t>
        </is>
      </c>
      <c r="G1114" s="4" t="n">
        <v>46178</v>
      </c>
      <c r="H1114" s="5" t="n">
        <v>12167</v>
      </c>
    </row>
    <row r="1115">
      <c r="A1115" s="3" t="inlineStr">
        <is>
          <t>D1114</t>
        </is>
      </c>
      <c r="B1115" s="3" t="inlineStr">
        <is>
          <t>A0186</t>
        </is>
      </c>
      <c r="C1115" s="3" t="inlineStr">
        <is>
          <t>Pooja Mandal</t>
        </is>
      </c>
      <c r="D1115" s="3" t="inlineStr">
        <is>
          <t>Muzaffarpur</t>
        </is>
      </c>
      <c r="E1115" s="3" t="inlineStr">
        <is>
          <t>M. Mandal</t>
        </is>
      </c>
      <c r="F1115" s="3" t="inlineStr">
        <is>
          <t>Trade</t>
        </is>
      </c>
      <c r="G1115" s="4" t="n">
        <v>46208</v>
      </c>
      <c r="H1115" s="5" t="n">
        <v>12167</v>
      </c>
    </row>
    <row r="1116">
      <c r="A1116" s="3" t="inlineStr">
        <is>
          <t>D1115</t>
        </is>
      </c>
      <c r="B1116" s="3" t="inlineStr">
        <is>
          <t>A0186</t>
        </is>
      </c>
      <c r="C1116" s="3" t="inlineStr">
        <is>
          <t>Pooja Mandal</t>
        </is>
      </c>
      <c r="D1116" s="3" t="inlineStr">
        <is>
          <t>Muzaffarpur</t>
        </is>
      </c>
      <c r="E1116" s="3" t="inlineStr">
        <is>
          <t>M. Mandal</t>
        </is>
      </c>
      <c r="F1116" s="3" t="inlineStr">
        <is>
          <t>Trade</t>
        </is>
      </c>
      <c r="G1116" s="4" t="n">
        <v>46239</v>
      </c>
      <c r="H1116" s="5" t="n">
        <v>12167</v>
      </c>
    </row>
    <row r="1117">
      <c r="A1117" s="3" t="inlineStr">
        <is>
          <t>D1116</t>
        </is>
      </c>
      <c r="B1117" s="3" t="inlineStr">
        <is>
          <t>A0186</t>
        </is>
      </c>
      <c r="C1117" s="3" t="inlineStr">
        <is>
          <t>Pooja Mandal</t>
        </is>
      </c>
      <c r="D1117" s="3" t="inlineStr">
        <is>
          <t>Muzaffarpur</t>
        </is>
      </c>
      <c r="E1117" s="3" t="inlineStr">
        <is>
          <t>M. Mandal</t>
        </is>
      </c>
      <c r="F1117" s="3" t="inlineStr">
        <is>
          <t>Trade</t>
        </is>
      </c>
      <c r="G1117" s="4" t="n">
        <v>46270</v>
      </c>
      <c r="H1117" s="5" t="n">
        <v>12167</v>
      </c>
    </row>
    <row r="1118">
      <c r="A1118" s="3" t="inlineStr">
        <is>
          <t>D1117</t>
        </is>
      </c>
      <c r="B1118" s="3" t="inlineStr">
        <is>
          <t>A0187</t>
        </is>
      </c>
      <c r="C1118" s="3" t="inlineStr">
        <is>
          <t>Manoj Sah</t>
        </is>
      </c>
      <c r="D1118" s="3" t="inlineStr">
        <is>
          <t>Patna</t>
        </is>
      </c>
      <c r="E1118" s="3" t="inlineStr">
        <is>
          <t>R. Singh</t>
        </is>
      </c>
      <c r="F1118" s="3" t="inlineStr">
        <is>
          <t>Personal</t>
        </is>
      </c>
      <c r="G1118" s="4" t="n">
        <v>46117</v>
      </c>
      <c r="H1118" s="5" t="n">
        <v>13333</v>
      </c>
    </row>
    <row r="1119">
      <c r="A1119" s="3" t="inlineStr">
        <is>
          <t>D1118</t>
        </is>
      </c>
      <c r="B1119" s="3" t="inlineStr">
        <is>
          <t>A0187</t>
        </is>
      </c>
      <c r="C1119" s="3" t="inlineStr">
        <is>
          <t>Manoj Sah</t>
        </is>
      </c>
      <c r="D1119" s="3" t="inlineStr">
        <is>
          <t>Patna</t>
        </is>
      </c>
      <c r="E1119" s="3" t="inlineStr">
        <is>
          <t>R. Singh</t>
        </is>
      </c>
      <c r="F1119" s="3" t="inlineStr">
        <is>
          <t>Personal</t>
        </is>
      </c>
      <c r="G1119" s="4" t="n">
        <v>46147</v>
      </c>
      <c r="H1119" s="5" t="n">
        <v>13333</v>
      </c>
    </row>
    <row r="1120">
      <c r="A1120" s="3" t="inlineStr">
        <is>
          <t>D1119</t>
        </is>
      </c>
      <c r="B1120" s="3" t="inlineStr">
        <is>
          <t>A0187</t>
        </is>
      </c>
      <c r="C1120" s="3" t="inlineStr">
        <is>
          <t>Manoj Sah</t>
        </is>
      </c>
      <c r="D1120" s="3" t="inlineStr">
        <is>
          <t>Patna</t>
        </is>
      </c>
      <c r="E1120" s="3" t="inlineStr">
        <is>
          <t>R. Singh</t>
        </is>
      </c>
      <c r="F1120" s="3" t="inlineStr">
        <is>
          <t>Personal</t>
        </is>
      </c>
      <c r="G1120" s="4" t="n">
        <v>46178</v>
      </c>
      <c r="H1120" s="5" t="n">
        <v>13333</v>
      </c>
    </row>
    <row r="1121">
      <c r="A1121" s="3" t="inlineStr">
        <is>
          <t>D1120</t>
        </is>
      </c>
      <c r="B1121" s="3" t="inlineStr">
        <is>
          <t>A0187</t>
        </is>
      </c>
      <c r="C1121" s="3" t="inlineStr">
        <is>
          <t>Manoj Sah</t>
        </is>
      </c>
      <c r="D1121" s="3" t="inlineStr">
        <is>
          <t>Patna</t>
        </is>
      </c>
      <c r="E1121" s="3" t="inlineStr">
        <is>
          <t>R. Singh</t>
        </is>
      </c>
      <c r="F1121" s="3" t="inlineStr">
        <is>
          <t>Personal</t>
        </is>
      </c>
      <c r="G1121" s="4" t="n">
        <v>46208</v>
      </c>
      <c r="H1121" s="5" t="n">
        <v>13333</v>
      </c>
    </row>
    <row r="1122">
      <c r="A1122" s="3" t="inlineStr">
        <is>
          <t>D1121</t>
        </is>
      </c>
      <c r="B1122" s="3" t="inlineStr">
        <is>
          <t>A0187</t>
        </is>
      </c>
      <c r="C1122" s="3" t="inlineStr">
        <is>
          <t>Manoj Sah</t>
        </is>
      </c>
      <c r="D1122" s="3" t="inlineStr">
        <is>
          <t>Patna</t>
        </is>
      </c>
      <c r="E1122" s="3" t="inlineStr">
        <is>
          <t>R. Singh</t>
        </is>
      </c>
      <c r="F1122" s="3" t="inlineStr">
        <is>
          <t>Personal</t>
        </is>
      </c>
      <c r="G1122" s="4" t="n">
        <v>46239</v>
      </c>
      <c r="H1122" s="5" t="n">
        <v>13333</v>
      </c>
    </row>
    <row r="1123">
      <c r="A1123" s="3" t="inlineStr">
        <is>
          <t>D1122</t>
        </is>
      </c>
      <c r="B1123" s="3" t="inlineStr">
        <is>
          <t>A0187</t>
        </is>
      </c>
      <c r="C1123" s="3" t="inlineStr">
        <is>
          <t>Manoj Sah</t>
        </is>
      </c>
      <c r="D1123" s="3" t="inlineStr">
        <is>
          <t>Patna</t>
        </is>
      </c>
      <c r="E1123" s="3" t="inlineStr">
        <is>
          <t>R. Singh</t>
        </is>
      </c>
      <c r="F1123" s="3" t="inlineStr">
        <is>
          <t>Personal</t>
        </is>
      </c>
      <c r="G1123" s="4" t="n">
        <v>46270</v>
      </c>
      <c r="H1123" s="5" t="n">
        <v>13333</v>
      </c>
    </row>
    <row r="1124">
      <c r="A1124" s="3" t="inlineStr">
        <is>
          <t>D1123</t>
        </is>
      </c>
      <c r="B1124" s="3" t="inlineStr">
        <is>
          <t>A0188</t>
        </is>
      </c>
      <c r="C1124" s="3" t="inlineStr">
        <is>
          <t>Sunita Prasad</t>
        </is>
      </c>
      <c r="D1124" s="3" t="inlineStr">
        <is>
          <t>Bhagalpur</t>
        </is>
      </c>
      <c r="E1124" s="3" t="inlineStr">
        <is>
          <t>M. Mandal</t>
        </is>
      </c>
      <c r="F1124" s="3" t="inlineStr">
        <is>
          <t>Housing</t>
        </is>
      </c>
      <c r="G1124" s="4" t="n">
        <v>46117</v>
      </c>
      <c r="H1124" s="5" t="n">
        <v>13667</v>
      </c>
    </row>
    <row r="1125">
      <c r="A1125" s="3" t="inlineStr">
        <is>
          <t>D1124</t>
        </is>
      </c>
      <c r="B1125" s="3" t="inlineStr">
        <is>
          <t>A0188</t>
        </is>
      </c>
      <c r="C1125" s="3" t="inlineStr">
        <is>
          <t>Sunita Prasad</t>
        </is>
      </c>
      <c r="D1125" s="3" t="inlineStr">
        <is>
          <t>Bhagalpur</t>
        </is>
      </c>
      <c r="E1125" s="3" t="inlineStr">
        <is>
          <t>M. Mandal</t>
        </is>
      </c>
      <c r="F1125" s="3" t="inlineStr">
        <is>
          <t>Housing</t>
        </is>
      </c>
      <c r="G1125" s="4" t="n">
        <v>46147</v>
      </c>
      <c r="H1125" s="5" t="n">
        <v>13667</v>
      </c>
    </row>
    <row r="1126">
      <c r="A1126" s="3" t="inlineStr">
        <is>
          <t>D1125</t>
        </is>
      </c>
      <c r="B1126" s="3" t="inlineStr">
        <is>
          <t>A0188</t>
        </is>
      </c>
      <c r="C1126" s="3" t="inlineStr">
        <is>
          <t>Sunita Prasad</t>
        </is>
      </c>
      <c r="D1126" s="3" t="inlineStr">
        <is>
          <t>Bhagalpur</t>
        </is>
      </c>
      <c r="E1126" s="3" t="inlineStr">
        <is>
          <t>M. Mandal</t>
        </is>
      </c>
      <c r="F1126" s="3" t="inlineStr">
        <is>
          <t>Housing</t>
        </is>
      </c>
      <c r="G1126" s="4" t="n">
        <v>46178</v>
      </c>
      <c r="H1126" s="5" t="n">
        <v>13667</v>
      </c>
    </row>
    <row r="1127">
      <c r="A1127" s="3" t="inlineStr">
        <is>
          <t>D1126</t>
        </is>
      </c>
      <c r="B1127" s="3" t="inlineStr">
        <is>
          <t>A0188</t>
        </is>
      </c>
      <c r="C1127" s="3" t="inlineStr">
        <is>
          <t>Sunita Prasad</t>
        </is>
      </c>
      <c r="D1127" s="3" t="inlineStr">
        <is>
          <t>Bhagalpur</t>
        </is>
      </c>
      <c r="E1127" s="3" t="inlineStr">
        <is>
          <t>M. Mandal</t>
        </is>
      </c>
      <c r="F1127" s="3" t="inlineStr">
        <is>
          <t>Housing</t>
        </is>
      </c>
      <c r="G1127" s="4" t="n">
        <v>46208</v>
      </c>
      <c r="H1127" s="5" t="n">
        <v>13667</v>
      </c>
    </row>
    <row r="1128">
      <c r="A1128" s="3" t="inlineStr">
        <is>
          <t>D1127</t>
        </is>
      </c>
      <c r="B1128" s="3" t="inlineStr">
        <is>
          <t>A0188</t>
        </is>
      </c>
      <c r="C1128" s="3" t="inlineStr">
        <is>
          <t>Sunita Prasad</t>
        </is>
      </c>
      <c r="D1128" s="3" t="inlineStr">
        <is>
          <t>Bhagalpur</t>
        </is>
      </c>
      <c r="E1128" s="3" t="inlineStr">
        <is>
          <t>M. Mandal</t>
        </is>
      </c>
      <c r="F1128" s="3" t="inlineStr">
        <is>
          <t>Housing</t>
        </is>
      </c>
      <c r="G1128" s="4" t="n">
        <v>46239</v>
      </c>
      <c r="H1128" s="5" t="n">
        <v>13667</v>
      </c>
    </row>
    <row r="1129">
      <c r="A1129" s="3" t="inlineStr">
        <is>
          <t>D1128</t>
        </is>
      </c>
      <c r="B1129" s="3" t="inlineStr">
        <is>
          <t>A0188</t>
        </is>
      </c>
      <c r="C1129" s="3" t="inlineStr">
        <is>
          <t>Sunita Prasad</t>
        </is>
      </c>
      <c r="D1129" s="3" t="inlineStr">
        <is>
          <t>Bhagalpur</t>
        </is>
      </c>
      <c r="E1129" s="3" t="inlineStr">
        <is>
          <t>M. Mandal</t>
        </is>
      </c>
      <c r="F1129" s="3" t="inlineStr">
        <is>
          <t>Housing</t>
        </is>
      </c>
      <c r="G1129" s="4" t="n">
        <v>46270</v>
      </c>
      <c r="H1129" s="5" t="n">
        <v>13667</v>
      </c>
    </row>
    <row r="1130">
      <c r="A1130" s="3" t="inlineStr">
        <is>
          <t>D1129</t>
        </is>
      </c>
      <c r="B1130" s="3" t="inlineStr">
        <is>
          <t>A0189</t>
        </is>
      </c>
      <c r="C1130" s="3" t="inlineStr">
        <is>
          <t>Manoj Tiwari</t>
        </is>
      </c>
      <c r="D1130" s="3" t="inlineStr">
        <is>
          <t>Bhagalpur</t>
        </is>
      </c>
      <c r="E1130" s="3" t="inlineStr">
        <is>
          <t>M. Mandal</t>
        </is>
      </c>
      <c r="F1130" s="3" t="inlineStr">
        <is>
          <t>Personal</t>
        </is>
      </c>
      <c r="G1130" s="4" t="n">
        <v>46117</v>
      </c>
      <c r="H1130" s="5" t="n">
        <v>8500</v>
      </c>
    </row>
    <row r="1131">
      <c r="A1131" s="3" t="inlineStr">
        <is>
          <t>D1130</t>
        </is>
      </c>
      <c r="B1131" s="3" t="inlineStr">
        <is>
          <t>A0189</t>
        </is>
      </c>
      <c r="C1131" s="3" t="inlineStr">
        <is>
          <t>Manoj Tiwari</t>
        </is>
      </c>
      <c r="D1131" s="3" t="inlineStr">
        <is>
          <t>Bhagalpur</t>
        </is>
      </c>
      <c r="E1131" s="3" t="inlineStr">
        <is>
          <t>M. Mandal</t>
        </is>
      </c>
      <c r="F1131" s="3" t="inlineStr">
        <is>
          <t>Personal</t>
        </is>
      </c>
      <c r="G1131" s="4" t="n">
        <v>46147</v>
      </c>
      <c r="H1131" s="5" t="n">
        <v>8500</v>
      </c>
    </row>
    <row r="1132">
      <c r="A1132" s="3" t="inlineStr">
        <is>
          <t>D1131</t>
        </is>
      </c>
      <c r="B1132" s="3" t="inlineStr">
        <is>
          <t>A0189</t>
        </is>
      </c>
      <c r="C1132" s="3" t="inlineStr">
        <is>
          <t>Manoj Tiwari</t>
        </is>
      </c>
      <c r="D1132" s="3" t="inlineStr">
        <is>
          <t>Bhagalpur</t>
        </is>
      </c>
      <c r="E1132" s="3" t="inlineStr">
        <is>
          <t>M. Mandal</t>
        </is>
      </c>
      <c r="F1132" s="3" t="inlineStr">
        <is>
          <t>Personal</t>
        </is>
      </c>
      <c r="G1132" s="4" t="n">
        <v>46178</v>
      </c>
      <c r="H1132" s="5" t="n">
        <v>8500</v>
      </c>
    </row>
    <row r="1133">
      <c r="A1133" s="3" t="inlineStr">
        <is>
          <t>D1132</t>
        </is>
      </c>
      <c r="B1133" s="3" t="inlineStr">
        <is>
          <t>A0189</t>
        </is>
      </c>
      <c r="C1133" s="3" t="inlineStr">
        <is>
          <t>Manoj Tiwari</t>
        </is>
      </c>
      <c r="D1133" s="3" t="inlineStr">
        <is>
          <t>Bhagalpur</t>
        </is>
      </c>
      <c r="E1133" s="3" t="inlineStr">
        <is>
          <t>M. Mandal</t>
        </is>
      </c>
      <c r="F1133" s="3" t="inlineStr">
        <is>
          <t>Personal</t>
        </is>
      </c>
      <c r="G1133" s="4" t="n">
        <v>46208</v>
      </c>
      <c r="H1133" s="5" t="n">
        <v>8500</v>
      </c>
    </row>
    <row r="1134">
      <c r="A1134" s="3" t="inlineStr">
        <is>
          <t>D1133</t>
        </is>
      </c>
      <c r="B1134" s="3" t="inlineStr">
        <is>
          <t>A0189</t>
        </is>
      </c>
      <c r="C1134" s="3" t="inlineStr">
        <is>
          <t>Manoj Tiwari</t>
        </is>
      </c>
      <c r="D1134" s="3" t="inlineStr">
        <is>
          <t>Bhagalpur</t>
        </is>
      </c>
      <c r="E1134" s="3" t="inlineStr">
        <is>
          <t>M. Mandal</t>
        </is>
      </c>
      <c r="F1134" s="3" t="inlineStr">
        <is>
          <t>Personal</t>
        </is>
      </c>
      <c r="G1134" s="4" t="n">
        <v>46239</v>
      </c>
      <c r="H1134" s="5" t="n">
        <v>8500</v>
      </c>
    </row>
    <row r="1135">
      <c r="A1135" s="3" t="inlineStr">
        <is>
          <t>D1134</t>
        </is>
      </c>
      <c r="B1135" s="3" t="inlineStr">
        <is>
          <t>A0189</t>
        </is>
      </c>
      <c r="C1135" s="3" t="inlineStr">
        <is>
          <t>Manoj Tiwari</t>
        </is>
      </c>
      <c r="D1135" s="3" t="inlineStr">
        <is>
          <t>Bhagalpur</t>
        </is>
      </c>
      <c r="E1135" s="3" t="inlineStr">
        <is>
          <t>M. Mandal</t>
        </is>
      </c>
      <c r="F1135" s="3" t="inlineStr">
        <is>
          <t>Personal</t>
        </is>
      </c>
      <c r="G1135" s="4" t="n">
        <v>46270</v>
      </c>
      <c r="H1135" s="5" t="n">
        <v>8500</v>
      </c>
    </row>
    <row r="1136">
      <c r="A1136" s="3" t="inlineStr">
        <is>
          <t>D1135</t>
        </is>
      </c>
      <c r="B1136" s="3" t="inlineStr">
        <is>
          <t>A0190</t>
        </is>
      </c>
      <c r="C1136" s="3" t="inlineStr">
        <is>
          <t>Suresh Paswan</t>
        </is>
      </c>
      <c r="D1136" s="3" t="inlineStr">
        <is>
          <t>Bhagalpur</t>
        </is>
      </c>
      <c r="E1136" s="3" t="inlineStr">
        <is>
          <t>K. Sharma</t>
        </is>
      </c>
      <c r="F1136" s="3" t="inlineStr">
        <is>
          <t>Housing</t>
        </is>
      </c>
      <c r="G1136" s="4" t="n">
        <v>46117</v>
      </c>
      <c r="H1136" s="5" t="n">
        <v>27833</v>
      </c>
    </row>
    <row r="1137">
      <c r="A1137" s="3" t="inlineStr">
        <is>
          <t>D1136</t>
        </is>
      </c>
      <c r="B1137" s="3" t="inlineStr">
        <is>
          <t>A0190</t>
        </is>
      </c>
      <c r="C1137" s="3" t="inlineStr">
        <is>
          <t>Suresh Paswan</t>
        </is>
      </c>
      <c r="D1137" s="3" t="inlineStr">
        <is>
          <t>Bhagalpur</t>
        </is>
      </c>
      <c r="E1137" s="3" t="inlineStr">
        <is>
          <t>K. Sharma</t>
        </is>
      </c>
      <c r="F1137" s="3" t="inlineStr">
        <is>
          <t>Housing</t>
        </is>
      </c>
      <c r="G1137" s="4" t="n">
        <v>46147</v>
      </c>
      <c r="H1137" s="5" t="n">
        <v>27833</v>
      </c>
    </row>
    <row r="1138">
      <c r="A1138" s="3" t="inlineStr">
        <is>
          <t>D1137</t>
        </is>
      </c>
      <c r="B1138" s="3" t="inlineStr">
        <is>
          <t>A0190</t>
        </is>
      </c>
      <c r="C1138" s="3" t="inlineStr">
        <is>
          <t>Suresh Paswan</t>
        </is>
      </c>
      <c r="D1138" s="3" t="inlineStr">
        <is>
          <t>Bhagalpur</t>
        </is>
      </c>
      <c r="E1138" s="3" t="inlineStr">
        <is>
          <t>K. Sharma</t>
        </is>
      </c>
      <c r="F1138" s="3" t="inlineStr">
        <is>
          <t>Housing</t>
        </is>
      </c>
      <c r="G1138" s="4" t="n">
        <v>46178</v>
      </c>
      <c r="H1138" s="5" t="n">
        <v>27833</v>
      </c>
    </row>
    <row r="1139">
      <c r="A1139" s="3" t="inlineStr">
        <is>
          <t>D1138</t>
        </is>
      </c>
      <c r="B1139" s="3" t="inlineStr">
        <is>
          <t>A0190</t>
        </is>
      </c>
      <c r="C1139" s="3" t="inlineStr">
        <is>
          <t>Suresh Paswan</t>
        </is>
      </c>
      <c r="D1139" s="3" t="inlineStr">
        <is>
          <t>Bhagalpur</t>
        </is>
      </c>
      <c r="E1139" s="3" t="inlineStr">
        <is>
          <t>K. Sharma</t>
        </is>
      </c>
      <c r="F1139" s="3" t="inlineStr">
        <is>
          <t>Housing</t>
        </is>
      </c>
      <c r="G1139" s="4" t="n">
        <v>46208</v>
      </c>
      <c r="H1139" s="5" t="n">
        <v>27833</v>
      </c>
    </row>
    <row r="1140">
      <c r="A1140" s="3" t="inlineStr">
        <is>
          <t>D1139</t>
        </is>
      </c>
      <c r="B1140" s="3" t="inlineStr">
        <is>
          <t>A0190</t>
        </is>
      </c>
      <c r="C1140" s="3" t="inlineStr">
        <is>
          <t>Suresh Paswan</t>
        </is>
      </c>
      <c r="D1140" s="3" t="inlineStr">
        <is>
          <t>Bhagalpur</t>
        </is>
      </c>
      <c r="E1140" s="3" t="inlineStr">
        <is>
          <t>K. Sharma</t>
        </is>
      </c>
      <c r="F1140" s="3" t="inlineStr">
        <is>
          <t>Housing</t>
        </is>
      </c>
      <c r="G1140" s="4" t="n">
        <v>46239</v>
      </c>
      <c r="H1140" s="5" t="n">
        <v>27833</v>
      </c>
    </row>
    <row r="1141">
      <c r="A1141" s="3" t="inlineStr">
        <is>
          <t>D1140</t>
        </is>
      </c>
      <c r="B1141" s="3" t="inlineStr">
        <is>
          <t>A0190</t>
        </is>
      </c>
      <c r="C1141" s="3" t="inlineStr">
        <is>
          <t>Suresh Paswan</t>
        </is>
      </c>
      <c r="D1141" s="3" t="inlineStr">
        <is>
          <t>Bhagalpur</t>
        </is>
      </c>
      <c r="E1141" s="3" t="inlineStr">
        <is>
          <t>K. Sharma</t>
        </is>
      </c>
      <c r="F1141" s="3" t="inlineStr">
        <is>
          <t>Housing</t>
        </is>
      </c>
      <c r="G1141" s="4" t="n">
        <v>46270</v>
      </c>
      <c r="H1141" s="5" t="n">
        <v>27833</v>
      </c>
    </row>
    <row r="1142">
      <c r="A1142" s="3" t="inlineStr">
        <is>
          <t>D1141</t>
        </is>
      </c>
      <c r="B1142" s="3" t="inlineStr">
        <is>
          <t>A0191</t>
        </is>
      </c>
      <c r="C1142" s="3" t="inlineStr">
        <is>
          <t>Anita Paswan</t>
        </is>
      </c>
      <c r="D1142" s="3" t="inlineStr">
        <is>
          <t>Darbhanga</t>
        </is>
      </c>
      <c r="E1142" s="3" t="inlineStr">
        <is>
          <t>P. Yadav</t>
        </is>
      </c>
      <c r="F1142" s="3" t="inlineStr">
        <is>
          <t>Trade</t>
        </is>
      </c>
      <c r="G1142" s="4" t="n">
        <v>46117</v>
      </c>
      <c r="H1142" s="5" t="n">
        <v>28167</v>
      </c>
    </row>
    <row r="1143">
      <c r="A1143" s="3" t="inlineStr">
        <is>
          <t>D1142</t>
        </is>
      </c>
      <c r="B1143" s="3" t="inlineStr">
        <is>
          <t>A0191</t>
        </is>
      </c>
      <c r="C1143" s="3" t="inlineStr">
        <is>
          <t>Anita Paswan</t>
        </is>
      </c>
      <c r="D1143" s="3" t="inlineStr">
        <is>
          <t>Darbhanga</t>
        </is>
      </c>
      <c r="E1143" s="3" t="inlineStr">
        <is>
          <t>P. Yadav</t>
        </is>
      </c>
      <c r="F1143" s="3" t="inlineStr">
        <is>
          <t>Trade</t>
        </is>
      </c>
      <c r="G1143" s="4" t="n">
        <v>46147</v>
      </c>
      <c r="H1143" s="5" t="n">
        <v>28167</v>
      </c>
    </row>
    <row r="1144">
      <c r="A1144" s="3" t="inlineStr">
        <is>
          <t>D1143</t>
        </is>
      </c>
      <c r="B1144" s="3" t="inlineStr">
        <is>
          <t>A0191</t>
        </is>
      </c>
      <c r="C1144" s="3" t="inlineStr">
        <is>
          <t>Anita Paswan</t>
        </is>
      </c>
      <c r="D1144" s="3" t="inlineStr">
        <is>
          <t>Darbhanga</t>
        </is>
      </c>
      <c r="E1144" s="3" t="inlineStr">
        <is>
          <t>P. Yadav</t>
        </is>
      </c>
      <c r="F1144" s="3" t="inlineStr">
        <is>
          <t>Trade</t>
        </is>
      </c>
      <c r="G1144" s="4" t="n">
        <v>46178</v>
      </c>
      <c r="H1144" s="5" t="n">
        <v>28167</v>
      </c>
    </row>
    <row r="1145">
      <c r="A1145" s="3" t="inlineStr">
        <is>
          <t>D1144</t>
        </is>
      </c>
      <c r="B1145" s="3" t="inlineStr">
        <is>
          <t>A0191</t>
        </is>
      </c>
      <c r="C1145" s="3" t="inlineStr">
        <is>
          <t>Anita Paswan</t>
        </is>
      </c>
      <c r="D1145" s="3" t="inlineStr">
        <is>
          <t>Darbhanga</t>
        </is>
      </c>
      <c r="E1145" s="3" t="inlineStr">
        <is>
          <t>P. Yadav</t>
        </is>
      </c>
      <c r="F1145" s="3" t="inlineStr">
        <is>
          <t>Trade</t>
        </is>
      </c>
      <c r="G1145" s="4" t="n">
        <v>46208</v>
      </c>
      <c r="H1145" s="5" t="n">
        <v>28167</v>
      </c>
    </row>
    <row r="1146">
      <c r="A1146" s="3" t="inlineStr">
        <is>
          <t>D1145</t>
        </is>
      </c>
      <c r="B1146" s="3" t="inlineStr">
        <is>
          <t>A0191</t>
        </is>
      </c>
      <c r="C1146" s="3" t="inlineStr">
        <is>
          <t>Anita Paswan</t>
        </is>
      </c>
      <c r="D1146" s="3" t="inlineStr">
        <is>
          <t>Darbhanga</t>
        </is>
      </c>
      <c r="E1146" s="3" t="inlineStr">
        <is>
          <t>P. Yadav</t>
        </is>
      </c>
      <c r="F1146" s="3" t="inlineStr">
        <is>
          <t>Trade</t>
        </is>
      </c>
      <c r="G1146" s="4" t="n">
        <v>46239</v>
      </c>
      <c r="H1146" s="5" t="n">
        <v>28167</v>
      </c>
    </row>
    <row r="1147">
      <c r="A1147" s="3" t="inlineStr">
        <is>
          <t>D1146</t>
        </is>
      </c>
      <c r="B1147" s="3" t="inlineStr">
        <is>
          <t>A0191</t>
        </is>
      </c>
      <c r="C1147" s="3" t="inlineStr">
        <is>
          <t>Anita Paswan</t>
        </is>
      </c>
      <c r="D1147" s="3" t="inlineStr">
        <is>
          <t>Darbhanga</t>
        </is>
      </c>
      <c r="E1147" s="3" t="inlineStr">
        <is>
          <t>P. Yadav</t>
        </is>
      </c>
      <c r="F1147" s="3" t="inlineStr">
        <is>
          <t>Trade</t>
        </is>
      </c>
      <c r="G1147" s="4" t="n">
        <v>46270</v>
      </c>
      <c r="H1147" s="5" t="n">
        <v>28167</v>
      </c>
    </row>
    <row r="1148">
      <c r="A1148" s="3" t="inlineStr">
        <is>
          <t>D1147</t>
        </is>
      </c>
      <c r="B1148" s="3" t="inlineStr">
        <is>
          <t>A0192</t>
        </is>
      </c>
      <c r="C1148" s="3" t="inlineStr">
        <is>
          <t>Umesh Gupta</t>
        </is>
      </c>
      <c r="D1148" s="3" t="inlineStr">
        <is>
          <t>Gaya</t>
        </is>
      </c>
      <c r="E1148" s="3" t="inlineStr">
        <is>
          <t>M. Mandal</t>
        </is>
      </c>
      <c r="F1148" s="3" t="inlineStr">
        <is>
          <t>Vehicle</t>
        </is>
      </c>
      <c r="G1148" s="4" t="n">
        <v>46117</v>
      </c>
      <c r="H1148" s="5" t="n">
        <v>13833</v>
      </c>
    </row>
    <row r="1149">
      <c r="A1149" s="3" t="inlineStr">
        <is>
          <t>D1148</t>
        </is>
      </c>
      <c r="B1149" s="3" t="inlineStr">
        <is>
          <t>A0192</t>
        </is>
      </c>
      <c r="C1149" s="3" t="inlineStr">
        <is>
          <t>Umesh Gupta</t>
        </is>
      </c>
      <c r="D1149" s="3" t="inlineStr">
        <is>
          <t>Gaya</t>
        </is>
      </c>
      <c r="E1149" s="3" t="inlineStr">
        <is>
          <t>M. Mandal</t>
        </is>
      </c>
      <c r="F1149" s="3" t="inlineStr">
        <is>
          <t>Vehicle</t>
        </is>
      </c>
      <c r="G1149" s="4" t="n">
        <v>46147</v>
      </c>
      <c r="H1149" s="5" t="n">
        <v>13833</v>
      </c>
    </row>
    <row r="1150">
      <c r="A1150" s="3" t="inlineStr">
        <is>
          <t>D1149</t>
        </is>
      </c>
      <c r="B1150" s="3" t="inlineStr">
        <is>
          <t>A0192</t>
        </is>
      </c>
      <c r="C1150" s="3" t="inlineStr">
        <is>
          <t>Umesh Gupta</t>
        </is>
      </c>
      <c r="D1150" s="3" t="inlineStr">
        <is>
          <t>Gaya</t>
        </is>
      </c>
      <c r="E1150" s="3" t="inlineStr">
        <is>
          <t>M. Mandal</t>
        </is>
      </c>
      <c r="F1150" s="3" t="inlineStr">
        <is>
          <t>Vehicle</t>
        </is>
      </c>
      <c r="G1150" s="4" t="n">
        <v>46178</v>
      </c>
      <c r="H1150" s="5" t="n">
        <v>13833</v>
      </c>
    </row>
    <row r="1151">
      <c r="A1151" s="3" t="inlineStr">
        <is>
          <t>D1150</t>
        </is>
      </c>
      <c r="B1151" s="3" t="inlineStr">
        <is>
          <t>A0192</t>
        </is>
      </c>
      <c r="C1151" s="3" t="inlineStr">
        <is>
          <t>Umesh Gupta</t>
        </is>
      </c>
      <c r="D1151" s="3" t="inlineStr">
        <is>
          <t>Gaya</t>
        </is>
      </c>
      <c r="E1151" s="3" t="inlineStr">
        <is>
          <t>M. Mandal</t>
        </is>
      </c>
      <c r="F1151" s="3" t="inlineStr">
        <is>
          <t>Vehicle</t>
        </is>
      </c>
      <c r="G1151" s="4" t="n">
        <v>46208</v>
      </c>
      <c r="H1151" s="5" t="n">
        <v>13833</v>
      </c>
    </row>
    <row r="1152">
      <c r="A1152" s="3" t="inlineStr">
        <is>
          <t>D1151</t>
        </is>
      </c>
      <c r="B1152" s="3" t="inlineStr">
        <is>
          <t>A0192</t>
        </is>
      </c>
      <c r="C1152" s="3" t="inlineStr">
        <is>
          <t>Umesh Gupta</t>
        </is>
      </c>
      <c r="D1152" s="3" t="inlineStr">
        <is>
          <t>Gaya</t>
        </is>
      </c>
      <c r="E1152" s="3" t="inlineStr">
        <is>
          <t>M. Mandal</t>
        </is>
      </c>
      <c r="F1152" s="3" t="inlineStr">
        <is>
          <t>Vehicle</t>
        </is>
      </c>
      <c r="G1152" s="4" t="n">
        <v>46239</v>
      </c>
      <c r="H1152" s="5" t="n">
        <v>13833</v>
      </c>
    </row>
    <row r="1153">
      <c r="A1153" s="3" t="inlineStr">
        <is>
          <t>D1152</t>
        </is>
      </c>
      <c r="B1153" s="3" t="inlineStr">
        <is>
          <t>A0192</t>
        </is>
      </c>
      <c r="C1153" s="3" t="inlineStr">
        <is>
          <t>Umesh Gupta</t>
        </is>
      </c>
      <c r="D1153" s="3" t="inlineStr">
        <is>
          <t>Gaya</t>
        </is>
      </c>
      <c r="E1153" s="3" t="inlineStr">
        <is>
          <t>M. Mandal</t>
        </is>
      </c>
      <c r="F1153" s="3" t="inlineStr">
        <is>
          <t>Vehicle</t>
        </is>
      </c>
      <c r="G1153" s="4" t="n">
        <v>46270</v>
      </c>
      <c r="H1153" s="5" t="n">
        <v>13833</v>
      </c>
    </row>
    <row r="1154">
      <c r="A1154" s="3" t="inlineStr">
        <is>
          <t>D1153</t>
        </is>
      </c>
      <c r="B1154" s="3" t="inlineStr">
        <is>
          <t>A0193</t>
        </is>
      </c>
      <c r="C1154" s="3" t="inlineStr">
        <is>
          <t>Pooja Mishra</t>
        </is>
      </c>
      <c r="D1154" s="3" t="inlineStr">
        <is>
          <t>Muzaffarpur</t>
        </is>
      </c>
      <c r="E1154" s="3" t="inlineStr">
        <is>
          <t>P. Yadav</t>
        </is>
      </c>
      <c r="F1154" s="3" t="inlineStr">
        <is>
          <t>Agri</t>
        </is>
      </c>
      <c r="G1154" s="4" t="n">
        <v>46117</v>
      </c>
      <c r="H1154" s="5" t="n">
        <v>3667</v>
      </c>
    </row>
    <row r="1155">
      <c r="A1155" s="3" t="inlineStr">
        <is>
          <t>D1154</t>
        </is>
      </c>
      <c r="B1155" s="3" t="inlineStr">
        <is>
          <t>A0193</t>
        </is>
      </c>
      <c r="C1155" s="3" t="inlineStr">
        <is>
          <t>Pooja Mishra</t>
        </is>
      </c>
      <c r="D1155" s="3" t="inlineStr">
        <is>
          <t>Muzaffarpur</t>
        </is>
      </c>
      <c r="E1155" s="3" t="inlineStr">
        <is>
          <t>P. Yadav</t>
        </is>
      </c>
      <c r="F1155" s="3" t="inlineStr">
        <is>
          <t>Agri</t>
        </is>
      </c>
      <c r="G1155" s="4" t="n">
        <v>46147</v>
      </c>
      <c r="H1155" s="5" t="n">
        <v>3667</v>
      </c>
    </row>
    <row r="1156">
      <c r="A1156" s="3" t="inlineStr">
        <is>
          <t>D1155</t>
        </is>
      </c>
      <c r="B1156" s="3" t="inlineStr">
        <is>
          <t>A0193</t>
        </is>
      </c>
      <c r="C1156" s="3" t="inlineStr">
        <is>
          <t>Pooja Mishra</t>
        </is>
      </c>
      <c r="D1156" s="3" t="inlineStr">
        <is>
          <t>Muzaffarpur</t>
        </is>
      </c>
      <c r="E1156" s="3" t="inlineStr">
        <is>
          <t>P. Yadav</t>
        </is>
      </c>
      <c r="F1156" s="3" t="inlineStr">
        <is>
          <t>Agri</t>
        </is>
      </c>
      <c r="G1156" s="4" t="n">
        <v>46178</v>
      </c>
      <c r="H1156" s="5" t="n">
        <v>3667</v>
      </c>
    </row>
    <row r="1157">
      <c r="A1157" s="3" t="inlineStr">
        <is>
          <t>D1156</t>
        </is>
      </c>
      <c r="B1157" s="3" t="inlineStr">
        <is>
          <t>A0193</t>
        </is>
      </c>
      <c r="C1157" s="3" t="inlineStr">
        <is>
          <t>Pooja Mishra</t>
        </is>
      </c>
      <c r="D1157" s="3" t="inlineStr">
        <is>
          <t>Muzaffarpur</t>
        </is>
      </c>
      <c r="E1157" s="3" t="inlineStr">
        <is>
          <t>P. Yadav</t>
        </is>
      </c>
      <c r="F1157" s="3" t="inlineStr">
        <is>
          <t>Agri</t>
        </is>
      </c>
      <c r="G1157" s="4" t="n">
        <v>46208</v>
      </c>
      <c r="H1157" s="5" t="n">
        <v>3667</v>
      </c>
    </row>
    <row r="1158">
      <c r="A1158" s="3" t="inlineStr">
        <is>
          <t>D1157</t>
        </is>
      </c>
      <c r="B1158" s="3" t="inlineStr">
        <is>
          <t>A0193</t>
        </is>
      </c>
      <c r="C1158" s="3" t="inlineStr">
        <is>
          <t>Pooja Mishra</t>
        </is>
      </c>
      <c r="D1158" s="3" t="inlineStr">
        <is>
          <t>Muzaffarpur</t>
        </is>
      </c>
      <c r="E1158" s="3" t="inlineStr">
        <is>
          <t>P. Yadav</t>
        </is>
      </c>
      <c r="F1158" s="3" t="inlineStr">
        <is>
          <t>Agri</t>
        </is>
      </c>
      <c r="G1158" s="4" t="n">
        <v>46239</v>
      </c>
      <c r="H1158" s="5" t="n">
        <v>3667</v>
      </c>
    </row>
    <row r="1159">
      <c r="A1159" s="3" t="inlineStr">
        <is>
          <t>D1158</t>
        </is>
      </c>
      <c r="B1159" s="3" t="inlineStr">
        <is>
          <t>A0193</t>
        </is>
      </c>
      <c r="C1159" s="3" t="inlineStr">
        <is>
          <t>Pooja Mishra</t>
        </is>
      </c>
      <c r="D1159" s="3" t="inlineStr">
        <is>
          <t>Muzaffarpur</t>
        </is>
      </c>
      <c r="E1159" s="3" t="inlineStr">
        <is>
          <t>P. Yadav</t>
        </is>
      </c>
      <c r="F1159" s="3" t="inlineStr">
        <is>
          <t>Agri</t>
        </is>
      </c>
      <c r="G1159" s="4" t="n">
        <v>46270</v>
      </c>
      <c r="H1159" s="5" t="n">
        <v>3667</v>
      </c>
    </row>
    <row r="1160">
      <c r="A1160" s="3" t="inlineStr">
        <is>
          <t>D1159</t>
        </is>
      </c>
      <c r="B1160" s="3" t="inlineStr">
        <is>
          <t>A0194</t>
        </is>
      </c>
      <c r="C1160" s="3" t="inlineStr">
        <is>
          <t>Vikash Yadav</t>
        </is>
      </c>
      <c r="D1160" s="3" t="inlineStr">
        <is>
          <t>Gaya</t>
        </is>
      </c>
      <c r="E1160" s="3" t="inlineStr">
        <is>
          <t>M. Mandal</t>
        </is>
      </c>
      <c r="F1160" s="3" t="inlineStr">
        <is>
          <t>Housing</t>
        </is>
      </c>
      <c r="G1160" s="4" t="n">
        <v>46117</v>
      </c>
      <c r="H1160" s="5" t="n">
        <v>13333</v>
      </c>
    </row>
    <row r="1161">
      <c r="A1161" s="3" t="inlineStr">
        <is>
          <t>D1160</t>
        </is>
      </c>
      <c r="B1161" s="3" t="inlineStr">
        <is>
          <t>A0194</t>
        </is>
      </c>
      <c r="C1161" s="3" t="inlineStr">
        <is>
          <t>Vikash Yadav</t>
        </is>
      </c>
      <c r="D1161" s="3" t="inlineStr">
        <is>
          <t>Gaya</t>
        </is>
      </c>
      <c r="E1161" s="3" t="inlineStr">
        <is>
          <t>M. Mandal</t>
        </is>
      </c>
      <c r="F1161" s="3" t="inlineStr">
        <is>
          <t>Housing</t>
        </is>
      </c>
      <c r="G1161" s="4" t="n">
        <v>46147</v>
      </c>
      <c r="H1161" s="5" t="n">
        <v>13333</v>
      </c>
    </row>
    <row r="1162">
      <c r="A1162" s="3" t="inlineStr">
        <is>
          <t>D1161</t>
        </is>
      </c>
      <c r="B1162" s="3" t="inlineStr">
        <is>
          <t>A0194</t>
        </is>
      </c>
      <c r="C1162" s="3" t="inlineStr">
        <is>
          <t>Vikash Yadav</t>
        </is>
      </c>
      <c r="D1162" s="3" t="inlineStr">
        <is>
          <t>Gaya</t>
        </is>
      </c>
      <c r="E1162" s="3" t="inlineStr">
        <is>
          <t>M. Mandal</t>
        </is>
      </c>
      <c r="F1162" s="3" t="inlineStr">
        <is>
          <t>Housing</t>
        </is>
      </c>
      <c r="G1162" s="4" t="n">
        <v>46178</v>
      </c>
      <c r="H1162" s="5" t="n">
        <v>13333</v>
      </c>
    </row>
    <row r="1163">
      <c r="A1163" s="3" t="inlineStr">
        <is>
          <t>D1162</t>
        </is>
      </c>
      <c r="B1163" s="3" t="inlineStr">
        <is>
          <t>A0194</t>
        </is>
      </c>
      <c r="C1163" s="3" t="inlineStr">
        <is>
          <t>Vikash Yadav</t>
        </is>
      </c>
      <c r="D1163" s="3" t="inlineStr">
        <is>
          <t>Gaya</t>
        </is>
      </c>
      <c r="E1163" s="3" t="inlineStr">
        <is>
          <t>M. Mandal</t>
        </is>
      </c>
      <c r="F1163" s="3" t="inlineStr">
        <is>
          <t>Housing</t>
        </is>
      </c>
      <c r="G1163" s="4" t="n">
        <v>46208</v>
      </c>
      <c r="H1163" s="5" t="n">
        <v>13333</v>
      </c>
    </row>
    <row r="1164">
      <c r="A1164" s="3" t="inlineStr">
        <is>
          <t>D1163</t>
        </is>
      </c>
      <c r="B1164" s="3" t="inlineStr">
        <is>
          <t>A0194</t>
        </is>
      </c>
      <c r="C1164" s="3" t="inlineStr">
        <is>
          <t>Vikash Yadav</t>
        </is>
      </c>
      <c r="D1164" s="3" t="inlineStr">
        <is>
          <t>Gaya</t>
        </is>
      </c>
      <c r="E1164" s="3" t="inlineStr">
        <is>
          <t>M. Mandal</t>
        </is>
      </c>
      <c r="F1164" s="3" t="inlineStr">
        <is>
          <t>Housing</t>
        </is>
      </c>
      <c r="G1164" s="4" t="n">
        <v>46239</v>
      </c>
      <c r="H1164" s="5" t="n">
        <v>13333</v>
      </c>
    </row>
    <row r="1165">
      <c r="A1165" s="3" t="inlineStr">
        <is>
          <t>D1164</t>
        </is>
      </c>
      <c r="B1165" s="3" t="inlineStr">
        <is>
          <t>A0194</t>
        </is>
      </c>
      <c r="C1165" s="3" t="inlineStr">
        <is>
          <t>Vikash Yadav</t>
        </is>
      </c>
      <c r="D1165" s="3" t="inlineStr">
        <is>
          <t>Gaya</t>
        </is>
      </c>
      <c r="E1165" s="3" t="inlineStr">
        <is>
          <t>M. Mandal</t>
        </is>
      </c>
      <c r="F1165" s="3" t="inlineStr">
        <is>
          <t>Housing</t>
        </is>
      </c>
      <c r="G1165" s="4" t="n">
        <v>46270</v>
      </c>
      <c r="H1165" s="5" t="n">
        <v>13333</v>
      </c>
    </row>
    <row r="1166">
      <c r="A1166" s="3" t="inlineStr">
        <is>
          <t>D1165</t>
        </is>
      </c>
      <c r="B1166" s="3" t="inlineStr">
        <is>
          <t>A0195</t>
        </is>
      </c>
      <c r="C1166" s="3" t="inlineStr">
        <is>
          <t>Suresh Gupta</t>
        </is>
      </c>
      <c r="D1166" s="3" t="inlineStr">
        <is>
          <t>Bhagalpur</t>
        </is>
      </c>
      <c r="E1166" s="3" t="inlineStr">
        <is>
          <t>R. Singh</t>
        </is>
      </c>
      <c r="F1166" s="3" t="inlineStr">
        <is>
          <t>Trade</t>
        </is>
      </c>
      <c r="G1166" s="4" t="n">
        <v>46117</v>
      </c>
      <c r="H1166" s="5" t="n">
        <v>7667</v>
      </c>
    </row>
    <row r="1167">
      <c r="A1167" s="3" t="inlineStr">
        <is>
          <t>D1166</t>
        </is>
      </c>
      <c r="B1167" s="3" t="inlineStr">
        <is>
          <t>A0195</t>
        </is>
      </c>
      <c r="C1167" s="3" t="inlineStr">
        <is>
          <t>Suresh Gupta</t>
        </is>
      </c>
      <c r="D1167" s="3" t="inlineStr">
        <is>
          <t>Bhagalpur</t>
        </is>
      </c>
      <c r="E1167" s="3" t="inlineStr">
        <is>
          <t>R. Singh</t>
        </is>
      </c>
      <c r="F1167" s="3" t="inlineStr">
        <is>
          <t>Trade</t>
        </is>
      </c>
      <c r="G1167" s="4" t="n">
        <v>46147</v>
      </c>
      <c r="H1167" s="5" t="n">
        <v>7667</v>
      </c>
    </row>
    <row r="1168">
      <c r="A1168" s="3" t="inlineStr">
        <is>
          <t>D1167</t>
        </is>
      </c>
      <c r="B1168" s="3" t="inlineStr">
        <is>
          <t>A0195</t>
        </is>
      </c>
      <c r="C1168" s="3" t="inlineStr">
        <is>
          <t>Suresh Gupta</t>
        </is>
      </c>
      <c r="D1168" s="3" t="inlineStr">
        <is>
          <t>Bhagalpur</t>
        </is>
      </c>
      <c r="E1168" s="3" t="inlineStr">
        <is>
          <t>R. Singh</t>
        </is>
      </c>
      <c r="F1168" s="3" t="inlineStr">
        <is>
          <t>Trade</t>
        </is>
      </c>
      <c r="G1168" s="4" t="n">
        <v>46178</v>
      </c>
      <c r="H1168" s="5" t="n">
        <v>7667</v>
      </c>
    </row>
    <row r="1169">
      <c r="A1169" s="3" t="inlineStr">
        <is>
          <t>D1168</t>
        </is>
      </c>
      <c r="B1169" s="3" t="inlineStr">
        <is>
          <t>A0195</t>
        </is>
      </c>
      <c r="C1169" s="3" t="inlineStr">
        <is>
          <t>Suresh Gupta</t>
        </is>
      </c>
      <c r="D1169" s="3" t="inlineStr">
        <is>
          <t>Bhagalpur</t>
        </is>
      </c>
      <c r="E1169" s="3" t="inlineStr">
        <is>
          <t>R. Singh</t>
        </is>
      </c>
      <c r="F1169" s="3" t="inlineStr">
        <is>
          <t>Trade</t>
        </is>
      </c>
      <c r="G1169" s="4" t="n">
        <v>46208</v>
      </c>
      <c r="H1169" s="5" t="n">
        <v>7667</v>
      </c>
    </row>
    <row r="1170">
      <c r="A1170" s="3" t="inlineStr">
        <is>
          <t>D1169</t>
        </is>
      </c>
      <c r="B1170" s="3" t="inlineStr">
        <is>
          <t>A0195</t>
        </is>
      </c>
      <c r="C1170" s="3" t="inlineStr">
        <is>
          <t>Suresh Gupta</t>
        </is>
      </c>
      <c r="D1170" s="3" t="inlineStr">
        <is>
          <t>Bhagalpur</t>
        </is>
      </c>
      <c r="E1170" s="3" t="inlineStr">
        <is>
          <t>R. Singh</t>
        </is>
      </c>
      <c r="F1170" s="3" t="inlineStr">
        <is>
          <t>Trade</t>
        </is>
      </c>
      <c r="G1170" s="4" t="n">
        <v>46239</v>
      </c>
      <c r="H1170" s="5" t="n">
        <v>7667</v>
      </c>
    </row>
    <row r="1171">
      <c r="A1171" s="3" t="inlineStr">
        <is>
          <t>D1170</t>
        </is>
      </c>
      <c r="B1171" s="3" t="inlineStr">
        <is>
          <t>A0195</t>
        </is>
      </c>
      <c r="C1171" s="3" t="inlineStr">
        <is>
          <t>Suresh Gupta</t>
        </is>
      </c>
      <c r="D1171" s="3" t="inlineStr">
        <is>
          <t>Bhagalpur</t>
        </is>
      </c>
      <c r="E1171" s="3" t="inlineStr">
        <is>
          <t>R. Singh</t>
        </is>
      </c>
      <c r="F1171" s="3" t="inlineStr">
        <is>
          <t>Trade</t>
        </is>
      </c>
      <c r="G1171" s="4" t="n">
        <v>46270</v>
      </c>
      <c r="H1171" s="5" t="n">
        <v>7667</v>
      </c>
    </row>
    <row r="1172">
      <c r="A1172" s="3" t="inlineStr">
        <is>
          <t>D1171</t>
        </is>
      </c>
      <c r="B1172" s="3" t="inlineStr">
        <is>
          <t>A0196</t>
        </is>
      </c>
      <c r="C1172" s="3" t="inlineStr">
        <is>
          <t>Umesh Rai</t>
        </is>
      </c>
      <c r="D1172" s="3" t="inlineStr">
        <is>
          <t>Gaya</t>
        </is>
      </c>
      <c r="E1172" s="3" t="inlineStr">
        <is>
          <t>A. Verma</t>
        </is>
      </c>
      <c r="F1172" s="3" t="inlineStr">
        <is>
          <t>Personal</t>
        </is>
      </c>
      <c r="G1172" s="4" t="n">
        <v>46117</v>
      </c>
      <c r="H1172" s="5" t="n">
        <v>22500</v>
      </c>
    </row>
    <row r="1173">
      <c r="A1173" s="3" t="inlineStr">
        <is>
          <t>D1172</t>
        </is>
      </c>
      <c r="B1173" s="3" t="inlineStr">
        <is>
          <t>A0196</t>
        </is>
      </c>
      <c r="C1173" s="3" t="inlineStr">
        <is>
          <t>Umesh Rai</t>
        </is>
      </c>
      <c r="D1173" s="3" t="inlineStr">
        <is>
          <t>Gaya</t>
        </is>
      </c>
      <c r="E1173" s="3" t="inlineStr">
        <is>
          <t>A. Verma</t>
        </is>
      </c>
      <c r="F1173" s="3" t="inlineStr">
        <is>
          <t>Personal</t>
        </is>
      </c>
      <c r="G1173" s="4" t="n">
        <v>46147</v>
      </c>
      <c r="H1173" s="5" t="n">
        <v>22500</v>
      </c>
    </row>
    <row r="1174">
      <c r="A1174" s="3" t="inlineStr">
        <is>
          <t>D1173</t>
        </is>
      </c>
      <c r="B1174" s="3" t="inlineStr">
        <is>
          <t>A0196</t>
        </is>
      </c>
      <c r="C1174" s="3" t="inlineStr">
        <is>
          <t>Umesh Rai</t>
        </is>
      </c>
      <c r="D1174" s="3" t="inlineStr">
        <is>
          <t>Gaya</t>
        </is>
      </c>
      <c r="E1174" s="3" t="inlineStr">
        <is>
          <t>A. Verma</t>
        </is>
      </c>
      <c r="F1174" s="3" t="inlineStr">
        <is>
          <t>Personal</t>
        </is>
      </c>
      <c r="G1174" s="4" t="n">
        <v>46178</v>
      </c>
      <c r="H1174" s="5" t="n">
        <v>22500</v>
      </c>
    </row>
    <row r="1175">
      <c r="A1175" s="3" t="inlineStr">
        <is>
          <t>D1174</t>
        </is>
      </c>
      <c r="B1175" s="3" t="inlineStr">
        <is>
          <t>A0196</t>
        </is>
      </c>
      <c r="C1175" s="3" t="inlineStr">
        <is>
          <t>Umesh Rai</t>
        </is>
      </c>
      <c r="D1175" s="3" t="inlineStr">
        <is>
          <t>Gaya</t>
        </is>
      </c>
      <c r="E1175" s="3" t="inlineStr">
        <is>
          <t>A. Verma</t>
        </is>
      </c>
      <c r="F1175" s="3" t="inlineStr">
        <is>
          <t>Personal</t>
        </is>
      </c>
      <c r="G1175" s="4" t="n">
        <v>46208</v>
      </c>
      <c r="H1175" s="5" t="n">
        <v>22500</v>
      </c>
    </row>
    <row r="1176">
      <c r="A1176" s="3" t="inlineStr">
        <is>
          <t>D1175</t>
        </is>
      </c>
      <c r="B1176" s="3" t="inlineStr">
        <is>
          <t>A0196</t>
        </is>
      </c>
      <c r="C1176" s="3" t="inlineStr">
        <is>
          <t>Umesh Rai</t>
        </is>
      </c>
      <c r="D1176" s="3" t="inlineStr">
        <is>
          <t>Gaya</t>
        </is>
      </c>
      <c r="E1176" s="3" t="inlineStr">
        <is>
          <t>A. Verma</t>
        </is>
      </c>
      <c r="F1176" s="3" t="inlineStr">
        <is>
          <t>Personal</t>
        </is>
      </c>
      <c r="G1176" s="4" t="n">
        <v>46239</v>
      </c>
      <c r="H1176" s="5" t="n">
        <v>22500</v>
      </c>
    </row>
    <row r="1177">
      <c r="A1177" s="3" t="inlineStr">
        <is>
          <t>D1176</t>
        </is>
      </c>
      <c r="B1177" s="3" t="inlineStr">
        <is>
          <t>A0196</t>
        </is>
      </c>
      <c r="C1177" s="3" t="inlineStr">
        <is>
          <t>Umesh Rai</t>
        </is>
      </c>
      <c r="D1177" s="3" t="inlineStr">
        <is>
          <t>Gaya</t>
        </is>
      </c>
      <c r="E1177" s="3" t="inlineStr">
        <is>
          <t>A. Verma</t>
        </is>
      </c>
      <c r="F1177" s="3" t="inlineStr">
        <is>
          <t>Personal</t>
        </is>
      </c>
      <c r="G1177" s="4" t="n">
        <v>46270</v>
      </c>
      <c r="H1177" s="5" t="n">
        <v>22500</v>
      </c>
    </row>
    <row r="1178">
      <c r="A1178" s="3" t="inlineStr">
        <is>
          <t>D1177</t>
        </is>
      </c>
      <c r="B1178" s="3" t="inlineStr">
        <is>
          <t>A0197</t>
        </is>
      </c>
      <c r="C1178" s="3" t="inlineStr">
        <is>
          <t>Deepak Verma</t>
        </is>
      </c>
      <c r="D1178" s="3" t="inlineStr">
        <is>
          <t>Bhagalpur</t>
        </is>
      </c>
      <c r="E1178" s="3" t="inlineStr">
        <is>
          <t>A. Verma</t>
        </is>
      </c>
      <c r="F1178" s="3" t="inlineStr">
        <is>
          <t>Vehicle</t>
        </is>
      </c>
      <c r="G1178" s="4" t="n">
        <v>46117</v>
      </c>
      <c r="H1178" s="5" t="n">
        <v>31667</v>
      </c>
    </row>
    <row r="1179">
      <c r="A1179" s="3" t="inlineStr">
        <is>
          <t>D1178</t>
        </is>
      </c>
      <c r="B1179" s="3" t="inlineStr">
        <is>
          <t>A0197</t>
        </is>
      </c>
      <c r="C1179" s="3" t="inlineStr">
        <is>
          <t>Deepak Verma</t>
        </is>
      </c>
      <c r="D1179" s="3" t="inlineStr">
        <is>
          <t>Bhagalpur</t>
        </is>
      </c>
      <c r="E1179" s="3" t="inlineStr">
        <is>
          <t>A. Verma</t>
        </is>
      </c>
      <c r="F1179" s="3" t="inlineStr">
        <is>
          <t>Vehicle</t>
        </is>
      </c>
      <c r="G1179" s="4" t="n">
        <v>46147</v>
      </c>
      <c r="H1179" s="5" t="n">
        <v>31667</v>
      </c>
    </row>
    <row r="1180">
      <c r="A1180" s="3" t="inlineStr">
        <is>
          <t>D1179</t>
        </is>
      </c>
      <c r="B1180" s="3" t="inlineStr">
        <is>
          <t>A0197</t>
        </is>
      </c>
      <c r="C1180" s="3" t="inlineStr">
        <is>
          <t>Deepak Verma</t>
        </is>
      </c>
      <c r="D1180" s="3" t="inlineStr">
        <is>
          <t>Bhagalpur</t>
        </is>
      </c>
      <c r="E1180" s="3" t="inlineStr">
        <is>
          <t>A. Verma</t>
        </is>
      </c>
      <c r="F1180" s="3" t="inlineStr">
        <is>
          <t>Vehicle</t>
        </is>
      </c>
      <c r="G1180" s="4" t="n">
        <v>46178</v>
      </c>
      <c r="H1180" s="5" t="n">
        <v>31667</v>
      </c>
    </row>
    <row r="1181">
      <c r="A1181" s="3" t="inlineStr">
        <is>
          <t>D1180</t>
        </is>
      </c>
      <c r="B1181" s="3" t="inlineStr">
        <is>
          <t>A0197</t>
        </is>
      </c>
      <c r="C1181" s="3" t="inlineStr">
        <is>
          <t>Deepak Verma</t>
        </is>
      </c>
      <c r="D1181" s="3" t="inlineStr">
        <is>
          <t>Bhagalpur</t>
        </is>
      </c>
      <c r="E1181" s="3" t="inlineStr">
        <is>
          <t>A. Verma</t>
        </is>
      </c>
      <c r="F1181" s="3" t="inlineStr">
        <is>
          <t>Vehicle</t>
        </is>
      </c>
      <c r="G1181" s="4" t="n">
        <v>46208</v>
      </c>
      <c r="H1181" s="5" t="n">
        <v>31667</v>
      </c>
    </row>
    <row r="1182">
      <c r="A1182" s="3" t="inlineStr">
        <is>
          <t>D1181</t>
        </is>
      </c>
      <c r="B1182" s="3" t="inlineStr">
        <is>
          <t>A0197</t>
        </is>
      </c>
      <c r="C1182" s="3" t="inlineStr">
        <is>
          <t>Deepak Verma</t>
        </is>
      </c>
      <c r="D1182" s="3" t="inlineStr">
        <is>
          <t>Bhagalpur</t>
        </is>
      </c>
      <c r="E1182" s="3" t="inlineStr">
        <is>
          <t>A. Verma</t>
        </is>
      </c>
      <c r="F1182" s="3" t="inlineStr">
        <is>
          <t>Vehicle</t>
        </is>
      </c>
      <c r="G1182" s="4" t="n">
        <v>46239</v>
      </c>
      <c r="H1182" s="5" t="n">
        <v>31667</v>
      </c>
    </row>
    <row r="1183">
      <c r="A1183" s="3" t="inlineStr">
        <is>
          <t>D1182</t>
        </is>
      </c>
      <c r="B1183" s="3" t="inlineStr">
        <is>
          <t>A0197</t>
        </is>
      </c>
      <c r="C1183" s="3" t="inlineStr">
        <is>
          <t>Deepak Verma</t>
        </is>
      </c>
      <c r="D1183" s="3" t="inlineStr">
        <is>
          <t>Bhagalpur</t>
        </is>
      </c>
      <c r="E1183" s="3" t="inlineStr">
        <is>
          <t>A. Verma</t>
        </is>
      </c>
      <c r="F1183" s="3" t="inlineStr">
        <is>
          <t>Vehicle</t>
        </is>
      </c>
      <c r="G1183" s="4" t="n">
        <v>46270</v>
      </c>
      <c r="H1183" s="5" t="n">
        <v>31667</v>
      </c>
    </row>
    <row r="1184">
      <c r="A1184" s="3" t="inlineStr">
        <is>
          <t>D1183</t>
        </is>
      </c>
      <c r="B1184" s="3" t="inlineStr">
        <is>
          <t>A0198</t>
        </is>
      </c>
      <c r="C1184" s="3" t="inlineStr">
        <is>
          <t>Pooja Prasad</t>
        </is>
      </c>
      <c r="D1184" s="3" t="inlineStr">
        <is>
          <t>Gaya</t>
        </is>
      </c>
      <c r="E1184" s="3" t="inlineStr">
        <is>
          <t>K. Sharma</t>
        </is>
      </c>
      <c r="F1184" s="3" t="inlineStr">
        <is>
          <t>Trade</t>
        </is>
      </c>
      <c r="G1184" s="4" t="n">
        <v>46117</v>
      </c>
      <c r="H1184" s="5" t="n">
        <v>18667</v>
      </c>
    </row>
    <row r="1185">
      <c r="A1185" s="3" t="inlineStr">
        <is>
          <t>D1184</t>
        </is>
      </c>
      <c r="B1185" s="3" t="inlineStr">
        <is>
          <t>A0198</t>
        </is>
      </c>
      <c r="C1185" s="3" t="inlineStr">
        <is>
          <t>Pooja Prasad</t>
        </is>
      </c>
      <c r="D1185" s="3" t="inlineStr">
        <is>
          <t>Gaya</t>
        </is>
      </c>
      <c r="E1185" s="3" t="inlineStr">
        <is>
          <t>K. Sharma</t>
        </is>
      </c>
      <c r="F1185" s="3" t="inlineStr">
        <is>
          <t>Trade</t>
        </is>
      </c>
      <c r="G1185" s="4" t="n">
        <v>46147</v>
      </c>
      <c r="H1185" s="5" t="n">
        <v>18667</v>
      </c>
    </row>
    <row r="1186">
      <c r="A1186" s="3" t="inlineStr">
        <is>
          <t>D1185</t>
        </is>
      </c>
      <c r="B1186" s="3" t="inlineStr">
        <is>
          <t>A0198</t>
        </is>
      </c>
      <c r="C1186" s="3" t="inlineStr">
        <is>
          <t>Pooja Prasad</t>
        </is>
      </c>
      <c r="D1186" s="3" t="inlineStr">
        <is>
          <t>Gaya</t>
        </is>
      </c>
      <c r="E1186" s="3" t="inlineStr">
        <is>
          <t>K. Sharma</t>
        </is>
      </c>
      <c r="F1186" s="3" t="inlineStr">
        <is>
          <t>Trade</t>
        </is>
      </c>
      <c r="G1186" s="4" t="n">
        <v>46178</v>
      </c>
      <c r="H1186" s="5" t="n">
        <v>18667</v>
      </c>
    </row>
    <row r="1187">
      <c r="A1187" s="3" t="inlineStr">
        <is>
          <t>D1186</t>
        </is>
      </c>
      <c r="B1187" s="3" t="inlineStr">
        <is>
          <t>A0198</t>
        </is>
      </c>
      <c r="C1187" s="3" t="inlineStr">
        <is>
          <t>Pooja Prasad</t>
        </is>
      </c>
      <c r="D1187" s="3" t="inlineStr">
        <is>
          <t>Gaya</t>
        </is>
      </c>
      <c r="E1187" s="3" t="inlineStr">
        <is>
          <t>K. Sharma</t>
        </is>
      </c>
      <c r="F1187" s="3" t="inlineStr">
        <is>
          <t>Trade</t>
        </is>
      </c>
      <c r="G1187" s="4" t="n">
        <v>46208</v>
      </c>
      <c r="H1187" s="5" t="n">
        <v>18667</v>
      </c>
    </row>
    <row r="1188">
      <c r="A1188" s="3" t="inlineStr">
        <is>
          <t>D1187</t>
        </is>
      </c>
      <c r="B1188" s="3" t="inlineStr">
        <is>
          <t>A0198</t>
        </is>
      </c>
      <c r="C1188" s="3" t="inlineStr">
        <is>
          <t>Pooja Prasad</t>
        </is>
      </c>
      <c r="D1188" s="3" t="inlineStr">
        <is>
          <t>Gaya</t>
        </is>
      </c>
      <c r="E1188" s="3" t="inlineStr">
        <is>
          <t>K. Sharma</t>
        </is>
      </c>
      <c r="F1188" s="3" t="inlineStr">
        <is>
          <t>Trade</t>
        </is>
      </c>
      <c r="G1188" s="4" t="n">
        <v>46239</v>
      </c>
      <c r="H1188" s="5" t="n">
        <v>18667</v>
      </c>
    </row>
    <row r="1189">
      <c r="A1189" s="3" t="inlineStr">
        <is>
          <t>D1188</t>
        </is>
      </c>
      <c r="B1189" s="3" t="inlineStr">
        <is>
          <t>A0198</t>
        </is>
      </c>
      <c r="C1189" s="3" t="inlineStr">
        <is>
          <t>Pooja Prasad</t>
        </is>
      </c>
      <c r="D1189" s="3" t="inlineStr">
        <is>
          <t>Gaya</t>
        </is>
      </c>
      <c r="E1189" s="3" t="inlineStr">
        <is>
          <t>K. Sharma</t>
        </is>
      </c>
      <c r="F1189" s="3" t="inlineStr">
        <is>
          <t>Trade</t>
        </is>
      </c>
      <c r="G1189" s="4" t="n">
        <v>46270</v>
      </c>
      <c r="H1189" s="5" t="n">
        <v>18667</v>
      </c>
    </row>
    <row r="1190">
      <c r="A1190" s="3" t="inlineStr">
        <is>
          <t>D1189</t>
        </is>
      </c>
      <c r="B1190" s="3" t="inlineStr">
        <is>
          <t>A0199</t>
        </is>
      </c>
      <c r="C1190" s="3" t="inlineStr">
        <is>
          <t>Ravi Paswan</t>
        </is>
      </c>
      <c r="D1190" s="3" t="inlineStr">
        <is>
          <t>Muzaffarpur</t>
        </is>
      </c>
      <c r="E1190" s="3" t="inlineStr">
        <is>
          <t>R. Singh</t>
        </is>
      </c>
      <c r="F1190" s="3" t="inlineStr">
        <is>
          <t>Trade</t>
        </is>
      </c>
      <c r="G1190" s="4" t="n">
        <v>46117</v>
      </c>
      <c r="H1190" s="5" t="n">
        <v>24500</v>
      </c>
    </row>
    <row r="1191">
      <c r="A1191" s="3" t="inlineStr">
        <is>
          <t>D1190</t>
        </is>
      </c>
      <c r="B1191" s="3" t="inlineStr">
        <is>
          <t>A0199</t>
        </is>
      </c>
      <c r="C1191" s="3" t="inlineStr">
        <is>
          <t>Ravi Paswan</t>
        </is>
      </c>
      <c r="D1191" s="3" t="inlineStr">
        <is>
          <t>Muzaffarpur</t>
        </is>
      </c>
      <c r="E1191" s="3" t="inlineStr">
        <is>
          <t>R. Singh</t>
        </is>
      </c>
      <c r="F1191" s="3" t="inlineStr">
        <is>
          <t>Trade</t>
        </is>
      </c>
      <c r="G1191" s="4" t="n">
        <v>46147</v>
      </c>
      <c r="H1191" s="5" t="n">
        <v>24500</v>
      </c>
    </row>
    <row r="1192">
      <c r="A1192" s="3" t="inlineStr">
        <is>
          <t>D1191</t>
        </is>
      </c>
      <c r="B1192" s="3" t="inlineStr">
        <is>
          <t>A0199</t>
        </is>
      </c>
      <c r="C1192" s="3" t="inlineStr">
        <is>
          <t>Ravi Paswan</t>
        </is>
      </c>
      <c r="D1192" s="3" t="inlineStr">
        <is>
          <t>Muzaffarpur</t>
        </is>
      </c>
      <c r="E1192" s="3" t="inlineStr">
        <is>
          <t>R. Singh</t>
        </is>
      </c>
      <c r="F1192" s="3" t="inlineStr">
        <is>
          <t>Trade</t>
        </is>
      </c>
      <c r="G1192" s="4" t="n">
        <v>46178</v>
      </c>
      <c r="H1192" s="5" t="n">
        <v>24500</v>
      </c>
    </row>
    <row r="1193">
      <c r="A1193" s="3" t="inlineStr">
        <is>
          <t>D1192</t>
        </is>
      </c>
      <c r="B1193" s="3" t="inlineStr">
        <is>
          <t>A0199</t>
        </is>
      </c>
      <c r="C1193" s="3" t="inlineStr">
        <is>
          <t>Ravi Paswan</t>
        </is>
      </c>
      <c r="D1193" s="3" t="inlineStr">
        <is>
          <t>Muzaffarpur</t>
        </is>
      </c>
      <c r="E1193" s="3" t="inlineStr">
        <is>
          <t>R. Singh</t>
        </is>
      </c>
      <c r="F1193" s="3" t="inlineStr">
        <is>
          <t>Trade</t>
        </is>
      </c>
      <c r="G1193" s="4" t="n">
        <v>46208</v>
      </c>
      <c r="H1193" s="5" t="n">
        <v>24500</v>
      </c>
    </row>
    <row r="1194">
      <c r="A1194" s="3" t="inlineStr">
        <is>
          <t>D1193</t>
        </is>
      </c>
      <c r="B1194" s="3" t="inlineStr">
        <is>
          <t>A0199</t>
        </is>
      </c>
      <c r="C1194" s="3" t="inlineStr">
        <is>
          <t>Ravi Paswan</t>
        </is>
      </c>
      <c r="D1194" s="3" t="inlineStr">
        <is>
          <t>Muzaffarpur</t>
        </is>
      </c>
      <c r="E1194" s="3" t="inlineStr">
        <is>
          <t>R. Singh</t>
        </is>
      </c>
      <c r="F1194" s="3" t="inlineStr">
        <is>
          <t>Trade</t>
        </is>
      </c>
      <c r="G1194" s="4" t="n">
        <v>46239</v>
      </c>
      <c r="H1194" s="5" t="n">
        <v>24500</v>
      </c>
    </row>
    <row r="1195">
      <c r="A1195" s="3" t="inlineStr">
        <is>
          <t>D1194</t>
        </is>
      </c>
      <c r="B1195" s="3" t="inlineStr">
        <is>
          <t>A0199</t>
        </is>
      </c>
      <c r="C1195" s="3" t="inlineStr">
        <is>
          <t>Ravi Paswan</t>
        </is>
      </c>
      <c r="D1195" s="3" t="inlineStr">
        <is>
          <t>Muzaffarpur</t>
        </is>
      </c>
      <c r="E1195" s="3" t="inlineStr">
        <is>
          <t>R. Singh</t>
        </is>
      </c>
      <c r="F1195" s="3" t="inlineStr">
        <is>
          <t>Trade</t>
        </is>
      </c>
      <c r="G1195" s="4" t="n">
        <v>46270</v>
      </c>
      <c r="H1195" s="5" t="n">
        <v>24500</v>
      </c>
    </row>
    <row r="1196">
      <c r="A1196" s="3" t="inlineStr">
        <is>
          <t>D1195</t>
        </is>
      </c>
      <c r="B1196" s="3" t="inlineStr">
        <is>
          <t>A0200</t>
        </is>
      </c>
      <c r="C1196" s="3" t="inlineStr">
        <is>
          <t>Manoj Kumar</t>
        </is>
      </c>
      <c r="D1196" s="3" t="inlineStr">
        <is>
          <t>Patna</t>
        </is>
      </c>
      <c r="E1196" s="3" t="inlineStr">
        <is>
          <t>M. Mandal</t>
        </is>
      </c>
      <c r="F1196" s="3" t="inlineStr">
        <is>
          <t>Trade</t>
        </is>
      </c>
      <c r="G1196" s="4" t="n">
        <v>46117</v>
      </c>
      <c r="H1196" s="5" t="n">
        <v>13667</v>
      </c>
    </row>
    <row r="1197">
      <c r="A1197" s="3" t="inlineStr">
        <is>
          <t>D1196</t>
        </is>
      </c>
      <c r="B1197" s="3" t="inlineStr">
        <is>
          <t>A0200</t>
        </is>
      </c>
      <c r="C1197" s="3" t="inlineStr">
        <is>
          <t>Manoj Kumar</t>
        </is>
      </c>
      <c r="D1197" s="3" t="inlineStr">
        <is>
          <t>Patna</t>
        </is>
      </c>
      <c r="E1197" s="3" t="inlineStr">
        <is>
          <t>M. Mandal</t>
        </is>
      </c>
      <c r="F1197" s="3" t="inlineStr">
        <is>
          <t>Trade</t>
        </is>
      </c>
      <c r="G1197" s="4" t="n">
        <v>46147</v>
      </c>
      <c r="H1197" s="5" t="n">
        <v>13667</v>
      </c>
    </row>
    <row r="1198">
      <c r="A1198" s="3" t="inlineStr">
        <is>
          <t>D1197</t>
        </is>
      </c>
      <c r="B1198" s="3" t="inlineStr">
        <is>
          <t>A0200</t>
        </is>
      </c>
      <c r="C1198" s="3" t="inlineStr">
        <is>
          <t>Manoj Kumar</t>
        </is>
      </c>
      <c r="D1198" s="3" t="inlineStr">
        <is>
          <t>Patna</t>
        </is>
      </c>
      <c r="E1198" s="3" t="inlineStr">
        <is>
          <t>M. Mandal</t>
        </is>
      </c>
      <c r="F1198" s="3" t="inlineStr">
        <is>
          <t>Trade</t>
        </is>
      </c>
      <c r="G1198" s="4" t="n">
        <v>46178</v>
      </c>
      <c r="H1198" s="5" t="n">
        <v>13667</v>
      </c>
    </row>
    <row r="1199">
      <c r="A1199" s="3" t="inlineStr">
        <is>
          <t>D1198</t>
        </is>
      </c>
      <c r="B1199" s="3" t="inlineStr">
        <is>
          <t>A0200</t>
        </is>
      </c>
      <c r="C1199" s="3" t="inlineStr">
        <is>
          <t>Manoj Kumar</t>
        </is>
      </c>
      <c r="D1199" s="3" t="inlineStr">
        <is>
          <t>Patna</t>
        </is>
      </c>
      <c r="E1199" s="3" t="inlineStr">
        <is>
          <t>M. Mandal</t>
        </is>
      </c>
      <c r="F1199" s="3" t="inlineStr">
        <is>
          <t>Trade</t>
        </is>
      </c>
      <c r="G1199" s="4" t="n">
        <v>46208</v>
      </c>
      <c r="H1199" s="5" t="n">
        <v>13667</v>
      </c>
    </row>
    <row r="1200">
      <c r="A1200" s="3" t="inlineStr">
        <is>
          <t>D1199</t>
        </is>
      </c>
      <c r="B1200" s="3" t="inlineStr">
        <is>
          <t>A0200</t>
        </is>
      </c>
      <c r="C1200" s="3" t="inlineStr">
        <is>
          <t>Manoj Kumar</t>
        </is>
      </c>
      <c r="D1200" s="3" t="inlineStr">
        <is>
          <t>Patna</t>
        </is>
      </c>
      <c r="E1200" s="3" t="inlineStr">
        <is>
          <t>M. Mandal</t>
        </is>
      </c>
      <c r="F1200" s="3" t="inlineStr">
        <is>
          <t>Trade</t>
        </is>
      </c>
      <c r="G1200" s="4" t="n">
        <v>46239</v>
      </c>
      <c r="H1200" s="5" t="n">
        <v>13667</v>
      </c>
    </row>
    <row r="1201">
      <c r="A1201" s="3" t="inlineStr">
        <is>
          <t>D1200</t>
        </is>
      </c>
      <c r="B1201" s="3" t="inlineStr">
        <is>
          <t>A0200</t>
        </is>
      </c>
      <c r="C1201" s="3" t="inlineStr">
        <is>
          <t>Manoj Kumar</t>
        </is>
      </c>
      <c r="D1201" s="3" t="inlineStr">
        <is>
          <t>Patna</t>
        </is>
      </c>
      <c r="E1201" s="3" t="inlineStr">
        <is>
          <t>M. Mandal</t>
        </is>
      </c>
      <c r="F1201" s="3" t="inlineStr">
        <is>
          <t>Trade</t>
        </is>
      </c>
      <c r="G1201" s="4" t="n">
        <v>46270</v>
      </c>
      <c r="H1201" s="5" t="n">
        <v>13667</v>
      </c>
    </row>
  </sheetData>
  <autoFilter ref="A1:H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2" customWidth="1" min="4" max="4"/>
    <col width="11" customWidth="1" min="5" max="5"/>
    <col width="8" customWidth="1" min="6" max="6"/>
  </cols>
  <sheetData>
    <row r="1">
      <c r="A1" s="1" t="inlineStr">
        <is>
          <t>PaymentID</t>
        </is>
      </c>
      <c r="B1" s="1" t="inlineStr">
        <is>
          <t>DueID</t>
        </is>
      </c>
      <c r="C1" s="1" t="inlineStr">
        <is>
          <t>Account</t>
        </is>
      </c>
      <c r="D1" s="1" t="inlineStr">
        <is>
          <t>PayDate</t>
        </is>
      </c>
      <c r="E1" s="1" t="inlineStr">
        <is>
          <t>Amount</t>
        </is>
      </c>
      <c r="F1" s="1" t="inlineStr">
        <is>
          <t>Mode</t>
        </is>
      </c>
    </row>
    <row r="2">
      <c r="A2" s="3" t="inlineStr">
        <is>
          <t>P00001</t>
        </is>
      </c>
      <c r="B2" s="3" t="inlineStr">
        <is>
          <t>D0001</t>
        </is>
      </c>
      <c r="C2" s="3" t="inlineStr">
        <is>
          <t>A0001</t>
        </is>
      </c>
      <c r="D2" s="4" t="n">
        <v>46152</v>
      </c>
      <c r="E2" s="5" t="n">
        <v>5833</v>
      </c>
      <c r="F2" s="3" t="inlineStr">
        <is>
          <t>Cash</t>
        </is>
      </c>
    </row>
    <row r="3">
      <c r="A3" s="3" t="inlineStr">
        <is>
          <t>P00002</t>
        </is>
      </c>
      <c r="B3" s="3" t="inlineStr">
        <is>
          <t>D0002</t>
        </is>
      </c>
      <c r="C3" s="3" t="inlineStr">
        <is>
          <t>A0001</t>
        </is>
      </c>
      <c r="D3" s="4" t="n">
        <v>46159</v>
      </c>
      <c r="E3" s="5" t="n">
        <v>5833</v>
      </c>
      <c r="F3" s="3" t="inlineStr">
        <is>
          <t>Cash</t>
        </is>
      </c>
    </row>
    <row r="4">
      <c r="A4" s="3" t="inlineStr">
        <is>
          <t>P00003</t>
        </is>
      </c>
      <c r="B4" s="3" t="inlineStr">
        <is>
          <t>D0003</t>
        </is>
      </c>
      <c r="C4" s="3" t="inlineStr">
        <is>
          <t>A0001</t>
        </is>
      </c>
      <c r="D4" s="4" t="n">
        <v>46189</v>
      </c>
      <c r="E4" s="5" t="n">
        <v>5833</v>
      </c>
      <c r="F4" s="3" t="inlineStr">
        <is>
          <t>NEFT</t>
        </is>
      </c>
    </row>
    <row r="5">
      <c r="A5" s="3" t="inlineStr">
        <is>
          <t>P00004</t>
        </is>
      </c>
      <c r="B5" s="3" t="inlineStr">
        <is>
          <t>D0004</t>
        </is>
      </c>
      <c r="C5" s="3" t="inlineStr">
        <is>
          <t>A0001</t>
        </is>
      </c>
      <c r="D5" s="4" t="n">
        <v>46234</v>
      </c>
      <c r="E5" s="5" t="n">
        <v>5833</v>
      </c>
      <c r="F5" s="3" t="inlineStr">
        <is>
          <t>Cash</t>
        </is>
      </c>
    </row>
    <row r="6">
      <c r="A6" s="3" t="inlineStr">
        <is>
          <t>P00005</t>
        </is>
      </c>
      <c r="B6" s="3" t="inlineStr">
        <is>
          <t>D0005</t>
        </is>
      </c>
      <c r="C6" s="3" t="inlineStr">
        <is>
          <t>A0001</t>
        </is>
      </c>
      <c r="D6" s="4" t="n">
        <v>46251</v>
      </c>
      <c r="E6" s="5" t="n">
        <v>5833</v>
      </c>
      <c r="F6" s="3" t="inlineStr">
        <is>
          <t>Cash</t>
        </is>
      </c>
    </row>
    <row r="7">
      <c r="A7" s="3" t="inlineStr">
        <is>
          <t>P00006</t>
        </is>
      </c>
      <c r="B7" s="3" t="inlineStr">
        <is>
          <t>D0006</t>
        </is>
      </c>
      <c r="C7" s="3" t="inlineStr">
        <is>
          <t>A0001</t>
        </is>
      </c>
      <c r="D7" s="4" t="n">
        <v>46293</v>
      </c>
      <c r="E7" s="5" t="n">
        <v>5833</v>
      </c>
      <c r="F7" s="3" t="inlineStr">
        <is>
          <t>UPI</t>
        </is>
      </c>
    </row>
    <row r="8">
      <c r="A8" s="3" t="inlineStr">
        <is>
          <t>P00007</t>
        </is>
      </c>
      <c r="B8" s="3" t="inlineStr">
        <is>
          <t>D0007</t>
        </is>
      </c>
      <c r="C8" s="3" t="inlineStr">
        <is>
          <t>A0002</t>
        </is>
      </c>
      <c r="D8" s="4" t="n">
        <v>46114</v>
      </c>
      <c r="E8" s="5" t="n">
        <v>5333</v>
      </c>
      <c r="F8" s="3" t="inlineStr">
        <is>
          <t>NEFT</t>
        </is>
      </c>
    </row>
    <row r="9">
      <c r="A9" s="3" t="inlineStr">
        <is>
          <t>P00008</t>
        </is>
      </c>
      <c r="B9" s="3" t="inlineStr">
        <is>
          <t>D0008</t>
        </is>
      </c>
      <c r="C9" s="3" t="inlineStr">
        <is>
          <t>A0002</t>
        </is>
      </c>
      <c r="D9" s="4" t="n">
        <v>46147</v>
      </c>
      <c r="E9" s="5" t="n">
        <v>5333</v>
      </c>
      <c r="F9" s="3" t="inlineStr">
        <is>
          <t>Cash</t>
        </is>
      </c>
    </row>
    <row r="10">
      <c r="A10" s="3" t="inlineStr">
        <is>
          <t>P00009</t>
        </is>
      </c>
      <c r="B10" s="3" t="inlineStr">
        <is>
          <t>D0009</t>
        </is>
      </c>
      <c r="C10" s="3" t="inlineStr">
        <is>
          <t>A0002</t>
        </is>
      </c>
      <c r="D10" s="4" t="n">
        <v>46177</v>
      </c>
      <c r="E10" s="5" t="n">
        <v>5333</v>
      </c>
      <c r="F10" s="3" t="inlineStr">
        <is>
          <t>Cash</t>
        </is>
      </c>
    </row>
    <row r="11">
      <c r="A11" s="3" t="inlineStr">
        <is>
          <t>P00010</t>
        </is>
      </c>
      <c r="B11" s="3" t="inlineStr">
        <is>
          <t>D0010</t>
        </is>
      </c>
      <c r="C11" s="3" t="inlineStr">
        <is>
          <t>A0002</t>
        </is>
      </c>
      <c r="D11" s="4" t="n">
        <v>46211</v>
      </c>
      <c r="E11" s="5" t="n">
        <v>5333</v>
      </c>
      <c r="F11" s="3" t="inlineStr">
        <is>
          <t>Cash</t>
        </is>
      </c>
    </row>
    <row r="12">
      <c r="A12" s="3" t="inlineStr">
        <is>
          <t>P00011</t>
        </is>
      </c>
      <c r="B12" s="3" t="inlineStr">
        <is>
          <t>D0011</t>
        </is>
      </c>
      <c r="C12" s="3" t="inlineStr">
        <is>
          <t>A0002</t>
        </is>
      </c>
      <c r="D12" s="4" t="n">
        <v>46241</v>
      </c>
      <c r="E12" s="5" t="n">
        <v>5333</v>
      </c>
      <c r="F12" s="3" t="inlineStr">
        <is>
          <t>UPI</t>
        </is>
      </c>
    </row>
    <row r="13">
      <c r="A13" s="3" t="inlineStr">
        <is>
          <t>P00012</t>
        </is>
      </c>
      <c r="B13" s="3" t="inlineStr">
        <is>
          <t>D0012</t>
        </is>
      </c>
      <c r="C13" s="3" t="inlineStr">
        <is>
          <t>A0002</t>
        </is>
      </c>
      <c r="D13" s="4" t="n">
        <v>46269</v>
      </c>
      <c r="E13" s="5" t="n">
        <v>5333</v>
      </c>
      <c r="F13" s="3" t="inlineStr">
        <is>
          <t>Cash</t>
        </is>
      </c>
    </row>
    <row r="14">
      <c r="A14" s="3" t="inlineStr">
        <is>
          <t>P00013</t>
        </is>
      </c>
      <c r="B14" s="3" t="inlineStr">
        <is>
          <t>D0019</t>
        </is>
      </c>
      <c r="C14" s="3" t="inlineStr">
        <is>
          <t>A0004</t>
        </is>
      </c>
      <c r="D14" s="4" t="n">
        <v>46131</v>
      </c>
      <c r="E14" s="5" t="n">
        <v>27500</v>
      </c>
      <c r="F14" s="3" t="inlineStr">
        <is>
          <t>UPI</t>
        </is>
      </c>
    </row>
    <row r="15">
      <c r="A15" s="3" t="inlineStr">
        <is>
          <t>P00014</t>
        </is>
      </c>
      <c r="B15" s="3" t="inlineStr">
        <is>
          <t>D0020</t>
        </is>
      </c>
      <c r="C15" s="3" t="inlineStr">
        <is>
          <t>A0004</t>
        </is>
      </c>
      <c r="D15" s="4" t="n">
        <v>46186</v>
      </c>
      <c r="E15" s="5" t="n">
        <v>27500</v>
      </c>
      <c r="F15" s="3" t="inlineStr">
        <is>
          <t>UPI</t>
        </is>
      </c>
    </row>
    <row r="16">
      <c r="A16" s="3" t="inlineStr">
        <is>
          <t>P00015</t>
        </is>
      </c>
      <c r="B16" s="3" t="inlineStr">
        <is>
          <t>D0021</t>
        </is>
      </c>
      <c r="C16" s="3" t="inlineStr">
        <is>
          <t>A0004</t>
        </is>
      </c>
      <c r="D16" s="4" t="n">
        <v>46199</v>
      </c>
      <c r="E16" s="5" t="n">
        <v>27500</v>
      </c>
      <c r="F16" s="3" t="inlineStr">
        <is>
          <t>UPI</t>
        </is>
      </c>
    </row>
    <row r="17">
      <c r="A17" s="3" t="inlineStr">
        <is>
          <t>P00016</t>
        </is>
      </c>
      <c r="B17" s="3" t="inlineStr">
        <is>
          <t>D0022</t>
        </is>
      </c>
      <c r="C17" s="3" t="inlineStr">
        <is>
          <t>A0004</t>
        </is>
      </c>
      <c r="D17" s="4" t="n">
        <v>46224</v>
      </c>
      <c r="E17" s="5" t="n">
        <v>27500</v>
      </c>
      <c r="F17" s="3" t="inlineStr">
        <is>
          <t>UPI</t>
        </is>
      </c>
    </row>
    <row r="18">
      <c r="A18" s="3" t="inlineStr">
        <is>
          <t>P00017</t>
        </is>
      </c>
      <c r="B18" s="3" t="inlineStr">
        <is>
          <t>D0023</t>
        </is>
      </c>
      <c r="C18" s="3" t="inlineStr">
        <is>
          <t>A0004</t>
        </is>
      </c>
      <c r="D18" s="4" t="n">
        <v>46261</v>
      </c>
      <c r="E18" s="5" t="n">
        <v>27500</v>
      </c>
      <c r="F18" s="3" t="inlineStr">
        <is>
          <t>Cash</t>
        </is>
      </c>
    </row>
    <row r="19">
      <c r="A19" s="3" t="inlineStr">
        <is>
          <t>P00018</t>
        </is>
      </c>
      <c r="B19" s="3" t="inlineStr">
        <is>
          <t>D0024</t>
        </is>
      </c>
      <c r="C19" s="3" t="inlineStr">
        <is>
          <t>A0004</t>
        </is>
      </c>
      <c r="D19" s="4" t="n">
        <v>46280</v>
      </c>
      <c r="E19" s="5" t="n">
        <v>27500</v>
      </c>
      <c r="F19" s="3" t="inlineStr">
        <is>
          <t>UPI</t>
        </is>
      </c>
    </row>
    <row r="20">
      <c r="A20" s="3" t="inlineStr">
        <is>
          <t>P00019</t>
        </is>
      </c>
      <c r="B20" s="3" t="inlineStr">
        <is>
          <t>D0025</t>
        </is>
      </c>
      <c r="C20" s="3" t="inlineStr">
        <is>
          <t>A0005</t>
        </is>
      </c>
      <c r="D20" s="4" t="n">
        <v>46139</v>
      </c>
      <c r="E20" s="5" t="n">
        <v>8833</v>
      </c>
      <c r="F20" s="3" t="inlineStr">
        <is>
          <t>Cash</t>
        </is>
      </c>
    </row>
    <row r="21">
      <c r="A21" s="3" t="inlineStr">
        <is>
          <t>P00020</t>
        </is>
      </c>
      <c r="B21" s="3" t="inlineStr">
        <is>
          <t>D0026</t>
        </is>
      </c>
      <c r="C21" s="3" t="inlineStr">
        <is>
          <t>A0005</t>
        </is>
      </c>
      <c r="D21" s="4" t="n">
        <v>46163</v>
      </c>
      <c r="E21" s="5" t="n">
        <v>8833</v>
      </c>
      <c r="F21" s="3" t="inlineStr">
        <is>
          <t>Cash</t>
        </is>
      </c>
    </row>
    <row r="22">
      <c r="A22" s="3" t="inlineStr">
        <is>
          <t>P00021</t>
        </is>
      </c>
      <c r="B22" s="3" t="inlineStr">
        <is>
          <t>D0027</t>
        </is>
      </c>
      <c r="C22" s="3" t="inlineStr">
        <is>
          <t>A0005</t>
        </is>
      </c>
      <c r="D22" s="4" t="n">
        <v>46197</v>
      </c>
      <c r="E22" s="5" t="n">
        <v>8833</v>
      </c>
      <c r="F22" s="3" t="inlineStr">
        <is>
          <t>Cash</t>
        </is>
      </c>
    </row>
    <row r="23">
      <c r="A23" s="3" t="inlineStr">
        <is>
          <t>P00022</t>
        </is>
      </c>
      <c r="B23" s="3" t="inlineStr">
        <is>
          <t>D0028</t>
        </is>
      </c>
      <c r="C23" s="3" t="inlineStr">
        <is>
          <t>A0005</t>
        </is>
      </c>
      <c r="D23" s="4" t="n">
        <v>46229</v>
      </c>
      <c r="E23" s="5" t="n">
        <v>8833</v>
      </c>
      <c r="F23" s="3" t="inlineStr">
        <is>
          <t>Cash</t>
        </is>
      </c>
    </row>
    <row r="24">
      <c r="A24" s="3" t="inlineStr">
        <is>
          <t>P00023</t>
        </is>
      </c>
      <c r="B24" s="3" t="inlineStr">
        <is>
          <t>D0029</t>
        </is>
      </c>
      <c r="C24" s="3" t="inlineStr">
        <is>
          <t>A0005</t>
        </is>
      </c>
      <c r="D24" s="4" t="n">
        <v>46262</v>
      </c>
      <c r="E24" s="5" t="n">
        <v>8833</v>
      </c>
      <c r="F24" s="3" t="inlineStr">
        <is>
          <t>Cash</t>
        </is>
      </c>
    </row>
    <row r="25">
      <c r="A25" s="3" t="inlineStr">
        <is>
          <t>P00024</t>
        </is>
      </c>
      <c r="B25" s="3" t="inlineStr">
        <is>
          <t>D0030</t>
        </is>
      </c>
      <c r="C25" s="3" t="inlineStr">
        <is>
          <t>A0005</t>
        </is>
      </c>
      <c r="D25" s="4" t="n">
        <v>46306</v>
      </c>
      <c r="E25" s="5" t="n">
        <v>8833</v>
      </c>
      <c r="F25" s="3" t="inlineStr">
        <is>
          <t>Cash</t>
        </is>
      </c>
    </row>
    <row r="26">
      <c r="A26" s="3" t="inlineStr">
        <is>
          <t>P00025</t>
        </is>
      </c>
      <c r="B26" s="3" t="inlineStr">
        <is>
          <t>D0031</t>
        </is>
      </c>
      <c r="C26" s="3" t="inlineStr">
        <is>
          <t>A0006</t>
        </is>
      </c>
      <c r="D26" s="4" t="n">
        <v>46120</v>
      </c>
      <c r="E26" s="5" t="n">
        <v>11667</v>
      </c>
      <c r="F26" s="3" t="inlineStr">
        <is>
          <t>UPI</t>
        </is>
      </c>
    </row>
    <row r="27">
      <c r="A27" s="3" t="inlineStr">
        <is>
          <t>P00026</t>
        </is>
      </c>
      <c r="B27" s="3" t="inlineStr">
        <is>
          <t>D0032</t>
        </is>
      </c>
      <c r="C27" s="3" t="inlineStr">
        <is>
          <t>A0006</t>
        </is>
      </c>
      <c r="D27" s="4" t="n">
        <v>46148</v>
      </c>
      <c r="E27" s="5" t="n">
        <v>11667</v>
      </c>
      <c r="F27" s="3" t="inlineStr">
        <is>
          <t>Cash</t>
        </is>
      </c>
    </row>
    <row r="28">
      <c r="A28" s="3" t="inlineStr">
        <is>
          <t>P00027</t>
        </is>
      </c>
      <c r="B28" s="3" t="inlineStr">
        <is>
          <t>D0033</t>
        </is>
      </c>
      <c r="C28" s="3" t="inlineStr">
        <is>
          <t>A0006</t>
        </is>
      </c>
      <c r="D28" s="4" t="n">
        <v>46181</v>
      </c>
      <c r="E28" s="5" t="n">
        <v>11667</v>
      </c>
      <c r="F28" s="3" t="inlineStr">
        <is>
          <t>NEFT</t>
        </is>
      </c>
    </row>
    <row r="29">
      <c r="A29" s="3" t="inlineStr">
        <is>
          <t>P00028</t>
        </is>
      </c>
      <c r="B29" s="3" t="inlineStr">
        <is>
          <t>D0034</t>
        </is>
      </c>
      <c r="C29" s="3" t="inlineStr">
        <is>
          <t>A0006</t>
        </is>
      </c>
      <c r="D29" s="4" t="n">
        <v>46206</v>
      </c>
      <c r="E29" s="5" t="n">
        <v>11667</v>
      </c>
      <c r="F29" s="3" t="inlineStr">
        <is>
          <t>UPI</t>
        </is>
      </c>
    </row>
    <row r="30">
      <c r="A30" s="3" t="inlineStr">
        <is>
          <t>P00029</t>
        </is>
      </c>
      <c r="B30" s="3" t="inlineStr">
        <is>
          <t>D0035</t>
        </is>
      </c>
      <c r="C30" s="3" t="inlineStr">
        <is>
          <t>A0006</t>
        </is>
      </c>
      <c r="D30" s="4" t="n">
        <v>46236</v>
      </c>
      <c r="E30" s="5" t="n">
        <v>11667</v>
      </c>
      <c r="F30" s="3" t="inlineStr">
        <is>
          <t>Cash</t>
        </is>
      </c>
    </row>
    <row r="31">
      <c r="A31" s="3" t="inlineStr">
        <is>
          <t>P00030</t>
        </is>
      </c>
      <c r="B31" s="3" t="inlineStr">
        <is>
          <t>D0036</t>
        </is>
      </c>
      <c r="C31" s="3" t="inlineStr">
        <is>
          <t>A0006</t>
        </is>
      </c>
      <c r="D31" s="4" t="n">
        <v>46270</v>
      </c>
      <c r="E31" s="5" t="n">
        <v>11667</v>
      </c>
      <c r="F31" s="3" t="inlineStr">
        <is>
          <t>UPI</t>
        </is>
      </c>
    </row>
    <row r="32">
      <c r="A32" s="3" t="inlineStr">
        <is>
          <t>P00031</t>
        </is>
      </c>
      <c r="B32" s="3" t="inlineStr">
        <is>
          <t>D0037</t>
        </is>
      </c>
      <c r="C32" s="3" t="inlineStr">
        <is>
          <t>A0007</t>
        </is>
      </c>
      <c r="D32" s="4" t="n">
        <v>46135</v>
      </c>
      <c r="E32" s="5" t="n">
        <v>33167</v>
      </c>
      <c r="F32" s="3" t="inlineStr">
        <is>
          <t>NEFT</t>
        </is>
      </c>
    </row>
    <row r="33">
      <c r="A33" s="3" t="inlineStr">
        <is>
          <t>P00032</t>
        </is>
      </c>
      <c r="B33" s="3" t="inlineStr">
        <is>
          <t>D0038</t>
        </is>
      </c>
      <c r="C33" s="3" t="inlineStr">
        <is>
          <t>A0007</t>
        </is>
      </c>
      <c r="D33" s="4" t="n">
        <v>46178</v>
      </c>
      <c r="E33" s="5" t="n">
        <v>33167</v>
      </c>
      <c r="F33" s="3" t="inlineStr">
        <is>
          <t>Cash</t>
        </is>
      </c>
    </row>
    <row r="34">
      <c r="A34" s="3" t="inlineStr">
        <is>
          <t>P00033</t>
        </is>
      </c>
      <c r="B34" s="3" t="inlineStr">
        <is>
          <t>D0039</t>
        </is>
      </c>
      <c r="C34" s="3" t="inlineStr">
        <is>
          <t>A0007</t>
        </is>
      </c>
      <c r="D34" s="4" t="n">
        <v>46209</v>
      </c>
      <c r="E34" s="5" t="n">
        <v>33167</v>
      </c>
      <c r="F34" s="3" t="inlineStr">
        <is>
          <t>Cash</t>
        </is>
      </c>
    </row>
    <row r="35">
      <c r="A35" s="3" t="inlineStr">
        <is>
          <t>P00034</t>
        </is>
      </c>
      <c r="B35" s="3" t="inlineStr">
        <is>
          <t>D0040</t>
        </is>
      </c>
      <c r="C35" s="3" t="inlineStr">
        <is>
          <t>A0007</t>
        </is>
      </c>
      <c r="D35" s="4" t="n">
        <v>46235</v>
      </c>
      <c r="E35" s="5" t="n">
        <v>33167</v>
      </c>
      <c r="F35" s="3" t="inlineStr">
        <is>
          <t>Cash</t>
        </is>
      </c>
    </row>
    <row r="36">
      <c r="A36" s="3" t="inlineStr">
        <is>
          <t>P00035</t>
        </is>
      </c>
      <c r="B36" s="3" t="inlineStr">
        <is>
          <t>D0041</t>
        </is>
      </c>
      <c r="C36" s="3" t="inlineStr">
        <is>
          <t>A0007</t>
        </is>
      </c>
      <c r="D36" s="4" t="n">
        <v>46261</v>
      </c>
      <c r="E36" s="5" t="n">
        <v>33167</v>
      </c>
      <c r="F36" s="3" t="inlineStr">
        <is>
          <t>Cash</t>
        </is>
      </c>
    </row>
    <row r="37">
      <c r="A37" s="3" t="inlineStr">
        <is>
          <t>P00036</t>
        </is>
      </c>
      <c r="B37" s="3" t="inlineStr">
        <is>
          <t>D0042</t>
        </is>
      </c>
      <c r="C37" s="3" t="inlineStr">
        <is>
          <t>A0007</t>
        </is>
      </c>
      <c r="D37" s="4" t="n">
        <v>46290</v>
      </c>
      <c r="E37" s="5" t="n">
        <v>33167</v>
      </c>
      <c r="F37" s="3" t="inlineStr">
        <is>
          <t>Cash</t>
        </is>
      </c>
    </row>
    <row r="38">
      <c r="A38" s="3" t="inlineStr">
        <is>
          <t>P00037</t>
        </is>
      </c>
      <c r="B38" s="3" t="inlineStr">
        <is>
          <t>D0043</t>
        </is>
      </c>
      <c r="C38" s="3" t="inlineStr">
        <is>
          <t>A0008</t>
        </is>
      </c>
      <c r="D38" s="4" t="n">
        <v>46114</v>
      </c>
      <c r="E38" s="5" t="n">
        <v>24000</v>
      </c>
      <c r="F38" s="3" t="inlineStr">
        <is>
          <t>Cash</t>
        </is>
      </c>
    </row>
    <row r="39">
      <c r="A39" s="3" t="inlineStr">
        <is>
          <t>P00038</t>
        </is>
      </c>
      <c r="B39" s="3" t="inlineStr">
        <is>
          <t>D0044</t>
        </is>
      </c>
      <c r="C39" s="3" t="inlineStr">
        <is>
          <t>A0008</t>
        </is>
      </c>
      <c r="D39" s="4" t="n">
        <v>46148</v>
      </c>
      <c r="E39" s="5" t="n">
        <v>24000</v>
      </c>
      <c r="F39" s="3" t="inlineStr">
        <is>
          <t>Cash</t>
        </is>
      </c>
    </row>
    <row r="40">
      <c r="A40" s="3" t="inlineStr">
        <is>
          <t>P00039</t>
        </is>
      </c>
      <c r="B40" s="3" t="inlineStr">
        <is>
          <t>D0045</t>
        </is>
      </c>
      <c r="C40" s="3" t="inlineStr">
        <is>
          <t>A0008</t>
        </is>
      </c>
      <c r="D40" s="4" t="n">
        <v>46179</v>
      </c>
      <c r="E40" s="5" t="n">
        <v>24000</v>
      </c>
      <c r="F40" s="3" t="inlineStr">
        <is>
          <t>Cash</t>
        </is>
      </c>
    </row>
    <row r="41">
      <c r="A41" s="3" t="inlineStr">
        <is>
          <t>P00040</t>
        </is>
      </c>
      <c r="B41" s="3" t="inlineStr">
        <is>
          <t>D0046</t>
        </is>
      </c>
      <c r="C41" s="3" t="inlineStr">
        <is>
          <t>A0008</t>
        </is>
      </c>
      <c r="D41" s="4" t="n">
        <v>46205</v>
      </c>
      <c r="E41" s="5" t="n">
        <v>24000</v>
      </c>
      <c r="F41" s="3" t="inlineStr">
        <is>
          <t>Cash</t>
        </is>
      </c>
    </row>
    <row r="42">
      <c r="A42" s="3" t="inlineStr">
        <is>
          <t>P00041</t>
        </is>
      </c>
      <c r="B42" s="3" t="inlineStr">
        <is>
          <t>D0047</t>
        </is>
      </c>
      <c r="C42" s="3" t="inlineStr">
        <is>
          <t>A0008</t>
        </is>
      </c>
      <c r="D42" s="4" t="n">
        <v>46239</v>
      </c>
      <c r="E42" s="5" t="n">
        <v>24000</v>
      </c>
      <c r="F42" s="3" t="inlineStr">
        <is>
          <t>Cash</t>
        </is>
      </c>
    </row>
    <row r="43">
      <c r="A43" s="3" t="inlineStr">
        <is>
          <t>P00042</t>
        </is>
      </c>
      <c r="B43" s="3" t="inlineStr">
        <is>
          <t>D0048</t>
        </is>
      </c>
      <c r="C43" s="3" t="inlineStr">
        <is>
          <t>A0008</t>
        </is>
      </c>
      <c r="D43" s="4" t="n">
        <v>46271</v>
      </c>
      <c r="E43" s="5" t="n">
        <v>24000</v>
      </c>
      <c r="F43" s="3" t="inlineStr">
        <is>
          <t>UPI</t>
        </is>
      </c>
    </row>
    <row r="44">
      <c r="A44" s="3" t="inlineStr">
        <is>
          <t>P00043</t>
        </is>
      </c>
      <c r="B44" s="3" t="inlineStr">
        <is>
          <t>D0049</t>
        </is>
      </c>
      <c r="C44" s="3" t="inlineStr">
        <is>
          <t>A0009</t>
        </is>
      </c>
      <c r="D44" s="4" t="n">
        <v>46122</v>
      </c>
      <c r="E44" s="5" t="n">
        <v>19833</v>
      </c>
      <c r="F44" s="3" t="inlineStr">
        <is>
          <t>UPI</t>
        </is>
      </c>
    </row>
    <row r="45">
      <c r="A45" s="3" t="inlineStr">
        <is>
          <t>P00044</t>
        </is>
      </c>
      <c r="B45" s="3" t="inlineStr">
        <is>
          <t>D0050</t>
        </is>
      </c>
      <c r="C45" s="3" t="inlineStr">
        <is>
          <t>A0009</t>
        </is>
      </c>
      <c r="D45" s="4" t="n">
        <v>46200</v>
      </c>
      <c r="E45" s="5" t="n">
        <v>19833</v>
      </c>
      <c r="F45" s="3" t="inlineStr">
        <is>
          <t>Cash</t>
        </is>
      </c>
    </row>
    <row r="46">
      <c r="A46" s="3" t="inlineStr">
        <is>
          <t>P00045</t>
        </is>
      </c>
      <c r="B46" s="3" t="inlineStr">
        <is>
          <t>D0051</t>
        </is>
      </c>
      <c r="C46" s="3" t="inlineStr">
        <is>
          <t>A0009</t>
        </is>
      </c>
      <c r="D46" s="4" t="n">
        <v>46187</v>
      </c>
      <c r="E46" s="5" t="n">
        <v>13091</v>
      </c>
      <c r="F46" s="3" t="inlineStr">
        <is>
          <t>Cash</t>
        </is>
      </c>
    </row>
    <row r="47">
      <c r="A47" s="3" t="inlineStr">
        <is>
          <t>P00046</t>
        </is>
      </c>
      <c r="B47" s="3" t="inlineStr">
        <is>
          <t>D0051</t>
        </is>
      </c>
      <c r="C47" s="3" t="inlineStr">
        <is>
          <t>A0009</t>
        </is>
      </c>
      <c r="D47" s="4" t="n">
        <v>46205</v>
      </c>
      <c r="E47" s="5" t="n">
        <v>6742</v>
      </c>
      <c r="F47" s="3" t="inlineStr">
        <is>
          <t>UPI</t>
        </is>
      </c>
    </row>
    <row r="48">
      <c r="A48" s="3" t="inlineStr">
        <is>
          <t>P00047</t>
        </is>
      </c>
      <c r="B48" s="3" t="inlineStr">
        <is>
          <t>D0052</t>
        </is>
      </c>
      <c r="C48" s="3" t="inlineStr">
        <is>
          <t>A0009</t>
        </is>
      </c>
      <c r="D48" s="4" t="n">
        <v>46213</v>
      </c>
      <c r="E48" s="5" t="n">
        <v>19833</v>
      </c>
      <c r="F48" s="3" t="inlineStr">
        <is>
          <t>NEFT</t>
        </is>
      </c>
    </row>
    <row r="49">
      <c r="A49" s="3" t="inlineStr">
        <is>
          <t>P00048</t>
        </is>
      </c>
      <c r="B49" s="3" t="inlineStr">
        <is>
          <t>D0053</t>
        </is>
      </c>
      <c r="C49" s="3" t="inlineStr">
        <is>
          <t>A0009</t>
        </is>
      </c>
      <c r="D49" s="4" t="n">
        <v>46287</v>
      </c>
      <c r="E49" s="5" t="n">
        <v>19833</v>
      </c>
      <c r="F49" s="3" t="inlineStr">
        <is>
          <t>UPI</t>
        </is>
      </c>
    </row>
    <row r="50">
      <c r="A50" s="3" t="inlineStr">
        <is>
          <t>P00049</t>
        </is>
      </c>
      <c r="B50" s="3" t="inlineStr">
        <is>
          <t>D0054</t>
        </is>
      </c>
      <c r="C50" s="3" t="inlineStr">
        <is>
          <t>A0009</t>
        </is>
      </c>
      <c r="D50" s="4" t="n">
        <v>46286</v>
      </c>
      <c r="E50" s="5" t="n">
        <v>13397</v>
      </c>
      <c r="F50" s="3" t="inlineStr">
        <is>
          <t>Cash</t>
        </is>
      </c>
    </row>
    <row r="51">
      <c r="A51" s="3" t="inlineStr">
        <is>
          <t>P00050</t>
        </is>
      </c>
      <c r="B51" s="3" t="inlineStr">
        <is>
          <t>D0055</t>
        </is>
      </c>
      <c r="C51" s="3" t="inlineStr">
        <is>
          <t>A0010</t>
        </is>
      </c>
      <c r="D51" s="4" t="n">
        <v>46119</v>
      </c>
      <c r="E51" s="5" t="n">
        <v>9667</v>
      </c>
      <c r="F51" s="3" t="inlineStr">
        <is>
          <t>Cash</t>
        </is>
      </c>
    </row>
    <row r="52">
      <c r="A52" s="3" t="inlineStr">
        <is>
          <t>P00051</t>
        </is>
      </c>
      <c r="B52" s="3" t="inlineStr">
        <is>
          <t>D0056</t>
        </is>
      </c>
      <c r="C52" s="3" t="inlineStr">
        <is>
          <t>A0010</t>
        </is>
      </c>
      <c r="D52" s="4" t="n">
        <v>46145</v>
      </c>
      <c r="E52" s="5" t="n">
        <v>9667</v>
      </c>
      <c r="F52" s="3" t="inlineStr">
        <is>
          <t>NEFT</t>
        </is>
      </c>
    </row>
    <row r="53">
      <c r="A53" s="3" t="inlineStr">
        <is>
          <t>P00052</t>
        </is>
      </c>
      <c r="B53" s="3" t="inlineStr">
        <is>
          <t>D0057</t>
        </is>
      </c>
      <c r="C53" s="3" t="inlineStr">
        <is>
          <t>A0010</t>
        </is>
      </c>
      <c r="D53" s="4" t="n">
        <v>46180</v>
      </c>
      <c r="E53" s="5" t="n">
        <v>9667</v>
      </c>
      <c r="F53" s="3" t="inlineStr">
        <is>
          <t>Cash</t>
        </is>
      </c>
    </row>
    <row r="54">
      <c r="A54" s="3" t="inlineStr">
        <is>
          <t>P00053</t>
        </is>
      </c>
      <c r="B54" s="3" t="inlineStr">
        <is>
          <t>D0058</t>
        </is>
      </c>
      <c r="C54" s="3" t="inlineStr">
        <is>
          <t>A0010</t>
        </is>
      </c>
      <c r="D54" s="4" t="n">
        <v>46211</v>
      </c>
      <c r="E54" s="5" t="n">
        <v>9667</v>
      </c>
      <c r="F54" s="3" t="inlineStr">
        <is>
          <t>NEFT</t>
        </is>
      </c>
    </row>
    <row r="55">
      <c r="A55" s="3" t="inlineStr">
        <is>
          <t>P00054</t>
        </is>
      </c>
      <c r="B55" s="3" t="inlineStr">
        <is>
          <t>D0059</t>
        </is>
      </c>
      <c r="C55" s="3" t="inlineStr">
        <is>
          <t>A0010</t>
        </is>
      </c>
      <c r="D55" s="4" t="n">
        <v>46236</v>
      </c>
      <c r="E55" s="5" t="n">
        <v>9667</v>
      </c>
      <c r="F55" s="3" t="inlineStr">
        <is>
          <t>Cash</t>
        </is>
      </c>
    </row>
    <row r="56">
      <c r="A56" s="3" t="inlineStr">
        <is>
          <t>P00055</t>
        </is>
      </c>
      <c r="B56" s="3" t="inlineStr">
        <is>
          <t>D0060</t>
        </is>
      </c>
      <c r="C56" s="3" t="inlineStr">
        <is>
          <t>A0010</t>
        </is>
      </c>
      <c r="D56" s="4" t="n">
        <v>46272</v>
      </c>
      <c r="E56" s="5" t="n">
        <v>9667</v>
      </c>
      <c r="F56" s="3" t="inlineStr">
        <is>
          <t>Cash</t>
        </is>
      </c>
    </row>
    <row r="57">
      <c r="A57" s="3" t="inlineStr">
        <is>
          <t>P00056</t>
        </is>
      </c>
      <c r="B57" s="3" t="inlineStr">
        <is>
          <t>D0061</t>
        </is>
      </c>
      <c r="C57" s="3" t="inlineStr">
        <is>
          <t>A0011</t>
        </is>
      </c>
      <c r="D57" s="4" t="n">
        <v>46138</v>
      </c>
      <c r="E57" s="5" t="n">
        <v>15000</v>
      </c>
      <c r="F57" s="3" t="inlineStr">
        <is>
          <t>Cash</t>
        </is>
      </c>
    </row>
    <row r="58">
      <c r="A58" s="3" t="inlineStr">
        <is>
          <t>P00057</t>
        </is>
      </c>
      <c r="B58" s="3" t="inlineStr">
        <is>
          <t>D0062</t>
        </is>
      </c>
      <c r="C58" s="3" t="inlineStr">
        <is>
          <t>A0011</t>
        </is>
      </c>
      <c r="D58" s="4" t="n">
        <v>46158</v>
      </c>
      <c r="E58" s="5" t="n">
        <v>15000</v>
      </c>
      <c r="F58" s="3" t="inlineStr">
        <is>
          <t>Cash</t>
        </is>
      </c>
    </row>
    <row r="59">
      <c r="A59" s="3" t="inlineStr">
        <is>
          <t>P00058</t>
        </is>
      </c>
      <c r="B59" s="3" t="inlineStr">
        <is>
          <t>D0063</t>
        </is>
      </c>
      <c r="C59" s="3" t="inlineStr">
        <is>
          <t>A0011</t>
        </is>
      </c>
      <c r="D59" s="4" t="n">
        <v>46198</v>
      </c>
      <c r="E59" s="5" t="n">
        <v>15000</v>
      </c>
      <c r="F59" s="3" t="inlineStr">
        <is>
          <t>UPI</t>
        </is>
      </c>
    </row>
    <row r="60">
      <c r="A60" s="3" t="inlineStr">
        <is>
          <t>P00059</t>
        </is>
      </c>
      <c r="B60" s="3" t="inlineStr">
        <is>
          <t>D0064</t>
        </is>
      </c>
      <c r="C60" s="3" t="inlineStr">
        <is>
          <t>A0011</t>
        </is>
      </c>
      <c r="D60" s="4" t="n">
        <v>46248</v>
      </c>
      <c r="E60" s="5" t="n">
        <v>15000</v>
      </c>
      <c r="F60" s="3" t="inlineStr">
        <is>
          <t>Cash</t>
        </is>
      </c>
    </row>
    <row r="61">
      <c r="A61" s="3" t="inlineStr">
        <is>
          <t>P00060</t>
        </is>
      </c>
      <c r="B61" s="3" t="inlineStr">
        <is>
          <t>D0065</t>
        </is>
      </c>
      <c r="C61" s="3" t="inlineStr">
        <is>
          <t>A0011</t>
        </is>
      </c>
      <c r="D61" s="4" t="n">
        <v>46262</v>
      </c>
      <c r="E61" s="5" t="n">
        <v>15000</v>
      </c>
      <c r="F61" s="3" t="inlineStr">
        <is>
          <t>Cash</t>
        </is>
      </c>
    </row>
    <row r="62">
      <c r="A62" s="3" t="inlineStr">
        <is>
          <t>P00061</t>
        </is>
      </c>
      <c r="B62" s="3" t="inlineStr">
        <is>
          <t>D0066</t>
        </is>
      </c>
      <c r="C62" s="3" t="inlineStr">
        <is>
          <t>A0011</t>
        </is>
      </c>
      <c r="D62" s="4" t="n">
        <v>46285</v>
      </c>
      <c r="E62" s="5" t="n">
        <v>15000</v>
      </c>
      <c r="F62" s="3" t="inlineStr">
        <is>
          <t>Cash</t>
        </is>
      </c>
    </row>
    <row r="63">
      <c r="A63" s="3" t="inlineStr">
        <is>
          <t>P00062</t>
        </is>
      </c>
      <c r="B63" s="3" t="inlineStr">
        <is>
          <t>D0067</t>
        </is>
      </c>
      <c r="C63" s="3" t="inlineStr">
        <is>
          <t>A0012</t>
        </is>
      </c>
      <c r="D63" s="4" t="n">
        <v>46118</v>
      </c>
      <c r="E63" s="5" t="n">
        <v>3833</v>
      </c>
      <c r="F63" s="3" t="inlineStr">
        <is>
          <t>Cash</t>
        </is>
      </c>
    </row>
    <row r="64">
      <c r="A64" s="3" t="inlineStr">
        <is>
          <t>P00063</t>
        </is>
      </c>
      <c r="B64" s="3" t="inlineStr">
        <is>
          <t>D0068</t>
        </is>
      </c>
      <c r="C64" s="3" t="inlineStr">
        <is>
          <t>A0012</t>
        </is>
      </c>
      <c r="D64" s="4" t="n">
        <v>46145</v>
      </c>
      <c r="E64" s="5" t="n">
        <v>3833</v>
      </c>
      <c r="F64" s="3" t="inlineStr">
        <is>
          <t>UPI</t>
        </is>
      </c>
    </row>
    <row r="65">
      <c r="A65" s="3" t="inlineStr">
        <is>
          <t>P00064</t>
        </is>
      </c>
      <c r="B65" s="3" t="inlineStr">
        <is>
          <t>D0069</t>
        </is>
      </c>
      <c r="C65" s="3" t="inlineStr">
        <is>
          <t>A0012</t>
        </is>
      </c>
      <c r="D65" s="4" t="n">
        <v>46179</v>
      </c>
      <c r="E65" s="5" t="n">
        <v>3833</v>
      </c>
      <c r="F65" s="3" t="inlineStr">
        <is>
          <t>NEFT</t>
        </is>
      </c>
    </row>
    <row r="66">
      <c r="A66" s="3" t="inlineStr">
        <is>
          <t>P00065</t>
        </is>
      </c>
      <c r="B66" s="3" t="inlineStr">
        <is>
          <t>D0070</t>
        </is>
      </c>
      <c r="C66" s="3" t="inlineStr">
        <is>
          <t>A0012</t>
        </is>
      </c>
      <c r="D66" s="4" t="n">
        <v>46210</v>
      </c>
      <c r="E66" s="5" t="n">
        <v>3833</v>
      </c>
      <c r="F66" s="3" t="inlineStr">
        <is>
          <t>NEFT</t>
        </is>
      </c>
    </row>
    <row r="67">
      <c r="A67" s="3" t="inlineStr">
        <is>
          <t>P00066</t>
        </is>
      </c>
      <c r="B67" s="3" t="inlineStr">
        <is>
          <t>D0071</t>
        </is>
      </c>
      <c r="C67" s="3" t="inlineStr">
        <is>
          <t>A0012</t>
        </is>
      </c>
      <c r="D67" s="4" t="n">
        <v>46242</v>
      </c>
      <c r="E67" s="5" t="n">
        <v>3833</v>
      </c>
      <c r="F67" s="3" t="inlineStr">
        <is>
          <t>UPI</t>
        </is>
      </c>
    </row>
    <row r="68">
      <c r="A68" s="3" t="inlineStr">
        <is>
          <t>P00067</t>
        </is>
      </c>
      <c r="B68" s="3" t="inlineStr">
        <is>
          <t>D0072</t>
        </is>
      </c>
      <c r="C68" s="3" t="inlineStr">
        <is>
          <t>A0012</t>
        </is>
      </c>
      <c r="D68" s="4" t="n">
        <v>46272</v>
      </c>
      <c r="E68" s="5" t="n">
        <v>3833</v>
      </c>
      <c r="F68" s="3" t="inlineStr">
        <is>
          <t>UPI</t>
        </is>
      </c>
    </row>
    <row r="69">
      <c r="A69" s="3" t="inlineStr">
        <is>
          <t>P00068</t>
        </is>
      </c>
      <c r="B69" s="3" t="inlineStr">
        <is>
          <t>D0073</t>
        </is>
      </c>
      <c r="C69" s="3" t="inlineStr">
        <is>
          <t>A0013</t>
        </is>
      </c>
      <c r="D69" s="4" t="n">
        <v>46120</v>
      </c>
      <c r="E69" s="5" t="n">
        <v>5833</v>
      </c>
      <c r="F69" s="3" t="inlineStr">
        <is>
          <t>UPI</t>
        </is>
      </c>
    </row>
    <row r="70">
      <c r="A70" s="3" t="inlineStr">
        <is>
          <t>P00069</t>
        </is>
      </c>
      <c r="B70" s="3" t="inlineStr">
        <is>
          <t>D0074</t>
        </is>
      </c>
      <c r="C70" s="3" t="inlineStr">
        <is>
          <t>A0013</t>
        </is>
      </c>
      <c r="D70" s="4" t="n">
        <v>46149</v>
      </c>
      <c r="E70" s="5" t="n">
        <v>5833</v>
      </c>
      <c r="F70" s="3" t="inlineStr">
        <is>
          <t>NEFT</t>
        </is>
      </c>
    </row>
    <row r="71">
      <c r="A71" s="3" t="inlineStr">
        <is>
          <t>P00070</t>
        </is>
      </c>
      <c r="B71" s="3" t="inlineStr">
        <is>
          <t>D0075</t>
        </is>
      </c>
      <c r="C71" s="3" t="inlineStr">
        <is>
          <t>A0013</t>
        </is>
      </c>
      <c r="D71" s="4" t="n">
        <v>46180</v>
      </c>
      <c r="E71" s="5" t="n">
        <v>5833</v>
      </c>
      <c r="F71" s="3" t="inlineStr">
        <is>
          <t>UPI</t>
        </is>
      </c>
    </row>
    <row r="72">
      <c r="A72" s="3" t="inlineStr">
        <is>
          <t>P00071</t>
        </is>
      </c>
      <c r="B72" s="3" t="inlineStr">
        <is>
          <t>D0076</t>
        </is>
      </c>
      <c r="C72" s="3" t="inlineStr">
        <is>
          <t>A0013</t>
        </is>
      </c>
      <c r="D72" s="4" t="n">
        <v>46205</v>
      </c>
      <c r="E72" s="5" t="n">
        <v>5833</v>
      </c>
      <c r="F72" s="3" t="inlineStr">
        <is>
          <t>Cash</t>
        </is>
      </c>
    </row>
    <row r="73">
      <c r="A73" s="3" t="inlineStr">
        <is>
          <t>P00072</t>
        </is>
      </c>
      <c r="B73" s="3" t="inlineStr">
        <is>
          <t>D0077</t>
        </is>
      </c>
      <c r="C73" s="3" t="inlineStr">
        <is>
          <t>A0013</t>
        </is>
      </c>
      <c r="D73" s="4" t="n">
        <v>46242</v>
      </c>
      <c r="E73" s="5" t="n">
        <v>5833</v>
      </c>
      <c r="F73" s="3" t="inlineStr">
        <is>
          <t>Cash</t>
        </is>
      </c>
    </row>
    <row r="74">
      <c r="A74" s="3" t="inlineStr">
        <is>
          <t>P00073</t>
        </is>
      </c>
      <c r="B74" s="3" t="inlineStr">
        <is>
          <t>D0078</t>
        </is>
      </c>
      <c r="C74" s="3" t="inlineStr">
        <is>
          <t>A0013</t>
        </is>
      </c>
      <c r="D74" s="4" t="n">
        <v>46269</v>
      </c>
      <c r="E74" s="5" t="n">
        <v>5833</v>
      </c>
      <c r="F74" s="3" t="inlineStr">
        <is>
          <t>UPI</t>
        </is>
      </c>
    </row>
    <row r="75">
      <c r="A75" s="3" t="inlineStr">
        <is>
          <t>P00074</t>
        </is>
      </c>
      <c r="B75" s="3" t="inlineStr">
        <is>
          <t>D0079</t>
        </is>
      </c>
      <c r="C75" s="3" t="inlineStr">
        <is>
          <t>A0014</t>
        </is>
      </c>
      <c r="D75" s="4" t="n">
        <v>46146</v>
      </c>
      <c r="E75" s="5" t="n">
        <v>4167</v>
      </c>
      <c r="F75" s="3" t="inlineStr">
        <is>
          <t>Cash</t>
        </is>
      </c>
    </row>
    <row r="76">
      <c r="A76" s="3" t="inlineStr">
        <is>
          <t>P00075</t>
        </is>
      </c>
      <c r="B76" s="3" t="inlineStr">
        <is>
          <t>D0080</t>
        </is>
      </c>
      <c r="C76" s="3" t="inlineStr">
        <is>
          <t>A0014</t>
        </is>
      </c>
      <c r="D76" s="4" t="n">
        <v>46157</v>
      </c>
      <c r="E76" s="5" t="n">
        <v>4167</v>
      </c>
      <c r="F76" s="3" t="inlineStr">
        <is>
          <t>UPI</t>
        </is>
      </c>
    </row>
    <row r="77">
      <c r="A77" s="3" t="inlineStr">
        <is>
          <t>P00076</t>
        </is>
      </c>
      <c r="B77" s="3" t="inlineStr">
        <is>
          <t>D0081</t>
        </is>
      </c>
      <c r="C77" s="3" t="inlineStr">
        <is>
          <t>A0014</t>
        </is>
      </c>
      <c r="D77" s="4" t="n">
        <v>46199</v>
      </c>
      <c r="E77" s="5" t="n">
        <v>4167</v>
      </c>
      <c r="F77" s="3" t="inlineStr">
        <is>
          <t>Cash</t>
        </is>
      </c>
    </row>
    <row r="78">
      <c r="A78" s="3" t="inlineStr">
        <is>
          <t>P00077</t>
        </is>
      </c>
      <c r="B78" s="3" t="inlineStr">
        <is>
          <t>D0082</t>
        </is>
      </c>
      <c r="C78" s="3" t="inlineStr">
        <is>
          <t>A0014</t>
        </is>
      </c>
      <c r="D78" s="4" t="n">
        <v>46226</v>
      </c>
      <c r="E78" s="5" t="n">
        <v>4167</v>
      </c>
      <c r="F78" s="3" t="inlineStr">
        <is>
          <t>UPI</t>
        </is>
      </c>
    </row>
    <row r="79">
      <c r="A79" s="3" t="inlineStr">
        <is>
          <t>P00078</t>
        </is>
      </c>
      <c r="B79" s="3" t="inlineStr">
        <is>
          <t>D0083</t>
        </is>
      </c>
      <c r="C79" s="3" t="inlineStr">
        <is>
          <t>A0014</t>
        </is>
      </c>
      <c r="D79" s="4" t="n">
        <v>46260</v>
      </c>
      <c r="E79" s="5" t="n">
        <v>4167</v>
      </c>
      <c r="F79" s="3" t="inlineStr">
        <is>
          <t>UPI</t>
        </is>
      </c>
    </row>
    <row r="80">
      <c r="A80" s="3" t="inlineStr">
        <is>
          <t>P00079</t>
        </is>
      </c>
      <c r="B80" s="3" t="inlineStr">
        <is>
          <t>D0084</t>
        </is>
      </c>
      <c r="C80" s="3" t="inlineStr">
        <is>
          <t>A0014</t>
        </is>
      </c>
      <c r="D80" s="4" t="n">
        <v>46299</v>
      </c>
      <c r="E80" s="5" t="n">
        <v>4167</v>
      </c>
      <c r="F80" s="3" t="inlineStr">
        <is>
          <t>NEFT</t>
        </is>
      </c>
    </row>
    <row r="81">
      <c r="A81" s="3" t="inlineStr">
        <is>
          <t>P00080</t>
        </is>
      </c>
      <c r="B81" s="3" t="inlineStr">
        <is>
          <t>D0085</t>
        </is>
      </c>
      <c r="C81" s="3" t="inlineStr">
        <is>
          <t>A0015</t>
        </is>
      </c>
      <c r="D81" s="4" t="n">
        <v>46116</v>
      </c>
      <c r="E81" s="5" t="n">
        <v>25500</v>
      </c>
      <c r="F81" s="3" t="inlineStr">
        <is>
          <t>NEFT</t>
        </is>
      </c>
    </row>
    <row r="82">
      <c r="A82" s="3" t="inlineStr">
        <is>
          <t>P00081</t>
        </is>
      </c>
      <c r="B82" s="3" t="inlineStr">
        <is>
          <t>D0086</t>
        </is>
      </c>
      <c r="C82" s="3" t="inlineStr">
        <is>
          <t>A0015</t>
        </is>
      </c>
      <c r="D82" s="4" t="n">
        <v>46148</v>
      </c>
      <c r="E82" s="5" t="n">
        <v>25500</v>
      </c>
      <c r="F82" s="3" t="inlineStr">
        <is>
          <t>Cash</t>
        </is>
      </c>
    </row>
    <row r="83">
      <c r="A83" s="3" t="inlineStr">
        <is>
          <t>P00082</t>
        </is>
      </c>
      <c r="B83" s="3" t="inlineStr">
        <is>
          <t>D0087</t>
        </is>
      </c>
      <c r="C83" s="3" t="inlineStr">
        <is>
          <t>A0015</t>
        </is>
      </c>
      <c r="D83" s="4" t="n">
        <v>46175</v>
      </c>
      <c r="E83" s="5" t="n">
        <v>25500</v>
      </c>
      <c r="F83" s="3" t="inlineStr">
        <is>
          <t>UPI</t>
        </is>
      </c>
    </row>
    <row r="84">
      <c r="A84" s="3" t="inlineStr">
        <is>
          <t>P00083</t>
        </is>
      </c>
      <c r="B84" s="3" t="inlineStr">
        <is>
          <t>D0088</t>
        </is>
      </c>
      <c r="C84" s="3" t="inlineStr">
        <is>
          <t>A0015</t>
        </is>
      </c>
      <c r="D84" s="4" t="n">
        <v>46207</v>
      </c>
      <c r="E84" s="5" t="n">
        <v>25500</v>
      </c>
      <c r="F84" s="3" t="inlineStr">
        <is>
          <t>NEFT</t>
        </is>
      </c>
    </row>
    <row r="85">
      <c r="A85" s="3" t="inlineStr">
        <is>
          <t>P00084</t>
        </is>
      </c>
      <c r="B85" s="3" t="inlineStr">
        <is>
          <t>D0089</t>
        </is>
      </c>
      <c r="C85" s="3" t="inlineStr">
        <is>
          <t>A0015</t>
        </is>
      </c>
      <c r="D85" s="4" t="n">
        <v>46241</v>
      </c>
      <c r="E85" s="5" t="n">
        <v>25500</v>
      </c>
      <c r="F85" s="3" t="inlineStr">
        <is>
          <t>NEFT</t>
        </is>
      </c>
    </row>
    <row r="86">
      <c r="A86" s="3" t="inlineStr">
        <is>
          <t>P00085</t>
        </is>
      </c>
      <c r="B86" s="3" t="inlineStr">
        <is>
          <t>D0090</t>
        </is>
      </c>
      <c r="C86" s="3" t="inlineStr">
        <is>
          <t>A0015</t>
        </is>
      </c>
      <c r="D86" s="4" t="n">
        <v>46268</v>
      </c>
      <c r="E86" s="5" t="n">
        <v>25500</v>
      </c>
      <c r="F86" s="3" t="inlineStr">
        <is>
          <t>Cash</t>
        </is>
      </c>
    </row>
    <row r="87">
      <c r="A87" s="3" t="inlineStr">
        <is>
          <t>P00086</t>
        </is>
      </c>
      <c r="B87" s="3" t="inlineStr">
        <is>
          <t>D0091</t>
        </is>
      </c>
      <c r="C87" s="3" t="inlineStr">
        <is>
          <t>A0016</t>
        </is>
      </c>
      <c r="D87" s="4" t="n">
        <v>46116</v>
      </c>
      <c r="E87" s="5" t="n">
        <v>20333</v>
      </c>
      <c r="F87" s="3" t="inlineStr">
        <is>
          <t>NEFT</t>
        </is>
      </c>
    </row>
    <row r="88">
      <c r="A88" s="3" t="inlineStr">
        <is>
          <t>P00087</t>
        </is>
      </c>
      <c r="B88" s="3" t="inlineStr">
        <is>
          <t>D0092</t>
        </is>
      </c>
      <c r="C88" s="3" t="inlineStr">
        <is>
          <t>A0016</t>
        </is>
      </c>
      <c r="D88" s="4" t="n">
        <v>46148</v>
      </c>
      <c r="E88" s="5" t="n">
        <v>20333</v>
      </c>
      <c r="F88" s="3" t="inlineStr">
        <is>
          <t>NEFT</t>
        </is>
      </c>
    </row>
    <row r="89">
      <c r="A89" s="3" t="inlineStr">
        <is>
          <t>P00088</t>
        </is>
      </c>
      <c r="B89" s="3" t="inlineStr">
        <is>
          <t>D0093</t>
        </is>
      </c>
      <c r="C89" s="3" t="inlineStr">
        <is>
          <t>A0016</t>
        </is>
      </c>
      <c r="D89" s="4" t="n">
        <v>46179</v>
      </c>
      <c r="E89" s="5" t="n">
        <v>20333</v>
      </c>
      <c r="F89" s="3" t="inlineStr">
        <is>
          <t>Cash</t>
        </is>
      </c>
    </row>
    <row r="90">
      <c r="A90" s="3" t="inlineStr">
        <is>
          <t>P00089</t>
        </is>
      </c>
      <c r="B90" s="3" t="inlineStr">
        <is>
          <t>D0094</t>
        </is>
      </c>
      <c r="C90" s="3" t="inlineStr">
        <is>
          <t>A0016</t>
        </is>
      </c>
      <c r="D90" s="4" t="n">
        <v>46207</v>
      </c>
      <c r="E90" s="5" t="n">
        <v>20333</v>
      </c>
      <c r="F90" s="3" t="inlineStr">
        <is>
          <t>NEFT</t>
        </is>
      </c>
    </row>
    <row r="91">
      <c r="A91" s="3" t="inlineStr">
        <is>
          <t>P00090</t>
        </is>
      </c>
      <c r="B91" s="3" t="inlineStr">
        <is>
          <t>D0095</t>
        </is>
      </c>
      <c r="C91" s="3" t="inlineStr">
        <is>
          <t>A0016</t>
        </is>
      </c>
      <c r="D91" s="4" t="n">
        <v>46242</v>
      </c>
      <c r="E91" s="5" t="n">
        <v>20333</v>
      </c>
      <c r="F91" s="3" t="inlineStr">
        <is>
          <t>Cash</t>
        </is>
      </c>
    </row>
    <row r="92">
      <c r="A92" s="3" t="inlineStr">
        <is>
          <t>P00091</t>
        </is>
      </c>
      <c r="B92" s="3" t="inlineStr">
        <is>
          <t>D0096</t>
        </is>
      </c>
      <c r="C92" s="3" t="inlineStr">
        <is>
          <t>A0016</t>
        </is>
      </c>
      <c r="D92" s="4" t="n">
        <v>46268</v>
      </c>
      <c r="E92" s="5" t="n">
        <v>20333</v>
      </c>
      <c r="F92" s="3" t="inlineStr">
        <is>
          <t>UPI</t>
        </is>
      </c>
    </row>
    <row r="93">
      <c r="A93" s="3" t="inlineStr">
        <is>
          <t>P00092</t>
        </is>
      </c>
      <c r="B93" s="3" t="inlineStr">
        <is>
          <t>D0097</t>
        </is>
      </c>
      <c r="C93" s="3" t="inlineStr">
        <is>
          <t>A0017</t>
        </is>
      </c>
      <c r="D93" s="4" t="n">
        <v>46151</v>
      </c>
      <c r="E93" s="5" t="n">
        <v>11000</v>
      </c>
      <c r="F93" s="3" t="inlineStr">
        <is>
          <t>NEFT</t>
        </is>
      </c>
    </row>
    <row r="94">
      <c r="A94" s="3" t="inlineStr">
        <is>
          <t>P00093</t>
        </is>
      </c>
      <c r="B94" s="3" t="inlineStr">
        <is>
          <t>D0098</t>
        </is>
      </c>
      <c r="C94" s="3" t="inlineStr">
        <is>
          <t>A0017</t>
        </is>
      </c>
      <c r="D94" s="4" t="n">
        <v>46187</v>
      </c>
      <c r="E94" s="5" t="n">
        <v>11000</v>
      </c>
      <c r="F94" s="3" t="inlineStr">
        <is>
          <t>NEFT</t>
        </is>
      </c>
    </row>
    <row r="95">
      <c r="A95" s="3" t="inlineStr">
        <is>
          <t>P00094</t>
        </is>
      </c>
      <c r="B95" s="3" t="inlineStr">
        <is>
          <t>D0099</t>
        </is>
      </c>
      <c r="C95" s="3" t="inlineStr">
        <is>
          <t>A0017</t>
        </is>
      </c>
      <c r="D95" s="4" t="n">
        <v>46213</v>
      </c>
      <c r="E95" s="5" t="n">
        <v>11000</v>
      </c>
      <c r="F95" s="3" t="inlineStr">
        <is>
          <t>Cash</t>
        </is>
      </c>
    </row>
    <row r="96">
      <c r="A96" s="3" t="inlineStr">
        <is>
          <t>P00095</t>
        </is>
      </c>
      <c r="B96" s="3" t="inlineStr">
        <is>
          <t>D0100</t>
        </is>
      </c>
      <c r="C96" s="3" t="inlineStr">
        <is>
          <t>A0017</t>
        </is>
      </c>
      <c r="D96" s="4" t="n">
        <v>46223</v>
      </c>
      <c r="E96" s="5" t="n">
        <v>11000</v>
      </c>
      <c r="F96" s="3" t="inlineStr">
        <is>
          <t>UPI</t>
        </is>
      </c>
    </row>
    <row r="97">
      <c r="A97" s="3" t="inlineStr">
        <is>
          <t>P00096</t>
        </is>
      </c>
      <c r="B97" s="3" t="inlineStr">
        <is>
          <t>D0101</t>
        </is>
      </c>
      <c r="C97" s="3" t="inlineStr">
        <is>
          <t>A0017</t>
        </is>
      </c>
      <c r="D97" s="4" t="n">
        <v>46260</v>
      </c>
      <c r="E97" s="5" t="n">
        <v>11000</v>
      </c>
      <c r="F97" s="3" t="inlineStr">
        <is>
          <t>Cash</t>
        </is>
      </c>
    </row>
    <row r="98">
      <c r="A98" s="3" t="inlineStr">
        <is>
          <t>P00097</t>
        </is>
      </c>
      <c r="B98" s="3" t="inlineStr">
        <is>
          <t>D0102</t>
        </is>
      </c>
      <c r="C98" s="3" t="inlineStr">
        <is>
          <t>A0017</t>
        </is>
      </c>
      <c r="D98" s="4" t="n">
        <v>46306</v>
      </c>
      <c r="E98" s="5" t="n">
        <v>11000</v>
      </c>
      <c r="F98" s="3" t="inlineStr">
        <is>
          <t>NEFT</t>
        </is>
      </c>
    </row>
    <row r="99">
      <c r="A99" s="3" t="inlineStr">
        <is>
          <t>P00098</t>
        </is>
      </c>
      <c r="B99" s="3" t="inlineStr">
        <is>
          <t>D0103</t>
        </is>
      </c>
      <c r="C99" s="3" t="inlineStr">
        <is>
          <t>A0018</t>
        </is>
      </c>
      <c r="D99" s="4" t="n">
        <v>46118</v>
      </c>
      <c r="E99" s="5" t="n">
        <v>24167</v>
      </c>
      <c r="F99" s="3" t="inlineStr">
        <is>
          <t>UPI</t>
        </is>
      </c>
    </row>
    <row r="100">
      <c r="A100" s="3" t="inlineStr">
        <is>
          <t>P00099</t>
        </is>
      </c>
      <c r="B100" s="3" t="inlineStr">
        <is>
          <t>D0104</t>
        </is>
      </c>
      <c r="C100" s="3" t="inlineStr">
        <is>
          <t>A0018</t>
        </is>
      </c>
      <c r="D100" s="4" t="n">
        <v>46146</v>
      </c>
      <c r="E100" s="5" t="n">
        <v>24167</v>
      </c>
      <c r="F100" s="3" t="inlineStr">
        <is>
          <t>Cash</t>
        </is>
      </c>
    </row>
    <row r="101">
      <c r="A101" s="3" t="inlineStr">
        <is>
          <t>P00100</t>
        </is>
      </c>
      <c r="B101" s="3" t="inlineStr">
        <is>
          <t>D0105</t>
        </is>
      </c>
      <c r="C101" s="3" t="inlineStr">
        <is>
          <t>A0018</t>
        </is>
      </c>
      <c r="D101" s="4" t="n">
        <v>46181</v>
      </c>
      <c r="E101" s="5" t="n">
        <v>24167</v>
      </c>
      <c r="F101" s="3" t="inlineStr">
        <is>
          <t>UPI</t>
        </is>
      </c>
    </row>
    <row r="102">
      <c r="A102" s="3" t="inlineStr">
        <is>
          <t>P00101</t>
        </is>
      </c>
      <c r="B102" s="3" t="inlineStr">
        <is>
          <t>D0106</t>
        </is>
      </c>
      <c r="C102" s="3" t="inlineStr">
        <is>
          <t>A0018</t>
        </is>
      </c>
      <c r="D102" s="4" t="n">
        <v>46207</v>
      </c>
      <c r="E102" s="5" t="n">
        <v>24167</v>
      </c>
      <c r="F102" s="3" t="inlineStr">
        <is>
          <t>NEFT</t>
        </is>
      </c>
    </row>
    <row r="103">
      <c r="A103" s="3" t="inlineStr">
        <is>
          <t>P00102</t>
        </is>
      </c>
      <c r="B103" s="3" t="inlineStr">
        <is>
          <t>D0107</t>
        </is>
      </c>
      <c r="C103" s="3" t="inlineStr">
        <is>
          <t>A0018</t>
        </is>
      </c>
      <c r="D103" s="4" t="n">
        <v>46241</v>
      </c>
      <c r="E103" s="5" t="n">
        <v>24167</v>
      </c>
      <c r="F103" s="3" t="inlineStr">
        <is>
          <t>Cash</t>
        </is>
      </c>
    </row>
    <row r="104">
      <c r="A104" s="3" t="inlineStr">
        <is>
          <t>P00103</t>
        </is>
      </c>
      <c r="B104" s="3" t="inlineStr">
        <is>
          <t>D0108</t>
        </is>
      </c>
      <c r="C104" s="3" t="inlineStr">
        <is>
          <t>A0018</t>
        </is>
      </c>
      <c r="D104" s="4" t="n">
        <v>46273</v>
      </c>
      <c r="E104" s="5" t="n">
        <v>24167</v>
      </c>
      <c r="F104" s="3" t="inlineStr">
        <is>
          <t>Cash</t>
        </is>
      </c>
    </row>
    <row r="105">
      <c r="A105" s="3" t="inlineStr">
        <is>
          <t>P00104</t>
        </is>
      </c>
      <c r="B105" s="3" t="inlineStr">
        <is>
          <t>D0115</t>
        </is>
      </c>
      <c r="C105" s="3" t="inlineStr">
        <is>
          <t>A0020</t>
        </is>
      </c>
      <c r="D105" s="4" t="n">
        <v>46114</v>
      </c>
      <c r="E105" s="5" t="n">
        <v>25167</v>
      </c>
      <c r="F105" s="3" t="inlineStr">
        <is>
          <t>UPI</t>
        </is>
      </c>
    </row>
    <row r="106">
      <c r="A106" s="3" t="inlineStr">
        <is>
          <t>P00105</t>
        </is>
      </c>
      <c r="B106" s="3" t="inlineStr">
        <is>
          <t>D0116</t>
        </is>
      </c>
      <c r="C106" s="3" t="inlineStr">
        <is>
          <t>A0020</t>
        </is>
      </c>
      <c r="D106" s="4" t="n">
        <v>46148</v>
      </c>
      <c r="E106" s="5" t="n">
        <v>25167</v>
      </c>
      <c r="F106" s="3" t="inlineStr">
        <is>
          <t>Cash</t>
        </is>
      </c>
    </row>
    <row r="107">
      <c r="A107" s="3" t="inlineStr">
        <is>
          <t>P00106</t>
        </is>
      </c>
      <c r="B107" s="3" t="inlineStr">
        <is>
          <t>D0117</t>
        </is>
      </c>
      <c r="C107" s="3" t="inlineStr">
        <is>
          <t>A0020</t>
        </is>
      </c>
      <c r="D107" s="4" t="n">
        <v>46175</v>
      </c>
      <c r="E107" s="5" t="n">
        <v>25167</v>
      </c>
      <c r="F107" s="3" t="inlineStr">
        <is>
          <t>Cash</t>
        </is>
      </c>
    </row>
    <row r="108">
      <c r="A108" s="3" t="inlineStr">
        <is>
          <t>P00107</t>
        </is>
      </c>
      <c r="B108" s="3" t="inlineStr">
        <is>
          <t>D0118</t>
        </is>
      </c>
      <c r="C108" s="3" t="inlineStr">
        <is>
          <t>A0020</t>
        </is>
      </c>
      <c r="D108" s="4" t="n">
        <v>46207</v>
      </c>
      <c r="E108" s="5" t="n">
        <v>25167</v>
      </c>
      <c r="F108" s="3" t="inlineStr">
        <is>
          <t>Cash</t>
        </is>
      </c>
    </row>
    <row r="109">
      <c r="A109" s="3" t="inlineStr">
        <is>
          <t>P00108</t>
        </is>
      </c>
      <c r="B109" s="3" t="inlineStr">
        <is>
          <t>D0119</t>
        </is>
      </c>
      <c r="C109" s="3" t="inlineStr">
        <is>
          <t>A0020</t>
        </is>
      </c>
      <c r="D109" s="4" t="n">
        <v>46239</v>
      </c>
      <c r="E109" s="5" t="n">
        <v>25167</v>
      </c>
      <c r="F109" s="3" t="inlineStr">
        <is>
          <t>Cash</t>
        </is>
      </c>
    </row>
    <row r="110">
      <c r="A110" s="3" t="inlineStr">
        <is>
          <t>P00109</t>
        </is>
      </c>
      <c r="B110" s="3" t="inlineStr">
        <is>
          <t>D0120</t>
        </is>
      </c>
      <c r="C110" s="3" t="inlineStr">
        <is>
          <t>A0020</t>
        </is>
      </c>
      <c r="D110" s="4" t="n">
        <v>46267</v>
      </c>
      <c r="E110" s="5" t="n">
        <v>25167</v>
      </c>
      <c r="F110" s="3" t="inlineStr">
        <is>
          <t>UPI</t>
        </is>
      </c>
    </row>
    <row r="111">
      <c r="A111" s="3" t="inlineStr">
        <is>
          <t>P00110</t>
        </is>
      </c>
      <c r="B111" s="3" t="inlineStr">
        <is>
          <t>D0121</t>
        </is>
      </c>
      <c r="C111" s="3" t="inlineStr">
        <is>
          <t>A0021</t>
        </is>
      </c>
      <c r="D111" s="4" t="n">
        <v>46117</v>
      </c>
      <c r="E111" s="5" t="n">
        <v>18500</v>
      </c>
      <c r="F111" s="3" t="inlineStr">
        <is>
          <t>NEFT</t>
        </is>
      </c>
    </row>
    <row r="112">
      <c r="A112" s="3" t="inlineStr">
        <is>
          <t>P00111</t>
        </is>
      </c>
      <c r="B112" s="3" t="inlineStr">
        <is>
          <t>D0122</t>
        </is>
      </c>
      <c r="C112" s="3" t="inlineStr">
        <is>
          <t>A0021</t>
        </is>
      </c>
      <c r="D112" s="4" t="n">
        <v>46147</v>
      </c>
      <c r="E112" s="5" t="n">
        <v>18500</v>
      </c>
      <c r="F112" s="3" t="inlineStr">
        <is>
          <t>Cash</t>
        </is>
      </c>
    </row>
    <row r="113">
      <c r="A113" s="3" t="inlineStr">
        <is>
          <t>P00112</t>
        </is>
      </c>
      <c r="B113" s="3" t="inlineStr">
        <is>
          <t>D0123</t>
        </is>
      </c>
      <c r="C113" s="3" t="inlineStr">
        <is>
          <t>A0021</t>
        </is>
      </c>
      <c r="D113" s="4" t="n">
        <v>46177</v>
      </c>
      <c r="E113" s="5" t="n">
        <v>18500</v>
      </c>
      <c r="F113" s="3" t="inlineStr">
        <is>
          <t>Cash</t>
        </is>
      </c>
    </row>
    <row r="114">
      <c r="A114" s="3" t="inlineStr">
        <is>
          <t>P00113</t>
        </is>
      </c>
      <c r="B114" s="3" t="inlineStr">
        <is>
          <t>D0124</t>
        </is>
      </c>
      <c r="C114" s="3" t="inlineStr">
        <is>
          <t>A0021</t>
        </is>
      </c>
      <c r="D114" s="4" t="n">
        <v>46207</v>
      </c>
      <c r="E114" s="5" t="n">
        <v>18500</v>
      </c>
      <c r="F114" s="3" t="inlineStr">
        <is>
          <t>UPI</t>
        </is>
      </c>
    </row>
    <row r="115">
      <c r="A115" s="3" t="inlineStr">
        <is>
          <t>P00114</t>
        </is>
      </c>
      <c r="B115" s="3" t="inlineStr">
        <is>
          <t>D0125</t>
        </is>
      </c>
      <c r="C115" s="3" t="inlineStr">
        <is>
          <t>A0021</t>
        </is>
      </c>
      <c r="D115" s="4" t="n">
        <v>46242</v>
      </c>
      <c r="E115" s="5" t="n">
        <v>18500</v>
      </c>
      <c r="F115" s="3" t="inlineStr">
        <is>
          <t>UPI</t>
        </is>
      </c>
    </row>
    <row r="116">
      <c r="A116" s="3" t="inlineStr">
        <is>
          <t>P00115</t>
        </is>
      </c>
      <c r="B116" s="3" t="inlineStr">
        <is>
          <t>D0126</t>
        </is>
      </c>
      <c r="C116" s="3" t="inlineStr">
        <is>
          <t>A0021</t>
        </is>
      </c>
      <c r="D116" s="4" t="n">
        <v>46271</v>
      </c>
      <c r="E116" s="5" t="n">
        <v>18500</v>
      </c>
      <c r="F116" s="3" t="inlineStr">
        <is>
          <t>UPI</t>
        </is>
      </c>
    </row>
    <row r="117">
      <c r="A117" s="3" t="inlineStr">
        <is>
          <t>P00116</t>
        </is>
      </c>
      <c r="B117" s="3" t="inlineStr">
        <is>
          <t>D0127</t>
        </is>
      </c>
      <c r="C117" s="3" t="inlineStr">
        <is>
          <t>A0022</t>
        </is>
      </c>
      <c r="D117" s="4" t="n">
        <v>46125</v>
      </c>
      <c r="E117" s="5" t="n">
        <v>12731</v>
      </c>
      <c r="F117" s="3" t="inlineStr">
        <is>
          <t>UPI</t>
        </is>
      </c>
    </row>
    <row r="118">
      <c r="A118" s="3" t="inlineStr">
        <is>
          <t>P00117</t>
        </is>
      </c>
      <c r="B118" s="3" t="inlineStr">
        <is>
          <t>D0127</t>
        </is>
      </c>
      <c r="C118" s="3" t="inlineStr">
        <is>
          <t>A0022</t>
        </is>
      </c>
      <c r="D118" s="4" t="n">
        <v>46147</v>
      </c>
      <c r="E118" s="5" t="n">
        <v>12436</v>
      </c>
      <c r="F118" s="3" t="inlineStr">
        <is>
          <t>Cash</t>
        </is>
      </c>
    </row>
    <row r="119">
      <c r="A119" s="3" t="inlineStr">
        <is>
          <t>P00118</t>
        </is>
      </c>
      <c r="B119" s="3" t="inlineStr">
        <is>
          <t>D0128</t>
        </is>
      </c>
      <c r="C119" s="3" t="inlineStr">
        <is>
          <t>A0022</t>
        </is>
      </c>
      <c r="D119" s="4" t="n">
        <v>46151</v>
      </c>
      <c r="E119" s="5" t="n">
        <v>25167</v>
      </c>
      <c r="F119" s="3" t="inlineStr">
        <is>
          <t>Cash</t>
        </is>
      </c>
    </row>
    <row r="120">
      <c r="A120" s="3" t="inlineStr">
        <is>
          <t>P00119</t>
        </is>
      </c>
      <c r="B120" s="3" t="inlineStr">
        <is>
          <t>D0129</t>
        </is>
      </c>
      <c r="C120" s="3" t="inlineStr">
        <is>
          <t>A0022</t>
        </is>
      </c>
      <c r="D120" s="4" t="n">
        <v>46184</v>
      </c>
      <c r="E120" s="5" t="n">
        <v>11171</v>
      </c>
      <c r="F120" s="3" t="inlineStr">
        <is>
          <t>NEFT</t>
        </is>
      </c>
    </row>
    <row r="121">
      <c r="A121" s="3" t="inlineStr">
        <is>
          <t>P00120</t>
        </is>
      </c>
      <c r="B121" s="3" t="inlineStr">
        <is>
          <t>D0129</t>
        </is>
      </c>
      <c r="C121" s="3" t="inlineStr">
        <is>
          <t>A0022</t>
        </is>
      </c>
      <c r="D121" s="4" t="n">
        <v>46203</v>
      </c>
      <c r="E121" s="5" t="n">
        <v>13996</v>
      </c>
      <c r="F121" s="3" t="inlineStr">
        <is>
          <t>Cash</t>
        </is>
      </c>
    </row>
    <row r="122">
      <c r="A122" s="3" t="inlineStr">
        <is>
          <t>P00121</t>
        </is>
      </c>
      <c r="B122" s="3" t="inlineStr">
        <is>
          <t>D0130</t>
        </is>
      </c>
      <c r="C122" s="3" t="inlineStr">
        <is>
          <t>A0022</t>
        </is>
      </c>
      <c r="D122" s="4" t="n">
        <v>46218</v>
      </c>
      <c r="E122" s="5" t="n">
        <v>13120</v>
      </c>
      <c r="F122" s="3" t="inlineStr">
        <is>
          <t>Cash</t>
        </is>
      </c>
    </row>
    <row r="123">
      <c r="A123" s="3" t="inlineStr">
        <is>
          <t>P00122</t>
        </is>
      </c>
      <c r="B123" s="3" t="inlineStr">
        <is>
          <t>D0130</t>
        </is>
      </c>
      <c r="C123" s="3" t="inlineStr">
        <is>
          <t>A0022</t>
        </is>
      </c>
      <c r="D123" s="4" t="n">
        <v>46245</v>
      </c>
      <c r="E123" s="5" t="n">
        <v>12047</v>
      </c>
      <c r="F123" s="3" t="inlineStr">
        <is>
          <t>NEFT</t>
        </is>
      </c>
    </row>
    <row r="124">
      <c r="A124" s="3" t="inlineStr">
        <is>
          <t>P00123</t>
        </is>
      </c>
      <c r="B124" s="3" t="inlineStr">
        <is>
          <t>D0131</t>
        </is>
      </c>
      <c r="C124" s="3" t="inlineStr">
        <is>
          <t>A0022</t>
        </is>
      </c>
      <c r="D124" s="4" t="n">
        <v>46296</v>
      </c>
      <c r="E124" s="5" t="n">
        <v>25167</v>
      </c>
      <c r="F124" s="3" t="inlineStr">
        <is>
          <t>UPI</t>
        </is>
      </c>
    </row>
    <row r="125">
      <c r="A125" s="3" t="inlineStr">
        <is>
          <t>P00124</t>
        </is>
      </c>
      <c r="B125" s="3" t="inlineStr">
        <is>
          <t>D0132</t>
        </is>
      </c>
      <c r="C125" s="3" t="inlineStr">
        <is>
          <t>A0022</t>
        </is>
      </c>
      <c r="D125" s="4" t="n">
        <v>46276</v>
      </c>
      <c r="E125" s="5" t="n">
        <v>25167</v>
      </c>
      <c r="F125" s="3" t="inlineStr">
        <is>
          <t>UPI</t>
        </is>
      </c>
    </row>
    <row r="126">
      <c r="A126" s="3" t="inlineStr">
        <is>
          <t>P00125</t>
        </is>
      </c>
      <c r="B126" s="3" t="inlineStr">
        <is>
          <t>D0133</t>
        </is>
      </c>
      <c r="C126" s="3" t="inlineStr">
        <is>
          <t>A0023</t>
        </is>
      </c>
      <c r="D126" s="4" t="n">
        <v>46127</v>
      </c>
      <c r="E126" s="5" t="n">
        <v>4000</v>
      </c>
      <c r="F126" s="3" t="inlineStr">
        <is>
          <t>UPI</t>
        </is>
      </c>
    </row>
    <row r="127">
      <c r="A127" s="3" t="inlineStr">
        <is>
          <t>P00126</t>
        </is>
      </c>
      <c r="B127" s="3" t="inlineStr">
        <is>
          <t>D0134</t>
        </is>
      </c>
      <c r="C127" s="3" t="inlineStr">
        <is>
          <t>A0023</t>
        </is>
      </c>
      <c r="D127" s="4" t="n">
        <v>46148</v>
      </c>
      <c r="E127" s="5" t="n">
        <v>4000</v>
      </c>
      <c r="F127" s="3" t="inlineStr">
        <is>
          <t>NEFT</t>
        </is>
      </c>
    </row>
    <row r="128">
      <c r="A128" s="3" t="inlineStr">
        <is>
          <t>P00127</t>
        </is>
      </c>
      <c r="B128" s="3" t="inlineStr">
        <is>
          <t>D0135</t>
        </is>
      </c>
      <c r="C128" s="3" t="inlineStr">
        <is>
          <t>A0023</t>
        </is>
      </c>
      <c r="D128" s="4" t="n">
        <v>46252</v>
      </c>
      <c r="E128" s="5" t="n">
        <v>4000</v>
      </c>
      <c r="F128" s="3" t="inlineStr">
        <is>
          <t>Cash</t>
        </is>
      </c>
    </row>
    <row r="129">
      <c r="A129" s="3" t="inlineStr">
        <is>
          <t>P00128</t>
        </is>
      </c>
      <c r="B129" s="3" t="inlineStr">
        <is>
          <t>D0136</t>
        </is>
      </c>
      <c r="C129" s="3" t="inlineStr">
        <is>
          <t>A0023</t>
        </is>
      </c>
      <c r="D129" s="4" t="n">
        <v>46223</v>
      </c>
      <c r="E129" s="5" t="n">
        <v>1720</v>
      </c>
      <c r="F129" s="3" t="inlineStr">
        <is>
          <t>Cash</t>
        </is>
      </c>
    </row>
    <row r="130">
      <c r="A130" s="3" t="inlineStr">
        <is>
          <t>P00129</t>
        </is>
      </c>
      <c r="B130" s="3" t="inlineStr">
        <is>
          <t>D0136</t>
        </is>
      </c>
      <c r="C130" s="3" t="inlineStr">
        <is>
          <t>A0023</t>
        </is>
      </c>
      <c r="D130" s="4" t="n">
        <v>46262</v>
      </c>
      <c r="E130" s="5" t="n">
        <v>2280</v>
      </c>
      <c r="F130" s="3" t="inlineStr">
        <is>
          <t>UPI</t>
        </is>
      </c>
    </row>
    <row r="131">
      <c r="A131" s="3" t="inlineStr">
        <is>
          <t>P00130</t>
        </is>
      </c>
      <c r="B131" s="3" t="inlineStr">
        <is>
          <t>D0137</t>
        </is>
      </c>
      <c r="C131" s="3" t="inlineStr">
        <is>
          <t>A0023</t>
        </is>
      </c>
      <c r="D131" s="4" t="n">
        <v>46246</v>
      </c>
      <c r="E131" s="5" t="n">
        <v>4000</v>
      </c>
      <c r="F131" s="3" t="inlineStr">
        <is>
          <t>UPI</t>
        </is>
      </c>
    </row>
    <row r="132">
      <c r="A132" s="3" t="inlineStr">
        <is>
          <t>P00131</t>
        </is>
      </c>
      <c r="B132" s="3" t="inlineStr">
        <is>
          <t>D0139</t>
        </is>
      </c>
      <c r="C132" s="3" t="inlineStr">
        <is>
          <t>A0024</t>
        </is>
      </c>
      <c r="D132" s="4" t="n">
        <v>46120</v>
      </c>
      <c r="E132" s="5" t="n">
        <v>28333</v>
      </c>
      <c r="F132" s="3" t="inlineStr">
        <is>
          <t>UPI</t>
        </is>
      </c>
    </row>
    <row r="133">
      <c r="A133" s="3" t="inlineStr">
        <is>
          <t>P00132</t>
        </is>
      </c>
      <c r="B133" s="3" t="inlineStr">
        <is>
          <t>D0140</t>
        </is>
      </c>
      <c r="C133" s="3" t="inlineStr">
        <is>
          <t>A0024</t>
        </is>
      </c>
      <c r="D133" s="4" t="n">
        <v>46144</v>
      </c>
      <c r="E133" s="5" t="n">
        <v>28333</v>
      </c>
      <c r="F133" s="3" t="inlineStr">
        <is>
          <t>UPI</t>
        </is>
      </c>
    </row>
    <row r="134">
      <c r="A134" s="3" t="inlineStr">
        <is>
          <t>P00133</t>
        </is>
      </c>
      <c r="B134" s="3" t="inlineStr">
        <is>
          <t>D0141</t>
        </is>
      </c>
      <c r="C134" s="3" t="inlineStr">
        <is>
          <t>A0024</t>
        </is>
      </c>
      <c r="D134" s="4" t="n">
        <v>46177</v>
      </c>
      <c r="E134" s="5" t="n">
        <v>28333</v>
      </c>
      <c r="F134" s="3" t="inlineStr">
        <is>
          <t>NEFT</t>
        </is>
      </c>
    </row>
    <row r="135">
      <c r="A135" s="3" t="inlineStr">
        <is>
          <t>P00134</t>
        </is>
      </c>
      <c r="B135" s="3" t="inlineStr">
        <is>
          <t>D0142</t>
        </is>
      </c>
      <c r="C135" s="3" t="inlineStr">
        <is>
          <t>A0024</t>
        </is>
      </c>
      <c r="D135" s="4" t="n">
        <v>46210</v>
      </c>
      <c r="E135" s="5" t="n">
        <v>28333</v>
      </c>
      <c r="F135" s="3" t="inlineStr">
        <is>
          <t>UPI</t>
        </is>
      </c>
    </row>
    <row r="136">
      <c r="A136" s="3" t="inlineStr">
        <is>
          <t>P00135</t>
        </is>
      </c>
      <c r="B136" s="3" t="inlineStr">
        <is>
          <t>D0143</t>
        </is>
      </c>
      <c r="C136" s="3" t="inlineStr">
        <is>
          <t>A0024</t>
        </is>
      </c>
      <c r="D136" s="4" t="n">
        <v>46242</v>
      </c>
      <c r="E136" s="5" t="n">
        <v>28333</v>
      </c>
      <c r="F136" s="3" t="inlineStr">
        <is>
          <t>UPI</t>
        </is>
      </c>
    </row>
    <row r="137">
      <c r="A137" s="3" t="inlineStr">
        <is>
          <t>P00136</t>
        </is>
      </c>
      <c r="B137" s="3" t="inlineStr">
        <is>
          <t>D0144</t>
        </is>
      </c>
      <c r="C137" s="3" t="inlineStr">
        <is>
          <t>A0024</t>
        </is>
      </c>
      <c r="D137" s="4" t="n">
        <v>46270</v>
      </c>
      <c r="E137" s="5" t="n">
        <v>28333</v>
      </c>
      <c r="F137" s="3" t="inlineStr">
        <is>
          <t>UPI</t>
        </is>
      </c>
    </row>
    <row r="138">
      <c r="A138" s="3" t="inlineStr">
        <is>
          <t>P00137</t>
        </is>
      </c>
      <c r="B138" s="3" t="inlineStr">
        <is>
          <t>D0145</t>
        </is>
      </c>
      <c r="C138" s="3" t="inlineStr">
        <is>
          <t>A0025</t>
        </is>
      </c>
      <c r="D138" s="4" t="n">
        <v>46134</v>
      </c>
      <c r="E138" s="5" t="n">
        <v>4333</v>
      </c>
      <c r="F138" s="3" t="inlineStr">
        <is>
          <t>Cash</t>
        </is>
      </c>
    </row>
    <row r="139">
      <c r="A139" s="3" t="inlineStr">
        <is>
          <t>P00138</t>
        </is>
      </c>
      <c r="B139" s="3" t="inlineStr">
        <is>
          <t>D0146</t>
        </is>
      </c>
      <c r="C139" s="3" t="inlineStr">
        <is>
          <t>A0025</t>
        </is>
      </c>
      <c r="D139" s="4" t="n">
        <v>46186</v>
      </c>
      <c r="E139" s="5" t="n">
        <v>4333</v>
      </c>
      <c r="F139" s="3" t="inlineStr">
        <is>
          <t>Cash</t>
        </is>
      </c>
    </row>
    <row r="140">
      <c r="A140" s="3" t="inlineStr">
        <is>
          <t>P00139</t>
        </is>
      </c>
      <c r="B140" s="3" t="inlineStr">
        <is>
          <t>D0147</t>
        </is>
      </c>
      <c r="C140" s="3" t="inlineStr">
        <is>
          <t>A0025</t>
        </is>
      </c>
      <c r="D140" s="4" t="n">
        <v>46191</v>
      </c>
      <c r="E140" s="5" t="n">
        <v>4333</v>
      </c>
      <c r="F140" s="3" t="inlineStr">
        <is>
          <t>NEFT</t>
        </is>
      </c>
    </row>
    <row r="141">
      <c r="A141" s="3" t="inlineStr">
        <is>
          <t>P00140</t>
        </is>
      </c>
      <c r="B141" s="3" t="inlineStr">
        <is>
          <t>D0148</t>
        </is>
      </c>
      <c r="C141" s="3" t="inlineStr">
        <is>
          <t>A0025</t>
        </is>
      </c>
      <c r="D141" s="4" t="n">
        <v>46245</v>
      </c>
      <c r="E141" s="5" t="n">
        <v>4333</v>
      </c>
      <c r="F141" s="3" t="inlineStr">
        <is>
          <t>Cash</t>
        </is>
      </c>
    </row>
    <row r="142">
      <c r="A142" s="3" t="inlineStr">
        <is>
          <t>P00141</t>
        </is>
      </c>
      <c r="B142" s="3" t="inlineStr">
        <is>
          <t>D0149</t>
        </is>
      </c>
      <c r="C142" s="3" t="inlineStr">
        <is>
          <t>A0025</t>
        </is>
      </c>
      <c r="D142" s="4" t="n">
        <v>46249</v>
      </c>
      <c r="E142" s="5" t="n">
        <v>4333</v>
      </c>
      <c r="F142" s="3" t="inlineStr">
        <is>
          <t>UPI</t>
        </is>
      </c>
    </row>
    <row r="143">
      <c r="A143" s="3" t="inlineStr">
        <is>
          <t>P00142</t>
        </is>
      </c>
      <c r="B143" s="3" t="inlineStr">
        <is>
          <t>D0150</t>
        </is>
      </c>
      <c r="C143" s="3" t="inlineStr">
        <is>
          <t>A0025</t>
        </is>
      </c>
      <c r="D143" s="4" t="n">
        <v>46303</v>
      </c>
      <c r="E143" s="5" t="n">
        <v>4333</v>
      </c>
      <c r="F143" s="3" t="inlineStr">
        <is>
          <t>UPI</t>
        </is>
      </c>
    </row>
    <row r="144">
      <c r="A144" s="3" t="inlineStr">
        <is>
          <t>P00143</t>
        </is>
      </c>
      <c r="B144" s="3" t="inlineStr">
        <is>
          <t>D0151</t>
        </is>
      </c>
      <c r="C144" s="3" t="inlineStr">
        <is>
          <t>A0026</t>
        </is>
      </c>
      <c r="D144" s="4" t="n">
        <v>46134</v>
      </c>
      <c r="E144" s="5" t="n">
        <v>5667</v>
      </c>
      <c r="F144" s="3" t="inlineStr">
        <is>
          <t>NEFT</t>
        </is>
      </c>
    </row>
    <row r="145">
      <c r="A145" s="3" t="inlineStr">
        <is>
          <t>P00144</t>
        </is>
      </c>
      <c r="B145" s="3" t="inlineStr">
        <is>
          <t>D0152</t>
        </is>
      </c>
      <c r="C145" s="3" t="inlineStr">
        <is>
          <t>A0026</t>
        </is>
      </c>
      <c r="D145" s="4" t="n">
        <v>46184</v>
      </c>
      <c r="E145" s="5" t="n">
        <v>5667</v>
      </c>
      <c r="F145" s="3" t="inlineStr">
        <is>
          <t>UPI</t>
        </is>
      </c>
    </row>
    <row r="146">
      <c r="A146" s="3" t="inlineStr">
        <is>
          <t>P00145</t>
        </is>
      </c>
      <c r="B146" s="3" t="inlineStr">
        <is>
          <t>D0153</t>
        </is>
      </c>
      <c r="C146" s="3" t="inlineStr">
        <is>
          <t>A0026</t>
        </is>
      </c>
      <c r="D146" s="4" t="n">
        <v>46189</v>
      </c>
      <c r="E146" s="5" t="n">
        <v>5667</v>
      </c>
      <c r="F146" s="3" t="inlineStr">
        <is>
          <t>UPI</t>
        </is>
      </c>
    </row>
    <row r="147">
      <c r="A147" s="3" t="inlineStr">
        <is>
          <t>P00146</t>
        </is>
      </c>
      <c r="B147" s="3" t="inlineStr">
        <is>
          <t>D0154</t>
        </is>
      </c>
      <c r="C147" s="3" t="inlineStr">
        <is>
          <t>A0026</t>
        </is>
      </c>
      <c r="D147" s="4" t="n">
        <v>46224</v>
      </c>
      <c r="E147" s="5" t="n">
        <v>5667</v>
      </c>
      <c r="F147" s="3" t="inlineStr">
        <is>
          <t>UPI</t>
        </is>
      </c>
    </row>
    <row r="148">
      <c r="A148" s="3" t="inlineStr">
        <is>
          <t>P00147</t>
        </is>
      </c>
      <c r="B148" s="3" t="inlineStr">
        <is>
          <t>D0155</t>
        </is>
      </c>
      <c r="C148" s="3" t="inlineStr">
        <is>
          <t>A0026</t>
        </is>
      </c>
      <c r="D148" s="4" t="n">
        <v>46249</v>
      </c>
      <c r="E148" s="5" t="n">
        <v>5667</v>
      </c>
      <c r="F148" s="3" t="inlineStr">
        <is>
          <t>Cash</t>
        </is>
      </c>
    </row>
    <row r="149">
      <c r="A149" s="3" t="inlineStr">
        <is>
          <t>P00148</t>
        </is>
      </c>
      <c r="B149" s="3" t="inlineStr">
        <is>
          <t>D0156</t>
        </is>
      </c>
      <c r="C149" s="3" t="inlineStr">
        <is>
          <t>A0026</t>
        </is>
      </c>
      <c r="D149" s="4" t="n">
        <v>46298</v>
      </c>
      <c r="E149" s="5" t="n">
        <v>5667</v>
      </c>
      <c r="F149" s="3" t="inlineStr">
        <is>
          <t>UPI</t>
        </is>
      </c>
    </row>
    <row r="150">
      <c r="A150" s="3" t="inlineStr">
        <is>
          <t>P00149</t>
        </is>
      </c>
      <c r="B150" s="3" t="inlineStr">
        <is>
          <t>D0163</t>
        </is>
      </c>
      <c r="C150" s="3" t="inlineStr">
        <is>
          <t>A0028</t>
        </is>
      </c>
      <c r="D150" s="4" t="n">
        <v>46124</v>
      </c>
      <c r="E150" s="5" t="n">
        <v>28667</v>
      </c>
      <c r="F150" s="3" t="inlineStr">
        <is>
          <t>Cash</t>
        </is>
      </c>
    </row>
    <row r="151">
      <c r="A151" s="3" t="inlineStr">
        <is>
          <t>P00150</t>
        </is>
      </c>
      <c r="B151" s="3" t="inlineStr">
        <is>
          <t>D0164</t>
        </is>
      </c>
      <c r="C151" s="3" t="inlineStr">
        <is>
          <t>A0028</t>
        </is>
      </c>
      <c r="D151" s="4" t="n">
        <v>46166</v>
      </c>
      <c r="E151" s="5" t="n">
        <v>19374</v>
      </c>
      <c r="F151" s="3" t="inlineStr">
        <is>
          <t>UPI</t>
        </is>
      </c>
    </row>
    <row r="152">
      <c r="A152" s="3" t="inlineStr">
        <is>
          <t>P00151</t>
        </is>
      </c>
      <c r="B152" s="3" t="inlineStr">
        <is>
          <t>D0164</t>
        </is>
      </c>
      <c r="C152" s="3" t="inlineStr">
        <is>
          <t>A0028</t>
        </is>
      </c>
      <c r="D152" s="4" t="n">
        <v>46193</v>
      </c>
      <c r="E152" s="5" t="n">
        <v>9293</v>
      </c>
      <c r="F152" s="3" t="inlineStr">
        <is>
          <t>Cash</t>
        </is>
      </c>
    </row>
    <row r="153">
      <c r="A153" s="3" t="inlineStr">
        <is>
          <t>P00152</t>
        </is>
      </c>
      <c r="B153" s="3" t="inlineStr">
        <is>
          <t>D0165</t>
        </is>
      </c>
      <c r="C153" s="3" t="inlineStr">
        <is>
          <t>A0028</t>
        </is>
      </c>
      <c r="D153" s="4" t="n">
        <v>46188</v>
      </c>
      <c r="E153" s="5" t="n">
        <v>28667</v>
      </c>
      <c r="F153" s="3" t="inlineStr">
        <is>
          <t>NEFT</t>
        </is>
      </c>
    </row>
    <row r="154">
      <c r="A154" s="3" t="inlineStr">
        <is>
          <t>P00153</t>
        </is>
      </c>
      <c r="B154" s="3" t="inlineStr">
        <is>
          <t>D0166</t>
        </is>
      </c>
      <c r="C154" s="3" t="inlineStr">
        <is>
          <t>A0028</t>
        </is>
      </c>
      <c r="D154" s="4" t="n">
        <v>46217</v>
      </c>
      <c r="E154" s="5" t="n">
        <v>28667</v>
      </c>
      <c r="F154" s="3" t="inlineStr">
        <is>
          <t>Cash</t>
        </is>
      </c>
    </row>
    <row r="155">
      <c r="A155" s="3" t="inlineStr">
        <is>
          <t>P00154</t>
        </is>
      </c>
      <c r="B155" s="3" t="inlineStr">
        <is>
          <t>D0167</t>
        </is>
      </c>
      <c r="C155" s="3" t="inlineStr">
        <is>
          <t>A0028</t>
        </is>
      </c>
      <c r="D155" s="4" t="n">
        <v>46276</v>
      </c>
      <c r="E155" s="5" t="n">
        <v>28667</v>
      </c>
      <c r="F155" s="3" t="inlineStr">
        <is>
          <t>UPI</t>
        </is>
      </c>
    </row>
    <row r="156">
      <c r="A156" s="3" t="inlineStr">
        <is>
          <t>P00155</t>
        </is>
      </c>
      <c r="B156" s="3" t="inlineStr">
        <is>
          <t>D0169</t>
        </is>
      </c>
      <c r="C156" s="3" t="inlineStr">
        <is>
          <t>A0029</t>
        </is>
      </c>
      <c r="D156" s="4" t="n">
        <v>46132</v>
      </c>
      <c r="E156" s="5" t="n">
        <v>31333</v>
      </c>
      <c r="F156" s="3" t="inlineStr">
        <is>
          <t>NEFT</t>
        </is>
      </c>
    </row>
    <row r="157">
      <c r="A157" s="3" t="inlineStr">
        <is>
          <t>P00156</t>
        </is>
      </c>
      <c r="B157" s="3" t="inlineStr">
        <is>
          <t>D0170</t>
        </is>
      </c>
      <c r="C157" s="3" t="inlineStr">
        <is>
          <t>A0029</t>
        </is>
      </c>
      <c r="D157" s="4" t="n">
        <v>46183</v>
      </c>
      <c r="E157" s="5" t="n">
        <v>31333</v>
      </c>
      <c r="F157" s="3" t="inlineStr">
        <is>
          <t>UPI</t>
        </is>
      </c>
    </row>
    <row r="158">
      <c r="A158" s="3" t="inlineStr">
        <is>
          <t>P00157</t>
        </is>
      </c>
      <c r="B158" s="3" t="inlineStr">
        <is>
          <t>D0171</t>
        </is>
      </c>
      <c r="C158" s="3" t="inlineStr">
        <is>
          <t>A0029</t>
        </is>
      </c>
      <c r="D158" s="4" t="n">
        <v>46198</v>
      </c>
      <c r="E158" s="5" t="n">
        <v>31333</v>
      </c>
      <c r="F158" s="3" t="inlineStr">
        <is>
          <t>UPI</t>
        </is>
      </c>
    </row>
    <row r="159">
      <c r="A159" s="3" t="inlineStr">
        <is>
          <t>P00158</t>
        </is>
      </c>
      <c r="B159" s="3" t="inlineStr">
        <is>
          <t>D0172</t>
        </is>
      </c>
      <c r="C159" s="3" t="inlineStr">
        <is>
          <t>A0029</t>
        </is>
      </c>
      <c r="D159" s="4" t="n">
        <v>46242</v>
      </c>
      <c r="E159" s="5" t="n">
        <v>31333</v>
      </c>
      <c r="F159" s="3" t="inlineStr">
        <is>
          <t>UPI</t>
        </is>
      </c>
    </row>
    <row r="160">
      <c r="A160" s="3" t="inlineStr">
        <is>
          <t>P00159</t>
        </is>
      </c>
      <c r="B160" s="3" t="inlineStr">
        <is>
          <t>D0173</t>
        </is>
      </c>
      <c r="C160" s="3" t="inlineStr">
        <is>
          <t>A0029</t>
        </is>
      </c>
      <c r="D160" s="4" t="n">
        <v>46258</v>
      </c>
      <c r="E160" s="5" t="n">
        <v>31333</v>
      </c>
      <c r="F160" s="3" t="inlineStr">
        <is>
          <t>NEFT</t>
        </is>
      </c>
    </row>
    <row r="161">
      <c r="A161" s="3" t="inlineStr">
        <is>
          <t>P00160</t>
        </is>
      </c>
      <c r="B161" s="3" t="inlineStr">
        <is>
          <t>D0174</t>
        </is>
      </c>
      <c r="C161" s="3" t="inlineStr">
        <is>
          <t>A0029</t>
        </is>
      </c>
      <c r="D161" s="4" t="n">
        <v>46280</v>
      </c>
      <c r="E161" s="5" t="n">
        <v>31333</v>
      </c>
      <c r="F161" s="3" t="inlineStr">
        <is>
          <t>NEFT</t>
        </is>
      </c>
    </row>
    <row r="162">
      <c r="A162" s="3" t="inlineStr">
        <is>
          <t>P00161</t>
        </is>
      </c>
      <c r="B162" s="3" t="inlineStr">
        <is>
          <t>D0175</t>
        </is>
      </c>
      <c r="C162" s="3" t="inlineStr">
        <is>
          <t>A0030</t>
        </is>
      </c>
      <c r="D162" s="4" t="n">
        <v>46152</v>
      </c>
      <c r="E162" s="5" t="n">
        <v>8333</v>
      </c>
      <c r="F162" s="3" t="inlineStr">
        <is>
          <t>UPI</t>
        </is>
      </c>
    </row>
    <row r="163">
      <c r="A163" s="3" t="inlineStr">
        <is>
          <t>P00162</t>
        </is>
      </c>
      <c r="B163" s="3" t="inlineStr">
        <is>
          <t>D0176</t>
        </is>
      </c>
      <c r="C163" s="3" t="inlineStr">
        <is>
          <t>A0030</t>
        </is>
      </c>
      <c r="D163" s="4" t="n">
        <v>46158</v>
      </c>
      <c r="E163" s="5" t="n">
        <v>8333</v>
      </c>
      <c r="F163" s="3" t="inlineStr">
        <is>
          <t>UPI</t>
        </is>
      </c>
    </row>
    <row r="164">
      <c r="A164" s="3" t="inlineStr">
        <is>
          <t>P00163</t>
        </is>
      </c>
      <c r="B164" s="3" t="inlineStr">
        <is>
          <t>D0177</t>
        </is>
      </c>
      <c r="C164" s="3" t="inlineStr">
        <is>
          <t>A0030</t>
        </is>
      </c>
      <c r="D164" s="4" t="n">
        <v>46191</v>
      </c>
      <c r="E164" s="5" t="n">
        <v>8333</v>
      </c>
      <c r="F164" s="3" t="inlineStr">
        <is>
          <t>Cash</t>
        </is>
      </c>
    </row>
    <row r="165">
      <c r="A165" s="3" t="inlineStr">
        <is>
          <t>P00164</t>
        </is>
      </c>
      <c r="B165" s="3" t="inlineStr">
        <is>
          <t>D0178</t>
        </is>
      </c>
      <c r="C165" s="3" t="inlineStr">
        <is>
          <t>A0030</t>
        </is>
      </c>
      <c r="D165" s="4" t="n">
        <v>46245</v>
      </c>
      <c r="E165" s="5" t="n">
        <v>8333</v>
      </c>
      <c r="F165" s="3" t="inlineStr">
        <is>
          <t>Cash</t>
        </is>
      </c>
    </row>
    <row r="166">
      <c r="A166" s="3" t="inlineStr">
        <is>
          <t>P00165</t>
        </is>
      </c>
      <c r="B166" s="3" t="inlineStr">
        <is>
          <t>D0179</t>
        </is>
      </c>
      <c r="C166" s="3" t="inlineStr">
        <is>
          <t>A0030</t>
        </is>
      </c>
      <c r="D166" s="4" t="n">
        <v>46249</v>
      </c>
      <c r="E166" s="5" t="n">
        <v>8333</v>
      </c>
      <c r="F166" s="3" t="inlineStr">
        <is>
          <t>UPI</t>
        </is>
      </c>
    </row>
    <row r="167">
      <c r="A167" s="3" t="inlineStr">
        <is>
          <t>P00166</t>
        </is>
      </c>
      <c r="B167" s="3" t="inlineStr">
        <is>
          <t>D0180</t>
        </is>
      </c>
      <c r="C167" s="3" t="inlineStr">
        <is>
          <t>A0030</t>
        </is>
      </c>
      <c r="D167" s="4" t="n">
        <v>46291</v>
      </c>
      <c r="E167" s="5" t="n">
        <v>8333</v>
      </c>
      <c r="F167" s="3" t="inlineStr">
        <is>
          <t>UPI</t>
        </is>
      </c>
    </row>
    <row r="168">
      <c r="A168" s="3" t="inlineStr">
        <is>
          <t>P00167</t>
        </is>
      </c>
      <c r="B168" s="3" t="inlineStr">
        <is>
          <t>D0181</t>
        </is>
      </c>
      <c r="C168" s="3" t="inlineStr">
        <is>
          <t>A0031</t>
        </is>
      </c>
      <c r="D168" s="4" t="n">
        <v>46131</v>
      </c>
      <c r="E168" s="5" t="n">
        <v>32167</v>
      </c>
      <c r="F168" s="3" t="inlineStr">
        <is>
          <t>Cash</t>
        </is>
      </c>
    </row>
    <row r="169">
      <c r="A169" s="3" t="inlineStr">
        <is>
          <t>P00168</t>
        </is>
      </c>
      <c r="B169" s="3" t="inlineStr">
        <is>
          <t>D0182</t>
        </is>
      </c>
      <c r="C169" s="3" t="inlineStr">
        <is>
          <t>A0031</t>
        </is>
      </c>
      <c r="D169" s="4" t="n">
        <v>46182</v>
      </c>
      <c r="E169" s="5" t="n">
        <v>32167</v>
      </c>
      <c r="F169" s="3" t="inlineStr">
        <is>
          <t>UPI</t>
        </is>
      </c>
    </row>
    <row r="170">
      <c r="A170" s="3" t="inlineStr">
        <is>
          <t>P00169</t>
        </is>
      </c>
      <c r="B170" s="3" t="inlineStr">
        <is>
          <t>D0183</t>
        </is>
      </c>
      <c r="C170" s="3" t="inlineStr">
        <is>
          <t>A0031</t>
        </is>
      </c>
      <c r="D170" s="4" t="n">
        <v>46195</v>
      </c>
      <c r="E170" s="5" t="n">
        <v>32167</v>
      </c>
      <c r="F170" s="3" t="inlineStr">
        <is>
          <t>Cash</t>
        </is>
      </c>
    </row>
    <row r="171">
      <c r="A171" s="3" t="inlineStr">
        <is>
          <t>P00170</t>
        </is>
      </c>
      <c r="B171" s="3" t="inlineStr">
        <is>
          <t>D0184</t>
        </is>
      </c>
      <c r="C171" s="3" t="inlineStr">
        <is>
          <t>A0031</t>
        </is>
      </c>
      <c r="D171" s="4" t="n">
        <v>46218</v>
      </c>
      <c r="E171" s="5" t="n">
        <v>32167</v>
      </c>
      <c r="F171" s="3" t="inlineStr">
        <is>
          <t>NEFT</t>
        </is>
      </c>
    </row>
    <row r="172">
      <c r="A172" s="3" t="inlineStr">
        <is>
          <t>P00171</t>
        </is>
      </c>
      <c r="B172" s="3" t="inlineStr">
        <is>
          <t>D0185</t>
        </is>
      </c>
      <c r="C172" s="3" t="inlineStr">
        <is>
          <t>A0031</t>
        </is>
      </c>
      <c r="D172" s="4" t="n">
        <v>46278</v>
      </c>
      <c r="E172" s="5" t="n">
        <v>32167</v>
      </c>
      <c r="F172" s="3" t="inlineStr">
        <is>
          <t>Cash</t>
        </is>
      </c>
    </row>
    <row r="173">
      <c r="A173" s="3" t="inlineStr">
        <is>
          <t>P00172</t>
        </is>
      </c>
      <c r="B173" s="3" t="inlineStr">
        <is>
          <t>D0186</t>
        </is>
      </c>
      <c r="C173" s="3" t="inlineStr">
        <is>
          <t>A0031</t>
        </is>
      </c>
      <c r="D173" s="4" t="n">
        <v>46286</v>
      </c>
      <c r="E173" s="5" t="n">
        <v>32167</v>
      </c>
      <c r="F173" s="3" t="inlineStr">
        <is>
          <t>Cash</t>
        </is>
      </c>
    </row>
    <row r="174">
      <c r="A174" s="3" t="inlineStr">
        <is>
          <t>P00173</t>
        </is>
      </c>
      <c r="B174" s="3" t="inlineStr">
        <is>
          <t>D0187</t>
        </is>
      </c>
      <c r="C174" s="3" t="inlineStr">
        <is>
          <t>A0032</t>
        </is>
      </c>
      <c r="D174" s="4" t="n">
        <v>46134</v>
      </c>
      <c r="E174" s="5" t="n">
        <v>9500</v>
      </c>
      <c r="F174" s="3" t="inlineStr">
        <is>
          <t>UPI</t>
        </is>
      </c>
    </row>
    <row r="175">
      <c r="A175" s="3" t="inlineStr">
        <is>
          <t>P00174</t>
        </is>
      </c>
      <c r="B175" s="3" t="inlineStr">
        <is>
          <t>D0188</t>
        </is>
      </c>
      <c r="C175" s="3" t="inlineStr">
        <is>
          <t>A0032</t>
        </is>
      </c>
      <c r="D175" s="4" t="n">
        <v>46177</v>
      </c>
      <c r="E175" s="5" t="n">
        <v>9500</v>
      </c>
      <c r="F175" s="3" t="inlineStr">
        <is>
          <t>Cash</t>
        </is>
      </c>
    </row>
    <row r="176">
      <c r="A176" s="3" t="inlineStr">
        <is>
          <t>P00175</t>
        </is>
      </c>
      <c r="B176" s="3" t="inlineStr">
        <is>
          <t>D0189</t>
        </is>
      </c>
      <c r="C176" s="3" t="inlineStr">
        <is>
          <t>A0032</t>
        </is>
      </c>
      <c r="D176" s="4" t="n">
        <v>46200</v>
      </c>
      <c r="E176" s="5" t="n">
        <v>9500</v>
      </c>
      <c r="F176" s="3" t="inlineStr">
        <is>
          <t>Cash</t>
        </is>
      </c>
    </row>
    <row r="177">
      <c r="A177" s="3" t="inlineStr">
        <is>
          <t>P00176</t>
        </is>
      </c>
      <c r="B177" s="3" t="inlineStr">
        <is>
          <t>D0190</t>
        </is>
      </c>
      <c r="C177" s="3" t="inlineStr">
        <is>
          <t>A0032</t>
        </is>
      </c>
      <c r="D177" s="4" t="n">
        <v>46232</v>
      </c>
      <c r="E177" s="5" t="n">
        <v>9500</v>
      </c>
      <c r="F177" s="3" t="inlineStr">
        <is>
          <t>UPI</t>
        </is>
      </c>
    </row>
    <row r="178">
      <c r="A178" s="3" t="inlineStr">
        <is>
          <t>P00177</t>
        </is>
      </c>
      <c r="B178" s="3" t="inlineStr">
        <is>
          <t>D0191</t>
        </is>
      </c>
      <c r="C178" s="3" t="inlineStr">
        <is>
          <t>A0032</t>
        </is>
      </c>
      <c r="D178" s="4" t="n">
        <v>46260</v>
      </c>
      <c r="E178" s="5" t="n">
        <v>9500</v>
      </c>
      <c r="F178" s="3" t="inlineStr">
        <is>
          <t>Cash</t>
        </is>
      </c>
    </row>
    <row r="179">
      <c r="A179" s="3" t="inlineStr">
        <is>
          <t>P00178</t>
        </is>
      </c>
      <c r="B179" s="3" t="inlineStr">
        <is>
          <t>D0192</t>
        </is>
      </c>
      <c r="C179" s="3" t="inlineStr">
        <is>
          <t>A0032</t>
        </is>
      </c>
      <c r="D179" s="4" t="n">
        <v>46280</v>
      </c>
      <c r="E179" s="5" t="n">
        <v>9500</v>
      </c>
      <c r="F179" s="3" t="inlineStr">
        <is>
          <t>UPI</t>
        </is>
      </c>
    </row>
    <row r="180">
      <c r="A180" s="3" t="inlineStr">
        <is>
          <t>P00179</t>
        </is>
      </c>
      <c r="B180" s="3" t="inlineStr">
        <is>
          <t>D0193</t>
        </is>
      </c>
      <c r="C180" s="3" t="inlineStr">
        <is>
          <t>A0033</t>
        </is>
      </c>
      <c r="D180" s="4" t="n">
        <v>46157</v>
      </c>
      <c r="E180" s="5" t="n">
        <v>30000</v>
      </c>
      <c r="F180" s="3" t="inlineStr">
        <is>
          <t>UPI</t>
        </is>
      </c>
    </row>
    <row r="181">
      <c r="A181" s="3" t="inlineStr">
        <is>
          <t>P00180</t>
        </is>
      </c>
      <c r="B181" s="3" t="inlineStr">
        <is>
          <t>D0194</t>
        </is>
      </c>
      <c r="C181" s="3" t="inlineStr">
        <is>
          <t>A0033</t>
        </is>
      </c>
      <c r="D181" s="4" t="n">
        <v>46186</v>
      </c>
      <c r="E181" s="5" t="n">
        <v>30000</v>
      </c>
      <c r="F181" s="3" t="inlineStr">
        <is>
          <t>Cash</t>
        </is>
      </c>
    </row>
    <row r="182">
      <c r="A182" s="3" t="inlineStr">
        <is>
          <t>P00181</t>
        </is>
      </c>
      <c r="B182" s="3" t="inlineStr">
        <is>
          <t>D0195</t>
        </is>
      </c>
      <c r="C182" s="3" t="inlineStr">
        <is>
          <t>A0033</t>
        </is>
      </c>
      <c r="D182" s="4" t="n">
        <v>46218</v>
      </c>
      <c r="E182" s="5" t="n">
        <v>30000</v>
      </c>
      <c r="F182" s="3" t="inlineStr">
        <is>
          <t>NEFT</t>
        </is>
      </c>
    </row>
    <row r="183">
      <c r="A183" s="3" t="inlineStr">
        <is>
          <t>P00182</t>
        </is>
      </c>
      <c r="B183" s="3" t="inlineStr">
        <is>
          <t>D0196</t>
        </is>
      </c>
      <c r="C183" s="3" t="inlineStr">
        <is>
          <t>A0033</t>
        </is>
      </c>
      <c r="D183" s="4" t="n">
        <v>46237</v>
      </c>
      <c r="E183" s="5" t="n">
        <v>30000</v>
      </c>
      <c r="F183" s="3" t="inlineStr">
        <is>
          <t>UPI</t>
        </is>
      </c>
    </row>
    <row r="184">
      <c r="A184" s="3" t="inlineStr">
        <is>
          <t>P00183</t>
        </is>
      </c>
      <c r="B184" s="3" t="inlineStr">
        <is>
          <t>D0197</t>
        </is>
      </c>
      <c r="C184" s="3" t="inlineStr">
        <is>
          <t>A0033</t>
        </is>
      </c>
      <c r="D184" s="4" t="n">
        <v>46255</v>
      </c>
      <c r="E184" s="5" t="n">
        <v>30000</v>
      </c>
      <c r="F184" s="3" t="inlineStr">
        <is>
          <t>UPI</t>
        </is>
      </c>
    </row>
    <row r="185">
      <c r="A185" s="3" t="inlineStr">
        <is>
          <t>P00184</t>
        </is>
      </c>
      <c r="B185" s="3" t="inlineStr">
        <is>
          <t>D0198</t>
        </is>
      </c>
      <c r="C185" s="3" t="inlineStr">
        <is>
          <t>A0033</t>
        </is>
      </c>
      <c r="D185" s="4" t="n">
        <v>46297</v>
      </c>
      <c r="E185" s="5" t="n">
        <v>30000</v>
      </c>
      <c r="F185" s="3" t="inlineStr">
        <is>
          <t>UPI</t>
        </is>
      </c>
    </row>
    <row r="186">
      <c r="A186" s="3" t="inlineStr">
        <is>
          <t>P00185</t>
        </is>
      </c>
      <c r="B186" s="3" t="inlineStr">
        <is>
          <t>D0199</t>
        </is>
      </c>
      <c r="C186" s="3" t="inlineStr">
        <is>
          <t>A0034</t>
        </is>
      </c>
      <c r="D186" s="4" t="n">
        <v>46114</v>
      </c>
      <c r="E186" s="5" t="n">
        <v>16333</v>
      </c>
      <c r="F186" s="3" t="inlineStr">
        <is>
          <t>UPI</t>
        </is>
      </c>
    </row>
    <row r="187">
      <c r="A187" s="3" t="inlineStr">
        <is>
          <t>P00186</t>
        </is>
      </c>
      <c r="B187" s="3" t="inlineStr">
        <is>
          <t>D0200</t>
        </is>
      </c>
      <c r="C187" s="3" t="inlineStr">
        <is>
          <t>A0034</t>
        </is>
      </c>
      <c r="D187" s="4" t="n">
        <v>46144</v>
      </c>
      <c r="E187" s="5" t="n">
        <v>16333</v>
      </c>
      <c r="F187" s="3" t="inlineStr">
        <is>
          <t>Cash</t>
        </is>
      </c>
    </row>
    <row r="188">
      <c r="A188" s="3" t="inlineStr">
        <is>
          <t>P00187</t>
        </is>
      </c>
      <c r="B188" s="3" t="inlineStr">
        <is>
          <t>D0201</t>
        </is>
      </c>
      <c r="C188" s="3" t="inlineStr">
        <is>
          <t>A0034</t>
        </is>
      </c>
      <c r="D188" s="4" t="n">
        <v>46178</v>
      </c>
      <c r="E188" s="5" t="n">
        <v>16333</v>
      </c>
      <c r="F188" s="3" t="inlineStr">
        <is>
          <t>UPI</t>
        </is>
      </c>
    </row>
    <row r="189">
      <c r="A189" s="3" t="inlineStr">
        <is>
          <t>P00188</t>
        </is>
      </c>
      <c r="B189" s="3" t="inlineStr">
        <is>
          <t>D0202</t>
        </is>
      </c>
      <c r="C189" s="3" t="inlineStr">
        <is>
          <t>A0034</t>
        </is>
      </c>
      <c r="D189" s="4" t="n">
        <v>46206</v>
      </c>
      <c r="E189" s="5" t="n">
        <v>16333</v>
      </c>
      <c r="F189" s="3" t="inlineStr">
        <is>
          <t>NEFT</t>
        </is>
      </c>
    </row>
    <row r="190">
      <c r="A190" s="3" t="inlineStr">
        <is>
          <t>P00189</t>
        </is>
      </c>
      <c r="B190" s="3" t="inlineStr">
        <is>
          <t>D0203</t>
        </is>
      </c>
      <c r="C190" s="3" t="inlineStr">
        <is>
          <t>A0034</t>
        </is>
      </c>
      <c r="D190" s="4" t="n">
        <v>46236</v>
      </c>
      <c r="E190" s="5" t="n">
        <v>16333</v>
      </c>
      <c r="F190" s="3" t="inlineStr">
        <is>
          <t>NEFT</t>
        </is>
      </c>
    </row>
    <row r="191">
      <c r="A191" s="3" t="inlineStr">
        <is>
          <t>P00190</t>
        </is>
      </c>
      <c r="B191" s="3" t="inlineStr">
        <is>
          <t>D0204</t>
        </is>
      </c>
      <c r="C191" s="3" t="inlineStr">
        <is>
          <t>A0034</t>
        </is>
      </c>
      <c r="D191" s="4" t="n">
        <v>46267</v>
      </c>
      <c r="E191" s="5" t="n">
        <v>16333</v>
      </c>
      <c r="F191" s="3" t="inlineStr">
        <is>
          <t>UPI</t>
        </is>
      </c>
    </row>
    <row r="192">
      <c r="A192" s="3" t="inlineStr">
        <is>
          <t>P00191</t>
        </is>
      </c>
      <c r="B192" s="3" t="inlineStr">
        <is>
          <t>D0205</t>
        </is>
      </c>
      <c r="C192" s="3" t="inlineStr">
        <is>
          <t>A0035</t>
        </is>
      </c>
      <c r="D192" s="4" t="n">
        <v>46117</v>
      </c>
      <c r="E192" s="5" t="n">
        <v>18833</v>
      </c>
      <c r="F192" s="3" t="inlineStr">
        <is>
          <t>UPI</t>
        </is>
      </c>
    </row>
    <row r="193">
      <c r="A193" s="3" t="inlineStr">
        <is>
          <t>P00192</t>
        </is>
      </c>
      <c r="B193" s="3" t="inlineStr">
        <is>
          <t>D0206</t>
        </is>
      </c>
      <c r="C193" s="3" t="inlineStr">
        <is>
          <t>A0035</t>
        </is>
      </c>
      <c r="D193" s="4" t="n">
        <v>46149</v>
      </c>
      <c r="E193" s="5" t="n">
        <v>18833</v>
      </c>
      <c r="F193" s="3" t="inlineStr">
        <is>
          <t>UPI</t>
        </is>
      </c>
    </row>
    <row r="194">
      <c r="A194" s="3" t="inlineStr">
        <is>
          <t>P00193</t>
        </is>
      </c>
      <c r="B194" s="3" t="inlineStr">
        <is>
          <t>D0207</t>
        </is>
      </c>
      <c r="C194" s="3" t="inlineStr">
        <is>
          <t>A0035</t>
        </is>
      </c>
      <c r="D194" s="4" t="n">
        <v>46180</v>
      </c>
      <c r="E194" s="5" t="n">
        <v>18833</v>
      </c>
      <c r="F194" s="3" t="inlineStr">
        <is>
          <t>UPI</t>
        </is>
      </c>
    </row>
    <row r="195">
      <c r="A195" s="3" t="inlineStr">
        <is>
          <t>P00194</t>
        </is>
      </c>
      <c r="B195" s="3" t="inlineStr">
        <is>
          <t>D0208</t>
        </is>
      </c>
      <c r="C195" s="3" t="inlineStr">
        <is>
          <t>A0035</t>
        </is>
      </c>
      <c r="D195" s="4" t="n">
        <v>46211</v>
      </c>
      <c r="E195" s="5" t="n">
        <v>18833</v>
      </c>
      <c r="F195" s="3" t="inlineStr">
        <is>
          <t>UPI</t>
        </is>
      </c>
    </row>
    <row r="196">
      <c r="A196" s="3" t="inlineStr">
        <is>
          <t>P00195</t>
        </is>
      </c>
      <c r="B196" s="3" t="inlineStr">
        <is>
          <t>D0209</t>
        </is>
      </c>
      <c r="C196" s="3" t="inlineStr">
        <is>
          <t>A0035</t>
        </is>
      </c>
      <c r="D196" s="4" t="n">
        <v>46240</v>
      </c>
      <c r="E196" s="5" t="n">
        <v>18833</v>
      </c>
      <c r="F196" s="3" t="inlineStr">
        <is>
          <t>NEFT</t>
        </is>
      </c>
    </row>
    <row r="197">
      <c r="A197" s="3" t="inlineStr">
        <is>
          <t>P00196</t>
        </is>
      </c>
      <c r="B197" s="3" t="inlineStr">
        <is>
          <t>D0210</t>
        </is>
      </c>
      <c r="C197" s="3" t="inlineStr">
        <is>
          <t>A0035</t>
        </is>
      </c>
      <c r="D197" s="4" t="n">
        <v>46270</v>
      </c>
      <c r="E197" s="5" t="n">
        <v>18833</v>
      </c>
      <c r="F197" s="3" t="inlineStr">
        <is>
          <t>Cash</t>
        </is>
      </c>
    </row>
    <row r="198">
      <c r="A198" s="3" t="inlineStr">
        <is>
          <t>P00197</t>
        </is>
      </c>
      <c r="B198" s="3" t="inlineStr">
        <is>
          <t>D0217</t>
        </is>
      </c>
      <c r="C198" s="3" t="inlineStr">
        <is>
          <t>A0037</t>
        </is>
      </c>
      <c r="D198" s="4" t="n">
        <v>46136</v>
      </c>
      <c r="E198" s="5" t="n">
        <v>22833</v>
      </c>
      <c r="F198" s="3" t="inlineStr">
        <is>
          <t>UPI</t>
        </is>
      </c>
    </row>
    <row r="199">
      <c r="A199" s="3" t="inlineStr">
        <is>
          <t>P00198</t>
        </is>
      </c>
      <c r="B199" s="3" t="inlineStr">
        <is>
          <t>D0218</t>
        </is>
      </c>
      <c r="C199" s="3" t="inlineStr">
        <is>
          <t>A0037</t>
        </is>
      </c>
      <c r="D199" s="4" t="n">
        <v>46170</v>
      </c>
      <c r="E199" s="5" t="n">
        <v>22833</v>
      </c>
      <c r="F199" s="3" t="inlineStr">
        <is>
          <t>UPI</t>
        </is>
      </c>
    </row>
    <row r="200">
      <c r="A200" s="3" t="inlineStr">
        <is>
          <t>P00199</t>
        </is>
      </c>
      <c r="B200" s="3" t="inlineStr">
        <is>
          <t>D0219</t>
        </is>
      </c>
      <c r="C200" s="3" t="inlineStr">
        <is>
          <t>A0037</t>
        </is>
      </c>
      <c r="D200" s="4" t="n">
        <v>46188</v>
      </c>
      <c r="E200" s="5" t="n">
        <v>22833</v>
      </c>
      <c r="F200" s="3" t="inlineStr">
        <is>
          <t>UPI</t>
        </is>
      </c>
    </row>
    <row r="201">
      <c r="A201" s="3" t="inlineStr">
        <is>
          <t>P00200</t>
        </is>
      </c>
      <c r="B201" s="3" t="inlineStr">
        <is>
          <t>D0220</t>
        </is>
      </c>
      <c r="C201" s="3" t="inlineStr">
        <is>
          <t>A0037</t>
        </is>
      </c>
      <c r="D201" s="4" t="n">
        <v>46223</v>
      </c>
      <c r="E201" s="5" t="n">
        <v>22833</v>
      </c>
      <c r="F201" s="3" t="inlineStr">
        <is>
          <t>Cash</t>
        </is>
      </c>
    </row>
    <row r="202">
      <c r="A202" s="3" t="inlineStr">
        <is>
          <t>P00201</t>
        </is>
      </c>
      <c r="B202" s="3" t="inlineStr">
        <is>
          <t>D0221</t>
        </is>
      </c>
      <c r="C202" s="3" t="inlineStr">
        <is>
          <t>A0037</t>
        </is>
      </c>
      <c r="D202" s="4" t="n">
        <v>46250</v>
      </c>
      <c r="E202" s="5" t="n">
        <v>22833</v>
      </c>
      <c r="F202" s="3" t="inlineStr">
        <is>
          <t>NEFT</t>
        </is>
      </c>
    </row>
    <row r="203">
      <c r="A203" s="3" t="inlineStr">
        <is>
          <t>P00202</t>
        </is>
      </c>
      <c r="B203" s="3" t="inlineStr">
        <is>
          <t>D0222</t>
        </is>
      </c>
      <c r="C203" s="3" t="inlineStr">
        <is>
          <t>A0037</t>
        </is>
      </c>
      <c r="D203" s="4" t="n">
        <v>46281</v>
      </c>
      <c r="E203" s="5" t="n">
        <v>22833</v>
      </c>
      <c r="F203" s="3" t="inlineStr">
        <is>
          <t>UPI</t>
        </is>
      </c>
    </row>
    <row r="204">
      <c r="A204" s="3" t="inlineStr">
        <is>
          <t>P00203</t>
        </is>
      </c>
      <c r="B204" s="3" t="inlineStr">
        <is>
          <t>D0223</t>
        </is>
      </c>
      <c r="C204" s="3" t="inlineStr">
        <is>
          <t>A0038</t>
        </is>
      </c>
      <c r="D204" s="4" t="n">
        <v>46147</v>
      </c>
      <c r="E204" s="5" t="n">
        <v>11167</v>
      </c>
      <c r="F204" s="3" t="inlineStr">
        <is>
          <t>UPI</t>
        </is>
      </c>
    </row>
    <row r="205">
      <c r="A205" s="3" t="inlineStr">
        <is>
          <t>P00204</t>
        </is>
      </c>
      <c r="B205" s="3" t="inlineStr">
        <is>
          <t>D0224</t>
        </is>
      </c>
      <c r="C205" s="3" t="inlineStr">
        <is>
          <t>A0038</t>
        </is>
      </c>
      <c r="D205" s="4" t="n">
        <v>46166</v>
      </c>
      <c r="E205" s="5" t="n">
        <v>11167</v>
      </c>
      <c r="F205" s="3" t="inlineStr">
        <is>
          <t>UPI</t>
        </is>
      </c>
    </row>
    <row r="206">
      <c r="A206" s="3" t="inlineStr">
        <is>
          <t>P00205</t>
        </is>
      </c>
      <c r="B206" s="3" t="inlineStr">
        <is>
          <t>D0225</t>
        </is>
      </c>
      <c r="C206" s="3" t="inlineStr">
        <is>
          <t>A0038</t>
        </is>
      </c>
      <c r="D206" s="4" t="n">
        <v>46198</v>
      </c>
      <c r="E206" s="5" t="n">
        <v>11167</v>
      </c>
      <c r="F206" s="3" t="inlineStr">
        <is>
          <t>UPI</t>
        </is>
      </c>
    </row>
    <row r="207">
      <c r="A207" s="3" t="inlineStr">
        <is>
          <t>P00206</t>
        </is>
      </c>
      <c r="B207" s="3" t="inlineStr">
        <is>
          <t>D0226</t>
        </is>
      </c>
      <c r="C207" s="3" t="inlineStr">
        <is>
          <t>A0038</t>
        </is>
      </c>
      <c r="D207" s="4" t="n">
        <v>46240</v>
      </c>
      <c r="E207" s="5" t="n">
        <v>11167</v>
      </c>
      <c r="F207" s="3" t="inlineStr">
        <is>
          <t>Cash</t>
        </is>
      </c>
    </row>
    <row r="208">
      <c r="A208" s="3" t="inlineStr">
        <is>
          <t>P00207</t>
        </is>
      </c>
      <c r="B208" s="3" t="inlineStr">
        <is>
          <t>D0227</t>
        </is>
      </c>
      <c r="C208" s="3" t="inlineStr">
        <is>
          <t>A0038</t>
        </is>
      </c>
      <c r="D208" s="4" t="n">
        <v>46252</v>
      </c>
      <c r="E208" s="5" t="n">
        <v>11167</v>
      </c>
      <c r="F208" s="3" t="inlineStr">
        <is>
          <t>Cash</t>
        </is>
      </c>
    </row>
    <row r="209">
      <c r="A209" s="3" t="inlineStr">
        <is>
          <t>P00208</t>
        </is>
      </c>
      <c r="B209" s="3" t="inlineStr">
        <is>
          <t>D0228</t>
        </is>
      </c>
      <c r="C209" s="3" t="inlineStr">
        <is>
          <t>A0038</t>
        </is>
      </c>
      <c r="D209" s="4" t="n">
        <v>46300</v>
      </c>
      <c r="E209" s="5" t="n">
        <v>11167</v>
      </c>
      <c r="F209" s="3" t="inlineStr">
        <is>
          <t>NEFT</t>
        </is>
      </c>
    </row>
    <row r="210">
      <c r="A210" s="3" t="inlineStr">
        <is>
          <t>P00209</t>
        </is>
      </c>
      <c r="B210" s="3" t="inlineStr">
        <is>
          <t>D0229</t>
        </is>
      </c>
      <c r="C210" s="3" t="inlineStr">
        <is>
          <t>A0039</t>
        </is>
      </c>
      <c r="D210" s="4" t="n">
        <v>46117</v>
      </c>
      <c r="E210" s="5" t="n">
        <v>27000</v>
      </c>
      <c r="F210" s="3" t="inlineStr">
        <is>
          <t>Cash</t>
        </is>
      </c>
    </row>
    <row r="211">
      <c r="A211" s="3" t="inlineStr">
        <is>
          <t>P00210</t>
        </is>
      </c>
      <c r="B211" s="3" t="inlineStr">
        <is>
          <t>D0230</t>
        </is>
      </c>
      <c r="C211" s="3" t="inlineStr">
        <is>
          <t>A0039</t>
        </is>
      </c>
      <c r="D211" s="4" t="n">
        <v>46146</v>
      </c>
      <c r="E211" s="5" t="n">
        <v>27000</v>
      </c>
      <c r="F211" s="3" t="inlineStr">
        <is>
          <t>Cash</t>
        </is>
      </c>
    </row>
    <row r="212">
      <c r="A212" s="3" t="inlineStr">
        <is>
          <t>P00211</t>
        </is>
      </c>
      <c r="B212" s="3" t="inlineStr">
        <is>
          <t>D0231</t>
        </is>
      </c>
      <c r="C212" s="3" t="inlineStr">
        <is>
          <t>A0039</t>
        </is>
      </c>
      <c r="D212" s="4" t="n">
        <v>46179</v>
      </c>
      <c r="E212" s="5" t="n">
        <v>27000</v>
      </c>
      <c r="F212" s="3" t="inlineStr">
        <is>
          <t>Cash</t>
        </is>
      </c>
    </row>
    <row r="213">
      <c r="A213" s="3" t="inlineStr">
        <is>
          <t>P00212</t>
        </is>
      </c>
      <c r="B213" s="3" t="inlineStr">
        <is>
          <t>D0232</t>
        </is>
      </c>
      <c r="C213" s="3" t="inlineStr">
        <is>
          <t>A0039</t>
        </is>
      </c>
      <c r="D213" s="4" t="n">
        <v>46208</v>
      </c>
      <c r="E213" s="5" t="n">
        <v>27000</v>
      </c>
      <c r="F213" s="3" t="inlineStr">
        <is>
          <t>Cash</t>
        </is>
      </c>
    </row>
    <row r="214">
      <c r="A214" s="3" t="inlineStr">
        <is>
          <t>P00213</t>
        </is>
      </c>
      <c r="B214" s="3" t="inlineStr">
        <is>
          <t>D0233</t>
        </is>
      </c>
      <c r="C214" s="3" t="inlineStr">
        <is>
          <t>A0039</t>
        </is>
      </c>
      <c r="D214" s="4" t="n">
        <v>46236</v>
      </c>
      <c r="E214" s="5" t="n">
        <v>27000</v>
      </c>
      <c r="F214" s="3" t="inlineStr">
        <is>
          <t>UPI</t>
        </is>
      </c>
    </row>
    <row r="215">
      <c r="A215" s="3" t="inlineStr">
        <is>
          <t>P00214</t>
        </is>
      </c>
      <c r="B215" s="3" t="inlineStr">
        <is>
          <t>D0234</t>
        </is>
      </c>
      <c r="C215" s="3" t="inlineStr">
        <is>
          <t>A0039</t>
        </is>
      </c>
      <c r="D215" s="4" t="n">
        <v>46273</v>
      </c>
      <c r="E215" s="5" t="n">
        <v>27000</v>
      </c>
      <c r="F215" s="3" t="inlineStr">
        <is>
          <t>Cash</t>
        </is>
      </c>
    </row>
    <row r="216">
      <c r="A216" s="3" t="inlineStr">
        <is>
          <t>P00215</t>
        </is>
      </c>
      <c r="B216" s="3" t="inlineStr">
        <is>
          <t>D0235</t>
        </is>
      </c>
      <c r="C216" s="3" t="inlineStr">
        <is>
          <t>A0040</t>
        </is>
      </c>
      <c r="D216" s="4" t="n">
        <v>46119</v>
      </c>
      <c r="E216" s="5" t="n">
        <v>7167</v>
      </c>
      <c r="F216" s="3" t="inlineStr">
        <is>
          <t>UPI</t>
        </is>
      </c>
    </row>
    <row r="217">
      <c r="A217" s="3" t="inlineStr">
        <is>
          <t>P00216</t>
        </is>
      </c>
      <c r="B217" s="3" t="inlineStr">
        <is>
          <t>D0236</t>
        </is>
      </c>
      <c r="C217" s="3" t="inlineStr">
        <is>
          <t>A0040</t>
        </is>
      </c>
      <c r="D217" s="4" t="n">
        <v>46145</v>
      </c>
      <c r="E217" s="5" t="n">
        <v>7167</v>
      </c>
      <c r="F217" s="3" t="inlineStr">
        <is>
          <t>Cash</t>
        </is>
      </c>
    </row>
    <row r="218">
      <c r="A218" s="3" t="inlineStr">
        <is>
          <t>P00217</t>
        </is>
      </c>
      <c r="B218" s="3" t="inlineStr">
        <is>
          <t>D0237</t>
        </is>
      </c>
      <c r="C218" s="3" t="inlineStr">
        <is>
          <t>A0040</t>
        </is>
      </c>
      <c r="D218" s="4" t="n">
        <v>46175</v>
      </c>
      <c r="E218" s="5" t="n">
        <v>7167</v>
      </c>
      <c r="F218" s="3" t="inlineStr">
        <is>
          <t>Cash</t>
        </is>
      </c>
    </row>
    <row r="219">
      <c r="A219" s="3" t="inlineStr">
        <is>
          <t>P00218</t>
        </is>
      </c>
      <c r="B219" s="3" t="inlineStr">
        <is>
          <t>D0238</t>
        </is>
      </c>
      <c r="C219" s="3" t="inlineStr">
        <is>
          <t>A0040</t>
        </is>
      </c>
      <c r="D219" s="4" t="n">
        <v>46206</v>
      </c>
      <c r="E219" s="5" t="n">
        <v>7167</v>
      </c>
      <c r="F219" s="3" t="inlineStr">
        <is>
          <t>NEFT</t>
        </is>
      </c>
    </row>
    <row r="220">
      <c r="A220" s="3" t="inlineStr">
        <is>
          <t>P00219</t>
        </is>
      </c>
      <c r="B220" s="3" t="inlineStr">
        <is>
          <t>D0239</t>
        </is>
      </c>
      <c r="C220" s="3" t="inlineStr">
        <is>
          <t>A0040</t>
        </is>
      </c>
      <c r="D220" s="4" t="n">
        <v>46238</v>
      </c>
      <c r="E220" s="5" t="n">
        <v>7167</v>
      </c>
      <c r="F220" s="3" t="inlineStr">
        <is>
          <t>NEFT</t>
        </is>
      </c>
    </row>
    <row r="221">
      <c r="A221" s="3" t="inlineStr">
        <is>
          <t>P00220</t>
        </is>
      </c>
      <c r="B221" s="3" t="inlineStr">
        <is>
          <t>D0240</t>
        </is>
      </c>
      <c r="C221" s="3" t="inlineStr">
        <is>
          <t>A0040</t>
        </is>
      </c>
      <c r="D221" s="4" t="n">
        <v>46268</v>
      </c>
      <c r="E221" s="5" t="n">
        <v>7167</v>
      </c>
      <c r="F221" s="3" t="inlineStr">
        <is>
          <t>NEFT</t>
        </is>
      </c>
    </row>
    <row r="222">
      <c r="A222" s="3" t="inlineStr">
        <is>
          <t>P00221</t>
        </is>
      </c>
      <c r="B222" s="3" t="inlineStr">
        <is>
          <t>D0241</t>
        </is>
      </c>
      <c r="C222" s="3" t="inlineStr">
        <is>
          <t>A0041</t>
        </is>
      </c>
      <c r="D222" s="4" t="n">
        <v>46116</v>
      </c>
      <c r="E222" s="5" t="n">
        <v>19667</v>
      </c>
      <c r="F222" s="3" t="inlineStr">
        <is>
          <t>NEFT</t>
        </is>
      </c>
    </row>
    <row r="223">
      <c r="A223" s="3" t="inlineStr">
        <is>
          <t>P00222</t>
        </is>
      </c>
      <c r="B223" s="3" t="inlineStr">
        <is>
          <t>D0242</t>
        </is>
      </c>
      <c r="C223" s="3" t="inlineStr">
        <is>
          <t>A0041</t>
        </is>
      </c>
      <c r="D223" s="4" t="n">
        <v>46145</v>
      </c>
      <c r="E223" s="5" t="n">
        <v>19667</v>
      </c>
      <c r="F223" s="3" t="inlineStr">
        <is>
          <t>UPI</t>
        </is>
      </c>
    </row>
    <row r="224">
      <c r="A224" s="3" t="inlineStr">
        <is>
          <t>P00223</t>
        </is>
      </c>
      <c r="B224" s="3" t="inlineStr">
        <is>
          <t>D0243</t>
        </is>
      </c>
      <c r="C224" s="3" t="inlineStr">
        <is>
          <t>A0041</t>
        </is>
      </c>
      <c r="D224" s="4" t="n">
        <v>46179</v>
      </c>
      <c r="E224" s="5" t="n">
        <v>19667</v>
      </c>
      <c r="F224" s="3" t="inlineStr">
        <is>
          <t>Cash</t>
        </is>
      </c>
    </row>
    <row r="225">
      <c r="A225" s="3" t="inlineStr">
        <is>
          <t>P00224</t>
        </is>
      </c>
      <c r="B225" s="3" t="inlineStr">
        <is>
          <t>D0244</t>
        </is>
      </c>
      <c r="C225" s="3" t="inlineStr">
        <is>
          <t>A0041</t>
        </is>
      </c>
      <c r="D225" s="4" t="n">
        <v>46209</v>
      </c>
      <c r="E225" s="5" t="n">
        <v>19667</v>
      </c>
      <c r="F225" s="3" t="inlineStr">
        <is>
          <t>UPI</t>
        </is>
      </c>
    </row>
    <row r="226">
      <c r="A226" s="3" t="inlineStr">
        <is>
          <t>P00225</t>
        </is>
      </c>
      <c r="B226" s="3" t="inlineStr">
        <is>
          <t>D0245</t>
        </is>
      </c>
      <c r="C226" s="3" t="inlineStr">
        <is>
          <t>A0041</t>
        </is>
      </c>
      <c r="D226" s="4" t="n">
        <v>46241</v>
      </c>
      <c r="E226" s="5" t="n">
        <v>19667</v>
      </c>
      <c r="F226" s="3" t="inlineStr">
        <is>
          <t>Cash</t>
        </is>
      </c>
    </row>
    <row r="227">
      <c r="A227" s="3" t="inlineStr">
        <is>
          <t>P00226</t>
        </is>
      </c>
      <c r="B227" s="3" t="inlineStr">
        <is>
          <t>D0246</t>
        </is>
      </c>
      <c r="C227" s="3" t="inlineStr">
        <is>
          <t>A0041</t>
        </is>
      </c>
      <c r="D227" s="4" t="n">
        <v>46272</v>
      </c>
      <c r="E227" s="5" t="n">
        <v>19667</v>
      </c>
      <c r="F227" s="3" t="inlineStr">
        <is>
          <t>Cash</t>
        </is>
      </c>
    </row>
    <row r="228">
      <c r="A228" s="3" t="inlineStr">
        <is>
          <t>P00227</t>
        </is>
      </c>
      <c r="B228" s="3" t="inlineStr">
        <is>
          <t>D0247</t>
        </is>
      </c>
      <c r="C228" s="3" t="inlineStr">
        <is>
          <t>A0042</t>
        </is>
      </c>
      <c r="D228" s="4" t="n">
        <v>46161</v>
      </c>
      <c r="E228" s="5" t="n">
        <v>11000</v>
      </c>
      <c r="F228" s="3" t="inlineStr">
        <is>
          <t>Cash</t>
        </is>
      </c>
    </row>
    <row r="229">
      <c r="A229" s="3" t="inlineStr">
        <is>
          <t>P00228</t>
        </is>
      </c>
      <c r="B229" s="3" t="inlineStr">
        <is>
          <t>D0248</t>
        </is>
      </c>
      <c r="C229" s="3" t="inlineStr">
        <is>
          <t>A0042</t>
        </is>
      </c>
      <c r="D229" s="4" t="n">
        <v>46148</v>
      </c>
      <c r="E229" s="5" t="n">
        <v>11000</v>
      </c>
      <c r="F229" s="3" t="inlineStr">
        <is>
          <t>UPI</t>
        </is>
      </c>
    </row>
    <row r="230">
      <c r="A230" s="3" t="inlineStr">
        <is>
          <t>P00229</t>
        </is>
      </c>
      <c r="B230" s="3" t="inlineStr">
        <is>
          <t>D0249</t>
        </is>
      </c>
      <c r="C230" s="3" t="inlineStr">
        <is>
          <t>A0042</t>
        </is>
      </c>
      <c r="D230" s="4" t="n">
        <v>46179</v>
      </c>
      <c r="E230" s="5" t="n">
        <v>11000</v>
      </c>
      <c r="F230" s="3" t="inlineStr">
        <is>
          <t>UPI</t>
        </is>
      </c>
    </row>
    <row r="231">
      <c r="A231" s="3" t="inlineStr">
        <is>
          <t>P00230</t>
        </is>
      </c>
      <c r="B231" s="3" t="inlineStr">
        <is>
          <t>D0250</t>
        </is>
      </c>
      <c r="C231" s="3" t="inlineStr">
        <is>
          <t>A0042</t>
        </is>
      </c>
      <c r="D231" s="4" t="n">
        <v>46276</v>
      </c>
      <c r="E231" s="5" t="n">
        <v>11000</v>
      </c>
      <c r="F231" s="3" t="inlineStr">
        <is>
          <t>Cash</t>
        </is>
      </c>
    </row>
    <row r="232">
      <c r="A232" s="3" t="inlineStr">
        <is>
          <t>P00231</t>
        </is>
      </c>
      <c r="B232" s="3" t="inlineStr">
        <is>
          <t>D0251</t>
        </is>
      </c>
      <c r="C232" s="3" t="inlineStr">
        <is>
          <t>A0042</t>
        </is>
      </c>
      <c r="D232" s="4" t="n">
        <v>46285</v>
      </c>
      <c r="E232" s="5" t="n">
        <v>11000</v>
      </c>
      <c r="F232" s="3" t="inlineStr">
        <is>
          <t>NEFT</t>
        </is>
      </c>
    </row>
    <row r="233">
      <c r="A233" s="3" t="inlineStr">
        <is>
          <t>P00232</t>
        </is>
      </c>
      <c r="B233" s="3" t="inlineStr">
        <is>
          <t>D0252</t>
        </is>
      </c>
      <c r="C233" s="3" t="inlineStr">
        <is>
          <t>A0042</t>
        </is>
      </c>
      <c r="D233" s="4" t="n">
        <v>46277</v>
      </c>
      <c r="E233" s="5" t="n">
        <v>11000</v>
      </c>
      <c r="F233" s="3" t="inlineStr">
        <is>
          <t>NEFT</t>
        </is>
      </c>
    </row>
    <row r="234">
      <c r="A234" s="3" t="inlineStr">
        <is>
          <t>P00233</t>
        </is>
      </c>
      <c r="B234" s="3" t="inlineStr">
        <is>
          <t>D0253</t>
        </is>
      </c>
      <c r="C234" s="3" t="inlineStr">
        <is>
          <t>A0043</t>
        </is>
      </c>
      <c r="D234" s="4" t="n">
        <v>46116</v>
      </c>
      <c r="E234" s="5" t="n">
        <v>25667</v>
      </c>
      <c r="F234" s="3" t="inlineStr">
        <is>
          <t>UPI</t>
        </is>
      </c>
    </row>
    <row r="235">
      <c r="A235" s="3" t="inlineStr">
        <is>
          <t>P00234</t>
        </is>
      </c>
      <c r="B235" s="3" t="inlineStr">
        <is>
          <t>D0254</t>
        </is>
      </c>
      <c r="C235" s="3" t="inlineStr">
        <is>
          <t>A0043</t>
        </is>
      </c>
      <c r="D235" s="4" t="n">
        <v>46144</v>
      </c>
      <c r="E235" s="5" t="n">
        <v>25667</v>
      </c>
      <c r="F235" s="3" t="inlineStr">
        <is>
          <t>UPI</t>
        </is>
      </c>
    </row>
    <row r="236">
      <c r="A236" s="3" t="inlineStr">
        <is>
          <t>P00235</t>
        </is>
      </c>
      <c r="B236" s="3" t="inlineStr">
        <is>
          <t>D0255</t>
        </is>
      </c>
      <c r="C236" s="3" t="inlineStr">
        <is>
          <t>A0043</t>
        </is>
      </c>
      <c r="D236" s="4" t="n">
        <v>46177</v>
      </c>
      <c r="E236" s="5" t="n">
        <v>25667</v>
      </c>
      <c r="F236" s="3" t="inlineStr">
        <is>
          <t>NEFT</t>
        </is>
      </c>
    </row>
    <row r="237">
      <c r="A237" s="3" t="inlineStr">
        <is>
          <t>P00236</t>
        </is>
      </c>
      <c r="B237" s="3" t="inlineStr">
        <is>
          <t>D0256</t>
        </is>
      </c>
      <c r="C237" s="3" t="inlineStr">
        <is>
          <t>A0043</t>
        </is>
      </c>
      <c r="D237" s="4" t="n">
        <v>46207</v>
      </c>
      <c r="E237" s="5" t="n">
        <v>25667</v>
      </c>
      <c r="F237" s="3" t="inlineStr">
        <is>
          <t>UPI</t>
        </is>
      </c>
    </row>
    <row r="238">
      <c r="A238" s="3" t="inlineStr">
        <is>
          <t>P00237</t>
        </is>
      </c>
      <c r="B238" s="3" t="inlineStr">
        <is>
          <t>D0257</t>
        </is>
      </c>
      <c r="C238" s="3" t="inlineStr">
        <is>
          <t>A0043</t>
        </is>
      </c>
      <c r="D238" s="4" t="n">
        <v>46241</v>
      </c>
      <c r="E238" s="5" t="n">
        <v>25667</v>
      </c>
      <c r="F238" s="3" t="inlineStr">
        <is>
          <t>NEFT</t>
        </is>
      </c>
    </row>
    <row r="239">
      <c r="A239" s="3" t="inlineStr">
        <is>
          <t>P00238</t>
        </is>
      </c>
      <c r="B239" s="3" t="inlineStr">
        <is>
          <t>D0258</t>
        </is>
      </c>
      <c r="C239" s="3" t="inlineStr">
        <is>
          <t>A0043</t>
        </is>
      </c>
      <c r="D239" s="4" t="n">
        <v>46272</v>
      </c>
      <c r="E239" s="5" t="n">
        <v>25667</v>
      </c>
      <c r="F239" s="3" t="inlineStr">
        <is>
          <t>Cash</t>
        </is>
      </c>
    </row>
    <row r="240">
      <c r="A240" s="3" t="inlineStr">
        <is>
          <t>P00239</t>
        </is>
      </c>
      <c r="B240" s="3" t="inlineStr">
        <is>
          <t>D0259</t>
        </is>
      </c>
      <c r="C240" s="3" t="inlineStr">
        <is>
          <t>A0044</t>
        </is>
      </c>
      <c r="D240" s="4" t="n">
        <v>46119</v>
      </c>
      <c r="E240" s="5" t="n">
        <v>18000</v>
      </c>
      <c r="F240" s="3" t="inlineStr">
        <is>
          <t>NEFT</t>
        </is>
      </c>
    </row>
    <row r="241">
      <c r="A241" s="3" t="inlineStr">
        <is>
          <t>P00240</t>
        </is>
      </c>
      <c r="B241" s="3" t="inlineStr">
        <is>
          <t>D0260</t>
        </is>
      </c>
      <c r="C241" s="3" t="inlineStr">
        <is>
          <t>A0044</t>
        </is>
      </c>
      <c r="D241" s="4" t="n">
        <v>46146</v>
      </c>
      <c r="E241" s="5" t="n">
        <v>18000</v>
      </c>
      <c r="F241" s="3" t="inlineStr">
        <is>
          <t>UPI</t>
        </is>
      </c>
    </row>
    <row r="242">
      <c r="A242" s="3" t="inlineStr">
        <is>
          <t>P00241</t>
        </is>
      </c>
      <c r="B242" s="3" t="inlineStr">
        <is>
          <t>D0261</t>
        </is>
      </c>
      <c r="C242" s="3" t="inlineStr">
        <is>
          <t>A0044</t>
        </is>
      </c>
      <c r="D242" s="4" t="n">
        <v>46175</v>
      </c>
      <c r="E242" s="5" t="n">
        <v>18000</v>
      </c>
      <c r="F242" s="3" t="inlineStr">
        <is>
          <t>UPI</t>
        </is>
      </c>
    </row>
    <row r="243">
      <c r="A243" s="3" t="inlineStr">
        <is>
          <t>P00242</t>
        </is>
      </c>
      <c r="B243" s="3" t="inlineStr">
        <is>
          <t>D0262</t>
        </is>
      </c>
      <c r="C243" s="3" t="inlineStr">
        <is>
          <t>A0044</t>
        </is>
      </c>
      <c r="D243" s="4" t="n">
        <v>46210</v>
      </c>
      <c r="E243" s="5" t="n">
        <v>18000</v>
      </c>
      <c r="F243" s="3" t="inlineStr">
        <is>
          <t>Cash</t>
        </is>
      </c>
    </row>
    <row r="244">
      <c r="A244" s="3" t="inlineStr">
        <is>
          <t>P00243</t>
        </is>
      </c>
      <c r="B244" s="3" t="inlineStr">
        <is>
          <t>D0263</t>
        </is>
      </c>
      <c r="C244" s="3" t="inlineStr">
        <is>
          <t>A0044</t>
        </is>
      </c>
      <c r="D244" s="4" t="n">
        <v>46239</v>
      </c>
      <c r="E244" s="5" t="n">
        <v>18000</v>
      </c>
      <c r="F244" s="3" t="inlineStr">
        <is>
          <t>NEFT</t>
        </is>
      </c>
    </row>
    <row r="245">
      <c r="A245" s="3" t="inlineStr">
        <is>
          <t>P00244</t>
        </is>
      </c>
      <c r="B245" s="3" t="inlineStr">
        <is>
          <t>D0264</t>
        </is>
      </c>
      <c r="C245" s="3" t="inlineStr">
        <is>
          <t>A0044</t>
        </is>
      </c>
      <c r="D245" s="4" t="n">
        <v>46268</v>
      </c>
      <c r="E245" s="5" t="n">
        <v>18000</v>
      </c>
      <c r="F245" s="3" t="inlineStr">
        <is>
          <t>Cash</t>
        </is>
      </c>
    </row>
    <row r="246">
      <c r="A246" s="3" t="inlineStr">
        <is>
          <t>P00245</t>
        </is>
      </c>
      <c r="B246" s="3" t="inlineStr">
        <is>
          <t>D0265</t>
        </is>
      </c>
      <c r="C246" s="3" t="inlineStr">
        <is>
          <t>A0045</t>
        </is>
      </c>
      <c r="D246" s="4" t="n">
        <v>46117</v>
      </c>
      <c r="E246" s="5" t="n">
        <v>32500</v>
      </c>
      <c r="F246" s="3" t="inlineStr">
        <is>
          <t>UPI</t>
        </is>
      </c>
    </row>
    <row r="247">
      <c r="A247" s="3" t="inlineStr">
        <is>
          <t>P00246</t>
        </is>
      </c>
      <c r="B247" s="3" t="inlineStr">
        <is>
          <t>D0266</t>
        </is>
      </c>
      <c r="C247" s="3" t="inlineStr">
        <is>
          <t>A0045</t>
        </is>
      </c>
      <c r="D247" s="4" t="n">
        <v>46148</v>
      </c>
      <c r="E247" s="5" t="n">
        <v>32500</v>
      </c>
      <c r="F247" s="3" t="inlineStr">
        <is>
          <t>Cash</t>
        </is>
      </c>
    </row>
    <row r="248">
      <c r="A248" s="3" t="inlineStr">
        <is>
          <t>P00247</t>
        </is>
      </c>
      <c r="B248" s="3" t="inlineStr">
        <is>
          <t>D0267</t>
        </is>
      </c>
      <c r="C248" s="3" t="inlineStr">
        <is>
          <t>A0045</t>
        </is>
      </c>
      <c r="D248" s="4" t="n">
        <v>46176</v>
      </c>
      <c r="E248" s="5" t="n">
        <v>32500</v>
      </c>
      <c r="F248" s="3" t="inlineStr">
        <is>
          <t>UPI</t>
        </is>
      </c>
    </row>
    <row r="249">
      <c r="A249" s="3" t="inlineStr">
        <is>
          <t>P00248</t>
        </is>
      </c>
      <c r="B249" s="3" t="inlineStr">
        <is>
          <t>D0268</t>
        </is>
      </c>
      <c r="C249" s="3" t="inlineStr">
        <is>
          <t>A0045</t>
        </is>
      </c>
      <c r="D249" s="4" t="n">
        <v>46208</v>
      </c>
      <c r="E249" s="5" t="n">
        <v>32500</v>
      </c>
      <c r="F249" s="3" t="inlineStr">
        <is>
          <t>UPI</t>
        </is>
      </c>
    </row>
    <row r="250">
      <c r="A250" s="3" t="inlineStr">
        <is>
          <t>P00249</t>
        </is>
      </c>
      <c r="B250" s="3" t="inlineStr">
        <is>
          <t>D0269</t>
        </is>
      </c>
      <c r="C250" s="3" t="inlineStr">
        <is>
          <t>A0045</t>
        </is>
      </c>
      <c r="D250" s="4" t="n">
        <v>46239</v>
      </c>
      <c r="E250" s="5" t="n">
        <v>32500</v>
      </c>
      <c r="F250" s="3" t="inlineStr">
        <is>
          <t>NEFT</t>
        </is>
      </c>
    </row>
    <row r="251">
      <c r="A251" s="3" t="inlineStr">
        <is>
          <t>P00250</t>
        </is>
      </c>
      <c r="B251" s="3" t="inlineStr">
        <is>
          <t>D0270</t>
        </is>
      </c>
      <c r="C251" s="3" t="inlineStr">
        <is>
          <t>A0045</t>
        </is>
      </c>
      <c r="D251" s="4" t="n">
        <v>46272</v>
      </c>
      <c r="E251" s="5" t="n">
        <v>32500</v>
      </c>
      <c r="F251" s="3" t="inlineStr">
        <is>
          <t>UPI</t>
        </is>
      </c>
    </row>
    <row r="252">
      <c r="A252" s="3" t="inlineStr">
        <is>
          <t>P00251</t>
        </is>
      </c>
      <c r="B252" s="3" t="inlineStr">
        <is>
          <t>D0271</t>
        </is>
      </c>
      <c r="C252" s="3" t="inlineStr">
        <is>
          <t>A0046</t>
        </is>
      </c>
      <c r="D252" s="4" t="n">
        <v>46158</v>
      </c>
      <c r="E252" s="5" t="n">
        <v>20000</v>
      </c>
      <c r="F252" s="3" t="inlineStr">
        <is>
          <t>NEFT</t>
        </is>
      </c>
    </row>
    <row r="253">
      <c r="A253" s="3" t="inlineStr">
        <is>
          <t>P00252</t>
        </is>
      </c>
      <c r="B253" s="3" t="inlineStr">
        <is>
          <t>D0272</t>
        </is>
      </c>
      <c r="C253" s="3" t="inlineStr">
        <is>
          <t>A0046</t>
        </is>
      </c>
      <c r="D253" s="4" t="n">
        <v>46150</v>
      </c>
      <c r="E253" s="5" t="n">
        <v>20000</v>
      </c>
      <c r="F253" s="3" t="inlineStr">
        <is>
          <t>UPI</t>
        </is>
      </c>
    </row>
    <row r="254">
      <c r="A254" s="3" t="inlineStr">
        <is>
          <t>P00253</t>
        </is>
      </c>
      <c r="B254" s="3" t="inlineStr">
        <is>
          <t>D0273</t>
        </is>
      </c>
      <c r="C254" s="3" t="inlineStr">
        <is>
          <t>A0046</t>
        </is>
      </c>
      <c r="D254" s="4" t="n">
        <v>46181</v>
      </c>
      <c r="E254" s="5" t="n">
        <v>20000</v>
      </c>
      <c r="F254" s="3" t="inlineStr">
        <is>
          <t>UPI</t>
        </is>
      </c>
    </row>
    <row r="255">
      <c r="A255" s="3" t="inlineStr">
        <is>
          <t>P00254</t>
        </is>
      </c>
      <c r="B255" s="3" t="inlineStr">
        <is>
          <t>D0274</t>
        </is>
      </c>
      <c r="C255" s="3" t="inlineStr">
        <is>
          <t>A0046</t>
        </is>
      </c>
      <c r="D255" s="4" t="n">
        <v>46243</v>
      </c>
      <c r="E255" s="5" t="n">
        <v>20000</v>
      </c>
      <c r="F255" s="3" t="inlineStr">
        <is>
          <t>UPI</t>
        </is>
      </c>
    </row>
    <row r="256">
      <c r="A256" s="3" t="inlineStr">
        <is>
          <t>P00255</t>
        </is>
      </c>
      <c r="B256" s="3" t="inlineStr">
        <is>
          <t>D0275</t>
        </is>
      </c>
      <c r="C256" s="3" t="inlineStr">
        <is>
          <t>A0046</t>
        </is>
      </c>
      <c r="D256" s="4" t="n">
        <v>46240</v>
      </c>
      <c r="E256" s="5" t="n">
        <v>20000</v>
      </c>
      <c r="F256" s="3" t="inlineStr">
        <is>
          <t>Cash</t>
        </is>
      </c>
    </row>
    <row r="257">
      <c r="A257" s="3" t="inlineStr">
        <is>
          <t>P00256</t>
        </is>
      </c>
      <c r="B257" s="3" t="inlineStr">
        <is>
          <t>D0276</t>
        </is>
      </c>
      <c r="C257" s="3" t="inlineStr">
        <is>
          <t>A0046</t>
        </is>
      </c>
      <c r="D257" s="4" t="n">
        <v>46279</v>
      </c>
      <c r="E257" s="5" t="n">
        <v>20000</v>
      </c>
      <c r="F257" s="3" t="inlineStr">
        <is>
          <t>UPI</t>
        </is>
      </c>
    </row>
    <row r="258">
      <c r="A258" s="3" t="inlineStr">
        <is>
          <t>P00257</t>
        </is>
      </c>
      <c r="B258" s="3" t="inlineStr">
        <is>
          <t>D0283</t>
        </is>
      </c>
      <c r="C258" s="3" t="inlineStr">
        <is>
          <t>A0048</t>
        </is>
      </c>
      <c r="D258" s="4" t="n">
        <v>46146</v>
      </c>
      <c r="E258" s="5" t="n">
        <v>14167</v>
      </c>
      <c r="F258" s="3" t="inlineStr">
        <is>
          <t>NEFT</t>
        </is>
      </c>
    </row>
    <row r="259">
      <c r="A259" s="3" t="inlineStr">
        <is>
          <t>P00258</t>
        </is>
      </c>
      <c r="B259" s="3" t="inlineStr">
        <is>
          <t>D0284</t>
        </is>
      </c>
      <c r="C259" s="3" t="inlineStr">
        <is>
          <t>A0048</t>
        </is>
      </c>
      <c r="D259" s="4" t="n">
        <v>46186</v>
      </c>
      <c r="E259" s="5" t="n">
        <v>14167</v>
      </c>
      <c r="F259" s="3" t="inlineStr">
        <is>
          <t>UPI</t>
        </is>
      </c>
    </row>
    <row r="260">
      <c r="A260" s="3" t="inlineStr">
        <is>
          <t>P00259</t>
        </is>
      </c>
      <c r="B260" s="3" t="inlineStr">
        <is>
          <t>D0285</t>
        </is>
      </c>
      <c r="C260" s="3" t="inlineStr">
        <is>
          <t>A0048</t>
        </is>
      </c>
      <c r="D260" s="4" t="n">
        <v>46204</v>
      </c>
      <c r="E260" s="5" t="n">
        <v>14167</v>
      </c>
      <c r="F260" s="3" t="inlineStr">
        <is>
          <t>UPI</t>
        </is>
      </c>
    </row>
    <row r="261">
      <c r="A261" s="3" t="inlineStr">
        <is>
          <t>P00260</t>
        </is>
      </c>
      <c r="B261" s="3" t="inlineStr">
        <is>
          <t>D0286</t>
        </is>
      </c>
      <c r="C261" s="3" t="inlineStr">
        <is>
          <t>A0048</t>
        </is>
      </c>
      <c r="D261" s="4" t="n">
        <v>46230</v>
      </c>
      <c r="E261" s="5" t="n">
        <v>14167</v>
      </c>
      <c r="F261" s="3" t="inlineStr">
        <is>
          <t>NEFT</t>
        </is>
      </c>
    </row>
    <row r="262">
      <c r="A262" s="3" t="inlineStr">
        <is>
          <t>P00261</t>
        </is>
      </c>
      <c r="B262" s="3" t="inlineStr">
        <is>
          <t>D0287</t>
        </is>
      </c>
      <c r="C262" s="3" t="inlineStr">
        <is>
          <t>A0048</t>
        </is>
      </c>
      <c r="D262" s="4" t="n">
        <v>46277</v>
      </c>
      <c r="E262" s="5" t="n">
        <v>14167</v>
      </c>
      <c r="F262" s="3" t="inlineStr">
        <is>
          <t>UPI</t>
        </is>
      </c>
    </row>
    <row r="263">
      <c r="A263" s="3" t="inlineStr">
        <is>
          <t>P00262</t>
        </is>
      </c>
      <c r="B263" s="3" t="inlineStr">
        <is>
          <t>D0288</t>
        </is>
      </c>
      <c r="C263" s="3" t="inlineStr">
        <is>
          <t>A0048</t>
        </is>
      </c>
      <c r="D263" s="4" t="n">
        <v>46289</v>
      </c>
      <c r="E263" s="5" t="n">
        <v>14167</v>
      </c>
      <c r="F263" s="3" t="inlineStr">
        <is>
          <t>UPI</t>
        </is>
      </c>
    </row>
    <row r="264">
      <c r="A264" s="3" t="inlineStr">
        <is>
          <t>P00263</t>
        </is>
      </c>
      <c r="B264" s="3" t="inlineStr">
        <is>
          <t>D0301</t>
        </is>
      </c>
      <c r="C264" s="3" t="inlineStr">
        <is>
          <t>A0051</t>
        </is>
      </c>
      <c r="D264" s="4" t="n">
        <v>46157</v>
      </c>
      <c r="E264" s="5" t="n">
        <v>22333</v>
      </c>
      <c r="F264" s="3" t="inlineStr">
        <is>
          <t>UPI</t>
        </is>
      </c>
    </row>
    <row r="265">
      <c r="A265" s="3" t="inlineStr">
        <is>
          <t>P00264</t>
        </is>
      </c>
      <c r="B265" s="3" t="inlineStr">
        <is>
          <t>D0302</t>
        </is>
      </c>
      <c r="C265" s="3" t="inlineStr">
        <is>
          <t>A0051</t>
        </is>
      </c>
      <c r="D265" s="4" t="n">
        <v>46170</v>
      </c>
      <c r="E265" s="5" t="n">
        <v>22333</v>
      </c>
      <c r="F265" s="3" t="inlineStr">
        <is>
          <t>NEFT</t>
        </is>
      </c>
    </row>
    <row r="266">
      <c r="A266" s="3" t="inlineStr">
        <is>
          <t>P00265</t>
        </is>
      </c>
      <c r="B266" s="3" t="inlineStr">
        <is>
          <t>D0303</t>
        </is>
      </c>
      <c r="C266" s="3" t="inlineStr">
        <is>
          <t>A0051</t>
        </is>
      </c>
      <c r="D266" s="4" t="n">
        <v>46203</v>
      </c>
      <c r="E266" s="5" t="n">
        <v>22333</v>
      </c>
      <c r="F266" s="3" t="inlineStr">
        <is>
          <t>NEFT</t>
        </is>
      </c>
    </row>
    <row r="267">
      <c r="A267" s="3" t="inlineStr">
        <is>
          <t>P00266</t>
        </is>
      </c>
      <c r="B267" s="3" t="inlineStr">
        <is>
          <t>D0304</t>
        </is>
      </c>
      <c r="C267" s="3" t="inlineStr">
        <is>
          <t>A0051</t>
        </is>
      </c>
      <c r="D267" s="4" t="n">
        <v>46219</v>
      </c>
      <c r="E267" s="5" t="n">
        <v>22333</v>
      </c>
      <c r="F267" s="3" t="inlineStr">
        <is>
          <t>UPI</t>
        </is>
      </c>
    </row>
    <row r="268">
      <c r="A268" s="3" t="inlineStr">
        <is>
          <t>P00267</t>
        </is>
      </c>
      <c r="B268" s="3" t="inlineStr">
        <is>
          <t>D0305</t>
        </is>
      </c>
      <c r="C268" s="3" t="inlineStr">
        <is>
          <t>A0051</t>
        </is>
      </c>
      <c r="D268" s="4" t="n">
        <v>46271</v>
      </c>
      <c r="E268" s="5" t="n">
        <v>22333</v>
      </c>
      <c r="F268" s="3" t="inlineStr">
        <is>
          <t>UPI</t>
        </is>
      </c>
    </row>
    <row r="269">
      <c r="A269" s="3" t="inlineStr">
        <is>
          <t>P00268</t>
        </is>
      </c>
      <c r="B269" s="3" t="inlineStr">
        <is>
          <t>D0306</t>
        </is>
      </c>
      <c r="C269" s="3" t="inlineStr">
        <is>
          <t>A0051</t>
        </is>
      </c>
      <c r="D269" s="4" t="n">
        <v>46301</v>
      </c>
      <c r="E269" s="5" t="n">
        <v>22333</v>
      </c>
      <c r="F269" s="3" t="inlineStr">
        <is>
          <t>UPI</t>
        </is>
      </c>
    </row>
    <row r="270">
      <c r="A270" s="3" t="inlineStr">
        <is>
          <t>P00269</t>
        </is>
      </c>
      <c r="B270" s="3" t="inlineStr">
        <is>
          <t>D0307</t>
        </is>
      </c>
      <c r="C270" s="3" t="inlineStr">
        <is>
          <t>A0052</t>
        </is>
      </c>
      <c r="D270" s="4" t="n">
        <v>46119</v>
      </c>
      <c r="E270" s="5" t="n">
        <v>27833</v>
      </c>
      <c r="F270" s="3" t="inlineStr">
        <is>
          <t>UPI</t>
        </is>
      </c>
    </row>
    <row r="271">
      <c r="A271" s="3" t="inlineStr">
        <is>
          <t>P00270</t>
        </is>
      </c>
      <c r="B271" s="3" t="inlineStr">
        <is>
          <t>D0308</t>
        </is>
      </c>
      <c r="C271" s="3" t="inlineStr">
        <is>
          <t>A0052</t>
        </is>
      </c>
      <c r="D271" s="4" t="n">
        <v>46147</v>
      </c>
      <c r="E271" s="5" t="n">
        <v>27833</v>
      </c>
      <c r="F271" s="3" t="inlineStr">
        <is>
          <t>Cash</t>
        </is>
      </c>
    </row>
    <row r="272">
      <c r="A272" s="3" t="inlineStr">
        <is>
          <t>P00271</t>
        </is>
      </c>
      <c r="B272" s="3" t="inlineStr">
        <is>
          <t>D0309</t>
        </is>
      </c>
      <c r="C272" s="3" t="inlineStr">
        <is>
          <t>A0052</t>
        </is>
      </c>
      <c r="D272" s="4" t="n">
        <v>46178</v>
      </c>
      <c r="E272" s="5" t="n">
        <v>27833</v>
      </c>
      <c r="F272" s="3" t="inlineStr">
        <is>
          <t>UPI</t>
        </is>
      </c>
    </row>
    <row r="273">
      <c r="A273" s="3" t="inlineStr">
        <is>
          <t>P00272</t>
        </is>
      </c>
      <c r="B273" s="3" t="inlineStr">
        <is>
          <t>D0310</t>
        </is>
      </c>
      <c r="C273" s="3" t="inlineStr">
        <is>
          <t>A0052</t>
        </is>
      </c>
      <c r="D273" s="4" t="n">
        <v>46205</v>
      </c>
      <c r="E273" s="5" t="n">
        <v>27833</v>
      </c>
      <c r="F273" s="3" t="inlineStr">
        <is>
          <t>Cash</t>
        </is>
      </c>
    </row>
    <row r="274">
      <c r="A274" s="3" t="inlineStr">
        <is>
          <t>P00273</t>
        </is>
      </c>
      <c r="B274" s="3" t="inlineStr">
        <is>
          <t>D0311</t>
        </is>
      </c>
      <c r="C274" s="3" t="inlineStr">
        <is>
          <t>A0052</t>
        </is>
      </c>
      <c r="D274" s="4" t="n">
        <v>46238</v>
      </c>
      <c r="E274" s="5" t="n">
        <v>27833</v>
      </c>
      <c r="F274" s="3" t="inlineStr">
        <is>
          <t>Cash</t>
        </is>
      </c>
    </row>
    <row r="275">
      <c r="A275" s="3" t="inlineStr">
        <is>
          <t>P00274</t>
        </is>
      </c>
      <c r="B275" s="3" t="inlineStr">
        <is>
          <t>D0312</t>
        </is>
      </c>
      <c r="C275" s="3" t="inlineStr">
        <is>
          <t>A0052</t>
        </is>
      </c>
      <c r="D275" s="4" t="n">
        <v>46267</v>
      </c>
      <c r="E275" s="5" t="n">
        <v>27833</v>
      </c>
      <c r="F275" s="3" t="inlineStr">
        <is>
          <t>UPI</t>
        </is>
      </c>
    </row>
    <row r="276">
      <c r="A276" s="3" t="inlineStr">
        <is>
          <t>P00275</t>
        </is>
      </c>
      <c r="B276" s="3" t="inlineStr">
        <is>
          <t>D0313</t>
        </is>
      </c>
      <c r="C276" s="3" t="inlineStr">
        <is>
          <t>A0053</t>
        </is>
      </c>
      <c r="D276" s="4" t="n">
        <v>46119</v>
      </c>
      <c r="E276" s="5" t="n">
        <v>27500</v>
      </c>
      <c r="F276" s="3" t="inlineStr">
        <is>
          <t>Cash</t>
        </is>
      </c>
    </row>
    <row r="277">
      <c r="A277" s="3" t="inlineStr">
        <is>
          <t>P00276</t>
        </is>
      </c>
      <c r="B277" s="3" t="inlineStr">
        <is>
          <t>D0314</t>
        </is>
      </c>
      <c r="C277" s="3" t="inlineStr">
        <is>
          <t>A0053</t>
        </is>
      </c>
      <c r="D277" s="4" t="n">
        <v>46145</v>
      </c>
      <c r="E277" s="5" t="n">
        <v>27500</v>
      </c>
      <c r="F277" s="3" t="inlineStr">
        <is>
          <t>Cash</t>
        </is>
      </c>
    </row>
    <row r="278">
      <c r="A278" s="3" t="inlineStr">
        <is>
          <t>P00277</t>
        </is>
      </c>
      <c r="B278" s="3" t="inlineStr">
        <is>
          <t>D0315</t>
        </is>
      </c>
      <c r="C278" s="3" t="inlineStr">
        <is>
          <t>A0053</t>
        </is>
      </c>
      <c r="D278" s="4" t="n">
        <v>46181</v>
      </c>
      <c r="E278" s="5" t="n">
        <v>27500</v>
      </c>
      <c r="F278" s="3" t="inlineStr">
        <is>
          <t>NEFT</t>
        </is>
      </c>
    </row>
    <row r="279">
      <c r="A279" s="3" t="inlineStr">
        <is>
          <t>P00278</t>
        </is>
      </c>
      <c r="B279" s="3" t="inlineStr">
        <is>
          <t>D0316</t>
        </is>
      </c>
      <c r="C279" s="3" t="inlineStr">
        <is>
          <t>A0053</t>
        </is>
      </c>
      <c r="D279" s="4" t="n">
        <v>46208</v>
      </c>
      <c r="E279" s="5" t="n">
        <v>27500</v>
      </c>
      <c r="F279" s="3" t="inlineStr">
        <is>
          <t>UPI</t>
        </is>
      </c>
    </row>
    <row r="280">
      <c r="A280" s="3" t="inlineStr">
        <is>
          <t>P00279</t>
        </is>
      </c>
      <c r="B280" s="3" t="inlineStr">
        <is>
          <t>D0317</t>
        </is>
      </c>
      <c r="C280" s="3" t="inlineStr">
        <is>
          <t>A0053</t>
        </is>
      </c>
      <c r="D280" s="4" t="n">
        <v>46237</v>
      </c>
      <c r="E280" s="5" t="n">
        <v>27500</v>
      </c>
      <c r="F280" s="3" t="inlineStr">
        <is>
          <t>UPI</t>
        </is>
      </c>
    </row>
    <row r="281">
      <c r="A281" s="3" t="inlineStr">
        <is>
          <t>P00280</t>
        </is>
      </c>
      <c r="B281" s="3" t="inlineStr">
        <is>
          <t>D0318</t>
        </is>
      </c>
      <c r="C281" s="3" t="inlineStr">
        <is>
          <t>A0053</t>
        </is>
      </c>
      <c r="D281" s="4" t="n">
        <v>46267</v>
      </c>
      <c r="E281" s="5" t="n">
        <v>27500</v>
      </c>
      <c r="F281" s="3" t="inlineStr">
        <is>
          <t>Cash</t>
        </is>
      </c>
    </row>
    <row r="282">
      <c r="A282" s="3" t="inlineStr">
        <is>
          <t>P00281</t>
        </is>
      </c>
      <c r="B282" s="3" t="inlineStr">
        <is>
          <t>D0319</t>
        </is>
      </c>
      <c r="C282" s="3" t="inlineStr">
        <is>
          <t>A0054</t>
        </is>
      </c>
      <c r="D282" s="4" t="n">
        <v>46120</v>
      </c>
      <c r="E282" s="5" t="n">
        <v>20667</v>
      </c>
      <c r="F282" s="3" t="inlineStr">
        <is>
          <t>Cash</t>
        </is>
      </c>
    </row>
    <row r="283">
      <c r="A283" s="3" t="inlineStr">
        <is>
          <t>P00282</t>
        </is>
      </c>
      <c r="B283" s="3" t="inlineStr">
        <is>
          <t>D0320</t>
        </is>
      </c>
      <c r="C283" s="3" t="inlineStr">
        <is>
          <t>A0054</t>
        </is>
      </c>
      <c r="D283" s="4" t="n">
        <v>46147</v>
      </c>
      <c r="E283" s="5" t="n">
        <v>20667</v>
      </c>
      <c r="F283" s="3" t="inlineStr">
        <is>
          <t>UPI</t>
        </is>
      </c>
    </row>
    <row r="284">
      <c r="A284" s="3" t="inlineStr">
        <is>
          <t>P00283</t>
        </is>
      </c>
      <c r="B284" s="3" t="inlineStr">
        <is>
          <t>D0321</t>
        </is>
      </c>
      <c r="C284" s="3" t="inlineStr">
        <is>
          <t>A0054</t>
        </is>
      </c>
      <c r="D284" s="4" t="n">
        <v>46180</v>
      </c>
      <c r="E284" s="5" t="n">
        <v>20667</v>
      </c>
      <c r="F284" s="3" t="inlineStr">
        <is>
          <t>NEFT</t>
        </is>
      </c>
    </row>
    <row r="285">
      <c r="A285" s="3" t="inlineStr">
        <is>
          <t>P00284</t>
        </is>
      </c>
      <c r="B285" s="3" t="inlineStr">
        <is>
          <t>D0322</t>
        </is>
      </c>
      <c r="C285" s="3" t="inlineStr">
        <is>
          <t>A0054</t>
        </is>
      </c>
      <c r="D285" s="4" t="n">
        <v>46210</v>
      </c>
      <c r="E285" s="5" t="n">
        <v>20667</v>
      </c>
      <c r="F285" s="3" t="inlineStr">
        <is>
          <t>Cash</t>
        </is>
      </c>
    </row>
    <row r="286">
      <c r="A286" s="3" t="inlineStr">
        <is>
          <t>P00285</t>
        </is>
      </c>
      <c r="B286" s="3" t="inlineStr">
        <is>
          <t>D0323</t>
        </is>
      </c>
      <c r="C286" s="3" t="inlineStr">
        <is>
          <t>A0054</t>
        </is>
      </c>
      <c r="D286" s="4" t="n">
        <v>46239</v>
      </c>
      <c r="E286" s="5" t="n">
        <v>20667</v>
      </c>
      <c r="F286" s="3" t="inlineStr">
        <is>
          <t>UPI</t>
        </is>
      </c>
    </row>
    <row r="287">
      <c r="A287" s="3" t="inlineStr">
        <is>
          <t>P00286</t>
        </is>
      </c>
      <c r="B287" s="3" t="inlineStr">
        <is>
          <t>D0324</t>
        </is>
      </c>
      <c r="C287" s="3" t="inlineStr">
        <is>
          <t>A0054</t>
        </is>
      </c>
      <c r="D287" s="4" t="n">
        <v>46268</v>
      </c>
      <c r="E287" s="5" t="n">
        <v>20667</v>
      </c>
      <c r="F287" s="3" t="inlineStr">
        <is>
          <t>NEFT</t>
        </is>
      </c>
    </row>
    <row r="288">
      <c r="A288" s="3" t="inlineStr">
        <is>
          <t>P00287</t>
        </is>
      </c>
      <c r="B288" s="3" t="inlineStr">
        <is>
          <t>D0325</t>
        </is>
      </c>
      <c r="C288" s="3" t="inlineStr">
        <is>
          <t>A0055</t>
        </is>
      </c>
      <c r="D288" s="4" t="n">
        <v>46120</v>
      </c>
      <c r="E288" s="5" t="n">
        <v>21333</v>
      </c>
      <c r="F288" s="3" t="inlineStr">
        <is>
          <t>NEFT</t>
        </is>
      </c>
    </row>
    <row r="289">
      <c r="A289" s="3" t="inlineStr">
        <is>
          <t>P00288</t>
        </is>
      </c>
      <c r="B289" s="3" t="inlineStr">
        <is>
          <t>D0326</t>
        </is>
      </c>
      <c r="C289" s="3" t="inlineStr">
        <is>
          <t>A0055</t>
        </is>
      </c>
      <c r="D289" s="4" t="n">
        <v>46147</v>
      </c>
      <c r="E289" s="5" t="n">
        <v>21333</v>
      </c>
      <c r="F289" s="3" t="inlineStr">
        <is>
          <t>Cash</t>
        </is>
      </c>
    </row>
    <row r="290">
      <c r="A290" s="3" t="inlineStr">
        <is>
          <t>P00289</t>
        </is>
      </c>
      <c r="B290" s="3" t="inlineStr">
        <is>
          <t>D0327</t>
        </is>
      </c>
      <c r="C290" s="3" t="inlineStr">
        <is>
          <t>A0055</t>
        </is>
      </c>
      <c r="D290" s="4" t="n">
        <v>46180</v>
      </c>
      <c r="E290" s="5" t="n">
        <v>21333</v>
      </c>
      <c r="F290" s="3" t="inlineStr">
        <is>
          <t>Cash</t>
        </is>
      </c>
    </row>
    <row r="291">
      <c r="A291" s="3" t="inlineStr">
        <is>
          <t>P00290</t>
        </is>
      </c>
      <c r="B291" s="3" t="inlineStr">
        <is>
          <t>D0328</t>
        </is>
      </c>
      <c r="C291" s="3" t="inlineStr">
        <is>
          <t>A0055</t>
        </is>
      </c>
      <c r="D291" s="4" t="n">
        <v>46209</v>
      </c>
      <c r="E291" s="5" t="n">
        <v>21333</v>
      </c>
      <c r="F291" s="3" t="inlineStr">
        <is>
          <t>UPI</t>
        </is>
      </c>
    </row>
    <row r="292">
      <c r="A292" s="3" t="inlineStr">
        <is>
          <t>P00291</t>
        </is>
      </c>
      <c r="B292" s="3" t="inlineStr">
        <is>
          <t>D0329</t>
        </is>
      </c>
      <c r="C292" s="3" t="inlineStr">
        <is>
          <t>A0055</t>
        </is>
      </c>
      <c r="D292" s="4" t="n">
        <v>46242</v>
      </c>
      <c r="E292" s="5" t="n">
        <v>21333</v>
      </c>
      <c r="F292" s="3" t="inlineStr">
        <is>
          <t>UPI</t>
        </is>
      </c>
    </row>
    <row r="293">
      <c r="A293" s="3" t="inlineStr">
        <is>
          <t>P00292</t>
        </is>
      </c>
      <c r="B293" s="3" t="inlineStr">
        <is>
          <t>D0330</t>
        </is>
      </c>
      <c r="C293" s="3" t="inlineStr">
        <is>
          <t>A0055</t>
        </is>
      </c>
      <c r="D293" s="4" t="n">
        <v>46271</v>
      </c>
      <c r="E293" s="5" t="n">
        <v>21333</v>
      </c>
      <c r="F293" s="3" t="inlineStr">
        <is>
          <t>Cash</t>
        </is>
      </c>
    </row>
    <row r="294">
      <c r="A294" s="3" t="inlineStr">
        <is>
          <t>P00293</t>
        </is>
      </c>
      <c r="B294" s="3" t="inlineStr">
        <is>
          <t>D0331</t>
        </is>
      </c>
      <c r="C294" s="3" t="inlineStr">
        <is>
          <t>A0056</t>
        </is>
      </c>
      <c r="D294" s="4" t="n">
        <v>46120</v>
      </c>
      <c r="E294" s="5" t="n">
        <v>11500</v>
      </c>
      <c r="F294" s="3" t="inlineStr">
        <is>
          <t>UPI</t>
        </is>
      </c>
    </row>
    <row r="295">
      <c r="A295" s="3" t="inlineStr">
        <is>
          <t>P00294</t>
        </is>
      </c>
      <c r="B295" s="3" t="inlineStr">
        <is>
          <t>D0332</t>
        </is>
      </c>
      <c r="C295" s="3" t="inlineStr">
        <is>
          <t>A0056</t>
        </is>
      </c>
      <c r="D295" s="4" t="n">
        <v>46145</v>
      </c>
      <c r="E295" s="5" t="n">
        <v>11500</v>
      </c>
      <c r="F295" s="3" t="inlineStr">
        <is>
          <t>UPI</t>
        </is>
      </c>
    </row>
    <row r="296">
      <c r="A296" s="3" t="inlineStr">
        <is>
          <t>P00295</t>
        </is>
      </c>
      <c r="B296" s="3" t="inlineStr">
        <is>
          <t>D0333</t>
        </is>
      </c>
      <c r="C296" s="3" t="inlineStr">
        <is>
          <t>A0056</t>
        </is>
      </c>
      <c r="D296" s="4" t="n">
        <v>46178</v>
      </c>
      <c r="E296" s="5" t="n">
        <v>11500</v>
      </c>
      <c r="F296" s="3" t="inlineStr">
        <is>
          <t>UPI</t>
        </is>
      </c>
    </row>
    <row r="297">
      <c r="A297" s="3" t="inlineStr">
        <is>
          <t>P00296</t>
        </is>
      </c>
      <c r="B297" s="3" t="inlineStr">
        <is>
          <t>D0334</t>
        </is>
      </c>
      <c r="C297" s="3" t="inlineStr">
        <is>
          <t>A0056</t>
        </is>
      </c>
      <c r="D297" s="4" t="n">
        <v>46209</v>
      </c>
      <c r="E297" s="5" t="n">
        <v>11500</v>
      </c>
      <c r="F297" s="3" t="inlineStr">
        <is>
          <t>Cash</t>
        </is>
      </c>
    </row>
    <row r="298">
      <c r="A298" s="3" t="inlineStr">
        <is>
          <t>P00297</t>
        </is>
      </c>
      <c r="B298" s="3" t="inlineStr">
        <is>
          <t>D0335</t>
        </is>
      </c>
      <c r="C298" s="3" t="inlineStr">
        <is>
          <t>A0056</t>
        </is>
      </c>
      <c r="D298" s="4" t="n">
        <v>46241</v>
      </c>
      <c r="E298" s="5" t="n">
        <v>11500</v>
      </c>
      <c r="F298" s="3" t="inlineStr">
        <is>
          <t>UPI</t>
        </is>
      </c>
    </row>
    <row r="299">
      <c r="A299" s="3" t="inlineStr">
        <is>
          <t>P00298</t>
        </is>
      </c>
      <c r="B299" s="3" t="inlineStr">
        <is>
          <t>D0336</t>
        </is>
      </c>
      <c r="C299" s="3" t="inlineStr">
        <is>
          <t>A0056</t>
        </is>
      </c>
      <c r="D299" s="4" t="n">
        <v>46273</v>
      </c>
      <c r="E299" s="5" t="n">
        <v>11500</v>
      </c>
      <c r="F299" s="3" t="inlineStr">
        <is>
          <t>NEFT</t>
        </is>
      </c>
    </row>
    <row r="300">
      <c r="A300" s="3" t="inlineStr">
        <is>
          <t>P00299</t>
        </is>
      </c>
      <c r="B300" s="3" t="inlineStr">
        <is>
          <t>D0337</t>
        </is>
      </c>
      <c r="C300" s="3" t="inlineStr">
        <is>
          <t>A0057</t>
        </is>
      </c>
      <c r="D300" s="4" t="n">
        <v>46119</v>
      </c>
      <c r="E300" s="5" t="n">
        <v>15667</v>
      </c>
      <c r="F300" s="3" t="inlineStr">
        <is>
          <t>UPI</t>
        </is>
      </c>
    </row>
    <row r="301">
      <c r="A301" s="3" t="inlineStr">
        <is>
          <t>P00300</t>
        </is>
      </c>
      <c r="B301" s="3" t="inlineStr">
        <is>
          <t>D0338</t>
        </is>
      </c>
      <c r="C301" s="3" t="inlineStr">
        <is>
          <t>A0057</t>
        </is>
      </c>
      <c r="D301" s="4" t="n">
        <v>46145</v>
      </c>
      <c r="E301" s="5" t="n">
        <v>15667</v>
      </c>
      <c r="F301" s="3" t="inlineStr">
        <is>
          <t>UPI</t>
        </is>
      </c>
    </row>
    <row r="302">
      <c r="A302" s="3" t="inlineStr">
        <is>
          <t>P00301</t>
        </is>
      </c>
      <c r="B302" s="3" t="inlineStr">
        <is>
          <t>D0339</t>
        </is>
      </c>
      <c r="C302" s="3" t="inlineStr">
        <is>
          <t>A0057</t>
        </is>
      </c>
      <c r="D302" s="4" t="n">
        <v>46178</v>
      </c>
      <c r="E302" s="5" t="n">
        <v>15667</v>
      </c>
      <c r="F302" s="3" t="inlineStr">
        <is>
          <t>NEFT</t>
        </is>
      </c>
    </row>
    <row r="303">
      <c r="A303" s="3" t="inlineStr">
        <is>
          <t>P00302</t>
        </is>
      </c>
      <c r="B303" s="3" t="inlineStr">
        <is>
          <t>D0340</t>
        </is>
      </c>
      <c r="C303" s="3" t="inlineStr">
        <is>
          <t>A0057</t>
        </is>
      </c>
      <c r="D303" s="4" t="n">
        <v>46210</v>
      </c>
      <c r="E303" s="5" t="n">
        <v>15667</v>
      </c>
      <c r="F303" s="3" t="inlineStr">
        <is>
          <t>UPI</t>
        </is>
      </c>
    </row>
    <row r="304">
      <c r="A304" s="3" t="inlineStr">
        <is>
          <t>P00303</t>
        </is>
      </c>
      <c r="B304" s="3" t="inlineStr">
        <is>
          <t>D0341</t>
        </is>
      </c>
      <c r="C304" s="3" t="inlineStr">
        <is>
          <t>A0057</t>
        </is>
      </c>
      <c r="D304" s="4" t="n">
        <v>46236</v>
      </c>
      <c r="E304" s="5" t="n">
        <v>15667</v>
      </c>
      <c r="F304" s="3" t="inlineStr">
        <is>
          <t>Cash</t>
        </is>
      </c>
    </row>
    <row r="305">
      <c r="A305" s="3" t="inlineStr">
        <is>
          <t>P00304</t>
        </is>
      </c>
      <c r="B305" s="3" t="inlineStr">
        <is>
          <t>D0342</t>
        </is>
      </c>
      <c r="C305" s="3" t="inlineStr">
        <is>
          <t>A0057</t>
        </is>
      </c>
      <c r="D305" s="4" t="n">
        <v>46271</v>
      </c>
      <c r="E305" s="5" t="n">
        <v>15667</v>
      </c>
      <c r="F305" s="3" t="inlineStr">
        <is>
          <t>UPI</t>
        </is>
      </c>
    </row>
    <row r="306">
      <c r="A306" s="3" t="inlineStr">
        <is>
          <t>P00305</t>
        </is>
      </c>
      <c r="B306" s="3" t="inlineStr">
        <is>
          <t>D0343</t>
        </is>
      </c>
      <c r="C306" s="3" t="inlineStr">
        <is>
          <t>A0058</t>
        </is>
      </c>
      <c r="D306" s="4" t="n">
        <v>46117</v>
      </c>
      <c r="E306" s="5" t="n">
        <v>5000</v>
      </c>
      <c r="F306" s="3" t="inlineStr">
        <is>
          <t>UPI</t>
        </is>
      </c>
    </row>
    <row r="307">
      <c r="A307" s="3" t="inlineStr">
        <is>
          <t>P00306</t>
        </is>
      </c>
      <c r="B307" s="3" t="inlineStr">
        <is>
          <t>D0344</t>
        </is>
      </c>
      <c r="C307" s="3" t="inlineStr">
        <is>
          <t>A0058</t>
        </is>
      </c>
      <c r="D307" s="4" t="n">
        <v>46144</v>
      </c>
      <c r="E307" s="5" t="n">
        <v>5000</v>
      </c>
      <c r="F307" s="3" t="inlineStr">
        <is>
          <t>Cash</t>
        </is>
      </c>
    </row>
    <row r="308">
      <c r="A308" s="3" t="inlineStr">
        <is>
          <t>P00307</t>
        </is>
      </c>
      <c r="B308" s="3" t="inlineStr">
        <is>
          <t>D0345</t>
        </is>
      </c>
      <c r="C308" s="3" t="inlineStr">
        <is>
          <t>A0058</t>
        </is>
      </c>
      <c r="D308" s="4" t="n">
        <v>46179</v>
      </c>
      <c r="E308" s="5" t="n">
        <v>5000</v>
      </c>
      <c r="F308" s="3" t="inlineStr">
        <is>
          <t>NEFT</t>
        </is>
      </c>
    </row>
    <row r="309">
      <c r="A309" s="3" t="inlineStr">
        <is>
          <t>P00308</t>
        </is>
      </c>
      <c r="B309" s="3" t="inlineStr">
        <is>
          <t>D0346</t>
        </is>
      </c>
      <c r="C309" s="3" t="inlineStr">
        <is>
          <t>A0058</t>
        </is>
      </c>
      <c r="D309" s="4" t="n">
        <v>46210</v>
      </c>
      <c r="E309" s="5" t="n">
        <v>5000</v>
      </c>
      <c r="F309" s="3" t="inlineStr">
        <is>
          <t>Cash</t>
        </is>
      </c>
    </row>
    <row r="310">
      <c r="A310" s="3" t="inlineStr">
        <is>
          <t>P00309</t>
        </is>
      </c>
      <c r="B310" s="3" t="inlineStr">
        <is>
          <t>D0347</t>
        </is>
      </c>
      <c r="C310" s="3" t="inlineStr">
        <is>
          <t>A0058</t>
        </is>
      </c>
      <c r="D310" s="4" t="n">
        <v>46241</v>
      </c>
      <c r="E310" s="5" t="n">
        <v>5000</v>
      </c>
      <c r="F310" s="3" t="inlineStr">
        <is>
          <t>Cash</t>
        </is>
      </c>
    </row>
    <row r="311">
      <c r="A311" s="3" t="inlineStr">
        <is>
          <t>P00310</t>
        </is>
      </c>
      <c r="B311" s="3" t="inlineStr">
        <is>
          <t>D0348</t>
        </is>
      </c>
      <c r="C311" s="3" t="inlineStr">
        <is>
          <t>A0058</t>
        </is>
      </c>
      <c r="D311" s="4" t="n">
        <v>46270</v>
      </c>
      <c r="E311" s="5" t="n">
        <v>5000</v>
      </c>
      <c r="F311" s="3" t="inlineStr">
        <is>
          <t>NEFT</t>
        </is>
      </c>
    </row>
    <row r="312">
      <c r="A312" s="3" t="inlineStr">
        <is>
          <t>P00311</t>
        </is>
      </c>
      <c r="B312" s="3" t="inlineStr">
        <is>
          <t>D0349</t>
        </is>
      </c>
      <c r="C312" s="3" t="inlineStr">
        <is>
          <t>A0059</t>
        </is>
      </c>
      <c r="D312" s="4" t="n">
        <v>46115</v>
      </c>
      <c r="E312" s="5" t="n">
        <v>29167</v>
      </c>
      <c r="F312" s="3" t="inlineStr">
        <is>
          <t>NEFT</t>
        </is>
      </c>
    </row>
    <row r="313">
      <c r="A313" s="3" t="inlineStr">
        <is>
          <t>P00312</t>
        </is>
      </c>
      <c r="B313" s="3" t="inlineStr">
        <is>
          <t>D0350</t>
        </is>
      </c>
      <c r="C313" s="3" t="inlineStr">
        <is>
          <t>A0059</t>
        </is>
      </c>
      <c r="D313" s="4" t="n">
        <v>46149</v>
      </c>
      <c r="E313" s="5" t="n">
        <v>29167</v>
      </c>
      <c r="F313" s="3" t="inlineStr">
        <is>
          <t>Cash</t>
        </is>
      </c>
    </row>
    <row r="314">
      <c r="A314" s="3" t="inlineStr">
        <is>
          <t>P00313</t>
        </is>
      </c>
      <c r="B314" s="3" t="inlineStr">
        <is>
          <t>D0351</t>
        </is>
      </c>
      <c r="C314" s="3" t="inlineStr">
        <is>
          <t>A0059</t>
        </is>
      </c>
      <c r="D314" s="4" t="n">
        <v>46179</v>
      </c>
      <c r="E314" s="5" t="n">
        <v>29167</v>
      </c>
      <c r="F314" s="3" t="inlineStr">
        <is>
          <t>Cash</t>
        </is>
      </c>
    </row>
    <row r="315">
      <c r="A315" s="3" t="inlineStr">
        <is>
          <t>P00314</t>
        </is>
      </c>
      <c r="B315" s="3" t="inlineStr">
        <is>
          <t>D0352</t>
        </is>
      </c>
      <c r="C315" s="3" t="inlineStr">
        <is>
          <t>A0059</t>
        </is>
      </c>
      <c r="D315" s="4" t="n">
        <v>46205</v>
      </c>
      <c r="E315" s="5" t="n">
        <v>29167</v>
      </c>
      <c r="F315" s="3" t="inlineStr">
        <is>
          <t>UPI</t>
        </is>
      </c>
    </row>
    <row r="316">
      <c r="A316" s="3" t="inlineStr">
        <is>
          <t>P00315</t>
        </is>
      </c>
      <c r="B316" s="3" t="inlineStr">
        <is>
          <t>D0353</t>
        </is>
      </c>
      <c r="C316" s="3" t="inlineStr">
        <is>
          <t>A0059</t>
        </is>
      </c>
      <c r="D316" s="4" t="n">
        <v>46238</v>
      </c>
      <c r="E316" s="5" t="n">
        <v>29167</v>
      </c>
      <c r="F316" s="3" t="inlineStr">
        <is>
          <t>Cash</t>
        </is>
      </c>
    </row>
    <row r="317">
      <c r="A317" s="3" t="inlineStr">
        <is>
          <t>P00316</t>
        </is>
      </c>
      <c r="B317" s="3" t="inlineStr">
        <is>
          <t>D0354</t>
        </is>
      </c>
      <c r="C317" s="3" t="inlineStr">
        <is>
          <t>A0059</t>
        </is>
      </c>
      <c r="D317" s="4" t="n">
        <v>46273</v>
      </c>
      <c r="E317" s="5" t="n">
        <v>29167</v>
      </c>
      <c r="F317" s="3" t="inlineStr">
        <is>
          <t>UPI</t>
        </is>
      </c>
    </row>
    <row r="318">
      <c r="A318" s="3" t="inlineStr">
        <is>
          <t>P00317</t>
        </is>
      </c>
      <c r="B318" s="3" t="inlineStr">
        <is>
          <t>D0355</t>
        </is>
      </c>
      <c r="C318" s="3" t="inlineStr">
        <is>
          <t>A0060</t>
        </is>
      </c>
      <c r="D318" s="4" t="n">
        <v>46115</v>
      </c>
      <c r="E318" s="5" t="n">
        <v>21333</v>
      </c>
      <c r="F318" s="3" t="inlineStr">
        <is>
          <t>NEFT</t>
        </is>
      </c>
    </row>
    <row r="319">
      <c r="A319" s="3" t="inlineStr">
        <is>
          <t>P00318</t>
        </is>
      </c>
      <c r="B319" s="3" t="inlineStr">
        <is>
          <t>D0356</t>
        </is>
      </c>
      <c r="C319" s="3" t="inlineStr">
        <is>
          <t>A0060</t>
        </is>
      </c>
      <c r="D319" s="4" t="n">
        <v>46149</v>
      </c>
      <c r="E319" s="5" t="n">
        <v>21333</v>
      </c>
      <c r="F319" s="3" t="inlineStr">
        <is>
          <t>Cash</t>
        </is>
      </c>
    </row>
    <row r="320">
      <c r="A320" s="3" t="inlineStr">
        <is>
          <t>P00319</t>
        </is>
      </c>
      <c r="B320" s="3" t="inlineStr">
        <is>
          <t>D0357</t>
        </is>
      </c>
      <c r="C320" s="3" t="inlineStr">
        <is>
          <t>A0060</t>
        </is>
      </c>
      <c r="D320" s="4" t="n">
        <v>46176</v>
      </c>
      <c r="E320" s="5" t="n">
        <v>21333</v>
      </c>
      <c r="F320" s="3" t="inlineStr">
        <is>
          <t>UPI</t>
        </is>
      </c>
    </row>
    <row r="321">
      <c r="A321" s="3" t="inlineStr">
        <is>
          <t>P00320</t>
        </is>
      </c>
      <c r="B321" s="3" t="inlineStr">
        <is>
          <t>D0358</t>
        </is>
      </c>
      <c r="C321" s="3" t="inlineStr">
        <is>
          <t>A0060</t>
        </is>
      </c>
      <c r="D321" s="4" t="n">
        <v>46211</v>
      </c>
      <c r="E321" s="5" t="n">
        <v>21333</v>
      </c>
      <c r="F321" s="3" t="inlineStr">
        <is>
          <t>Cash</t>
        </is>
      </c>
    </row>
    <row r="322">
      <c r="A322" s="3" t="inlineStr">
        <is>
          <t>P00321</t>
        </is>
      </c>
      <c r="B322" s="3" t="inlineStr">
        <is>
          <t>D0359</t>
        </is>
      </c>
      <c r="C322" s="3" t="inlineStr">
        <is>
          <t>A0060</t>
        </is>
      </c>
      <c r="D322" s="4" t="n">
        <v>46239</v>
      </c>
      <c r="E322" s="5" t="n">
        <v>21333</v>
      </c>
      <c r="F322" s="3" t="inlineStr">
        <is>
          <t>Cash</t>
        </is>
      </c>
    </row>
    <row r="323">
      <c r="A323" s="3" t="inlineStr">
        <is>
          <t>P00322</t>
        </is>
      </c>
      <c r="B323" s="3" t="inlineStr">
        <is>
          <t>D0360</t>
        </is>
      </c>
      <c r="C323" s="3" t="inlineStr">
        <is>
          <t>A0060</t>
        </is>
      </c>
      <c r="D323" s="4" t="n">
        <v>46270</v>
      </c>
      <c r="E323" s="5" t="n">
        <v>21333</v>
      </c>
      <c r="F323" s="3" t="inlineStr">
        <is>
          <t>NEFT</t>
        </is>
      </c>
    </row>
    <row r="324">
      <c r="A324" s="3" t="inlineStr">
        <is>
          <t>P00323</t>
        </is>
      </c>
      <c r="B324" s="3" t="inlineStr">
        <is>
          <t>D0361</t>
        </is>
      </c>
      <c r="C324" s="3" t="inlineStr">
        <is>
          <t>A0061</t>
        </is>
      </c>
      <c r="D324" s="4" t="n">
        <v>46177</v>
      </c>
      <c r="E324" s="5" t="n">
        <v>14000</v>
      </c>
      <c r="F324" s="3" t="inlineStr">
        <is>
          <t>NEFT</t>
        </is>
      </c>
    </row>
    <row r="325">
      <c r="A325" s="3" t="inlineStr">
        <is>
          <t>P00324</t>
        </is>
      </c>
      <c r="B325" s="3" t="inlineStr">
        <is>
          <t>D0362</t>
        </is>
      </c>
      <c r="C325" s="3" t="inlineStr">
        <is>
          <t>A0061</t>
        </is>
      </c>
      <c r="D325" s="4" t="n">
        <v>46209</v>
      </c>
      <c r="E325" s="5" t="n">
        <v>14000</v>
      </c>
      <c r="F325" s="3" t="inlineStr">
        <is>
          <t>Cash</t>
        </is>
      </c>
    </row>
    <row r="326">
      <c r="A326" s="3" t="inlineStr">
        <is>
          <t>P00325</t>
        </is>
      </c>
      <c r="B326" s="3" t="inlineStr">
        <is>
          <t>D0363</t>
        </is>
      </c>
      <c r="C326" s="3" t="inlineStr">
        <is>
          <t>A0061</t>
        </is>
      </c>
      <c r="D326" s="4" t="n">
        <v>46247</v>
      </c>
      <c r="E326" s="5" t="n">
        <v>14000</v>
      </c>
      <c r="F326" s="3" t="inlineStr">
        <is>
          <t>UPI</t>
        </is>
      </c>
    </row>
    <row r="327">
      <c r="A327" s="3" t="inlineStr">
        <is>
          <t>P00326</t>
        </is>
      </c>
      <c r="B327" s="3" t="inlineStr">
        <is>
          <t>D0364</t>
        </is>
      </c>
      <c r="C327" s="3" t="inlineStr">
        <is>
          <t>A0061</t>
        </is>
      </c>
      <c r="D327" s="4" t="n">
        <v>46244</v>
      </c>
      <c r="E327" s="5" t="n">
        <v>14000</v>
      </c>
      <c r="F327" s="3" t="inlineStr">
        <is>
          <t>UPI</t>
        </is>
      </c>
    </row>
    <row r="328">
      <c r="A328" s="3" t="inlineStr">
        <is>
          <t>P00327</t>
        </is>
      </c>
      <c r="B328" s="3" t="inlineStr">
        <is>
          <t>D0365</t>
        </is>
      </c>
      <c r="C328" s="3" t="inlineStr">
        <is>
          <t>A0061</t>
        </is>
      </c>
      <c r="D328" s="4" t="n">
        <v>46308</v>
      </c>
      <c r="E328" s="5" t="n">
        <v>14000</v>
      </c>
      <c r="F328" s="3" t="inlineStr">
        <is>
          <t>NEFT</t>
        </is>
      </c>
    </row>
    <row r="329">
      <c r="A329" s="3" t="inlineStr">
        <is>
          <t>P00328</t>
        </is>
      </c>
      <c r="B329" s="3" t="inlineStr">
        <is>
          <t>D0366</t>
        </is>
      </c>
      <c r="C329" s="3" t="inlineStr">
        <is>
          <t>A0061</t>
        </is>
      </c>
      <c r="D329" s="4" t="n">
        <v>46270</v>
      </c>
      <c r="E329" s="5" t="n">
        <v>14000</v>
      </c>
      <c r="F329" s="3" t="inlineStr">
        <is>
          <t>UPI</t>
        </is>
      </c>
    </row>
    <row r="330">
      <c r="A330" s="3" t="inlineStr">
        <is>
          <t>P00329</t>
        </is>
      </c>
      <c r="B330" s="3" t="inlineStr">
        <is>
          <t>D0367</t>
        </is>
      </c>
      <c r="C330" s="3" t="inlineStr">
        <is>
          <t>A0062</t>
        </is>
      </c>
      <c r="D330" s="4" t="n">
        <v>46119</v>
      </c>
      <c r="E330" s="5" t="n">
        <v>21500</v>
      </c>
      <c r="F330" s="3" t="inlineStr">
        <is>
          <t>UPI</t>
        </is>
      </c>
    </row>
    <row r="331">
      <c r="A331" s="3" t="inlineStr">
        <is>
          <t>P00330</t>
        </is>
      </c>
      <c r="B331" s="3" t="inlineStr">
        <is>
          <t>D0368</t>
        </is>
      </c>
      <c r="C331" s="3" t="inlineStr">
        <is>
          <t>A0062</t>
        </is>
      </c>
      <c r="D331" s="4" t="n">
        <v>46147</v>
      </c>
      <c r="E331" s="5" t="n">
        <v>21500</v>
      </c>
      <c r="F331" s="3" t="inlineStr">
        <is>
          <t>NEFT</t>
        </is>
      </c>
    </row>
    <row r="332">
      <c r="A332" s="3" t="inlineStr">
        <is>
          <t>P00331</t>
        </is>
      </c>
      <c r="B332" s="3" t="inlineStr">
        <is>
          <t>D0369</t>
        </is>
      </c>
      <c r="C332" s="3" t="inlineStr">
        <is>
          <t>A0062</t>
        </is>
      </c>
      <c r="D332" s="4" t="n">
        <v>46181</v>
      </c>
      <c r="E332" s="5" t="n">
        <v>21500</v>
      </c>
      <c r="F332" s="3" t="inlineStr">
        <is>
          <t>UPI</t>
        </is>
      </c>
    </row>
    <row r="333">
      <c r="A333" s="3" t="inlineStr">
        <is>
          <t>P00332</t>
        </is>
      </c>
      <c r="B333" s="3" t="inlineStr">
        <is>
          <t>D0370</t>
        </is>
      </c>
      <c r="C333" s="3" t="inlineStr">
        <is>
          <t>A0062</t>
        </is>
      </c>
      <c r="D333" s="4" t="n">
        <v>46211</v>
      </c>
      <c r="E333" s="5" t="n">
        <v>21500</v>
      </c>
      <c r="F333" s="3" t="inlineStr">
        <is>
          <t>Cash</t>
        </is>
      </c>
    </row>
    <row r="334">
      <c r="A334" s="3" t="inlineStr">
        <is>
          <t>P00333</t>
        </is>
      </c>
      <c r="B334" s="3" t="inlineStr">
        <is>
          <t>D0371</t>
        </is>
      </c>
      <c r="C334" s="3" t="inlineStr">
        <is>
          <t>A0062</t>
        </is>
      </c>
      <c r="D334" s="4" t="n">
        <v>46240</v>
      </c>
      <c r="E334" s="5" t="n">
        <v>21500</v>
      </c>
      <c r="F334" s="3" t="inlineStr">
        <is>
          <t>UPI</t>
        </is>
      </c>
    </row>
    <row r="335">
      <c r="A335" s="3" t="inlineStr">
        <is>
          <t>P00334</t>
        </is>
      </c>
      <c r="B335" s="3" t="inlineStr">
        <is>
          <t>D0372</t>
        </is>
      </c>
      <c r="C335" s="3" t="inlineStr">
        <is>
          <t>A0062</t>
        </is>
      </c>
      <c r="D335" s="4" t="n">
        <v>46268</v>
      </c>
      <c r="E335" s="5" t="n">
        <v>21500</v>
      </c>
      <c r="F335" s="3" t="inlineStr">
        <is>
          <t>NEFT</t>
        </is>
      </c>
    </row>
    <row r="336">
      <c r="A336" s="3" t="inlineStr">
        <is>
          <t>P00335</t>
        </is>
      </c>
      <c r="B336" s="3" t="inlineStr">
        <is>
          <t>D0373</t>
        </is>
      </c>
      <c r="C336" s="3" t="inlineStr">
        <is>
          <t>A0063</t>
        </is>
      </c>
      <c r="D336" s="4" t="n">
        <v>46145</v>
      </c>
      <c r="E336" s="5" t="n">
        <v>32000</v>
      </c>
      <c r="F336" s="3" t="inlineStr">
        <is>
          <t>UPI</t>
        </is>
      </c>
    </row>
    <row r="337">
      <c r="A337" s="3" t="inlineStr">
        <is>
          <t>P00336</t>
        </is>
      </c>
      <c r="B337" s="3" t="inlineStr">
        <is>
          <t>D0374</t>
        </is>
      </c>
      <c r="C337" s="3" t="inlineStr">
        <is>
          <t>A0063</t>
        </is>
      </c>
      <c r="D337" s="4" t="n">
        <v>46174</v>
      </c>
      <c r="E337" s="5" t="n">
        <v>32000</v>
      </c>
      <c r="F337" s="3" t="inlineStr">
        <is>
          <t>Cash</t>
        </is>
      </c>
    </row>
    <row r="338">
      <c r="A338" s="3" t="inlineStr">
        <is>
          <t>P00337</t>
        </is>
      </c>
      <c r="B338" s="3" t="inlineStr">
        <is>
          <t>D0375</t>
        </is>
      </c>
      <c r="C338" s="3" t="inlineStr">
        <is>
          <t>A0063</t>
        </is>
      </c>
      <c r="D338" s="4" t="n">
        <v>46203</v>
      </c>
      <c r="E338" s="5" t="n">
        <v>32000</v>
      </c>
      <c r="F338" s="3" t="inlineStr">
        <is>
          <t>Cash</t>
        </is>
      </c>
    </row>
    <row r="339">
      <c r="A339" s="3" t="inlineStr">
        <is>
          <t>P00338</t>
        </is>
      </c>
      <c r="B339" s="3" t="inlineStr">
        <is>
          <t>D0376</t>
        </is>
      </c>
      <c r="C339" s="3" t="inlineStr">
        <is>
          <t>A0063</t>
        </is>
      </c>
      <c r="D339" s="4" t="n">
        <v>46231</v>
      </c>
      <c r="E339" s="5" t="n">
        <v>32000</v>
      </c>
      <c r="F339" s="3" t="inlineStr">
        <is>
          <t>NEFT</t>
        </is>
      </c>
    </row>
    <row r="340">
      <c r="A340" s="3" t="inlineStr">
        <is>
          <t>P00339</t>
        </is>
      </c>
      <c r="B340" s="3" t="inlineStr">
        <is>
          <t>D0377</t>
        </is>
      </c>
      <c r="C340" s="3" t="inlineStr">
        <is>
          <t>A0063</t>
        </is>
      </c>
      <c r="D340" s="4" t="n">
        <v>46271</v>
      </c>
      <c r="E340" s="5" t="n">
        <v>32000</v>
      </c>
      <c r="F340" s="3" t="inlineStr">
        <is>
          <t>UPI</t>
        </is>
      </c>
    </row>
    <row r="341">
      <c r="A341" s="3" t="inlineStr">
        <is>
          <t>P00340</t>
        </is>
      </c>
      <c r="B341" s="3" t="inlineStr">
        <is>
          <t>D0378</t>
        </is>
      </c>
      <c r="C341" s="3" t="inlineStr">
        <is>
          <t>A0063</t>
        </is>
      </c>
      <c r="D341" s="4" t="n">
        <v>46282</v>
      </c>
      <c r="E341" s="5" t="n">
        <v>32000</v>
      </c>
      <c r="F341" s="3" t="inlineStr">
        <is>
          <t>Cash</t>
        </is>
      </c>
    </row>
    <row r="342">
      <c r="A342" s="3" t="inlineStr">
        <is>
          <t>P00341</t>
        </is>
      </c>
      <c r="B342" s="3" t="inlineStr">
        <is>
          <t>D0379</t>
        </is>
      </c>
      <c r="C342" s="3" t="inlineStr">
        <is>
          <t>A0064</t>
        </is>
      </c>
      <c r="D342" s="4" t="n">
        <v>46144</v>
      </c>
      <c r="E342" s="5" t="n">
        <v>30500</v>
      </c>
      <c r="F342" s="3" t="inlineStr">
        <is>
          <t>UPI</t>
        </is>
      </c>
    </row>
    <row r="343">
      <c r="A343" s="3" t="inlineStr">
        <is>
          <t>P00342</t>
        </is>
      </c>
      <c r="B343" s="3" t="inlineStr">
        <is>
          <t>D0380</t>
        </is>
      </c>
      <c r="C343" s="3" t="inlineStr">
        <is>
          <t>A0064</t>
        </is>
      </c>
      <c r="D343" s="4" t="n">
        <v>46180</v>
      </c>
      <c r="E343" s="5" t="n">
        <v>30500</v>
      </c>
      <c r="F343" s="3" t="inlineStr">
        <is>
          <t>Cash</t>
        </is>
      </c>
    </row>
    <row r="344">
      <c r="A344" s="3" t="inlineStr">
        <is>
          <t>P00343</t>
        </is>
      </c>
      <c r="B344" s="3" t="inlineStr">
        <is>
          <t>D0381</t>
        </is>
      </c>
      <c r="C344" s="3" t="inlineStr">
        <is>
          <t>A0064</t>
        </is>
      </c>
      <c r="D344" s="4" t="n">
        <v>46189</v>
      </c>
      <c r="E344" s="5" t="n">
        <v>30500</v>
      </c>
      <c r="F344" s="3" t="inlineStr">
        <is>
          <t>UPI</t>
        </is>
      </c>
    </row>
    <row r="345">
      <c r="A345" s="3" t="inlineStr">
        <is>
          <t>P00344</t>
        </is>
      </c>
      <c r="B345" s="3" t="inlineStr">
        <is>
          <t>D0382</t>
        </is>
      </c>
      <c r="C345" s="3" t="inlineStr">
        <is>
          <t>A0064</t>
        </is>
      </c>
      <c r="D345" s="4" t="n">
        <v>46218</v>
      </c>
      <c r="E345" s="5" t="n">
        <v>30500</v>
      </c>
      <c r="F345" s="3" t="inlineStr">
        <is>
          <t>Cash</t>
        </is>
      </c>
    </row>
    <row r="346">
      <c r="A346" s="3" t="inlineStr">
        <is>
          <t>P00345</t>
        </is>
      </c>
      <c r="B346" s="3" t="inlineStr">
        <is>
          <t>D0383</t>
        </is>
      </c>
      <c r="C346" s="3" t="inlineStr">
        <is>
          <t>A0064</t>
        </is>
      </c>
      <c r="D346" s="4" t="n">
        <v>46254</v>
      </c>
      <c r="E346" s="5" t="n">
        <v>30500</v>
      </c>
      <c r="F346" s="3" t="inlineStr">
        <is>
          <t>UPI</t>
        </is>
      </c>
    </row>
    <row r="347">
      <c r="A347" s="3" t="inlineStr">
        <is>
          <t>P00346</t>
        </is>
      </c>
      <c r="B347" s="3" t="inlineStr">
        <is>
          <t>D0384</t>
        </is>
      </c>
      <c r="C347" s="3" t="inlineStr">
        <is>
          <t>A0064</t>
        </is>
      </c>
      <c r="D347" s="4" t="n">
        <v>46281</v>
      </c>
      <c r="E347" s="5" t="n">
        <v>30500</v>
      </c>
      <c r="F347" s="3" t="inlineStr">
        <is>
          <t>Cash</t>
        </is>
      </c>
    </row>
    <row r="348">
      <c r="A348" s="3" t="inlineStr">
        <is>
          <t>P00347</t>
        </is>
      </c>
      <c r="B348" s="3" t="inlineStr">
        <is>
          <t>D0391</t>
        </is>
      </c>
      <c r="C348" s="3" t="inlineStr">
        <is>
          <t>A0066</t>
        </is>
      </c>
      <c r="D348" s="4" t="n">
        <v>46116</v>
      </c>
      <c r="E348" s="5" t="n">
        <v>9500</v>
      </c>
      <c r="F348" s="3" t="inlineStr">
        <is>
          <t>UPI</t>
        </is>
      </c>
    </row>
    <row r="349">
      <c r="A349" s="3" t="inlineStr">
        <is>
          <t>P00348</t>
        </is>
      </c>
      <c r="B349" s="3" t="inlineStr">
        <is>
          <t>D0392</t>
        </is>
      </c>
      <c r="C349" s="3" t="inlineStr">
        <is>
          <t>A0066</t>
        </is>
      </c>
      <c r="D349" s="4" t="n">
        <v>46146</v>
      </c>
      <c r="E349" s="5" t="n">
        <v>9500</v>
      </c>
      <c r="F349" s="3" t="inlineStr">
        <is>
          <t>UPI</t>
        </is>
      </c>
    </row>
    <row r="350">
      <c r="A350" s="3" t="inlineStr">
        <is>
          <t>P00349</t>
        </is>
      </c>
      <c r="B350" s="3" t="inlineStr">
        <is>
          <t>D0393</t>
        </is>
      </c>
      <c r="C350" s="3" t="inlineStr">
        <is>
          <t>A0066</t>
        </is>
      </c>
      <c r="D350" s="4" t="n">
        <v>46175</v>
      </c>
      <c r="E350" s="5" t="n">
        <v>9500</v>
      </c>
      <c r="F350" s="3" t="inlineStr">
        <is>
          <t>UPI</t>
        </is>
      </c>
    </row>
    <row r="351">
      <c r="A351" s="3" t="inlineStr">
        <is>
          <t>P00350</t>
        </is>
      </c>
      <c r="B351" s="3" t="inlineStr">
        <is>
          <t>D0394</t>
        </is>
      </c>
      <c r="C351" s="3" t="inlineStr">
        <is>
          <t>A0066</t>
        </is>
      </c>
      <c r="D351" s="4" t="n">
        <v>46205</v>
      </c>
      <c r="E351" s="5" t="n">
        <v>9500</v>
      </c>
      <c r="F351" s="3" t="inlineStr">
        <is>
          <t>Cash</t>
        </is>
      </c>
    </row>
    <row r="352">
      <c r="A352" s="3" t="inlineStr">
        <is>
          <t>P00351</t>
        </is>
      </c>
      <c r="B352" s="3" t="inlineStr">
        <is>
          <t>D0395</t>
        </is>
      </c>
      <c r="C352" s="3" t="inlineStr">
        <is>
          <t>A0066</t>
        </is>
      </c>
      <c r="D352" s="4" t="n">
        <v>46237</v>
      </c>
      <c r="E352" s="5" t="n">
        <v>9500</v>
      </c>
      <c r="F352" s="3" t="inlineStr">
        <is>
          <t>UPI</t>
        </is>
      </c>
    </row>
    <row r="353">
      <c r="A353" s="3" t="inlineStr">
        <is>
          <t>P00352</t>
        </is>
      </c>
      <c r="B353" s="3" t="inlineStr">
        <is>
          <t>D0396</t>
        </is>
      </c>
      <c r="C353" s="3" t="inlineStr">
        <is>
          <t>A0066</t>
        </is>
      </c>
      <c r="D353" s="4" t="n">
        <v>46273</v>
      </c>
      <c r="E353" s="5" t="n">
        <v>9500</v>
      </c>
      <c r="F353" s="3" t="inlineStr">
        <is>
          <t>NEFT</t>
        </is>
      </c>
    </row>
    <row r="354">
      <c r="A354" s="3" t="inlineStr">
        <is>
          <t>P00353</t>
        </is>
      </c>
      <c r="B354" s="3" t="inlineStr">
        <is>
          <t>D0397</t>
        </is>
      </c>
      <c r="C354" s="3" t="inlineStr">
        <is>
          <t>A0067</t>
        </is>
      </c>
      <c r="D354" s="4" t="n">
        <v>46117</v>
      </c>
      <c r="E354" s="5" t="n">
        <v>8167</v>
      </c>
      <c r="F354" s="3" t="inlineStr">
        <is>
          <t>NEFT</t>
        </is>
      </c>
    </row>
    <row r="355">
      <c r="A355" s="3" t="inlineStr">
        <is>
          <t>P00354</t>
        </is>
      </c>
      <c r="B355" s="3" t="inlineStr">
        <is>
          <t>D0398</t>
        </is>
      </c>
      <c r="C355" s="3" t="inlineStr">
        <is>
          <t>A0067</t>
        </is>
      </c>
      <c r="D355" s="4" t="n">
        <v>46149</v>
      </c>
      <c r="E355" s="5" t="n">
        <v>8167</v>
      </c>
      <c r="F355" s="3" t="inlineStr">
        <is>
          <t>UPI</t>
        </is>
      </c>
    </row>
    <row r="356">
      <c r="A356" s="3" t="inlineStr">
        <is>
          <t>P00355</t>
        </is>
      </c>
      <c r="B356" s="3" t="inlineStr">
        <is>
          <t>D0399</t>
        </is>
      </c>
      <c r="C356" s="3" t="inlineStr">
        <is>
          <t>A0067</t>
        </is>
      </c>
      <c r="D356" s="4" t="n">
        <v>46177</v>
      </c>
      <c r="E356" s="5" t="n">
        <v>8167</v>
      </c>
      <c r="F356" s="3" t="inlineStr">
        <is>
          <t>Cash</t>
        </is>
      </c>
    </row>
    <row r="357">
      <c r="A357" s="3" t="inlineStr">
        <is>
          <t>P00356</t>
        </is>
      </c>
      <c r="B357" s="3" t="inlineStr">
        <is>
          <t>D0400</t>
        </is>
      </c>
      <c r="C357" s="3" t="inlineStr">
        <is>
          <t>A0067</t>
        </is>
      </c>
      <c r="D357" s="4" t="n">
        <v>46208</v>
      </c>
      <c r="E357" s="5" t="n">
        <v>8167</v>
      </c>
      <c r="F357" s="3" t="inlineStr">
        <is>
          <t>UPI</t>
        </is>
      </c>
    </row>
    <row r="358">
      <c r="A358" s="3" t="inlineStr">
        <is>
          <t>P00357</t>
        </is>
      </c>
      <c r="B358" s="3" t="inlineStr">
        <is>
          <t>D0401</t>
        </is>
      </c>
      <c r="C358" s="3" t="inlineStr">
        <is>
          <t>A0067</t>
        </is>
      </c>
      <c r="D358" s="4" t="n">
        <v>46242</v>
      </c>
      <c r="E358" s="5" t="n">
        <v>8167</v>
      </c>
      <c r="F358" s="3" t="inlineStr">
        <is>
          <t>UPI</t>
        </is>
      </c>
    </row>
    <row r="359">
      <c r="A359" s="3" t="inlineStr">
        <is>
          <t>P00358</t>
        </is>
      </c>
      <c r="B359" s="3" t="inlineStr">
        <is>
          <t>D0402</t>
        </is>
      </c>
      <c r="C359" s="3" t="inlineStr">
        <is>
          <t>A0067</t>
        </is>
      </c>
      <c r="D359" s="4" t="n">
        <v>46271</v>
      </c>
      <c r="E359" s="5" t="n">
        <v>8167</v>
      </c>
      <c r="F359" s="3" t="inlineStr">
        <is>
          <t>UPI</t>
        </is>
      </c>
    </row>
    <row r="360">
      <c r="A360" s="3" t="inlineStr">
        <is>
          <t>P00359</t>
        </is>
      </c>
      <c r="B360" s="3" t="inlineStr">
        <is>
          <t>D0403</t>
        </is>
      </c>
      <c r="C360" s="3" t="inlineStr">
        <is>
          <t>A0068</t>
        </is>
      </c>
      <c r="D360" s="4" t="n">
        <v>46135</v>
      </c>
      <c r="E360" s="5" t="n">
        <v>5500</v>
      </c>
      <c r="F360" s="3" t="inlineStr">
        <is>
          <t>UPI</t>
        </is>
      </c>
    </row>
    <row r="361">
      <c r="A361" s="3" t="inlineStr">
        <is>
          <t>P00360</t>
        </is>
      </c>
      <c r="B361" s="3" t="inlineStr">
        <is>
          <t>D0404</t>
        </is>
      </c>
      <c r="C361" s="3" t="inlineStr">
        <is>
          <t>A0068</t>
        </is>
      </c>
      <c r="D361" s="4" t="n">
        <v>46177</v>
      </c>
      <c r="E361" s="5" t="n">
        <v>5500</v>
      </c>
      <c r="F361" s="3" t="inlineStr">
        <is>
          <t>Cash</t>
        </is>
      </c>
    </row>
    <row r="362">
      <c r="A362" s="3" t="inlineStr">
        <is>
          <t>P00361</t>
        </is>
      </c>
      <c r="B362" s="3" t="inlineStr">
        <is>
          <t>D0405</t>
        </is>
      </c>
      <c r="C362" s="3" t="inlineStr">
        <is>
          <t>A0068</t>
        </is>
      </c>
      <c r="D362" s="4" t="n">
        <v>46195</v>
      </c>
      <c r="E362" s="5" t="n">
        <v>5500</v>
      </c>
      <c r="F362" s="3" t="inlineStr">
        <is>
          <t>UPI</t>
        </is>
      </c>
    </row>
    <row r="363">
      <c r="A363" s="3" t="inlineStr">
        <is>
          <t>P00362</t>
        </is>
      </c>
      <c r="B363" s="3" t="inlineStr">
        <is>
          <t>D0406</t>
        </is>
      </c>
      <c r="C363" s="3" t="inlineStr">
        <is>
          <t>A0068</t>
        </is>
      </c>
      <c r="D363" s="4" t="n">
        <v>46231</v>
      </c>
      <c r="E363" s="5" t="n">
        <v>5500</v>
      </c>
      <c r="F363" s="3" t="inlineStr">
        <is>
          <t>UPI</t>
        </is>
      </c>
    </row>
    <row r="364">
      <c r="A364" s="3" t="inlineStr">
        <is>
          <t>P00363</t>
        </is>
      </c>
      <c r="B364" s="3" t="inlineStr">
        <is>
          <t>D0407</t>
        </is>
      </c>
      <c r="C364" s="3" t="inlineStr">
        <is>
          <t>A0068</t>
        </is>
      </c>
      <c r="D364" s="4" t="n">
        <v>46277</v>
      </c>
      <c r="E364" s="5" t="n">
        <v>5500</v>
      </c>
      <c r="F364" s="3" t="inlineStr">
        <is>
          <t>Cash</t>
        </is>
      </c>
    </row>
    <row r="365">
      <c r="A365" s="3" t="inlineStr">
        <is>
          <t>P00364</t>
        </is>
      </c>
      <c r="B365" s="3" t="inlineStr">
        <is>
          <t>D0408</t>
        </is>
      </c>
      <c r="C365" s="3" t="inlineStr">
        <is>
          <t>A0068</t>
        </is>
      </c>
      <c r="D365" s="4" t="n">
        <v>46309</v>
      </c>
      <c r="E365" s="5" t="n">
        <v>5500</v>
      </c>
      <c r="F365" s="3" t="inlineStr">
        <is>
          <t>UPI</t>
        </is>
      </c>
    </row>
    <row r="366">
      <c r="A366" s="3" t="inlineStr">
        <is>
          <t>P00365</t>
        </is>
      </c>
      <c r="B366" s="3" t="inlineStr">
        <is>
          <t>D0409</t>
        </is>
      </c>
      <c r="C366" s="3" t="inlineStr">
        <is>
          <t>A0069</t>
        </is>
      </c>
      <c r="D366" s="4" t="n">
        <v>46115</v>
      </c>
      <c r="E366" s="5" t="n">
        <v>25167</v>
      </c>
      <c r="F366" s="3" t="inlineStr">
        <is>
          <t>Cash</t>
        </is>
      </c>
    </row>
    <row r="367">
      <c r="A367" s="3" t="inlineStr">
        <is>
          <t>P00366</t>
        </is>
      </c>
      <c r="B367" s="3" t="inlineStr">
        <is>
          <t>D0410</t>
        </is>
      </c>
      <c r="C367" s="3" t="inlineStr">
        <is>
          <t>A0069</t>
        </is>
      </c>
      <c r="D367" s="4" t="n">
        <v>46150</v>
      </c>
      <c r="E367" s="5" t="n">
        <v>25167</v>
      </c>
      <c r="F367" s="3" t="inlineStr">
        <is>
          <t>Cash</t>
        </is>
      </c>
    </row>
    <row r="368">
      <c r="A368" s="3" t="inlineStr">
        <is>
          <t>P00367</t>
        </is>
      </c>
      <c r="B368" s="3" t="inlineStr">
        <is>
          <t>D0411</t>
        </is>
      </c>
      <c r="C368" s="3" t="inlineStr">
        <is>
          <t>A0069</t>
        </is>
      </c>
      <c r="D368" s="4" t="n">
        <v>46177</v>
      </c>
      <c r="E368" s="5" t="n">
        <v>25167</v>
      </c>
      <c r="F368" s="3" t="inlineStr">
        <is>
          <t>NEFT</t>
        </is>
      </c>
    </row>
    <row r="369">
      <c r="A369" s="3" t="inlineStr">
        <is>
          <t>P00368</t>
        </is>
      </c>
      <c r="B369" s="3" t="inlineStr">
        <is>
          <t>D0412</t>
        </is>
      </c>
      <c r="C369" s="3" t="inlineStr">
        <is>
          <t>A0069</t>
        </is>
      </c>
      <c r="D369" s="4" t="n">
        <v>46207</v>
      </c>
      <c r="E369" s="5" t="n">
        <v>25167</v>
      </c>
      <c r="F369" s="3" t="inlineStr">
        <is>
          <t>UPI</t>
        </is>
      </c>
    </row>
    <row r="370">
      <c r="A370" s="3" t="inlineStr">
        <is>
          <t>P00369</t>
        </is>
      </c>
      <c r="B370" s="3" t="inlineStr">
        <is>
          <t>D0413</t>
        </is>
      </c>
      <c r="C370" s="3" t="inlineStr">
        <is>
          <t>A0069</t>
        </is>
      </c>
      <c r="D370" s="4" t="n">
        <v>46236</v>
      </c>
      <c r="E370" s="5" t="n">
        <v>25167</v>
      </c>
      <c r="F370" s="3" t="inlineStr">
        <is>
          <t>UPI</t>
        </is>
      </c>
    </row>
    <row r="371">
      <c r="A371" s="3" t="inlineStr">
        <is>
          <t>P00370</t>
        </is>
      </c>
      <c r="B371" s="3" t="inlineStr">
        <is>
          <t>D0414</t>
        </is>
      </c>
      <c r="C371" s="3" t="inlineStr">
        <is>
          <t>A0069</t>
        </is>
      </c>
      <c r="D371" s="4" t="n">
        <v>46271</v>
      </c>
      <c r="E371" s="5" t="n">
        <v>25167</v>
      </c>
      <c r="F371" s="3" t="inlineStr">
        <is>
          <t>Cash</t>
        </is>
      </c>
    </row>
    <row r="372">
      <c r="A372" s="3" t="inlineStr">
        <is>
          <t>P00371</t>
        </is>
      </c>
      <c r="B372" s="3" t="inlineStr">
        <is>
          <t>D0415</t>
        </is>
      </c>
      <c r="C372" s="3" t="inlineStr">
        <is>
          <t>A0070</t>
        </is>
      </c>
      <c r="D372" s="4" t="n">
        <v>46144</v>
      </c>
      <c r="E372" s="5" t="n">
        <v>15000</v>
      </c>
      <c r="F372" s="3" t="inlineStr">
        <is>
          <t>Cash</t>
        </is>
      </c>
    </row>
    <row r="373">
      <c r="A373" s="3" t="inlineStr">
        <is>
          <t>P00372</t>
        </is>
      </c>
      <c r="B373" s="3" t="inlineStr">
        <is>
          <t>D0416</t>
        </is>
      </c>
      <c r="C373" s="3" t="inlineStr">
        <is>
          <t>A0070</t>
        </is>
      </c>
      <c r="D373" s="4" t="n">
        <v>46184</v>
      </c>
      <c r="E373" s="5" t="n">
        <v>15000</v>
      </c>
      <c r="F373" s="3" t="inlineStr">
        <is>
          <t>UPI</t>
        </is>
      </c>
    </row>
    <row r="374">
      <c r="A374" s="3" t="inlineStr">
        <is>
          <t>P00373</t>
        </is>
      </c>
      <c r="B374" s="3" t="inlineStr">
        <is>
          <t>D0417</t>
        </is>
      </c>
      <c r="C374" s="3" t="inlineStr">
        <is>
          <t>A0070</t>
        </is>
      </c>
      <c r="D374" s="4" t="n">
        <v>46196</v>
      </c>
      <c r="E374" s="5" t="n">
        <v>15000</v>
      </c>
      <c r="F374" s="3" t="inlineStr">
        <is>
          <t>UPI</t>
        </is>
      </c>
    </row>
    <row r="375">
      <c r="A375" s="3" t="inlineStr">
        <is>
          <t>P00374</t>
        </is>
      </c>
      <c r="B375" s="3" t="inlineStr">
        <is>
          <t>D0418</t>
        </is>
      </c>
      <c r="C375" s="3" t="inlineStr">
        <is>
          <t>A0070</t>
        </is>
      </c>
      <c r="D375" s="4" t="n">
        <v>46230</v>
      </c>
      <c r="E375" s="5" t="n">
        <v>15000</v>
      </c>
      <c r="F375" s="3" t="inlineStr">
        <is>
          <t>Cash</t>
        </is>
      </c>
    </row>
    <row r="376">
      <c r="A376" s="3" t="inlineStr">
        <is>
          <t>P00375</t>
        </is>
      </c>
      <c r="B376" s="3" t="inlineStr">
        <is>
          <t>D0419</t>
        </is>
      </c>
      <c r="C376" s="3" t="inlineStr">
        <is>
          <t>A0070</t>
        </is>
      </c>
      <c r="D376" s="4" t="n">
        <v>46271</v>
      </c>
      <c r="E376" s="5" t="n">
        <v>15000</v>
      </c>
      <c r="F376" s="3" t="inlineStr">
        <is>
          <t>NEFT</t>
        </is>
      </c>
    </row>
    <row r="377">
      <c r="A377" s="3" t="inlineStr">
        <is>
          <t>P00376</t>
        </is>
      </c>
      <c r="B377" s="3" t="inlineStr">
        <is>
          <t>D0420</t>
        </is>
      </c>
      <c r="C377" s="3" t="inlineStr">
        <is>
          <t>A0070</t>
        </is>
      </c>
      <c r="D377" s="4" t="n">
        <v>46286</v>
      </c>
      <c r="E377" s="5" t="n">
        <v>15000</v>
      </c>
      <c r="F377" s="3" t="inlineStr">
        <is>
          <t>Cash</t>
        </is>
      </c>
    </row>
    <row r="378">
      <c r="A378" s="3" t="inlineStr">
        <is>
          <t>P00377</t>
        </is>
      </c>
      <c r="B378" s="3" t="inlineStr">
        <is>
          <t>D0421</t>
        </is>
      </c>
      <c r="C378" s="3" t="inlineStr">
        <is>
          <t>A0071</t>
        </is>
      </c>
      <c r="D378" s="4" t="n">
        <v>46120</v>
      </c>
      <c r="E378" s="5" t="n">
        <v>10167</v>
      </c>
      <c r="F378" s="3" t="inlineStr">
        <is>
          <t>UPI</t>
        </is>
      </c>
    </row>
    <row r="379">
      <c r="A379" s="3" t="inlineStr">
        <is>
          <t>P00378</t>
        </is>
      </c>
      <c r="B379" s="3" t="inlineStr">
        <is>
          <t>D0422</t>
        </is>
      </c>
      <c r="C379" s="3" t="inlineStr">
        <is>
          <t>A0071</t>
        </is>
      </c>
      <c r="D379" s="4" t="n">
        <v>46145</v>
      </c>
      <c r="E379" s="5" t="n">
        <v>10167</v>
      </c>
      <c r="F379" s="3" t="inlineStr">
        <is>
          <t>Cash</t>
        </is>
      </c>
    </row>
    <row r="380">
      <c r="A380" s="3" t="inlineStr">
        <is>
          <t>P00379</t>
        </is>
      </c>
      <c r="B380" s="3" t="inlineStr">
        <is>
          <t>D0423</t>
        </is>
      </c>
      <c r="C380" s="3" t="inlineStr">
        <is>
          <t>A0071</t>
        </is>
      </c>
      <c r="D380" s="4" t="n">
        <v>46181</v>
      </c>
      <c r="E380" s="5" t="n">
        <v>10167</v>
      </c>
      <c r="F380" s="3" t="inlineStr">
        <is>
          <t>Cash</t>
        </is>
      </c>
    </row>
    <row r="381">
      <c r="A381" s="3" t="inlineStr">
        <is>
          <t>P00380</t>
        </is>
      </c>
      <c r="B381" s="3" t="inlineStr">
        <is>
          <t>D0424</t>
        </is>
      </c>
      <c r="C381" s="3" t="inlineStr">
        <is>
          <t>A0071</t>
        </is>
      </c>
      <c r="D381" s="4" t="n">
        <v>46207</v>
      </c>
      <c r="E381" s="5" t="n">
        <v>10167</v>
      </c>
      <c r="F381" s="3" t="inlineStr">
        <is>
          <t>UPI</t>
        </is>
      </c>
    </row>
    <row r="382">
      <c r="A382" s="3" t="inlineStr">
        <is>
          <t>P00381</t>
        </is>
      </c>
      <c r="B382" s="3" t="inlineStr">
        <is>
          <t>D0425</t>
        </is>
      </c>
      <c r="C382" s="3" t="inlineStr">
        <is>
          <t>A0071</t>
        </is>
      </c>
      <c r="D382" s="4" t="n">
        <v>46241</v>
      </c>
      <c r="E382" s="5" t="n">
        <v>10167</v>
      </c>
      <c r="F382" s="3" t="inlineStr">
        <is>
          <t>UPI</t>
        </is>
      </c>
    </row>
    <row r="383">
      <c r="A383" s="3" t="inlineStr">
        <is>
          <t>P00382</t>
        </is>
      </c>
      <c r="B383" s="3" t="inlineStr">
        <is>
          <t>D0426</t>
        </is>
      </c>
      <c r="C383" s="3" t="inlineStr">
        <is>
          <t>A0071</t>
        </is>
      </c>
      <c r="D383" s="4" t="n">
        <v>46267</v>
      </c>
      <c r="E383" s="5" t="n">
        <v>10167</v>
      </c>
      <c r="F383" s="3" t="inlineStr">
        <is>
          <t>UPI</t>
        </is>
      </c>
    </row>
    <row r="384">
      <c r="A384" s="3" t="inlineStr">
        <is>
          <t>P00383</t>
        </is>
      </c>
      <c r="B384" s="3" t="inlineStr">
        <is>
          <t>D0427</t>
        </is>
      </c>
      <c r="C384" s="3" t="inlineStr">
        <is>
          <t>A0072</t>
        </is>
      </c>
      <c r="D384" s="4" t="n">
        <v>46143</v>
      </c>
      <c r="E384" s="5" t="n">
        <v>26833</v>
      </c>
      <c r="F384" s="3" t="inlineStr">
        <is>
          <t>Cash</t>
        </is>
      </c>
    </row>
    <row r="385">
      <c r="A385" s="3" t="inlineStr">
        <is>
          <t>P00384</t>
        </is>
      </c>
      <c r="B385" s="3" t="inlineStr">
        <is>
          <t>D0428</t>
        </is>
      </c>
      <c r="C385" s="3" t="inlineStr">
        <is>
          <t>A0072</t>
        </is>
      </c>
      <c r="D385" s="4" t="n">
        <v>46157</v>
      </c>
      <c r="E385" s="5" t="n">
        <v>26833</v>
      </c>
      <c r="F385" s="3" t="inlineStr">
        <is>
          <t>NEFT</t>
        </is>
      </c>
    </row>
    <row r="386">
      <c r="A386" s="3" t="inlineStr">
        <is>
          <t>P00385</t>
        </is>
      </c>
      <c r="B386" s="3" t="inlineStr">
        <is>
          <t>D0429</t>
        </is>
      </c>
      <c r="C386" s="3" t="inlineStr">
        <is>
          <t>A0072</t>
        </is>
      </c>
      <c r="D386" s="4" t="n">
        <v>46194</v>
      </c>
      <c r="E386" s="5" t="n">
        <v>26833</v>
      </c>
      <c r="F386" s="3" t="inlineStr">
        <is>
          <t>Cash</t>
        </is>
      </c>
    </row>
    <row r="387">
      <c r="A387" s="3" t="inlineStr">
        <is>
          <t>P00386</t>
        </is>
      </c>
      <c r="B387" s="3" t="inlineStr">
        <is>
          <t>D0430</t>
        </is>
      </c>
      <c r="C387" s="3" t="inlineStr">
        <is>
          <t>A0072</t>
        </is>
      </c>
      <c r="D387" s="4" t="n">
        <v>46219</v>
      </c>
      <c r="E387" s="5" t="n">
        <v>26833</v>
      </c>
      <c r="F387" s="3" t="inlineStr">
        <is>
          <t>NEFT</t>
        </is>
      </c>
    </row>
    <row r="388">
      <c r="A388" s="3" t="inlineStr">
        <is>
          <t>P00387</t>
        </is>
      </c>
      <c r="B388" s="3" t="inlineStr">
        <is>
          <t>D0431</t>
        </is>
      </c>
      <c r="C388" s="3" t="inlineStr">
        <is>
          <t>A0072</t>
        </is>
      </c>
      <c r="D388" s="4" t="n">
        <v>46273</v>
      </c>
      <c r="E388" s="5" t="n">
        <v>26833</v>
      </c>
      <c r="F388" s="3" t="inlineStr">
        <is>
          <t>UPI</t>
        </is>
      </c>
    </row>
    <row r="389">
      <c r="A389" s="3" t="inlineStr">
        <is>
          <t>P00388</t>
        </is>
      </c>
      <c r="B389" s="3" t="inlineStr">
        <is>
          <t>D0432</t>
        </is>
      </c>
      <c r="C389" s="3" t="inlineStr">
        <is>
          <t>A0072</t>
        </is>
      </c>
      <c r="D389" s="4" t="n">
        <v>46301</v>
      </c>
      <c r="E389" s="5" t="n">
        <v>26833</v>
      </c>
      <c r="F389" s="3" t="inlineStr">
        <is>
          <t>NEFT</t>
        </is>
      </c>
    </row>
    <row r="390">
      <c r="A390" s="3" t="inlineStr">
        <is>
          <t>P00389</t>
        </is>
      </c>
      <c r="B390" s="3" t="inlineStr">
        <is>
          <t>D0433</t>
        </is>
      </c>
      <c r="C390" s="3" t="inlineStr">
        <is>
          <t>A0073</t>
        </is>
      </c>
      <c r="D390" s="4" t="n">
        <v>46116</v>
      </c>
      <c r="E390" s="5" t="n">
        <v>26000</v>
      </c>
      <c r="F390" s="3" t="inlineStr">
        <is>
          <t>Cash</t>
        </is>
      </c>
    </row>
    <row r="391">
      <c r="A391" s="3" t="inlineStr">
        <is>
          <t>P00390</t>
        </is>
      </c>
      <c r="B391" s="3" t="inlineStr">
        <is>
          <t>D0434</t>
        </is>
      </c>
      <c r="C391" s="3" t="inlineStr">
        <is>
          <t>A0073</t>
        </is>
      </c>
      <c r="D391" s="4" t="n">
        <v>46148</v>
      </c>
      <c r="E391" s="5" t="n">
        <v>26000</v>
      </c>
      <c r="F391" s="3" t="inlineStr">
        <is>
          <t>Cash</t>
        </is>
      </c>
    </row>
    <row r="392">
      <c r="A392" s="3" t="inlineStr">
        <is>
          <t>P00391</t>
        </is>
      </c>
      <c r="B392" s="3" t="inlineStr">
        <is>
          <t>D0435</t>
        </is>
      </c>
      <c r="C392" s="3" t="inlineStr">
        <is>
          <t>A0073</t>
        </is>
      </c>
      <c r="D392" s="4" t="n">
        <v>46177</v>
      </c>
      <c r="E392" s="5" t="n">
        <v>26000</v>
      </c>
      <c r="F392" s="3" t="inlineStr">
        <is>
          <t>NEFT</t>
        </is>
      </c>
    </row>
    <row r="393">
      <c r="A393" s="3" t="inlineStr">
        <is>
          <t>P00392</t>
        </is>
      </c>
      <c r="B393" s="3" t="inlineStr">
        <is>
          <t>D0436</t>
        </is>
      </c>
      <c r="C393" s="3" t="inlineStr">
        <is>
          <t>A0073</t>
        </is>
      </c>
      <c r="D393" s="4" t="n">
        <v>46208</v>
      </c>
      <c r="E393" s="5" t="n">
        <v>26000</v>
      </c>
      <c r="F393" s="3" t="inlineStr">
        <is>
          <t>UPI</t>
        </is>
      </c>
    </row>
    <row r="394">
      <c r="A394" s="3" t="inlineStr">
        <is>
          <t>P00393</t>
        </is>
      </c>
      <c r="B394" s="3" t="inlineStr">
        <is>
          <t>D0437</t>
        </is>
      </c>
      <c r="C394" s="3" t="inlineStr">
        <is>
          <t>A0073</t>
        </is>
      </c>
      <c r="D394" s="4" t="n">
        <v>46242</v>
      </c>
      <c r="E394" s="5" t="n">
        <v>26000</v>
      </c>
      <c r="F394" s="3" t="inlineStr">
        <is>
          <t>Cash</t>
        </is>
      </c>
    </row>
    <row r="395">
      <c r="A395" s="3" t="inlineStr">
        <is>
          <t>P00394</t>
        </is>
      </c>
      <c r="B395" s="3" t="inlineStr">
        <is>
          <t>D0438</t>
        </is>
      </c>
      <c r="C395" s="3" t="inlineStr">
        <is>
          <t>A0073</t>
        </is>
      </c>
      <c r="D395" s="4" t="n">
        <v>46273</v>
      </c>
      <c r="E395" s="5" t="n">
        <v>26000</v>
      </c>
      <c r="F395" s="3" t="inlineStr">
        <is>
          <t>Cash</t>
        </is>
      </c>
    </row>
    <row r="396">
      <c r="A396" s="3" t="inlineStr">
        <is>
          <t>P00395</t>
        </is>
      </c>
      <c r="B396" s="3" t="inlineStr">
        <is>
          <t>D0439</t>
        </is>
      </c>
      <c r="C396" s="3" t="inlineStr">
        <is>
          <t>A0074</t>
        </is>
      </c>
      <c r="D396" s="4" t="n">
        <v>46134</v>
      </c>
      <c r="E396" s="5" t="n">
        <v>9000</v>
      </c>
      <c r="F396" s="3" t="inlineStr">
        <is>
          <t>Cash</t>
        </is>
      </c>
    </row>
    <row r="397">
      <c r="A397" s="3" t="inlineStr">
        <is>
          <t>P00396</t>
        </is>
      </c>
      <c r="B397" s="3" t="inlineStr">
        <is>
          <t>D0440</t>
        </is>
      </c>
      <c r="C397" s="3" t="inlineStr">
        <is>
          <t>A0074</t>
        </is>
      </c>
      <c r="D397" s="4" t="n">
        <v>46170</v>
      </c>
      <c r="E397" s="5" t="n">
        <v>9000</v>
      </c>
      <c r="F397" s="3" t="inlineStr">
        <is>
          <t>Cash</t>
        </is>
      </c>
    </row>
    <row r="398">
      <c r="A398" s="3" t="inlineStr">
        <is>
          <t>P00397</t>
        </is>
      </c>
      <c r="B398" s="3" t="inlineStr">
        <is>
          <t>D0441</t>
        </is>
      </c>
      <c r="C398" s="3" t="inlineStr">
        <is>
          <t>A0074</t>
        </is>
      </c>
      <c r="D398" s="4" t="n">
        <v>46200</v>
      </c>
      <c r="E398" s="5" t="n">
        <v>9000</v>
      </c>
      <c r="F398" s="3" t="inlineStr">
        <is>
          <t>NEFT</t>
        </is>
      </c>
    </row>
    <row r="399">
      <c r="A399" s="3" t="inlineStr">
        <is>
          <t>P00398</t>
        </is>
      </c>
      <c r="B399" s="3" t="inlineStr">
        <is>
          <t>D0442</t>
        </is>
      </c>
      <c r="C399" s="3" t="inlineStr">
        <is>
          <t>A0074</t>
        </is>
      </c>
      <c r="D399" s="4" t="n">
        <v>46248</v>
      </c>
      <c r="E399" s="5" t="n">
        <v>9000</v>
      </c>
      <c r="F399" s="3" t="inlineStr">
        <is>
          <t>Cash</t>
        </is>
      </c>
    </row>
    <row r="400">
      <c r="A400" s="3" t="inlineStr">
        <is>
          <t>P00399</t>
        </is>
      </c>
      <c r="B400" s="3" t="inlineStr">
        <is>
          <t>D0443</t>
        </is>
      </c>
      <c r="C400" s="3" t="inlineStr">
        <is>
          <t>A0074</t>
        </is>
      </c>
      <c r="D400" s="4" t="n">
        <v>46269</v>
      </c>
      <c r="E400" s="5" t="n">
        <v>9000</v>
      </c>
      <c r="F400" s="3" t="inlineStr">
        <is>
          <t>NEFT</t>
        </is>
      </c>
    </row>
    <row r="401">
      <c r="A401" s="3" t="inlineStr">
        <is>
          <t>P00400</t>
        </is>
      </c>
      <c r="B401" s="3" t="inlineStr">
        <is>
          <t>D0444</t>
        </is>
      </c>
      <c r="C401" s="3" t="inlineStr">
        <is>
          <t>A0074</t>
        </is>
      </c>
      <c r="D401" s="4" t="n">
        <v>46300</v>
      </c>
      <c r="E401" s="5" t="n">
        <v>9000</v>
      </c>
      <c r="F401" s="3" t="inlineStr">
        <is>
          <t>NEFT</t>
        </is>
      </c>
    </row>
    <row r="402">
      <c r="A402" s="3" t="inlineStr">
        <is>
          <t>P00401</t>
        </is>
      </c>
      <c r="B402" s="3" t="inlineStr">
        <is>
          <t>D0445</t>
        </is>
      </c>
      <c r="C402" s="3" t="inlineStr">
        <is>
          <t>A0075</t>
        </is>
      </c>
      <c r="D402" s="4" t="n">
        <v>46114</v>
      </c>
      <c r="E402" s="5" t="n">
        <v>28333</v>
      </c>
      <c r="F402" s="3" t="inlineStr">
        <is>
          <t>Cash</t>
        </is>
      </c>
    </row>
    <row r="403">
      <c r="A403" s="3" t="inlineStr">
        <is>
          <t>P00402</t>
        </is>
      </c>
      <c r="B403" s="3" t="inlineStr">
        <is>
          <t>D0446</t>
        </is>
      </c>
      <c r="C403" s="3" t="inlineStr">
        <is>
          <t>A0075</t>
        </is>
      </c>
      <c r="D403" s="4" t="n">
        <v>46150</v>
      </c>
      <c r="E403" s="5" t="n">
        <v>28333</v>
      </c>
      <c r="F403" s="3" t="inlineStr">
        <is>
          <t>UPI</t>
        </is>
      </c>
    </row>
    <row r="404">
      <c r="A404" s="3" t="inlineStr">
        <is>
          <t>P00403</t>
        </is>
      </c>
      <c r="B404" s="3" t="inlineStr">
        <is>
          <t>D0447</t>
        </is>
      </c>
      <c r="C404" s="3" t="inlineStr">
        <is>
          <t>A0075</t>
        </is>
      </c>
      <c r="D404" s="4" t="n">
        <v>46175</v>
      </c>
      <c r="E404" s="5" t="n">
        <v>28333</v>
      </c>
      <c r="F404" s="3" t="inlineStr">
        <is>
          <t>Cash</t>
        </is>
      </c>
    </row>
    <row r="405">
      <c r="A405" s="3" t="inlineStr">
        <is>
          <t>P00404</t>
        </is>
      </c>
      <c r="B405" s="3" t="inlineStr">
        <is>
          <t>D0448</t>
        </is>
      </c>
      <c r="C405" s="3" t="inlineStr">
        <is>
          <t>A0075</t>
        </is>
      </c>
      <c r="D405" s="4" t="n">
        <v>46208</v>
      </c>
      <c r="E405" s="5" t="n">
        <v>28333</v>
      </c>
      <c r="F405" s="3" t="inlineStr">
        <is>
          <t>UPI</t>
        </is>
      </c>
    </row>
    <row r="406">
      <c r="A406" s="3" t="inlineStr">
        <is>
          <t>P00405</t>
        </is>
      </c>
      <c r="B406" s="3" t="inlineStr">
        <is>
          <t>D0449</t>
        </is>
      </c>
      <c r="C406" s="3" t="inlineStr">
        <is>
          <t>A0075</t>
        </is>
      </c>
      <c r="D406" s="4" t="n">
        <v>46237</v>
      </c>
      <c r="E406" s="5" t="n">
        <v>28333</v>
      </c>
      <c r="F406" s="3" t="inlineStr">
        <is>
          <t>UPI</t>
        </is>
      </c>
    </row>
    <row r="407">
      <c r="A407" s="3" t="inlineStr">
        <is>
          <t>P00406</t>
        </is>
      </c>
      <c r="B407" s="3" t="inlineStr">
        <is>
          <t>D0450</t>
        </is>
      </c>
      <c r="C407" s="3" t="inlineStr">
        <is>
          <t>A0075</t>
        </is>
      </c>
      <c r="D407" s="4" t="n">
        <v>46271</v>
      </c>
      <c r="E407" s="5" t="n">
        <v>28333</v>
      </c>
      <c r="F407" s="3" t="inlineStr">
        <is>
          <t>Cash</t>
        </is>
      </c>
    </row>
    <row r="408">
      <c r="A408" s="3" t="inlineStr">
        <is>
          <t>P00407</t>
        </is>
      </c>
      <c r="B408" s="3" t="inlineStr">
        <is>
          <t>D0451</t>
        </is>
      </c>
      <c r="C408" s="3" t="inlineStr">
        <is>
          <t>A0076</t>
        </is>
      </c>
      <c r="D408" s="4" t="n">
        <v>46118</v>
      </c>
      <c r="E408" s="5" t="n">
        <v>5333</v>
      </c>
      <c r="F408" s="3" t="inlineStr">
        <is>
          <t>UPI</t>
        </is>
      </c>
    </row>
    <row r="409">
      <c r="A409" s="3" t="inlineStr">
        <is>
          <t>P00408</t>
        </is>
      </c>
      <c r="B409" s="3" t="inlineStr">
        <is>
          <t>D0452</t>
        </is>
      </c>
      <c r="C409" s="3" t="inlineStr">
        <is>
          <t>A0076</t>
        </is>
      </c>
      <c r="D409" s="4" t="n">
        <v>46144</v>
      </c>
      <c r="E409" s="5" t="n">
        <v>5333</v>
      </c>
      <c r="F409" s="3" t="inlineStr">
        <is>
          <t>Cash</t>
        </is>
      </c>
    </row>
    <row r="410">
      <c r="A410" s="3" t="inlineStr">
        <is>
          <t>P00409</t>
        </is>
      </c>
      <c r="B410" s="3" t="inlineStr">
        <is>
          <t>D0453</t>
        </is>
      </c>
      <c r="C410" s="3" t="inlineStr">
        <is>
          <t>A0076</t>
        </is>
      </c>
      <c r="D410" s="4" t="n">
        <v>46179</v>
      </c>
      <c r="E410" s="5" t="n">
        <v>5333</v>
      </c>
      <c r="F410" s="3" t="inlineStr">
        <is>
          <t>UPI</t>
        </is>
      </c>
    </row>
    <row r="411">
      <c r="A411" s="3" t="inlineStr">
        <is>
          <t>P00410</t>
        </is>
      </c>
      <c r="B411" s="3" t="inlineStr">
        <is>
          <t>D0454</t>
        </is>
      </c>
      <c r="C411" s="3" t="inlineStr">
        <is>
          <t>A0076</t>
        </is>
      </c>
      <c r="D411" s="4" t="n">
        <v>46211</v>
      </c>
      <c r="E411" s="5" t="n">
        <v>5333</v>
      </c>
      <c r="F411" s="3" t="inlineStr">
        <is>
          <t>NEFT</t>
        </is>
      </c>
    </row>
    <row r="412">
      <c r="A412" s="3" t="inlineStr">
        <is>
          <t>P00411</t>
        </is>
      </c>
      <c r="B412" s="3" t="inlineStr">
        <is>
          <t>D0455</t>
        </is>
      </c>
      <c r="C412" s="3" t="inlineStr">
        <is>
          <t>A0076</t>
        </is>
      </c>
      <c r="D412" s="4" t="n">
        <v>46239</v>
      </c>
      <c r="E412" s="5" t="n">
        <v>5333</v>
      </c>
      <c r="F412" s="3" t="inlineStr">
        <is>
          <t>UPI</t>
        </is>
      </c>
    </row>
    <row r="413">
      <c r="A413" s="3" t="inlineStr">
        <is>
          <t>P00412</t>
        </is>
      </c>
      <c r="B413" s="3" t="inlineStr">
        <is>
          <t>D0456</t>
        </is>
      </c>
      <c r="C413" s="3" t="inlineStr">
        <is>
          <t>A0076</t>
        </is>
      </c>
      <c r="D413" s="4" t="n">
        <v>46273</v>
      </c>
      <c r="E413" s="5" t="n">
        <v>5333</v>
      </c>
      <c r="F413" s="3" t="inlineStr">
        <is>
          <t>Cash</t>
        </is>
      </c>
    </row>
    <row r="414">
      <c r="A414" s="3" t="inlineStr">
        <is>
          <t>P00413</t>
        </is>
      </c>
      <c r="B414" s="3" t="inlineStr">
        <is>
          <t>D0457</t>
        </is>
      </c>
      <c r="C414" s="3" t="inlineStr">
        <is>
          <t>A0077</t>
        </is>
      </c>
      <c r="D414" s="4" t="n">
        <v>46149</v>
      </c>
      <c r="E414" s="5" t="n">
        <v>19333</v>
      </c>
      <c r="F414" s="3" t="inlineStr">
        <is>
          <t>Cash</t>
        </is>
      </c>
    </row>
    <row r="415">
      <c r="A415" s="3" t="inlineStr">
        <is>
          <t>P00414</t>
        </is>
      </c>
      <c r="B415" s="3" t="inlineStr">
        <is>
          <t>D0458</t>
        </is>
      </c>
      <c r="C415" s="3" t="inlineStr">
        <is>
          <t>A0077</t>
        </is>
      </c>
      <c r="D415" s="4" t="n">
        <v>46163</v>
      </c>
      <c r="E415" s="5" t="n">
        <v>19333</v>
      </c>
      <c r="F415" s="3" t="inlineStr">
        <is>
          <t>UPI</t>
        </is>
      </c>
    </row>
    <row r="416">
      <c r="A416" s="3" t="inlineStr">
        <is>
          <t>P00415</t>
        </is>
      </c>
      <c r="B416" s="3" t="inlineStr">
        <is>
          <t>D0459</t>
        </is>
      </c>
      <c r="C416" s="3" t="inlineStr">
        <is>
          <t>A0077</t>
        </is>
      </c>
      <c r="D416" s="4" t="n">
        <v>46210</v>
      </c>
      <c r="E416" s="5" t="n">
        <v>19333</v>
      </c>
      <c r="F416" s="3" t="inlineStr">
        <is>
          <t>Cash</t>
        </is>
      </c>
    </row>
    <row r="417">
      <c r="A417" s="3" t="inlineStr">
        <is>
          <t>P00416</t>
        </is>
      </c>
      <c r="B417" s="3" t="inlineStr">
        <is>
          <t>D0460</t>
        </is>
      </c>
      <c r="C417" s="3" t="inlineStr">
        <is>
          <t>A0077</t>
        </is>
      </c>
      <c r="D417" s="4" t="n">
        <v>46245</v>
      </c>
      <c r="E417" s="5" t="n">
        <v>19333</v>
      </c>
      <c r="F417" s="3" t="inlineStr">
        <is>
          <t>Cash</t>
        </is>
      </c>
    </row>
    <row r="418">
      <c r="A418" s="3" t="inlineStr">
        <is>
          <t>P00417</t>
        </is>
      </c>
      <c r="B418" s="3" t="inlineStr">
        <is>
          <t>D0461</t>
        </is>
      </c>
      <c r="C418" s="3" t="inlineStr">
        <is>
          <t>A0077</t>
        </is>
      </c>
      <c r="D418" s="4" t="n">
        <v>46268</v>
      </c>
      <c r="E418" s="5" t="n">
        <v>19333</v>
      </c>
      <c r="F418" s="3" t="inlineStr">
        <is>
          <t>NEFT</t>
        </is>
      </c>
    </row>
    <row r="419">
      <c r="A419" s="3" t="inlineStr">
        <is>
          <t>P00418</t>
        </is>
      </c>
      <c r="B419" s="3" t="inlineStr">
        <is>
          <t>D0462</t>
        </is>
      </c>
      <c r="C419" s="3" t="inlineStr">
        <is>
          <t>A0077</t>
        </is>
      </c>
      <c r="D419" s="4" t="n">
        <v>46307</v>
      </c>
      <c r="E419" s="5" t="n">
        <v>19333</v>
      </c>
      <c r="F419" s="3" t="inlineStr">
        <is>
          <t>UPI</t>
        </is>
      </c>
    </row>
    <row r="420">
      <c r="A420" s="3" t="inlineStr">
        <is>
          <t>P00419</t>
        </is>
      </c>
      <c r="B420" s="3" t="inlineStr">
        <is>
          <t>D0463</t>
        </is>
      </c>
      <c r="C420" s="3" t="inlineStr">
        <is>
          <t>A0078</t>
        </is>
      </c>
      <c r="D420" s="4" t="n">
        <v>46130</v>
      </c>
      <c r="E420" s="5" t="n">
        <v>3588</v>
      </c>
      <c r="F420" s="3" t="inlineStr">
        <is>
          <t>NEFT</t>
        </is>
      </c>
    </row>
    <row r="421">
      <c r="A421" s="3" t="inlineStr">
        <is>
          <t>P00420</t>
        </is>
      </c>
      <c r="B421" s="3" t="inlineStr">
        <is>
          <t>D0463</t>
        </is>
      </c>
      <c r="C421" s="3" t="inlineStr">
        <is>
          <t>A0078</t>
        </is>
      </c>
      <c r="D421" s="4" t="n">
        <v>46170</v>
      </c>
      <c r="E421" s="5" t="n">
        <v>3412</v>
      </c>
      <c r="F421" s="3" t="inlineStr">
        <is>
          <t>Cash</t>
        </is>
      </c>
    </row>
    <row r="422">
      <c r="A422" s="3" t="inlineStr">
        <is>
          <t>P00421</t>
        </is>
      </c>
      <c r="B422" s="3" t="inlineStr">
        <is>
          <t>D0464</t>
        </is>
      </c>
      <c r="C422" s="3" t="inlineStr">
        <is>
          <t>A0078</t>
        </is>
      </c>
      <c r="D422" s="4" t="n">
        <v>46193</v>
      </c>
      <c r="E422" s="5" t="n">
        <v>7000</v>
      </c>
      <c r="F422" s="3" t="inlineStr">
        <is>
          <t>Cash</t>
        </is>
      </c>
    </row>
    <row r="423">
      <c r="A423" s="3" t="inlineStr">
        <is>
          <t>P00422</t>
        </is>
      </c>
      <c r="B423" s="3" t="inlineStr">
        <is>
          <t>D0465</t>
        </is>
      </c>
      <c r="C423" s="3" t="inlineStr">
        <is>
          <t>A0078</t>
        </is>
      </c>
      <c r="D423" s="4" t="n">
        <v>46184</v>
      </c>
      <c r="E423" s="5" t="n">
        <v>4223</v>
      </c>
      <c r="F423" s="3" t="inlineStr">
        <is>
          <t>NEFT</t>
        </is>
      </c>
    </row>
    <row r="424">
      <c r="A424" s="3" t="inlineStr">
        <is>
          <t>P00423</t>
        </is>
      </c>
      <c r="B424" s="3" t="inlineStr">
        <is>
          <t>D0465</t>
        </is>
      </c>
      <c r="C424" s="3" t="inlineStr">
        <is>
          <t>A0078</t>
        </is>
      </c>
      <c r="D424" s="4" t="n">
        <v>46210</v>
      </c>
      <c r="E424" s="5" t="n">
        <v>2777</v>
      </c>
      <c r="F424" s="3" t="inlineStr">
        <is>
          <t>UPI</t>
        </is>
      </c>
    </row>
    <row r="425">
      <c r="A425" s="3" t="inlineStr">
        <is>
          <t>P00424</t>
        </is>
      </c>
      <c r="B425" s="3" t="inlineStr">
        <is>
          <t>D0466</t>
        </is>
      </c>
      <c r="C425" s="3" t="inlineStr">
        <is>
          <t>A0078</t>
        </is>
      </c>
      <c r="D425" s="4" t="n">
        <v>46275</v>
      </c>
      <c r="E425" s="5" t="n">
        <v>7000</v>
      </c>
      <c r="F425" s="3" t="inlineStr">
        <is>
          <t>UPI</t>
        </is>
      </c>
    </row>
    <row r="426">
      <c r="A426" s="3" t="inlineStr">
        <is>
          <t>P00425</t>
        </is>
      </c>
      <c r="B426" s="3" t="inlineStr">
        <is>
          <t>D0467</t>
        </is>
      </c>
      <c r="C426" s="3" t="inlineStr">
        <is>
          <t>A0078</t>
        </is>
      </c>
      <c r="D426" s="4" t="n">
        <v>46253</v>
      </c>
      <c r="E426" s="5" t="n">
        <v>4018</v>
      </c>
      <c r="F426" s="3" t="inlineStr">
        <is>
          <t>UPI</t>
        </is>
      </c>
    </row>
    <row r="427">
      <c r="A427" s="3" t="inlineStr">
        <is>
          <t>P00426</t>
        </is>
      </c>
      <c r="B427" s="3" t="inlineStr">
        <is>
          <t>D0467</t>
        </is>
      </c>
      <c r="C427" s="3" t="inlineStr">
        <is>
          <t>A0078</t>
        </is>
      </c>
      <c r="D427" s="4" t="n">
        <v>46287</v>
      </c>
      <c r="E427" s="5" t="n">
        <v>2982</v>
      </c>
      <c r="F427" s="3" t="inlineStr">
        <is>
          <t>Cash</t>
        </is>
      </c>
    </row>
    <row r="428">
      <c r="A428" s="3" t="inlineStr">
        <is>
          <t>P00427</t>
        </is>
      </c>
      <c r="B428" s="3" t="inlineStr">
        <is>
          <t>D0468</t>
        </is>
      </c>
      <c r="C428" s="3" t="inlineStr">
        <is>
          <t>A0078</t>
        </is>
      </c>
      <c r="D428" s="4" t="n">
        <v>46284</v>
      </c>
      <c r="E428" s="5" t="n">
        <v>3979</v>
      </c>
      <c r="F428" s="3" t="inlineStr">
        <is>
          <t>Cash</t>
        </is>
      </c>
    </row>
    <row r="429">
      <c r="A429" s="3" t="inlineStr">
        <is>
          <t>P00428</t>
        </is>
      </c>
      <c r="B429" s="3" t="inlineStr">
        <is>
          <t>D0468</t>
        </is>
      </c>
      <c r="C429" s="3" t="inlineStr">
        <is>
          <t>A0078</t>
        </is>
      </c>
      <c r="D429" s="4" t="n">
        <v>46304</v>
      </c>
      <c r="E429" s="5" t="n">
        <v>3021</v>
      </c>
      <c r="F429" s="3" t="inlineStr">
        <is>
          <t>Cash</t>
        </is>
      </c>
    </row>
    <row r="430">
      <c r="A430" s="3" t="inlineStr">
        <is>
          <t>P00429</t>
        </is>
      </c>
      <c r="B430" s="3" t="inlineStr">
        <is>
          <t>D0469</t>
        </is>
      </c>
      <c r="C430" s="3" t="inlineStr">
        <is>
          <t>A0079</t>
        </is>
      </c>
      <c r="D430" s="4" t="n">
        <v>46119</v>
      </c>
      <c r="E430" s="5" t="n">
        <v>9333</v>
      </c>
      <c r="F430" s="3" t="inlineStr">
        <is>
          <t>UPI</t>
        </is>
      </c>
    </row>
    <row r="431">
      <c r="A431" s="3" t="inlineStr">
        <is>
          <t>P00430</t>
        </is>
      </c>
      <c r="B431" s="3" t="inlineStr">
        <is>
          <t>D0470</t>
        </is>
      </c>
      <c r="C431" s="3" t="inlineStr">
        <is>
          <t>A0079</t>
        </is>
      </c>
      <c r="D431" s="4" t="n">
        <v>46146</v>
      </c>
      <c r="E431" s="5" t="n">
        <v>9333</v>
      </c>
      <c r="F431" s="3" t="inlineStr">
        <is>
          <t>Cash</t>
        </is>
      </c>
    </row>
    <row r="432">
      <c r="A432" s="3" t="inlineStr">
        <is>
          <t>P00431</t>
        </is>
      </c>
      <c r="B432" s="3" t="inlineStr">
        <is>
          <t>D0471</t>
        </is>
      </c>
      <c r="C432" s="3" t="inlineStr">
        <is>
          <t>A0079</t>
        </is>
      </c>
      <c r="D432" s="4" t="n">
        <v>46177</v>
      </c>
      <c r="E432" s="5" t="n">
        <v>9333</v>
      </c>
      <c r="F432" s="3" t="inlineStr">
        <is>
          <t>Cash</t>
        </is>
      </c>
    </row>
    <row r="433">
      <c r="A433" s="3" t="inlineStr">
        <is>
          <t>P00432</t>
        </is>
      </c>
      <c r="B433" s="3" t="inlineStr">
        <is>
          <t>D0472</t>
        </is>
      </c>
      <c r="C433" s="3" t="inlineStr">
        <is>
          <t>A0079</t>
        </is>
      </c>
      <c r="D433" s="4" t="n">
        <v>46205</v>
      </c>
      <c r="E433" s="5" t="n">
        <v>9333</v>
      </c>
      <c r="F433" s="3" t="inlineStr">
        <is>
          <t>Cash</t>
        </is>
      </c>
    </row>
    <row r="434">
      <c r="A434" s="3" t="inlineStr">
        <is>
          <t>P00433</t>
        </is>
      </c>
      <c r="B434" s="3" t="inlineStr">
        <is>
          <t>D0473</t>
        </is>
      </c>
      <c r="C434" s="3" t="inlineStr">
        <is>
          <t>A0079</t>
        </is>
      </c>
      <c r="D434" s="4" t="n">
        <v>46239</v>
      </c>
      <c r="E434" s="5" t="n">
        <v>9333</v>
      </c>
      <c r="F434" s="3" t="inlineStr">
        <is>
          <t>NEFT</t>
        </is>
      </c>
    </row>
    <row r="435">
      <c r="A435" s="3" t="inlineStr">
        <is>
          <t>P00434</t>
        </is>
      </c>
      <c r="B435" s="3" t="inlineStr">
        <is>
          <t>D0474</t>
        </is>
      </c>
      <c r="C435" s="3" t="inlineStr">
        <is>
          <t>A0079</t>
        </is>
      </c>
      <c r="D435" s="4" t="n">
        <v>46268</v>
      </c>
      <c r="E435" s="5" t="n">
        <v>9333</v>
      </c>
      <c r="F435" s="3" t="inlineStr">
        <is>
          <t>UPI</t>
        </is>
      </c>
    </row>
    <row r="436">
      <c r="A436" s="3" t="inlineStr">
        <is>
          <t>P00435</t>
        </is>
      </c>
      <c r="B436" s="3" t="inlineStr">
        <is>
          <t>D0475</t>
        </is>
      </c>
      <c r="C436" s="3" t="inlineStr">
        <is>
          <t>A0080</t>
        </is>
      </c>
      <c r="D436" s="4" t="n">
        <v>46116</v>
      </c>
      <c r="E436" s="5" t="n">
        <v>14667</v>
      </c>
      <c r="F436" s="3" t="inlineStr">
        <is>
          <t>Cash</t>
        </is>
      </c>
    </row>
    <row r="437">
      <c r="A437" s="3" t="inlineStr">
        <is>
          <t>P00436</t>
        </is>
      </c>
      <c r="B437" s="3" t="inlineStr">
        <is>
          <t>D0476</t>
        </is>
      </c>
      <c r="C437" s="3" t="inlineStr">
        <is>
          <t>A0080</t>
        </is>
      </c>
      <c r="D437" s="4" t="n">
        <v>46150</v>
      </c>
      <c r="E437" s="5" t="n">
        <v>14667</v>
      </c>
      <c r="F437" s="3" t="inlineStr">
        <is>
          <t>Cash</t>
        </is>
      </c>
    </row>
    <row r="438">
      <c r="A438" s="3" t="inlineStr">
        <is>
          <t>P00437</t>
        </is>
      </c>
      <c r="B438" s="3" t="inlineStr">
        <is>
          <t>D0477</t>
        </is>
      </c>
      <c r="C438" s="3" t="inlineStr">
        <is>
          <t>A0080</t>
        </is>
      </c>
      <c r="D438" s="4" t="n">
        <v>46181</v>
      </c>
      <c r="E438" s="5" t="n">
        <v>14667</v>
      </c>
      <c r="F438" s="3" t="inlineStr">
        <is>
          <t>Cash</t>
        </is>
      </c>
    </row>
    <row r="439">
      <c r="A439" s="3" t="inlineStr">
        <is>
          <t>P00438</t>
        </is>
      </c>
      <c r="B439" s="3" t="inlineStr">
        <is>
          <t>D0478</t>
        </is>
      </c>
      <c r="C439" s="3" t="inlineStr">
        <is>
          <t>A0080</t>
        </is>
      </c>
      <c r="D439" s="4" t="n">
        <v>46208</v>
      </c>
      <c r="E439" s="5" t="n">
        <v>14667</v>
      </c>
      <c r="F439" s="3" t="inlineStr">
        <is>
          <t>NEFT</t>
        </is>
      </c>
    </row>
    <row r="440">
      <c r="A440" s="3" t="inlineStr">
        <is>
          <t>P00439</t>
        </is>
      </c>
      <c r="B440" s="3" t="inlineStr">
        <is>
          <t>D0479</t>
        </is>
      </c>
      <c r="C440" s="3" t="inlineStr">
        <is>
          <t>A0080</t>
        </is>
      </c>
      <c r="D440" s="4" t="n">
        <v>46237</v>
      </c>
      <c r="E440" s="5" t="n">
        <v>14667</v>
      </c>
      <c r="F440" s="3" t="inlineStr">
        <is>
          <t>UPI</t>
        </is>
      </c>
    </row>
    <row r="441">
      <c r="A441" s="3" t="inlineStr">
        <is>
          <t>P00440</t>
        </is>
      </c>
      <c r="B441" s="3" t="inlineStr">
        <is>
          <t>D0480</t>
        </is>
      </c>
      <c r="C441" s="3" t="inlineStr">
        <is>
          <t>A0080</t>
        </is>
      </c>
      <c r="D441" s="4" t="n">
        <v>46267</v>
      </c>
      <c r="E441" s="5" t="n">
        <v>14667</v>
      </c>
      <c r="F441" s="3" t="inlineStr">
        <is>
          <t>NEFT</t>
        </is>
      </c>
    </row>
    <row r="442">
      <c r="A442" s="3" t="inlineStr">
        <is>
          <t>P00441</t>
        </is>
      </c>
      <c r="B442" s="3" t="inlineStr">
        <is>
          <t>D0481</t>
        </is>
      </c>
      <c r="C442" s="3" t="inlineStr">
        <is>
          <t>A0081</t>
        </is>
      </c>
      <c r="D442" s="4" t="n">
        <v>46120</v>
      </c>
      <c r="E442" s="5" t="n">
        <v>3333</v>
      </c>
      <c r="F442" s="3" t="inlineStr">
        <is>
          <t>Cash</t>
        </is>
      </c>
    </row>
    <row r="443">
      <c r="A443" s="3" t="inlineStr">
        <is>
          <t>P00442</t>
        </is>
      </c>
      <c r="B443" s="3" t="inlineStr">
        <is>
          <t>D0482</t>
        </is>
      </c>
      <c r="C443" s="3" t="inlineStr">
        <is>
          <t>A0081</t>
        </is>
      </c>
      <c r="D443" s="4" t="n">
        <v>46146</v>
      </c>
      <c r="E443" s="5" t="n">
        <v>3333</v>
      </c>
      <c r="F443" s="3" t="inlineStr">
        <is>
          <t>UPI</t>
        </is>
      </c>
    </row>
    <row r="444">
      <c r="A444" s="3" t="inlineStr">
        <is>
          <t>P00443</t>
        </is>
      </c>
      <c r="B444" s="3" t="inlineStr">
        <is>
          <t>D0483</t>
        </is>
      </c>
      <c r="C444" s="3" t="inlineStr">
        <is>
          <t>A0081</t>
        </is>
      </c>
      <c r="D444" s="4" t="n">
        <v>46181</v>
      </c>
      <c r="E444" s="5" t="n">
        <v>3333</v>
      </c>
      <c r="F444" s="3" t="inlineStr">
        <is>
          <t>Cash</t>
        </is>
      </c>
    </row>
    <row r="445">
      <c r="A445" s="3" t="inlineStr">
        <is>
          <t>P00444</t>
        </is>
      </c>
      <c r="B445" s="3" t="inlineStr">
        <is>
          <t>D0484</t>
        </is>
      </c>
      <c r="C445" s="3" t="inlineStr">
        <is>
          <t>A0081</t>
        </is>
      </c>
      <c r="D445" s="4" t="n">
        <v>46210</v>
      </c>
      <c r="E445" s="5" t="n">
        <v>3333</v>
      </c>
      <c r="F445" s="3" t="inlineStr">
        <is>
          <t>UPI</t>
        </is>
      </c>
    </row>
    <row r="446">
      <c r="A446" s="3" t="inlineStr">
        <is>
          <t>P00445</t>
        </is>
      </c>
      <c r="B446" s="3" t="inlineStr">
        <is>
          <t>D0485</t>
        </is>
      </c>
      <c r="C446" s="3" t="inlineStr">
        <is>
          <t>A0081</t>
        </is>
      </c>
      <c r="D446" s="4" t="n">
        <v>46238</v>
      </c>
      <c r="E446" s="5" t="n">
        <v>3333</v>
      </c>
      <c r="F446" s="3" t="inlineStr">
        <is>
          <t>UPI</t>
        </is>
      </c>
    </row>
    <row r="447">
      <c r="A447" s="3" t="inlineStr">
        <is>
          <t>P00446</t>
        </is>
      </c>
      <c r="B447" s="3" t="inlineStr">
        <is>
          <t>D0486</t>
        </is>
      </c>
      <c r="C447" s="3" t="inlineStr">
        <is>
          <t>A0081</t>
        </is>
      </c>
      <c r="D447" s="4" t="n">
        <v>46267</v>
      </c>
      <c r="E447" s="5" t="n">
        <v>3333</v>
      </c>
      <c r="F447" s="3" t="inlineStr">
        <is>
          <t>Cash</t>
        </is>
      </c>
    </row>
    <row r="448">
      <c r="A448" s="3" t="inlineStr">
        <is>
          <t>P00447</t>
        </is>
      </c>
      <c r="B448" s="3" t="inlineStr">
        <is>
          <t>D0493</t>
        </is>
      </c>
      <c r="C448" s="3" t="inlineStr">
        <is>
          <t>A0083</t>
        </is>
      </c>
      <c r="D448" s="4" t="n">
        <v>46117</v>
      </c>
      <c r="E448" s="5" t="n">
        <v>9333</v>
      </c>
      <c r="F448" s="3" t="inlineStr">
        <is>
          <t>Cash</t>
        </is>
      </c>
    </row>
    <row r="449">
      <c r="A449" s="3" t="inlineStr">
        <is>
          <t>P00448</t>
        </is>
      </c>
      <c r="B449" s="3" t="inlineStr">
        <is>
          <t>D0494</t>
        </is>
      </c>
      <c r="C449" s="3" t="inlineStr">
        <is>
          <t>A0083</t>
        </is>
      </c>
      <c r="D449" s="4" t="n">
        <v>46150</v>
      </c>
      <c r="E449" s="5" t="n">
        <v>9333</v>
      </c>
      <c r="F449" s="3" t="inlineStr">
        <is>
          <t>NEFT</t>
        </is>
      </c>
    </row>
    <row r="450">
      <c r="A450" s="3" t="inlineStr">
        <is>
          <t>P00449</t>
        </is>
      </c>
      <c r="B450" s="3" t="inlineStr">
        <is>
          <t>D0495</t>
        </is>
      </c>
      <c r="C450" s="3" t="inlineStr">
        <is>
          <t>A0083</t>
        </is>
      </c>
      <c r="D450" s="4" t="n">
        <v>46178</v>
      </c>
      <c r="E450" s="5" t="n">
        <v>9333</v>
      </c>
      <c r="F450" s="3" t="inlineStr">
        <is>
          <t>UPI</t>
        </is>
      </c>
    </row>
    <row r="451">
      <c r="A451" s="3" t="inlineStr">
        <is>
          <t>P00450</t>
        </is>
      </c>
      <c r="B451" s="3" t="inlineStr">
        <is>
          <t>D0496</t>
        </is>
      </c>
      <c r="C451" s="3" t="inlineStr">
        <is>
          <t>A0083</t>
        </is>
      </c>
      <c r="D451" s="4" t="n">
        <v>46208</v>
      </c>
      <c r="E451" s="5" t="n">
        <v>9333</v>
      </c>
      <c r="F451" s="3" t="inlineStr">
        <is>
          <t>NEFT</t>
        </is>
      </c>
    </row>
    <row r="452">
      <c r="A452" s="3" t="inlineStr">
        <is>
          <t>P00451</t>
        </is>
      </c>
      <c r="B452" s="3" t="inlineStr">
        <is>
          <t>D0497</t>
        </is>
      </c>
      <c r="C452" s="3" t="inlineStr">
        <is>
          <t>A0083</t>
        </is>
      </c>
      <c r="D452" s="4" t="n">
        <v>46241</v>
      </c>
      <c r="E452" s="5" t="n">
        <v>9333</v>
      </c>
      <c r="F452" s="3" t="inlineStr">
        <is>
          <t>NEFT</t>
        </is>
      </c>
    </row>
    <row r="453">
      <c r="A453" s="3" t="inlineStr">
        <is>
          <t>P00452</t>
        </is>
      </c>
      <c r="B453" s="3" t="inlineStr">
        <is>
          <t>D0498</t>
        </is>
      </c>
      <c r="C453" s="3" t="inlineStr">
        <is>
          <t>A0083</t>
        </is>
      </c>
      <c r="D453" s="4" t="n">
        <v>46273</v>
      </c>
      <c r="E453" s="5" t="n">
        <v>9333</v>
      </c>
      <c r="F453" s="3" t="inlineStr">
        <is>
          <t>Cash</t>
        </is>
      </c>
    </row>
    <row r="454">
      <c r="A454" s="3" t="inlineStr">
        <is>
          <t>P00453</t>
        </is>
      </c>
      <c r="B454" s="3" t="inlineStr">
        <is>
          <t>D0499</t>
        </is>
      </c>
      <c r="C454" s="3" t="inlineStr">
        <is>
          <t>A0084</t>
        </is>
      </c>
      <c r="D454" s="4" t="n">
        <v>46118</v>
      </c>
      <c r="E454" s="5" t="n">
        <v>29333</v>
      </c>
      <c r="F454" s="3" t="inlineStr">
        <is>
          <t>UPI</t>
        </is>
      </c>
    </row>
    <row r="455">
      <c r="A455" s="3" t="inlineStr">
        <is>
          <t>P00454</t>
        </is>
      </c>
      <c r="B455" s="3" t="inlineStr">
        <is>
          <t>D0500</t>
        </is>
      </c>
      <c r="C455" s="3" t="inlineStr">
        <is>
          <t>A0084</t>
        </is>
      </c>
      <c r="D455" s="4" t="n">
        <v>46147</v>
      </c>
      <c r="E455" s="5" t="n">
        <v>29333</v>
      </c>
      <c r="F455" s="3" t="inlineStr">
        <is>
          <t>UPI</t>
        </is>
      </c>
    </row>
    <row r="456">
      <c r="A456" s="3" t="inlineStr">
        <is>
          <t>P00455</t>
        </is>
      </c>
      <c r="B456" s="3" t="inlineStr">
        <is>
          <t>D0501</t>
        </is>
      </c>
      <c r="C456" s="3" t="inlineStr">
        <is>
          <t>A0084</t>
        </is>
      </c>
      <c r="D456" s="4" t="n">
        <v>46175</v>
      </c>
      <c r="E456" s="5" t="n">
        <v>29333</v>
      </c>
      <c r="F456" s="3" t="inlineStr">
        <is>
          <t>NEFT</t>
        </is>
      </c>
    </row>
    <row r="457">
      <c r="A457" s="3" t="inlineStr">
        <is>
          <t>P00456</t>
        </is>
      </c>
      <c r="B457" s="3" t="inlineStr">
        <is>
          <t>D0502</t>
        </is>
      </c>
      <c r="C457" s="3" t="inlineStr">
        <is>
          <t>A0084</t>
        </is>
      </c>
      <c r="D457" s="4" t="n">
        <v>46205</v>
      </c>
      <c r="E457" s="5" t="n">
        <v>29333</v>
      </c>
      <c r="F457" s="3" t="inlineStr">
        <is>
          <t>Cash</t>
        </is>
      </c>
    </row>
    <row r="458">
      <c r="A458" s="3" t="inlineStr">
        <is>
          <t>P00457</t>
        </is>
      </c>
      <c r="B458" s="3" t="inlineStr">
        <is>
          <t>D0503</t>
        </is>
      </c>
      <c r="C458" s="3" t="inlineStr">
        <is>
          <t>A0084</t>
        </is>
      </c>
      <c r="D458" s="4" t="n">
        <v>46241</v>
      </c>
      <c r="E458" s="5" t="n">
        <v>29333</v>
      </c>
      <c r="F458" s="3" t="inlineStr">
        <is>
          <t>UPI</t>
        </is>
      </c>
    </row>
    <row r="459">
      <c r="A459" s="3" t="inlineStr">
        <is>
          <t>P00458</t>
        </is>
      </c>
      <c r="B459" s="3" t="inlineStr">
        <is>
          <t>D0504</t>
        </is>
      </c>
      <c r="C459" s="3" t="inlineStr">
        <is>
          <t>A0084</t>
        </is>
      </c>
      <c r="D459" s="4" t="n">
        <v>46269</v>
      </c>
      <c r="E459" s="5" t="n">
        <v>29333</v>
      </c>
      <c r="F459" s="3" t="inlineStr">
        <is>
          <t>NEFT</t>
        </is>
      </c>
    </row>
    <row r="460">
      <c r="A460" s="3" t="inlineStr">
        <is>
          <t>P00459</t>
        </is>
      </c>
      <c r="B460" s="3" t="inlineStr">
        <is>
          <t>D0505</t>
        </is>
      </c>
      <c r="C460" s="3" t="inlineStr">
        <is>
          <t>A0085</t>
        </is>
      </c>
      <c r="D460" s="4" t="n">
        <v>46142</v>
      </c>
      <c r="E460" s="5" t="n">
        <v>29500</v>
      </c>
      <c r="F460" s="3" t="inlineStr">
        <is>
          <t>Cash</t>
        </is>
      </c>
    </row>
    <row r="461">
      <c r="A461" s="3" t="inlineStr">
        <is>
          <t>P00460</t>
        </is>
      </c>
      <c r="B461" s="3" t="inlineStr">
        <is>
          <t>D0506</t>
        </is>
      </c>
      <c r="C461" s="3" t="inlineStr">
        <is>
          <t>A0085</t>
        </is>
      </c>
      <c r="D461" s="4" t="n">
        <v>46163</v>
      </c>
      <c r="E461" s="5" t="n">
        <v>29500</v>
      </c>
      <c r="F461" s="3" t="inlineStr">
        <is>
          <t>UPI</t>
        </is>
      </c>
    </row>
    <row r="462">
      <c r="A462" s="3" t="inlineStr">
        <is>
          <t>P00461</t>
        </is>
      </c>
      <c r="B462" s="3" t="inlineStr">
        <is>
          <t>D0507</t>
        </is>
      </c>
      <c r="C462" s="3" t="inlineStr">
        <is>
          <t>A0085</t>
        </is>
      </c>
      <c r="D462" s="4" t="n">
        <v>46200</v>
      </c>
      <c r="E462" s="5" t="n">
        <v>29500</v>
      </c>
      <c r="F462" s="3" t="inlineStr">
        <is>
          <t>Cash</t>
        </is>
      </c>
    </row>
    <row r="463">
      <c r="A463" s="3" t="inlineStr">
        <is>
          <t>P00462</t>
        </is>
      </c>
      <c r="B463" s="3" t="inlineStr">
        <is>
          <t>D0508</t>
        </is>
      </c>
      <c r="C463" s="3" t="inlineStr">
        <is>
          <t>A0085</t>
        </is>
      </c>
      <c r="D463" s="4" t="n">
        <v>46239</v>
      </c>
      <c r="E463" s="5" t="n">
        <v>29500</v>
      </c>
      <c r="F463" s="3" t="inlineStr">
        <is>
          <t>Cash</t>
        </is>
      </c>
    </row>
    <row r="464">
      <c r="A464" s="3" t="inlineStr">
        <is>
          <t>P00463</t>
        </is>
      </c>
      <c r="B464" s="3" t="inlineStr">
        <is>
          <t>D0509</t>
        </is>
      </c>
      <c r="C464" s="3" t="inlineStr">
        <is>
          <t>A0085</t>
        </is>
      </c>
      <c r="D464" s="4" t="n">
        <v>46270</v>
      </c>
      <c r="E464" s="5" t="n">
        <v>29500</v>
      </c>
      <c r="F464" s="3" t="inlineStr">
        <is>
          <t>UPI</t>
        </is>
      </c>
    </row>
    <row r="465">
      <c r="A465" s="3" t="inlineStr">
        <is>
          <t>P00464</t>
        </is>
      </c>
      <c r="B465" s="3" t="inlineStr">
        <is>
          <t>D0510</t>
        </is>
      </c>
      <c r="C465" s="3" t="inlineStr">
        <is>
          <t>A0085</t>
        </is>
      </c>
      <c r="D465" s="4" t="n">
        <v>46287</v>
      </c>
      <c r="E465" s="5" t="n">
        <v>29500</v>
      </c>
      <c r="F465" s="3" t="inlineStr">
        <is>
          <t>NEFT</t>
        </is>
      </c>
    </row>
    <row r="466">
      <c r="A466" s="3" t="inlineStr">
        <is>
          <t>P00465</t>
        </is>
      </c>
      <c r="B466" s="3" t="inlineStr">
        <is>
          <t>D0511</t>
        </is>
      </c>
      <c r="C466" s="3" t="inlineStr">
        <is>
          <t>A0086</t>
        </is>
      </c>
      <c r="D466" s="4" t="n">
        <v>46114</v>
      </c>
      <c r="E466" s="5" t="n">
        <v>22667</v>
      </c>
      <c r="F466" s="3" t="inlineStr">
        <is>
          <t>UPI</t>
        </is>
      </c>
    </row>
    <row r="467">
      <c r="A467" s="3" t="inlineStr">
        <is>
          <t>P00466</t>
        </is>
      </c>
      <c r="B467" s="3" t="inlineStr">
        <is>
          <t>D0512</t>
        </is>
      </c>
      <c r="C467" s="3" t="inlineStr">
        <is>
          <t>A0086</t>
        </is>
      </c>
      <c r="D467" s="4" t="n">
        <v>46150</v>
      </c>
      <c r="E467" s="5" t="n">
        <v>22667</v>
      </c>
      <c r="F467" s="3" t="inlineStr">
        <is>
          <t>Cash</t>
        </is>
      </c>
    </row>
    <row r="468">
      <c r="A468" s="3" t="inlineStr">
        <is>
          <t>P00467</t>
        </is>
      </c>
      <c r="B468" s="3" t="inlineStr">
        <is>
          <t>D0513</t>
        </is>
      </c>
      <c r="C468" s="3" t="inlineStr">
        <is>
          <t>A0086</t>
        </is>
      </c>
      <c r="D468" s="4" t="n">
        <v>46181</v>
      </c>
      <c r="E468" s="5" t="n">
        <v>22667</v>
      </c>
      <c r="F468" s="3" t="inlineStr">
        <is>
          <t>Cash</t>
        </is>
      </c>
    </row>
    <row r="469">
      <c r="A469" s="3" t="inlineStr">
        <is>
          <t>P00468</t>
        </is>
      </c>
      <c r="B469" s="3" t="inlineStr">
        <is>
          <t>D0514</t>
        </is>
      </c>
      <c r="C469" s="3" t="inlineStr">
        <is>
          <t>A0086</t>
        </is>
      </c>
      <c r="D469" s="4" t="n">
        <v>46210</v>
      </c>
      <c r="E469" s="5" t="n">
        <v>22667</v>
      </c>
      <c r="F469" s="3" t="inlineStr">
        <is>
          <t>UPI</t>
        </is>
      </c>
    </row>
    <row r="470">
      <c r="A470" s="3" t="inlineStr">
        <is>
          <t>P00469</t>
        </is>
      </c>
      <c r="B470" s="3" t="inlineStr">
        <is>
          <t>D0515</t>
        </is>
      </c>
      <c r="C470" s="3" t="inlineStr">
        <is>
          <t>A0086</t>
        </is>
      </c>
      <c r="D470" s="4" t="n">
        <v>46238</v>
      </c>
      <c r="E470" s="5" t="n">
        <v>22667</v>
      </c>
      <c r="F470" s="3" t="inlineStr">
        <is>
          <t>UPI</t>
        </is>
      </c>
    </row>
    <row r="471">
      <c r="A471" s="3" t="inlineStr">
        <is>
          <t>P00470</t>
        </is>
      </c>
      <c r="B471" s="3" t="inlineStr">
        <is>
          <t>D0516</t>
        </is>
      </c>
      <c r="C471" s="3" t="inlineStr">
        <is>
          <t>A0086</t>
        </is>
      </c>
      <c r="D471" s="4" t="n">
        <v>46271</v>
      </c>
      <c r="E471" s="5" t="n">
        <v>22667</v>
      </c>
      <c r="F471" s="3" t="inlineStr">
        <is>
          <t>NEFT</t>
        </is>
      </c>
    </row>
    <row r="472">
      <c r="A472" s="3" t="inlineStr">
        <is>
          <t>P00471</t>
        </is>
      </c>
      <c r="B472" s="3" t="inlineStr">
        <is>
          <t>D0517</t>
        </is>
      </c>
      <c r="C472" s="3" t="inlineStr">
        <is>
          <t>A0087</t>
        </is>
      </c>
      <c r="D472" s="4" t="n">
        <v>46114</v>
      </c>
      <c r="E472" s="5" t="n">
        <v>19833</v>
      </c>
      <c r="F472" s="3" t="inlineStr">
        <is>
          <t>UPI</t>
        </is>
      </c>
    </row>
    <row r="473">
      <c r="A473" s="3" t="inlineStr">
        <is>
          <t>P00472</t>
        </is>
      </c>
      <c r="B473" s="3" t="inlineStr">
        <is>
          <t>D0518</t>
        </is>
      </c>
      <c r="C473" s="3" t="inlineStr">
        <is>
          <t>A0087</t>
        </is>
      </c>
      <c r="D473" s="4" t="n">
        <v>46148</v>
      </c>
      <c r="E473" s="5" t="n">
        <v>19833</v>
      </c>
      <c r="F473" s="3" t="inlineStr">
        <is>
          <t>Cash</t>
        </is>
      </c>
    </row>
    <row r="474">
      <c r="A474" s="3" t="inlineStr">
        <is>
          <t>P00473</t>
        </is>
      </c>
      <c r="B474" s="3" t="inlineStr">
        <is>
          <t>D0519</t>
        </is>
      </c>
      <c r="C474" s="3" t="inlineStr">
        <is>
          <t>A0087</t>
        </is>
      </c>
      <c r="D474" s="4" t="n">
        <v>46178</v>
      </c>
      <c r="E474" s="5" t="n">
        <v>19833</v>
      </c>
      <c r="F474" s="3" t="inlineStr">
        <is>
          <t>UPI</t>
        </is>
      </c>
    </row>
    <row r="475">
      <c r="A475" s="3" t="inlineStr">
        <is>
          <t>P00474</t>
        </is>
      </c>
      <c r="B475" s="3" t="inlineStr">
        <is>
          <t>D0520</t>
        </is>
      </c>
      <c r="C475" s="3" t="inlineStr">
        <is>
          <t>A0087</t>
        </is>
      </c>
      <c r="D475" s="4" t="n">
        <v>46206</v>
      </c>
      <c r="E475" s="5" t="n">
        <v>19833</v>
      </c>
      <c r="F475" s="3" t="inlineStr">
        <is>
          <t>UPI</t>
        </is>
      </c>
    </row>
    <row r="476">
      <c r="A476" s="3" t="inlineStr">
        <is>
          <t>P00475</t>
        </is>
      </c>
      <c r="B476" s="3" t="inlineStr">
        <is>
          <t>D0521</t>
        </is>
      </c>
      <c r="C476" s="3" t="inlineStr">
        <is>
          <t>A0087</t>
        </is>
      </c>
      <c r="D476" s="4" t="n">
        <v>46239</v>
      </c>
      <c r="E476" s="5" t="n">
        <v>19833</v>
      </c>
      <c r="F476" s="3" t="inlineStr">
        <is>
          <t>UPI</t>
        </is>
      </c>
    </row>
    <row r="477">
      <c r="A477" s="3" t="inlineStr">
        <is>
          <t>P00476</t>
        </is>
      </c>
      <c r="B477" s="3" t="inlineStr">
        <is>
          <t>D0522</t>
        </is>
      </c>
      <c r="C477" s="3" t="inlineStr">
        <is>
          <t>A0087</t>
        </is>
      </c>
      <c r="D477" s="4" t="n">
        <v>46271</v>
      </c>
      <c r="E477" s="5" t="n">
        <v>19833</v>
      </c>
      <c r="F477" s="3" t="inlineStr">
        <is>
          <t>NEFT</t>
        </is>
      </c>
    </row>
    <row r="478">
      <c r="A478" s="3" t="inlineStr">
        <is>
          <t>P00477</t>
        </is>
      </c>
      <c r="B478" s="3" t="inlineStr">
        <is>
          <t>D0523</t>
        </is>
      </c>
      <c r="C478" s="3" t="inlineStr">
        <is>
          <t>A0088</t>
        </is>
      </c>
      <c r="D478" s="4" t="n">
        <v>46136</v>
      </c>
      <c r="E478" s="5" t="n">
        <v>5500</v>
      </c>
      <c r="F478" s="3" t="inlineStr">
        <is>
          <t>NEFT</t>
        </is>
      </c>
    </row>
    <row r="479">
      <c r="A479" s="3" t="inlineStr">
        <is>
          <t>P00478</t>
        </is>
      </c>
      <c r="B479" s="3" t="inlineStr">
        <is>
          <t>D0524</t>
        </is>
      </c>
      <c r="C479" s="3" t="inlineStr">
        <is>
          <t>A0088</t>
        </is>
      </c>
      <c r="D479" s="4" t="n">
        <v>46159</v>
      </c>
      <c r="E479" s="5" t="n">
        <v>5500</v>
      </c>
      <c r="F479" s="3" t="inlineStr">
        <is>
          <t>UPI</t>
        </is>
      </c>
    </row>
    <row r="480">
      <c r="A480" s="3" t="inlineStr">
        <is>
          <t>P00479</t>
        </is>
      </c>
      <c r="B480" s="3" t="inlineStr">
        <is>
          <t>D0525</t>
        </is>
      </c>
      <c r="C480" s="3" t="inlineStr">
        <is>
          <t>A0088</t>
        </is>
      </c>
      <c r="D480" s="4" t="n">
        <v>46198</v>
      </c>
      <c r="E480" s="5" t="n">
        <v>5500</v>
      </c>
      <c r="F480" s="3" t="inlineStr">
        <is>
          <t>Cash</t>
        </is>
      </c>
    </row>
    <row r="481">
      <c r="A481" s="3" t="inlineStr">
        <is>
          <t>P00480</t>
        </is>
      </c>
      <c r="B481" s="3" t="inlineStr">
        <is>
          <t>D0526</t>
        </is>
      </c>
      <c r="C481" s="3" t="inlineStr">
        <is>
          <t>A0088</t>
        </is>
      </c>
      <c r="D481" s="4" t="n">
        <v>46228</v>
      </c>
      <c r="E481" s="5" t="n">
        <v>5500</v>
      </c>
      <c r="F481" s="3" t="inlineStr">
        <is>
          <t>NEFT</t>
        </is>
      </c>
    </row>
    <row r="482">
      <c r="A482" s="3" t="inlineStr">
        <is>
          <t>P00481</t>
        </is>
      </c>
      <c r="B482" s="3" t="inlineStr">
        <is>
          <t>D0527</t>
        </is>
      </c>
      <c r="C482" s="3" t="inlineStr">
        <is>
          <t>A0088</t>
        </is>
      </c>
      <c r="D482" s="4" t="n">
        <v>46273</v>
      </c>
      <c r="E482" s="5" t="n">
        <v>5500</v>
      </c>
      <c r="F482" s="3" t="inlineStr">
        <is>
          <t>NEFT</t>
        </is>
      </c>
    </row>
    <row r="483">
      <c r="A483" s="3" t="inlineStr">
        <is>
          <t>P00482</t>
        </is>
      </c>
      <c r="B483" s="3" t="inlineStr">
        <is>
          <t>D0528</t>
        </is>
      </c>
      <c r="C483" s="3" t="inlineStr">
        <is>
          <t>A0088</t>
        </is>
      </c>
      <c r="D483" s="4" t="n">
        <v>46302</v>
      </c>
      <c r="E483" s="5" t="n">
        <v>5500</v>
      </c>
      <c r="F483" s="3" t="inlineStr">
        <is>
          <t>UPI</t>
        </is>
      </c>
    </row>
    <row r="484">
      <c r="A484" s="3" t="inlineStr">
        <is>
          <t>P00483</t>
        </is>
      </c>
      <c r="B484" s="3" t="inlineStr">
        <is>
          <t>D0529</t>
        </is>
      </c>
      <c r="C484" s="3" t="inlineStr">
        <is>
          <t>A0089</t>
        </is>
      </c>
      <c r="D484" s="4" t="n">
        <v>46119</v>
      </c>
      <c r="E484" s="5" t="n">
        <v>11833</v>
      </c>
      <c r="F484" s="3" t="inlineStr">
        <is>
          <t>NEFT</t>
        </is>
      </c>
    </row>
    <row r="485">
      <c r="A485" s="3" t="inlineStr">
        <is>
          <t>P00484</t>
        </is>
      </c>
      <c r="B485" s="3" t="inlineStr">
        <is>
          <t>D0530</t>
        </is>
      </c>
      <c r="C485" s="3" t="inlineStr">
        <is>
          <t>A0089</t>
        </is>
      </c>
      <c r="D485" s="4" t="n">
        <v>46148</v>
      </c>
      <c r="E485" s="5" t="n">
        <v>11833</v>
      </c>
      <c r="F485" s="3" t="inlineStr">
        <is>
          <t>UPI</t>
        </is>
      </c>
    </row>
    <row r="486">
      <c r="A486" s="3" t="inlineStr">
        <is>
          <t>P00485</t>
        </is>
      </c>
      <c r="B486" s="3" t="inlineStr">
        <is>
          <t>D0531</t>
        </is>
      </c>
      <c r="C486" s="3" t="inlineStr">
        <is>
          <t>A0089</t>
        </is>
      </c>
      <c r="D486" s="4" t="n">
        <v>46175</v>
      </c>
      <c r="E486" s="5" t="n">
        <v>11833</v>
      </c>
      <c r="F486" s="3" t="inlineStr">
        <is>
          <t>Cash</t>
        </is>
      </c>
    </row>
    <row r="487">
      <c r="A487" s="3" t="inlineStr">
        <is>
          <t>P00486</t>
        </is>
      </c>
      <c r="B487" s="3" t="inlineStr">
        <is>
          <t>D0532</t>
        </is>
      </c>
      <c r="C487" s="3" t="inlineStr">
        <is>
          <t>A0089</t>
        </is>
      </c>
      <c r="D487" s="4" t="n">
        <v>46207</v>
      </c>
      <c r="E487" s="5" t="n">
        <v>11833</v>
      </c>
      <c r="F487" s="3" t="inlineStr">
        <is>
          <t>Cash</t>
        </is>
      </c>
    </row>
    <row r="488">
      <c r="A488" s="3" t="inlineStr">
        <is>
          <t>P00487</t>
        </is>
      </c>
      <c r="B488" s="3" t="inlineStr">
        <is>
          <t>D0533</t>
        </is>
      </c>
      <c r="C488" s="3" t="inlineStr">
        <is>
          <t>A0089</t>
        </is>
      </c>
      <c r="D488" s="4" t="n">
        <v>46241</v>
      </c>
      <c r="E488" s="5" t="n">
        <v>11833</v>
      </c>
      <c r="F488" s="3" t="inlineStr">
        <is>
          <t>Cash</t>
        </is>
      </c>
    </row>
    <row r="489">
      <c r="A489" s="3" t="inlineStr">
        <is>
          <t>P00488</t>
        </is>
      </c>
      <c r="B489" s="3" t="inlineStr">
        <is>
          <t>D0534</t>
        </is>
      </c>
      <c r="C489" s="3" t="inlineStr">
        <is>
          <t>A0089</t>
        </is>
      </c>
      <c r="D489" s="4" t="n">
        <v>46268</v>
      </c>
      <c r="E489" s="5" t="n">
        <v>11833</v>
      </c>
      <c r="F489" s="3" t="inlineStr">
        <is>
          <t>UPI</t>
        </is>
      </c>
    </row>
    <row r="490">
      <c r="A490" s="3" t="inlineStr">
        <is>
          <t>P00489</t>
        </is>
      </c>
      <c r="B490" s="3" t="inlineStr">
        <is>
          <t>D0535</t>
        </is>
      </c>
      <c r="C490" s="3" t="inlineStr">
        <is>
          <t>A0090</t>
        </is>
      </c>
      <c r="D490" s="4" t="n">
        <v>46114</v>
      </c>
      <c r="E490" s="5" t="n">
        <v>5167</v>
      </c>
      <c r="F490" s="3" t="inlineStr">
        <is>
          <t>NEFT</t>
        </is>
      </c>
    </row>
    <row r="491">
      <c r="A491" s="3" t="inlineStr">
        <is>
          <t>P00490</t>
        </is>
      </c>
      <c r="B491" s="3" t="inlineStr">
        <is>
          <t>D0536</t>
        </is>
      </c>
      <c r="C491" s="3" t="inlineStr">
        <is>
          <t>A0090</t>
        </is>
      </c>
      <c r="D491" s="4" t="n">
        <v>46148</v>
      </c>
      <c r="E491" s="5" t="n">
        <v>5167</v>
      </c>
      <c r="F491" s="3" t="inlineStr">
        <is>
          <t>NEFT</t>
        </is>
      </c>
    </row>
    <row r="492">
      <c r="A492" s="3" t="inlineStr">
        <is>
          <t>P00491</t>
        </is>
      </c>
      <c r="B492" s="3" t="inlineStr">
        <is>
          <t>D0537</t>
        </is>
      </c>
      <c r="C492" s="3" t="inlineStr">
        <is>
          <t>A0090</t>
        </is>
      </c>
      <c r="D492" s="4" t="n">
        <v>46176</v>
      </c>
      <c r="E492" s="5" t="n">
        <v>5167</v>
      </c>
      <c r="F492" s="3" t="inlineStr">
        <is>
          <t>Cash</t>
        </is>
      </c>
    </row>
    <row r="493">
      <c r="A493" s="3" t="inlineStr">
        <is>
          <t>P00492</t>
        </is>
      </c>
      <c r="B493" s="3" t="inlineStr">
        <is>
          <t>D0538</t>
        </is>
      </c>
      <c r="C493" s="3" t="inlineStr">
        <is>
          <t>A0090</t>
        </is>
      </c>
      <c r="D493" s="4" t="n">
        <v>46205</v>
      </c>
      <c r="E493" s="5" t="n">
        <v>5167</v>
      </c>
      <c r="F493" s="3" t="inlineStr">
        <is>
          <t>UPI</t>
        </is>
      </c>
    </row>
    <row r="494">
      <c r="A494" s="3" t="inlineStr">
        <is>
          <t>P00493</t>
        </is>
      </c>
      <c r="B494" s="3" t="inlineStr">
        <is>
          <t>D0539</t>
        </is>
      </c>
      <c r="C494" s="3" t="inlineStr">
        <is>
          <t>A0090</t>
        </is>
      </c>
      <c r="D494" s="4" t="n">
        <v>46239</v>
      </c>
      <c r="E494" s="5" t="n">
        <v>5167</v>
      </c>
      <c r="F494" s="3" t="inlineStr">
        <is>
          <t>UPI</t>
        </is>
      </c>
    </row>
    <row r="495">
      <c r="A495" s="3" t="inlineStr">
        <is>
          <t>P00494</t>
        </is>
      </c>
      <c r="B495" s="3" t="inlineStr">
        <is>
          <t>D0540</t>
        </is>
      </c>
      <c r="C495" s="3" t="inlineStr">
        <is>
          <t>A0090</t>
        </is>
      </c>
      <c r="D495" s="4" t="n">
        <v>46267</v>
      </c>
      <c r="E495" s="5" t="n">
        <v>5167</v>
      </c>
      <c r="F495" s="3" t="inlineStr">
        <is>
          <t>Cash</t>
        </is>
      </c>
    </row>
    <row r="496">
      <c r="A496" s="3" t="inlineStr">
        <is>
          <t>P00495</t>
        </is>
      </c>
      <c r="B496" s="3" t="inlineStr">
        <is>
          <t>D0541</t>
        </is>
      </c>
      <c r="C496" s="3" t="inlineStr">
        <is>
          <t>A0091</t>
        </is>
      </c>
      <c r="D496" s="4" t="n">
        <v>46115</v>
      </c>
      <c r="E496" s="5" t="n">
        <v>11000</v>
      </c>
      <c r="F496" s="3" t="inlineStr">
        <is>
          <t>NEFT</t>
        </is>
      </c>
    </row>
    <row r="497">
      <c r="A497" s="3" t="inlineStr">
        <is>
          <t>P00496</t>
        </is>
      </c>
      <c r="B497" s="3" t="inlineStr">
        <is>
          <t>D0542</t>
        </is>
      </c>
      <c r="C497" s="3" t="inlineStr">
        <is>
          <t>A0091</t>
        </is>
      </c>
      <c r="D497" s="4" t="n">
        <v>46146</v>
      </c>
      <c r="E497" s="5" t="n">
        <v>11000</v>
      </c>
      <c r="F497" s="3" t="inlineStr">
        <is>
          <t>NEFT</t>
        </is>
      </c>
    </row>
    <row r="498">
      <c r="A498" s="3" t="inlineStr">
        <is>
          <t>P00497</t>
        </is>
      </c>
      <c r="B498" s="3" t="inlineStr">
        <is>
          <t>D0543</t>
        </is>
      </c>
      <c r="C498" s="3" t="inlineStr">
        <is>
          <t>A0091</t>
        </is>
      </c>
      <c r="D498" s="4" t="n">
        <v>46178</v>
      </c>
      <c r="E498" s="5" t="n">
        <v>11000</v>
      </c>
      <c r="F498" s="3" t="inlineStr">
        <is>
          <t>Cash</t>
        </is>
      </c>
    </row>
    <row r="499">
      <c r="A499" s="3" t="inlineStr">
        <is>
          <t>P00498</t>
        </is>
      </c>
      <c r="B499" s="3" t="inlineStr">
        <is>
          <t>D0544</t>
        </is>
      </c>
      <c r="C499" s="3" t="inlineStr">
        <is>
          <t>A0091</t>
        </is>
      </c>
      <c r="D499" s="4" t="n">
        <v>46206</v>
      </c>
      <c r="E499" s="5" t="n">
        <v>11000</v>
      </c>
      <c r="F499" s="3" t="inlineStr">
        <is>
          <t>NEFT</t>
        </is>
      </c>
    </row>
    <row r="500">
      <c r="A500" s="3" t="inlineStr">
        <is>
          <t>P00499</t>
        </is>
      </c>
      <c r="B500" s="3" t="inlineStr">
        <is>
          <t>D0545</t>
        </is>
      </c>
      <c r="C500" s="3" t="inlineStr">
        <is>
          <t>A0091</t>
        </is>
      </c>
      <c r="D500" s="4" t="n">
        <v>46242</v>
      </c>
      <c r="E500" s="5" t="n">
        <v>11000</v>
      </c>
      <c r="F500" s="3" t="inlineStr">
        <is>
          <t>Cash</t>
        </is>
      </c>
    </row>
    <row r="501">
      <c r="A501" s="3" t="inlineStr">
        <is>
          <t>P00500</t>
        </is>
      </c>
      <c r="B501" s="3" t="inlineStr">
        <is>
          <t>D0546</t>
        </is>
      </c>
      <c r="C501" s="3" t="inlineStr">
        <is>
          <t>A0091</t>
        </is>
      </c>
      <c r="D501" s="4" t="n">
        <v>46270</v>
      </c>
      <c r="E501" s="5" t="n">
        <v>11000</v>
      </c>
      <c r="F501" s="3" t="inlineStr">
        <is>
          <t>UPI</t>
        </is>
      </c>
    </row>
    <row r="502">
      <c r="A502" s="3" t="inlineStr">
        <is>
          <t>P00501</t>
        </is>
      </c>
      <c r="B502" s="3" t="inlineStr">
        <is>
          <t>D0547</t>
        </is>
      </c>
      <c r="C502" s="3" t="inlineStr">
        <is>
          <t>A0092</t>
        </is>
      </c>
      <c r="D502" s="4" t="n">
        <v>46157</v>
      </c>
      <c r="E502" s="5" t="n">
        <v>27667</v>
      </c>
      <c r="F502" s="3" t="inlineStr">
        <is>
          <t>UPI</t>
        </is>
      </c>
    </row>
    <row r="503">
      <c r="A503" s="3" t="inlineStr">
        <is>
          <t>P00502</t>
        </is>
      </c>
      <c r="B503" s="3" t="inlineStr">
        <is>
          <t>D0548</t>
        </is>
      </c>
      <c r="C503" s="3" t="inlineStr">
        <is>
          <t>A0092</t>
        </is>
      </c>
      <c r="D503" s="4" t="n">
        <v>46171</v>
      </c>
      <c r="E503" s="5" t="n">
        <v>27667</v>
      </c>
      <c r="F503" s="3" t="inlineStr">
        <is>
          <t>UPI</t>
        </is>
      </c>
    </row>
    <row r="504">
      <c r="A504" s="3" t="inlineStr">
        <is>
          <t>P00503</t>
        </is>
      </c>
      <c r="B504" s="3" t="inlineStr">
        <is>
          <t>D0549</t>
        </is>
      </c>
      <c r="C504" s="3" t="inlineStr">
        <is>
          <t>A0092</t>
        </is>
      </c>
      <c r="D504" s="4" t="n">
        <v>46203</v>
      </c>
      <c r="E504" s="5" t="n">
        <v>27667</v>
      </c>
      <c r="F504" s="3" t="inlineStr">
        <is>
          <t>NEFT</t>
        </is>
      </c>
    </row>
    <row r="505">
      <c r="A505" s="3" t="inlineStr">
        <is>
          <t>P00504</t>
        </is>
      </c>
      <c r="B505" s="3" t="inlineStr">
        <is>
          <t>D0550</t>
        </is>
      </c>
      <c r="C505" s="3" t="inlineStr">
        <is>
          <t>A0092</t>
        </is>
      </c>
      <c r="D505" s="4" t="n">
        <v>46237</v>
      </c>
      <c r="E505" s="5" t="n">
        <v>27667</v>
      </c>
      <c r="F505" s="3" t="inlineStr">
        <is>
          <t>Cash</t>
        </is>
      </c>
    </row>
    <row r="506">
      <c r="A506" s="3" t="inlineStr">
        <is>
          <t>P00505</t>
        </is>
      </c>
      <c r="B506" s="3" t="inlineStr">
        <is>
          <t>D0551</t>
        </is>
      </c>
      <c r="C506" s="3" t="inlineStr">
        <is>
          <t>A0092</t>
        </is>
      </c>
      <c r="D506" s="4" t="n">
        <v>46256</v>
      </c>
      <c r="E506" s="5" t="n">
        <v>27667</v>
      </c>
      <c r="F506" s="3" t="inlineStr">
        <is>
          <t>Cash</t>
        </is>
      </c>
    </row>
    <row r="507">
      <c r="A507" s="3" t="inlineStr">
        <is>
          <t>P00506</t>
        </is>
      </c>
      <c r="B507" s="3" t="inlineStr">
        <is>
          <t>D0552</t>
        </is>
      </c>
      <c r="C507" s="3" t="inlineStr">
        <is>
          <t>A0092</t>
        </is>
      </c>
      <c r="D507" s="4" t="n">
        <v>46305</v>
      </c>
      <c r="E507" s="5" t="n">
        <v>27667</v>
      </c>
      <c r="F507" s="3" t="inlineStr">
        <is>
          <t>NEFT</t>
        </is>
      </c>
    </row>
    <row r="508">
      <c r="A508" s="3" t="inlineStr">
        <is>
          <t>P00507</t>
        </is>
      </c>
      <c r="B508" s="3" t="inlineStr">
        <is>
          <t>D0553</t>
        </is>
      </c>
      <c r="C508" s="3" t="inlineStr">
        <is>
          <t>A0093</t>
        </is>
      </c>
      <c r="D508" s="4" t="n">
        <v>46130</v>
      </c>
      <c r="E508" s="5" t="n">
        <v>12333</v>
      </c>
      <c r="F508" s="3" t="inlineStr">
        <is>
          <t>Cash</t>
        </is>
      </c>
    </row>
    <row r="509">
      <c r="A509" s="3" t="inlineStr">
        <is>
          <t>P00508</t>
        </is>
      </c>
      <c r="B509" s="3" t="inlineStr">
        <is>
          <t>D0554</t>
        </is>
      </c>
      <c r="C509" s="3" t="inlineStr">
        <is>
          <t>A0093</t>
        </is>
      </c>
      <c r="D509" s="4" t="n">
        <v>46165</v>
      </c>
      <c r="E509" s="5" t="n">
        <v>12333</v>
      </c>
      <c r="F509" s="3" t="inlineStr">
        <is>
          <t>UPI</t>
        </is>
      </c>
    </row>
    <row r="510">
      <c r="A510" s="3" t="inlineStr">
        <is>
          <t>P00509</t>
        </is>
      </c>
      <c r="B510" s="3" t="inlineStr">
        <is>
          <t>D0555</t>
        </is>
      </c>
      <c r="C510" s="3" t="inlineStr">
        <is>
          <t>A0093</t>
        </is>
      </c>
      <c r="D510" s="4" t="n">
        <v>46199</v>
      </c>
      <c r="E510" s="5" t="n">
        <v>12333</v>
      </c>
      <c r="F510" s="3" t="inlineStr">
        <is>
          <t>NEFT</t>
        </is>
      </c>
    </row>
    <row r="511">
      <c r="A511" s="3" t="inlineStr">
        <is>
          <t>P00510</t>
        </is>
      </c>
      <c r="B511" s="3" t="inlineStr">
        <is>
          <t>D0556</t>
        </is>
      </c>
      <c r="C511" s="3" t="inlineStr">
        <is>
          <t>A0093</t>
        </is>
      </c>
      <c r="D511" s="4" t="n">
        <v>46229</v>
      </c>
      <c r="E511" s="5" t="n">
        <v>12333</v>
      </c>
      <c r="F511" s="3" t="inlineStr">
        <is>
          <t>Cash</t>
        </is>
      </c>
    </row>
    <row r="512">
      <c r="A512" s="3" t="inlineStr">
        <is>
          <t>P00511</t>
        </is>
      </c>
      <c r="B512" s="3" t="inlineStr">
        <is>
          <t>D0557</t>
        </is>
      </c>
      <c r="C512" s="3" t="inlineStr">
        <is>
          <t>A0093</t>
        </is>
      </c>
      <c r="D512" s="4" t="n">
        <v>46255</v>
      </c>
      <c r="E512" s="5" t="n">
        <v>12333</v>
      </c>
      <c r="F512" s="3" t="inlineStr">
        <is>
          <t>UPI</t>
        </is>
      </c>
    </row>
    <row r="513">
      <c r="A513" s="3" t="inlineStr">
        <is>
          <t>P00512</t>
        </is>
      </c>
      <c r="B513" s="3" t="inlineStr">
        <is>
          <t>D0558</t>
        </is>
      </c>
      <c r="C513" s="3" t="inlineStr">
        <is>
          <t>A0093</t>
        </is>
      </c>
      <c r="D513" s="4" t="n">
        <v>46281</v>
      </c>
      <c r="E513" s="5" t="n">
        <v>12333</v>
      </c>
      <c r="F513" s="3" t="inlineStr">
        <is>
          <t>NEFT</t>
        </is>
      </c>
    </row>
    <row r="514">
      <c r="A514" s="3" t="inlineStr">
        <is>
          <t>P00513</t>
        </is>
      </c>
      <c r="B514" s="3" t="inlineStr">
        <is>
          <t>D0565</t>
        </is>
      </c>
      <c r="C514" s="3" t="inlineStr">
        <is>
          <t>A0095</t>
        </is>
      </c>
      <c r="D514" s="4" t="n">
        <v>46143</v>
      </c>
      <c r="E514" s="5" t="n">
        <v>19500</v>
      </c>
      <c r="F514" s="3" t="inlineStr">
        <is>
          <t>Cash</t>
        </is>
      </c>
    </row>
    <row r="515">
      <c r="A515" s="3" t="inlineStr">
        <is>
          <t>P00514</t>
        </is>
      </c>
      <c r="B515" s="3" t="inlineStr">
        <is>
          <t>D0566</t>
        </is>
      </c>
      <c r="C515" s="3" t="inlineStr">
        <is>
          <t>A0095</t>
        </is>
      </c>
      <c r="D515" s="4" t="n">
        <v>46172</v>
      </c>
      <c r="E515" s="5" t="n">
        <v>19500</v>
      </c>
      <c r="F515" s="3" t="inlineStr">
        <is>
          <t>UPI</t>
        </is>
      </c>
    </row>
    <row r="516">
      <c r="A516" s="3" t="inlineStr">
        <is>
          <t>P00515</t>
        </is>
      </c>
      <c r="B516" s="3" t="inlineStr">
        <is>
          <t>D0567</t>
        </is>
      </c>
      <c r="C516" s="3" t="inlineStr">
        <is>
          <t>A0095</t>
        </is>
      </c>
      <c r="D516" s="4" t="n">
        <v>46207</v>
      </c>
      <c r="E516" s="5" t="n">
        <v>19500</v>
      </c>
      <c r="F516" s="3" t="inlineStr">
        <is>
          <t>UPI</t>
        </is>
      </c>
    </row>
    <row r="517">
      <c r="A517" s="3" t="inlineStr">
        <is>
          <t>P00516</t>
        </is>
      </c>
      <c r="B517" s="3" t="inlineStr">
        <is>
          <t>D0568</t>
        </is>
      </c>
      <c r="C517" s="3" t="inlineStr">
        <is>
          <t>A0095</t>
        </is>
      </c>
      <c r="D517" s="4" t="n">
        <v>46228</v>
      </c>
      <c r="E517" s="5" t="n">
        <v>19500</v>
      </c>
      <c r="F517" s="3" t="inlineStr">
        <is>
          <t>UPI</t>
        </is>
      </c>
    </row>
    <row r="518">
      <c r="A518" s="3" t="inlineStr">
        <is>
          <t>P00517</t>
        </is>
      </c>
      <c r="B518" s="3" t="inlineStr">
        <is>
          <t>D0569</t>
        </is>
      </c>
      <c r="C518" s="3" t="inlineStr">
        <is>
          <t>A0095</t>
        </is>
      </c>
      <c r="D518" s="4" t="n">
        <v>46278</v>
      </c>
      <c r="E518" s="5" t="n">
        <v>19500</v>
      </c>
      <c r="F518" s="3" t="inlineStr">
        <is>
          <t>UPI</t>
        </is>
      </c>
    </row>
    <row r="519">
      <c r="A519" s="3" t="inlineStr">
        <is>
          <t>P00518</t>
        </is>
      </c>
      <c r="B519" s="3" t="inlineStr">
        <is>
          <t>D0570</t>
        </is>
      </c>
      <c r="C519" s="3" t="inlineStr">
        <is>
          <t>A0095</t>
        </is>
      </c>
      <c r="D519" s="4" t="n">
        <v>46280</v>
      </c>
      <c r="E519" s="5" t="n">
        <v>19500</v>
      </c>
      <c r="F519" s="3" t="inlineStr">
        <is>
          <t>Cash</t>
        </is>
      </c>
    </row>
    <row r="520">
      <c r="A520" s="3" t="inlineStr">
        <is>
          <t>P00519</t>
        </is>
      </c>
      <c r="B520" s="3" t="inlineStr">
        <is>
          <t>D0571</t>
        </is>
      </c>
      <c r="C520" s="3" t="inlineStr">
        <is>
          <t>A0096</t>
        </is>
      </c>
      <c r="D520" s="4" t="n">
        <v>46131</v>
      </c>
      <c r="E520" s="5" t="n">
        <v>3667</v>
      </c>
      <c r="F520" s="3" t="inlineStr">
        <is>
          <t>Cash</t>
        </is>
      </c>
    </row>
    <row r="521">
      <c r="A521" s="3" t="inlineStr">
        <is>
          <t>P00520</t>
        </is>
      </c>
      <c r="B521" s="3" t="inlineStr">
        <is>
          <t>D0572</t>
        </is>
      </c>
      <c r="C521" s="3" t="inlineStr">
        <is>
          <t>A0096</t>
        </is>
      </c>
      <c r="D521" s="4" t="n">
        <v>46187</v>
      </c>
      <c r="E521" s="5" t="n">
        <v>3667</v>
      </c>
      <c r="F521" s="3" t="inlineStr">
        <is>
          <t>NEFT</t>
        </is>
      </c>
    </row>
    <row r="522">
      <c r="A522" s="3" t="inlineStr">
        <is>
          <t>P00521</t>
        </is>
      </c>
      <c r="B522" s="3" t="inlineStr">
        <is>
          <t>D0573</t>
        </is>
      </c>
      <c r="C522" s="3" t="inlineStr">
        <is>
          <t>A0096</t>
        </is>
      </c>
      <c r="D522" s="4" t="n">
        <v>46207</v>
      </c>
      <c r="E522" s="5" t="n">
        <v>3667</v>
      </c>
      <c r="F522" s="3" t="inlineStr">
        <is>
          <t>UPI</t>
        </is>
      </c>
    </row>
    <row r="523">
      <c r="A523" s="3" t="inlineStr">
        <is>
          <t>P00522</t>
        </is>
      </c>
      <c r="B523" s="3" t="inlineStr">
        <is>
          <t>D0574</t>
        </is>
      </c>
      <c r="C523" s="3" t="inlineStr">
        <is>
          <t>A0096</t>
        </is>
      </c>
      <c r="D523" s="4" t="n">
        <v>46225</v>
      </c>
      <c r="E523" s="5" t="n">
        <v>3667</v>
      </c>
      <c r="F523" s="3" t="inlineStr">
        <is>
          <t>NEFT</t>
        </is>
      </c>
    </row>
    <row r="524">
      <c r="A524" s="3" t="inlineStr">
        <is>
          <t>P00523</t>
        </is>
      </c>
      <c r="B524" s="3" t="inlineStr">
        <is>
          <t>D0575</t>
        </is>
      </c>
      <c r="C524" s="3" t="inlineStr">
        <is>
          <t>A0096</t>
        </is>
      </c>
      <c r="D524" s="4" t="n">
        <v>46252</v>
      </c>
      <c r="E524" s="5" t="n">
        <v>3667</v>
      </c>
      <c r="F524" s="3" t="inlineStr">
        <is>
          <t>Cash</t>
        </is>
      </c>
    </row>
    <row r="525">
      <c r="A525" s="3" t="inlineStr">
        <is>
          <t>P00524</t>
        </is>
      </c>
      <c r="B525" s="3" t="inlineStr">
        <is>
          <t>D0576</t>
        </is>
      </c>
      <c r="C525" s="3" t="inlineStr">
        <is>
          <t>A0096</t>
        </is>
      </c>
      <c r="D525" s="4" t="n">
        <v>46297</v>
      </c>
      <c r="E525" s="5" t="n">
        <v>3667</v>
      </c>
      <c r="F525" s="3" t="inlineStr">
        <is>
          <t>UPI</t>
        </is>
      </c>
    </row>
    <row r="526">
      <c r="A526" s="3" t="inlineStr">
        <is>
          <t>P00525</t>
        </is>
      </c>
      <c r="B526" s="3" t="inlineStr">
        <is>
          <t>D0577</t>
        </is>
      </c>
      <c r="C526" s="3" t="inlineStr">
        <is>
          <t>A0097</t>
        </is>
      </c>
      <c r="D526" s="4" t="n">
        <v>46134</v>
      </c>
      <c r="E526" s="5" t="n">
        <v>20064</v>
      </c>
      <c r="F526" s="3" t="inlineStr">
        <is>
          <t>Cash</t>
        </is>
      </c>
    </row>
    <row r="527">
      <c r="A527" s="3" t="inlineStr">
        <is>
          <t>P00526</t>
        </is>
      </c>
      <c r="B527" s="3" t="inlineStr">
        <is>
          <t>D0577</t>
        </is>
      </c>
      <c r="C527" s="3" t="inlineStr">
        <is>
          <t>A0097</t>
        </is>
      </c>
      <c r="D527" s="4" t="n">
        <v>46166</v>
      </c>
      <c r="E527" s="5" t="n">
        <v>12769</v>
      </c>
      <c r="F527" s="3" t="inlineStr">
        <is>
          <t>UPI</t>
        </is>
      </c>
    </row>
    <row r="528">
      <c r="A528" s="3" t="inlineStr">
        <is>
          <t>P00527</t>
        </is>
      </c>
      <c r="B528" s="3" t="inlineStr">
        <is>
          <t>D0578</t>
        </is>
      </c>
      <c r="C528" s="3" t="inlineStr">
        <is>
          <t>A0097</t>
        </is>
      </c>
      <c r="D528" s="4" t="n">
        <v>46154</v>
      </c>
      <c r="E528" s="5" t="n">
        <v>16937</v>
      </c>
      <c r="F528" s="3" t="inlineStr">
        <is>
          <t>UPI</t>
        </is>
      </c>
    </row>
    <row r="529">
      <c r="A529" s="3" t="inlineStr">
        <is>
          <t>P00528</t>
        </is>
      </c>
      <c r="B529" s="3" t="inlineStr">
        <is>
          <t>D0578</t>
        </is>
      </c>
      <c r="C529" s="3" t="inlineStr">
        <is>
          <t>A0097</t>
        </is>
      </c>
      <c r="D529" s="4" t="n">
        <v>46190</v>
      </c>
      <c r="E529" s="5" t="n">
        <v>15896</v>
      </c>
      <c r="F529" s="3" t="inlineStr">
        <is>
          <t>UPI</t>
        </is>
      </c>
    </row>
    <row r="530">
      <c r="A530" s="3" t="inlineStr">
        <is>
          <t>P00529</t>
        </is>
      </c>
      <c r="B530" s="3" t="inlineStr">
        <is>
          <t>D0579</t>
        </is>
      </c>
      <c r="C530" s="3" t="inlineStr">
        <is>
          <t>A0097</t>
        </is>
      </c>
      <c r="D530" s="4" t="n">
        <v>46185</v>
      </c>
      <c r="E530" s="5" t="n">
        <v>32833</v>
      </c>
      <c r="F530" s="3" t="inlineStr">
        <is>
          <t>NEFT</t>
        </is>
      </c>
    </row>
    <row r="531">
      <c r="A531" s="3" t="inlineStr">
        <is>
          <t>P00530</t>
        </is>
      </c>
      <c r="B531" s="3" t="inlineStr">
        <is>
          <t>D0580</t>
        </is>
      </c>
      <c r="C531" s="3" t="inlineStr">
        <is>
          <t>A0097</t>
        </is>
      </c>
      <c r="D531" s="4" t="n">
        <v>46213</v>
      </c>
      <c r="E531" s="5" t="n">
        <v>32833</v>
      </c>
      <c r="F531" s="3" t="inlineStr">
        <is>
          <t>UPI</t>
        </is>
      </c>
    </row>
    <row r="532">
      <c r="A532" s="3" t="inlineStr">
        <is>
          <t>P00531</t>
        </is>
      </c>
      <c r="B532" s="3" t="inlineStr">
        <is>
          <t>D0581</t>
        </is>
      </c>
      <c r="C532" s="3" t="inlineStr">
        <is>
          <t>A0097</t>
        </is>
      </c>
      <c r="D532" s="4" t="n">
        <v>46277</v>
      </c>
      <c r="E532" s="5" t="n">
        <v>32833</v>
      </c>
      <c r="F532" s="3" t="inlineStr">
        <is>
          <t>UPI</t>
        </is>
      </c>
    </row>
    <row r="533">
      <c r="A533" s="3" t="inlineStr">
        <is>
          <t>P00532</t>
        </is>
      </c>
      <c r="B533" s="3" t="inlineStr">
        <is>
          <t>D0582</t>
        </is>
      </c>
      <c r="C533" s="3" t="inlineStr">
        <is>
          <t>A0097</t>
        </is>
      </c>
      <c r="D533" s="4" t="n">
        <v>46280</v>
      </c>
      <c r="E533" s="5" t="n">
        <v>32833</v>
      </c>
      <c r="F533" s="3" t="inlineStr">
        <is>
          <t>UPI</t>
        </is>
      </c>
    </row>
    <row r="534">
      <c r="A534" s="3" t="inlineStr">
        <is>
          <t>P00533</t>
        </is>
      </c>
      <c r="B534" s="3" t="inlineStr">
        <is>
          <t>D0583</t>
        </is>
      </c>
      <c r="C534" s="3" t="inlineStr">
        <is>
          <t>A0098</t>
        </is>
      </c>
      <c r="D534" s="4" t="n">
        <v>46120</v>
      </c>
      <c r="E534" s="5" t="n">
        <v>15167</v>
      </c>
      <c r="F534" s="3" t="inlineStr">
        <is>
          <t>Cash</t>
        </is>
      </c>
    </row>
    <row r="535">
      <c r="A535" s="3" t="inlineStr">
        <is>
          <t>P00534</t>
        </is>
      </c>
      <c r="B535" s="3" t="inlineStr">
        <is>
          <t>D0584</t>
        </is>
      </c>
      <c r="C535" s="3" t="inlineStr">
        <is>
          <t>A0098</t>
        </is>
      </c>
      <c r="D535" s="4" t="n">
        <v>46146</v>
      </c>
      <c r="E535" s="5" t="n">
        <v>15167</v>
      </c>
      <c r="F535" s="3" t="inlineStr">
        <is>
          <t>Cash</t>
        </is>
      </c>
    </row>
    <row r="536">
      <c r="A536" s="3" t="inlineStr">
        <is>
          <t>P00535</t>
        </is>
      </c>
      <c r="B536" s="3" t="inlineStr">
        <is>
          <t>D0585</t>
        </is>
      </c>
      <c r="C536" s="3" t="inlineStr">
        <is>
          <t>A0098</t>
        </is>
      </c>
      <c r="D536" s="4" t="n">
        <v>46178</v>
      </c>
      <c r="E536" s="5" t="n">
        <v>15167</v>
      </c>
      <c r="F536" s="3" t="inlineStr">
        <is>
          <t>UPI</t>
        </is>
      </c>
    </row>
    <row r="537">
      <c r="A537" s="3" t="inlineStr">
        <is>
          <t>P00536</t>
        </is>
      </c>
      <c r="B537" s="3" t="inlineStr">
        <is>
          <t>D0586</t>
        </is>
      </c>
      <c r="C537" s="3" t="inlineStr">
        <is>
          <t>A0098</t>
        </is>
      </c>
      <c r="D537" s="4" t="n">
        <v>46205</v>
      </c>
      <c r="E537" s="5" t="n">
        <v>15167</v>
      </c>
      <c r="F537" s="3" t="inlineStr">
        <is>
          <t>NEFT</t>
        </is>
      </c>
    </row>
    <row r="538">
      <c r="A538" s="3" t="inlineStr">
        <is>
          <t>P00537</t>
        </is>
      </c>
      <c r="B538" s="3" t="inlineStr">
        <is>
          <t>D0587</t>
        </is>
      </c>
      <c r="C538" s="3" t="inlineStr">
        <is>
          <t>A0098</t>
        </is>
      </c>
      <c r="D538" s="4" t="n">
        <v>46236</v>
      </c>
      <c r="E538" s="5" t="n">
        <v>15167</v>
      </c>
      <c r="F538" s="3" t="inlineStr">
        <is>
          <t>NEFT</t>
        </is>
      </c>
    </row>
    <row r="539">
      <c r="A539" s="3" t="inlineStr">
        <is>
          <t>P00538</t>
        </is>
      </c>
      <c r="B539" s="3" t="inlineStr">
        <is>
          <t>D0588</t>
        </is>
      </c>
      <c r="C539" s="3" t="inlineStr">
        <is>
          <t>A0098</t>
        </is>
      </c>
      <c r="D539" s="4" t="n">
        <v>46271</v>
      </c>
      <c r="E539" s="5" t="n">
        <v>15167</v>
      </c>
      <c r="F539" s="3" t="inlineStr">
        <is>
          <t>NEFT</t>
        </is>
      </c>
    </row>
    <row r="540">
      <c r="A540" s="3" t="inlineStr">
        <is>
          <t>P00539</t>
        </is>
      </c>
      <c r="B540" s="3" t="inlineStr">
        <is>
          <t>D0589</t>
        </is>
      </c>
      <c r="C540" s="3" t="inlineStr">
        <is>
          <t>A0099</t>
        </is>
      </c>
      <c r="D540" s="4" t="n">
        <v>46119</v>
      </c>
      <c r="E540" s="5" t="n">
        <v>9500</v>
      </c>
      <c r="F540" s="3" t="inlineStr">
        <is>
          <t>Cash</t>
        </is>
      </c>
    </row>
    <row r="541">
      <c r="A541" s="3" t="inlineStr">
        <is>
          <t>P00540</t>
        </is>
      </c>
      <c r="B541" s="3" t="inlineStr">
        <is>
          <t>D0590</t>
        </is>
      </c>
      <c r="C541" s="3" t="inlineStr">
        <is>
          <t>A0099</t>
        </is>
      </c>
      <c r="D541" s="4" t="n">
        <v>46148</v>
      </c>
      <c r="E541" s="5" t="n">
        <v>9500</v>
      </c>
      <c r="F541" s="3" t="inlineStr">
        <is>
          <t>UPI</t>
        </is>
      </c>
    </row>
    <row r="542">
      <c r="A542" s="3" t="inlineStr">
        <is>
          <t>P00541</t>
        </is>
      </c>
      <c r="B542" s="3" t="inlineStr">
        <is>
          <t>D0591</t>
        </is>
      </c>
      <c r="C542" s="3" t="inlineStr">
        <is>
          <t>A0099</t>
        </is>
      </c>
      <c r="D542" s="4" t="n">
        <v>46175</v>
      </c>
      <c r="E542" s="5" t="n">
        <v>9500</v>
      </c>
      <c r="F542" s="3" t="inlineStr">
        <is>
          <t>Cash</t>
        </is>
      </c>
    </row>
    <row r="543">
      <c r="A543" s="3" t="inlineStr">
        <is>
          <t>P00542</t>
        </is>
      </c>
      <c r="B543" s="3" t="inlineStr">
        <is>
          <t>D0592</t>
        </is>
      </c>
      <c r="C543" s="3" t="inlineStr">
        <is>
          <t>A0099</t>
        </is>
      </c>
      <c r="D543" s="4" t="n">
        <v>46210</v>
      </c>
      <c r="E543" s="5" t="n">
        <v>9500</v>
      </c>
      <c r="F543" s="3" t="inlineStr">
        <is>
          <t>Cash</t>
        </is>
      </c>
    </row>
    <row r="544">
      <c r="A544" s="3" t="inlineStr">
        <is>
          <t>P00543</t>
        </is>
      </c>
      <c r="B544" s="3" t="inlineStr">
        <is>
          <t>D0593</t>
        </is>
      </c>
      <c r="C544" s="3" t="inlineStr">
        <is>
          <t>A0099</t>
        </is>
      </c>
      <c r="D544" s="4" t="n">
        <v>46237</v>
      </c>
      <c r="E544" s="5" t="n">
        <v>9500</v>
      </c>
      <c r="F544" s="3" t="inlineStr">
        <is>
          <t>Cash</t>
        </is>
      </c>
    </row>
    <row r="545">
      <c r="A545" s="3" t="inlineStr">
        <is>
          <t>P00544</t>
        </is>
      </c>
      <c r="B545" s="3" t="inlineStr">
        <is>
          <t>D0594</t>
        </is>
      </c>
      <c r="C545" s="3" t="inlineStr">
        <is>
          <t>A0099</t>
        </is>
      </c>
      <c r="D545" s="4" t="n">
        <v>46267</v>
      </c>
      <c r="E545" s="5" t="n">
        <v>9500</v>
      </c>
      <c r="F545" s="3" t="inlineStr">
        <is>
          <t>Cash</t>
        </is>
      </c>
    </row>
    <row r="546">
      <c r="A546" s="3" t="inlineStr">
        <is>
          <t>P00545</t>
        </is>
      </c>
      <c r="B546" s="3" t="inlineStr">
        <is>
          <t>D0595</t>
        </is>
      </c>
      <c r="C546" s="3" t="inlineStr">
        <is>
          <t>A0100</t>
        </is>
      </c>
      <c r="D546" s="4" t="n">
        <v>46115</v>
      </c>
      <c r="E546" s="5" t="n">
        <v>29833</v>
      </c>
      <c r="F546" s="3" t="inlineStr">
        <is>
          <t>NEFT</t>
        </is>
      </c>
    </row>
    <row r="547">
      <c r="A547" s="3" t="inlineStr">
        <is>
          <t>P00546</t>
        </is>
      </c>
      <c r="B547" s="3" t="inlineStr">
        <is>
          <t>D0596</t>
        </is>
      </c>
      <c r="C547" s="3" t="inlineStr">
        <is>
          <t>A0100</t>
        </is>
      </c>
      <c r="D547" s="4" t="n">
        <v>46149</v>
      </c>
      <c r="E547" s="5" t="n">
        <v>29833</v>
      </c>
      <c r="F547" s="3" t="inlineStr">
        <is>
          <t>UPI</t>
        </is>
      </c>
    </row>
    <row r="548">
      <c r="A548" s="3" t="inlineStr">
        <is>
          <t>P00547</t>
        </is>
      </c>
      <c r="B548" s="3" t="inlineStr">
        <is>
          <t>D0597</t>
        </is>
      </c>
      <c r="C548" s="3" t="inlineStr">
        <is>
          <t>A0100</t>
        </is>
      </c>
      <c r="D548" s="4" t="n">
        <v>46181</v>
      </c>
      <c r="E548" s="5" t="n">
        <v>29833</v>
      </c>
      <c r="F548" s="3" t="inlineStr">
        <is>
          <t>UPI</t>
        </is>
      </c>
    </row>
    <row r="549">
      <c r="A549" s="3" t="inlineStr">
        <is>
          <t>P00548</t>
        </is>
      </c>
      <c r="B549" s="3" t="inlineStr">
        <is>
          <t>D0598</t>
        </is>
      </c>
      <c r="C549" s="3" t="inlineStr">
        <is>
          <t>A0100</t>
        </is>
      </c>
      <c r="D549" s="4" t="n">
        <v>46205</v>
      </c>
      <c r="E549" s="5" t="n">
        <v>29833</v>
      </c>
      <c r="F549" s="3" t="inlineStr">
        <is>
          <t>Cash</t>
        </is>
      </c>
    </row>
    <row r="550">
      <c r="A550" s="3" t="inlineStr">
        <is>
          <t>P00549</t>
        </is>
      </c>
      <c r="B550" s="3" t="inlineStr">
        <is>
          <t>D0599</t>
        </is>
      </c>
      <c r="C550" s="3" t="inlineStr">
        <is>
          <t>A0100</t>
        </is>
      </c>
      <c r="D550" s="4" t="n">
        <v>46236</v>
      </c>
      <c r="E550" s="5" t="n">
        <v>29833</v>
      </c>
      <c r="F550" s="3" t="inlineStr">
        <is>
          <t>UPI</t>
        </is>
      </c>
    </row>
    <row r="551">
      <c r="A551" s="3" t="inlineStr">
        <is>
          <t>P00550</t>
        </is>
      </c>
      <c r="B551" s="3" t="inlineStr">
        <is>
          <t>D0600</t>
        </is>
      </c>
      <c r="C551" s="3" t="inlineStr">
        <is>
          <t>A0100</t>
        </is>
      </c>
      <c r="D551" s="4" t="n">
        <v>46273</v>
      </c>
      <c r="E551" s="5" t="n">
        <v>29833</v>
      </c>
      <c r="F551" s="3" t="inlineStr">
        <is>
          <t>NEFT</t>
        </is>
      </c>
    </row>
    <row r="552">
      <c r="A552" s="3" t="inlineStr">
        <is>
          <t>P00551</t>
        </is>
      </c>
      <c r="B552" s="3" t="inlineStr">
        <is>
          <t>D0601</t>
        </is>
      </c>
      <c r="C552" s="3" t="inlineStr">
        <is>
          <t>A0101</t>
        </is>
      </c>
      <c r="D552" s="4" t="n">
        <v>46138</v>
      </c>
      <c r="E552" s="5" t="n">
        <v>32167</v>
      </c>
      <c r="F552" s="3" t="inlineStr">
        <is>
          <t>NEFT</t>
        </is>
      </c>
    </row>
    <row r="553">
      <c r="A553" s="3" t="inlineStr">
        <is>
          <t>P00552</t>
        </is>
      </c>
      <c r="B553" s="3" t="inlineStr">
        <is>
          <t>D0602</t>
        </is>
      </c>
      <c r="C553" s="3" t="inlineStr">
        <is>
          <t>A0101</t>
        </is>
      </c>
      <c r="D553" s="4" t="n">
        <v>46173</v>
      </c>
      <c r="E553" s="5" t="n">
        <v>32167</v>
      </c>
      <c r="F553" s="3" t="inlineStr">
        <is>
          <t>Cash</t>
        </is>
      </c>
    </row>
    <row r="554">
      <c r="A554" s="3" t="inlineStr">
        <is>
          <t>P00553</t>
        </is>
      </c>
      <c r="B554" s="3" t="inlineStr">
        <is>
          <t>D0603</t>
        </is>
      </c>
      <c r="C554" s="3" t="inlineStr">
        <is>
          <t>A0101</t>
        </is>
      </c>
      <c r="D554" s="4" t="n">
        <v>46196</v>
      </c>
      <c r="E554" s="5" t="n">
        <v>32167</v>
      </c>
      <c r="F554" s="3" t="inlineStr">
        <is>
          <t>Cash</t>
        </is>
      </c>
    </row>
    <row r="555">
      <c r="A555" s="3" t="inlineStr">
        <is>
          <t>P00554</t>
        </is>
      </c>
      <c r="B555" s="3" t="inlineStr">
        <is>
          <t>D0604</t>
        </is>
      </c>
      <c r="C555" s="3" t="inlineStr">
        <is>
          <t>A0101</t>
        </is>
      </c>
      <c r="D555" s="4" t="n">
        <v>46234</v>
      </c>
      <c r="E555" s="5" t="n">
        <v>32167</v>
      </c>
      <c r="F555" s="3" t="inlineStr">
        <is>
          <t>UPI</t>
        </is>
      </c>
    </row>
    <row r="556">
      <c r="A556" s="3" t="inlineStr">
        <is>
          <t>P00555</t>
        </is>
      </c>
      <c r="B556" s="3" t="inlineStr">
        <is>
          <t>D0605</t>
        </is>
      </c>
      <c r="C556" s="3" t="inlineStr">
        <is>
          <t>A0101</t>
        </is>
      </c>
      <c r="D556" s="4" t="n">
        <v>46251</v>
      </c>
      <c r="E556" s="5" t="n">
        <v>32167</v>
      </c>
      <c r="F556" s="3" t="inlineStr">
        <is>
          <t>Cash</t>
        </is>
      </c>
    </row>
    <row r="557">
      <c r="A557" s="3" t="inlineStr">
        <is>
          <t>P00556</t>
        </is>
      </c>
      <c r="B557" s="3" t="inlineStr">
        <is>
          <t>D0606</t>
        </is>
      </c>
      <c r="C557" s="3" t="inlineStr">
        <is>
          <t>A0101</t>
        </is>
      </c>
      <c r="D557" s="4" t="n">
        <v>46286</v>
      </c>
      <c r="E557" s="5" t="n">
        <v>32167</v>
      </c>
      <c r="F557" s="3" t="inlineStr">
        <is>
          <t>NEFT</t>
        </is>
      </c>
    </row>
    <row r="558">
      <c r="A558" s="3" t="inlineStr">
        <is>
          <t>P00557</t>
        </is>
      </c>
      <c r="B558" s="3" t="inlineStr">
        <is>
          <t>D0607</t>
        </is>
      </c>
      <c r="C558" s="3" t="inlineStr">
        <is>
          <t>A0102</t>
        </is>
      </c>
      <c r="D558" s="4" t="n">
        <v>46118</v>
      </c>
      <c r="E558" s="5" t="n">
        <v>31500</v>
      </c>
      <c r="F558" s="3" t="inlineStr">
        <is>
          <t>NEFT</t>
        </is>
      </c>
    </row>
    <row r="559">
      <c r="A559" s="3" t="inlineStr">
        <is>
          <t>P00558</t>
        </is>
      </c>
      <c r="B559" s="3" t="inlineStr">
        <is>
          <t>D0608</t>
        </is>
      </c>
      <c r="C559" s="3" t="inlineStr">
        <is>
          <t>A0102</t>
        </is>
      </c>
      <c r="D559" s="4" t="n">
        <v>46150</v>
      </c>
      <c r="E559" s="5" t="n">
        <v>31500</v>
      </c>
      <c r="F559" s="3" t="inlineStr">
        <is>
          <t>Cash</t>
        </is>
      </c>
    </row>
    <row r="560">
      <c r="A560" s="3" t="inlineStr">
        <is>
          <t>P00559</t>
        </is>
      </c>
      <c r="B560" s="3" t="inlineStr">
        <is>
          <t>D0609</t>
        </is>
      </c>
      <c r="C560" s="3" t="inlineStr">
        <is>
          <t>A0102</t>
        </is>
      </c>
      <c r="D560" s="4" t="n">
        <v>46177</v>
      </c>
      <c r="E560" s="5" t="n">
        <v>31500</v>
      </c>
      <c r="F560" s="3" t="inlineStr">
        <is>
          <t>UPI</t>
        </is>
      </c>
    </row>
    <row r="561">
      <c r="A561" s="3" t="inlineStr">
        <is>
          <t>P00560</t>
        </is>
      </c>
      <c r="B561" s="3" t="inlineStr">
        <is>
          <t>D0610</t>
        </is>
      </c>
      <c r="C561" s="3" t="inlineStr">
        <is>
          <t>A0102</t>
        </is>
      </c>
      <c r="D561" s="4" t="n">
        <v>46207</v>
      </c>
      <c r="E561" s="5" t="n">
        <v>31500</v>
      </c>
      <c r="F561" s="3" t="inlineStr">
        <is>
          <t>NEFT</t>
        </is>
      </c>
    </row>
    <row r="562">
      <c r="A562" s="3" t="inlineStr">
        <is>
          <t>P00561</t>
        </is>
      </c>
      <c r="B562" s="3" t="inlineStr">
        <is>
          <t>D0611</t>
        </is>
      </c>
      <c r="C562" s="3" t="inlineStr">
        <is>
          <t>A0102</t>
        </is>
      </c>
      <c r="D562" s="4" t="n">
        <v>46241</v>
      </c>
      <c r="E562" s="5" t="n">
        <v>31500</v>
      </c>
      <c r="F562" s="3" t="inlineStr">
        <is>
          <t>UPI</t>
        </is>
      </c>
    </row>
    <row r="563">
      <c r="A563" s="3" t="inlineStr">
        <is>
          <t>P00562</t>
        </is>
      </c>
      <c r="B563" s="3" t="inlineStr">
        <is>
          <t>D0612</t>
        </is>
      </c>
      <c r="C563" s="3" t="inlineStr">
        <is>
          <t>A0102</t>
        </is>
      </c>
      <c r="D563" s="4" t="n">
        <v>46272</v>
      </c>
      <c r="E563" s="5" t="n">
        <v>31500</v>
      </c>
      <c r="F563" s="3" t="inlineStr">
        <is>
          <t>UPI</t>
        </is>
      </c>
    </row>
    <row r="564">
      <c r="A564" s="3" t="inlineStr">
        <is>
          <t>P00563</t>
        </is>
      </c>
      <c r="B564" s="3" t="inlineStr">
        <is>
          <t>D0613</t>
        </is>
      </c>
      <c r="C564" s="3" t="inlineStr">
        <is>
          <t>A0103</t>
        </is>
      </c>
      <c r="D564" s="4" t="n">
        <v>46118</v>
      </c>
      <c r="E564" s="5" t="n">
        <v>28500</v>
      </c>
      <c r="F564" s="3" t="inlineStr">
        <is>
          <t>UPI</t>
        </is>
      </c>
    </row>
    <row r="565">
      <c r="A565" s="3" t="inlineStr">
        <is>
          <t>P00564</t>
        </is>
      </c>
      <c r="B565" s="3" t="inlineStr">
        <is>
          <t>D0614</t>
        </is>
      </c>
      <c r="C565" s="3" t="inlineStr">
        <is>
          <t>A0103</t>
        </is>
      </c>
      <c r="D565" s="4" t="n">
        <v>46190</v>
      </c>
      <c r="E565" s="5" t="n">
        <v>28500</v>
      </c>
      <c r="F565" s="3" t="inlineStr">
        <is>
          <t>Cash</t>
        </is>
      </c>
    </row>
    <row r="566">
      <c r="A566" s="3" t="inlineStr">
        <is>
          <t>P00565</t>
        </is>
      </c>
      <c r="B566" s="3" t="inlineStr">
        <is>
          <t>D0615</t>
        </is>
      </c>
      <c r="C566" s="3" t="inlineStr">
        <is>
          <t>A0103</t>
        </is>
      </c>
      <c r="D566" s="4" t="n">
        <v>46198</v>
      </c>
      <c r="E566" s="5" t="n">
        <v>14182</v>
      </c>
      <c r="F566" s="3" t="inlineStr">
        <is>
          <t>UPI</t>
        </is>
      </c>
    </row>
    <row r="567">
      <c r="A567" s="3" t="inlineStr">
        <is>
          <t>P00566</t>
        </is>
      </c>
      <c r="B567" s="3" t="inlineStr">
        <is>
          <t>D0615</t>
        </is>
      </c>
      <c r="C567" s="3" t="inlineStr">
        <is>
          <t>A0103</t>
        </is>
      </c>
      <c r="D567" s="4" t="n">
        <v>46226</v>
      </c>
      <c r="E567" s="5" t="n">
        <v>14318</v>
      </c>
      <c r="F567" s="3" t="inlineStr">
        <is>
          <t>Cash</t>
        </is>
      </c>
    </row>
    <row r="568">
      <c r="A568" s="3" t="inlineStr">
        <is>
          <t>P00567</t>
        </is>
      </c>
      <c r="B568" s="3" t="inlineStr">
        <is>
          <t>D0616</t>
        </is>
      </c>
      <c r="C568" s="3" t="inlineStr">
        <is>
          <t>A0103</t>
        </is>
      </c>
      <c r="D568" s="4" t="n">
        <v>46221</v>
      </c>
      <c r="E568" s="5" t="n">
        <v>12898</v>
      </c>
      <c r="F568" s="3" t="inlineStr">
        <is>
          <t>UPI</t>
        </is>
      </c>
    </row>
    <row r="569">
      <c r="A569" s="3" t="inlineStr">
        <is>
          <t>P00568</t>
        </is>
      </c>
      <c r="B569" s="3" t="inlineStr">
        <is>
          <t>D0616</t>
        </is>
      </c>
      <c r="C569" s="3" t="inlineStr">
        <is>
          <t>A0103</t>
        </is>
      </c>
      <c r="D569" s="4" t="n">
        <v>46239</v>
      </c>
      <c r="E569" s="5" t="n">
        <v>15602</v>
      </c>
      <c r="F569" s="3" t="inlineStr">
        <is>
          <t>NEFT</t>
        </is>
      </c>
    </row>
    <row r="570">
      <c r="A570" s="3" t="inlineStr">
        <is>
          <t>P00569</t>
        </is>
      </c>
      <c r="B570" s="3" t="inlineStr">
        <is>
          <t>D0617</t>
        </is>
      </c>
      <c r="C570" s="3" t="inlineStr">
        <is>
          <t>A0103</t>
        </is>
      </c>
      <c r="D570" s="4" t="n">
        <v>46243</v>
      </c>
      <c r="E570" s="5" t="n">
        <v>28500</v>
      </c>
      <c r="F570" s="3" t="inlineStr">
        <is>
          <t>UPI</t>
        </is>
      </c>
    </row>
    <row r="571">
      <c r="A571" s="3" t="inlineStr">
        <is>
          <t>P00570</t>
        </is>
      </c>
      <c r="B571" s="3" t="inlineStr">
        <is>
          <t>D0618</t>
        </is>
      </c>
      <c r="C571" s="3" t="inlineStr">
        <is>
          <t>A0103</t>
        </is>
      </c>
      <c r="D571" s="4" t="n">
        <v>46285</v>
      </c>
      <c r="E571" s="5" t="n">
        <v>15889</v>
      </c>
      <c r="F571" s="3" t="inlineStr">
        <is>
          <t>Cash</t>
        </is>
      </c>
    </row>
    <row r="572">
      <c r="A572" s="3" t="inlineStr">
        <is>
          <t>P00571</t>
        </is>
      </c>
      <c r="B572" s="3" t="inlineStr">
        <is>
          <t>D0619</t>
        </is>
      </c>
      <c r="C572" s="3" t="inlineStr">
        <is>
          <t>A0104</t>
        </is>
      </c>
      <c r="D572" s="4" t="n">
        <v>46116</v>
      </c>
      <c r="E572" s="5" t="n">
        <v>16167</v>
      </c>
      <c r="F572" s="3" t="inlineStr">
        <is>
          <t>UPI</t>
        </is>
      </c>
    </row>
    <row r="573">
      <c r="A573" s="3" t="inlineStr">
        <is>
          <t>P00572</t>
        </is>
      </c>
      <c r="B573" s="3" t="inlineStr">
        <is>
          <t>D0620</t>
        </is>
      </c>
      <c r="C573" s="3" t="inlineStr">
        <is>
          <t>A0104</t>
        </is>
      </c>
      <c r="D573" s="4" t="n">
        <v>46147</v>
      </c>
      <c r="E573" s="5" t="n">
        <v>16167</v>
      </c>
      <c r="F573" s="3" t="inlineStr">
        <is>
          <t>NEFT</t>
        </is>
      </c>
    </row>
    <row r="574">
      <c r="A574" s="3" t="inlineStr">
        <is>
          <t>P00573</t>
        </is>
      </c>
      <c r="B574" s="3" t="inlineStr">
        <is>
          <t>D0621</t>
        </is>
      </c>
      <c r="C574" s="3" t="inlineStr">
        <is>
          <t>A0104</t>
        </is>
      </c>
      <c r="D574" s="4" t="n">
        <v>46177</v>
      </c>
      <c r="E574" s="5" t="n">
        <v>16167</v>
      </c>
      <c r="F574" s="3" t="inlineStr">
        <is>
          <t>UPI</t>
        </is>
      </c>
    </row>
    <row r="575">
      <c r="A575" s="3" t="inlineStr">
        <is>
          <t>P00574</t>
        </is>
      </c>
      <c r="B575" s="3" t="inlineStr">
        <is>
          <t>D0622</t>
        </is>
      </c>
      <c r="C575" s="3" t="inlineStr">
        <is>
          <t>A0104</t>
        </is>
      </c>
      <c r="D575" s="4" t="n">
        <v>46207</v>
      </c>
      <c r="E575" s="5" t="n">
        <v>16167</v>
      </c>
      <c r="F575" s="3" t="inlineStr">
        <is>
          <t>NEFT</t>
        </is>
      </c>
    </row>
    <row r="576">
      <c r="A576" s="3" t="inlineStr">
        <is>
          <t>P00575</t>
        </is>
      </c>
      <c r="B576" s="3" t="inlineStr">
        <is>
          <t>D0623</t>
        </is>
      </c>
      <c r="C576" s="3" t="inlineStr">
        <is>
          <t>A0104</t>
        </is>
      </c>
      <c r="D576" s="4" t="n">
        <v>46241</v>
      </c>
      <c r="E576" s="5" t="n">
        <v>16167</v>
      </c>
      <c r="F576" s="3" t="inlineStr">
        <is>
          <t>UPI</t>
        </is>
      </c>
    </row>
    <row r="577">
      <c r="A577" s="3" t="inlineStr">
        <is>
          <t>P00576</t>
        </is>
      </c>
      <c r="B577" s="3" t="inlineStr">
        <is>
          <t>D0624</t>
        </is>
      </c>
      <c r="C577" s="3" t="inlineStr">
        <is>
          <t>A0104</t>
        </is>
      </c>
      <c r="D577" s="4" t="n">
        <v>46271</v>
      </c>
      <c r="E577" s="5" t="n">
        <v>16167</v>
      </c>
      <c r="F577" s="3" t="inlineStr">
        <is>
          <t>NEFT</t>
        </is>
      </c>
    </row>
    <row r="578">
      <c r="A578" s="3" t="inlineStr">
        <is>
          <t>P00577</t>
        </is>
      </c>
      <c r="B578" s="3" t="inlineStr">
        <is>
          <t>D0631</t>
        </is>
      </c>
      <c r="C578" s="3" t="inlineStr">
        <is>
          <t>A0106</t>
        </is>
      </c>
      <c r="D578" s="4" t="n">
        <v>46147</v>
      </c>
      <c r="E578" s="5" t="n">
        <v>11500</v>
      </c>
      <c r="F578" s="3" t="inlineStr">
        <is>
          <t>UPI</t>
        </is>
      </c>
    </row>
    <row r="579">
      <c r="A579" s="3" t="inlineStr">
        <is>
          <t>P00578</t>
        </is>
      </c>
      <c r="B579" s="3" t="inlineStr">
        <is>
          <t>D0632</t>
        </is>
      </c>
      <c r="C579" s="3" t="inlineStr">
        <is>
          <t>A0106</t>
        </is>
      </c>
      <c r="D579" s="4" t="n">
        <v>46183</v>
      </c>
      <c r="E579" s="5" t="n">
        <v>11500</v>
      </c>
      <c r="F579" s="3" t="inlineStr">
        <is>
          <t>Cash</t>
        </is>
      </c>
    </row>
    <row r="580">
      <c r="A580" s="3" t="inlineStr">
        <is>
          <t>P00579</t>
        </is>
      </c>
      <c r="B580" s="3" t="inlineStr">
        <is>
          <t>D0633</t>
        </is>
      </c>
      <c r="C580" s="3" t="inlineStr">
        <is>
          <t>A0106</t>
        </is>
      </c>
      <c r="D580" s="4" t="n">
        <v>46189</v>
      </c>
      <c r="E580" s="5" t="n">
        <v>11500</v>
      </c>
      <c r="F580" s="3" t="inlineStr">
        <is>
          <t>UPI</t>
        </is>
      </c>
    </row>
    <row r="581">
      <c r="A581" s="3" t="inlineStr">
        <is>
          <t>P00580</t>
        </is>
      </c>
      <c r="B581" s="3" t="inlineStr">
        <is>
          <t>D0634</t>
        </is>
      </c>
      <c r="C581" s="3" t="inlineStr">
        <is>
          <t>A0106</t>
        </is>
      </c>
      <c r="D581" s="4" t="n">
        <v>46229</v>
      </c>
      <c r="E581" s="5" t="n">
        <v>11500</v>
      </c>
      <c r="F581" s="3" t="inlineStr">
        <is>
          <t>Cash</t>
        </is>
      </c>
    </row>
    <row r="582">
      <c r="A582" s="3" t="inlineStr">
        <is>
          <t>P00581</t>
        </is>
      </c>
      <c r="B582" s="3" t="inlineStr">
        <is>
          <t>D0635</t>
        </is>
      </c>
      <c r="C582" s="3" t="inlineStr">
        <is>
          <t>A0106</t>
        </is>
      </c>
      <c r="D582" s="4" t="n">
        <v>46258</v>
      </c>
      <c r="E582" s="5" t="n">
        <v>11500</v>
      </c>
      <c r="F582" s="3" t="inlineStr">
        <is>
          <t>UPI</t>
        </is>
      </c>
    </row>
    <row r="583">
      <c r="A583" s="3" t="inlineStr">
        <is>
          <t>P00582</t>
        </is>
      </c>
      <c r="B583" s="3" t="inlineStr">
        <is>
          <t>D0636</t>
        </is>
      </c>
      <c r="C583" s="3" t="inlineStr">
        <is>
          <t>A0106</t>
        </is>
      </c>
      <c r="D583" s="4" t="n">
        <v>46303</v>
      </c>
      <c r="E583" s="5" t="n">
        <v>11500</v>
      </c>
      <c r="F583" s="3" t="inlineStr">
        <is>
          <t>Cash</t>
        </is>
      </c>
    </row>
    <row r="584">
      <c r="A584" s="3" t="inlineStr">
        <is>
          <t>P00583</t>
        </is>
      </c>
      <c r="B584" s="3" t="inlineStr">
        <is>
          <t>D0643</t>
        </is>
      </c>
      <c r="C584" s="3" t="inlineStr">
        <is>
          <t>A0108</t>
        </is>
      </c>
      <c r="D584" s="4" t="n">
        <v>46143</v>
      </c>
      <c r="E584" s="5" t="n">
        <v>5000</v>
      </c>
      <c r="F584" s="3" t="inlineStr">
        <is>
          <t>NEFT</t>
        </is>
      </c>
    </row>
    <row r="585">
      <c r="A585" s="3" t="inlineStr">
        <is>
          <t>P00584</t>
        </is>
      </c>
      <c r="B585" s="3" t="inlineStr">
        <is>
          <t>D0644</t>
        </is>
      </c>
      <c r="C585" s="3" t="inlineStr">
        <is>
          <t>A0108</t>
        </is>
      </c>
      <c r="D585" s="4" t="n">
        <v>46178</v>
      </c>
      <c r="E585" s="5" t="n">
        <v>5000</v>
      </c>
      <c r="F585" s="3" t="inlineStr">
        <is>
          <t>UPI</t>
        </is>
      </c>
    </row>
    <row r="586">
      <c r="A586" s="3" t="inlineStr">
        <is>
          <t>P00585</t>
        </is>
      </c>
      <c r="B586" s="3" t="inlineStr">
        <is>
          <t>D0645</t>
        </is>
      </c>
      <c r="C586" s="3" t="inlineStr">
        <is>
          <t>A0108</t>
        </is>
      </c>
      <c r="D586" s="4" t="n">
        <v>46192</v>
      </c>
      <c r="E586" s="5" t="n">
        <v>5000</v>
      </c>
      <c r="F586" s="3" t="inlineStr">
        <is>
          <t>Cash</t>
        </is>
      </c>
    </row>
    <row r="587">
      <c r="A587" s="3" t="inlineStr">
        <is>
          <t>P00586</t>
        </is>
      </c>
      <c r="B587" s="3" t="inlineStr">
        <is>
          <t>D0646</t>
        </is>
      </c>
      <c r="C587" s="3" t="inlineStr">
        <is>
          <t>A0108</t>
        </is>
      </c>
      <c r="D587" s="4" t="n">
        <v>46236</v>
      </c>
      <c r="E587" s="5" t="n">
        <v>5000</v>
      </c>
      <c r="F587" s="3" t="inlineStr">
        <is>
          <t>NEFT</t>
        </is>
      </c>
    </row>
    <row r="588">
      <c r="A588" s="3" t="inlineStr">
        <is>
          <t>P00587</t>
        </is>
      </c>
      <c r="B588" s="3" t="inlineStr">
        <is>
          <t>D0647</t>
        </is>
      </c>
      <c r="C588" s="3" t="inlineStr">
        <is>
          <t>A0108</t>
        </is>
      </c>
      <c r="D588" s="4" t="n">
        <v>46251</v>
      </c>
      <c r="E588" s="5" t="n">
        <v>5000</v>
      </c>
      <c r="F588" s="3" t="inlineStr">
        <is>
          <t>UPI</t>
        </is>
      </c>
    </row>
    <row r="589">
      <c r="A589" s="3" t="inlineStr">
        <is>
          <t>P00588</t>
        </is>
      </c>
      <c r="B589" s="3" t="inlineStr">
        <is>
          <t>D0648</t>
        </is>
      </c>
      <c r="C589" s="3" t="inlineStr">
        <is>
          <t>A0108</t>
        </is>
      </c>
      <c r="D589" s="4" t="n">
        <v>46302</v>
      </c>
      <c r="E589" s="5" t="n">
        <v>5000</v>
      </c>
      <c r="F589" s="3" t="inlineStr">
        <is>
          <t>NEFT</t>
        </is>
      </c>
    </row>
    <row r="590">
      <c r="A590" s="3" t="inlineStr">
        <is>
          <t>P00589</t>
        </is>
      </c>
      <c r="B590" s="3" t="inlineStr">
        <is>
          <t>D0649</t>
        </is>
      </c>
      <c r="C590" s="3" t="inlineStr">
        <is>
          <t>A0109</t>
        </is>
      </c>
      <c r="D590" s="4" t="n">
        <v>46135</v>
      </c>
      <c r="E590" s="5" t="n">
        <v>14167</v>
      </c>
      <c r="F590" s="3" t="inlineStr">
        <is>
          <t>UPI</t>
        </is>
      </c>
    </row>
    <row r="591">
      <c r="A591" s="3" t="inlineStr">
        <is>
          <t>P00590</t>
        </is>
      </c>
      <c r="B591" s="3" t="inlineStr">
        <is>
          <t>D0650</t>
        </is>
      </c>
      <c r="C591" s="3" t="inlineStr">
        <is>
          <t>A0109</t>
        </is>
      </c>
      <c r="D591" s="4" t="n">
        <v>46172</v>
      </c>
      <c r="E591" s="5" t="n">
        <v>14167</v>
      </c>
      <c r="F591" s="3" t="inlineStr">
        <is>
          <t>UPI</t>
        </is>
      </c>
    </row>
    <row r="592">
      <c r="A592" s="3" t="inlineStr">
        <is>
          <t>P00591</t>
        </is>
      </c>
      <c r="B592" s="3" t="inlineStr">
        <is>
          <t>D0651</t>
        </is>
      </c>
      <c r="C592" s="3" t="inlineStr">
        <is>
          <t>A0109</t>
        </is>
      </c>
      <c r="D592" s="4" t="n">
        <v>46195</v>
      </c>
      <c r="E592" s="5" t="n">
        <v>14167</v>
      </c>
      <c r="F592" s="3" t="inlineStr">
        <is>
          <t>NEFT</t>
        </is>
      </c>
    </row>
    <row r="593">
      <c r="A593" s="3" t="inlineStr">
        <is>
          <t>P00592</t>
        </is>
      </c>
      <c r="B593" s="3" t="inlineStr">
        <is>
          <t>D0652</t>
        </is>
      </c>
      <c r="C593" s="3" t="inlineStr">
        <is>
          <t>A0109</t>
        </is>
      </c>
      <c r="D593" s="4" t="n">
        <v>46227</v>
      </c>
      <c r="E593" s="5" t="n">
        <v>14167</v>
      </c>
      <c r="F593" s="3" t="inlineStr">
        <is>
          <t>Cash</t>
        </is>
      </c>
    </row>
    <row r="594">
      <c r="A594" s="3" t="inlineStr">
        <is>
          <t>P00593</t>
        </is>
      </c>
      <c r="B594" s="3" t="inlineStr">
        <is>
          <t>D0653</t>
        </is>
      </c>
      <c r="C594" s="3" t="inlineStr">
        <is>
          <t>A0109</t>
        </is>
      </c>
      <c r="D594" s="4" t="n">
        <v>46252</v>
      </c>
      <c r="E594" s="5" t="n">
        <v>14167</v>
      </c>
      <c r="F594" s="3" t="inlineStr">
        <is>
          <t>UPI</t>
        </is>
      </c>
    </row>
    <row r="595">
      <c r="A595" s="3" t="inlineStr">
        <is>
          <t>P00594</t>
        </is>
      </c>
      <c r="B595" s="3" t="inlineStr">
        <is>
          <t>D0654</t>
        </is>
      </c>
      <c r="C595" s="3" t="inlineStr">
        <is>
          <t>A0109</t>
        </is>
      </c>
      <c r="D595" s="4" t="n">
        <v>46289</v>
      </c>
      <c r="E595" s="5" t="n">
        <v>14167</v>
      </c>
      <c r="F595" s="3" t="inlineStr">
        <is>
          <t>Cash</t>
        </is>
      </c>
    </row>
    <row r="596">
      <c r="A596" s="3" t="inlineStr">
        <is>
          <t>P00595</t>
        </is>
      </c>
      <c r="B596" s="3" t="inlineStr">
        <is>
          <t>D0655</t>
        </is>
      </c>
      <c r="C596" s="3" t="inlineStr">
        <is>
          <t>A0110</t>
        </is>
      </c>
      <c r="D596" s="4" t="n">
        <v>46142</v>
      </c>
      <c r="E596" s="5" t="n">
        <v>26333</v>
      </c>
      <c r="F596" s="3" t="inlineStr">
        <is>
          <t>NEFT</t>
        </is>
      </c>
    </row>
    <row r="597">
      <c r="A597" s="3" t="inlineStr">
        <is>
          <t>P00596</t>
        </is>
      </c>
      <c r="B597" s="3" t="inlineStr">
        <is>
          <t>D0656</t>
        </is>
      </c>
      <c r="C597" s="3" t="inlineStr">
        <is>
          <t>A0110</t>
        </is>
      </c>
      <c r="D597" s="4" t="n">
        <v>46168</v>
      </c>
      <c r="E597" s="5" t="n">
        <v>26333</v>
      </c>
      <c r="F597" s="3" t="inlineStr">
        <is>
          <t>Cash</t>
        </is>
      </c>
    </row>
    <row r="598">
      <c r="A598" s="3" t="inlineStr">
        <is>
          <t>P00597</t>
        </is>
      </c>
      <c r="B598" s="3" t="inlineStr">
        <is>
          <t>D0657</t>
        </is>
      </c>
      <c r="C598" s="3" t="inlineStr">
        <is>
          <t>A0110</t>
        </is>
      </c>
      <c r="D598" s="4" t="n">
        <v>46190</v>
      </c>
      <c r="E598" s="5" t="n">
        <v>26333</v>
      </c>
      <c r="F598" s="3" t="inlineStr">
        <is>
          <t>Cash</t>
        </is>
      </c>
    </row>
    <row r="599">
      <c r="A599" s="3" t="inlineStr">
        <is>
          <t>P00598</t>
        </is>
      </c>
      <c r="B599" s="3" t="inlineStr">
        <is>
          <t>D0658</t>
        </is>
      </c>
      <c r="C599" s="3" t="inlineStr">
        <is>
          <t>A0110</t>
        </is>
      </c>
      <c r="D599" s="4" t="n">
        <v>46226</v>
      </c>
      <c r="E599" s="5" t="n">
        <v>26333</v>
      </c>
      <c r="F599" s="3" t="inlineStr">
        <is>
          <t>Cash</t>
        </is>
      </c>
    </row>
    <row r="600">
      <c r="A600" s="3" t="inlineStr">
        <is>
          <t>P00599</t>
        </is>
      </c>
      <c r="B600" s="3" t="inlineStr">
        <is>
          <t>D0659</t>
        </is>
      </c>
      <c r="C600" s="3" t="inlineStr">
        <is>
          <t>A0110</t>
        </is>
      </c>
      <c r="D600" s="4" t="n">
        <v>46259</v>
      </c>
      <c r="E600" s="5" t="n">
        <v>26333</v>
      </c>
      <c r="F600" s="3" t="inlineStr">
        <is>
          <t>NEFT</t>
        </is>
      </c>
    </row>
    <row r="601">
      <c r="A601" s="3" t="inlineStr">
        <is>
          <t>P00600</t>
        </is>
      </c>
      <c r="B601" s="3" t="inlineStr">
        <is>
          <t>D0660</t>
        </is>
      </c>
      <c r="C601" s="3" t="inlineStr">
        <is>
          <t>A0110</t>
        </is>
      </c>
      <c r="D601" s="4" t="n">
        <v>46303</v>
      </c>
      <c r="E601" s="5" t="n">
        <v>26333</v>
      </c>
      <c r="F601" s="3" t="inlineStr">
        <is>
          <t>UPI</t>
        </is>
      </c>
    </row>
    <row r="602">
      <c r="A602" s="3" t="inlineStr">
        <is>
          <t>P00601</t>
        </is>
      </c>
      <c r="B602" s="3" t="inlineStr">
        <is>
          <t>D0667</t>
        </is>
      </c>
      <c r="C602" s="3" t="inlineStr">
        <is>
          <t>A0112</t>
        </is>
      </c>
      <c r="D602" s="4" t="n">
        <v>46114</v>
      </c>
      <c r="E602" s="5" t="n">
        <v>10167</v>
      </c>
      <c r="F602" s="3" t="inlineStr">
        <is>
          <t>Cash</t>
        </is>
      </c>
    </row>
    <row r="603">
      <c r="A603" s="3" t="inlineStr">
        <is>
          <t>P00602</t>
        </is>
      </c>
      <c r="B603" s="3" t="inlineStr">
        <is>
          <t>D0668</t>
        </is>
      </c>
      <c r="C603" s="3" t="inlineStr">
        <is>
          <t>A0112</t>
        </is>
      </c>
      <c r="D603" s="4" t="n">
        <v>46145</v>
      </c>
      <c r="E603" s="5" t="n">
        <v>10167</v>
      </c>
      <c r="F603" s="3" t="inlineStr">
        <is>
          <t>UPI</t>
        </is>
      </c>
    </row>
    <row r="604">
      <c r="A604" s="3" t="inlineStr">
        <is>
          <t>P00603</t>
        </is>
      </c>
      <c r="B604" s="3" t="inlineStr">
        <is>
          <t>D0669</t>
        </is>
      </c>
      <c r="C604" s="3" t="inlineStr">
        <is>
          <t>A0112</t>
        </is>
      </c>
      <c r="D604" s="4" t="n">
        <v>46178</v>
      </c>
      <c r="E604" s="5" t="n">
        <v>10167</v>
      </c>
      <c r="F604" s="3" t="inlineStr">
        <is>
          <t>Cash</t>
        </is>
      </c>
    </row>
    <row r="605">
      <c r="A605" s="3" t="inlineStr">
        <is>
          <t>P00604</t>
        </is>
      </c>
      <c r="B605" s="3" t="inlineStr">
        <is>
          <t>D0670</t>
        </is>
      </c>
      <c r="C605" s="3" t="inlineStr">
        <is>
          <t>A0112</t>
        </is>
      </c>
      <c r="D605" s="4" t="n">
        <v>46211</v>
      </c>
      <c r="E605" s="5" t="n">
        <v>10167</v>
      </c>
      <c r="F605" s="3" t="inlineStr">
        <is>
          <t>NEFT</t>
        </is>
      </c>
    </row>
    <row r="606">
      <c r="A606" s="3" t="inlineStr">
        <is>
          <t>P00605</t>
        </is>
      </c>
      <c r="B606" s="3" t="inlineStr">
        <is>
          <t>D0671</t>
        </is>
      </c>
      <c r="C606" s="3" t="inlineStr">
        <is>
          <t>A0112</t>
        </is>
      </c>
      <c r="D606" s="4" t="n">
        <v>46240</v>
      </c>
      <c r="E606" s="5" t="n">
        <v>10167</v>
      </c>
      <c r="F606" s="3" t="inlineStr">
        <is>
          <t>UPI</t>
        </is>
      </c>
    </row>
    <row r="607">
      <c r="A607" s="3" t="inlineStr">
        <is>
          <t>P00606</t>
        </is>
      </c>
      <c r="B607" s="3" t="inlineStr">
        <is>
          <t>D0672</t>
        </is>
      </c>
      <c r="C607" s="3" t="inlineStr">
        <is>
          <t>A0112</t>
        </is>
      </c>
      <c r="D607" s="4" t="n">
        <v>46268</v>
      </c>
      <c r="E607" s="5" t="n">
        <v>10167</v>
      </c>
      <c r="F607" s="3" t="inlineStr">
        <is>
          <t>Cash</t>
        </is>
      </c>
    </row>
    <row r="608">
      <c r="A608" s="3" t="inlineStr">
        <is>
          <t>P00607</t>
        </is>
      </c>
      <c r="B608" s="3" t="inlineStr">
        <is>
          <t>D0673</t>
        </is>
      </c>
      <c r="C608" s="3" t="inlineStr">
        <is>
          <t>A0113</t>
        </is>
      </c>
      <c r="D608" s="4" t="n">
        <v>46117</v>
      </c>
      <c r="E608" s="5" t="n">
        <v>28000</v>
      </c>
      <c r="F608" s="3" t="inlineStr">
        <is>
          <t>UPI</t>
        </is>
      </c>
    </row>
    <row r="609">
      <c r="A609" s="3" t="inlineStr">
        <is>
          <t>P00608</t>
        </is>
      </c>
      <c r="B609" s="3" t="inlineStr">
        <is>
          <t>D0674</t>
        </is>
      </c>
      <c r="C609" s="3" t="inlineStr">
        <is>
          <t>A0113</t>
        </is>
      </c>
      <c r="D609" s="4" t="n">
        <v>46148</v>
      </c>
      <c r="E609" s="5" t="n">
        <v>28000</v>
      </c>
      <c r="F609" s="3" t="inlineStr">
        <is>
          <t>NEFT</t>
        </is>
      </c>
    </row>
    <row r="610">
      <c r="A610" s="3" t="inlineStr">
        <is>
          <t>P00609</t>
        </is>
      </c>
      <c r="B610" s="3" t="inlineStr">
        <is>
          <t>D0675</t>
        </is>
      </c>
      <c r="C610" s="3" t="inlineStr">
        <is>
          <t>A0113</t>
        </is>
      </c>
      <c r="D610" s="4" t="n">
        <v>46176</v>
      </c>
      <c r="E610" s="5" t="n">
        <v>28000</v>
      </c>
      <c r="F610" s="3" t="inlineStr">
        <is>
          <t>NEFT</t>
        </is>
      </c>
    </row>
    <row r="611">
      <c r="A611" s="3" t="inlineStr">
        <is>
          <t>P00610</t>
        </is>
      </c>
      <c r="B611" s="3" t="inlineStr">
        <is>
          <t>D0676</t>
        </is>
      </c>
      <c r="C611" s="3" t="inlineStr">
        <is>
          <t>A0113</t>
        </is>
      </c>
      <c r="D611" s="4" t="n">
        <v>46210</v>
      </c>
      <c r="E611" s="5" t="n">
        <v>28000</v>
      </c>
      <c r="F611" s="3" t="inlineStr">
        <is>
          <t>Cash</t>
        </is>
      </c>
    </row>
    <row r="612">
      <c r="A612" s="3" t="inlineStr">
        <is>
          <t>P00611</t>
        </is>
      </c>
      <c r="B612" s="3" t="inlineStr">
        <is>
          <t>D0677</t>
        </is>
      </c>
      <c r="C612" s="3" t="inlineStr">
        <is>
          <t>A0113</t>
        </is>
      </c>
      <c r="D612" s="4" t="n">
        <v>46238</v>
      </c>
      <c r="E612" s="5" t="n">
        <v>28000</v>
      </c>
      <c r="F612" s="3" t="inlineStr">
        <is>
          <t>NEFT</t>
        </is>
      </c>
    </row>
    <row r="613">
      <c r="A613" s="3" t="inlineStr">
        <is>
          <t>P00612</t>
        </is>
      </c>
      <c r="B613" s="3" t="inlineStr">
        <is>
          <t>D0678</t>
        </is>
      </c>
      <c r="C613" s="3" t="inlineStr">
        <is>
          <t>A0113</t>
        </is>
      </c>
      <c r="D613" s="4" t="n">
        <v>46272</v>
      </c>
      <c r="E613" s="5" t="n">
        <v>28000</v>
      </c>
      <c r="F613" s="3" t="inlineStr">
        <is>
          <t>NEFT</t>
        </is>
      </c>
    </row>
    <row r="614">
      <c r="A614" s="3" t="inlineStr">
        <is>
          <t>P00613</t>
        </is>
      </c>
      <c r="B614" s="3" t="inlineStr">
        <is>
          <t>D0679</t>
        </is>
      </c>
      <c r="C614" s="3" t="inlineStr">
        <is>
          <t>A0114</t>
        </is>
      </c>
      <c r="D614" s="4" t="n">
        <v>46120</v>
      </c>
      <c r="E614" s="5" t="n">
        <v>19333</v>
      </c>
      <c r="F614" s="3" t="inlineStr">
        <is>
          <t>Cash</t>
        </is>
      </c>
    </row>
    <row r="615">
      <c r="A615" s="3" t="inlineStr">
        <is>
          <t>P00614</t>
        </is>
      </c>
      <c r="B615" s="3" t="inlineStr">
        <is>
          <t>D0680</t>
        </is>
      </c>
      <c r="C615" s="3" t="inlineStr">
        <is>
          <t>A0114</t>
        </is>
      </c>
      <c r="D615" s="4" t="n">
        <v>46149</v>
      </c>
      <c r="E615" s="5" t="n">
        <v>19333</v>
      </c>
      <c r="F615" s="3" t="inlineStr">
        <is>
          <t>Cash</t>
        </is>
      </c>
    </row>
    <row r="616">
      <c r="A616" s="3" t="inlineStr">
        <is>
          <t>P00615</t>
        </is>
      </c>
      <c r="B616" s="3" t="inlineStr">
        <is>
          <t>D0681</t>
        </is>
      </c>
      <c r="C616" s="3" t="inlineStr">
        <is>
          <t>A0114</t>
        </is>
      </c>
      <c r="D616" s="4" t="n">
        <v>46175</v>
      </c>
      <c r="E616" s="5" t="n">
        <v>19333</v>
      </c>
      <c r="F616" s="3" t="inlineStr">
        <is>
          <t>Cash</t>
        </is>
      </c>
    </row>
    <row r="617">
      <c r="A617" s="3" t="inlineStr">
        <is>
          <t>P00616</t>
        </is>
      </c>
      <c r="B617" s="3" t="inlineStr">
        <is>
          <t>D0682</t>
        </is>
      </c>
      <c r="C617" s="3" t="inlineStr">
        <is>
          <t>A0114</t>
        </is>
      </c>
      <c r="D617" s="4" t="n">
        <v>46207</v>
      </c>
      <c r="E617" s="5" t="n">
        <v>19333</v>
      </c>
      <c r="F617" s="3" t="inlineStr">
        <is>
          <t>NEFT</t>
        </is>
      </c>
    </row>
    <row r="618">
      <c r="A618" s="3" t="inlineStr">
        <is>
          <t>P00617</t>
        </is>
      </c>
      <c r="B618" s="3" t="inlineStr">
        <is>
          <t>D0683</t>
        </is>
      </c>
      <c r="C618" s="3" t="inlineStr">
        <is>
          <t>A0114</t>
        </is>
      </c>
      <c r="D618" s="4" t="n">
        <v>46239</v>
      </c>
      <c r="E618" s="5" t="n">
        <v>19333</v>
      </c>
      <c r="F618" s="3" t="inlineStr">
        <is>
          <t>Cash</t>
        </is>
      </c>
    </row>
    <row r="619">
      <c r="A619" s="3" t="inlineStr">
        <is>
          <t>P00618</t>
        </is>
      </c>
      <c r="B619" s="3" t="inlineStr">
        <is>
          <t>D0684</t>
        </is>
      </c>
      <c r="C619" s="3" t="inlineStr">
        <is>
          <t>A0114</t>
        </is>
      </c>
      <c r="D619" s="4" t="n">
        <v>46267</v>
      </c>
      <c r="E619" s="5" t="n">
        <v>19333</v>
      </c>
      <c r="F619" s="3" t="inlineStr">
        <is>
          <t>Cash</t>
        </is>
      </c>
    </row>
    <row r="620">
      <c r="A620" s="3" t="inlineStr">
        <is>
          <t>P00619</t>
        </is>
      </c>
      <c r="B620" s="3" t="inlineStr">
        <is>
          <t>D0685</t>
        </is>
      </c>
      <c r="C620" s="3" t="inlineStr">
        <is>
          <t>A0115</t>
        </is>
      </c>
      <c r="D620" s="4" t="n">
        <v>46132</v>
      </c>
      <c r="E620" s="5" t="n">
        <v>29000</v>
      </c>
      <c r="F620" s="3" t="inlineStr">
        <is>
          <t>UPI</t>
        </is>
      </c>
    </row>
    <row r="621">
      <c r="A621" s="3" t="inlineStr">
        <is>
          <t>P00620</t>
        </is>
      </c>
      <c r="B621" s="3" t="inlineStr">
        <is>
          <t>D0686</t>
        </is>
      </c>
      <c r="C621" s="3" t="inlineStr">
        <is>
          <t>A0115</t>
        </is>
      </c>
      <c r="D621" s="4" t="n">
        <v>46160</v>
      </c>
      <c r="E621" s="5" t="n">
        <v>29000</v>
      </c>
      <c r="F621" s="3" t="inlineStr">
        <is>
          <t>NEFT</t>
        </is>
      </c>
    </row>
    <row r="622">
      <c r="A622" s="3" t="inlineStr">
        <is>
          <t>P00621</t>
        </is>
      </c>
      <c r="B622" s="3" t="inlineStr">
        <is>
          <t>D0687</t>
        </is>
      </c>
      <c r="C622" s="3" t="inlineStr">
        <is>
          <t>A0115</t>
        </is>
      </c>
      <c r="D622" s="4" t="n">
        <v>46198</v>
      </c>
      <c r="E622" s="5" t="n">
        <v>29000</v>
      </c>
      <c r="F622" s="3" t="inlineStr">
        <is>
          <t>NEFT</t>
        </is>
      </c>
    </row>
    <row r="623">
      <c r="A623" s="3" t="inlineStr">
        <is>
          <t>P00622</t>
        </is>
      </c>
      <c r="B623" s="3" t="inlineStr">
        <is>
          <t>D0688</t>
        </is>
      </c>
      <c r="C623" s="3" t="inlineStr">
        <is>
          <t>A0115</t>
        </is>
      </c>
      <c r="D623" s="4" t="n">
        <v>46237</v>
      </c>
      <c r="E623" s="5" t="n">
        <v>29000</v>
      </c>
      <c r="F623" s="3" t="inlineStr">
        <is>
          <t>UPI</t>
        </is>
      </c>
    </row>
    <row r="624">
      <c r="A624" s="3" t="inlineStr">
        <is>
          <t>P00623</t>
        </is>
      </c>
      <c r="B624" s="3" t="inlineStr">
        <is>
          <t>D0689</t>
        </is>
      </c>
      <c r="C624" s="3" t="inlineStr">
        <is>
          <t>A0115</t>
        </is>
      </c>
      <c r="D624" s="4" t="n">
        <v>46275</v>
      </c>
      <c r="E624" s="5" t="n">
        <v>29000</v>
      </c>
      <c r="F624" s="3" t="inlineStr">
        <is>
          <t>UPI</t>
        </is>
      </c>
    </row>
    <row r="625">
      <c r="A625" s="3" t="inlineStr">
        <is>
          <t>P00624</t>
        </is>
      </c>
      <c r="B625" s="3" t="inlineStr">
        <is>
          <t>D0690</t>
        </is>
      </c>
      <c r="C625" s="3" t="inlineStr">
        <is>
          <t>A0115</t>
        </is>
      </c>
      <c r="D625" s="4" t="n">
        <v>46281</v>
      </c>
      <c r="E625" s="5" t="n">
        <v>29000</v>
      </c>
      <c r="F625" s="3" t="inlineStr">
        <is>
          <t>Cash</t>
        </is>
      </c>
    </row>
    <row r="626">
      <c r="A626" s="3" t="inlineStr">
        <is>
          <t>P00625</t>
        </is>
      </c>
      <c r="B626" s="3" t="inlineStr">
        <is>
          <t>D0691</t>
        </is>
      </c>
      <c r="C626" s="3" t="inlineStr">
        <is>
          <t>A0116</t>
        </is>
      </c>
      <c r="D626" s="4" t="n">
        <v>46117</v>
      </c>
      <c r="E626" s="5" t="n">
        <v>20833</v>
      </c>
      <c r="F626" s="3" t="inlineStr">
        <is>
          <t>Cash</t>
        </is>
      </c>
    </row>
    <row r="627">
      <c r="A627" s="3" t="inlineStr">
        <is>
          <t>P00626</t>
        </is>
      </c>
      <c r="B627" s="3" t="inlineStr">
        <is>
          <t>D0692</t>
        </is>
      </c>
      <c r="C627" s="3" t="inlineStr">
        <is>
          <t>A0116</t>
        </is>
      </c>
      <c r="D627" s="4" t="n">
        <v>46146</v>
      </c>
      <c r="E627" s="5" t="n">
        <v>20833</v>
      </c>
      <c r="F627" s="3" t="inlineStr">
        <is>
          <t>UPI</t>
        </is>
      </c>
    </row>
    <row r="628">
      <c r="A628" s="3" t="inlineStr">
        <is>
          <t>P00627</t>
        </is>
      </c>
      <c r="B628" s="3" t="inlineStr">
        <is>
          <t>D0693</t>
        </is>
      </c>
      <c r="C628" s="3" t="inlineStr">
        <is>
          <t>A0116</t>
        </is>
      </c>
      <c r="D628" s="4" t="n">
        <v>46177</v>
      </c>
      <c r="E628" s="5" t="n">
        <v>20833</v>
      </c>
      <c r="F628" s="3" t="inlineStr">
        <is>
          <t>NEFT</t>
        </is>
      </c>
    </row>
    <row r="629">
      <c r="A629" s="3" t="inlineStr">
        <is>
          <t>P00628</t>
        </is>
      </c>
      <c r="B629" s="3" t="inlineStr">
        <is>
          <t>D0694</t>
        </is>
      </c>
      <c r="C629" s="3" t="inlineStr">
        <is>
          <t>A0116</t>
        </is>
      </c>
      <c r="D629" s="4" t="n">
        <v>46208</v>
      </c>
      <c r="E629" s="5" t="n">
        <v>20833</v>
      </c>
      <c r="F629" s="3" t="inlineStr">
        <is>
          <t>Cash</t>
        </is>
      </c>
    </row>
    <row r="630">
      <c r="A630" s="3" t="inlineStr">
        <is>
          <t>P00629</t>
        </is>
      </c>
      <c r="B630" s="3" t="inlineStr">
        <is>
          <t>D0695</t>
        </is>
      </c>
      <c r="C630" s="3" t="inlineStr">
        <is>
          <t>A0116</t>
        </is>
      </c>
      <c r="D630" s="4" t="n">
        <v>46242</v>
      </c>
      <c r="E630" s="5" t="n">
        <v>20833</v>
      </c>
      <c r="F630" s="3" t="inlineStr">
        <is>
          <t>UPI</t>
        </is>
      </c>
    </row>
    <row r="631">
      <c r="A631" s="3" t="inlineStr">
        <is>
          <t>P00630</t>
        </is>
      </c>
      <c r="B631" s="3" t="inlineStr">
        <is>
          <t>D0696</t>
        </is>
      </c>
      <c r="C631" s="3" t="inlineStr">
        <is>
          <t>A0116</t>
        </is>
      </c>
      <c r="D631" s="4" t="n">
        <v>46269</v>
      </c>
      <c r="E631" s="5" t="n">
        <v>20833</v>
      </c>
      <c r="F631" s="3" t="inlineStr">
        <is>
          <t>NEFT</t>
        </is>
      </c>
    </row>
    <row r="632">
      <c r="A632" s="3" t="inlineStr">
        <is>
          <t>P00631</t>
        </is>
      </c>
      <c r="B632" s="3" t="inlineStr">
        <is>
          <t>D0697</t>
        </is>
      </c>
      <c r="C632" s="3" t="inlineStr">
        <is>
          <t>A0117</t>
        </is>
      </c>
      <c r="D632" s="4" t="n">
        <v>46166</v>
      </c>
      <c r="E632" s="5" t="n">
        <v>26500</v>
      </c>
      <c r="F632" s="3" t="inlineStr">
        <is>
          <t>Cash</t>
        </is>
      </c>
    </row>
    <row r="633">
      <c r="A633" s="3" t="inlineStr">
        <is>
          <t>P00632</t>
        </is>
      </c>
      <c r="B633" s="3" t="inlineStr">
        <is>
          <t>D0698</t>
        </is>
      </c>
      <c r="C633" s="3" t="inlineStr">
        <is>
          <t>A0117</t>
        </is>
      </c>
      <c r="D633" s="4" t="n">
        <v>46153</v>
      </c>
      <c r="E633" s="5" t="n">
        <v>26500</v>
      </c>
      <c r="F633" s="3" t="inlineStr">
        <is>
          <t>Cash</t>
        </is>
      </c>
    </row>
    <row r="634">
      <c r="A634" s="3" t="inlineStr">
        <is>
          <t>P00633</t>
        </is>
      </c>
      <c r="B634" s="3" t="inlineStr">
        <is>
          <t>D0699</t>
        </is>
      </c>
      <c r="C634" s="3" t="inlineStr">
        <is>
          <t>A0117</t>
        </is>
      </c>
      <c r="D634" s="4" t="n">
        <v>46178</v>
      </c>
      <c r="E634" s="5" t="n">
        <v>26500</v>
      </c>
      <c r="F634" s="3" t="inlineStr">
        <is>
          <t>Cash</t>
        </is>
      </c>
    </row>
    <row r="635">
      <c r="A635" s="3" t="inlineStr">
        <is>
          <t>P00634</t>
        </is>
      </c>
      <c r="B635" s="3" t="inlineStr">
        <is>
          <t>D0700</t>
        </is>
      </c>
      <c r="C635" s="3" t="inlineStr">
        <is>
          <t>A0117</t>
        </is>
      </c>
      <c r="D635" s="4" t="n">
        <v>46222</v>
      </c>
      <c r="E635" s="5" t="n">
        <v>13556</v>
      </c>
      <c r="F635" s="3" t="inlineStr">
        <is>
          <t>UPI</t>
        </is>
      </c>
    </row>
    <row r="636">
      <c r="A636" s="3" t="inlineStr">
        <is>
          <t>P00635</t>
        </is>
      </c>
      <c r="B636" s="3" t="inlineStr">
        <is>
          <t>D0700</t>
        </is>
      </c>
      <c r="C636" s="3" t="inlineStr">
        <is>
          <t>A0117</t>
        </is>
      </c>
      <c r="D636" s="4" t="n">
        <v>46255</v>
      </c>
      <c r="E636" s="5" t="n">
        <v>12944</v>
      </c>
      <c r="F636" s="3" t="inlineStr">
        <is>
          <t>UPI</t>
        </is>
      </c>
    </row>
    <row r="637">
      <c r="A637" s="3" t="inlineStr">
        <is>
          <t>P00636</t>
        </is>
      </c>
      <c r="B637" s="3" t="inlineStr">
        <is>
          <t>D0701</t>
        </is>
      </c>
      <c r="C637" s="3" t="inlineStr">
        <is>
          <t>A0117</t>
        </is>
      </c>
      <c r="D637" s="4" t="n">
        <v>46250</v>
      </c>
      <c r="E637" s="5" t="n">
        <v>12386</v>
      </c>
      <c r="F637" s="3" t="inlineStr">
        <is>
          <t>NEFT</t>
        </is>
      </c>
    </row>
    <row r="638">
      <c r="A638" s="3" t="inlineStr">
        <is>
          <t>P00637</t>
        </is>
      </c>
      <c r="B638" s="3" t="inlineStr">
        <is>
          <t>D0701</t>
        </is>
      </c>
      <c r="C638" s="3" t="inlineStr">
        <is>
          <t>A0117</t>
        </is>
      </c>
      <c r="D638" s="4" t="n">
        <v>46269</v>
      </c>
      <c r="E638" s="5" t="n">
        <v>14114</v>
      </c>
      <c r="F638" s="3" t="inlineStr">
        <is>
          <t>Cash</t>
        </is>
      </c>
    </row>
    <row r="639">
      <c r="A639" s="3" t="inlineStr">
        <is>
          <t>P00638</t>
        </is>
      </c>
      <c r="B639" s="3" t="inlineStr">
        <is>
          <t>D0709</t>
        </is>
      </c>
      <c r="C639" s="3" t="inlineStr">
        <is>
          <t>A0119</t>
        </is>
      </c>
      <c r="D639" s="4" t="n">
        <v>46136</v>
      </c>
      <c r="E639" s="5" t="n">
        <v>19167</v>
      </c>
      <c r="F639" s="3" t="inlineStr">
        <is>
          <t>Cash</t>
        </is>
      </c>
    </row>
    <row r="640">
      <c r="A640" s="3" t="inlineStr">
        <is>
          <t>P00639</t>
        </is>
      </c>
      <c r="B640" s="3" t="inlineStr">
        <is>
          <t>D0710</t>
        </is>
      </c>
      <c r="C640" s="3" t="inlineStr">
        <is>
          <t>A0119</t>
        </is>
      </c>
      <c r="D640" s="4" t="n">
        <v>46169</v>
      </c>
      <c r="E640" s="5" t="n">
        <v>19167</v>
      </c>
      <c r="F640" s="3" t="inlineStr">
        <is>
          <t>UPI</t>
        </is>
      </c>
    </row>
    <row r="641">
      <c r="A641" s="3" t="inlineStr">
        <is>
          <t>P00640</t>
        </is>
      </c>
      <c r="B641" s="3" t="inlineStr">
        <is>
          <t>D0711</t>
        </is>
      </c>
      <c r="C641" s="3" t="inlineStr">
        <is>
          <t>A0119</t>
        </is>
      </c>
      <c r="D641" s="4" t="n">
        <v>46213</v>
      </c>
      <c r="E641" s="5" t="n">
        <v>19167</v>
      </c>
      <c r="F641" s="3" t="inlineStr">
        <is>
          <t>UPI</t>
        </is>
      </c>
    </row>
    <row r="642">
      <c r="A642" s="3" t="inlineStr">
        <is>
          <t>P00641</t>
        </is>
      </c>
      <c r="B642" s="3" t="inlineStr">
        <is>
          <t>D0712</t>
        </is>
      </c>
      <c r="C642" s="3" t="inlineStr">
        <is>
          <t>A0119</t>
        </is>
      </c>
      <c r="D642" s="4" t="n">
        <v>46230</v>
      </c>
      <c r="E642" s="5" t="n">
        <v>19167</v>
      </c>
      <c r="F642" s="3" t="inlineStr">
        <is>
          <t>UPI</t>
        </is>
      </c>
    </row>
    <row r="643">
      <c r="A643" s="3" t="inlineStr">
        <is>
          <t>P00642</t>
        </is>
      </c>
      <c r="B643" s="3" t="inlineStr">
        <is>
          <t>D0713</t>
        </is>
      </c>
      <c r="C643" s="3" t="inlineStr">
        <is>
          <t>A0119</t>
        </is>
      </c>
      <c r="D643" s="4" t="n">
        <v>46259</v>
      </c>
      <c r="E643" s="5" t="n">
        <v>19167</v>
      </c>
      <c r="F643" s="3" t="inlineStr">
        <is>
          <t>NEFT</t>
        </is>
      </c>
    </row>
    <row r="644">
      <c r="A644" s="3" t="inlineStr">
        <is>
          <t>P00643</t>
        </is>
      </c>
      <c r="B644" s="3" t="inlineStr">
        <is>
          <t>D0714</t>
        </is>
      </c>
      <c r="C644" s="3" t="inlineStr">
        <is>
          <t>A0119</t>
        </is>
      </c>
      <c r="D644" s="4" t="n">
        <v>46294</v>
      </c>
      <c r="E644" s="5" t="n">
        <v>19167</v>
      </c>
      <c r="F644" s="3" t="inlineStr">
        <is>
          <t>Cash</t>
        </is>
      </c>
    </row>
    <row r="645">
      <c r="A645" s="3" t="inlineStr">
        <is>
          <t>P00644</t>
        </is>
      </c>
      <c r="B645" s="3" t="inlineStr">
        <is>
          <t>D0721</t>
        </is>
      </c>
      <c r="C645" s="3" t="inlineStr">
        <is>
          <t>A0121</t>
        </is>
      </c>
      <c r="D645" s="4" t="n">
        <v>46122</v>
      </c>
      <c r="E645" s="5" t="n">
        <v>19000</v>
      </c>
      <c r="F645" s="3" t="inlineStr">
        <is>
          <t>NEFT</t>
        </is>
      </c>
    </row>
    <row r="646">
      <c r="A646" s="3" t="inlineStr">
        <is>
          <t>P00645</t>
        </is>
      </c>
      <c r="B646" s="3" t="inlineStr">
        <is>
          <t>D0722</t>
        </is>
      </c>
      <c r="C646" s="3" t="inlineStr">
        <is>
          <t>A0121</t>
        </is>
      </c>
      <c r="D646" s="4" t="n">
        <v>46149</v>
      </c>
      <c r="E646" s="5" t="n">
        <v>19000</v>
      </c>
      <c r="F646" s="3" t="inlineStr">
        <is>
          <t>Cash</t>
        </is>
      </c>
    </row>
    <row r="647">
      <c r="A647" s="3" t="inlineStr">
        <is>
          <t>P00646</t>
        </is>
      </c>
      <c r="B647" s="3" t="inlineStr">
        <is>
          <t>D0723</t>
        </is>
      </c>
      <c r="C647" s="3" t="inlineStr">
        <is>
          <t>A0121</t>
        </is>
      </c>
      <c r="D647" s="4" t="n">
        <v>46179</v>
      </c>
      <c r="E647" s="5" t="n">
        <v>19000</v>
      </c>
      <c r="F647" s="3" t="inlineStr">
        <is>
          <t>UPI</t>
        </is>
      </c>
    </row>
    <row r="648">
      <c r="A648" s="3" t="inlineStr">
        <is>
          <t>P00647</t>
        </is>
      </c>
      <c r="B648" s="3" t="inlineStr">
        <is>
          <t>D0724</t>
        </is>
      </c>
      <c r="C648" s="3" t="inlineStr">
        <is>
          <t>A0121</t>
        </is>
      </c>
      <c r="D648" s="4" t="n">
        <v>46217</v>
      </c>
      <c r="E648" s="5" t="n">
        <v>9382</v>
      </c>
      <c r="F648" s="3" t="inlineStr">
        <is>
          <t>NEFT</t>
        </is>
      </c>
    </row>
    <row r="649">
      <c r="A649" s="3" t="inlineStr">
        <is>
          <t>P00648</t>
        </is>
      </c>
      <c r="B649" s="3" t="inlineStr">
        <is>
          <t>D0724</t>
        </is>
      </c>
      <c r="C649" s="3" t="inlineStr">
        <is>
          <t>A0121</t>
        </is>
      </c>
      <c r="D649" s="4" t="n">
        <v>46243</v>
      </c>
      <c r="E649" s="5" t="n">
        <v>9618</v>
      </c>
      <c r="F649" s="3" t="inlineStr">
        <is>
          <t>NEFT</t>
        </is>
      </c>
    </row>
    <row r="650">
      <c r="A650" s="3" t="inlineStr">
        <is>
          <t>P00649</t>
        </is>
      </c>
      <c r="B650" s="3" t="inlineStr">
        <is>
          <t>D0725</t>
        </is>
      </c>
      <c r="C650" s="3" t="inlineStr">
        <is>
          <t>A0121</t>
        </is>
      </c>
      <c r="D650" s="4" t="n">
        <v>46256</v>
      </c>
      <c r="E650" s="5" t="n">
        <v>12720</v>
      </c>
      <c r="F650" s="3" t="inlineStr">
        <is>
          <t>Cash</t>
        </is>
      </c>
    </row>
    <row r="651">
      <c r="A651" s="3" t="inlineStr">
        <is>
          <t>P00650</t>
        </is>
      </c>
      <c r="B651" s="3" t="inlineStr">
        <is>
          <t>D0725</t>
        </is>
      </c>
      <c r="C651" s="3" t="inlineStr">
        <is>
          <t>A0121</t>
        </is>
      </c>
      <c r="D651" s="4" t="n">
        <v>46265</v>
      </c>
      <c r="E651" s="5" t="n">
        <v>6280</v>
      </c>
      <c r="F651" s="3" t="inlineStr">
        <is>
          <t>UPI</t>
        </is>
      </c>
    </row>
    <row r="652">
      <c r="A652" s="3" t="inlineStr">
        <is>
          <t>P00651</t>
        </is>
      </c>
      <c r="B652" s="3" t="inlineStr">
        <is>
          <t>D0726</t>
        </is>
      </c>
      <c r="C652" s="3" t="inlineStr">
        <is>
          <t>A0121</t>
        </is>
      </c>
      <c r="D652" s="4" t="n">
        <v>46290</v>
      </c>
      <c r="E652" s="5" t="n">
        <v>7894</v>
      </c>
      <c r="F652" s="3" t="inlineStr">
        <is>
          <t>NEFT</t>
        </is>
      </c>
    </row>
    <row r="653">
      <c r="A653" s="3" t="inlineStr">
        <is>
          <t>P00652</t>
        </is>
      </c>
      <c r="B653" s="3" t="inlineStr">
        <is>
          <t>D0726</t>
        </is>
      </c>
      <c r="C653" s="3" t="inlineStr">
        <is>
          <t>A0121</t>
        </is>
      </c>
      <c r="D653" s="4" t="n">
        <v>46305</v>
      </c>
      <c r="E653" s="5" t="n">
        <v>11106</v>
      </c>
      <c r="F653" s="3" t="inlineStr">
        <is>
          <t>NEFT</t>
        </is>
      </c>
    </row>
    <row r="654">
      <c r="A654" s="3" t="inlineStr">
        <is>
          <t>P00653</t>
        </is>
      </c>
      <c r="B654" s="3" t="inlineStr">
        <is>
          <t>D0733</t>
        </is>
      </c>
      <c r="C654" s="3" t="inlineStr">
        <is>
          <t>A0123</t>
        </is>
      </c>
      <c r="D654" s="4" t="n">
        <v>46150</v>
      </c>
      <c r="E654" s="5" t="n">
        <v>18000</v>
      </c>
      <c r="F654" s="3" t="inlineStr">
        <is>
          <t>Cash</t>
        </is>
      </c>
    </row>
    <row r="655">
      <c r="A655" s="3" t="inlineStr">
        <is>
          <t>P00654</t>
        </is>
      </c>
      <c r="B655" s="3" t="inlineStr">
        <is>
          <t>D0734</t>
        </is>
      </c>
      <c r="C655" s="3" t="inlineStr">
        <is>
          <t>A0123</t>
        </is>
      </c>
      <c r="D655" s="4" t="n">
        <v>46165</v>
      </c>
      <c r="E655" s="5" t="n">
        <v>18000</v>
      </c>
      <c r="F655" s="3" t="inlineStr">
        <is>
          <t>NEFT</t>
        </is>
      </c>
    </row>
    <row r="656">
      <c r="A656" s="3" t="inlineStr">
        <is>
          <t>P00655</t>
        </is>
      </c>
      <c r="B656" s="3" t="inlineStr">
        <is>
          <t>D0735</t>
        </is>
      </c>
      <c r="C656" s="3" t="inlineStr">
        <is>
          <t>A0123</t>
        </is>
      </c>
      <c r="D656" s="4" t="n">
        <v>46210</v>
      </c>
      <c r="E656" s="5" t="n">
        <v>18000</v>
      </c>
      <c r="F656" s="3" t="inlineStr">
        <is>
          <t>UPI</t>
        </is>
      </c>
    </row>
    <row r="657">
      <c r="A657" s="3" t="inlineStr">
        <is>
          <t>P00656</t>
        </is>
      </c>
      <c r="B657" s="3" t="inlineStr">
        <is>
          <t>D0736</t>
        </is>
      </c>
      <c r="C657" s="3" t="inlineStr">
        <is>
          <t>A0123</t>
        </is>
      </c>
      <c r="D657" s="4" t="n">
        <v>46243</v>
      </c>
      <c r="E657" s="5" t="n">
        <v>18000</v>
      </c>
      <c r="F657" s="3" t="inlineStr">
        <is>
          <t>Cash</t>
        </is>
      </c>
    </row>
    <row r="658">
      <c r="A658" s="3" t="inlineStr">
        <is>
          <t>P00657</t>
        </is>
      </c>
      <c r="B658" s="3" t="inlineStr">
        <is>
          <t>D0737</t>
        </is>
      </c>
      <c r="C658" s="3" t="inlineStr">
        <is>
          <t>A0123</t>
        </is>
      </c>
      <c r="D658" s="4" t="n">
        <v>46249</v>
      </c>
      <c r="E658" s="5" t="n">
        <v>18000</v>
      </c>
      <c r="F658" s="3" t="inlineStr">
        <is>
          <t>Cash</t>
        </is>
      </c>
    </row>
    <row r="659">
      <c r="A659" s="3" t="inlineStr">
        <is>
          <t>P00658</t>
        </is>
      </c>
      <c r="B659" s="3" t="inlineStr">
        <is>
          <t>D0738</t>
        </is>
      </c>
      <c r="C659" s="3" t="inlineStr">
        <is>
          <t>A0123</t>
        </is>
      </c>
      <c r="D659" s="4" t="n">
        <v>46296</v>
      </c>
      <c r="E659" s="5" t="n">
        <v>18000</v>
      </c>
      <c r="F659" s="3" t="inlineStr">
        <is>
          <t>Cash</t>
        </is>
      </c>
    </row>
    <row r="660">
      <c r="A660" s="3" t="inlineStr">
        <is>
          <t>P00659</t>
        </is>
      </c>
      <c r="B660" s="3" t="inlineStr">
        <is>
          <t>D0739</t>
        </is>
      </c>
      <c r="C660" s="3" t="inlineStr">
        <is>
          <t>A0124</t>
        </is>
      </c>
      <c r="D660" s="4" t="n">
        <v>46120</v>
      </c>
      <c r="E660" s="5" t="n">
        <v>19500</v>
      </c>
      <c r="F660" s="3" t="inlineStr">
        <is>
          <t>NEFT</t>
        </is>
      </c>
    </row>
    <row r="661">
      <c r="A661" s="3" t="inlineStr">
        <is>
          <t>P00660</t>
        </is>
      </c>
      <c r="B661" s="3" t="inlineStr">
        <is>
          <t>D0740</t>
        </is>
      </c>
      <c r="C661" s="3" t="inlineStr">
        <is>
          <t>A0124</t>
        </is>
      </c>
      <c r="D661" s="4" t="n">
        <v>46145</v>
      </c>
      <c r="E661" s="5" t="n">
        <v>19500</v>
      </c>
      <c r="F661" s="3" t="inlineStr">
        <is>
          <t>UPI</t>
        </is>
      </c>
    </row>
    <row r="662">
      <c r="A662" s="3" t="inlineStr">
        <is>
          <t>P00661</t>
        </is>
      </c>
      <c r="B662" s="3" t="inlineStr">
        <is>
          <t>D0741</t>
        </is>
      </c>
      <c r="C662" s="3" t="inlineStr">
        <is>
          <t>A0124</t>
        </is>
      </c>
      <c r="D662" s="4" t="n">
        <v>46176</v>
      </c>
      <c r="E662" s="5" t="n">
        <v>19500</v>
      </c>
      <c r="F662" s="3" t="inlineStr">
        <is>
          <t>UPI</t>
        </is>
      </c>
    </row>
    <row r="663">
      <c r="A663" s="3" t="inlineStr">
        <is>
          <t>P00662</t>
        </is>
      </c>
      <c r="B663" s="3" t="inlineStr">
        <is>
          <t>D0742</t>
        </is>
      </c>
      <c r="C663" s="3" t="inlineStr">
        <is>
          <t>A0124</t>
        </is>
      </c>
      <c r="D663" s="4" t="n">
        <v>46209</v>
      </c>
      <c r="E663" s="5" t="n">
        <v>19500</v>
      </c>
      <c r="F663" s="3" t="inlineStr">
        <is>
          <t>NEFT</t>
        </is>
      </c>
    </row>
    <row r="664">
      <c r="A664" s="3" t="inlineStr">
        <is>
          <t>P00663</t>
        </is>
      </c>
      <c r="B664" s="3" t="inlineStr">
        <is>
          <t>D0743</t>
        </is>
      </c>
      <c r="C664" s="3" t="inlineStr">
        <is>
          <t>A0124</t>
        </is>
      </c>
      <c r="D664" s="4" t="n">
        <v>46239</v>
      </c>
      <c r="E664" s="5" t="n">
        <v>19500</v>
      </c>
      <c r="F664" s="3" t="inlineStr">
        <is>
          <t>Cash</t>
        </is>
      </c>
    </row>
    <row r="665">
      <c r="A665" s="3" t="inlineStr">
        <is>
          <t>P00664</t>
        </is>
      </c>
      <c r="B665" s="3" t="inlineStr">
        <is>
          <t>D0744</t>
        </is>
      </c>
      <c r="C665" s="3" t="inlineStr">
        <is>
          <t>A0124</t>
        </is>
      </c>
      <c r="D665" s="4" t="n">
        <v>46267</v>
      </c>
      <c r="E665" s="5" t="n">
        <v>19500</v>
      </c>
      <c r="F665" s="3" t="inlineStr">
        <is>
          <t>NEFT</t>
        </is>
      </c>
    </row>
    <row r="666">
      <c r="A666" s="3" t="inlineStr">
        <is>
          <t>P00665</t>
        </is>
      </c>
      <c r="B666" s="3" t="inlineStr">
        <is>
          <t>D0745</t>
        </is>
      </c>
      <c r="C666" s="3" t="inlineStr">
        <is>
          <t>A0125</t>
        </is>
      </c>
      <c r="D666" s="4" t="n">
        <v>46120</v>
      </c>
      <c r="E666" s="5" t="n">
        <v>29667</v>
      </c>
      <c r="F666" s="3" t="inlineStr">
        <is>
          <t>UPI</t>
        </is>
      </c>
    </row>
    <row r="667">
      <c r="A667" s="3" t="inlineStr">
        <is>
          <t>P00666</t>
        </is>
      </c>
      <c r="B667" s="3" t="inlineStr">
        <is>
          <t>D0746</t>
        </is>
      </c>
      <c r="C667" s="3" t="inlineStr">
        <is>
          <t>A0125</t>
        </is>
      </c>
      <c r="D667" s="4" t="n">
        <v>46148</v>
      </c>
      <c r="E667" s="5" t="n">
        <v>29667</v>
      </c>
      <c r="F667" s="3" t="inlineStr">
        <is>
          <t>Cash</t>
        </is>
      </c>
    </row>
    <row r="668">
      <c r="A668" s="3" t="inlineStr">
        <is>
          <t>P00667</t>
        </is>
      </c>
      <c r="B668" s="3" t="inlineStr">
        <is>
          <t>D0747</t>
        </is>
      </c>
      <c r="C668" s="3" t="inlineStr">
        <is>
          <t>A0125</t>
        </is>
      </c>
      <c r="D668" s="4" t="n">
        <v>46180</v>
      </c>
      <c r="E668" s="5" t="n">
        <v>29667</v>
      </c>
      <c r="F668" s="3" t="inlineStr">
        <is>
          <t>Cash</t>
        </is>
      </c>
    </row>
    <row r="669">
      <c r="A669" s="3" t="inlineStr">
        <is>
          <t>P00668</t>
        </is>
      </c>
      <c r="B669" s="3" t="inlineStr">
        <is>
          <t>D0748</t>
        </is>
      </c>
      <c r="C669" s="3" t="inlineStr">
        <is>
          <t>A0125</t>
        </is>
      </c>
      <c r="D669" s="4" t="n">
        <v>46208</v>
      </c>
      <c r="E669" s="5" t="n">
        <v>29667</v>
      </c>
      <c r="F669" s="3" t="inlineStr">
        <is>
          <t>Cash</t>
        </is>
      </c>
    </row>
    <row r="670">
      <c r="A670" s="3" t="inlineStr">
        <is>
          <t>P00669</t>
        </is>
      </c>
      <c r="B670" s="3" t="inlineStr">
        <is>
          <t>D0749</t>
        </is>
      </c>
      <c r="C670" s="3" t="inlineStr">
        <is>
          <t>A0125</t>
        </is>
      </c>
      <c r="D670" s="4" t="n">
        <v>46238</v>
      </c>
      <c r="E670" s="5" t="n">
        <v>29667</v>
      </c>
      <c r="F670" s="3" t="inlineStr">
        <is>
          <t>UPI</t>
        </is>
      </c>
    </row>
    <row r="671">
      <c r="A671" s="3" t="inlineStr">
        <is>
          <t>P00670</t>
        </is>
      </c>
      <c r="B671" s="3" t="inlineStr">
        <is>
          <t>D0750</t>
        </is>
      </c>
      <c r="C671" s="3" t="inlineStr">
        <is>
          <t>A0125</t>
        </is>
      </c>
      <c r="D671" s="4" t="n">
        <v>46273</v>
      </c>
      <c r="E671" s="5" t="n">
        <v>29667</v>
      </c>
      <c r="F671" s="3" t="inlineStr">
        <is>
          <t>UPI</t>
        </is>
      </c>
    </row>
    <row r="672">
      <c r="A672" s="3" t="inlineStr">
        <is>
          <t>P00671</t>
        </is>
      </c>
      <c r="B672" s="3" t="inlineStr">
        <is>
          <t>D0751</t>
        </is>
      </c>
      <c r="C672" s="3" t="inlineStr">
        <is>
          <t>A0126</t>
        </is>
      </c>
      <c r="D672" s="4" t="n">
        <v>46115</v>
      </c>
      <c r="E672" s="5" t="n">
        <v>21333</v>
      </c>
      <c r="F672" s="3" t="inlineStr">
        <is>
          <t>UPI</t>
        </is>
      </c>
    </row>
    <row r="673">
      <c r="A673" s="3" t="inlineStr">
        <is>
          <t>P00672</t>
        </is>
      </c>
      <c r="B673" s="3" t="inlineStr">
        <is>
          <t>D0752</t>
        </is>
      </c>
      <c r="C673" s="3" t="inlineStr">
        <is>
          <t>A0126</t>
        </is>
      </c>
      <c r="D673" s="4" t="n">
        <v>46150</v>
      </c>
      <c r="E673" s="5" t="n">
        <v>21333</v>
      </c>
      <c r="F673" s="3" t="inlineStr">
        <is>
          <t>Cash</t>
        </is>
      </c>
    </row>
    <row r="674">
      <c r="A674" s="3" t="inlineStr">
        <is>
          <t>P00673</t>
        </is>
      </c>
      <c r="B674" s="3" t="inlineStr">
        <is>
          <t>D0753</t>
        </is>
      </c>
      <c r="C674" s="3" t="inlineStr">
        <is>
          <t>A0126</t>
        </is>
      </c>
      <c r="D674" s="4" t="n">
        <v>46180</v>
      </c>
      <c r="E674" s="5" t="n">
        <v>21333</v>
      </c>
      <c r="F674" s="3" t="inlineStr">
        <is>
          <t>UPI</t>
        </is>
      </c>
    </row>
    <row r="675">
      <c r="A675" s="3" t="inlineStr">
        <is>
          <t>P00674</t>
        </is>
      </c>
      <c r="B675" s="3" t="inlineStr">
        <is>
          <t>D0754</t>
        </is>
      </c>
      <c r="C675" s="3" t="inlineStr">
        <is>
          <t>A0126</t>
        </is>
      </c>
      <c r="D675" s="4" t="n">
        <v>46207</v>
      </c>
      <c r="E675" s="5" t="n">
        <v>21333</v>
      </c>
      <c r="F675" s="3" t="inlineStr">
        <is>
          <t>NEFT</t>
        </is>
      </c>
    </row>
    <row r="676">
      <c r="A676" s="3" t="inlineStr">
        <is>
          <t>P00675</t>
        </is>
      </c>
      <c r="B676" s="3" t="inlineStr">
        <is>
          <t>D0755</t>
        </is>
      </c>
      <c r="C676" s="3" t="inlineStr">
        <is>
          <t>A0126</t>
        </is>
      </c>
      <c r="D676" s="4" t="n">
        <v>46237</v>
      </c>
      <c r="E676" s="5" t="n">
        <v>21333</v>
      </c>
      <c r="F676" s="3" t="inlineStr">
        <is>
          <t>NEFT</t>
        </is>
      </c>
    </row>
    <row r="677">
      <c r="A677" s="3" t="inlineStr">
        <is>
          <t>P00676</t>
        </is>
      </c>
      <c r="B677" s="3" t="inlineStr">
        <is>
          <t>D0756</t>
        </is>
      </c>
      <c r="C677" s="3" t="inlineStr">
        <is>
          <t>A0126</t>
        </is>
      </c>
      <c r="D677" s="4" t="n">
        <v>46269</v>
      </c>
      <c r="E677" s="5" t="n">
        <v>21333</v>
      </c>
      <c r="F677" s="3" t="inlineStr">
        <is>
          <t>UPI</t>
        </is>
      </c>
    </row>
    <row r="678">
      <c r="A678" s="3" t="inlineStr">
        <is>
          <t>P00677</t>
        </is>
      </c>
      <c r="B678" s="3" t="inlineStr">
        <is>
          <t>D0757</t>
        </is>
      </c>
      <c r="C678" s="3" t="inlineStr">
        <is>
          <t>A0127</t>
        </is>
      </c>
      <c r="D678" s="4" t="n">
        <v>46116</v>
      </c>
      <c r="E678" s="5" t="n">
        <v>7000</v>
      </c>
      <c r="F678" s="3" t="inlineStr">
        <is>
          <t>NEFT</t>
        </is>
      </c>
    </row>
    <row r="679">
      <c r="A679" s="3" t="inlineStr">
        <is>
          <t>P00678</t>
        </is>
      </c>
      <c r="B679" s="3" t="inlineStr">
        <is>
          <t>D0758</t>
        </is>
      </c>
      <c r="C679" s="3" t="inlineStr">
        <is>
          <t>A0127</t>
        </is>
      </c>
      <c r="D679" s="4" t="n">
        <v>46146</v>
      </c>
      <c r="E679" s="5" t="n">
        <v>7000</v>
      </c>
      <c r="F679" s="3" t="inlineStr">
        <is>
          <t>UPI</t>
        </is>
      </c>
    </row>
    <row r="680">
      <c r="A680" s="3" t="inlineStr">
        <is>
          <t>P00679</t>
        </is>
      </c>
      <c r="B680" s="3" t="inlineStr">
        <is>
          <t>D0759</t>
        </is>
      </c>
      <c r="C680" s="3" t="inlineStr">
        <is>
          <t>A0127</t>
        </is>
      </c>
      <c r="D680" s="4" t="n">
        <v>46177</v>
      </c>
      <c r="E680" s="5" t="n">
        <v>7000</v>
      </c>
      <c r="F680" s="3" t="inlineStr">
        <is>
          <t>UPI</t>
        </is>
      </c>
    </row>
    <row r="681">
      <c r="A681" s="3" t="inlineStr">
        <is>
          <t>P00680</t>
        </is>
      </c>
      <c r="B681" s="3" t="inlineStr">
        <is>
          <t>D0760</t>
        </is>
      </c>
      <c r="C681" s="3" t="inlineStr">
        <is>
          <t>A0127</t>
        </is>
      </c>
      <c r="D681" s="4" t="n">
        <v>46206</v>
      </c>
      <c r="E681" s="5" t="n">
        <v>7000</v>
      </c>
      <c r="F681" s="3" t="inlineStr">
        <is>
          <t>UPI</t>
        </is>
      </c>
    </row>
    <row r="682">
      <c r="A682" s="3" t="inlineStr">
        <is>
          <t>P00681</t>
        </is>
      </c>
      <c r="B682" s="3" t="inlineStr">
        <is>
          <t>D0761</t>
        </is>
      </c>
      <c r="C682" s="3" t="inlineStr">
        <is>
          <t>A0127</t>
        </is>
      </c>
      <c r="D682" s="4" t="n">
        <v>46239</v>
      </c>
      <c r="E682" s="5" t="n">
        <v>7000</v>
      </c>
      <c r="F682" s="3" t="inlineStr">
        <is>
          <t>UPI</t>
        </is>
      </c>
    </row>
    <row r="683">
      <c r="A683" s="3" t="inlineStr">
        <is>
          <t>P00682</t>
        </is>
      </c>
      <c r="B683" s="3" t="inlineStr">
        <is>
          <t>D0762</t>
        </is>
      </c>
      <c r="C683" s="3" t="inlineStr">
        <is>
          <t>A0127</t>
        </is>
      </c>
      <c r="D683" s="4" t="n">
        <v>46270</v>
      </c>
      <c r="E683" s="5" t="n">
        <v>7000</v>
      </c>
      <c r="F683" s="3" t="inlineStr">
        <is>
          <t>UPI</t>
        </is>
      </c>
    </row>
    <row r="684">
      <c r="A684" s="3" t="inlineStr">
        <is>
          <t>P00683</t>
        </is>
      </c>
      <c r="B684" s="3" t="inlineStr">
        <is>
          <t>D0763</t>
        </is>
      </c>
      <c r="C684" s="3" t="inlineStr">
        <is>
          <t>A0128</t>
        </is>
      </c>
      <c r="D684" s="4" t="n">
        <v>46143</v>
      </c>
      <c r="E684" s="5" t="n">
        <v>33333</v>
      </c>
      <c r="F684" s="3" t="inlineStr">
        <is>
          <t>NEFT</t>
        </is>
      </c>
    </row>
    <row r="685">
      <c r="A685" s="3" t="inlineStr">
        <is>
          <t>P00684</t>
        </is>
      </c>
      <c r="B685" s="3" t="inlineStr">
        <is>
          <t>D0764</t>
        </is>
      </c>
      <c r="C685" s="3" t="inlineStr">
        <is>
          <t>A0128</t>
        </is>
      </c>
      <c r="D685" s="4" t="n">
        <v>46167</v>
      </c>
      <c r="E685" s="5" t="n">
        <v>33333</v>
      </c>
      <c r="F685" s="3" t="inlineStr">
        <is>
          <t>UPI</t>
        </is>
      </c>
    </row>
    <row r="686">
      <c r="A686" s="3" t="inlineStr">
        <is>
          <t>P00685</t>
        </is>
      </c>
      <c r="B686" s="3" t="inlineStr">
        <is>
          <t>D0765</t>
        </is>
      </c>
      <c r="C686" s="3" t="inlineStr">
        <is>
          <t>A0128</t>
        </is>
      </c>
      <c r="D686" s="4" t="n">
        <v>46206</v>
      </c>
      <c r="E686" s="5" t="n">
        <v>33333</v>
      </c>
      <c r="F686" s="3" t="inlineStr">
        <is>
          <t>Cash</t>
        </is>
      </c>
    </row>
    <row r="687">
      <c r="A687" s="3" t="inlineStr">
        <is>
          <t>P00686</t>
        </is>
      </c>
      <c r="B687" s="3" t="inlineStr">
        <is>
          <t>D0766</t>
        </is>
      </c>
      <c r="C687" s="3" t="inlineStr">
        <is>
          <t>A0128</t>
        </is>
      </c>
      <c r="D687" s="4" t="n">
        <v>46245</v>
      </c>
      <c r="E687" s="5" t="n">
        <v>33333</v>
      </c>
      <c r="F687" s="3" t="inlineStr">
        <is>
          <t>NEFT</t>
        </is>
      </c>
    </row>
    <row r="688">
      <c r="A688" s="3" t="inlineStr">
        <is>
          <t>P00687</t>
        </is>
      </c>
      <c r="B688" s="3" t="inlineStr">
        <is>
          <t>D0767</t>
        </is>
      </c>
      <c r="C688" s="3" t="inlineStr">
        <is>
          <t>A0128</t>
        </is>
      </c>
      <c r="D688" s="4" t="n">
        <v>46253</v>
      </c>
      <c r="E688" s="5" t="n">
        <v>33333</v>
      </c>
      <c r="F688" s="3" t="inlineStr">
        <is>
          <t>NEFT</t>
        </is>
      </c>
    </row>
    <row r="689">
      <c r="A689" s="3" t="inlineStr">
        <is>
          <t>P00688</t>
        </is>
      </c>
      <c r="B689" s="3" t="inlineStr">
        <is>
          <t>D0768</t>
        </is>
      </c>
      <c r="C689" s="3" t="inlineStr">
        <is>
          <t>A0128</t>
        </is>
      </c>
      <c r="D689" s="4" t="n">
        <v>46280</v>
      </c>
      <c r="E689" s="5" t="n">
        <v>33333</v>
      </c>
      <c r="F689" s="3" t="inlineStr">
        <is>
          <t>Cash</t>
        </is>
      </c>
    </row>
    <row r="690">
      <c r="A690" s="3" t="inlineStr">
        <is>
          <t>P00689</t>
        </is>
      </c>
      <c r="B690" s="3" t="inlineStr">
        <is>
          <t>D0775</t>
        </is>
      </c>
      <c r="C690" s="3" t="inlineStr">
        <is>
          <t>A0130</t>
        </is>
      </c>
      <c r="D690" s="4" t="n">
        <v>46116</v>
      </c>
      <c r="E690" s="5" t="n">
        <v>11833</v>
      </c>
      <c r="F690" s="3" t="inlineStr">
        <is>
          <t>UPI</t>
        </is>
      </c>
    </row>
    <row r="691">
      <c r="A691" s="3" t="inlineStr">
        <is>
          <t>P00690</t>
        </is>
      </c>
      <c r="B691" s="3" t="inlineStr">
        <is>
          <t>D0776</t>
        </is>
      </c>
      <c r="C691" s="3" t="inlineStr">
        <is>
          <t>A0130</t>
        </is>
      </c>
      <c r="D691" s="4" t="n">
        <v>46148</v>
      </c>
      <c r="E691" s="5" t="n">
        <v>11833</v>
      </c>
      <c r="F691" s="3" t="inlineStr">
        <is>
          <t>Cash</t>
        </is>
      </c>
    </row>
    <row r="692">
      <c r="A692" s="3" t="inlineStr">
        <is>
          <t>P00691</t>
        </is>
      </c>
      <c r="B692" s="3" t="inlineStr">
        <is>
          <t>D0777</t>
        </is>
      </c>
      <c r="C692" s="3" t="inlineStr">
        <is>
          <t>A0130</t>
        </is>
      </c>
      <c r="D692" s="4" t="n">
        <v>46180</v>
      </c>
      <c r="E692" s="5" t="n">
        <v>11833</v>
      </c>
      <c r="F692" s="3" t="inlineStr">
        <is>
          <t>Cash</t>
        </is>
      </c>
    </row>
    <row r="693">
      <c r="A693" s="3" t="inlineStr">
        <is>
          <t>P00692</t>
        </is>
      </c>
      <c r="B693" s="3" t="inlineStr">
        <is>
          <t>D0778</t>
        </is>
      </c>
      <c r="C693" s="3" t="inlineStr">
        <is>
          <t>A0130</t>
        </is>
      </c>
      <c r="D693" s="4" t="n">
        <v>46206</v>
      </c>
      <c r="E693" s="5" t="n">
        <v>11833</v>
      </c>
      <c r="F693" s="3" t="inlineStr">
        <is>
          <t>NEFT</t>
        </is>
      </c>
    </row>
    <row r="694">
      <c r="A694" s="3" t="inlineStr">
        <is>
          <t>P00693</t>
        </is>
      </c>
      <c r="B694" s="3" t="inlineStr">
        <is>
          <t>D0779</t>
        </is>
      </c>
      <c r="C694" s="3" t="inlineStr">
        <is>
          <t>A0130</t>
        </is>
      </c>
      <c r="D694" s="4" t="n">
        <v>46241</v>
      </c>
      <c r="E694" s="5" t="n">
        <v>11833</v>
      </c>
      <c r="F694" s="3" t="inlineStr">
        <is>
          <t>UPI</t>
        </is>
      </c>
    </row>
    <row r="695">
      <c r="A695" s="3" t="inlineStr">
        <is>
          <t>P00694</t>
        </is>
      </c>
      <c r="B695" s="3" t="inlineStr">
        <is>
          <t>D0780</t>
        </is>
      </c>
      <c r="C695" s="3" t="inlineStr">
        <is>
          <t>A0130</t>
        </is>
      </c>
      <c r="D695" s="4" t="n">
        <v>46268</v>
      </c>
      <c r="E695" s="5" t="n">
        <v>11833</v>
      </c>
      <c r="F695" s="3" t="inlineStr">
        <is>
          <t>Cash</t>
        </is>
      </c>
    </row>
    <row r="696">
      <c r="A696" s="3" t="inlineStr">
        <is>
          <t>P00695</t>
        </is>
      </c>
      <c r="B696" s="3" t="inlineStr">
        <is>
          <t>D0781</t>
        </is>
      </c>
      <c r="C696" s="3" t="inlineStr">
        <is>
          <t>A0131</t>
        </is>
      </c>
      <c r="D696" s="4" t="n">
        <v>46127</v>
      </c>
      <c r="E696" s="5" t="n">
        <v>17833</v>
      </c>
      <c r="F696" s="3" t="inlineStr">
        <is>
          <t>UPI</t>
        </is>
      </c>
    </row>
    <row r="697">
      <c r="A697" s="3" t="inlineStr">
        <is>
          <t>P00696</t>
        </is>
      </c>
      <c r="B697" s="3" t="inlineStr">
        <is>
          <t>D0782</t>
        </is>
      </c>
      <c r="C697" s="3" t="inlineStr">
        <is>
          <t>A0131</t>
        </is>
      </c>
      <c r="D697" s="4" t="n">
        <v>46171</v>
      </c>
      <c r="E697" s="5" t="n">
        <v>17833</v>
      </c>
      <c r="F697" s="3" t="inlineStr">
        <is>
          <t>Cash</t>
        </is>
      </c>
    </row>
    <row r="698">
      <c r="A698" s="3" t="inlineStr">
        <is>
          <t>P00697</t>
        </is>
      </c>
      <c r="B698" s="3" t="inlineStr">
        <is>
          <t>D0783</t>
        </is>
      </c>
      <c r="C698" s="3" t="inlineStr">
        <is>
          <t>A0131</t>
        </is>
      </c>
      <c r="D698" s="4" t="n">
        <v>46192</v>
      </c>
      <c r="E698" s="5" t="n">
        <v>17833</v>
      </c>
      <c r="F698" s="3" t="inlineStr">
        <is>
          <t>NEFT</t>
        </is>
      </c>
    </row>
    <row r="699">
      <c r="A699" s="3" t="inlineStr">
        <is>
          <t>P00698</t>
        </is>
      </c>
      <c r="B699" s="3" t="inlineStr">
        <is>
          <t>D0784</t>
        </is>
      </c>
      <c r="C699" s="3" t="inlineStr">
        <is>
          <t>A0131</t>
        </is>
      </c>
      <c r="D699" s="4" t="n">
        <v>46248</v>
      </c>
      <c r="E699" s="5" t="n">
        <v>17833</v>
      </c>
      <c r="F699" s="3" t="inlineStr">
        <is>
          <t>UPI</t>
        </is>
      </c>
    </row>
    <row r="700">
      <c r="A700" s="3" t="inlineStr">
        <is>
          <t>P00699</t>
        </is>
      </c>
      <c r="B700" s="3" t="inlineStr">
        <is>
          <t>D0785</t>
        </is>
      </c>
      <c r="C700" s="3" t="inlineStr">
        <is>
          <t>A0131</t>
        </is>
      </c>
      <c r="D700" s="4" t="n">
        <v>46278</v>
      </c>
      <c r="E700" s="5" t="n">
        <v>17833</v>
      </c>
      <c r="F700" s="3" t="inlineStr">
        <is>
          <t>UPI</t>
        </is>
      </c>
    </row>
    <row r="701">
      <c r="A701" s="3" t="inlineStr">
        <is>
          <t>P00700</t>
        </is>
      </c>
      <c r="B701" s="3" t="inlineStr">
        <is>
          <t>D0786</t>
        </is>
      </c>
      <c r="C701" s="3" t="inlineStr">
        <is>
          <t>A0131</t>
        </is>
      </c>
      <c r="D701" s="4" t="n">
        <v>46305</v>
      </c>
      <c r="E701" s="5" t="n">
        <v>17833</v>
      </c>
      <c r="F701" s="3" t="inlineStr">
        <is>
          <t>Cash</t>
        </is>
      </c>
    </row>
    <row r="702">
      <c r="A702" s="3" t="inlineStr">
        <is>
          <t>P00701</t>
        </is>
      </c>
      <c r="B702" s="3" t="inlineStr">
        <is>
          <t>D0787</t>
        </is>
      </c>
      <c r="C702" s="3" t="inlineStr">
        <is>
          <t>A0132</t>
        </is>
      </c>
      <c r="D702" s="4" t="n">
        <v>46153</v>
      </c>
      <c r="E702" s="5" t="n">
        <v>12167</v>
      </c>
      <c r="F702" s="3" t="inlineStr">
        <is>
          <t>Cash</t>
        </is>
      </c>
    </row>
    <row r="703">
      <c r="A703" s="3" t="inlineStr">
        <is>
          <t>P00702</t>
        </is>
      </c>
      <c r="B703" s="3" t="inlineStr">
        <is>
          <t>D0788</t>
        </is>
      </c>
      <c r="C703" s="3" t="inlineStr">
        <is>
          <t>A0132</t>
        </is>
      </c>
      <c r="D703" s="4" t="n">
        <v>46178</v>
      </c>
      <c r="E703" s="5" t="n">
        <v>12167</v>
      </c>
      <c r="F703" s="3" t="inlineStr">
        <is>
          <t>UPI</t>
        </is>
      </c>
    </row>
    <row r="704">
      <c r="A704" s="3" t="inlineStr">
        <is>
          <t>P00703</t>
        </is>
      </c>
      <c r="B704" s="3" t="inlineStr">
        <is>
          <t>D0789</t>
        </is>
      </c>
      <c r="C704" s="3" t="inlineStr">
        <is>
          <t>A0132</t>
        </is>
      </c>
      <c r="D704" s="4" t="n">
        <v>46212</v>
      </c>
      <c r="E704" s="5" t="n">
        <v>12167</v>
      </c>
      <c r="F704" s="3" t="inlineStr">
        <is>
          <t>Cash</t>
        </is>
      </c>
    </row>
    <row r="705">
      <c r="A705" s="3" t="inlineStr">
        <is>
          <t>P00704</t>
        </is>
      </c>
      <c r="B705" s="3" t="inlineStr">
        <is>
          <t>D0790</t>
        </is>
      </c>
      <c r="C705" s="3" t="inlineStr">
        <is>
          <t>A0132</t>
        </is>
      </c>
      <c r="D705" s="4" t="n">
        <v>46227</v>
      </c>
      <c r="E705" s="5" t="n">
        <v>12167</v>
      </c>
      <c r="F705" s="3" t="inlineStr">
        <is>
          <t>Cash</t>
        </is>
      </c>
    </row>
    <row r="706">
      <c r="A706" s="3" t="inlineStr">
        <is>
          <t>P00705</t>
        </is>
      </c>
      <c r="B706" s="3" t="inlineStr">
        <is>
          <t>D0791</t>
        </is>
      </c>
      <c r="C706" s="3" t="inlineStr">
        <is>
          <t>A0132</t>
        </is>
      </c>
      <c r="D706" s="4" t="n">
        <v>46257</v>
      </c>
      <c r="E706" s="5" t="n">
        <v>12167</v>
      </c>
      <c r="F706" s="3" t="inlineStr">
        <is>
          <t>Cash</t>
        </is>
      </c>
    </row>
    <row r="707">
      <c r="A707" s="3" t="inlineStr">
        <is>
          <t>P00706</t>
        </is>
      </c>
      <c r="B707" s="3" t="inlineStr">
        <is>
          <t>D0792</t>
        </is>
      </c>
      <c r="C707" s="3" t="inlineStr">
        <is>
          <t>A0132</t>
        </is>
      </c>
      <c r="D707" s="4" t="n">
        <v>46281</v>
      </c>
      <c r="E707" s="5" t="n">
        <v>12167</v>
      </c>
      <c r="F707" s="3" t="inlineStr">
        <is>
          <t>UPI</t>
        </is>
      </c>
    </row>
    <row r="708">
      <c r="A708" s="3" t="inlineStr">
        <is>
          <t>P00707</t>
        </is>
      </c>
      <c r="B708" s="3" t="inlineStr">
        <is>
          <t>D0805</t>
        </is>
      </c>
      <c r="C708" s="3" t="inlineStr">
        <is>
          <t>A0135</t>
        </is>
      </c>
      <c r="D708" s="4" t="n">
        <v>46117</v>
      </c>
      <c r="E708" s="5" t="n">
        <v>14833</v>
      </c>
      <c r="F708" s="3" t="inlineStr">
        <is>
          <t>Cash</t>
        </is>
      </c>
    </row>
    <row r="709">
      <c r="A709" s="3" t="inlineStr">
        <is>
          <t>P00708</t>
        </is>
      </c>
      <c r="B709" s="3" t="inlineStr">
        <is>
          <t>D0806</t>
        </is>
      </c>
      <c r="C709" s="3" t="inlineStr">
        <is>
          <t>A0135</t>
        </is>
      </c>
      <c r="D709" s="4" t="n">
        <v>46148</v>
      </c>
      <c r="E709" s="5" t="n">
        <v>14833</v>
      </c>
      <c r="F709" s="3" t="inlineStr">
        <is>
          <t>Cash</t>
        </is>
      </c>
    </row>
    <row r="710">
      <c r="A710" s="3" t="inlineStr">
        <is>
          <t>P00709</t>
        </is>
      </c>
      <c r="B710" s="3" t="inlineStr">
        <is>
          <t>D0807</t>
        </is>
      </c>
      <c r="C710" s="3" t="inlineStr">
        <is>
          <t>A0135</t>
        </is>
      </c>
      <c r="D710" s="4" t="n">
        <v>46177</v>
      </c>
      <c r="E710" s="5" t="n">
        <v>14833</v>
      </c>
      <c r="F710" s="3" t="inlineStr">
        <is>
          <t>NEFT</t>
        </is>
      </c>
    </row>
    <row r="711">
      <c r="A711" s="3" t="inlineStr">
        <is>
          <t>P00710</t>
        </is>
      </c>
      <c r="B711" s="3" t="inlineStr">
        <is>
          <t>D0808</t>
        </is>
      </c>
      <c r="C711" s="3" t="inlineStr">
        <is>
          <t>A0135</t>
        </is>
      </c>
      <c r="D711" s="4" t="n">
        <v>46206</v>
      </c>
      <c r="E711" s="5" t="n">
        <v>14833</v>
      </c>
      <c r="F711" s="3" t="inlineStr">
        <is>
          <t>Cash</t>
        </is>
      </c>
    </row>
    <row r="712">
      <c r="A712" s="3" t="inlineStr">
        <is>
          <t>P00711</t>
        </is>
      </c>
      <c r="B712" s="3" t="inlineStr">
        <is>
          <t>D0809</t>
        </is>
      </c>
      <c r="C712" s="3" t="inlineStr">
        <is>
          <t>A0135</t>
        </is>
      </c>
      <c r="D712" s="4" t="n">
        <v>46236</v>
      </c>
      <c r="E712" s="5" t="n">
        <v>14833</v>
      </c>
      <c r="F712" s="3" t="inlineStr">
        <is>
          <t>UPI</t>
        </is>
      </c>
    </row>
    <row r="713">
      <c r="A713" s="3" t="inlineStr">
        <is>
          <t>P00712</t>
        </is>
      </c>
      <c r="B713" s="3" t="inlineStr">
        <is>
          <t>D0810</t>
        </is>
      </c>
      <c r="C713" s="3" t="inlineStr">
        <is>
          <t>A0135</t>
        </is>
      </c>
      <c r="D713" s="4" t="n">
        <v>46273</v>
      </c>
      <c r="E713" s="5" t="n">
        <v>14833</v>
      </c>
      <c r="F713" s="3" t="inlineStr">
        <is>
          <t>Cash</t>
        </is>
      </c>
    </row>
    <row r="714">
      <c r="A714" s="3" t="inlineStr">
        <is>
          <t>P00713</t>
        </is>
      </c>
      <c r="B714" s="3" t="inlineStr">
        <is>
          <t>D0811</t>
        </is>
      </c>
      <c r="C714" s="3" t="inlineStr">
        <is>
          <t>A0136</t>
        </is>
      </c>
      <c r="D714" s="4" t="n">
        <v>46114</v>
      </c>
      <c r="E714" s="5" t="n">
        <v>4167</v>
      </c>
      <c r="F714" s="3" t="inlineStr">
        <is>
          <t>NEFT</t>
        </is>
      </c>
    </row>
    <row r="715">
      <c r="A715" s="3" t="inlineStr">
        <is>
          <t>P00714</t>
        </is>
      </c>
      <c r="B715" s="3" t="inlineStr">
        <is>
          <t>D0812</t>
        </is>
      </c>
      <c r="C715" s="3" t="inlineStr">
        <is>
          <t>A0136</t>
        </is>
      </c>
      <c r="D715" s="4" t="n">
        <v>46146</v>
      </c>
      <c r="E715" s="5" t="n">
        <v>4167</v>
      </c>
      <c r="F715" s="3" t="inlineStr">
        <is>
          <t>Cash</t>
        </is>
      </c>
    </row>
    <row r="716">
      <c r="A716" s="3" t="inlineStr">
        <is>
          <t>P00715</t>
        </is>
      </c>
      <c r="B716" s="3" t="inlineStr">
        <is>
          <t>D0813</t>
        </is>
      </c>
      <c r="C716" s="3" t="inlineStr">
        <is>
          <t>A0136</t>
        </is>
      </c>
      <c r="D716" s="4" t="n">
        <v>46175</v>
      </c>
      <c r="E716" s="5" t="n">
        <v>4167</v>
      </c>
      <c r="F716" s="3" t="inlineStr">
        <is>
          <t>NEFT</t>
        </is>
      </c>
    </row>
    <row r="717">
      <c r="A717" s="3" t="inlineStr">
        <is>
          <t>P00716</t>
        </is>
      </c>
      <c r="B717" s="3" t="inlineStr">
        <is>
          <t>D0814</t>
        </is>
      </c>
      <c r="C717" s="3" t="inlineStr">
        <is>
          <t>A0136</t>
        </is>
      </c>
      <c r="D717" s="4" t="n">
        <v>46210</v>
      </c>
      <c r="E717" s="5" t="n">
        <v>4167</v>
      </c>
      <c r="F717" s="3" t="inlineStr">
        <is>
          <t>UPI</t>
        </is>
      </c>
    </row>
    <row r="718">
      <c r="A718" s="3" t="inlineStr">
        <is>
          <t>P00717</t>
        </is>
      </c>
      <c r="B718" s="3" t="inlineStr">
        <is>
          <t>D0815</t>
        </is>
      </c>
      <c r="C718" s="3" t="inlineStr">
        <is>
          <t>A0136</t>
        </is>
      </c>
      <c r="D718" s="4" t="n">
        <v>46240</v>
      </c>
      <c r="E718" s="5" t="n">
        <v>4167</v>
      </c>
      <c r="F718" s="3" t="inlineStr">
        <is>
          <t>Cash</t>
        </is>
      </c>
    </row>
    <row r="719">
      <c r="A719" s="3" t="inlineStr">
        <is>
          <t>P00718</t>
        </is>
      </c>
      <c r="B719" s="3" t="inlineStr">
        <is>
          <t>D0816</t>
        </is>
      </c>
      <c r="C719" s="3" t="inlineStr">
        <is>
          <t>A0136</t>
        </is>
      </c>
      <c r="D719" s="4" t="n">
        <v>46267</v>
      </c>
      <c r="E719" s="5" t="n">
        <v>4167</v>
      </c>
      <c r="F719" s="3" t="inlineStr">
        <is>
          <t>UPI</t>
        </is>
      </c>
    </row>
    <row r="720">
      <c r="A720" s="3" t="inlineStr">
        <is>
          <t>P00719</t>
        </is>
      </c>
      <c r="B720" s="3" t="inlineStr">
        <is>
          <t>D0817</t>
        </is>
      </c>
      <c r="C720" s="3" t="inlineStr">
        <is>
          <t>A0137</t>
        </is>
      </c>
      <c r="D720" s="4" t="n">
        <v>46117</v>
      </c>
      <c r="E720" s="5" t="n">
        <v>32167</v>
      </c>
      <c r="F720" s="3" t="inlineStr">
        <is>
          <t>Cash</t>
        </is>
      </c>
    </row>
    <row r="721">
      <c r="A721" s="3" t="inlineStr">
        <is>
          <t>P00720</t>
        </is>
      </c>
      <c r="B721" s="3" t="inlineStr">
        <is>
          <t>D0818</t>
        </is>
      </c>
      <c r="C721" s="3" t="inlineStr">
        <is>
          <t>A0137</t>
        </is>
      </c>
      <c r="D721" s="4" t="n">
        <v>46147</v>
      </c>
      <c r="E721" s="5" t="n">
        <v>32167</v>
      </c>
      <c r="F721" s="3" t="inlineStr">
        <is>
          <t>Cash</t>
        </is>
      </c>
    </row>
    <row r="722">
      <c r="A722" s="3" t="inlineStr">
        <is>
          <t>P00721</t>
        </is>
      </c>
      <c r="B722" s="3" t="inlineStr">
        <is>
          <t>D0819</t>
        </is>
      </c>
      <c r="C722" s="3" t="inlineStr">
        <is>
          <t>A0137</t>
        </is>
      </c>
      <c r="D722" s="4" t="n">
        <v>46179</v>
      </c>
      <c r="E722" s="5" t="n">
        <v>32167</v>
      </c>
      <c r="F722" s="3" t="inlineStr">
        <is>
          <t>NEFT</t>
        </is>
      </c>
    </row>
    <row r="723">
      <c r="A723" s="3" t="inlineStr">
        <is>
          <t>P00722</t>
        </is>
      </c>
      <c r="B723" s="3" t="inlineStr">
        <is>
          <t>D0820</t>
        </is>
      </c>
      <c r="C723" s="3" t="inlineStr">
        <is>
          <t>A0137</t>
        </is>
      </c>
      <c r="D723" s="4" t="n">
        <v>46206</v>
      </c>
      <c r="E723" s="5" t="n">
        <v>32167</v>
      </c>
      <c r="F723" s="3" t="inlineStr">
        <is>
          <t>NEFT</t>
        </is>
      </c>
    </row>
    <row r="724">
      <c r="A724" s="3" t="inlineStr">
        <is>
          <t>P00723</t>
        </is>
      </c>
      <c r="B724" s="3" t="inlineStr">
        <is>
          <t>D0821</t>
        </is>
      </c>
      <c r="C724" s="3" t="inlineStr">
        <is>
          <t>A0137</t>
        </is>
      </c>
      <c r="D724" s="4" t="n">
        <v>46240</v>
      </c>
      <c r="E724" s="5" t="n">
        <v>32167</v>
      </c>
      <c r="F724" s="3" t="inlineStr">
        <is>
          <t>UPI</t>
        </is>
      </c>
    </row>
    <row r="725">
      <c r="A725" s="3" t="inlineStr">
        <is>
          <t>P00724</t>
        </is>
      </c>
      <c r="B725" s="3" t="inlineStr">
        <is>
          <t>D0822</t>
        </is>
      </c>
      <c r="C725" s="3" t="inlineStr">
        <is>
          <t>A0137</t>
        </is>
      </c>
      <c r="D725" s="4" t="n">
        <v>46269</v>
      </c>
      <c r="E725" s="5" t="n">
        <v>32167</v>
      </c>
      <c r="F725" s="3" t="inlineStr">
        <is>
          <t>UPI</t>
        </is>
      </c>
    </row>
    <row r="726">
      <c r="A726" s="3" t="inlineStr">
        <is>
          <t>P00725</t>
        </is>
      </c>
      <c r="B726" s="3" t="inlineStr">
        <is>
          <t>D0835</t>
        </is>
      </c>
      <c r="C726" s="3" t="inlineStr">
        <is>
          <t>A0140</t>
        </is>
      </c>
      <c r="D726" s="4" t="n">
        <v>46114</v>
      </c>
      <c r="E726" s="5" t="n">
        <v>32167</v>
      </c>
      <c r="F726" s="3" t="inlineStr">
        <is>
          <t>UPI</t>
        </is>
      </c>
    </row>
    <row r="727">
      <c r="A727" s="3" t="inlineStr">
        <is>
          <t>P00726</t>
        </is>
      </c>
      <c r="B727" s="3" t="inlineStr">
        <is>
          <t>D0836</t>
        </is>
      </c>
      <c r="C727" s="3" t="inlineStr">
        <is>
          <t>A0140</t>
        </is>
      </c>
      <c r="D727" s="4" t="n">
        <v>46146</v>
      </c>
      <c r="E727" s="5" t="n">
        <v>32167</v>
      </c>
      <c r="F727" s="3" t="inlineStr">
        <is>
          <t>NEFT</t>
        </is>
      </c>
    </row>
    <row r="728">
      <c r="A728" s="3" t="inlineStr">
        <is>
          <t>P00727</t>
        </is>
      </c>
      <c r="B728" s="3" t="inlineStr">
        <is>
          <t>D0837</t>
        </is>
      </c>
      <c r="C728" s="3" t="inlineStr">
        <is>
          <t>A0140</t>
        </is>
      </c>
      <c r="D728" s="4" t="n">
        <v>46179</v>
      </c>
      <c r="E728" s="5" t="n">
        <v>32167</v>
      </c>
      <c r="F728" s="3" t="inlineStr">
        <is>
          <t>UPI</t>
        </is>
      </c>
    </row>
    <row r="729">
      <c r="A729" s="3" t="inlineStr">
        <is>
          <t>P00728</t>
        </is>
      </c>
      <c r="B729" s="3" t="inlineStr">
        <is>
          <t>D0838</t>
        </is>
      </c>
      <c r="C729" s="3" t="inlineStr">
        <is>
          <t>A0140</t>
        </is>
      </c>
      <c r="D729" s="4" t="n">
        <v>46210</v>
      </c>
      <c r="E729" s="5" t="n">
        <v>32167</v>
      </c>
      <c r="F729" s="3" t="inlineStr">
        <is>
          <t>Cash</t>
        </is>
      </c>
    </row>
    <row r="730">
      <c r="A730" s="3" t="inlineStr">
        <is>
          <t>P00729</t>
        </is>
      </c>
      <c r="B730" s="3" t="inlineStr">
        <is>
          <t>D0839</t>
        </is>
      </c>
      <c r="C730" s="3" t="inlineStr">
        <is>
          <t>A0140</t>
        </is>
      </c>
      <c r="D730" s="4" t="n">
        <v>46239</v>
      </c>
      <c r="E730" s="5" t="n">
        <v>32167</v>
      </c>
      <c r="F730" s="3" t="inlineStr">
        <is>
          <t>Cash</t>
        </is>
      </c>
    </row>
    <row r="731">
      <c r="A731" s="3" t="inlineStr">
        <is>
          <t>P00730</t>
        </is>
      </c>
      <c r="B731" s="3" t="inlineStr">
        <is>
          <t>D0840</t>
        </is>
      </c>
      <c r="C731" s="3" t="inlineStr">
        <is>
          <t>A0140</t>
        </is>
      </c>
      <c r="D731" s="4" t="n">
        <v>46267</v>
      </c>
      <c r="E731" s="5" t="n">
        <v>32167</v>
      </c>
      <c r="F731" s="3" t="inlineStr">
        <is>
          <t>Cash</t>
        </is>
      </c>
    </row>
    <row r="732">
      <c r="A732" s="3" t="inlineStr">
        <is>
          <t>P00731</t>
        </is>
      </c>
      <c r="B732" s="3" t="inlineStr">
        <is>
          <t>D0841</t>
        </is>
      </c>
      <c r="C732" s="3" t="inlineStr">
        <is>
          <t>A0141</t>
        </is>
      </c>
      <c r="D732" s="4" t="n">
        <v>46127</v>
      </c>
      <c r="E732" s="5" t="n">
        <v>5219</v>
      </c>
      <c r="F732" s="3" t="inlineStr">
        <is>
          <t>Cash</t>
        </is>
      </c>
    </row>
    <row r="733">
      <c r="A733" s="3" t="inlineStr">
        <is>
          <t>P00732</t>
        </is>
      </c>
      <c r="B733" s="3" t="inlineStr">
        <is>
          <t>D0841</t>
        </is>
      </c>
      <c r="C733" s="3" t="inlineStr">
        <is>
          <t>A0141</t>
        </is>
      </c>
      <c r="D733" s="4" t="n">
        <v>46170</v>
      </c>
      <c r="E733" s="5" t="n">
        <v>6781</v>
      </c>
      <c r="F733" s="3" t="inlineStr">
        <is>
          <t>Cash</t>
        </is>
      </c>
    </row>
    <row r="734">
      <c r="A734" s="3" t="inlineStr">
        <is>
          <t>P00733</t>
        </is>
      </c>
      <c r="B734" s="3" t="inlineStr">
        <is>
          <t>D0842</t>
        </is>
      </c>
      <c r="C734" s="3" t="inlineStr">
        <is>
          <t>A0141</t>
        </is>
      </c>
      <c r="D734" s="4" t="n">
        <v>46157</v>
      </c>
      <c r="E734" s="5" t="n">
        <v>7035</v>
      </c>
      <c r="F734" s="3" t="inlineStr">
        <is>
          <t>Cash</t>
        </is>
      </c>
    </row>
    <row r="735">
      <c r="A735" s="3" t="inlineStr">
        <is>
          <t>P00734</t>
        </is>
      </c>
      <c r="B735" s="3" t="inlineStr">
        <is>
          <t>D0842</t>
        </is>
      </c>
      <c r="C735" s="3" t="inlineStr">
        <is>
          <t>A0141</t>
        </is>
      </c>
      <c r="D735" s="4" t="n">
        <v>46184</v>
      </c>
      <c r="E735" s="5" t="n">
        <v>4965</v>
      </c>
      <c r="F735" s="3" t="inlineStr">
        <is>
          <t>Cash</t>
        </is>
      </c>
    </row>
    <row r="736">
      <c r="A736" s="3" t="inlineStr">
        <is>
          <t>P00735</t>
        </is>
      </c>
      <c r="B736" s="3" t="inlineStr">
        <is>
          <t>D0843</t>
        </is>
      </c>
      <c r="C736" s="3" t="inlineStr">
        <is>
          <t>A0141</t>
        </is>
      </c>
      <c r="D736" s="4" t="n">
        <v>46226</v>
      </c>
      <c r="E736" s="5" t="n">
        <v>12000</v>
      </c>
      <c r="F736" s="3" t="inlineStr">
        <is>
          <t>UPI</t>
        </is>
      </c>
    </row>
    <row r="737">
      <c r="A737" s="3" t="inlineStr">
        <is>
          <t>P00736</t>
        </is>
      </c>
      <c r="B737" s="3" t="inlineStr">
        <is>
          <t>D0844</t>
        </is>
      </c>
      <c r="C737" s="3" t="inlineStr">
        <is>
          <t>A0141</t>
        </is>
      </c>
      <c r="D737" s="4" t="n">
        <v>46209</v>
      </c>
      <c r="E737" s="5" t="n">
        <v>12000</v>
      </c>
      <c r="F737" s="3" t="inlineStr">
        <is>
          <t>NEFT</t>
        </is>
      </c>
    </row>
    <row r="738">
      <c r="A738" s="3" t="inlineStr">
        <is>
          <t>P00737</t>
        </is>
      </c>
      <c r="B738" s="3" t="inlineStr">
        <is>
          <t>D0845</t>
        </is>
      </c>
      <c r="C738" s="3" t="inlineStr">
        <is>
          <t>A0141</t>
        </is>
      </c>
      <c r="D738" s="4" t="n">
        <v>46282</v>
      </c>
      <c r="E738" s="5" t="n">
        <v>12000</v>
      </c>
      <c r="F738" s="3" t="inlineStr">
        <is>
          <t>Cash</t>
        </is>
      </c>
    </row>
    <row r="739">
      <c r="A739" s="3" t="inlineStr">
        <is>
          <t>P00738</t>
        </is>
      </c>
      <c r="B739" s="3" t="inlineStr">
        <is>
          <t>D0846</t>
        </is>
      </c>
      <c r="C739" s="3" t="inlineStr">
        <is>
          <t>A0141</t>
        </is>
      </c>
      <c r="D739" s="4" t="n">
        <v>46315</v>
      </c>
      <c r="E739" s="5" t="n">
        <v>12000</v>
      </c>
      <c r="F739" s="3" t="inlineStr">
        <is>
          <t>UPI</t>
        </is>
      </c>
    </row>
    <row r="740">
      <c r="A740" s="3" t="inlineStr">
        <is>
          <t>P00739</t>
        </is>
      </c>
      <c r="B740" s="3" t="inlineStr">
        <is>
          <t>D0847</t>
        </is>
      </c>
      <c r="C740" s="3" t="inlineStr">
        <is>
          <t>A0142</t>
        </is>
      </c>
      <c r="D740" s="4" t="n">
        <v>46122</v>
      </c>
      <c r="E740" s="5" t="n">
        <v>17333</v>
      </c>
      <c r="F740" s="3" t="inlineStr">
        <is>
          <t>Cash</t>
        </is>
      </c>
    </row>
    <row r="741">
      <c r="A741" s="3" t="inlineStr">
        <is>
          <t>P00740</t>
        </is>
      </c>
      <c r="B741" s="3" t="inlineStr">
        <is>
          <t>D0848</t>
        </is>
      </c>
      <c r="C741" s="3" t="inlineStr">
        <is>
          <t>A0142</t>
        </is>
      </c>
      <c r="D741" s="4" t="n">
        <v>46190</v>
      </c>
      <c r="E741" s="5" t="n">
        <v>17333</v>
      </c>
      <c r="F741" s="3" t="inlineStr">
        <is>
          <t>Cash</t>
        </is>
      </c>
    </row>
    <row r="742">
      <c r="A742" s="3" t="inlineStr">
        <is>
          <t>P00741</t>
        </is>
      </c>
      <c r="B742" s="3" t="inlineStr">
        <is>
          <t>D0849</t>
        </is>
      </c>
      <c r="C742" s="3" t="inlineStr">
        <is>
          <t>A0142</t>
        </is>
      </c>
      <c r="D742" s="4" t="n">
        <v>46184</v>
      </c>
      <c r="E742" s="5" t="n">
        <v>17333</v>
      </c>
      <c r="F742" s="3" t="inlineStr">
        <is>
          <t>UPI</t>
        </is>
      </c>
    </row>
    <row r="743">
      <c r="A743" s="3" t="inlineStr">
        <is>
          <t>P00742</t>
        </is>
      </c>
      <c r="B743" s="3" t="inlineStr">
        <is>
          <t>D0850</t>
        </is>
      </c>
      <c r="C743" s="3" t="inlineStr">
        <is>
          <t>A0142</t>
        </is>
      </c>
      <c r="D743" s="4" t="n">
        <v>46217</v>
      </c>
      <c r="E743" s="5" t="n">
        <v>10788</v>
      </c>
      <c r="F743" s="3" t="inlineStr">
        <is>
          <t>UPI</t>
        </is>
      </c>
    </row>
    <row r="744">
      <c r="A744" s="3" t="inlineStr">
        <is>
          <t>P00743</t>
        </is>
      </c>
      <c r="B744" s="3" t="inlineStr">
        <is>
          <t>D0850</t>
        </is>
      </c>
      <c r="C744" s="3" t="inlineStr">
        <is>
          <t>A0142</t>
        </is>
      </c>
      <c r="D744" s="4" t="n">
        <v>46238</v>
      </c>
      <c r="E744" s="5" t="n">
        <v>6545</v>
      </c>
      <c r="F744" s="3" t="inlineStr">
        <is>
          <t>UPI</t>
        </is>
      </c>
    </row>
    <row r="745">
      <c r="A745" s="3" t="inlineStr">
        <is>
          <t>P00744</t>
        </is>
      </c>
      <c r="B745" s="3" t="inlineStr">
        <is>
          <t>D0851</t>
        </is>
      </c>
      <c r="C745" s="3" t="inlineStr">
        <is>
          <t>A0142</t>
        </is>
      </c>
      <c r="D745" s="4" t="n">
        <v>46300</v>
      </c>
      <c r="E745" s="5" t="n">
        <v>17333</v>
      </c>
      <c r="F745" s="3" t="inlineStr">
        <is>
          <t>UPI</t>
        </is>
      </c>
    </row>
    <row r="746">
      <c r="A746" s="3" t="inlineStr">
        <is>
          <t>P00745</t>
        </is>
      </c>
      <c r="B746" s="3" t="inlineStr">
        <is>
          <t>D0853</t>
        </is>
      </c>
      <c r="C746" s="3" t="inlineStr">
        <is>
          <t>A0143</t>
        </is>
      </c>
      <c r="D746" s="4" t="n">
        <v>46115</v>
      </c>
      <c r="E746" s="5" t="n">
        <v>11000</v>
      </c>
      <c r="F746" s="3" t="inlineStr">
        <is>
          <t>NEFT</t>
        </is>
      </c>
    </row>
    <row r="747">
      <c r="A747" s="3" t="inlineStr">
        <is>
          <t>P00746</t>
        </is>
      </c>
      <c r="B747" s="3" t="inlineStr">
        <is>
          <t>D0854</t>
        </is>
      </c>
      <c r="C747" s="3" t="inlineStr">
        <is>
          <t>A0143</t>
        </is>
      </c>
      <c r="D747" s="4" t="n">
        <v>46150</v>
      </c>
      <c r="E747" s="5" t="n">
        <v>11000</v>
      </c>
      <c r="F747" s="3" t="inlineStr">
        <is>
          <t>Cash</t>
        </is>
      </c>
    </row>
    <row r="748">
      <c r="A748" s="3" t="inlineStr">
        <is>
          <t>P00747</t>
        </is>
      </c>
      <c r="B748" s="3" t="inlineStr">
        <is>
          <t>D0855</t>
        </is>
      </c>
      <c r="C748" s="3" t="inlineStr">
        <is>
          <t>A0143</t>
        </is>
      </c>
      <c r="D748" s="4" t="n">
        <v>46175</v>
      </c>
      <c r="E748" s="5" t="n">
        <v>11000</v>
      </c>
      <c r="F748" s="3" t="inlineStr">
        <is>
          <t>UPI</t>
        </is>
      </c>
    </row>
    <row r="749">
      <c r="A749" s="3" t="inlineStr">
        <is>
          <t>P00748</t>
        </is>
      </c>
      <c r="B749" s="3" t="inlineStr">
        <is>
          <t>D0856</t>
        </is>
      </c>
      <c r="C749" s="3" t="inlineStr">
        <is>
          <t>A0143</t>
        </is>
      </c>
      <c r="D749" s="4" t="n">
        <v>46206</v>
      </c>
      <c r="E749" s="5" t="n">
        <v>11000</v>
      </c>
      <c r="F749" s="3" t="inlineStr">
        <is>
          <t>NEFT</t>
        </is>
      </c>
    </row>
    <row r="750">
      <c r="A750" s="3" t="inlineStr">
        <is>
          <t>P00749</t>
        </is>
      </c>
      <c r="B750" s="3" t="inlineStr">
        <is>
          <t>D0857</t>
        </is>
      </c>
      <c r="C750" s="3" t="inlineStr">
        <is>
          <t>A0143</t>
        </is>
      </c>
      <c r="D750" s="4" t="n">
        <v>46239</v>
      </c>
      <c r="E750" s="5" t="n">
        <v>11000</v>
      </c>
      <c r="F750" s="3" t="inlineStr">
        <is>
          <t>NEFT</t>
        </is>
      </c>
    </row>
    <row r="751">
      <c r="A751" s="3" t="inlineStr">
        <is>
          <t>P00750</t>
        </is>
      </c>
      <c r="B751" s="3" t="inlineStr">
        <is>
          <t>D0858</t>
        </is>
      </c>
      <c r="C751" s="3" t="inlineStr">
        <is>
          <t>A0143</t>
        </is>
      </c>
      <c r="D751" s="4" t="n">
        <v>46271</v>
      </c>
      <c r="E751" s="5" t="n">
        <v>11000</v>
      </c>
      <c r="F751" s="3" t="inlineStr">
        <is>
          <t>Cash</t>
        </is>
      </c>
    </row>
    <row r="752">
      <c r="A752" s="3" t="inlineStr">
        <is>
          <t>P00751</t>
        </is>
      </c>
      <c r="B752" s="3" t="inlineStr">
        <is>
          <t>D0859</t>
        </is>
      </c>
      <c r="C752" s="3" t="inlineStr">
        <is>
          <t>A0144</t>
        </is>
      </c>
      <c r="D752" s="4" t="n">
        <v>46115</v>
      </c>
      <c r="E752" s="5" t="n">
        <v>23333</v>
      </c>
      <c r="F752" s="3" t="inlineStr">
        <is>
          <t>UPI</t>
        </is>
      </c>
    </row>
    <row r="753">
      <c r="A753" s="3" t="inlineStr">
        <is>
          <t>P00752</t>
        </is>
      </c>
      <c r="B753" s="3" t="inlineStr">
        <is>
          <t>D0860</t>
        </is>
      </c>
      <c r="C753" s="3" t="inlineStr">
        <is>
          <t>A0144</t>
        </is>
      </c>
      <c r="D753" s="4" t="n">
        <v>46145</v>
      </c>
      <c r="E753" s="5" t="n">
        <v>23333</v>
      </c>
      <c r="F753" s="3" t="inlineStr">
        <is>
          <t>UPI</t>
        </is>
      </c>
    </row>
    <row r="754">
      <c r="A754" s="3" t="inlineStr">
        <is>
          <t>P00753</t>
        </is>
      </c>
      <c r="B754" s="3" t="inlineStr">
        <is>
          <t>D0861</t>
        </is>
      </c>
      <c r="C754" s="3" t="inlineStr">
        <is>
          <t>A0144</t>
        </is>
      </c>
      <c r="D754" s="4" t="n">
        <v>46178</v>
      </c>
      <c r="E754" s="5" t="n">
        <v>23333</v>
      </c>
      <c r="F754" s="3" t="inlineStr">
        <is>
          <t>Cash</t>
        </is>
      </c>
    </row>
    <row r="755">
      <c r="A755" s="3" t="inlineStr">
        <is>
          <t>P00754</t>
        </is>
      </c>
      <c r="B755" s="3" t="inlineStr">
        <is>
          <t>D0862</t>
        </is>
      </c>
      <c r="C755" s="3" t="inlineStr">
        <is>
          <t>A0144</t>
        </is>
      </c>
      <c r="D755" s="4" t="n">
        <v>46209</v>
      </c>
      <c r="E755" s="5" t="n">
        <v>23333</v>
      </c>
      <c r="F755" s="3" t="inlineStr">
        <is>
          <t>NEFT</t>
        </is>
      </c>
    </row>
    <row r="756">
      <c r="A756" s="3" t="inlineStr">
        <is>
          <t>P00755</t>
        </is>
      </c>
      <c r="B756" s="3" t="inlineStr">
        <is>
          <t>D0863</t>
        </is>
      </c>
      <c r="C756" s="3" t="inlineStr">
        <is>
          <t>A0144</t>
        </is>
      </c>
      <c r="D756" s="4" t="n">
        <v>46239</v>
      </c>
      <c r="E756" s="5" t="n">
        <v>23333</v>
      </c>
      <c r="F756" s="3" t="inlineStr">
        <is>
          <t>UPI</t>
        </is>
      </c>
    </row>
    <row r="757">
      <c r="A757" s="3" t="inlineStr">
        <is>
          <t>P00756</t>
        </is>
      </c>
      <c r="B757" s="3" t="inlineStr">
        <is>
          <t>D0864</t>
        </is>
      </c>
      <c r="C757" s="3" t="inlineStr">
        <is>
          <t>A0144</t>
        </is>
      </c>
      <c r="D757" s="4" t="n">
        <v>46270</v>
      </c>
      <c r="E757" s="5" t="n">
        <v>23333</v>
      </c>
      <c r="F757" s="3" t="inlineStr">
        <is>
          <t>Cash</t>
        </is>
      </c>
    </row>
    <row r="758">
      <c r="A758" s="3" t="inlineStr">
        <is>
          <t>P00757</t>
        </is>
      </c>
      <c r="B758" s="3" t="inlineStr">
        <is>
          <t>D0865</t>
        </is>
      </c>
      <c r="C758" s="3" t="inlineStr">
        <is>
          <t>A0145</t>
        </is>
      </c>
      <c r="D758" s="4" t="n">
        <v>46119</v>
      </c>
      <c r="E758" s="5" t="n">
        <v>17833</v>
      </c>
      <c r="F758" s="3" t="inlineStr">
        <is>
          <t>Cash</t>
        </is>
      </c>
    </row>
    <row r="759">
      <c r="A759" s="3" t="inlineStr">
        <is>
          <t>P00758</t>
        </is>
      </c>
      <c r="B759" s="3" t="inlineStr">
        <is>
          <t>D0866</t>
        </is>
      </c>
      <c r="C759" s="3" t="inlineStr">
        <is>
          <t>A0145</t>
        </is>
      </c>
      <c r="D759" s="4" t="n">
        <v>46144</v>
      </c>
      <c r="E759" s="5" t="n">
        <v>17833</v>
      </c>
      <c r="F759" s="3" t="inlineStr">
        <is>
          <t>UPI</t>
        </is>
      </c>
    </row>
    <row r="760">
      <c r="A760" s="3" t="inlineStr">
        <is>
          <t>P00759</t>
        </is>
      </c>
      <c r="B760" s="3" t="inlineStr">
        <is>
          <t>D0867</t>
        </is>
      </c>
      <c r="C760" s="3" t="inlineStr">
        <is>
          <t>A0145</t>
        </is>
      </c>
      <c r="D760" s="4" t="n">
        <v>46179</v>
      </c>
      <c r="E760" s="5" t="n">
        <v>17833</v>
      </c>
      <c r="F760" s="3" t="inlineStr">
        <is>
          <t>Cash</t>
        </is>
      </c>
    </row>
    <row r="761">
      <c r="A761" s="3" t="inlineStr">
        <is>
          <t>P00760</t>
        </is>
      </c>
      <c r="B761" s="3" t="inlineStr">
        <is>
          <t>D0868</t>
        </is>
      </c>
      <c r="C761" s="3" t="inlineStr">
        <is>
          <t>A0145</t>
        </is>
      </c>
      <c r="D761" s="4" t="n">
        <v>46210</v>
      </c>
      <c r="E761" s="5" t="n">
        <v>17833</v>
      </c>
      <c r="F761" s="3" t="inlineStr">
        <is>
          <t>UPI</t>
        </is>
      </c>
    </row>
    <row r="762">
      <c r="A762" s="3" t="inlineStr">
        <is>
          <t>P00761</t>
        </is>
      </c>
      <c r="B762" s="3" t="inlineStr">
        <is>
          <t>D0869</t>
        </is>
      </c>
      <c r="C762" s="3" t="inlineStr">
        <is>
          <t>A0145</t>
        </is>
      </c>
      <c r="D762" s="4" t="n">
        <v>46238</v>
      </c>
      <c r="E762" s="5" t="n">
        <v>17833</v>
      </c>
      <c r="F762" s="3" t="inlineStr">
        <is>
          <t>NEFT</t>
        </is>
      </c>
    </row>
    <row r="763">
      <c r="A763" s="3" t="inlineStr">
        <is>
          <t>P00762</t>
        </is>
      </c>
      <c r="B763" s="3" t="inlineStr">
        <is>
          <t>D0870</t>
        </is>
      </c>
      <c r="C763" s="3" t="inlineStr">
        <is>
          <t>A0145</t>
        </is>
      </c>
      <c r="D763" s="4" t="n">
        <v>46267</v>
      </c>
      <c r="E763" s="5" t="n">
        <v>17833</v>
      </c>
      <c r="F763" s="3" t="inlineStr">
        <is>
          <t>UPI</t>
        </is>
      </c>
    </row>
    <row r="764">
      <c r="A764" s="3" t="inlineStr">
        <is>
          <t>P00763</t>
        </is>
      </c>
      <c r="B764" s="3" t="inlineStr">
        <is>
          <t>D0871</t>
        </is>
      </c>
      <c r="C764" s="3" t="inlineStr">
        <is>
          <t>A0146</t>
        </is>
      </c>
      <c r="D764" s="4" t="n">
        <v>46118</v>
      </c>
      <c r="E764" s="5" t="n">
        <v>21333</v>
      </c>
      <c r="F764" s="3" t="inlineStr">
        <is>
          <t>Cash</t>
        </is>
      </c>
    </row>
    <row r="765">
      <c r="A765" s="3" t="inlineStr">
        <is>
          <t>P00764</t>
        </is>
      </c>
      <c r="B765" s="3" t="inlineStr">
        <is>
          <t>D0872</t>
        </is>
      </c>
      <c r="C765" s="3" t="inlineStr">
        <is>
          <t>A0146</t>
        </is>
      </c>
      <c r="D765" s="4" t="n">
        <v>46146</v>
      </c>
      <c r="E765" s="5" t="n">
        <v>21333</v>
      </c>
      <c r="F765" s="3" t="inlineStr">
        <is>
          <t>UPI</t>
        </is>
      </c>
    </row>
    <row r="766">
      <c r="A766" s="3" t="inlineStr">
        <is>
          <t>P00765</t>
        </is>
      </c>
      <c r="B766" s="3" t="inlineStr">
        <is>
          <t>D0873</t>
        </is>
      </c>
      <c r="C766" s="3" t="inlineStr">
        <is>
          <t>A0146</t>
        </is>
      </c>
      <c r="D766" s="4" t="n">
        <v>46180</v>
      </c>
      <c r="E766" s="5" t="n">
        <v>21333</v>
      </c>
      <c r="F766" s="3" t="inlineStr">
        <is>
          <t>UPI</t>
        </is>
      </c>
    </row>
    <row r="767">
      <c r="A767" s="3" t="inlineStr">
        <is>
          <t>P00766</t>
        </is>
      </c>
      <c r="B767" s="3" t="inlineStr">
        <is>
          <t>D0874</t>
        </is>
      </c>
      <c r="C767" s="3" t="inlineStr">
        <is>
          <t>A0146</t>
        </is>
      </c>
      <c r="D767" s="4" t="n">
        <v>46206</v>
      </c>
      <c r="E767" s="5" t="n">
        <v>21333</v>
      </c>
      <c r="F767" s="3" t="inlineStr">
        <is>
          <t>Cash</t>
        </is>
      </c>
    </row>
    <row r="768">
      <c r="A768" s="3" t="inlineStr">
        <is>
          <t>P00767</t>
        </is>
      </c>
      <c r="B768" s="3" t="inlineStr">
        <is>
          <t>D0875</t>
        </is>
      </c>
      <c r="C768" s="3" t="inlineStr">
        <is>
          <t>A0146</t>
        </is>
      </c>
      <c r="D768" s="4" t="n">
        <v>46236</v>
      </c>
      <c r="E768" s="5" t="n">
        <v>21333</v>
      </c>
      <c r="F768" s="3" t="inlineStr">
        <is>
          <t>NEFT</t>
        </is>
      </c>
    </row>
    <row r="769">
      <c r="A769" s="3" t="inlineStr">
        <is>
          <t>P00768</t>
        </is>
      </c>
      <c r="B769" s="3" t="inlineStr">
        <is>
          <t>D0876</t>
        </is>
      </c>
      <c r="C769" s="3" t="inlineStr">
        <is>
          <t>A0146</t>
        </is>
      </c>
      <c r="D769" s="4" t="n">
        <v>46267</v>
      </c>
      <c r="E769" s="5" t="n">
        <v>21333</v>
      </c>
      <c r="F769" s="3" t="inlineStr">
        <is>
          <t>NEFT</t>
        </is>
      </c>
    </row>
    <row r="770">
      <c r="A770" s="3" t="inlineStr">
        <is>
          <t>P00769</t>
        </is>
      </c>
      <c r="B770" s="3" t="inlineStr">
        <is>
          <t>D0877</t>
        </is>
      </c>
      <c r="C770" s="3" t="inlineStr">
        <is>
          <t>A0147</t>
        </is>
      </c>
      <c r="D770" s="4" t="n">
        <v>46114</v>
      </c>
      <c r="E770" s="5" t="n">
        <v>11833</v>
      </c>
      <c r="F770" s="3" t="inlineStr">
        <is>
          <t>UPI</t>
        </is>
      </c>
    </row>
    <row r="771">
      <c r="A771" s="3" t="inlineStr">
        <is>
          <t>P00770</t>
        </is>
      </c>
      <c r="B771" s="3" t="inlineStr">
        <is>
          <t>D0878</t>
        </is>
      </c>
      <c r="C771" s="3" t="inlineStr">
        <is>
          <t>A0147</t>
        </is>
      </c>
      <c r="D771" s="4" t="n">
        <v>46148</v>
      </c>
      <c r="E771" s="5" t="n">
        <v>11833</v>
      </c>
      <c r="F771" s="3" t="inlineStr">
        <is>
          <t>UPI</t>
        </is>
      </c>
    </row>
    <row r="772">
      <c r="A772" s="3" t="inlineStr">
        <is>
          <t>P00771</t>
        </is>
      </c>
      <c r="B772" s="3" t="inlineStr">
        <is>
          <t>D0879</t>
        </is>
      </c>
      <c r="C772" s="3" t="inlineStr">
        <is>
          <t>A0147</t>
        </is>
      </c>
      <c r="D772" s="4" t="n">
        <v>46181</v>
      </c>
      <c r="E772" s="5" t="n">
        <v>11833</v>
      </c>
      <c r="F772" s="3" t="inlineStr">
        <is>
          <t>Cash</t>
        </is>
      </c>
    </row>
    <row r="773">
      <c r="A773" s="3" t="inlineStr">
        <is>
          <t>P00772</t>
        </is>
      </c>
      <c r="B773" s="3" t="inlineStr">
        <is>
          <t>D0880</t>
        </is>
      </c>
      <c r="C773" s="3" t="inlineStr">
        <is>
          <t>A0147</t>
        </is>
      </c>
      <c r="D773" s="4" t="n">
        <v>46211</v>
      </c>
      <c r="E773" s="5" t="n">
        <v>11833</v>
      </c>
      <c r="F773" s="3" t="inlineStr">
        <is>
          <t>Cash</t>
        </is>
      </c>
    </row>
    <row r="774">
      <c r="A774" s="3" t="inlineStr">
        <is>
          <t>P00773</t>
        </is>
      </c>
      <c r="B774" s="3" t="inlineStr">
        <is>
          <t>D0881</t>
        </is>
      </c>
      <c r="C774" s="3" t="inlineStr">
        <is>
          <t>A0147</t>
        </is>
      </c>
      <c r="D774" s="4" t="n">
        <v>46242</v>
      </c>
      <c r="E774" s="5" t="n">
        <v>11833</v>
      </c>
      <c r="F774" s="3" t="inlineStr">
        <is>
          <t>UPI</t>
        </is>
      </c>
    </row>
    <row r="775">
      <c r="A775" s="3" t="inlineStr">
        <is>
          <t>P00774</t>
        </is>
      </c>
      <c r="B775" s="3" t="inlineStr">
        <is>
          <t>D0882</t>
        </is>
      </c>
      <c r="C775" s="3" t="inlineStr">
        <is>
          <t>A0147</t>
        </is>
      </c>
      <c r="D775" s="4" t="n">
        <v>46273</v>
      </c>
      <c r="E775" s="5" t="n">
        <v>11833</v>
      </c>
      <c r="F775" s="3" t="inlineStr">
        <is>
          <t>Cash</t>
        </is>
      </c>
    </row>
    <row r="776">
      <c r="A776" s="3" t="inlineStr">
        <is>
          <t>P00775</t>
        </is>
      </c>
      <c r="B776" s="3" t="inlineStr">
        <is>
          <t>D0883</t>
        </is>
      </c>
      <c r="C776" s="3" t="inlineStr">
        <is>
          <t>A0148</t>
        </is>
      </c>
      <c r="D776" s="4" t="n">
        <v>46151</v>
      </c>
      <c r="E776" s="5" t="n">
        <v>28833</v>
      </c>
      <c r="F776" s="3" t="inlineStr">
        <is>
          <t>Cash</t>
        </is>
      </c>
    </row>
    <row r="777">
      <c r="A777" s="3" t="inlineStr">
        <is>
          <t>P00776</t>
        </is>
      </c>
      <c r="B777" s="3" t="inlineStr">
        <is>
          <t>D0884</t>
        </is>
      </c>
      <c r="C777" s="3" t="inlineStr">
        <is>
          <t>A0148</t>
        </is>
      </c>
      <c r="D777" s="4" t="n">
        <v>46159</v>
      </c>
      <c r="E777" s="5" t="n">
        <v>28833</v>
      </c>
      <c r="F777" s="3" t="inlineStr">
        <is>
          <t>UPI</t>
        </is>
      </c>
    </row>
    <row r="778">
      <c r="A778" s="3" t="inlineStr">
        <is>
          <t>P00777</t>
        </is>
      </c>
      <c r="B778" s="3" t="inlineStr">
        <is>
          <t>D0885</t>
        </is>
      </c>
      <c r="C778" s="3" t="inlineStr">
        <is>
          <t>A0148</t>
        </is>
      </c>
      <c r="D778" s="4" t="n">
        <v>46218</v>
      </c>
      <c r="E778" s="5" t="n">
        <v>28833</v>
      </c>
      <c r="F778" s="3" t="inlineStr">
        <is>
          <t>NEFT</t>
        </is>
      </c>
    </row>
    <row r="779">
      <c r="A779" s="3" t="inlineStr">
        <is>
          <t>P00778</t>
        </is>
      </c>
      <c r="B779" s="3" t="inlineStr">
        <is>
          <t>D0886</t>
        </is>
      </c>
      <c r="C779" s="3" t="inlineStr">
        <is>
          <t>A0148</t>
        </is>
      </c>
      <c r="D779" s="4" t="n">
        <v>46222</v>
      </c>
      <c r="E779" s="5" t="n">
        <v>28833</v>
      </c>
      <c r="F779" s="3" t="inlineStr">
        <is>
          <t>NEFT</t>
        </is>
      </c>
    </row>
    <row r="780">
      <c r="A780" s="3" t="inlineStr">
        <is>
          <t>P00779</t>
        </is>
      </c>
      <c r="B780" s="3" t="inlineStr">
        <is>
          <t>D0887</t>
        </is>
      </c>
      <c r="C780" s="3" t="inlineStr">
        <is>
          <t>A0148</t>
        </is>
      </c>
      <c r="D780" s="4" t="n">
        <v>46251</v>
      </c>
      <c r="E780" s="5" t="n">
        <v>28833</v>
      </c>
      <c r="F780" s="3" t="inlineStr">
        <is>
          <t>NEFT</t>
        </is>
      </c>
    </row>
    <row r="781">
      <c r="A781" s="3" t="inlineStr">
        <is>
          <t>P00780</t>
        </is>
      </c>
      <c r="B781" s="3" t="inlineStr">
        <is>
          <t>D0888</t>
        </is>
      </c>
      <c r="C781" s="3" t="inlineStr">
        <is>
          <t>A0148</t>
        </is>
      </c>
      <c r="D781" s="4" t="n">
        <v>46306</v>
      </c>
      <c r="E781" s="5" t="n">
        <v>28833</v>
      </c>
      <c r="F781" s="3" t="inlineStr">
        <is>
          <t>UPI</t>
        </is>
      </c>
    </row>
    <row r="782">
      <c r="A782" s="3" t="inlineStr">
        <is>
          <t>P00781</t>
        </is>
      </c>
      <c r="B782" s="3" t="inlineStr">
        <is>
          <t>D0889</t>
        </is>
      </c>
      <c r="C782" s="3" t="inlineStr">
        <is>
          <t>A0149</t>
        </is>
      </c>
      <c r="D782" s="4" t="n">
        <v>46116</v>
      </c>
      <c r="E782" s="5" t="n">
        <v>27500</v>
      </c>
      <c r="F782" s="3" t="inlineStr">
        <is>
          <t>Cash</t>
        </is>
      </c>
    </row>
    <row r="783">
      <c r="A783" s="3" t="inlineStr">
        <is>
          <t>P00782</t>
        </is>
      </c>
      <c r="B783" s="3" t="inlineStr">
        <is>
          <t>D0890</t>
        </is>
      </c>
      <c r="C783" s="3" t="inlineStr">
        <is>
          <t>A0149</t>
        </is>
      </c>
      <c r="D783" s="4" t="n">
        <v>46150</v>
      </c>
      <c r="E783" s="5" t="n">
        <v>27500</v>
      </c>
      <c r="F783" s="3" t="inlineStr">
        <is>
          <t>Cash</t>
        </is>
      </c>
    </row>
    <row r="784">
      <c r="A784" s="3" t="inlineStr">
        <is>
          <t>P00783</t>
        </is>
      </c>
      <c r="B784" s="3" t="inlineStr">
        <is>
          <t>D0891</t>
        </is>
      </c>
      <c r="C784" s="3" t="inlineStr">
        <is>
          <t>A0149</t>
        </is>
      </c>
      <c r="D784" s="4" t="n">
        <v>46177</v>
      </c>
      <c r="E784" s="5" t="n">
        <v>27500</v>
      </c>
      <c r="F784" s="3" t="inlineStr">
        <is>
          <t>NEFT</t>
        </is>
      </c>
    </row>
    <row r="785">
      <c r="A785" s="3" t="inlineStr">
        <is>
          <t>P00784</t>
        </is>
      </c>
      <c r="B785" s="3" t="inlineStr">
        <is>
          <t>D0892</t>
        </is>
      </c>
      <c r="C785" s="3" t="inlineStr">
        <is>
          <t>A0149</t>
        </is>
      </c>
      <c r="D785" s="4" t="n">
        <v>46205</v>
      </c>
      <c r="E785" s="5" t="n">
        <v>27500</v>
      </c>
      <c r="F785" s="3" t="inlineStr">
        <is>
          <t>UPI</t>
        </is>
      </c>
    </row>
    <row r="786">
      <c r="A786" s="3" t="inlineStr">
        <is>
          <t>P00785</t>
        </is>
      </c>
      <c r="B786" s="3" t="inlineStr">
        <is>
          <t>D0893</t>
        </is>
      </c>
      <c r="C786" s="3" t="inlineStr">
        <is>
          <t>A0149</t>
        </is>
      </c>
      <c r="D786" s="4" t="n">
        <v>46242</v>
      </c>
      <c r="E786" s="5" t="n">
        <v>27500</v>
      </c>
      <c r="F786" s="3" t="inlineStr">
        <is>
          <t>Cash</t>
        </is>
      </c>
    </row>
    <row r="787">
      <c r="A787" s="3" t="inlineStr">
        <is>
          <t>P00786</t>
        </is>
      </c>
      <c r="B787" s="3" t="inlineStr">
        <is>
          <t>D0894</t>
        </is>
      </c>
      <c r="C787" s="3" t="inlineStr">
        <is>
          <t>A0149</t>
        </is>
      </c>
      <c r="D787" s="4" t="n">
        <v>46267</v>
      </c>
      <c r="E787" s="5" t="n">
        <v>27500</v>
      </c>
      <c r="F787" s="3" t="inlineStr">
        <is>
          <t>Cash</t>
        </is>
      </c>
    </row>
    <row r="788">
      <c r="A788" s="3" t="inlineStr">
        <is>
          <t>P00787</t>
        </is>
      </c>
      <c r="B788" s="3" t="inlineStr">
        <is>
          <t>D0895</t>
        </is>
      </c>
      <c r="C788" s="3" t="inlineStr">
        <is>
          <t>A0150</t>
        </is>
      </c>
      <c r="D788" s="4" t="n">
        <v>46114</v>
      </c>
      <c r="E788" s="5" t="n">
        <v>13333</v>
      </c>
      <c r="F788" s="3" t="inlineStr">
        <is>
          <t>UPI</t>
        </is>
      </c>
    </row>
    <row r="789">
      <c r="A789" s="3" t="inlineStr">
        <is>
          <t>P00788</t>
        </is>
      </c>
      <c r="B789" s="3" t="inlineStr">
        <is>
          <t>D0896</t>
        </is>
      </c>
      <c r="C789" s="3" t="inlineStr">
        <is>
          <t>A0150</t>
        </is>
      </c>
      <c r="D789" s="4" t="n">
        <v>46144</v>
      </c>
      <c r="E789" s="5" t="n">
        <v>13333</v>
      </c>
      <c r="F789" s="3" t="inlineStr">
        <is>
          <t>Cash</t>
        </is>
      </c>
    </row>
    <row r="790">
      <c r="A790" s="3" t="inlineStr">
        <is>
          <t>P00789</t>
        </is>
      </c>
      <c r="B790" s="3" t="inlineStr">
        <is>
          <t>D0897</t>
        </is>
      </c>
      <c r="C790" s="3" t="inlineStr">
        <is>
          <t>A0150</t>
        </is>
      </c>
      <c r="D790" s="4" t="n">
        <v>46179</v>
      </c>
      <c r="E790" s="5" t="n">
        <v>13333</v>
      </c>
      <c r="F790" s="3" t="inlineStr">
        <is>
          <t>UPI</t>
        </is>
      </c>
    </row>
    <row r="791">
      <c r="A791" s="3" t="inlineStr">
        <is>
          <t>P00790</t>
        </is>
      </c>
      <c r="B791" s="3" t="inlineStr">
        <is>
          <t>D0898</t>
        </is>
      </c>
      <c r="C791" s="3" t="inlineStr">
        <is>
          <t>A0150</t>
        </is>
      </c>
      <c r="D791" s="4" t="n">
        <v>46208</v>
      </c>
      <c r="E791" s="5" t="n">
        <v>13333</v>
      </c>
      <c r="F791" s="3" t="inlineStr">
        <is>
          <t>UPI</t>
        </is>
      </c>
    </row>
    <row r="792">
      <c r="A792" s="3" t="inlineStr">
        <is>
          <t>P00791</t>
        </is>
      </c>
      <c r="B792" s="3" t="inlineStr">
        <is>
          <t>D0899</t>
        </is>
      </c>
      <c r="C792" s="3" t="inlineStr">
        <is>
          <t>A0150</t>
        </is>
      </c>
      <c r="D792" s="4" t="n">
        <v>46238</v>
      </c>
      <c r="E792" s="5" t="n">
        <v>13333</v>
      </c>
      <c r="F792" s="3" t="inlineStr">
        <is>
          <t>Cash</t>
        </is>
      </c>
    </row>
    <row r="793">
      <c r="A793" s="3" t="inlineStr">
        <is>
          <t>P00792</t>
        </is>
      </c>
      <c r="B793" s="3" t="inlineStr">
        <is>
          <t>D0900</t>
        </is>
      </c>
      <c r="C793" s="3" t="inlineStr">
        <is>
          <t>A0150</t>
        </is>
      </c>
      <c r="D793" s="4" t="n">
        <v>46269</v>
      </c>
      <c r="E793" s="5" t="n">
        <v>13333</v>
      </c>
      <c r="F793" s="3" t="inlineStr">
        <is>
          <t>NEFT</t>
        </is>
      </c>
    </row>
    <row r="794">
      <c r="A794" s="3" t="inlineStr">
        <is>
          <t>P00793</t>
        </is>
      </c>
      <c r="B794" s="3" t="inlineStr">
        <is>
          <t>D0901</t>
        </is>
      </c>
      <c r="C794" s="3" t="inlineStr">
        <is>
          <t>A0151</t>
        </is>
      </c>
      <c r="D794" s="4" t="n">
        <v>46116</v>
      </c>
      <c r="E794" s="5" t="n">
        <v>8000</v>
      </c>
      <c r="F794" s="3" t="inlineStr">
        <is>
          <t>UPI</t>
        </is>
      </c>
    </row>
    <row r="795">
      <c r="A795" s="3" t="inlineStr">
        <is>
          <t>P00794</t>
        </is>
      </c>
      <c r="B795" s="3" t="inlineStr">
        <is>
          <t>D0902</t>
        </is>
      </c>
      <c r="C795" s="3" t="inlineStr">
        <is>
          <t>A0151</t>
        </is>
      </c>
      <c r="D795" s="4" t="n">
        <v>46147</v>
      </c>
      <c r="E795" s="5" t="n">
        <v>8000</v>
      </c>
      <c r="F795" s="3" t="inlineStr">
        <is>
          <t>Cash</t>
        </is>
      </c>
    </row>
    <row r="796">
      <c r="A796" s="3" t="inlineStr">
        <is>
          <t>P00795</t>
        </is>
      </c>
      <c r="B796" s="3" t="inlineStr">
        <is>
          <t>D0903</t>
        </is>
      </c>
      <c r="C796" s="3" t="inlineStr">
        <is>
          <t>A0151</t>
        </is>
      </c>
      <c r="D796" s="4" t="n">
        <v>46179</v>
      </c>
      <c r="E796" s="5" t="n">
        <v>8000</v>
      </c>
      <c r="F796" s="3" t="inlineStr">
        <is>
          <t>UPI</t>
        </is>
      </c>
    </row>
    <row r="797">
      <c r="A797" s="3" t="inlineStr">
        <is>
          <t>P00796</t>
        </is>
      </c>
      <c r="B797" s="3" t="inlineStr">
        <is>
          <t>D0904</t>
        </is>
      </c>
      <c r="C797" s="3" t="inlineStr">
        <is>
          <t>A0151</t>
        </is>
      </c>
      <c r="D797" s="4" t="n">
        <v>46211</v>
      </c>
      <c r="E797" s="5" t="n">
        <v>8000</v>
      </c>
      <c r="F797" s="3" t="inlineStr">
        <is>
          <t>NEFT</t>
        </is>
      </c>
    </row>
    <row r="798">
      <c r="A798" s="3" t="inlineStr">
        <is>
          <t>P00797</t>
        </is>
      </c>
      <c r="B798" s="3" t="inlineStr">
        <is>
          <t>D0905</t>
        </is>
      </c>
      <c r="C798" s="3" t="inlineStr">
        <is>
          <t>A0151</t>
        </is>
      </c>
      <c r="D798" s="4" t="n">
        <v>46238</v>
      </c>
      <c r="E798" s="5" t="n">
        <v>8000</v>
      </c>
      <c r="F798" s="3" t="inlineStr">
        <is>
          <t>UPI</t>
        </is>
      </c>
    </row>
    <row r="799">
      <c r="A799" s="3" t="inlineStr">
        <is>
          <t>P00798</t>
        </is>
      </c>
      <c r="B799" s="3" t="inlineStr">
        <is>
          <t>D0906</t>
        </is>
      </c>
      <c r="C799" s="3" t="inlineStr">
        <is>
          <t>A0151</t>
        </is>
      </c>
      <c r="D799" s="4" t="n">
        <v>46271</v>
      </c>
      <c r="E799" s="5" t="n">
        <v>8000</v>
      </c>
      <c r="F799" s="3" t="inlineStr">
        <is>
          <t>UPI</t>
        </is>
      </c>
    </row>
    <row r="800">
      <c r="A800" s="3" t="inlineStr">
        <is>
          <t>P00799</t>
        </is>
      </c>
      <c r="B800" s="3" t="inlineStr">
        <is>
          <t>D0907</t>
        </is>
      </c>
      <c r="C800" s="3" t="inlineStr">
        <is>
          <t>A0152</t>
        </is>
      </c>
      <c r="D800" s="4" t="n">
        <v>46119</v>
      </c>
      <c r="E800" s="5" t="n">
        <v>9500</v>
      </c>
      <c r="F800" s="3" t="inlineStr">
        <is>
          <t>Cash</t>
        </is>
      </c>
    </row>
    <row r="801">
      <c r="A801" s="3" t="inlineStr">
        <is>
          <t>P00800</t>
        </is>
      </c>
      <c r="B801" s="3" t="inlineStr">
        <is>
          <t>D0908</t>
        </is>
      </c>
      <c r="C801" s="3" t="inlineStr">
        <is>
          <t>A0152</t>
        </is>
      </c>
      <c r="D801" s="4" t="n">
        <v>46150</v>
      </c>
      <c r="E801" s="5" t="n">
        <v>9500</v>
      </c>
      <c r="F801" s="3" t="inlineStr">
        <is>
          <t>Cash</t>
        </is>
      </c>
    </row>
    <row r="802">
      <c r="A802" s="3" t="inlineStr">
        <is>
          <t>P00801</t>
        </is>
      </c>
      <c r="B802" s="3" t="inlineStr">
        <is>
          <t>D0909</t>
        </is>
      </c>
      <c r="C802" s="3" t="inlineStr">
        <is>
          <t>A0152</t>
        </is>
      </c>
      <c r="D802" s="4" t="n">
        <v>46176</v>
      </c>
      <c r="E802" s="5" t="n">
        <v>9500</v>
      </c>
      <c r="F802" s="3" t="inlineStr">
        <is>
          <t>NEFT</t>
        </is>
      </c>
    </row>
    <row r="803">
      <c r="A803" s="3" t="inlineStr">
        <is>
          <t>P00802</t>
        </is>
      </c>
      <c r="B803" s="3" t="inlineStr">
        <is>
          <t>D0910</t>
        </is>
      </c>
      <c r="C803" s="3" t="inlineStr">
        <is>
          <t>A0152</t>
        </is>
      </c>
      <c r="D803" s="4" t="n">
        <v>46210</v>
      </c>
      <c r="E803" s="5" t="n">
        <v>9500</v>
      </c>
      <c r="F803" s="3" t="inlineStr">
        <is>
          <t>UPI</t>
        </is>
      </c>
    </row>
    <row r="804">
      <c r="A804" s="3" t="inlineStr">
        <is>
          <t>P00803</t>
        </is>
      </c>
      <c r="B804" s="3" t="inlineStr">
        <is>
          <t>D0911</t>
        </is>
      </c>
      <c r="C804" s="3" t="inlineStr">
        <is>
          <t>A0152</t>
        </is>
      </c>
      <c r="D804" s="4" t="n">
        <v>46242</v>
      </c>
      <c r="E804" s="5" t="n">
        <v>9500</v>
      </c>
      <c r="F804" s="3" t="inlineStr">
        <is>
          <t>Cash</t>
        </is>
      </c>
    </row>
    <row r="805">
      <c r="A805" s="3" t="inlineStr">
        <is>
          <t>P00804</t>
        </is>
      </c>
      <c r="B805" s="3" t="inlineStr">
        <is>
          <t>D0912</t>
        </is>
      </c>
      <c r="C805" s="3" t="inlineStr">
        <is>
          <t>A0152</t>
        </is>
      </c>
      <c r="D805" s="4" t="n">
        <v>46273</v>
      </c>
      <c r="E805" s="5" t="n">
        <v>9500</v>
      </c>
      <c r="F805" s="3" t="inlineStr">
        <is>
          <t>NEFT</t>
        </is>
      </c>
    </row>
    <row r="806">
      <c r="A806" s="3" t="inlineStr">
        <is>
          <t>P00805</t>
        </is>
      </c>
      <c r="B806" s="3" t="inlineStr">
        <is>
          <t>D0913</t>
        </is>
      </c>
      <c r="C806" s="3" t="inlineStr">
        <is>
          <t>A0153</t>
        </is>
      </c>
      <c r="D806" s="4" t="n">
        <v>46114</v>
      </c>
      <c r="E806" s="5" t="n">
        <v>17333</v>
      </c>
      <c r="F806" s="3" t="inlineStr">
        <is>
          <t>Cash</t>
        </is>
      </c>
    </row>
    <row r="807">
      <c r="A807" s="3" t="inlineStr">
        <is>
          <t>P00806</t>
        </is>
      </c>
      <c r="B807" s="3" t="inlineStr">
        <is>
          <t>D0914</t>
        </is>
      </c>
      <c r="C807" s="3" t="inlineStr">
        <is>
          <t>A0153</t>
        </is>
      </c>
      <c r="D807" s="4" t="n">
        <v>46147</v>
      </c>
      <c r="E807" s="5" t="n">
        <v>17333</v>
      </c>
      <c r="F807" s="3" t="inlineStr">
        <is>
          <t>Cash</t>
        </is>
      </c>
    </row>
    <row r="808">
      <c r="A808" s="3" t="inlineStr">
        <is>
          <t>P00807</t>
        </is>
      </c>
      <c r="B808" s="3" t="inlineStr">
        <is>
          <t>D0915</t>
        </is>
      </c>
      <c r="C808" s="3" t="inlineStr">
        <is>
          <t>A0153</t>
        </is>
      </c>
      <c r="D808" s="4" t="n">
        <v>46176</v>
      </c>
      <c r="E808" s="5" t="n">
        <v>17333</v>
      </c>
      <c r="F808" s="3" t="inlineStr">
        <is>
          <t>NEFT</t>
        </is>
      </c>
    </row>
    <row r="809">
      <c r="A809" s="3" t="inlineStr">
        <is>
          <t>P00808</t>
        </is>
      </c>
      <c r="B809" s="3" t="inlineStr">
        <is>
          <t>D0916</t>
        </is>
      </c>
      <c r="C809" s="3" t="inlineStr">
        <is>
          <t>A0153</t>
        </is>
      </c>
      <c r="D809" s="4" t="n">
        <v>46209</v>
      </c>
      <c r="E809" s="5" t="n">
        <v>17333</v>
      </c>
      <c r="F809" s="3" t="inlineStr">
        <is>
          <t>NEFT</t>
        </is>
      </c>
    </row>
    <row r="810">
      <c r="A810" s="3" t="inlineStr">
        <is>
          <t>P00809</t>
        </is>
      </c>
      <c r="B810" s="3" t="inlineStr">
        <is>
          <t>D0917</t>
        </is>
      </c>
      <c r="C810" s="3" t="inlineStr">
        <is>
          <t>A0153</t>
        </is>
      </c>
      <c r="D810" s="4" t="n">
        <v>46242</v>
      </c>
      <c r="E810" s="5" t="n">
        <v>17333</v>
      </c>
      <c r="F810" s="3" t="inlineStr">
        <is>
          <t>NEFT</t>
        </is>
      </c>
    </row>
    <row r="811">
      <c r="A811" s="3" t="inlineStr">
        <is>
          <t>P00810</t>
        </is>
      </c>
      <c r="B811" s="3" t="inlineStr">
        <is>
          <t>D0918</t>
        </is>
      </c>
      <c r="C811" s="3" t="inlineStr">
        <is>
          <t>A0153</t>
        </is>
      </c>
      <c r="D811" s="4" t="n">
        <v>46273</v>
      </c>
      <c r="E811" s="5" t="n">
        <v>17333</v>
      </c>
      <c r="F811" s="3" t="inlineStr">
        <is>
          <t>Cash</t>
        </is>
      </c>
    </row>
    <row r="812">
      <c r="A812" s="3" t="inlineStr">
        <is>
          <t>P00811</t>
        </is>
      </c>
      <c r="B812" s="3" t="inlineStr">
        <is>
          <t>D0919</t>
        </is>
      </c>
      <c r="C812" s="3" t="inlineStr">
        <is>
          <t>A0154</t>
        </is>
      </c>
      <c r="D812" s="4" t="n">
        <v>46120</v>
      </c>
      <c r="E812" s="5" t="n">
        <v>21167</v>
      </c>
      <c r="F812" s="3" t="inlineStr">
        <is>
          <t>Cash</t>
        </is>
      </c>
    </row>
    <row r="813">
      <c r="A813" s="3" t="inlineStr">
        <is>
          <t>P00812</t>
        </is>
      </c>
      <c r="B813" s="3" t="inlineStr">
        <is>
          <t>D0920</t>
        </is>
      </c>
      <c r="C813" s="3" t="inlineStr">
        <is>
          <t>A0154</t>
        </is>
      </c>
      <c r="D813" s="4" t="n">
        <v>46155</v>
      </c>
      <c r="E813" s="5" t="n">
        <v>13256</v>
      </c>
      <c r="F813" s="3" t="inlineStr">
        <is>
          <t>Cash</t>
        </is>
      </c>
    </row>
    <row r="814">
      <c r="A814" s="3" t="inlineStr">
        <is>
          <t>P00813</t>
        </is>
      </c>
      <c r="B814" s="3" t="inlineStr">
        <is>
          <t>D0920</t>
        </is>
      </c>
      <c r="C814" s="3" t="inlineStr">
        <is>
          <t>A0154</t>
        </is>
      </c>
      <c r="D814" s="4" t="n">
        <v>46195</v>
      </c>
      <c r="E814" s="5" t="n">
        <v>7911</v>
      </c>
      <c r="F814" s="3" t="inlineStr">
        <is>
          <t>Cash</t>
        </is>
      </c>
    </row>
    <row r="815">
      <c r="A815" s="3" t="inlineStr">
        <is>
          <t>P00814</t>
        </is>
      </c>
      <c r="B815" s="3" t="inlineStr">
        <is>
          <t>D0921</t>
        </is>
      </c>
      <c r="C815" s="3" t="inlineStr">
        <is>
          <t>A0154</t>
        </is>
      </c>
      <c r="D815" s="4" t="n">
        <v>46189</v>
      </c>
      <c r="E815" s="5" t="n">
        <v>10059</v>
      </c>
      <c r="F815" s="3" t="inlineStr">
        <is>
          <t>UPI</t>
        </is>
      </c>
    </row>
    <row r="816">
      <c r="A816" s="3" t="inlineStr">
        <is>
          <t>P00815</t>
        </is>
      </c>
      <c r="B816" s="3" t="inlineStr">
        <is>
          <t>D0921</t>
        </is>
      </c>
      <c r="C816" s="3" t="inlineStr">
        <is>
          <t>A0154</t>
        </is>
      </c>
      <c r="D816" s="4" t="n">
        <v>46206</v>
      </c>
      <c r="E816" s="5" t="n">
        <v>11108</v>
      </c>
      <c r="F816" s="3" t="inlineStr">
        <is>
          <t>UPI</t>
        </is>
      </c>
    </row>
    <row r="817">
      <c r="A817" s="3" t="inlineStr">
        <is>
          <t>P00816</t>
        </is>
      </c>
      <c r="B817" s="3" t="inlineStr">
        <is>
          <t>D0922</t>
        </is>
      </c>
      <c r="C817" s="3" t="inlineStr">
        <is>
          <t>A0154</t>
        </is>
      </c>
      <c r="D817" s="4" t="n">
        <v>46246</v>
      </c>
      <c r="E817" s="5" t="n">
        <v>21167</v>
      </c>
      <c r="F817" s="3" t="inlineStr">
        <is>
          <t>UPI</t>
        </is>
      </c>
    </row>
    <row r="818">
      <c r="A818" s="3" t="inlineStr">
        <is>
          <t>P00817</t>
        </is>
      </c>
      <c r="B818" s="3" t="inlineStr">
        <is>
          <t>D0923</t>
        </is>
      </c>
      <c r="C818" s="3" t="inlineStr">
        <is>
          <t>A0154</t>
        </is>
      </c>
      <c r="D818" s="4" t="n">
        <v>46248</v>
      </c>
      <c r="E818" s="5" t="n">
        <v>14045</v>
      </c>
      <c r="F818" s="3" t="inlineStr">
        <is>
          <t>UPI</t>
        </is>
      </c>
    </row>
    <row r="819">
      <c r="A819" s="3" t="inlineStr">
        <is>
          <t>P00818</t>
        </is>
      </c>
      <c r="B819" s="3" t="inlineStr">
        <is>
          <t>D0923</t>
        </is>
      </c>
      <c r="C819" s="3" t="inlineStr">
        <is>
          <t>A0154</t>
        </is>
      </c>
      <c r="D819" s="4" t="n">
        <v>46275</v>
      </c>
      <c r="E819" s="5" t="n">
        <v>7122</v>
      </c>
      <c r="F819" s="3" t="inlineStr">
        <is>
          <t>Cash</t>
        </is>
      </c>
    </row>
    <row r="820">
      <c r="A820" s="3" t="inlineStr">
        <is>
          <t>P00819</t>
        </is>
      </c>
      <c r="B820" s="3" t="inlineStr">
        <is>
          <t>D0925</t>
        </is>
      </c>
      <c r="C820" s="3" t="inlineStr">
        <is>
          <t>A0155</t>
        </is>
      </c>
      <c r="D820" s="4" t="n">
        <v>46116</v>
      </c>
      <c r="E820" s="5" t="n">
        <v>31500</v>
      </c>
      <c r="F820" s="3" t="inlineStr">
        <is>
          <t>UPI</t>
        </is>
      </c>
    </row>
    <row r="821">
      <c r="A821" s="3" t="inlineStr">
        <is>
          <t>P00820</t>
        </is>
      </c>
      <c r="B821" s="3" t="inlineStr">
        <is>
          <t>D0926</t>
        </is>
      </c>
      <c r="C821" s="3" t="inlineStr">
        <is>
          <t>A0155</t>
        </is>
      </c>
      <c r="D821" s="4" t="n">
        <v>46145</v>
      </c>
      <c r="E821" s="5" t="n">
        <v>31500</v>
      </c>
      <c r="F821" s="3" t="inlineStr">
        <is>
          <t>Cash</t>
        </is>
      </c>
    </row>
    <row r="822">
      <c r="A822" s="3" t="inlineStr">
        <is>
          <t>P00821</t>
        </is>
      </c>
      <c r="B822" s="3" t="inlineStr">
        <is>
          <t>D0927</t>
        </is>
      </c>
      <c r="C822" s="3" t="inlineStr">
        <is>
          <t>A0155</t>
        </is>
      </c>
      <c r="D822" s="4" t="n">
        <v>46176</v>
      </c>
      <c r="E822" s="5" t="n">
        <v>31500</v>
      </c>
      <c r="F822" s="3" t="inlineStr">
        <is>
          <t>NEFT</t>
        </is>
      </c>
    </row>
    <row r="823">
      <c r="A823" s="3" t="inlineStr">
        <is>
          <t>P00822</t>
        </is>
      </c>
      <c r="B823" s="3" t="inlineStr">
        <is>
          <t>D0928</t>
        </is>
      </c>
      <c r="C823" s="3" t="inlineStr">
        <is>
          <t>A0155</t>
        </is>
      </c>
      <c r="D823" s="4" t="n">
        <v>46205</v>
      </c>
      <c r="E823" s="5" t="n">
        <v>31500</v>
      </c>
      <c r="F823" s="3" t="inlineStr">
        <is>
          <t>Cash</t>
        </is>
      </c>
    </row>
    <row r="824">
      <c r="A824" s="3" t="inlineStr">
        <is>
          <t>P00823</t>
        </is>
      </c>
      <c r="B824" s="3" t="inlineStr">
        <is>
          <t>D0929</t>
        </is>
      </c>
      <c r="C824" s="3" t="inlineStr">
        <is>
          <t>A0155</t>
        </is>
      </c>
      <c r="D824" s="4" t="n">
        <v>46236</v>
      </c>
      <c r="E824" s="5" t="n">
        <v>31500</v>
      </c>
      <c r="F824" s="3" t="inlineStr">
        <is>
          <t>UPI</t>
        </is>
      </c>
    </row>
    <row r="825">
      <c r="A825" s="3" t="inlineStr">
        <is>
          <t>P00824</t>
        </is>
      </c>
      <c r="B825" s="3" t="inlineStr">
        <is>
          <t>D0930</t>
        </is>
      </c>
      <c r="C825" s="3" t="inlineStr">
        <is>
          <t>A0155</t>
        </is>
      </c>
      <c r="D825" s="4" t="n">
        <v>46272</v>
      </c>
      <c r="E825" s="5" t="n">
        <v>31500</v>
      </c>
      <c r="F825" s="3" t="inlineStr">
        <is>
          <t>Cash</t>
        </is>
      </c>
    </row>
    <row r="826">
      <c r="A826" s="3" t="inlineStr">
        <is>
          <t>P00825</t>
        </is>
      </c>
      <c r="B826" s="3" t="inlineStr">
        <is>
          <t>D0931</t>
        </is>
      </c>
      <c r="C826" s="3" t="inlineStr">
        <is>
          <t>A0156</t>
        </is>
      </c>
      <c r="D826" s="4" t="n">
        <v>46119</v>
      </c>
      <c r="E826" s="5" t="n">
        <v>19667</v>
      </c>
      <c r="F826" s="3" t="inlineStr">
        <is>
          <t>NEFT</t>
        </is>
      </c>
    </row>
    <row r="827">
      <c r="A827" s="3" t="inlineStr">
        <is>
          <t>P00826</t>
        </is>
      </c>
      <c r="B827" s="3" t="inlineStr">
        <is>
          <t>D0932</t>
        </is>
      </c>
      <c r="C827" s="3" t="inlineStr">
        <is>
          <t>A0156</t>
        </is>
      </c>
      <c r="D827" s="4" t="n">
        <v>46147</v>
      </c>
      <c r="E827" s="5" t="n">
        <v>19667</v>
      </c>
      <c r="F827" s="3" t="inlineStr">
        <is>
          <t>UPI</t>
        </is>
      </c>
    </row>
    <row r="828">
      <c r="A828" s="3" t="inlineStr">
        <is>
          <t>P00827</t>
        </is>
      </c>
      <c r="B828" s="3" t="inlineStr">
        <is>
          <t>D0933</t>
        </is>
      </c>
      <c r="C828" s="3" t="inlineStr">
        <is>
          <t>A0156</t>
        </is>
      </c>
      <c r="D828" s="4" t="n">
        <v>46175</v>
      </c>
      <c r="E828" s="5" t="n">
        <v>19667</v>
      </c>
      <c r="F828" s="3" t="inlineStr">
        <is>
          <t>UPI</t>
        </is>
      </c>
    </row>
    <row r="829">
      <c r="A829" s="3" t="inlineStr">
        <is>
          <t>P00828</t>
        </is>
      </c>
      <c r="B829" s="3" t="inlineStr">
        <is>
          <t>D0934</t>
        </is>
      </c>
      <c r="C829" s="3" t="inlineStr">
        <is>
          <t>A0156</t>
        </is>
      </c>
      <c r="D829" s="4" t="n">
        <v>46208</v>
      </c>
      <c r="E829" s="5" t="n">
        <v>19667</v>
      </c>
      <c r="F829" s="3" t="inlineStr">
        <is>
          <t>NEFT</t>
        </is>
      </c>
    </row>
    <row r="830">
      <c r="A830" s="3" t="inlineStr">
        <is>
          <t>P00829</t>
        </is>
      </c>
      <c r="B830" s="3" t="inlineStr">
        <is>
          <t>D0935</t>
        </is>
      </c>
      <c r="C830" s="3" t="inlineStr">
        <is>
          <t>A0156</t>
        </is>
      </c>
      <c r="D830" s="4" t="n">
        <v>46241</v>
      </c>
      <c r="E830" s="5" t="n">
        <v>19667</v>
      </c>
      <c r="F830" s="3" t="inlineStr">
        <is>
          <t>NEFT</t>
        </is>
      </c>
    </row>
    <row r="831">
      <c r="A831" s="3" t="inlineStr">
        <is>
          <t>P00830</t>
        </is>
      </c>
      <c r="B831" s="3" t="inlineStr">
        <is>
          <t>D0936</t>
        </is>
      </c>
      <c r="C831" s="3" t="inlineStr">
        <is>
          <t>A0156</t>
        </is>
      </c>
      <c r="D831" s="4" t="n">
        <v>46267</v>
      </c>
      <c r="E831" s="5" t="n">
        <v>19667</v>
      </c>
      <c r="F831" s="3" t="inlineStr">
        <is>
          <t>Cash</t>
        </is>
      </c>
    </row>
    <row r="832">
      <c r="A832" s="3" t="inlineStr">
        <is>
          <t>P00831</t>
        </is>
      </c>
      <c r="B832" s="3" t="inlineStr">
        <is>
          <t>D0949</t>
        </is>
      </c>
      <c r="C832" s="3" t="inlineStr">
        <is>
          <t>A0159</t>
        </is>
      </c>
      <c r="D832" s="4" t="n">
        <v>46115</v>
      </c>
      <c r="E832" s="5" t="n">
        <v>32500</v>
      </c>
      <c r="F832" s="3" t="inlineStr">
        <is>
          <t>UPI</t>
        </is>
      </c>
    </row>
    <row r="833">
      <c r="A833" s="3" t="inlineStr">
        <is>
          <t>P00832</t>
        </is>
      </c>
      <c r="B833" s="3" t="inlineStr">
        <is>
          <t>D0950</t>
        </is>
      </c>
      <c r="C833" s="3" t="inlineStr">
        <is>
          <t>A0159</t>
        </is>
      </c>
      <c r="D833" s="4" t="n">
        <v>46146</v>
      </c>
      <c r="E833" s="5" t="n">
        <v>32500</v>
      </c>
      <c r="F833" s="3" t="inlineStr">
        <is>
          <t>NEFT</t>
        </is>
      </c>
    </row>
    <row r="834">
      <c r="A834" s="3" t="inlineStr">
        <is>
          <t>P00833</t>
        </is>
      </c>
      <c r="B834" s="3" t="inlineStr">
        <is>
          <t>D0951</t>
        </is>
      </c>
      <c r="C834" s="3" t="inlineStr">
        <is>
          <t>A0159</t>
        </is>
      </c>
      <c r="D834" s="4" t="n">
        <v>46181</v>
      </c>
      <c r="E834" s="5" t="n">
        <v>32500</v>
      </c>
      <c r="F834" s="3" t="inlineStr">
        <is>
          <t>UPI</t>
        </is>
      </c>
    </row>
    <row r="835">
      <c r="A835" s="3" t="inlineStr">
        <is>
          <t>P00834</t>
        </is>
      </c>
      <c r="B835" s="3" t="inlineStr">
        <is>
          <t>D0952</t>
        </is>
      </c>
      <c r="C835" s="3" t="inlineStr">
        <is>
          <t>A0159</t>
        </is>
      </c>
      <c r="D835" s="4" t="n">
        <v>46206</v>
      </c>
      <c r="E835" s="5" t="n">
        <v>32500</v>
      </c>
      <c r="F835" s="3" t="inlineStr">
        <is>
          <t>UPI</t>
        </is>
      </c>
    </row>
    <row r="836">
      <c r="A836" s="3" t="inlineStr">
        <is>
          <t>P00835</t>
        </is>
      </c>
      <c r="B836" s="3" t="inlineStr">
        <is>
          <t>D0953</t>
        </is>
      </c>
      <c r="C836" s="3" t="inlineStr">
        <is>
          <t>A0159</t>
        </is>
      </c>
      <c r="D836" s="4" t="n">
        <v>46238</v>
      </c>
      <c r="E836" s="5" t="n">
        <v>32500</v>
      </c>
      <c r="F836" s="3" t="inlineStr">
        <is>
          <t>Cash</t>
        </is>
      </c>
    </row>
    <row r="837">
      <c r="A837" s="3" t="inlineStr">
        <is>
          <t>P00836</t>
        </is>
      </c>
      <c r="B837" s="3" t="inlineStr">
        <is>
          <t>D0954</t>
        </is>
      </c>
      <c r="C837" s="3" t="inlineStr">
        <is>
          <t>A0159</t>
        </is>
      </c>
      <c r="D837" s="4" t="n">
        <v>46269</v>
      </c>
      <c r="E837" s="5" t="n">
        <v>32500</v>
      </c>
      <c r="F837" s="3" t="inlineStr">
        <is>
          <t>Cash</t>
        </is>
      </c>
    </row>
    <row r="838">
      <c r="A838" s="3" t="inlineStr">
        <is>
          <t>P00837</t>
        </is>
      </c>
      <c r="B838" s="3" t="inlineStr">
        <is>
          <t>D0955</t>
        </is>
      </c>
      <c r="C838" s="3" t="inlineStr">
        <is>
          <t>A0160</t>
        </is>
      </c>
      <c r="D838" s="4" t="n">
        <v>46192</v>
      </c>
      <c r="E838" s="5" t="n">
        <v>10500</v>
      </c>
      <c r="F838" s="3" t="inlineStr">
        <is>
          <t>UPI</t>
        </is>
      </c>
    </row>
    <row r="839">
      <c r="A839" s="3" t="inlineStr">
        <is>
          <t>P00838</t>
        </is>
      </c>
      <c r="B839" s="3" t="inlineStr">
        <is>
          <t>D0956</t>
        </is>
      </c>
      <c r="C839" s="3" t="inlineStr">
        <is>
          <t>A0160</t>
        </is>
      </c>
      <c r="D839" s="4" t="n">
        <v>46156</v>
      </c>
      <c r="E839" s="5" t="n">
        <v>10500</v>
      </c>
      <c r="F839" s="3" t="inlineStr">
        <is>
          <t>Cash</t>
        </is>
      </c>
    </row>
    <row r="840">
      <c r="A840" s="3" t="inlineStr">
        <is>
          <t>P00839</t>
        </is>
      </c>
      <c r="B840" s="3" t="inlineStr">
        <is>
          <t>D0957</t>
        </is>
      </c>
      <c r="C840" s="3" t="inlineStr">
        <is>
          <t>A0160</t>
        </is>
      </c>
      <c r="D840" s="4" t="n">
        <v>46218</v>
      </c>
      <c r="E840" s="5" t="n">
        <v>10500</v>
      </c>
      <c r="F840" s="3" t="inlineStr">
        <is>
          <t>Cash</t>
        </is>
      </c>
    </row>
    <row r="841">
      <c r="A841" s="3" t="inlineStr">
        <is>
          <t>P00840</t>
        </is>
      </c>
      <c r="B841" s="3" t="inlineStr">
        <is>
          <t>D0958</t>
        </is>
      </c>
      <c r="C841" s="3" t="inlineStr">
        <is>
          <t>A0160</t>
        </is>
      </c>
      <c r="D841" s="4" t="n">
        <v>46216</v>
      </c>
      <c r="E841" s="5" t="n">
        <v>10500</v>
      </c>
      <c r="F841" s="3" t="inlineStr">
        <is>
          <t>NEFT</t>
        </is>
      </c>
    </row>
    <row r="842">
      <c r="A842" s="3" t="inlineStr">
        <is>
          <t>P00841</t>
        </is>
      </c>
      <c r="B842" s="3" t="inlineStr">
        <is>
          <t>D0959</t>
        </is>
      </c>
      <c r="C842" s="3" t="inlineStr">
        <is>
          <t>A0160</t>
        </is>
      </c>
      <c r="D842" s="4" t="n">
        <v>46274</v>
      </c>
      <c r="E842" s="5" t="n">
        <v>10500</v>
      </c>
      <c r="F842" s="3" t="inlineStr">
        <is>
          <t>Cash</t>
        </is>
      </c>
    </row>
    <row r="843">
      <c r="A843" s="3" t="inlineStr">
        <is>
          <t>P00842</t>
        </is>
      </c>
      <c r="B843" s="3" t="inlineStr">
        <is>
          <t>D0960</t>
        </is>
      </c>
      <c r="C843" s="3" t="inlineStr">
        <is>
          <t>A0160</t>
        </is>
      </c>
      <c r="D843" s="4" t="n">
        <v>46279</v>
      </c>
      <c r="E843" s="5" t="n">
        <v>7236</v>
      </c>
      <c r="F843" s="3" t="inlineStr">
        <is>
          <t>UPI</t>
        </is>
      </c>
    </row>
    <row r="844">
      <c r="A844" s="3" t="inlineStr">
        <is>
          <t>P00843</t>
        </is>
      </c>
      <c r="B844" s="3" t="inlineStr">
        <is>
          <t>D0960</t>
        </is>
      </c>
      <c r="C844" s="3" t="inlineStr">
        <is>
          <t>A0160</t>
        </is>
      </c>
      <c r="D844" s="4" t="n">
        <v>46306</v>
      </c>
      <c r="E844" s="5" t="n">
        <v>3264</v>
      </c>
      <c r="F844" s="3" t="inlineStr">
        <is>
          <t>NEFT</t>
        </is>
      </c>
    </row>
    <row r="845">
      <c r="A845" s="3" t="inlineStr">
        <is>
          <t>P00844</t>
        </is>
      </c>
      <c r="B845" s="3" t="inlineStr">
        <is>
          <t>D0967</t>
        </is>
      </c>
      <c r="C845" s="3" t="inlineStr">
        <is>
          <t>A0162</t>
        </is>
      </c>
      <c r="D845" s="4" t="n">
        <v>46143</v>
      </c>
      <c r="E845" s="5" t="n">
        <v>19500</v>
      </c>
      <c r="F845" s="3" t="inlineStr">
        <is>
          <t>UPI</t>
        </is>
      </c>
    </row>
    <row r="846">
      <c r="A846" s="3" t="inlineStr">
        <is>
          <t>P00845</t>
        </is>
      </c>
      <c r="B846" s="3" t="inlineStr">
        <is>
          <t>D0968</t>
        </is>
      </c>
      <c r="C846" s="3" t="inlineStr">
        <is>
          <t>A0162</t>
        </is>
      </c>
      <c r="D846" s="4" t="n">
        <v>46179</v>
      </c>
      <c r="E846" s="5" t="n">
        <v>19500</v>
      </c>
      <c r="F846" s="3" t="inlineStr">
        <is>
          <t>UPI</t>
        </is>
      </c>
    </row>
    <row r="847">
      <c r="A847" s="3" t="inlineStr">
        <is>
          <t>P00846</t>
        </is>
      </c>
      <c r="B847" s="3" t="inlineStr">
        <is>
          <t>D0969</t>
        </is>
      </c>
      <c r="C847" s="3" t="inlineStr">
        <is>
          <t>A0162</t>
        </is>
      </c>
      <c r="D847" s="4" t="n">
        <v>46217</v>
      </c>
      <c r="E847" s="5" t="n">
        <v>19500</v>
      </c>
      <c r="F847" s="3" t="inlineStr">
        <is>
          <t>UPI</t>
        </is>
      </c>
    </row>
    <row r="848">
      <c r="A848" s="3" t="inlineStr">
        <is>
          <t>P00847</t>
        </is>
      </c>
      <c r="B848" s="3" t="inlineStr">
        <is>
          <t>D0970</t>
        </is>
      </c>
      <c r="C848" s="3" t="inlineStr">
        <is>
          <t>A0162</t>
        </is>
      </c>
      <c r="D848" s="4" t="n">
        <v>46218</v>
      </c>
      <c r="E848" s="5" t="n">
        <v>19500</v>
      </c>
      <c r="F848" s="3" t="inlineStr">
        <is>
          <t>Cash</t>
        </is>
      </c>
    </row>
    <row r="849">
      <c r="A849" s="3" t="inlineStr">
        <is>
          <t>P00848</t>
        </is>
      </c>
      <c r="B849" s="3" t="inlineStr">
        <is>
          <t>D0971</t>
        </is>
      </c>
      <c r="C849" s="3" t="inlineStr">
        <is>
          <t>A0162</t>
        </is>
      </c>
      <c r="D849" s="4" t="n">
        <v>46276</v>
      </c>
      <c r="E849" s="5" t="n">
        <v>19500</v>
      </c>
      <c r="F849" s="3" t="inlineStr">
        <is>
          <t>Cash</t>
        </is>
      </c>
    </row>
    <row r="850">
      <c r="A850" s="3" t="inlineStr">
        <is>
          <t>P00849</t>
        </is>
      </c>
      <c r="B850" s="3" t="inlineStr">
        <is>
          <t>D0972</t>
        </is>
      </c>
      <c r="C850" s="3" t="inlineStr">
        <is>
          <t>A0162</t>
        </is>
      </c>
      <c r="D850" s="4" t="n">
        <v>46306</v>
      </c>
      <c r="E850" s="5" t="n">
        <v>19500</v>
      </c>
      <c r="F850" s="3" t="inlineStr">
        <is>
          <t>NEFT</t>
        </is>
      </c>
    </row>
    <row r="851">
      <c r="A851" s="3" t="inlineStr">
        <is>
          <t>P00850</t>
        </is>
      </c>
      <c r="B851" s="3" t="inlineStr">
        <is>
          <t>D0973</t>
        </is>
      </c>
      <c r="C851" s="3" t="inlineStr">
        <is>
          <t>A0163</t>
        </is>
      </c>
      <c r="D851" s="4" t="n">
        <v>46116</v>
      </c>
      <c r="E851" s="5" t="n">
        <v>17833</v>
      </c>
      <c r="F851" s="3" t="inlineStr">
        <is>
          <t>UPI</t>
        </is>
      </c>
    </row>
    <row r="852">
      <c r="A852" s="3" t="inlineStr">
        <is>
          <t>P00851</t>
        </is>
      </c>
      <c r="B852" s="3" t="inlineStr">
        <is>
          <t>D0974</t>
        </is>
      </c>
      <c r="C852" s="3" t="inlineStr">
        <is>
          <t>A0163</t>
        </is>
      </c>
      <c r="D852" s="4" t="n">
        <v>46145</v>
      </c>
      <c r="E852" s="5" t="n">
        <v>17833</v>
      </c>
      <c r="F852" s="3" t="inlineStr">
        <is>
          <t>Cash</t>
        </is>
      </c>
    </row>
    <row r="853">
      <c r="A853" s="3" t="inlineStr">
        <is>
          <t>P00852</t>
        </is>
      </c>
      <c r="B853" s="3" t="inlineStr">
        <is>
          <t>D0975</t>
        </is>
      </c>
      <c r="C853" s="3" t="inlineStr">
        <is>
          <t>A0163</t>
        </is>
      </c>
      <c r="D853" s="4" t="n">
        <v>46179</v>
      </c>
      <c r="E853" s="5" t="n">
        <v>17833</v>
      </c>
      <c r="F853" s="3" t="inlineStr">
        <is>
          <t>UPI</t>
        </is>
      </c>
    </row>
    <row r="854">
      <c r="A854" s="3" t="inlineStr">
        <is>
          <t>P00853</t>
        </is>
      </c>
      <c r="B854" s="3" t="inlineStr">
        <is>
          <t>D0976</t>
        </is>
      </c>
      <c r="C854" s="3" t="inlineStr">
        <is>
          <t>A0163</t>
        </is>
      </c>
      <c r="D854" s="4" t="n">
        <v>46211</v>
      </c>
      <c r="E854" s="5" t="n">
        <v>17833</v>
      </c>
      <c r="F854" s="3" t="inlineStr">
        <is>
          <t>Cash</t>
        </is>
      </c>
    </row>
    <row r="855">
      <c r="A855" s="3" t="inlineStr">
        <is>
          <t>P00854</t>
        </is>
      </c>
      <c r="B855" s="3" t="inlineStr">
        <is>
          <t>D0977</t>
        </is>
      </c>
      <c r="C855" s="3" t="inlineStr">
        <is>
          <t>A0163</t>
        </is>
      </c>
      <c r="D855" s="4" t="n">
        <v>46239</v>
      </c>
      <c r="E855" s="5" t="n">
        <v>17833</v>
      </c>
      <c r="F855" s="3" t="inlineStr">
        <is>
          <t>NEFT</t>
        </is>
      </c>
    </row>
    <row r="856">
      <c r="A856" s="3" t="inlineStr">
        <is>
          <t>P00855</t>
        </is>
      </c>
      <c r="B856" s="3" t="inlineStr">
        <is>
          <t>D0978</t>
        </is>
      </c>
      <c r="C856" s="3" t="inlineStr">
        <is>
          <t>A0163</t>
        </is>
      </c>
      <c r="D856" s="4" t="n">
        <v>46267</v>
      </c>
      <c r="E856" s="5" t="n">
        <v>17833</v>
      </c>
      <c r="F856" s="3" t="inlineStr">
        <is>
          <t>UPI</t>
        </is>
      </c>
    </row>
    <row r="857">
      <c r="A857" s="3" t="inlineStr">
        <is>
          <t>P00856</t>
        </is>
      </c>
      <c r="B857" s="3" t="inlineStr">
        <is>
          <t>D0979</t>
        </is>
      </c>
      <c r="C857" s="3" t="inlineStr">
        <is>
          <t>A0164</t>
        </is>
      </c>
      <c r="D857" s="4" t="n">
        <v>46117</v>
      </c>
      <c r="E857" s="5" t="n">
        <v>26167</v>
      </c>
      <c r="F857" s="3" t="inlineStr">
        <is>
          <t>Cash</t>
        </is>
      </c>
    </row>
    <row r="858">
      <c r="A858" s="3" t="inlineStr">
        <is>
          <t>P00857</t>
        </is>
      </c>
      <c r="B858" s="3" t="inlineStr">
        <is>
          <t>D0980</t>
        </is>
      </c>
      <c r="C858" s="3" t="inlineStr">
        <is>
          <t>A0164</t>
        </is>
      </c>
      <c r="D858" s="4" t="n">
        <v>46147</v>
      </c>
      <c r="E858" s="5" t="n">
        <v>26167</v>
      </c>
      <c r="F858" s="3" t="inlineStr">
        <is>
          <t>UPI</t>
        </is>
      </c>
    </row>
    <row r="859">
      <c r="A859" s="3" t="inlineStr">
        <is>
          <t>P00858</t>
        </is>
      </c>
      <c r="B859" s="3" t="inlineStr">
        <is>
          <t>D0981</t>
        </is>
      </c>
      <c r="C859" s="3" t="inlineStr">
        <is>
          <t>A0164</t>
        </is>
      </c>
      <c r="D859" s="4" t="n">
        <v>46180</v>
      </c>
      <c r="E859" s="5" t="n">
        <v>26167</v>
      </c>
      <c r="F859" s="3" t="inlineStr">
        <is>
          <t>Cash</t>
        </is>
      </c>
    </row>
    <row r="860">
      <c r="A860" s="3" t="inlineStr">
        <is>
          <t>P00859</t>
        </is>
      </c>
      <c r="B860" s="3" t="inlineStr">
        <is>
          <t>D0982</t>
        </is>
      </c>
      <c r="C860" s="3" t="inlineStr">
        <is>
          <t>A0164</t>
        </is>
      </c>
      <c r="D860" s="4" t="n">
        <v>46211</v>
      </c>
      <c r="E860" s="5" t="n">
        <v>26167</v>
      </c>
      <c r="F860" s="3" t="inlineStr">
        <is>
          <t>NEFT</t>
        </is>
      </c>
    </row>
    <row r="861">
      <c r="A861" s="3" t="inlineStr">
        <is>
          <t>P00860</t>
        </is>
      </c>
      <c r="B861" s="3" t="inlineStr">
        <is>
          <t>D0983</t>
        </is>
      </c>
      <c r="C861" s="3" t="inlineStr">
        <is>
          <t>A0164</t>
        </is>
      </c>
      <c r="D861" s="4" t="n">
        <v>46238</v>
      </c>
      <c r="E861" s="5" t="n">
        <v>26167</v>
      </c>
      <c r="F861" s="3" t="inlineStr">
        <is>
          <t>Cash</t>
        </is>
      </c>
    </row>
    <row r="862">
      <c r="A862" s="3" t="inlineStr">
        <is>
          <t>P00861</t>
        </is>
      </c>
      <c r="B862" s="3" t="inlineStr">
        <is>
          <t>D0984</t>
        </is>
      </c>
      <c r="C862" s="3" t="inlineStr">
        <is>
          <t>A0164</t>
        </is>
      </c>
      <c r="D862" s="4" t="n">
        <v>46272</v>
      </c>
      <c r="E862" s="5" t="n">
        <v>26167</v>
      </c>
      <c r="F862" s="3" t="inlineStr">
        <is>
          <t>UPI</t>
        </is>
      </c>
    </row>
    <row r="863">
      <c r="A863" s="3" t="inlineStr">
        <is>
          <t>P00862</t>
        </is>
      </c>
      <c r="B863" s="3" t="inlineStr">
        <is>
          <t>D0985</t>
        </is>
      </c>
      <c r="C863" s="3" t="inlineStr">
        <is>
          <t>A0165</t>
        </is>
      </c>
      <c r="D863" s="4" t="n">
        <v>46114</v>
      </c>
      <c r="E863" s="5" t="n">
        <v>5500</v>
      </c>
      <c r="F863" s="3" t="inlineStr">
        <is>
          <t>Cash</t>
        </is>
      </c>
    </row>
    <row r="864">
      <c r="A864" s="3" t="inlineStr">
        <is>
          <t>P00863</t>
        </is>
      </c>
      <c r="B864" s="3" t="inlineStr">
        <is>
          <t>D0986</t>
        </is>
      </c>
      <c r="C864" s="3" t="inlineStr">
        <is>
          <t>A0165</t>
        </is>
      </c>
      <c r="D864" s="4" t="n">
        <v>46149</v>
      </c>
      <c r="E864" s="5" t="n">
        <v>5500</v>
      </c>
      <c r="F864" s="3" t="inlineStr">
        <is>
          <t>NEFT</t>
        </is>
      </c>
    </row>
    <row r="865">
      <c r="A865" s="3" t="inlineStr">
        <is>
          <t>P00864</t>
        </is>
      </c>
      <c r="B865" s="3" t="inlineStr">
        <is>
          <t>D0987</t>
        </is>
      </c>
      <c r="C865" s="3" t="inlineStr">
        <is>
          <t>A0165</t>
        </is>
      </c>
      <c r="D865" s="4" t="n">
        <v>46175</v>
      </c>
      <c r="E865" s="5" t="n">
        <v>5500</v>
      </c>
      <c r="F865" s="3" t="inlineStr">
        <is>
          <t>NEFT</t>
        </is>
      </c>
    </row>
    <row r="866">
      <c r="A866" s="3" t="inlineStr">
        <is>
          <t>P00865</t>
        </is>
      </c>
      <c r="B866" s="3" t="inlineStr">
        <is>
          <t>D0988</t>
        </is>
      </c>
      <c r="C866" s="3" t="inlineStr">
        <is>
          <t>A0165</t>
        </is>
      </c>
      <c r="D866" s="4" t="n">
        <v>46205</v>
      </c>
      <c r="E866" s="5" t="n">
        <v>5500</v>
      </c>
      <c r="F866" s="3" t="inlineStr">
        <is>
          <t>NEFT</t>
        </is>
      </c>
    </row>
    <row r="867">
      <c r="A867" s="3" t="inlineStr">
        <is>
          <t>P00866</t>
        </is>
      </c>
      <c r="B867" s="3" t="inlineStr">
        <is>
          <t>D0989</t>
        </is>
      </c>
      <c r="C867" s="3" t="inlineStr">
        <is>
          <t>A0165</t>
        </is>
      </c>
      <c r="D867" s="4" t="n">
        <v>46238</v>
      </c>
      <c r="E867" s="5" t="n">
        <v>5500</v>
      </c>
      <c r="F867" s="3" t="inlineStr">
        <is>
          <t>UPI</t>
        </is>
      </c>
    </row>
    <row r="868">
      <c r="A868" s="3" t="inlineStr">
        <is>
          <t>P00867</t>
        </is>
      </c>
      <c r="B868" s="3" t="inlineStr">
        <is>
          <t>D0990</t>
        </is>
      </c>
      <c r="C868" s="3" t="inlineStr">
        <is>
          <t>A0165</t>
        </is>
      </c>
      <c r="D868" s="4" t="n">
        <v>46272</v>
      </c>
      <c r="E868" s="5" t="n">
        <v>5500</v>
      </c>
      <c r="F868" s="3" t="inlineStr">
        <is>
          <t>UPI</t>
        </is>
      </c>
    </row>
    <row r="869">
      <c r="A869" s="3" t="inlineStr">
        <is>
          <t>P00868</t>
        </is>
      </c>
      <c r="B869" s="3" t="inlineStr">
        <is>
          <t>D0997</t>
        </is>
      </c>
      <c r="C869" s="3" t="inlineStr">
        <is>
          <t>A0167</t>
        </is>
      </c>
      <c r="D869" s="4" t="n">
        <v>46119</v>
      </c>
      <c r="E869" s="5" t="n">
        <v>22167</v>
      </c>
      <c r="F869" s="3" t="inlineStr">
        <is>
          <t>UPI</t>
        </is>
      </c>
    </row>
    <row r="870">
      <c r="A870" s="3" t="inlineStr">
        <is>
          <t>P00869</t>
        </is>
      </c>
      <c r="B870" s="3" t="inlineStr">
        <is>
          <t>D0998</t>
        </is>
      </c>
      <c r="C870" s="3" t="inlineStr">
        <is>
          <t>A0167</t>
        </is>
      </c>
      <c r="D870" s="4" t="n">
        <v>46150</v>
      </c>
      <c r="E870" s="5" t="n">
        <v>22167</v>
      </c>
      <c r="F870" s="3" t="inlineStr">
        <is>
          <t>UPI</t>
        </is>
      </c>
    </row>
    <row r="871">
      <c r="A871" s="3" t="inlineStr">
        <is>
          <t>P00870</t>
        </is>
      </c>
      <c r="B871" s="3" t="inlineStr">
        <is>
          <t>D0999</t>
        </is>
      </c>
      <c r="C871" s="3" t="inlineStr">
        <is>
          <t>A0167</t>
        </is>
      </c>
      <c r="D871" s="4" t="n">
        <v>46176</v>
      </c>
      <c r="E871" s="5" t="n">
        <v>22167</v>
      </c>
      <c r="F871" s="3" t="inlineStr">
        <is>
          <t>NEFT</t>
        </is>
      </c>
    </row>
    <row r="872">
      <c r="A872" s="3" t="inlineStr">
        <is>
          <t>P00871</t>
        </is>
      </c>
      <c r="B872" s="3" t="inlineStr">
        <is>
          <t>D1000</t>
        </is>
      </c>
      <c r="C872" s="3" t="inlineStr">
        <is>
          <t>A0167</t>
        </is>
      </c>
      <c r="D872" s="4" t="n">
        <v>46208</v>
      </c>
      <c r="E872" s="5" t="n">
        <v>22167</v>
      </c>
      <c r="F872" s="3" t="inlineStr">
        <is>
          <t>UPI</t>
        </is>
      </c>
    </row>
    <row r="873">
      <c r="A873" s="3" t="inlineStr">
        <is>
          <t>P00872</t>
        </is>
      </c>
      <c r="B873" s="3" t="inlineStr">
        <is>
          <t>D1001</t>
        </is>
      </c>
      <c r="C873" s="3" t="inlineStr">
        <is>
          <t>A0167</t>
        </is>
      </c>
      <c r="D873" s="4" t="n">
        <v>46240</v>
      </c>
      <c r="E873" s="5" t="n">
        <v>22167</v>
      </c>
      <c r="F873" s="3" t="inlineStr">
        <is>
          <t>Cash</t>
        </is>
      </c>
    </row>
    <row r="874">
      <c r="A874" s="3" t="inlineStr">
        <is>
          <t>P00873</t>
        </is>
      </c>
      <c r="B874" s="3" t="inlineStr">
        <is>
          <t>D1002</t>
        </is>
      </c>
      <c r="C874" s="3" t="inlineStr">
        <is>
          <t>A0167</t>
        </is>
      </c>
      <c r="D874" s="4" t="n">
        <v>46272</v>
      </c>
      <c r="E874" s="5" t="n">
        <v>22167</v>
      </c>
      <c r="F874" s="3" t="inlineStr">
        <is>
          <t>Cash</t>
        </is>
      </c>
    </row>
    <row r="875">
      <c r="A875" s="3" t="inlineStr">
        <is>
          <t>P00874</t>
        </is>
      </c>
      <c r="B875" s="3" t="inlineStr">
        <is>
          <t>D1003</t>
        </is>
      </c>
      <c r="C875" s="3" t="inlineStr">
        <is>
          <t>A0168</t>
        </is>
      </c>
      <c r="D875" s="4" t="n">
        <v>46127</v>
      </c>
      <c r="E875" s="5" t="n">
        <v>11513</v>
      </c>
      <c r="F875" s="3" t="inlineStr">
        <is>
          <t>NEFT</t>
        </is>
      </c>
    </row>
    <row r="876">
      <c r="A876" s="3" t="inlineStr">
        <is>
          <t>P00875</t>
        </is>
      </c>
      <c r="B876" s="3" t="inlineStr">
        <is>
          <t>D1003</t>
        </is>
      </c>
      <c r="C876" s="3" t="inlineStr">
        <is>
          <t>A0168</t>
        </is>
      </c>
      <c r="D876" s="4" t="n">
        <v>46149</v>
      </c>
      <c r="E876" s="5" t="n">
        <v>16154</v>
      </c>
      <c r="F876" s="3" t="inlineStr">
        <is>
          <t>UPI</t>
        </is>
      </c>
    </row>
    <row r="877">
      <c r="A877" s="3" t="inlineStr">
        <is>
          <t>P00876</t>
        </is>
      </c>
      <c r="B877" s="3" t="inlineStr">
        <is>
          <t>D1004</t>
        </is>
      </c>
      <c r="C877" s="3" t="inlineStr">
        <is>
          <t>A0168</t>
        </is>
      </c>
      <c r="D877" s="4" t="n">
        <v>46153</v>
      </c>
      <c r="E877" s="5" t="n">
        <v>27667</v>
      </c>
      <c r="F877" s="3" t="inlineStr">
        <is>
          <t>Cash</t>
        </is>
      </c>
    </row>
    <row r="878">
      <c r="A878" s="3" t="inlineStr">
        <is>
          <t>P00877</t>
        </is>
      </c>
      <c r="B878" s="3" t="inlineStr">
        <is>
          <t>D1005</t>
        </is>
      </c>
      <c r="C878" s="3" t="inlineStr">
        <is>
          <t>A0168</t>
        </is>
      </c>
      <c r="D878" s="4" t="n">
        <v>46179</v>
      </c>
      <c r="E878" s="5" t="n">
        <v>27667</v>
      </c>
      <c r="F878" s="3" t="inlineStr">
        <is>
          <t>Cash</t>
        </is>
      </c>
    </row>
    <row r="879">
      <c r="A879" s="3" t="inlineStr">
        <is>
          <t>P00878</t>
        </is>
      </c>
      <c r="B879" s="3" t="inlineStr">
        <is>
          <t>D1006</t>
        </is>
      </c>
      <c r="C879" s="3" t="inlineStr">
        <is>
          <t>A0168</t>
        </is>
      </c>
      <c r="D879" s="4" t="n">
        <v>46228</v>
      </c>
      <c r="E879" s="5" t="n">
        <v>18310</v>
      </c>
      <c r="F879" s="3" t="inlineStr">
        <is>
          <t>Cash</t>
        </is>
      </c>
    </row>
    <row r="880">
      <c r="A880" s="3" t="inlineStr">
        <is>
          <t>P00879</t>
        </is>
      </c>
      <c r="B880" s="3" t="inlineStr">
        <is>
          <t>D1006</t>
        </is>
      </c>
      <c r="C880" s="3" t="inlineStr">
        <is>
          <t>A0168</t>
        </is>
      </c>
      <c r="D880" s="4" t="n">
        <v>46247</v>
      </c>
      <c r="E880" s="5" t="n">
        <v>9357</v>
      </c>
      <c r="F880" s="3" t="inlineStr">
        <is>
          <t>UPI</t>
        </is>
      </c>
    </row>
    <row r="881">
      <c r="A881" s="3" t="inlineStr">
        <is>
          <t>P00880</t>
        </is>
      </c>
      <c r="B881" s="3" t="inlineStr">
        <is>
          <t>D1007</t>
        </is>
      </c>
      <c r="C881" s="3" t="inlineStr">
        <is>
          <t>A0168</t>
        </is>
      </c>
      <c r="D881" s="4" t="n">
        <v>46239</v>
      </c>
      <c r="E881" s="5" t="n">
        <v>27667</v>
      </c>
      <c r="F881" s="3" t="inlineStr">
        <is>
          <t>Cash</t>
        </is>
      </c>
    </row>
    <row r="882">
      <c r="A882" s="3" t="inlineStr">
        <is>
          <t>P00881</t>
        </is>
      </c>
      <c r="B882" s="3" t="inlineStr">
        <is>
          <t>D1008</t>
        </is>
      </c>
      <c r="C882" s="3" t="inlineStr">
        <is>
          <t>A0168</t>
        </is>
      </c>
      <c r="D882" s="4" t="n">
        <v>46307</v>
      </c>
      <c r="E882" s="5" t="n">
        <v>27667</v>
      </c>
      <c r="F882" s="3" t="inlineStr">
        <is>
          <t>Cash</t>
        </is>
      </c>
    </row>
    <row r="883">
      <c r="A883" s="3" t="inlineStr">
        <is>
          <t>P00882</t>
        </is>
      </c>
      <c r="B883" s="3" t="inlineStr">
        <is>
          <t>D1009</t>
        </is>
      </c>
      <c r="C883" s="3" t="inlineStr">
        <is>
          <t>A0169</t>
        </is>
      </c>
      <c r="D883" s="4" t="n">
        <v>46116</v>
      </c>
      <c r="E883" s="5" t="n">
        <v>33333</v>
      </c>
      <c r="F883" s="3" t="inlineStr">
        <is>
          <t>Cash</t>
        </is>
      </c>
    </row>
    <row r="884">
      <c r="A884" s="3" t="inlineStr">
        <is>
          <t>P00883</t>
        </is>
      </c>
      <c r="B884" s="3" t="inlineStr">
        <is>
          <t>D1010</t>
        </is>
      </c>
      <c r="C884" s="3" t="inlineStr">
        <is>
          <t>A0169</t>
        </is>
      </c>
      <c r="D884" s="4" t="n">
        <v>46146</v>
      </c>
      <c r="E884" s="5" t="n">
        <v>33333</v>
      </c>
      <c r="F884" s="3" t="inlineStr">
        <is>
          <t>NEFT</t>
        </is>
      </c>
    </row>
    <row r="885">
      <c r="A885" s="3" t="inlineStr">
        <is>
          <t>P00884</t>
        </is>
      </c>
      <c r="B885" s="3" t="inlineStr">
        <is>
          <t>D1011</t>
        </is>
      </c>
      <c r="C885" s="3" t="inlineStr">
        <is>
          <t>A0169</t>
        </is>
      </c>
      <c r="D885" s="4" t="n">
        <v>46176</v>
      </c>
      <c r="E885" s="5" t="n">
        <v>33333</v>
      </c>
      <c r="F885" s="3" t="inlineStr">
        <is>
          <t>UPI</t>
        </is>
      </c>
    </row>
    <row r="886">
      <c r="A886" s="3" t="inlineStr">
        <is>
          <t>P00885</t>
        </is>
      </c>
      <c r="B886" s="3" t="inlineStr">
        <is>
          <t>D1012</t>
        </is>
      </c>
      <c r="C886" s="3" t="inlineStr">
        <is>
          <t>A0169</t>
        </is>
      </c>
      <c r="D886" s="4" t="n">
        <v>46205</v>
      </c>
      <c r="E886" s="5" t="n">
        <v>33333</v>
      </c>
      <c r="F886" s="3" t="inlineStr">
        <is>
          <t>Cash</t>
        </is>
      </c>
    </row>
    <row r="887">
      <c r="A887" s="3" t="inlineStr">
        <is>
          <t>P00886</t>
        </is>
      </c>
      <c r="B887" s="3" t="inlineStr">
        <is>
          <t>D1013</t>
        </is>
      </c>
      <c r="C887" s="3" t="inlineStr">
        <is>
          <t>A0169</t>
        </is>
      </c>
      <c r="D887" s="4" t="n">
        <v>46242</v>
      </c>
      <c r="E887" s="5" t="n">
        <v>33333</v>
      </c>
      <c r="F887" s="3" t="inlineStr">
        <is>
          <t>Cash</t>
        </is>
      </c>
    </row>
    <row r="888">
      <c r="A888" s="3" t="inlineStr">
        <is>
          <t>P00887</t>
        </is>
      </c>
      <c r="B888" s="3" t="inlineStr">
        <is>
          <t>D1014</t>
        </is>
      </c>
      <c r="C888" s="3" t="inlineStr">
        <is>
          <t>A0169</t>
        </is>
      </c>
      <c r="D888" s="4" t="n">
        <v>46273</v>
      </c>
      <c r="E888" s="5" t="n">
        <v>33333</v>
      </c>
      <c r="F888" s="3" t="inlineStr">
        <is>
          <t>UPI</t>
        </is>
      </c>
    </row>
    <row r="889">
      <c r="A889" s="3" t="inlineStr">
        <is>
          <t>P00888</t>
        </is>
      </c>
      <c r="B889" s="3" t="inlineStr">
        <is>
          <t>D1015</t>
        </is>
      </c>
      <c r="C889" s="3" t="inlineStr">
        <is>
          <t>A0170</t>
        </is>
      </c>
      <c r="D889" s="4" t="n">
        <v>46153</v>
      </c>
      <c r="E889" s="5" t="n">
        <v>28167</v>
      </c>
      <c r="F889" s="3" t="inlineStr">
        <is>
          <t>UPI</t>
        </is>
      </c>
    </row>
    <row r="890">
      <c r="A890" s="3" t="inlineStr">
        <is>
          <t>P00889</t>
        </is>
      </c>
      <c r="B890" s="3" t="inlineStr">
        <is>
          <t>D1016</t>
        </is>
      </c>
      <c r="C890" s="3" t="inlineStr">
        <is>
          <t>A0170</t>
        </is>
      </c>
      <c r="D890" s="4" t="n">
        <v>46168</v>
      </c>
      <c r="E890" s="5" t="n">
        <v>28167</v>
      </c>
      <c r="F890" s="3" t="inlineStr">
        <is>
          <t>Cash</t>
        </is>
      </c>
    </row>
    <row r="891">
      <c r="A891" s="3" t="inlineStr">
        <is>
          <t>P00890</t>
        </is>
      </c>
      <c r="B891" s="3" t="inlineStr">
        <is>
          <t>D1017</t>
        </is>
      </c>
      <c r="C891" s="3" t="inlineStr">
        <is>
          <t>A0170</t>
        </is>
      </c>
      <c r="D891" s="4" t="n">
        <v>46191</v>
      </c>
      <c r="E891" s="5" t="n">
        <v>28167</v>
      </c>
      <c r="F891" s="3" t="inlineStr">
        <is>
          <t>Cash</t>
        </is>
      </c>
    </row>
    <row r="892">
      <c r="A892" s="3" t="inlineStr">
        <is>
          <t>P00891</t>
        </is>
      </c>
      <c r="B892" s="3" t="inlineStr">
        <is>
          <t>D1018</t>
        </is>
      </c>
      <c r="C892" s="3" t="inlineStr">
        <is>
          <t>A0170</t>
        </is>
      </c>
      <c r="D892" s="4" t="n">
        <v>46231</v>
      </c>
      <c r="E892" s="5" t="n">
        <v>28167</v>
      </c>
      <c r="F892" s="3" t="inlineStr">
        <is>
          <t>UPI</t>
        </is>
      </c>
    </row>
    <row r="893">
      <c r="A893" s="3" t="inlineStr">
        <is>
          <t>P00892</t>
        </is>
      </c>
      <c r="B893" s="3" t="inlineStr">
        <is>
          <t>D1019</t>
        </is>
      </c>
      <c r="C893" s="3" t="inlineStr">
        <is>
          <t>A0170</t>
        </is>
      </c>
      <c r="D893" s="4" t="n">
        <v>46250</v>
      </c>
      <c r="E893" s="5" t="n">
        <v>28167</v>
      </c>
      <c r="F893" s="3" t="inlineStr">
        <is>
          <t>UPI</t>
        </is>
      </c>
    </row>
    <row r="894">
      <c r="A894" s="3" t="inlineStr">
        <is>
          <t>P00893</t>
        </is>
      </c>
      <c r="B894" s="3" t="inlineStr">
        <is>
          <t>D1020</t>
        </is>
      </c>
      <c r="C894" s="3" t="inlineStr">
        <is>
          <t>A0170</t>
        </is>
      </c>
      <c r="D894" s="4" t="n">
        <v>46294</v>
      </c>
      <c r="E894" s="5" t="n">
        <v>28167</v>
      </c>
      <c r="F894" s="3" t="inlineStr">
        <is>
          <t>Cash</t>
        </is>
      </c>
    </row>
    <row r="895">
      <c r="A895" s="3" t="inlineStr">
        <is>
          <t>P00894</t>
        </is>
      </c>
      <c r="B895" s="3" t="inlineStr">
        <is>
          <t>D1021</t>
        </is>
      </c>
      <c r="C895" s="3" t="inlineStr">
        <is>
          <t>A0171</t>
        </is>
      </c>
      <c r="D895" s="4" t="n">
        <v>46116</v>
      </c>
      <c r="E895" s="5" t="n">
        <v>14500</v>
      </c>
      <c r="F895" s="3" t="inlineStr">
        <is>
          <t>UPI</t>
        </is>
      </c>
    </row>
    <row r="896">
      <c r="A896" s="3" t="inlineStr">
        <is>
          <t>P00895</t>
        </is>
      </c>
      <c r="B896" s="3" t="inlineStr">
        <is>
          <t>D1022</t>
        </is>
      </c>
      <c r="C896" s="3" t="inlineStr">
        <is>
          <t>A0171</t>
        </is>
      </c>
      <c r="D896" s="4" t="n">
        <v>46147</v>
      </c>
      <c r="E896" s="5" t="n">
        <v>14500</v>
      </c>
      <c r="F896" s="3" t="inlineStr">
        <is>
          <t>NEFT</t>
        </is>
      </c>
    </row>
    <row r="897">
      <c r="A897" s="3" t="inlineStr">
        <is>
          <t>P00896</t>
        </is>
      </c>
      <c r="B897" s="3" t="inlineStr">
        <is>
          <t>D1023</t>
        </is>
      </c>
      <c r="C897" s="3" t="inlineStr">
        <is>
          <t>A0171</t>
        </is>
      </c>
      <c r="D897" s="4" t="n">
        <v>46177</v>
      </c>
      <c r="E897" s="5" t="n">
        <v>14500</v>
      </c>
      <c r="F897" s="3" t="inlineStr">
        <is>
          <t>Cash</t>
        </is>
      </c>
    </row>
    <row r="898">
      <c r="A898" s="3" t="inlineStr">
        <is>
          <t>P00897</t>
        </is>
      </c>
      <c r="B898" s="3" t="inlineStr">
        <is>
          <t>D1024</t>
        </is>
      </c>
      <c r="C898" s="3" t="inlineStr">
        <is>
          <t>A0171</t>
        </is>
      </c>
      <c r="D898" s="4" t="n">
        <v>46205</v>
      </c>
      <c r="E898" s="5" t="n">
        <v>14500</v>
      </c>
      <c r="F898" s="3" t="inlineStr">
        <is>
          <t>UPI</t>
        </is>
      </c>
    </row>
    <row r="899">
      <c r="A899" s="3" t="inlineStr">
        <is>
          <t>P00898</t>
        </is>
      </c>
      <c r="B899" s="3" t="inlineStr">
        <is>
          <t>D1025</t>
        </is>
      </c>
      <c r="C899" s="3" t="inlineStr">
        <is>
          <t>A0171</t>
        </is>
      </c>
      <c r="D899" s="4" t="n">
        <v>46239</v>
      </c>
      <c r="E899" s="5" t="n">
        <v>14500</v>
      </c>
      <c r="F899" s="3" t="inlineStr">
        <is>
          <t>UPI</t>
        </is>
      </c>
    </row>
    <row r="900">
      <c r="A900" s="3" t="inlineStr">
        <is>
          <t>P00899</t>
        </is>
      </c>
      <c r="B900" s="3" t="inlineStr">
        <is>
          <t>D1026</t>
        </is>
      </c>
      <c r="C900" s="3" t="inlineStr">
        <is>
          <t>A0171</t>
        </is>
      </c>
      <c r="D900" s="4" t="n">
        <v>46267</v>
      </c>
      <c r="E900" s="5" t="n">
        <v>14500</v>
      </c>
      <c r="F900" s="3" t="inlineStr">
        <is>
          <t>Cash</t>
        </is>
      </c>
    </row>
    <row r="901">
      <c r="A901" s="3" t="inlineStr">
        <is>
          <t>P00900</t>
        </is>
      </c>
      <c r="B901" s="3" t="inlineStr">
        <is>
          <t>D1027</t>
        </is>
      </c>
      <c r="C901" s="3" t="inlineStr">
        <is>
          <t>A0172</t>
        </is>
      </c>
      <c r="D901" s="4" t="n">
        <v>46117</v>
      </c>
      <c r="E901" s="5" t="n">
        <v>13167</v>
      </c>
      <c r="F901" s="3" t="inlineStr">
        <is>
          <t>NEFT</t>
        </is>
      </c>
    </row>
    <row r="902">
      <c r="A902" s="3" t="inlineStr">
        <is>
          <t>P00901</t>
        </is>
      </c>
      <c r="B902" s="3" t="inlineStr">
        <is>
          <t>D1028</t>
        </is>
      </c>
      <c r="C902" s="3" t="inlineStr">
        <is>
          <t>A0172</t>
        </is>
      </c>
      <c r="D902" s="4" t="n">
        <v>46147</v>
      </c>
      <c r="E902" s="5" t="n">
        <v>13167</v>
      </c>
      <c r="F902" s="3" t="inlineStr">
        <is>
          <t>Cash</t>
        </is>
      </c>
    </row>
    <row r="903">
      <c r="A903" s="3" t="inlineStr">
        <is>
          <t>P00902</t>
        </is>
      </c>
      <c r="B903" s="3" t="inlineStr">
        <is>
          <t>D1029</t>
        </is>
      </c>
      <c r="C903" s="3" t="inlineStr">
        <is>
          <t>A0172</t>
        </is>
      </c>
      <c r="D903" s="4" t="n">
        <v>46177</v>
      </c>
      <c r="E903" s="5" t="n">
        <v>13167</v>
      </c>
      <c r="F903" s="3" t="inlineStr">
        <is>
          <t>NEFT</t>
        </is>
      </c>
    </row>
    <row r="904">
      <c r="A904" s="3" t="inlineStr">
        <is>
          <t>P00903</t>
        </is>
      </c>
      <c r="B904" s="3" t="inlineStr">
        <is>
          <t>D1030</t>
        </is>
      </c>
      <c r="C904" s="3" t="inlineStr">
        <is>
          <t>A0172</t>
        </is>
      </c>
      <c r="D904" s="4" t="n">
        <v>46207</v>
      </c>
      <c r="E904" s="5" t="n">
        <v>13167</v>
      </c>
      <c r="F904" s="3" t="inlineStr">
        <is>
          <t>UPI</t>
        </is>
      </c>
    </row>
    <row r="905">
      <c r="A905" s="3" t="inlineStr">
        <is>
          <t>P00904</t>
        </is>
      </c>
      <c r="B905" s="3" t="inlineStr">
        <is>
          <t>D1031</t>
        </is>
      </c>
      <c r="C905" s="3" t="inlineStr">
        <is>
          <t>A0172</t>
        </is>
      </c>
      <c r="D905" s="4" t="n">
        <v>46237</v>
      </c>
      <c r="E905" s="5" t="n">
        <v>13167</v>
      </c>
      <c r="F905" s="3" t="inlineStr">
        <is>
          <t>UPI</t>
        </is>
      </c>
    </row>
    <row r="906">
      <c r="A906" s="3" t="inlineStr">
        <is>
          <t>P00905</t>
        </is>
      </c>
      <c r="B906" s="3" t="inlineStr">
        <is>
          <t>D1032</t>
        </is>
      </c>
      <c r="C906" s="3" t="inlineStr">
        <is>
          <t>A0172</t>
        </is>
      </c>
      <c r="D906" s="4" t="n">
        <v>46273</v>
      </c>
      <c r="E906" s="5" t="n">
        <v>13167</v>
      </c>
      <c r="F906" s="3" t="inlineStr">
        <is>
          <t>NEFT</t>
        </is>
      </c>
    </row>
    <row r="907">
      <c r="A907" s="3" t="inlineStr">
        <is>
          <t>P00906</t>
        </is>
      </c>
      <c r="B907" s="3" t="inlineStr">
        <is>
          <t>D1033</t>
        </is>
      </c>
      <c r="C907" s="3" t="inlineStr">
        <is>
          <t>A0173</t>
        </is>
      </c>
      <c r="D907" s="4" t="n">
        <v>46115</v>
      </c>
      <c r="E907" s="5" t="n">
        <v>25500</v>
      </c>
      <c r="F907" s="3" t="inlineStr">
        <is>
          <t>UPI</t>
        </is>
      </c>
    </row>
    <row r="908">
      <c r="A908" s="3" t="inlineStr">
        <is>
          <t>P00907</t>
        </is>
      </c>
      <c r="B908" s="3" t="inlineStr">
        <is>
          <t>D1034</t>
        </is>
      </c>
      <c r="C908" s="3" t="inlineStr">
        <is>
          <t>A0173</t>
        </is>
      </c>
      <c r="D908" s="4" t="n">
        <v>46146</v>
      </c>
      <c r="E908" s="5" t="n">
        <v>25500</v>
      </c>
      <c r="F908" s="3" t="inlineStr">
        <is>
          <t>UPI</t>
        </is>
      </c>
    </row>
    <row r="909">
      <c r="A909" s="3" t="inlineStr">
        <is>
          <t>P00908</t>
        </is>
      </c>
      <c r="B909" s="3" t="inlineStr">
        <is>
          <t>D1035</t>
        </is>
      </c>
      <c r="C909" s="3" t="inlineStr">
        <is>
          <t>A0173</t>
        </is>
      </c>
      <c r="D909" s="4" t="n">
        <v>46175</v>
      </c>
      <c r="E909" s="5" t="n">
        <v>25500</v>
      </c>
      <c r="F909" s="3" t="inlineStr">
        <is>
          <t>UPI</t>
        </is>
      </c>
    </row>
    <row r="910">
      <c r="A910" s="3" t="inlineStr">
        <is>
          <t>P00909</t>
        </is>
      </c>
      <c r="B910" s="3" t="inlineStr">
        <is>
          <t>D1036</t>
        </is>
      </c>
      <c r="C910" s="3" t="inlineStr">
        <is>
          <t>A0173</t>
        </is>
      </c>
      <c r="D910" s="4" t="n">
        <v>46205</v>
      </c>
      <c r="E910" s="5" t="n">
        <v>25500</v>
      </c>
      <c r="F910" s="3" t="inlineStr">
        <is>
          <t>Cash</t>
        </is>
      </c>
    </row>
    <row r="911">
      <c r="A911" s="3" t="inlineStr">
        <is>
          <t>P00910</t>
        </is>
      </c>
      <c r="B911" s="3" t="inlineStr">
        <is>
          <t>D1037</t>
        </is>
      </c>
      <c r="C911" s="3" t="inlineStr">
        <is>
          <t>A0173</t>
        </is>
      </c>
      <c r="D911" s="4" t="n">
        <v>46237</v>
      </c>
      <c r="E911" s="5" t="n">
        <v>25500</v>
      </c>
      <c r="F911" s="3" t="inlineStr">
        <is>
          <t>Cash</t>
        </is>
      </c>
    </row>
    <row r="912">
      <c r="A912" s="3" t="inlineStr">
        <is>
          <t>P00911</t>
        </is>
      </c>
      <c r="B912" s="3" t="inlineStr">
        <is>
          <t>D1038</t>
        </is>
      </c>
      <c r="C912" s="3" t="inlineStr">
        <is>
          <t>A0173</t>
        </is>
      </c>
      <c r="D912" s="4" t="n">
        <v>46268</v>
      </c>
      <c r="E912" s="5" t="n">
        <v>25500</v>
      </c>
      <c r="F912" s="3" t="inlineStr">
        <is>
          <t>Cash</t>
        </is>
      </c>
    </row>
    <row r="913">
      <c r="A913" s="3" t="inlineStr">
        <is>
          <t>P00912</t>
        </is>
      </c>
      <c r="B913" s="3" t="inlineStr">
        <is>
          <t>D1039</t>
        </is>
      </c>
      <c r="C913" s="3" t="inlineStr">
        <is>
          <t>A0174</t>
        </is>
      </c>
      <c r="D913" s="4" t="n">
        <v>46127</v>
      </c>
      <c r="E913" s="5" t="n">
        <v>14033</v>
      </c>
      <c r="F913" s="3" t="inlineStr">
        <is>
          <t>UPI</t>
        </is>
      </c>
    </row>
    <row r="914">
      <c r="A914" s="3" t="inlineStr">
        <is>
          <t>P00913</t>
        </is>
      </c>
      <c r="B914" s="3" t="inlineStr">
        <is>
          <t>D1039</t>
        </is>
      </c>
      <c r="C914" s="3" t="inlineStr">
        <is>
          <t>A0174</t>
        </is>
      </c>
      <c r="D914" s="4" t="n">
        <v>46148</v>
      </c>
      <c r="E914" s="5" t="n">
        <v>15967</v>
      </c>
      <c r="F914" s="3" t="inlineStr">
        <is>
          <t>Cash</t>
        </is>
      </c>
    </row>
    <row r="915">
      <c r="A915" s="3" t="inlineStr">
        <is>
          <t>P00914</t>
        </is>
      </c>
      <c r="B915" s="3" t="inlineStr">
        <is>
          <t>D1040</t>
        </is>
      </c>
      <c r="C915" s="3" t="inlineStr">
        <is>
          <t>A0174</t>
        </is>
      </c>
      <c r="D915" s="4" t="n">
        <v>46166</v>
      </c>
      <c r="E915" s="5" t="n">
        <v>19063</v>
      </c>
      <c r="F915" s="3" t="inlineStr">
        <is>
          <t>Cash</t>
        </is>
      </c>
    </row>
    <row r="916">
      <c r="A916" s="3" t="inlineStr">
        <is>
          <t>P00915</t>
        </is>
      </c>
      <c r="B916" s="3" t="inlineStr">
        <is>
          <t>D1040</t>
        </is>
      </c>
      <c r="C916" s="3" t="inlineStr">
        <is>
          <t>A0174</t>
        </is>
      </c>
      <c r="D916" s="4" t="n">
        <v>46173</v>
      </c>
      <c r="E916" s="5" t="n">
        <v>10937</v>
      </c>
      <c r="F916" s="3" t="inlineStr">
        <is>
          <t>UPI</t>
        </is>
      </c>
    </row>
    <row r="917">
      <c r="A917" s="3" t="inlineStr">
        <is>
          <t>P00916</t>
        </is>
      </c>
      <c r="B917" s="3" t="inlineStr">
        <is>
          <t>D1041</t>
        </is>
      </c>
      <c r="C917" s="3" t="inlineStr">
        <is>
          <t>A0174</t>
        </is>
      </c>
      <c r="D917" s="4" t="n">
        <v>46236</v>
      </c>
      <c r="E917" s="5" t="n">
        <v>30000</v>
      </c>
      <c r="F917" s="3" t="inlineStr">
        <is>
          <t>UPI</t>
        </is>
      </c>
    </row>
    <row r="918">
      <c r="A918" s="3" t="inlineStr">
        <is>
          <t>P00917</t>
        </is>
      </c>
      <c r="B918" s="3" t="inlineStr">
        <is>
          <t>D1042</t>
        </is>
      </c>
      <c r="C918" s="3" t="inlineStr">
        <is>
          <t>A0174</t>
        </is>
      </c>
      <c r="D918" s="4" t="n">
        <v>46213</v>
      </c>
      <c r="E918" s="5" t="n">
        <v>13885</v>
      </c>
      <c r="F918" s="3" t="inlineStr">
        <is>
          <t>NEFT</t>
        </is>
      </c>
    </row>
    <row r="919">
      <c r="A919" s="3" t="inlineStr">
        <is>
          <t>P00918</t>
        </is>
      </c>
      <c r="B919" s="3" t="inlineStr">
        <is>
          <t>D1042</t>
        </is>
      </c>
      <c r="C919" s="3" t="inlineStr">
        <is>
          <t>A0174</t>
        </is>
      </c>
      <c r="D919" s="4" t="n">
        <v>46250</v>
      </c>
      <c r="E919" s="5" t="n">
        <v>16115</v>
      </c>
      <c r="F919" s="3" t="inlineStr">
        <is>
          <t>UPI</t>
        </is>
      </c>
    </row>
    <row r="920">
      <c r="A920" s="3" t="inlineStr">
        <is>
          <t>P00919</t>
        </is>
      </c>
      <c r="B920" s="3" t="inlineStr">
        <is>
          <t>D1043</t>
        </is>
      </c>
      <c r="C920" s="3" t="inlineStr">
        <is>
          <t>A0174</t>
        </is>
      </c>
      <c r="D920" s="4" t="n">
        <v>46240</v>
      </c>
      <c r="E920" s="5" t="n">
        <v>30000</v>
      </c>
      <c r="F920" s="3" t="inlineStr">
        <is>
          <t>UPI</t>
        </is>
      </c>
    </row>
    <row r="921">
      <c r="A921" s="3" t="inlineStr">
        <is>
          <t>P00920</t>
        </is>
      </c>
      <c r="B921" s="3" t="inlineStr">
        <is>
          <t>D1044</t>
        </is>
      </c>
      <c r="C921" s="3" t="inlineStr">
        <is>
          <t>A0174</t>
        </is>
      </c>
      <c r="D921" s="4" t="n">
        <v>46286</v>
      </c>
      <c r="E921" s="5" t="n">
        <v>12549</v>
      </c>
      <c r="F921" s="3" t="inlineStr">
        <is>
          <t>Cash</t>
        </is>
      </c>
    </row>
    <row r="922">
      <c r="A922" s="3" t="inlineStr">
        <is>
          <t>P00921</t>
        </is>
      </c>
      <c r="B922" s="3" t="inlineStr">
        <is>
          <t>D1045</t>
        </is>
      </c>
      <c r="C922" s="3" t="inlineStr">
        <is>
          <t>A0175</t>
        </is>
      </c>
      <c r="D922" s="4" t="n">
        <v>46119</v>
      </c>
      <c r="E922" s="5" t="n">
        <v>9500</v>
      </c>
      <c r="F922" s="3" t="inlineStr">
        <is>
          <t>NEFT</t>
        </is>
      </c>
    </row>
    <row r="923">
      <c r="A923" s="3" t="inlineStr">
        <is>
          <t>P00922</t>
        </is>
      </c>
      <c r="B923" s="3" t="inlineStr">
        <is>
          <t>D1046</t>
        </is>
      </c>
      <c r="C923" s="3" t="inlineStr">
        <is>
          <t>A0175</t>
        </is>
      </c>
      <c r="D923" s="4" t="n">
        <v>46145</v>
      </c>
      <c r="E923" s="5" t="n">
        <v>9500</v>
      </c>
      <c r="F923" s="3" t="inlineStr">
        <is>
          <t>UPI</t>
        </is>
      </c>
    </row>
    <row r="924">
      <c r="A924" s="3" t="inlineStr">
        <is>
          <t>P00923</t>
        </is>
      </c>
      <c r="B924" s="3" t="inlineStr">
        <is>
          <t>D1047</t>
        </is>
      </c>
      <c r="C924" s="3" t="inlineStr">
        <is>
          <t>A0175</t>
        </is>
      </c>
      <c r="D924" s="4" t="n">
        <v>46180</v>
      </c>
      <c r="E924" s="5" t="n">
        <v>9500</v>
      </c>
      <c r="F924" s="3" t="inlineStr">
        <is>
          <t>UPI</t>
        </is>
      </c>
    </row>
    <row r="925">
      <c r="A925" s="3" t="inlineStr">
        <is>
          <t>P00924</t>
        </is>
      </c>
      <c r="B925" s="3" t="inlineStr">
        <is>
          <t>D1048</t>
        </is>
      </c>
      <c r="C925" s="3" t="inlineStr">
        <is>
          <t>A0175</t>
        </is>
      </c>
      <c r="D925" s="4" t="n">
        <v>46209</v>
      </c>
      <c r="E925" s="5" t="n">
        <v>9500</v>
      </c>
      <c r="F925" s="3" t="inlineStr">
        <is>
          <t>UPI</t>
        </is>
      </c>
    </row>
    <row r="926">
      <c r="A926" s="3" t="inlineStr">
        <is>
          <t>P00925</t>
        </is>
      </c>
      <c r="B926" s="3" t="inlineStr">
        <is>
          <t>D1049</t>
        </is>
      </c>
      <c r="C926" s="3" t="inlineStr">
        <is>
          <t>A0175</t>
        </is>
      </c>
      <c r="D926" s="4" t="n">
        <v>46240</v>
      </c>
      <c r="E926" s="5" t="n">
        <v>9500</v>
      </c>
      <c r="F926" s="3" t="inlineStr">
        <is>
          <t>NEFT</t>
        </is>
      </c>
    </row>
    <row r="927">
      <c r="A927" s="3" t="inlineStr">
        <is>
          <t>P00926</t>
        </is>
      </c>
      <c r="B927" s="3" t="inlineStr">
        <is>
          <t>D1050</t>
        </is>
      </c>
      <c r="C927" s="3" t="inlineStr">
        <is>
          <t>A0175</t>
        </is>
      </c>
      <c r="D927" s="4" t="n">
        <v>46267</v>
      </c>
      <c r="E927" s="5" t="n">
        <v>9500</v>
      </c>
      <c r="F927" s="3" t="inlineStr">
        <is>
          <t>UPI</t>
        </is>
      </c>
    </row>
    <row r="928">
      <c r="A928" s="3" t="inlineStr">
        <is>
          <t>P00927</t>
        </is>
      </c>
      <c r="B928" s="3" t="inlineStr">
        <is>
          <t>D1051</t>
        </is>
      </c>
      <c r="C928" s="3" t="inlineStr">
        <is>
          <t>A0176</t>
        </is>
      </c>
      <c r="D928" s="4" t="n">
        <v>46115</v>
      </c>
      <c r="E928" s="5" t="n">
        <v>26333</v>
      </c>
      <c r="F928" s="3" t="inlineStr">
        <is>
          <t>Cash</t>
        </is>
      </c>
    </row>
    <row r="929">
      <c r="A929" s="3" t="inlineStr">
        <is>
          <t>P00928</t>
        </is>
      </c>
      <c r="B929" s="3" t="inlineStr">
        <is>
          <t>D1052</t>
        </is>
      </c>
      <c r="C929" s="3" t="inlineStr">
        <is>
          <t>A0176</t>
        </is>
      </c>
      <c r="D929" s="4" t="n">
        <v>46145</v>
      </c>
      <c r="E929" s="5" t="n">
        <v>26333</v>
      </c>
      <c r="F929" s="3" t="inlineStr">
        <is>
          <t>Cash</t>
        </is>
      </c>
    </row>
    <row r="930">
      <c r="A930" s="3" t="inlineStr">
        <is>
          <t>P00929</t>
        </is>
      </c>
      <c r="B930" s="3" t="inlineStr">
        <is>
          <t>D1053</t>
        </is>
      </c>
      <c r="C930" s="3" t="inlineStr">
        <is>
          <t>A0176</t>
        </is>
      </c>
      <c r="D930" s="4" t="n">
        <v>46181</v>
      </c>
      <c r="E930" s="5" t="n">
        <v>26333</v>
      </c>
      <c r="F930" s="3" t="inlineStr">
        <is>
          <t>NEFT</t>
        </is>
      </c>
    </row>
    <row r="931">
      <c r="A931" s="3" t="inlineStr">
        <is>
          <t>P00930</t>
        </is>
      </c>
      <c r="B931" s="3" t="inlineStr">
        <is>
          <t>D1054</t>
        </is>
      </c>
      <c r="C931" s="3" t="inlineStr">
        <is>
          <t>A0176</t>
        </is>
      </c>
      <c r="D931" s="4" t="n">
        <v>46207</v>
      </c>
      <c r="E931" s="5" t="n">
        <v>26333</v>
      </c>
      <c r="F931" s="3" t="inlineStr">
        <is>
          <t>Cash</t>
        </is>
      </c>
    </row>
    <row r="932">
      <c r="A932" s="3" t="inlineStr">
        <is>
          <t>P00931</t>
        </is>
      </c>
      <c r="B932" s="3" t="inlineStr">
        <is>
          <t>D1055</t>
        </is>
      </c>
      <c r="C932" s="3" t="inlineStr">
        <is>
          <t>A0176</t>
        </is>
      </c>
      <c r="D932" s="4" t="n">
        <v>46236</v>
      </c>
      <c r="E932" s="5" t="n">
        <v>26333</v>
      </c>
      <c r="F932" s="3" t="inlineStr">
        <is>
          <t>Cash</t>
        </is>
      </c>
    </row>
    <row r="933">
      <c r="A933" s="3" t="inlineStr">
        <is>
          <t>P00932</t>
        </is>
      </c>
      <c r="B933" s="3" t="inlineStr">
        <is>
          <t>D1056</t>
        </is>
      </c>
      <c r="C933" s="3" t="inlineStr">
        <is>
          <t>A0176</t>
        </is>
      </c>
      <c r="D933" s="4" t="n">
        <v>46273</v>
      </c>
      <c r="E933" s="5" t="n">
        <v>26333</v>
      </c>
      <c r="F933" s="3" t="inlineStr">
        <is>
          <t>UPI</t>
        </is>
      </c>
    </row>
    <row r="934">
      <c r="A934" s="3" t="inlineStr">
        <is>
          <t>P00933</t>
        </is>
      </c>
      <c r="B934" s="3" t="inlineStr">
        <is>
          <t>D1057</t>
        </is>
      </c>
      <c r="C934" s="3" t="inlineStr">
        <is>
          <t>A0177</t>
        </is>
      </c>
      <c r="D934" s="4" t="n">
        <v>46174</v>
      </c>
      <c r="E934" s="5" t="n">
        <v>10667</v>
      </c>
      <c r="F934" s="3" t="inlineStr">
        <is>
          <t>UPI</t>
        </is>
      </c>
    </row>
    <row r="935">
      <c r="A935" s="3" t="inlineStr">
        <is>
          <t>P00934</t>
        </is>
      </c>
      <c r="B935" s="3" t="inlineStr">
        <is>
          <t>D1058</t>
        </is>
      </c>
      <c r="C935" s="3" t="inlineStr">
        <is>
          <t>A0177</t>
        </is>
      </c>
      <c r="D935" s="4" t="n">
        <v>46152</v>
      </c>
      <c r="E935" s="5" t="n">
        <v>4435</v>
      </c>
      <c r="F935" s="3" t="inlineStr">
        <is>
          <t>Cash</t>
        </is>
      </c>
    </row>
    <row r="936">
      <c r="A936" s="3" t="inlineStr">
        <is>
          <t>P00935</t>
        </is>
      </c>
      <c r="B936" s="3" t="inlineStr">
        <is>
          <t>D1058</t>
        </is>
      </c>
      <c r="C936" s="3" t="inlineStr">
        <is>
          <t>A0177</t>
        </is>
      </c>
      <c r="D936" s="4" t="n">
        <v>46198</v>
      </c>
      <c r="E936" s="5" t="n">
        <v>6232</v>
      </c>
      <c r="F936" s="3" t="inlineStr">
        <is>
          <t>Cash</t>
        </is>
      </c>
    </row>
    <row r="937">
      <c r="A937" s="3" t="inlineStr">
        <is>
          <t>P00936</t>
        </is>
      </c>
      <c r="B937" s="3" t="inlineStr">
        <is>
          <t>D1059</t>
        </is>
      </c>
      <c r="C937" s="3" t="inlineStr">
        <is>
          <t>A0177</t>
        </is>
      </c>
      <c r="D937" s="4" t="n">
        <v>46186</v>
      </c>
      <c r="E937" s="5" t="n">
        <v>10667</v>
      </c>
      <c r="F937" s="3" t="inlineStr">
        <is>
          <t>Cash</t>
        </is>
      </c>
    </row>
    <row r="938">
      <c r="A938" s="3" t="inlineStr">
        <is>
          <t>P00937</t>
        </is>
      </c>
      <c r="B938" s="3" t="inlineStr">
        <is>
          <t>D1060</t>
        </is>
      </c>
      <c r="C938" s="3" t="inlineStr">
        <is>
          <t>A0177</t>
        </is>
      </c>
      <c r="D938" s="4" t="n">
        <v>46246</v>
      </c>
      <c r="E938" s="5" t="n">
        <v>10667</v>
      </c>
      <c r="F938" s="3" t="inlineStr">
        <is>
          <t>Cash</t>
        </is>
      </c>
    </row>
    <row r="939">
      <c r="A939" s="3" t="inlineStr">
        <is>
          <t>P00938</t>
        </is>
      </c>
      <c r="B939" s="3" t="inlineStr">
        <is>
          <t>D1061</t>
        </is>
      </c>
      <c r="C939" s="3" t="inlineStr">
        <is>
          <t>A0177</t>
        </is>
      </c>
      <c r="D939" s="4" t="n">
        <v>46247</v>
      </c>
      <c r="E939" s="5" t="n">
        <v>10667</v>
      </c>
      <c r="F939" s="3" t="inlineStr">
        <is>
          <t>UPI</t>
        </is>
      </c>
    </row>
    <row r="940">
      <c r="A940" s="3" t="inlineStr">
        <is>
          <t>P00939</t>
        </is>
      </c>
      <c r="B940" s="3" t="inlineStr">
        <is>
          <t>D1062</t>
        </is>
      </c>
      <c r="C940" s="3" t="inlineStr">
        <is>
          <t>A0177</t>
        </is>
      </c>
      <c r="D940" s="4" t="n">
        <v>46290</v>
      </c>
      <c r="E940" s="5" t="n">
        <v>6674</v>
      </c>
      <c r="F940" s="3" t="inlineStr">
        <is>
          <t>NEFT</t>
        </is>
      </c>
    </row>
    <row r="941">
      <c r="A941" s="3" t="inlineStr">
        <is>
          <t>P00940</t>
        </is>
      </c>
      <c r="B941" s="3" t="inlineStr">
        <is>
          <t>D1062</t>
        </is>
      </c>
      <c r="C941" s="3" t="inlineStr">
        <is>
          <t>A0177</t>
        </is>
      </c>
      <c r="D941" s="4" t="n">
        <v>46304</v>
      </c>
      <c r="E941" s="5" t="n">
        <v>3993</v>
      </c>
      <c r="F941" s="3" t="inlineStr">
        <is>
          <t>Cash</t>
        </is>
      </c>
    </row>
    <row r="942">
      <c r="A942" s="3" t="inlineStr">
        <is>
          <t>P00941</t>
        </is>
      </c>
      <c r="B942" s="3" t="inlineStr">
        <is>
          <t>D1063</t>
        </is>
      </c>
      <c r="C942" s="3" t="inlineStr">
        <is>
          <t>A0178</t>
        </is>
      </c>
      <c r="D942" s="4" t="n">
        <v>46125</v>
      </c>
      <c r="E942" s="5" t="n">
        <v>11667</v>
      </c>
      <c r="F942" s="3" t="inlineStr">
        <is>
          <t>UPI</t>
        </is>
      </c>
    </row>
    <row r="943">
      <c r="A943" s="3" t="inlineStr">
        <is>
          <t>P00942</t>
        </is>
      </c>
      <c r="B943" s="3" t="inlineStr">
        <is>
          <t>D1064</t>
        </is>
      </c>
      <c r="C943" s="3" t="inlineStr">
        <is>
          <t>A0178</t>
        </is>
      </c>
      <c r="D943" s="4" t="n">
        <v>46163</v>
      </c>
      <c r="E943" s="5" t="n">
        <v>5073</v>
      </c>
      <c r="F943" s="3" t="inlineStr">
        <is>
          <t>Cash</t>
        </is>
      </c>
    </row>
    <row r="944">
      <c r="A944" s="3" t="inlineStr">
        <is>
          <t>P00943</t>
        </is>
      </c>
      <c r="B944" s="3" t="inlineStr">
        <is>
          <t>D1064</t>
        </is>
      </c>
      <c r="C944" s="3" t="inlineStr">
        <is>
          <t>A0178</t>
        </is>
      </c>
      <c r="D944" s="4" t="n">
        <v>46172</v>
      </c>
      <c r="E944" s="5" t="n">
        <v>6594</v>
      </c>
      <c r="F944" s="3" t="inlineStr">
        <is>
          <t>UPI</t>
        </is>
      </c>
    </row>
    <row r="945">
      <c r="A945" s="3" t="inlineStr">
        <is>
          <t>P00944</t>
        </is>
      </c>
      <c r="B945" s="3" t="inlineStr">
        <is>
          <t>D1065</t>
        </is>
      </c>
      <c r="C945" s="3" t="inlineStr">
        <is>
          <t>A0178</t>
        </is>
      </c>
      <c r="D945" s="4" t="n">
        <v>46228</v>
      </c>
      <c r="E945" s="5" t="n">
        <v>11667</v>
      </c>
      <c r="F945" s="3" t="inlineStr">
        <is>
          <t>NEFT</t>
        </is>
      </c>
    </row>
    <row r="946">
      <c r="A946" s="3" t="inlineStr">
        <is>
          <t>P00945</t>
        </is>
      </c>
      <c r="B946" s="3" t="inlineStr">
        <is>
          <t>D1066</t>
        </is>
      </c>
      <c r="C946" s="3" t="inlineStr">
        <is>
          <t>A0178</t>
        </is>
      </c>
      <c r="D946" s="4" t="n">
        <v>46255</v>
      </c>
      <c r="E946" s="5" t="n">
        <v>11667</v>
      </c>
      <c r="F946" s="3" t="inlineStr">
        <is>
          <t>UPI</t>
        </is>
      </c>
    </row>
    <row r="947">
      <c r="A947" s="3" t="inlineStr">
        <is>
          <t>P00946</t>
        </is>
      </c>
      <c r="B947" s="3" t="inlineStr">
        <is>
          <t>D1067</t>
        </is>
      </c>
      <c r="C947" s="3" t="inlineStr">
        <is>
          <t>A0178</t>
        </is>
      </c>
      <c r="D947" s="4" t="n">
        <v>46240</v>
      </c>
      <c r="E947" s="5" t="n">
        <v>11667</v>
      </c>
      <c r="F947" s="3" t="inlineStr">
        <is>
          <t>Cash</t>
        </is>
      </c>
    </row>
    <row r="948">
      <c r="A948" s="3" t="inlineStr">
        <is>
          <t>P00947</t>
        </is>
      </c>
      <c r="B948" s="3" t="inlineStr">
        <is>
          <t>D1068</t>
        </is>
      </c>
      <c r="C948" s="3" t="inlineStr">
        <is>
          <t>A0178</t>
        </is>
      </c>
      <c r="D948" s="4" t="n">
        <v>46285</v>
      </c>
      <c r="E948" s="5" t="n">
        <v>6941</v>
      </c>
      <c r="F948" s="3" t="inlineStr">
        <is>
          <t>Cash</t>
        </is>
      </c>
    </row>
    <row r="949">
      <c r="A949" s="3" t="inlineStr">
        <is>
          <t>P00948</t>
        </is>
      </c>
      <c r="B949" s="3" t="inlineStr">
        <is>
          <t>D1069</t>
        </is>
      </c>
      <c r="C949" s="3" t="inlineStr">
        <is>
          <t>A0179</t>
        </is>
      </c>
      <c r="D949" s="4" t="n">
        <v>46118</v>
      </c>
      <c r="E949" s="5" t="n">
        <v>31000</v>
      </c>
      <c r="F949" s="3" t="inlineStr">
        <is>
          <t>UPI</t>
        </is>
      </c>
    </row>
    <row r="950">
      <c r="A950" s="3" t="inlineStr">
        <is>
          <t>P00949</t>
        </is>
      </c>
      <c r="B950" s="3" t="inlineStr">
        <is>
          <t>D1070</t>
        </is>
      </c>
      <c r="C950" s="3" t="inlineStr">
        <is>
          <t>A0179</t>
        </is>
      </c>
      <c r="D950" s="4" t="n">
        <v>46145</v>
      </c>
      <c r="E950" s="5" t="n">
        <v>31000</v>
      </c>
      <c r="F950" s="3" t="inlineStr">
        <is>
          <t>UPI</t>
        </is>
      </c>
    </row>
    <row r="951">
      <c r="A951" s="3" t="inlineStr">
        <is>
          <t>P00950</t>
        </is>
      </c>
      <c r="B951" s="3" t="inlineStr">
        <is>
          <t>D1071</t>
        </is>
      </c>
      <c r="C951" s="3" t="inlineStr">
        <is>
          <t>A0179</t>
        </is>
      </c>
      <c r="D951" s="4" t="n">
        <v>46175</v>
      </c>
      <c r="E951" s="5" t="n">
        <v>31000</v>
      </c>
      <c r="F951" s="3" t="inlineStr">
        <is>
          <t>Cash</t>
        </is>
      </c>
    </row>
    <row r="952">
      <c r="A952" s="3" t="inlineStr">
        <is>
          <t>P00951</t>
        </is>
      </c>
      <c r="B952" s="3" t="inlineStr">
        <is>
          <t>D1072</t>
        </is>
      </c>
      <c r="C952" s="3" t="inlineStr">
        <is>
          <t>A0179</t>
        </is>
      </c>
      <c r="D952" s="4" t="n">
        <v>46209</v>
      </c>
      <c r="E952" s="5" t="n">
        <v>31000</v>
      </c>
      <c r="F952" s="3" t="inlineStr">
        <is>
          <t>UPI</t>
        </is>
      </c>
    </row>
    <row r="953">
      <c r="A953" s="3" t="inlineStr">
        <is>
          <t>P00952</t>
        </is>
      </c>
      <c r="B953" s="3" t="inlineStr">
        <is>
          <t>D1073</t>
        </is>
      </c>
      <c r="C953" s="3" t="inlineStr">
        <is>
          <t>A0179</t>
        </is>
      </c>
      <c r="D953" s="4" t="n">
        <v>46240</v>
      </c>
      <c r="E953" s="5" t="n">
        <v>31000</v>
      </c>
      <c r="F953" s="3" t="inlineStr">
        <is>
          <t>UPI</t>
        </is>
      </c>
    </row>
    <row r="954">
      <c r="A954" s="3" t="inlineStr">
        <is>
          <t>P00953</t>
        </is>
      </c>
      <c r="B954" s="3" t="inlineStr">
        <is>
          <t>D1074</t>
        </is>
      </c>
      <c r="C954" s="3" t="inlineStr">
        <is>
          <t>A0179</t>
        </is>
      </c>
      <c r="D954" s="4" t="n">
        <v>46271</v>
      </c>
      <c r="E954" s="5" t="n">
        <v>31000</v>
      </c>
      <c r="F954" s="3" t="inlineStr">
        <is>
          <t>NEFT</t>
        </is>
      </c>
    </row>
    <row r="955">
      <c r="A955" s="3" t="inlineStr">
        <is>
          <t>P00954</t>
        </is>
      </c>
      <c r="B955" s="3" t="inlineStr">
        <is>
          <t>D1075</t>
        </is>
      </c>
      <c r="C955" s="3" t="inlineStr">
        <is>
          <t>A0180</t>
        </is>
      </c>
      <c r="D955" s="4" t="n">
        <v>46116</v>
      </c>
      <c r="E955" s="5" t="n">
        <v>14667</v>
      </c>
      <c r="F955" s="3" t="inlineStr">
        <is>
          <t>NEFT</t>
        </is>
      </c>
    </row>
    <row r="956">
      <c r="A956" s="3" t="inlineStr">
        <is>
          <t>P00955</t>
        </is>
      </c>
      <c r="B956" s="3" t="inlineStr">
        <is>
          <t>D1076</t>
        </is>
      </c>
      <c r="C956" s="3" t="inlineStr">
        <is>
          <t>A0180</t>
        </is>
      </c>
      <c r="D956" s="4" t="n">
        <v>46145</v>
      </c>
      <c r="E956" s="5" t="n">
        <v>14667</v>
      </c>
      <c r="F956" s="3" t="inlineStr">
        <is>
          <t>UPI</t>
        </is>
      </c>
    </row>
    <row r="957">
      <c r="A957" s="3" t="inlineStr">
        <is>
          <t>P00956</t>
        </is>
      </c>
      <c r="B957" s="3" t="inlineStr">
        <is>
          <t>D1077</t>
        </is>
      </c>
      <c r="C957" s="3" t="inlineStr">
        <is>
          <t>A0180</t>
        </is>
      </c>
      <c r="D957" s="4" t="n">
        <v>46178</v>
      </c>
      <c r="E957" s="5" t="n">
        <v>14667</v>
      </c>
      <c r="F957" s="3" t="inlineStr">
        <is>
          <t>Cash</t>
        </is>
      </c>
    </row>
    <row r="958">
      <c r="A958" s="3" t="inlineStr">
        <is>
          <t>P00957</t>
        </is>
      </c>
      <c r="B958" s="3" t="inlineStr">
        <is>
          <t>D1078</t>
        </is>
      </c>
      <c r="C958" s="3" t="inlineStr">
        <is>
          <t>A0180</t>
        </is>
      </c>
      <c r="D958" s="4" t="n">
        <v>46210</v>
      </c>
      <c r="E958" s="5" t="n">
        <v>14667</v>
      </c>
      <c r="F958" s="3" t="inlineStr">
        <is>
          <t>UPI</t>
        </is>
      </c>
    </row>
    <row r="959">
      <c r="A959" s="3" t="inlineStr">
        <is>
          <t>P00958</t>
        </is>
      </c>
      <c r="B959" s="3" t="inlineStr">
        <is>
          <t>D1079</t>
        </is>
      </c>
      <c r="C959" s="3" t="inlineStr">
        <is>
          <t>A0180</t>
        </is>
      </c>
      <c r="D959" s="4" t="n">
        <v>46242</v>
      </c>
      <c r="E959" s="5" t="n">
        <v>14667</v>
      </c>
      <c r="F959" s="3" t="inlineStr">
        <is>
          <t>UPI</t>
        </is>
      </c>
    </row>
    <row r="960">
      <c r="A960" s="3" t="inlineStr">
        <is>
          <t>P00959</t>
        </is>
      </c>
      <c r="B960" s="3" t="inlineStr">
        <is>
          <t>D1080</t>
        </is>
      </c>
      <c r="C960" s="3" t="inlineStr">
        <is>
          <t>A0180</t>
        </is>
      </c>
      <c r="D960" s="4" t="n">
        <v>46269</v>
      </c>
      <c r="E960" s="5" t="n">
        <v>14667</v>
      </c>
      <c r="F960" s="3" t="inlineStr">
        <is>
          <t>Cash</t>
        </is>
      </c>
    </row>
    <row r="961">
      <c r="A961" s="3" t="inlineStr">
        <is>
          <t>P00960</t>
        </is>
      </c>
      <c r="B961" s="3" t="inlineStr">
        <is>
          <t>D1081</t>
        </is>
      </c>
      <c r="C961" s="3" t="inlineStr">
        <is>
          <t>A0181</t>
        </is>
      </c>
      <c r="D961" s="4" t="n">
        <v>46136</v>
      </c>
      <c r="E961" s="5" t="n">
        <v>4333</v>
      </c>
      <c r="F961" s="3" t="inlineStr">
        <is>
          <t>Cash</t>
        </is>
      </c>
    </row>
    <row r="962">
      <c r="A962" s="3" t="inlineStr">
        <is>
          <t>P00961</t>
        </is>
      </c>
      <c r="B962" s="3" t="inlineStr">
        <is>
          <t>D1082</t>
        </is>
      </c>
      <c r="C962" s="3" t="inlineStr">
        <is>
          <t>A0181</t>
        </is>
      </c>
      <c r="D962" s="4" t="n">
        <v>46186</v>
      </c>
      <c r="E962" s="5" t="n">
        <v>4333</v>
      </c>
      <c r="F962" s="3" t="inlineStr">
        <is>
          <t>UPI</t>
        </is>
      </c>
    </row>
    <row r="963">
      <c r="A963" s="3" t="inlineStr">
        <is>
          <t>P00962</t>
        </is>
      </c>
      <c r="B963" s="3" t="inlineStr">
        <is>
          <t>D1083</t>
        </is>
      </c>
      <c r="C963" s="3" t="inlineStr">
        <is>
          <t>A0181</t>
        </is>
      </c>
      <c r="D963" s="4" t="n">
        <v>46216</v>
      </c>
      <c r="E963" s="5" t="n">
        <v>4333</v>
      </c>
      <c r="F963" s="3" t="inlineStr">
        <is>
          <t>UPI</t>
        </is>
      </c>
    </row>
    <row r="964">
      <c r="A964" s="3" t="inlineStr">
        <is>
          <t>P00963</t>
        </is>
      </c>
      <c r="B964" s="3" t="inlineStr">
        <is>
          <t>D1084</t>
        </is>
      </c>
      <c r="C964" s="3" t="inlineStr">
        <is>
          <t>A0181</t>
        </is>
      </c>
      <c r="D964" s="4" t="n">
        <v>46233</v>
      </c>
      <c r="E964" s="5" t="n">
        <v>4333</v>
      </c>
      <c r="F964" s="3" t="inlineStr">
        <is>
          <t>NEFT</t>
        </is>
      </c>
    </row>
    <row r="965">
      <c r="A965" s="3" t="inlineStr">
        <is>
          <t>P00964</t>
        </is>
      </c>
      <c r="B965" s="3" t="inlineStr">
        <is>
          <t>D1085</t>
        </is>
      </c>
      <c r="C965" s="3" t="inlineStr">
        <is>
          <t>A0181</t>
        </is>
      </c>
      <c r="D965" s="4" t="n">
        <v>46263</v>
      </c>
      <c r="E965" s="5" t="n">
        <v>4333</v>
      </c>
      <c r="F965" s="3" t="inlineStr">
        <is>
          <t>Cash</t>
        </is>
      </c>
    </row>
    <row r="966">
      <c r="A966" s="3" t="inlineStr">
        <is>
          <t>P00965</t>
        </is>
      </c>
      <c r="B966" s="3" t="inlineStr">
        <is>
          <t>D1086</t>
        </is>
      </c>
      <c r="C966" s="3" t="inlineStr">
        <is>
          <t>A0181</t>
        </is>
      </c>
      <c r="D966" s="4" t="n">
        <v>46296</v>
      </c>
      <c r="E966" s="5" t="n">
        <v>4333</v>
      </c>
      <c r="F966" s="3" t="inlineStr">
        <is>
          <t>UPI</t>
        </is>
      </c>
    </row>
    <row r="967">
      <c r="A967" s="3" t="inlineStr">
        <is>
          <t>P00966</t>
        </is>
      </c>
      <c r="B967" s="3" t="inlineStr">
        <is>
          <t>D1087</t>
        </is>
      </c>
      <c r="C967" s="3" t="inlineStr">
        <is>
          <t>A0182</t>
        </is>
      </c>
      <c r="D967" s="4" t="n">
        <v>46119</v>
      </c>
      <c r="E967" s="5" t="n">
        <v>19000</v>
      </c>
      <c r="F967" s="3" t="inlineStr">
        <is>
          <t>UPI</t>
        </is>
      </c>
    </row>
    <row r="968">
      <c r="A968" s="3" t="inlineStr">
        <is>
          <t>P00967</t>
        </is>
      </c>
      <c r="B968" s="3" t="inlineStr">
        <is>
          <t>D1088</t>
        </is>
      </c>
      <c r="C968" s="3" t="inlineStr">
        <is>
          <t>A0182</t>
        </is>
      </c>
      <c r="D968" s="4" t="n">
        <v>46145</v>
      </c>
      <c r="E968" s="5" t="n">
        <v>19000</v>
      </c>
      <c r="F968" s="3" t="inlineStr">
        <is>
          <t>NEFT</t>
        </is>
      </c>
    </row>
    <row r="969">
      <c r="A969" s="3" t="inlineStr">
        <is>
          <t>P00968</t>
        </is>
      </c>
      <c r="B969" s="3" t="inlineStr">
        <is>
          <t>D1089</t>
        </is>
      </c>
      <c r="C969" s="3" t="inlineStr">
        <is>
          <t>A0182</t>
        </is>
      </c>
      <c r="D969" s="4" t="n">
        <v>46179</v>
      </c>
      <c r="E969" s="5" t="n">
        <v>19000</v>
      </c>
      <c r="F969" s="3" t="inlineStr">
        <is>
          <t>UPI</t>
        </is>
      </c>
    </row>
    <row r="970">
      <c r="A970" s="3" t="inlineStr">
        <is>
          <t>P00969</t>
        </is>
      </c>
      <c r="B970" s="3" t="inlineStr">
        <is>
          <t>D1090</t>
        </is>
      </c>
      <c r="C970" s="3" t="inlineStr">
        <is>
          <t>A0182</t>
        </is>
      </c>
      <c r="D970" s="4" t="n">
        <v>46208</v>
      </c>
      <c r="E970" s="5" t="n">
        <v>19000</v>
      </c>
      <c r="F970" s="3" t="inlineStr">
        <is>
          <t>Cash</t>
        </is>
      </c>
    </row>
    <row r="971">
      <c r="A971" s="3" t="inlineStr">
        <is>
          <t>P00970</t>
        </is>
      </c>
      <c r="B971" s="3" t="inlineStr">
        <is>
          <t>D1091</t>
        </is>
      </c>
      <c r="C971" s="3" t="inlineStr">
        <is>
          <t>A0182</t>
        </is>
      </c>
      <c r="D971" s="4" t="n">
        <v>46237</v>
      </c>
      <c r="E971" s="5" t="n">
        <v>19000</v>
      </c>
      <c r="F971" s="3" t="inlineStr">
        <is>
          <t>Cash</t>
        </is>
      </c>
    </row>
    <row r="972">
      <c r="A972" s="3" t="inlineStr">
        <is>
          <t>P00971</t>
        </is>
      </c>
      <c r="B972" s="3" t="inlineStr">
        <is>
          <t>D1092</t>
        </is>
      </c>
      <c r="C972" s="3" t="inlineStr">
        <is>
          <t>A0182</t>
        </is>
      </c>
      <c r="D972" s="4" t="n">
        <v>46273</v>
      </c>
      <c r="E972" s="5" t="n">
        <v>19000</v>
      </c>
      <c r="F972" s="3" t="inlineStr">
        <is>
          <t>NEFT</t>
        </is>
      </c>
    </row>
    <row r="973">
      <c r="A973" s="3" t="inlineStr">
        <is>
          <t>P00972</t>
        </is>
      </c>
      <c r="B973" s="3" t="inlineStr">
        <is>
          <t>D1093</t>
        </is>
      </c>
      <c r="C973" s="3" t="inlineStr">
        <is>
          <t>A0183</t>
        </is>
      </c>
      <c r="D973" s="4" t="n">
        <v>46116</v>
      </c>
      <c r="E973" s="5" t="n">
        <v>7833</v>
      </c>
      <c r="F973" s="3" t="inlineStr">
        <is>
          <t>NEFT</t>
        </is>
      </c>
    </row>
    <row r="974">
      <c r="A974" s="3" t="inlineStr">
        <is>
          <t>P00973</t>
        </is>
      </c>
      <c r="B974" s="3" t="inlineStr">
        <is>
          <t>D1094</t>
        </is>
      </c>
      <c r="C974" s="3" t="inlineStr">
        <is>
          <t>A0183</t>
        </is>
      </c>
      <c r="D974" s="4" t="n">
        <v>46144</v>
      </c>
      <c r="E974" s="5" t="n">
        <v>7833</v>
      </c>
      <c r="F974" s="3" t="inlineStr">
        <is>
          <t>UPI</t>
        </is>
      </c>
    </row>
    <row r="975">
      <c r="A975" s="3" t="inlineStr">
        <is>
          <t>P00974</t>
        </is>
      </c>
      <c r="B975" s="3" t="inlineStr">
        <is>
          <t>D1095</t>
        </is>
      </c>
      <c r="C975" s="3" t="inlineStr">
        <is>
          <t>A0183</t>
        </is>
      </c>
      <c r="D975" s="4" t="n">
        <v>46181</v>
      </c>
      <c r="E975" s="5" t="n">
        <v>7833</v>
      </c>
      <c r="F975" s="3" t="inlineStr">
        <is>
          <t>Cash</t>
        </is>
      </c>
    </row>
    <row r="976">
      <c r="A976" s="3" t="inlineStr">
        <is>
          <t>P00975</t>
        </is>
      </c>
      <c r="B976" s="3" t="inlineStr">
        <is>
          <t>D1096</t>
        </is>
      </c>
      <c r="C976" s="3" t="inlineStr">
        <is>
          <t>A0183</t>
        </is>
      </c>
      <c r="D976" s="4" t="n">
        <v>46205</v>
      </c>
      <c r="E976" s="5" t="n">
        <v>7833</v>
      </c>
      <c r="F976" s="3" t="inlineStr">
        <is>
          <t>Cash</t>
        </is>
      </c>
    </row>
    <row r="977">
      <c r="A977" s="3" t="inlineStr">
        <is>
          <t>P00976</t>
        </is>
      </c>
      <c r="B977" s="3" t="inlineStr">
        <is>
          <t>D1097</t>
        </is>
      </c>
      <c r="C977" s="3" t="inlineStr">
        <is>
          <t>A0183</t>
        </is>
      </c>
      <c r="D977" s="4" t="n">
        <v>46238</v>
      </c>
      <c r="E977" s="5" t="n">
        <v>7833</v>
      </c>
      <c r="F977" s="3" t="inlineStr">
        <is>
          <t>NEFT</t>
        </is>
      </c>
    </row>
    <row r="978">
      <c r="A978" s="3" t="inlineStr">
        <is>
          <t>P00977</t>
        </is>
      </c>
      <c r="B978" s="3" t="inlineStr">
        <is>
          <t>D1098</t>
        </is>
      </c>
      <c r="C978" s="3" t="inlineStr">
        <is>
          <t>A0183</t>
        </is>
      </c>
      <c r="D978" s="4" t="n">
        <v>46272</v>
      </c>
      <c r="E978" s="5" t="n">
        <v>7833</v>
      </c>
      <c r="F978" s="3" t="inlineStr">
        <is>
          <t>UPI</t>
        </is>
      </c>
    </row>
    <row r="979">
      <c r="A979" s="3" t="inlineStr">
        <is>
          <t>P00978</t>
        </is>
      </c>
      <c r="B979" s="3" t="inlineStr">
        <is>
          <t>D1099</t>
        </is>
      </c>
      <c r="C979" s="3" t="inlineStr">
        <is>
          <t>A0184</t>
        </is>
      </c>
      <c r="D979" s="4" t="n">
        <v>46147</v>
      </c>
      <c r="E979" s="5" t="n">
        <v>7167</v>
      </c>
      <c r="F979" s="3" t="inlineStr">
        <is>
          <t>NEFT</t>
        </is>
      </c>
    </row>
    <row r="980">
      <c r="A980" s="3" t="inlineStr">
        <is>
          <t>P00979</t>
        </is>
      </c>
      <c r="B980" s="3" t="inlineStr">
        <is>
          <t>D1100</t>
        </is>
      </c>
      <c r="C980" s="3" t="inlineStr">
        <is>
          <t>A0184</t>
        </is>
      </c>
      <c r="D980" s="4" t="n">
        <v>46177</v>
      </c>
      <c r="E980" s="5" t="n">
        <v>7167</v>
      </c>
      <c r="F980" s="3" t="inlineStr">
        <is>
          <t>UPI</t>
        </is>
      </c>
    </row>
    <row r="981">
      <c r="A981" s="3" t="inlineStr">
        <is>
          <t>P00980</t>
        </is>
      </c>
      <c r="B981" s="3" t="inlineStr">
        <is>
          <t>D1101</t>
        </is>
      </c>
      <c r="C981" s="3" t="inlineStr">
        <is>
          <t>A0184</t>
        </is>
      </c>
      <c r="D981" s="4" t="n">
        <v>46211</v>
      </c>
      <c r="E981" s="5" t="n">
        <v>7167</v>
      </c>
      <c r="F981" s="3" t="inlineStr">
        <is>
          <t>NEFT</t>
        </is>
      </c>
    </row>
    <row r="982">
      <c r="A982" s="3" t="inlineStr">
        <is>
          <t>P00981</t>
        </is>
      </c>
      <c r="B982" s="3" t="inlineStr">
        <is>
          <t>D1102</t>
        </is>
      </c>
      <c r="C982" s="3" t="inlineStr">
        <is>
          <t>A0184</t>
        </is>
      </c>
      <c r="D982" s="4" t="n">
        <v>46246</v>
      </c>
      <c r="E982" s="5" t="n">
        <v>7167</v>
      </c>
      <c r="F982" s="3" t="inlineStr">
        <is>
          <t>UPI</t>
        </is>
      </c>
    </row>
    <row r="983">
      <c r="A983" s="3" t="inlineStr">
        <is>
          <t>P00982</t>
        </is>
      </c>
      <c r="B983" s="3" t="inlineStr">
        <is>
          <t>D1103</t>
        </is>
      </c>
      <c r="C983" s="3" t="inlineStr">
        <is>
          <t>A0184</t>
        </is>
      </c>
      <c r="D983" s="4" t="n">
        <v>46263</v>
      </c>
      <c r="E983" s="5" t="n">
        <v>7167</v>
      </c>
      <c r="F983" s="3" t="inlineStr">
        <is>
          <t>UPI</t>
        </is>
      </c>
    </row>
    <row r="984">
      <c r="A984" s="3" t="inlineStr">
        <is>
          <t>P00983</t>
        </is>
      </c>
      <c r="B984" s="3" t="inlineStr">
        <is>
          <t>D1104</t>
        </is>
      </c>
      <c r="C984" s="3" t="inlineStr">
        <is>
          <t>A0184</t>
        </is>
      </c>
      <c r="D984" s="4" t="n">
        <v>46280</v>
      </c>
      <c r="E984" s="5" t="n">
        <v>7167</v>
      </c>
      <c r="F984" s="3" t="inlineStr">
        <is>
          <t>Cash</t>
        </is>
      </c>
    </row>
    <row r="985">
      <c r="A985" s="3" t="inlineStr">
        <is>
          <t>P00984</t>
        </is>
      </c>
      <c r="B985" s="3" t="inlineStr">
        <is>
          <t>D1111</t>
        </is>
      </c>
      <c r="C985" s="3" t="inlineStr">
        <is>
          <t>A0186</t>
        </is>
      </c>
      <c r="D985" s="4" t="n">
        <v>46119</v>
      </c>
      <c r="E985" s="5" t="n">
        <v>12167</v>
      </c>
      <c r="F985" s="3" t="inlineStr">
        <is>
          <t>UPI</t>
        </is>
      </c>
    </row>
    <row r="986">
      <c r="A986" s="3" t="inlineStr">
        <is>
          <t>P00985</t>
        </is>
      </c>
      <c r="B986" s="3" t="inlineStr">
        <is>
          <t>D1112</t>
        </is>
      </c>
      <c r="C986" s="3" t="inlineStr">
        <is>
          <t>A0186</t>
        </is>
      </c>
      <c r="D986" s="4" t="n">
        <v>46146</v>
      </c>
      <c r="E986" s="5" t="n">
        <v>12167</v>
      </c>
      <c r="F986" s="3" t="inlineStr">
        <is>
          <t>Cash</t>
        </is>
      </c>
    </row>
    <row r="987">
      <c r="A987" s="3" t="inlineStr">
        <is>
          <t>P00986</t>
        </is>
      </c>
      <c r="B987" s="3" t="inlineStr">
        <is>
          <t>D1113</t>
        </is>
      </c>
      <c r="C987" s="3" t="inlineStr">
        <is>
          <t>A0186</t>
        </is>
      </c>
      <c r="D987" s="4" t="n">
        <v>46178</v>
      </c>
      <c r="E987" s="5" t="n">
        <v>12167</v>
      </c>
      <c r="F987" s="3" t="inlineStr">
        <is>
          <t>UPI</t>
        </is>
      </c>
    </row>
    <row r="988">
      <c r="A988" s="3" t="inlineStr">
        <is>
          <t>P00987</t>
        </is>
      </c>
      <c r="B988" s="3" t="inlineStr">
        <is>
          <t>D1114</t>
        </is>
      </c>
      <c r="C988" s="3" t="inlineStr">
        <is>
          <t>A0186</t>
        </is>
      </c>
      <c r="D988" s="4" t="n">
        <v>46207</v>
      </c>
      <c r="E988" s="5" t="n">
        <v>12167</v>
      </c>
      <c r="F988" s="3" t="inlineStr">
        <is>
          <t>NEFT</t>
        </is>
      </c>
    </row>
    <row r="989">
      <c r="A989" s="3" t="inlineStr">
        <is>
          <t>P00988</t>
        </is>
      </c>
      <c r="B989" s="3" t="inlineStr">
        <is>
          <t>D1115</t>
        </is>
      </c>
      <c r="C989" s="3" t="inlineStr">
        <is>
          <t>A0186</t>
        </is>
      </c>
      <c r="D989" s="4" t="n">
        <v>46241</v>
      </c>
      <c r="E989" s="5" t="n">
        <v>12167</v>
      </c>
      <c r="F989" s="3" t="inlineStr">
        <is>
          <t>Cash</t>
        </is>
      </c>
    </row>
    <row r="990">
      <c r="A990" s="3" t="inlineStr">
        <is>
          <t>P00989</t>
        </is>
      </c>
      <c r="B990" s="3" t="inlineStr">
        <is>
          <t>D1116</t>
        </is>
      </c>
      <c r="C990" s="3" t="inlineStr">
        <is>
          <t>A0186</t>
        </is>
      </c>
      <c r="D990" s="4" t="n">
        <v>46269</v>
      </c>
      <c r="E990" s="5" t="n">
        <v>12167</v>
      </c>
      <c r="F990" s="3" t="inlineStr">
        <is>
          <t>Cash</t>
        </is>
      </c>
    </row>
    <row r="991">
      <c r="A991" s="3" t="inlineStr">
        <is>
          <t>P00990</t>
        </is>
      </c>
      <c r="B991" s="3" t="inlineStr">
        <is>
          <t>D1117</t>
        </is>
      </c>
      <c r="C991" s="3" t="inlineStr">
        <is>
          <t>A0187</t>
        </is>
      </c>
      <c r="D991" s="4" t="n">
        <v>46119</v>
      </c>
      <c r="E991" s="5" t="n">
        <v>13333</v>
      </c>
      <c r="F991" s="3" t="inlineStr">
        <is>
          <t>UPI</t>
        </is>
      </c>
    </row>
    <row r="992">
      <c r="A992" s="3" t="inlineStr">
        <is>
          <t>P00991</t>
        </is>
      </c>
      <c r="B992" s="3" t="inlineStr">
        <is>
          <t>D1118</t>
        </is>
      </c>
      <c r="C992" s="3" t="inlineStr">
        <is>
          <t>A0187</t>
        </is>
      </c>
      <c r="D992" s="4" t="n">
        <v>46147</v>
      </c>
      <c r="E992" s="5" t="n">
        <v>13333</v>
      </c>
      <c r="F992" s="3" t="inlineStr">
        <is>
          <t>Cash</t>
        </is>
      </c>
    </row>
    <row r="993">
      <c r="A993" s="3" t="inlineStr">
        <is>
          <t>P00992</t>
        </is>
      </c>
      <c r="B993" s="3" t="inlineStr">
        <is>
          <t>D1119</t>
        </is>
      </c>
      <c r="C993" s="3" t="inlineStr">
        <is>
          <t>A0187</t>
        </is>
      </c>
      <c r="D993" s="4" t="n">
        <v>46179</v>
      </c>
      <c r="E993" s="5" t="n">
        <v>13333</v>
      </c>
      <c r="F993" s="3" t="inlineStr">
        <is>
          <t>Cash</t>
        </is>
      </c>
    </row>
    <row r="994">
      <c r="A994" s="3" t="inlineStr">
        <is>
          <t>P00993</t>
        </is>
      </c>
      <c r="B994" s="3" t="inlineStr">
        <is>
          <t>D1120</t>
        </is>
      </c>
      <c r="C994" s="3" t="inlineStr">
        <is>
          <t>A0187</t>
        </is>
      </c>
      <c r="D994" s="4" t="n">
        <v>46211</v>
      </c>
      <c r="E994" s="5" t="n">
        <v>13333</v>
      </c>
      <c r="F994" s="3" t="inlineStr">
        <is>
          <t>Cash</t>
        </is>
      </c>
    </row>
    <row r="995">
      <c r="A995" s="3" t="inlineStr">
        <is>
          <t>P00994</t>
        </is>
      </c>
      <c r="B995" s="3" t="inlineStr">
        <is>
          <t>D1121</t>
        </is>
      </c>
      <c r="C995" s="3" t="inlineStr">
        <is>
          <t>A0187</t>
        </is>
      </c>
      <c r="D995" s="4" t="n">
        <v>46237</v>
      </c>
      <c r="E995" s="5" t="n">
        <v>13333</v>
      </c>
      <c r="F995" s="3" t="inlineStr">
        <is>
          <t>Cash</t>
        </is>
      </c>
    </row>
    <row r="996">
      <c r="A996" s="3" t="inlineStr">
        <is>
          <t>P00995</t>
        </is>
      </c>
      <c r="B996" s="3" t="inlineStr">
        <is>
          <t>D1122</t>
        </is>
      </c>
      <c r="C996" s="3" t="inlineStr">
        <is>
          <t>A0187</t>
        </is>
      </c>
      <c r="D996" s="4" t="n">
        <v>46269</v>
      </c>
      <c r="E996" s="5" t="n">
        <v>13333</v>
      </c>
      <c r="F996" s="3" t="inlineStr">
        <is>
          <t>NEFT</t>
        </is>
      </c>
    </row>
    <row r="997">
      <c r="A997" s="3" t="inlineStr">
        <is>
          <t>P00996</t>
        </is>
      </c>
      <c r="B997" s="3" t="inlineStr">
        <is>
          <t>D1123</t>
        </is>
      </c>
      <c r="C997" s="3" t="inlineStr">
        <is>
          <t>A0188</t>
        </is>
      </c>
      <c r="D997" s="4" t="n">
        <v>46117</v>
      </c>
      <c r="E997" s="5" t="n">
        <v>13667</v>
      </c>
      <c r="F997" s="3" t="inlineStr">
        <is>
          <t>UPI</t>
        </is>
      </c>
    </row>
    <row r="998">
      <c r="A998" s="3" t="inlineStr">
        <is>
          <t>P00997</t>
        </is>
      </c>
      <c r="B998" s="3" t="inlineStr">
        <is>
          <t>D1124</t>
        </is>
      </c>
      <c r="C998" s="3" t="inlineStr">
        <is>
          <t>A0188</t>
        </is>
      </c>
      <c r="D998" s="4" t="n">
        <v>46147</v>
      </c>
      <c r="E998" s="5" t="n">
        <v>13667</v>
      </c>
      <c r="F998" s="3" t="inlineStr">
        <is>
          <t>UPI</t>
        </is>
      </c>
    </row>
    <row r="999">
      <c r="A999" s="3" t="inlineStr">
        <is>
          <t>P00998</t>
        </is>
      </c>
      <c r="B999" s="3" t="inlineStr">
        <is>
          <t>D1125</t>
        </is>
      </c>
      <c r="C999" s="3" t="inlineStr">
        <is>
          <t>A0188</t>
        </is>
      </c>
      <c r="D999" s="4" t="n">
        <v>46181</v>
      </c>
      <c r="E999" s="5" t="n">
        <v>13667</v>
      </c>
      <c r="F999" s="3" t="inlineStr">
        <is>
          <t>UPI</t>
        </is>
      </c>
    </row>
    <row r="1000">
      <c r="A1000" s="3" t="inlineStr">
        <is>
          <t>P00999</t>
        </is>
      </c>
      <c r="B1000" s="3" t="inlineStr">
        <is>
          <t>D1126</t>
        </is>
      </c>
      <c r="C1000" s="3" t="inlineStr">
        <is>
          <t>A0188</t>
        </is>
      </c>
      <c r="D1000" s="4" t="n">
        <v>46209</v>
      </c>
      <c r="E1000" s="5" t="n">
        <v>13667</v>
      </c>
      <c r="F1000" s="3" t="inlineStr">
        <is>
          <t>Cash</t>
        </is>
      </c>
    </row>
    <row r="1001">
      <c r="A1001" s="3" t="inlineStr">
        <is>
          <t>P01000</t>
        </is>
      </c>
      <c r="B1001" s="3" t="inlineStr">
        <is>
          <t>D1127</t>
        </is>
      </c>
      <c r="C1001" s="3" t="inlineStr">
        <is>
          <t>A0188</t>
        </is>
      </c>
      <c r="D1001" s="4" t="n">
        <v>46239</v>
      </c>
      <c r="E1001" s="5" t="n">
        <v>13667</v>
      </c>
      <c r="F1001" s="3" t="inlineStr">
        <is>
          <t>UPI</t>
        </is>
      </c>
    </row>
    <row r="1002">
      <c r="A1002" s="3" t="inlineStr">
        <is>
          <t>P01001</t>
        </is>
      </c>
      <c r="B1002" s="3" t="inlineStr">
        <is>
          <t>D1128</t>
        </is>
      </c>
      <c r="C1002" s="3" t="inlineStr">
        <is>
          <t>A0188</t>
        </is>
      </c>
      <c r="D1002" s="4" t="n">
        <v>46271</v>
      </c>
      <c r="E1002" s="5" t="n">
        <v>13667</v>
      </c>
      <c r="F1002" s="3" t="inlineStr">
        <is>
          <t>UPI</t>
        </is>
      </c>
    </row>
    <row r="1003">
      <c r="A1003" s="3" t="inlineStr">
        <is>
          <t>P01002</t>
        </is>
      </c>
      <c r="B1003" s="3" t="inlineStr">
        <is>
          <t>D1129</t>
        </is>
      </c>
      <c r="C1003" s="3" t="inlineStr">
        <is>
          <t>A0189</t>
        </is>
      </c>
      <c r="D1003" s="4" t="n">
        <v>46120</v>
      </c>
      <c r="E1003" s="5" t="n">
        <v>8500</v>
      </c>
      <c r="F1003" s="3" t="inlineStr">
        <is>
          <t>NEFT</t>
        </is>
      </c>
    </row>
    <row r="1004">
      <c r="A1004" s="3" t="inlineStr">
        <is>
          <t>P01003</t>
        </is>
      </c>
      <c r="B1004" s="3" t="inlineStr">
        <is>
          <t>D1130</t>
        </is>
      </c>
      <c r="C1004" s="3" t="inlineStr">
        <is>
          <t>A0189</t>
        </is>
      </c>
      <c r="D1004" s="4" t="n">
        <v>46145</v>
      </c>
      <c r="E1004" s="5" t="n">
        <v>8500</v>
      </c>
      <c r="F1004" s="3" t="inlineStr">
        <is>
          <t>UPI</t>
        </is>
      </c>
    </row>
    <row r="1005">
      <c r="A1005" s="3" t="inlineStr">
        <is>
          <t>P01004</t>
        </is>
      </c>
      <c r="B1005" s="3" t="inlineStr">
        <is>
          <t>D1131</t>
        </is>
      </c>
      <c r="C1005" s="3" t="inlineStr">
        <is>
          <t>A0189</t>
        </is>
      </c>
      <c r="D1005" s="4" t="n">
        <v>46179</v>
      </c>
      <c r="E1005" s="5" t="n">
        <v>8500</v>
      </c>
      <c r="F1005" s="3" t="inlineStr">
        <is>
          <t>UPI</t>
        </is>
      </c>
    </row>
    <row r="1006">
      <c r="A1006" s="3" t="inlineStr">
        <is>
          <t>P01005</t>
        </is>
      </c>
      <c r="B1006" s="3" t="inlineStr">
        <is>
          <t>D1132</t>
        </is>
      </c>
      <c r="C1006" s="3" t="inlineStr">
        <is>
          <t>A0189</t>
        </is>
      </c>
      <c r="D1006" s="4" t="n">
        <v>46209</v>
      </c>
      <c r="E1006" s="5" t="n">
        <v>8500</v>
      </c>
      <c r="F1006" s="3" t="inlineStr">
        <is>
          <t>Cash</t>
        </is>
      </c>
    </row>
    <row r="1007">
      <c r="A1007" s="3" t="inlineStr">
        <is>
          <t>P01006</t>
        </is>
      </c>
      <c r="B1007" s="3" t="inlineStr">
        <is>
          <t>D1133</t>
        </is>
      </c>
      <c r="C1007" s="3" t="inlineStr">
        <is>
          <t>A0189</t>
        </is>
      </c>
      <c r="D1007" s="4" t="n">
        <v>46238</v>
      </c>
      <c r="E1007" s="5" t="n">
        <v>8500</v>
      </c>
      <c r="F1007" s="3" t="inlineStr">
        <is>
          <t>UPI</t>
        </is>
      </c>
    </row>
    <row r="1008">
      <c r="A1008" s="3" t="inlineStr">
        <is>
          <t>P01007</t>
        </is>
      </c>
      <c r="B1008" s="3" t="inlineStr">
        <is>
          <t>D1134</t>
        </is>
      </c>
      <c r="C1008" s="3" t="inlineStr">
        <is>
          <t>A0189</t>
        </is>
      </c>
      <c r="D1008" s="4" t="n">
        <v>46270</v>
      </c>
      <c r="E1008" s="5" t="n">
        <v>8500</v>
      </c>
      <c r="F1008" s="3" t="inlineStr">
        <is>
          <t>Cash</t>
        </is>
      </c>
    </row>
    <row r="1009">
      <c r="A1009" s="3" t="inlineStr">
        <is>
          <t>P01008</t>
        </is>
      </c>
      <c r="B1009" s="3" t="inlineStr">
        <is>
          <t>D1135</t>
        </is>
      </c>
      <c r="C1009" s="3" t="inlineStr">
        <is>
          <t>A0190</t>
        </is>
      </c>
      <c r="D1009" s="4" t="n">
        <v>46125</v>
      </c>
      <c r="E1009" s="5" t="n">
        <v>13979</v>
      </c>
      <c r="F1009" s="3" t="inlineStr">
        <is>
          <t>Cash</t>
        </is>
      </c>
    </row>
    <row r="1010">
      <c r="A1010" s="3" t="inlineStr">
        <is>
          <t>P01009</t>
        </is>
      </c>
      <c r="B1010" s="3" t="inlineStr">
        <is>
          <t>D1135</t>
        </is>
      </c>
      <c r="C1010" s="3" t="inlineStr">
        <is>
          <t>A0190</t>
        </is>
      </c>
      <c r="D1010" s="4" t="n">
        <v>46157</v>
      </c>
      <c r="E1010" s="5" t="n">
        <v>13854</v>
      </c>
      <c r="F1010" s="3" t="inlineStr">
        <is>
          <t>Cash</t>
        </is>
      </c>
    </row>
    <row r="1011">
      <c r="A1011" s="3" t="inlineStr">
        <is>
          <t>P01010</t>
        </is>
      </c>
      <c r="B1011" s="3" t="inlineStr">
        <is>
          <t>D1136</t>
        </is>
      </c>
      <c r="C1011" s="3" t="inlineStr">
        <is>
          <t>A0190</t>
        </is>
      </c>
      <c r="D1011" s="4" t="n">
        <v>46217</v>
      </c>
      <c r="E1011" s="5" t="n">
        <v>27833</v>
      </c>
      <c r="F1011" s="3" t="inlineStr">
        <is>
          <t>UPI</t>
        </is>
      </c>
    </row>
    <row r="1012">
      <c r="A1012" s="3" t="inlineStr">
        <is>
          <t>P01011</t>
        </is>
      </c>
      <c r="B1012" s="3" t="inlineStr">
        <is>
          <t>D1137</t>
        </is>
      </c>
      <c r="C1012" s="3" t="inlineStr">
        <is>
          <t>A0190</t>
        </is>
      </c>
      <c r="D1012" s="4" t="n">
        <v>46227</v>
      </c>
      <c r="E1012" s="5" t="n">
        <v>27833</v>
      </c>
      <c r="F1012" s="3" t="inlineStr">
        <is>
          <t>NEFT</t>
        </is>
      </c>
    </row>
    <row r="1013">
      <c r="A1013" s="3" t="inlineStr">
        <is>
          <t>P01012</t>
        </is>
      </c>
      <c r="B1013" s="3" t="inlineStr">
        <is>
          <t>D1138</t>
        </is>
      </c>
      <c r="C1013" s="3" t="inlineStr">
        <is>
          <t>A0190</t>
        </is>
      </c>
      <c r="D1013" s="4" t="n">
        <v>46217</v>
      </c>
      <c r="E1013" s="5" t="n">
        <v>27833</v>
      </c>
      <c r="F1013" s="3" t="inlineStr">
        <is>
          <t>Cash</t>
        </is>
      </c>
    </row>
    <row r="1014">
      <c r="A1014" s="3" t="inlineStr">
        <is>
          <t>P01013</t>
        </is>
      </c>
      <c r="B1014" s="3" t="inlineStr">
        <is>
          <t>D1139</t>
        </is>
      </c>
      <c r="C1014" s="3" t="inlineStr">
        <is>
          <t>A0190</t>
        </is>
      </c>
      <c r="D1014" s="4" t="n">
        <v>46274</v>
      </c>
      <c r="E1014" s="5" t="n">
        <v>27833</v>
      </c>
      <c r="F1014" s="3" t="inlineStr">
        <is>
          <t>UPI</t>
        </is>
      </c>
    </row>
    <row r="1015">
      <c r="A1015" s="3" t="inlineStr">
        <is>
          <t>P01014</t>
        </is>
      </c>
      <c r="B1015" s="3" t="inlineStr">
        <is>
          <t>D1140</t>
        </is>
      </c>
      <c r="C1015" s="3" t="inlineStr">
        <is>
          <t>A0190</t>
        </is>
      </c>
      <c r="D1015" s="4" t="n">
        <v>46284</v>
      </c>
      <c r="E1015" s="5" t="n">
        <v>14747</v>
      </c>
      <c r="F1015" s="3" t="inlineStr">
        <is>
          <t>Cash</t>
        </is>
      </c>
    </row>
    <row r="1016">
      <c r="A1016" s="3" t="inlineStr">
        <is>
          <t>P01015</t>
        </is>
      </c>
      <c r="B1016" s="3" t="inlineStr">
        <is>
          <t>D1140</t>
        </is>
      </c>
      <c r="C1016" s="3" t="inlineStr">
        <is>
          <t>A0190</t>
        </is>
      </c>
      <c r="D1016" s="4" t="n">
        <v>46311</v>
      </c>
      <c r="E1016" s="5" t="n">
        <v>13086</v>
      </c>
      <c r="F1016" s="3" t="inlineStr">
        <is>
          <t>UPI</t>
        </is>
      </c>
    </row>
    <row r="1017">
      <c r="A1017" s="3" t="inlineStr">
        <is>
          <t>P01016</t>
        </is>
      </c>
      <c r="B1017" s="3" t="inlineStr">
        <is>
          <t>D1141</t>
        </is>
      </c>
      <c r="C1017" s="3" t="inlineStr">
        <is>
          <t>A0191</t>
        </is>
      </c>
      <c r="D1017" s="4" t="n">
        <v>46116</v>
      </c>
      <c r="E1017" s="5" t="n">
        <v>28167</v>
      </c>
      <c r="F1017" s="3" t="inlineStr">
        <is>
          <t>Cash</t>
        </is>
      </c>
    </row>
    <row r="1018">
      <c r="A1018" s="3" t="inlineStr">
        <is>
          <t>P01017</t>
        </is>
      </c>
      <c r="B1018" s="3" t="inlineStr">
        <is>
          <t>D1142</t>
        </is>
      </c>
      <c r="C1018" s="3" t="inlineStr">
        <is>
          <t>A0191</t>
        </is>
      </c>
      <c r="D1018" s="4" t="n">
        <v>46145</v>
      </c>
      <c r="E1018" s="5" t="n">
        <v>28167</v>
      </c>
      <c r="F1018" s="3" t="inlineStr">
        <is>
          <t>NEFT</t>
        </is>
      </c>
    </row>
    <row r="1019">
      <c r="A1019" s="3" t="inlineStr">
        <is>
          <t>P01018</t>
        </is>
      </c>
      <c r="B1019" s="3" t="inlineStr">
        <is>
          <t>D1143</t>
        </is>
      </c>
      <c r="C1019" s="3" t="inlineStr">
        <is>
          <t>A0191</t>
        </is>
      </c>
      <c r="D1019" s="4" t="n">
        <v>46177</v>
      </c>
      <c r="E1019" s="5" t="n">
        <v>28167</v>
      </c>
      <c r="F1019" s="3" t="inlineStr">
        <is>
          <t>Cash</t>
        </is>
      </c>
    </row>
    <row r="1020">
      <c r="A1020" s="3" t="inlineStr">
        <is>
          <t>P01019</t>
        </is>
      </c>
      <c r="B1020" s="3" t="inlineStr">
        <is>
          <t>D1144</t>
        </is>
      </c>
      <c r="C1020" s="3" t="inlineStr">
        <is>
          <t>A0191</t>
        </is>
      </c>
      <c r="D1020" s="4" t="n">
        <v>46206</v>
      </c>
      <c r="E1020" s="5" t="n">
        <v>28167</v>
      </c>
      <c r="F1020" s="3" t="inlineStr">
        <is>
          <t>Cash</t>
        </is>
      </c>
    </row>
    <row r="1021">
      <c r="A1021" s="3" t="inlineStr">
        <is>
          <t>P01020</t>
        </is>
      </c>
      <c r="B1021" s="3" t="inlineStr">
        <is>
          <t>D1145</t>
        </is>
      </c>
      <c r="C1021" s="3" t="inlineStr">
        <is>
          <t>A0191</t>
        </is>
      </c>
      <c r="D1021" s="4" t="n">
        <v>46239</v>
      </c>
      <c r="E1021" s="5" t="n">
        <v>28167</v>
      </c>
      <c r="F1021" s="3" t="inlineStr">
        <is>
          <t>NEFT</t>
        </is>
      </c>
    </row>
    <row r="1022">
      <c r="A1022" s="3" t="inlineStr">
        <is>
          <t>P01021</t>
        </is>
      </c>
      <c r="B1022" s="3" t="inlineStr">
        <is>
          <t>D1146</t>
        </is>
      </c>
      <c r="C1022" s="3" t="inlineStr">
        <is>
          <t>A0191</t>
        </is>
      </c>
      <c r="D1022" s="4" t="n">
        <v>46267</v>
      </c>
      <c r="E1022" s="5" t="n">
        <v>28167</v>
      </c>
      <c r="F1022" s="3" t="inlineStr">
        <is>
          <t>UPI</t>
        </is>
      </c>
    </row>
    <row r="1023">
      <c r="A1023" s="3" t="inlineStr">
        <is>
          <t>P01022</t>
        </is>
      </c>
      <c r="B1023" s="3" t="inlineStr">
        <is>
          <t>D1147</t>
        </is>
      </c>
      <c r="C1023" s="3" t="inlineStr">
        <is>
          <t>A0192</t>
        </is>
      </c>
      <c r="D1023" s="4" t="n">
        <v>46119</v>
      </c>
      <c r="E1023" s="5" t="n">
        <v>13833</v>
      </c>
      <c r="F1023" s="3" t="inlineStr">
        <is>
          <t>NEFT</t>
        </is>
      </c>
    </row>
    <row r="1024">
      <c r="A1024" s="3" t="inlineStr">
        <is>
          <t>P01023</t>
        </is>
      </c>
      <c r="B1024" s="3" t="inlineStr">
        <is>
          <t>D1148</t>
        </is>
      </c>
      <c r="C1024" s="3" t="inlineStr">
        <is>
          <t>A0192</t>
        </is>
      </c>
      <c r="D1024" s="4" t="n">
        <v>46147</v>
      </c>
      <c r="E1024" s="5" t="n">
        <v>13833</v>
      </c>
      <c r="F1024" s="3" t="inlineStr">
        <is>
          <t>UPI</t>
        </is>
      </c>
    </row>
    <row r="1025">
      <c r="A1025" s="3" t="inlineStr">
        <is>
          <t>P01024</t>
        </is>
      </c>
      <c r="B1025" s="3" t="inlineStr">
        <is>
          <t>D1149</t>
        </is>
      </c>
      <c r="C1025" s="3" t="inlineStr">
        <is>
          <t>A0192</t>
        </is>
      </c>
      <c r="D1025" s="4" t="n">
        <v>46183</v>
      </c>
      <c r="E1025" s="5" t="n">
        <v>13833</v>
      </c>
      <c r="F1025" s="3" t="inlineStr">
        <is>
          <t>NEFT</t>
        </is>
      </c>
    </row>
    <row r="1026">
      <c r="A1026" s="3" t="inlineStr">
        <is>
          <t>P01025</t>
        </is>
      </c>
      <c r="B1026" s="3" t="inlineStr">
        <is>
          <t>D1150</t>
        </is>
      </c>
      <c r="C1026" s="3" t="inlineStr">
        <is>
          <t>A0192</t>
        </is>
      </c>
      <c r="D1026" s="4" t="n">
        <v>46213</v>
      </c>
      <c r="E1026" s="5" t="n">
        <v>8554</v>
      </c>
      <c r="F1026" s="3" t="inlineStr">
        <is>
          <t>NEFT</t>
        </is>
      </c>
    </row>
    <row r="1027">
      <c r="A1027" s="3" t="inlineStr">
        <is>
          <t>P01026</t>
        </is>
      </c>
      <c r="B1027" s="3" t="inlineStr">
        <is>
          <t>D1150</t>
        </is>
      </c>
      <c r="C1027" s="3" t="inlineStr">
        <is>
          <t>A0192</t>
        </is>
      </c>
      <c r="D1027" s="4" t="n">
        <v>46250</v>
      </c>
      <c r="E1027" s="5" t="n">
        <v>5279</v>
      </c>
      <c r="F1027" s="3" t="inlineStr">
        <is>
          <t>UPI</t>
        </is>
      </c>
    </row>
    <row r="1028">
      <c r="A1028" s="3" t="inlineStr">
        <is>
          <t>P01027</t>
        </is>
      </c>
      <c r="B1028" s="3" t="inlineStr">
        <is>
          <t>D1151</t>
        </is>
      </c>
      <c r="C1028" s="3" t="inlineStr">
        <is>
          <t>A0192</t>
        </is>
      </c>
      <c r="D1028" s="4" t="n">
        <v>46254</v>
      </c>
      <c r="E1028" s="5" t="n">
        <v>7916</v>
      </c>
      <c r="F1028" s="3" t="inlineStr">
        <is>
          <t>UPI</t>
        </is>
      </c>
    </row>
    <row r="1029">
      <c r="A1029" s="3" t="inlineStr">
        <is>
          <t>P01028</t>
        </is>
      </c>
      <c r="B1029" s="3" t="inlineStr">
        <is>
          <t>D1151</t>
        </is>
      </c>
      <c r="C1029" s="3" t="inlineStr">
        <is>
          <t>A0192</t>
        </is>
      </c>
      <c r="D1029" s="4" t="n">
        <v>46283</v>
      </c>
      <c r="E1029" s="5" t="n">
        <v>5917</v>
      </c>
      <c r="F1029" s="3" t="inlineStr">
        <is>
          <t>UPI</t>
        </is>
      </c>
    </row>
    <row r="1030">
      <c r="A1030" s="3" t="inlineStr">
        <is>
          <t>P01029</t>
        </is>
      </c>
      <c r="B1030" s="3" t="inlineStr">
        <is>
          <t>D1153</t>
        </is>
      </c>
      <c r="C1030" s="3" t="inlineStr">
        <is>
          <t>A0193</t>
        </is>
      </c>
      <c r="D1030" s="4" t="n">
        <v>46126</v>
      </c>
      <c r="E1030" s="5" t="n">
        <v>3667</v>
      </c>
      <c r="F1030" s="3" t="inlineStr">
        <is>
          <t>UPI</t>
        </is>
      </c>
    </row>
    <row r="1031">
      <c r="A1031" s="3" t="inlineStr">
        <is>
          <t>P01030</t>
        </is>
      </c>
      <c r="B1031" s="3" t="inlineStr">
        <is>
          <t>D1154</t>
        </is>
      </c>
      <c r="C1031" s="3" t="inlineStr">
        <is>
          <t>A0193</t>
        </is>
      </c>
      <c r="D1031" s="4" t="n">
        <v>46147</v>
      </c>
      <c r="E1031" s="5" t="n">
        <v>3667</v>
      </c>
      <c r="F1031" s="3" t="inlineStr">
        <is>
          <t>UPI</t>
        </is>
      </c>
    </row>
    <row r="1032">
      <c r="A1032" s="3" t="inlineStr">
        <is>
          <t>P01031</t>
        </is>
      </c>
      <c r="B1032" s="3" t="inlineStr">
        <is>
          <t>D1155</t>
        </is>
      </c>
      <c r="C1032" s="3" t="inlineStr">
        <is>
          <t>A0193</t>
        </is>
      </c>
      <c r="D1032" s="4" t="n">
        <v>46184</v>
      </c>
      <c r="E1032" s="5" t="n">
        <v>3667</v>
      </c>
      <c r="F1032" s="3" t="inlineStr">
        <is>
          <t>Cash</t>
        </is>
      </c>
    </row>
    <row r="1033">
      <c r="A1033" s="3" t="inlineStr">
        <is>
          <t>P01032</t>
        </is>
      </c>
      <c r="B1033" s="3" t="inlineStr">
        <is>
          <t>D1156</t>
        </is>
      </c>
      <c r="C1033" s="3" t="inlineStr">
        <is>
          <t>A0193</t>
        </is>
      </c>
      <c r="D1033" s="4" t="n">
        <v>46253</v>
      </c>
      <c r="E1033" s="5" t="n">
        <v>3667</v>
      </c>
      <c r="F1033" s="3" t="inlineStr">
        <is>
          <t>UPI</t>
        </is>
      </c>
    </row>
    <row r="1034">
      <c r="A1034" s="3" t="inlineStr">
        <is>
          <t>P01033</t>
        </is>
      </c>
      <c r="B1034" s="3" t="inlineStr">
        <is>
          <t>D1157</t>
        </is>
      </c>
      <c r="C1034" s="3" t="inlineStr">
        <is>
          <t>A0193</t>
        </is>
      </c>
      <c r="D1034" s="4" t="n">
        <v>46288</v>
      </c>
      <c r="E1034" s="5" t="n">
        <v>3667</v>
      </c>
      <c r="F1034" s="3" t="inlineStr">
        <is>
          <t>Cash</t>
        </is>
      </c>
    </row>
    <row r="1035">
      <c r="A1035" s="3" t="inlineStr">
        <is>
          <t>P01034</t>
        </is>
      </c>
      <c r="B1035" s="3" t="inlineStr">
        <is>
          <t>D1159</t>
        </is>
      </c>
      <c r="C1035" s="3" t="inlineStr">
        <is>
          <t>A0194</t>
        </is>
      </c>
      <c r="D1035" s="4" t="n">
        <v>46122</v>
      </c>
      <c r="E1035" s="5" t="n">
        <v>13333</v>
      </c>
      <c r="F1035" s="3" t="inlineStr">
        <is>
          <t>UPI</t>
        </is>
      </c>
    </row>
    <row r="1036">
      <c r="A1036" s="3" t="inlineStr">
        <is>
          <t>P01035</t>
        </is>
      </c>
      <c r="B1036" s="3" t="inlineStr">
        <is>
          <t>D1160</t>
        </is>
      </c>
      <c r="C1036" s="3" t="inlineStr">
        <is>
          <t>A0194</t>
        </is>
      </c>
      <c r="D1036" s="4" t="n">
        <v>46150</v>
      </c>
      <c r="E1036" s="5" t="n">
        <v>13333</v>
      </c>
      <c r="F1036" s="3" t="inlineStr">
        <is>
          <t>NEFT</t>
        </is>
      </c>
    </row>
    <row r="1037">
      <c r="A1037" s="3" t="inlineStr">
        <is>
          <t>P01036</t>
        </is>
      </c>
      <c r="B1037" s="3" t="inlineStr">
        <is>
          <t>D1161</t>
        </is>
      </c>
      <c r="C1037" s="3" t="inlineStr">
        <is>
          <t>A0194</t>
        </is>
      </c>
      <c r="D1037" s="4" t="n">
        <v>46185</v>
      </c>
      <c r="E1037" s="5" t="n">
        <v>6464</v>
      </c>
      <c r="F1037" s="3" t="inlineStr">
        <is>
          <t>Cash</t>
        </is>
      </c>
    </row>
    <row r="1038">
      <c r="A1038" s="3" t="inlineStr">
        <is>
          <t>P01037</t>
        </is>
      </c>
      <c r="B1038" s="3" t="inlineStr">
        <is>
          <t>D1161</t>
        </is>
      </c>
      <c r="C1038" s="3" t="inlineStr">
        <is>
          <t>A0194</t>
        </is>
      </c>
      <c r="D1038" s="4" t="n">
        <v>46219</v>
      </c>
      <c r="E1038" s="5" t="n">
        <v>6869</v>
      </c>
      <c r="F1038" s="3" t="inlineStr">
        <is>
          <t>NEFT</t>
        </is>
      </c>
    </row>
    <row r="1039">
      <c r="A1039" s="3" t="inlineStr">
        <is>
          <t>P01038</t>
        </is>
      </c>
      <c r="B1039" s="3" t="inlineStr">
        <is>
          <t>D1162</t>
        </is>
      </c>
      <c r="C1039" s="3" t="inlineStr">
        <is>
          <t>A0194</t>
        </is>
      </c>
      <c r="D1039" s="4" t="n">
        <v>46214</v>
      </c>
      <c r="E1039" s="5" t="n">
        <v>5551</v>
      </c>
      <c r="F1039" s="3" t="inlineStr">
        <is>
          <t>UPI</t>
        </is>
      </c>
    </row>
    <row r="1040">
      <c r="A1040" s="3" t="inlineStr">
        <is>
          <t>P01039</t>
        </is>
      </c>
      <c r="B1040" s="3" t="inlineStr">
        <is>
          <t>D1162</t>
        </is>
      </c>
      <c r="C1040" s="3" t="inlineStr">
        <is>
          <t>A0194</t>
        </is>
      </c>
      <c r="D1040" s="4" t="n">
        <v>46242</v>
      </c>
      <c r="E1040" s="5" t="n">
        <v>7782</v>
      </c>
      <c r="F1040" s="3" t="inlineStr">
        <is>
          <t>UPI</t>
        </is>
      </c>
    </row>
    <row r="1041">
      <c r="A1041" s="3" t="inlineStr">
        <is>
          <t>P01040</t>
        </is>
      </c>
      <c r="B1041" s="3" t="inlineStr">
        <is>
          <t>D1163</t>
        </is>
      </c>
      <c r="C1041" s="3" t="inlineStr">
        <is>
          <t>A0194</t>
        </is>
      </c>
      <c r="D1041" s="4" t="n">
        <v>46244</v>
      </c>
      <c r="E1041" s="5" t="n">
        <v>13333</v>
      </c>
      <c r="F1041" s="3" t="inlineStr">
        <is>
          <t>UPI</t>
        </is>
      </c>
    </row>
    <row r="1042">
      <c r="A1042" s="3" t="inlineStr">
        <is>
          <t>P01041</t>
        </is>
      </c>
      <c r="B1042" s="3" t="inlineStr">
        <is>
          <t>D1165</t>
        </is>
      </c>
      <c r="C1042" s="3" t="inlineStr">
        <is>
          <t>A0195</t>
        </is>
      </c>
      <c r="D1042" s="4" t="n">
        <v>46118</v>
      </c>
      <c r="E1042" s="5" t="n">
        <v>7667</v>
      </c>
      <c r="F1042" s="3" t="inlineStr">
        <is>
          <t>UPI</t>
        </is>
      </c>
    </row>
    <row r="1043">
      <c r="A1043" s="3" t="inlineStr">
        <is>
          <t>P01042</t>
        </is>
      </c>
      <c r="B1043" s="3" t="inlineStr">
        <is>
          <t>D1166</t>
        </is>
      </c>
      <c r="C1043" s="3" t="inlineStr">
        <is>
          <t>A0195</t>
        </is>
      </c>
      <c r="D1043" s="4" t="n">
        <v>46150</v>
      </c>
      <c r="E1043" s="5" t="n">
        <v>7667</v>
      </c>
      <c r="F1043" s="3" t="inlineStr">
        <is>
          <t>Cash</t>
        </is>
      </c>
    </row>
    <row r="1044">
      <c r="A1044" s="3" t="inlineStr">
        <is>
          <t>P01043</t>
        </is>
      </c>
      <c r="B1044" s="3" t="inlineStr">
        <is>
          <t>D1167</t>
        </is>
      </c>
      <c r="C1044" s="3" t="inlineStr">
        <is>
          <t>A0195</t>
        </is>
      </c>
      <c r="D1044" s="4" t="n">
        <v>46179</v>
      </c>
      <c r="E1044" s="5" t="n">
        <v>7667</v>
      </c>
      <c r="F1044" s="3" t="inlineStr">
        <is>
          <t>UPI</t>
        </is>
      </c>
    </row>
    <row r="1045">
      <c r="A1045" s="3" t="inlineStr">
        <is>
          <t>P01044</t>
        </is>
      </c>
      <c r="B1045" s="3" t="inlineStr">
        <is>
          <t>D1168</t>
        </is>
      </c>
      <c r="C1045" s="3" t="inlineStr">
        <is>
          <t>A0195</t>
        </is>
      </c>
      <c r="D1045" s="4" t="n">
        <v>46209</v>
      </c>
      <c r="E1045" s="5" t="n">
        <v>7667</v>
      </c>
      <c r="F1045" s="3" t="inlineStr">
        <is>
          <t>Cash</t>
        </is>
      </c>
    </row>
    <row r="1046">
      <c r="A1046" s="3" t="inlineStr">
        <is>
          <t>P01045</t>
        </is>
      </c>
      <c r="B1046" s="3" t="inlineStr">
        <is>
          <t>D1169</t>
        </is>
      </c>
      <c r="C1046" s="3" t="inlineStr">
        <is>
          <t>A0195</t>
        </is>
      </c>
      <c r="D1046" s="4" t="n">
        <v>46240</v>
      </c>
      <c r="E1046" s="5" t="n">
        <v>7667</v>
      </c>
      <c r="F1046" s="3" t="inlineStr">
        <is>
          <t>UPI</t>
        </is>
      </c>
    </row>
    <row r="1047">
      <c r="A1047" s="3" t="inlineStr">
        <is>
          <t>P01046</t>
        </is>
      </c>
      <c r="B1047" s="3" t="inlineStr">
        <is>
          <t>D1170</t>
        </is>
      </c>
      <c r="C1047" s="3" t="inlineStr">
        <is>
          <t>A0195</t>
        </is>
      </c>
      <c r="D1047" s="4" t="n">
        <v>46270</v>
      </c>
      <c r="E1047" s="5" t="n">
        <v>7667</v>
      </c>
      <c r="F1047" s="3" t="inlineStr">
        <is>
          <t>Cash</t>
        </is>
      </c>
    </row>
    <row r="1048">
      <c r="A1048" s="3" t="inlineStr">
        <is>
          <t>P01047</t>
        </is>
      </c>
      <c r="B1048" s="3" t="inlineStr">
        <is>
          <t>D1171</t>
        </is>
      </c>
      <c r="C1048" s="3" t="inlineStr">
        <is>
          <t>A0196</t>
        </is>
      </c>
      <c r="D1048" s="4" t="n">
        <v>46134</v>
      </c>
      <c r="E1048" s="5" t="n">
        <v>22500</v>
      </c>
      <c r="F1048" s="3" t="inlineStr">
        <is>
          <t>UPI</t>
        </is>
      </c>
    </row>
    <row r="1049">
      <c r="A1049" s="3" t="inlineStr">
        <is>
          <t>P01048</t>
        </is>
      </c>
      <c r="B1049" s="3" t="inlineStr">
        <is>
          <t>D1172</t>
        </is>
      </c>
      <c r="C1049" s="3" t="inlineStr">
        <is>
          <t>A0196</t>
        </is>
      </c>
      <c r="D1049" s="4" t="n">
        <v>46167</v>
      </c>
      <c r="E1049" s="5" t="n">
        <v>22500</v>
      </c>
      <c r="F1049" s="3" t="inlineStr">
        <is>
          <t>Cash</t>
        </is>
      </c>
    </row>
    <row r="1050">
      <c r="A1050" s="3" t="inlineStr">
        <is>
          <t>P01049</t>
        </is>
      </c>
      <c r="B1050" s="3" t="inlineStr">
        <is>
          <t>D1173</t>
        </is>
      </c>
      <c r="C1050" s="3" t="inlineStr">
        <is>
          <t>A0196</t>
        </is>
      </c>
      <c r="D1050" s="4" t="n">
        <v>46200</v>
      </c>
      <c r="E1050" s="5" t="n">
        <v>22500</v>
      </c>
      <c r="F1050" s="3" t="inlineStr">
        <is>
          <t>UPI</t>
        </is>
      </c>
    </row>
    <row r="1051">
      <c r="A1051" s="3" t="inlineStr">
        <is>
          <t>P01050</t>
        </is>
      </c>
      <c r="B1051" s="3" t="inlineStr">
        <is>
          <t>D1174</t>
        </is>
      </c>
      <c r="C1051" s="3" t="inlineStr">
        <is>
          <t>A0196</t>
        </is>
      </c>
      <c r="D1051" s="4" t="n">
        <v>46237</v>
      </c>
      <c r="E1051" s="5" t="n">
        <v>22500</v>
      </c>
      <c r="F1051" s="3" t="inlineStr">
        <is>
          <t>UPI</t>
        </is>
      </c>
    </row>
    <row r="1052">
      <c r="A1052" s="3" t="inlineStr">
        <is>
          <t>P01051</t>
        </is>
      </c>
      <c r="B1052" s="3" t="inlineStr">
        <is>
          <t>D1175</t>
        </is>
      </c>
      <c r="C1052" s="3" t="inlineStr">
        <is>
          <t>A0196</t>
        </is>
      </c>
      <c r="D1052" s="4" t="n">
        <v>46278</v>
      </c>
      <c r="E1052" s="5" t="n">
        <v>22500</v>
      </c>
      <c r="F1052" s="3" t="inlineStr">
        <is>
          <t>UPI</t>
        </is>
      </c>
    </row>
    <row r="1053">
      <c r="A1053" s="3" t="inlineStr">
        <is>
          <t>P01052</t>
        </is>
      </c>
      <c r="B1053" s="3" t="inlineStr">
        <is>
          <t>D1176</t>
        </is>
      </c>
      <c r="C1053" s="3" t="inlineStr">
        <is>
          <t>A0196</t>
        </is>
      </c>
      <c r="D1053" s="4" t="n">
        <v>46301</v>
      </c>
      <c r="E1053" s="5" t="n">
        <v>22500</v>
      </c>
      <c r="F1053" s="3" t="inlineStr">
        <is>
          <t>Cash</t>
        </is>
      </c>
    </row>
    <row r="1054">
      <c r="A1054" s="3" t="inlineStr">
        <is>
          <t>P01053</t>
        </is>
      </c>
      <c r="B1054" s="3" t="inlineStr">
        <is>
          <t>D1177</t>
        </is>
      </c>
      <c r="C1054" s="3" t="inlineStr">
        <is>
          <t>A0197</t>
        </is>
      </c>
      <c r="D1054" s="4" t="n">
        <v>46116</v>
      </c>
      <c r="E1054" s="5" t="n">
        <v>31667</v>
      </c>
      <c r="F1054" s="3" t="inlineStr">
        <is>
          <t>Cash</t>
        </is>
      </c>
    </row>
    <row r="1055">
      <c r="A1055" s="3" t="inlineStr">
        <is>
          <t>P01054</t>
        </is>
      </c>
      <c r="B1055" s="3" t="inlineStr">
        <is>
          <t>D1178</t>
        </is>
      </c>
      <c r="C1055" s="3" t="inlineStr">
        <is>
          <t>A0197</t>
        </is>
      </c>
      <c r="D1055" s="4" t="n">
        <v>46146</v>
      </c>
      <c r="E1055" s="5" t="n">
        <v>31667</v>
      </c>
      <c r="F1055" s="3" t="inlineStr">
        <is>
          <t>UPI</t>
        </is>
      </c>
    </row>
    <row r="1056">
      <c r="A1056" s="3" t="inlineStr">
        <is>
          <t>P01055</t>
        </is>
      </c>
      <c r="B1056" s="3" t="inlineStr">
        <is>
          <t>D1179</t>
        </is>
      </c>
      <c r="C1056" s="3" t="inlineStr">
        <is>
          <t>A0197</t>
        </is>
      </c>
      <c r="D1056" s="4" t="n">
        <v>46177</v>
      </c>
      <c r="E1056" s="5" t="n">
        <v>31667</v>
      </c>
      <c r="F1056" s="3" t="inlineStr">
        <is>
          <t>UPI</t>
        </is>
      </c>
    </row>
    <row r="1057">
      <c r="A1057" s="3" t="inlineStr">
        <is>
          <t>P01056</t>
        </is>
      </c>
      <c r="B1057" s="3" t="inlineStr">
        <is>
          <t>D1180</t>
        </is>
      </c>
      <c r="C1057" s="3" t="inlineStr">
        <is>
          <t>A0197</t>
        </is>
      </c>
      <c r="D1057" s="4" t="n">
        <v>46205</v>
      </c>
      <c r="E1057" s="5" t="n">
        <v>31667</v>
      </c>
      <c r="F1057" s="3" t="inlineStr">
        <is>
          <t>UPI</t>
        </is>
      </c>
    </row>
    <row r="1058">
      <c r="A1058" s="3" t="inlineStr">
        <is>
          <t>P01057</t>
        </is>
      </c>
      <c r="B1058" s="3" t="inlineStr">
        <is>
          <t>D1181</t>
        </is>
      </c>
      <c r="C1058" s="3" t="inlineStr">
        <is>
          <t>A0197</t>
        </is>
      </c>
      <c r="D1058" s="4" t="n">
        <v>46237</v>
      </c>
      <c r="E1058" s="5" t="n">
        <v>31667</v>
      </c>
      <c r="F1058" s="3" t="inlineStr">
        <is>
          <t>NEFT</t>
        </is>
      </c>
    </row>
    <row r="1059">
      <c r="A1059" s="3" t="inlineStr">
        <is>
          <t>P01058</t>
        </is>
      </c>
      <c r="B1059" s="3" t="inlineStr">
        <is>
          <t>D1182</t>
        </is>
      </c>
      <c r="C1059" s="3" t="inlineStr">
        <is>
          <t>A0197</t>
        </is>
      </c>
      <c r="D1059" s="4" t="n">
        <v>46270</v>
      </c>
      <c r="E1059" s="5" t="n">
        <v>31667</v>
      </c>
      <c r="F1059" s="3" t="inlineStr">
        <is>
          <t>UPI</t>
        </is>
      </c>
    </row>
    <row r="1060">
      <c r="A1060" s="3" t="inlineStr">
        <is>
          <t>P01059</t>
        </is>
      </c>
      <c r="B1060" s="3" t="inlineStr">
        <is>
          <t>D1183</t>
        </is>
      </c>
      <c r="C1060" s="3" t="inlineStr">
        <is>
          <t>A0198</t>
        </is>
      </c>
      <c r="D1060" s="4" t="n">
        <v>46137</v>
      </c>
      <c r="E1060" s="5" t="n">
        <v>18667</v>
      </c>
      <c r="F1060" s="3" t="inlineStr">
        <is>
          <t>Cash</t>
        </is>
      </c>
    </row>
    <row r="1061">
      <c r="A1061" s="3" t="inlineStr">
        <is>
          <t>P01060</t>
        </is>
      </c>
      <c r="B1061" s="3" t="inlineStr">
        <is>
          <t>D1184</t>
        </is>
      </c>
      <c r="C1061" s="3" t="inlineStr">
        <is>
          <t>A0198</t>
        </is>
      </c>
      <c r="D1061" s="4" t="n">
        <v>46160</v>
      </c>
      <c r="E1061" s="5" t="n">
        <v>18667</v>
      </c>
      <c r="F1061" s="3" t="inlineStr">
        <is>
          <t>UPI</t>
        </is>
      </c>
    </row>
    <row r="1062">
      <c r="A1062" s="3" t="inlineStr">
        <is>
          <t>P01061</t>
        </is>
      </c>
      <c r="B1062" s="3" t="inlineStr">
        <is>
          <t>D1185</t>
        </is>
      </c>
      <c r="C1062" s="3" t="inlineStr">
        <is>
          <t>A0198</t>
        </is>
      </c>
      <c r="D1062" s="4" t="n">
        <v>46214</v>
      </c>
      <c r="E1062" s="5" t="n">
        <v>18667</v>
      </c>
      <c r="F1062" s="3" t="inlineStr">
        <is>
          <t>NEFT</t>
        </is>
      </c>
    </row>
    <row r="1063">
      <c r="A1063" s="3" t="inlineStr">
        <is>
          <t>P01062</t>
        </is>
      </c>
      <c r="B1063" s="3" t="inlineStr">
        <is>
          <t>D1186</t>
        </is>
      </c>
      <c r="C1063" s="3" t="inlineStr">
        <is>
          <t>A0198</t>
        </is>
      </c>
      <c r="D1063" s="4" t="n">
        <v>46236</v>
      </c>
      <c r="E1063" s="5" t="n">
        <v>18667</v>
      </c>
      <c r="F1063" s="3" t="inlineStr">
        <is>
          <t>NEFT</t>
        </is>
      </c>
    </row>
    <row r="1064">
      <c r="A1064" s="3" t="inlineStr">
        <is>
          <t>P01063</t>
        </is>
      </c>
      <c r="B1064" s="3" t="inlineStr">
        <is>
          <t>D1187</t>
        </is>
      </c>
      <c r="C1064" s="3" t="inlineStr">
        <is>
          <t>A0198</t>
        </is>
      </c>
      <c r="D1064" s="4" t="n">
        <v>46258</v>
      </c>
      <c r="E1064" s="5" t="n">
        <v>18667</v>
      </c>
      <c r="F1064" s="3" t="inlineStr">
        <is>
          <t>Cash</t>
        </is>
      </c>
    </row>
    <row r="1065">
      <c r="A1065" s="3" t="inlineStr">
        <is>
          <t>P01064</t>
        </is>
      </c>
      <c r="B1065" s="3" t="inlineStr">
        <is>
          <t>D1188</t>
        </is>
      </c>
      <c r="C1065" s="3" t="inlineStr">
        <is>
          <t>A0198</t>
        </is>
      </c>
      <c r="D1065" s="4" t="n">
        <v>46285</v>
      </c>
      <c r="E1065" s="5" t="n">
        <v>18667</v>
      </c>
      <c r="F1065" s="3" t="inlineStr">
        <is>
          <t>Cash</t>
        </is>
      </c>
    </row>
    <row r="1066">
      <c r="A1066" s="3" t="inlineStr">
        <is>
          <t>P01065</t>
        </is>
      </c>
      <c r="B1066" s="3" t="inlineStr">
        <is>
          <t>D1189</t>
        </is>
      </c>
      <c r="C1066" s="3" t="inlineStr">
        <is>
          <t>A0199</t>
        </is>
      </c>
      <c r="D1066" s="4" t="n">
        <v>46137</v>
      </c>
      <c r="E1066" s="5" t="n">
        <v>9968</v>
      </c>
      <c r="F1066" s="3" t="inlineStr">
        <is>
          <t>Cash</t>
        </is>
      </c>
    </row>
    <row r="1067">
      <c r="A1067" s="3" t="inlineStr">
        <is>
          <t>P01066</t>
        </is>
      </c>
      <c r="B1067" s="3" t="inlineStr">
        <is>
          <t>D1189</t>
        </is>
      </c>
      <c r="C1067" s="3" t="inlineStr">
        <is>
          <t>A0199</t>
        </is>
      </c>
      <c r="D1067" s="4" t="n">
        <v>46171</v>
      </c>
      <c r="E1067" s="5" t="n">
        <v>14532</v>
      </c>
      <c r="F1067" s="3" t="inlineStr">
        <is>
          <t>Cash</t>
        </is>
      </c>
    </row>
    <row r="1068">
      <c r="A1068" s="3" t="inlineStr">
        <is>
          <t>P01067</t>
        </is>
      </c>
      <c r="B1068" s="3" t="inlineStr">
        <is>
          <t>D1190</t>
        </is>
      </c>
      <c r="C1068" s="3" t="inlineStr">
        <is>
          <t>A0199</t>
        </is>
      </c>
      <c r="D1068" s="4" t="n">
        <v>46155</v>
      </c>
      <c r="E1068" s="5" t="n">
        <v>24500</v>
      </c>
      <c r="F1068" s="3" t="inlineStr">
        <is>
          <t>UPI</t>
        </is>
      </c>
    </row>
    <row r="1069">
      <c r="A1069" s="3" t="inlineStr">
        <is>
          <t>P01068</t>
        </is>
      </c>
      <c r="B1069" s="3" t="inlineStr">
        <is>
          <t>D1191</t>
        </is>
      </c>
      <c r="C1069" s="3" t="inlineStr">
        <is>
          <t>A0199</t>
        </is>
      </c>
      <c r="D1069" s="4" t="n">
        <v>46179</v>
      </c>
      <c r="E1069" s="5" t="n">
        <v>24500</v>
      </c>
      <c r="F1069" s="3" t="inlineStr">
        <is>
          <t>Cash</t>
        </is>
      </c>
    </row>
    <row r="1070">
      <c r="A1070" s="3" t="inlineStr">
        <is>
          <t>P01069</t>
        </is>
      </c>
      <c r="B1070" s="3" t="inlineStr">
        <is>
          <t>D1192</t>
        </is>
      </c>
      <c r="C1070" s="3" t="inlineStr">
        <is>
          <t>A0199</t>
        </is>
      </c>
      <c r="D1070" s="4" t="n">
        <v>46215</v>
      </c>
      <c r="E1070" s="5" t="n">
        <v>24500</v>
      </c>
      <c r="F1070" s="3" t="inlineStr">
        <is>
          <t>NEFT</t>
        </is>
      </c>
    </row>
    <row r="1071">
      <c r="A1071" s="3" t="inlineStr">
        <is>
          <t>P01070</t>
        </is>
      </c>
      <c r="B1071" s="3" t="inlineStr">
        <is>
          <t>D1193</t>
        </is>
      </c>
      <c r="C1071" s="3" t="inlineStr">
        <is>
          <t>A0199</t>
        </is>
      </c>
      <c r="D1071" s="4" t="n">
        <v>46259</v>
      </c>
      <c r="E1071" s="5" t="n">
        <v>14394</v>
      </c>
      <c r="F1071" s="3" t="inlineStr">
        <is>
          <t>Cash</t>
        </is>
      </c>
    </row>
    <row r="1072">
      <c r="A1072" s="3" t="inlineStr">
        <is>
          <t>P01071</t>
        </is>
      </c>
      <c r="B1072" s="3" t="inlineStr">
        <is>
          <t>D1193</t>
        </is>
      </c>
      <c r="C1072" s="3" t="inlineStr">
        <is>
          <t>A0199</t>
        </is>
      </c>
      <c r="D1072" s="4" t="n">
        <v>46279</v>
      </c>
      <c r="E1072" s="5" t="n">
        <v>10106</v>
      </c>
      <c r="F1072" s="3" t="inlineStr">
        <is>
          <t>UPI</t>
        </is>
      </c>
    </row>
    <row r="1073">
      <c r="A1073" s="3" t="inlineStr">
        <is>
          <t>P01072</t>
        </is>
      </c>
      <c r="B1073" s="3" t="inlineStr">
        <is>
          <t>D1194</t>
        </is>
      </c>
      <c r="C1073" s="3" t="inlineStr">
        <is>
          <t>A0199</t>
        </is>
      </c>
      <c r="D1073" s="4" t="n">
        <v>46276</v>
      </c>
      <c r="E1073" s="5" t="n">
        <v>24500</v>
      </c>
      <c r="F1073" s="3" t="inlineStr">
        <is>
          <t>Cash</t>
        </is>
      </c>
    </row>
    <row r="1074">
      <c r="A1074" s="3" t="inlineStr">
        <is>
          <t>P01073</t>
        </is>
      </c>
      <c r="B1074" s="3" t="inlineStr">
        <is>
          <t>D1195</t>
        </is>
      </c>
      <c r="C1074" s="3" t="inlineStr">
        <is>
          <t>A0200</t>
        </is>
      </c>
      <c r="D1074" s="4" t="n">
        <v>46155</v>
      </c>
      <c r="E1074" s="5" t="n">
        <v>13667</v>
      </c>
      <c r="F1074" s="3" t="inlineStr">
        <is>
          <t>Cash</t>
        </is>
      </c>
    </row>
    <row r="1075">
      <c r="A1075" s="3" t="inlineStr">
        <is>
          <t>P01074</t>
        </is>
      </c>
      <c r="B1075" s="3" t="inlineStr">
        <is>
          <t>D1196</t>
        </is>
      </c>
      <c r="C1075" s="3" t="inlineStr">
        <is>
          <t>A0200</t>
        </is>
      </c>
      <c r="D1075" s="4" t="n">
        <v>46172</v>
      </c>
      <c r="E1075" s="5" t="n">
        <v>13667</v>
      </c>
      <c r="F1075" s="3" t="inlineStr">
        <is>
          <t>NEFT</t>
        </is>
      </c>
    </row>
    <row r="1076">
      <c r="A1076" s="3" t="inlineStr">
        <is>
          <t>P01075</t>
        </is>
      </c>
      <c r="B1076" s="3" t="inlineStr">
        <is>
          <t>D1197</t>
        </is>
      </c>
      <c r="C1076" s="3" t="inlineStr">
        <is>
          <t>A0200</t>
        </is>
      </c>
      <c r="D1076" s="4" t="n">
        <v>46208</v>
      </c>
      <c r="E1076" s="5" t="n">
        <v>13667</v>
      </c>
      <c r="F1076" s="3" t="inlineStr">
        <is>
          <t>UPI</t>
        </is>
      </c>
    </row>
    <row r="1077">
      <c r="A1077" s="3" t="inlineStr">
        <is>
          <t>P01076</t>
        </is>
      </c>
      <c r="B1077" s="3" t="inlineStr">
        <is>
          <t>D1198</t>
        </is>
      </c>
      <c r="C1077" s="3" t="inlineStr">
        <is>
          <t>A0200</t>
        </is>
      </c>
      <c r="D1077" s="4" t="n">
        <v>46236</v>
      </c>
      <c r="E1077" s="5" t="n">
        <v>13667</v>
      </c>
      <c r="F1077" s="3" t="inlineStr">
        <is>
          <t>UPI</t>
        </is>
      </c>
    </row>
    <row r="1078">
      <c r="A1078" s="3" t="inlineStr">
        <is>
          <t>P01077</t>
        </is>
      </c>
      <c r="B1078" s="3" t="inlineStr">
        <is>
          <t>D1199</t>
        </is>
      </c>
      <c r="C1078" s="3" t="inlineStr">
        <is>
          <t>A0200</t>
        </is>
      </c>
      <c r="D1078" s="4" t="n">
        <v>46264</v>
      </c>
      <c r="E1078" s="5" t="n">
        <v>13667</v>
      </c>
      <c r="F1078" s="3" t="inlineStr">
        <is>
          <t>Cash</t>
        </is>
      </c>
    </row>
    <row r="1079">
      <c r="A1079" s="3" t="inlineStr">
        <is>
          <t>P01078</t>
        </is>
      </c>
      <c r="B1079" s="3" t="inlineStr">
        <is>
          <t>D1200</t>
        </is>
      </c>
      <c r="C1079" s="3" t="inlineStr">
        <is>
          <t>A0200</t>
        </is>
      </c>
      <c r="D1079" s="4" t="n">
        <v>46281</v>
      </c>
      <c r="E1079" s="5" t="n">
        <v>13667</v>
      </c>
      <c r="F1079" s="3" t="inlineStr">
        <is>
          <t>UPI</t>
        </is>
      </c>
    </row>
  </sheetData>
  <autoFilter ref="A1:F10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3" customWidth="1" min="4" max="4"/>
    <col width="12" customWidth="1" min="5" max="5"/>
    <col width="10" customWidth="1" min="6" max="6"/>
    <col width="12" customWidth="1" min="7" max="7"/>
    <col width="11" customWidth="1" min="8" max="8"/>
    <col width="11" customWidth="1" min="9" max="9"/>
    <col width="12" customWidth="1" min="10" max="10"/>
    <col width="10" customWidth="1" min="11" max="11"/>
    <col width="12" customWidth="1" min="12" max="12"/>
    <col width="11" customWidth="1" min="13" max="13"/>
    <col width="10" customWidth="1" min="14" max="14"/>
    <col width="10" customWidth="1" min="15" max="15"/>
    <col width="8" customWidth="1" min="16" max="16"/>
  </cols>
  <sheetData>
    <row r="1">
      <c r="A1" s="1" t="inlineStr">
        <is>
          <t>DueID</t>
        </is>
      </c>
      <c r="B1" s="1" t="inlineStr">
        <is>
          <t>Account</t>
        </is>
      </c>
      <c r="C1" s="1" t="inlineStr">
        <is>
          <t>Borrower</t>
        </is>
      </c>
      <c r="D1" s="1" t="inlineStr">
        <is>
          <t>Branch</t>
        </is>
      </c>
      <c r="E1" s="1" t="inlineStr">
        <is>
          <t>Collector</t>
        </is>
      </c>
      <c r="F1" s="1" t="inlineStr">
        <is>
          <t>LoanType</t>
        </is>
      </c>
      <c r="G1" s="1" t="inlineStr">
        <is>
          <t>DueDate</t>
        </is>
      </c>
      <c r="H1" s="1" t="inlineStr">
        <is>
          <t>DueAmount</t>
        </is>
      </c>
      <c r="I1" s="1" t="inlineStr">
        <is>
          <t>PaidTotal</t>
        </is>
      </c>
      <c r="J1" s="1" t="inlineStr">
        <is>
          <t>Outstanding</t>
        </is>
      </c>
      <c r="K1" s="1" t="inlineStr">
        <is>
          <t>Status</t>
        </is>
      </c>
      <c r="L1" s="1" t="inlineStr">
        <is>
          <t>LastPayDate</t>
        </is>
      </c>
      <c r="M1" s="1" t="inlineStr">
        <is>
          <t>DaysOverdue</t>
        </is>
      </c>
      <c r="N1" s="1" t="inlineStr">
        <is>
          <t>Bucket</t>
        </is>
      </c>
      <c r="O1" s="1" t="inlineStr">
        <is>
          <t>Severity</t>
        </is>
      </c>
      <c r="P1" s="1" t="inlineStr">
        <is>
          <t>RowKey</t>
        </is>
      </c>
    </row>
    <row r="2">
      <c r="A2" s="3" t="inlineStr">
        <is>
          <t>D0001</t>
        </is>
      </c>
      <c r="B2" s="3">
        <f>INDEX(Raw_Schedule!B:B,MATCH(A2,Raw_Schedule!A:A,0))</f>
        <v/>
      </c>
      <c r="C2" s="3">
        <f>INDEX(Raw_Schedule!C:C,MATCH(A2,Raw_Schedule!A:A,0))</f>
        <v/>
      </c>
      <c r="D2" s="3">
        <f>INDEX(Raw_Schedule!D:D,MATCH(A2,Raw_Schedule!A:A,0))</f>
        <v/>
      </c>
      <c r="E2" s="3">
        <f>INDEX(Raw_Schedule!E:E,MATCH(A2,Raw_Schedule!A:A,0))</f>
        <v/>
      </c>
      <c r="F2" s="3">
        <f>INDEX(Raw_Schedule!F:F,MATCH(A2,Raw_Schedule!A:A,0))</f>
        <v/>
      </c>
      <c r="G2" s="4">
        <f>INDEX(Raw_Schedule!G:G,MATCH(A2,Raw_Schedule!A:A,0))</f>
        <v/>
      </c>
      <c r="H2" s="5">
        <f>INDEX(Raw_Schedule!H:H,MATCH(A2,Raw_Schedule!A:A,0))</f>
        <v/>
      </c>
      <c r="I2" s="5">
        <f>SUMIFS(Raw_Payments!E:E,Raw_Payments!B:B,A2)</f>
        <v/>
      </c>
      <c r="J2" s="5">
        <f>H2-I2</f>
        <v/>
      </c>
      <c r="K2" s="3">
        <f>IF(J2&lt;=0.005,"PAID",IF(I2&gt;0,"PARTIAL","OVERDUE"))</f>
        <v/>
      </c>
      <c r="L2" s="4">
        <f>IF(COUNTIFS(Raw_Payments!B:B,A2)=0,"",SUMPRODUCT(MAX((Raw_Payments!B$2:B$1079=A2)*Raw_Payments!D$2:D$1079)))</f>
        <v/>
      </c>
      <c r="M2" s="3">
        <f>IF(K2="PAID",MAX(0,L2-G2),Guide!$B$3-G2)</f>
        <v/>
      </c>
      <c r="N2" s="3">
        <f>IF(J2&lt;=0.005,"COLLECTED",IF(M2&lt;=30,"1-30",IF(M2&lt;=60,"31-60",IF(M2&lt;=90,"61-90","90+"))))</f>
        <v/>
      </c>
      <c r="O2" s="3">
        <f>IF(N2="90+","LOST",IF(N2="61-90","ESCALATE",IF(N2="31-60","WATCH",IF(N2="1-30","MILD","OK"))))</f>
        <v/>
      </c>
      <c r="P2" s="3">
        <f>IF(J2&gt;0.005,ROW()-1,"")</f>
        <v/>
      </c>
    </row>
    <row r="3">
      <c r="A3" s="3" t="inlineStr">
        <is>
          <t>D0002</t>
        </is>
      </c>
      <c r="B3" s="3">
        <f>INDEX(Raw_Schedule!B:B,MATCH(A3,Raw_Schedule!A:A,0))</f>
        <v/>
      </c>
      <c r="C3" s="3">
        <f>INDEX(Raw_Schedule!C:C,MATCH(A3,Raw_Schedule!A:A,0))</f>
        <v/>
      </c>
      <c r="D3" s="3">
        <f>INDEX(Raw_Schedule!D:D,MATCH(A3,Raw_Schedule!A:A,0))</f>
        <v/>
      </c>
      <c r="E3" s="3">
        <f>INDEX(Raw_Schedule!E:E,MATCH(A3,Raw_Schedule!A:A,0))</f>
        <v/>
      </c>
      <c r="F3" s="3">
        <f>INDEX(Raw_Schedule!F:F,MATCH(A3,Raw_Schedule!A:A,0))</f>
        <v/>
      </c>
      <c r="G3" s="4">
        <f>INDEX(Raw_Schedule!G:G,MATCH(A3,Raw_Schedule!A:A,0))</f>
        <v/>
      </c>
      <c r="H3" s="5">
        <f>INDEX(Raw_Schedule!H:H,MATCH(A3,Raw_Schedule!A:A,0))</f>
        <v/>
      </c>
      <c r="I3" s="5">
        <f>SUMIFS(Raw_Payments!E:E,Raw_Payments!B:B,A3)</f>
        <v/>
      </c>
      <c r="J3" s="5">
        <f>H3-I3</f>
        <v/>
      </c>
      <c r="K3" s="3">
        <f>IF(J3&lt;=0.005,"PAID",IF(I3&gt;0,"PARTIAL","OVERDUE"))</f>
        <v/>
      </c>
      <c r="L3" s="4">
        <f>IF(COUNTIFS(Raw_Payments!B:B,A3)=0,"",SUMPRODUCT(MAX((Raw_Payments!B$2:B$1079=A3)*Raw_Payments!D$2:D$1079)))</f>
        <v/>
      </c>
      <c r="M3" s="3">
        <f>IF(K3="PAID",MAX(0,L3-G3),Guide!$B$3-G3)</f>
        <v/>
      </c>
      <c r="N3" s="3">
        <f>IF(J3&lt;=0.005,"COLLECTED",IF(M3&lt;=30,"1-30",IF(M3&lt;=60,"31-60",IF(M3&lt;=90,"61-90","90+"))))</f>
        <v/>
      </c>
      <c r="O3" s="3">
        <f>IF(N3="90+","LOST",IF(N3="61-90","ESCALATE",IF(N3="31-60","WATCH",IF(N3="1-30","MILD","OK"))))</f>
        <v/>
      </c>
      <c r="P3" s="3">
        <f>IF(J3&gt;0.005,ROW()-1,"")</f>
        <v/>
      </c>
    </row>
    <row r="4">
      <c r="A4" s="3" t="inlineStr">
        <is>
          <t>D0003</t>
        </is>
      </c>
      <c r="B4" s="3">
        <f>INDEX(Raw_Schedule!B:B,MATCH(A4,Raw_Schedule!A:A,0))</f>
        <v/>
      </c>
      <c r="C4" s="3">
        <f>INDEX(Raw_Schedule!C:C,MATCH(A4,Raw_Schedule!A:A,0))</f>
        <v/>
      </c>
      <c r="D4" s="3">
        <f>INDEX(Raw_Schedule!D:D,MATCH(A4,Raw_Schedule!A:A,0))</f>
        <v/>
      </c>
      <c r="E4" s="3">
        <f>INDEX(Raw_Schedule!E:E,MATCH(A4,Raw_Schedule!A:A,0))</f>
        <v/>
      </c>
      <c r="F4" s="3">
        <f>INDEX(Raw_Schedule!F:F,MATCH(A4,Raw_Schedule!A:A,0))</f>
        <v/>
      </c>
      <c r="G4" s="4">
        <f>INDEX(Raw_Schedule!G:G,MATCH(A4,Raw_Schedule!A:A,0))</f>
        <v/>
      </c>
      <c r="H4" s="5">
        <f>INDEX(Raw_Schedule!H:H,MATCH(A4,Raw_Schedule!A:A,0))</f>
        <v/>
      </c>
      <c r="I4" s="5">
        <f>SUMIFS(Raw_Payments!E:E,Raw_Payments!B:B,A4)</f>
        <v/>
      </c>
      <c r="J4" s="5">
        <f>H4-I4</f>
        <v/>
      </c>
      <c r="K4" s="3">
        <f>IF(J4&lt;=0.005,"PAID",IF(I4&gt;0,"PARTIAL","OVERDUE"))</f>
        <v/>
      </c>
      <c r="L4" s="4">
        <f>IF(COUNTIFS(Raw_Payments!B:B,A4)=0,"",SUMPRODUCT(MAX((Raw_Payments!B$2:B$1079=A4)*Raw_Payments!D$2:D$1079)))</f>
        <v/>
      </c>
      <c r="M4" s="3">
        <f>IF(K4="PAID",MAX(0,L4-G4),Guide!$B$3-G4)</f>
        <v/>
      </c>
      <c r="N4" s="3">
        <f>IF(J4&lt;=0.005,"COLLECTED",IF(M4&lt;=30,"1-30",IF(M4&lt;=60,"31-60",IF(M4&lt;=90,"61-90","90+"))))</f>
        <v/>
      </c>
      <c r="O4" s="3">
        <f>IF(N4="90+","LOST",IF(N4="61-90","ESCALATE",IF(N4="31-60","WATCH",IF(N4="1-30","MILD","OK"))))</f>
        <v/>
      </c>
      <c r="P4" s="3">
        <f>IF(J4&gt;0.005,ROW()-1,"")</f>
        <v/>
      </c>
    </row>
    <row r="5">
      <c r="A5" s="3" t="inlineStr">
        <is>
          <t>D0004</t>
        </is>
      </c>
      <c r="B5" s="3">
        <f>INDEX(Raw_Schedule!B:B,MATCH(A5,Raw_Schedule!A:A,0))</f>
        <v/>
      </c>
      <c r="C5" s="3">
        <f>INDEX(Raw_Schedule!C:C,MATCH(A5,Raw_Schedule!A:A,0))</f>
        <v/>
      </c>
      <c r="D5" s="3">
        <f>INDEX(Raw_Schedule!D:D,MATCH(A5,Raw_Schedule!A:A,0))</f>
        <v/>
      </c>
      <c r="E5" s="3">
        <f>INDEX(Raw_Schedule!E:E,MATCH(A5,Raw_Schedule!A:A,0))</f>
        <v/>
      </c>
      <c r="F5" s="3">
        <f>INDEX(Raw_Schedule!F:F,MATCH(A5,Raw_Schedule!A:A,0))</f>
        <v/>
      </c>
      <c r="G5" s="4">
        <f>INDEX(Raw_Schedule!G:G,MATCH(A5,Raw_Schedule!A:A,0))</f>
        <v/>
      </c>
      <c r="H5" s="5">
        <f>INDEX(Raw_Schedule!H:H,MATCH(A5,Raw_Schedule!A:A,0))</f>
        <v/>
      </c>
      <c r="I5" s="5">
        <f>SUMIFS(Raw_Payments!E:E,Raw_Payments!B:B,A5)</f>
        <v/>
      </c>
      <c r="J5" s="5">
        <f>H5-I5</f>
        <v/>
      </c>
      <c r="K5" s="3">
        <f>IF(J5&lt;=0.005,"PAID",IF(I5&gt;0,"PARTIAL","OVERDUE"))</f>
        <v/>
      </c>
      <c r="L5" s="4">
        <f>IF(COUNTIFS(Raw_Payments!B:B,A5)=0,"",SUMPRODUCT(MAX((Raw_Payments!B$2:B$1079=A5)*Raw_Payments!D$2:D$1079)))</f>
        <v/>
      </c>
      <c r="M5" s="3">
        <f>IF(K5="PAID",MAX(0,L5-G5),Guide!$B$3-G5)</f>
        <v/>
      </c>
      <c r="N5" s="3">
        <f>IF(J5&lt;=0.005,"COLLECTED",IF(M5&lt;=30,"1-30",IF(M5&lt;=60,"31-60",IF(M5&lt;=90,"61-90","90+"))))</f>
        <v/>
      </c>
      <c r="O5" s="3">
        <f>IF(N5="90+","LOST",IF(N5="61-90","ESCALATE",IF(N5="31-60","WATCH",IF(N5="1-30","MILD","OK"))))</f>
        <v/>
      </c>
      <c r="P5" s="3">
        <f>IF(J5&gt;0.005,ROW()-1,"")</f>
        <v/>
      </c>
    </row>
    <row r="6">
      <c r="A6" s="3" t="inlineStr">
        <is>
          <t>D0005</t>
        </is>
      </c>
      <c r="B6" s="3">
        <f>INDEX(Raw_Schedule!B:B,MATCH(A6,Raw_Schedule!A:A,0))</f>
        <v/>
      </c>
      <c r="C6" s="3">
        <f>INDEX(Raw_Schedule!C:C,MATCH(A6,Raw_Schedule!A:A,0))</f>
        <v/>
      </c>
      <c r="D6" s="3">
        <f>INDEX(Raw_Schedule!D:D,MATCH(A6,Raw_Schedule!A:A,0))</f>
        <v/>
      </c>
      <c r="E6" s="3">
        <f>INDEX(Raw_Schedule!E:E,MATCH(A6,Raw_Schedule!A:A,0))</f>
        <v/>
      </c>
      <c r="F6" s="3">
        <f>INDEX(Raw_Schedule!F:F,MATCH(A6,Raw_Schedule!A:A,0))</f>
        <v/>
      </c>
      <c r="G6" s="4">
        <f>INDEX(Raw_Schedule!G:G,MATCH(A6,Raw_Schedule!A:A,0))</f>
        <v/>
      </c>
      <c r="H6" s="5">
        <f>INDEX(Raw_Schedule!H:H,MATCH(A6,Raw_Schedule!A:A,0))</f>
        <v/>
      </c>
      <c r="I6" s="5">
        <f>SUMIFS(Raw_Payments!E:E,Raw_Payments!B:B,A6)</f>
        <v/>
      </c>
      <c r="J6" s="5">
        <f>H6-I6</f>
        <v/>
      </c>
      <c r="K6" s="3">
        <f>IF(J6&lt;=0.005,"PAID",IF(I6&gt;0,"PARTIAL","OVERDUE"))</f>
        <v/>
      </c>
      <c r="L6" s="4">
        <f>IF(COUNTIFS(Raw_Payments!B:B,A6)=0,"",SUMPRODUCT(MAX((Raw_Payments!B$2:B$1079=A6)*Raw_Payments!D$2:D$1079)))</f>
        <v/>
      </c>
      <c r="M6" s="3">
        <f>IF(K6="PAID",MAX(0,L6-G6),Guide!$B$3-G6)</f>
        <v/>
      </c>
      <c r="N6" s="3">
        <f>IF(J6&lt;=0.005,"COLLECTED",IF(M6&lt;=30,"1-30",IF(M6&lt;=60,"31-60",IF(M6&lt;=90,"61-90","90+"))))</f>
        <v/>
      </c>
      <c r="O6" s="3">
        <f>IF(N6="90+","LOST",IF(N6="61-90","ESCALATE",IF(N6="31-60","WATCH",IF(N6="1-30","MILD","OK"))))</f>
        <v/>
      </c>
      <c r="P6" s="3">
        <f>IF(J6&gt;0.005,ROW()-1,"")</f>
        <v/>
      </c>
    </row>
    <row r="7">
      <c r="A7" s="3" t="inlineStr">
        <is>
          <t>D0006</t>
        </is>
      </c>
      <c r="B7" s="3">
        <f>INDEX(Raw_Schedule!B:B,MATCH(A7,Raw_Schedule!A:A,0))</f>
        <v/>
      </c>
      <c r="C7" s="3">
        <f>INDEX(Raw_Schedule!C:C,MATCH(A7,Raw_Schedule!A:A,0))</f>
        <v/>
      </c>
      <c r="D7" s="3">
        <f>INDEX(Raw_Schedule!D:D,MATCH(A7,Raw_Schedule!A:A,0))</f>
        <v/>
      </c>
      <c r="E7" s="3">
        <f>INDEX(Raw_Schedule!E:E,MATCH(A7,Raw_Schedule!A:A,0))</f>
        <v/>
      </c>
      <c r="F7" s="3">
        <f>INDEX(Raw_Schedule!F:F,MATCH(A7,Raw_Schedule!A:A,0))</f>
        <v/>
      </c>
      <c r="G7" s="4">
        <f>INDEX(Raw_Schedule!G:G,MATCH(A7,Raw_Schedule!A:A,0))</f>
        <v/>
      </c>
      <c r="H7" s="5">
        <f>INDEX(Raw_Schedule!H:H,MATCH(A7,Raw_Schedule!A:A,0))</f>
        <v/>
      </c>
      <c r="I7" s="5">
        <f>SUMIFS(Raw_Payments!E:E,Raw_Payments!B:B,A7)</f>
        <v/>
      </c>
      <c r="J7" s="5">
        <f>H7-I7</f>
        <v/>
      </c>
      <c r="K7" s="3">
        <f>IF(J7&lt;=0.005,"PAID",IF(I7&gt;0,"PARTIAL","OVERDUE"))</f>
        <v/>
      </c>
      <c r="L7" s="4">
        <f>IF(COUNTIFS(Raw_Payments!B:B,A7)=0,"",SUMPRODUCT(MAX((Raw_Payments!B$2:B$1079=A7)*Raw_Payments!D$2:D$1079)))</f>
        <v/>
      </c>
      <c r="M7" s="3">
        <f>IF(K7="PAID",MAX(0,L7-G7),Guide!$B$3-G7)</f>
        <v/>
      </c>
      <c r="N7" s="3">
        <f>IF(J7&lt;=0.005,"COLLECTED",IF(M7&lt;=30,"1-30",IF(M7&lt;=60,"31-60",IF(M7&lt;=90,"61-90","90+"))))</f>
        <v/>
      </c>
      <c r="O7" s="3">
        <f>IF(N7="90+","LOST",IF(N7="61-90","ESCALATE",IF(N7="31-60","WATCH",IF(N7="1-30","MILD","OK"))))</f>
        <v/>
      </c>
      <c r="P7" s="3">
        <f>IF(J7&gt;0.005,ROW()-1,"")</f>
        <v/>
      </c>
    </row>
    <row r="8">
      <c r="A8" s="3" t="inlineStr">
        <is>
          <t>D0007</t>
        </is>
      </c>
      <c r="B8" s="3">
        <f>INDEX(Raw_Schedule!B:B,MATCH(A8,Raw_Schedule!A:A,0))</f>
        <v/>
      </c>
      <c r="C8" s="3">
        <f>INDEX(Raw_Schedule!C:C,MATCH(A8,Raw_Schedule!A:A,0))</f>
        <v/>
      </c>
      <c r="D8" s="3">
        <f>INDEX(Raw_Schedule!D:D,MATCH(A8,Raw_Schedule!A:A,0))</f>
        <v/>
      </c>
      <c r="E8" s="3">
        <f>INDEX(Raw_Schedule!E:E,MATCH(A8,Raw_Schedule!A:A,0))</f>
        <v/>
      </c>
      <c r="F8" s="3">
        <f>INDEX(Raw_Schedule!F:F,MATCH(A8,Raw_Schedule!A:A,0))</f>
        <v/>
      </c>
      <c r="G8" s="4">
        <f>INDEX(Raw_Schedule!G:G,MATCH(A8,Raw_Schedule!A:A,0))</f>
        <v/>
      </c>
      <c r="H8" s="5">
        <f>INDEX(Raw_Schedule!H:H,MATCH(A8,Raw_Schedule!A:A,0))</f>
        <v/>
      </c>
      <c r="I8" s="5">
        <f>SUMIFS(Raw_Payments!E:E,Raw_Payments!B:B,A8)</f>
        <v/>
      </c>
      <c r="J8" s="5">
        <f>H8-I8</f>
        <v/>
      </c>
      <c r="K8" s="3">
        <f>IF(J8&lt;=0.005,"PAID",IF(I8&gt;0,"PARTIAL","OVERDUE"))</f>
        <v/>
      </c>
      <c r="L8" s="4">
        <f>IF(COUNTIFS(Raw_Payments!B:B,A8)=0,"",SUMPRODUCT(MAX((Raw_Payments!B$2:B$1079=A8)*Raw_Payments!D$2:D$1079)))</f>
        <v/>
      </c>
      <c r="M8" s="3">
        <f>IF(K8="PAID",MAX(0,L8-G8),Guide!$B$3-G8)</f>
        <v/>
      </c>
      <c r="N8" s="3">
        <f>IF(J8&lt;=0.005,"COLLECTED",IF(M8&lt;=30,"1-30",IF(M8&lt;=60,"31-60",IF(M8&lt;=90,"61-90","90+"))))</f>
        <v/>
      </c>
      <c r="O8" s="3">
        <f>IF(N8="90+","LOST",IF(N8="61-90","ESCALATE",IF(N8="31-60","WATCH",IF(N8="1-30","MILD","OK"))))</f>
        <v/>
      </c>
      <c r="P8" s="3">
        <f>IF(J8&gt;0.005,ROW()-1,"")</f>
        <v/>
      </c>
    </row>
    <row r="9">
      <c r="A9" s="3" t="inlineStr">
        <is>
          <t>D0008</t>
        </is>
      </c>
      <c r="B9" s="3">
        <f>INDEX(Raw_Schedule!B:B,MATCH(A9,Raw_Schedule!A:A,0))</f>
        <v/>
      </c>
      <c r="C9" s="3">
        <f>INDEX(Raw_Schedule!C:C,MATCH(A9,Raw_Schedule!A:A,0))</f>
        <v/>
      </c>
      <c r="D9" s="3">
        <f>INDEX(Raw_Schedule!D:D,MATCH(A9,Raw_Schedule!A:A,0))</f>
        <v/>
      </c>
      <c r="E9" s="3">
        <f>INDEX(Raw_Schedule!E:E,MATCH(A9,Raw_Schedule!A:A,0))</f>
        <v/>
      </c>
      <c r="F9" s="3">
        <f>INDEX(Raw_Schedule!F:F,MATCH(A9,Raw_Schedule!A:A,0))</f>
        <v/>
      </c>
      <c r="G9" s="4">
        <f>INDEX(Raw_Schedule!G:G,MATCH(A9,Raw_Schedule!A:A,0))</f>
        <v/>
      </c>
      <c r="H9" s="5">
        <f>INDEX(Raw_Schedule!H:H,MATCH(A9,Raw_Schedule!A:A,0))</f>
        <v/>
      </c>
      <c r="I9" s="5">
        <f>SUMIFS(Raw_Payments!E:E,Raw_Payments!B:B,A9)</f>
        <v/>
      </c>
      <c r="J9" s="5">
        <f>H9-I9</f>
        <v/>
      </c>
      <c r="K9" s="3">
        <f>IF(J9&lt;=0.005,"PAID",IF(I9&gt;0,"PARTIAL","OVERDUE"))</f>
        <v/>
      </c>
      <c r="L9" s="4">
        <f>IF(COUNTIFS(Raw_Payments!B:B,A9)=0,"",SUMPRODUCT(MAX((Raw_Payments!B$2:B$1079=A9)*Raw_Payments!D$2:D$1079)))</f>
        <v/>
      </c>
      <c r="M9" s="3">
        <f>IF(K9="PAID",MAX(0,L9-G9),Guide!$B$3-G9)</f>
        <v/>
      </c>
      <c r="N9" s="3">
        <f>IF(J9&lt;=0.005,"COLLECTED",IF(M9&lt;=30,"1-30",IF(M9&lt;=60,"31-60",IF(M9&lt;=90,"61-90","90+"))))</f>
        <v/>
      </c>
      <c r="O9" s="3">
        <f>IF(N9="90+","LOST",IF(N9="61-90","ESCALATE",IF(N9="31-60","WATCH",IF(N9="1-30","MILD","OK"))))</f>
        <v/>
      </c>
      <c r="P9" s="3">
        <f>IF(J9&gt;0.005,ROW()-1,"")</f>
        <v/>
      </c>
    </row>
    <row r="10">
      <c r="A10" s="3" t="inlineStr">
        <is>
          <t>D0009</t>
        </is>
      </c>
      <c r="B10" s="3">
        <f>INDEX(Raw_Schedule!B:B,MATCH(A10,Raw_Schedule!A:A,0))</f>
        <v/>
      </c>
      <c r="C10" s="3">
        <f>INDEX(Raw_Schedule!C:C,MATCH(A10,Raw_Schedule!A:A,0))</f>
        <v/>
      </c>
      <c r="D10" s="3">
        <f>INDEX(Raw_Schedule!D:D,MATCH(A10,Raw_Schedule!A:A,0))</f>
        <v/>
      </c>
      <c r="E10" s="3">
        <f>INDEX(Raw_Schedule!E:E,MATCH(A10,Raw_Schedule!A:A,0))</f>
        <v/>
      </c>
      <c r="F10" s="3">
        <f>INDEX(Raw_Schedule!F:F,MATCH(A10,Raw_Schedule!A:A,0))</f>
        <v/>
      </c>
      <c r="G10" s="4">
        <f>INDEX(Raw_Schedule!G:G,MATCH(A10,Raw_Schedule!A:A,0))</f>
        <v/>
      </c>
      <c r="H10" s="5">
        <f>INDEX(Raw_Schedule!H:H,MATCH(A10,Raw_Schedule!A:A,0))</f>
        <v/>
      </c>
      <c r="I10" s="5">
        <f>SUMIFS(Raw_Payments!E:E,Raw_Payments!B:B,A10)</f>
        <v/>
      </c>
      <c r="J10" s="5">
        <f>H10-I10</f>
        <v/>
      </c>
      <c r="K10" s="3">
        <f>IF(J10&lt;=0.005,"PAID",IF(I10&gt;0,"PARTIAL","OVERDUE"))</f>
        <v/>
      </c>
      <c r="L10" s="4">
        <f>IF(COUNTIFS(Raw_Payments!B:B,A10)=0,"",SUMPRODUCT(MAX((Raw_Payments!B$2:B$1079=A10)*Raw_Payments!D$2:D$1079)))</f>
        <v/>
      </c>
      <c r="M10" s="3">
        <f>IF(K10="PAID",MAX(0,L10-G10),Guide!$B$3-G10)</f>
        <v/>
      </c>
      <c r="N10" s="3">
        <f>IF(J10&lt;=0.005,"COLLECTED",IF(M10&lt;=30,"1-30",IF(M10&lt;=60,"31-60",IF(M10&lt;=90,"61-90","90+"))))</f>
        <v/>
      </c>
      <c r="O10" s="3">
        <f>IF(N10="90+","LOST",IF(N10="61-90","ESCALATE",IF(N10="31-60","WATCH",IF(N10="1-30","MILD","OK"))))</f>
        <v/>
      </c>
      <c r="P10" s="3">
        <f>IF(J10&gt;0.005,ROW()-1,"")</f>
        <v/>
      </c>
    </row>
    <row r="11">
      <c r="A11" s="3" t="inlineStr">
        <is>
          <t>D0010</t>
        </is>
      </c>
      <c r="B11" s="3">
        <f>INDEX(Raw_Schedule!B:B,MATCH(A11,Raw_Schedule!A:A,0))</f>
        <v/>
      </c>
      <c r="C11" s="3">
        <f>INDEX(Raw_Schedule!C:C,MATCH(A11,Raw_Schedule!A:A,0))</f>
        <v/>
      </c>
      <c r="D11" s="3">
        <f>INDEX(Raw_Schedule!D:D,MATCH(A11,Raw_Schedule!A:A,0))</f>
        <v/>
      </c>
      <c r="E11" s="3">
        <f>INDEX(Raw_Schedule!E:E,MATCH(A11,Raw_Schedule!A:A,0))</f>
        <v/>
      </c>
      <c r="F11" s="3">
        <f>INDEX(Raw_Schedule!F:F,MATCH(A11,Raw_Schedule!A:A,0))</f>
        <v/>
      </c>
      <c r="G11" s="4">
        <f>INDEX(Raw_Schedule!G:G,MATCH(A11,Raw_Schedule!A:A,0))</f>
        <v/>
      </c>
      <c r="H11" s="5">
        <f>INDEX(Raw_Schedule!H:H,MATCH(A11,Raw_Schedule!A:A,0))</f>
        <v/>
      </c>
      <c r="I11" s="5">
        <f>SUMIFS(Raw_Payments!E:E,Raw_Payments!B:B,A11)</f>
        <v/>
      </c>
      <c r="J11" s="5">
        <f>H11-I11</f>
        <v/>
      </c>
      <c r="K11" s="3">
        <f>IF(J11&lt;=0.005,"PAID",IF(I11&gt;0,"PARTIAL","OVERDUE"))</f>
        <v/>
      </c>
      <c r="L11" s="4">
        <f>IF(COUNTIFS(Raw_Payments!B:B,A11)=0,"",SUMPRODUCT(MAX((Raw_Payments!B$2:B$1079=A11)*Raw_Payments!D$2:D$1079)))</f>
        <v/>
      </c>
      <c r="M11" s="3">
        <f>IF(K11="PAID",MAX(0,L11-G11),Guide!$B$3-G11)</f>
        <v/>
      </c>
      <c r="N11" s="3">
        <f>IF(J11&lt;=0.005,"COLLECTED",IF(M11&lt;=30,"1-30",IF(M11&lt;=60,"31-60",IF(M11&lt;=90,"61-90","90+"))))</f>
        <v/>
      </c>
      <c r="O11" s="3">
        <f>IF(N11="90+","LOST",IF(N11="61-90","ESCALATE",IF(N11="31-60","WATCH",IF(N11="1-30","MILD","OK"))))</f>
        <v/>
      </c>
      <c r="P11" s="3">
        <f>IF(J11&gt;0.005,ROW()-1,"")</f>
        <v/>
      </c>
    </row>
    <row r="12">
      <c r="A12" s="3" t="inlineStr">
        <is>
          <t>D0011</t>
        </is>
      </c>
      <c r="B12" s="3">
        <f>INDEX(Raw_Schedule!B:B,MATCH(A12,Raw_Schedule!A:A,0))</f>
        <v/>
      </c>
      <c r="C12" s="3">
        <f>INDEX(Raw_Schedule!C:C,MATCH(A12,Raw_Schedule!A:A,0))</f>
        <v/>
      </c>
      <c r="D12" s="3">
        <f>INDEX(Raw_Schedule!D:D,MATCH(A12,Raw_Schedule!A:A,0))</f>
        <v/>
      </c>
      <c r="E12" s="3">
        <f>INDEX(Raw_Schedule!E:E,MATCH(A12,Raw_Schedule!A:A,0))</f>
        <v/>
      </c>
      <c r="F12" s="3">
        <f>INDEX(Raw_Schedule!F:F,MATCH(A12,Raw_Schedule!A:A,0))</f>
        <v/>
      </c>
      <c r="G12" s="4">
        <f>INDEX(Raw_Schedule!G:G,MATCH(A12,Raw_Schedule!A:A,0))</f>
        <v/>
      </c>
      <c r="H12" s="5">
        <f>INDEX(Raw_Schedule!H:H,MATCH(A12,Raw_Schedule!A:A,0))</f>
        <v/>
      </c>
      <c r="I12" s="5">
        <f>SUMIFS(Raw_Payments!E:E,Raw_Payments!B:B,A12)</f>
        <v/>
      </c>
      <c r="J12" s="5">
        <f>H12-I12</f>
        <v/>
      </c>
      <c r="K12" s="3">
        <f>IF(J12&lt;=0.005,"PAID",IF(I12&gt;0,"PARTIAL","OVERDUE"))</f>
        <v/>
      </c>
      <c r="L12" s="4">
        <f>IF(COUNTIFS(Raw_Payments!B:B,A12)=0,"",SUMPRODUCT(MAX((Raw_Payments!B$2:B$1079=A12)*Raw_Payments!D$2:D$1079)))</f>
        <v/>
      </c>
      <c r="M12" s="3">
        <f>IF(K12="PAID",MAX(0,L12-G12),Guide!$B$3-G12)</f>
        <v/>
      </c>
      <c r="N12" s="3">
        <f>IF(J12&lt;=0.005,"COLLECTED",IF(M12&lt;=30,"1-30",IF(M12&lt;=60,"31-60",IF(M12&lt;=90,"61-90","90+"))))</f>
        <v/>
      </c>
      <c r="O12" s="3">
        <f>IF(N12="90+","LOST",IF(N12="61-90","ESCALATE",IF(N12="31-60","WATCH",IF(N12="1-30","MILD","OK"))))</f>
        <v/>
      </c>
      <c r="P12" s="3">
        <f>IF(J12&gt;0.005,ROW()-1,"")</f>
        <v/>
      </c>
    </row>
    <row r="13">
      <c r="A13" s="3" t="inlineStr">
        <is>
          <t>D0012</t>
        </is>
      </c>
      <c r="B13" s="3">
        <f>INDEX(Raw_Schedule!B:B,MATCH(A13,Raw_Schedule!A:A,0))</f>
        <v/>
      </c>
      <c r="C13" s="3">
        <f>INDEX(Raw_Schedule!C:C,MATCH(A13,Raw_Schedule!A:A,0))</f>
        <v/>
      </c>
      <c r="D13" s="3">
        <f>INDEX(Raw_Schedule!D:D,MATCH(A13,Raw_Schedule!A:A,0))</f>
        <v/>
      </c>
      <c r="E13" s="3">
        <f>INDEX(Raw_Schedule!E:E,MATCH(A13,Raw_Schedule!A:A,0))</f>
        <v/>
      </c>
      <c r="F13" s="3">
        <f>INDEX(Raw_Schedule!F:F,MATCH(A13,Raw_Schedule!A:A,0))</f>
        <v/>
      </c>
      <c r="G13" s="4">
        <f>INDEX(Raw_Schedule!G:G,MATCH(A13,Raw_Schedule!A:A,0))</f>
        <v/>
      </c>
      <c r="H13" s="5">
        <f>INDEX(Raw_Schedule!H:H,MATCH(A13,Raw_Schedule!A:A,0))</f>
        <v/>
      </c>
      <c r="I13" s="5">
        <f>SUMIFS(Raw_Payments!E:E,Raw_Payments!B:B,A13)</f>
        <v/>
      </c>
      <c r="J13" s="5">
        <f>H13-I13</f>
        <v/>
      </c>
      <c r="K13" s="3">
        <f>IF(J13&lt;=0.005,"PAID",IF(I13&gt;0,"PARTIAL","OVERDUE"))</f>
        <v/>
      </c>
      <c r="L13" s="4">
        <f>IF(COUNTIFS(Raw_Payments!B:B,A13)=0,"",SUMPRODUCT(MAX((Raw_Payments!B$2:B$1079=A13)*Raw_Payments!D$2:D$1079)))</f>
        <v/>
      </c>
      <c r="M13" s="3">
        <f>IF(K13="PAID",MAX(0,L13-G13),Guide!$B$3-G13)</f>
        <v/>
      </c>
      <c r="N13" s="3">
        <f>IF(J13&lt;=0.005,"COLLECTED",IF(M13&lt;=30,"1-30",IF(M13&lt;=60,"31-60",IF(M13&lt;=90,"61-90","90+"))))</f>
        <v/>
      </c>
      <c r="O13" s="3">
        <f>IF(N13="90+","LOST",IF(N13="61-90","ESCALATE",IF(N13="31-60","WATCH",IF(N13="1-30","MILD","OK"))))</f>
        <v/>
      </c>
      <c r="P13" s="3">
        <f>IF(J13&gt;0.005,ROW()-1,"")</f>
        <v/>
      </c>
    </row>
    <row r="14">
      <c r="A14" s="3" t="inlineStr">
        <is>
          <t>D0013</t>
        </is>
      </c>
      <c r="B14" s="3">
        <f>INDEX(Raw_Schedule!B:B,MATCH(A14,Raw_Schedule!A:A,0))</f>
        <v/>
      </c>
      <c r="C14" s="3">
        <f>INDEX(Raw_Schedule!C:C,MATCH(A14,Raw_Schedule!A:A,0))</f>
        <v/>
      </c>
      <c r="D14" s="3">
        <f>INDEX(Raw_Schedule!D:D,MATCH(A14,Raw_Schedule!A:A,0))</f>
        <v/>
      </c>
      <c r="E14" s="3">
        <f>INDEX(Raw_Schedule!E:E,MATCH(A14,Raw_Schedule!A:A,0))</f>
        <v/>
      </c>
      <c r="F14" s="3">
        <f>INDEX(Raw_Schedule!F:F,MATCH(A14,Raw_Schedule!A:A,0))</f>
        <v/>
      </c>
      <c r="G14" s="4">
        <f>INDEX(Raw_Schedule!G:G,MATCH(A14,Raw_Schedule!A:A,0))</f>
        <v/>
      </c>
      <c r="H14" s="5">
        <f>INDEX(Raw_Schedule!H:H,MATCH(A14,Raw_Schedule!A:A,0))</f>
        <v/>
      </c>
      <c r="I14" s="5">
        <f>SUMIFS(Raw_Payments!E:E,Raw_Payments!B:B,A14)</f>
        <v/>
      </c>
      <c r="J14" s="5">
        <f>H14-I14</f>
        <v/>
      </c>
      <c r="K14" s="3">
        <f>IF(J14&lt;=0.005,"PAID",IF(I14&gt;0,"PARTIAL","OVERDUE"))</f>
        <v/>
      </c>
      <c r="L14" s="4">
        <f>IF(COUNTIFS(Raw_Payments!B:B,A14)=0,"",SUMPRODUCT(MAX((Raw_Payments!B$2:B$1079=A14)*Raw_Payments!D$2:D$1079)))</f>
        <v/>
      </c>
      <c r="M14" s="3">
        <f>IF(K14="PAID",MAX(0,L14-G14),Guide!$B$3-G14)</f>
        <v/>
      </c>
      <c r="N14" s="3">
        <f>IF(J14&lt;=0.005,"COLLECTED",IF(M14&lt;=30,"1-30",IF(M14&lt;=60,"31-60",IF(M14&lt;=90,"61-90","90+"))))</f>
        <v/>
      </c>
      <c r="O14" s="3">
        <f>IF(N14="90+","LOST",IF(N14="61-90","ESCALATE",IF(N14="31-60","WATCH",IF(N14="1-30","MILD","OK"))))</f>
        <v/>
      </c>
      <c r="P14" s="3">
        <f>IF(J14&gt;0.005,ROW()-1,"")</f>
        <v/>
      </c>
    </row>
    <row r="15">
      <c r="A15" s="3" t="inlineStr">
        <is>
          <t>D0014</t>
        </is>
      </c>
      <c r="B15" s="3">
        <f>INDEX(Raw_Schedule!B:B,MATCH(A15,Raw_Schedule!A:A,0))</f>
        <v/>
      </c>
      <c r="C15" s="3">
        <f>INDEX(Raw_Schedule!C:C,MATCH(A15,Raw_Schedule!A:A,0))</f>
        <v/>
      </c>
      <c r="D15" s="3">
        <f>INDEX(Raw_Schedule!D:D,MATCH(A15,Raw_Schedule!A:A,0))</f>
        <v/>
      </c>
      <c r="E15" s="3">
        <f>INDEX(Raw_Schedule!E:E,MATCH(A15,Raw_Schedule!A:A,0))</f>
        <v/>
      </c>
      <c r="F15" s="3">
        <f>INDEX(Raw_Schedule!F:F,MATCH(A15,Raw_Schedule!A:A,0))</f>
        <v/>
      </c>
      <c r="G15" s="4">
        <f>INDEX(Raw_Schedule!G:G,MATCH(A15,Raw_Schedule!A:A,0))</f>
        <v/>
      </c>
      <c r="H15" s="5">
        <f>INDEX(Raw_Schedule!H:H,MATCH(A15,Raw_Schedule!A:A,0))</f>
        <v/>
      </c>
      <c r="I15" s="5">
        <f>SUMIFS(Raw_Payments!E:E,Raw_Payments!B:B,A15)</f>
        <v/>
      </c>
      <c r="J15" s="5">
        <f>H15-I15</f>
        <v/>
      </c>
      <c r="K15" s="3">
        <f>IF(J15&lt;=0.005,"PAID",IF(I15&gt;0,"PARTIAL","OVERDUE"))</f>
        <v/>
      </c>
      <c r="L15" s="4">
        <f>IF(COUNTIFS(Raw_Payments!B:B,A15)=0,"",SUMPRODUCT(MAX((Raw_Payments!B$2:B$1079=A15)*Raw_Payments!D$2:D$1079)))</f>
        <v/>
      </c>
      <c r="M15" s="3">
        <f>IF(K15="PAID",MAX(0,L15-G15),Guide!$B$3-G15)</f>
        <v/>
      </c>
      <c r="N15" s="3">
        <f>IF(J15&lt;=0.005,"COLLECTED",IF(M15&lt;=30,"1-30",IF(M15&lt;=60,"31-60",IF(M15&lt;=90,"61-90","90+"))))</f>
        <v/>
      </c>
      <c r="O15" s="3">
        <f>IF(N15="90+","LOST",IF(N15="61-90","ESCALATE",IF(N15="31-60","WATCH",IF(N15="1-30","MILD","OK"))))</f>
        <v/>
      </c>
      <c r="P15" s="3">
        <f>IF(J15&gt;0.005,ROW()-1,"")</f>
        <v/>
      </c>
    </row>
    <row r="16">
      <c r="A16" s="3" t="inlineStr">
        <is>
          <t>D0015</t>
        </is>
      </c>
      <c r="B16" s="3">
        <f>INDEX(Raw_Schedule!B:B,MATCH(A16,Raw_Schedule!A:A,0))</f>
        <v/>
      </c>
      <c r="C16" s="3">
        <f>INDEX(Raw_Schedule!C:C,MATCH(A16,Raw_Schedule!A:A,0))</f>
        <v/>
      </c>
      <c r="D16" s="3">
        <f>INDEX(Raw_Schedule!D:D,MATCH(A16,Raw_Schedule!A:A,0))</f>
        <v/>
      </c>
      <c r="E16" s="3">
        <f>INDEX(Raw_Schedule!E:E,MATCH(A16,Raw_Schedule!A:A,0))</f>
        <v/>
      </c>
      <c r="F16" s="3">
        <f>INDEX(Raw_Schedule!F:F,MATCH(A16,Raw_Schedule!A:A,0))</f>
        <v/>
      </c>
      <c r="G16" s="4">
        <f>INDEX(Raw_Schedule!G:G,MATCH(A16,Raw_Schedule!A:A,0))</f>
        <v/>
      </c>
      <c r="H16" s="5">
        <f>INDEX(Raw_Schedule!H:H,MATCH(A16,Raw_Schedule!A:A,0))</f>
        <v/>
      </c>
      <c r="I16" s="5">
        <f>SUMIFS(Raw_Payments!E:E,Raw_Payments!B:B,A16)</f>
        <v/>
      </c>
      <c r="J16" s="5">
        <f>H16-I16</f>
        <v/>
      </c>
      <c r="K16" s="3">
        <f>IF(J16&lt;=0.005,"PAID",IF(I16&gt;0,"PARTIAL","OVERDUE"))</f>
        <v/>
      </c>
      <c r="L16" s="4">
        <f>IF(COUNTIFS(Raw_Payments!B:B,A16)=0,"",SUMPRODUCT(MAX((Raw_Payments!B$2:B$1079=A16)*Raw_Payments!D$2:D$1079)))</f>
        <v/>
      </c>
      <c r="M16" s="3">
        <f>IF(K16="PAID",MAX(0,L16-G16),Guide!$B$3-G16)</f>
        <v/>
      </c>
      <c r="N16" s="3">
        <f>IF(J16&lt;=0.005,"COLLECTED",IF(M16&lt;=30,"1-30",IF(M16&lt;=60,"31-60",IF(M16&lt;=90,"61-90","90+"))))</f>
        <v/>
      </c>
      <c r="O16" s="3">
        <f>IF(N16="90+","LOST",IF(N16="61-90","ESCALATE",IF(N16="31-60","WATCH",IF(N16="1-30","MILD","OK"))))</f>
        <v/>
      </c>
      <c r="P16" s="3">
        <f>IF(J16&gt;0.005,ROW()-1,"")</f>
        <v/>
      </c>
    </row>
    <row r="17">
      <c r="A17" s="3" t="inlineStr">
        <is>
          <t>D0016</t>
        </is>
      </c>
      <c r="B17" s="3">
        <f>INDEX(Raw_Schedule!B:B,MATCH(A17,Raw_Schedule!A:A,0))</f>
        <v/>
      </c>
      <c r="C17" s="3">
        <f>INDEX(Raw_Schedule!C:C,MATCH(A17,Raw_Schedule!A:A,0))</f>
        <v/>
      </c>
      <c r="D17" s="3">
        <f>INDEX(Raw_Schedule!D:D,MATCH(A17,Raw_Schedule!A:A,0))</f>
        <v/>
      </c>
      <c r="E17" s="3">
        <f>INDEX(Raw_Schedule!E:E,MATCH(A17,Raw_Schedule!A:A,0))</f>
        <v/>
      </c>
      <c r="F17" s="3">
        <f>INDEX(Raw_Schedule!F:F,MATCH(A17,Raw_Schedule!A:A,0))</f>
        <v/>
      </c>
      <c r="G17" s="4">
        <f>INDEX(Raw_Schedule!G:G,MATCH(A17,Raw_Schedule!A:A,0))</f>
        <v/>
      </c>
      <c r="H17" s="5">
        <f>INDEX(Raw_Schedule!H:H,MATCH(A17,Raw_Schedule!A:A,0))</f>
        <v/>
      </c>
      <c r="I17" s="5">
        <f>SUMIFS(Raw_Payments!E:E,Raw_Payments!B:B,A17)</f>
        <v/>
      </c>
      <c r="J17" s="5">
        <f>H17-I17</f>
        <v/>
      </c>
      <c r="K17" s="3">
        <f>IF(J17&lt;=0.005,"PAID",IF(I17&gt;0,"PARTIAL","OVERDUE"))</f>
        <v/>
      </c>
      <c r="L17" s="4">
        <f>IF(COUNTIFS(Raw_Payments!B:B,A17)=0,"",SUMPRODUCT(MAX((Raw_Payments!B$2:B$1079=A17)*Raw_Payments!D$2:D$1079)))</f>
        <v/>
      </c>
      <c r="M17" s="3">
        <f>IF(K17="PAID",MAX(0,L17-G17),Guide!$B$3-G17)</f>
        <v/>
      </c>
      <c r="N17" s="3">
        <f>IF(J17&lt;=0.005,"COLLECTED",IF(M17&lt;=30,"1-30",IF(M17&lt;=60,"31-60",IF(M17&lt;=90,"61-90","90+"))))</f>
        <v/>
      </c>
      <c r="O17" s="3">
        <f>IF(N17="90+","LOST",IF(N17="61-90","ESCALATE",IF(N17="31-60","WATCH",IF(N17="1-30","MILD","OK"))))</f>
        <v/>
      </c>
      <c r="P17" s="3">
        <f>IF(J17&gt;0.005,ROW()-1,"")</f>
        <v/>
      </c>
    </row>
    <row r="18">
      <c r="A18" s="3" t="inlineStr">
        <is>
          <t>D0017</t>
        </is>
      </c>
      <c r="B18" s="3">
        <f>INDEX(Raw_Schedule!B:B,MATCH(A18,Raw_Schedule!A:A,0))</f>
        <v/>
      </c>
      <c r="C18" s="3">
        <f>INDEX(Raw_Schedule!C:C,MATCH(A18,Raw_Schedule!A:A,0))</f>
        <v/>
      </c>
      <c r="D18" s="3">
        <f>INDEX(Raw_Schedule!D:D,MATCH(A18,Raw_Schedule!A:A,0))</f>
        <v/>
      </c>
      <c r="E18" s="3">
        <f>INDEX(Raw_Schedule!E:E,MATCH(A18,Raw_Schedule!A:A,0))</f>
        <v/>
      </c>
      <c r="F18" s="3">
        <f>INDEX(Raw_Schedule!F:F,MATCH(A18,Raw_Schedule!A:A,0))</f>
        <v/>
      </c>
      <c r="G18" s="4">
        <f>INDEX(Raw_Schedule!G:G,MATCH(A18,Raw_Schedule!A:A,0))</f>
        <v/>
      </c>
      <c r="H18" s="5">
        <f>INDEX(Raw_Schedule!H:H,MATCH(A18,Raw_Schedule!A:A,0))</f>
        <v/>
      </c>
      <c r="I18" s="5">
        <f>SUMIFS(Raw_Payments!E:E,Raw_Payments!B:B,A18)</f>
        <v/>
      </c>
      <c r="J18" s="5">
        <f>H18-I18</f>
        <v/>
      </c>
      <c r="K18" s="3">
        <f>IF(J18&lt;=0.005,"PAID",IF(I18&gt;0,"PARTIAL","OVERDUE"))</f>
        <v/>
      </c>
      <c r="L18" s="4">
        <f>IF(COUNTIFS(Raw_Payments!B:B,A18)=0,"",SUMPRODUCT(MAX((Raw_Payments!B$2:B$1079=A18)*Raw_Payments!D$2:D$1079)))</f>
        <v/>
      </c>
      <c r="M18" s="3">
        <f>IF(K18="PAID",MAX(0,L18-G18),Guide!$B$3-G18)</f>
        <v/>
      </c>
      <c r="N18" s="3">
        <f>IF(J18&lt;=0.005,"COLLECTED",IF(M18&lt;=30,"1-30",IF(M18&lt;=60,"31-60",IF(M18&lt;=90,"61-90","90+"))))</f>
        <v/>
      </c>
      <c r="O18" s="3">
        <f>IF(N18="90+","LOST",IF(N18="61-90","ESCALATE",IF(N18="31-60","WATCH",IF(N18="1-30","MILD","OK"))))</f>
        <v/>
      </c>
      <c r="P18" s="3">
        <f>IF(J18&gt;0.005,ROW()-1,"")</f>
        <v/>
      </c>
    </row>
    <row r="19">
      <c r="A19" s="3" t="inlineStr">
        <is>
          <t>D0018</t>
        </is>
      </c>
      <c r="B19" s="3">
        <f>INDEX(Raw_Schedule!B:B,MATCH(A19,Raw_Schedule!A:A,0))</f>
        <v/>
      </c>
      <c r="C19" s="3">
        <f>INDEX(Raw_Schedule!C:C,MATCH(A19,Raw_Schedule!A:A,0))</f>
        <v/>
      </c>
      <c r="D19" s="3">
        <f>INDEX(Raw_Schedule!D:D,MATCH(A19,Raw_Schedule!A:A,0))</f>
        <v/>
      </c>
      <c r="E19" s="3">
        <f>INDEX(Raw_Schedule!E:E,MATCH(A19,Raw_Schedule!A:A,0))</f>
        <v/>
      </c>
      <c r="F19" s="3">
        <f>INDEX(Raw_Schedule!F:F,MATCH(A19,Raw_Schedule!A:A,0))</f>
        <v/>
      </c>
      <c r="G19" s="4">
        <f>INDEX(Raw_Schedule!G:G,MATCH(A19,Raw_Schedule!A:A,0))</f>
        <v/>
      </c>
      <c r="H19" s="5">
        <f>INDEX(Raw_Schedule!H:H,MATCH(A19,Raw_Schedule!A:A,0))</f>
        <v/>
      </c>
      <c r="I19" s="5">
        <f>SUMIFS(Raw_Payments!E:E,Raw_Payments!B:B,A19)</f>
        <v/>
      </c>
      <c r="J19" s="5">
        <f>H19-I19</f>
        <v/>
      </c>
      <c r="K19" s="3">
        <f>IF(J19&lt;=0.005,"PAID",IF(I19&gt;0,"PARTIAL","OVERDUE"))</f>
        <v/>
      </c>
      <c r="L19" s="4">
        <f>IF(COUNTIFS(Raw_Payments!B:B,A19)=0,"",SUMPRODUCT(MAX((Raw_Payments!B$2:B$1079=A19)*Raw_Payments!D$2:D$1079)))</f>
        <v/>
      </c>
      <c r="M19" s="3">
        <f>IF(K19="PAID",MAX(0,L19-G19),Guide!$B$3-G19)</f>
        <v/>
      </c>
      <c r="N19" s="3">
        <f>IF(J19&lt;=0.005,"COLLECTED",IF(M19&lt;=30,"1-30",IF(M19&lt;=60,"31-60",IF(M19&lt;=90,"61-90","90+"))))</f>
        <v/>
      </c>
      <c r="O19" s="3">
        <f>IF(N19="90+","LOST",IF(N19="61-90","ESCALATE",IF(N19="31-60","WATCH",IF(N19="1-30","MILD","OK"))))</f>
        <v/>
      </c>
      <c r="P19" s="3">
        <f>IF(J19&gt;0.005,ROW()-1,"")</f>
        <v/>
      </c>
    </row>
    <row r="20">
      <c r="A20" s="3" t="inlineStr">
        <is>
          <t>D0019</t>
        </is>
      </c>
      <c r="B20" s="3">
        <f>INDEX(Raw_Schedule!B:B,MATCH(A20,Raw_Schedule!A:A,0))</f>
        <v/>
      </c>
      <c r="C20" s="3">
        <f>INDEX(Raw_Schedule!C:C,MATCH(A20,Raw_Schedule!A:A,0))</f>
        <v/>
      </c>
      <c r="D20" s="3">
        <f>INDEX(Raw_Schedule!D:D,MATCH(A20,Raw_Schedule!A:A,0))</f>
        <v/>
      </c>
      <c r="E20" s="3">
        <f>INDEX(Raw_Schedule!E:E,MATCH(A20,Raw_Schedule!A:A,0))</f>
        <v/>
      </c>
      <c r="F20" s="3">
        <f>INDEX(Raw_Schedule!F:F,MATCH(A20,Raw_Schedule!A:A,0))</f>
        <v/>
      </c>
      <c r="G20" s="4">
        <f>INDEX(Raw_Schedule!G:G,MATCH(A20,Raw_Schedule!A:A,0))</f>
        <v/>
      </c>
      <c r="H20" s="5">
        <f>INDEX(Raw_Schedule!H:H,MATCH(A20,Raw_Schedule!A:A,0))</f>
        <v/>
      </c>
      <c r="I20" s="5">
        <f>SUMIFS(Raw_Payments!E:E,Raw_Payments!B:B,A20)</f>
        <v/>
      </c>
      <c r="J20" s="5">
        <f>H20-I20</f>
        <v/>
      </c>
      <c r="K20" s="3">
        <f>IF(J20&lt;=0.005,"PAID",IF(I20&gt;0,"PARTIAL","OVERDUE"))</f>
        <v/>
      </c>
      <c r="L20" s="4">
        <f>IF(COUNTIFS(Raw_Payments!B:B,A20)=0,"",SUMPRODUCT(MAX((Raw_Payments!B$2:B$1079=A20)*Raw_Payments!D$2:D$1079)))</f>
        <v/>
      </c>
      <c r="M20" s="3">
        <f>IF(K20="PAID",MAX(0,L20-G20),Guide!$B$3-G20)</f>
        <v/>
      </c>
      <c r="N20" s="3">
        <f>IF(J20&lt;=0.005,"COLLECTED",IF(M20&lt;=30,"1-30",IF(M20&lt;=60,"31-60",IF(M20&lt;=90,"61-90","90+"))))</f>
        <v/>
      </c>
      <c r="O20" s="3">
        <f>IF(N20="90+","LOST",IF(N20="61-90","ESCALATE",IF(N20="31-60","WATCH",IF(N20="1-30","MILD","OK"))))</f>
        <v/>
      </c>
      <c r="P20" s="3">
        <f>IF(J20&gt;0.005,ROW()-1,"")</f>
        <v/>
      </c>
    </row>
    <row r="21">
      <c r="A21" s="3" t="inlineStr">
        <is>
          <t>D0020</t>
        </is>
      </c>
      <c r="B21" s="3">
        <f>INDEX(Raw_Schedule!B:B,MATCH(A21,Raw_Schedule!A:A,0))</f>
        <v/>
      </c>
      <c r="C21" s="3">
        <f>INDEX(Raw_Schedule!C:C,MATCH(A21,Raw_Schedule!A:A,0))</f>
        <v/>
      </c>
      <c r="D21" s="3">
        <f>INDEX(Raw_Schedule!D:D,MATCH(A21,Raw_Schedule!A:A,0))</f>
        <v/>
      </c>
      <c r="E21" s="3">
        <f>INDEX(Raw_Schedule!E:E,MATCH(A21,Raw_Schedule!A:A,0))</f>
        <v/>
      </c>
      <c r="F21" s="3">
        <f>INDEX(Raw_Schedule!F:F,MATCH(A21,Raw_Schedule!A:A,0))</f>
        <v/>
      </c>
      <c r="G21" s="4">
        <f>INDEX(Raw_Schedule!G:G,MATCH(A21,Raw_Schedule!A:A,0))</f>
        <v/>
      </c>
      <c r="H21" s="5">
        <f>INDEX(Raw_Schedule!H:H,MATCH(A21,Raw_Schedule!A:A,0))</f>
        <v/>
      </c>
      <c r="I21" s="5">
        <f>SUMIFS(Raw_Payments!E:E,Raw_Payments!B:B,A21)</f>
        <v/>
      </c>
      <c r="J21" s="5">
        <f>H21-I21</f>
        <v/>
      </c>
      <c r="K21" s="3">
        <f>IF(J21&lt;=0.005,"PAID",IF(I21&gt;0,"PARTIAL","OVERDUE"))</f>
        <v/>
      </c>
      <c r="L21" s="4">
        <f>IF(COUNTIFS(Raw_Payments!B:B,A21)=0,"",SUMPRODUCT(MAX((Raw_Payments!B$2:B$1079=A21)*Raw_Payments!D$2:D$1079)))</f>
        <v/>
      </c>
      <c r="M21" s="3">
        <f>IF(K21="PAID",MAX(0,L21-G21),Guide!$B$3-G21)</f>
        <v/>
      </c>
      <c r="N21" s="3">
        <f>IF(J21&lt;=0.005,"COLLECTED",IF(M21&lt;=30,"1-30",IF(M21&lt;=60,"31-60",IF(M21&lt;=90,"61-90","90+"))))</f>
        <v/>
      </c>
      <c r="O21" s="3">
        <f>IF(N21="90+","LOST",IF(N21="61-90","ESCALATE",IF(N21="31-60","WATCH",IF(N21="1-30","MILD","OK"))))</f>
        <v/>
      </c>
      <c r="P21" s="3">
        <f>IF(J21&gt;0.005,ROW()-1,"")</f>
        <v/>
      </c>
    </row>
    <row r="22">
      <c r="A22" s="3" t="inlineStr">
        <is>
          <t>D0021</t>
        </is>
      </c>
      <c r="B22" s="3">
        <f>INDEX(Raw_Schedule!B:B,MATCH(A22,Raw_Schedule!A:A,0))</f>
        <v/>
      </c>
      <c r="C22" s="3">
        <f>INDEX(Raw_Schedule!C:C,MATCH(A22,Raw_Schedule!A:A,0))</f>
        <v/>
      </c>
      <c r="D22" s="3">
        <f>INDEX(Raw_Schedule!D:D,MATCH(A22,Raw_Schedule!A:A,0))</f>
        <v/>
      </c>
      <c r="E22" s="3">
        <f>INDEX(Raw_Schedule!E:E,MATCH(A22,Raw_Schedule!A:A,0))</f>
        <v/>
      </c>
      <c r="F22" s="3">
        <f>INDEX(Raw_Schedule!F:F,MATCH(A22,Raw_Schedule!A:A,0))</f>
        <v/>
      </c>
      <c r="G22" s="4">
        <f>INDEX(Raw_Schedule!G:G,MATCH(A22,Raw_Schedule!A:A,0))</f>
        <v/>
      </c>
      <c r="H22" s="5">
        <f>INDEX(Raw_Schedule!H:H,MATCH(A22,Raw_Schedule!A:A,0))</f>
        <v/>
      </c>
      <c r="I22" s="5">
        <f>SUMIFS(Raw_Payments!E:E,Raw_Payments!B:B,A22)</f>
        <v/>
      </c>
      <c r="J22" s="5">
        <f>H22-I22</f>
        <v/>
      </c>
      <c r="K22" s="3">
        <f>IF(J22&lt;=0.005,"PAID",IF(I22&gt;0,"PARTIAL","OVERDUE"))</f>
        <v/>
      </c>
      <c r="L22" s="4">
        <f>IF(COUNTIFS(Raw_Payments!B:B,A22)=0,"",SUMPRODUCT(MAX((Raw_Payments!B$2:B$1079=A22)*Raw_Payments!D$2:D$1079)))</f>
        <v/>
      </c>
      <c r="M22" s="3">
        <f>IF(K22="PAID",MAX(0,L22-G22),Guide!$B$3-G22)</f>
        <v/>
      </c>
      <c r="N22" s="3">
        <f>IF(J22&lt;=0.005,"COLLECTED",IF(M22&lt;=30,"1-30",IF(M22&lt;=60,"31-60",IF(M22&lt;=90,"61-90","90+"))))</f>
        <v/>
      </c>
      <c r="O22" s="3">
        <f>IF(N22="90+","LOST",IF(N22="61-90","ESCALATE",IF(N22="31-60","WATCH",IF(N22="1-30","MILD","OK"))))</f>
        <v/>
      </c>
      <c r="P22" s="3">
        <f>IF(J22&gt;0.005,ROW()-1,"")</f>
        <v/>
      </c>
    </row>
    <row r="23">
      <c r="A23" s="3" t="inlineStr">
        <is>
          <t>D0022</t>
        </is>
      </c>
      <c r="B23" s="3">
        <f>INDEX(Raw_Schedule!B:B,MATCH(A23,Raw_Schedule!A:A,0))</f>
        <v/>
      </c>
      <c r="C23" s="3">
        <f>INDEX(Raw_Schedule!C:C,MATCH(A23,Raw_Schedule!A:A,0))</f>
        <v/>
      </c>
      <c r="D23" s="3">
        <f>INDEX(Raw_Schedule!D:D,MATCH(A23,Raw_Schedule!A:A,0))</f>
        <v/>
      </c>
      <c r="E23" s="3">
        <f>INDEX(Raw_Schedule!E:E,MATCH(A23,Raw_Schedule!A:A,0))</f>
        <v/>
      </c>
      <c r="F23" s="3">
        <f>INDEX(Raw_Schedule!F:F,MATCH(A23,Raw_Schedule!A:A,0))</f>
        <v/>
      </c>
      <c r="G23" s="4">
        <f>INDEX(Raw_Schedule!G:G,MATCH(A23,Raw_Schedule!A:A,0))</f>
        <v/>
      </c>
      <c r="H23" s="5">
        <f>INDEX(Raw_Schedule!H:H,MATCH(A23,Raw_Schedule!A:A,0))</f>
        <v/>
      </c>
      <c r="I23" s="5">
        <f>SUMIFS(Raw_Payments!E:E,Raw_Payments!B:B,A23)</f>
        <v/>
      </c>
      <c r="J23" s="5">
        <f>H23-I23</f>
        <v/>
      </c>
      <c r="K23" s="3">
        <f>IF(J23&lt;=0.005,"PAID",IF(I23&gt;0,"PARTIAL","OVERDUE"))</f>
        <v/>
      </c>
      <c r="L23" s="4">
        <f>IF(COUNTIFS(Raw_Payments!B:B,A23)=0,"",SUMPRODUCT(MAX((Raw_Payments!B$2:B$1079=A23)*Raw_Payments!D$2:D$1079)))</f>
        <v/>
      </c>
      <c r="M23" s="3">
        <f>IF(K23="PAID",MAX(0,L23-G23),Guide!$B$3-G23)</f>
        <v/>
      </c>
      <c r="N23" s="3">
        <f>IF(J23&lt;=0.005,"COLLECTED",IF(M23&lt;=30,"1-30",IF(M23&lt;=60,"31-60",IF(M23&lt;=90,"61-90","90+"))))</f>
        <v/>
      </c>
      <c r="O23" s="3">
        <f>IF(N23="90+","LOST",IF(N23="61-90","ESCALATE",IF(N23="31-60","WATCH",IF(N23="1-30","MILD","OK"))))</f>
        <v/>
      </c>
      <c r="P23" s="3">
        <f>IF(J23&gt;0.005,ROW()-1,"")</f>
        <v/>
      </c>
    </row>
    <row r="24">
      <c r="A24" s="3" t="inlineStr">
        <is>
          <t>D0023</t>
        </is>
      </c>
      <c r="B24" s="3">
        <f>INDEX(Raw_Schedule!B:B,MATCH(A24,Raw_Schedule!A:A,0))</f>
        <v/>
      </c>
      <c r="C24" s="3">
        <f>INDEX(Raw_Schedule!C:C,MATCH(A24,Raw_Schedule!A:A,0))</f>
        <v/>
      </c>
      <c r="D24" s="3">
        <f>INDEX(Raw_Schedule!D:D,MATCH(A24,Raw_Schedule!A:A,0))</f>
        <v/>
      </c>
      <c r="E24" s="3">
        <f>INDEX(Raw_Schedule!E:E,MATCH(A24,Raw_Schedule!A:A,0))</f>
        <v/>
      </c>
      <c r="F24" s="3">
        <f>INDEX(Raw_Schedule!F:F,MATCH(A24,Raw_Schedule!A:A,0))</f>
        <v/>
      </c>
      <c r="G24" s="4">
        <f>INDEX(Raw_Schedule!G:G,MATCH(A24,Raw_Schedule!A:A,0))</f>
        <v/>
      </c>
      <c r="H24" s="5">
        <f>INDEX(Raw_Schedule!H:H,MATCH(A24,Raw_Schedule!A:A,0))</f>
        <v/>
      </c>
      <c r="I24" s="5">
        <f>SUMIFS(Raw_Payments!E:E,Raw_Payments!B:B,A24)</f>
        <v/>
      </c>
      <c r="J24" s="5">
        <f>H24-I24</f>
        <v/>
      </c>
      <c r="K24" s="3">
        <f>IF(J24&lt;=0.005,"PAID",IF(I24&gt;0,"PARTIAL","OVERDUE"))</f>
        <v/>
      </c>
      <c r="L24" s="4">
        <f>IF(COUNTIFS(Raw_Payments!B:B,A24)=0,"",SUMPRODUCT(MAX((Raw_Payments!B$2:B$1079=A24)*Raw_Payments!D$2:D$1079)))</f>
        <v/>
      </c>
      <c r="M24" s="3">
        <f>IF(K24="PAID",MAX(0,L24-G24),Guide!$B$3-G24)</f>
        <v/>
      </c>
      <c r="N24" s="3">
        <f>IF(J24&lt;=0.005,"COLLECTED",IF(M24&lt;=30,"1-30",IF(M24&lt;=60,"31-60",IF(M24&lt;=90,"61-90","90+"))))</f>
        <v/>
      </c>
      <c r="O24" s="3">
        <f>IF(N24="90+","LOST",IF(N24="61-90","ESCALATE",IF(N24="31-60","WATCH",IF(N24="1-30","MILD","OK"))))</f>
        <v/>
      </c>
      <c r="P24" s="3">
        <f>IF(J24&gt;0.005,ROW()-1,"")</f>
        <v/>
      </c>
    </row>
    <row r="25">
      <c r="A25" s="3" t="inlineStr">
        <is>
          <t>D0024</t>
        </is>
      </c>
      <c r="B25" s="3">
        <f>INDEX(Raw_Schedule!B:B,MATCH(A25,Raw_Schedule!A:A,0))</f>
        <v/>
      </c>
      <c r="C25" s="3">
        <f>INDEX(Raw_Schedule!C:C,MATCH(A25,Raw_Schedule!A:A,0))</f>
        <v/>
      </c>
      <c r="D25" s="3">
        <f>INDEX(Raw_Schedule!D:D,MATCH(A25,Raw_Schedule!A:A,0))</f>
        <v/>
      </c>
      <c r="E25" s="3">
        <f>INDEX(Raw_Schedule!E:E,MATCH(A25,Raw_Schedule!A:A,0))</f>
        <v/>
      </c>
      <c r="F25" s="3">
        <f>INDEX(Raw_Schedule!F:F,MATCH(A25,Raw_Schedule!A:A,0))</f>
        <v/>
      </c>
      <c r="G25" s="4">
        <f>INDEX(Raw_Schedule!G:G,MATCH(A25,Raw_Schedule!A:A,0))</f>
        <v/>
      </c>
      <c r="H25" s="5">
        <f>INDEX(Raw_Schedule!H:H,MATCH(A25,Raw_Schedule!A:A,0))</f>
        <v/>
      </c>
      <c r="I25" s="5">
        <f>SUMIFS(Raw_Payments!E:E,Raw_Payments!B:B,A25)</f>
        <v/>
      </c>
      <c r="J25" s="5">
        <f>H25-I25</f>
        <v/>
      </c>
      <c r="K25" s="3">
        <f>IF(J25&lt;=0.005,"PAID",IF(I25&gt;0,"PARTIAL","OVERDUE"))</f>
        <v/>
      </c>
      <c r="L25" s="4">
        <f>IF(COUNTIFS(Raw_Payments!B:B,A25)=0,"",SUMPRODUCT(MAX((Raw_Payments!B$2:B$1079=A25)*Raw_Payments!D$2:D$1079)))</f>
        <v/>
      </c>
      <c r="M25" s="3">
        <f>IF(K25="PAID",MAX(0,L25-G25),Guide!$B$3-G25)</f>
        <v/>
      </c>
      <c r="N25" s="3">
        <f>IF(J25&lt;=0.005,"COLLECTED",IF(M25&lt;=30,"1-30",IF(M25&lt;=60,"31-60",IF(M25&lt;=90,"61-90","90+"))))</f>
        <v/>
      </c>
      <c r="O25" s="3">
        <f>IF(N25="90+","LOST",IF(N25="61-90","ESCALATE",IF(N25="31-60","WATCH",IF(N25="1-30","MILD","OK"))))</f>
        <v/>
      </c>
      <c r="P25" s="3">
        <f>IF(J25&gt;0.005,ROW()-1,"")</f>
        <v/>
      </c>
    </row>
    <row r="26">
      <c r="A26" s="3" t="inlineStr">
        <is>
          <t>D0025</t>
        </is>
      </c>
      <c r="B26" s="3">
        <f>INDEX(Raw_Schedule!B:B,MATCH(A26,Raw_Schedule!A:A,0))</f>
        <v/>
      </c>
      <c r="C26" s="3">
        <f>INDEX(Raw_Schedule!C:C,MATCH(A26,Raw_Schedule!A:A,0))</f>
        <v/>
      </c>
      <c r="D26" s="3">
        <f>INDEX(Raw_Schedule!D:D,MATCH(A26,Raw_Schedule!A:A,0))</f>
        <v/>
      </c>
      <c r="E26" s="3">
        <f>INDEX(Raw_Schedule!E:E,MATCH(A26,Raw_Schedule!A:A,0))</f>
        <v/>
      </c>
      <c r="F26" s="3">
        <f>INDEX(Raw_Schedule!F:F,MATCH(A26,Raw_Schedule!A:A,0))</f>
        <v/>
      </c>
      <c r="G26" s="4">
        <f>INDEX(Raw_Schedule!G:G,MATCH(A26,Raw_Schedule!A:A,0))</f>
        <v/>
      </c>
      <c r="H26" s="5">
        <f>INDEX(Raw_Schedule!H:H,MATCH(A26,Raw_Schedule!A:A,0))</f>
        <v/>
      </c>
      <c r="I26" s="5">
        <f>SUMIFS(Raw_Payments!E:E,Raw_Payments!B:B,A26)</f>
        <v/>
      </c>
      <c r="J26" s="5">
        <f>H26-I26</f>
        <v/>
      </c>
      <c r="K26" s="3">
        <f>IF(J26&lt;=0.005,"PAID",IF(I26&gt;0,"PARTIAL","OVERDUE"))</f>
        <v/>
      </c>
      <c r="L26" s="4">
        <f>IF(COUNTIFS(Raw_Payments!B:B,A26)=0,"",SUMPRODUCT(MAX((Raw_Payments!B$2:B$1079=A26)*Raw_Payments!D$2:D$1079)))</f>
        <v/>
      </c>
      <c r="M26" s="3">
        <f>IF(K26="PAID",MAX(0,L26-G26),Guide!$B$3-G26)</f>
        <v/>
      </c>
      <c r="N26" s="3">
        <f>IF(J26&lt;=0.005,"COLLECTED",IF(M26&lt;=30,"1-30",IF(M26&lt;=60,"31-60",IF(M26&lt;=90,"61-90","90+"))))</f>
        <v/>
      </c>
      <c r="O26" s="3">
        <f>IF(N26="90+","LOST",IF(N26="61-90","ESCALATE",IF(N26="31-60","WATCH",IF(N26="1-30","MILD","OK"))))</f>
        <v/>
      </c>
      <c r="P26" s="3">
        <f>IF(J26&gt;0.005,ROW()-1,"")</f>
        <v/>
      </c>
    </row>
    <row r="27">
      <c r="A27" s="3" t="inlineStr">
        <is>
          <t>D0026</t>
        </is>
      </c>
      <c r="B27" s="3">
        <f>INDEX(Raw_Schedule!B:B,MATCH(A27,Raw_Schedule!A:A,0))</f>
        <v/>
      </c>
      <c r="C27" s="3">
        <f>INDEX(Raw_Schedule!C:C,MATCH(A27,Raw_Schedule!A:A,0))</f>
        <v/>
      </c>
      <c r="D27" s="3">
        <f>INDEX(Raw_Schedule!D:D,MATCH(A27,Raw_Schedule!A:A,0))</f>
        <v/>
      </c>
      <c r="E27" s="3">
        <f>INDEX(Raw_Schedule!E:E,MATCH(A27,Raw_Schedule!A:A,0))</f>
        <v/>
      </c>
      <c r="F27" s="3">
        <f>INDEX(Raw_Schedule!F:F,MATCH(A27,Raw_Schedule!A:A,0))</f>
        <v/>
      </c>
      <c r="G27" s="4">
        <f>INDEX(Raw_Schedule!G:G,MATCH(A27,Raw_Schedule!A:A,0))</f>
        <v/>
      </c>
      <c r="H27" s="5">
        <f>INDEX(Raw_Schedule!H:H,MATCH(A27,Raw_Schedule!A:A,0))</f>
        <v/>
      </c>
      <c r="I27" s="5">
        <f>SUMIFS(Raw_Payments!E:E,Raw_Payments!B:B,A27)</f>
        <v/>
      </c>
      <c r="J27" s="5">
        <f>H27-I27</f>
        <v/>
      </c>
      <c r="K27" s="3">
        <f>IF(J27&lt;=0.005,"PAID",IF(I27&gt;0,"PARTIAL","OVERDUE"))</f>
        <v/>
      </c>
      <c r="L27" s="4">
        <f>IF(COUNTIFS(Raw_Payments!B:B,A27)=0,"",SUMPRODUCT(MAX((Raw_Payments!B$2:B$1079=A27)*Raw_Payments!D$2:D$1079)))</f>
        <v/>
      </c>
      <c r="M27" s="3">
        <f>IF(K27="PAID",MAX(0,L27-G27),Guide!$B$3-G27)</f>
        <v/>
      </c>
      <c r="N27" s="3">
        <f>IF(J27&lt;=0.005,"COLLECTED",IF(M27&lt;=30,"1-30",IF(M27&lt;=60,"31-60",IF(M27&lt;=90,"61-90","90+"))))</f>
        <v/>
      </c>
      <c r="O27" s="3">
        <f>IF(N27="90+","LOST",IF(N27="61-90","ESCALATE",IF(N27="31-60","WATCH",IF(N27="1-30","MILD","OK"))))</f>
        <v/>
      </c>
      <c r="P27" s="3">
        <f>IF(J27&gt;0.005,ROW()-1,"")</f>
        <v/>
      </c>
    </row>
    <row r="28">
      <c r="A28" s="3" t="inlineStr">
        <is>
          <t>D0027</t>
        </is>
      </c>
      <c r="B28" s="3">
        <f>INDEX(Raw_Schedule!B:B,MATCH(A28,Raw_Schedule!A:A,0))</f>
        <v/>
      </c>
      <c r="C28" s="3">
        <f>INDEX(Raw_Schedule!C:C,MATCH(A28,Raw_Schedule!A:A,0))</f>
        <v/>
      </c>
      <c r="D28" s="3">
        <f>INDEX(Raw_Schedule!D:D,MATCH(A28,Raw_Schedule!A:A,0))</f>
        <v/>
      </c>
      <c r="E28" s="3">
        <f>INDEX(Raw_Schedule!E:E,MATCH(A28,Raw_Schedule!A:A,0))</f>
        <v/>
      </c>
      <c r="F28" s="3">
        <f>INDEX(Raw_Schedule!F:F,MATCH(A28,Raw_Schedule!A:A,0))</f>
        <v/>
      </c>
      <c r="G28" s="4">
        <f>INDEX(Raw_Schedule!G:G,MATCH(A28,Raw_Schedule!A:A,0))</f>
        <v/>
      </c>
      <c r="H28" s="5">
        <f>INDEX(Raw_Schedule!H:H,MATCH(A28,Raw_Schedule!A:A,0))</f>
        <v/>
      </c>
      <c r="I28" s="5">
        <f>SUMIFS(Raw_Payments!E:E,Raw_Payments!B:B,A28)</f>
        <v/>
      </c>
      <c r="J28" s="5">
        <f>H28-I28</f>
        <v/>
      </c>
      <c r="K28" s="3">
        <f>IF(J28&lt;=0.005,"PAID",IF(I28&gt;0,"PARTIAL","OVERDUE"))</f>
        <v/>
      </c>
      <c r="L28" s="4">
        <f>IF(COUNTIFS(Raw_Payments!B:B,A28)=0,"",SUMPRODUCT(MAX((Raw_Payments!B$2:B$1079=A28)*Raw_Payments!D$2:D$1079)))</f>
        <v/>
      </c>
      <c r="M28" s="3">
        <f>IF(K28="PAID",MAX(0,L28-G28),Guide!$B$3-G28)</f>
        <v/>
      </c>
      <c r="N28" s="3">
        <f>IF(J28&lt;=0.005,"COLLECTED",IF(M28&lt;=30,"1-30",IF(M28&lt;=60,"31-60",IF(M28&lt;=90,"61-90","90+"))))</f>
        <v/>
      </c>
      <c r="O28" s="3">
        <f>IF(N28="90+","LOST",IF(N28="61-90","ESCALATE",IF(N28="31-60","WATCH",IF(N28="1-30","MILD","OK"))))</f>
        <v/>
      </c>
      <c r="P28" s="3">
        <f>IF(J28&gt;0.005,ROW()-1,"")</f>
        <v/>
      </c>
    </row>
    <row r="29">
      <c r="A29" s="3" t="inlineStr">
        <is>
          <t>D0028</t>
        </is>
      </c>
      <c r="B29" s="3">
        <f>INDEX(Raw_Schedule!B:B,MATCH(A29,Raw_Schedule!A:A,0))</f>
        <v/>
      </c>
      <c r="C29" s="3">
        <f>INDEX(Raw_Schedule!C:C,MATCH(A29,Raw_Schedule!A:A,0))</f>
        <v/>
      </c>
      <c r="D29" s="3">
        <f>INDEX(Raw_Schedule!D:D,MATCH(A29,Raw_Schedule!A:A,0))</f>
        <v/>
      </c>
      <c r="E29" s="3">
        <f>INDEX(Raw_Schedule!E:E,MATCH(A29,Raw_Schedule!A:A,0))</f>
        <v/>
      </c>
      <c r="F29" s="3">
        <f>INDEX(Raw_Schedule!F:F,MATCH(A29,Raw_Schedule!A:A,0))</f>
        <v/>
      </c>
      <c r="G29" s="4">
        <f>INDEX(Raw_Schedule!G:G,MATCH(A29,Raw_Schedule!A:A,0))</f>
        <v/>
      </c>
      <c r="H29" s="5">
        <f>INDEX(Raw_Schedule!H:H,MATCH(A29,Raw_Schedule!A:A,0))</f>
        <v/>
      </c>
      <c r="I29" s="5">
        <f>SUMIFS(Raw_Payments!E:E,Raw_Payments!B:B,A29)</f>
        <v/>
      </c>
      <c r="J29" s="5">
        <f>H29-I29</f>
        <v/>
      </c>
      <c r="K29" s="3">
        <f>IF(J29&lt;=0.005,"PAID",IF(I29&gt;0,"PARTIAL","OVERDUE"))</f>
        <v/>
      </c>
      <c r="L29" s="4">
        <f>IF(COUNTIFS(Raw_Payments!B:B,A29)=0,"",SUMPRODUCT(MAX((Raw_Payments!B$2:B$1079=A29)*Raw_Payments!D$2:D$1079)))</f>
        <v/>
      </c>
      <c r="M29" s="3">
        <f>IF(K29="PAID",MAX(0,L29-G29),Guide!$B$3-G29)</f>
        <v/>
      </c>
      <c r="N29" s="3">
        <f>IF(J29&lt;=0.005,"COLLECTED",IF(M29&lt;=30,"1-30",IF(M29&lt;=60,"31-60",IF(M29&lt;=90,"61-90","90+"))))</f>
        <v/>
      </c>
      <c r="O29" s="3">
        <f>IF(N29="90+","LOST",IF(N29="61-90","ESCALATE",IF(N29="31-60","WATCH",IF(N29="1-30","MILD","OK"))))</f>
        <v/>
      </c>
      <c r="P29" s="3">
        <f>IF(J29&gt;0.005,ROW()-1,"")</f>
        <v/>
      </c>
    </row>
    <row r="30">
      <c r="A30" s="3" t="inlineStr">
        <is>
          <t>D0029</t>
        </is>
      </c>
      <c r="B30" s="3">
        <f>INDEX(Raw_Schedule!B:B,MATCH(A30,Raw_Schedule!A:A,0))</f>
        <v/>
      </c>
      <c r="C30" s="3">
        <f>INDEX(Raw_Schedule!C:C,MATCH(A30,Raw_Schedule!A:A,0))</f>
        <v/>
      </c>
      <c r="D30" s="3">
        <f>INDEX(Raw_Schedule!D:D,MATCH(A30,Raw_Schedule!A:A,0))</f>
        <v/>
      </c>
      <c r="E30" s="3">
        <f>INDEX(Raw_Schedule!E:E,MATCH(A30,Raw_Schedule!A:A,0))</f>
        <v/>
      </c>
      <c r="F30" s="3">
        <f>INDEX(Raw_Schedule!F:F,MATCH(A30,Raw_Schedule!A:A,0))</f>
        <v/>
      </c>
      <c r="G30" s="4">
        <f>INDEX(Raw_Schedule!G:G,MATCH(A30,Raw_Schedule!A:A,0))</f>
        <v/>
      </c>
      <c r="H30" s="5">
        <f>INDEX(Raw_Schedule!H:H,MATCH(A30,Raw_Schedule!A:A,0))</f>
        <v/>
      </c>
      <c r="I30" s="5">
        <f>SUMIFS(Raw_Payments!E:E,Raw_Payments!B:B,A30)</f>
        <v/>
      </c>
      <c r="J30" s="5">
        <f>H30-I30</f>
        <v/>
      </c>
      <c r="K30" s="3">
        <f>IF(J30&lt;=0.005,"PAID",IF(I30&gt;0,"PARTIAL","OVERDUE"))</f>
        <v/>
      </c>
      <c r="L30" s="4">
        <f>IF(COUNTIFS(Raw_Payments!B:B,A30)=0,"",SUMPRODUCT(MAX((Raw_Payments!B$2:B$1079=A30)*Raw_Payments!D$2:D$1079)))</f>
        <v/>
      </c>
      <c r="M30" s="3">
        <f>IF(K30="PAID",MAX(0,L30-G30),Guide!$B$3-G30)</f>
        <v/>
      </c>
      <c r="N30" s="3">
        <f>IF(J30&lt;=0.005,"COLLECTED",IF(M30&lt;=30,"1-30",IF(M30&lt;=60,"31-60",IF(M30&lt;=90,"61-90","90+"))))</f>
        <v/>
      </c>
      <c r="O30" s="3">
        <f>IF(N30="90+","LOST",IF(N30="61-90","ESCALATE",IF(N30="31-60","WATCH",IF(N30="1-30","MILD","OK"))))</f>
        <v/>
      </c>
      <c r="P30" s="3">
        <f>IF(J30&gt;0.005,ROW()-1,"")</f>
        <v/>
      </c>
    </row>
    <row r="31">
      <c r="A31" s="3" t="inlineStr">
        <is>
          <t>D0030</t>
        </is>
      </c>
      <c r="B31" s="3">
        <f>INDEX(Raw_Schedule!B:B,MATCH(A31,Raw_Schedule!A:A,0))</f>
        <v/>
      </c>
      <c r="C31" s="3">
        <f>INDEX(Raw_Schedule!C:C,MATCH(A31,Raw_Schedule!A:A,0))</f>
        <v/>
      </c>
      <c r="D31" s="3">
        <f>INDEX(Raw_Schedule!D:D,MATCH(A31,Raw_Schedule!A:A,0))</f>
        <v/>
      </c>
      <c r="E31" s="3">
        <f>INDEX(Raw_Schedule!E:E,MATCH(A31,Raw_Schedule!A:A,0))</f>
        <v/>
      </c>
      <c r="F31" s="3">
        <f>INDEX(Raw_Schedule!F:F,MATCH(A31,Raw_Schedule!A:A,0))</f>
        <v/>
      </c>
      <c r="G31" s="4">
        <f>INDEX(Raw_Schedule!G:G,MATCH(A31,Raw_Schedule!A:A,0))</f>
        <v/>
      </c>
      <c r="H31" s="5">
        <f>INDEX(Raw_Schedule!H:H,MATCH(A31,Raw_Schedule!A:A,0))</f>
        <v/>
      </c>
      <c r="I31" s="5">
        <f>SUMIFS(Raw_Payments!E:E,Raw_Payments!B:B,A31)</f>
        <v/>
      </c>
      <c r="J31" s="5">
        <f>H31-I31</f>
        <v/>
      </c>
      <c r="K31" s="3">
        <f>IF(J31&lt;=0.005,"PAID",IF(I31&gt;0,"PARTIAL","OVERDUE"))</f>
        <v/>
      </c>
      <c r="L31" s="4">
        <f>IF(COUNTIFS(Raw_Payments!B:B,A31)=0,"",SUMPRODUCT(MAX((Raw_Payments!B$2:B$1079=A31)*Raw_Payments!D$2:D$1079)))</f>
        <v/>
      </c>
      <c r="M31" s="3">
        <f>IF(K31="PAID",MAX(0,L31-G31),Guide!$B$3-G31)</f>
        <v/>
      </c>
      <c r="N31" s="3">
        <f>IF(J31&lt;=0.005,"COLLECTED",IF(M31&lt;=30,"1-30",IF(M31&lt;=60,"31-60",IF(M31&lt;=90,"61-90","90+"))))</f>
        <v/>
      </c>
      <c r="O31" s="3">
        <f>IF(N31="90+","LOST",IF(N31="61-90","ESCALATE",IF(N31="31-60","WATCH",IF(N31="1-30","MILD","OK"))))</f>
        <v/>
      </c>
      <c r="P31" s="3">
        <f>IF(J31&gt;0.005,ROW()-1,"")</f>
        <v/>
      </c>
    </row>
    <row r="32">
      <c r="A32" s="3" t="inlineStr">
        <is>
          <t>D0031</t>
        </is>
      </c>
      <c r="B32" s="3">
        <f>INDEX(Raw_Schedule!B:B,MATCH(A32,Raw_Schedule!A:A,0))</f>
        <v/>
      </c>
      <c r="C32" s="3">
        <f>INDEX(Raw_Schedule!C:C,MATCH(A32,Raw_Schedule!A:A,0))</f>
        <v/>
      </c>
      <c r="D32" s="3">
        <f>INDEX(Raw_Schedule!D:D,MATCH(A32,Raw_Schedule!A:A,0))</f>
        <v/>
      </c>
      <c r="E32" s="3">
        <f>INDEX(Raw_Schedule!E:E,MATCH(A32,Raw_Schedule!A:A,0))</f>
        <v/>
      </c>
      <c r="F32" s="3">
        <f>INDEX(Raw_Schedule!F:F,MATCH(A32,Raw_Schedule!A:A,0))</f>
        <v/>
      </c>
      <c r="G32" s="4">
        <f>INDEX(Raw_Schedule!G:G,MATCH(A32,Raw_Schedule!A:A,0))</f>
        <v/>
      </c>
      <c r="H32" s="5">
        <f>INDEX(Raw_Schedule!H:H,MATCH(A32,Raw_Schedule!A:A,0))</f>
        <v/>
      </c>
      <c r="I32" s="5">
        <f>SUMIFS(Raw_Payments!E:E,Raw_Payments!B:B,A32)</f>
        <v/>
      </c>
      <c r="J32" s="5">
        <f>H32-I32</f>
        <v/>
      </c>
      <c r="K32" s="3">
        <f>IF(J32&lt;=0.005,"PAID",IF(I32&gt;0,"PARTIAL","OVERDUE"))</f>
        <v/>
      </c>
      <c r="L32" s="4">
        <f>IF(COUNTIFS(Raw_Payments!B:B,A32)=0,"",SUMPRODUCT(MAX((Raw_Payments!B$2:B$1079=A32)*Raw_Payments!D$2:D$1079)))</f>
        <v/>
      </c>
      <c r="M32" s="3">
        <f>IF(K32="PAID",MAX(0,L32-G32),Guide!$B$3-G32)</f>
        <v/>
      </c>
      <c r="N32" s="3">
        <f>IF(J32&lt;=0.005,"COLLECTED",IF(M32&lt;=30,"1-30",IF(M32&lt;=60,"31-60",IF(M32&lt;=90,"61-90","90+"))))</f>
        <v/>
      </c>
      <c r="O32" s="3">
        <f>IF(N32="90+","LOST",IF(N32="61-90","ESCALATE",IF(N32="31-60","WATCH",IF(N32="1-30","MILD","OK"))))</f>
        <v/>
      </c>
      <c r="P32" s="3">
        <f>IF(J32&gt;0.005,ROW()-1,"")</f>
        <v/>
      </c>
    </row>
    <row r="33">
      <c r="A33" s="3" t="inlineStr">
        <is>
          <t>D0032</t>
        </is>
      </c>
      <c r="B33" s="3">
        <f>INDEX(Raw_Schedule!B:B,MATCH(A33,Raw_Schedule!A:A,0))</f>
        <v/>
      </c>
      <c r="C33" s="3">
        <f>INDEX(Raw_Schedule!C:C,MATCH(A33,Raw_Schedule!A:A,0))</f>
        <v/>
      </c>
      <c r="D33" s="3">
        <f>INDEX(Raw_Schedule!D:D,MATCH(A33,Raw_Schedule!A:A,0))</f>
        <v/>
      </c>
      <c r="E33" s="3">
        <f>INDEX(Raw_Schedule!E:E,MATCH(A33,Raw_Schedule!A:A,0))</f>
        <v/>
      </c>
      <c r="F33" s="3">
        <f>INDEX(Raw_Schedule!F:F,MATCH(A33,Raw_Schedule!A:A,0))</f>
        <v/>
      </c>
      <c r="G33" s="4">
        <f>INDEX(Raw_Schedule!G:G,MATCH(A33,Raw_Schedule!A:A,0))</f>
        <v/>
      </c>
      <c r="H33" s="5">
        <f>INDEX(Raw_Schedule!H:H,MATCH(A33,Raw_Schedule!A:A,0))</f>
        <v/>
      </c>
      <c r="I33" s="5">
        <f>SUMIFS(Raw_Payments!E:E,Raw_Payments!B:B,A33)</f>
        <v/>
      </c>
      <c r="J33" s="5">
        <f>H33-I33</f>
        <v/>
      </c>
      <c r="K33" s="3">
        <f>IF(J33&lt;=0.005,"PAID",IF(I33&gt;0,"PARTIAL","OVERDUE"))</f>
        <v/>
      </c>
      <c r="L33" s="4">
        <f>IF(COUNTIFS(Raw_Payments!B:B,A33)=0,"",SUMPRODUCT(MAX((Raw_Payments!B$2:B$1079=A33)*Raw_Payments!D$2:D$1079)))</f>
        <v/>
      </c>
      <c r="M33" s="3">
        <f>IF(K33="PAID",MAX(0,L33-G33),Guide!$B$3-G33)</f>
        <v/>
      </c>
      <c r="N33" s="3">
        <f>IF(J33&lt;=0.005,"COLLECTED",IF(M33&lt;=30,"1-30",IF(M33&lt;=60,"31-60",IF(M33&lt;=90,"61-90","90+"))))</f>
        <v/>
      </c>
      <c r="O33" s="3">
        <f>IF(N33="90+","LOST",IF(N33="61-90","ESCALATE",IF(N33="31-60","WATCH",IF(N33="1-30","MILD","OK"))))</f>
        <v/>
      </c>
      <c r="P33" s="3">
        <f>IF(J33&gt;0.005,ROW()-1,"")</f>
        <v/>
      </c>
    </row>
    <row r="34">
      <c r="A34" s="3" t="inlineStr">
        <is>
          <t>D0033</t>
        </is>
      </c>
      <c r="B34" s="3">
        <f>INDEX(Raw_Schedule!B:B,MATCH(A34,Raw_Schedule!A:A,0))</f>
        <v/>
      </c>
      <c r="C34" s="3">
        <f>INDEX(Raw_Schedule!C:C,MATCH(A34,Raw_Schedule!A:A,0))</f>
        <v/>
      </c>
      <c r="D34" s="3">
        <f>INDEX(Raw_Schedule!D:D,MATCH(A34,Raw_Schedule!A:A,0))</f>
        <v/>
      </c>
      <c r="E34" s="3">
        <f>INDEX(Raw_Schedule!E:E,MATCH(A34,Raw_Schedule!A:A,0))</f>
        <v/>
      </c>
      <c r="F34" s="3">
        <f>INDEX(Raw_Schedule!F:F,MATCH(A34,Raw_Schedule!A:A,0))</f>
        <v/>
      </c>
      <c r="G34" s="4">
        <f>INDEX(Raw_Schedule!G:G,MATCH(A34,Raw_Schedule!A:A,0))</f>
        <v/>
      </c>
      <c r="H34" s="5">
        <f>INDEX(Raw_Schedule!H:H,MATCH(A34,Raw_Schedule!A:A,0))</f>
        <v/>
      </c>
      <c r="I34" s="5">
        <f>SUMIFS(Raw_Payments!E:E,Raw_Payments!B:B,A34)</f>
        <v/>
      </c>
      <c r="J34" s="5">
        <f>H34-I34</f>
        <v/>
      </c>
      <c r="K34" s="3">
        <f>IF(J34&lt;=0.005,"PAID",IF(I34&gt;0,"PARTIAL","OVERDUE"))</f>
        <v/>
      </c>
      <c r="L34" s="4">
        <f>IF(COUNTIFS(Raw_Payments!B:B,A34)=0,"",SUMPRODUCT(MAX((Raw_Payments!B$2:B$1079=A34)*Raw_Payments!D$2:D$1079)))</f>
        <v/>
      </c>
      <c r="M34" s="3">
        <f>IF(K34="PAID",MAX(0,L34-G34),Guide!$B$3-G34)</f>
        <v/>
      </c>
      <c r="N34" s="3">
        <f>IF(J34&lt;=0.005,"COLLECTED",IF(M34&lt;=30,"1-30",IF(M34&lt;=60,"31-60",IF(M34&lt;=90,"61-90","90+"))))</f>
        <v/>
      </c>
      <c r="O34" s="3">
        <f>IF(N34="90+","LOST",IF(N34="61-90","ESCALATE",IF(N34="31-60","WATCH",IF(N34="1-30","MILD","OK"))))</f>
        <v/>
      </c>
      <c r="P34" s="3">
        <f>IF(J34&gt;0.005,ROW()-1,"")</f>
        <v/>
      </c>
    </row>
    <row r="35">
      <c r="A35" s="3" t="inlineStr">
        <is>
          <t>D0034</t>
        </is>
      </c>
      <c r="B35" s="3">
        <f>INDEX(Raw_Schedule!B:B,MATCH(A35,Raw_Schedule!A:A,0))</f>
        <v/>
      </c>
      <c r="C35" s="3">
        <f>INDEX(Raw_Schedule!C:C,MATCH(A35,Raw_Schedule!A:A,0))</f>
        <v/>
      </c>
      <c r="D35" s="3">
        <f>INDEX(Raw_Schedule!D:D,MATCH(A35,Raw_Schedule!A:A,0))</f>
        <v/>
      </c>
      <c r="E35" s="3">
        <f>INDEX(Raw_Schedule!E:E,MATCH(A35,Raw_Schedule!A:A,0))</f>
        <v/>
      </c>
      <c r="F35" s="3">
        <f>INDEX(Raw_Schedule!F:F,MATCH(A35,Raw_Schedule!A:A,0))</f>
        <v/>
      </c>
      <c r="G35" s="4">
        <f>INDEX(Raw_Schedule!G:G,MATCH(A35,Raw_Schedule!A:A,0))</f>
        <v/>
      </c>
      <c r="H35" s="5">
        <f>INDEX(Raw_Schedule!H:H,MATCH(A35,Raw_Schedule!A:A,0))</f>
        <v/>
      </c>
      <c r="I35" s="5">
        <f>SUMIFS(Raw_Payments!E:E,Raw_Payments!B:B,A35)</f>
        <v/>
      </c>
      <c r="J35" s="5">
        <f>H35-I35</f>
        <v/>
      </c>
      <c r="K35" s="3">
        <f>IF(J35&lt;=0.005,"PAID",IF(I35&gt;0,"PARTIAL","OVERDUE"))</f>
        <v/>
      </c>
      <c r="L35" s="4">
        <f>IF(COUNTIFS(Raw_Payments!B:B,A35)=0,"",SUMPRODUCT(MAX((Raw_Payments!B$2:B$1079=A35)*Raw_Payments!D$2:D$1079)))</f>
        <v/>
      </c>
      <c r="M35" s="3">
        <f>IF(K35="PAID",MAX(0,L35-G35),Guide!$B$3-G35)</f>
        <v/>
      </c>
      <c r="N35" s="3">
        <f>IF(J35&lt;=0.005,"COLLECTED",IF(M35&lt;=30,"1-30",IF(M35&lt;=60,"31-60",IF(M35&lt;=90,"61-90","90+"))))</f>
        <v/>
      </c>
      <c r="O35" s="3">
        <f>IF(N35="90+","LOST",IF(N35="61-90","ESCALATE",IF(N35="31-60","WATCH",IF(N35="1-30","MILD","OK"))))</f>
        <v/>
      </c>
      <c r="P35" s="3">
        <f>IF(J35&gt;0.005,ROW()-1,"")</f>
        <v/>
      </c>
    </row>
    <row r="36">
      <c r="A36" s="3" t="inlineStr">
        <is>
          <t>D0035</t>
        </is>
      </c>
      <c r="B36" s="3">
        <f>INDEX(Raw_Schedule!B:B,MATCH(A36,Raw_Schedule!A:A,0))</f>
        <v/>
      </c>
      <c r="C36" s="3">
        <f>INDEX(Raw_Schedule!C:C,MATCH(A36,Raw_Schedule!A:A,0))</f>
        <v/>
      </c>
      <c r="D36" s="3">
        <f>INDEX(Raw_Schedule!D:D,MATCH(A36,Raw_Schedule!A:A,0))</f>
        <v/>
      </c>
      <c r="E36" s="3">
        <f>INDEX(Raw_Schedule!E:E,MATCH(A36,Raw_Schedule!A:A,0))</f>
        <v/>
      </c>
      <c r="F36" s="3">
        <f>INDEX(Raw_Schedule!F:F,MATCH(A36,Raw_Schedule!A:A,0))</f>
        <v/>
      </c>
      <c r="G36" s="4">
        <f>INDEX(Raw_Schedule!G:G,MATCH(A36,Raw_Schedule!A:A,0))</f>
        <v/>
      </c>
      <c r="H36" s="5">
        <f>INDEX(Raw_Schedule!H:H,MATCH(A36,Raw_Schedule!A:A,0))</f>
        <v/>
      </c>
      <c r="I36" s="5">
        <f>SUMIFS(Raw_Payments!E:E,Raw_Payments!B:B,A36)</f>
        <v/>
      </c>
      <c r="J36" s="5">
        <f>H36-I36</f>
        <v/>
      </c>
      <c r="K36" s="3">
        <f>IF(J36&lt;=0.005,"PAID",IF(I36&gt;0,"PARTIAL","OVERDUE"))</f>
        <v/>
      </c>
      <c r="L36" s="4">
        <f>IF(COUNTIFS(Raw_Payments!B:B,A36)=0,"",SUMPRODUCT(MAX((Raw_Payments!B$2:B$1079=A36)*Raw_Payments!D$2:D$1079)))</f>
        <v/>
      </c>
      <c r="M36" s="3">
        <f>IF(K36="PAID",MAX(0,L36-G36),Guide!$B$3-G36)</f>
        <v/>
      </c>
      <c r="N36" s="3">
        <f>IF(J36&lt;=0.005,"COLLECTED",IF(M36&lt;=30,"1-30",IF(M36&lt;=60,"31-60",IF(M36&lt;=90,"61-90","90+"))))</f>
        <v/>
      </c>
      <c r="O36" s="3">
        <f>IF(N36="90+","LOST",IF(N36="61-90","ESCALATE",IF(N36="31-60","WATCH",IF(N36="1-30","MILD","OK"))))</f>
        <v/>
      </c>
      <c r="P36" s="3">
        <f>IF(J36&gt;0.005,ROW()-1,"")</f>
        <v/>
      </c>
    </row>
    <row r="37">
      <c r="A37" s="3" t="inlineStr">
        <is>
          <t>D0036</t>
        </is>
      </c>
      <c r="B37" s="3">
        <f>INDEX(Raw_Schedule!B:B,MATCH(A37,Raw_Schedule!A:A,0))</f>
        <v/>
      </c>
      <c r="C37" s="3">
        <f>INDEX(Raw_Schedule!C:C,MATCH(A37,Raw_Schedule!A:A,0))</f>
        <v/>
      </c>
      <c r="D37" s="3">
        <f>INDEX(Raw_Schedule!D:D,MATCH(A37,Raw_Schedule!A:A,0))</f>
        <v/>
      </c>
      <c r="E37" s="3">
        <f>INDEX(Raw_Schedule!E:E,MATCH(A37,Raw_Schedule!A:A,0))</f>
        <v/>
      </c>
      <c r="F37" s="3">
        <f>INDEX(Raw_Schedule!F:F,MATCH(A37,Raw_Schedule!A:A,0))</f>
        <v/>
      </c>
      <c r="G37" s="4">
        <f>INDEX(Raw_Schedule!G:G,MATCH(A37,Raw_Schedule!A:A,0))</f>
        <v/>
      </c>
      <c r="H37" s="5">
        <f>INDEX(Raw_Schedule!H:H,MATCH(A37,Raw_Schedule!A:A,0))</f>
        <v/>
      </c>
      <c r="I37" s="5">
        <f>SUMIFS(Raw_Payments!E:E,Raw_Payments!B:B,A37)</f>
        <v/>
      </c>
      <c r="J37" s="5">
        <f>H37-I37</f>
        <v/>
      </c>
      <c r="K37" s="3">
        <f>IF(J37&lt;=0.005,"PAID",IF(I37&gt;0,"PARTIAL","OVERDUE"))</f>
        <v/>
      </c>
      <c r="L37" s="4">
        <f>IF(COUNTIFS(Raw_Payments!B:B,A37)=0,"",SUMPRODUCT(MAX((Raw_Payments!B$2:B$1079=A37)*Raw_Payments!D$2:D$1079)))</f>
        <v/>
      </c>
      <c r="M37" s="3">
        <f>IF(K37="PAID",MAX(0,L37-G37),Guide!$B$3-G37)</f>
        <v/>
      </c>
      <c r="N37" s="3">
        <f>IF(J37&lt;=0.005,"COLLECTED",IF(M37&lt;=30,"1-30",IF(M37&lt;=60,"31-60",IF(M37&lt;=90,"61-90","90+"))))</f>
        <v/>
      </c>
      <c r="O37" s="3">
        <f>IF(N37="90+","LOST",IF(N37="61-90","ESCALATE",IF(N37="31-60","WATCH",IF(N37="1-30","MILD","OK"))))</f>
        <v/>
      </c>
      <c r="P37" s="3">
        <f>IF(J37&gt;0.005,ROW()-1,"")</f>
        <v/>
      </c>
    </row>
    <row r="38">
      <c r="A38" s="3" t="inlineStr">
        <is>
          <t>D0037</t>
        </is>
      </c>
      <c r="B38" s="3">
        <f>INDEX(Raw_Schedule!B:B,MATCH(A38,Raw_Schedule!A:A,0))</f>
        <v/>
      </c>
      <c r="C38" s="3">
        <f>INDEX(Raw_Schedule!C:C,MATCH(A38,Raw_Schedule!A:A,0))</f>
        <v/>
      </c>
      <c r="D38" s="3">
        <f>INDEX(Raw_Schedule!D:D,MATCH(A38,Raw_Schedule!A:A,0))</f>
        <v/>
      </c>
      <c r="E38" s="3">
        <f>INDEX(Raw_Schedule!E:E,MATCH(A38,Raw_Schedule!A:A,0))</f>
        <v/>
      </c>
      <c r="F38" s="3">
        <f>INDEX(Raw_Schedule!F:F,MATCH(A38,Raw_Schedule!A:A,0))</f>
        <v/>
      </c>
      <c r="G38" s="4">
        <f>INDEX(Raw_Schedule!G:G,MATCH(A38,Raw_Schedule!A:A,0))</f>
        <v/>
      </c>
      <c r="H38" s="5">
        <f>INDEX(Raw_Schedule!H:H,MATCH(A38,Raw_Schedule!A:A,0))</f>
        <v/>
      </c>
      <c r="I38" s="5">
        <f>SUMIFS(Raw_Payments!E:E,Raw_Payments!B:B,A38)</f>
        <v/>
      </c>
      <c r="J38" s="5">
        <f>H38-I38</f>
        <v/>
      </c>
      <c r="K38" s="3">
        <f>IF(J38&lt;=0.005,"PAID",IF(I38&gt;0,"PARTIAL","OVERDUE"))</f>
        <v/>
      </c>
      <c r="L38" s="4">
        <f>IF(COUNTIFS(Raw_Payments!B:B,A38)=0,"",SUMPRODUCT(MAX((Raw_Payments!B$2:B$1079=A38)*Raw_Payments!D$2:D$1079)))</f>
        <v/>
      </c>
      <c r="M38" s="3">
        <f>IF(K38="PAID",MAX(0,L38-G38),Guide!$B$3-G38)</f>
        <v/>
      </c>
      <c r="N38" s="3">
        <f>IF(J38&lt;=0.005,"COLLECTED",IF(M38&lt;=30,"1-30",IF(M38&lt;=60,"31-60",IF(M38&lt;=90,"61-90","90+"))))</f>
        <v/>
      </c>
      <c r="O38" s="3">
        <f>IF(N38="90+","LOST",IF(N38="61-90","ESCALATE",IF(N38="31-60","WATCH",IF(N38="1-30","MILD","OK"))))</f>
        <v/>
      </c>
      <c r="P38" s="3">
        <f>IF(J38&gt;0.005,ROW()-1,"")</f>
        <v/>
      </c>
    </row>
    <row r="39">
      <c r="A39" s="3" t="inlineStr">
        <is>
          <t>D0038</t>
        </is>
      </c>
      <c r="B39" s="3">
        <f>INDEX(Raw_Schedule!B:B,MATCH(A39,Raw_Schedule!A:A,0))</f>
        <v/>
      </c>
      <c r="C39" s="3">
        <f>INDEX(Raw_Schedule!C:C,MATCH(A39,Raw_Schedule!A:A,0))</f>
        <v/>
      </c>
      <c r="D39" s="3">
        <f>INDEX(Raw_Schedule!D:D,MATCH(A39,Raw_Schedule!A:A,0))</f>
        <v/>
      </c>
      <c r="E39" s="3">
        <f>INDEX(Raw_Schedule!E:E,MATCH(A39,Raw_Schedule!A:A,0))</f>
        <v/>
      </c>
      <c r="F39" s="3">
        <f>INDEX(Raw_Schedule!F:F,MATCH(A39,Raw_Schedule!A:A,0))</f>
        <v/>
      </c>
      <c r="G39" s="4">
        <f>INDEX(Raw_Schedule!G:G,MATCH(A39,Raw_Schedule!A:A,0))</f>
        <v/>
      </c>
      <c r="H39" s="5">
        <f>INDEX(Raw_Schedule!H:H,MATCH(A39,Raw_Schedule!A:A,0))</f>
        <v/>
      </c>
      <c r="I39" s="5">
        <f>SUMIFS(Raw_Payments!E:E,Raw_Payments!B:B,A39)</f>
        <v/>
      </c>
      <c r="J39" s="5">
        <f>H39-I39</f>
        <v/>
      </c>
      <c r="K39" s="3">
        <f>IF(J39&lt;=0.005,"PAID",IF(I39&gt;0,"PARTIAL","OVERDUE"))</f>
        <v/>
      </c>
      <c r="L39" s="4">
        <f>IF(COUNTIFS(Raw_Payments!B:B,A39)=0,"",SUMPRODUCT(MAX((Raw_Payments!B$2:B$1079=A39)*Raw_Payments!D$2:D$1079)))</f>
        <v/>
      </c>
      <c r="M39" s="3">
        <f>IF(K39="PAID",MAX(0,L39-G39),Guide!$B$3-G39)</f>
        <v/>
      </c>
      <c r="N39" s="3">
        <f>IF(J39&lt;=0.005,"COLLECTED",IF(M39&lt;=30,"1-30",IF(M39&lt;=60,"31-60",IF(M39&lt;=90,"61-90","90+"))))</f>
        <v/>
      </c>
      <c r="O39" s="3">
        <f>IF(N39="90+","LOST",IF(N39="61-90","ESCALATE",IF(N39="31-60","WATCH",IF(N39="1-30","MILD","OK"))))</f>
        <v/>
      </c>
      <c r="P39" s="3">
        <f>IF(J39&gt;0.005,ROW()-1,"")</f>
        <v/>
      </c>
    </row>
    <row r="40">
      <c r="A40" s="3" t="inlineStr">
        <is>
          <t>D0039</t>
        </is>
      </c>
      <c r="B40" s="3">
        <f>INDEX(Raw_Schedule!B:B,MATCH(A40,Raw_Schedule!A:A,0))</f>
        <v/>
      </c>
      <c r="C40" s="3">
        <f>INDEX(Raw_Schedule!C:C,MATCH(A40,Raw_Schedule!A:A,0))</f>
        <v/>
      </c>
      <c r="D40" s="3">
        <f>INDEX(Raw_Schedule!D:D,MATCH(A40,Raw_Schedule!A:A,0))</f>
        <v/>
      </c>
      <c r="E40" s="3">
        <f>INDEX(Raw_Schedule!E:E,MATCH(A40,Raw_Schedule!A:A,0))</f>
        <v/>
      </c>
      <c r="F40" s="3">
        <f>INDEX(Raw_Schedule!F:F,MATCH(A40,Raw_Schedule!A:A,0))</f>
        <v/>
      </c>
      <c r="G40" s="4">
        <f>INDEX(Raw_Schedule!G:G,MATCH(A40,Raw_Schedule!A:A,0))</f>
        <v/>
      </c>
      <c r="H40" s="5">
        <f>INDEX(Raw_Schedule!H:H,MATCH(A40,Raw_Schedule!A:A,0))</f>
        <v/>
      </c>
      <c r="I40" s="5">
        <f>SUMIFS(Raw_Payments!E:E,Raw_Payments!B:B,A40)</f>
        <v/>
      </c>
      <c r="J40" s="5">
        <f>H40-I40</f>
        <v/>
      </c>
      <c r="K40" s="3">
        <f>IF(J40&lt;=0.005,"PAID",IF(I40&gt;0,"PARTIAL","OVERDUE"))</f>
        <v/>
      </c>
      <c r="L40" s="4">
        <f>IF(COUNTIFS(Raw_Payments!B:B,A40)=0,"",SUMPRODUCT(MAX((Raw_Payments!B$2:B$1079=A40)*Raw_Payments!D$2:D$1079)))</f>
        <v/>
      </c>
      <c r="M40" s="3">
        <f>IF(K40="PAID",MAX(0,L40-G40),Guide!$B$3-G40)</f>
        <v/>
      </c>
      <c r="N40" s="3">
        <f>IF(J40&lt;=0.005,"COLLECTED",IF(M40&lt;=30,"1-30",IF(M40&lt;=60,"31-60",IF(M40&lt;=90,"61-90","90+"))))</f>
        <v/>
      </c>
      <c r="O40" s="3">
        <f>IF(N40="90+","LOST",IF(N40="61-90","ESCALATE",IF(N40="31-60","WATCH",IF(N40="1-30","MILD","OK"))))</f>
        <v/>
      </c>
      <c r="P40" s="3">
        <f>IF(J40&gt;0.005,ROW()-1,"")</f>
        <v/>
      </c>
    </row>
    <row r="41">
      <c r="A41" s="3" t="inlineStr">
        <is>
          <t>D0040</t>
        </is>
      </c>
      <c r="B41" s="3">
        <f>INDEX(Raw_Schedule!B:B,MATCH(A41,Raw_Schedule!A:A,0))</f>
        <v/>
      </c>
      <c r="C41" s="3">
        <f>INDEX(Raw_Schedule!C:C,MATCH(A41,Raw_Schedule!A:A,0))</f>
        <v/>
      </c>
      <c r="D41" s="3">
        <f>INDEX(Raw_Schedule!D:D,MATCH(A41,Raw_Schedule!A:A,0))</f>
        <v/>
      </c>
      <c r="E41" s="3">
        <f>INDEX(Raw_Schedule!E:E,MATCH(A41,Raw_Schedule!A:A,0))</f>
        <v/>
      </c>
      <c r="F41" s="3">
        <f>INDEX(Raw_Schedule!F:F,MATCH(A41,Raw_Schedule!A:A,0))</f>
        <v/>
      </c>
      <c r="G41" s="4">
        <f>INDEX(Raw_Schedule!G:G,MATCH(A41,Raw_Schedule!A:A,0))</f>
        <v/>
      </c>
      <c r="H41" s="5">
        <f>INDEX(Raw_Schedule!H:H,MATCH(A41,Raw_Schedule!A:A,0))</f>
        <v/>
      </c>
      <c r="I41" s="5">
        <f>SUMIFS(Raw_Payments!E:E,Raw_Payments!B:B,A41)</f>
        <v/>
      </c>
      <c r="J41" s="5">
        <f>H41-I41</f>
        <v/>
      </c>
      <c r="K41" s="3">
        <f>IF(J41&lt;=0.005,"PAID",IF(I41&gt;0,"PARTIAL","OVERDUE"))</f>
        <v/>
      </c>
      <c r="L41" s="4">
        <f>IF(COUNTIFS(Raw_Payments!B:B,A41)=0,"",SUMPRODUCT(MAX((Raw_Payments!B$2:B$1079=A41)*Raw_Payments!D$2:D$1079)))</f>
        <v/>
      </c>
      <c r="M41" s="3">
        <f>IF(K41="PAID",MAX(0,L41-G41),Guide!$B$3-G41)</f>
        <v/>
      </c>
      <c r="N41" s="3">
        <f>IF(J41&lt;=0.005,"COLLECTED",IF(M41&lt;=30,"1-30",IF(M41&lt;=60,"31-60",IF(M41&lt;=90,"61-90","90+"))))</f>
        <v/>
      </c>
      <c r="O41" s="3">
        <f>IF(N41="90+","LOST",IF(N41="61-90","ESCALATE",IF(N41="31-60","WATCH",IF(N41="1-30","MILD","OK"))))</f>
        <v/>
      </c>
      <c r="P41" s="3">
        <f>IF(J41&gt;0.005,ROW()-1,"")</f>
        <v/>
      </c>
    </row>
    <row r="42">
      <c r="A42" s="3" t="inlineStr">
        <is>
          <t>D0041</t>
        </is>
      </c>
      <c r="B42" s="3">
        <f>INDEX(Raw_Schedule!B:B,MATCH(A42,Raw_Schedule!A:A,0))</f>
        <v/>
      </c>
      <c r="C42" s="3">
        <f>INDEX(Raw_Schedule!C:C,MATCH(A42,Raw_Schedule!A:A,0))</f>
        <v/>
      </c>
      <c r="D42" s="3">
        <f>INDEX(Raw_Schedule!D:D,MATCH(A42,Raw_Schedule!A:A,0))</f>
        <v/>
      </c>
      <c r="E42" s="3">
        <f>INDEX(Raw_Schedule!E:E,MATCH(A42,Raw_Schedule!A:A,0))</f>
        <v/>
      </c>
      <c r="F42" s="3">
        <f>INDEX(Raw_Schedule!F:F,MATCH(A42,Raw_Schedule!A:A,0))</f>
        <v/>
      </c>
      <c r="G42" s="4">
        <f>INDEX(Raw_Schedule!G:G,MATCH(A42,Raw_Schedule!A:A,0))</f>
        <v/>
      </c>
      <c r="H42" s="5">
        <f>INDEX(Raw_Schedule!H:H,MATCH(A42,Raw_Schedule!A:A,0))</f>
        <v/>
      </c>
      <c r="I42" s="5">
        <f>SUMIFS(Raw_Payments!E:E,Raw_Payments!B:B,A42)</f>
        <v/>
      </c>
      <c r="J42" s="5">
        <f>H42-I42</f>
        <v/>
      </c>
      <c r="K42" s="3">
        <f>IF(J42&lt;=0.005,"PAID",IF(I42&gt;0,"PARTIAL","OVERDUE"))</f>
        <v/>
      </c>
      <c r="L42" s="4">
        <f>IF(COUNTIFS(Raw_Payments!B:B,A42)=0,"",SUMPRODUCT(MAX((Raw_Payments!B$2:B$1079=A42)*Raw_Payments!D$2:D$1079)))</f>
        <v/>
      </c>
      <c r="M42" s="3">
        <f>IF(K42="PAID",MAX(0,L42-G42),Guide!$B$3-G42)</f>
        <v/>
      </c>
      <c r="N42" s="3">
        <f>IF(J42&lt;=0.005,"COLLECTED",IF(M42&lt;=30,"1-30",IF(M42&lt;=60,"31-60",IF(M42&lt;=90,"61-90","90+"))))</f>
        <v/>
      </c>
      <c r="O42" s="3">
        <f>IF(N42="90+","LOST",IF(N42="61-90","ESCALATE",IF(N42="31-60","WATCH",IF(N42="1-30","MILD","OK"))))</f>
        <v/>
      </c>
      <c r="P42" s="3">
        <f>IF(J42&gt;0.005,ROW()-1,"")</f>
        <v/>
      </c>
    </row>
    <row r="43">
      <c r="A43" s="3" t="inlineStr">
        <is>
          <t>D0042</t>
        </is>
      </c>
      <c r="B43" s="3">
        <f>INDEX(Raw_Schedule!B:B,MATCH(A43,Raw_Schedule!A:A,0))</f>
        <v/>
      </c>
      <c r="C43" s="3">
        <f>INDEX(Raw_Schedule!C:C,MATCH(A43,Raw_Schedule!A:A,0))</f>
        <v/>
      </c>
      <c r="D43" s="3">
        <f>INDEX(Raw_Schedule!D:D,MATCH(A43,Raw_Schedule!A:A,0))</f>
        <v/>
      </c>
      <c r="E43" s="3">
        <f>INDEX(Raw_Schedule!E:E,MATCH(A43,Raw_Schedule!A:A,0))</f>
        <v/>
      </c>
      <c r="F43" s="3">
        <f>INDEX(Raw_Schedule!F:F,MATCH(A43,Raw_Schedule!A:A,0))</f>
        <v/>
      </c>
      <c r="G43" s="4">
        <f>INDEX(Raw_Schedule!G:G,MATCH(A43,Raw_Schedule!A:A,0))</f>
        <v/>
      </c>
      <c r="H43" s="5">
        <f>INDEX(Raw_Schedule!H:H,MATCH(A43,Raw_Schedule!A:A,0))</f>
        <v/>
      </c>
      <c r="I43" s="5">
        <f>SUMIFS(Raw_Payments!E:E,Raw_Payments!B:B,A43)</f>
        <v/>
      </c>
      <c r="J43" s="5">
        <f>H43-I43</f>
        <v/>
      </c>
      <c r="K43" s="3">
        <f>IF(J43&lt;=0.005,"PAID",IF(I43&gt;0,"PARTIAL","OVERDUE"))</f>
        <v/>
      </c>
      <c r="L43" s="4">
        <f>IF(COUNTIFS(Raw_Payments!B:B,A43)=0,"",SUMPRODUCT(MAX((Raw_Payments!B$2:B$1079=A43)*Raw_Payments!D$2:D$1079)))</f>
        <v/>
      </c>
      <c r="M43" s="3">
        <f>IF(K43="PAID",MAX(0,L43-G43),Guide!$B$3-G43)</f>
        <v/>
      </c>
      <c r="N43" s="3">
        <f>IF(J43&lt;=0.005,"COLLECTED",IF(M43&lt;=30,"1-30",IF(M43&lt;=60,"31-60",IF(M43&lt;=90,"61-90","90+"))))</f>
        <v/>
      </c>
      <c r="O43" s="3">
        <f>IF(N43="90+","LOST",IF(N43="61-90","ESCALATE",IF(N43="31-60","WATCH",IF(N43="1-30","MILD","OK"))))</f>
        <v/>
      </c>
      <c r="P43" s="3">
        <f>IF(J43&gt;0.005,ROW()-1,"")</f>
        <v/>
      </c>
    </row>
    <row r="44">
      <c r="A44" s="3" t="inlineStr">
        <is>
          <t>D0043</t>
        </is>
      </c>
      <c r="B44" s="3">
        <f>INDEX(Raw_Schedule!B:B,MATCH(A44,Raw_Schedule!A:A,0))</f>
        <v/>
      </c>
      <c r="C44" s="3">
        <f>INDEX(Raw_Schedule!C:C,MATCH(A44,Raw_Schedule!A:A,0))</f>
        <v/>
      </c>
      <c r="D44" s="3">
        <f>INDEX(Raw_Schedule!D:D,MATCH(A44,Raw_Schedule!A:A,0))</f>
        <v/>
      </c>
      <c r="E44" s="3">
        <f>INDEX(Raw_Schedule!E:E,MATCH(A44,Raw_Schedule!A:A,0))</f>
        <v/>
      </c>
      <c r="F44" s="3">
        <f>INDEX(Raw_Schedule!F:F,MATCH(A44,Raw_Schedule!A:A,0))</f>
        <v/>
      </c>
      <c r="G44" s="4">
        <f>INDEX(Raw_Schedule!G:G,MATCH(A44,Raw_Schedule!A:A,0))</f>
        <v/>
      </c>
      <c r="H44" s="5">
        <f>INDEX(Raw_Schedule!H:H,MATCH(A44,Raw_Schedule!A:A,0))</f>
        <v/>
      </c>
      <c r="I44" s="5">
        <f>SUMIFS(Raw_Payments!E:E,Raw_Payments!B:B,A44)</f>
        <v/>
      </c>
      <c r="J44" s="5">
        <f>H44-I44</f>
        <v/>
      </c>
      <c r="K44" s="3">
        <f>IF(J44&lt;=0.005,"PAID",IF(I44&gt;0,"PARTIAL","OVERDUE"))</f>
        <v/>
      </c>
      <c r="L44" s="4">
        <f>IF(COUNTIFS(Raw_Payments!B:B,A44)=0,"",SUMPRODUCT(MAX((Raw_Payments!B$2:B$1079=A44)*Raw_Payments!D$2:D$1079)))</f>
        <v/>
      </c>
      <c r="M44" s="3">
        <f>IF(K44="PAID",MAX(0,L44-G44),Guide!$B$3-G44)</f>
        <v/>
      </c>
      <c r="N44" s="3">
        <f>IF(J44&lt;=0.005,"COLLECTED",IF(M44&lt;=30,"1-30",IF(M44&lt;=60,"31-60",IF(M44&lt;=90,"61-90","90+"))))</f>
        <v/>
      </c>
      <c r="O44" s="3">
        <f>IF(N44="90+","LOST",IF(N44="61-90","ESCALATE",IF(N44="31-60","WATCH",IF(N44="1-30","MILD","OK"))))</f>
        <v/>
      </c>
      <c r="P44" s="3">
        <f>IF(J44&gt;0.005,ROW()-1,"")</f>
        <v/>
      </c>
    </row>
    <row r="45">
      <c r="A45" s="3" t="inlineStr">
        <is>
          <t>D0044</t>
        </is>
      </c>
      <c r="B45" s="3">
        <f>INDEX(Raw_Schedule!B:B,MATCH(A45,Raw_Schedule!A:A,0))</f>
        <v/>
      </c>
      <c r="C45" s="3">
        <f>INDEX(Raw_Schedule!C:C,MATCH(A45,Raw_Schedule!A:A,0))</f>
        <v/>
      </c>
      <c r="D45" s="3">
        <f>INDEX(Raw_Schedule!D:D,MATCH(A45,Raw_Schedule!A:A,0))</f>
        <v/>
      </c>
      <c r="E45" s="3">
        <f>INDEX(Raw_Schedule!E:E,MATCH(A45,Raw_Schedule!A:A,0))</f>
        <v/>
      </c>
      <c r="F45" s="3">
        <f>INDEX(Raw_Schedule!F:F,MATCH(A45,Raw_Schedule!A:A,0))</f>
        <v/>
      </c>
      <c r="G45" s="4">
        <f>INDEX(Raw_Schedule!G:G,MATCH(A45,Raw_Schedule!A:A,0))</f>
        <v/>
      </c>
      <c r="H45" s="5">
        <f>INDEX(Raw_Schedule!H:H,MATCH(A45,Raw_Schedule!A:A,0))</f>
        <v/>
      </c>
      <c r="I45" s="5">
        <f>SUMIFS(Raw_Payments!E:E,Raw_Payments!B:B,A45)</f>
        <v/>
      </c>
      <c r="J45" s="5">
        <f>H45-I45</f>
        <v/>
      </c>
      <c r="K45" s="3">
        <f>IF(J45&lt;=0.005,"PAID",IF(I45&gt;0,"PARTIAL","OVERDUE"))</f>
        <v/>
      </c>
      <c r="L45" s="4">
        <f>IF(COUNTIFS(Raw_Payments!B:B,A45)=0,"",SUMPRODUCT(MAX((Raw_Payments!B$2:B$1079=A45)*Raw_Payments!D$2:D$1079)))</f>
        <v/>
      </c>
      <c r="M45" s="3">
        <f>IF(K45="PAID",MAX(0,L45-G45),Guide!$B$3-G45)</f>
        <v/>
      </c>
      <c r="N45" s="3">
        <f>IF(J45&lt;=0.005,"COLLECTED",IF(M45&lt;=30,"1-30",IF(M45&lt;=60,"31-60",IF(M45&lt;=90,"61-90","90+"))))</f>
        <v/>
      </c>
      <c r="O45" s="3">
        <f>IF(N45="90+","LOST",IF(N45="61-90","ESCALATE",IF(N45="31-60","WATCH",IF(N45="1-30","MILD","OK"))))</f>
        <v/>
      </c>
      <c r="P45" s="3">
        <f>IF(J45&gt;0.005,ROW()-1,"")</f>
        <v/>
      </c>
    </row>
    <row r="46">
      <c r="A46" s="3" t="inlineStr">
        <is>
          <t>D0045</t>
        </is>
      </c>
      <c r="B46" s="3">
        <f>INDEX(Raw_Schedule!B:B,MATCH(A46,Raw_Schedule!A:A,0))</f>
        <v/>
      </c>
      <c r="C46" s="3">
        <f>INDEX(Raw_Schedule!C:C,MATCH(A46,Raw_Schedule!A:A,0))</f>
        <v/>
      </c>
      <c r="D46" s="3">
        <f>INDEX(Raw_Schedule!D:D,MATCH(A46,Raw_Schedule!A:A,0))</f>
        <v/>
      </c>
      <c r="E46" s="3">
        <f>INDEX(Raw_Schedule!E:E,MATCH(A46,Raw_Schedule!A:A,0))</f>
        <v/>
      </c>
      <c r="F46" s="3">
        <f>INDEX(Raw_Schedule!F:F,MATCH(A46,Raw_Schedule!A:A,0))</f>
        <v/>
      </c>
      <c r="G46" s="4">
        <f>INDEX(Raw_Schedule!G:G,MATCH(A46,Raw_Schedule!A:A,0))</f>
        <v/>
      </c>
      <c r="H46" s="5">
        <f>INDEX(Raw_Schedule!H:H,MATCH(A46,Raw_Schedule!A:A,0))</f>
        <v/>
      </c>
      <c r="I46" s="5">
        <f>SUMIFS(Raw_Payments!E:E,Raw_Payments!B:B,A46)</f>
        <v/>
      </c>
      <c r="J46" s="5">
        <f>H46-I46</f>
        <v/>
      </c>
      <c r="K46" s="3">
        <f>IF(J46&lt;=0.005,"PAID",IF(I46&gt;0,"PARTIAL","OVERDUE"))</f>
        <v/>
      </c>
      <c r="L46" s="4">
        <f>IF(COUNTIFS(Raw_Payments!B:B,A46)=0,"",SUMPRODUCT(MAX((Raw_Payments!B$2:B$1079=A46)*Raw_Payments!D$2:D$1079)))</f>
        <v/>
      </c>
      <c r="M46" s="3">
        <f>IF(K46="PAID",MAX(0,L46-G46),Guide!$B$3-G46)</f>
        <v/>
      </c>
      <c r="N46" s="3">
        <f>IF(J46&lt;=0.005,"COLLECTED",IF(M46&lt;=30,"1-30",IF(M46&lt;=60,"31-60",IF(M46&lt;=90,"61-90","90+"))))</f>
        <v/>
      </c>
      <c r="O46" s="3">
        <f>IF(N46="90+","LOST",IF(N46="61-90","ESCALATE",IF(N46="31-60","WATCH",IF(N46="1-30","MILD","OK"))))</f>
        <v/>
      </c>
      <c r="P46" s="3">
        <f>IF(J46&gt;0.005,ROW()-1,"")</f>
        <v/>
      </c>
    </row>
    <row r="47">
      <c r="A47" s="3" t="inlineStr">
        <is>
          <t>D0046</t>
        </is>
      </c>
      <c r="B47" s="3">
        <f>INDEX(Raw_Schedule!B:B,MATCH(A47,Raw_Schedule!A:A,0))</f>
        <v/>
      </c>
      <c r="C47" s="3">
        <f>INDEX(Raw_Schedule!C:C,MATCH(A47,Raw_Schedule!A:A,0))</f>
        <v/>
      </c>
      <c r="D47" s="3">
        <f>INDEX(Raw_Schedule!D:D,MATCH(A47,Raw_Schedule!A:A,0))</f>
        <v/>
      </c>
      <c r="E47" s="3">
        <f>INDEX(Raw_Schedule!E:E,MATCH(A47,Raw_Schedule!A:A,0))</f>
        <v/>
      </c>
      <c r="F47" s="3">
        <f>INDEX(Raw_Schedule!F:F,MATCH(A47,Raw_Schedule!A:A,0))</f>
        <v/>
      </c>
      <c r="G47" s="4">
        <f>INDEX(Raw_Schedule!G:G,MATCH(A47,Raw_Schedule!A:A,0))</f>
        <v/>
      </c>
      <c r="H47" s="5">
        <f>INDEX(Raw_Schedule!H:H,MATCH(A47,Raw_Schedule!A:A,0))</f>
        <v/>
      </c>
      <c r="I47" s="5">
        <f>SUMIFS(Raw_Payments!E:E,Raw_Payments!B:B,A47)</f>
        <v/>
      </c>
      <c r="J47" s="5">
        <f>H47-I47</f>
        <v/>
      </c>
      <c r="K47" s="3">
        <f>IF(J47&lt;=0.005,"PAID",IF(I47&gt;0,"PARTIAL","OVERDUE"))</f>
        <v/>
      </c>
      <c r="L47" s="4">
        <f>IF(COUNTIFS(Raw_Payments!B:B,A47)=0,"",SUMPRODUCT(MAX((Raw_Payments!B$2:B$1079=A47)*Raw_Payments!D$2:D$1079)))</f>
        <v/>
      </c>
      <c r="M47" s="3">
        <f>IF(K47="PAID",MAX(0,L47-G47),Guide!$B$3-G47)</f>
        <v/>
      </c>
      <c r="N47" s="3">
        <f>IF(J47&lt;=0.005,"COLLECTED",IF(M47&lt;=30,"1-30",IF(M47&lt;=60,"31-60",IF(M47&lt;=90,"61-90","90+"))))</f>
        <v/>
      </c>
      <c r="O47" s="3">
        <f>IF(N47="90+","LOST",IF(N47="61-90","ESCALATE",IF(N47="31-60","WATCH",IF(N47="1-30","MILD","OK"))))</f>
        <v/>
      </c>
      <c r="P47" s="3">
        <f>IF(J47&gt;0.005,ROW()-1,"")</f>
        <v/>
      </c>
    </row>
    <row r="48">
      <c r="A48" s="3" t="inlineStr">
        <is>
          <t>D0047</t>
        </is>
      </c>
      <c r="B48" s="3">
        <f>INDEX(Raw_Schedule!B:B,MATCH(A48,Raw_Schedule!A:A,0))</f>
        <v/>
      </c>
      <c r="C48" s="3">
        <f>INDEX(Raw_Schedule!C:C,MATCH(A48,Raw_Schedule!A:A,0))</f>
        <v/>
      </c>
      <c r="D48" s="3">
        <f>INDEX(Raw_Schedule!D:D,MATCH(A48,Raw_Schedule!A:A,0))</f>
        <v/>
      </c>
      <c r="E48" s="3">
        <f>INDEX(Raw_Schedule!E:E,MATCH(A48,Raw_Schedule!A:A,0))</f>
        <v/>
      </c>
      <c r="F48" s="3">
        <f>INDEX(Raw_Schedule!F:F,MATCH(A48,Raw_Schedule!A:A,0))</f>
        <v/>
      </c>
      <c r="G48" s="4">
        <f>INDEX(Raw_Schedule!G:G,MATCH(A48,Raw_Schedule!A:A,0))</f>
        <v/>
      </c>
      <c r="H48" s="5">
        <f>INDEX(Raw_Schedule!H:H,MATCH(A48,Raw_Schedule!A:A,0))</f>
        <v/>
      </c>
      <c r="I48" s="5">
        <f>SUMIFS(Raw_Payments!E:E,Raw_Payments!B:B,A48)</f>
        <v/>
      </c>
      <c r="J48" s="5">
        <f>H48-I48</f>
        <v/>
      </c>
      <c r="K48" s="3">
        <f>IF(J48&lt;=0.005,"PAID",IF(I48&gt;0,"PARTIAL","OVERDUE"))</f>
        <v/>
      </c>
      <c r="L48" s="4">
        <f>IF(COUNTIFS(Raw_Payments!B:B,A48)=0,"",SUMPRODUCT(MAX((Raw_Payments!B$2:B$1079=A48)*Raw_Payments!D$2:D$1079)))</f>
        <v/>
      </c>
      <c r="M48" s="3">
        <f>IF(K48="PAID",MAX(0,L48-G48),Guide!$B$3-G48)</f>
        <v/>
      </c>
      <c r="N48" s="3">
        <f>IF(J48&lt;=0.005,"COLLECTED",IF(M48&lt;=30,"1-30",IF(M48&lt;=60,"31-60",IF(M48&lt;=90,"61-90","90+"))))</f>
        <v/>
      </c>
      <c r="O48" s="3">
        <f>IF(N48="90+","LOST",IF(N48="61-90","ESCALATE",IF(N48="31-60","WATCH",IF(N48="1-30","MILD","OK"))))</f>
        <v/>
      </c>
      <c r="P48" s="3">
        <f>IF(J48&gt;0.005,ROW()-1,"")</f>
        <v/>
      </c>
    </row>
    <row r="49">
      <c r="A49" s="3" t="inlineStr">
        <is>
          <t>D0048</t>
        </is>
      </c>
      <c r="B49" s="3">
        <f>INDEX(Raw_Schedule!B:B,MATCH(A49,Raw_Schedule!A:A,0))</f>
        <v/>
      </c>
      <c r="C49" s="3">
        <f>INDEX(Raw_Schedule!C:C,MATCH(A49,Raw_Schedule!A:A,0))</f>
        <v/>
      </c>
      <c r="D49" s="3">
        <f>INDEX(Raw_Schedule!D:D,MATCH(A49,Raw_Schedule!A:A,0))</f>
        <v/>
      </c>
      <c r="E49" s="3">
        <f>INDEX(Raw_Schedule!E:E,MATCH(A49,Raw_Schedule!A:A,0))</f>
        <v/>
      </c>
      <c r="F49" s="3">
        <f>INDEX(Raw_Schedule!F:F,MATCH(A49,Raw_Schedule!A:A,0))</f>
        <v/>
      </c>
      <c r="G49" s="4">
        <f>INDEX(Raw_Schedule!G:G,MATCH(A49,Raw_Schedule!A:A,0))</f>
        <v/>
      </c>
      <c r="H49" s="5">
        <f>INDEX(Raw_Schedule!H:H,MATCH(A49,Raw_Schedule!A:A,0))</f>
        <v/>
      </c>
      <c r="I49" s="5">
        <f>SUMIFS(Raw_Payments!E:E,Raw_Payments!B:B,A49)</f>
        <v/>
      </c>
      <c r="J49" s="5">
        <f>H49-I49</f>
        <v/>
      </c>
      <c r="K49" s="3">
        <f>IF(J49&lt;=0.005,"PAID",IF(I49&gt;0,"PARTIAL","OVERDUE"))</f>
        <v/>
      </c>
      <c r="L49" s="4">
        <f>IF(COUNTIFS(Raw_Payments!B:B,A49)=0,"",SUMPRODUCT(MAX((Raw_Payments!B$2:B$1079=A49)*Raw_Payments!D$2:D$1079)))</f>
        <v/>
      </c>
      <c r="M49" s="3">
        <f>IF(K49="PAID",MAX(0,L49-G49),Guide!$B$3-G49)</f>
        <v/>
      </c>
      <c r="N49" s="3">
        <f>IF(J49&lt;=0.005,"COLLECTED",IF(M49&lt;=30,"1-30",IF(M49&lt;=60,"31-60",IF(M49&lt;=90,"61-90","90+"))))</f>
        <v/>
      </c>
      <c r="O49" s="3">
        <f>IF(N49="90+","LOST",IF(N49="61-90","ESCALATE",IF(N49="31-60","WATCH",IF(N49="1-30","MILD","OK"))))</f>
        <v/>
      </c>
      <c r="P49" s="3">
        <f>IF(J49&gt;0.005,ROW()-1,"")</f>
        <v/>
      </c>
    </row>
    <row r="50">
      <c r="A50" s="3" t="inlineStr">
        <is>
          <t>D0049</t>
        </is>
      </c>
      <c r="B50" s="3">
        <f>INDEX(Raw_Schedule!B:B,MATCH(A50,Raw_Schedule!A:A,0))</f>
        <v/>
      </c>
      <c r="C50" s="3">
        <f>INDEX(Raw_Schedule!C:C,MATCH(A50,Raw_Schedule!A:A,0))</f>
        <v/>
      </c>
      <c r="D50" s="3">
        <f>INDEX(Raw_Schedule!D:D,MATCH(A50,Raw_Schedule!A:A,0))</f>
        <v/>
      </c>
      <c r="E50" s="3">
        <f>INDEX(Raw_Schedule!E:E,MATCH(A50,Raw_Schedule!A:A,0))</f>
        <v/>
      </c>
      <c r="F50" s="3">
        <f>INDEX(Raw_Schedule!F:F,MATCH(A50,Raw_Schedule!A:A,0))</f>
        <v/>
      </c>
      <c r="G50" s="4">
        <f>INDEX(Raw_Schedule!G:G,MATCH(A50,Raw_Schedule!A:A,0))</f>
        <v/>
      </c>
      <c r="H50" s="5">
        <f>INDEX(Raw_Schedule!H:H,MATCH(A50,Raw_Schedule!A:A,0))</f>
        <v/>
      </c>
      <c r="I50" s="5">
        <f>SUMIFS(Raw_Payments!E:E,Raw_Payments!B:B,A50)</f>
        <v/>
      </c>
      <c r="J50" s="5">
        <f>H50-I50</f>
        <v/>
      </c>
      <c r="K50" s="3">
        <f>IF(J50&lt;=0.005,"PAID",IF(I50&gt;0,"PARTIAL","OVERDUE"))</f>
        <v/>
      </c>
      <c r="L50" s="4">
        <f>IF(COUNTIFS(Raw_Payments!B:B,A50)=0,"",SUMPRODUCT(MAX((Raw_Payments!B$2:B$1079=A50)*Raw_Payments!D$2:D$1079)))</f>
        <v/>
      </c>
      <c r="M50" s="3">
        <f>IF(K50="PAID",MAX(0,L50-G50),Guide!$B$3-G50)</f>
        <v/>
      </c>
      <c r="N50" s="3">
        <f>IF(J50&lt;=0.005,"COLLECTED",IF(M50&lt;=30,"1-30",IF(M50&lt;=60,"31-60",IF(M50&lt;=90,"61-90","90+"))))</f>
        <v/>
      </c>
      <c r="O50" s="3">
        <f>IF(N50="90+","LOST",IF(N50="61-90","ESCALATE",IF(N50="31-60","WATCH",IF(N50="1-30","MILD","OK"))))</f>
        <v/>
      </c>
      <c r="P50" s="3">
        <f>IF(J50&gt;0.005,ROW()-1,"")</f>
        <v/>
      </c>
    </row>
    <row r="51">
      <c r="A51" s="3" t="inlineStr">
        <is>
          <t>D0050</t>
        </is>
      </c>
      <c r="B51" s="3">
        <f>INDEX(Raw_Schedule!B:B,MATCH(A51,Raw_Schedule!A:A,0))</f>
        <v/>
      </c>
      <c r="C51" s="3">
        <f>INDEX(Raw_Schedule!C:C,MATCH(A51,Raw_Schedule!A:A,0))</f>
        <v/>
      </c>
      <c r="D51" s="3">
        <f>INDEX(Raw_Schedule!D:D,MATCH(A51,Raw_Schedule!A:A,0))</f>
        <v/>
      </c>
      <c r="E51" s="3">
        <f>INDEX(Raw_Schedule!E:E,MATCH(A51,Raw_Schedule!A:A,0))</f>
        <v/>
      </c>
      <c r="F51" s="3">
        <f>INDEX(Raw_Schedule!F:F,MATCH(A51,Raw_Schedule!A:A,0))</f>
        <v/>
      </c>
      <c r="G51" s="4">
        <f>INDEX(Raw_Schedule!G:G,MATCH(A51,Raw_Schedule!A:A,0))</f>
        <v/>
      </c>
      <c r="H51" s="5">
        <f>INDEX(Raw_Schedule!H:H,MATCH(A51,Raw_Schedule!A:A,0))</f>
        <v/>
      </c>
      <c r="I51" s="5">
        <f>SUMIFS(Raw_Payments!E:E,Raw_Payments!B:B,A51)</f>
        <v/>
      </c>
      <c r="J51" s="5">
        <f>H51-I51</f>
        <v/>
      </c>
      <c r="K51" s="3">
        <f>IF(J51&lt;=0.005,"PAID",IF(I51&gt;0,"PARTIAL","OVERDUE"))</f>
        <v/>
      </c>
      <c r="L51" s="4">
        <f>IF(COUNTIFS(Raw_Payments!B:B,A51)=0,"",SUMPRODUCT(MAX((Raw_Payments!B$2:B$1079=A51)*Raw_Payments!D$2:D$1079)))</f>
        <v/>
      </c>
      <c r="M51" s="3">
        <f>IF(K51="PAID",MAX(0,L51-G51),Guide!$B$3-G51)</f>
        <v/>
      </c>
      <c r="N51" s="3">
        <f>IF(J51&lt;=0.005,"COLLECTED",IF(M51&lt;=30,"1-30",IF(M51&lt;=60,"31-60",IF(M51&lt;=90,"61-90","90+"))))</f>
        <v/>
      </c>
      <c r="O51" s="3">
        <f>IF(N51="90+","LOST",IF(N51="61-90","ESCALATE",IF(N51="31-60","WATCH",IF(N51="1-30","MILD","OK"))))</f>
        <v/>
      </c>
      <c r="P51" s="3">
        <f>IF(J51&gt;0.005,ROW()-1,"")</f>
        <v/>
      </c>
    </row>
    <row r="52">
      <c r="A52" s="3" t="inlineStr">
        <is>
          <t>D0051</t>
        </is>
      </c>
      <c r="B52" s="3">
        <f>INDEX(Raw_Schedule!B:B,MATCH(A52,Raw_Schedule!A:A,0))</f>
        <v/>
      </c>
      <c r="C52" s="3">
        <f>INDEX(Raw_Schedule!C:C,MATCH(A52,Raw_Schedule!A:A,0))</f>
        <v/>
      </c>
      <c r="D52" s="3">
        <f>INDEX(Raw_Schedule!D:D,MATCH(A52,Raw_Schedule!A:A,0))</f>
        <v/>
      </c>
      <c r="E52" s="3">
        <f>INDEX(Raw_Schedule!E:E,MATCH(A52,Raw_Schedule!A:A,0))</f>
        <v/>
      </c>
      <c r="F52" s="3">
        <f>INDEX(Raw_Schedule!F:F,MATCH(A52,Raw_Schedule!A:A,0))</f>
        <v/>
      </c>
      <c r="G52" s="4">
        <f>INDEX(Raw_Schedule!G:G,MATCH(A52,Raw_Schedule!A:A,0))</f>
        <v/>
      </c>
      <c r="H52" s="5">
        <f>INDEX(Raw_Schedule!H:H,MATCH(A52,Raw_Schedule!A:A,0))</f>
        <v/>
      </c>
      <c r="I52" s="5">
        <f>SUMIFS(Raw_Payments!E:E,Raw_Payments!B:B,A52)</f>
        <v/>
      </c>
      <c r="J52" s="5">
        <f>H52-I52</f>
        <v/>
      </c>
      <c r="K52" s="3">
        <f>IF(J52&lt;=0.005,"PAID",IF(I52&gt;0,"PARTIAL","OVERDUE"))</f>
        <v/>
      </c>
      <c r="L52" s="4">
        <f>IF(COUNTIFS(Raw_Payments!B:B,A52)=0,"",SUMPRODUCT(MAX((Raw_Payments!B$2:B$1079=A52)*Raw_Payments!D$2:D$1079)))</f>
        <v/>
      </c>
      <c r="M52" s="3">
        <f>IF(K52="PAID",MAX(0,L52-G52),Guide!$B$3-G52)</f>
        <v/>
      </c>
      <c r="N52" s="3">
        <f>IF(J52&lt;=0.005,"COLLECTED",IF(M52&lt;=30,"1-30",IF(M52&lt;=60,"31-60",IF(M52&lt;=90,"61-90","90+"))))</f>
        <v/>
      </c>
      <c r="O52" s="3">
        <f>IF(N52="90+","LOST",IF(N52="61-90","ESCALATE",IF(N52="31-60","WATCH",IF(N52="1-30","MILD","OK"))))</f>
        <v/>
      </c>
      <c r="P52" s="3">
        <f>IF(J52&gt;0.005,ROW()-1,"")</f>
        <v/>
      </c>
    </row>
    <row r="53">
      <c r="A53" s="3" t="inlineStr">
        <is>
          <t>D0052</t>
        </is>
      </c>
      <c r="B53" s="3">
        <f>INDEX(Raw_Schedule!B:B,MATCH(A53,Raw_Schedule!A:A,0))</f>
        <v/>
      </c>
      <c r="C53" s="3">
        <f>INDEX(Raw_Schedule!C:C,MATCH(A53,Raw_Schedule!A:A,0))</f>
        <v/>
      </c>
      <c r="D53" s="3">
        <f>INDEX(Raw_Schedule!D:D,MATCH(A53,Raw_Schedule!A:A,0))</f>
        <v/>
      </c>
      <c r="E53" s="3">
        <f>INDEX(Raw_Schedule!E:E,MATCH(A53,Raw_Schedule!A:A,0))</f>
        <v/>
      </c>
      <c r="F53" s="3">
        <f>INDEX(Raw_Schedule!F:F,MATCH(A53,Raw_Schedule!A:A,0))</f>
        <v/>
      </c>
      <c r="G53" s="4">
        <f>INDEX(Raw_Schedule!G:G,MATCH(A53,Raw_Schedule!A:A,0))</f>
        <v/>
      </c>
      <c r="H53" s="5">
        <f>INDEX(Raw_Schedule!H:H,MATCH(A53,Raw_Schedule!A:A,0))</f>
        <v/>
      </c>
      <c r="I53" s="5">
        <f>SUMIFS(Raw_Payments!E:E,Raw_Payments!B:B,A53)</f>
        <v/>
      </c>
      <c r="J53" s="5">
        <f>H53-I53</f>
        <v/>
      </c>
      <c r="K53" s="3">
        <f>IF(J53&lt;=0.005,"PAID",IF(I53&gt;0,"PARTIAL","OVERDUE"))</f>
        <v/>
      </c>
      <c r="L53" s="4">
        <f>IF(COUNTIFS(Raw_Payments!B:B,A53)=0,"",SUMPRODUCT(MAX((Raw_Payments!B$2:B$1079=A53)*Raw_Payments!D$2:D$1079)))</f>
        <v/>
      </c>
      <c r="M53" s="3">
        <f>IF(K53="PAID",MAX(0,L53-G53),Guide!$B$3-G53)</f>
        <v/>
      </c>
      <c r="N53" s="3">
        <f>IF(J53&lt;=0.005,"COLLECTED",IF(M53&lt;=30,"1-30",IF(M53&lt;=60,"31-60",IF(M53&lt;=90,"61-90","90+"))))</f>
        <v/>
      </c>
      <c r="O53" s="3">
        <f>IF(N53="90+","LOST",IF(N53="61-90","ESCALATE",IF(N53="31-60","WATCH",IF(N53="1-30","MILD","OK"))))</f>
        <v/>
      </c>
      <c r="P53" s="3">
        <f>IF(J53&gt;0.005,ROW()-1,"")</f>
        <v/>
      </c>
    </row>
    <row r="54">
      <c r="A54" s="3" t="inlineStr">
        <is>
          <t>D0053</t>
        </is>
      </c>
      <c r="B54" s="3">
        <f>INDEX(Raw_Schedule!B:B,MATCH(A54,Raw_Schedule!A:A,0))</f>
        <v/>
      </c>
      <c r="C54" s="3">
        <f>INDEX(Raw_Schedule!C:C,MATCH(A54,Raw_Schedule!A:A,0))</f>
        <v/>
      </c>
      <c r="D54" s="3">
        <f>INDEX(Raw_Schedule!D:D,MATCH(A54,Raw_Schedule!A:A,0))</f>
        <v/>
      </c>
      <c r="E54" s="3">
        <f>INDEX(Raw_Schedule!E:E,MATCH(A54,Raw_Schedule!A:A,0))</f>
        <v/>
      </c>
      <c r="F54" s="3">
        <f>INDEX(Raw_Schedule!F:F,MATCH(A54,Raw_Schedule!A:A,0))</f>
        <v/>
      </c>
      <c r="G54" s="4">
        <f>INDEX(Raw_Schedule!G:G,MATCH(A54,Raw_Schedule!A:A,0))</f>
        <v/>
      </c>
      <c r="H54" s="5">
        <f>INDEX(Raw_Schedule!H:H,MATCH(A54,Raw_Schedule!A:A,0))</f>
        <v/>
      </c>
      <c r="I54" s="5">
        <f>SUMIFS(Raw_Payments!E:E,Raw_Payments!B:B,A54)</f>
        <v/>
      </c>
      <c r="J54" s="5">
        <f>H54-I54</f>
        <v/>
      </c>
      <c r="K54" s="3">
        <f>IF(J54&lt;=0.005,"PAID",IF(I54&gt;0,"PARTIAL","OVERDUE"))</f>
        <v/>
      </c>
      <c r="L54" s="4">
        <f>IF(COUNTIFS(Raw_Payments!B:B,A54)=0,"",SUMPRODUCT(MAX((Raw_Payments!B$2:B$1079=A54)*Raw_Payments!D$2:D$1079)))</f>
        <v/>
      </c>
      <c r="M54" s="3">
        <f>IF(K54="PAID",MAX(0,L54-G54),Guide!$B$3-G54)</f>
        <v/>
      </c>
      <c r="N54" s="3">
        <f>IF(J54&lt;=0.005,"COLLECTED",IF(M54&lt;=30,"1-30",IF(M54&lt;=60,"31-60",IF(M54&lt;=90,"61-90","90+"))))</f>
        <v/>
      </c>
      <c r="O54" s="3">
        <f>IF(N54="90+","LOST",IF(N54="61-90","ESCALATE",IF(N54="31-60","WATCH",IF(N54="1-30","MILD","OK"))))</f>
        <v/>
      </c>
      <c r="P54" s="3">
        <f>IF(J54&gt;0.005,ROW()-1,"")</f>
        <v/>
      </c>
    </row>
    <row r="55">
      <c r="A55" s="3" t="inlineStr">
        <is>
          <t>D0054</t>
        </is>
      </c>
      <c r="B55" s="3">
        <f>INDEX(Raw_Schedule!B:B,MATCH(A55,Raw_Schedule!A:A,0))</f>
        <v/>
      </c>
      <c r="C55" s="3">
        <f>INDEX(Raw_Schedule!C:C,MATCH(A55,Raw_Schedule!A:A,0))</f>
        <v/>
      </c>
      <c r="D55" s="3">
        <f>INDEX(Raw_Schedule!D:D,MATCH(A55,Raw_Schedule!A:A,0))</f>
        <v/>
      </c>
      <c r="E55" s="3">
        <f>INDEX(Raw_Schedule!E:E,MATCH(A55,Raw_Schedule!A:A,0))</f>
        <v/>
      </c>
      <c r="F55" s="3">
        <f>INDEX(Raw_Schedule!F:F,MATCH(A55,Raw_Schedule!A:A,0))</f>
        <v/>
      </c>
      <c r="G55" s="4">
        <f>INDEX(Raw_Schedule!G:G,MATCH(A55,Raw_Schedule!A:A,0))</f>
        <v/>
      </c>
      <c r="H55" s="5">
        <f>INDEX(Raw_Schedule!H:H,MATCH(A55,Raw_Schedule!A:A,0))</f>
        <v/>
      </c>
      <c r="I55" s="5">
        <f>SUMIFS(Raw_Payments!E:E,Raw_Payments!B:B,A55)</f>
        <v/>
      </c>
      <c r="J55" s="5">
        <f>H55-I55</f>
        <v/>
      </c>
      <c r="K55" s="3">
        <f>IF(J55&lt;=0.005,"PAID",IF(I55&gt;0,"PARTIAL","OVERDUE"))</f>
        <v/>
      </c>
      <c r="L55" s="4">
        <f>IF(COUNTIFS(Raw_Payments!B:B,A55)=0,"",SUMPRODUCT(MAX((Raw_Payments!B$2:B$1079=A55)*Raw_Payments!D$2:D$1079)))</f>
        <v/>
      </c>
      <c r="M55" s="3">
        <f>IF(K55="PAID",MAX(0,L55-G55),Guide!$B$3-G55)</f>
        <v/>
      </c>
      <c r="N55" s="3">
        <f>IF(J55&lt;=0.005,"COLLECTED",IF(M55&lt;=30,"1-30",IF(M55&lt;=60,"31-60",IF(M55&lt;=90,"61-90","90+"))))</f>
        <v/>
      </c>
      <c r="O55" s="3">
        <f>IF(N55="90+","LOST",IF(N55="61-90","ESCALATE",IF(N55="31-60","WATCH",IF(N55="1-30","MILD","OK"))))</f>
        <v/>
      </c>
      <c r="P55" s="3">
        <f>IF(J55&gt;0.005,ROW()-1,"")</f>
        <v/>
      </c>
    </row>
    <row r="56">
      <c r="A56" s="3" t="inlineStr">
        <is>
          <t>D0055</t>
        </is>
      </c>
      <c r="B56" s="3">
        <f>INDEX(Raw_Schedule!B:B,MATCH(A56,Raw_Schedule!A:A,0))</f>
        <v/>
      </c>
      <c r="C56" s="3">
        <f>INDEX(Raw_Schedule!C:C,MATCH(A56,Raw_Schedule!A:A,0))</f>
        <v/>
      </c>
      <c r="D56" s="3">
        <f>INDEX(Raw_Schedule!D:D,MATCH(A56,Raw_Schedule!A:A,0))</f>
        <v/>
      </c>
      <c r="E56" s="3">
        <f>INDEX(Raw_Schedule!E:E,MATCH(A56,Raw_Schedule!A:A,0))</f>
        <v/>
      </c>
      <c r="F56" s="3">
        <f>INDEX(Raw_Schedule!F:F,MATCH(A56,Raw_Schedule!A:A,0))</f>
        <v/>
      </c>
      <c r="G56" s="4">
        <f>INDEX(Raw_Schedule!G:G,MATCH(A56,Raw_Schedule!A:A,0))</f>
        <v/>
      </c>
      <c r="H56" s="5">
        <f>INDEX(Raw_Schedule!H:H,MATCH(A56,Raw_Schedule!A:A,0))</f>
        <v/>
      </c>
      <c r="I56" s="5">
        <f>SUMIFS(Raw_Payments!E:E,Raw_Payments!B:B,A56)</f>
        <v/>
      </c>
      <c r="J56" s="5">
        <f>H56-I56</f>
        <v/>
      </c>
      <c r="K56" s="3">
        <f>IF(J56&lt;=0.005,"PAID",IF(I56&gt;0,"PARTIAL","OVERDUE"))</f>
        <v/>
      </c>
      <c r="L56" s="4">
        <f>IF(COUNTIFS(Raw_Payments!B:B,A56)=0,"",SUMPRODUCT(MAX((Raw_Payments!B$2:B$1079=A56)*Raw_Payments!D$2:D$1079)))</f>
        <v/>
      </c>
      <c r="M56" s="3">
        <f>IF(K56="PAID",MAX(0,L56-G56),Guide!$B$3-G56)</f>
        <v/>
      </c>
      <c r="N56" s="3">
        <f>IF(J56&lt;=0.005,"COLLECTED",IF(M56&lt;=30,"1-30",IF(M56&lt;=60,"31-60",IF(M56&lt;=90,"61-90","90+"))))</f>
        <v/>
      </c>
      <c r="O56" s="3">
        <f>IF(N56="90+","LOST",IF(N56="61-90","ESCALATE",IF(N56="31-60","WATCH",IF(N56="1-30","MILD","OK"))))</f>
        <v/>
      </c>
      <c r="P56" s="3">
        <f>IF(J56&gt;0.005,ROW()-1,"")</f>
        <v/>
      </c>
    </row>
    <row r="57">
      <c r="A57" s="3" t="inlineStr">
        <is>
          <t>D0056</t>
        </is>
      </c>
      <c r="B57" s="3">
        <f>INDEX(Raw_Schedule!B:B,MATCH(A57,Raw_Schedule!A:A,0))</f>
        <v/>
      </c>
      <c r="C57" s="3">
        <f>INDEX(Raw_Schedule!C:C,MATCH(A57,Raw_Schedule!A:A,0))</f>
        <v/>
      </c>
      <c r="D57" s="3">
        <f>INDEX(Raw_Schedule!D:D,MATCH(A57,Raw_Schedule!A:A,0))</f>
        <v/>
      </c>
      <c r="E57" s="3">
        <f>INDEX(Raw_Schedule!E:E,MATCH(A57,Raw_Schedule!A:A,0))</f>
        <v/>
      </c>
      <c r="F57" s="3">
        <f>INDEX(Raw_Schedule!F:F,MATCH(A57,Raw_Schedule!A:A,0))</f>
        <v/>
      </c>
      <c r="G57" s="4">
        <f>INDEX(Raw_Schedule!G:G,MATCH(A57,Raw_Schedule!A:A,0))</f>
        <v/>
      </c>
      <c r="H57" s="5">
        <f>INDEX(Raw_Schedule!H:H,MATCH(A57,Raw_Schedule!A:A,0))</f>
        <v/>
      </c>
      <c r="I57" s="5">
        <f>SUMIFS(Raw_Payments!E:E,Raw_Payments!B:B,A57)</f>
        <v/>
      </c>
      <c r="J57" s="5">
        <f>H57-I57</f>
        <v/>
      </c>
      <c r="K57" s="3">
        <f>IF(J57&lt;=0.005,"PAID",IF(I57&gt;0,"PARTIAL","OVERDUE"))</f>
        <v/>
      </c>
      <c r="L57" s="4">
        <f>IF(COUNTIFS(Raw_Payments!B:B,A57)=0,"",SUMPRODUCT(MAX((Raw_Payments!B$2:B$1079=A57)*Raw_Payments!D$2:D$1079)))</f>
        <v/>
      </c>
      <c r="M57" s="3">
        <f>IF(K57="PAID",MAX(0,L57-G57),Guide!$B$3-G57)</f>
        <v/>
      </c>
      <c r="N57" s="3">
        <f>IF(J57&lt;=0.005,"COLLECTED",IF(M57&lt;=30,"1-30",IF(M57&lt;=60,"31-60",IF(M57&lt;=90,"61-90","90+"))))</f>
        <v/>
      </c>
      <c r="O57" s="3">
        <f>IF(N57="90+","LOST",IF(N57="61-90","ESCALATE",IF(N57="31-60","WATCH",IF(N57="1-30","MILD","OK"))))</f>
        <v/>
      </c>
      <c r="P57" s="3">
        <f>IF(J57&gt;0.005,ROW()-1,"")</f>
        <v/>
      </c>
    </row>
    <row r="58">
      <c r="A58" s="3" t="inlineStr">
        <is>
          <t>D0057</t>
        </is>
      </c>
      <c r="B58" s="3">
        <f>INDEX(Raw_Schedule!B:B,MATCH(A58,Raw_Schedule!A:A,0))</f>
        <v/>
      </c>
      <c r="C58" s="3">
        <f>INDEX(Raw_Schedule!C:C,MATCH(A58,Raw_Schedule!A:A,0))</f>
        <v/>
      </c>
      <c r="D58" s="3">
        <f>INDEX(Raw_Schedule!D:D,MATCH(A58,Raw_Schedule!A:A,0))</f>
        <v/>
      </c>
      <c r="E58" s="3">
        <f>INDEX(Raw_Schedule!E:E,MATCH(A58,Raw_Schedule!A:A,0))</f>
        <v/>
      </c>
      <c r="F58" s="3">
        <f>INDEX(Raw_Schedule!F:F,MATCH(A58,Raw_Schedule!A:A,0))</f>
        <v/>
      </c>
      <c r="G58" s="4">
        <f>INDEX(Raw_Schedule!G:G,MATCH(A58,Raw_Schedule!A:A,0))</f>
        <v/>
      </c>
      <c r="H58" s="5">
        <f>INDEX(Raw_Schedule!H:H,MATCH(A58,Raw_Schedule!A:A,0))</f>
        <v/>
      </c>
      <c r="I58" s="5">
        <f>SUMIFS(Raw_Payments!E:E,Raw_Payments!B:B,A58)</f>
        <v/>
      </c>
      <c r="J58" s="5">
        <f>H58-I58</f>
        <v/>
      </c>
      <c r="K58" s="3">
        <f>IF(J58&lt;=0.005,"PAID",IF(I58&gt;0,"PARTIAL","OVERDUE"))</f>
        <v/>
      </c>
      <c r="L58" s="4">
        <f>IF(COUNTIFS(Raw_Payments!B:B,A58)=0,"",SUMPRODUCT(MAX((Raw_Payments!B$2:B$1079=A58)*Raw_Payments!D$2:D$1079)))</f>
        <v/>
      </c>
      <c r="M58" s="3">
        <f>IF(K58="PAID",MAX(0,L58-G58),Guide!$B$3-G58)</f>
        <v/>
      </c>
      <c r="N58" s="3">
        <f>IF(J58&lt;=0.005,"COLLECTED",IF(M58&lt;=30,"1-30",IF(M58&lt;=60,"31-60",IF(M58&lt;=90,"61-90","90+"))))</f>
        <v/>
      </c>
      <c r="O58" s="3">
        <f>IF(N58="90+","LOST",IF(N58="61-90","ESCALATE",IF(N58="31-60","WATCH",IF(N58="1-30","MILD","OK"))))</f>
        <v/>
      </c>
      <c r="P58" s="3">
        <f>IF(J58&gt;0.005,ROW()-1,"")</f>
        <v/>
      </c>
    </row>
    <row r="59">
      <c r="A59" s="3" t="inlineStr">
        <is>
          <t>D0058</t>
        </is>
      </c>
      <c r="B59" s="3">
        <f>INDEX(Raw_Schedule!B:B,MATCH(A59,Raw_Schedule!A:A,0))</f>
        <v/>
      </c>
      <c r="C59" s="3">
        <f>INDEX(Raw_Schedule!C:C,MATCH(A59,Raw_Schedule!A:A,0))</f>
        <v/>
      </c>
      <c r="D59" s="3">
        <f>INDEX(Raw_Schedule!D:D,MATCH(A59,Raw_Schedule!A:A,0))</f>
        <v/>
      </c>
      <c r="E59" s="3">
        <f>INDEX(Raw_Schedule!E:E,MATCH(A59,Raw_Schedule!A:A,0))</f>
        <v/>
      </c>
      <c r="F59" s="3">
        <f>INDEX(Raw_Schedule!F:F,MATCH(A59,Raw_Schedule!A:A,0))</f>
        <v/>
      </c>
      <c r="G59" s="4">
        <f>INDEX(Raw_Schedule!G:G,MATCH(A59,Raw_Schedule!A:A,0))</f>
        <v/>
      </c>
      <c r="H59" s="5">
        <f>INDEX(Raw_Schedule!H:H,MATCH(A59,Raw_Schedule!A:A,0))</f>
        <v/>
      </c>
      <c r="I59" s="5">
        <f>SUMIFS(Raw_Payments!E:E,Raw_Payments!B:B,A59)</f>
        <v/>
      </c>
      <c r="J59" s="5">
        <f>H59-I59</f>
        <v/>
      </c>
      <c r="K59" s="3">
        <f>IF(J59&lt;=0.005,"PAID",IF(I59&gt;0,"PARTIAL","OVERDUE"))</f>
        <v/>
      </c>
      <c r="L59" s="4">
        <f>IF(COUNTIFS(Raw_Payments!B:B,A59)=0,"",SUMPRODUCT(MAX((Raw_Payments!B$2:B$1079=A59)*Raw_Payments!D$2:D$1079)))</f>
        <v/>
      </c>
      <c r="M59" s="3">
        <f>IF(K59="PAID",MAX(0,L59-G59),Guide!$B$3-G59)</f>
        <v/>
      </c>
      <c r="N59" s="3">
        <f>IF(J59&lt;=0.005,"COLLECTED",IF(M59&lt;=30,"1-30",IF(M59&lt;=60,"31-60",IF(M59&lt;=90,"61-90","90+"))))</f>
        <v/>
      </c>
      <c r="O59" s="3">
        <f>IF(N59="90+","LOST",IF(N59="61-90","ESCALATE",IF(N59="31-60","WATCH",IF(N59="1-30","MILD","OK"))))</f>
        <v/>
      </c>
      <c r="P59" s="3">
        <f>IF(J59&gt;0.005,ROW()-1,"")</f>
        <v/>
      </c>
    </row>
    <row r="60">
      <c r="A60" s="3" t="inlineStr">
        <is>
          <t>D0059</t>
        </is>
      </c>
      <c r="B60" s="3">
        <f>INDEX(Raw_Schedule!B:B,MATCH(A60,Raw_Schedule!A:A,0))</f>
        <v/>
      </c>
      <c r="C60" s="3">
        <f>INDEX(Raw_Schedule!C:C,MATCH(A60,Raw_Schedule!A:A,0))</f>
        <v/>
      </c>
      <c r="D60" s="3">
        <f>INDEX(Raw_Schedule!D:D,MATCH(A60,Raw_Schedule!A:A,0))</f>
        <v/>
      </c>
      <c r="E60" s="3">
        <f>INDEX(Raw_Schedule!E:E,MATCH(A60,Raw_Schedule!A:A,0))</f>
        <v/>
      </c>
      <c r="F60" s="3">
        <f>INDEX(Raw_Schedule!F:F,MATCH(A60,Raw_Schedule!A:A,0))</f>
        <v/>
      </c>
      <c r="G60" s="4">
        <f>INDEX(Raw_Schedule!G:G,MATCH(A60,Raw_Schedule!A:A,0))</f>
        <v/>
      </c>
      <c r="H60" s="5">
        <f>INDEX(Raw_Schedule!H:H,MATCH(A60,Raw_Schedule!A:A,0))</f>
        <v/>
      </c>
      <c r="I60" s="5">
        <f>SUMIFS(Raw_Payments!E:E,Raw_Payments!B:B,A60)</f>
        <v/>
      </c>
      <c r="J60" s="5">
        <f>H60-I60</f>
        <v/>
      </c>
      <c r="K60" s="3">
        <f>IF(J60&lt;=0.005,"PAID",IF(I60&gt;0,"PARTIAL","OVERDUE"))</f>
        <v/>
      </c>
      <c r="L60" s="4">
        <f>IF(COUNTIFS(Raw_Payments!B:B,A60)=0,"",SUMPRODUCT(MAX((Raw_Payments!B$2:B$1079=A60)*Raw_Payments!D$2:D$1079)))</f>
        <v/>
      </c>
      <c r="M60" s="3">
        <f>IF(K60="PAID",MAX(0,L60-G60),Guide!$B$3-G60)</f>
        <v/>
      </c>
      <c r="N60" s="3">
        <f>IF(J60&lt;=0.005,"COLLECTED",IF(M60&lt;=30,"1-30",IF(M60&lt;=60,"31-60",IF(M60&lt;=90,"61-90","90+"))))</f>
        <v/>
      </c>
      <c r="O60" s="3">
        <f>IF(N60="90+","LOST",IF(N60="61-90","ESCALATE",IF(N60="31-60","WATCH",IF(N60="1-30","MILD","OK"))))</f>
        <v/>
      </c>
      <c r="P60" s="3">
        <f>IF(J60&gt;0.005,ROW()-1,"")</f>
        <v/>
      </c>
    </row>
    <row r="61">
      <c r="A61" s="3" t="inlineStr">
        <is>
          <t>D0060</t>
        </is>
      </c>
      <c r="B61" s="3">
        <f>INDEX(Raw_Schedule!B:B,MATCH(A61,Raw_Schedule!A:A,0))</f>
        <v/>
      </c>
      <c r="C61" s="3">
        <f>INDEX(Raw_Schedule!C:C,MATCH(A61,Raw_Schedule!A:A,0))</f>
        <v/>
      </c>
      <c r="D61" s="3">
        <f>INDEX(Raw_Schedule!D:D,MATCH(A61,Raw_Schedule!A:A,0))</f>
        <v/>
      </c>
      <c r="E61" s="3">
        <f>INDEX(Raw_Schedule!E:E,MATCH(A61,Raw_Schedule!A:A,0))</f>
        <v/>
      </c>
      <c r="F61" s="3">
        <f>INDEX(Raw_Schedule!F:F,MATCH(A61,Raw_Schedule!A:A,0))</f>
        <v/>
      </c>
      <c r="G61" s="4">
        <f>INDEX(Raw_Schedule!G:G,MATCH(A61,Raw_Schedule!A:A,0))</f>
        <v/>
      </c>
      <c r="H61" s="5">
        <f>INDEX(Raw_Schedule!H:H,MATCH(A61,Raw_Schedule!A:A,0))</f>
        <v/>
      </c>
      <c r="I61" s="5">
        <f>SUMIFS(Raw_Payments!E:E,Raw_Payments!B:B,A61)</f>
        <v/>
      </c>
      <c r="J61" s="5">
        <f>H61-I61</f>
        <v/>
      </c>
      <c r="K61" s="3">
        <f>IF(J61&lt;=0.005,"PAID",IF(I61&gt;0,"PARTIAL","OVERDUE"))</f>
        <v/>
      </c>
      <c r="L61" s="4">
        <f>IF(COUNTIFS(Raw_Payments!B:B,A61)=0,"",SUMPRODUCT(MAX((Raw_Payments!B$2:B$1079=A61)*Raw_Payments!D$2:D$1079)))</f>
        <v/>
      </c>
      <c r="M61" s="3">
        <f>IF(K61="PAID",MAX(0,L61-G61),Guide!$B$3-G61)</f>
        <v/>
      </c>
      <c r="N61" s="3">
        <f>IF(J61&lt;=0.005,"COLLECTED",IF(M61&lt;=30,"1-30",IF(M61&lt;=60,"31-60",IF(M61&lt;=90,"61-90","90+"))))</f>
        <v/>
      </c>
      <c r="O61" s="3">
        <f>IF(N61="90+","LOST",IF(N61="61-90","ESCALATE",IF(N61="31-60","WATCH",IF(N61="1-30","MILD","OK"))))</f>
        <v/>
      </c>
      <c r="P61" s="3">
        <f>IF(J61&gt;0.005,ROW()-1,"")</f>
        <v/>
      </c>
    </row>
    <row r="62">
      <c r="A62" s="3" t="inlineStr">
        <is>
          <t>D0061</t>
        </is>
      </c>
      <c r="B62" s="3">
        <f>INDEX(Raw_Schedule!B:B,MATCH(A62,Raw_Schedule!A:A,0))</f>
        <v/>
      </c>
      <c r="C62" s="3">
        <f>INDEX(Raw_Schedule!C:C,MATCH(A62,Raw_Schedule!A:A,0))</f>
        <v/>
      </c>
      <c r="D62" s="3">
        <f>INDEX(Raw_Schedule!D:D,MATCH(A62,Raw_Schedule!A:A,0))</f>
        <v/>
      </c>
      <c r="E62" s="3">
        <f>INDEX(Raw_Schedule!E:E,MATCH(A62,Raw_Schedule!A:A,0))</f>
        <v/>
      </c>
      <c r="F62" s="3">
        <f>INDEX(Raw_Schedule!F:F,MATCH(A62,Raw_Schedule!A:A,0))</f>
        <v/>
      </c>
      <c r="G62" s="4">
        <f>INDEX(Raw_Schedule!G:G,MATCH(A62,Raw_Schedule!A:A,0))</f>
        <v/>
      </c>
      <c r="H62" s="5">
        <f>INDEX(Raw_Schedule!H:H,MATCH(A62,Raw_Schedule!A:A,0))</f>
        <v/>
      </c>
      <c r="I62" s="5">
        <f>SUMIFS(Raw_Payments!E:E,Raw_Payments!B:B,A62)</f>
        <v/>
      </c>
      <c r="J62" s="5">
        <f>H62-I62</f>
        <v/>
      </c>
      <c r="K62" s="3">
        <f>IF(J62&lt;=0.005,"PAID",IF(I62&gt;0,"PARTIAL","OVERDUE"))</f>
        <v/>
      </c>
      <c r="L62" s="4">
        <f>IF(COUNTIFS(Raw_Payments!B:B,A62)=0,"",SUMPRODUCT(MAX((Raw_Payments!B$2:B$1079=A62)*Raw_Payments!D$2:D$1079)))</f>
        <v/>
      </c>
      <c r="M62" s="3">
        <f>IF(K62="PAID",MAX(0,L62-G62),Guide!$B$3-G62)</f>
        <v/>
      </c>
      <c r="N62" s="3">
        <f>IF(J62&lt;=0.005,"COLLECTED",IF(M62&lt;=30,"1-30",IF(M62&lt;=60,"31-60",IF(M62&lt;=90,"61-90","90+"))))</f>
        <v/>
      </c>
      <c r="O62" s="3">
        <f>IF(N62="90+","LOST",IF(N62="61-90","ESCALATE",IF(N62="31-60","WATCH",IF(N62="1-30","MILD","OK"))))</f>
        <v/>
      </c>
      <c r="P62" s="3">
        <f>IF(J62&gt;0.005,ROW()-1,"")</f>
        <v/>
      </c>
    </row>
    <row r="63">
      <c r="A63" s="3" t="inlineStr">
        <is>
          <t>D0062</t>
        </is>
      </c>
      <c r="B63" s="3">
        <f>INDEX(Raw_Schedule!B:B,MATCH(A63,Raw_Schedule!A:A,0))</f>
        <v/>
      </c>
      <c r="C63" s="3">
        <f>INDEX(Raw_Schedule!C:C,MATCH(A63,Raw_Schedule!A:A,0))</f>
        <v/>
      </c>
      <c r="D63" s="3">
        <f>INDEX(Raw_Schedule!D:D,MATCH(A63,Raw_Schedule!A:A,0))</f>
        <v/>
      </c>
      <c r="E63" s="3">
        <f>INDEX(Raw_Schedule!E:E,MATCH(A63,Raw_Schedule!A:A,0))</f>
        <v/>
      </c>
      <c r="F63" s="3">
        <f>INDEX(Raw_Schedule!F:F,MATCH(A63,Raw_Schedule!A:A,0))</f>
        <v/>
      </c>
      <c r="G63" s="4">
        <f>INDEX(Raw_Schedule!G:G,MATCH(A63,Raw_Schedule!A:A,0))</f>
        <v/>
      </c>
      <c r="H63" s="5">
        <f>INDEX(Raw_Schedule!H:H,MATCH(A63,Raw_Schedule!A:A,0))</f>
        <v/>
      </c>
      <c r="I63" s="5">
        <f>SUMIFS(Raw_Payments!E:E,Raw_Payments!B:B,A63)</f>
        <v/>
      </c>
      <c r="J63" s="5">
        <f>H63-I63</f>
        <v/>
      </c>
      <c r="K63" s="3">
        <f>IF(J63&lt;=0.005,"PAID",IF(I63&gt;0,"PARTIAL","OVERDUE"))</f>
        <v/>
      </c>
      <c r="L63" s="4">
        <f>IF(COUNTIFS(Raw_Payments!B:B,A63)=0,"",SUMPRODUCT(MAX((Raw_Payments!B$2:B$1079=A63)*Raw_Payments!D$2:D$1079)))</f>
        <v/>
      </c>
      <c r="M63" s="3">
        <f>IF(K63="PAID",MAX(0,L63-G63),Guide!$B$3-G63)</f>
        <v/>
      </c>
      <c r="N63" s="3">
        <f>IF(J63&lt;=0.005,"COLLECTED",IF(M63&lt;=30,"1-30",IF(M63&lt;=60,"31-60",IF(M63&lt;=90,"61-90","90+"))))</f>
        <v/>
      </c>
      <c r="O63" s="3">
        <f>IF(N63="90+","LOST",IF(N63="61-90","ESCALATE",IF(N63="31-60","WATCH",IF(N63="1-30","MILD","OK"))))</f>
        <v/>
      </c>
      <c r="P63" s="3">
        <f>IF(J63&gt;0.005,ROW()-1,"")</f>
        <v/>
      </c>
    </row>
    <row r="64">
      <c r="A64" s="3" t="inlineStr">
        <is>
          <t>D0063</t>
        </is>
      </c>
      <c r="B64" s="3">
        <f>INDEX(Raw_Schedule!B:B,MATCH(A64,Raw_Schedule!A:A,0))</f>
        <v/>
      </c>
      <c r="C64" s="3">
        <f>INDEX(Raw_Schedule!C:C,MATCH(A64,Raw_Schedule!A:A,0))</f>
        <v/>
      </c>
      <c r="D64" s="3">
        <f>INDEX(Raw_Schedule!D:D,MATCH(A64,Raw_Schedule!A:A,0))</f>
        <v/>
      </c>
      <c r="E64" s="3">
        <f>INDEX(Raw_Schedule!E:E,MATCH(A64,Raw_Schedule!A:A,0))</f>
        <v/>
      </c>
      <c r="F64" s="3">
        <f>INDEX(Raw_Schedule!F:F,MATCH(A64,Raw_Schedule!A:A,0))</f>
        <v/>
      </c>
      <c r="G64" s="4">
        <f>INDEX(Raw_Schedule!G:G,MATCH(A64,Raw_Schedule!A:A,0))</f>
        <v/>
      </c>
      <c r="H64" s="5">
        <f>INDEX(Raw_Schedule!H:H,MATCH(A64,Raw_Schedule!A:A,0))</f>
        <v/>
      </c>
      <c r="I64" s="5">
        <f>SUMIFS(Raw_Payments!E:E,Raw_Payments!B:B,A64)</f>
        <v/>
      </c>
      <c r="J64" s="5">
        <f>H64-I64</f>
        <v/>
      </c>
      <c r="K64" s="3">
        <f>IF(J64&lt;=0.005,"PAID",IF(I64&gt;0,"PARTIAL","OVERDUE"))</f>
        <v/>
      </c>
      <c r="L64" s="4">
        <f>IF(COUNTIFS(Raw_Payments!B:B,A64)=0,"",SUMPRODUCT(MAX((Raw_Payments!B$2:B$1079=A64)*Raw_Payments!D$2:D$1079)))</f>
        <v/>
      </c>
      <c r="M64" s="3">
        <f>IF(K64="PAID",MAX(0,L64-G64),Guide!$B$3-G64)</f>
        <v/>
      </c>
      <c r="N64" s="3">
        <f>IF(J64&lt;=0.005,"COLLECTED",IF(M64&lt;=30,"1-30",IF(M64&lt;=60,"31-60",IF(M64&lt;=90,"61-90","90+"))))</f>
        <v/>
      </c>
      <c r="O64" s="3">
        <f>IF(N64="90+","LOST",IF(N64="61-90","ESCALATE",IF(N64="31-60","WATCH",IF(N64="1-30","MILD","OK"))))</f>
        <v/>
      </c>
      <c r="P64" s="3">
        <f>IF(J64&gt;0.005,ROW()-1,"")</f>
        <v/>
      </c>
    </row>
    <row r="65">
      <c r="A65" s="3" t="inlineStr">
        <is>
          <t>D0064</t>
        </is>
      </c>
      <c r="B65" s="3">
        <f>INDEX(Raw_Schedule!B:B,MATCH(A65,Raw_Schedule!A:A,0))</f>
        <v/>
      </c>
      <c r="C65" s="3">
        <f>INDEX(Raw_Schedule!C:C,MATCH(A65,Raw_Schedule!A:A,0))</f>
        <v/>
      </c>
      <c r="D65" s="3">
        <f>INDEX(Raw_Schedule!D:D,MATCH(A65,Raw_Schedule!A:A,0))</f>
        <v/>
      </c>
      <c r="E65" s="3">
        <f>INDEX(Raw_Schedule!E:E,MATCH(A65,Raw_Schedule!A:A,0))</f>
        <v/>
      </c>
      <c r="F65" s="3">
        <f>INDEX(Raw_Schedule!F:F,MATCH(A65,Raw_Schedule!A:A,0))</f>
        <v/>
      </c>
      <c r="G65" s="4">
        <f>INDEX(Raw_Schedule!G:G,MATCH(A65,Raw_Schedule!A:A,0))</f>
        <v/>
      </c>
      <c r="H65" s="5">
        <f>INDEX(Raw_Schedule!H:H,MATCH(A65,Raw_Schedule!A:A,0))</f>
        <v/>
      </c>
      <c r="I65" s="5">
        <f>SUMIFS(Raw_Payments!E:E,Raw_Payments!B:B,A65)</f>
        <v/>
      </c>
      <c r="J65" s="5">
        <f>H65-I65</f>
        <v/>
      </c>
      <c r="K65" s="3">
        <f>IF(J65&lt;=0.005,"PAID",IF(I65&gt;0,"PARTIAL","OVERDUE"))</f>
        <v/>
      </c>
      <c r="L65" s="4">
        <f>IF(COUNTIFS(Raw_Payments!B:B,A65)=0,"",SUMPRODUCT(MAX((Raw_Payments!B$2:B$1079=A65)*Raw_Payments!D$2:D$1079)))</f>
        <v/>
      </c>
      <c r="M65" s="3">
        <f>IF(K65="PAID",MAX(0,L65-G65),Guide!$B$3-G65)</f>
        <v/>
      </c>
      <c r="N65" s="3">
        <f>IF(J65&lt;=0.005,"COLLECTED",IF(M65&lt;=30,"1-30",IF(M65&lt;=60,"31-60",IF(M65&lt;=90,"61-90","90+"))))</f>
        <v/>
      </c>
      <c r="O65" s="3">
        <f>IF(N65="90+","LOST",IF(N65="61-90","ESCALATE",IF(N65="31-60","WATCH",IF(N65="1-30","MILD","OK"))))</f>
        <v/>
      </c>
      <c r="P65" s="3">
        <f>IF(J65&gt;0.005,ROW()-1,"")</f>
        <v/>
      </c>
    </row>
    <row r="66">
      <c r="A66" s="3" t="inlineStr">
        <is>
          <t>D0065</t>
        </is>
      </c>
      <c r="B66" s="3">
        <f>INDEX(Raw_Schedule!B:B,MATCH(A66,Raw_Schedule!A:A,0))</f>
        <v/>
      </c>
      <c r="C66" s="3">
        <f>INDEX(Raw_Schedule!C:C,MATCH(A66,Raw_Schedule!A:A,0))</f>
        <v/>
      </c>
      <c r="D66" s="3">
        <f>INDEX(Raw_Schedule!D:D,MATCH(A66,Raw_Schedule!A:A,0))</f>
        <v/>
      </c>
      <c r="E66" s="3">
        <f>INDEX(Raw_Schedule!E:E,MATCH(A66,Raw_Schedule!A:A,0))</f>
        <v/>
      </c>
      <c r="F66" s="3">
        <f>INDEX(Raw_Schedule!F:F,MATCH(A66,Raw_Schedule!A:A,0))</f>
        <v/>
      </c>
      <c r="G66" s="4">
        <f>INDEX(Raw_Schedule!G:G,MATCH(A66,Raw_Schedule!A:A,0))</f>
        <v/>
      </c>
      <c r="H66" s="5">
        <f>INDEX(Raw_Schedule!H:H,MATCH(A66,Raw_Schedule!A:A,0))</f>
        <v/>
      </c>
      <c r="I66" s="5">
        <f>SUMIFS(Raw_Payments!E:E,Raw_Payments!B:B,A66)</f>
        <v/>
      </c>
      <c r="J66" s="5">
        <f>H66-I66</f>
        <v/>
      </c>
      <c r="K66" s="3">
        <f>IF(J66&lt;=0.005,"PAID",IF(I66&gt;0,"PARTIAL","OVERDUE"))</f>
        <v/>
      </c>
      <c r="L66" s="4">
        <f>IF(COUNTIFS(Raw_Payments!B:B,A66)=0,"",SUMPRODUCT(MAX((Raw_Payments!B$2:B$1079=A66)*Raw_Payments!D$2:D$1079)))</f>
        <v/>
      </c>
      <c r="M66" s="3">
        <f>IF(K66="PAID",MAX(0,L66-G66),Guide!$B$3-G66)</f>
        <v/>
      </c>
      <c r="N66" s="3">
        <f>IF(J66&lt;=0.005,"COLLECTED",IF(M66&lt;=30,"1-30",IF(M66&lt;=60,"31-60",IF(M66&lt;=90,"61-90","90+"))))</f>
        <v/>
      </c>
      <c r="O66" s="3">
        <f>IF(N66="90+","LOST",IF(N66="61-90","ESCALATE",IF(N66="31-60","WATCH",IF(N66="1-30","MILD","OK"))))</f>
        <v/>
      </c>
      <c r="P66" s="3">
        <f>IF(J66&gt;0.005,ROW()-1,"")</f>
        <v/>
      </c>
    </row>
    <row r="67">
      <c r="A67" s="3" t="inlineStr">
        <is>
          <t>D0066</t>
        </is>
      </c>
      <c r="B67" s="3">
        <f>INDEX(Raw_Schedule!B:B,MATCH(A67,Raw_Schedule!A:A,0))</f>
        <v/>
      </c>
      <c r="C67" s="3">
        <f>INDEX(Raw_Schedule!C:C,MATCH(A67,Raw_Schedule!A:A,0))</f>
        <v/>
      </c>
      <c r="D67" s="3">
        <f>INDEX(Raw_Schedule!D:D,MATCH(A67,Raw_Schedule!A:A,0))</f>
        <v/>
      </c>
      <c r="E67" s="3">
        <f>INDEX(Raw_Schedule!E:E,MATCH(A67,Raw_Schedule!A:A,0))</f>
        <v/>
      </c>
      <c r="F67" s="3">
        <f>INDEX(Raw_Schedule!F:F,MATCH(A67,Raw_Schedule!A:A,0))</f>
        <v/>
      </c>
      <c r="G67" s="4">
        <f>INDEX(Raw_Schedule!G:G,MATCH(A67,Raw_Schedule!A:A,0))</f>
        <v/>
      </c>
      <c r="H67" s="5">
        <f>INDEX(Raw_Schedule!H:H,MATCH(A67,Raw_Schedule!A:A,0))</f>
        <v/>
      </c>
      <c r="I67" s="5">
        <f>SUMIFS(Raw_Payments!E:E,Raw_Payments!B:B,A67)</f>
        <v/>
      </c>
      <c r="J67" s="5">
        <f>H67-I67</f>
        <v/>
      </c>
      <c r="K67" s="3">
        <f>IF(J67&lt;=0.005,"PAID",IF(I67&gt;0,"PARTIAL","OVERDUE"))</f>
        <v/>
      </c>
      <c r="L67" s="4">
        <f>IF(COUNTIFS(Raw_Payments!B:B,A67)=0,"",SUMPRODUCT(MAX((Raw_Payments!B$2:B$1079=A67)*Raw_Payments!D$2:D$1079)))</f>
        <v/>
      </c>
      <c r="M67" s="3">
        <f>IF(K67="PAID",MAX(0,L67-G67),Guide!$B$3-G67)</f>
        <v/>
      </c>
      <c r="N67" s="3">
        <f>IF(J67&lt;=0.005,"COLLECTED",IF(M67&lt;=30,"1-30",IF(M67&lt;=60,"31-60",IF(M67&lt;=90,"61-90","90+"))))</f>
        <v/>
      </c>
      <c r="O67" s="3">
        <f>IF(N67="90+","LOST",IF(N67="61-90","ESCALATE",IF(N67="31-60","WATCH",IF(N67="1-30","MILD","OK"))))</f>
        <v/>
      </c>
      <c r="P67" s="3">
        <f>IF(J67&gt;0.005,ROW()-1,"")</f>
        <v/>
      </c>
    </row>
    <row r="68">
      <c r="A68" s="3" t="inlineStr">
        <is>
          <t>D0067</t>
        </is>
      </c>
      <c r="B68" s="3">
        <f>INDEX(Raw_Schedule!B:B,MATCH(A68,Raw_Schedule!A:A,0))</f>
        <v/>
      </c>
      <c r="C68" s="3">
        <f>INDEX(Raw_Schedule!C:C,MATCH(A68,Raw_Schedule!A:A,0))</f>
        <v/>
      </c>
      <c r="D68" s="3">
        <f>INDEX(Raw_Schedule!D:D,MATCH(A68,Raw_Schedule!A:A,0))</f>
        <v/>
      </c>
      <c r="E68" s="3">
        <f>INDEX(Raw_Schedule!E:E,MATCH(A68,Raw_Schedule!A:A,0))</f>
        <v/>
      </c>
      <c r="F68" s="3">
        <f>INDEX(Raw_Schedule!F:F,MATCH(A68,Raw_Schedule!A:A,0))</f>
        <v/>
      </c>
      <c r="G68" s="4">
        <f>INDEX(Raw_Schedule!G:G,MATCH(A68,Raw_Schedule!A:A,0))</f>
        <v/>
      </c>
      <c r="H68" s="5">
        <f>INDEX(Raw_Schedule!H:H,MATCH(A68,Raw_Schedule!A:A,0))</f>
        <v/>
      </c>
      <c r="I68" s="5">
        <f>SUMIFS(Raw_Payments!E:E,Raw_Payments!B:B,A68)</f>
        <v/>
      </c>
      <c r="J68" s="5">
        <f>H68-I68</f>
        <v/>
      </c>
      <c r="K68" s="3">
        <f>IF(J68&lt;=0.005,"PAID",IF(I68&gt;0,"PARTIAL","OVERDUE"))</f>
        <v/>
      </c>
      <c r="L68" s="4">
        <f>IF(COUNTIFS(Raw_Payments!B:B,A68)=0,"",SUMPRODUCT(MAX((Raw_Payments!B$2:B$1079=A68)*Raw_Payments!D$2:D$1079)))</f>
        <v/>
      </c>
      <c r="M68" s="3">
        <f>IF(K68="PAID",MAX(0,L68-G68),Guide!$B$3-G68)</f>
        <v/>
      </c>
      <c r="N68" s="3">
        <f>IF(J68&lt;=0.005,"COLLECTED",IF(M68&lt;=30,"1-30",IF(M68&lt;=60,"31-60",IF(M68&lt;=90,"61-90","90+"))))</f>
        <v/>
      </c>
      <c r="O68" s="3">
        <f>IF(N68="90+","LOST",IF(N68="61-90","ESCALATE",IF(N68="31-60","WATCH",IF(N68="1-30","MILD","OK"))))</f>
        <v/>
      </c>
      <c r="P68" s="3">
        <f>IF(J68&gt;0.005,ROW()-1,"")</f>
        <v/>
      </c>
    </row>
    <row r="69">
      <c r="A69" s="3" t="inlineStr">
        <is>
          <t>D0068</t>
        </is>
      </c>
      <c r="B69" s="3">
        <f>INDEX(Raw_Schedule!B:B,MATCH(A69,Raw_Schedule!A:A,0))</f>
        <v/>
      </c>
      <c r="C69" s="3">
        <f>INDEX(Raw_Schedule!C:C,MATCH(A69,Raw_Schedule!A:A,0))</f>
        <v/>
      </c>
      <c r="D69" s="3">
        <f>INDEX(Raw_Schedule!D:D,MATCH(A69,Raw_Schedule!A:A,0))</f>
        <v/>
      </c>
      <c r="E69" s="3">
        <f>INDEX(Raw_Schedule!E:E,MATCH(A69,Raw_Schedule!A:A,0))</f>
        <v/>
      </c>
      <c r="F69" s="3">
        <f>INDEX(Raw_Schedule!F:F,MATCH(A69,Raw_Schedule!A:A,0))</f>
        <v/>
      </c>
      <c r="G69" s="4">
        <f>INDEX(Raw_Schedule!G:G,MATCH(A69,Raw_Schedule!A:A,0))</f>
        <v/>
      </c>
      <c r="H69" s="5">
        <f>INDEX(Raw_Schedule!H:H,MATCH(A69,Raw_Schedule!A:A,0))</f>
        <v/>
      </c>
      <c r="I69" s="5">
        <f>SUMIFS(Raw_Payments!E:E,Raw_Payments!B:B,A69)</f>
        <v/>
      </c>
      <c r="J69" s="5">
        <f>H69-I69</f>
        <v/>
      </c>
      <c r="K69" s="3">
        <f>IF(J69&lt;=0.005,"PAID",IF(I69&gt;0,"PARTIAL","OVERDUE"))</f>
        <v/>
      </c>
      <c r="L69" s="4">
        <f>IF(COUNTIFS(Raw_Payments!B:B,A69)=0,"",SUMPRODUCT(MAX((Raw_Payments!B$2:B$1079=A69)*Raw_Payments!D$2:D$1079)))</f>
        <v/>
      </c>
      <c r="M69" s="3">
        <f>IF(K69="PAID",MAX(0,L69-G69),Guide!$B$3-G69)</f>
        <v/>
      </c>
      <c r="N69" s="3">
        <f>IF(J69&lt;=0.005,"COLLECTED",IF(M69&lt;=30,"1-30",IF(M69&lt;=60,"31-60",IF(M69&lt;=90,"61-90","90+"))))</f>
        <v/>
      </c>
      <c r="O69" s="3">
        <f>IF(N69="90+","LOST",IF(N69="61-90","ESCALATE",IF(N69="31-60","WATCH",IF(N69="1-30","MILD","OK"))))</f>
        <v/>
      </c>
      <c r="P69" s="3">
        <f>IF(J69&gt;0.005,ROW()-1,"")</f>
        <v/>
      </c>
    </row>
    <row r="70">
      <c r="A70" s="3" t="inlineStr">
        <is>
          <t>D0069</t>
        </is>
      </c>
      <c r="B70" s="3">
        <f>INDEX(Raw_Schedule!B:B,MATCH(A70,Raw_Schedule!A:A,0))</f>
        <v/>
      </c>
      <c r="C70" s="3">
        <f>INDEX(Raw_Schedule!C:C,MATCH(A70,Raw_Schedule!A:A,0))</f>
        <v/>
      </c>
      <c r="D70" s="3">
        <f>INDEX(Raw_Schedule!D:D,MATCH(A70,Raw_Schedule!A:A,0))</f>
        <v/>
      </c>
      <c r="E70" s="3">
        <f>INDEX(Raw_Schedule!E:E,MATCH(A70,Raw_Schedule!A:A,0))</f>
        <v/>
      </c>
      <c r="F70" s="3">
        <f>INDEX(Raw_Schedule!F:F,MATCH(A70,Raw_Schedule!A:A,0))</f>
        <v/>
      </c>
      <c r="G70" s="4">
        <f>INDEX(Raw_Schedule!G:G,MATCH(A70,Raw_Schedule!A:A,0))</f>
        <v/>
      </c>
      <c r="H70" s="5">
        <f>INDEX(Raw_Schedule!H:H,MATCH(A70,Raw_Schedule!A:A,0))</f>
        <v/>
      </c>
      <c r="I70" s="5">
        <f>SUMIFS(Raw_Payments!E:E,Raw_Payments!B:B,A70)</f>
        <v/>
      </c>
      <c r="J70" s="5">
        <f>H70-I70</f>
        <v/>
      </c>
      <c r="K70" s="3">
        <f>IF(J70&lt;=0.005,"PAID",IF(I70&gt;0,"PARTIAL","OVERDUE"))</f>
        <v/>
      </c>
      <c r="L70" s="4">
        <f>IF(COUNTIFS(Raw_Payments!B:B,A70)=0,"",SUMPRODUCT(MAX((Raw_Payments!B$2:B$1079=A70)*Raw_Payments!D$2:D$1079)))</f>
        <v/>
      </c>
      <c r="M70" s="3">
        <f>IF(K70="PAID",MAX(0,L70-G70),Guide!$B$3-G70)</f>
        <v/>
      </c>
      <c r="N70" s="3">
        <f>IF(J70&lt;=0.005,"COLLECTED",IF(M70&lt;=30,"1-30",IF(M70&lt;=60,"31-60",IF(M70&lt;=90,"61-90","90+"))))</f>
        <v/>
      </c>
      <c r="O70" s="3">
        <f>IF(N70="90+","LOST",IF(N70="61-90","ESCALATE",IF(N70="31-60","WATCH",IF(N70="1-30","MILD","OK"))))</f>
        <v/>
      </c>
      <c r="P70" s="3">
        <f>IF(J70&gt;0.005,ROW()-1,"")</f>
        <v/>
      </c>
    </row>
    <row r="71">
      <c r="A71" s="3" t="inlineStr">
        <is>
          <t>D0070</t>
        </is>
      </c>
      <c r="B71" s="3">
        <f>INDEX(Raw_Schedule!B:B,MATCH(A71,Raw_Schedule!A:A,0))</f>
        <v/>
      </c>
      <c r="C71" s="3">
        <f>INDEX(Raw_Schedule!C:C,MATCH(A71,Raw_Schedule!A:A,0))</f>
        <v/>
      </c>
      <c r="D71" s="3">
        <f>INDEX(Raw_Schedule!D:D,MATCH(A71,Raw_Schedule!A:A,0))</f>
        <v/>
      </c>
      <c r="E71" s="3">
        <f>INDEX(Raw_Schedule!E:E,MATCH(A71,Raw_Schedule!A:A,0))</f>
        <v/>
      </c>
      <c r="F71" s="3">
        <f>INDEX(Raw_Schedule!F:F,MATCH(A71,Raw_Schedule!A:A,0))</f>
        <v/>
      </c>
      <c r="G71" s="4">
        <f>INDEX(Raw_Schedule!G:G,MATCH(A71,Raw_Schedule!A:A,0))</f>
        <v/>
      </c>
      <c r="H71" s="5">
        <f>INDEX(Raw_Schedule!H:H,MATCH(A71,Raw_Schedule!A:A,0))</f>
        <v/>
      </c>
      <c r="I71" s="5">
        <f>SUMIFS(Raw_Payments!E:E,Raw_Payments!B:B,A71)</f>
        <v/>
      </c>
      <c r="J71" s="5">
        <f>H71-I71</f>
        <v/>
      </c>
      <c r="K71" s="3">
        <f>IF(J71&lt;=0.005,"PAID",IF(I71&gt;0,"PARTIAL","OVERDUE"))</f>
        <v/>
      </c>
      <c r="L71" s="4">
        <f>IF(COUNTIFS(Raw_Payments!B:B,A71)=0,"",SUMPRODUCT(MAX((Raw_Payments!B$2:B$1079=A71)*Raw_Payments!D$2:D$1079)))</f>
        <v/>
      </c>
      <c r="M71" s="3">
        <f>IF(K71="PAID",MAX(0,L71-G71),Guide!$B$3-G71)</f>
        <v/>
      </c>
      <c r="N71" s="3">
        <f>IF(J71&lt;=0.005,"COLLECTED",IF(M71&lt;=30,"1-30",IF(M71&lt;=60,"31-60",IF(M71&lt;=90,"61-90","90+"))))</f>
        <v/>
      </c>
      <c r="O71" s="3">
        <f>IF(N71="90+","LOST",IF(N71="61-90","ESCALATE",IF(N71="31-60","WATCH",IF(N71="1-30","MILD","OK"))))</f>
        <v/>
      </c>
      <c r="P71" s="3">
        <f>IF(J71&gt;0.005,ROW()-1,"")</f>
        <v/>
      </c>
    </row>
    <row r="72">
      <c r="A72" s="3" t="inlineStr">
        <is>
          <t>D0071</t>
        </is>
      </c>
      <c r="B72" s="3">
        <f>INDEX(Raw_Schedule!B:B,MATCH(A72,Raw_Schedule!A:A,0))</f>
        <v/>
      </c>
      <c r="C72" s="3">
        <f>INDEX(Raw_Schedule!C:C,MATCH(A72,Raw_Schedule!A:A,0))</f>
        <v/>
      </c>
      <c r="D72" s="3">
        <f>INDEX(Raw_Schedule!D:D,MATCH(A72,Raw_Schedule!A:A,0))</f>
        <v/>
      </c>
      <c r="E72" s="3">
        <f>INDEX(Raw_Schedule!E:E,MATCH(A72,Raw_Schedule!A:A,0))</f>
        <v/>
      </c>
      <c r="F72" s="3">
        <f>INDEX(Raw_Schedule!F:F,MATCH(A72,Raw_Schedule!A:A,0))</f>
        <v/>
      </c>
      <c r="G72" s="4">
        <f>INDEX(Raw_Schedule!G:G,MATCH(A72,Raw_Schedule!A:A,0))</f>
        <v/>
      </c>
      <c r="H72" s="5">
        <f>INDEX(Raw_Schedule!H:H,MATCH(A72,Raw_Schedule!A:A,0))</f>
        <v/>
      </c>
      <c r="I72" s="5">
        <f>SUMIFS(Raw_Payments!E:E,Raw_Payments!B:B,A72)</f>
        <v/>
      </c>
      <c r="J72" s="5">
        <f>H72-I72</f>
        <v/>
      </c>
      <c r="K72" s="3">
        <f>IF(J72&lt;=0.005,"PAID",IF(I72&gt;0,"PARTIAL","OVERDUE"))</f>
        <v/>
      </c>
      <c r="L72" s="4">
        <f>IF(COUNTIFS(Raw_Payments!B:B,A72)=0,"",SUMPRODUCT(MAX((Raw_Payments!B$2:B$1079=A72)*Raw_Payments!D$2:D$1079)))</f>
        <v/>
      </c>
      <c r="M72" s="3">
        <f>IF(K72="PAID",MAX(0,L72-G72),Guide!$B$3-G72)</f>
        <v/>
      </c>
      <c r="N72" s="3">
        <f>IF(J72&lt;=0.005,"COLLECTED",IF(M72&lt;=30,"1-30",IF(M72&lt;=60,"31-60",IF(M72&lt;=90,"61-90","90+"))))</f>
        <v/>
      </c>
      <c r="O72" s="3">
        <f>IF(N72="90+","LOST",IF(N72="61-90","ESCALATE",IF(N72="31-60","WATCH",IF(N72="1-30","MILD","OK"))))</f>
        <v/>
      </c>
      <c r="P72" s="3">
        <f>IF(J72&gt;0.005,ROW()-1,"")</f>
        <v/>
      </c>
    </row>
    <row r="73">
      <c r="A73" s="3" t="inlineStr">
        <is>
          <t>D0072</t>
        </is>
      </c>
      <c r="B73" s="3">
        <f>INDEX(Raw_Schedule!B:B,MATCH(A73,Raw_Schedule!A:A,0))</f>
        <v/>
      </c>
      <c r="C73" s="3">
        <f>INDEX(Raw_Schedule!C:C,MATCH(A73,Raw_Schedule!A:A,0))</f>
        <v/>
      </c>
      <c r="D73" s="3">
        <f>INDEX(Raw_Schedule!D:D,MATCH(A73,Raw_Schedule!A:A,0))</f>
        <v/>
      </c>
      <c r="E73" s="3">
        <f>INDEX(Raw_Schedule!E:E,MATCH(A73,Raw_Schedule!A:A,0))</f>
        <v/>
      </c>
      <c r="F73" s="3">
        <f>INDEX(Raw_Schedule!F:F,MATCH(A73,Raw_Schedule!A:A,0))</f>
        <v/>
      </c>
      <c r="G73" s="4">
        <f>INDEX(Raw_Schedule!G:G,MATCH(A73,Raw_Schedule!A:A,0))</f>
        <v/>
      </c>
      <c r="H73" s="5">
        <f>INDEX(Raw_Schedule!H:H,MATCH(A73,Raw_Schedule!A:A,0))</f>
        <v/>
      </c>
      <c r="I73" s="5">
        <f>SUMIFS(Raw_Payments!E:E,Raw_Payments!B:B,A73)</f>
        <v/>
      </c>
      <c r="J73" s="5">
        <f>H73-I73</f>
        <v/>
      </c>
      <c r="K73" s="3">
        <f>IF(J73&lt;=0.005,"PAID",IF(I73&gt;0,"PARTIAL","OVERDUE"))</f>
        <v/>
      </c>
      <c r="L73" s="4">
        <f>IF(COUNTIFS(Raw_Payments!B:B,A73)=0,"",SUMPRODUCT(MAX((Raw_Payments!B$2:B$1079=A73)*Raw_Payments!D$2:D$1079)))</f>
        <v/>
      </c>
      <c r="M73" s="3">
        <f>IF(K73="PAID",MAX(0,L73-G73),Guide!$B$3-G73)</f>
        <v/>
      </c>
      <c r="N73" s="3">
        <f>IF(J73&lt;=0.005,"COLLECTED",IF(M73&lt;=30,"1-30",IF(M73&lt;=60,"31-60",IF(M73&lt;=90,"61-90","90+"))))</f>
        <v/>
      </c>
      <c r="O73" s="3">
        <f>IF(N73="90+","LOST",IF(N73="61-90","ESCALATE",IF(N73="31-60","WATCH",IF(N73="1-30","MILD","OK"))))</f>
        <v/>
      </c>
      <c r="P73" s="3">
        <f>IF(J73&gt;0.005,ROW()-1,"")</f>
        <v/>
      </c>
    </row>
    <row r="74">
      <c r="A74" s="3" t="inlineStr">
        <is>
          <t>D0073</t>
        </is>
      </c>
      <c r="B74" s="3">
        <f>INDEX(Raw_Schedule!B:B,MATCH(A74,Raw_Schedule!A:A,0))</f>
        <v/>
      </c>
      <c r="C74" s="3">
        <f>INDEX(Raw_Schedule!C:C,MATCH(A74,Raw_Schedule!A:A,0))</f>
        <v/>
      </c>
      <c r="D74" s="3">
        <f>INDEX(Raw_Schedule!D:D,MATCH(A74,Raw_Schedule!A:A,0))</f>
        <v/>
      </c>
      <c r="E74" s="3">
        <f>INDEX(Raw_Schedule!E:E,MATCH(A74,Raw_Schedule!A:A,0))</f>
        <v/>
      </c>
      <c r="F74" s="3">
        <f>INDEX(Raw_Schedule!F:F,MATCH(A74,Raw_Schedule!A:A,0))</f>
        <v/>
      </c>
      <c r="G74" s="4">
        <f>INDEX(Raw_Schedule!G:G,MATCH(A74,Raw_Schedule!A:A,0))</f>
        <v/>
      </c>
      <c r="H74" s="5">
        <f>INDEX(Raw_Schedule!H:H,MATCH(A74,Raw_Schedule!A:A,0))</f>
        <v/>
      </c>
      <c r="I74" s="5">
        <f>SUMIFS(Raw_Payments!E:E,Raw_Payments!B:B,A74)</f>
        <v/>
      </c>
      <c r="J74" s="5">
        <f>H74-I74</f>
        <v/>
      </c>
      <c r="K74" s="3">
        <f>IF(J74&lt;=0.005,"PAID",IF(I74&gt;0,"PARTIAL","OVERDUE"))</f>
        <v/>
      </c>
      <c r="L74" s="4">
        <f>IF(COUNTIFS(Raw_Payments!B:B,A74)=0,"",SUMPRODUCT(MAX((Raw_Payments!B$2:B$1079=A74)*Raw_Payments!D$2:D$1079)))</f>
        <v/>
      </c>
      <c r="M74" s="3">
        <f>IF(K74="PAID",MAX(0,L74-G74),Guide!$B$3-G74)</f>
        <v/>
      </c>
      <c r="N74" s="3">
        <f>IF(J74&lt;=0.005,"COLLECTED",IF(M74&lt;=30,"1-30",IF(M74&lt;=60,"31-60",IF(M74&lt;=90,"61-90","90+"))))</f>
        <v/>
      </c>
      <c r="O74" s="3">
        <f>IF(N74="90+","LOST",IF(N74="61-90","ESCALATE",IF(N74="31-60","WATCH",IF(N74="1-30","MILD","OK"))))</f>
        <v/>
      </c>
      <c r="P74" s="3">
        <f>IF(J74&gt;0.005,ROW()-1,"")</f>
        <v/>
      </c>
    </row>
    <row r="75">
      <c r="A75" s="3" t="inlineStr">
        <is>
          <t>D0074</t>
        </is>
      </c>
      <c r="B75" s="3">
        <f>INDEX(Raw_Schedule!B:B,MATCH(A75,Raw_Schedule!A:A,0))</f>
        <v/>
      </c>
      <c r="C75" s="3">
        <f>INDEX(Raw_Schedule!C:C,MATCH(A75,Raw_Schedule!A:A,0))</f>
        <v/>
      </c>
      <c r="D75" s="3">
        <f>INDEX(Raw_Schedule!D:D,MATCH(A75,Raw_Schedule!A:A,0))</f>
        <v/>
      </c>
      <c r="E75" s="3">
        <f>INDEX(Raw_Schedule!E:E,MATCH(A75,Raw_Schedule!A:A,0))</f>
        <v/>
      </c>
      <c r="F75" s="3">
        <f>INDEX(Raw_Schedule!F:F,MATCH(A75,Raw_Schedule!A:A,0))</f>
        <v/>
      </c>
      <c r="G75" s="4">
        <f>INDEX(Raw_Schedule!G:G,MATCH(A75,Raw_Schedule!A:A,0))</f>
        <v/>
      </c>
      <c r="H75" s="5">
        <f>INDEX(Raw_Schedule!H:H,MATCH(A75,Raw_Schedule!A:A,0))</f>
        <v/>
      </c>
      <c r="I75" s="5">
        <f>SUMIFS(Raw_Payments!E:E,Raw_Payments!B:B,A75)</f>
        <v/>
      </c>
      <c r="J75" s="5">
        <f>H75-I75</f>
        <v/>
      </c>
      <c r="K75" s="3">
        <f>IF(J75&lt;=0.005,"PAID",IF(I75&gt;0,"PARTIAL","OVERDUE"))</f>
        <v/>
      </c>
      <c r="L75" s="4">
        <f>IF(COUNTIFS(Raw_Payments!B:B,A75)=0,"",SUMPRODUCT(MAX((Raw_Payments!B$2:B$1079=A75)*Raw_Payments!D$2:D$1079)))</f>
        <v/>
      </c>
      <c r="M75" s="3">
        <f>IF(K75="PAID",MAX(0,L75-G75),Guide!$B$3-G75)</f>
        <v/>
      </c>
      <c r="N75" s="3">
        <f>IF(J75&lt;=0.005,"COLLECTED",IF(M75&lt;=30,"1-30",IF(M75&lt;=60,"31-60",IF(M75&lt;=90,"61-90","90+"))))</f>
        <v/>
      </c>
      <c r="O75" s="3">
        <f>IF(N75="90+","LOST",IF(N75="61-90","ESCALATE",IF(N75="31-60","WATCH",IF(N75="1-30","MILD","OK"))))</f>
        <v/>
      </c>
      <c r="P75" s="3">
        <f>IF(J75&gt;0.005,ROW()-1,"")</f>
        <v/>
      </c>
    </row>
    <row r="76">
      <c r="A76" s="3" t="inlineStr">
        <is>
          <t>D0075</t>
        </is>
      </c>
      <c r="B76" s="3">
        <f>INDEX(Raw_Schedule!B:B,MATCH(A76,Raw_Schedule!A:A,0))</f>
        <v/>
      </c>
      <c r="C76" s="3">
        <f>INDEX(Raw_Schedule!C:C,MATCH(A76,Raw_Schedule!A:A,0))</f>
        <v/>
      </c>
      <c r="D76" s="3">
        <f>INDEX(Raw_Schedule!D:D,MATCH(A76,Raw_Schedule!A:A,0))</f>
        <v/>
      </c>
      <c r="E76" s="3">
        <f>INDEX(Raw_Schedule!E:E,MATCH(A76,Raw_Schedule!A:A,0))</f>
        <v/>
      </c>
      <c r="F76" s="3">
        <f>INDEX(Raw_Schedule!F:F,MATCH(A76,Raw_Schedule!A:A,0))</f>
        <v/>
      </c>
      <c r="G76" s="4">
        <f>INDEX(Raw_Schedule!G:G,MATCH(A76,Raw_Schedule!A:A,0))</f>
        <v/>
      </c>
      <c r="H76" s="5">
        <f>INDEX(Raw_Schedule!H:H,MATCH(A76,Raw_Schedule!A:A,0))</f>
        <v/>
      </c>
      <c r="I76" s="5">
        <f>SUMIFS(Raw_Payments!E:E,Raw_Payments!B:B,A76)</f>
        <v/>
      </c>
      <c r="J76" s="5">
        <f>H76-I76</f>
        <v/>
      </c>
      <c r="K76" s="3">
        <f>IF(J76&lt;=0.005,"PAID",IF(I76&gt;0,"PARTIAL","OVERDUE"))</f>
        <v/>
      </c>
      <c r="L76" s="4">
        <f>IF(COUNTIFS(Raw_Payments!B:B,A76)=0,"",SUMPRODUCT(MAX((Raw_Payments!B$2:B$1079=A76)*Raw_Payments!D$2:D$1079)))</f>
        <v/>
      </c>
      <c r="M76" s="3">
        <f>IF(K76="PAID",MAX(0,L76-G76),Guide!$B$3-G76)</f>
        <v/>
      </c>
      <c r="N76" s="3">
        <f>IF(J76&lt;=0.005,"COLLECTED",IF(M76&lt;=30,"1-30",IF(M76&lt;=60,"31-60",IF(M76&lt;=90,"61-90","90+"))))</f>
        <v/>
      </c>
      <c r="O76" s="3">
        <f>IF(N76="90+","LOST",IF(N76="61-90","ESCALATE",IF(N76="31-60","WATCH",IF(N76="1-30","MILD","OK"))))</f>
        <v/>
      </c>
      <c r="P76" s="3">
        <f>IF(J76&gt;0.005,ROW()-1,"")</f>
        <v/>
      </c>
    </row>
    <row r="77">
      <c r="A77" s="3" t="inlineStr">
        <is>
          <t>D0076</t>
        </is>
      </c>
      <c r="B77" s="3">
        <f>INDEX(Raw_Schedule!B:B,MATCH(A77,Raw_Schedule!A:A,0))</f>
        <v/>
      </c>
      <c r="C77" s="3">
        <f>INDEX(Raw_Schedule!C:C,MATCH(A77,Raw_Schedule!A:A,0))</f>
        <v/>
      </c>
      <c r="D77" s="3">
        <f>INDEX(Raw_Schedule!D:D,MATCH(A77,Raw_Schedule!A:A,0))</f>
        <v/>
      </c>
      <c r="E77" s="3">
        <f>INDEX(Raw_Schedule!E:E,MATCH(A77,Raw_Schedule!A:A,0))</f>
        <v/>
      </c>
      <c r="F77" s="3">
        <f>INDEX(Raw_Schedule!F:F,MATCH(A77,Raw_Schedule!A:A,0))</f>
        <v/>
      </c>
      <c r="G77" s="4">
        <f>INDEX(Raw_Schedule!G:G,MATCH(A77,Raw_Schedule!A:A,0))</f>
        <v/>
      </c>
      <c r="H77" s="5">
        <f>INDEX(Raw_Schedule!H:H,MATCH(A77,Raw_Schedule!A:A,0))</f>
        <v/>
      </c>
      <c r="I77" s="5">
        <f>SUMIFS(Raw_Payments!E:E,Raw_Payments!B:B,A77)</f>
        <v/>
      </c>
      <c r="J77" s="5">
        <f>H77-I77</f>
        <v/>
      </c>
      <c r="K77" s="3">
        <f>IF(J77&lt;=0.005,"PAID",IF(I77&gt;0,"PARTIAL","OVERDUE"))</f>
        <v/>
      </c>
      <c r="L77" s="4">
        <f>IF(COUNTIFS(Raw_Payments!B:B,A77)=0,"",SUMPRODUCT(MAX((Raw_Payments!B$2:B$1079=A77)*Raw_Payments!D$2:D$1079)))</f>
        <v/>
      </c>
      <c r="M77" s="3">
        <f>IF(K77="PAID",MAX(0,L77-G77),Guide!$B$3-G77)</f>
        <v/>
      </c>
      <c r="N77" s="3">
        <f>IF(J77&lt;=0.005,"COLLECTED",IF(M77&lt;=30,"1-30",IF(M77&lt;=60,"31-60",IF(M77&lt;=90,"61-90","90+"))))</f>
        <v/>
      </c>
      <c r="O77" s="3">
        <f>IF(N77="90+","LOST",IF(N77="61-90","ESCALATE",IF(N77="31-60","WATCH",IF(N77="1-30","MILD","OK"))))</f>
        <v/>
      </c>
      <c r="P77" s="3">
        <f>IF(J77&gt;0.005,ROW()-1,"")</f>
        <v/>
      </c>
    </row>
    <row r="78">
      <c r="A78" s="3" t="inlineStr">
        <is>
          <t>D0077</t>
        </is>
      </c>
      <c r="B78" s="3">
        <f>INDEX(Raw_Schedule!B:B,MATCH(A78,Raw_Schedule!A:A,0))</f>
        <v/>
      </c>
      <c r="C78" s="3">
        <f>INDEX(Raw_Schedule!C:C,MATCH(A78,Raw_Schedule!A:A,0))</f>
        <v/>
      </c>
      <c r="D78" s="3">
        <f>INDEX(Raw_Schedule!D:D,MATCH(A78,Raw_Schedule!A:A,0))</f>
        <v/>
      </c>
      <c r="E78" s="3">
        <f>INDEX(Raw_Schedule!E:E,MATCH(A78,Raw_Schedule!A:A,0))</f>
        <v/>
      </c>
      <c r="F78" s="3">
        <f>INDEX(Raw_Schedule!F:F,MATCH(A78,Raw_Schedule!A:A,0))</f>
        <v/>
      </c>
      <c r="G78" s="4">
        <f>INDEX(Raw_Schedule!G:G,MATCH(A78,Raw_Schedule!A:A,0))</f>
        <v/>
      </c>
      <c r="H78" s="5">
        <f>INDEX(Raw_Schedule!H:H,MATCH(A78,Raw_Schedule!A:A,0))</f>
        <v/>
      </c>
      <c r="I78" s="5">
        <f>SUMIFS(Raw_Payments!E:E,Raw_Payments!B:B,A78)</f>
        <v/>
      </c>
      <c r="J78" s="5">
        <f>H78-I78</f>
        <v/>
      </c>
      <c r="K78" s="3">
        <f>IF(J78&lt;=0.005,"PAID",IF(I78&gt;0,"PARTIAL","OVERDUE"))</f>
        <v/>
      </c>
      <c r="L78" s="4">
        <f>IF(COUNTIFS(Raw_Payments!B:B,A78)=0,"",SUMPRODUCT(MAX((Raw_Payments!B$2:B$1079=A78)*Raw_Payments!D$2:D$1079)))</f>
        <v/>
      </c>
      <c r="M78" s="3">
        <f>IF(K78="PAID",MAX(0,L78-G78),Guide!$B$3-G78)</f>
        <v/>
      </c>
      <c r="N78" s="3">
        <f>IF(J78&lt;=0.005,"COLLECTED",IF(M78&lt;=30,"1-30",IF(M78&lt;=60,"31-60",IF(M78&lt;=90,"61-90","90+"))))</f>
        <v/>
      </c>
      <c r="O78" s="3">
        <f>IF(N78="90+","LOST",IF(N78="61-90","ESCALATE",IF(N78="31-60","WATCH",IF(N78="1-30","MILD","OK"))))</f>
        <v/>
      </c>
      <c r="P78" s="3">
        <f>IF(J78&gt;0.005,ROW()-1,"")</f>
        <v/>
      </c>
    </row>
    <row r="79">
      <c r="A79" s="3" t="inlineStr">
        <is>
          <t>D0078</t>
        </is>
      </c>
      <c r="B79" s="3">
        <f>INDEX(Raw_Schedule!B:B,MATCH(A79,Raw_Schedule!A:A,0))</f>
        <v/>
      </c>
      <c r="C79" s="3">
        <f>INDEX(Raw_Schedule!C:C,MATCH(A79,Raw_Schedule!A:A,0))</f>
        <v/>
      </c>
      <c r="D79" s="3">
        <f>INDEX(Raw_Schedule!D:D,MATCH(A79,Raw_Schedule!A:A,0))</f>
        <v/>
      </c>
      <c r="E79" s="3">
        <f>INDEX(Raw_Schedule!E:E,MATCH(A79,Raw_Schedule!A:A,0))</f>
        <v/>
      </c>
      <c r="F79" s="3">
        <f>INDEX(Raw_Schedule!F:F,MATCH(A79,Raw_Schedule!A:A,0))</f>
        <v/>
      </c>
      <c r="G79" s="4">
        <f>INDEX(Raw_Schedule!G:G,MATCH(A79,Raw_Schedule!A:A,0))</f>
        <v/>
      </c>
      <c r="H79" s="5">
        <f>INDEX(Raw_Schedule!H:H,MATCH(A79,Raw_Schedule!A:A,0))</f>
        <v/>
      </c>
      <c r="I79" s="5">
        <f>SUMIFS(Raw_Payments!E:E,Raw_Payments!B:B,A79)</f>
        <v/>
      </c>
      <c r="J79" s="5">
        <f>H79-I79</f>
        <v/>
      </c>
      <c r="K79" s="3">
        <f>IF(J79&lt;=0.005,"PAID",IF(I79&gt;0,"PARTIAL","OVERDUE"))</f>
        <v/>
      </c>
      <c r="L79" s="4">
        <f>IF(COUNTIFS(Raw_Payments!B:B,A79)=0,"",SUMPRODUCT(MAX((Raw_Payments!B$2:B$1079=A79)*Raw_Payments!D$2:D$1079)))</f>
        <v/>
      </c>
      <c r="M79" s="3">
        <f>IF(K79="PAID",MAX(0,L79-G79),Guide!$B$3-G79)</f>
        <v/>
      </c>
      <c r="N79" s="3">
        <f>IF(J79&lt;=0.005,"COLLECTED",IF(M79&lt;=30,"1-30",IF(M79&lt;=60,"31-60",IF(M79&lt;=90,"61-90","90+"))))</f>
        <v/>
      </c>
      <c r="O79" s="3">
        <f>IF(N79="90+","LOST",IF(N79="61-90","ESCALATE",IF(N79="31-60","WATCH",IF(N79="1-30","MILD","OK"))))</f>
        <v/>
      </c>
      <c r="P79" s="3">
        <f>IF(J79&gt;0.005,ROW()-1,"")</f>
        <v/>
      </c>
    </row>
    <row r="80">
      <c r="A80" s="3" t="inlineStr">
        <is>
          <t>D0079</t>
        </is>
      </c>
      <c r="B80" s="3">
        <f>INDEX(Raw_Schedule!B:B,MATCH(A80,Raw_Schedule!A:A,0))</f>
        <v/>
      </c>
      <c r="C80" s="3">
        <f>INDEX(Raw_Schedule!C:C,MATCH(A80,Raw_Schedule!A:A,0))</f>
        <v/>
      </c>
      <c r="D80" s="3">
        <f>INDEX(Raw_Schedule!D:D,MATCH(A80,Raw_Schedule!A:A,0))</f>
        <v/>
      </c>
      <c r="E80" s="3">
        <f>INDEX(Raw_Schedule!E:E,MATCH(A80,Raw_Schedule!A:A,0))</f>
        <v/>
      </c>
      <c r="F80" s="3">
        <f>INDEX(Raw_Schedule!F:F,MATCH(A80,Raw_Schedule!A:A,0))</f>
        <v/>
      </c>
      <c r="G80" s="4">
        <f>INDEX(Raw_Schedule!G:G,MATCH(A80,Raw_Schedule!A:A,0))</f>
        <v/>
      </c>
      <c r="H80" s="5">
        <f>INDEX(Raw_Schedule!H:H,MATCH(A80,Raw_Schedule!A:A,0))</f>
        <v/>
      </c>
      <c r="I80" s="5">
        <f>SUMIFS(Raw_Payments!E:E,Raw_Payments!B:B,A80)</f>
        <v/>
      </c>
      <c r="J80" s="5">
        <f>H80-I80</f>
        <v/>
      </c>
      <c r="K80" s="3">
        <f>IF(J80&lt;=0.005,"PAID",IF(I80&gt;0,"PARTIAL","OVERDUE"))</f>
        <v/>
      </c>
      <c r="L80" s="4">
        <f>IF(COUNTIFS(Raw_Payments!B:B,A80)=0,"",SUMPRODUCT(MAX((Raw_Payments!B$2:B$1079=A80)*Raw_Payments!D$2:D$1079)))</f>
        <v/>
      </c>
      <c r="M80" s="3">
        <f>IF(K80="PAID",MAX(0,L80-G80),Guide!$B$3-G80)</f>
        <v/>
      </c>
      <c r="N80" s="3">
        <f>IF(J80&lt;=0.005,"COLLECTED",IF(M80&lt;=30,"1-30",IF(M80&lt;=60,"31-60",IF(M80&lt;=90,"61-90","90+"))))</f>
        <v/>
      </c>
      <c r="O80" s="3">
        <f>IF(N80="90+","LOST",IF(N80="61-90","ESCALATE",IF(N80="31-60","WATCH",IF(N80="1-30","MILD","OK"))))</f>
        <v/>
      </c>
      <c r="P80" s="3">
        <f>IF(J80&gt;0.005,ROW()-1,"")</f>
        <v/>
      </c>
    </row>
    <row r="81">
      <c r="A81" s="3" t="inlineStr">
        <is>
          <t>D0080</t>
        </is>
      </c>
      <c r="B81" s="3">
        <f>INDEX(Raw_Schedule!B:B,MATCH(A81,Raw_Schedule!A:A,0))</f>
        <v/>
      </c>
      <c r="C81" s="3">
        <f>INDEX(Raw_Schedule!C:C,MATCH(A81,Raw_Schedule!A:A,0))</f>
        <v/>
      </c>
      <c r="D81" s="3">
        <f>INDEX(Raw_Schedule!D:D,MATCH(A81,Raw_Schedule!A:A,0))</f>
        <v/>
      </c>
      <c r="E81" s="3">
        <f>INDEX(Raw_Schedule!E:E,MATCH(A81,Raw_Schedule!A:A,0))</f>
        <v/>
      </c>
      <c r="F81" s="3">
        <f>INDEX(Raw_Schedule!F:F,MATCH(A81,Raw_Schedule!A:A,0))</f>
        <v/>
      </c>
      <c r="G81" s="4">
        <f>INDEX(Raw_Schedule!G:G,MATCH(A81,Raw_Schedule!A:A,0))</f>
        <v/>
      </c>
      <c r="H81" s="5">
        <f>INDEX(Raw_Schedule!H:H,MATCH(A81,Raw_Schedule!A:A,0))</f>
        <v/>
      </c>
      <c r="I81" s="5">
        <f>SUMIFS(Raw_Payments!E:E,Raw_Payments!B:B,A81)</f>
        <v/>
      </c>
      <c r="J81" s="5">
        <f>H81-I81</f>
        <v/>
      </c>
      <c r="K81" s="3">
        <f>IF(J81&lt;=0.005,"PAID",IF(I81&gt;0,"PARTIAL","OVERDUE"))</f>
        <v/>
      </c>
      <c r="L81" s="4">
        <f>IF(COUNTIFS(Raw_Payments!B:B,A81)=0,"",SUMPRODUCT(MAX((Raw_Payments!B$2:B$1079=A81)*Raw_Payments!D$2:D$1079)))</f>
        <v/>
      </c>
      <c r="M81" s="3">
        <f>IF(K81="PAID",MAX(0,L81-G81),Guide!$B$3-G81)</f>
        <v/>
      </c>
      <c r="N81" s="3">
        <f>IF(J81&lt;=0.005,"COLLECTED",IF(M81&lt;=30,"1-30",IF(M81&lt;=60,"31-60",IF(M81&lt;=90,"61-90","90+"))))</f>
        <v/>
      </c>
      <c r="O81" s="3">
        <f>IF(N81="90+","LOST",IF(N81="61-90","ESCALATE",IF(N81="31-60","WATCH",IF(N81="1-30","MILD","OK"))))</f>
        <v/>
      </c>
      <c r="P81" s="3">
        <f>IF(J81&gt;0.005,ROW()-1,"")</f>
        <v/>
      </c>
    </row>
    <row r="82">
      <c r="A82" s="3" t="inlineStr">
        <is>
          <t>D0081</t>
        </is>
      </c>
      <c r="B82" s="3">
        <f>INDEX(Raw_Schedule!B:B,MATCH(A82,Raw_Schedule!A:A,0))</f>
        <v/>
      </c>
      <c r="C82" s="3">
        <f>INDEX(Raw_Schedule!C:C,MATCH(A82,Raw_Schedule!A:A,0))</f>
        <v/>
      </c>
      <c r="D82" s="3">
        <f>INDEX(Raw_Schedule!D:D,MATCH(A82,Raw_Schedule!A:A,0))</f>
        <v/>
      </c>
      <c r="E82" s="3">
        <f>INDEX(Raw_Schedule!E:E,MATCH(A82,Raw_Schedule!A:A,0))</f>
        <v/>
      </c>
      <c r="F82" s="3">
        <f>INDEX(Raw_Schedule!F:F,MATCH(A82,Raw_Schedule!A:A,0))</f>
        <v/>
      </c>
      <c r="G82" s="4">
        <f>INDEX(Raw_Schedule!G:G,MATCH(A82,Raw_Schedule!A:A,0))</f>
        <v/>
      </c>
      <c r="H82" s="5">
        <f>INDEX(Raw_Schedule!H:H,MATCH(A82,Raw_Schedule!A:A,0))</f>
        <v/>
      </c>
      <c r="I82" s="5">
        <f>SUMIFS(Raw_Payments!E:E,Raw_Payments!B:B,A82)</f>
        <v/>
      </c>
      <c r="J82" s="5">
        <f>H82-I82</f>
        <v/>
      </c>
      <c r="K82" s="3">
        <f>IF(J82&lt;=0.005,"PAID",IF(I82&gt;0,"PARTIAL","OVERDUE"))</f>
        <v/>
      </c>
      <c r="L82" s="4">
        <f>IF(COUNTIFS(Raw_Payments!B:B,A82)=0,"",SUMPRODUCT(MAX((Raw_Payments!B$2:B$1079=A82)*Raw_Payments!D$2:D$1079)))</f>
        <v/>
      </c>
      <c r="M82" s="3">
        <f>IF(K82="PAID",MAX(0,L82-G82),Guide!$B$3-G82)</f>
        <v/>
      </c>
      <c r="N82" s="3">
        <f>IF(J82&lt;=0.005,"COLLECTED",IF(M82&lt;=30,"1-30",IF(M82&lt;=60,"31-60",IF(M82&lt;=90,"61-90","90+"))))</f>
        <v/>
      </c>
      <c r="O82" s="3">
        <f>IF(N82="90+","LOST",IF(N82="61-90","ESCALATE",IF(N82="31-60","WATCH",IF(N82="1-30","MILD","OK"))))</f>
        <v/>
      </c>
      <c r="P82" s="3">
        <f>IF(J82&gt;0.005,ROW()-1,"")</f>
        <v/>
      </c>
    </row>
    <row r="83">
      <c r="A83" s="3" t="inlineStr">
        <is>
          <t>D0082</t>
        </is>
      </c>
      <c r="B83" s="3">
        <f>INDEX(Raw_Schedule!B:B,MATCH(A83,Raw_Schedule!A:A,0))</f>
        <v/>
      </c>
      <c r="C83" s="3">
        <f>INDEX(Raw_Schedule!C:C,MATCH(A83,Raw_Schedule!A:A,0))</f>
        <v/>
      </c>
      <c r="D83" s="3">
        <f>INDEX(Raw_Schedule!D:D,MATCH(A83,Raw_Schedule!A:A,0))</f>
        <v/>
      </c>
      <c r="E83" s="3">
        <f>INDEX(Raw_Schedule!E:E,MATCH(A83,Raw_Schedule!A:A,0))</f>
        <v/>
      </c>
      <c r="F83" s="3">
        <f>INDEX(Raw_Schedule!F:F,MATCH(A83,Raw_Schedule!A:A,0))</f>
        <v/>
      </c>
      <c r="G83" s="4">
        <f>INDEX(Raw_Schedule!G:G,MATCH(A83,Raw_Schedule!A:A,0))</f>
        <v/>
      </c>
      <c r="H83" s="5">
        <f>INDEX(Raw_Schedule!H:H,MATCH(A83,Raw_Schedule!A:A,0))</f>
        <v/>
      </c>
      <c r="I83" s="5">
        <f>SUMIFS(Raw_Payments!E:E,Raw_Payments!B:B,A83)</f>
        <v/>
      </c>
      <c r="J83" s="5">
        <f>H83-I83</f>
        <v/>
      </c>
      <c r="K83" s="3">
        <f>IF(J83&lt;=0.005,"PAID",IF(I83&gt;0,"PARTIAL","OVERDUE"))</f>
        <v/>
      </c>
      <c r="L83" s="4">
        <f>IF(COUNTIFS(Raw_Payments!B:B,A83)=0,"",SUMPRODUCT(MAX((Raw_Payments!B$2:B$1079=A83)*Raw_Payments!D$2:D$1079)))</f>
        <v/>
      </c>
      <c r="M83" s="3">
        <f>IF(K83="PAID",MAX(0,L83-G83),Guide!$B$3-G83)</f>
        <v/>
      </c>
      <c r="N83" s="3">
        <f>IF(J83&lt;=0.005,"COLLECTED",IF(M83&lt;=30,"1-30",IF(M83&lt;=60,"31-60",IF(M83&lt;=90,"61-90","90+"))))</f>
        <v/>
      </c>
      <c r="O83" s="3">
        <f>IF(N83="90+","LOST",IF(N83="61-90","ESCALATE",IF(N83="31-60","WATCH",IF(N83="1-30","MILD","OK"))))</f>
        <v/>
      </c>
      <c r="P83" s="3">
        <f>IF(J83&gt;0.005,ROW()-1,"")</f>
        <v/>
      </c>
    </row>
    <row r="84">
      <c r="A84" s="3" t="inlineStr">
        <is>
          <t>D0083</t>
        </is>
      </c>
      <c r="B84" s="3">
        <f>INDEX(Raw_Schedule!B:B,MATCH(A84,Raw_Schedule!A:A,0))</f>
        <v/>
      </c>
      <c r="C84" s="3">
        <f>INDEX(Raw_Schedule!C:C,MATCH(A84,Raw_Schedule!A:A,0))</f>
        <v/>
      </c>
      <c r="D84" s="3">
        <f>INDEX(Raw_Schedule!D:D,MATCH(A84,Raw_Schedule!A:A,0))</f>
        <v/>
      </c>
      <c r="E84" s="3">
        <f>INDEX(Raw_Schedule!E:E,MATCH(A84,Raw_Schedule!A:A,0))</f>
        <v/>
      </c>
      <c r="F84" s="3">
        <f>INDEX(Raw_Schedule!F:F,MATCH(A84,Raw_Schedule!A:A,0))</f>
        <v/>
      </c>
      <c r="G84" s="4">
        <f>INDEX(Raw_Schedule!G:G,MATCH(A84,Raw_Schedule!A:A,0))</f>
        <v/>
      </c>
      <c r="H84" s="5">
        <f>INDEX(Raw_Schedule!H:H,MATCH(A84,Raw_Schedule!A:A,0))</f>
        <v/>
      </c>
      <c r="I84" s="5">
        <f>SUMIFS(Raw_Payments!E:E,Raw_Payments!B:B,A84)</f>
        <v/>
      </c>
      <c r="J84" s="5">
        <f>H84-I84</f>
        <v/>
      </c>
      <c r="K84" s="3">
        <f>IF(J84&lt;=0.005,"PAID",IF(I84&gt;0,"PARTIAL","OVERDUE"))</f>
        <v/>
      </c>
      <c r="L84" s="4">
        <f>IF(COUNTIFS(Raw_Payments!B:B,A84)=0,"",SUMPRODUCT(MAX((Raw_Payments!B$2:B$1079=A84)*Raw_Payments!D$2:D$1079)))</f>
        <v/>
      </c>
      <c r="M84" s="3">
        <f>IF(K84="PAID",MAX(0,L84-G84),Guide!$B$3-G84)</f>
        <v/>
      </c>
      <c r="N84" s="3">
        <f>IF(J84&lt;=0.005,"COLLECTED",IF(M84&lt;=30,"1-30",IF(M84&lt;=60,"31-60",IF(M84&lt;=90,"61-90","90+"))))</f>
        <v/>
      </c>
      <c r="O84" s="3">
        <f>IF(N84="90+","LOST",IF(N84="61-90","ESCALATE",IF(N84="31-60","WATCH",IF(N84="1-30","MILD","OK"))))</f>
        <v/>
      </c>
      <c r="P84" s="3">
        <f>IF(J84&gt;0.005,ROW()-1,"")</f>
        <v/>
      </c>
    </row>
    <row r="85">
      <c r="A85" s="3" t="inlineStr">
        <is>
          <t>D0084</t>
        </is>
      </c>
      <c r="B85" s="3">
        <f>INDEX(Raw_Schedule!B:B,MATCH(A85,Raw_Schedule!A:A,0))</f>
        <v/>
      </c>
      <c r="C85" s="3">
        <f>INDEX(Raw_Schedule!C:C,MATCH(A85,Raw_Schedule!A:A,0))</f>
        <v/>
      </c>
      <c r="D85" s="3">
        <f>INDEX(Raw_Schedule!D:D,MATCH(A85,Raw_Schedule!A:A,0))</f>
        <v/>
      </c>
      <c r="E85" s="3">
        <f>INDEX(Raw_Schedule!E:E,MATCH(A85,Raw_Schedule!A:A,0))</f>
        <v/>
      </c>
      <c r="F85" s="3">
        <f>INDEX(Raw_Schedule!F:F,MATCH(A85,Raw_Schedule!A:A,0))</f>
        <v/>
      </c>
      <c r="G85" s="4">
        <f>INDEX(Raw_Schedule!G:G,MATCH(A85,Raw_Schedule!A:A,0))</f>
        <v/>
      </c>
      <c r="H85" s="5">
        <f>INDEX(Raw_Schedule!H:H,MATCH(A85,Raw_Schedule!A:A,0))</f>
        <v/>
      </c>
      <c r="I85" s="5">
        <f>SUMIFS(Raw_Payments!E:E,Raw_Payments!B:B,A85)</f>
        <v/>
      </c>
      <c r="J85" s="5">
        <f>H85-I85</f>
        <v/>
      </c>
      <c r="K85" s="3">
        <f>IF(J85&lt;=0.005,"PAID",IF(I85&gt;0,"PARTIAL","OVERDUE"))</f>
        <v/>
      </c>
      <c r="L85" s="4">
        <f>IF(COUNTIFS(Raw_Payments!B:B,A85)=0,"",SUMPRODUCT(MAX((Raw_Payments!B$2:B$1079=A85)*Raw_Payments!D$2:D$1079)))</f>
        <v/>
      </c>
      <c r="M85" s="3">
        <f>IF(K85="PAID",MAX(0,L85-G85),Guide!$B$3-G85)</f>
        <v/>
      </c>
      <c r="N85" s="3">
        <f>IF(J85&lt;=0.005,"COLLECTED",IF(M85&lt;=30,"1-30",IF(M85&lt;=60,"31-60",IF(M85&lt;=90,"61-90","90+"))))</f>
        <v/>
      </c>
      <c r="O85" s="3">
        <f>IF(N85="90+","LOST",IF(N85="61-90","ESCALATE",IF(N85="31-60","WATCH",IF(N85="1-30","MILD","OK"))))</f>
        <v/>
      </c>
      <c r="P85" s="3">
        <f>IF(J85&gt;0.005,ROW()-1,"")</f>
        <v/>
      </c>
    </row>
    <row r="86">
      <c r="A86" s="3" t="inlineStr">
        <is>
          <t>D0085</t>
        </is>
      </c>
      <c r="B86" s="3">
        <f>INDEX(Raw_Schedule!B:B,MATCH(A86,Raw_Schedule!A:A,0))</f>
        <v/>
      </c>
      <c r="C86" s="3">
        <f>INDEX(Raw_Schedule!C:C,MATCH(A86,Raw_Schedule!A:A,0))</f>
        <v/>
      </c>
      <c r="D86" s="3">
        <f>INDEX(Raw_Schedule!D:D,MATCH(A86,Raw_Schedule!A:A,0))</f>
        <v/>
      </c>
      <c r="E86" s="3">
        <f>INDEX(Raw_Schedule!E:E,MATCH(A86,Raw_Schedule!A:A,0))</f>
        <v/>
      </c>
      <c r="F86" s="3">
        <f>INDEX(Raw_Schedule!F:F,MATCH(A86,Raw_Schedule!A:A,0))</f>
        <v/>
      </c>
      <c r="G86" s="4">
        <f>INDEX(Raw_Schedule!G:G,MATCH(A86,Raw_Schedule!A:A,0))</f>
        <v/>
      </c>
      <c r="H86" s="5">
        <f>INDEX(Raw_Schedule!H:H,MATCH(A86,Raw_Schedule!A:A,0))</f>
        <v/>
      </c>
      <c r="I86" s="5">
        <f>SUMIFS(Raw_Payments!E:E,Raw_Payments!B:B,A86)</f>
        <v/>
      </c>
      <c r="J86" s="5">
        <f>H86-I86</f>
        <v/>
      </c>
      <c r="K86" s="3">
        <f>IF(J86&lt;=0.005,"PAID",IF(I86&gt;0,"PARTIAL","OVERDUE"))</f>
        <v/>
      </c>
      <c r="L86" s="4">
        <f>IF(COUNTIFS(Raw_Payments!B:B,A86)=0,"",SUMPRODUCT(MAX((Raw_Payments!B$2:B$1079=A86)*Raw_Payments!D$2:D$1079)))</f>
        <v/>
      </c>
      <c r="M86" s="3">
        <f>IF(K86="PAID",MAX(0,L86-G86),Guide!$B$3-G86)</f>
        <v/>
      </c>
      <c r="N86" s="3">
        <f>IF(J86&lt;=0.005,"COLLECTED",IF(M86&lt;=30,"1-30",IF(M86&lt;=60,"31-60",IF(M86&lt;=90,"61-90","90+"))))</f>
        <v/>
      </c>
      <c r="O86" s="3">
        <f>IF(N86="90+","LOST",IF(N86="61-90","ESCALATE",IF(N86="31-60","WATCH",IF(N86="1-30","MILD","OK"))))</f>
        <v/>
      </c>
      <c r="P86" s="3">
        <f>IF(J86&gt;0.005,ROW()-1,"")</f>
        <v/>
      </c>
    </row>
    <row r="87">
      <c r="A87" s="3" t="inlineStr">
        <is>
          <t>D0086</t>
        </is>
      </c>
      <c r="B87" s="3">
        <f>INDEX(Raw_Schedule!B:B,MATCH(A87,Raw_Schedule!A:A,0))</f>
        <v/>
      </c>
      <c r="C87" s="3">
        <f>INDEX(Raw_Schedule!C:C,MATCH(A87,Raw_Schedule!A:A,0))</f>
        <v/>
      </c>
      <c r="D87" s="3">
        <f>INDEX(Raw_Schedule!D:D,MATCH(A87,Raw_Schedule!A:A,0))</f>
        <v/>
      </c>
      <c r="E87" s="3">
        <f>INDEX(Raw_Schedule!E:E,MATCH(A87,Raw_Schedule!A:A,0))</f>
        <v/>
      </c>
      <c r="F87" s="3">
        <f>INDEX(Raw_Schedule!F:F,MATCH(A87,Raw_Schedule!A:A,0))</f>
        <v/>
      </c>
      <c r="G87" s="4">
        <f>INDEX(Raw_Schedule!G:G,MATCH(A87,Raw_Schedule!A:A,0))</f>
        <v/>
      </c>
      <c r="H87" s="5">
        <f>INDEX(Raw_Schedule!H:H,MATCH(A87,Raw_Schedule!A:A,0))</f>
        <v/>
      </c>
      <c r="I87" s="5">
        <f>SUMIFS(Raw_Payments!E:E,Raw_Payments!B:B,A87)</f>
        <v/>
      </c>
      <c r="J87" s="5">
        <f>H87-I87</f>
        <v/>
      </c>
      <c r="K87" s="3">
        <f>IF(J87&lt;=0.005,"PAID",IF(I87&gt;0,"PARTIAL","OVERDUE"))</f>
        <v/>
      </c>
      <c r="L87" s="4">
        <f>IF(COUNTIFS(Raw_Payments!B:B,A87)=0,"",SUMPRODUCT(MAX((Raw_Payments!B$2:B$1079=A87)*Raw_Payments!D$2:D$1079)))</f>
        <v/>
      </c>
      <c r="M87" s="3">
        <f>IF(K87="PAID",MAX(0,L87-G87),Guide!$B$3-G87)</f>
        <v/>
      </c>
      <c r="N87" s="3">
        <f>IF(J87&lt;=0.005,"COLLECTED",IF(M87&lt;=30,"1-30",IF(M87&lt;=60,"31-60",IF(M87&lt;=90,"61-90","90+"))))</f>
        <v/>
      </c>
      <c r="O87" s="3">
        <f>IF(N87="90+","LOST",IF(N87="61-90","ESCALATE",IF(N87="31-60","WATCH",IF(N87="1-30","MILD","OK"))))</f>
        <v/>
      </c>
      <c r="P87" s="3">
        <f>IF(J87&gt;0.005,ROW()-1,"")</f>
        <v/>
      </c>
    </row>
    <row r="88">
      <c r="A88" s="3" t="inlineStr">
        <is>
          <t>D0087</t>
        </is>
      </c>
      <c r="B88" s="3">
        <f>INDEX(Raw_Schedule!B:B,MATCH(A88,Raw_Schedule!A:A,0))</f>
        <v/>
      </c>
      <c r="C88" s="3">
        <f>INDEX(Raw_Schedule!C:C,MATCH(A88,Raw_Schedule!A:A,0))</f>
        <v/>
      </c>
      <c r="D88" s="3">
        <f>INDEX(Raw_Schedule!D:D,MATCH(A88,Raw_Schedule!A:A,0))</f>
        <v/>
      </c>
      <c r="E88" s="3">
        <f>INDEX(Raw_Schedule!E:E,MATCH(A88,Raw_Schedule!A:A,0))</f>
        <v/>
      </c>
      <c r="F88" s="3">
        <f>INDEX(Raw_Schedule!F:F,MATCH(A88,Raw_Schedule!A:A,0))</f>
        <v/>
      </c>
      <c r="G88" s="4">
        <f>INDEX(Raw_Schedule!G:G,MATCH(A88,Raw_Schedule!A:A,0))</f>
        <v/>
      </c>
      <c r="H88" s="5">
        <f>INDEX(Raw_Schedule!H:H,MATCH(A88,Raw_Schedule!A:A,0))</f>
        <v/>
      </c>
      <c r="I88" s="5">
        <f>SUMIFS(Raw_Payments!E:E,Raw_Payments!B:B,A88)</f>
        <v/>
      </c>
      <c r="J88" s="5">
        <f>H88-I88</f>
        <v/>
      </c>
      <c r="K88" s="3">
        <f>IF(J88&lt;=0.005,"PAID",IF(I88&gt;0,"PARTIAL","OVERDUE"))</f>
        <v/>
      </c>
      <c r="L88" s="4">
        <f>IF(COUNTIFS(Raw_Payments!B:B,A88)=0,"",SUMPRODUCT(MAX((Raw_Payments!B$2:B$1079=A88)*Raw_Payments!D$2:D$1079)))</f>
        <v/>
      </c>
      <c r="M88" s="3">
        <f>IF(K88="PAID",MAX(0,L88-G88),Guide!$B$3-G88)</f>
        <v/>
      </c>
      <c r="N88" s="3">
        <f>IF(J88&lt;=0.005,"COLLECTED",IF(M88&lt;=30,"1-30",IF(M88&lt;=60,"31-60",IF(M88&lt;=90,"61-90","90+"))))</f>
        <v/>
      </c>
      <c r="O88" s="3">
        <f>IF(N88="90+","LOST",IF(N88="61-90","ESCALATE",IF(N88="31-60","WATCH",IF(N88="1-30","MILD","OK"))))</f>
        <v/>
      </c>
      <c r="P88" s="3">
        <f>IF(J88&gt;0.005,ROW()-1,"")</f>
        <v/>
      </c>
    </row>
    <row r="89">
      <c r="A89" s="3" t="inlineStr">
        <is>
          <t>D0088</t>
        </is>
      </c>
      <c r="B89" s="3">
        <f>INDEX(Raw_Schedule!B:B,MATCH(A89,Raw_Schedule!A:A,0))</f>
        <v/>
      </c>
      <c r="C89" s="3">
        <f>INDEX(Raw_Schedule!C:C,MATCH(A89,Raw_Schedule!A:A,0))</f>
        <v/>
      </c>
      <c r="D89" s="3">
        <f>INDEX(Raw_Schedule!D:D,MATCH(A89,Raw_Schedule!A:A,0))</f>
        <v/>
      </c>
      <c r="E89" s="3">
        <f>INDEX(Raw_Schedule!E:E,MATCH(A89,Raw_Schedule!A:A,0))</f>
        <v/>
      </c>
      <c r="F89" s="3">
        <f>INDEX(Raw_Schedule!F:F,MATCH(A89,Raw_Schedule!A:A,0))</f>
        <v/>
      </c>
      <c r="G89" s="4">
        <f>INDEX(Raw_Schedule!G:G,MATCH(A89,Raw_Schedule!A:A,0))</f>
        <v/>
      </c>
      <c r="H89" s="5">
        <f>INDEX(Raw_Schedule!H:H,MATCH(A89,Raw_Schedule!A:A,0))</f>
        <v/>
      </c>
      <c r="I89" s="5">
        <f>SUMIFS(Raw_Payments!E:E,Raw_Payments!B:B,A89)</f>
        <v/>
      </c>
      <c r="J89" s="5">
        <f>H89-I89</f>
        <v/>
      </c>
      <c r="K89" s="3">
        <f>IF(J89&lt;=0.005,"PAID",IF(I89&gt;0,"PARTIAL","OVERDUE"))</f>
        <v/>
      </c>
      <c r="L89" s="4">
        <f>IF(COUNTIFS(Raw_Payments!B:B,A89)=0,"",SUMPRODUCT(MAX((Raw_Payments!B$2:B$1079=A89)*Raw_Payments!D$2:D$1079)))</f>
        <v/>
      </c>
      <c r="M89" s="3">
        <f>IF(K89="PAID",MAX(0,L89-G89),Guide!$B$3-G89)</f>
        <v/>
      </c>
      <c r="N89" s="3">
        <f>IF(J89&lt;=0.005,"COLLECTED",IF(M89&lt;=30,"1-30",IF(M89&lt;=60,"31-60",IF(M89&lt;=90,"61-90","90+"))))</f>
        <v/>
      </c>
      <c r="O89" s="3">
        <f>IF(N89="90+","LOST",IF(N89="61-90","ESCALATE",IF(N89="31-60","WATCH",IF(N89="1-30","MILD","OK"))))</f>
        <v/>
      </c>
      <c r="P89" s="3">
        <f>IF(J89&gt;0.005,ROW()-1,"")</f>
        <v/>
      </c>
    </row>
    <row r="90">
      <c r="A90" s="3" t="inlineStr">
        <is>
          <t>D0089</t>
        </is>
      </c>
      <c r="B90" s="3">
        <f>INDEX(Raw_Schedule!B:B,MATCH(A90,Raw_Schedule!A:A,0))</f>
        <v/>
      </c>
      <c r="C90" s="3">
        <f>INDEX(Raw_Schedule!C:C,MATCH(A90,Raw_Schedule!A:A,0))</f>
        <v/>
      </c>
      <c r="D90" s="3">
        <f>INDEX(Raw_Schedule!D:D,MATCH(A90,Raw_Schedule!A:A,0))</f>
        <v/>
      </c>
      <c r="E90" s="3">
        <f>INDEX(Raw_Schedule!E:E,MATCH(A90,Raw_Schedule!A:A,0))</f>
        <v/>
      </c>
      <c r="F90" s="3">
        <f>INDEX(Raw_Schedule!F:F,MATCH(A90,Raw_Schedule!A:A,0))</f>
        <v/>
      </c>
      <c r="G90" s="4">
        <f>INDEX(Raw_Schedule!G:G,MATCH(A90,Raw_Schedule!A:A,0))</f>
        <v/>
      </c>
      <c r="H90" s="5">
        <f>INDEX(Raw_Schedule!H:H,MATCH(A90,Raw_Schedule!A:A,0))</f>
        <v/>
      </c>
      <c r="I90" s="5">
        <f>SUMIFS(Raw_Payments!E:E,Raw_Payments!B:B,A90)</f>
        <v/>
      </c>
      <c r="J90" s="5">
        <f>H90-I90</f>
        <v/>
      </c>
      <c r="K90" s="3">
        <f>IF(J90&lt;=0.005,"PAID",IF(I90&gt;0,"PARTIAL","OVERDUE"))</f>
        <v/>
      </c>
      <c r="L90" s="4">
        <f>IF(COUNTIFS(Raw_Payments!B:B,A90)=0,"",SUMPRODUCT(MAX((Raw_Payments!B$2:B$1079=A90)*Raw_Payments!D$2:D$1079)))</f>
        <v/>
      </c>
      <c r="M90" s="3">
        <f>IF(K90="PAID",MAX(0,L90-G90),Guide!$B$3-G90)</f>
        <v/>
      </c>
      <c r="N90" s="3">
        <f>IF(J90&lt;=0.005,"COLLECTED",IF(M90&lt;=30,"1-30",IF(M90&lt;=60,"31-60",IF(M90&lt;=90,"61-90","90+"))))</f>
        <v/>
      </c>
      <c r="O90" s="3">
        <f>IF(N90="90+","LOST",IF(N90="61-90","ESCALATE",IF(N90="31-60","WATCH",IF(N90="1-30","MILD","OK"))))</f>
        <v/>
      </c>
      <c r="P90" s="3">
        <f>IF(J90&gt;0.005,ROW()-1,"")</f>
        <v/>
      </c>
    </row>
    <row r="91">
      <c r="A91" s="3" t="inlineStr">
        <is>
          <t>D0090</t>
        </is>
      </c>
      <c r="B91" s="3">
        <f>INDEX(Raw_Schedule!B:B,MATCH(A91,Raw_Schedule!A:A,0))</f>
        <v/>
      </c>
      <c r="C91" s="3">
        <f>INDEX(Raw_Schedule!C:C,MATCH(A91,Raw_Schedule!A:A,0))</f>
        <v/>
      </c>
      <c r="D91" s="3">
        <f>INDEX(Raw_Schedule!D:D,MATCH(A91,Raw_Schedule!A:A,0))</f>
        <v/>
      </c>
      <c r="E91" s="3">
        <f>INDEX(Raw_Schedule!E:E,MATCH(A91,Raw_Schedule!A:A,0))</f>
        <v/>
      </c>
      <c r="F91" s="3">
        <f>INDEX(Raw_Schedule!F:F,MATCH(A91,Raw_Schedule!A:A,0))</f>
        <v/>
      </c>
      <c r="G91" s="4">
        <f>INDEX(Raw_Schedule!G:G,MATCH(A91,Raw_Schedule!A:A,0))</f>
        <v/>
      </c>
      <c r="H91" s="5">
        <f>INDEX(Raw_Schedule!H:H,MATCH(A91,Raw_Schedule!A:A,0))</f>
        <v/>
      </c>
      <c r="I91" s="5">
        <f>SUMIFS(Raw_Payments!E:E,Raw_Payments!B:B,A91)</f>
        <v/>
      </c>
      <c r="J91" s="5">
        <f>H91-I91</f>
        <v/>
      </c>
      <c r="K91" s="3">
        <f>IF(J91&lt;=0.005,"PAID",IF(I91&gt;0,"PARTIAL","OVERDUE"))</f>
        <v/>
      </c>
      <c r="L91" s="4">
        <f>IF(COUNTIFS(Raw_Payments!B:B,A91)=0,"",SUMPRODUCT(MAX((Raw_Payments!B$2:B$1079=A91)*Raw_Payments!D$2:D$1079)))</f>
        <v/>
      </c>
      <c r="M91" s="3">
        <f>IF(K91="PAID",MAX(0,L91-G91),Guide!$B$3-G91)</f>
        <v/>
      </c>
      <c r="N91" s="3">
        <f>IF(J91&lt;=0.005,"COLLECTED",IF(M91&lt;=30,"1-30",IF(M91&lt;=60,"31-60",IF(M91&lt;=90,"61-90","90+"))))</f>
        <v/>
      </c>
      <c r="O91" s="3">
        <f>IF(N91="90+","LOST",IF(N91="61-90","ESCALATE",IF(N91="31-60","WATCH",IF(N91="1-30","MILD","OK"))))</f>
        <v/>
      </c>
      <c r="P91" s="3">
        <f>IF(J91&gt;0.005,ROW()-1,"")</f>
        <v/>
      </c>
    </row>
    <row r="92">
      <c r="A92" s="3" t="inlineStr">
        <is>
          <t>D0091</t>
        </is>
      </c>
      <c r="B92" s="3">
        <f>INDEX(Raw_Schedule!B:B,MATCH(A92,Raw_Schedule!A:A,0))</f>
        <v/>
      </c>
      <c r="C92" s="3">
        <f>INDEX(Raw_Schedule!C:C,MATCH(A92,Raw_Schedule!A:A,0))</f>
        <v/>
      </c>
      <c r="D92" s="3">
        <f>INDEX(Raw_Schedule!D:D,MATCH(A92,Raw_Schedule!A:A,0))</f>
        <v/>
      </c>
      <c r="E92" s="3">
        <f>INDEX(Raw_Schedule!E:E,MATCH(A92,Raw_Schedule!A:A,0))</f>
        <v/>
      </c>
      <c r="F92" s="3">
        <f>INDEX(Raw_Schedule!F:F,MATCH(A92,Raw_Schedule!A:A,0))</f>
        <v/>
      </c>
      <c r="G92" s="4">
        <f>INDEX(Raw_Schedule!G:G,MATCH(A92,Raw_Schedule!A:A,0))</f>
        <v/>
      </c>
      <c r="H92" s="5">
        <f>INDEX(Raw_Schedule!H:H,MATCH(A92,Raw_Schedule!A:A,0))</f>
        <v/>
      </c>
      <c r="I92" s="5">
        <f>SUMIFS(Raw_Payments!E:E,Raw_Payments!B:B,A92)</f>
        <v/>
      </c>
      <c r="J92" s="5">
        <f>H92-I92</f>
        <v/>
      </c>
      <c r="K92" s="3">
        <f>IF(J92&lt;=0.005,"PAID",IF(I92&gt;0,"PARTIAL","OVERDUE"))</f>
        <v/>
      </c>
      <c r="L92" s="4">
        <f>IF(COUNTIFS(Raw_Payments!B:B,A92)=0,"",SUMPRODUCT(MAX((Raw_Payments!B$2:B$1079=A92)*Raw_Payments!D$2:D$1079)))</f>
        <v/>
      </c>
      <c r="M92" s="3">
        <f>IF(K92="PAID",MAX(0,L92-G92),Guide!$B$3-G92)</f>
        <v/>
      </c>
      <c r="N92" s="3">
        <f>IF(J92&lt;=0.005,"COLLECTED",IF(M92&lt;=30,"1-30",IF(M92&lt;=60,"31-60",IF(M92&lt;=90,"61-90","90+"))))</f>
        <v/>
      </c>
      <c r="O92" s="3">
        <f>IF(N92="90+","LOST",IF(N92="61-90","ESCALATE",IF(N92="31-60","WATCH",IF(N92="1-30","MILD","OK"))))</f>
        <v/>
      </c>
      <c r="P92" s="3">
        <f>IF(J92&gt;0.005,ROW()-1,"")</f>
        <v/>
      </c>
    </row>
    <row r="93">
      <c r="A93" s="3" t="inlineStr">
        <is>
          <t>D0092</t>
        </is>
      </c>
      <c r="B93" s="3">
        <f>INDEX(Raw_Schedule!B:B,MATCH(A93,Raw_Schedule!A:A,0))</f>
        <v/>
      </c>
      <c r="C93" s="3">
        <f>INDEX(Raw_Schedule!C:C,MATCH(A93,Raw_Schedule!A:A,0))</f>
        <v/>
      </c>
      <c r="D93" s="3">
        <f>INDEX(Raw_Schedule!D:D,MATCH(A93,Raw_Schedule!A:A,0))</f>
        <v/>
      </c>
      <c r="E93" s="3">
        <f>INDEX(Raw_Schedule!E:E,MATCH(A93,Raw_Schedule!A:A,0))</f>
        <v/>
      </c>
      <c r="F93" s="3">
        <f>INDEX(Raw_Schedule!F:F,MATCH(A93,Raw_Schedule!A:A,0))</f>
        <v/>
      </c>
      <c r="G93" s="4">
        <f>INDEX(Raw_Schedule!G:G,MATCH(A93,Raw_Schedule!A:A,0))</f>
        <v/>
      </c>
      <c r="H93" s="5">
        <f>INDEX(Raw_Schedule!H:H,MATCH(A93,Raw_Schedule!A:A,0))</f>
        <v/>
      </c>
      <c r="I93" s="5">
        <f>SUMIFS(Raw_Payments!E:E,Raw_Payments!B:B,A93)</f>
        <v/>
      </c>
      <c r="J93" s="5">
        <f>H93-I93</f>
        <v/>
      </c>
      <c r="K93" s="3">
        <f>IF(J93&lt;=0.005,"PAID",IF(I93&gt;0,"PARTIAL","OVERDUE"))</f>
        <v/>
      </c>
      <c r="L93" s="4">
        <f>IF(COUNTIFS(Raw_Payments!B:B,A93)=0,"",SUMPRODUCT(MAX((Raw_Payments!B$2:B$1079=A93)*Raw_Payments!D$2:D$1079)))</f>
        <v/>
      </c>
      <c r="M93" s="3">
        <f>IF(K93="PAID",MAX(0,L93-G93),Guide!$B$3-G93)</f>
        <v/>
      </c>
      <c r="N93" s="3">
        <f>IF(J93&lt;=0.005,"COLLECTED",IF(M93&lt;=30,"1-30",IF(M93&lt;=60,"31-60",IF(M93&lt;=90,"61-90","90+"))))</f>
        <v/>
      </c>
      <c r="O93" s="3">
        <f>IF(N93="90+","LOST",IF(N93="61-90","ESCALATE",IF(N93="31-60","WATCH",IF(N93="1-30","MILD","OK"))))</f>
        <v/>
      </c>
      <c r="P93" s="3">
        <f>IF(J93&gt;0.005,ROW()-1,"")</f>
        <v/>
      </c>
    </row>
    <row r="94">
      <c r="A94" s="3" t="inlineStr">
        <is>
          <t>D0093</t>
        </is>
      </c>
      <c r="B94" s="3">
        <f>INDEX(Raw_Schedule!B:B,MATCH(A94,Raw_Schedule!A:A,0))</f>
        <v/>
      </c>
      <c r="C94" s="3">
        <f>INDEX(Raw_Schedule!C:C,MATCH(A94,Raw_Schedule!A:A,0))</f>
        <v/>
      </c>
      <c r="D94" s="3">
        <f>INDEX(Raw_Schedule!D:D,MATCH(A94,Raw_Schedule!A:A,0))</f>
        <v/>
      </c>
      <c r="E94" s="3">
        <f>INDEX(Raw_Schedule!E:E,MATCH(A94,Raw_Schedule!A:A,0))</f>
        <v/>
      </c>
      <c r="F94" s="3">
        <f>INDEX(Raw_Schedule!F:F,MATCH(A94,Raw_Schedule!A:A,0))</f>
        <v/>
      </c>
      <c r="G94" s="4">
        <f>INDEX(Raw_Schedule!G:G,MATCH(A94,Raw_Schedule!A:A,0))</f>
        <v/>
      </c>
      <c r="H94" s="5">
        <f>INDEX(Raw_Schedule!H:H,MATCH(A94,Raw_Schedule!A:A,0))</f>
        <v/>
      </c>
      <c r="I94" s="5">
        <f>SUMIFS(Raw_Payments!E:E,Raw_Payments!B:B,A94)</f>
        <v/>
      </c>
      <c r="J94" s="5">
        <f>H94-I94</f>
        <v/>
      </c>
      <c r="K94" s="3">
        <f>IF(J94&lt;=0.005,"PAID",IF(I94&gt;0,"PARTIAL","OVERDUE"))</f>
        <v/>
      </c>
      <c r="L94" s="4">
        <f>IF(COUNTIFS(Raw_Payments!B:B,A94)=0,"",SUMPRODUCT(MAX((Raw_Payments!B$2:B$1079=A94)*Raw_Payments!D$2:D$1079)))</f>
        <v/>
      </c>
      <c r="M94" s="3">
        <f>IF(K94="PAID",MAX(0,L94-G94),Guide!$B$3-G94)</f>
        <v/>
      </c>
      <c r="N94" s="3">
        <f>IF(J94&lt;=0.005,"COLLECTED",IF(M94&lt;=30,"1-30",IF(M94&lt;=60,"31-60",IF(M94&lt;=90,"61-90","90+"))))</f>
        <v/>
      </c>
      <c r="O94" s="3">
        <f>IF(N94="90+","LOST",IF(N94="61-90","ESCALATE",IF(N94="31-60","WATCH",IF(N94="1-30","MILD","OK"))))</f>
        <v/>
      </c>
      <c r="P94" s="3">
        <f>IF(J94&gt;0.005,ROW()-1,"")</f>
        <v/>
      </c>
    </row>
    <row r="95">
      <c r="A95" s="3" t="inlineStr">
        <is>
          <t>D0094</t>
        </is>
      </c>
      <c r="B95" s="3">
        <f>INDEX(Raw_Schedule!B:B,MATCH(A95,Raw_Schedule!A:A,0))</f>
        <v/>
      </c>
      <c r="C95" s="3">
        <f>INDEX(Raw_Schedule!C:C,MATCH(A95,Raw_Schedule!A:A,0))</f>
        <v/>
      </c>
      <c r="D95" s="3">
        <f>INDEX(Raw_Schedule!D:D,MATCH(A95,Raw_Schedule!A:A,0))</f>
        <v/>
      </c>
      <c r="E95" s="3">
        <f>INDEX(Raw_Schedule!E:E,MATCH(A95,Raw_Schedule!A:A,0))</f>
        <v/>
      </c>
      <c r="F95" s="3">
        <f>INDEX(Raw_Schedule!F:F,MATCH(A95,Raw_Schedule!A:A,0))</f>
        <v/>
      </c>
      <c r="G95" s="4">
        <f>INDEX(Raw_Schedule!G:G,MATCH(A95,Raw_Schedule!A:A,0))</f>
        <v/>
      </c>
      <c r="H95" s="5">
        <f>INDEX(Raw_Schedule!H:H,MATCH(A95,Raw_Schedule!A:A,0))</f>
        <v/>
      </c>
      <c r="I95" s="5">
        <f>SUMIFS(Raw_Payments!E:E,Raw_Payments!B:B,A95)</f>
        <v/>
      </c>
      <c r="J95" s="5">
        <f>H95-I95</f>
        <v/>
      </c>
      <c r="K95" s="3">
        <f>IF(J95&lt;=0.005,"PAID",IF(I95&gt;0,"PARTIAL","OVERDUE"))</f>
        <v/>
      </c>
      <c r="L95" s="4">
        <f>IF(COUNTIFS(Raw_Payments!B:B,A95)=0,"",SUMPRODUCT(MAX((Raw_Payments!B$2:B$1079=A95)*Raw_Payments!D$2:D$1079)))</f>
        <v/>
      </c>
      <c r="M95" s="3">
        <f>IF(K95="PAID",MAX(0,L95-G95),Guide!$B$3-G95)</f>
        <v/>
      </c>
      <c r="N95" s="3">
        <f>IF(J95&lt;=0.005,"COLLECTED",IF(M95&lt;=30,"1-30",IF(M95&lt;=60,"31-60",IF(M95&lt;=90,"61-90","90+"))))</f>
        <v/>
      </c>
      <c r="O95" s="3">
        <f>IF(N95="90+","LOST",IF(N95="61-90","ESCALATE",IF(N95="31-60","WATCH",IF(N95="1-30","MILD","OK"))))</f>
        <v/>
      </c>
      <c r="P95" s="3">
        <f>IF(J95&gt;0.005,ROW()-1,"")</f>
        <v/>
      </c>
    </row>
    <row r="96">
      <c r="A96" s="3" t="inlineStr">
        <is>
          <t>D0095</t>
        </is>
      </c>
      <c r="B96" s="3">
        <f>INDEX(Raw_Schedule!B:B,MATCH(A96,Raw_Schedule!A:A,0))</f>
        <v/>
      </c>
      <c r="C96" s="3">
        <f>INDEX(Raw_Schedule!C:C,MATCH(A96,Raw_Schedule!A:A,0))</f>
        <v/>
      </c>
      <c r="D96" s="3">
        <f>INDEX(Raw_Schedule!D:D,MATCH(A96,Raw_Schedule!A:A,0))</f>
        <v/>
      </c>
      <c r="E96" s="3">
        <f>INDEX(Raw_Schedule!E:E,MATCH(A96,Raw_Schedule!A:A,0))</f>
        <v/>
      </c>
      <c r="F96" s="3">
        <f>INDEX(Raw_Schedule!F:F,MATCH(A96,Raw_Schedule!A:A,0))</f>
        <v/>
      </c>
      <c r="G96" s="4">
        <f>INDEX(Raw_Schedule!G:G,MATCH(A96,Raw_Schedule!A:A,0))</f>
        <v/>
      </c>
      <c r="H96" s="5">
        <f>INDEX(Raw_Schedule!H:H,MATCH(A96,Raw_Schedule!A:A,0))</f>
        <v/>
      </c>
      <c r="I96" s="5">
        <f>SUMIFS(Raw_Payments!E:E,Raw_Payments!B:B,A96)</f>
        <v/>
      </c>
      <c r="J96" s="5">
        <f>H96-I96</f>
        <v/>
      </c>
      <c r="K96" s="3">
        <f>IF(J96&lt;=0.005,"PAID",IF(I96&gt;0,"PARTIAL","OVERDUE"))</f>
        <v/>
      </c>
      <c r="L96" s="4">
        <f>IF(COUNTIFS(Raw_Payments!B:B,A96)=0,"",SUMPRODUCT(MAX((Raw_Payments!B$2:B$1079=A96)*Raw_Payments!D$2:D$1079)))</f>
        <v/>
      </c>
      <c r="M96" s="3">
        <f>IF(K96="PAID",MAX(0,L96-G96),Guide!$B$3-G96)</f>
        <v/>
      </c>
      <c r="N96" s="3">
        <f>IF(J96&lt;=0.005,"COLLECTED",IF(M96&lt;=30,"1-30",IF(M96&lt;=60,"31-60",IF(M96&lt;=90,"61-90","90+"))))</f>
        <v/>
      </c>
      <c r="O96" s="3">
        <f>IF(N96="90+","LOST",IF(N96="61-90","ESCALATE",IF(N96="31-60","WATCH",IF(N96="1-30","MILD","OK"))))</f>
        <v/>
      </c>
      <c r="P96" s="3">
        <f>IF(J96&gt;0.005,ROW()-1,"")</f>
        <v/>
      </c>
    </row>
    <row r="97">
      <c r="A97" s="3" t="inlineStr">
        <is>
          <t>D0096</t>
        </is>
      </c>
      <c r="B97" s="3">
        <f>INDEX(Raw_Schedule!B:B,MATCH(A97,Raw_Schedule!A:A,0))</f>
        <v/>
      </c>
      <c r="C97" s="3">
        <f>INDEX(Raw_Schedule!C:C,MATCH(A97,Raw_Schedule!A:A,0))</f>
        <v/>
      </c>
      <c r="D97" s="3">
        <f>INDEX(Raw_Schedule!D:D,MATCH(A97,Raw_Schedule!A:A,0))</f>
        <v/>
      </c>
      <c r="E97" s="3">
        <f>INDEX(Raw_Schedule!E:E,MATCH(A97,Raw_Schedule!A:A,0))</f>
        <v/>
      </c>
      <c r="F97" s="3">
        <f>INDEX(Raw_Schedule!F:F,MATCH(A97,Raw_Schedule!A:A,0))</f>
        <v/>
      </c>
      <c r="G97" s="4">
        <f>INDEX(Raw_Schedule!G:G,MATCH(A97,Raw_Schedule!A:A,0))</f>
        <v/>
      </c>
      <c r="H97" s="5">
        <f>INDEX(Raw_Schedule!H:H,MATCH(A97,Raw_Schedule!A:A,0))</f>
        <v/>
      </c>
      <c r="I97" s="5">
        <f>SUMIFS(Raw_Payments!E:E,Raw_Payments!B:B,A97)</f>
        <v/>
      </c>
      <c r="J97" s="5">
        <f>H97-I97</f>
        <v/>
      </c>
      <c r="K97" s="3">
        <f>IF(J97&lt;=0.005,"PAID",IF(I97&gt;0,"PARTIAL","OVERDUE"))</f>
        <v/>
      </c>
      <c r="L97" s="4">
        <f>IF(COUNTIFS(Raw_Payments!B:B,A97)=0,"",SUMPRODUCT(MAX((Raw_Payments!B$2:B$1079=A97)*Raw_Payments!D$2:D$1079)))</f>
        <v/>
      </c>
      <c r="M97" s="3">
        <f>IF(K97="PAID",MAX(0,L97-G97),Guide!$B$3-G97)</f>
        <v/>
      </c>
      <c r="N97" s="3">
        <f>IF(J97&lt;=0.005,"COLLECTED",IF(M97&lt;=30,"1-30",IF(M97&lt;=60,"31-60",IF(M97&lt;=90,"61-90","90+"))))</f>
        <v/>
      </c>
      <c r="O97" s="3">
        <f>IF(N97="90+","LOST",IF(N97="61-90","ESCALATE",IF(N97="31-60","WATCH",IF(N97="1-30","MILD","OK"))))</f>
        <v/>
      </c>
      <c r="P97" s="3">
        <f>IF(J97&gt;0.005,ROW()-1,"")</f>
        <v/>
      </c>
    </row>
    <row r="98">
      <c r="A98" s="3" t="inlineStr">
        <is>
          <t>D0097</t>
        </is>
      </c>
      <c r="B98" s="3">
        <f>INDEX(Raw_Schedule!B:B,MATCH(A98,Raw_Schedule!A:A,0))</f>
        <v/>
      </c>
      <c r="C98" s="3">
        <f>INDEX(Raw_Schedule!C:C,MATCH(A98,Raw_Schedule!A:A,0))</f>
        <v/>
      </c>
      <c r="D98" s="3">
        <f>INDEX(Raw_Schedule!D:D,MATCH(A98,Raw_Schedule!A:A,0))</f>
        <v/>
      </c>
      <c r="E98" s="3">
        <f>INDEX(Raw_Schedule!E:E,MATCH(A98,Raw_Schedule!A:A,0))</f>
        <v/>
      </c>
      <c r="F98" s="3">
        <f>INDEX(Raw_Schedule!F:F,MATCH(A98,Raw_Schedule!A:A,0))</f>
        <v/>
      </c>
      <c r="G98" s="4">
        <f>INDEX(Raw_Schedule!G:G,MATCH(A98,Raw_Schedule!A:A,0))</f>
        <v/>
      </c>
      <c r="H98" s="5">
        <f>INDEX(Raw_Schedule!H:H,MATCH(A98,Raw_Schedule!A:A,0))</f>
        <v/>
      </c>
      <c r="I98" s="5">
        <f>SUMIFS(Raw_Payments!E:E,Raw_Payments!B:B,A98)</f>
        <v/>
      </c>
      <c r="J98" s="5">
        <f>H98-I98</f>
        <v/>
      </c>
      <c r="K98" s="3">
        <f>IF(J98&lt;=0.005,"PAID",IF(I98&gt;0,"PARTIAL","OVERDUE"))</f>
        <v/>
      </c>
      <c r="L98" s="4">
        <f>IF(COUNTIFS(Raw_Payments!B:B,A98)=0,"",SUMPRODUCT(MAX((Raw_Payments!B$2:B$1079=A98)*Raw_Payments!D$2:D$1079)))</f>
        <v/>
      </c>
      <c r="M98" s="3">
        <f>IF(K98="PAID",MAX(0,L98-G98),Guide!$B$3-G98)</f>
        <v/>
      </c>
      <c r="N98" s="3">
        <f>IF(J98&lt;=0.005,"COLLECTED",IF(M98&lt;=30,"1-30",IF(M98&lt;=60,"31-60",IF(M98&lt;=90,"61-90","90+"))))</f>
        <v/>
      </c>
      <c r="O98" s="3">
        <f>IF(N98="90+","LOST",IF(N98="61-90","ESCALATE",IF(N98="31-60","WATCH",IF(N98="1-30","MILD","OK"))))</f>
        <v/>
      </c>
      <c r="P98" s="3">
        <f>IF(J98&gt;0.005,ROW()-1,"")</f>
        <v/>
      </c>
    </row>
    <row r="99">
      <c r="A99" s="3" t="inlineStr">
        <is>
          <t>D0098</t>
        </is>
      </c>
      <c r="B99" s="3">
        <f>INDEX(Raw_Schedule!B:B,MATCH(A99,Raw_Schedule!A:A,0))</f>
        <v/>
      </c>
      <c r="C99" s="3">
        <f>INDEX(Raw_Schedule!C:C,MATCH(A99,Raw_Schedule!A:A,0))</f>
        <v/>
      </c>
      <c r="D99" s="3">
        <f>INDEX(Raw_Schedule!D:D,MATCH(A99,Raw_Schedule!A:A,0))</f>
        <v/>
      </c>
      <c r="E99" s="3">
        <f>INDEX(Raw_Schedule!E:E,MATCH(A99,Raw_Schedule!A:A,0))</f>
        <v/>
      </c>
      <c r="F99" s="3">
        <f>INDEX(Raw_Schedule!F:F,MATCH(A99,Raw_Schedule!A:A,0))</f>
        <v/>
      </c>
      <c r="G99" s="4">
        <f>INDEX(Raw_Schedule!G:G,MATCH(A99,Raw_Schedule!A:A,0))</f>
        <v/>
      </c>
      <c r="H99" s="5">
        <f>INDEX(Raw_Schedule!H:H,MATCH(A99,Raw_Schedule!A:A,0))</f>
        <v/>
      </c>
      <c r="I99" s="5">
        <f>SUMIFS(Raw_Payments!E:E,Raw_Payments!B:B,A99)</f>
        <v/>
      </c>
      <c r="J99" s="5">
        <f>H99-I99</f>
        <v/>
      </c>
      <c r="K99" s="3">
        <f>IF(J99&lt;=0.005,"PAID",IF(I99&gt;0,"PARTIAL","OVERDUE"))</f>
        <v/>
      </c>
      <c r="L99" s="4">
        <f>IF(COUNTIFS(Raw_Payments!B:B,A99)=0,"",SUMPRODUCT(MAX((Raw_Payments!B$2:B$1079=A99)*Raw_Payments!D$2:D$1079)))</f>
        <v/>
      </c>
      <c r="M99" s="3">
        <f>IF(K99="PAID",MAX(0,L99-G99),Guide!$B$3-G99)</f>
        <v/>
      </c>
      <c r="N99" s="3">
        <f>IF(J99&lt;=0.005,"COLLECTED",IF(M99&lt;=30,"1-30",IF(M99&lt;=60,"31-60",IF(M99&lt;=90,"61-90","90+"))))</f>
        <v/>
      </c>
      <c r="O99" s="3">
        <f>IF(N99="90+","LOST",IF(N99="61-90","ESCALATE",IF(N99="31-60","WATCH",IF(N99="1-30","MILD","OK"))))</f>
        <v/>
      </c>
      <c r="P99" s="3">
        <f>IF(J99&gt;0.005,ROW()-1,"")</f>
        <v/>
      </c>
    </row>
    <row r="100">
      <c r="A100" s="3" t="inlineStr">
        <is>
          <t>D0099</t>
        </is>
      </c>
      <c r="B100" s="3">
        <f>INDEX(Raw_Schedule!B:B,MATCH(A100,Raw_Schedule!A:A,0))</f>
        <v/>
      </c>
      <c r="C100" s="3">
        <f>INDEX(Raw_Schedule!C:C,MATCH(A100,Raw_Schedule!A:A,0))</f>
        <v/>
      </c>
      <c r="D100" s="3">
        <f>INDEX(Raw_Schedule!D:D,MATCH(A100,Raw_Schedule!A:A,0))</f>
        <v/>
      </c>
      <c r="E100" s="3">
        <f>INDEX(Raw_Schedule!E:E,MATCH(A100,Raw_Schedule!A:A,0))</f>
        <v/>
      </c>
      <c r="F100" s="3">
        <f>INDEX(Raw_Schedule!F:F,MATCH(A100,Raw_Schedule!A:A,0))</f>
        <v/>
      </c>
      <c r="G100" s="4">
        <f>INDEX(Raw_Schedule!G:G,MATCH(A100,Raw_Schedule!A:A,0))</f>
        <v/>
      </c>
      <c r="H100" s="5">
        <f>INDEX(Raw_Schedule!H:H,MATCH(A100,Raw_Schedule!A:A,0))</f>
        <v/>
      </c>
      <c r="I100" s="5">
        <f>SUMIFS(Raw_Payments!E:E,Raw_Payments!B:B,A100)</f>
        <v/>
      </c>
      <c r="J100" s="5">
        <f>H100-I100</f>
        <v/>
      </c>
      <c r="K100" s="3">
        <f>IF(J100&lt;=0.005,"PAID",IF(I100&gt;0,"PARTIAL","OVERDUE"))</f>
        <v/>
      </c>
      <c r="L100" s="4">
        <f>IF(COUNTIFS(Raw_Payments!B:B,A100)=0,"",SUMPRODUCT(MAX((Raw_Payments!B$2:B$1079=A100)*Raw_Payments!D$2:D$1079)))</f>
        <v/>
      </c>
      <c r="M100" s="3">
        <f>IF(K100="PAID",MAX(0,L100-G100),Guide!$B$3-G100)</f>
        <v/>
      </c>
      <c r="N100" s="3">
        <f>IF(J100&lt;=0.005,"COLLECTED",IF(M100&lt;=30,"1-30",IF(M100&lt;=60,"31-60",IF(M100&lt;=90,"61-90","90+"))))</f>
        <v/>
      </c>
      <c r="O100" s="3">
        <f>IF(N100="90+","LOST",IF(N100="61-90","ESCALATE",IF(N100="31-60","WATCH",IF(N100="1-30","MILD","OK"))))</f>
        <v/>
      </c>
      <c r="P100" s="3">
        <f>IF(J100&gt;0.005,ROW()-1,"")</f>
        <v/>
      </c>
    </row>
    <row r="101">
      <c r="A101" s="3" t="inlineStr">
        <is>
          <t>D0100</t>
        </is>
      </c>
      <c r="B101" s="3">
        <f>INDEX(Raw_Schedule!B:B,MATCH(A101,Raw_Schedule!A:A,0))</f>
        <v/>
      </c>
      <c r="C101" s="3">
        <f>INDEX(Raw_Schedule!C:C,MATCH(A101,Raw_Schedule!A:A,0))</f>
        <v/>
      </c>
      <c r="D101" s="3">
        <f>INDEX(Raw_Schedule!D:D,MATCH(A101,Raw_Schedule!A:A,0))</f>
        <v/>
      </c>
      <c r="E101" s="3">
        <f>INDEX(Raw_Schedule!E:E,MATCH(A101,Raw_Schedule!A:A,0))</f>
        <v/>
      </c>
      <c r="F101" s="3">
        <f>INDEX(Raw_Schedule!F:F,MATCH(A101,Raw_Schedule!A:A,0))</f>
        <v/>
      </c>
      <c r="G101" s="4">
        <f>INDEX(Raw_Schedule!G:G,MATCH(A101,Raw_Schedule!A:A,0))</f>
        <v/>
      </c>
      <c r="H101" s="5">
        <f>INDEX(Raw_Schedule!H:H,MATCH(A101,Raw_Schedule!A:A,0))</f>
        <v/>
      </c>
      <c r="I101" s="5">
        <f>SUMIFS(Raw_Payments!E:E,Raw_Payments!B:B,A101)</f>
        <v/>
      </c>
      <c r="J101" s="5">
        <f>H101-I101</f>
        <v/>
      </c>
      <c r="K101" s="3">
        <f>IF(J101&lt;=0.005,"PAID",IF(I101&gt;0,"PARTIAL","OVERDUE"))</f>
        <v/>
      </c>
      <c r="L101" s="4">
        <f>IF(COUNTIFS(Raw_Payments!B:B,A101)=0,"",SUMPRODUCT(MAX((Raw_Payments!B$2:B$1079=A101)*Raw_Payments!D$2:D$1079)))</f>
        <v/>
      </c>
      <c r="M101" s="3">
        <f>IF(K101="PAID",MAX(0,L101-G101),Guide!$B$3-G101)</f>
        <v/>
      </c>
      <c r="N101" s="3">
        <f>IF(J101&lt;=0.005,"COLLECTED",IF(M101&lt;=30,"1-30",IF(M101&lt;=60,"31-60",IF(M101&lt;=90,"61-90","90+"))))</f>
        <v/>
      </c>
      <c r="O101" s="3">
        <f>IF(N101="90+","LOST",IF(N101="61-90","ESCALATE",IF(N101="31-60","WATCH",IF(N101="1-30","MILD","OK"))))</f>
        <v/>
      </c>
      <c r="P101" s="3">
        <f>IF(J101&gt;0.005,ROW()-1,"")</f>
        <v/>
      </c>
    </row>
    <row r="102">
      <c r="A102" s="3" t="inlineStr">
        <is>
          <t>D0101</t>
        </is>
      </c>
      <c r="B102" s="3">
        <f>INDEX(Raw_Schedule!B:B,MATCH(A102,Raw_Schedule!A:A,0))</f>
        <v/>
      </c>
      <c r="C102" s="3">
        <f>INDEX(Raw_Schedule!C:C,MATCH(A102,Raw_Schedule!A:A,0))</f>
        <v/>
      </c>
      <c r="D102" s="3">
        <f>INDEX(Raw_Schedule!D:D,MATCH(A102,Raw_Schedule!A:A,0))</f>
        <v/>
      </c>
      <c r="E102" s="3">
        <f>INDEX(Raw_Schedule!E:E,MATCH(A102,Raw_Schedule!A:A,0))</f>
        <v/>
      </c>
      <c r="F102" s="3">
        <f>INDEX(Raw_Schedule!F:F,MATCH(A102,Raw_Schedule!A:A,0))</f>
        <v/>
      </c>
      <c r="G102" s="4">
        <f>INDEX(Raw_Schedule!G:G,MATCH(A102,Raw_Schedule!A:A,0))</f>
        <v/>
      </c>
      <c r="H102" s="5">
        <f>INDEX(Raw_Schedule!H:H,MATCH(A102,Raw_Schedule!A:A,0))</f>
        <v/>
      </c>
      <c r="I102" s="5">
        <f>SUMIFS(Raw_Payments!E:E,Raw_Payments!B:B,A102)</f>
        <v/>
      </c>
      <c r="J102" s="5">
        <f>H102-I102</f>
        <v/>
      </c>
      <c r="K102" s="3">
        <f>IF(J102&lt;=0.005,"PAID",IF(I102&gt;0,"PARTIAL","OVERDUE"))</f>
        <v/>
      </c>
      <c r="L102" s="4">
        <f>IF(COUNTIFS(Raw_Payments!B:B,A102)=0,"",SUMPRODUCT(MAX((Raw_Payments!B$2:B$1079=A102)*Raw_Payments!D$2:D$1079)))</f>
        <v/>
      </c>
      <c r="M102" s="3">
        <f>IF(K102="PAID",MAX(0,L102-G102),Guide!$B$3-G102)</f>
        <v/>
      </c>
      <c r="N102" s="3">
        <f>IF(J102&lt;=0.005,"COLLECTED",IF(M102&lt;=30,"1-30",IF(M102&lt;=60,"31-60",IF(M102&lt;=90,"61-90","90+"))))</f>
        <v/>
      </c>
      <c r="O102" s="3">
        <f>IF(N102="90+","LOST",IF(N102="61-90","ESCALATE",IF(N102="31-60","WATCH",IF(N102="1-30","MILD","OK"))))</f>
        <v/>
      </c>
      <c r="P102" s="3">
        <f>IF(J102&gt;0.005,ROW()-1,"")</f>
        <v/>
      </c>
    </row>
    <row r="103">
      <c r="A103" s="3" t="inlineStr">
        <is>
          <t>D0102</t>
        </is>
      </c>
      <c r="B103" s="3">
        <f>INDEX(Raw_Schedule!B:B,MATCH(A103,Raw_Schedule!A:A,0))</f>
        <v/>
      </c>
      <c r="C103" s="3">
        <f>INDEX(Raw_Schedule!C:C,MATCH(A103,Raw_Schedule!A:A,0))</f>
        <v/>
      </c>
      <c r="D103" s="3">
        <f>INDEX(Raw_Schedule!D:D,MATCH(A103,Raw_Schedule!A:A,0))</f>
        <v/>
      </c>
      <c r="E103" s="3">
        <f>INDEX(Raw_Schedule!E:E,MATCH(A103,Raw_Schedule!A:A,0))</f>
        <v/>
      </c>
      <c r="F103" s="3">
        <f>INDEX(Raw_Schedule!F:F,MATCH(A103,Raw_Schedule!A:A,0))</f>
        <v/>
      </c>
      <c r="G103" s="4">
        <f>INDEX(Raw_Schedule!G:G,MATCH(A103,Raw_Schedule!A:A,0))</f>
        <v/>
      </c>
      <c r="H103" s="5">
        <f>INDEX(Raw_Schedule!H:H,MATCH(A103,Raw_Schedule!A:A,0))</f>
        <v/>
      </c>
      <c r="I103" s="5">
        <f>SUMIFS(Raw_Payments!E:E,Raw_Payments!B:B,A103)</f>
        <v/>
      </c>
      <c r="J103" s="5">
        <f>H103-I103</f>
        <v/>
      </c>
      <c r="K103" s="3">
        <f>IF(J103&lt;=0.005,"PAID",IF(I103&gt;0,"PARTIAL","OVERDUE"))</f>
        <v/>
      </c>
      <c r="L103" s="4">
        <f>IF(COUNTIFS(Raw_Payments!B:B,A103)=0,"",SUMPRODUCT(MAX((Raw_Payments!B$2:B$1079=A103)*Raw_Payments!D$2:D$1079)))</f>
        <v/>
      </c>
      <c r="M103" s="3">
        <f>IF(K103="PAID",MAX(0,L103-G103),Guide!$B$3-G103)</f>
        <v/>
      </c>
      <c r="N103" s="3">
        <f>IF(J103&lt;=0.005,"COLLECTED",IF(M103&lt;=30,"1-30",IF(M103&lt;=60,"31-60",IF(M103&lt;=90,"61-90","90+"))))</f>
        <v/>
      </c>
      <c r="O103" s="3">
        <f>IF(N103="90+","LOST",IF(N103="61-90","ESCALATE",IF(N103="31-60","WATCH",IF(N103="1-30","MILD","OK"))))</f>
        <v/>
      </c>
      <c r="P103" s="3">
        <f>IF(J103&gt;0.005,ROW()-1,"")</f>
        <v/>
      </c>
    </row>
    <row r="104">
      <c r="A104" s="3" t="inlineStr">
        <is>
          <t>D0103</t>
        </is>
      </c>
      <c r="B104" s="3">
        <f>INDEX(Raw_Schedule!B:B,MATCH(A104,Raw_Schedule!A:A,0))</f>
        <v/>
      </c>
      <c r="C104" s="3">
        <f>INDEX(Raw_Schedule!C:C,MATCH(A104,Raw_Schedule!A:A,0))</f>
        <v/>
      </c>
      <c r="D104" s="3">
        <f>INDEX(Raw_Schedule!D:D,MATCH(A104,Raw_Schedule!A:A,0))</f>
        <v/>
      </c>
      <c r="E104" s="3">
        <f>INDEX(Raw_Schedule!E:E,MATCH(A104,Raw_Schedule!A:A,0))</f>
        <v/>
      </c>
      <c r="F104" s="3">
        <f>INDEX(Raw_Schedule!F:F,MATCH(A104,Raw_Schedule!A:A,0))</f>
        <v/>
      </c>
      <c r="G104" s="4">
        <f>INDEX(Raw_Schedule!G:G,MATCH(A104,Raw_Schedule!A:A,0))</f>
        <v/>
      </c>
      <c r="H104" s="5">
        <f>INDEX(Raw_Schedule!H:H,MATCH(A104,Raw_Schedule!A:A,0))</f>
        <v/>
      </c>
      <c r="I104" s="5">
        <f>SUMIFS(Raw_Payments!E:E,Raw_Payments!B:B,A104)</f>
        <v/>
      </c>
      <c r="J104" s="5">
        <f>H104-I104</f>
        <v/>
      </c>
      <c r="K104" s="3">
        <f>IF(J104&lt;=0.005,"PAID",IF(I104&gt;0,"PARTIAL","OVERDUE"))</f>
        <v/>
      </c>
      <c r="L104" s="4">
        <f>IF(COUNTIFS(Raw_Payments!B:B,A104)=0,"",SUMPRODUCT(MAX((Raw_Payments!B$2:B$1079=A104)*Raw_Payments!D$2:D$1079)))</f>
        <v/>
      </c>
      <c r="M104" s="3">
        <f>IF(K104="PAID",MAX(0,L104-G104),Guide!$B$3-G104)</f>
        <v/>
      </c>
      <c r="N104" s="3">
        <f>IF(J104&lt;=0.005,"COLLECTED",IF(M104&lt;=30,"1-30",IF(M104&lt;=60,"31-60",IF(M104&lt;=90,"61-90","90+"))))</f>
        <v/>
      </c>
      <c r="O104" s="3">
        <f>IF(N104="90+","LOST",IF(N104="61-90","ESCALATE",IF(N104="31-60","WATCH",IF(N104="1-30","MILD","OK"))))</f>
        <v/>
      </c>
      <c r="P104" s="3">
        <f>IF(J104&gt;0.005,ROW()-1,"")</f>
        <v/>
      </c>
    </row>
    <row r="105">
      <c r="A105" s="3" t="inlineStr">
        <is>
          <t>D0104</t>
        </is>
      </c>
      <c r="B105" s="3">
        <f>INDEX(Raw_Schedule!B:B,MATCH(A105,Raw_Schedule!A:A,0))</f>
        <v/>
      </c>
      <c r="C105" s="3">
        <f>INDEX(Raw_Schedule!C:C,MATCH(A105,Raw_Schedule!A:A,0))</f>
        <v/>
      </c>
      <c r="D105" s="3">
        <f>INDEX(Raw_Schedule!D:D,MATCH(A105,Raw_Schedule!A:A,0))</f>
        <v/>
      </c>
      <c r="E105" s="3">
        <f>INDEX(Raw_Schedule!E:E,MATCH(A105,Raw_Schedule!A:A,0))</f>
        <v/>
      </c>
      <c r="F105" s="3">
        <f>INDEX(Raw_Schedule!F:F,MATCH(A105,Raw_Schedule!A:A,0))</f>
        <v/>
      </c>
      <c r="G105" s="4">
        <f>INDEX(Raw_Schedule!G:G,MATCH(A105,Raw_Schedule!A:A,0))</f>
        <v/>
      </c>
      <c r="H105" s="5">
        <f>INDEX(Raw_Schedule!H:H,MATCH(A105,Raw_Schedule!A:A,0))</f>
        <v/>
      </c>
      <c r="I105" s="5">
        <f>SUMIFS(Raw_Payments!E:E,Raw_Payments!B:B,A105)</f>
        <v/>
      </c>
      <c r="J105" s="5">
        <f>H105-I105</f>
        <v/>
      </c>
      <c r="K105" s="3">
        <f>IF(J105&lt;=0.005,"PAID",IF(I105&gt;0,"PARTIAL","OVERDUE"))</f>
        <v/>
      </c>
      <c r="L105" s="4">
        <f>IF(COUNTIFS(Raw_Payments!B:B,A105)=0,"",SUMPRODUCT(MAX((Raw_Payments!B$2:B$1079=A105)*Raw_Payments!D$2:D$1079)))</f>
        <v/>
      </c>
      <c r="M105" s="3">
        <f>IF(K105="PAID",MAX(0,L105-G105),Guide!$B$3-G105)</f>
        <v/>
      </c>
      <c r="N105" s="3">
        <f>IF(J105&lt;=0.005,"COLLECTED",IF(M105&lt;=30,"1-30",IF(M105&lt;=60,"31-60",IF(M105&lt;=90,"61-90","90+"))))</f>
        <v/>
      </c>
      <c r="O105" s="3">
        <f>IF(N105="90+","LOST",IF(N105="61-90","ESCALATE",IF(N105="31-60","WATCH",IF(N105="1-30","MILD","OK"))))</f>
        <v/>
      </c>
      <c r="P105" s="3">
        <f>IF(J105&gt;0.005,ROW()-1,"")</f>
        <v/>
      </c>
    </row>
    <row r="106">
      <c r="A106" s="3" t="inlineStr">
        <is>
          <t>D0105</t>
        </is>
      </c>
      <c r="B106" s="3">
        <f>INDEX(Raw_Schedule!B:B,MATCH(A106,Raw_Schedule!A:A,0))</f>
        <v/>
      </c>
      <c r="C106" s="3">
        <f>INDEX(Raw_Schedule!C:C,MATCH(A106,Raw_Schedule!A:A,0))</f>
        <v/>
      </c>
      <c r="D106" s="3">
        <f>INDEX(Raw_Schedule!D:D,MATCH(A106,Raw_Schedule!A:A,0))</f>
        <v/>
      </c>
      <c r="E106" s="3">
        <f>INDEX(Raw_Schedule!E:E,MATCH(A106,Raw_Schedule!A:A,0))</f>
        <v/>
      </c>
      <c r="F106" s="3">
        <f>INDEX(Raw_Schedule!F:F,MATCH(A106,Raw_Schedule!A:A,0))</f>
        <v/>
      </c>
      <c r="G106" s="4">
        <f>INDEX(Raw_Schedule!G:G,MATCH(A106,Raw_Schedule!A:A,0))</f>
        <v/>
      </c>
      <c r="H106" s="5">
        <f>INDEX(Raw_Schedule!H:H,MATCH(A106,Raw_Schedule!A:A,0))</f>
        <v/>
      </c>
      <c r="I106" s="5">
        <f>SUMIFS(Raw_Payments!E:E,Raw_Payments!B:B,A106)</f>
        <v/>
      </c>
      <c r="J106" s="5">
        <f>H106-I106</f>
        <v/>
      </c>
      <c r="K106" s="3">
        <f>IF(J106&lt;=0.005,"PAID",IF(I106&gt;0,"PARTIAL","OVERDUE"))</f>
        <v/>
      </c>
      <c r="L106" s="4">
        <f>IF(COUNTIFS(Raw_Payments!B:B,A106)=0,"",SUMPRODUCT(MAX((Raw_Payments!B$2:B$1079=A106)*Raw_Payments!D$2:D$1079)))</f>
        <v/>
      </c>
      <c r="M106" s="3">
        <f>IF(K106="PAID",MAX(0,L106-G106),Guide!$B$3-G106)</f>
        <v/>
      </c>
      <c r="N106" s="3">
        <f>IF(J106&lt;=0.005,"COLLECTED",IF(M106&lt;=30,"1-30",IF(M106&lt;=60,"31-60",IF(M106&lt;=90,"61-90","90+"))))</f>
        <v/>
      </c>
      <c r="O106" s="3">
        <f>IF(N106="90+","LOST",IF(N106="61-90","ESCALATE",IF(N106="31-60","WATCH",IF(N106="1-30","MILD","OK"))))</f>
        <v/>
      </c>
      <c r="P106" s="3">
        <f>IF(J106&gt;0.005,ROW()-1,"")</f>
        <v/>
      </c>
    </row>
    <row r="107">
      <c r="A107" s="3" t="inlineStr">
        <is>
          <t>D0106</t>
        </is>
      </c>
      <c r="B107" s="3">
        <f>INDEX(Raw_Schedule!B:B,MATCH(A107,Raw_Schedule!A:A,0))</f>
        <v/>
      </c>
      <c r="C107" s="3">
        <f>INDEX(Raw_Schedule!C:C,MATCH(A107,Raw_Schedule!A:A,0))</f>
        <v/>
      </c>
      <c r="D107" s="3">
        <f>INDEX(Raw_Schedule!D:D,MATCH(A107,Raw_Schedule!A:A,0))</f>
        <v/>
      </c>
      <c r="E107" s="3">
        <f>INDEX(Raw_Schedule!E:E,MATCH(A107,Raw_Schedule!A:A,0))</f>
        <v/>
      </c>
      <c r="F107" s="3">
        <f>INDEX(Raw_Schedule!F:F,MATCH(A107,Raw_Schedule!A:A,0))</f>
        <v/>
      </c>
      <c r="G107" s="4">
        <f>INDEX(Raw_Schedule!G:G,MATCH(A107,Raw_Schedule!A:A,0))</f>
        <v/>
      </c>
      <c r="H107" s="5">
        <f>INDEX(Raw_Schedule!H:H,MATCH(A107,Raw_Schedule!A:A,0))</f>
        <v/>
      </c>
      <c r="I107" s="5">
        <f>SUMIFS(Raw_Payments!E:E,Raw_Payments!B:B,A107)</f>
        <v/>
      </c>
      <c r="J107" s="5">
        <f>H107-I107</f>
        <v/>
      </c>
      <c r="K107" s="3">
        <f>IF(J107&lt;=0.005,"PAID",IF(I107&gt;0,"PARTIAL","OVERDUE"))</f>
        <v/>
      </c>
      <c r="L107" s="4">
        <f>IF(COUNTIFS(Raw_Payments!B:B,A107)=0,"",SUMPRODUCT(MAX((Raw_Payments!B$2:B$1079=A107)*Raw_Payments!D$2:D$1079)))</f>
        <v/>
      </c>
      <c r="M107" s="3">
        <f>IF(K107="PAID",MAX(0,L107-G107),Guide!$B$3-G107)</f>
        <v/>
      </c>
      <c r="N107" s="3">
        <f>IF(J107&lt;=0.005,"COLLECTED",IF(M107&lt;=30,"1-30",IF(M107&lt;=60,"31-60",IF(M107&lt;=90,"61-90","90+"))))</f>
        <v/>
      </c>
      <c r="O107" s="3">
        <f>IF(N107="90+","LOST",IF(N107="61-90","ESCALATE",IF(N107="31-60","WATCH",IF(N107="1-30","MILD","OK"))))</f>
        <v/>
      </c>
      <c r="P107" s="3">
        <f>IF(J107&gt;0.005,ROW()-1,"")</f>
        <v/>
      </c>
    </row>
    <row r="108">
      <c r="A108" s="3" t="inlineStr">
        <is>
          <t>D0107</t>
        </is>
      </c>
      <c r="B108" s="3">
        <f>INDEX(Raw_Schedule!B:B,MATCH(A108,Raw_Schedule!A:A,0))</f>
        <v/>
      </c>
      <c r="C108" s="3">
        <f>INDEX(Raw_Schedule!C:C,MATCH(A108,Raw_Schedule!A:A,0))</f>
        <v/>
      </c>
      <c r="D108" s="3">
        <f>INDEX(Raw_Schedule!D:D,MATCH(A108,Raw_Schedule!A:A,0))</f>
        <v/>
      </c>
      <c r="E108" s="3">
        <f>INDEX(Raw_Schedule!E:E,MATCH(A108,Raw_Schedule!A:A,0))</f>
        <v/>
      </c>
      <c r="F108" s="3">
        <f>INDEX(Raw_Schedule!F:F,MATCH(A108,Raw_Schedule!A:A,0))</f>
        <v/>
      </c>
      <c r="G108" s="4">
        <f>INDEX(Raw_Schedule!G:G,MATCH(A108,Raw_Schedule!A:A,0))</f>
        <v/>
      </c>
      <c r="H108" s="5">
        <f>INDEX(Raw_Schedule!H:H,MATCH(A108,Raw_Schedule!A:A,0))</f>
        <v/>
      </c>
      <c r="I108" s="5">
        <f>SUMIFS(Raw_Payments!E:E,Raw_Payments!B:B,A108)</f>
        <v/>
      </c>
      <c r="J108" s="5">
        <f>H108-I108</f>
        <v/>
      </c>
      <c r="K108" s="3">
        <f>IF(J108&lt;=0.005,"PAID",IF(I108&gt;0,"PARTIAL","OVERDUE"))</f>
        <v/>
      </c>
      <c r="L108" s="4">
        <f>IF(COUNTIFS(Raw_Payments!B:B,A108)=0,"",SUMPRODUCT(MAX((Raw_Payments!B$2:B$1079=A108)*Raw_Payments!D$2:D$1079)))</f>
        <v/>
      </c>
      <c r="M108" s="3">
        <f>IF(K108="PAID",MAX(0,L108-G108),Guide!$B$3-G108)</f>
        <v/>
      </c>
      <c r="N108" s="3">
        <f>IF(J108&lt;=0.005,"COLLECTED",IF(M108&lt;=30,"1-30",IF(M108&lt;=60,"31-60",IF(M108&lt;=90,"61-90","90+"))))</f>
        <v/>
      </c>
      <c r="O108" s="3">
        <f>IF(N108="90+","LOST",IF(N108="61-90","ESCALATE",IF(N108="31-60","WATCH",IF(N108="1-30","MILD","OK"))))</f>
        <v/>
      </c>
      <c r="P108" s="3">
        <f>IF(J108&gt;0.005,ROW()-1,"")</f>
        <v/>
      </c>
    </row>
    <row r="109">
      <c r="A109" s="3" t="inlineStr">
        <is>
          <t>D0108</t>
        </is>
      </c>
      <c r="B109" s="3">
        <f>INDEX(Raw_Schedule!B:B,MATCH(A109,Raw_Schedule!A:A,0))</f>
        <v/>
      </c>
      <c r="C109" s="3">
        <f>INDEX(Raw_Schedule!C:C,MATCH(A109,Raw_Schedule!A:A,0))</f>
        <v/>
      </c>
      <c r="D109" s="3">
        <f>INDEX(Raw_Schedule!D:D,MATCH(A109,Raw_Schedule!A:A,0))</f>
        <v/>
      </c>
      <c r="E109" s="3">
        <f>INDEX(Raw_Schedule!E:E,MATCH(A109,Raw_Schedule!A:A,0))</f>
        <v/>
      </c>
      <c r="F109" s="3">
        <f>INDEX(Raw_Schedule!F:F,MATCH(A109,Raw_Schedule!A:A,0))</f>
        <v/>
      </c>
      <c r="G109" s="4">
        <f>INDEX(Raw_Schedule!G:G,MATCH(A109,Raw_Schedule!A:A,0))</f>
        <v/>
      </c>
      <c r="H109" s="5">
        <f>INDEX(Raw_Schedule!H:H,MATCH(A109,Raw_Schedule!A:A,0))</f>
        <v/>
      </c>
      <c r="I109" s="5">
        <f>SUMIFS(Raw_Payments!E:E,Raw_Payments!B:B,A109)</f>
        <v/>
      </c>
      <c r="J109" s="5">
        <f>H109-I109</f>
        <v/>
      </c>
      <c r="K109" s="3">
        <f>IF(J109&lt;=0.005,"PAID",IF(I109&gt;0,"PARTIAL","OVERDUE"))</f>
        <v/>
      </c>
      <c r="L109" s="4">
        <f>IF(COUNTIFS(Raw_Payments!B:B,A109)=0,"",SUMPRODUCT(MAX((Raw_Payments!B$2:B$1079=A109)*Raw_Payments!D$2:D$1079)))</f>
        <v/>
      </c>
      <c r="M109" s="3">
        <f>IF(K109="PAID",MAX(0,L109-G109),Guide!$B$3-G109)</f>
        <v/>
      </c>
      <c r="N109" s="3">
        <f>IF(J109&lt;=0.005,"COLLECTED",IF(M109&lt;=30,"1-30",IF(M109&lt;=60,"31-60",IF(M109&lt;=90,"61-90","90+"))))</f>
        <v/>
      </c>
      <c r="O109" s="3">
        <f>IF(N109="90+","LOST",IF(N109="61-90","ESCALATE",IF(N109="31-60","WATCH",IF(N109="1-30","MILD","OK"))))</f>
        <v/>
      </c>
      <c r="P109" s="3">
        <f>IF(J109&gt;0.005,ROW()-1,"")</f>
        <v/>
      </c>
    </row>
    <row r="110">
      <c r="A110" s="3" t="inlineStr">
        <is>
          <t>D0109</t>
        </is>
      </c>
      <c r="B110" s="3">
        <f>INDEX(Raw_Schedule!B:B,MATCH(A110,Raw_Schedule!A:A,0))</f>
        <v/>
      </c>
      <c r="C110" s="3">
        <f>INDEX(Raw_Schedule!C:C,MATCH(A110,Raw_Schedule!A:A,0))</f>
        <v/>
      </c>
      <c r="D110" s="3">
        <f>INDEX(Raw_Schedule!D:D,MATCH(A110,Raw_Schedule!A:A,0))</f>
        <v/>
      </c>
      <c r="E110" s="3">
        <f>INDEX(Raw_Schedule!E:E,MATCH(A110,Raw_Schedule!A:A,0))</f>
        <v/>
      </c>
      <c r="F110" s="3">
        <f>INDEX(Raw_Schedule!F:F,MATCH(A110,Raw_Schedule!A:A,0))</f>
        <v/>
      </c>
      <c r="G110" s="4">
        <f>INDEX(Raw_Schedule!G:G,MATCH(A110,Raw_Schedule!A:A,0))</f>
        <v/>
      </c>
      <c r="H110" s="5">
        <f>INDEX(Raw_Schedule!H:H,MATCH(A110,Raw_Schedule!A:A,0))</f>
        <v/>
      </c>
      <c r="I110" s="5">
        <f>SUMIFS(Raw_Payments!E:E,Raw_Payments!B:B,A110)</f>
        <v/>
      </c>
      <c r="J110" s="5">
        <f>H110-I110</f>
        <v/>
      </c>
      <c r="K110" s="3">
        <f>IF(J110&lt;=0.005,"PAID",IF(I110&gt;0,"PARTIAL","OVERDUE"))</f>
        <v/>
      </c>
      <c r="L110" s="4">
        <f>IF(COUNTIFS(Raw_Payments!B:B,A110)=0,"",SUMPRODUCT(MAX((Raw_Payments!B$2:B$1079=A110)*Raw_Payments!D$2:D$1079)))</f>
        <v/>
      </c>
      <c r="M110" s="3">
        <f>IF(K110="PAID",MAX(0,L110-G110),Guide!$B$3-G110)</f>
        <v/>
      </c>
      <c r="N110" s="3">
        <f>IF(J110&lt;=0.005,"COLLECTED",IF(M110&lt;=30,"1-30",IF(M110&lt;=60,"31-60",IF(M110&lt;=90,"61-90","90+"))))</f>
        <v/>
      </c>
      <c r="O110" s="3">
        <f>IF(N110="90+","LOST",IF(N110="61-90","ESCALATE",IF(N110="31-60","WATCH",IF(N110="1-30","MILD","OK"))))</f>
        <v/>
      </c>
      <c r="P110" s="3">
        <f>IF(J110&gt;0.005,ROW()-1,"")</f>
        <v/>
      </c>
    </row>
    <row r="111">
      <c r="A111" s="3" t="inlineStr">
        <is>
          <t>D0110</t>
        </is>
      </c>
      <c r="B111" s="3">
        <f>INDEX(Raw_Schedule!B:B,MATCH(A111,Raw_Schedule!A:A,0))</f>
        <v/>
      </c>
      <c r="C111" s="3">
        <f>INDEX(Raw_Schedule!C:C,MATCH(A111,Raw_Schedule!A:A,0))</f>
        <v/>
      </c>
      <c r="D111" s="3">
        <f>INDEX(Raw_Schedule!D:D,MATCH(A111,Raw_Schedule!A:A,0))</f>
        <v/>
      </c>
      <c r="E111" s="3">
        <f>INDEX(Raw_Schedule!E:E,MATCH(A111,Raw_Schedule!A:A,0))</f>
        <v/>
      </c>
      <c r="F111" s="3">
        <f>INDEX(Raw_Schedule!F:F,MATCH(A111,Raw_Schedule!A:A,0))</f>
        <v/>
      </c>
      <c r="G111" s="4">
        <f>INDEX(Raw_Schedule!G:G,MATCH(A111,Raw_Schedule!A:A,0))</f>
        <v/>
      </c>
      <c r="H111" s="5">
        <f>INDEX(Raw_Schedule!H:H,MATCH(A111,Raw_Schedule!A:A,0))</f>
        <v/>
      </c>
      <c r="I111" s="5">
        <f>SUMIFS(Raw_Payments!E:E,Raw_Payments!B:B,A111)</f>
        <v/>
      </c>
      <c r="J111" s="5">
        <f>H111-I111</f>
        <v/>
      </c>
      <c r="K111" s="3">
        <f>IF(J111&lt;=0.005,"PAID",IF(I111&gt;0,"PARTIAL","OVERDUE"))</f>
        <v/>
      </c>
      <c r="L111" s="4">
        <f>IF(COUNTIFS(Raw_Payments!B:B,A111)=0,"",SUMPRODUCT(MAX((Raw_Payments!B$2:B$1079=A111)*Raw_Payments!D$2:D$1079)))</f>
        <v/>
      </c>
      <c r="M111" s="3">
        <f>IF(K111="PAID",MAX(0,L111-G111),Guide!$B$3-G111)</f>
        <v/>
      </c>
      <c r="N111" s="3">
        <f>IF(J111&lt;=0.005,"COLLECTED",IF(M111&lt;=30,"1-30",IF(M111&lt;=60,"31-60",IF(M111&lt;=90,"61-90","90+"))))</f>
        <v/>
      </c>
      <c r="O111" s="3">
        <f>IF(N111="90+","LOST",IF(N111="61-90","ESCALATE",IF(N111="31-60","WATCH",IF(N111="1-30","MILD","OK"))))</f>
        <v/>
      </c>
      <c r="P111" s="3">
        <f>IF(J111&gt;0.005,ROW()-1,"")</f>
        <v/>
      </c>
    </row>
    <row r="112">
      <c r="A112" s="3" t="inlineStr">
        <is>
          <t>D0111</t>
        </is>
      </c>
      <c r="B112" s="3">
        <f>INDEX(Raw_Schedule!B:B,MATCH(A112,Raw_Schedule!A:A,0))</f>
        <v/>
      </c>
      <c r="C112" s="3">
        <f>INDEX(Raw_Schedule!C:C,MATCH(A112,Raw_Schedule!A:A,0))</f>
        <v/>
      </c>
      <c r="D112" s="3">
        <f>INDEX(Raw_Schedule!D:D,MATCH(A112,Raw_Schedule!A:A,0))</f>
        <v/>
      </c>
      <c r="E112" s="3">
        <f>INDEX(Raw_Schedule!E:E,MATCH(A112,Raw_Schedule!A:A,0))</f>
        <v/>
      </c>
      <c r="F112" s="3">
        <f>INDEX(Raw_Schedule!F:F,MATCH(A112,Raw_Schedule!A:A,0))</f>
        <v/>
      </c>
      <c r="G112" s="4">
        <f>INDEX(Raw_Schedule!G:G,MATCH(A112,Raw_Schedule!A:A,0))</f>
        <v/>
      </c>
      <c r="H112" s="5">
        <f>INDEX(Raw_Schedule!H:H,MATCH(A112,Raw_Schedule!A:A,0))</f>
        <v/>
      </c>
      <c r="I112" s="5">
        <f>SUMIFS(Raw_Payments!E:E,Raw_Payments!B:B,A112)</f>
        <v/>
      </c>
      <c r="J112" s="5">
        <f>H112-I112</f>
        <v/>
      </c>
      <c r="K112" s="3">
        <f>IF(J112&lt;=0.005,"PAID",IF(I112&gt;0,"PARTIAL","OVERDUE"))</f>
        <v/>
      </c>
      <c r="L112" s="4">
        <f>IF(COUNTIFS(Raw_Payments!B:B,A112)=0,"",SUMPRODUCT(MAX((Raw_Payments!B$2:B$1079=A112)*Raw_Payments!D$2:D$1079)))</f>
        <v/>
      </c>
      <c r="M112" s="3">
        <f>IF(K112="PAID",MAX(0,L112-G112),Guide!$B$3-G112)</f>
        <v/>
      </c>
      <c r="N112" s="3">
        <f>IF(J112&lt;=0.005,"COLLECTED",IF(M112&lt;=30,"1-30",IF(M112&lt;=60,"31-60",IF(M112&lt;=90,"61-90","90+"))))</f>
        <v/>
      </c>
      <c r="O112" s="3">
        <f>IF(N112="90+","LOST",IF(N112="61-90","ESCALATE",IF(N112="31-60","WATCH",IF(N112="1-30","MILD","OK"))))</f>
        <v/>
      </c>
      <c r="P112" s="3">
        <f>IF(J112&gt;0.005,ROW()-1,"")</f>
        <v/>
      </c>
    </row>
    <row r="113">
      <c r="A113" s="3" t="inlineStr">
        <is>
          <t>D0112</t>
        </is>
      </c>
      <c r="B113" s="3">
        <f>INDEX(Raw_Schedule!B:B,MATCH(A113,Raw_Schedule!A:A,0))</f>
        <v/>
      </c>
      <c r="C113" s="3">
        <f>INDEX(Raw_Schedule!C:C,MATCH(A113,Raw_Schedule!A:A,0))</f>
        <v/>
      </c>
      <c r="D113" s="3">
        <f>INDEX(Raw_Schedule!D:D,MATCH(A113,Raw_Schedule!A:A,0))</f>
        <v/>
      </c>
      <c r="E113" s="3">
        <f>INDEX(Raw_Schedule!E:E,MATCH(A113,Raw_Schedule!A:A,0))</f>
        <v/>
      </c>
      <c r="F113" s="3">
        <f>INDEX(Raw_Schedule!F:F,MATCH(A113,Raw_Schedule!A:A,0))</f>
        <v/>
      </c>
      <c r="G113" s="4">
        <f>INDEX(Raw_Schedule!G:G,MATCH(A113,Raw_Schedule!A:A,0))</f>
        <v/>
      </c>
      <c r="H113" s="5">
        <f>INDEX(Raw_Schedule!H:H,MATCH(A113,Raw_Schedule!A:A,0))</f>
        <v/>
      </c>
      <c r="I113" s="5">
        <f>SUMIFS(Raw_Payments!E:E,Raw_Payments!B:B,A113)</f>
        <v/>
      </c>
      <c r="J113" s="5">
        <f>H113-I113</f>
        <v/>
      </c>
      <c r="K113" s="3">
        <f>IF(J113&lt;=0.005,"PAID",IF(I113&gt;0,"PARTIAL","OVERDUE"))</f>
        <v/>
      </c>
      <c r="L113" s="4">
        <f>IF(COUNTIFS(Raw_Payments!B:B,A113)=0,"",SUMPRODUCT(MAX((Raw_Payments!B$2:B$1079=A113)*Raw_Payments!D$2:D$1079)))</f>
        <v/>
      </c>
      <c r="M113" s="3">
        <f>IF(K113="PAID",MAX(0,L113-G113),Guide!$B$3-G113)</f>
        <v/>
      </c>
      <c r="N113" s="3">
        <f>IF(J113&lt;=0.005,"COLLECTED",IF(M113&lt;=30,"1-30",IF(M113&lt;=60,"31-60",IF(M113&lt;=90,"61-90","90+"))))</f>
        <v/>
      </c>
      <c r="O113" s="3">
        <f>IF(N113="90+","LOST",IF(N113="61-90","ESCALATE",IF(N113="31-60","WATCH",IF(N113="1-30","MILD","OK"))))</f>
        <v/>
      </c>
      <c r="P113" s="3">
        <f>IF(J113&gt;0.005,ROW()-1,"")</f>
        <v/>
      </c>
    </row>
    <row r="114">
      <c r="A114" s="3" t="inlineStr">
        <is>
          <t>D0113</t>
        </is>
      </c>
      <c r="B114" s="3">
        <f>INDEX(Raw_Schedule!B:B,MATCH(A114,Raw_Schedule!A:A,0))</f>
        <v/>
      </c>
      <c r="C114" s="3">
        <f>INDEX(Raw_Schedule!C:C,MATCH(A114,Raw_Schedule!A:A,0))</f>
        <v/>
      </c>
      <c r="D114" s="3">
        <f>INDEX(Raw_Schedule!D:D,MATCH(A114,Raw_Schedule!A:A,0))</f>
        <v/>
      </c>
      <c r="E114" s="3">
        <f>INDEX(Raw_Schedule!E:E,MATCH(A114,Raw_Schedule!A:A,0))</f>
        <v/>
      </c>
      <c r="F114" s="3">
        <f>INDEX(Raw_Schedule!F:F,MATCH(A114,Raw_Schedule!A:A,0))</f>
        <v/>
      </c>
      <c r="G114" s="4">
        <f>INDEX(Raw_Schedule!G:G,MATCH(A114,Raw_Schedule!A:A,0))</f>
        <v/>
      </c>
      <c r="H114" s="5">
        <f>INDEX(Raw_Schedule!H:H,MATCH(A114,Raw_Schedule!A:A,0))</f>
        <v/>
      </c>
      <c r="I114" s="5">
        <f>SUMIFS(Raw_Payments!E:E,Raw_Payments!B:B,A114)</f>
        <v/>
      </c>
      <c r="J114" s="5">
        <f>H114-I114</f>
        <v/>
      </c>
      <c r="K114" s="3">
        <f>IF(J114&lt;=0.005,"PAID",IF(I114&gt;0,"PARTIAL","OVERDUE"))</f>
        <v/>
      </c>
      <c r="L114" s="4">
        <f>IF(COUNTIFS(Raw_Payments!B:B,A114)=0,"",SUMPRODUCT(MAX((Raw_Payments!B$2:B$1079=A114)*Raw_Payments!D$2:D$1079)))</f>
        <v/>
      </c>
      <c r="M114" s="3">
        <f>IF(K114="PAID",MAX(0,L114-G114),Guide!$B$3-G114)</f>
        <v/>
      </c>
      <c r="N114" s="3">
        <f>IF(J114&lt;=0.005,"COLLECTED",IF(M114&lt;=30,"1-30",IF(M114&lt;=60,"31-60",IF(M114&lt;=90,"61-90","90+"))))</f>
        <v/>
      </c>
      <c r="O114" s="3">
        <f>IF(N114="90+","LOST",IF(N114="61-90","ESCALATE",IF(N114="31-60","WATCH",IF(N114="1-30","MILD","OK"))))</f>
        <v/>
      </c>
      <c r="P114" s="3">
        <f>IF(J114&gt;0.005,ROW()-1,"")</f>
        <v/>
      </c>
    </row>
    <row r="115">
      <c r="A115" s="3" t="inlineStr">
        <is>
          <t>D0114</t>
        </is>
      </c>
      <c r="B115" s="3">
        <f>INDEX(Raw_Schedule!B:B,MATCH(A115,Raw_Schedule!A:A,0))</f>
        <v/>
      </c>
      <c r="C115" s="3">
        <f>INDEX(Raw_Schedule!C:C,MATCH(A115,Raw_Schedule!A:A,0))</f>
        <v/>
      </c>
      <c r="D115" s="3">
        <f>INDEX(Raw_Schedule!D:D,MATCH(A115,Raw_Schedule!A:A,0))</f>
        <v/>
      </c>
      <c r="E115" s="3">
        <f>INDEX(Raw_Schedule!E:E,MATCH(A115,Raw_Schedule!A:A,0))</f>
        <v/>
      </c>
      <c r="F115" s="3">
        <f>INDEX(Raw_Schedule!F:F,MATCH(A115,Raw_Schedule!A:A,0))</f>
        <v/>
      </c>
      <c r="G115" s="4">
        <f>INDEX(Raw_Schedule!G:G,MATCH(A115,Raw_Schedule!A:A,0))</f>
        <v/>
      </c>
      <c r="H115" s="5">
        <f>INDEX(Raw_Schedule!H:H,MATCH(A115,Raw_Schedule!A:A,0))</f>
        <v/>
      </c>
      <c r="I115" s="5">
        <f>SUMIFS(Raw_Payments!E:E,Raw_Payments!B:B,A115)</f>
        <v/>
      </c>
      <c r="J115" s="5">
        <f>H115-I115</f>
        <v/>
      </c>
      <c r="K115" s="3">
        <f>IF(J115&lt;=0.005,"PAID",IF(I115&gt;0,"PARTIAL","OVERDUE"))</f>
        <v/>
      </c>
      <c r="L115" s="4">
        <f>IF(COUNTIFS(Raw_Payments!B:B,A115)=0,"",SUMPRODUCT(MAX((Raw_Payments!B$2:B$1079=A115)*Raw_Payments!D$2:D$1079)))</f>
        <v/>
      </c>
      <c r="M115" s="3">
        <f>IF(K115="PAID",MAX(0,L115-G115),Guide!$B$3-G115)</f>
        <v/>
      </c>
      <c r="N115" s="3">
        <f>IF(J115&lt;=0.005,"COLLECTED",IF(M115&lt;=30,"1-30",IF(M115&lt;=60,"31-60",IF(M115&lt;=90,"61-90","90+"))))</f>
        <v/>
      </c>
      <c r="O115" s="3">
        <f>IF(N115="90+","LOST",IF(N115="61-90","ESCALATE",IF(N115="31-60","WATCH",IF(N115="1-30","MILD","OK"))))</f>
        <v/>
      </c>
      <c r="P115" s="3">
        <f>IF(J115&gt;0.005,ROW()-1,"")</f>
        <v/>
      </c>
    </row>
    <row r="116">
      <c r="A116" s="3" t="inlineStr">
        <is>
          <t>D0115</t>
        </is>
      </c>
      <c r="B116" s="3">
        <f>INDEX(Raw_Schedule!B:B,MATCH(A116,Raw_Schedule!A:A,0))</f>
        <v/>
      </c>
      <c r="C116" s="3">
        <f>INDEX(Raw_Schedule!C:C,MATCH(A116,Raw_Schedule!A:A,0))</f>
        <v/>
      </c>
      <c r="D116" s="3">
        <f>INDEX(Raw_Schedule!D:D,MATCH(A116,Raw_Schedule!A:A,0))</f>
        <v/>
      </c>
      <c r="E116" s="3">
        <f>INDEX(Raw_Schedule!E:E,MATCH(A116,Raw_Schedule!A:A,0))</f>
        <v/>
      </c>
      <c r="F116" s="3">
        <f>INDEX(Raw_Schedule!F:F,MATCH(A116,Raw_Schedule!A:A,0))</f>
        <v/>
      </c>
      <c r="G116" s="4">
        <f>INDEX(Raw_Schedule!G:G,MATCH(A116,Raw_Schedule!A:A,0))</f>
        <v/>
      </c>
      <c r="H116" s="5">
        <f>INDEX(Raw_Schedule!H:H,MATCH(A116,Raw_Schedule!A:A,0))</f>
        <v/>
      </c>
      <c r="I116" s="5">
        <f>SUMIFS(Raw_Payments!E:E,Raw_Payments!B:B,A116)</f>
        <v/>
      </c>
      <c r="J116" s="5">
        <f>H116-I116</f>
        <v/>
      </c>
      <c r="K116" s="3">
        <f>IF(J116&lt;=0.005,"PAID",IF(I116&gt;0,"PARTIAL","OVERDUE"))</f>
        <v/>
      </c>
      <c r="L116" s="4">
        <f>IF(COUNTIFS(Raw_Payments!B:B,A116)=0,"",SUMPRODUCT(MAX((Raw_Payments!B$2:B$1079=A116)*Raw_Payments!D$2:D$1079)))</f>
        <v/>
      </c>
      <c r="M116" s="3">
        <f>IF(K116="PAID",MAX(0,L116-G116),Guide!$B$3-G116)</f>
        <v/>
      </c>
      <c r="N116" s="3">
        <f>IF(J116&lt;=0.005,"COLLECTED",IF(M116&lt;=30,"1-30",IF(M116&lt;=60,"31-60",IF(M116&lt;=90,"61-90","90+"))))</f>
        <v/>
      </c>
      <c r="O116" s="3">
        <f>IF(N116="90+","LOST",IF(N116="61-90","ESCALATE",IF(N116="31-60","WATCH",IF(N116="1-30","MILD","OK"))))</f>
        <v/>
      </c>
      <c r="P116" s="3">
        <f>IF(J116&gt;0.005,ROW()-1,"")</f>
        <v/>
      </c>
    </row>
    <row r="117">
      <c r="A117" s="3" t="inlineStr">
        <is>
          <t>D0116</t>
        </is>
      </c>
      <c r="B117" s="3">
        <f>INDEX(Raw_Schedule!B:B,MATCH(A117,Raw_Schedule!A:A,0))</f>
        <v/>
      </c>
      <c r="C117" s="3">
        <f>INDEX(Raw_Schedule!C:C,MATCH(A117,Raw_Schedule!A:A,0))</f>
        <v/>
      </c>
      <c r="D117" s="3">
        <f>INDEX(Raw_Schedule!D:D,MATCH(A117,Raw_Schedule!A:A,0))</f>
        <v/>
      </c>
      <c r="E117" s="3">
        <f>INDEX(Raw_Schedule!E:E,MATCH(A117,Raw_Schedule!A:A,0))</f>
        <v/>
      </c>
      <c r="F117" s="3">
        <f>INDEX(Raw_Schedule!F:F,MATCH(A117,Raw_Schedule!A:A,0))</f>
        <v/>
      </c>
      <c r="G117" s="4">
        <f>INDEX(Raw_Schedule!G:G,MATCH(A117,Raw_Schedule!A:A,0))</f>
        <v/>
      </c>
      <c r="H117" s="5">
        <f>INDEX(Raw_Schedule!H:H,MATCH(A117,Raw_Schedule!A:A,0))</f>
        <v/>
      </c>
      <c r="I117" s="5">
        <f>SUMIFS(Raw_Payments!E:E,Raw_Payments!B:B,A117)</f>
        <v/>
      </c>
      <c r="J117" s="5">
        <f>H117-I117</f>
        <v/>
      </c>
      <c r="K117" s="3">
        <f>IF(J117&lt;=0.005,"PAID",IF(I117&gt;0,"PARTIAL","OVERDUE"))</f>
        <v/>
      </c>
      <c r="L117" s="4">
        <f>IF(COUNTIFS(Raw_Payments!B:B,A117)=0,"",SUMPRODUCT(MAX((Raw_Payments!B$2:B$1079=A117)*Raw_Payments!D$2:D$1079)))</f>
        <v/>
      </c>
      <c r="M117" s="3">
        <f>IF(K117="PAID",MAX(0,L117-G117),Guide!$B$3-G117)</f>
        <v/>
      </c>
      <c r="N117" s="3">
        <f>IF(J117&lt;=0.005,"COLLECTED",IF(M117&lt;=30,"1-30",IF(M117&lt;=60,"31-60",IF(M117&lt;=90,"61-90","90+"))))</f>
        <v/>
      </c>
      <c r="O117" s="3">
        <f>IF(N117="90+","LOST",IF(N117="61-90","ESCALATE",IF(N117="31-60","WATCH",IF(N117="1-30","MILD","OK"))))</f>
        <v/>
      </c>
      <c r="P117" s="3">
        <f>IF(J117&gt;0.005,ROW()-1,"")</f>
        <v/>
      </c>
    </row>
    <row r="118">
      <c r="A118" s="3" t="inlineStr">
        <is>
          <t>D0117</t>
        </is>
      </c>
      <c r="B118" s="3">
        <f>INDEX(Raw_Schedule!B:B,MATCH(A118,Raw_Schedule!A:A,0))</f>
        <v/>
      </c>
      <c r="C118" s="3">
        <f>INDEX(Raw_Schedule!C:C,MATCH(A118,Raw_Schedule!A:A,0))</f>
        <v/>
      </c>
      <c r="D118" s="3">
        <f>INDEX(Raw_Schedule!D:D,MATCH(A118,Raw_Schedule!A:A,0))</f>
        <v/>
      </c>
      <c r="E118" s="3">
        <f>INDEX(Raw_Schedule!E:E,MATCH(A118,Raw_Schedule!A:A,0))</f>
        <v/>
      </c>
      <c r="F118" s="3">
        <f>INDEX(Raw_Schedule!F:F,MATCH(A118,Raw_Schedule!A:A,0))</f>
        <v/>
      </c>
      <c r="G118" s="4">
        <f>INDEX(Raw_Schedule!G:G,MATCH(A118,Raw_Schedule!A:A,0))</f>
        <v/>
      </c>
      <c r="H118" s="5">
        <f>INDEX(Raw_Schedule!H:H,MATCH(A118,Raw_Schedule!A:A,0))</f>
        <v/>
      </c>
      <c r="I118" s="5">
        <f>SUMIFS(Raw_Payments!E:E,Raw_Payments!B:B,A118)</f>
        <v/>
      </c>
      <c r="J118" s="5">
        <f>H118-I118</f>
        <v/>
      </c>
      <c r="K118" s="3">
        <f>IF(J118&lt;=0.005,"PAID",IF(I118&gt;0,"PARTIAL","OVERDUE"))</f>
        <v/>
      </c>
      <c r="L118" s="4">
        <f>IF(COUNTIFS(Raw_Payments!B:B,A118)=0,"",SUMPRODUCT(MAX((Raw_Payments!B$2:B$1079=A118)*Raw_Payments!D$2:D$1079)))</f>
        <v/>
      </c>
      <c r="M118" s="3">
        <f>IF(K118="PAID",MAX(0,L118-G118),Guide!$B$3-G118)</f>
        <v/>
      </c>
      <c r="N118" s="3">
        <f>IF(J118&lt;=0.005,"COLLECTED",IF(M118&lt;=30,"1-30",IF(M118&lt;=60,"31-60",IF(M118&lt;=90,"61-90","90+"))))</f>
        <v/>
      </c>
      <c r="O118" s="3">
        <f>IF(N118="90+","LOST",IF(N118="61-90","ESCALATE",IF(N118="31-60","WATCH",IF(N118="1-30","MILD","OK"))))</f>
        <v/>
      </c>
      <c r="P118" s="3">
        <f>IF(J118&gt;0.005,ROW()-1,"")</f>
        <v/>
      </c>
    </row>
    <row r="119">
      <c r="A119" s="3" t="inlineStr">
        <is>
          <t>D0118</t>
        </is>
      </c>
      <c r="B119" s="3">
        <f>INDEX(Raw_Schedule!B:B,MATCH(A119,Raw_Schedule!A:A,0))</f>
        <v/>
      </c>
      <c r="C119" s="3">
        <f>INDEX(Raw_Schedule!C:C,MATCH(A119,Raw_Schedule!A:A,0))</f>
        <v/>
      </c>
      <c r="D119" s="3">
        <f>INDEX(Raw_Schedule!D:D,MATCH(A119,Raw_Schedule!A:A,0))</f>
        <v/>
      </c>
      <c r="E119" s="3">
        <f>INDEX(Raw_Schedule!E:E,MATCH(A119,Raw_Schedule!A:A,0))</f>
        <v/>
      </c>
      <c r="F119" s="3">
        <f>INDEX(Raw_Schedule!F:F,MATCH(A119,Raw_Schedule!A:A,0))</f>
        <v/>
      </c>
      <c r="G119" s="4">
        <f>INDEX(Raw_Schedule!G:G,MATCH(A119,Raw_Schedule!A:A,0))</f>
        <v/>
      </c>
      <c r="H119" s="5">
        <f>INDEX(Raw_Schedule!H:H,MATCH(A119,Raw_Schedule!A:A,0))</f>
        <v/>
      </c>
      <c r="I119" s="5">
        <f>SUMIFS(Raw_Payments!E:E,Raw_Payments!B:B,A119)</f>
        <v/>
      </c>
      <c r="J119" s="5">
        <f>H119-I119</f>
        <v/>
      </c>
      <c r="K119" s="3">
        <f>IF(J119&lt;=0.005,"PAID",IF(I119&gt;0,"PARTIAL","OVERDUE"))</f>
        <v/>
      </c>
      <c r="L119" s="4">
        <f>IF(COUNTIFS(Raw_Payments!B:B,A119)=0,"",SUMPRODUCT(MAX((Raw_Payments!B$2:B$1079=A119)*Raw_Payments!D$2:D$1079)))</f>
        <v/>
      </c>
      <c r="M119" s="3">
        <f>IF(K119="PAID",MAX(0,L119-G119),Guide!$B$3-G119)</f>
        <v/>
      </c>
      <c r="N119" s="3">
        <f>IF(J119&lt;=0.005,"COLLECTED",IF(M119&lt;=30,"1-30",IF(M119&lt;=60,"31-60",IF(M119&lt;=90,"61-90","90+"))))</f>
        <v/>
      </c>
      <c r="O119" s="3">
        <f>IF(N119="90+","LOST",IF(N119="61-90","ESCALATE",IF(N119="31-60","WATCH",IF(N119="1-30","MILD","OK"))))</f>
        <v/>
      </c>
      <c r="P119" s="3">
        <f>IF(J119&gt;0.005,ROW()-1,"")</f>
        <v/>
      </c>
    </row>
    <row r="120">
      <c r="A120" s="3" t="inlineStr">
        <is>
          <t>D0119</t>
        </is>
      </c>
      <c r="B120" s="3">
        <f>INDEX(Raw_Schedule!B:B,MATCH(A120,Raw_Schedule!A:A,0))</f>
        <v/>
      </c>
      <c r="C120" s="3">
        <f>INDEX(Raw_Schedule!C:C,MATCH(A120,Raw_Schedule!A:A,0))</f>
        <v/>
      </c>
      <c r="D120" s="3">
        <f>INDEX(Raw_Schedule!D:D,MATCH(A120,Raw_Schedule!A:A,0))</f>
        <v/>
      </c>
      <c r="E120" s="3">
        <f>INDEX(Raw_Schedule!E:E,MATCH(A120,Raw_Schedule!A:A,0))</f>
        <v/>
      </c>
      <c r="F120" s="3">
        <f>INDEX(Raw_Schedule!F:F,MATCH(A120,Raw_Schedule!A:A,0))</f>
        <v/>
      </c>
      <c r="G120" s="4">
        <f>INDEX(Raw_Schedule!G:G,MATCH(A120,Raw_Schedule!A:A,0))</f>
        <v/>
      </c>
      <c r="H120" s="5">
        <f>INDEX(Raw_Schedule!H:H,MATCH(A120,Raw_Schedule!A:A,0))</f>
        <v/>
      </c>
      <c r="I120" s="5">
        <f>SUMIFS(Raw_Payments!E:E,Raw_Payments!B:B,A120)</f>
        <v/>
      </c>
      <c r="J120" s="5">
        <f>H120-I120</f>
        <v/>
      </c>
      <c r="K120" s="3">
        <f>IF(J120&lt;=0.005,"PAID",IF(I120&gt;0,"PARTIAL","OVERDUE"))</f>
        <v/>
      </c>
      <c r="L120" s="4">
        <f>IF(COUNTIFS(Raw_Payments!B:B,A120)=0,"",SUMPRODUCT(MAX((Raw_Payments!B$2:B$1079=A120)*Raw_Payments!D$2:D$1079)))</f>
        <v/>
      </c>
      <c r="M120" s="3">
        <f>IF(K120="PAID",MAX(0,L120-G120),Guide!$B$3-G120)</f>
        <v/>
      </c>
      <c r="N120" s="3">
        <f>IF(J120&lt;=0.005,"COLLECTED",IF(M120&lt;=30,"1-30",IF(M120&lt;=60,"31-60",IF(M120&lt;=90,"61-90","90+"))))</f>
        <v/>
      </c>
      <c r="O120" s="3">
        <f>IF(N120="90+","LOST",IF(N120="61-90","ESCALATE",IF(N120="31-60","WATCH",IF(N120="1-30","MILD","OK"))))</f>
        <v/>
      </c>
      <c r="P120" s="3">
        <f>IF(J120&gt;0.005,ROW()-1,"")</f>
        <v/>
      </c>
    </row>
    <row r="121">
      <c r="A121" s="3" t="inlineStr">
        <is>
          <t>D0120</t>
        </is>
      </c>
      <c r="B121" s="3">
        <f>INDEX(Raw_Schedule!B:B,MATCH(A121,Raw_Schedule!A:A,0))</f>
        <v/>
      </c>
      <c r="C121" s="3">
        <f>INDEX(Raw_Schedule!C:C,MATCH(A121,Raw_Schedule!A:A,0))</f>
        <v/>
      </c>
      <c r="D121" s="3">
        <f>INDEX(Raw_Schedule!D:D,MATCH(A121,Raw_Schedule!A:A,0))</f>
        <v/>
      </c>
      <c r="E121" s="3">
        <f>INDEX(Raw_Schedule!E:E,MATCH(A121,Raw_Schedule!A:A,0))</f>
        <v/>
      </c>
      <c r="F121" s="3">
        <f>INDEX(Raw_Schedule!F:F,MATCH(A121,Raw_Schedule!A:A,0))</f>
        <v/>
      </c>
      <c r="G121" s="4">
        <f>INDEX(Raw_Schedule!G:G,MATCH(A121,Raw_Schedule!A:A,0))</f>
        <v/>
      </c>
      <c r="H121" s="5">
        <f>INDEX(Raw_Schedule!H:H,MATCH(A121,Raw_Schedule!A:A,0))</f>
        <v/>
      </c>
      <c r="I121" s="5">
        <f>SUMIFS(Raw_Payments!E:E,Raw_Payments!B:B,A121)</f>
        <v/>
      </c>
      <c r="J121" s="5">
        <f>H121-I121</f>
        <v/>
      </c>
      <c r="K121" s="3">
        <f>IF(J121&lt;=0.005,"PAID",IF(I121&gt;0,"PARTIAL","OVERDUE"))</f>
        <v/>
      </c>
      <c r="L121" s="4">
        <f>IF(COUNTIFS(Raw_Payments!B:B,A121)=0,"",SUMPRODUCT(MAX((Raw_Payments!B$2:B$1079=A121)*Raw_Payments!D$2:D$1079)))</f>
        <v/>
      </c>
      <c r="M121" s="3">
        <f>IF(K121="PAID",MAX(0,L121-G121),Guide!$B$3-G121)</f>
        <v/>
      </c>
      <c r="N121" s="3">
        <f>IF(J121&lt;=0.005,"COLLECTED",IF(M121&lt;=30,"1-30",IF(M121&lt;=60,"31-60",IF(M121&lt;=90,"61-90","90+"))))</f>
        <v/>
      </c>
      <c r="O121" s="3">
        <f>IF(N121="90+","LOST",IF(N121="61-90","ESCALATE",IF(N121="31-60","WATCH",IF(N121="1-30","MILD","OK"))))</f>
        <v/>
      </c>
      <c r="P121" s="3">
        <f>IF(J121&gt;0.005,ROW()-1,"")</f>
        <v/>
      </c>
    </row>
    <row r="122">
      <c r="A122" s="3" t="inlineStr">
        <is>
          <t>D0121</t>
        </is>
      </c>
      <c r="B122" s="3">
        <f>INDEX(Raw_Schedule!B:B,MATCH(A122,Raw_Schedule!A:A,0))</f>
        <v/>
      </c>
      <c r="C122" s="3">
        <f>INDEX(Raw_Schedule!C:C,MATCH(A122,Raw_Schedule!A:A,0))</f>
        <v/>
      </c>
      <c r="D122" s="3">
        <f>INDEX(Raw_Schedule!D:D,MATCH(A122,Raw_Schedule!A:A,0))</f>
        <v/>
      </c>
      <c r="E122" s="3">
        <f>INDEX(Raw_Schedule!E:E,MATCH(A122,Raw_Schedule!A:A,0))</f>
        <v/>
      </c>
      <c r="F122" s="3">
        <f>INDEX(Raw_Schedule!F:F,MATCH(A122,Raw_Schedule!A:A,0))</f>
        <v/>
      </c>
      <c r="G122" s="4">
        <f>INDEX(Raw_Schedule!G:G,MATCH(A122,Raw_Schedule!A:A,0))</f>
        <v/>
      </c>
      <c r="H122" s="5">
        <f>INDEX(Raw_Schedule!H:H,MATCH(A122,Raw_Schedule!A:A,0))</f>
        <v/>
      </c>
      <c r="I122" s="5">
        <f>SUMIFS(Raw_Payments!E:E,Raw_Payments!B:B,A122)</f>
        <v/>
      </c>
      <c r="J122" s="5">
        <f>H122-I122</f>
        <v/>
      </c>
      <c r="K122" s="3">
        <f>IF(J122&lt;=0.005,"PAID",IF(I122&gt;0,"PARTIAL","OVERDUE"))</f>
        <v/>
      </c>
      <c r="L122" s="4">
        <f>IF(COUNTIFS(Raw_Payments!B:B,A122)=0,"",SUMPRODUCT(MAX((Raw_Payments!B$2:B$1079=A122)*Raw_Payments!D$2:D$1079)))</f>
        <v/>
      </c>
      <c r="M122" s="3">
        <f>IF(K122="PAID",MAX(0,L122-G122),Guide!$B$3-G122)</f>
        <v/>
      </c>
      <c r="N122" s="3">
        <f>IF(J122&lt;=0.005,"COLLECTED",IF(M122&lt;=30,"1-30",IF(M122&lt;=60,"31-60",IF(M122&lt;=90,"61-90","90+"))))</f>
        <v/>
      </c>
      <c r="O122" s="3">
        <f>IF(N122="90+","LOST",IF(N122="61-90","ESCALATE",IF(N122="31-60","WATCH",IF(N122="1-30","MILD","OK"))))</f>
        <v/>
      </c>
      <c r="P122" s="3">
        <f>IF(J122&gt;0.005,ROW()-1,"")</f>
        <v/>
      </c>
    </row>
    <row r="123">
      <c r="A123" s="3" t="inlineStr">
        <is>
          <t>D0122</t>
        </is>
      </c>
      <c r="B123" s="3">
        <f>INDEX(Raw_Schedule!B:B,MATCH(A123,Raw_Schedule!A:A,0))</f>
        <v/>
      </c>
      <c r="C123" s="3">
        <f>INDEX(Raw_Schedule!C:C,MATCH(A123,Raw_Schedule!A:A,0))</f>
        <v/>
      </c>
      <c r="D123" s="3">
        <f>INDEX(Raw_Schedule!D:D,MATCH(A123,Raw_Schedule!A:A,0))</f>
        <v/>
      </c>
      <c r="E123" s="3">
        <f>INDEX(Raw_Schedule!E:E,MATCH(A123,Raw_Schedule!A:A,0))</f>
        <v/>
      </c>
      <c r="F123" s="3">
        <f>INDEX(Raw_Schedule!F:F,MATCH(A123,Raw_Schedule!A:A,0))</f>
        <v/>
      </c>
      <c r="G123" s="4">
        <f>INDEX(Raw_Schedule!G:G,MATCH(A123,Raw_Schedule!A:A,0))</f>
        <v/>
      </c>
      <c r="H123" s="5">
        <f>INDEX(Raw_Schedule!H:H,MATCH(A123,Raw_Schedule!A:A,0))</f>
        <v/>
      </c>
      <c r="I123" s="5">
        <f>SUMIFS(Raw_Payments!E:E,Raw_Payments!B:B,A123)</f>
        <v/>
      </c>
      <c r="J123" s="5">
        <f>H123-I123</f>
        <v/>
      </c>
      <c r="K123" s="3">
        <f>IF(J123&lt;=0.005,"PAID",IF(I123&gt;0,"PARTIAL","OVERDUE"))</f>
        <v/>
      </c>
      <c r="L123" s="4">
        <f>IF(COUNTIFS(Raw_Payments!B:B,A123)=0,"",SUMPRODUCT(MAX((Raw_Payments!B$2:B$1079=A123)*Raw_Payments!D$2:D$1079)))</f>
        <v/>
      </c>
      <c r="M123" s="3">
        <f>IF(K123="PAID",MAX(0,L123-G123),Guide!$B$3-G123)</f>
        <v/>
      </c>
      <c r="N123" s="3">
        <f>IF(J123&lt;=0.005,"COLLECTED",IF(M123&lt;=30,"1-30",IF(M123&lt;=60,"31-60",IF(M123&lt;=90,"61-90","90+"))))</f>
        <v/>
      </c>
      <c r="O123" s="3">
        <f>IF(N123="90+","LOST",IF(N123="61-90","ESCALATE",IF(N123="31-60","WATCH",IF(N123="1-30","MILD","OK"))))</f>
        <v/>
      </c>
      <c r="P123" s="3">
        <f>IF(J123&gt;0.005,ROW()-1,"")</f>
        <v/>
      </c>
    </row>
    <row r="124">
      <c r="A124" s="3" t="inlineStr">
        <is>
          <t>D0123</t>
        </is>
      </c>
      <c r="B124" s="3">
        <f>INDEX(Raw_Schedule!B:B,MATCH(A124,Raw_Schedule!A:A,0))</f>
        <v/>
      </c>
      <c r="C124" s="3">
        <f>INDEX(Raw_Schedule!C:C,MATCH(A124,Raw_Schedule!A:A,0))</f>
        <v/>
      </c>
      <c r="D124" s="3">
        <f>INDEX(Raw_Schedule!D:D,MATCH(A124,Raw_Schedule!A:A,0))</f>
        <v/>
      </c>
      <c r="E124" s="3">
        <f>INDEX(Raw_Schedule!E:E,MATCH(A124,Raw_Schedule!A:A,0))</f>
        <v/>
      </c>
      <c r="F124" s="3">
        <f>INDEX(Raw_Schedule!F:F,MATCH(A124,Raw_Schedule!A:A,0))</f>
        <v/>
      </c>
      <c r="G124" s="4">
        <f>INDEX(Raw_Schedule!G:G,MATCH(A124,Raw_Schedule!A:A,0))</f>
        <v/>
      </c>
      <c r="H124" s="5">
        <f>INDEX(Raw_Schedule!H:H,MATCH(A124,Raw_Schedule!A:A,0))</f>
        <v/>
      </c>
      <c r="I124" s="5">
        <f>SUMIFS(Raw_Payments!E:E,Raw_Payments!B:B,A124)</f>
        <v/>
      </c>
      <c r="J124" s="5">
        <f>H124-I124</f>
        <v/>
      </c>
      <c r="K124" s="3">
        <f>IF(J124&lt;=0.005,"PAID",IF(I124&gt;0,"PARTIAL","OVERDUE"))</f>
        <v/>
      </c>
      <c r="L124" s="4">
        <f>IF(COUNTIFS(Raw_Payments!B:B,A124)=0,"",SUMPRODUCT(MAX((Raw_Payments!B$2:B$1079=A124)*Raw_Payments!D$2:D$1079)))</f>
        <v/>
      </c>
      <c r="M124" s="3">
        <f>IF(K124="PAID",MAX(0,L124-G124),Guide!$B$3-G124)</f>
        <v/>
      </c>
      <c r="N124" s="3">
        <f>IF(J124&lt;=0.005,"COLLECTED",IF(M124&lt;=30,"1-30",IF(M124&lt;=60,"31-60",IF(M124&lt;=90,"61-90","90+"))))</f>
        <v/>
      </c>
      <c r="O124" s="3">
        <f>IF(N124="90+","LOST",IF(N124="61-90","ESCALATE",IF(N124="31-60","WATCH",IF(N124="1-30","MILD","OK"))))</f>
        <v/>
      </c>
      <c r="P124" s="3">
        <f>IF(J124&gt;0.005,ROW()-1,"")</f>
        <v/>
      </c>
    </row>
    <row r="125">
      <c r="A125" s="3" t="inlineStr">
        <is>
          <t>D0124</t>
        </is>
      </c>
      <c r="B125" s="3">
        <f>INDEX(Raw_Schedule!B:B,MATCH(A125,Raw_Schedule!A:A,0))</f>
        <v/>
      </c>
      <c r="C125" s="3">
        <f>INDEX(Raw_Schedule!C:C,MATCH(A125,Raw_Schedule!A:A,0))</f>
        <v/>
      </c>
      <c r="D125" s="3">
        <f>INDEX(Raw_Schedule!D:D,MATCH(A125,Raw_Schedule!A:A,0))</f>
        <v/>
      </c>
      <c r="E125" s="3">
        <f>INDEX(Raw_Schedule!E:E,MATCH(A125,Raw_Schedule!A:A,0))</f>
        <v/>
      </c>
      <c r="F125" s="3">
        <f>INDEX(Raw_Schedule!F:F,MATCH(A125,Raw_Schedule!A:A,0))</f>
        <v/>
      </c>
      <c r="G125" s="4">
        <f>INDEX(Raw_Schedule!G:G,MATCH(A125,Raw_Schedule!A:A,0))</f>
        <v/>
      </c>
      <c r="H125" s="5">
        <f>INDEX(Raw_Schedule!H:H,MATCH(A125,Raw_Schedule!A:A,0))</f>
        <v/>
      </c>
      <c r="I125" s="5">
        <f>SUMIFS(Raw_Payments!E:E,Raw_Payments!B:B,A125)</f>
        <v/>
      </c>
      <c r="J125" s="5">
        <f>H125-I125</f>
        <v/>
      </c>
      <c r="K125" s="3">
        <f>IF(J125&lt;=0.005,"PAID",IF(I125&gt;0,"PARTIAL","OVERDUE"))</f>
        <v/>
      </c>
      <c r="L125" s="4">
        <f>IF(COUNTIFS(Raw_Payments!B:B,A125)=0,"",SUMPRODUCT(MAX((Raw_Payments!B$2:B$1079=A125)*Raw_Payments!D$2:D$1079)))</f>
        <v/>
      </c>
      <c r="M125" s="3">
        <f>IF(K125="PAID",MAX(0,L125-G125),Guide!$B$3-G125)</f>
        <v/>
      </c>
      <c r="N125" s="3">
        <f>IF(J125&lt;=0.005,"COLLECTED",IF(M125&lt;=30,"1-30",IF(M125&lt;=60,"31-60",IF(M125&lt;=90,"61-90","90+"))))</f>
        <v/>
      </c>
      <c r="O125" s="3">
        <f>IF(N125="90+","LOST",IF(N125="61-90","ESCALATE",IF(N125="31-60","WATCH",IF(N125="1-30","MILD","OK"))))</f>
        <v/>
      </c>
      <c r="P125" s="3">
        <f>IF(J125&gt;0.005,ROW()-1,"")</f>
        <v/>
      </c>
    </row>
    <row r="126">
      <c r="A126" s="3" t="inlineStr">
        <is>
          <t>D0125</t>
        </is>
      </c>
      <c r="B126" s="3">
        <f>INDEX(Raw_Schedule!B:B,MATCH(A126,Raw_Schedule!A:A,0))</f>
        <v/>
      </c>
      <c r="C126" s="3">
        <f>INDEX(Raw_Schedule!C:C,MATCH(A126,Raw_Schedule!A:A,0))</f>
        <v/>
      </c>
      <c r="D126" s="3">
        <f>INDEX(Raw_Schedule!D:D,MATCH(A126,Raw_Schedule!A:A,0))</f>
        <v/>
      </c>
      <c r="E126" s="3">
        <f>INDEX(Raw_Schedule!E:E,MATCH(A126,Raw_Schedule!A:A,0))</f>
        <v/>
      </c>
      <c r="F126" s="3">
        <f>INDEX(Raw_Schedule!F:F,MATCH(A126,Raw_Schedule!A:A,0))</f>
        <v/>
      </c>
      <c r="G126" s="4">
        <f>INDEX(Raw_Schedule!G:G,MATCH(A126,Raw_Schedule!A:A,0))</f>
        <v/>
      </c>
      <c r="H126" s="5">
        <f>INDEX(Raw_Schedule!H:H,MATCH(A126,Raw_Schedule!A:A,0))</f>
        <v/>
      </c>
      <c r="I126" s="5">
        <f>SUMIFS(Raw_Payments!E:E,Raw_Payments!B:B,A126)</f>
        <v/>
      </c>
      <c r="J126" s="5">
        <f>H126-I126</f>
        <v/>
      </c>
      <c r="K126" s="3">
        <f>IF(J126&lt;=0.005,"PAID",IF(I126&gt;0,"PARTIAL","OVERDUE"))</f>
        <v/>
      </c>
      <c r="L126" s="4">
        <f>IF(COUNTIFS(Raw_Payments!B:B,A126)=0,"",SUMPRODUCT(MAX((Raw_Payments!B$2:B$1079=A126)*Raw_Payments!D$2:D$1079)))</f>
        <v/>
      </c>
      <c r="M126" s="3">
        <f>IF(K126="PAID",MAX(0,L126-G126),Guide!$B$3-G126)</f>
        <v/>
      </c>
      <c r="N126" s="3">
        <f>IF(J126&lt;=0.005,"COLLECTED",IF(M126&lt;=30,"1-30",IF(M126&lt;=60,"31-60",IF(M126&lt;=90,"61-90","90+"))))</f>
        <v/>
      </c>
      <c r="O126" s="3">
        <f>IF(N126="90+","LOST",IF(N126="61-90","ESCALATE",IF(N126="31-60","WATCH",IF(N126="1-30","MILD","OK"))))</f>
        <v/>
      </c>
      <c r="P126" s="3">
        <f>IF(J126&gt;0.005,ROW()-1,"")</f>
        <v/>
      </c>
    </row>
    <row r="127">
      <c r="A127" s="3" t="inlineStr">
        <is>
          <t>D0126</t>
        </is>
      </c>
      <c r="B127" s="3">
        <f>INDEX(Raw_Schedule!B:B,MATCH(A127,Raw_Schedule!A:A,0))</f>
        <v/>
      </c>
      <c r="C127" s="3">
        <f>INDEX(Raw_Schedule!C:C,MATCH(A127,Raw_Schedule!A:A,0))</f>
        <v/>
      </c>
      <c r="D127" s="3">
        <f>INDEX(Raw_Schedule!D:D,MATCH(A127,Raw_Schedule!A:A,0))</f>
        <v/>
      </c>
      <c r="E127" s="3">
        <f>INDEX(Raw_Schedule!E:E,MATCH(A127,Raw_Schedule!A:A,0))</f>
        <v/>
      </c>
      <c r="F127" s="3">
        <f>INDEX(Raw_Schedule!F:F,MATCH(A127,Raw_Schedule!A:A,0))</f>
        <v/>
      </c>
      <c r="G127" s="4">
        <f>INDEX(Raw_Schedule!G:G,MATCH(A127,Raw_Schedule!A:A,0))</f>
        <v/>
      </c>
      <c r="H127" s="5">
        <f>INDEX(Raw_Schedule!H:H,MATCH(A127,Raw_Schedule!A:A,0))</f>
        <v/>
      </c>
      <c r="I127" s="5">
        <f>SUMIFS(Raw_Payments!E:E,Raw_Payments!B:B,A127)</f>
        <v/>
      </c>
      <c r="J127" s="5">
        <f>H127-I127</f>
        <v/>
      </c>
      <c r="K127" s="3">
        <f>IF(J127&lt;=0.005,"PAID",IF(I127&gt;0,"PARTIAL","OVERDUE"))</f>
        <v/>
      </c>
      <c r="L127" s="4">
        <f>IF(COUNTIFS(Raw_Payments!B:B,A127)=0,"",SUMPRODUCT(MAX((Raw_Payments!B$2:B$1079=A127)*Raw_Payments!D$2:D$1079)))</f>
        <v/>
      </c>
      <c r="M127" s="3">
        <f>IF(K127="PAID",MAX(0,L127-G127),Guide!$B$3-G127)</f>
        <v/>
      </c>
      <c r="N127" s="3">
        <f>IF(J127&lt;=0.005,"COLLECTED",IF(M127&lt;=30,"1-30",IF(M127&lt;=60,"31-60",IF(M127&lt;=90,"61-90","90+"))))</f>
        <v/>
      </c>
      <c r="O127" s="3">
        <f>IF(N127="90+","LOST",IF(N127="61-90","ESCALATE",IF(N127="31-60","WATCH",IF(N127="1-30","MILD","OK"))))</f>
        <v/>
      </c>
      <c r="P127" s="3">
        <f>IF(J127&gt;0.005,ROW()-1,"")</f>
        <v/>
      </c>
    </row>
    <row r="128">
      <c r="A128" s="3" t="inlineStr">
        <is>
          <t>D0127</t>
        </is>
      </c>
      <c r="B128" s="3">
        <f>INDEX(Raw_Schedule!B:B,MATCH(A128,Raw_Schedule!A:A,0))</f>
        <v/>
      </c>
      <c r="C128" s="3">
        <f>INDEX(Raw_Schedule!C:C,MATCH(A128,Raw_Schedule!A:A,0))</f>
        <v/>
      </c>
      <c r="D128" s="3">
        <f>INDEX(Raw_Schedule!D:D,MATCH(A128,Raw_Schedule!A:A,0))</f>
        <v/>
      </c>
      <c r="E128" s="3">
        <f>INDEX(Raw_Schedule!E:E,MATCH(A128,Raw_Schedule!A:A,0))</f>
        <v/>
      </c>
      <c r="F128" s="3">
        <f>INDEX(Raw_Schedule!F:F,MATCH(A128,Raw_Schedule!A:A,0))</f>
        <v/>
      </c>
      <c r="G128" s="4">
        <f>INDEX(Raw_Schedule!G:G,MATCH(A128,Raw_Schedule!A:A,0))</f>
        <v/>
      </c>
      <c r="H128" s="5">
        <f>INDEX(Raw_Schedule!H:H,MATCH(A128,Raw_Schedule!A:A,0))</f>
        <v/>
      </c>
      <c r="I128" s="5">
        <f>SUMIFS(Raw_Payments!E:E,Raw_Payments!B:B,A128)</f>
        <v/>
      </c>
      <c r="J128" s="5">
        <f>H128-I128</f>
        <v/>
      </c>
      <c r="K128" s="3">
        <f>IF(J128&lt;=0.005,"PAID",IF(I128&gt;0,"PARTIAL","OVERDUE"))</f>
        <v/>
      </c>
      <c r="L128" s="4">
        <f>IF(COUNTIFS(Raw_Payments!B:B,A128)=0,"",SUMPRODUCT(MAX((Raw_Payments!B$2:B$1079=A128)*Raw_Payments!D$2:D$1079)))</f>
        <v/>
      </c>
      <c r="M128" s="3">
        <f>IF(K128="PAID",MAX(0,L128-G128),Guide!$B$3-G128)</f>
        <v/>
      </c>
      <c r="N128" s="3">
        <f>IF(J128&lt;=0.005,"COLLECTED",IF(M128&lt;=30,"1-30",IF(M128&lt;=60,"31-60",IF(M128&lt;=90,"61-90","90+"))))</f>
        <v/>
      </c>
      <c r="O128" s="3">
        <f>IF(N128="90+","LOST",IF(N128="61-90","ESCALATE",IF(N128="31-60","WATCH",IF(N128="1-30","MILD","OK"))))</f>
        <v/>
      </c>
      <c r="P128" s="3">
        <f>IF(J128&gt;0.005,ROW()-1,"")</f>
        <v/>
      </c>
    </row>
    <row r="129">
      <c r="A129" s="3" t="inlineStr">
        <is>
          <t>D0128</t>
        </is>
      </c>
      <c r="B129" s="3">
        <f>INDEX(Raw_Schedule!B:B,MATCH(A129,Raw_Schedule!A:A,0))</f>
        <v/>
      </c>
      <c r="C129" s="3">
        <f>INDEX(Raw_Schedule!C:C,MATCH(A129,Raw_Schedule!A:A,0))</f>
        <v/>
      </c>
      <c r="D129" s="3">
        <f>INDEX(Raw_Schedule!D:D,MATCH(A129,Raw_Schedule!A:A,0))</f>
        <v/>
      </c>
      <c r="E129" s="3">
        <f>INDEX(Raw_Schedule!E:E,MATCH(A129,Raw_Schedule!A:A,0))</f>
        <v/>
      </c>
      <c r="F129" s="3">
        <f>INDEX(Raw_Schedule!F:F,MATCH(A129,Raw_Schedule!A:A,0))</f>
        <v/>
      </c>
      <c r="G129" s="4">
        <f>INDEX(Raw_Schedule!G:G,MATCH(A129,Raw_Schedule!A:A,0))</f>
        <v/>
      </c>
      <c r="H129" s="5">
        <f>INDEX(Raw_Schedule!H:H,MATCH(A129,Raw_Schedule!A:A,0))</f>
        <v/>
      </c>
      <c r="I129" s="5">
        <f>SUMIFS(Raw_Payments!E:E,Raw_Payments!B:B,A129)</f>
        <v/>
      </c>
      <c r="J129" s="5">
        <f>H129-I129</f>
        <v/>
      </c>
      <c r="K129" s="3">
        <f>IF(J129&lt;=0.005,"PAID",IF(I129&gt;0,"PARTIAL","OVERDUE"))</f>
        <v/>
      </c>
      <c r="L129" s="4">
        <f>IF(COUNTIFS(Raw_Payments!B:B,A129)=0,"",SUMPRODUCT(MAX((Raw_Payments!B$2:B$1079=A129)*Raw_Payments!D$2:D$1079)))</f>
        <v/>
      </c>
      <c r="M129" s="3">
        <f>IF(K129="PAID",MAX(0,L129-G129),Guide!$B$3-G129)</f>
        <v/>
      </c>
      <c r="N129" s="3">
        <f>IF(J129&lt;=0.005,"COLLECTED",IF(M129&lt;=30,"1-30",IF(M129&lt;=60,"31-60",IF(M129&lt;=90,"61-90","90+"))))</f>
        <v/>
      </c>
      <c r="O129" s="3">
        <f>IF(N129="90+","LOST",IF(N129="61-90","ESCALATE",IF(N129="31-60","WATCH",IF(N129="1-30","MILD","OK"))))</f>
        <v/>
      </c>
      <c r="P129" s="3">
        <f>IF(J129&gt;0.005,ROW()-1,"")</f>
        <v/>
      </c>
    </row>
    <row r="130">
      <c r="A130" s="3" t="inlineStr">
        <is>
          <t>D0129</t>
        </is>
      </c>
      <c r="B130" s="3">
        <f>INDEX(Raw_Schedule!B:B,MATCH(A130,Raw_Schedule!A:A,0))</f>
        <v/>
      </c>
      <c r="C130" s="3">
        <f>INDEX(Raw_Schedule!C:C,MATCH(A130,Raw_Schedule!A:A,0))</f>
        <v/>
      </c>
      <c r="D130" s="3">
        <f>INDEX(Raw_Schedule!D:D,MATCH(A130,Raw_Schedule!A:A,0))</f>
        <v/>
      </c>
      <c r="E130" s="3">
        <f>INDEX(Raw_Schedule!E:E,MATCH(A130,Raw_Schedule!A:A,0))</f>
        <v/>
      </c>
      <c r="F130" s="3">
        <f>INDEX(Raw_Schedule!F:F,MATCH(A130,Raw_Schedule!A:A,0))</f>
        <v/>
      </c>
      <c r="G130" s="4">
        <f>INDEX(Raw_Schedule!G:G,MATCH(A130,Raw_Schedule!A:A,0))</f>
        <v/>
      </c>
      <c r="H130" s="5">
        <f>INDEX(Raw_Schedule!H:H,MATCH(A130,Raw_Schedule!A:A,0))</f>
        <v/>
      </c>
      <c r="I130" s="5">
        <f>SUMIFS(Raw_Payments!E:E,Raw_Payments!B:B,A130)</f>
        <v/>
      </c>
      <c r="J130" s="5">
        <f>H130-I130</f>
        <v/>
      </c>
      <c r="K130" s="3">
        <f>IF(J130&lt;=0.005,"PAID",IF(I130&gt;0,"PARTIAL","OVERDUE"))</f>
        <v/>
      </c>
      <c r="L130" s="4">
        <f>IF(COUNTIFS(Raw_Payments!B:B,A130)=0,"",SUMPRODUCT(MAX((Raw_Payments!B$2:B$1079=A130)*Raw_Payments!D$2:D$1079)))</f>
        <v/>
      </c>
      <c r="M130" s="3">
        <f>IF(K130="PAID",MAX(0,L130-G130),Guide!$B$3-G130)</f>
        <v/>
      </c>
      <c r="N130" s="3">
        <f>IF(J130&lt;=0.005,"COLLECTED",IF(M130&lt;=30,"1-30",IF(M130&lt;=60,"31-60",IF(M130&lt;=90,"61-90","90+"))))</f>
        <v/>
      </c>
      <c r="O130" s="3">
        <f>IF(N130="90+","LOST",IF(N130="61-90","ESCALATE",IF(N130="31-60","WATCH",IF(N130="1-30","MILD","OK"))))</f>
        <v/>
      </c>
      <c r="P130" s="3">
        <f>IF(J130&gt;0.005,ROW()-1,"")</f>
        <v/>
      </c>
    </row>
    <row r="131">
      <c r="A131" s="3" t="inlineStr">
        <is>
          <t>D0130</t>
        </is>
      </c>
      <c r="B131" s="3">
        <f>INDEX(Raw_Schedule!B:B,MATCH(A131,Raw_Schedule!A:A,0))</f>
        <v/>
      </c>
      <c r="C131" s="3">
        <f>INDEX(Raw_Schedule!C:C,MATCH(A131,Raw_Schedule!A:A,0))</f>
        <v/>
      </c>
      <c r="D131" s="3">
        <f>INDEX(Raw_Schedule!D:D,MATCH(A131,Raw_Schedule!A:A,0))</f>
        <v/>
      </c>
      <c r="E131" s="3">
        <f>INDEX(Raw_Schedule!E:E,MATCH(A131,Raw_Schedule!A:A,0))</f>
        <v/>
      </c>
      <c r="F131" s="3">
        <f>INDEX(Raw_Schedule!F:F,MATCH(A131,Raw_Schedule!A:A,0))</f>
        <v/>
      </c>
      <c r="G131" s="4">
        <f>INDEX(Raw_Schedule!G:G,MATCH(A131,Raw_Schedule!A:A,0))</f>
        <v/>
      </c>
      <c r="H131" s="5">
        <f>INDEX(Raw_Schedule!H:H,MATCH(A131,Raw_Schedule!A:A,0))</f>
        <v/>
      </c>
      <c r="I131" s="5">
        <f>SUMIFS(Raw_Payments!E:E,Raw_Payments!B:B,A131)</f>
        <v/>
      </c>
      <c r="J131" s="5">
        <f>H131-I131</f>
        <v/>
      </c>
      <c r="K131" s="3">
        <f>IF(J131&lt;=0.005,"PAID",IF(I131&gt;0,"PARTIAL","OVERDUE"))</f>
        <v/>
      </c>
      <c r="L131" s="4">
        <f>IF(COUNTIFS(Raw_Payments!B:B,A131)=0,"",SUMPRODUCT(MAX((Raw_Payments!B$2:B$1079=A131)*Raw_Payments!D$2:D$1079)))</f>
        <v/>
      </c>
      <c r="M131" s="3">
        <f>IF(K131="PAID",MAX(0,L131-G131),Guide!$B$3-G131)</f>
        <v/>
      </c>
      <c r="N131" s="3">
        <f>IF(J131&lt;=0.005,"COLLECTED",IF(M131&lt;=30,"1-30",IF(M131&lt;=60,"31-60",IF(M131&lt;=90,"61-90","90+"))))</f>
        <v/>
      </c>
      <c r="O131" s="3">
        <f>IF(N131="90+","LOST",IF(N131="61-90","ESCALATE",IF(N131="31-60","WATCH",IF(N131="1-30","MILD","OK"))))</f>
        <v/>
      </c>
      <c r="P131" s="3">
        <f>IF(J131&gt;0.005,ROW()-1,"")</f>
        <v/>
      </c>
    </row>
    <row r="132">
      <c r="A132" s="3" t="inlineStr">
        <is>
          <t>D0131</t>
        </is>
      </c>
      <c r="B132" s="3">
        <f>INDEX(Raw_Schedule!B:B,MATCH(A132,Raw_Schedule!A:A,0))</f>
        <v/>
      </c>
      <c r="C132" s="3">
        <f>INDEX(Raw_Schedule!C:C,MATCH(A132,Raw_Schedule!A:A,0))</f>
        <v/>
      </c>
      <c r="D132" s="3">
        <f>INDEX(Raw_Schedule!D:D,MATCH(A132,Raw_Schedule!A:A,0))</f>
        <v/>
      </c>
      <c r="E132" s="3">
        <f>INDEX(Raw_Schedule!E:E,MATCH(A132,Raw_Schedule!A:A,0))</f>
        <v/>
      </c>
      <c r="F132" s="3">
        <f>INDEX(Raw_Schedule!F:F,MATCH(A132,Raw_Schedule!A:A,0))</f>
        <v/>
      </c>
      <c r="G132" s="4">
        <f>INDEX(Raw_Schedule!G:G,MATCH(A132,Raw_Schedule!A:A,0))</f>
        <v/>
      </c>
      <c r="H132" s="5">
        <f>INDEX(Raw_Schedule!H:H,MATCH(A132,Raw_Schedule!A:A,0))</f>
        <v/>
      </c>
      <c r="I132" s="5">
        <f>SUMIFS(Raw_Payments!E:E,Raw_Payments!B:B,A132)</f>
        <v/>
      </c>
      <c r="J132" s="5">
        <f>H132-I132</f>
        <v/>
      </c>
      <c r="K132" s="3">
        <f>IF(J132&lt;=0.005,"PAID",IF(I132&gt;0,"PARTIAL","OVERDUE"))</f>
        <v/>
      </c>
      <c r="L132" s="4">
        <f>IF(COUNTIFS(Raw_Payments!B:B,A132)=0,"",SUMPRODUCT(MAX((Raw_Payments!B$2:B$1079=A132)*Raw_Payments!D$2:D$1079)))</f>
        <v/>
      </c>
      <c r="M132" s="3">
        <f>IF(K132="PAID",MAX(0,L132-G132),Guide!$B$3-G132)</f>
        <v/>
      </c>
      <c r="N132" s="3">
        <f>IF(J132&lt;=0.005,"COLLECTED",IF(M132&lt;=30,"1-30",IF(M132&lt;=60,"31-60",IF(M132&lt;=90,"61-90","90+"))))</f>
        <v/>
      </c>
      <c r="O132" s="3">
        <f>IF(N132="90+","LOST",IF(N132="61-90","ESCALATE",IF(N132="31-60","WATCH",IF(N132="1-30","MILD","OK"))))</f>
        <v/>
      </c>
      <c r="P132" s="3">
        <f>IF(J132&gt;0.005,ROW()-1,"")</f>
        <v/>
      </c>
    </row>
    <row r="133">
      <c r="A133" s="3" t="inlineStr">
        <is>
          <t>D0132</t>
        </is>
      </c>
      <c r="B133" s="3">
        <f>INDEX(Raw_Schedule!B:B,MATCH(A133,Raw_Schedule!A:A,0))</f>
        <v/>
      </c>
      <c r="C133" s="3">
        <f>INDEX(Raw_Schedule!C:C,MATCH(A133,Raw_Schedule!A:A,0))</f>
        <v/>
      </c>
      <c r="D133" s="3">
        <f>INDEX(Raw_Schedule!D:D,MATCH(A133,Raw_Schedule!A:A,0))</f>
        <v/>
      </c>
      <c r="E133" s="3">
        <f>INDEX(Raw_Schedule!E:E,MATCH(A133,Raw_Schedule!A:A,0))</f>
        <v/>
      </c>
      <c r="F133" s="3">
        <f>INDEX(Raw_Schedule!F:F,MATCH(A133,Raw_Schedule!A:A,0))</f>
        <v/>
      </c>
      <c r="G133" s="4">
        <f>INDEX(Raw_Schedule!G:G,MATCH(A133,Raw_Schedule!A:A,0))</f>
        <v/>
      </c>
      <c r="H133" s="5">
        <f>INDEX(Raw_Schedule!H:H,MATCH(A133,Raw_Schedule!A:A,0))</f>
        <v/>
      </c>
      <c r="I133" s="5">
        <f>SUMIFS(Raw_Payments!E:E,Raw_Payments!B:B,A133)</f>
        <v/>
      </c>
      <c r="J133" s="5">
        <f>H133-I133</f>
        <v/>
      </c>
      <c r="K133" s="3">
        <f>IF(J133&lt;=0.005,"PAID",IF(I133&gt;0,"PARTIAL","OVERDUE"))</f>
        <v/>
      </c>
      <c r="L133" s="4">
        <f>IF(COUNTIFS(Raw_Payments!B:B,A133)=0,"",SUMPRODUCT(MAX((Raw_Payments!B$2:B$1079=A133)*Raw_Payments!D$2:D$1079)))</f>
        <v/>
      </c>
      <c r="M133" s="3">
        <f>IF(K133="PAID",MAX(0,L133-G133),Guide!$B$3-G133)</f>
        <v/>
      </c>
      <c r="N133" s="3">
        <f>IF(J133&lt;=0.005,"COLLECTED",IF(M133&lt;=30,"1-30",IF(M133&lt;=60,"31-60",IF(M133&lt;=90,"61-90","90+"))))</f>
        <v/>
      </c>
      <c r="O133" s="3">
        <f>IF(N133="90+","LOST",IF(N133="61-90","ESCALATE",IF(N133="31-60","WATCH",IF(N133="1-30","MILD","OK"))))</f>
        <v/>
      </c>
      <c r="P133" s="3">
        <f>IF(J133&gt;0.005,ROW()-1,"")</f>
        <v/>
      </c>
    </row>
    <row r="134">
      <c r="A134" s="3" t="inlineStr">
        <is>
          <t>D0133</t>
        </is>
      </c>
      <c r="B134" s="3">
        <f>INDEX(Raw_Schedule!B:B,MATCH(A134,Raw_Schedule!A:A,0))</f>
        <v/>
      </c>
      <c r="C134" s="3">
        <f>INDEX(Raw_Schedule!C:C,MATCH(A134,Raw_Schedule!A:A,0))</f>
        <v/>
      </c>
      <c r="D134" s="3">
        <f>INDEX(Raw_Schedule!D:D,MATCH(A134,Raw_Schedule!A:A,0))</f>
        <v/>
      </c>
      <c r="E134" s="3">
        <f>INDEX(Raw_Schedule!E:E,MATCH(A134,Raw_Schedule!A:A,0))</f>
        <v/>
      </c>
      <c r="F134" s="3">
        <f>INDEX(Raw_Schedule!F:F,MATCH(A134,Raw_Schedule!A:A,0))</f>
        <v/>
      </c>
      <c r="G134" s="4">
        <f>INDEX(Raw_Schedule!G:G,MATCH(A134,Raw_Schedule!A:A,0))</f>
        <v/>
      </c>
      <c r="H134" s="5">
        <f>INDEX(Raw_Schedule!H:H,MATCH(A134,Raw_Schedule!A:A,0))</f>
        <v/>
      </c>
      <c r="I134" s="5">
        <f>SUMIFS(Raw_Payments!E:E,Raw_Payments!B:B,A134)</f>
        <v/>
      </c>
      <c r="J134" s="5">
        <f>H134-I134</f>
        <v/>
      </c>
      <c r="K134" s="3">
        <f>IF(J134&lt;=0.005,"PAID",IF(I134&gt;0,"PARTIAL","OVERDUE"))</f>
        <v/>
      </c>
      <c r="L134" s="4">
        <f>IF(COUNTIFS(Raw_Payments!B:B,A134)=0,"",SUMPRODUCT(MAX((Raw_Payments!B$2:B$1079=A134)*Raw_Payments!D$2:D$1079)))</f>
        <v/>
      </c>
      <c r="M134" s="3">
        <f>IF(K134="PAID",MAX(0,L134-G134),Guide!$B$3-G134)</f>
        <v/>
      </c>
      <c r="N134" s="3">
        <f>IF(J134&lt;=0.005,"COLLECTED",IF(M134&lt;=30,"1-30",IF(M134&lt;=60,"31-60",IF(M134&lt;=90,"61-90","90+"))))</f>
        <v/>
      </c>
      <c r="O134" s="3">
        <f>IF(N134="90+","LOST",IF(N134="61-90","ESCALATE",IF(N134="31-60","WATCH",IF(N134="1-30","MILD","OK"))))</f>
        <v/>
      </c>
      <c r="P134" s="3">
        <f>IF(J134&gt;0.005,ROW()-1,"")</f>
        <v/>
      </c>
    </row>
    <row r="135">
      <c r="A135" s="3" t="inlineStr">
        <is>
          <t>D0134</t>
        </is>
      </c>
      <c r="B135" s="3">
        <f>INDEX(Raw_Schedule!B:B,MATCH(A135,Raw_Schedule!A:A,0))</f>
        <v/>
      </c>
      <c r="C135" s="3">
        <f>INDEX(Raw_Schedule!C:C,MATCH(A135,Raw_Schedule!A:A,0))</f>
        <v/>
      </c>
      <c r="D135" s="3">
        <f>INDEX(Raw_Schedule!D:D,MATCH(A135,Raw_Schedule!A:A,0))</f>
        <v/>
      </c>
      <c r="E135" s="3">
        <f>INDEX(Raw_Schedule!E:E,MATCH(A135,Raw_Schedule!A:A,0))</f>
        <v/>
      </c>
      <c r="F135" s="3">
        <f>INDEX(Raw_Schedule!F:F,MATCH(A135,Raw_Schedule!A:A,0))</f>
        <v/>
      </c>
      <c r="G135" s="4">
        <f>INDEX(Raw_Schedule!G:G,MATCH(A135,Raw_Schedule!A:A,0))</f>
        <v/>
      </c>
      <c r="H135" s="5">
        <f>INDEX(Raw_Schedule!H:H,MATCH(A135,Raw_Schedule!A:A,0))</f>
        <v/>
      </c>
      <c r="I135" s="5">
        <f>SUMIFS(Raw_Payments!E:E,Raw_Payments!B:B,A135)</f>
        <v/>
      </c>
      <c r="J135" s="5">
        <f>H135-I135</f>
        <v/>
      </c>
      <c r="K135" s="3">
        <f>IF(J135&lt;=0.005,"PAID",IF(I135&gt;0,"PARTIAL","OVERDUE"))</f>
        <v/>
      </c>
      <c r="L135" s="4">
        <f>IF(COUNTIFS(Raw_Payments!B:B,A135)=0,"",SUMPRODUCT(MAX((Raw_Payments!B$2:B$1079=A135)*Raw_Payments!D$2:D$1079)))</f>
        <v/>
      </c>
      <c r="M135" s="3">
        <f>IF(K135="PAID",MAX(0,L135-G135),Guide!$B$3-G135)</f>
        <v/>
      </c>
      <c r="N135" s="3">
        <f>IF(J135&lt;=0.005,"COLLECTED",IF(M135&lt;=30,"1-30",IF(M135&lt;=60,"31-60",IF(M135&lt;=90,"61-90","90+"))))</f>
        <v/>
      </c>
      <c r="O135" s="3">
        <f>IF(N135="90+","LOST",IF(N135="61-90","ESCALATE",IF(N135="31-60","WATCH",IF(N135="1-30","MILD","OK"))))</f>
        <v/>
      </c>
      <c r="P135" s="3">
        <f>IF(J135&gt;0.005,ROW()-1,"")</f>
        <v/>
      </c>
    </row>
    <row r="136">
      <c r="A136" s="3" t="inlineStr">
        <is>
          <t>D0135</t>
        </is>
      </c>
      <c r="B136" s="3">
        <f>INDEX(Raw_Schedule!B:B,MATCH(A136,Raw_Schedule!A:A,0))</f>
        <v/>
      </c>
      <c r="C136" s="3">
        <f>INDEX(Raw_Schedule!C:C,MATCH(A136,Raw_Schedule!A:A,0))</f>
        <v/>
      </c>
      <c r="D136" s="3">
        <f>INDEX(Raw_Schedule!D:D,MATCH(A136,Raw_Schedule!A:A,0))</f>
        <v/>
      </c>
      <c r="E136" s="3">
        <f>INDEX(Raw_Schedule!E:E,MATCH(A136,Raw_Schedule!A:A,0))</f>
        <v/>
      </c>
      <c r="F136" s="3">
        <f>INDEX(Raw_Schedule!F:F,MATCH(A136,Raw_Schedule!A:A,0))</f>
        <v/>
      </c>
      <c r="G136" s="4">
        <f>INDEX(Raw_Schedule!G:G,MATCH(A136,Raw_Schedule!A:A,0))</f>
        <v/>
      </c>
      <c r="H136" s="5">
        <f>INDEX(Raw_Schedule!H:H,MATCH(A136,Raw_Schedule!A:A,0))</f>
        <v/>
      </c>
      <c r="I136" s="5">
        <f>SUMIFS(Raw_Payments!E:E,Raw_Payments!B:B,A136)</f>
        <v/>
      </c>
      <c r="J136" s="5">
        <f>H136-I136</f>
        <v/>
      </c>
      <c r="K136" s="3">
        <f>IF(J136&lt;=0.005,"PAID",IF(I136&gt;0,"PARTIAL","OVERDUE"))</f>
        <v/>
      </c>
      <c r="L136" s="4">
        <f>IF(COUNTIFS(Raw_Payments!B:B,A136)=0,"",SUMPRODUCT(MAX((Raw_Payments!B$2:B$1079=A136)*Raw_Payments!D$2:D$1079)))</f>
        <v/>
      </c>
      <c r="M136" s="3">
        <f>IF(K136="PAID",MAX(0,L136-G136),Guide!$B$3-G136)</f>
        <v/>
      </c>
      <c r="N136" s="3">
        <f>IF(J136&lt;=0.005,"COLLECTED",IF(M136&lt;=30,"1-30",IF(M136&lt;=60,"31-60",IF(M136&lt;=90,"61-90","90+"))))</f>
        <v/>
      </c>
      <c r="O136" s="3">
        <f>IF(N136="90+","LOST",IF(N136="61-90","ESCALATE",IF(N136="31-60","WATCH",IF(N136="1-30","MILD","OK"))))</f>
        <v/>
      </c>
      <c r="P136" s="3">
        <f>IF(J136&gt;0.005,ROW()-1,"")</f>
        <v/>
      </c>
    </row>
    <row r="137">
      <c r="A137" s="3" t="inlineStr">
        <is>
          <t>D0136</t>
        </is>
      </c>
      <c r="B137" s="3">
        <f>INDEX(Raw_Schedule!B:B,MATCH(A137,Raw_Schedule!A:A,0))</f>
        <v/>
      </c>
      <c r="C137" s="3">
        <f>INDEX(Raw_Schedule!C:C,MATCH(A137,Raw_Schedule!A:A,0))</f>
        <v/>
      </c>
      <c r="D137" s="3">
        <f>INDEX(Raw_Schedule!D:D,MATCH(A137,Raw_Schedule!A:A,0))</f>
        <v/>
      </c>
      <c r="E137" s="3">
        <f>INDEX(Raw_Schedule!E:E,MATCH(A137,Raw_Schedule!A:A,0))</f>
        <v/>
      </c>
      <c r="F137" s="3">
        <f>INDEX(Raw_Schedule!F:F,MATCH(A137,Raw_Schedule!A:A,0))</f>
        <v/>
      </c>
      <c r="G137" s="4">
        <f>INDEX(Raw_Schedule!G:G,MATCH(A137,Raw_Schedule!A:A,0))</f>
        <v/>
      </c>
      <c r="H137" s="5">
        <f>INDEX(Raw_Schedule!H:H,MATCH(A137,Raw_Schedule!A:A,0))</f>
        <v/>
      </c>
      <c r="I137" s="5">
        <f>SUMIFS(Raw_Payments!E:E,Raw_Payments!B:B,A137)</f>
        <v/>
      </c>
      <c r="J137" s="5">
        <f>H137-I137</f>
        <v/>
      </c>
      <c r="K137" s="3">
        <f>IF(J137&lt;=0.005,"PAID",IF(I137&gt;0,"PARTIAL","OVERDUE"))</f>
        <v/>
      </c>
      <c r="L137" s="4">
        <f>IF(COUNTIFS(Raw_Payments!B:B,A137)=0,"",SUMPRODUCT(MAX((Raw_Payments!B$2:B$1079=A137)*Raw_Payments!D$2:D$1079)))</f>
        <v/>
      </c>
      <c r="M137" s="3">
        <f>IF(K137="PAID",MAX(0,L137-G137),Guide!$B$3-G137)</f>
        <v/>
      </c>
      <c r="N137" s="3">
        <f>IF(J137&lt;=0.005,"COLLECTED",IF(M137&lt;=30,"1-30",IF(M137&lt;=60,"31-60",IF(M137&lt;=90,"61-90","90+"))))</f>
        <v/>
      </c>
      <c r="O137" s="3">
        <f>IF(N137="90+","LOST",IF(N137="61-90","ESCALATE",IF(N137="31-60","WATCH",IF(N137="1-30","MILD","OK"))))</f>
        <v/>
      </c>
      <c r="P137" s="3">
        <f>IF(J137&gt;0.005,ROW()-1,"")</f>
        <v/>
      </c>
    </row>
    <row r="138">
      <c r="A138" s="3" t="inlineStr">
        <is>
          <t>D0137</t>
        </is>
      </c>
      <c r="B138" s="3">
        <f>INDEX(Raw_Schedule!B:B,MATCH(A138,Raw_Schedule!A:A,0))</f>
        <v/>
      </c>
      <c r="C138" s="3">
        <f>INDEX(Raw_Schedule!C:C,MATCH(A138,Raw_Schedule!A:A,0))</f>
        <v/>
      </c>
      <c r="D138" s="3">
        <f>INDEX(Raw_Schedule!D:D,MATCH(A138,Raw_Schedule!A:A,0))</f>
        <v/>
      </c>
      <c r="E138" s="3">
        <f>INDEX(Raw_Schedule!E:E,MATCH(A138,Raw_Schedule!A:A,0))</f>
        <v/>
      </c>
      <c r="F138" s="3">
        <f>INDEX(Raw_Schedule!F:F,MATCH(A138,Raw_Schedule!A:A,0))</f>
        <v/>
      </c>
      <c r="G138" s="4">
        <f>INDEX(Raw_Schedule!G:G,MATCH(A138,Raw_Schedule!A:A,0))</f>
        <v/>
      </c>
      <c r="H138" s="5">
        <f>INDEX(Raw_Schedule!H:H,MATCH(A138,Raw_Schedule!A:A,0))</f>
        <v/>
      </c>
      <c r="I138" s="5">
        <f>SUMIFS(Raw_Payments!E:E,Raw_Payments!B:B,A138)</f>
        <v/>
      </c>
      <c r="J138" s="5">
        <f>H138-I138</f>
        <v/>
      </c>
      <c r="K138" s="3">
        <f>IF(J138&lt;=0.005,"PAID",IF(I138&gt;0,"PARTIAL","OVERDUE"))</f>
        <v/>
      </c>
      <c r="L138" s="4">
        <f>IF(COUNTIFS(Raw_Payments!B:B,A138)=0,"",SUMPRODUCT(MAX((Raw_Payments!B$2:B$1079=A138)*Raw_Payments!D$2:D$1079)))</f>
        <v/>
      </c>
      <c r="M138" s="3">
        <f>IF(K138="PAID",MAX(0,L138-G138),Guide!$B$3-G138)</f>
        <v/>
      </c>
      <c r="N138" s="3">
        <f>IF(J138&lt;=0.005,"COLLECTED",IF(M138&lt;=30,"1-30",IF(M138&lt;=60,"31-60",IF(M138&lt;=90,"61-90","90+"))))</f>
        <v/>
      </c>
      <c r="O138" s="3">
        <f>IF(N138="90+","LOST",IF(N138="61-90","ESCALATE",IF(N138="31-60","WATCH",IF(N138="1-30","MILD","OK"))))</f>
        <v/>
      </c>
      <c r="P138" s="3">
        <f>IF(J138&gt;0.005,ROW()-1,"")</f>
        <v/>
      </c>
    </row>
    <row r="139">
      <c r="A139" s="3" t="inlineStr">
        <is>
          <t>D0138</t>
        </is>
      </c>
      <c r="B139" s="3">
        <f>INDEX(Raw_Schedule!B:B,MATCH(A139,Raw_Schedule!A:A,0))</f>
        <v/>
      </c>
      <c r="C139" s="3">
        <f>INDEX(Raw_Schedule!C:C,MATCH(A139,Raw_Schedule!A:A,0))</f>
        <v/>
      </c>
      <c r="D139" s="3">
        <f>INDEX(Raw_Schedule!D:D,MATCH(A139,Raw_Schedule!A:A,0))</f>
        <v/>
      </c>
      <c r="E139" s="3">
        <f>INDEX(Raw_Schedule!E:E,MATCH(A139,Raw_Schedule!A:A,0))</f>
        <v/>
      </c>
      <c r="F139" s="3">
        <f>INDEX(Raw_Schedule!F:F,MATCH(A139,Raw_Schedule!A:A,0))</f>
        <v/>
      </c>
      <c r="G139" s="4">
        <f>INDEX(Raw_Schedule!G:G,MATCH(A139,Raw_Schedule!A:A,0))</f>
        <v/>
      </c>
      <c r="H139" s="5">
        <f>INDEX(Raw_Schedule!H:H,MATCH(A139,Raw_Schedule!A:A,0))</f>
        <v/>
      </c>
      <c r="I139" s="5">
        <f>SUMIFS(Raw_Payments!E:E,Raw_Payments!B:B,A139)</f>
        <v/>
      </c>
      <c r="J139" s="5">
        <f>H139-I139</f>
        <v/>
      </c>
      <c r="K139" s="3">
        <f>IF(J139&lt;=0.005,"PAID",IF(I139&gt;0,"PARTIAL","OVERDUE"))</f>
        <v/>
      </c>
      <c r="L139" s="4">
        <f>IF(COUNTIFS(Raw_Payments!B:B,A139)=0,"",SUMPRODUCT(MAX((Raw_Payments!B$2:B$1079=A139)*Raw_Payments!D$2:D$1079)))</f>
        <v/>
      </c>
      <c r="M139" s="3">
        <f>IF(K139="PAID",MAX(0,L139-G139),Guide!$B$3-G139)</f>
        <v/>
      </c>
      <c r="N139" s="3">
        <f>IF(J139&lt;=0.005,"COLLECTED",IF(M139&lt;=30,"1-30",IF(M139&lt;=60,"31-60",IF(M139&lt;=90,"61-90","90+"))))</f>
        <v/>
      </c>
      <c r="O139" s="3">
        <f>IF(N139="90+","LOST",IF(N139="61-90","ESCALATE",IF(N139="31-60","WATCH",IF(N139="1-30","MILD","OK"))))</f>
        <v/>
      </c>
      <c r="P139" s="3">
        <f>IF(J139&gt;0.005,ROW()-1,"")</f>
        <v/>
      </c>
    </row>
    <row r="140">
      <c r="A140" s="3" t="inlineStr">
        <is>
          <t>D0139</t>
        </is>
      </c>
      <c r="B140" s="3">
        <f>INDEX(Raw_Schedule!B:B,MATCH(A140,Raw_Schedule!A:A,0))</f>
        <v/>
      </c>
      <c r="C140" s="3">
        <f>INDEX(Raw_Schedule!C:C,MATCH(A140,Raw_Schedule!A:A,0))</f>
        <v/>
      </c>
      <c r="D140" s="3">
        <f>INDEX(Raw_Schedule!D:D,MATCH(A140,Raw_Schedule!A:A,0))</f>
        <v/>
      </c>
      <c r="E140" s="3">
        <f>INDEX(Raw_Schedule!E:E,MATCH(A140,Raw_Schedule!A:A,0))</f>
        <v/>
      </c>
      <c r="F140" s="3">
        <f>INDEX(Raw_Schedule!F:F,MATCH(A140,Raw_Schedule!A:A,0))</f>
        <v/>
      </c>
      <c r="G140" s="4">
        <f>INDEX(Raw_Schedule!G:G,MATCH(A140,Raw_Schedule!A:A,0))</f>
        <v/>
      </c>
      <c r="H140" s="5">
        <f>INDEX(Raw_Schedule!H:H,MATCH(A140,Raw_Schedule!A:A,0))</f>
        <v/>
      </c>
      <c r="I140" s="5">
        <f>SUMIFS(Raw_Payments!E:E,Raw_Payments!B:B,A140)</f>
        <v/>
      </c>
      <c r="J140" s="5">
        <f>H140-I140</f>
        <v/>
      </c>
      <c r="K140" s="3">
        <f>IF(J140&lt;=0.005,"PAID",IF(I140&gt;0,"PARTIAL","OVERDUE"))</f>
        <v/>
      </c>
      <c r="L140" s="4">
        <f>IF(COUNTIFS(Raw_Payments!B:B,A140)=0,"",SUMPRODUCT(MAX((Raw_Payments!B$2:B$1079=A140)*Raw_Payments!D$2:D$1079)))</f>
        <v/>
      </c>
      <c r="M140" s="3">
        <f>IF(K140="PAID",MAX(0,L140-G140),Guide!$B$3-G140)</f>
        <v/>
      </c>
      <c r="N140" s="3">
        <f>IF(J140&lt;=0.005,"COLLECTED",IF(M140&lt;=30,"1-30",IF(M140&lt;=60,"31-60",IF(M140&lt;=90,"61-90","90+"))))</f>
        <v/>
      </c>
      <c r="O140" s="3">
        <f>IF(N140="90+","LOST",IF(N140="61-90","ESCALATE",IF(N140="31-60","WATCH",IF(N140="1-30","MILD","OK"))))</f>
        <v/>
      </c>
      <c r="P140" s="3">
        <f>IF(J140&gt;0.005,ROW()-1,"")</f>
        <v/>
      </c>
    </row>
    <row r="141">
      <c r="A141" s="3" t="inlineStr">
        <is>
          <t>D0140</t>
        </is>
      </c>
      <c r="B141" s="3">
        <f>INDEX(Raw_Schedule!B:B,MATCH(A141,Raw_Schedule!A:A,0))</f>
        <v/>
      </c>
      <c r="C141" s="3">
        <f>INDEX(Raw_Schedule!C:C,MATCH(A141,Raw_Schedule!A:A,0))</f>
        <v/>
      </c>
      <c r="D141" s="3">
        <f>INDEX(Raw_Schedule!D:D,MATCH(A141,Raw_Schedule!A:A,0))</f>
        <v/>
      </c>
      <c r="E141" s="3">
        <f>INDEX(Raw_Schedule!E:E,MATCH(A141,Raw_Schedule!A:A,0))</f>
        <v/>
      </c>
      <c r="F141" s="3">
        <f>INDEX(Raw_Schedule!F:F,MATCH(A141,Raw_Schedule!A:A,0))</f>
        <v/>
      </c>
      <c r="G141" s="4">
        <f>INDEX(Raw_Schedule!G:G,MATCH(A141,Raw_Schedule!A:A,0))</f>
        <v/>
      </c>
      <c r="H141" s="5">
        <f>INDEX(Raw_Schedule!H:H,MATCH(A141,Raw_Schedule!A:A,0))</f>
        <v/>
      </c>
      <c r="I141" s="5">
        <f>SUMIFS(Raw_Payments!E:E,Raw_Payments!B:B,A141)</f>
        <v/>
      </c>
      <c r="J141" s="5">
        <f>H141-I141</f>
        <v/>
      </c>
      <c r="K141" s="3">
        <f>IF(J141&lt;=0.005,"PAID",IF(I141&gt;0,"PARTIAL","OVERDUE"))</f>
        <v/>
      </c>
      <c r="L141" s="4">
        <f>IF(COUNTIFS(Raw_Payments!B:B,A141)=0,"",SUMPRODUCT(MAX((Raw_Payments!B$2:B$1079=A141)*Raw_Payments!D$2:D$1079)))</f>
        <v/>
      </c>
      <c r="M141" s="3">
        <f>IF(K141="PAID",MAX(0,L141-G141),Guide!$B$3-G141)</f>
        <v/>
      </c>
      <c r="N141" s="3">
        <f>IF(J141&lt;=0.005,"COLLECTED",IF(M141&lt;=30,"1-30",IF(M141&lt;=60,"31-60",IF(M141&lt;=90,"61-90","90+"))))</f>
        <v/>
      </c>
      <c r="O141" s="3">
        <f>IF(N141="90+","LOST",IF(N141="61-90","ESCALATE",IF(N141="31-60","WATCH",IF(N141="1-30","MILD","OK"))))</f>
        <v/>
      </c>
      <c r="P141" s="3">
        <f>IF(J141&gt;0.005,ROW()-1,"")</f>
        <v/>
      </c>
    </row>
    <row r="142">
      <c r="A142" s="3" t="inlineStr">
        <is>
          <t>D0141</t>
        </is>
      </c>
      <c r="B142" s="3">
        <f>INDEX(Raw_Schedule!B:B,MATCH(A142,Raw_Schedule!A:A,0))</f>
        <v/>
      </c>
      <c r="C142" s="3">
        <f>INDEX(Raw_Schedule!C:C,MATCH(A142,Raw_Schedule!A:A,0))</f>
        <v/>
      </c>
      <c r="D142" s="3">
        <f>INDEX(Raw_Schedule!D:D,MATCH(A142,Raw_Schedule!A:A,0))</f>
        <v/>
      </c>
      <c r="E142" s="3">
        <f>INDEX(Raw_Schedule!E:E,MATCH(A142,Raw_Schedule!A:A,0))</f>
        <v/>
      </c>
      <c r="F142" s="3">
        <f>INDEX(Raw_Schedule!F:F,MATCH(A142,Raw_Schedule!A:A,0))</f>
        <v/>
      </c>
      <c r="G142" s="4">
        <f>INDEX(Raw_Schedule!G:G,MATCH(A142,Raw_Schedule!A:A,0))</f>
        <v/>
      </c>
      <c r="H142" s="5">
        <f>INDEX(Raw_Schedule!H:H,MATCH(A142,Raw_Schedule!A:A,0))</f>
        <v/>
      </c>
      <c r="I142" s="5">
        <f>SUMIFS(Raw_Payments!E:E,Raw_Payments!B:B,A142)</f>
        <v/>
      </c>
      <c r="J142" s="5">
        <f>H142-I142</f>
        <v/>
      </c>
      <c r="K142" s="3">
        <f>IF(J142&lt;=0.005,"PAID",IF(I142&gt;0,"PARTIAL","OVERDUE"))</f>
        <v/>
      </c>
      <c r="L142" s="4">
        <f>IF(COUNTIFS(Raw_Payments!B:B,A142)=0,"",SUMPRODUCT(MAX((Raw_Payments!B$2:B$1079=A142)*Raw_Payments!D$2:D$1079)))</f>
        <v/>
      </c>
      <c r="M142" s="3">
        <f>IF(K142="PAID",MAX(0,L142-G142),Guide!$B$3-G142)</f>
        <v/>
      </c>
      <c r="N142" s="3">
        <f>IF(J142&lt;=0.005,"COLLECTED",IF(M142&lt;=30,"1-30",IF(M142&lt;=60,"31-60",IF(M142&lt;=90,"61-90","90+"))))</f>
        <v/>
      </c>
      <c r="O142" s="3">
        <f>IF(N142="90+","LOST",IF(N142="61-90","ESCALATE",IF(N142="31-60","WATCH",IF(N142="1-30","MILD","OK"))))</f>
        <v/>
      </c>
      <c r="P142" s="3">
        <f>IF(J142&gt;0.005,ROW()-1,"")</f>
        <v/>
      </c>
    </row>
    <row r="143">
      <c r="A143" s="3" t="inlineStr">
        <is>
          <t>D0142</t>
        </is>
      </c>
      <c r="B143" s="3">
        <f>INDEX(Raw_Schedule!B:B,MATCH(A143,Raw_Schedule!A:A,0))</f>
        <v/>
      </c>
      <c r="C143" s="3">
        <f>INDEX(Raw_Schedule!C:C,MATCH(A143,Raw_Schedule!A:A,0))</f>
        <v/>
      </c>
      <c r="D143" s="3">
        <f>INDEX(Raw_Schedule!D:D,MATCH(A143,Raw_Schedule!A:A,0))</f>
        <v/>
      </c>
      <c r="E143" s="3">
        <f>INDEX(Raw_Schedule!E:E,MATCH(A143,Raw_Schedule!A:A,0))</f>
        <v/>
      </c>
      <c r="F143" s="3">
        <f>INDEX(Raw_Schedule!F:F,MATCH(A143,Raw_Schedule!A:A,0))</f>
        <v/>
      </c>
      <c r="G143" s="4">
        <f>INDEX(Raw_Schedule!G:G,MATCH(A143,Raw_Schedule!A:A,0))</f>
        <v/>
      </c>
      <c r="H143" s="5">
        <f>INDEX(Raw_Schedule!H:H,MATCH(A143,Raw_Schedule!A:A,0))</f>
        <v/>
      </c>
      <c r="I143" s="5">
        <f>SUMIFS(Raw_Payments!E:E,Raw_Payments!B:B,A143)</f>
        <v/>
      </c>
      <c r="J143" s="5">
        <f>H143-I143</f>
        <v/>
      </c>
      <c r="K143" s="3">
        <f>IF(J143&lt;=0.005,"PAID",IF(I143&gt;0,"PARTIAL","OVERDUE"))</f>
        <v/>
      </c>
      <c r="L143" s="4">
        <f>IF(COUNTIFS(Raw_Payments!B:B,A143)=0,"",SUMPRODUCT(MAX((Raw_Payments!B$2:B$1079=A143)*Raw_Payments!D$2:D$1079)))</f>
        <v/>
      </c>
      <c r="M143" s="3">
        <f>IF(K143="PAID",MAX(0,L143-G143),Guide!$B$3-G143)</f>
        <v/>
      </c>
      <c r="N143" s="3">
        <f>IF(J143&lt;=0.005,"COLLECTED",IF(M143&lt;=30,"1-30",IF(M143&lt;=60,"31-60",IF(M143&lt;=90,"61-90","90+"))))</f>
        <v/>
      </c>
      <c r="O143" s="3">
        <f>IF(N143="90+","LOST",IF(N143="61-90","ESCALATE",IF(N143="31-60","WATCH",IF(N143="1-30","MILD","OK"))))</f>
        <v/>
      </c>
      <c r="P143" s="3">
        <f>IF(J143&gt;0.005,ROW()-1,"")</f>
        <v/>
      </c>
    </row>
    <row r="144">
      <c r="A144" s="3" t="inlineStr">
        <is>
          <t>D0143</t>
        </is>
      </c>
      <c r="B144" s="3">
        <f>INDEX(Raw_Schedule!B:B,MATCH(A144,Raw_Schedule!A:A,0))</f>
        <v/>
      </c>
      <c r="C144" s="3">
        <f>INDEX(Raw_Schedule!C:C,MATCH(A144,Raw_Schedule!A:A,0))</f>
        <v/>
      </c>
      <c r="D144" s="3">
        <f>INDEX(Raw_Schedule!D:D,MATCH(A144,Raw_Schedule!A:A,0))</f>
        <v/>
      </c>
      <c r="E144" s="3">
        <f>INDEX(Raw_Schedule!E:E,MATCH(A144,Raw_Schedule!A:A,0))</f>
        <v/>
      </c>
      <c r="F144" s="3">
        <f>INDEX(Raw_Schedule!F:F,MATCH(A144,Raw_Schedule!A:A,0))</f>
        <v/>
      </c>
      <c r="G144" s="4">
        <f>INDEX(Raw_Schedule!G:G,MATCH(A144,Raw_Schedule!A:A,0))</f>
        <v/>
      </c>
      <c r="H144" s="5">
        <f>INDEX(Raw_Schedule!H:H,MATCH(A144,Raw_Schedule!A:A,0))</f>
        <v/>
      </c>
      <c r="I144" s="5">
        <f>SUMIFS(Raw_Payments!E:E,Raw_Payments!B:B,A144)</f>
        <v/>
      </c>
      <c r="J144" s="5">
        <f>H144-I144</f>
        <v/>
      </c>
      <c r="K144" s="3">
        <f>IF(J144&lt;=0.005,"PAID",IF(I144&gt;0,"PARTIAL","OVERDUE"))</f>
        <v/>
      </c>
      <c r="L144" s="4">
        <f>IF(COUNTIFS(Raw_Payments!B:B,A144)=0,"",SUMPRODUCT(MAX((Raw_Payments!B$2:B$1079=A144)*Raw_Payments!D$2:D$1079)))</f>
        <v/>
      </c>
      <c r="M144" s="3">
        <f>IF(K144="PAID",MAX(0,L144-G144),Guide!$B$3-G144)</f>
        <v/>
      </c>
      <c r="N144" s="3">
        <f>IF(J144&lt;=0.005,"COLLECTED",IF(M144&lt;=30,"1-30",IF(M144&lt;=60,"31-60",IF(M144&lt;=90,"61-90","90+"))))</f>
        <v/>
      </c>
      <c r="O144" s="3">
        <f>IF(N144="90+","LOST",IF(N144="61-90","ESCALATE",IF(N144="31-60","WATCH",IF(N144="1-30","MILD","OK"))))</f>
        <v/>
      </c>
      <c r="P144" s="3">
        <f>IF(J144&gt;0.005,ROW()-1,"")</f>
        <v/>
      </c>
    </row>
    <row r="145">
      <c r="A145" s="3" t="inlineStr">
        <is>
          <t>D0144</t>
        </is>
      </c>
      <c r="B145" s="3">
        <f>INDEX(Raw_Schedule!B:B,MATCH(A145,Raw_Schedule!A:A,0))</f>
        <v/>
      </c>
      <c r="C145" s="3">
        <f>INDEX(Raw_Schedule!C:C,MATCH(A145,Raw_Schedule!A:A,0))</f>
        <v/>
      </c>
      <c r="D145" s="3">
        <f>INDEX(Raw_Schedule!D:D,MATCH(A145,Raw_Schedule!A:A,0))</f>
        <v/>
      </c>
      <c r="E145" s="3">
        <f>INDEX(Raw_Schedule!E:E,MATCH(A145,Raw_Schedule!A:A,0))</f>
        <v/>
      </c>
      <c r="F145" s="3">
        <f>INDEX(Raw_Schedule!F:F,MATCH(A145,Raw_Schedule!A:A,0))</f>
        <v/>
      </c>
      <c r="G145" s="4">
        <f>INDEX(Raw_Schedule!G:G,MATCH(A145,Raw_Schedule!A:A,0))</f>
        <v/>
      </c>
      <c r="H145" s="5">
        <f>INDEX(Raw_Schedule!H:H,MATCH(A145,Raw_Schedule!A:A,0))</f>
        <v/>
      </c>
      <c r="I145" s="5">
        <f>SUMIFS(Raw_Payments!E:E,Raw_Payments!B:B,A145)</f>
        <v/>
      </c>
      <c r="J145" s="5">
        <f>H145-I145</f>
        <v/>
      </c>
      <c r="K145" s="3">
        <f>IF(J145&lt;=0.005,"PAID",IF(I145&gt;0,"PARTIAL","OVERDUE"))</f>
        <v/>
      </c>
      <c r="L145" s="4">
        <f>IF(COUNTIFS(Raw_Payments!B:B,A145)=0,"",SUMPRODUCT(MAX((Raw_Payments!B$2:B$1079=A145)*Raw_Payments!D$2:D$1079)))</f>
        <v/>
      </c>
      <c r="M145" s="3">
        <f>IF(K145="PAID",MAX(0,L145-G145),Guide!$B$3-G145)</f>
        <v/>
      </c>
      <c r="N145" s="3">
        <f>IF(J145&lt;=0.005,"COLLECTED",IF(M145&lt;=30,"1-30",IF(M145&lt;=60,"31-60",IF(M145&lt;=90,"61-90","90+"))))</f>
        <v/>
      </c>
      <c r="O145" s="3">
        <f>IF(N145="90+","LOST",IF(N145="61-90","ESCALATE",IF(N145="31-60","WATCH",IF(N145="1-30","MILD","OK"))))</f>
        <v/>
      </c>
      <c r="P145" s="3">
        <f>IF(J145&gt;0.005,ROW()-1,"")</f>
        <v/>
      </c>
    </row>
    <row r="146">
      <c r="A146" s="3" t="inlineStr">
        <is>
          <t>D0145</t>
        </is>
      </c>
      <c r="B146" s="3">
        <f>INDEX(Raw_Schedule!B:B,MATCH(A146,Raw_Schedule!A:A,0))</f>
        <v/>
      </c>
      <c r="C146" s="3">
        <f>INDEX(Raw_Schedule!C:C,MATCH(A146,Raw_Schedule!A:A,0))</f>
        <v/>
      </c>
      <c r="D146" s="3">
        <f>INDEX(Raw_Schedule!D:D,MATCH(A146,Raw_Schedule!A:A,0))</f>
        <v/>
      </c>
      <c r="E146" s="3">
        <f>INDEX(Raw_Schedule!E:E,MATCH(A146,Raw_Schedule!A:A,0))</f>
        <v/>
      </c>
      <c r="F146" s="3">
        <f>INDEX(Raw_Schedule!F:F,MATCH(A146,Raw_Schedule!A:A,0))</f>
        <v/>
      </c>
      <c r="G146" s="4">
        <f>INDEX(Raw_Schedule!G:G,MATCH(A146,Raw_Schedule!A:A,0))</f>
        <v/>
      </c>
      <c r="H146" s="5">
        <f>INDEX(Raw_Schedule!H:H,MATCH(A146,Raw_Schedule!A:A,0))</f>
        <v/>
      </c>
      <c r="I146" s="5">
        <f>SUMIFS(Raw_Payments!E:E,Raw_Payments!B:B,A146)</f>
        <v/>
      </c>
      <c r="J146" s="5">
        <f>H146-I146</f>
        <v/>
      </c>
      <c r="K146" s="3">
        <f>IF(J146&lt;=0.005,"PAID",IF(I146&gt;0,"PARTIAL","OVERDUE"))</f>
        <v/>
      </c>
      <c r="L146" s="4">
        <f>IF(COUNTIFS(Raw_Payments!B:B,A146)=0,"",SUMPRODUCT(MAX((Raw_Payments!B$2:B$1079=A146)*Raw_Payments!D$2:D$1079)))</f>
        <v/>
      </c>
      <c r="M146" s="3">
        <f>IF(K146="PAID",MAX(0,L146-G146),Guide!$B$3-G146)</f>
        <v/>
      </c>
      <c r="N146" s="3">
        <f>IF(J146&lt;=0.005,"COLLECTED",IF(M146&lt;=30,"1-30",IF(M146&lt;=60,"31-60",IF(M146&lt;=90,"61-90","90+"))))</f>
        <v/>
      </c>
      <c r="O146" s="3">
        <f>IF(N146="90+","LOST",IF(N146="61-90","ESCALATE",IF(N146="31-60","WATCH",IF(N146="1-30","MILD","OK"))))</f>
        <v/>
      </c>
      <c r="P146" s="3">
        <f>IF(J146&gt;0.005,ROW()-1,"")</f>
        <v/>
      </c>
    </row>
    <row r="147">
      <c r="A147" s="3" t="inlineStr">
        <is>
          <t>D0146</t>
        </is>
      </c>
      <c r="B147" s="3">
        <f>INDEX(Raw_Schedule!B:B,MATCH(A147,Raw_Schedule!A:A,0))</f>
        <v/>
      </c>
      <c r="C147" s="3">
        <f>INDEX(Raw_Schedule!C:C,MATCH(A147,Raw_Schedule!A:A,0))</f>
        <v/>
      </c>
      <c r="D147" s="3">
        <f>INDEX(Raw_Schedule!D:D,MATCH(A147,Raw_Schedule!A:A,0))</f>
        <v/>
      </c>
      <c r="E147" s="3">
        <f>INDEX(Raw_Schedule!E:E,MATCH(A147,Raw_Schedule!A:A,0))</f>
        <v/>
      </c>
      <c r="F147" s="3">
        <f>INDEX(Raw_Schedule!F:F,MATCH(A147,Raw_Schedule!A:A,0))</f>
        <v/>
      </c>
      <c r="G147" s="4">
        <f>INDEX(Raw_Schedule!G:G,MATCH(A147,Raw_Schedule!A:A,0))</f>
        <v/>
      </c>
      <c r="H147" s="5">
        <f>INDEX(Raw_Schedule!H:H,MATCH(A147,Raw_Schedule!A:A,0))</f>
        <v/>
      </c>
      <c r="I147" s="5">
        <f>SUMIFS(Raw_Payments!E:E,Raw_Payments!B:B,A147)</f>
        <v/>
      </c>
      <c r="J147" s="5">
        <f>H147-I147</f>
        <v/>
      </c>
      <c r="K147" s="3">
        <f>IF(J147&lt;=0.005,"PAID",IF(I147&gt;0,"PARTIAL","OVERDUE"))</f>
        <v/>
      </c>
      <c r="L147" s="4">
        <f>IF(COUNTIFS(Raw_Payments!B:B,A147)=0,"",SUMPRODUCT(MAX((Raw_Payments!B$2:B$1079=A147)*Raw_Payments!D$2:D$1079)))</f>
        <v/>
      </c>
      <c r="M147" s="3">
        <f>IF(K147="PAID",MAX(0,L147-G147),Guide!$B$3-G147)</f>
        <v/>
      </c>
      <c r="N147" s="3">
        <f>IF(J147&lt;=0.005,"COLLECTED",IF(M147&lt;=30,"1-30",IF(M147&lt;=60,"31-60",IF(M147&lt;=90,"61-90","90+"))))</f>
        <v/>
      </c>
      <c r="O147" s="3">
        <f>IF(N147="90+","LOST",IF(N147="61-90","ESCALATE",IF(N147="31-60","WATCH",IF(N147="1-30","MILD","OK"))))</f>
        <v/>
      </c>
      <c r="P147" s="3">
        <f>IF(J147&gt;0.005,ROW()-1,"")</f>
        <v/>
      </c>
    </row>
    <row r="148">
      <c r="A148" s="3" t="inlineStr">
        <is>
          <t>D0147</t>
        </is>
      </c>
      <c r="B148" s="3">
        <f>INDEX(Raw_Schedule!B:B,MATCH(A148,Raw_Schedule!A:A,0))</f>
        <v/>
      </c>
      <c r="C148" s="3">
        <f>INDEX(Raw_Schedule!C:C,MATCH(A148,Raw_Schedule!A:A,0))</f>
        <v/>
      </c>
      <c r="D148" s="3">
        <f>INDEX(Raw_Schedule!D:D,MATCH(A148,Raw_Schedule!A:A,0))</f>
        <v/>
      </c>
      <c r="E148" s="3">
        <f>INDEX(Raw_Schedule!E:E,MATCH(A148,Raw_Schedule!A:A,0))</f>
        <v/>
      </c>
      <c r="F148" s="3">
        <f>INDEX(Raw_Schedule!F:F,MATCH(A148,Raw_Schedule!A:A,0))</f>
        <v/>
      </c>
      <c r="G148" s="4">
        <f>INDEX(Raw_Schedule!G:G,MATCH(A148,Raw_Schedule!A:A,0))</f>
        <v/>
      </c>
      <c r="H148" s="5">
        <f>INDEX(Raw_Schedule!H:H,MATCH(A148,Raw_Schedule!A:A,0))</f>
        <v/>
      </c>
      <c r="I148" s="5">
        <f>SUMIFS(Raw_Payments!E:E,Raw_Payments!B:B,A148)</f>
        <v/>
      </c>
      <c r="J148" s="5">
        <f>H148-I148</f>
        <v/>
      </c>
      <c r="K148" s="3">
        <f>IF(J148&lt;=0.005,"PAID",IF(I148&gt;0,"PARTIAL","OVERDUE"))</f>
        <v/>
      </c>
      <c r="L148" s="4">
        <f>IF(COUNTIFS(Raw_Payments!B:B,A148)=0,"",SUMPRODUCT(MAX((Raw_Payments!B$2:B$1079=A148)*Raw_Payments!D$2:D$1079)))</f>
        <v/>
      </c>
      <c r="M148" s="3">
        <f>IF(K148="PAID",MAX(0,L148-G148),Guide!$B$3-G148)</f>
        <v/>
      </c>
      <c r="N148" s="3">
        <f>IF(J148&lt;=0.005,"COLLECTED",IF(M148&lt;=30,"1-30",IF(M148&lt;=60,"31-60",IF(M148&lt;=90,"61-90","90+"))))</f>
        <v/>
      </c>
      <c r="O148" s="3">
        <f>IF(N148="90+","LOST",IF(N148="61-90","ESCALATE",IF(N148="31-60","WATCH",IF(N148="1-30","MILD","OK"))))</f>
        <v/>
      </c>
      <c r="P148" s="3">
        <f>IF(J148&gt;0.005,ROW()-1,"")</f>
        <v/>
      </c>
    </row>
    <row r="149">
      <c r="A149" s="3" t="inlineStr">
        <is>
          <t>D0148</t>
        </is>
      </c>
      <c r="B149" s="3">
        <f>INDEX(Raw_Schedule!B:B,MATCH(A149,Raw_Schedule!A:A,0))</f>
        <v/>
      </c>
      <c r="C149" s="3">
        <f>INDEX(Raw_Schedule!C:C,MATCH(A149,Raw_Schedule!A:A,0))</f>
        <v/>
      </c>
      <c r="D149" s="3">
        <f>INDEX(Raw_Schedule!D:D,MATCH(A149,Raw_Schedule!A:A,0))</f>
        <v/>
      </c>
      <c r="E149" s="3">
        <f>INDEX(Raw_Schedule!E:E,MATCH(A149,Raw_Schedule!A:A,0))</f>
        <v/>
      </c>
      <c r="F149" s="3">
        <f>INDEX(Raw_Schedule!F:F,MATCH(A149,Raw_Schedule!A:A,0))</f>
        <v/>
      </c>
      <c r="G149" s="4">
        <f>INDEX(Raw_Schedule!G:G,MATCH(A149,Raw_Schedule!A:A,0))</f>
        <v/>
      </c>
      <c r="H149" s="5">
        <f>INDEX(Raw_Schedule!H:H,MATCH(A149,Raw_Schedule!A:A,0))</f>
        <v/>
      </c>
      <c r="I149" s="5">
        <f>SUMIFS(Raw_Payments!E:E,Raw_Payments!B:B,A149)</f>
        <v/>
      </c>
      <c r="J149" s="5">
        <f>H149-I149</f>
        <v/>
      </c>
      <c r="K149" s="3">
        <f>IF(J149&lt;=0.005,"PAID",IF(I149&gt;0,"PARTIAL","OVERDUE"))</f>
        <v/>
      </c>
      <c r="L149" s="4">
        <f>IF(COUNTIFS(Raw_Payments!B:B,A149)=0,"",SUMPRODUCT(MAX((Raw_Payments!B$2:B$1079=A149)*Raw_Payments!D$2:D$1079)))</f>
        <v/>
      </c>
      <c r="M149" s="3">
        <f>IF(K149="PAID",MAX(0,L149-G149),Guide!$B$3-G149)</f>
        <v/>
      </c>
      <c r="N149" s="3">
        <f>IF(J149&lt;=0.005,"COLLECTED",IF(M149&lt;=30,"1-30",IF(M149&lt;=60,"31-60",IF(M149&lt;=90,"61-90","90+"))))</f>
        <v/>
      </c>
      <c r="O149" s="3">
        <f>IF(N149="90+","LOST",IF(N149="61-90","ESCALATE",IF(N149="31-60","WATCH",IF(N149="1-30","MILD","OK"))))</f>
        <v/>
      </c>
      <c r="P149" s="3">
        <f>IF(J149&gt;0.005,ROW()-1,"")</f>
        <v/>
      </c>
    </row>
    <row r="150">
      <c r="A150" s="3" t="inlineStr">
        <is>
          <t>D0149</t>
        </is>
      </c>
      <c r="B150" s="3">
        <f>INDEX(Raw_Schedule!B:B,MATCH(A150,Raw_Schedule!A:A,0))</f>
        <v/>
      </c>
      <c r="C150" s="3">
        <f>INDEX(Raw_Schedule!C:C,MATCH(A150,Raw_Schedule!A:A,0))</f>
        <v/>
      </c>
      <c r="D150" s="3">
        <f>INDEX(Raw_Schedule!D:D,MATCH(A150,Raw_Schedule!A:A,0))</f>
        <v/>
      </c>
      <c r="E150" s="3">
        <f>INDEX(Raw_Schedule!E:E,MATCH(A150,Raw_Schedule!A:A,0))</f>
        <v/>
      </c>
      <c r="F150" s="3">
        <f>INDEX(Raw_Schedule!F:F,MATCH(A150,Raw_Schedule!A:A,0))</f>
        <v/>
      </c>
      <c r="G150" s="4">
        <f>INDEX(Raw_Schedule!G:G,MATCH(A150,Raw_Schedule!A:A,0))</f>
        <v/>
      </c>
      <c r="H150" s="5">
        <f>INDEX(Raw_Schedule!H:H,MATCH(A150,Raw_Schedule!A:A,0))</f>
        <v/>
      </c>
      <c r="I150" s="5">
        <f>SUMIFS(Raw_Payments!E:E,Raw_Payments!B:B,A150)</f>
        <v/>
      </c>
      <c r="J150" s="5">
        <f>H150-I150</f>
        <v/>
      </c>
      <c r="K150" s="3">
        <f>IF(J150&lt;=0.005,"PAID",IF(I150&gt;0,"PARTIAL","OVERDUE"))</f>
        <v/>
      </c>
      <c r="L150" s="4">
        <f>IF(COUNTIFS(Raw_Payments!B:B,A150)=0,"",SUMPRODUCT(MAX((Raw_Payments!B$2:B$1079=A150)*Raw_Payments!D$2:D$1079)))</f>
        <v/>
      </c>
      <c r="M150" s="3">
        <f>IF(K150="PAID",MAX(0,L150-G150),Guide!$B$3-G150)</f>
        <v/>
      </c>
      <c r="N150" s="3">
        <f>IF(J150&lt;=0.005,"COLLECTED",IF(M150&lt;=30,"1-30",IF(M150&lt;=60,"31-60",IF(M150&lt;=90,"61-90","90+"))))</f>
        <v/>
      </c>
      <c r="O150" s="3">
        <f>IF(N150="90+","LOST",IF(N150="61-90","ESCALATE",IF(N150="31-60","WATCH",IF(N150="1-30","MILD","OK"))))</f>
        <v/>
      </c>
      <c r="P150" s="3">
        <f>IF(J150&gt;0.005,ROW()-1,"")</f>
        <v/>
      </c>
    </row>
    <row r="151">
      <c r="A151" s="3" t="inlineStr">
        <is>
          <t>D0150</t>
        </is>
      </c>
      <c r="B151" s="3">
        <f>INDEX(Raw_Schedule!B:B,MATCH(A151,Raw_Schedule!A:A,0))</f>
        <v/>
      </c>
      <c r="C151" s="3">
        <f>INDEX(Raw_Schedule!C:C,MATCH(A151,Raw_Schedule!A:A,0))</f>
        <v/>
      </c>
      <c r="D151" s="3">
        <f>INDEX(Raw_Schedule!D:D,MATCH(A151,Raw_Schedule!A:A,0))</f>
        <v/>
      </c>
      <c r="E151" s="3">
        <f>INDEX(Raw_Schedule!E:E,MATCH(A151,Raw_Schedule!A:A,0))</f>
        <v/>
      </c>
      <c r="F151" s="3">
        <f>INDEX(Raw_Schedule!F:F,MATCH(A151,Raw_Schedule!A:A,0))</f>
        <v/>
      </c>
      <c r="G151" s="4">
        <f>INDEX(Raw_Schedule!G:G,MATCH(A151,Raw_Schedule!A:A,0))</f>
        <v/>
      </c>
      <c r="H151" s="5">
        <f>INDEX(Raw_Schedule!H:H,MATCH(A151,Raw_Schedule!A:A,0))</f>
        <v/>
      </c>
      <c r="I151" s="5">
        <f>SUMIFS(Raw_Payments!E:E,Raw_Payments!B:B,A151)</f>
        <v/>
      </c>
      <c r="J151" s="5">
        <f>H151-I151</f>
        <v/>
      </c>
      <c r="K151" s="3">
        <f>IF(J151&lt;=0.005,"PAID",IF(I151&gt;0,"PARTIAL","OVERDUE"))</f>
        <v/>
      </c>
      <c r="L151" s="4">
        <f>IF(COUNTIFS(Raw_Payments!B:B,A151)=0,"",SUMPRODUCT(MAX((Raw_Payments!B$2:B$1079=A151)*Raw_Payments!D$2:D$1079)))</f>
        <v/>
      </c>
      <c r="M151" s="3">
        <f>IF(K151="PAID",MAX(0,L151-G151),Guide!$B$3-G151)</f>
        <v/>
      </c>
      <c r="N151" s="3">
        <f>IF(J151&lt;=0.005,"COLLECTED",IF(M151&lt;=30,"1-30",IF(M151&lt;=60,"31-60",IF(M151&lt;=90,"61-90","90+"))))</f>
        <v/>
      </c>
      <c r="O151" s="3">
        <f>IF(N151="90+","LOST",IF(N151="61-90","ESCALATE",IF(N151="31-60","WATCH",IF(N151="1-30","MILD","OK"))))</f>
        <v/>
      </c>
      <c r="P151" s="3">
        <f>IF(J151&gt;0.005,ROW()-1,"")</f>
        <v/>
      </c>
    </row>
    <row r="152">
      <c r="A152" s="3" t="inlineStr">
        <is>
          <t>D0151</t>
        </is>
      </c>
      <c r="B152" s="3">
        <f>INDEX(Raw_Schedule!B:B,MATCH(A152,Raw_Schedule!A:A,0))</f>
        <v/>
      </c>
      <c r="C152" s="3">
        <f>INDEX(Raw_Schedule!C:C,MATCH(A152,Raw_Schedule!A:A,0))</f>
        <v/>
      </c>
      <c r="D152" s="3">
        <f>INDEX(Raw_Schedule!D:D,MATCH(A152,Raw_Schedule!A:A,0))</f>
        <v/>
      </c>
      <c r="E152" s="3">
        <f>INDEX(Raw_Schedule!E:E,MATCH(A152,Raw_Schedule!A:A,0))</f>
        <v/>
      </c>
      <c r="F152" s="3">
        <f>INDEX(Raw_Schedule!F:F,MATCH(A152,Raw_Schedule!A:A,0))</f>
        <v/>
      </c>
      <c r="G152" s="4">
        <f>INDEX(Raw_Schedule!G:G,MATCH(A152,Raw_Schedule!A:A,0))</f>
        <v/>
      </c>
      <c r="H152" s="5">
        <f>INDEX(Raw_Schedule!H:H,MATCH(A152,Raw_Schedule!A:A,0))</f>
        <v/>
      </c>
      <c r="I152" s="5">
        <f>SUMIFS(Raw_Payments!E:E,Raw_Payments!B:B,A152)</f>
        <v/>
      </c>
      <c r="J152" s="5">
        <f>H152-I152</f>
        <v/>
      </c>
      <c r="K152" s="3">
        <f>IF(J152&lt;=0.005,"PAID",IF(I152&gt;0,"PARTIAL","OVERDUE"))</f>
        <v/>
      </c>
      <c r="L152" s="4">
        <f>IF(COUNTIFS(Raw_Payments!B:B,A152)=0,"",SUMPRODUCT(MAX((Raw_Payments!B$2:B$1079=A152)*Raw_Payments!D$2:D$1079)))</f>
        <v/>
      </c>
      <c r="M152" s="3">
        <f>IF(K152="PAID",MAX(0,L152-G152),Guide!$B$3-G152)</f>
        <v/>
      </c>
      <c r="N152" s="3">
        <f>IF(J152&lt;=0.005,"COLLECTED",IF(M152&lt;=30,"1-30",IF(M152&lt;=60,"31-60",IF(M152&lt;=90,"61-90","90+"))))</f>
        <v/>
      </c>
      <c r="O152" s="3">
        <f>IF(N152="90+","LOST",IF(N152="61-90","ESCALATE",IF(N152="31-60","WATCH",IF(N152="1-30","MILD","OK"))))</f>
        <v/>
      </c>
      <c r="P152" s="3">
        <f>IF(J152&gt;0.005,ROW()-1,"")</f>
        <v/>
      </c>
    </row>
    <row r="153">
      <c r="A153" s="3" t="inlineStr">
        <is>
          <t>D0152</t>
        </is>
      </c>
      <c r="B153" s="3">
        <f>INDEX(Raw_Schedule!B:B,MATCH(A153,Raw_Schedule!A:A,0))</f>
        <v/>
      </c>
      <c r="C153" s="3">
        <f>INDEX(Raw_Schedule!C:C,MATCH(A153,Raw_Schedule!A:A,0))</f>
        <v/>
      </c>
      <c r="D153" s="3">
        <f>INDEX(Raw_Schedule!D:D,MATCH(A153,Raw_Schedule!A:A,0))</f>
        <v/>
      </c>
      <c r="E153" s="3">
        <f>INDEX(Raw_Schedule!E:E,MATCH(A153,Raw_Schedule!A:A,0))</f>
        <v/>
      </c>
      <c r="F153" s="3">
        <f>INDEX(Raw_Schedule!F:F,MATCH(A153,Raw_Schedule!A:A,0))</f>
        <v/>
      </c>
      <c r="G153" s="4">
        <f>INDEX(Raw_Schedule!G:G,MATCH(A153,Raw_Schedule!A:A,0))</f>
        <v/>
      </c>
      <c r="H153" s="5">
        <f>INDEX(Raw_Schedule!H:H,MATCH(A153,Raw_Schedule!A:A,0))</f>
        <v/>
      </c>
      <c r="I153" s="5">
        <f>SUMIFS(Raw_Payments!E:E,Raw_Payments!B:B,A153)</f>
        <v/>
      </c>
      <c r="J153" s="5">
        <f>H153-I153</f>
        <v/>
      </c>
      <c r="K153" s="3">
        <f>IF(J153&lt;=0.005,"PAID",IF(I153&gt;0,"PARTIAL","OVERDUE"))</f>
        <v/>
      </c>
      <c r="L153" s="4">
        <f>IF(COUNTIFS(Raw_Payments!B:B,A153)=0,"",SUMPRODUCT(MAX((Raw_Payments!B$2:B$1079=A153)*Raw_Payments!D$2:D$1079)))</f>
        <v/>
      </c>
      <c r="M153" s="3">
        <f>IF(K153="PAID",MAX(0,L153-G153),Guide!$B$3-G153)</f>
        <v/>
      </c>
      <c r="N153" s="3">
        <f>IF(J153&lt;=0.005,"COLLECTED",IF(M153&lt;=30,"1-30",IF(M153&lt;=60,"31-60",IF(M153&lt;=90,"61-90","90+"))))</f>
        <v/>
      </c>
      <c r="O153" s="3">
        <f>IF(N153="90+","LOST",IF(N153="61-90","ESCALATE",IF(N153="31-60","WATCH",IF(N153="1-30","MILD","OK"))))</f>
        <v/>
      </c>
      <c r="P153" s="3">
        <f>IF(J153&gt;0.005,ROW()-1,"")</f>
        <v/>
      </c>
    </row>
    <row r="154">
      <c r="A154" s="3" t="inlineStr">
        <is>
          <t>D0153</t>
        </is>
      </c>
      <c r="B154" s="3">
        <f>INDEX(Raw_Schedule!B:B,MATCH(A154,Raw_Schedule!A:A,0))</f>
        <v/>
      </c>
      <c r="C154" s="3">
        <f>INDEX(Raw_Schedule!C:C,MATCH(A154,Raw_Schedule!A:A,0))</f>
        <v/>
      </c>
      <c r="D154" s="3">
        <f>INDEX(Raw_Schedule!D:D,MATCH(A154,Raw_Schedule!A:A,0))</f>
        <v/>
      </c>
      <c r="E154" s="3">
        <f>INDEX(Raw_Schedule!E:E,MATCH(A154,Raw_Schedule!A:A,0))</f>
        <v/>
      </c>
      <c r="F154" s="3">
        <f>INDEX(Raw_Schedule!F:F,MATCH(A154,Raw_Schedule!A:A,0))</f>
        <v/>
      </c>
      <c r="G154" s="4">
        <f>INDEX(Raw_Schedule!G:G,MATCH(A154,Raw_Schedule!A:A,0))</f>
        <v/>
      </c>
      <c r="H154" s="5">
        <f>INDEX(Raw_Schedule!H:H,MATCH(A154,Raw_Schedule!A:A,0))</f>
        <v/>
      </c>
      <c r="I154" s="5">
        <f>SUMIFS(Raw_Payments!E:E,Raw_Payments!B:B,A154)</f>
        <v/>
      </c>
      <c r="J154" s="5">
        <f>H154-I154</f>
        <v/>
      </c>
      <c r="K154" s="3">
        <f>IF(J154&lt;=0.005,"PAID",IF(I154&gt;0,"PARTIAL","OVERDUE"))</f>
        <v/>
      </c>
      <c r="L154" s="4">
        <f>IF(COUNTIFS(Raw_Payments!B:B,A154)=0,"",SUMPRODUCT(MAX((Raw_Payments!B$2:B$1079=A154)*Raw_Payments!D$2:D$1079)))</f>
        <v/>
      </c>
      <c r="M154" s="3">
        <f>IF(K154="PAID",MAX(0,L154-G154),Guide!$B$3-G154)</f>
        <v/>
      </c>
      <c r="N154" s="3">
        <f>IF(J154&lt;=0.005,"COLLECTED",IF(M154&lt;=30,"1-30",IF(M154&lt;=60,"31-60",IF(M154&lt;=90,"61-90","90+"))))</f>
        <v/>
      </c>
      <c r="O154" s="3">
        <f>IF(N154="90+","LOST",IF(N154="61-90","ESCALATE",IF(N154="31-60","WATCH",IF(N154="1-30","MILD","OK"))))</f>
        <v/>
      </c>
      <c r="P154" s="3">
        <f>IF(J154&gt;0.005,ROW()-1,"")</f>
        <v/>
      </c>
    </row>
    <row r="155">
      <c r="A155" s="3" t="inlineStr">
        <is>
          <t>D0154</t>
        </is>
      </c>
      <c r="B155" s="3">
        <f>INDEX(Raw_Schedule!B:B,MATCH(A155,Raw_Schedule!A:A,0))</f>
        <v/>
      </c>
      <c r="C155" s="3">
        <f>INDEX(Raw_Schedule!C:C,MATCH(A155,Raw_Schedule!A:A,0))</f>
        <v/>
      </c>
      <c r="D155" s="3">
        <f>INDEX(Raw_Schedule!D:D,MATCH(A155,Raw_Schedule!A:A,0))</f>
        <v/>
      </c>
      <c r="E155" s="3">
        <f>INDEX(Raw_Schedule!E:E,MATCH(A155,Raw_Schedule!A:A,0))</f>
        <v/>
      </c>
      <c r="F155" s="3">
        <f>INDEX(Raw_Schedule!F:F,MATCH(A155,Raw_Schedule!A:A,0))</f>
        <v/>
      </c>
      <c r="G155" s="4">
        <f>INDEX(Raw_Schedule!G:G,MATCH(A155,Raw_Schedule!A:A,0))</f>
        <v/>
      </c>
      <c r="H155" s="5">
        <f>INDEX(Raw_Schedule!H:H,MATCH(A155,Raw_Schedule!A:A,0))</f>
        <v/>
      </c>
      <c r="I155" s="5">
        <f>SUMIFS(Raw_Payments!E:E,Raw_Payments!B:B,A155)</f>
        <v/>
      </c>
      <c r="J155" s="5">
        <f>H155-I155</f>
        <v/>
      </c>
      <c r="K155" s="3">
        <f>IF(J155&lt;=0.005,"PAID",IF(I155&gt;0,"PARTIAL","OVERDUE"))</f>
        <v/>
      </c>
      <c r="L155" s="4">
        <f>IF(COUNTIFS(Raw_Payments!B:B,A155)=0,"",SUMPRODUCT(MAX((Raw_Payments!B$2:B$1079=A155)*Raw_Payments!D$2:D$1079)))</f>
        <v/>
      </c>
      <c r="M155" s="3">
        <f>IF(K155="PAID",MAX(0,L155-G155),Guide!$B$3-G155)</f>
        <v/>
      </c>
      <c r="N155" s="3">
        <f>IF(J155&lt;=0.005,"COLLECTED",IF(M155&lt;=30,"1-30",IF(M155&lt;=60,"31-60",IF(M155&lt;=90,"61-90","90+"))))</f>
        <v/>
      </c>
      <c r="O155" s="3">
        <f>IF(N155="90+","LOST",IF(N155="61-90","ESCALATE",IF(N155="31-60","WATCH",IF(N155="1-30","MILD","OK"))))</f>
        <v/>
      </c>
      <c r="P155" s="3">
        <f>IF(J155&gt;0.005,ROW()-1,"")</f>
        <v/>
      </c>
    </row>
    <row r="156">
      <c r="A156" s="3" t="inlineStr">
        <is>
          <t>D0155</t>
        </is>
      </c>
      <c r="B156" s="3">
        <f>INDEX(Raw_Schedule!B:B,MATCH(A156,Raw_Schedule!A:A,0))</f>
        <v/>
      </c>
      <c r="C156" s="3">
        <f>INDEX(Raw_Schedule!C:C,MATCH(A156,Raw_Schedule!A:A,0))</f>
        <v/>
      </c>
      <c r="D156" s="3">
        <f>INDEX(Raw_Schedule!D:D,MATCH(A156,Raw_Schedule!A:A,0))</f>
        <v/>
      </c>
      <c r="E156" s="3">
        <f>INDEX(Raw_Schedule!E:E,MATCH(A156,Raw_Schedule!A:A,0))</f>
        <v/>
      </c>
      <c r="F156" s="3">
        <f>INDEX(Raw_Schedule!F:F,MATCH(A156,Raw_Schedule!A:A,0))</f>
        <v/>
      </c>
      <c r="G156" s="4">
        <f>INDEX(Raw_Schedule!G:G,MATCH(A156,Raw_Schedule!A:A,0))</f>
        <v/>
      </c>
      <c r="H156" s="5">
        <f>INDEX(Raw_Schedule!H:H,MATCH(A156,Raw_Schedule!A:A,0))</f>
        <v/>
      </c>
      <c r="I156" s="5">
        <f>SUMIFS(Raw_Payments!E:E,Raw_Payments!B:B,A156)</f>
        <v/>
      </c>
      <c r="J156" s="5">
        <f>H156-I156</f>
        <v/>
      </c>
      <c r="K156" s="3">
        <f>IF(J156&lt;=0.005,"PAID",IF(I156&gt;0,"PARTIAL","OVERDUE"))</f>
        <v/>
      </c>
      <c r="L156" s="4">
        <f>IF(COUNTIFS(Raw_Payments!B:B,A156)=0,"",SUMPRODUCT(MAX((Raw_Payments!B$2:B$1079=A156)*Raw_Payments!D$2:D$1079)))</f>
        <v/>
      </c>
      <c r="M156" s="3">
        <f>IF(K156="PAID",MAX(0,L156-G156),Guide!$B$3-G156)</f>
        <v/>
      </c>
      <c r="N156" s="3">
        <f>IF(J156&lt;=0.005,"COLLECTED",IF(M156&lt;=30,"1-30",IF(M156&lt;=60,"31-60",IF(M156&lt;=90,"61-90","90+"))))</f>
        <v/>
      </c>
      <c r="O156" s="3">
        <f>IF(N156="90+","LOST",IF(N156="61-90","ESCALATE",IF(N156="31-60","WATCH",IF(N156="1-30","MILD","OK"))))</f>
        <v/>
      </c>
      <c r="P156" s="3">
        <f>IF(J156&gt;0.005,ROW()-1,"")</f>
        <v/>
      </c>
    </row>
    <row r="157">
      <c r="A157" s="3" t="inlineStr">
        <is>
          <t>D0156</t>
        </is>
      </c>
      <c r="B157" s="3">
        <f>INDEX(Raw_Schedule!B:B,MATCH(A157,Raw_Schedule!A:A,0))</f>
        <v/>
      </c>
      <c r="C157" s="3">
        <f>INDEX(Raw_Schedule!C:C,MATCH(A157,Raw_Schedule!A:A,0))</f>
        <v/>
      </c>
      <c r="D157" s="3">
        <f>INDEX(Raw_Schedule!D:D,MATCH(A157,Raw_Schedule!A:A,0))</f>
        <v/>
      </c>
      <c r="E157" s="3">
        <f>INDEX(Raw_Schedule!E:E,MATCH(A157,Raw_Schedule!A:A,0))</f>
        <v/>
      </c>
      <c r="F157" s="3">
        <f>INDEX(Raw_Schedule!F:F,MATCH(A157,Raw_Schedule!A:A,0))</f>
        <v/>
      </c>
      <c r="G157" s="4">
        <f>INDEX(Raw_Schedule!G:G,MATCH(A157,Raw_Schedule!A:A,0))</f>
        <v/>
      </c>
      <c r="H157" s="5">
        <f>INDEX(Raw_Schedule!H:H,MATCH(A157,Raw_Schedule!A:A,0))</f>
        <v/>
      </c>
      <c r="I157" s="5">
        <f>SUMIFS(Raw_Payments!E:E,Raw_Payments!B:B,A157)</f>
        <v/>
      </c>
      <c r="J157" s="5">
        <f>H157-I157</f>
        <v/>
      </c>
      <c r="K157" s="3">
        <f>IF(J157&lt;=0.005,"PAID",IF(I157&gt;0,"PARTIAL","OVERDUE"))</f>
        <v/>
      </c>
      <c r="L157" s="4">
        <f>IF(COUNTIFS(Raw_Payments!B:B,A157)=0,"",SUMPRODUCT(MAX((Raw_Payments!B$2:B$1079=A157)*Raw_Payments!D$2:D$1079)))</f>
        <v/>
      </c>
      <c r="M157" s="3">
        <f>IF(K157="PAID",MAX(0,L157-G157),Guide!$B$3-G157)</f>
        <v/>
      </c>
      <c r="N157" s="3">
        <f>IF(J157&lt;=0.005,"COLLECTED",IF(M157&lt;=30,"1-30",IF(M157&lt;=60,"31-60",IF(M157&lt;=90,"61-90","90+"))))</f>
        <v/>
      </c>
      <c r="O157" s="3">
        <f>IF(N157="90+","LOST",IF(N157="61-90","ESCALATE",IF(N157="31-60","WATCH",IF(N157="1-30","MILD","OK"))))</f>
        <v/>
      </c>
      <c r="P157" s="3">
        <f>IF(J157&gt;0.005,ROW()-1,"")</f>
        <v/>
      </c>
    </row>
    <row r="158">
      <c r="A158" s="3" t="inlineStr">
        <is>
          <t>D0157</t>
        </is>
      </c>
      <c r="B158" s="3">
        <f>INDEX(Raw_Schedule!B:B,MATCH(A158,Raw_Schedule!A:A,0))</f>
        <v/>
      </c>
      <c r="C158" s="3">
        <f>INDEX(Raw_Schedule!C:C,MATCH(A158,Raw_Schedule!A:A,0))</f>
        <v/>
      </c>
      <c r="D158" s="3">
        <f>INDEX(Raw_Schedule!D:D,MATCH(A158,Raw_Schedule!A:A,0))</f>
        <v/>
      </c>
      <c r="E158" s="3">
        <f>INDEX(Raw_Schedule!E:E,MATCH(A158,Raw_Schedule!A:A,0))</f>
        <v/>
      </c>
      <c r="F158" s="3">
        <f>INDEX(Raw_Schedule!F:F,MATCH(A158,Raw_Schedule!A:A,0))</f>
        <v/>
      </c>
      <c r="G158" s="4">
        <f>INDEX(Raw_Schedule!G:G,MATCH(A158,Raw_Schedule!A:A,0))</f>
        <v/>
      </c>
      <c r="H158" s="5">
        <f>INDEX(Raw_Schedule!H:H,MATCH(A158,Raw_Schedule!A:A,0))</f>
        <v/>
      </c>
      <c r="I158" s="5">
        <f>SUMIFS(Raw_Payments!E:E,Raw_Payments!B:B,A158)</f>
        <v/>
      </c>
      <c r="J158" s="5">
        <f>H158-I158</f>
        <v/>
      </c>
      <c r="K158" s="3">
        <f>IF(J158&lt;=0.005,"PAID",IF(I158&gt;0,"PARTIAL","OVERDUE"))</f>
        <v/>
      </c>
      <c r="L158" s="4">
        <f>IF(COUNTIFS(Raw_Payments!B:B,A158)=0,"",SUMPRODUCT(MAX((Raw_Payments!B$2:B$1079=A158)*Raw_Payments!D$2:D$1079)))</f>
        <v/>
      </c>
      <c r="M158" s="3">
        <f>IF(K158="PAID",MAX(0,L158-G158),Guide!$B$3-G158)</f>
        <v/>
      </c>
      <c r="N158" s="3">
        <f>IF(J158&lt;=0.005,"COLLECTED",IF(M158&lt;=30,"1-30",IF(M158&lt;=60,"31-60",IF(M158&lt;=90,"61-90","90+"))))</f>
        <v/>
      </c>
      <c r="O158" s="3">
        <f>IF(N158="90+","LOST",IF(N158="61-90","ESCALATE",IF(N158="31-60","WATCH",IF(N158="1-30","MILD","OK"))))</f>
        <v/>
      </c>
      <c r="P158" s="3">
        <f>IF(J158&gt;0.005,ROW()-1,"")</f>
        <v/>
      </c>
    </row>
    <row r="159">
      <c r="A159" s="3" t="inlineStr">
        <is>
          <t>D0158</t>
        </is>
      </c>
      <c r="B159" s="3">
        <f>INDEX(Raw_Schedule!B:B,MATCH(A159,Raw_Schedule!A:A,0))</f>
        <v/>
      </c>
      <c r="C159" s="3">
        <f>INDEX(Raw_Schedule!C:C,MATCH(A159,Raw_Schedule!A:A,0))</f>
        <v/>
      </c>
      <c r="D159" s="3">
        <f>INDEX(Raw_Schedule!D:D,MATCH(A159,Raw_Schedule!A:A,0))</f>
        <v/>
      </c>
      <c r="E159" s="3">
        <f>INDEX(Raw_Schedule!E:E,MATCH(A159,Raw_Schedule!A:A,0))</f>
        <v/>
      </c>
      <c r="F159" s="3">
        <f>INDEX(Raw_Schedule!F:F,MATCH(A159,Raw_Schedule!A:A,0))</f>
        <v/>
      </c>
      <c r="G159" s="4">
        <f>INDEX(Raw_Schedule!G:G,MATCH(A159,Raw_Schedule!A:A,0))</f>
        <v/>
      </c>
      <c r="H159" s="5">
        <f>INDEX(Raw_Schedule!H:H,MATCH(A159,Raw_Schedule!A:A,0))</f>
        <v/>
      </c>
      <c r="I159" s="5">
        <f>SUMIFS(Raw_Payments!E:E,Raw_Payments!B:B,A159)</f>
        <v/>
      </c>
      <c r="J159" s="5">
        <f>H159-I159</f>
        <v/>
      </c>
      <c r="K159" s="3">
        <f>IF(J159&lt;=0.005,"PAID",IF(I159&gt;0,"PARTIAL","OVERDUE"))</f>
        <v/>
      </c>
      <c r="L159" s="4">
        <f>IF(COUNTIFS(Raw_Payments!B:B,A159)=0,"",SUMPRODUCT(MAX((Raw_Payments!B$2:B$1079=A159)*Raw_Payments!D$2:D$1079)))</f>
        <v/>
      </c>
      <c r="M159" s="3">
        <f>IF(K159="PAID",MAX(0,L159-G159),Guide!$B$3-G159)</f>
        <v/>
      </c>
      <c r="N159" s="3">
        <f>IF(J159&lt;=0.005,"COLLECTED",IF(M159&lt;=30,"1-30",IF(M159&lt;=60,"31-60",IF(M159&lt;=90,"61-90","90+"))))</f>
        <v/>
      </c>
      <c r="O159" s="3">
        <f>IF(N159="90+","LOST",IF(N159="61-90","ESCALATE",IF(N159="31-60","WATCH",IF(N159="1-30","MILD","OK"))))</f>
        <v/>
      </c>
      <c r="P159" s="3">
        <f>IF(J159&gt;0.005,ROW()-1,"")</f>
        <v/>
      </c>
    </row>
    <row r="160">
      <c r="A160" s="3" t="inlineStr">
        <is>
          <t>D0159</t>
        </is>
      </c>
      <c r="B160" s="3">
        <f>INDEX(Raw_Schedule!B:B,MATCH(A160,Raw_Schedule!A:A,0))</f>
        <v/>
      </c>
      <c r="C160" s="3">
        <f>INDEX(Raw_Schedule!C:C,MATCH(A160,Raw_Schedule!A:A,0))</f>
        <v/>
      </c>
      <c r="D160" s="3">
        <f>INDEX(Raw_Schedule!D:D,MATCH(A160,Raw_Schedule!A:A,0))</f>
        <v/>
      </c>
      <c r="E160" s="3">
        <f>INDEX(Raw_Schedule!E:E,MATCH(A160,Raw_Schedule!A:A,0))</f>
        <v/>
      </c>
      <c r="F160" s="3">
        <f>INDEX(Raw_Schedule!F:F,MATCH(A160,Raw_Schedule!A:A,0))</f>
        <v/>
      </c>
      <c r="G160" s="4">
        <f>INDEX(Raw_Schedule!G:G,MATCH(A160,Raw_Schedule!A:A,0))</f>
        <v/>
      </c>
      <c r="H160" s="5">
        <f>INDEX(Raw_Schedule!H:H,MATCH(A160,Raw_Schedule!A:A,0))</f>
        <v/>
      </c>
      <c r="I160" s="5">
        <f>SUMIFS(Raw_Payments!E:E,Raw_Payments!B:B,A160)</f>
        <v/>
      </c>
      <c r="J160" s="5">
        <f>H160-I160</f>
        <v/>
      </c>
      <c r="K160" s="3">
        <f>IF(J160&lt;=0.005,"PAID",IF(I160&gt;0,"PARTIAL","OVERDUE"))</f>
        <v/>
      </c>
      <c r="L160" s="4">
        <f>IF(COUNTIFS(Raw_Payments!B:B,A160)=0,"",SUMPRODUCT(MAX((Raw_Payments!B$2:B$1079=A160)*Raw_Payments!D$2:D$1079)))</f>
        <v/>
      </c>
      <c r="M160" s="3">
        <f>IF(K160="PAID",MAX(0,L160-G160),Guide!$B$3-G160)</f>
        <v/>
      </c>
      <c r="N160" s="3">
        <f>IF(J160&lt;=0.005,"COLLECTED",IF(M160&lt;=30,"1-30",IF(M160&lt;=60,"31-60",IF(M160&lt;=90,"61-90","90+"))))</f>
        <v/>
      </c>
      <c r="O160" s="3">
        <f>IF(N160="90+","LOST",IF(N160="61-90","ESCALATE",IF(N160="31-60","WATCH",IF(N160="1-30","MILD","OK"))))</f>
        <v/>
      </c>
      <c r="P160" s="3">
        <f>IF(J160&gt;0.005,ROW()-1,"")</f>
        <v/>
      </c>
    </row>
    <row r="161">
      <c r="A161" s="3" t="inlineStr">
        <is>
          <t>D0160</t>
        </is>
      </c>
      <c r="B161" s="3">
        <f>INDEX(Raw_Schedule!B:B,MATCH(A161,Raw_Schedule!A:A,0))</f>
        <v/>
      </c>
      <c r="C161" s="3">
        <f>INDEX(Raw_Schedule!C:C,MATCH(A161,Raw_Schedule!A:A,0))</f>
        <v/>
      </c>
      <c r="D161" s="3">
        <f>INDEX(Raw_Schedule!D:D,MATCH(A161,Raw_Schedule!A:A,0))</f>
        <v/>
      </c>
      <c r="E161" s="3">
        <f>INDEX(Raw_Schedule!E:E,MATCH(A161,Raw_Schedule!A:A,0))</f>
        <v/>
      </c>
      <c r="F161" s="3">
        <f>INDEX(Raw_Schedule!F:F,MATCH(A161,Raw_Schedule!A:A,0))</f>
        <v/>
      </c>
      <c r="G161" s="4">
        <f>INDEX(Raw_Schedule!G:G,MATCH(A161,Raw_Schedule!A:A,0))</f>
        <v/>
      </c>
      <c r="H161" s="5">
        <f>INDEX(Raw_Schedule!H:H,MATCH(A161,Raw_Schedule!A:A,0))</f>
        <v/>
      </c>
      <c r="I161" s="5">
        <f>SUMIFS(Raw_Payments!E:E,Raw_Payments!B:B,A161)</f>
        <v/>
      </c>
      <c r="J161" s="5">
        <f>H161-I161</f>
        <v/>
      </c>
      <c r="K161" s="3">
        <f>IF(J161&lt;=0.005,"PAID",IF(I161&gt;0,"PARTIAL","OVERDUE"))</f>
        <v/>
      </c>
      <c r="L161" s="4">
        <f>IF(COUNTIFS(Raw_Payments!B:B,A161)=0,"",SUMPRODUCT(MAX((Raw_Payments!B$2:B$1079=A161)*Raw_Payments!D$2:D$1079)))</f>
        <v/>
      </c>
      <c r="M161" s="3">
        <f>IF(K161="PAID",MAX(0,L161-G161),Guide!$B$3-G161)</f>
        <v/>
      </c>
      <c r="N161" s="3">
        <f>IF(J161&lt;=0.005,"COLLECTED",IF(M161&lt;=30,"1-30",IF(M161&lt;=60,"31-60",IF(M161&lt;=90,"61-90","90+"))))</f>
        <v/>
      </c>
      <c r="O161" s="3">
        <f>IF(N161="90+","LOST",IF(N161="61-90","ESCALATE",IF(N161="31-60","WATCH",IF(N161="1-30","MILD","OK"))))</f>
        <v/>
      </c>
      <c r="P161" s="3">
        <f>IF(J161&gt;0.005,ROW()-1,"")</f>
        <v/>
      </c>
    </row>
    <row r="162">
      <c r="A162" s="3" t="inlineStr">
        <is>
          <t>D0161</t>
        </is>
      </c>
      <c r="B162" s="3">
        <f>INDEX(Raw_Schedule!B:B,MATCH(A162,Raw_Schedule!A:A,0))</f>
        <v/>
      </c>
      <c r="C162" s="3">
        <f>INDEX(Raw_Schedule!C:C,MATCH(A162,Raw_Schedule!A:A,0))</f>
        <v/>
      </c>
      <c r="D162" s="3">
        <f>INDEX(Raw_Schedule!D:D,MATCH(A162,Raw_Schedule!A:A,0))</f>
        <v/>
      </c>
      <c r="E162" s="3">
        <f>INDEX(Raw_Schedule!E:E,MATCH(A162,Raw_Schedule!A:A,0))</f>
        <v/>
      </c>
      <c r="F162" s="3">
        <f>INDEX(Raw_Schedule!F:F,MATCH(A162,Raw_Schedule!A:A,0))</f>
        <v/>
      </c>
      <c r="G162" s="4">
        <f>INDEX(Raw_Schedule!G:G,MATCH(A162,Raw_Schedule!A:A,0))</f>
        <v/>
      </c>
      <c r="H162" s="5">
        <f>INDEX(Raw_Schedule!H:H,MATCH(A162,Raw_Schedule!A:A,0))</f>
        <v/>
      </c>
      <c r="I162" s="5">
        <f>SUMIFS(Raw_Payments!E:E,Raw_Payments!B:B,A162)</f>
        <v/>
      </c>
      <c r="J162" s="5">
        <f>H162-I162</f>
        <v/>
      </c>
      <c r="K162" s="3">
        <f>IF(J162&lt;=0.005,"PAID",IF(I162&gt;0,"PARTIAL","OVERDUE"))</f>
        <v/>
      </c>
      <c r="L162" s="4">
        <f>IF(COUNTIFS(Raw_Payments!B:B,A162)=0,"",SUMPRODUCT(MAX((Raw_Payments!B$2:B$1079=A162)*Raw_Payments!D$2:D$1079)))</f>
        <v/>
      </c>
      <c r="M162" s="3">
        <f>IF(K162="PAID",MAX(0,L162-G162),Guide!$B$3-G162)</f>
        <v/>
      </c>
      <c r="N162" s="3">
        <f>IF(J162&lt;=0.005,"COLLECTED",IF(M162&lt;=30,"1-30",IF(M162&lt;=60,"31-60",IF(M162&lt;=90,"61-90","90+"))))</f>
        <v/>
      </c>
      <c r="O162" s="3">
        <f>IF(N162="90+","LOST",IF(N162="61-90","ESCALATE",IF(N162="31-60","WATCH",IF(N162="1-30","MILD","OK"))))</f>
        <v/>
      </c>
      <c r="P162" s="3">
        <f>IF(J162&gt;0.005,ROW()-1,"")</f>
        <v/>
      </c>
    </row>
    <row r="163">
      <c r="A163" s="3" t="inlineStr">
        <is>
          <t>D0162</t>
        </is>
      </c>
      <c r="B163" s="3">
        <f>INDEX(Raw_Schedule!B:B,MATCH(A163,Raw_Schedule!A:A,0))</f>
        <v/>
      </c>
      <c r="C163" s="3">
        <f>INDEX(Raw_Schedule!C:C,MATCH(A163,Raw_Schedule!A:A,0))</f>
        <v/>
      </c>
      <c r="D163" s="3">
        <f>INDEX(Raw_Schedule!D:D,MATCH(A163,Raw_Schedule!A:A,0))</f>
        <v/>
      </c>
      <c r="E163" s="3">
        <f>INDEX(Raw_Schedule!E:E,MATCH(A163,Raw_Schedule!A:A,0))</f>
        <v/>
      </c>
      <c r="F163" s="3">
        <f>INDEX(Raw_Schedule!F:F,MATCH(A163,Raw_Schedule!A:A,0))</f>
        <v/>
      </c>
      <c r="G163" s="4">
        <f>INDEX(Raw_Schedule!G:G,MATCH(A163,Raw_Schedule!A:A,0))</f>
        <v/>
      </c>
      <c r="H163" s="5">
        <f>INDEX(Raw_Schedule!H:H,MATCH(A163,Raw_Schedule!A:A,0))</f>
        <v/>
      </c>
      <c r="I163" s="5">
        <f>SUMIFS(Raw_Payments!E:E,Raw_Payments!B:B,A163)</f>
        <v/>
      </c>
      <c r="J163" s="5">
        <f>H163-I163</f>
        <v/>
      </c>
      <c r="K163" s="3">
        <f>IF(J163&lt;=0.005,"PAID",IF(I163&gt;0,"PARTIAL","OVERDUE"))</f>
        <v/>
      </c>
      <c r="L163" s="4">
        <f>IF(COUNTIFS(Raw_Payments!B:B,A163)=0,"",SUMPRODUCT(MAX((Raw_Payments!B$2:B$1079=A163)*Raw_Payments!D$2:D$1079)))</f>
        <v/>
      </c>
      <c r="M163" s="3">
        <f>IF(K163="PAID",MAX(0,L163-G163),Guide!$B$3-G163)</f>
        <v/>
      </c>
      <c r="N163" s="3">
        <f>IF(J163&lt;=0.005,"COLLECTED",IF(M163&lt;=30,"1-30",IF(M163&lt;=60,"31-60",IF(M163&lt;=90,"61-90","90+"))))</f>
        <v/>
      </c>
      <c r="O163" s="3">
        <f>IF(N163="90+","LOST",IF(N163="61-90","ESCALATE",IF(N163="31-60","WATCH",IF(N163="1-30","MILD","OK"))))</f>
        <v/>
      </c>
      <c r="P163" s="3">
        <f>IF(J163&gt;0.005,ROW()-1,"")</f>
        <v/>
      </c>
    </row>
    <row r="164">
      <c r="A164" s="3" t="inlineStr">
        <is>
          <t>D0163</t>
        </is>
      </c>
      <c r="B164" s="3">
        <f>INDEX(Raw_Schedule!B:B,MATCH(A164,Raw_Schedule!A:A,0))</f>
        <v/>
      </c>
      <c r="C164" s="3">
        <f>INDEX(Raw_Schedule!C:C,MATCH(A164,Raw_Schedule!A:A,0))</f>
        <v/>
      </c>
      <c r="D164" s="3">
        <f>INDEX(Raw_Schedule!D:D,MATCH(A164,Raw_Schedule!A:A,0))</f>
        <v/>
      </c>
      <c r="E164" s="3">
        <f>INDEX(Raw_Schedule!E:E,MATCH(A164,Raw_Schedule!A:A,0))</f>
        <v/>
      </c>
      <c r="F164" s="3">
        <f>INDEX(Raw_Schedule!F:F,MATCH(A164,Raw_Schedule!A:A,0))</f>
        <v/>
      </c>
      <c r="G164" s="4">
        <f>INDEX(Raw_Schedule!G:G,MATCH(A164,Raw_Schedule!A:A,0))</f>
        <v/>
      </c>
      <c r="H164" s="5">
        <f>INDEX(Raw_Schedule!H:H,MATCH(A164,Raw_Schedule!A:A,0))</f>
        <v/>
      </c>
      <c r="I164" s="5">
        <f>SUMIFS(Raw_Payments!E:E,Raw_Payments!B:B,A164)</f>
        <v/>
      </c>
      <c r="J164" s="5">
        <f>H164-I164</f>
        <v/>
      </c>
      <c r="K164" s="3">
        <f>IF(J164&lt;=0.005,"PAID",IF(I164&gt;0,"PARTIAL","OVERDUE"))</f>
        <v/>
      </c>
      <c r="L164" s="4">
        <f>IF(COUNTIFS(Raw_Payments!B:B,A164)=0,"",SUMPRODUCT(MAX((Raw_Payments!B$2:B$1079=A164)*Raw_Payments!D$2:D$1079)))</f>
        <v/>
      </c>
      <c r="M164" s="3">
        <f>IF(K164="PAID",MAX(0,L164-G164),Guide!$B$3-G164)</f>
        <v/>
      </c>
      <c r="N164" s="3">
        <f>IF(J164&lt;=0.005,"COLLECTED",IF(M164&lt;=30,"1-30",IF(M164&lt;=60,"31-60",IF(M164&lt;=90,"61-90","90+"))))</f>
        <v/>
      </c>
      <c r="O164" s="3">
        <f>IF(N164="90+","LOST",IF(N164="61-90","ESCALATE",IF(N164="31-60","WATCH",IF(N164="1-30","MILD","OK"))))</f>
        <v/>
      </c>
      <c r="P164" s="3">
        <f>IF(J164&gt;0.005,ROW()-1,"")</f>
        <v/>
      </c>
    </row>
    <row r="165">
      <c r="A165" s="3" t="inlineStr">
        <is>
          <t>D0164</t>
        </is>
      </c>
      <c r="B165" s="3">
        <f>INDEX(Raw_Schedule!B:B,MATCH(A165,Raw_Schedule!A:A,0))</f>
        <v/>
      </c>
      <c r="C165" s="3">
        <f>INDEX(Raw_Schedule!C:C,MATCH(A165,Raw_Schedule!A:A,0))</f>
        <v/>
      </c>
      <c r="D165" s="3">
        <f>INDEX(Raw_Schedule!D:D,MATCH(A165,Raw_Schedule!A:A,0))</f>
        <v/>
      </c>
      <c r="E165" s="3">
        <f>INDEX(Raw_Schedule!E:E,MATCH(A165,Raw_Schedule!A:A,0))</f>
        <v/>
      </c>
      <c r="F165" s="3">
        <f>INDEX(Raw_Schedule!F:F,MATCH(A165,Raw_Schedule!A:A,0))</f>
        <v/>
      </c>
      <c r="G165" s="4">
        <f>INDEX(Raw_Schedule!G:G,MATCH(A165,Raw_Schedule!A:A,0))</f>
        <v/>
      </c>
      <c r="H165" s="5">
        <f>INDEX(Raw_Schedule!H:H,MATCH(A165,Raw_Schedule!A:A,0))</f>
        <v/>
      </c>
      <c r="I165" s="5">
        <f>SUMIFS(Raw_Payments!E:E,Raw_Payments!B:B,A165)</f>
        <v/>
      </c>
      <c r="J165" s="5">
        <f>H165-I165</f>
        <v/>
      </c>
      <c r="K165" s="3">
        <f>IF(J165&lt;=0.005,"PAID",IF(I165&gt;0,"PARTIAL","OVERDUE"))</f>
        <v/>
      </c>
      <c r="L165" s="4">
        <f>IF(COUNTIFS(Raw_Payments!B:B,A165)=0,"",SUMPRODUCT(MAX((Raw_Payments!B$2:B$1079=A165)*Raw_Payments!D$2:D$1079)))</f>
        <v/>
      </c>
      <c r="M165" s="3">
        <f>IF(K165="PAID",MAX(0,L165-G165),Guide!$B$3-G165)</f>
        <v/>
      </c>
      <c r="N165" s="3">
        <f>IF(J165&lt;=0.005,"COLLECTED",IF(M165&lt;=30,"1-30",IF(M165&lt;=60,"31-60",IF(M165&lt;=90,"61-90","90+"))))</f>
        <v/>
      </c>
      <c r="O165" s="3">
        <f>IF(N165="90+","LOST",IF(N165="61-90","ESCALATE",IF(N165="31-60","WATCH",IF(N165="1-30","MILD","OK"))))</f>
        <v/>
      </c>
      <c r="P165" s="3">
        <f>IF(J165&gt;0.005,ROW()-1,"")</f>
        <v/>
      </c>
    </row>
    <row r="166">
      <c r="A166" s="3" t="inlineStr">
        <is>
          <t>D0165</t>
        </is>
      </c>
      <c r="B166" s="3">
        <f>INDEX(Raw_Schedule!B:B,MATCH(A166,Raw_Schedule!A:A,0))</f>
        <v/>
      </c>
      <c r="C166" s="3">
        <f>INDEX(Raw_Schedule!C:C,MATCH(A166,Raw_Schedule!A:A,0))</f>
        <v/>
      </c>
      <c r="D166" s="3">
        <f>INDEX(Raw_Schedule!D:D,MATCH(A166,Raw_Schedule!A:A,0))</f>
        <v/>
      </c>
      <c r="E166" s="3">
        <f>INDEX(Raw_Schedule!E:E,MATCH(A166,Raw_Schedule!A:A,0))</f>
        <v/>
      </c>
      <c r="F166" s="3">
        <f>INDEX(Raw_Schedule!F:F,MATCH(A166,Raw_Schedule!A:A,0))</f>
        <v/>
      </c>
      <c r="G166" s="4">
        <f>INDEX(Raw_Schedule!G:G,MATCH(A166,Raw_Schedule!A:A,0))</f>
        <v/>
      </c>
      <c r="H166" s="5">
        <f>INDEX(Raw_Schedule!H:H,MATCH(A166,Raw_Schedule!A:A,0))</f>
        <v/>
      </c>
      <c r="I166" s="5">
        <f>SUMIFS(Raw_Payments!E:E,Raw_Payments!B:B,A166)</f>
        <v/>
      </c>
      <c r="J166" s="5">
        <f>H166-I166</f>
        <v/>
      </c>
      <c r="K166" s="3">
        <f>IF(J166&lt;=0.005,"PAID",IF(I166&gt;0,"PARTIAL","OVERDUE"))</f>
        <v/>
      </c>
      <c r="L166" s="4">
        <f>IF(COUNTIFS(Raw_Payments!B:B,A166)=0,"",SUMPRODUCT(MAX((Raw_Payments!B$2:B$1079=A166)*Raw_Payments!D$2:D$1079)))</f>
        <v/>
      </c>
      <c r="M166" s="3">
        <f>IF(K166="PAID",MAX(0,L166-G166),Guide!$B$3-G166)</f>
        <v/>
      </c>
      <c r="N166" s="3">
        <f>IF(J166&lt;=0.005,"COLLECTED",IF(M166&lt;=30,"1-30",IF(M166&lt;=60,"31-60",IF(M166&lt;=90,"61-90","90+"))))</f>
        <v/>
      </c>
      <c r="O166" s="3">
        <f>IF(N166="90+","LOST",IF(N166="61-90","ESCALATE",IF(N166="31-60","WATCH",IF(N166="1-30","MILD","OK"))))</f>
        <v/>
      </c>
      <c r="P166" s="3">
        <f>IF(J166&gt;0.005,ROW()-1,"")</f>
        <v/>
      </c>
    </row>
    <row r="167">
      <c r="A167" s="3" t="inlineStr">
        <is>
          <t>D0166</t>
        </is>
      </c>
      <c r="B167" s="3">
        <f>INDEX(Raw_Schedule!B:B,MATCH(A167,Raw_Schedule!A:A,0))</f>
        <v/>
      </c>
      <c r="C167" s="3">
        <f>INDEX(Raw_Schedule!C:C,MATCH(A167,Raw_Schedule!A:A,0))</f>
        <v/>
      </c>
      <c r="D167" s="3">
        <f>INDEX(Raw_Schedule!D:D,MATCH(A167,Raw_Schedule!A:A,0))</f>
        <v/>
      </c>
      <c r="E167" s="3">
        <f>INDEX(Raw_Schedule!E:E,MATCH(A167,Raw_Schedule!A:A,0))</f>
        <v/>
      </c>
      <c r="F167" s="3">
        <f>INDEX(Raw_Schedule!F:F,MATCH(A167,Raw_Schedule!A:A,0))</f>
        <v/>
      </c>
      <c r="G167" s="4">
        <f>INDEX(Raw_Schedule!G:G,MATCH(A167,Raw_Schedule!A:A,0))</f>
        <v/>
      </c>
      <c r="H167" s="5">
        <f>INDEX(Raw_Schedule!H:H,MATCH(A167,Raw_Schedule!A:A,0))</f>
        <v/>
      </c>
      <c r="I167" s="5">
        <f>SUMIFS(Raw_Payments!E:E,Raw_Payments!B:B,A167)</f>
        <v/>
      </c>
      <c r="J167" s="5">
        <f>H167-I167</f>
        <v/>
      </c>
      <c r="K167" s="3">
        <f>IF(J167&lt;=0.005,"PAID",IF(I167&gt;0,"PARTIAL","OVERDUE"))</f>
        <v/>
      </c>
      <c r="L167" s="4">
        <f>IF(COUNTIFS(Raw_Payments!B:B,A167)=0,"",SUMPRODUCT(MAX((Raw_Payments!B$2:B$1079=A167)*Raw_Payments!D$2:D$1079)))</f>
        <v/>
      </c>
      <c r="M167" s="3">
        <f>IF(K167="PAID",MAX(0,L167-G167),Guide!$B$3-G167)</f>
        <v/>
      </c>
      <c r="N167" s="3">
        <f>IF(J167&lt;=0.005,"COLLECTED",IF(M167&lt;=30,"1-30",IF(M167&lt;=60,"31-60",IF(M167&lt;=90,"61-90","90+"))))</f>
        <v/>
      </c>
      <c r="O167" s="3">
        <f>IF(N167="90+","LOST",IF(N167="61-90","ESCALATE",IF(N167="31-60","WATCH",IF(N167="1-30","MILD","OK"))))</f>
        <v/>
      </c>
      <c r="P167" s="3">
        <f>IF(J167&gt;0.005,ROW()-1,"")</f>
        <v/>
      </c>
    </row>
    <row r="168">
      <c r="A168" s="3" t="inlineStr">
        <is>
          <t>D0167</t>
        </is>
      </c>
      <c r="B168" s="3">
        <f>INDEX(Raw_Schedule!B:B,MATCH(A168,Raw_Schedule!A:A,0))</f>
        <v/>
      </c>
      <c r="C168" s="3">
        <f>INDEX(Raw_Schedule!C:C,MATCH(A168,Raw_Schedule!A:A,0))</f>
        <v/>
      </c>
      <c r="D168" s="3">
        <f>INDEX(Raw_Schedule!D:D,MATCH(A168,Raw_Schedule!A:A,0))</f>
        <v/>
      </c>
      <c r="E168" s="3">
        <f>INDEX(Raw_Schedule!E:E,MATCH(A168,Raw_Schedule!A:A,0))</f>
        <v/>
      </c>
      <c r="F168" s="3">
        <f>INDEX(Raw_Schedule!F:F,MATCH(A168,Raw_Schedule!A:A,0))</f>
        <v/>
      </c>
      <c r="G168" s="4">
        <f>INDEX(Raw_Schedule!G:G,MATCH(A168,Raw_Schedule!A:A,0))</f>
        <v/>
      </c>
      <c r="H168" s="5">
        <f>INDEX(Raw_Schedule!H:H,MATCH(A168,Raw_Schedule!A:A,0))</f>
        <v/>
      </c>
      <c r="I168" s="5">
        <f>SUMIFS(Raw_Payments!E:E,Raw_Payments!B:B,A168)</f>
        <v/>
      </c>
      <c r="J168" s="5">
        <f>H168-I168</f>
        <v/>
      </c>
      <c r="K168" s="3">
        <f>IF(J168&lt;=0.005,"PAID",IF(I168&gt;0,"PARTIAL","OVERDUE"))</f>
        <v/>
      </c>
      <c r="L168" s="4">
        <f>IF(COUNTIFS(Raw_Payments!B:B,A168)=0,"",SUMPRODUCT(MAX((Raw_Payments!B$2:B$1079=A168)*Raw_Payments!D$2:D$1079)))</f>
        <v/>
      </c>
      <c r="M168" s="3">
        <f>IF(K168="PAID",MAX(0,L168-G168),Guide!$B$3-G168)</f>
        <v/>
      </c>
      <c r="N168" s="3">
        <f>IF(J168&lt;=0.005,"COLLECTED",IF(M168&lt;=30,"1-30",IF(M168&lt;=60,"31-60",IF(M168&lt;=90,"61-90","90+"))))</f>
        <v/>
      </c>
      <c r="O168" s="3">
        <f>IF(N168="90+","LOST",IF(N168="61-90","ESCALATE",IF(N168="31-60","WATCH",IF(N168="1-30","MILD","OK"))))</f>
        <v/>
      </c>
      <c r="P168" s="3">
        <f>IF(J168&gt;0.005,ROW()-1,"")</f>
        <v/>
      </c>
    </row>
    <row r="169">
      <c r="A169" s="3" t="inlineStr">
        <is>
          <t>D0168</t>
        </is>
      </c>
      <c r="B169" s="3">
        <f>INDEX(Raw_Schedule!B:B,MATCH(A169,Raw_Schedule!A:A,0))</f>
        <v/>
      </c>
      <c r="C169" s="3">
        <f>INDEX(Raw_Schedule!C:C,MATCH(A169,Raw_Schedule!A:A,0))</f>
        <v/>
      </c>
      <c r="D169" s="3">
        <f>INDEX(Raw_Schedule!D:D,MATCH(A169,Raw_Schedule!A:A,0))</f>
        <v/>
      </c>
      <c r="E169" s="3">
        <f>INDEX(Raw_Schedule!E:E,MATCH(A169,Raw_Schedule!A:A,0))</f>
        <v/>
      </c>
      <c r="F169" s="3">
        <f>INDEX(Raw_Schedule!F:F,MATCH(A169,Raw_Schedule!A:A,0))</f>
        <v/>
      </c>
      <c r="G169" s="4">
        <f>INDEX(Raw_Schedule!G:G,MATCH(A169,Raw_Schedule!A:A,0))</f>
        <v/>
      </c>
      <c r="H169" s="5">
        <f>INDEX(Raw_Schedule!H:H,MATCH(A169,Raw_Schedule!A:A,0))</f>
        <v/>
      </c>
      <c r="I169" s="5">
        <f>SUMIFS(Raw_Payments!E:E,Raw_Payments!B:B,A169)</f>
        <v/>
      </c>
      <c r="J169" s="5">
        <f>H169-I169</f>
        <v/>
      </c>
      <c r="K169" s="3">
        <f>IF(J169&lt;=0.005,"PAID",IF(I169&gt;0,"PARTIAL","OVERDUE"))</f>
        <v/>
      </c>
      <c r="L169" s="4">
        <f>IF(COUNTIFS(Raw_Payments!B:B,A169)=0,"",SUMPRODUCT(MAX((Raw_Payments!B$2:B$1079=A169)*Raw_Payments!D$2:D$1079)))</f>
        <v/>
      </c>
      <c r="M169" s="3">
        <f>IF(K169="PAID",MAX(0,L169-G169),Guide!$B$3-G169)</f>
        <v/>
      </c>
      <c r="N169" s="3">
        <f>IF(J169&lt;=0.005,"COLLECTED",IF(M169&lt;=30,"1-30",IF(M169&lt;=60,"31-60",IF(M169&lt;=90,"61-90","90+"))))</f>
        <v/>
      </c>
      <c r="O169" s="3">
        <f>IF(N169="90+","LOST",IF(N169="61-90","ESCALATE",IF(N169="31-60","WATCH",IF(N169="1-30","MILD","OK"))))</f>
        <v/>
      </c>
      <c r="P169" s="3">
        <f>IF(J169&gt;0.005,ROW()-1,"")</f>
        <v/>
      </c>
    </row>
    <row r="170">
      <c r="A170" s="3" t="inlineStr">
        <is>
          <t>D0169</t>
        </is>
      </c>
      <c r="B170" s="3">
        <f>INDEX(Raw_Schedule!B:B,MATCH(A170,Raw_Schedule!A:A,0))</f>
        <v/>
      </c>
      <c r="C170" s="3">
        <f>INDEX(Raw_Schedule!C:C,MATCH(A170,Raw_Schedule!A:A,0))</f>
        <v/>
      </c>
      <c r="D170" s="3">
        <f>INDEX(Raw_Schedule!D:D,MATCH(A170,Raw_Schedule!A:A,0))</f>
        <v/>
      </c>
      <c r="E170" s="3">
        <f>INDEX(Raw_Schedule!E:E,MATCH(A170,Raw_Schedule!A:A,0))</f>
        <v/>
      </c>
      <c r="F170" s="3">
        <f>INDEX(Raw_Schedule!F:F,MATCH(A170,Raw_Schedule!A:A,0))</f>
        <v/>
      </c>
      <c r="G170" s="4">
        <f>INDEX(Raw_Schedule!G:G,MATCH(A170,Raw_Schedule!A:A,0))</f>
        <v/>
      </c>
      <c r="H170" s="5">
        <f>INDEX(Raw_Schedule!H:H,MATCH(A170,Raw_Schedule!A:A,0))</f>
        <v/>
      </c>
      <c r="I170" s="5">
        <f>SUMIFS(Raw_Payments!E:E,Raw_Payments!B:B,A170)</f>
        <v/>
      </c>
      <c r="J170" s="5">
        <f>H170-I170</f>
        <v/>
      </c>
      <c r="K170" s="3">
        <f>IF(J170&lt;=0.005,"PAID",IF(I170&gt;0,"PARTIAL","OVERDUE"))</f>
        <v/>
      </c>
      <c r="L170" s="4">
        <f>IF(COUNTIFS(Raw_Payments!B:B,A170)=0,"",SUMPRODUCT(MAX((Raw_Payments!B$2:B$1079=A170)*Raw_Payments!D$2:D$1079)))</f>
        <v/>
      </c>
      <c r="M170" s="3">
        <f>IF(K170="PAID",MAX(0,L170-G170),Guide!$B$3-G170)</f>
        <v/>
      </c>
      <c r="N170" s="3">
        <f>IF(J170&lt;=0.005,"COLLECTED",IF(M170&lt;=30,"1-30",IF(M170&lt;=60,"31-60",IF(M170&lt;=90,"61-90","90+"))))</f>
        <v/>
      </c>
      <c r="O170" s="3">
        <f>IF(N170="90+","LOST",IF(N170="61-90","ESCALATE",IF(N170="31-60","WATCH",IF(N170="1-30","MILD","OK"))))</f>
        <v/>
      </c>
      <c r="P170" s="3">
        <f>IF(J170&gt;0.005,ROW()-1,"")</f>
        <v/>
      </c>
    </row>
    <row r="171">
      <c r="A171" s="3" t="inlineStr">
        <is>
          <t>D0170</t>
        </is>
      </c>
      <c r="B171" s="3">
        <f>INDEX(Raw_Schedule!B:B,MATCH(A171,Raw_Schedule!A:A,0))</f>
        <v/>
      </c>
      <c r="C171" s="3">
        <f>INDEX(Raw_Schedule!C:C,MATCH(A171,Raw_Schedule!A:A,0))</f>
        <v/>
      </c>
      <c r="D171" s="3">
        <f>INDEX(Raw_Schedule!D:D,MATCH(A171,Raw_Schedule!A:A,0))</f>
        <v/>
      </c>
      <c r="E171" s="3">
        <f>INDEX(Raw_Schedule!E:E,MATCH(A171,Raw_Schedule!A:A,0))</f>
        <v/>
      </c>
      <c r="F171" s="3">
        <f>INDEX(Raw_Schedule!F:F,MATCH(A171,Raw_Schedule!A:A,0))</f>
        <v/>
      </c>
      <c r="G171" s="4">
        <f>INDEX(Raw_Schedule!G:G,MATCH(A171,Raw_Schedule!A:A,0))</f>
        <v/>
      </c>
      <c r="H171" s="5">
        <f>INDEX(Raw_Schedule!H:H,MATCH(A171,Raw_Schedule!A:A,0))</f>
        <v/>
      </c>
      <c r="I171" s="5">
        <f>SUMIFS(Raw_Payments!E:E,Raw_Payments!B:B,A171)</f>
        <v/>
      </c>
      <c r="J171" s="5">
        <f>H171-I171</f>
        <v/>
      </c>
      <c r="K171" s="3">
        <f>IF(J171&lt;=0.005,"PAID",IF(I171&gt;0,"PARTIAL","OVERDUE"))</f>
        <v/>
      </c>
      <c r="L171" s="4">
        <f>IF(COUNTIFS(Raw_Payments!B:B,A171)=0,"",SUMPRODUCT(MAX((Raw_Payments!B$2:B$1079=A171)*Raw_Payments!D$2:D$1079)))</f>
        <v/>
      </c>
      <c r="M171" s="3">
        <f>IF(K171="PAID",MAX(0,L171-G171),Guide!$B$3-G171)</f>
        <v/>
      </c>
      <c r="N171" s="3">
        <f>IF(J171&lt;=0.005,"COLLECTED",IF(M171&lt;=30,"1-30",IF(M171&lt;=60,"31-60",IF(M171&lt;=90,"61-90","90+"))))</f>
        <v/>
      </c>
      <c r="O171" s="3">
        <f>IF(N171="90+","LOST",IF(N171="61-90","ESCALATE",IF(N171="31-60","WATCH",IF(N171="1-30","MILD","OK"))))</f>
        <v/>
      </c>
      <c r="P171" s="3">
        <f>IF(J171&gt;0.005,ROW()-1,"")</f>
        <v/>
      </c>
    </row>
    <row r="172">
      <c r="A172" s="3" t="inlineStr">
        <is>
          <t>D0171</t>
        </is>
      </c>
      <c r="B172" s="3">
        <f>INDEX(Raw_Schedule!B:B,MATCH(A172,Raw_Schedule!A:A,0))</f>
        <v/>
      </c>
      <c r="C172" s="3">
        <f>INDEX(Raw_Schedule!C:C,MATCH(A172,Raw_Schedule!A:A,0))</f>
        <v/>
      </c>
      <c r="D172" s="3">
        <f>INDEX(Raw_Schedule!D:D,MATCH(A172,Raw_Schedule!A:A,0))</f>
        <v/>
      </c>
      <c r="E172" s="3">
        <f>INDEX(Raw_Schedule!E:E,MATCH(A172,Raw_Schedule!A:A,0))</f>
        <v/>
      </c>
      <c r="F172" s="3">
        <f>INDEX(Raw_Schedule!F:F,MATCH(A172,Raw_Schedule!A:A,0))</f>
        <v/>
      </c>
      <c r="G172" s="4">
        <f>INDEX(Raw_Schedule!G:G,MATCH(A172,Raw_Schedule!A:A,0))</f>
        <v/>
      </c>
      <c r="H172" s="5">
        <f>INDEX(Raw_Schedule!H:H,MATCH(A172,Raw_Schedule!A:A,0))</f>
        <v/>
      </c>
      <c r="I172" s="5">
        <f>SUMIFS(Raw_Payments!E:E,Raw_Payments!B:B,A172)</f>
        <v/>
      </c>
      <c r="J172" s="5">
        <f>H172-I172</f>
        <v/>
      </c>
      <c r="K172" s="3">
        <f>IF(J172&lt;=0.005,"PAID",IF(I172&gt;0,"PARTIAL","OVERDUE"))</f>
        <v/>
      </c>
      <c r="L172" s="4">
        <f>IF(COUNTIFS(Raw_Payments!B:B,A172)=0,"",SUMPRODUCT(MAX((Raw_Payments!B$2:B$1079=A172)*Raw_Payments!D$2:D$1079)))</f>
        <v/>
      </c>
      <c r="M172" s="3">
        <f>IF(K172="PAID",MAX(0,L172-G172),Guide!$B$3-G172)</f>
        <v/>
      </c>
      <c r="N172" s="3">
        <f>IF(J172&lt;=0.005,"COLLECTED",IF(M172&lt;=30,"1-30",IF(M172&lt;=60,"31-60",IF(M172&lt;=90,"61-90","90+"))))</f>
        <v/>
      </c>
      <c r="O172" s="3">
        <f>IF(N172="90+","LOST",IF(N172="61-90","ESCALATE",IF(N172="31-60","WATCH",IF(N172="1-30","MILD","OK"))))</f>
        <v/>
      </c>
      <c r="P172" s="3">
        <f>IF(J172&gt;0.005,ROW()-1,"")</f>
        <v/>
      </c>
    </row>
    <row r="173">
      <c r="A173" s="3" t="inlineStr">
        <is>
          <t>D0172</t>
        </is>
      </c>
      <c r="B173" s="3">
        <f>INDEX(Raw_Schedule!B:B,MATCH(A173,Raw_Schedule!A:A,0))</f>
        <v/>
      </c>
      <c r="C173" s="3">
        <f>INDEX(Raw_Schedule!C:C,MATCH(A173,Raw_Schedule!A:A,0))</f>
        <v/>
      </c>
      <c r="D173" s="3">
        <f>INDEX(Raw_Schedule!D:D,MATCH(A173,Raw_Schedule!A:A,0))</f>
        <v/>
      </c>
      <c r="E173" s="3">
        <f>INDEX(Raw_Schedule!E:E,MATCH(A173,Raw_Schedule!A:A,0))</f>
        <v/>
      </c>
      <c r="F173" s="3">
        <f>INDEX(Raw_Schedule!F:F,MATCH(A173,Raw_Schedule!A:A,0))</f>
        <v/>
      </c>
      <c r="G173" s="4">
        <f>INDEX(Raw_Schedule!G:G,MATCH(A173,Raw_Schedule!A:A,0))</f>
        <v/>
      </c>
      <c r="H173" s="5">
        <f>INDEX(Raw_Schedule!H:H,MATCH(A173,Raw_Schedule!A:A,0))</f>
        <v/>
      </c>
      <c r="I173" s="5">
        <f>SUMIFS(Raw_Payments!E:E,Raw_Payments!B:B,A173)</f>
        <v/>
      </c>
      <c r="J173" s="5">
        <f>H173-I173</f>
        <v/>
      </c>
      <c r="K173" s="3">
        <f>IF(J173&lt;=0.005,"PAID",IF(I173&gt;0,"PARTIAL","OVERDUE"))</f>
        <v/>
      </c>
      <c r="L173" s="4">
        <f>IF(COUNTIFS(Raw_Payments!B:B,A173)=0,"",SUMPRODUCT(MAX((Raw_Payments!B$2:B$1079=A173)*Raw_Payments!D$2:D$1079)))</f>
        <v/>
      </c>
      <c r="M173" s="3">
        <f>IF(K173="PAID",MAX(0,L173-G173),Guide!$B$3-G173)</f>
        <v/>
      </c>
      <c r="N173" s="3">
        <f>IF(J173&lt;=0.005,"COLLECTED",IF(M173&lt;=30,"1-30",IF(M173&lt;=60,"31-60",IF(M173&lt;=90,"61-90","90+"))))</f>
        <v/>
      </c>
      <c r="O173" s="3">
        <f>IF(N173="90+","LOST",IF(N173="61-90","ESCALATE",IF(N173="31-60","WATCH",IF(N173="1-30","MILD","OK"))))</f>
        <v/>
      </c>
      <c r="P173" s="3">
        <f>IF(J173&gt;0.005,ROW()-1,"")</f>
        <v/>
      </c>
    </row>
    <row r="174">
      <c r="A174" s="3" t="inlineStr">
        <is>
          <t>D0173</t>
        </is>
      </c>
      <c r="B174" s="3">
        <f>INDEX(Raw_Schedule!B:B,MATCH(A174,Raw_Schedule!A:A,0))</f>
        <v/>
      </c>
      <c r="C174" s="3">
        <f>INDEX(Raw_Schedule!C:C,MATCH(A174,Raw_Schedule!A:A,0))</f>
        <v/>
      </c>
      <c r="D174" s="3">
        <f>INDEX(Raw_Schedule!D:D,MATCH(A174,Raw_Schedule!A:A,0))</f>
        <v/>
      </c>
      <c r="E174" s="3">
        <f>INDEX(Raw_Schedule!E:E,MATCH(A174,Raw_Schedule!A:A,0))</f>
        <v/>
      </c>
      <c r="F174" s="3">
        <f>INDEX(Raw_Schedule!F:F,MATCH(A174,Raw_Schedule!A:A,0))</f>
        <v/>
      </c>
      <c r="G174" s="4">
        <f>INDEX(Raw_Schedule!G:G,MATCH(A174,Raw_Schedule!A:A,0))</f>
        <v/>
      </c>
      <c r="H174" s="5">
        <f>INDEX(Raw_Schedule!H:H,MATCH(A174,Raw_Schedule!A:A,0))</f>
        <v/>
      </c>
      <c r="I174" s="5">
        <f>SUMIFS(Raw_Payments!E:E,Raw_Payments!B:B,A174)</f>
        <v/>
      </c>
      <c r="J174" s="5">
        <f>H174-I174</f>
        <v/>
      </c>
      <c r="K174" s="3">
        <f>IF(J174&lt;=0.005,"PAID",IF(I174&gt;0,"PARTIAL","OVERDUE"))</f>
        <v/>
      </c>
      <c r="L174" s="4">
        <f>IF(COUNTIFS(Raw_Payments!B:B,A174)=0,"",SUMPRODUCT(MAX((Raw_Payments!B$2:B$1079=A174)*Raw_Payments!D$2:D$1079)))</f>
        <v/>
      </c>
      <c r="M174" s="3">
        <f>IF(K174="PAID",MAX(0,L174-G174),Guide!$B$3-G174)</f>
        <v/>
      </c>
      <c r="N174" s="3">
        <f>IF(J174&lt;=0.005,"COLLECTED",IF(M174&lt;=30,"1-30",IF(M174&lt;=60,"31-60",IF(M174&lt;=90,"61-90","90+"))))</f>
        <v/>
      </c>
      <c r="O174" s="3">
        <f>IF(N174="90+","LOST",IF(N174="61-90","ESCALATE",IF(N174="31-60","WATCH",IF(N174="1-30","MILD","OK"))))</f>
        <v/>
      </c>
      <c r="P174" s="3">
        <f>IF(J174&gt;0.005,ROW()-1,"")</f>
        <v/>
      </c>
    </row>
    <row r="175">
      <c r="A175" s="3" t="inlineStr">
        <is>
          <t>D0174</t>
        </is>
      </c>
      <c r="B175" s="3">
        <f>INDEX(Raw_Schedule!B:B,MATCH(A175,Raw_Schedule!A:A,0))</f>
        <v/>
      </c>
      <c r="C175" s="3">
        <f>INDEX(Raw_Schedule!C:C,MATCH(A175,Raw_Schedule!A:A,0))</f>
        <v/>
      </c>
      <c r="D175" s="3">
        <f>INDEX(Raw_Schedule!D:D,MATCH(A175,Raw_Schedule!A:A,0))</f>
        <v/>
      </c>
      <c r="E175" s="3">
        <f>INDEX(Raw_Schedule!E:E,MATCH(A175,Raw_Schedule!A:A,0))</f>
        <v/>
      </c>
      <c r="F175" s="3">
        <f>INDEX(Raw_Schedule!F:F,MATCH(A175,Raw_Schedule!A:A,0))</f>
        <v/>
      </c>
      <c r="G175" s="4">
        <f>INDEX(Raw_Schedule!G:G,MATCH(A175,Raw_Schedule!A:A,0))</f>
        <v/>
      </c>
      <c r="H175" s="5">
        <f>INDEX(Raw_Schedule!H:H,MATCH(A175,Raw_Schedule!A:A,0))</f>
        <v/>
      </c>
      <c r="I175" s="5">
        <f>SUMIFS(Raw_Payments!E:E,Raw_Payments!B:B,A175)</f>
        <v/>
      </c>
      <c r="J175" s="5">
        <f>H175-I175</f>
        <v/>
      </c>
      <c r="K175" s="3">
        <f>IF(J175&lt;=0.005,"PAID",IF(I175&gt;0,"PARTIAL","OVERDUE"))</f>
        <v/>
      </c>
      <c r="L175" s="4">
        <f>IF(COUNTIFS(Raw_Payments!B:B,A175)=0,"",SUMPRODUCT(MAX((Raw_Payments!B$2:B$1079=A175)*Raw_Payments!D$2:D$1079)))</f>
        <v/>
      </c>
      <c r="M175" s="3">
        <f>IF(K175="PAID",MAX(0,L175-G175),Guide!$B$3-G175)</f>
        <v/>
      </c>
      <c r="N175" s="3">
        <f>IF(J175&lt;=0.005,"COLLECTED",IF(M175&lt;=30,"1-30",IF(M175&lt;=60,"31-60",IF(M175&lt;=90,"61-90","90+"))))</f>
        <v/>
      </c>
      <c r="O175" s="3">
        <f>IF(N175="90+","LOST",IF(N175="61-90","ESCALATE",IF(N175="31-60","WATCH",IF(N175="1-30","MILD","OK"))))</f>
        <v/>
      </c>
      <c r="P175" s="3">
        <f>IF(J175&gt;0.005,ROW()-1,"")</f>
        <v/>
      </c>
    </row>
    <row r="176">
      <c r="A176" s="3" t="inlineStr">
        <is>
          <t>D0175</t>
        </is>
      </c>
      <c r="B176" s="3">
        <f>INDEX(Raw_Schedule!B:B,MATCH(A176,Raw_Schedule!A:A,0))</f>
        <v/>
      </c>
      <c r="C176" s="3">
        <f>INDEX(Raw_Schedule!C:C,MATCH(A176,Raw_Schedule!A:A,0))</f>
        <v/>
      </c>
      <c r="D176" s="3">
        <f>INDEX(Raw_Schedule!D:D,MATCH(A176,Raw_Schedule!A:A,0))</f>
        <v/>
      </c>
      <c r="E176" s="3">
        <f>INDEX(Raw_Schedule!E:E,MATCH(A176,Raw_Schedule!A:A,0))</f>
        <v/>
      </c>
      <c r="F176" s="3">
        <f>INDEX(Raw_Schedule!F:F,MATCH(A176,Raw_Schedule!A:A,0))</f>
        <v/>
      </c>
      <c r="G176" s="4">
        <f>INDEX(Raw_Schedule!G:G,MATCH(A176,Raw_Schedule!A:A,0))</f>
        <v/>
      </c>
      <c r="H176" s="5">
        <f>INDEX(Raw_Schedule!H:H,MATCH(A176,Raw_Schedule!A:A,0))</f>
        <v/>
      </c>
      <c r="I176" s="5">
        <f>SUMIFS(Raw_Payments!E:E,Raw_Payments!B:B,A176)</f>
        <v/>
      </c>
      <c r="J176" s="5">
        <f>H176-I176</f>
        <v/>
      </c>
      <c r="K176" s="3">
        <f>IF(J176&lt;=0.005,"PAID",IF(I176&gt;0,"PARTIAL","OVERDUE"))</f>
        <v/>
      </c>
      <c r="L176" s="4">
        <f>IF(COUNTIFS(Raw_Payments!B:B,A176)=0,"",SUMPRODUCT(MAX((Raw_Payments!B$2:B$1079=A176)*Raw_Payments!D$2:D$1079)))</f>
        <v/>
      </c>
      <c r="M176" s="3">
        <f>IF(K176="PAID",MAX(0,L176-G176),Guide!$B$3-G176)</f>
        <v/>
      </c>
      <c r="N176" s="3">
        <f>IF(J176&lt;=0.005,"COLLECTED",IF(M176&lt;=30,"1-30",IF(M176&lt;=60,"31-60",IF(M176&lt;=90,"61-90","90+"))))</f>
        <v/>
      </c>
      <c r="O176" s="3">
        <f>IF(N176="90+","LOST",IF(N176="61-90","ESCALATE",IF(N176="31-60","WATCH",IF(N176="1-30","MILD","OK"))))</f>
        <v/>
      </c>
      <c r="P176" s="3">
        <f>IF(J176&gt;0.005,ROW()-1,"")</f>
        <v/>
      </c>
    </row>
    <row r="177">
      <c r="A177" s="3" t="inlineStr">
        <is>
          <t>D0176</t>
        </is>
      </c>
      <c r="B177" s="3">
        <f>INDEX(Raw_Schedule!B:B,MATCH(A177,Raw_Schedule!A:A,0))</f>
        <v/>
      </c>
      <c r="C177" s="3">
        <f>INDEX(Raw_Schedule!C:C,MATCH(A177,Raw_Schedule!A:A,0))</f>
        <v/>
      </c>
      <c r="D177" s="3">
        <f>INDEX(Raw_Schedule!D:D,MATCH(A177,Raw_Schedule!A:A,0))</f>
        <v/>
      </c>
      <c r="E177" s="3">
        <f>INDEX(Raw_Schedule!E:E,MATCH(A177,Raw_Schedule!A:A,0))</f>
        <v/>
      </c>
      <c r="F177" s="3">
        <f>INDEX(Raw_Schedule!F:F,MATCH(A177,Raw_Schedule!A:A,0))</f>
        <v/>
      </c>
      <c r="G177" s="4">
        <f>INDEX(Raw_Schedule!G:G,MATCH(A177,Raw_Schedule!A:A,0))</f>
        <v/>
      </c>
      <c r="H177" s="5">
        <f>INDEX(Raw_Schedule!H:H,MATCH(A177,Raw_Schedule!A:A,0))</f>
        <v/>
      </c>
      <c r="I177" s="5">
        <f>SUMIFS(Raw_Payments!E:E,Raw_Payments!B:B,A177)</f>
        <v/>
      </c>
      <c r="J177" s="5">
        <f>H177-I177</f>
        <v/>
      </c>
      <c r="K177" s="3">
        <f>IF(J177&lt;=0.005,"PAID",IF(I177&gt;0,"PARTIAL","OVERDUE"))</f>
        <v/>
      </c>
      <c r="L177" s="4">
        <f>IF(COUNTIFS(Raw_Payments!B:B,A177)=0,"",SUMPRODUCT(MAX((Raw_Payments!B$2:B$1079=A177)*Raw_Payments!D$2:D$1079)))</f>
        <v/>
      </c>
      <c r="M177" s="3">
        <f>IF(K177="PAID",MAX(0,L177-G177),Guide!$B$3-G177)</f>
        <v/>
      </c>
      <c r="N177" s="3">
        <f>IF(J177&lt;=0.005,"COLLECTED",IF(M177&lt;=30,"1-30",IF(M177&lt;=60,"31-60",IF(M177&lt;=90,"61-90","90+"))))</f>
        <v/>
      </c>
      <c r="O177" s="3">
        <f>IF(N177="90+","LOST",IF(N177="61-90","ESCALATE",IF(N177="31-60","WATCH",IF(N177="1-30","MILD","OK"))))</f>
        <v/>
      </c>
      <c r="P177" s="3">
        <f>IF(J177&gt;0.005,ROW()-1,"")</f>
        <v/>
      </c>
    </row>
    <row r="178">
      <c r="A178" s="3" t="inlineStr">
        <is>
          <t>D0177</t>
        </is>
      </c>
      <c r="B178" s="3">
        <f>INDEX(Raw_Schedule!B:B,MATCH(A178,Raw_Schedule!A:A,0))</f>
        <v/>
      </c>
      <c r="C178" s="3">
        <f>INDEX(Raw_Schedule!C:C,MATCH(A178,Raw_Schedule!A:A,0))</f>
        <v/>
      </c>
      <c r="D178" s="3">
        <f>INDEX(Raw_Schedule!D:D,MATCH(A178,Raw_Schedule!A:A,0))</f>
        <v/>
      </c>
      <c r="E178" s="3">
        <f>INDEX(Raw_Schedule!E:E,MATCH(A178,Raw_Schedule!A:A,0))</f>
        <v/>
      </c>
      <c r="F178" s="3">
        <f>INDEX(Raw_Schedule!F:F,MATCH(A178,Raw_Schedule!A:A,0))</f>
        <v/>
      </c>
      <c r="G178" s="4">
        <f>INDEX(Raw_Schedule!G:G,MATCH(A178,Raw_Schedule!A:A,0))</f>
        <v/>
      </c>
      <c r="H178" s="5">
        <f>INDEX(Raw_Schedule!H:H,MATCH(A178,Raw_Schedule!A:A,0))</f>
        <v/>
      </c>
      <c r="I178" s="5">
        <f>SUMIFS(Raw_Payments!E:E,Raw_Payments!B:B,A178)</f>
        <v/>
      </c>
      <c r="J178" s="5">
        <f>H178-I178</f>
        <v/>
      </c>
      <c r="K178" s="3">
        <f>IF(J178&lt;=0.005,"PAID",IF(I178&gt;0,"PARTIAL","OVERDUE"))</f>
        <v/>
      </c>
      <c r="L178" s="4">
        <f>IF(COUNTIFS(Raw_Payments!B:B,A178)=0,"",SUMPRODUCT(MAX((Raw_Payments!B$2:B$1079=A178)*Raw_Payments!D$2:D$1079)))</f>
        <v/>
      </c>
      <c r="M178" s="3">
        <f>IF(K178="PAID",MAX(0,L178-G178),Guide!$B$3-G178)</f>
        <v/>
      </c>
      <c r="N178" s="3">
        <f>IF(J178&lt;=0.005,"COLLECTED",IF(M178&lt;=30,"1-30",IF(M178&lt;=60,"31-60",IF(M178&lt;=90,"61-90","90+"))))</f>
        <v/>
      </c>
      <c r="O178" s="3">
        <f>IF(N178="90+","LOST",IF(N178="61-90","ESCALATE",IF(N178="31-60","WATCH",IF(N178="1-30","MILD","OK"))))</f>
        <v/>
      </c>
      <c r="P178" s="3">
        <f>IF(J178&gt;0.005,ROW()-1,"")</f>
        <v/>
      </c>
    </row>
    <row r="179">
      <c r="A179" s="3" t="inlineStr">
        <is>
          <t>D0178</t>
        </is>
      </c>
      <c r="B179" s="3">
        <f>INDEX(Raw_Schedule!B:B,MATCH(A179,Raw_Schedule!A:A,0))</f>
        <v/>
      </c>
      <c r="C179" s="3">
        <f>INDEX(Raw_Schedule!C:C,MATCH(A179,Raw_Schedule!A:A,0))</f>
        <v/>
      </c>
      <c r="D179" s="3">
        <f>INDEX(Raw_Schedule!D:D,MATCH(A179,Raw_Schedule!A:A,0))</f>
        <v/>
      </c>
      <c r="E179" s="3">
        <f>INDEX(Raw_Schedule!E:E,MATCH(A179,Raw_Schedule!A:A,0))</f>
        <v/>
      </c>
      <c r="F179" s="3">
        <f>INDEX(Raw_Schedule!F:F,MATCH(A179,Raw_Schedule!A:A,0))</f>
        <v/>
      </c>
      <c r="G179" s="4">
        <f>INDEX(Raw_Schedule!G:G,MATCH(A179,Raw_Schedule!A:A,0))</f>
        <v/>
      </c>
      <c r="H179" s="5">
        <f>INDEX(Raw_Schedule!H:H,MATCH(A179,Raw_Schedule!A:A,0))</f>
        <v/>
      </c>
      <c r="I179" s="5">
        <f>SUMIFS(Raw_Payments!E:E,Raw_Payments!B:B,A179)</f>
        <v/>
      </c>
      <c r="J179" s="5">
        <f>H179-I179</f>
        <v/>
      </c>
      <c r="K179" s="3">
        <f>IF(J179&lt;=0.005,"PAID",IF(I179&gt;0,"PARTIAL","OVERDUE"))</f>
        <v/>
      </c>
      <c r="L179" s="4">
        <f>IF(COUNTIFS(Raw_Payments!B:B,A179)=0,"",SUMPRODUCT(MAX((Raw_Payments!B$2:B$1079=A179)*Raw_Payments!D$2:D$1079)))</f>
        <v/>
      </c>
      <c r="M179" s="3">
        <f>IF(K179="PAID",MAX(0,L179-G179),Guide!$B$3-G179)</f>
        <v/>
      </c>
      <c r="N179" s="3">
        <f>IF(J179&lt;=0.005,"COLLECTED",IF(M179&lt;=30,"1-30",IF(M179&lt;=60,"31-60",IF(M179&lt;=90,"61-90","90+"))))</f>
        <v/>
      </c>
      <c r="O179" s="3">
        <f>IF(N179="90+","LOST",IF(N179="61-90","ESCALATE",IF(N179="31-60","WATCH",IF(N179="1-30","MILD","OK"))))</f>
        <v/>
      </c>
      <c r="P179" s="3">
        <f>IF(J179&gt;0.005,ROW()-1,"")</f>
        <v/>
      </c>
    </row>
    <row r="180">
      <c r="A180" s="3" t="inlineStr">
        <is>
          <t>D0179</t>
        </is>
      </c>
      <c r="B180" s="3">
        <f>INDEX(Raw_Schedule!B:B,MATCH(A180,Raw_Schedule!A:A,0))</f>
        <v/>
      </c>
      <c r="C180" s="3">
        <f>INDEX(Raw_Schedule!C:C,MATCH(A180,Raw_Schedule!A:A,0))</f>
        <v/>
      </c>
      <c r="D180" s="3">
        <f>INDEX(Raw_Schedule!D:D,MATCH(A180,Raw_Schedule!A:A,0))</f>
        <v/>
      </c>
      <c r="E180" s="3">
        <f>INDEX(Raw_Schedule!E:E,MATCH(A180,Raw_Schedule!A:A,0))</f>
        <v/>
      </c>
      <c r="F180" s="3">
        <f>INDEX(Raw_Schedule!F:F,MATCH(A180,Raw_Schedule!A:A,0))</f>
        <v/>
      </c>
      <c r="G180" s="4">
        <f>INDEX(Raw_Schedule!G:G,MATCH(A180,Raw_Schedule!A:A,0))</f>
        <v/>
      </c>
      <c r="H180" s="5">
        <f>INDEX(Raw_Schedule!H:H,MATCH(A180,Raw_Schedule!A:A,0))</f>
        <v/>
      </c>
      <c r="I180" s="5">
        <f>SUMIFS(Raw_Payments!E:E,Raw_Payments!B:B,A180)</f>
        <v/>
      </c>
      <c r="J180" s="5">
        <f>H180-I180</f>
        <v/>
      </c>
      <c r="K180" s="3">
        <f>IF(J180&lt;=0.005,"PAID",IF(I180&gt;0,"PARTIAL","OVERDUE"))</f>
        <v/>
      </c>
      <c r="L180" s="4">
        <f>IF(COUNTIFS(Raw_Payments!B:B,A180)=0,"",SUMPRODUCT(MAX((Raw_Payments!B$2:B$1079=A180)*Raw_Payments!D$2:D$1079)))</f>
        <v/>
      </c>
      <c r="M180" s="3">
        <f>IF(K180="PAID",MAX(0,L180-G180),Guide!$B$3-G180)</f>
        <v/>
      </c>
      <c r="N180" s="3">
        <f>IF(J180&lt;=0.005,"COLLECTED",IF(M180&lt;=30,"1-30",IF(M180&lt;=60,"31-60",IF(M180&lt;=90,"61-90","90+"))))</f>
        <v/>
      </c>
      <c r="O180" s="3">
        <f>IF(N180="90+","LOST",IF(N180="61-90","ESCALATE",IF(N180="31-60","WATCH",IF(N180="1-30","MILD","OK"))))</f>
        <v/>
      </c>
      <c r="P180" s="3">
        <f>IF(J180&gt;0.005,ROW()-1,"")</f>
        <v/>
      </c>
    </row>
    <row r="181">
      <c r="A181" s="3" t="inlineStr">
        <is>
          <t>D0180</t>
        </is>
      </c>
      <c r="B181" s="3">
        <f>INDEX(Raw_Schedule!B:B,MATCH(A181,Raw_Schedule!A:A,0))</f>
        <v/>
      </c>
      <c r="C181" s="3">
        <f>INDEX(Raw_Schedule!C:C,MATCH(A181,Raw_Schedule!A:A,0))</f>
        <v/>
      </c>
      <c r="D181" s="3">
        <f>INDEX(Raw_Schedule!D:D,MATCH(A181,Raw_Schedule!A:A,0))</f>
        <v/>
      </c>
      <c r="E181" s="3">
        <f>INDEX(Raw_Schedule!E:E,MATCH(A181,Raw_Schedule!A:A,0))</f>
        <v/>
      </c>
      <c r="F181" s="3">
        <f>INDEX(Raw_Schedule!F:F,MATCH(A181,Raw_Schedule!A:A,0))</f>
        <v/>
      </c>
      <c r="G181" s="4">
        <f>INDEX(Raw_Schedule!G:G,MATCH(A181,Raw_Schedule!A:A,0))</f>
        <v/>
      </c>
      <c r="H181" s="5">
        <f>INDEX(Raw_Schedule!H:H,MATCH(A181,Raw_Schedule!A:A,0))</f>
        <v/>
      </c>
      <c r="I181" s="5">
        <f>SUMIFS(Raw_Payments!E:E,Raw_Payments!B:B,A181)</f>
        <v/>
      </c>
      <c r="J181" s="5">
        <f>H181-I181</f>
        <v/>
      </c>
      <c r="K181" s="3">
        <f>IF(J181&lt;=0.005,"PAID",IF(I181&gt;0,"PARTIAL","OVERDUE"))</f>
        <v/>
      </c>
      <c r="L181" s="4">
        <f>IF(COUNTIFS(Raw_Payments!B:B,A181)=0,"",SUMPRODUCT(MAX((Raw_Payments!B$2:B$1079=A181)*Raw_Payments!D$2:D$1079)))</f>
        <v/>
      </c>
      <c r="M181" s="3">
        <f>IF(K181="PAID",MAX(0,L181-G181),Guide!$B$3-G181)</f>
        <v/>
      </c>
      <c r="N181" s="3">
        <f>IF(J181&lt;=0.005,"COLLECTED",IF(M181&lt;=30,"1-30",IF(M181&lt;=60,"31-60",IF(M181&lt;=90,"61-90","90+"))))</f>
        <v/>
      </c>
      <c r="O181" s="3">
        <f>IF(N181="90+","LOST",IF(N181="61-90","ESCALATE",IF(N181="31-60","WATCH",IF(N181="1-30","MILD","OK"))))</f>
        <v/>
      </c>
      <c r="P181" s="3">
        <f>IF(J181&gt;0.005,ROW()-1,"")</f>
        <v/>
      </c>
    </row>
    <row r="182">
      <c r="A182" s="3" t="inlineStr">
        <is>
          <t>D0181</t>
        </is>
      </c>
      <c r="B182" s="3">
        <f>INDEX(Raw_Schedule!B:B,MATCH(A182,Raw_Schedule!A:A,0))</f>
        <v/>
      </c>
      <c r="C182" s="3">
        <f>INDEX(Raw_Schedule!C:C,MATCH(A182,Raw_Schedule!A:A,0))</f>
        <v/>
      </c>
      <c r="D182" s="3">
        <f>INDEX(Raw_Schedule!D:D,MATCH(A182,Raw_Schedule!A:A,0))</f>
        <v/>
      </c>
      <c r="E182" s="3">
        <f>INDEX(Raw_Schedule!E:E,MATCH(A182,Raw_Schedule!A:A,0))</f>
        <v/>
      </c>
      <c r="F182" s="3">
        <f>INDEX(Raw_Schedule!F:F,MATCH(A182,Raw_Schedule!A:A,0))</f>
        <v/>
      </c>
      <c r="G182" s="4">
        <f>INDEX(Raw_Schedule!G:G,MATCH(A182,Raw_Schedule!A:A,0))</f>
        <v/>
      </c>
      <c r="H182" s="5">
        <f>INDEX(Raw_Schedule!H:H,MATCH(A182,Raw_Schedule!A:A,0))</f>
        <v/>
      </c>
      <c r="I182" s="5">
        <f>SUMIFS(Raw_Payments!E:E,Raw_Payments!B:B,A182)</f>
        <v/>
      </c>
      <c r="J182" s="5">
        <f>H182-I182</f>
        <v/>
      </c>
      <c r="K182" s="3">
        <f>IF(J182&lt;=0.005,"PAID",IF(I182&gt;0,"PARTIAL","OVERDUE"))</f>
        <v/>
      </c>
      <c r="L182" s="4">
        <f>IF(COUNTIFS(Raw_Payments!B:B,A182)=0,"",SUMPRODUCT(MAX((Raw_Payments!B$2:B$1079=A182)*Raw_Payments!D$2:D$1079)))</f>
        <v/>
      </c>
      <c r="M182" s="3">
        <f>IF(K182="PAID",MAX(0,L182-G182),Guide!$B$3-G182)</f>
        <v/>
      </c>
      <c r="N182" s="3">
        <f>IF(J182&lt;=0.005,"COLLECTED",IF(M182&lt;=30,"1-30",IF(M182&lt;=60,"31-60",IF(M182&lt;=90,"61-90","90+"))))</f>
        <v/>
      </c>
      <c r="O182" s="3">
        <f>IF(N182="90+","LOST",IF(N182="61-90","ESCALATE",IF(N182="31-60","WATCH",IF(N182="1-30","MILD","OK"))))</f>
        <v/>
      </c>
      <c r="P182" s="3">
        <f>IF(J182&gt;0.005,ROW()-1,"")</f>
        <v/>
      </c>
    </row>
    <row r="183">
      <c r="A183" s="3" t="inlineStr">
        <is>
          <t>D0182</t>
        </is>
      </c>
      <c r="B183" s="3">
        <f>INDEX(Raw_Schedule!B:B,MATCH(A183,Raw_Schedule!A:A,0))</f>
        <v/>
      </c>
      <c r="C183" s="3">
        <f>INDEX(Raw_Schedule!C:C,MATCH(A183,Raw_Schedule!A:A,0))</f>
        <v/>
      </c>
      <c r="D183" s="3">
        <f>INDEX(Raw_Schedule!D:D,MATCH(A183,Raw_Schedule!A:A,0))</f>
        <v/>
      </c>
      <c r="E183" s="3">
        <f>INDEX(Raw_Schedule!E:E,MATCH(A183,Raw_Schedule!A:A,0))</f>
        <v/>
      </c>
      <c r="F183" s="3">
        <f>INDEX(Raw_Schedule!F:F,MATCH(A183,Raw_Schedule!A:A,0))</f>
        <v/>
      </c>
      <c r="G183" s="4">
        <f>INDEX(Raw_Schedule!G:G,MATCH(A183,Raw_Schedule!A:A,0))</f>
        <v/>
      </c>
      <c r="H183" s="5">
        <f>INDEX(Raw_Schedule!H:H,MATCH(A183,Raw_Schedule!A:A,0))</f>
        <v/>
      </c>
      <c r="I183" s="5">
        <f>SUMIFS(Raw_Payments!E:E,Raw_Payments!B:B,A183)</f>
        <v/>
      </c>
      <c r="J183" s="5">
        <f>H183-I183</f>
        <v/>
      </c>
      <c r="K183" s="3">
        <f>IF(J183&lt;=0.005,"PAID",IF(I183&gt;0,"PARTIAL","OVERDUE"))</f>
        <v/>
      </c>
      <c r="L183" s="4">
        <f>IF(COUNTIFS(Raw_Payments!B:B,A183)=0,"",SUMPRODUCT(MAX((Raw_Payments!B$2:B$1079=A183)*Raw_Payments!D$2:D$1079)))</f>
        <v/>
      </c>
      <c r="M183" s="3">
        <f>IF(K183="PAID",MAX(0,L183-G183),Guide!$B$3-G183)</f>
        <v/>
      </c>
      <c r="N183" s="3">
        <f>IF(J183&lt;=0.005,"COLLECTED",IF(M183&lt;=30,"1-30",IF(M183&lt;=60,"31-60",IF(M183&lt;=90,"61-90","90+"))))</f>
        <v/>
      </c>
      <c r="O183" s="3">
        <f>IF(N183="90+","LOST",IF(N183="61-90","ESCALATE",IF(N183="31-60","WATCH",IF(N183="1-30","MILD","OK"))))</f>
        <v/>
      </c>
      <c r="P183" s="3">
        <f>IF(J183&gt;0.005,ROW()-1,"")</f>
        <v/>
      </c>
    </row>
    <row r="184">
      <c r="A184" s="3" t="inlineStr">
        <is>
          <t>D0183</t>
        </is>
      </c>
      <c r="B184" s="3">
        <f>INDEX(Raw_Schedule!B:B,MATCH(A184,Raw_Schedule!A:A,0))</f>
        <v/>
      </c>
      <c r="C184" s="3">
        <f>INDEX(Raw_Schedule!C:C,MATCH(A184,Raw_Schedule!A:A,0))</f>
        <v/>
      </c>
      <c r="D184" s="3">
        <f>INDEX(Raw_Schedule!D:D,MATCH(A184,Raw_Schedule!A:A,0))</f>
        <v/>
      </c>
      <c r="E184" s="3">
        <f>INDEX(Raw_Schedule!E:E,MATCH(A184,Raw_Schedule!A:A,0))</f>
        <v/>
      </c>
      <c r="F184" s="3">
        <f>INDEX(Raw_Schedule!F:F,MATCH(A184,Raw_Schedule!A:A,0))</f>
        <v/>
      </c>
      <c r="G184" s="4">
        <f>INDEX(Raw_Schedule!G:G,MATCH(A184,Raw_Schedule!A:A,0))</f>
        <v/>
      </c>
      <c r="H184" s="5">
        <f>INDEX(Raw_Schedule!H:H,MATCH(A184,Raw_Schedule!A:A,0))</f>
        <v/>
      </c>
      <c r="I184" s="5">
        <f>SUMIFS(Raw_Payments!E:E,Raw_Payments!B:B,A184)</f>
        <v/>
      </c>
      <c r="J184" s="5">
        <f>H184-I184</f>
        <v/>
      </c>
      <c r="K184" s="3">
        <f>IF(J184&lt;=0.005,"PAID",IF(I184&gt;0,"PARTIAL","OVERDUE"))</f>
        <v/>
      </c>
      <c r="L184" s="4">
        <f>IF(COUNTIFS(Raw_Payments!B:B,A184)=0,"",SUMPRODUCT(MAX((Raw_Payments!B$2:B$1079=A184)*Raw_Payments!D$2:D$1079)))</f>
        <v/>
      </c>
      <c r="M184" s="3">
        <f>IF(K184="PAID",MAX(0,L184-G184),Guide!$B$3-G184)</f>
        <v/>
      </c>
      <c r="N184" s="3">
        <f>IF(J184&lt;=0.005,"COLLECTED",IF(M184&lt;=30,"1-30",IF(M184&lt;=60,"31-60",IF(M184&lt;=90,"61-90","90+"))))</f>
        <v/>
      </c>
      <c r="O184" s="3">
        <f>IF(N184="90+","LOST",IF(N184="61-90","ESCALATE",IF(N184="31-60","WATCH",IF(N184="1-30","MILD","OK"))))</f>
        <v/>
      </c>
      <c r="P184" s="3">
        <f>IF(J184&gt;0.005,ROW()-1,"")</f>
        <v/>
      </c>
    </row>
    <row r="185">
      <c r="A185" s="3" t="inlineStr">
        <is>
          <t>D0184</t>
        </is>
      </c>
      <c r="B185" s="3">
        <f>INDEX(Raw_Schedule!B:B,MATCH(A185,Raw_Schedule!A:A,0))</f>
        <v/>
      </c>
      <c r="C185" s="3">
        <f>INDEX(Raw_Schedule!C:C,MATCH(A185,Raw_Schedule!A:A,0))</f>
        <v/>
      </c>
      <c r="D185" s="3">
        <f>INDEX(Raw_Schedule!D:D,MATCH(A185,Raw_Schedule!A:A,0))</f>
        <v/>
      </c>
      <c r="E185" s="3">
        <f>INDEX(Raw_Schedule!E:E,MATCH(A185,Raw_Schedule!A:A,0))</f>
        <v/>
      </c>
      <c r="F185" s="3">
        <f>INDEX(Raw_Schedule!F:F,MATCH(A185,Raw_Schedule!A:A,0))</f>
        <v/>
      </c>
      <c r="G185" s="4">
        <f>INDEX(Raw_Schedule!G:G,MATCH(A185,Raw_Schedule!A:A,0))</f>
        <v/>
      </c>
      <c r="H185" s="5">
        <f>INDEX(Raw_Schedule!H:H,MATCH(A185,Raw_Schedule!A:A,0))</f>
        <v/>
      </c>
      <c r="I185" s="5">
        <f>SUMIFS(Raw_Payments!E:E,Raw_Payments!B:B,A185)</f>
        <v/>
      </c>
      <c r="J185" s="5">
        <f>H185-I185</f>
        <v/>
      </c>
      <c r="K185" s="3">
        <f>IF(J185&lt;=0.005,"PAID",IF(I185&gt;0,"PARTIAL","OVERDUE"))</f>
        <v/>
      </c>
      <c r="L185" s="4">
        <f>IF(COUNTIFS(Raw_Payments!B:B,A185)=0,"",SUMPRODUCT(MAX((Raw_Payments!B$2:B$1079=A185)*Raw_Payments!D$2:D$1079)))</f>
        <v/>
      </c>
      <c r="M185" s="3">
        <f>IF(K185="PAID",MAX(0,L185-G185),Guide!$B$3-G185)</f>
        <v/>
      </c>
      <c r="N185" s="3">
        <f>IF(J185&lt;=0.005,"COLLECTED",IF(M185&lt;=30,"1-30",IF(M185&lt;=60,"31-60",IF(M185&lt;=90,"61-90","90+"))))</f>
        <v/>
      </c>
      <c r="O185" s="3">
        <f>IF(N185="90+","LOST",IF(N185="61-90","ESCALATE",IF(N185="31-60","WATCH",IF(N185="1-30","MILD","OK"))))</f>
        <v/>
      </c>
      <c r="P185" s="3">
        <f>IF(J185&gt;0.005,ROW()-1,"")</f>
        <v/>
      </c>
    </row>
    <row r="186">
      <c r="A186" s="3" t="inlineStr">
        <is>
          <t>D0185</t>
        </is>
      </c>
      <c r="B186" s="3">
        <f>INDEX(Raw_Schedule!B:B,MATCH(A186,Raw_Schedule!A:A,0))</f>
        <v/>
      </c>
      <c r="C186" s="3">
        <f>INDEX(Raw_Schedule!C:C,MATCH(A186,Raw_Schedule!A:A,0))</f>
        <v/>
      </c>
      <c r="D186" s="3">
        <f>INDEX(Raw_Schedule!D:D,MATCH(A186,Raw_Schedule!A:A,0))</f>
        <v/>
      </c>
      <c r="E186" s="3">
        <f>INDEX(Raw_Schedule!E:E,MATCH(A186,Raw_Schedule!A:A,0))</f>
        <v/>
      </c>
      <c r="F186" s="3">
        <f>INDEX(Raw_Schedule!F:F,MATCH(A186,Raw_Schedule!A:A,0))</f>
        <v/>
      </c>
      <c r="G186" s="4">
        <f>INDEX(Raw_Schedule!G:G,MATCH(A186,Raw_Schedule!A:A,0))</f>
        <v/>
      </c>
      <c r="H186" s="5">
        <f>INDEX(Raw_Schedule!H:H,MATCH(A186,Raw_Schedule!A:A,0))</f>
        <v/>
      </c>
      <c r="I186" s="5">
        <f>SUMIFS(Raw_Payments!E:E,Raw_Payments!B:B,A186)</f>
        <v/>
      </c>
      <c r="J186" s="5">
        <f>H186-I186</f>
        <v/>
      </c>
      <c r="K186" s="3">
        <f>IF(J186&lt;=0.005,"PAID",IF(I186&gt;0,"PARTIAL","OVERDUE"))</f>
        <v/>
      </c>
      <c r="L186" s="4">
        <f>IF(COUNTIFS(Raw_Payments!B:B,A186)=0,"",SUMPRODUCT(MAX((Raw_Payments!B$2:B$1079=A186)*Raw_Payments!D$2:D$1079)))</f>
        <v/>
      </c>
      <c r="M186" s="3">
        <f>IF(K186="PAID",MAX(0,L186-G186),Guide!$B$3-G186)</f>
        <v/>
      </c>
      <c r="N186" s="3">
        <f>IF(J186&lt;=0.005,"COLLECTED",IF(M186&lt;=30,"1-30",IF(M186&lt;=60,"31-60",IF(M186&lt;=90,"61-90","90+"))))</f>
        <v/>
      </c>
      <c r="O186" s="3">
        <f>IF(N186="90+","LOST",IF(N186="61-90","ESCALATE",IF(N186="31-60","WATCH",IF(N186="1-30","MILD","OK"))))</f>
        <v/>
      </c>
      <c r="P186" s="3">
        <f>IF(J186&gt;0.005,ROW()-1,"")</f>
        <v/>
      </c>
    </row>
    <row r="187">
      <c r="A187" s="3" t="inlineStr">
        <is>
          <t>D0186</t>
        </is>
      </c>
      <c r="B187" s="3">
        <f>INDEX(Raw_Schedule!B:B,MATCH(A187,Raw_Schedule!A:A,0))</f>
        <v/>
      </c>
      <c r="C187" s="3">
        <f>INDEX(Raw_Schedule!C:C,MATCH(A187,Raw_Schedule!A:A,0))</f>
        <v/>
      </c>
      <c r="D187" s="3">
        <f>INDEX(Raw_Schedule!D:D,MATCH(A187,Raw_Schedule!A:A,0))</f>
        <v/>
      </c>
      <c r="E187" s="3">
        <f>INDEX(Raw_Schedule!E:E,MATCH(A187,Raw_Schedule!A:A,0))</f>
        <v/>
      </c>
      <c r="F187" s="3">
        <f>INDEX(Raw_Schedule!F:F,MATCH(A187,Raw_Schedule!A:A,0))</f>
        <v/>
      </c>
      <c r="G187" s="4">
        <f>INDEX(Raw_Schedule!G:G,MATCH(A187,Raw_Schedule!A:A,0))</f>
        <v/>
      </c>
      <c r="H187" s="5">
        <f>INDEX(Raw_Schedule!H:H,MATCH(A187,Raw_Schedule!A:A,0))</f>
        <v/>
      </c>
      <c r="I187" s="5">
        <f>SUMIFS(Raw_Payments!E:E,Raw_Payments!B:B,A187)</f>
        <v/>
      </c>
      <c r="J187" s="5">
        <f>H187-I187</f>
        <v/>
      </c>
      <c r="K187" s="3">
        <f>IF(J187&lt;=0.005,"PAID",IF(I187&gt;0,"PARTIAL","OVERDUE"))</f>
        <v/>
      </c>
      <c r="L187" s="4">
        <f>IF(COUNTIFS(Raw_Payments!B:B,A187)=0,"",SUMPRODUCT(MAX((Raw_Payments!B$2:B$1079=A187)*Raw_Payments!D$2:D$1079)))</f>
        <v/>
      </c>
      <c r="M187" s="3">
        <f>IF(K187="PAID",MAX(0,L187-G187),Guide!$B$3-G187)</f>
        <v/>
      </c>
      <c r="N187" s="3">
        <f>IF(J187&lt;=0.005,"COLLECTED",IF(M187&lt;=30,"1-30",IF(M187&lt;=60,"31-60",IF(M187&lt;=90,"61-90","90+"))))</f>
        <v/>
      </c>
      <c r="O187" s="3">
        <f>IF(N187="90+","LOST",IF(N187="61-90","ESCALATE",IF(N187="31-60","WATCH",IF(N187="1-30","MILD","OK"))))</f>
        <v/>
      </c>
      <c r="P187" s="3">
        <f>IF(J187&gt;0.005,ROW()-1,"")</f>
        <v/>
      </c>
    </row>
    <row r="188">
      <c r="A188" s="3" t="inlineStr">
        <is>
          <t>D0187</t>
        </is>
      </c>
      <c r="B188" s="3">
        <f>INDEX(Raw_Schedule!B:B,MATCH(A188,Raw_Schedule!A:A,0))</f>
        <v/>
      </c>
      <c r="C188" s="3">
        <f>INDEX(Raw_Schedule!C:C,MATCH(A188,Raw_Schedule!A:A,0))</f>
        <v/>
      </c>
      <c r="D188" s="3">
        <f>INDEX(Raw_Schedule!D:D,MATCH(A188,Raw_Schedule!A:A,0))</f>
        <v/>
      </c>
      <c r="E188" s="3">
        <f>INDEX(Raw_Schedule!E:E,MATCH(A188,Raw_Schedule!A:A,0))</f>
        <v/>
      </c>
      <c r="F188" s="3">
        <f>INDEX(Raw_Schedule!F:F,MATCH(A188,Raw_Schedule!A:A,0))</f>
        <v/>
      </c>
      <c r="G188" s="4">
        <f>INDEX(Raw_Schedule!G:G,MATCH(A188,Raw_Schedule!A:A,0))</f>
        <v/>
      </c>
      <c r="H188" s="5">
        <f>INDEX(Raw_Schedule!H:H,MATCH(A188,Raw_Schedule!A:A,0))</f>
        <v/>
      </c>
      <c r="I188" s="5">
        <f>SUMIFS(Raw_Payments!E:E,Raw_Payments!B:B,A188)</f>
        <v/>
      </c>
      <c r="J188" s="5">
        <f>H188-I188</f>
        <v/>
      </c>
      <c r="K188" s="3">
        <f>IF(J188&lt;=0.005,"PAID",IF(I188&gt;0,"PARTIAL","OVERDUE"))</f>
        <v/>
      </c>
      <c r="L188" s="4">
        <f>IF(COUNTIFS(Raw_Payments!B:B,A188)=0,"",SUMPRODUCT(MAX((Raw_Payments!B$2:B$1079=A188)*Raw_Payments!D$2:D$1079)))</f>
        <v/>
      </c>
      <c r="M188" s="3">
        <f>IF(K188="PAID",MAX(0,L188-G188),Guide!$B$3-G188)</f>
        <v/>
      </c>
      <c r="N188" s="3">
        <f>IF(J188&lt;=0.005,"COLLECTED",IF(M188&lt;=30,"1-30",IF(M188&lt;=60,"31-60",IF(M188&lt;=90,"61-90","90+"))))</f>
        <v/>
      </c>
      <c r="O188" s="3">
        <f>IF(N188="90+","LOST",IF(N188="61-90","ESCALATE",IF(N188="31-60","WATCH",IF(N188="1-30","MILD","OK"))))</f>
        <v/>
      </c>
      <c r="P188" s="3">
        <f>IF(J188&gt;0.005,ROW()-1,"")</f>
        <v/>
      </c>
    </row>
    <row r="189">
      <c r="A189" s="3" t="inlineStr">
        <is>
          <t>D0188</t>
        </is>
      </c>
      <c r="B189" s="3">
        <f>INDEX(Raw_Schedule!B:B,MATCH(A189,Raw_Schedule!A:A,0))</f>
        <v/>
      </c>
      <c r="C189" s="3">
        <f>INDEX(Raw_Schedule!C:C,MATCH(A189,Raw_Schedule!A:A,0))</f>
        <v/>
      </c>
      <c r="D189" s="3">
        <f>INDEX(Raw_Schedule!D:D,MATCH(A189,Raw_Schedule!A:A,0))</f>
        <v/>
      </c>
      <c r="E189" s="3">
        <f>INDEX(Raw_Schedule!E:E,MATCH(A189,Raw_Schedule!A:A,0))</f>
        <v/>
      </c>
      <c r="F189" s="3">
        <f>INDEX(Raw_Schedule!F:F,MATCH(A189,Raw_Schedule!A:A,0))</f>
        <v/>
      </c>
      <c r="G189" s="4">
        <f>INDEX(Raw_Schedule!G:G,MATCH(A189,Raw_Schedule!A:A,0))</f>
        <v/>
      </c>
      <c r="H189" s="5">
        <f>INDEX(Raw_Schedule!H:H,MATCH(A189,Raw_Schedule!A:A,0))</f>
        <v/>
      </c>
      <c r="I189" s="5">
        <f>SUMIFS(Raw_Payments!E:E,Raw_Payments!B:B,A189)</f>
        <v/>
      </c>
      <c r="J189" s="5">
        <f>H189-I189</f>
        <v/>
      </c>
      <c r="K189" s="3">
        <f>IF(J189&lt;=0.005,"PAID",IF(I189&gt;0,"PARTIAL","OVERDUE"))</f>
        <v/>
      </c>
      <c r="L189" s="4">
        <f>IF(COUNTIFS(Raw_Payments!B:B,A189)=0,"",SUMPRODUCT(MAX((Raw_Payments!B$2:B$1079=A189)*Raw_Payments!D$2:D$1079)))</f>
        <v/>
      </c>
      <c r="M189" s="3">
        <f>IF(K189="PAID",MAX(0,L189-G189),Guide!$B$3-G189)</f>
        <v/>
      </c>
      <c r="N189" s="3">
        <f>IF(J189&lt;=0.005,"COLLECTED",IF(M189&lt;=30,"1-30",IF(M189&lt;=60,"31-60",IF(M189&lt;=90,"61-90","90+"))))</f>
        <v/>
      </c>
      <c r="O189" s="3">
        <f>IF(N189="90+","LOST",IF(N189="61-90","ESCALATE",IF(N189="31-60","WATCH",IF(N189="1-30","MILD","OK"))))</f>
        <v/>
      </c>
      <c r="P189" s="3">
        <f>IF(J189&gt;0.005,ROW()-1,"")</f>
        <v/>
      </c>
    </row>
    <row r="190">
      <c r="A190" s="3" t="inlineStr">
        <is>
          <t>D0189</t>
        </is>
      </c>
      <c r="B190" s="3">
        <f>INDEX(Raw_Schedule!B:B,MATCH(A190,Raw_Schedule!A:A,0))</f>
        <v/>
      </c>
      <c r="C190" s="3">
        <f>INDEX(Raw_Schedule!C:C,MATCH(A190,Raw_Schedule!A:A,0))</f>
        <v/>
      </c>
      <c r="D190" s="3">
        <f>INDEX(Raw_Schedule!D:D,MATCH(A190,Raw_Schedule!A:A,0))</f>
        <v/>
      </c>
      <c r="E190" s="3">
        <f>INDEX(Raw_Schedule!E:E,MATCH(A190,Raw_Schedule!A:A,0))</f>
        <v/>
      </c>
      <c r="F190" s="3">
        <f>INDEX(Raw_Schedule!F:F,MATCH(A190,Raw_Schedule!A:A,0))</f>
        <v/>
      </c>
      <c r="G190" s="4">
        <f>INDEX(Raw_Schedule!G:G,MATCH(A190,Raw_Schedule!A:A,0))</f>
        <v/>
      </c>
      <c r="H190" s="5">
        <f>INDEX(Raw_Schedule!H:H,MATCH(A190,Raw_Schedule!A:A,0))</f>
        <v/>
      </c>
      <c r="I190" s="5">
        <f>SUMIFS(Raw_Payments!E:E,Raw_Payments!B:B,A190)</f>
        <v/>
      </c>
      <c r="J190" s="5">
        <f>H190-I190</f>
        <v/>
      </c>
      <c r="K190" s="3">
        <f>IF(J190&lt;=0.005,"PAID",IF(I190&gt;0,"PARTIAL","OVERDUE"))</f>
        <v/>
      </c>
      <c r="L190" s="4">
        <f>IF(COUNTIFS(Raw_Payments!B:B,A190)=0,"",SUMPRODUCT(MAX((Raw_Payments!B$2:B$1079=A190)*Raw_Payments!D$2:D$1079)))</f>
        <v/>
      </c>
      <c r="M190" s="3">
        <f>IF(K190="PAID",MAX(0,L190-G190),Guide!$B$3-G190)</f>
        <v/>
      </c>
      <c r="N190" s="3">
        <f>IF(J190&lt;=0.005,"COLLECTED",IF(M190&lt;=30,"1-30",IF(M190&lt;=60,"31-60",IF(M190&lt;=90,"61-90","90+"))))</f>
        <v/>
      </c>
      <c r="O190" s="3">
        <f>IF(N190="90+","LOST",IF(N190="61-90","ESCALATE",IF(N190="31-60","WATCH",IF(N190="1-30","MILD","OK"))))</f>
        <v/>
      </c>
      <c r="P190" s="3">
        <f>IF(J190&gt;0.005,ROW()-1,"")</f>
        <v/>
      </c>
    </row>
    <row r="191">
      <c r="A191" s="3" t="inlineStr">
        <is>
          <t>D0190</t>
        </is>
      </c>
      <c r="B191" s="3">
        <f>INDEX(Raw_Schedule!B:B,MATCH(A191,Raw_Schedule!A:A,0))</f>
        <v/>
      </c>
      <c r="C191" s="3">
        <f>INDEX(Raw_Schedule!C:C,MATCH(A191,Raw_Schedule!A:A,0))</f>
        <v/>
      </c>
      <c r="D191" s="3">
        <f>INDEX(Raw_Schedule!D:D,MATCH(A191,Raw_Schedule!A:A,0))</f>
        <v/>
      </c>
      <c r="E191" s="3">
        <f>INDEX(Raw_Schedule!E:E,MATCH(A191,Raw_Schedule!A:A,0))</f>
        <v/>
      </c>
      <c r="F191" s="3">
        <f>INDEX(Raw_Schedule!F:F,MATCH(A191,Raw_Schedule!A:A,0))</f>
        <v/>
      </c>
      <c r="G191" s="4">
        <f>INDEX(Raw_Schedule!G:G,MATCH(A191,Raw_Schedule!A:A,0))</f>
        <v/>
      </c>
      <c r="H191" s="5">
        <f>INDEX(Raw_Schedule!H:H,MATCH(A191,Raw_Schedule!A:A,0))</f>
        <v/>
      </c>
      <c r="I191" s="5">
        <f>SUMIFS(Raw_Payments!E:E,Raw_Payments!B:B,A191)</f>
        <v/>
      </c>
      <c r="J191" s="5">
        <f>H191-I191</f>
        <v/>
      </c>
      <c r="K191" s="3">
        <f>IF(J191&lt;=0.005,"PAID",IF(I191&gt;0,"PARTIAL","OVERDUE"))</f>
        <v/>
      </c>
      <c r="L191" s="4">
        <f>IF(COUNTIFS(Raw_Payments!B:B,A191)=0,"",SUMPRODUCT(MAX((Raw_Payments!B$2:B$1079=A191)*Raw_Payments!D$2:D$1079)))</f>
        <v/>
      </c>
      <c r="M191" s="3">
        <f>IF(K191="PAID",MAX(0,L191-G191),Guide!$B$3-G191)</f>
        <v/>
      </c>
      <c r="N191" s="3">
        <f>IF(J191&lt;=0.005,"COLLECTED",IF(M191&lt;=30,"1-30",IF(M191&lt;=60,"31-60",IF(M191&lt;=90,"61-90","90+"))))</f>
        <v/>
      </c>
      <c r="O191" s="3">
        <f>IF(N191="90+","LOST",IF(N191="61-90","ESCALATE",IF(N191="31-60","WATCH",IF(N191="1-30","MILD","OK"))))</f>
        <v/>
      </c>
      <c r="P191" s="3">
        <f>IF(J191&gt;0.005,ROW()-1,"")</f>
        <v/>
      </c>
    </row>
    <row r="192">
      <c r="A192" s="3" t="inlineStr">
        <is>
          <t>D0191</t>
        </is>
      </c>
      <c r="B192" s="3">
        <f>INDEX(Raw_Schedule!B:B,MATCH(A192,Raw_Schedule!A:A,0))</f>
        <v/>
      </c>
      <c r="C192" s="3">
        <f>INDEX(Raw_Schedule!C:C,MATCH(A192,Raw_Schedule!A:A,0))</f>
        <v/>
      </c>
      <c r="D192" s="3">
        <f>INDEX(Raw_Schedule!D:D,MATCH(A192,Raw_Schedule!A:A,0))</f>
        <v/>
      </c>
      <c r="E192" s="3">
        <f>INDEX(Raw_Schedule!E:E,MATCH(A192,Raw_Schedule!A:A,0))</f>
        <v/>
      </c>
      <c r="F192" s="3">
        <f>INDEX(Raw_Schedule!F:F,MATCH(A192,Raw_Schedule!A:A,0))</f>
        <v/>
      </c>
      <c r="G192" s="4">
        <f>INDEX(Raw_Schedule!G:G,MATCH(A192,Raw_Schedule!A:A,0))</f>
        <v/>
      </c>
      <c r="H192" s="5">
        <f>INDEX(Raw_Schedule!H:H,MATCH(A192,Raw_Schedule!A:A,0))</f>
        <v/>
      </c>
      <c r="I192" s="5">
        <f>SUMIFS(Raw_Payments!E:E,Raw_Payments!B:B,A192)</f>
        <v/>
      </c>
      <c r="J192" s="5">
        <f>H192-I192</f>
        <v/>
      </c>
      <c r="K192" s="3">
        <f>IF(J192&lt;=0.005,"PAID",IF(I192&gt;0,"PARTIAL","OVERDUE"))</f>
        <v/>
      </c>
      <c r="L192" s="4">
        <f>IF(COUNTIFS(Raw_Payments!B:B,A192)=0,"",SUMPRODUCT(MAX((Raw_Payments!B$2:B$1079=A192)*Raw_Payments!D$2:D$1079)))</f>
        <v/>
      </c>
      <c r="M192" s="3">
        <f>IF(K192="PAID",MAX(0,L192-G192),Guide!$B$3-G192)</f>
        <v/>
      </c>
      <c r="N192" s="3">
        <f>IF(J192&lt;=0.005,"COLLECTED",IF(M192&lt;=30,"1-30",IF(M192&lt;=60,"31-60",IF(M192&lt;=90,"61-90","90+"))))</f>
        <v/>
      </c>
      <c r="O192" s="3">
        <f>IF(N192="90+","LOST",IF(N192="61-90","ESCALATE",IF(N192="31-60","WATCH",IF(N192="1-30","MILD","OK"))))</f>
        <v/>
      </c>
      <c r="P192" s="3">
        <f>IF(J192&gt;0.005,ROW()-1,"")</f>
        <v/>
      </c>
    </row>
    <row r="193">
      <c r="A193" s="3" t="inlineStr">
        <is>
          <t>D0192</t>
        </is>
      </c>
      <c r="B193" s="3">
        <f>INDEX(Raw_Schedule!B:B,MATCH(A193,Raw_Schedule!A:A,0))</f>
        <v/>
      </c>
      <c r="C193" s="3">
        <f>INDEX(Raw_Schedule!C:C,MATCH(A193,Raw_Schedule!A:A,0))</f>
        <v/>
      </c>
      <c r="D193" s="3">
        <f>INDEX(Raw_Schedule!D:D,MATCH(A193,Raw_Schedule!A:A,0))</f>
        <v/>
      </c>
      <c r="E193" s="3">
        <f>INDEX(Raw_Schedule!E:E,MATCH(A193,Raw_Schedule!A:A,0))</f>
        <v/>
      </c>
      <c r="F193" s="3">
        <f>INDEX(Raw_Schedule!F:F,MATCH(A193,Raw_Schedule!A:A,0))</f>
        <v/>
      </c>
      <c r="G193" s="4">
        <f>INDEX(Raw_Schedule!G:G,MATCH(A193,Raw_Schedule!A:A,0))</f>
        <v/>
      </c>
      <c r="H193" s="5">
        <f>INDEX(Raw_Schedule!H:H,MATCH(A193,Raw_Schedule!A:A,0))</f>
        <v/>
      </c>
      <c r="I193" s="5">
        <f>SUMIFS(Raw_Payments!E:E,Raw_Payments!B:B,A193)</f>
        <v/>
      </c>
      <c r="J193" s="5">
        <f>H193-I193</f>
        <v/>
      </c>
      <c r="K193" s="3">
        <f>IF(J193&lt;=0.005,"PAID",IF(I193&gt;0,"PARTIAL","OVERDUE"))</f>
        <v/>
      </c>
      <c r="L193" s="4">
        <f>IF(COUNTIFS(Raw_Payments!B:B,A193)=0,"",SUMPRODUCT(MAX((Raw_Payments!B$2:B$1079=A193)*Raw_Payments!D$2:D$1079)))</f>
        <v/>
      </c>
      <c r="M193" s="3">
        <f>IF(K193="PAID",MAX(0,L193-G193),Guide!$B$3-G193)</f>
        <v/>
      </c>
      <c r="N193" s="3">
        <f>IF(J193&lt;=0.005,"COLLECTED",IF(M193&lt;=30,"1-30",IF(M193&lt;=60,"31-60",IF(M193&lt;=90,"61-90","90+"))))</f>
        <v/>
      </c>
      <c r="O193" s="3">
        <f>IF(N193="90+","LOST",IF(N193="61-90","ESCALATE",IF(N193="31-60","WATCH",IF(N193="1-30","MILD","OK"))))</f>
        <v/>
      </c>
      <c r="P193" s="3">
        <f>IF(J193&gt;0.005,ROW()-1,"")</f>
        <v/>
      </c>
    </row>
    <row r="194">
      <c r="A194" s="3" t="inlineStr">
        <is>
          <t>D0193</t>
        </is>
      </c>
      <c r="B194" s="3">
        <f>INDEX(Raw_Schedule!B:B,MATCH(A194,Raw_Schedule!A:A,0))</f>
        <v/>
      </c>
      <c r="C194" s="3">
        <f>INDEX(Raw_Schedule!C:C,MATCH(A194,Raw_Schedule!A:A,0))</f>
        <v/>
      </c>
      <c r="D194" s="3">
        <f>INDEX(Raw_Schedule!D:D,MATCH(A194,Raw_Schedule!A:A,0))</f>
        <v/>
      </c>
      <c r="E194" s="3">
        <f>INDEX(Raw_Schedule!E:E,MATCH(A194,Raw_Schedule!A:A,0))</f>
        <v/>
      </c>
      <c r="F194" s="3">
        <f>INDEX(Raw_Schedule!F:F,MATCH(A194,Raw_Schedule!A:A,0))</f>
        <v/>
      </c>
      <c r="G194" s="4">
        <f>INDEX(Raw_Schedule!G:G,MATCH(A194,Raw_Schedule!A:A,0))</f>
        <v/>
      </c>
      <c r="H194" s="5">
        <f>INDEX(Raw_Schedule!H:H,MATCH(A194,Raw_Schedule!A:A,0))</f>
        <v/>
      </c>
      <c r="I194" s="5">
        <f>SUMIFS(Raw_Payments!E:E,Raw_Payments!B:B,A194)</f>
        <v/>
      </c>
      <c r="J194" s="5">
        <f>H194-I194</f>
        <v/>
      </c>
      <c r="K194" s="3">
        <f>IF(J194&lt;=0.005,"PAID",IF(I194&gt;0,"PARTIAL","OVERDUE"))</f>
        <v/>
      </c>
      <c r="L194" s="4">
        <f>IF(COUNTIFS(Raw_Payments!B:B,A194)=0,"",SUMPRODUCT(MAX((Raw_Payments!B$2:B$1079=A194)*Raw_Payments!D$2:D$1079)))</f>
        <v/>
      </c>
      <c r="M194" s="3">
        <f>IF(K194="PAID",MAX(0,L194-G194),Guide!$B$3-G194)</f>
        <v/>
      </c>
      <c r="N194" s="3">
        <f>IF(J194&lt;=0.005,"COLLECTED",IF(M194&lt;=30,"1-30",IF(M194&lt;=60,"31-60",IF(M194&lt;=90,"61-90","90+"))))</f>
        <v/>
      </c>
      <c r="O194" s="3">
        <f>IF(N194="90+","LOST",IF(N194="61-90","ESCALATE",IF(N194="31-60","WATCH",IF(N194="1-30","MILD","OK"))))</f>
        <v/>
      </c>
      <c r="P194" s="3">
        <f>IF(J194&gt;0.005,ROW()-1,"")</f>
        <v/>
      </c>
    </row>
    <row r="195">
      <c r="A195" s="3" t="inlineStr">
        <is>
          <t>D0194</t>
        </is>
      </c>
      <c r="B195" s="3">
        <f>INDEX(Raw_Schedule!B:B,MATCH(A195,Raw_Schedule!A:A,0))</f>
        <v/>
      </c>
      <c r="C195" s="3">
        <f>INDEX(Raw_Schedule!C:C,MATCH(A195,Raw_Schedule!A:A,0))</f>
        <v/>
      </c>
      <c r="D195" s="3">
        <f>INDEX(Raw_Schedule!D:D,MATCH(A195,Raw_Schedule!A:A,0))</f>
        <v/>
      </c>
      <c r="E195" s="3">
        <f>INDEX(Raw_Schedule!E:E,MATCH(A195,Raw_Schedule!A:A,0))</f>
        <v/>
      </c>
      <c r="F195" s="3">
        <f>INDEX(Raw_Schedule!F:F,MATCH(A195,Raw_Schedule!A:A,0))</f>
        <v/>
      </c>
      <c r="G195" s="4">
        <f>INDEX(Raw_Schedule!G:G,MATCH(A195,Raw_Schedule!A:A,0))</f>
        <v/>
      </c>
      <c r="H195" s="5">
        <f>INDEX(Raw_Schedule!H:H,MATCH(A195,Raw_Schedule!A:A,0))</f>
        <v/>
      </c>
      <c r="I195" s="5">
        <f>SUMIFS(Raw_Payments!E:E,Raw_Payments!B:B,A195)</f>
        <v/>
      </c>
      <c r="J195" s="5">
        <f>H195-I195</f>
        <v/>
      </c>
      <c r="K195" s="3">
        <f>IF(J195&lt;=0.005,"PAID",IF(I195&gt;0,"PARTIAL","OVERDUE"))</f>
        <v/>
      </c>
      <c r="L195" s="4">
        <f>IF(COUNTIFS(Raw_Payments!B:B,A195)=0,"",SUMPRODUCT(MAX((Raw_Payments!B$2:B$1079=A195)*Raw_Payments!D$2:D$1079)))</f>
        <v/>
      </c>
      <c r="M195" s="3">
        <f>IF(K195="PAID",MAX(0,L195-G195),Guide!$B$3-G195)</f>
        <v/>
      </c>
      <c r="N195" s="3">
        <f>IF(J195&lt;=0.005,"COLLECTED",IF(M195&lt;=30,"1-30",IF(M195&lt;=60,"31-60",IF(M195&lt;=90,"61-90","90+"))))</f>
        <v/>
      </c>
      <c r="O195" s="3">
        <f>IF(N195="90+","LOST",IF(N195="61-90","ESCALATE",IF(N195="31-60","WATCH",IF(N195="1-30","MILD","OK"))))</f>
        <v/>
      </c>
      <c r="P195" s="3">
        <f>IF(J195&gt;0.005,ROW()-1,"")</f>
        <v/>
      </c>
    </row>
    <row r="196">
      <c r="A196" s="3" t="inlineStr">
        <is>
          <t>D0195</t>
        </is>
      </c>
      <c r="B196" s="3">
        <f>INDEX(Raw_Schedule!B:B,MATCH(A196,Raw_Schedule!A:A,0))</f>
        <v/>
      </c>
      <c r="C196" s="3">
        <f>INDEX(Raw_Schedule!C:C,MATCH(A196,Raw_Schedule!A:A,0))</f>
        <v/>
      </c>
      <c r="D196" s="3">
        <f>INDEX(Raw_Schedule!D:D,MATCH(A196,Raw_Schedule!A:A,0))</f>
        <v/>
      </c>
      <c r="E196" s="3">
        <f>INDEX(Raw_Schedule!E:E,MATCH(A196,Raw_Schedule!A:A,0))</f>
        <v/>
      </c>
      <c r="F196" s="3">
        <f>INDEX(Raw_Schedule!F:F,MATCH(A196,Raw_Schedule!A:A,0))</f>
        <v/>
      </c>
      <c r="G196" s="4">
        <f>INDEX(Raw_Schedule!G:G,MATCH(A196,Raw_Schedule!A:A,0))</f>
        <v/>
      </c>
      <c r="H196" s="5">
        <f>INDEX(Raw_Schedule!H:H,MATCH(A196,Raw_Schedule!A:A,0))</f>
        <v/>
      </c>
      <c r="I196" s="5">
        <f>SUMIFS(Raw_Payments!E:E,Raw_Payments!B:B,A196)</f>
        <v/>
      </c>
      <c r="J196" s="5">
        <f>H196-I196</f>
        <v/>
      </c>
      <c r="K196" s="3">
        <f>IF(J196&lt;=0.005,"PAID",IF(I196&gt;0,"PARTIAL","OVERDUE"))</f>
        <v/>
      </c>
      <c r="L196" s="4">
        <f>IF(COUNTIFS(Raw_Payments!B:B,A196)=0,"",SUMPRODUCT(MAX((Raw_Payments!B$2:B$1079=A196)*Raw_Payments!D$2:D$1079)))</f>
        <v/>
      </c>
      <c r="M196" s="3">
        <f>IF(K196="PAID",MAX(0,L196-G196),Guide!$B$3-G196)</f>
        <v/>
      </c>
      <c r="N196" s="3">
        <f>IF(J196&lt;=0.005,"COLLECTED",IF(M196&lt;=30,"1-30",IF(M196&lt;=60,"31-60",IF(M196&lt;=90,"61-90","90+"))))</f>
        <v/>
      </c>
      <c r="O196" s="3">
        <f>IF(N196="90+","LOST",IF(N196="61-90","ESCALATE",IF(N196="31-60","WATCH",IF(N196="1-30","MILD","OK"))))</f>
        <v/>
      </c>
      <c r="P196" s="3">
        <f>IF(J196&gt;0.005,ROW()-1,"")</f>
        <v/>
      </c>
    </row>
    <row r="197">
      <c r="A197" s="3" t="inlineStr">
        <is>
          <t>D0196</t>
        </is>
      </c>
      <c r="B197" s="3">
        <f>INDEX(Raw_Schedule!B:B,MATCH(A197,Raw_Schedule!A:A,0))</f>
        <v/>
      </c>
      <c r="C197" s="3">
        <f>INDEX(Raw_Schedule!C:C,MATCH(A197,Raw_Schedule!A:A,0))</f>
        <v/>
      </c>
      <c r="D197" s="3">
        <f>INDEX(Raw_Schedule!D:D,MATCH(A197,Raw_Schedule!A:A,0))</f>
        <v/>
      </c>
      <c r="E197" s="3">
        <f>INDEX(Raw_Schedule!E:E,MATCH(A197,Raw_Schedule!A:A,0))</f>
        <v/>
      </c>
      <c r="F197" s="3">
        <f>INDEX(Raw_Schedule!F:F,MATCH(A197,Raw_Schedule!A:A,0))</f>
        <v/>
      </c>
      <c r="G197" s="4">
        <f>INDEX(Raw_Schedule!G:G,MATCH(A197,Raw_Schedule!A:A,0))</f>
        <v/>
      </c>
      <c r="H197" s="5">
        <f>INDEX(Raw_Schedule!H:H,MATCH(A197,Raw_Schedule!A:A,0))</f>
        <v/>
      </c>
      <c r="I197" s="5">
        <f>SUMIFS(Raw_Payments!E:E,Raw_Payments!B:B,A197)</f>
        <v/>
      </c>
      <c r="J197" s="5">
        <f>H197-I197</f>
        <v/>
      </c>
      <c r="K197" s="3">
        <f>IF(J197&lt;=0.005,"PAID",IF(I197&gt;0,"PARTIAL","OVERDUE"))</f>
        <v/>
      </c>
      <c r="L197" s="4">
        <f>IF(COUNTIFS(Raw_Payments!B:B,A197)=0,"",SUMPRODUCT(MAX((Raw_Payments!B$2:B$1079=A197)*Raw_Payments!D$2:D$1079)))</f>
        <v/>
      </c>
      <c r="M197" s="3">
        <f>IF(K197="PAID",MAX(0,L197-G197),Guide!$B$3-G197)</f>
        <v/>
      </c>
      <c r="N197" s="3">
        <f>IF(J197&lt;=0.005,"COLLECTED",IF(M197&lt;=30,"1-30",IF(M197&lt;=60,"31-60",IF(M197&lt;=90,"61-90","90+"))))</f>
        <v/>
      </c>
      <c r="O197" s="3">
        <f>IF(N197="90+","LOST",IF(N197="61-90","ESCALATE",IF(N197="31-60","WATCH",IF(N197="1-30","MILD","OK"))))</f>
        <v/>
      </c>
      <c r="P197" s="3">
        <f>IF(J197&gt;0.005,ROW()-1,"")</f>
        <v/>
      </c>
    </row>
    <row r="198">
      <c r="A198" s="3" t="inlineStr">
        <is>
          <t>D0197</t>
        </is>
      </c>
      <c r="B198" s="3">
        <f>INDEX(Raw_Schedule!B:B,MATCH(A198,Raw_Schedule!A:A,0))</f>
        <v/>
      </c>
      <c r="C198" s="3">
        <f>INDEX(Raw_Schedule!C:C,MATCH(A198,Raw_Schedule!A:A,0))</f>
        <v/>
      </c>
      <c r="D198" s="3">
        <f>INDEX(Raw_Schedule!D:D,MATCH(A198,Raw_Schedule!A:A,0))</f>
        <v/>
      </c>
      <c r="E198" s="3">
        <f>INDEX(Raw_Schedule!E:E,MATCH(A198,Raw_Schedule!A:A,0))</f>
        <v/>
      </c>
      <c r="F198" s="3">
        <f>INDEX(Raw_Schedule!F:F,MATCH(A198,Raw_Schedule!A:A,0))</f>
        <v/>
      </c>
      <c r="G198" s="4">
        <f>INDEX(Raw_Schedule!G:G,MATCH(A198,Raw_Schedule!A:A,0))</f>
        <v/>
      </c>
      <c r="H198" s="5">
        <f>INDEX(Raw_Schedule!H:H,MATCH(A198,Raw_Schedule!A:A,0))</f>
        <v/>
      </c>
      <c r="I198" s="5">
        <f>SUMIFS(Raw_Payments!E:E,Raw_Payments!B:B,A198)</f>
        <v/>
      </c>
      <c r="J198" s="5">
        <f>H198-I198</f>
        <v/>
      </c>
      <c r="K198" s="3">
        <f>IF(J198&lt;=0.005,"PAID",IF(I198&gt;0,"PARTIAL","OVERDUE"))</f>
        <v/>
      </c>
      <c r="L198" s="4">
        <f>IF(COUNTIFS(Raw_Payments!B:B,A198)=0,"",SUMPRODUCT(MAX((Raw_Payments!B$2:B$1079=A198)*Raw_Payments!D$2:D$1079)))</f>
        <v/>
      </c>
      <c r="M198" s="3">
        <f>IF(K198="PAID",MAX(0,L198-G198),Guide!$B$3-G198)</f>
        <v/>
      </c>
      <c r="N198" s="3">
        <f>IF(J198&lt;=0.005,"COLLECTED",IF(M198&lt;=30,"1-30",IF(M198&lt;=60,"31-60",IF(M198&lt;=90,"61-90","90+"))))</f>
        <v/>
      </c>
      <c r="O198" s="3">
        <f>IF(N198="90+","LOST",IF(N198="61-90","ESCALATE",IF(N198="31-60","WATCH",IF(N198="1-30","MILD","OK"))))</f>
        <v/>
      </c>
      <c r="P198" s="3">
        <f>IF(J198&gt;0.005,ROW()-1,"")</f>
        <v/>
      </c>
    </row>
    <row r="199">
      <c r="A199" s="3" t="inlineStr">
        <is>
          <t>D0198</t>
        </is>
      </c>
      <c r="B199" s="3">
        <f>INDEX(Raw_Schedule!B:B,MATCH(A199,Raw_Schedule!A:A,0))</f>
        <v/>
      </c>
      <c r="C199" s="3">
        <f>INDEX(Raw_Schedule!C:C,MATCH(A199,Raw_Schedule!A:A,0))</f>
        <v/>
      </c>
      <c r="D199" s="3">
        <f>INDEX(Raw_Schedule!D:D,MATCH(A199,Raw_Schedule!A:A,0))</f>
        <v/>
      </c>
      <c r="E199" s="3">
        <f>INDEX(Raw_Schedule!E:E,MATCH(A199,Raw_Schedule!A:A,0))</f>
        <v/>
      </c>
      <c r="F199" s="3">
        <f>INDEX(Raw_Schedule!F:F,MATCH(A199,Raw_Schedule!A:A,0))</f>
        <v/>
      </c>
      <c r="G199" s="4">
        <f>INDEX(Raw_Schedule!G:G,MATCH(A199,Raw_Schedule!A:A,0))</f>
        <v/>
      </c>
      <c r="H199" s="5">
        <f>INDEX(Raw_Schedule!H:H,MATCH(A199,Raw_Schedule!A:A,0))</f>
        <v/>
      </c>
      <c r="I199" s="5">
        <f>SUMIFS(Raw_Payments!E:E,Raw_Payments!B:B,A199)</f>
        <v/>
      </c>
      <c r="J199" s="5">
        <f>H199-I199</f>
        <v/>
      </c>
      <c r="K199" s="3">
        <f>IF(J199&lt;=0.005,"PAID",IF(I199&gt;0,"PARTIAL","OVERDUE"))</f>
        <v/>
      </c>
      <c r="L199" s="4">
        <f>IF(COUNTIFS(Raw_Payments!B:B,A199)=0,"",SUMPRODUCT(MAX((Raw_Payments!B$2:B$1079=A199)*Raw_Payments!D$2:D$1079)))</f>
        <v/>
      </c>
      <c r="M199" s="3">
        <f>IF(K199="PAID",MAX(0,L199-G199),Guide!$B$3-G199)</f>
        <v/>
      </c>
      <c r="N199" s="3">
        <f>IF(J199&lt;=0.005,"COLLECTED",IF(M199&lt;=30,"1-30",IF(M199&lt;=60,"31-60",IF(M199&lt;=90,"61-90","90+"))))</f>
        <v/>
      </c>
      <c r="O199" s="3">
        <f>IF(N199="90+","LOST",IF(N199="61-90","ESCALATE",IF(N199="31-60","WATCH",IF(N199="1-30","MILD","OK"))))</f>
        <v/>
      </c>
      <c r="P199" s="3">
        <f>IF(J199&gt;0.005,ROW()-1,"")</f>
        <v/>
      </c>
    </row>
    <row r="200">
      <c r="A200" s="3" t="inlineStr">
        <is>
          <t>D0199</t>
        </is>
      </c>
      <c r="B200" s="3">
        <f>INDEX(Raw_Schedule!B:B,MATCH(A200,Raw_Schedule!A:A,0))</f>
        <v/>
      </c>
      <c r="C200" s="3">
        <f>INDEX(Raw_Schedule!C:C,MATCH(A200,Raw_Schedule!A:A,0))</f>
        <v/>
      </c>
      <c r="D200" s="3">
        <f>INDEX(Raw_Schedule!D:D,MATCH(A200,Raw_Schedule!A:A,0))</f>
        <v/>
      </c>
      <c r="E200" s="3">
        <f>INDEX(Raw_Schedule!E:E,MATCH(A200,Raw_Schedule!A:A,0))</f>
        <v/>
      </c>
      <c r="F200" s="3">
        <f>INDEX(Raw_Schedule!F:F,MATCH(A200,Raw_Schedule!A:A,0))</f>
        <v/>
      </c>
      <c r="G200" s="4">
        <f>INDEX(Raw_Schedule!G:G,MATCH(A200,Raw_Schedule!A:A,0))</f>
        <v/>
      </c>
      <c r="H200" s="5">
        <f>INDEX(Raw_Schedule!H:H,MATCH(A200,Raw_Schedule!A:A,0))</f>
        <v/>
      </c>
      <c r="I200" s="5">
        <f>SUMIFS(Raw_Payments!E:E,Raw_Payments!B:B,A200)</f>
        <v/>
      </c>
      <c r="J200" s="5">
        <f>H200-I200</f>
        <v/>
      </c>
      <c r="K200" s="3">
        <f>IF(J200&lt;=0.005,"PAID",IF(I200&gt;0,"PARTIAL","OVERDUE"))</f>
        <v/>
      </c>
      <c r="L200" s="4">
        <f>IF(COUNTIFS(Raw_Payments!B:B,A200)=0,"",SUMPRODUCT(MAX((Raw_Payments!B$2:B$1079=A200)*Raw_Payments!D$2:D$1079)))</f>
        <v/>
      </c>
      <c r="M200" s="3">
        <f>IF(K200="PAID",MAX(0,L200-G200),Guide!$B$3-G200)</f>
        <v/>
      </c>
      <c r="N200" s="3">
        <f>IF(J200&lt;=0.005,"COLLECTED",IF(M200&lt;=30,"1-30",IF(M200&lt;=60,"31-60",IF(M200&lt;=90,"61-90","90+"))))</f>
        <v/>
      </c>
      <c r="O200" s="3">
        <f>IF(N200="90+","LOST",IF(N200="61-90","ESCALATE",IF(N200="31-60","WATCH",IF(N200="1-30","MILD","OK"))))</f>
        <v/>
      </c>
      <c r="P200" s="3">
        <f>IF(J200&gt;0.005,ROW()-1,"")</f>
        <v/>
      </c>
    </row>
    <row r="201">
      <c r="A201" s="3" t="inlineStr">
        <is>
          <t>D0200</t>
        </is>
      </c>
      <c r="B201" s="3">
        <f>INDEX(Raw_Schedule!B:B,MATCH(A201,Raw_Schedule!A:A,0))</f>
        <v/>
      </c>
      <c r="C201" s="3">
        <f>INDEX(Raw_Schedule!C:C,MATCH(A201,Raw_Schedule!A:A,0))</f>
        <v/>
      </c>
      <c r="D201" s="3">
        <f>INDEX(Raw_Schedule!D:D,MATCH(A201,Raw_Schedule!A:A,0))</f>
        <v/>
      </c>
      <c r="E201" s="3">
        <f>INDEX(Raw_Schedule!E:E,MATCH(A201,Raw_Schedule!A:A,0))</f>
        <v/>
      </c>
      <c r="F201" s="3">
        <f>INDEX(Raw_Schedule!F:F,MATCH(A201,Raw_Schedule!A:A,0))</f>
        <v/>
      </c>
      <c r="G201" s="4">
        <f>INDEX(Raw_Schedule!G:G,MATCH(A201,Raw_Schedule!A:A,0))</f>
        <v/>
      </c>
      <c r="H201" s="5">
        <f>INDEX(Raw_Schedule!H:H,MATCH(A201,Raw_Schedule!A:A,0))</f>
        <v/>
      </c>
      <c r="I201" s="5">
        <f>SUMIFS(Raw_Payments!E:E,Raw_Payments!B:B,A201)</f>
        <v/>
      </c>
      <c r="J201" s="5">
        <f>H201-I201</f>
        <v/>
      </c>
      <c r="K201" s="3">
        <f>IF(J201&lt;=0.005,"PAID",IF(I201&gt;0,"PARTIAL","OVERDUE"))</f>
        <v/>
      </c>
      <c r="L201" s="4">
        <f>IF(COUNTIFS(Raw_Payments!B:B,A201)=0,"",SUMPRODUCT(MAX((Raw_Payments!B$2:B$1079=A201)*Raw_Payments!D$2:D$1079)))</f>
        <v/>
      </c>
      <c r="M201" s="3">
        <f>IF(K201="PAID",MAX(0,L201-G201),Guide!$B$3-G201)</f>
        <v/>
      </c>
      <c r="N201" s="3">
        <f>IF(J201&lt;=0.005,"COLLECTED",IF(M201&lt;=30,"1-30",IF(M201&lt;=60,"31-60",IF(M201&lt;=90,"61-90","90+"))))</f>
        <v/>
      </c>
      <c r="O201" s="3">
        <f>IF(N201="90+","LOST",IF(N201="61-90","ESCALATE",IF(N201="31-60","WATCH",IF(N201="1-30","MILD","OK"))))</f>
        <v/>
      </c>
      <c r="P201" s="3">
        <f>IF(J201&gt;0.005,ROW()-1,"")</f>
        <v/>
      </c>
    </row>
    <row r="202">
      <c r="A202" s="3" t="inlineStr">
        <is>
          <t>D0201</t>
        </is>
      </c>
      <c r="B202" s="3">
        <f>INDEX(Raw_Schedule!B:B,MATCH(A202,Raw_Schedule!A:A,0))</f>
        <v/>
      </c>
      <c r="C202" s="3">
        <f>INDEX(Raw_Schedule!C:C,MATCH(A202,Raw_Schedule!A:A,0))</f>
        <v/>
      </c>
      <c r="D202" s="3">
        <f>INDEX(Raw_Schedule!D:D,MATCH(A202,Raw_Schedule!A:A,0))</f>
        <v/>
      </c>
      <c r="E202" s="3">
        <f>INDEX(Raw_Schedule!E:E,MATCH(A202,Raw_Schedule!A:A,0))</f>
        <v/>
      </c>
      <c r="F202" s="3">
        <f>INDEX(Raw_Schedule!F:F,MATCH(A202,Raw_Schedule!A:A,0))</f>
        <v/>
      </c>
      <c r="G202" s="4">
        <f>INDEX(Raw_Schedule!G:G,MATCH(A202,Raw_Schedule!A:A,0))</f>
        <v/>
      </c>
      <c r="H202" s="5">
        <f>INDEX(Raw_Schedule!H:H,MATCH(A202,Raw_Schedule!A:A,0))</f>
        <v/>
      </c>
      <c r="I202" s="5">
        <f>SUMIFS(Raw_Payments!E:E,Raw_Payments!B:B,A202)</f>
        <v/>
      </c>
      <c r="J202" s="5">
        <f>H202-I202</f>
        <v/>
      </c>
      <c r="K202" s="3">
        <f>IF(J202&lt;=0.005,"PAID",IF(I202&gt;0,"PARTIAL","OVERDUE"))</f>
        <v/>
      </c>
      <c r="L202" s="4">
        <f>IF(COUNTIFS(Raw_Payments!B:B,A202)=0,"",SUMPRODUCT(MAX((Raw_Payments!B$2:B$1079=A202)*Raw_Payments!D$2:D$1079)))</f>
        <v/>
      </c>
      <c r="M202" s="3">
        <f>IF(K202="PAID",MAX(0,L202-G202),Guide!$B$3-G202)</f>
        <v/>
      </c>
      <c r="N202" s="3">
        <f>IF(J202&lt;=0.005,"COLLECTED",IF(M202&lt;=30,"1-30",IF(M202&lt;=60,"31-60",IF(M202&lt;=90,"61-90","90+"))))</f>
        <v/>
      </c>
      <c r="O202" s="3">
        <f>IF(N202="90+","LOST",IF(N202="61-90","ESCALATE",IF(N202="31-60","WATCH",IF(N202="1-30","MILD","OK"))))</f>
        <v/>
      </c>
      <c r="P202" s="3">
        <f>IF(J202&gt;0.005,ROW()-1,"")</f>
        <v/>
      </c>
    </row>
    <row r="203">
      <c r="A203" s="3" t="inlineStr">
        <is>
          <t>D0202</t>
        </is>
      </c>
      <c r="B203" s="3">
        <f>INDEX(Raw_Schedule!B:B,MATCH(A203,Raw_Schedule!A:A,0))</f>
        <v/>
      </c>
      <c r="C203" s="3">
        <f>INDEX(Raw_Schedule!C:C,MATCH(A203,Raw_Schedule!A:A,0))</f>
        <v/>
      </c>
      <c r="D203" s="3">
        <f>INDEX(Raw_Schedule!D:D,MATCH(A203,Raw_Schedule!A:A,0))</f>
        <v/>
      </c>
      <c r="E203" s="3">
        <f>INDEX(Raw_Schedule!E:E,MATCH(A203,Raw_Schedule!A:A,0))</f>
        <v/>
      </c>
      <c r="F203" s="3">
        <f>INDEX(Raw_Schedule!F:F,MATCH(A203,Raw_Schedule!A:A,0))</f>
        <v/>
      </c>
      <c r="G203" s="4">
        <f>INDEX(Raw_Schedule!G:G,MATCH(A203,Raw_Schedule!A:A,0))</f>
        <v/>
      </c>
      <c r="H203" s="5">
        <f>INDEX(Raw_Schedule!H:H,MATCH(A203,Raw_Schedule!A:A,0))</f>
        <v/>
      </c>
      <c r="I203" s="5">
        <f>SUMIFS(Raw_Payments!E:E,Raw_Payments!B:B,A203)</f>
        <v/>
      </c>
      <c r="J203" s="5">
        <f>H203-I203</f>
        <v/>
      </c>
      <c r="K203" s="3">
        <f>IF(J203&lt;=0.005,"PAID",IF(I203&gt;0,"PARTIAL","OVERDUE"))</f>
        <v/>
      </c>
      <c r="L203" s="4">
        <f>IF(COUNTIFS(Raw_Payments!B:B,A203)=0,"",SUMPRODUCT(MAX((Raw_Payments!B$2:B$1079=A203)*Raw_Payments!D$2:D$1079)))</f>
        <v/>
      </c>
      <c r="M203" s="3">
        <f>IF(K203="PAID",MAX(0,L203-G203),Guide!$B$3-G203)</f>
        <v/>
      </c>
      <c r="N203" s="3">
        <f>IF(J203&lt;=0.005,"COLLECTED",IF(M203&lt;=30,"1-30",IF(M203&lt;=60,"31-60",IF(M203&lt;=90,"61-90","90+"))))</f>
        <v/>
      </c>
      <c r="O203" s="3">
        <f>IF(N203="90+","LOST",IF(N203="61-90","ESCALATE",IF(N203="31-60","WATCH",IF(N203="1-30","MILD","OK"))))</f>
        <v/>
      </c>
      <c r="P203" s="3">
        <f>IF(J203&gt;0.005,ROW()-1,"")</f>
        <v/>
      </c>
    </row>
    <row r="204">
      <c r="A204" s="3" t="inlineStr">
        <is>
          <t>D0203</t>
        </is>
      </c>
      <c r="B204" s="3">
        <f>INDEX(Raw_Schedule!B:B,MATCH(A204,Raw_Schedule!A:A,0))</f>
        <v/>
      </c>
      <c r="C204" s="3">
        <f>INDEX(Raw_Schedule!C:C,MATCH(A204,Raw_Schedule!A:A,0))</f>
        <v/>
      </c>
      <c r="D204" s="3">
        <f>INDEX(Raw_Schedule!D:D,MATCH(A204,Raw_Schedule!A:A,0))</f>
        <v/>
      </c>
      <c r="E204" s="3">
        <f>INDEX(Raw_Schedule!E:E,MATCH(A204,Raw_Schedule!A:A,0))</f>
        <v/>
      </c>
      <c r="F204" s="3">
        <f>INDEX(Raw_Schedule!F:F,MATCH(A204,Raw_Schedule!A:A,0))</f>
        <v/>
      </c>
      <c r="G204" s="4">
        <f>INDEX(Raw_Schedule!G:G,MATCH(A204,Raw_Schedule!A:A,0))</f>
        <v/>
      </c>
      <c r="H204" s="5">
        <f>INDEX(Raw_Schedule!H:H,MATCH(A204,Raw_Schedule!A:A,0))</f>
        <v/>
      </c>
      <c r="I204" s="5">
        <f>SUMIFS(Raw_Payments!E:E,Raw_Payments!B:B,A204)</f>
        <v/>
      </c>
      <c r="J204" s="5">
        <f>H204-I204</f>
        <v/>
      </c>
      <c r="K204" s="3">
        <f>IF(J204&lt;=0.005,"PAID",IF(I204&gt;0,"PARTIAL","OVERDUE"))</f>
        <v/>
      </c>
      <c r="L204" s="4">
        <f>IF(COUNTIFS(Raw_Payments!B:B,A204)=0,"",SUMPRODUCT(MAX((Raw_Payments!B$2:B$1079=A204)*Raw_Payments!D$2:D$1079)))</f>
        <v/>
      </c>
      <c r="M204" s="3">
        <f>IF(K204="PAID",MAX(0,L204-G204),Guide!$B$3-G204)</f>
        <v/>
      </c>
      <c r="N204" s="3">
        <f>IF(J204&lt;=0.005,"COLLECTED",IF(M204&lt;=30,"1-30",IF(M204&lt;=60,"31-60",IF(M204&lt;=90,"61-90","90+"))))</f>
        <v/>
      </c>
      <c r="O204" s="3">
        <f>IF(N204="90+","LOST",IF(N204="61-90","ESCALATE",IF(N204="31-60","WATCH",IF(N204="1-30","MILD","OK"))))</f>
        <v/>
      </c>
      <c r="P204" s="3">
        <f>IF(J204&gt;0.005,ROW()-1,"")</f>
        <v/>
      </c>
    </row>
    <row r="205">
      <c r="A205" s="3" t="inlineStr">
        <is>
          <t>D0204</t>
        </is>
      </c>
      <c r="B205" s="3">
        <f>INDEX(Raw_Schedule!B:B,MATCH(A205,Raw_Schedule!A:A,0))</f>
        <v/>
      </c>
      <c r="C205" s="3">
        <f>INDEX(Raw_Schedule!C:C,MATCH(A205,Raw_Schedule!A:A,0))</f>
        <v/>
      </c>
      <c r="D205" s="3">
        <f>INDEX(Raw_Schedule!D:D,MATCH(A205,Raw_Schedule!A:A,0))</f>
        <v/>
      </c>
      <c r="E205" s="3">
        <f>INDEX(Raw_Schedule!E:E,MATCH(A205,Raw_Schedule!A:A,0))</f>
        <v/>
      </c>
      <c r="F205" s="3">
        <f>INDEX(Raw_Schedule!F:F,MATCH(A205,Raw_Schedule!A:A,0))</f>
        <v/>
      </c>
      <c r="G205" s="4">
        <f>INDEX(Raw_Schedule!G:G,MATCH(A205,Raw_Schedule!A:A,0))</f>
        <v/>
      </c>
      <c r="H205" s="5">
        <f>INDEX(Raw_Schedule!H:H,MATCH(A205,Raw_Schedule!A:A,0))</f>
        <v/>
      </c>
      <c r="I205" s="5">
        <f>SUMIFS(Raw_Payments!E:E,Raw_Payments!B:B,A205)</f>
        <v/>
      </c>
      <c r="J205" s="5">
        <f>H205-I205</f>
        <v/>
      </c>
      <c r="K205" s="3">
        <f>IF(J205&lt;=0.005,"PAID",IF(I205&gt;0,"PARTIAL","OVERDUE"))</f>
        <v/>
      </c>
      <c r="L205" s="4">
        <f>IF(COUNTIFS(Raw_Payments!B:B,A205)=0,"",SUMPRODUCT(MAX((Raw_Payments!B$2:B$1079=A205)*Raw_Payments!D$2:D$1079)))</f>
        <v/>
      </c>
      <c r="M205" s="3">
        <f>IF(K205="PAID",MAX(0,L205-G205),Guide!$B$3-G205)</f>
        <v/>
      </c>
      <c r="N205" s="3">
        <f>IF(J205&lt;=0.005,"COLLECTED",IF(M205&lt;=30,"1-30",IF(M205&lt;=60,"31-60",IF(M205&lt;=90,"61-90","90+"))))</f>
        <v/>
      </c>
      <c r="O205" s="3">
        <f>IF(N205="90+","LOST",IF(N205="61-90","ESCALATE",IF(N205="31-60","WATCH",IF(N205="1-30","MILD","OK"))))</f>
        <v/>
      </c>
      <c r="P205" s="3">
        <f>IF(J205&gt;0.005,ROW()-1,"")</f>
        <v/>
      </c>
    </row>
    <row r="206">
      <c r="A206" s="3" t="inlineStr">
        <is>
          <t>D0205</t>
        </is>
      </c>
      <c r="B206" s="3">
        <f>INDEX(Raw_Schedule!B:B,MATCH(A206,Raw_Schedule!A:A,0))</f>
        <v/>
      </c>
      <c r="C206" s="3">
        <f>INDEX(Raw_Schedule!C:C,MATCH(A206,Raw_Schedule!A:A,0))</f>
        <v/>
      </c>
      <c r="D206" s="3">
        <f>INDEX(Raw_Schedule!D:D,MATCH(A206,Raw_Schedule!A:A,0))</f>
        <v/>
      </c>
      <c r="E206" s="3">
        <f>INDEX(Raw_Schedule!E:E,MATCH(A206,Raw_Schedule!A:A,0))</f>
        <v/>
      </c>
      <c r="F206" s="3">
        <f>INDEX(Raw_Schedule!F:F,MATCH(A206,Raw_Schedule!A:A,0))</f>
        <v/>
      </c>
      <c r="G206" s="4">
        <f>INDEX(Raw_Schedule!G:G,MATCH(A206,Raw_Schedule!A:A,0))</f>
        <v/>
      </c>
      <c r="H206" s="5">
        <f>INDEX(Raw_Schedule!H:H,MATCH(A206,Raw_Schedule!A:A,0))</f>
        <v/>
      </c>
      <c r="I206" s="5">
        <f>SUMIFS(Raw_Payments!E:E,Raw_Payments!B:B,A206)</f>
        <v/>
      </c>
      <c r="J206" s="5">
        <f>H206-I206</f>
        <v/>
      </c>
      <c r="K206" s="3">
        <f>IF(J206&lt;=0.005,"PAID",IF(I206&gt;0,"PARTIAL","OVERDUE"))</f>
        <v/>
      </c>
      <c r="L206" s="4">
        <f>IF(COUNTIFS(Raw_Payments!B:B,A206)=0,"",SUMPRODUCT(MAX((Raw_Payments!B$2:B$1079=A206)*Raw_Payments!D$2:D$1079)))</f>
        <v/>
      </c>
      <c r="M206" s="3">
        <f>IF(K206="PAID",MAX(0,L206-G206),Guide!$B$3-G206)</f>
        <v/>
      </c>
      <c r="N206" s="3">
        <f>IF(J206&lt;=0.005,"COLLECTED",IF(M206&lt;=30,"1-30",IF(M206&lt;=60,"31-60",IF(M206&lt;=90,"61-90","90+"))))</f>
        <v/>
      </c>
      <c r="O206" s="3">
        <f>IF(N206="90+","LOST",IF(N206="61-90","ESCALATE",IF(N206="31-60","WATCH",IF(N206="1-30","MILD","OK"))))</f>
        <v/>
      </c>
      <c r="P206" s="3">
        <f>IF(J206&gt;0.005,ROW()-1,"")</f>
        <v/>
      </c>
    </row>
    <row r="207">
      <c r="A207" s="3" t="inlineStr">
        <is>
          <t>D0206</t>
        </is>
      </c>
      <c r="B207" s="3">
        <f>INDEX(Raw_Schedule!B:B,MATCH(A207,Raw_Schedule!A:A,0))</f>
        <v/>
      </c>
      <c r="C207" s="3">
        <f>INDEX(Raw_Schedule!C:C,MATCH(A207,Raw_Schedule!A:A,0))</f>
        <v/>
      </c>
      <c r="D207" s="3">
        <f>INDEX(Raw_Schedule!D:D,MATCH(A207,Raw_Schedule!A:A,0))</f>
        <v/>
      </c>
      <c r="E207" s="3">
        <f>INDEX(Raw_Schedule!E:E,MATCH(A207,Raw_Schedule!A:A,0))</f>
        <v/>
      </c>
      <c r="F207" s="3">
        <f>INDEX(Raw_Schedule!F:F,MATCH(A207,Raw_Schedule!A:A,0))</f>
        <v/>
      </c>
      <c r="G207" s="4">
        <f>INDEX(Raw_Schedule!G:G,MATCH(A207,Raw_Schedule!A:A,0))</f>
        <v/>
      </c>
      <c r="H207" s="5">
        <f>INDEX(Raw_Schedule!H:H,MATCH(A207,Raw_Schedule!A:A,0))</f>
        <v/>
      </c>
      <c r="I207" s="5">
        <f>SUMIFS(Raw_Payments!E:E,Raw_Payments!B:B,A207)</f>
        <v/>
      </c>
      <c r="J207" s="5">
        <f>H207-I207</f>
        <v/>
      </c>
      <c r="K207" s="3">
        <f>IF(J207&lt;=0.005,"PAID",IF(I207&gt;0,"PARTIAL","OVERDUE"))</f>
        <v/>
      </c>
      <c r="L207" s="4">
        <f>IF(COUNTIFS(Raw_Payments!B:B,A207)=0,"",SUMPRODUCT(MAX((Raw_Payments!B$2:B$1079=A207)*Raw_Payments!D$2:D$1079)))</f>
        <v/>
      </c>
      <c r="M207" s="3">
        <f>IF(K207="PAID",MAX(0,L207-G207),Guide!$B$3-G207)</f>
        <v/>
      </c>
      <c r="N207" s="3">
        <f>IF(J207&lt;=0.005,"COLLECTED",IF(M207&lt;=30,"1-30",IF(M207&lt;=60,"31-60",IF(M207&lt;=90,"61-90","90+"))))</f>
        <v/>
      </c>
      <c r="O207" s="3">
        <f>IF(N207="90+","LOST",IF(N207="61-90","ESCALATE",IF(N207="31-60","WATCH",IF(N207="1-30","MILD","OK"))))</f>
        <v/>
      </c>
      <c r="P207" s="3">
        <f>IF(J207&gt;0.005,ROW()-1,"")</f>
        <v/>
      </c>
    </row>
    <row r="208">
      <c r="A208" s="3" t="inlineStr">
        <is>
          <t>D0207</t>
        </is>
      </c>
      <c r="B208" s="3">
        <f>INDEX(Raw_Schedule!B:B,MATCH(A208,Raw_Schedule!A:A,0))</f>
        <v/>
      </c>
      <c r="C208" s="3">
        <f>INDEX(Raw_Schedule!C:C,MATCH(A208,Raw_Schedule!A:A,0))</f>
        <v/>
      </c>
      <c r="D208" s="3">
        <f>INDEX(Raw_Schedule!D:D,MATCH(A208,Raw_Schedule!A:A,0))</f>
        <v/>
      </c>
      <c r="E208" s="3">
        <f>INDEX(Raw_Schedule!E:E,MATCH(A208,Raw_Schedule!A:A,0))</f>
        <v/>
      </c>
      <c r="F208" s="3">
        <f>INDEX(Raw_Schedule!F:F,MATCH(A208,Raw_Schedule!A:A,0))</f>
        <v/>
      </c>
      <c r="G208" s="4">
        <f>INDEX(Raw_Schedule!G:G,MATCH(A208,Raw_Schedule!A:A,0))</f>
        <v/>
      </c>
      <c r="H208" s="5">
        <f>INDEX(Raw_Schedule!H:H,MATCH(A208,Raw_Schedule!A:A,0))</f>
        <v/>
      </c>
      <c r="I208" s="5">
        <f>SUMIFS(Raw_Payments!E:E,Raw_Payments!B:B,A208)</f>
        <v/>
      </c>
      <c r="J208" s="5">
        <f>H208-I208</f>
        <v/>
      </c>
      <c r="K208" s="3">
        <f>IF(J208&lt;=0.005,"PAID",IF(I208&gt;0,"PARTIAL","OVERDUE"))</f>
        <v/>
      </c>
      <c r="L208" s="4">
        <f>IF(COUNTIFS(Raw_Payments!B:B,A208)=0,"",SUMPRODUCT(MAX((Raw_Payments!B$2:B$1079=A208)*Raw_Payments!D$2:D$1079)))</f>
        <v/>
      </c>
      <c r="M208" s="3">
        <f>IF(K208="PAID",MAX(0,L208-G208),Guide!$B$3-G208)</f>
        <v/>
      </c>
      <c r="N208" s="3">
        <f>IF(J208&lt;=0.005,"COLLECTED",IF(M208&lt;=30,"1-30",IF(M208&lt;=60,"31-60",IF(M208&lt;=90,"61-90","90+"))))</f>
        <v/>
      </c>
      <c r="O208" s="3">
        <f>IF(N208="90+","LOST",IF(N208="61-90","ESCALATE",IF(N208="31-60","WATCH",IF(N208="1-30","MILD","OK"))))</f>
        <v/>
      </c>
      <c r="P208" s="3">
        <f>IF(J208&gt;0.005,ROW()-1,"")</f>
        <v/>
      </c>
    </row>
    <row r="209">
      <c r="A209" s="3" t="inlineStr">
        <is>
          <t>D0208</t>
        </is>
      </c>
      <c r="B209" s="3">
        <f>INDEX(Raw_Schedule!B:B,MATCH(A209,Raw_Schedule!A:A,0))</f>
        <v/>
      </c>
      <c r="C209" s="3">
        <f>INDEX(Raw_Schedule!C:C,MATCH(A209,Raw_Schedule!A:A,0))</f>
        <v/>
      </c>
      <c r="D209" s="3">
        <f>INDEX(Raw_Schedule!D:D,MATCH(A209,Raw_Schedule!A:A,0))</f>
        <v/>
      </c>
      <c r="E209" s="3">
        <f>INDEX(Raw_Schedule!E:E,MATCH(A209,Raw_Schedule!A:A,0))</f>
        <v/>
      </c>
      <c r="F209" s="3">
        <f>INDEX(Raw_Schedule!F:F,MATCH(A209,Raw_Schedule!A:A,0))</f>
        <v/>
      </c>
      <c r="G209" s="4">
        <f>INDEX(Raw_Schedule!G:G,MATCH(A209,Raw_Schedule!A:A,0))</f>
        <v/>
      </c>
      <c r="H209" s="5">
        <f>INDEX(Raw_Schedule!H:H,MATCH(A209,Raw_Schedule!A:A,0))</f>
        <v/>
      </c>
      <c r="I209" s="5">
        <f>SUMIFS(Raw_Payments!E:E,Raw_Payments!B:B,A209)</f>
        <v/>
      </c>
      <c r="J209" s="5">
        <f>H209-I209</f>
        <v/>
      </c>
      <c r="K209" s="3">
        <f>IF(J209&lt;=0.005,"PAID",IF(I209&gt;0,"PARTIAL","OVERDUE"))</f>
        <v/>
      </c>
      <c r="L209" s="4">
        <f>IF(COUNTIFS(Raw_Payments!B:B,A209)=0,"",SUMPRODUCT(MAX((Raw_Payments!B$2:B$1079=A209)*Raw_Payments!D$2:D$1079)))</f>
        <v/>
      </c>
      <c r="M209" s="3">
        <f>IF(K209="PAID",MAX(0,L209-G209),Guide!$B$3-G209)</f>
        <v/>
      </c>
      <c r="N209" s="3">
        <f>IF(J209&lt;=0.005,"COLLECTED",IF(M209&lt;=30,"1-30",IF(M209&lt;=60,"31-60",IF(M209&lt;=90,"61-90","90+"))))</f>
        <v/>
      </c>
      <c r="O209" s="3">
        <f>IF(N209="90+","LOST",IF(N209="61-90","ESCALATE",IF(N209="31-60","WATCH",IF(N209="1-30","MILD","OK"))))</f>
        <v/>
      </c>
      <c r="P209" s="3">
        <f>IF(J209&gt;0.005,ROW()-1,"")</f>
        <v/>
      </c>
    </row>
    <row r="210">
      <c r="A210" s="3" t="inlineStr">
        <is>
          <t>D0209</t>
        </is>
      </c>
      <c r="B210" s="3">
        <f>INDEX(Raw_Schedule!B:B,MATCH(A210,Raw_Schedule!A:A,0))</f>
        <v/>
      </c>
      <c r="C210" s="3">
        <f>INDEX(Raw_Schedule!C:C,MATCH(A210,Raw_Schedule!A:A,0))</f>
        <v/>
      </c>
      <c r="D210" s="3">
        <f>INDEX(Raw_Schedule!D:D,MATCH(A210,Raw_Schedule!A:A,0))</f>
        <v/>
      </c>
      <c r="E210" s="3">
        <f>INDEX(Raw_Schedule!E:E,MATCH(A210,Raw_Schedule!A:A,0))</f>
        <v/>
      </c>
      <c r="F210" s="3">
        <f>INDEX(Raw_Schedule!F:F,MATCH(A210,Raw_Schedule!A:A,0))</f>
        <v/>
      </c>
      <c r="G210" s="4">
        <f>INDEX(Raw_Schedule!G:G,MATCH(A210,Raw_Schedule!A:A,0))</f>
        <v/>
      </c>
      <c r="H210" s="5">
        <f>INDEX(Raw_Schedule!H:H,MATCH(A210,Raw_Schedule!A:A,0))</f>
        <v/>
      </c>
      <c r="I210" s="5">
        <f>SUMIFS(Raw_Payments!E:E,Raw_Payments!B:B,A210)</f>
        <v/>
      </c>
      <c r="J210" s="5">
        <f>H210-I210</f>
        <v/>
      </c>
      <c r="K210" s="3">
        <f>IF(J210&lt;=0.005,"PAID",IF(I210&gt;0,"PARTIAL","OVERDUE"))</f>
        <v/>
      </c>
      <c r="L210" s="4">
        <f>IF(COUNTIFS(Raw_Payments!B:B,A210)=0,"",SUMPRODUCT(MAX((Raw_Payments!B$2:B$1079=A210)*Raw_Payments!D$2:D$1079)))</f>
        <v/>
      </c>
      <c r="M210" s="3">
        <f>IF(K210="PAID",MAX(0,L210-G210),Guide!$B$3-G210)</f>
        <v/>
      </c>
      <c r="N210" s="3">
        <f>IF(J210&lt;=0.005,"COLLECTED",IF(M210&lt;=30,"1-30",IF(M210&lt;=60,"31-60",IF(M210&lt;=90,"61-90","90+"))))</f>
        <v/>
      </c>
      <c r="O210" s="3">
        <f>IF(N210="90+","LOST",IF(N210="61-90","ESCALATE",IF(N210="31-60","WATCH",IF(N210="1-30","MILD","OK"))))</f>
        <v/>
      </c>
      <c r="P210" s="3">
        <f>IF(J210&gt;0.005,ROW()-1,"")</f>
        <v/>
      </c>
    </row>
    <row r="211">
      <c r="A211" s="3" t="inlineStr">
        <is>
          <t>D0210</t>
        </is>
      </c>
      <c r="B211" s="3">
        <f>INDEX(Raw_Schedule!B:B,MATCH(A211,Raw_Schedule!A:A,0))</f>
        <v/>
      </c>
      <c r="C211" s="3">
        <f>INDEX(Raw_Schedule!C:C,MATCH(A211,Raw_Schedule!A:A,0))</f>
        <v/>
      </c>
      <c r="D211" s="3">
        <f>INDEX(Raw_Schedule!D:D,MATCH(A211,Raw_Schedule!A:A,0))</f>
        <v/>
      </c>
      <c r="E211" s="3">
        <f>INDEX(Raw_Schedule!E:E,MATCH(A211,Raw_Schedule!A:A,0))</f>
        <v/>
      </c>
      <c r="F211" s="3">
        <f>INDEX(Raw_Schedule!F:F,MATCH(A211,Raw_Schedule!A:A,0))</f>
        <v/>
      </c>
      <c r="G211" s="4">
        <f>INDEX(Raw_Schedule!G:G,MATCH(A211,Raw_Schedule!A:A,0))</f>
        <v/>
      </c>
      <c r="H211" s="5">
        <f>INDEX(Raw_Schedule!H:H,MATCH(A211,Raw_Schedule!A:A,0))</f>
        <v/>
      </c>
      <c r="I211" s="5">
        <f>SUMIFS(Raw_Payments!E:E,Raw_Payments!B:B,A211)</f>
        <v/>
      </c>
      <c r="J211" s="5">
        <f>H211-I211</f>
        <v/>
      </c>
      <c r="K211" s="3">
        <f>IF(J211&lt;=0.005,"PAID",IF(I211&gt;0,"PARTIAL","OVERDUE"))</f>
        <v/>
      </c>
      <c r="L211" s="4">
        <f>IF(COUNTIFS(Raw_Payments!B:B,A211)=0,"",SUMPRODUCT(MAX((Raw_Payments!B$2:B$1079=A211)*Raw_Payments!D$2:D$1079)))</f>
        <v/>
      </c>
      <c r="M211" s="3">
        <f>IF(K211="PAID",MAX(0,L211-G211),Guide!$B$3-G211)</f>
        <v/>
      </c>
      <c r="N211" s="3">
        <f>IF(J211&lt;=0.005,"COLLECTED",IF(M211&lt;=30,"1-30",IF(M211&lt;=60,"31-60",IF(M211&lt;=90,"61-90","90+"))))</f>
        <v/>
      </c>
      <c r="O211" s="3">
        <f>IF(N211="90+","LOST",IF(N211="61-90","ESCALATE",IF(N211="31-60","WATCH",IF(N211="1-30","MILD","OK"))))</f>
        <v/>
      </c>
      <c r="P211" s="3">
        <f>IF(J211&gt;0.005,ROW()-1,"")</f>
        <v/>
      </c>
    </row>
    <row r="212">
      <c r="A212" s="3" t="inlineStr">
        <is>
          <t>D0211</t>
        </is>
      </c>
      <c r="B212" s="3">
        <f>INDEX(Raw_Schedule!B:B,MATCH(A212,Raw_Schedule!A:A,0))</f>
        <v/>
      </c>
      <c r="C212" s="3">
        <f>INDEX(Raw_Schedule!C:C,MATCH(A212,Raw_Schedule!A:A,0))</f>
        <v/>
      </c>
      <c r="D212" s="3">
        <f>INDEX(Raw_Schedule!D:D,MATCH(A212,Raw_Schedule!A:A,0))</f>
        <v/>
      </c>
      <c r="E212" s="3">
        <f>INDEX(Raw_Schedule!E:E,MATCH(A212,Raw_Schedule!A:A,0))</f>
        <v/>
      </c>
      <c r="F212" s="3">
        <f>INDEX(Raw_Schedule!F:F,MATCH(A212,Raw_Schedule!A:A,0))</f>
        <v/>
      </c>
      <c r="G212" s="4">
        <f>INDEX(Raw_Schedule!G:G,MATCH(A212,Raw_Schedule!A:A,0))</f>
        <v/>
      </c>
      <c r="H212" s="5">
        <f>INDEX(Raw_Schedule!H:H,MATCH(A212,Raw_Schedule!A:A,0))</f>
        <v/>
      </c>
      <c r="I212" s="5">
        <f>SUMIFS(Raw_Payments!E:E,Raw_Payments!B:B,A212)</f>
        <v/>
      </c>
      <c r="J212" s="5">
        <f>H212-I212</f>
        <v/>
      </c>
      <c r="K212" s="3">
        <f>IF(J212&lt;=0.005,"PAID",IF(I212&gt;0,"PARTIAL","OVERDUE"))</f>
        <v/>
      </c>
      <c r="L212" s="4">
        <f>IF(COUNTIFS(Raw_Payments!B:B,A212)=0,"",SUMPRODUCT(MAX((Raw_Payments!B$2:B$1079=A212)*Raw_Payments!D$2:D$1079)))</f>
        <v/>
      </c>
      <c r="M212" s="3">
        <f>IF(K212="PAID",MAX(0,L212-G212),Guide!$B$3-G212)</f>
        <v/>
      </c>
      <c r="N212" s="3">
        <f>IF(J212&lt;=0.005,"COLLECTED",IF(M212&lt;=30,"1-30",IF(M212&lt;=60,"31-60",IF(M212&lt;=90,"61-90","90+"))))</f>
        <v/>
      </c>
      <c r="O212" s="3">
        <f>IF(N212="90+","LOST",IF(N212="61-90","ESCALATE",IF(N212="31-60","WATCH",IF(N212="1-30","MILD","OK"))))</f>
        <v/>
      </c>
      <c r="P212" s="3">
        <f>IF(J212&gt;0.005,ROW()-1,"")</f>
        <v/>
      </c>
    </row>
    <row r="213">
      <c r="A213" s="3" t="inlineStr">
        <is>
          <t>D0212</t>
        </is>
      </c>
      <c r="B213" s="3">
        <f>INDEX(Raw_Schedule!B:B,MATCH(A213,Raw_Schedule!A:A,0))</f>
        <v/>
      </c>
      <c r="C213" s="3">
        <f>INDEX(Raw_Schedule!C:C,MATCH(A213,Raw_Schedule!A:A,0))</f>
        <v/>
      </c>
      <c r="D213" s="3">
        <f>INDEX(Raw_Schedule!D:D,MATCH(A213,Raw_Schedule!A:A,0))</f>
        <v/>
      </c>
      <c r="E213" s="3">
        <f>INDEX(Raw_Schedule!E:E,MATCH(A213,Raw_Schedule!A:A,0))</f>
        <v/>
      </c>
      <c r="F213" s="3">
        <f>INDEX(Raw_Schedule!F:F,MATCH(A213,Raw_Schedule!A:A,0))</f>
        <v/>
      </c>
      <c r="G213" s="4">
        <f>INDEX(Raw_Schedule!G:G,MATCH(A213,Raw_Schedule!A:A,0))</f>
        <v/>
      </c>
      <c r="H213" s="5">
        <f>INDEX(Raw_Schedule!H:H,MATCH(A213,Raw_Schedule!A:A,0))</f>
        <v/>
      </c>
      <c r="I213" s="5">
        <f>SUMIFS(Raw_Payments!E:E,Raw_Payments!B:B,A213)</f>
        <v/>
      </c>
      <c r="J213" s="5">
        <f>H213-I213</f>
        <v/>
      </c>
      <c r="K213" s="3">
        <f>IF(J213&lt;=0.005,"PAID",IF(I213&gt;0,"PARTIAL","OVERDUE"))</f>
        <v/>
      </c>
      <c r="L213" s="4">
        <f>IF(COUNTIFS(Raw_Payments!B:B,A213)=0,"",SUMPRODUCT(MAX((Raw_Payments!B$2:B$1079=A213)*Raw_Payments!D$2:D$1079)))</f>
        <v/>
      </c>
      <c r="M213" s="3">
        <f>IF(K213="PAID",MAX(0,L213-G213),Guide!$B$3-G213)</f>
        <v/>
      </c>
      <c r="N213" s="3">
        <f>IF(J213&lt;=0.005,"COLLECTED",IF(M213&lt;=30,"1-30",IF(M213&lt;=60,"31-60",IF(M213&lt;=90,"61-90","90+"))))</f>
        <v/>
      </c>
      <c r="O213" s="3">
        <f>IF(N213="90+","LOST",IF(N213="61-90","ESCALATE",IF(N213="31-60","WATCH",IF(N213="1-30","MILD","OK"))))</f>
        <v/>
      </c>
      <c r="P213" s="3">
        <f>IF(J213&gt;0.005,ROW()-1,"")</f>
        <v/>
      </c>
    </row>
    <row r="214">
      <c r="A214" s="3" t="inlineStr">
        <is>
          <t>D0213</t>
        </is>
      </c>
      <c r="B214" s="3">
        <f>INDEX(Raw_Schedule!B:B,MATCH(A214,Raw_Schedule!A:A,0))</f>
        <v/>
      </c>
      <c r="C214" s="3">
        <f>INDEX(Raw_Schedule!C:C,MATCH(A214,Raw_Schedule!A:A,0))</f>
        <v/>
      </c>
      <c r="D214" s="3">
        <f>INDEX(Raw_Schedule!D:D,MATCH(A214,Raw_Schedule!A:A,0))</f>
        <v/>
      </c>
      <c r="E214" s="3">
        <f>INDEX(Raw_Schedule!E:E,MATCH(A214,Raw_Schedule!A:A,0))</f>
        <v/>
      </c>
      <c r="F214" s="3">
        <f>INDEX(Raw_Schedule!F:F,MATCH(A214,Raw_Schedule!A:A,0))</f>
        <v/>
      </c>
      <c r="G214" s="4">
        <f>INDEX(Raw_Schedule!G:G,MATCH(A214,Raw_Schedule!A:A,0))</f>
        <v/>
      </c>
      <c r="H214" s="5">
        <f>INDEX(Raw_Schedule!H:H,MATCH(A214,Raw_Schedule!A:A,0))</f>
        <v/>
      </c>
      <c r="I214" s="5">
        <f>SUMIFS(Raw_Payments!E:E,Raw_Payments!B:B,A214)</f>
        <v/>
      </c>
      <c r="J214" s="5">
        <f>H214-I214</f>
        <v/>
      </c>
      <c r="K214" s="3">
        <f>IF(J214&lt;=0.005,"PAID",IF(I214&gt;0,"PARTIAL","OVERDUE"))</f>
        <v/>
      </c>
      <c r="L214" s="4">
        <f>IF(COUNTIFS(Raw_Payments!B:B,A214)=0,"",SUMPRODUCT(MAX((Raw_Payments!B$2:B$1079=A214)*Raw_Payments!D$2:D$1079)))</f>
        <v/>
      </c>
      <c r="M214" s="3">
        <f>IF(K214="PAID",MAX(0,L214-G214),Guide!$B$3-G214)</f>
        <v/>
      </c>
      <c r="N214" s="3">
        <f>IF(J214&lt;=0.005,"COLLECTED",IF(M214&lt;=30,"1-30",IF(M214&lt;=60,"31-60",IF(M214&lt;=90,"61-90","90+"))))</f>
        <v/>
      </c>
      <c r="O214" s="3">
        <f>IF(N214="90+","LOST",IF(N214="61-90","ESCALATE",IF(N214="31-60","WATCH",IF(N214="1-30","MILD","OK"))))</f>
        <v/>
      </c>
      <c r="P214" s="3">
        <f>IF(J214&gt;0.005,ROW()-1,"")</f>
        <v/>
      </c>
    </row>
    <row r="215">
      <c r="A215" s="3" t="inlineStr">
        <is>
          <t>D0214</t>
        </is>
      </c>
      <c r="B215" s="3">
        <f>INDEX(Raw_Schedule!B:B,MATCH(A215,Raw_Schedule!A:A,0))</f>
        <v/>
      </c>
      <c r="C215" s="3">
        <f>INDEX(Raw_Schedule!C:C,MATCH(A215,Raw_Schedule!A:A,0))</f>
        <v/>
      </c>
      <c r="D215" s="3">
        <f>INDEX(Raw_Schedule!D:D,MATCH(A215,Raw_Schedule!A:A,0))</f>
        <v/>
      </c>
      <c r="E215" s="3">
        <f>INDEX(Raw_Schedule!E:E,MATCH(A215,Raw_Schedule!A:A,0))</f>
        <v/>
      </c>
      <c r="F215" s="3">
        <f>INDEX(Raw_Schedule!F:F,MATCH(A215,Raw_Schedule!A:A,0))</f>
        <v/>
      </c>
      <c r="G215" s="4">
        <f>INDEX(Raw_Schedule!G:G,MATCH(A215,Raw_Schedule!A:A,0))</f>
        <v/>
      </c>
      <c r="H215" s="5">
        <f>INDEX(Raw_Schedule!H:H,MATCH(A215,Raw_Schedule!A:A,0))</f>
        <v/>
      </c>
      <c r="I215" s="5">
        <f>SUMIFS(Raw_Payments!E:E,Raw_Payments!B:B,A215)</f>
        <v/>
      </c>
      <c r="J215" s="5">
        <f>H215-I215</f>
        <v/>
      </c>
      <c r="K215" s="3">
        <f>IF(J215&lt;=0.005,"PAID",IF(I215&gt;0,"PARTIAL","OVERDUE"))</f>
        <v/>
      </c>
      <c r="L215" s="4">
        <f>IF(COUNTIFS(Raw_Payments!B:B,A215)=0,"",SUMPRODUCT(MAX((Raw_Payments!B$2:B$1079=A215)*Raw_Payments!D$2:D$1079)))</f>
        <v/>
      </c>
      <c r="M215" s="3">
        <f>IF(K215="PAID",MAX(0,L215-G215),Guide!$B$3-G215)</f>
        <v/>
      </c>
      <c r="N215" s="3">
        <f>IF(J215&lt;=0.005,"COLLECTED",IF(M215&lt;=30,"1-30",IF(M215&lt;=60,"31-60",IF(M215&lt;=90,"61-90","90+"))))</f>
        <v/>
      </c>
      <c r="O215" s="3">
        <f>IF(N215="90+","LOST",IF(N215="61-90","ESCALATE",IF(N215="31-60","WATCH",IF(N215="1-30","MILD","OK"))))</f>
        <v/>
      </c>
      <c r="P215" s="3">
        <f>IF(J215&gt;0.005,ROW()-1,"")</f>
        <v/>
      </c>
    </row>
    <row r="216">
      <c r="A216" s="3" t="inlineStr">
        <is>
          <t>D0215</t>
        </is>
      </c>
      <c r="B216" s="3">
        <f>INDEX(Raw_Schedule!B:B,MATCH(A216,Raw_Schedule!A:A,0))</f>
        <v/>
      </c>
      <c r="C216" s="3">
        <f>INDEX(Raw_Schedule!C:C,MATCH(A216,Raw_Schedule!A:A,0))</f>
        <v/>
      </c>
      <c r="D216" s="3">
        <f>INDEX(Raw_Schedule!D:D,MATCH(A216,Raw_Schedule!A:A,0))</f>
        <v/>
      </c>
      <c r="E216" s="3">
        <f>INDEX(Raw_Schedule!E:E,MATCH(A216,Raw_Schedule!A:A,0))</f>
        <v/>
      </c>
      <c r="F216" s="3">
        <f>INDEX(Raw_Schedule!F:F,MATCH(A216,Raw_Schedule!A:A,0))</f>
        <v/>
      </c>
      <c r="G216" s="4">
        <f>INDEX(Raw_Schedule!G:G,MATCH(A216,Raw_Schedule!A:A,0))</f>
        <v/>
      </c>
      <c r="H216" s="5">
        <f>INDEX(Raw_Schedule!H:H,MATCH(A216,Raw_Schedule!A:A,0))</f>
        <v/>
      </c>
      <c r="I216" s="5">
        <f>SUMIFS(Raw_Payments!E:E,Raw_Payments!B:B,A216)</f>
        <v/>
      </c>
      <c r="J216" s="5">
        <f>H216-I216</f>
        <v/>
      </c>
      <c r="K216" s="3">
        <f>IF(J216&lt;=0.005,"PAID",IF(I216&gt;0,"PARTIAL","OVERDUE"))</f>
        <v/>
      </c>
      <c r="L216" s="4">
        <f>IF(COUNTIFS(Raw_Payments!B:B,A216)=0,"",SUMPRODUCT(MAX((Raw_Payments!B$2:B$1079=A216)*Raw_Payments!D$2:D$1079)))</f>
        <v/>
      </c>
      <c r="M216" s="3">
        <f>IF(K216="PAID",MAX(0,L216-G216),Guide!$B$3-G216)</f>
        <v/>
      </c>
      <c r="N216" s="3">
        <f>IF(J216&lt;=0.005,"COLLECTED",IF(M216&lt;=30,"1-30",IF(M216&lt;=60,"31-60",IF(M216&lt;=90,"61-90","90+"))))</f>
        <v/>
      </c>
      <c r="O216" s="3">
        <f>IF(N216="90+","LOST",IF(N216="61-90","ESCALATE",IF(N216="31-60","WATCH",IF(N216="1-30","MILD","OK"))))</f>
        <v/>
      </c>
      <c r="P216" s="3">
        <f>IF(J216&gt;0.005,ROW()-1,"")</f>
        <v/>
      </c>
    </row>
    <row r="217">
      <c r="A217" s="3" t="inlineStr">
        <is>
          <t>D0216</t>
        </is>
      </c>
      <c r="B217" s="3">
        <f>INDEX(Raw_Schedule!B:B,MATCH(A217,Raw_Schedule!A:A,0))</f>
        <v/>
      </c>
      <c r="C217" s="3">
        <f>INDEX(Raw_Schedule!C:C,MATCH(A217,Raw_Schedule!A:A,0))</f>
        <v/>
      </c>
      <c r="D217" s="3">
        <f>INDEX(Raw_Schedule!D:D,MATCH(A217,Raw_Schedule!A:A,0))</f>
        <v/>
      </c>
      <c r="E217" s="3">
        <f>INDEX(Raw_Schedule!E:E,MATCH(A217,Raw_Schedule!A:A,0))</f>
        <v/>
      </c>
      <c r="F217" s="3">
        <f>INDEX(Raw_Schedule!F:F,MATCH(A217,Raw_Schedule!A:A,0))</f>
        <v/>
      </c>
      <c r="G217" s="4">
        <f>INDEX(Raw_Schedule!G:G,MATCH(A217,Raw_Schedule!A:A,0))</f>
        <v/>
      </c>
      <c r="H217" s="5">
        <f>INDEX(Raw_Schedule!H:H,MATCH(A217,Raw_Schedule!A:A,0))</f>
        <v/>
      </c>
      <c r="I217" s="5">
        <f>SUMIFS(Raw_Payments!E:E,Raw_Payments!B:B,A217)</f>
        <v/>
      </c>
      <c r="J217" s="5">
        <f>H217-I217</f>
        <v/>
      </c>
      <c r="K217" s="3">
        <f>IF(J217&lt;=0.005,"PAID",IF(I217&gt;0,"PARTIAL","OVERDUE"))</f>
        <v/>
      </c>
      <c r="L217" s="4">
        <f>IF(COUNTIFS(Raw_Payments!B:B,A217)=0,"",SUMPRODUCT(MAX((Raw_Payments!B$2:B$1079=A217)*Raw_Payments!D$2:D$1079)))</f>
        <v/>
      </c>
      <c r="M217" s="3">
        <f>IF(K217="PAID",MAX(0,L217-G217),Guide!$B$3-G217)</f>
        <v/>
      </c>
      <c r="N217" s="3">
        <f>IF(J217&lt;=0.005,"COLLECTED",IF(M217&lt;=30,"1-30",IF(M217&lt;=60,"31-60",IF(M217&lt;=90,"61-90","90+"))))</f>
        <v/>
      </c>
      <c r="O217" s="3">
        <f>IF(N217="90+","LOST",IF(N217="61-90","ESCALATE",IF(N217="31-60","WATCH",IF(N217="1-30","MILD","OK"))))</f>
        <v/>
      </c>
      <c r="P217" s="3">
        <f>IF(J217&gt;0.005,ROW()-1,"")</f>
        <v/>
      </c>
    </row>
    <row r="218">
      <c r="A218" s="3" t="inlineStr">
        <is>
          <t>D0217</t>
        </is>
      </c>
      <c r="B218" s="3">
        <f>INDEX(Raw_Schedule!B:B,MATCH(A218,Raw_Schedule!A:A,0))</f>
        <v/>
      </c>
      <c r="C218" s="3">
        <f>INDEX(Raw_Schedule!C:C,MATCH(A218,Raw_Schedule!A:A,0))</f>
        <v/>
      </c>
      <c r="D218" s="3">
        <f>INDEX(Raw_Schedule!D:D,MATCH(A218,Raw_Schedule!A:A,0))</f>
        <v/>
      </c>
      <c r="E218" s="3">
        <f>INDEX(Raw_Schedule!E:E,MATCH(A218,Raw_Schedule!A:A,0))</f>
        <v/>
      </c>
      <c r="F218" s="3">
        <f>INDEX(Raw_Schedule!F:F,MATCH(A218,Raw_Schedule!A:A,0))</f>
        <v/>
      </c>
      <c r="G218" s="4">
        <f>INDEX(Raw_Schedule!G:G,MATCH(A218,Raw_Schedule!A:A,0))</f>
        <v/>
      </c>
      <c r="H218" s="5">
        <f>INDEX(Raw_Schedule!H:H,MATCH(A218,Raw_Schedule!A:A,0))</f>
        <v/>
      </c>
      <c r="I218" s="5">
        <f>SUMIFS(Raw_Payments!E:E,Raw_Payments!B:B,A218)</f>
        <v/>
      </c>
      <c r="J218" s="5">
        <f>H218-I218</f>
        <v/>
      </c>
      <c r="K218" s="3">
        <f>IF(J218&lt;=0.005,"PAID",IF(I218&gt;0,"PARTIAL","OVERDUE"))</f>
        <v/>
      </c>
      <c r="L218" s="4">
        <f>IF(COUNTIFS(Raw_Payments!B:B,A218)=0,"",SUMPRODUCT(MAX((Raw_Payments!B$2:B$1079=A218)*Raw_Payments!D$2:D$1079)))</f>
        <v/>
      </c>
      <c r="M218" s="3">
        <f>IF(K218="PAID",MAX(0,L218-G218),Guide!$B$3-G218)</f>
        <v/>
      </c>
      <c r="N218" s="3">
        <f>IF(J218&lt;=0.005,"COLLECTED",IF(M218&lt;=30,"1-30",IF(M218&lt;=60,"31-60",IF(M218&lt;=90,"61-90","90+"))))</f>
        <v/>
      </c>
      <c r="O218" s="3">
        <f>IF(N218="90+","LOST",IF(N218="61-90","ESCALATE",IF(N218="31-60","WATCH",IF(N218="1-30","MILD","OK"))))</f>
        <v/>
      </c>
      <c r="P218" s="3">
        <f>IF(J218&gt;0.005,ROW()-1,"")</f>
        <v/>
      </c>
    </row>
    <row r="219">
      <c r="A219" s="3" t="inlineStr">
        <is>
          <t>D0218</t>
        </is>
      </c>
      <c r="B219" s="3">
        <f>INDEX(Raw_Schedule!B:B,MATCH(A219,Raw_Schedule!A:A,0))</f>
        <v/>
      </c>
      <c r="C219" s="3">
        <f>INDEX(Raw_Schedule!C:C,MATCH(A219,Raw_Schedule!A:A,0))</f>
        <v/>
      </c>
      <c r="D219" s="3">
        <f>INDEX(Raw_Schedule!D:D,MATCH(A219,Raw_Schedule!A:A,0))</f>
        <v/>
      </c>
      <c r="E219" s="3">
        <f>INDEX(Raw_Schedule!E:E,MATCH(A219,Raw_Schedule!A:A,0))</f>
        <v/>
      </c>
      <c r="F219" s="3">
        <f>INDEX(Raw_Schedule!F:F,MATCH(A219,Raw_Schedule!A:A,0))</f>
        <v/>
      </c>
      <c r="G219" s="4">
        <f>INDEX(Raw_Schedule!G:G,MATCH(A219,Raw_Schedule!A:A,0))</f>
        <v/>
      </c>
      <c r="H219" s="5">
        <f>INDEX(Raw_Schedule!H:H,MATCH(A219,Raw_Schedule!A:A,0))</f>
        <v/>
      </c>
      <c r="I219" s="5">
        <f>SUMIFS(Raw_Payments!E:E,Raw_Payments!B:B,A219)</f>
        <v/>
      </c>
      <c r="J219" s="5">
        <f>H219-I219</f>
        <v/>
      </c>
      <c r="K219" s="3">
        <f>IF(J219&lt;=0.005,"PAID",IF(I219&gt;0,"PARTIAL","OVERDUE"))</f>
        <v/>
      </c>
      <c r="L219" s="4">
        <f>IF(COUNTIFS(Raw_Payments!B:B,A219)=0,"",SUMPRODUCT(MAX((Raw_Payments!B$2:B$1079=A219)*Raw_Payments!D$2:D$1079)))</f>
        <v/>
      </c>
      <c r="M219" s="3">
        <f>IF(K219="PAID",MAX(0,L219-G219),Guide!$B$3-G219)</f>
        <v/>
      </c>
      <c r="N219" s="3">
        <f>IF(J219&lt;=0.005,"COLLECTED",IF(M219&lt;=30,"1-30",IF(M219&lt;=60,"31-60",IF(M219&lt;=90,"61-90","90+"))))</f>
        <v/>
      </c>
      <c r="O219" s="3">
        <f>IF(N219="90+","LOST",IF(N219="61-90","ESCALATE",IF(N219="31-60","WATCH",IF(N219="1-30","MILD","OK"))))</f>
        <v/>
      </c>
      <c r="P219" s="3">
        <f>IF(J219&gt;0.005,ROW()-1,"")</f>
        <v/>
      </c>
    </row>
    <row r="220">
      <c r="A220" s="3" t="inlineStr">
        <is>
          <t>D0219</t>
        </is>
      </c>
      <c r="B220" s="3">
        <f>INDEX(Raw_Schedule!B:B,MATCH(A220,Raw_Schedule!A:A,0))</f>
        <v/>
      </c>
      <c r="C220" s="3">
        <f>INDEX(Raw_Schedule!C:C,MATCH(A220,Raw_Schedule!A:A,0))</f>
        <v/>
      </c>
      <c r="D220" s="3">
        <f>INDEX(Raw_Schedule!D:D,MATCH(A220,Raw_Schedule!A:A,0))</f>
        <v/>
      </c>
      <c r="E220" s="3">
        <f>INDEX(Raw_Schedule!E:E,MATCH(A220,Raw_Schedule!A:A,0))</f>
        <v/>
      </c>
      <c r="F220" s="3">
        <f>INDEX(Raw_Schedule!F:F,MATCH(A220,Raw_Schedule!A:A,0))</f>
        <v/>
      </c>
      <c r="G220" s="4">
        <f>INDEX(Raw_Schedule!G:G,MATCH(A220,Raw_Schedule!A:A,0))</f>
        <v/>
      </c>
      <c r="H220" s="5">
        <f>INDEX(Raw_Schedule!H:H,MATCH(A220,Raw_Schedule!A:A,0))</f>
        <v/>
      </c>
      <c r="I220" s="5">
        <f>SUMIFS(Raw_Payments!E:E,Raw_Payments!B:B,A220)</f>
        <v/>
      </c>
      <c r="J220" s="5">
        <f>H220-I220</f>
        <v/>
      </c>
      <c r="K220" s="3">
        <f>IF(J220&lt;=0.005,"PAID",IF(I220&gt;0,"PARTIAL","OVERDUE"))</f>
        <v/>
      </c>
      <c r="L220" s="4">
        <f>IF(COUNTIFS(Raw_Payments!B:B,A220)=0,"",SUMPRODUCT(MAX((Raw_Payments!B$2:B$1079=A220)*Raw_Payments!D$2:D$1079)))</f>
        <v/>
      </c>
      <c r="M220" s="3">
        <f>IF(K220="PAID",MAX(0,L220-G220),Guide!$B$3-G220)</f>
        <v/>
      </c>
      <c r="N220" s="3">
        <f>IF(J220&lt;=0.005,"COLLECTED",IF(M220&lt;=30,"1-30",IF(M220&lt;=60,"31-60",IF(M220&lt;=90,"61-90","90+"))))</f>
        <v/>
      </c>
      <c r="O220" s="3">
        <f>IF(N220="90+","LOST",IF(N220="61-90","ESCALATE",IF(N220="31-60","WATCH",IF(N220="1-30","MILD","OK"))))</f>
        <v/>
      </c>
      <c r="P220" s="3">
        <f>IF(J220&gt;0.005,ROW()-1,"")</f>
        <v/>
      </c>
    </row>
    <row r="221">
      <c r="A221" s="3" t="inlineStr">
        <is>
          <t>D0220</t>
        </is>
      </c>
      <c r="B221" s="3">
        <f>INDEX(Raw_Schedule!B:B,MATCH(A221,Raw_Schedule!A:A,0))</f>
        <v/>
      </c>
      <c r="C221" s="3">
        <f>INDEX(Raw_Schedule!C:C,MATCH(A221,Raw_Schedule!A:A,0))</f>
        <v/>
      </c>
      <c r="D221" s="3">
        <f>INDEX(Raw_Schedule!D:D,MATCH(A221,Raw_Schedule!A:A,0))</f>
        <v/>
      </c>
      <c r="E221" s="3">
        <f>INDEX(Raw_Schedule!E:E,MATCH(A221,Raw_Schedule!A:A,0))</f>
        <v/>
      </c>
      <c r="F221" s="3">
        <f>INDEX(Raw_Schedule!F:F,MATCH(A221,Raw_Schedule!A:A,0))</f>
        <v/>
      </c>
      <c r="G221" s="4">
        <f>INDEX(Raw_Schedule!G:G,MATCH(A221,Raw_Schedule!A:A,0))</f>
        <v/>
      </c>
      <c r="H221" s="5">
        <f>INDEX(Raw_Schedule!H:H,MATCH(A221,Raw_Schedule!A:A,0))</f>
        <v/>
      </c>
      <c r="I221" s="5">
        <f>SUMIFS(Raw_Payments!E:E,Raw_Payments!B:B,A221)</f>
        <v/>
      </c>
      <c r="J221" s="5">
        <f>H221-I221</f>
        <v/>
      </c>
      <c r="K221" s="3">
        <f>IF(J221&lt;=0.005,"PAID",IF(I221&gt;0,"PARTIAL","OVERDUE"))</f>
        <v/>
      </c>
      <c r="L221" s="4">
        <f>IF(COUNTIFS(Raw_Payments!B:B,A221)=0,"",SUMPRODUCT(MAX((Raw_Payments!B$2:B$1079=A221)*Raw_Payments!D$2:D$1079)))</f>
        <v/>
      </c>
      <c r="M221" s="3">
        <f>IF(K221="PAID",MAX(0,L221-G221),Guide!$B$3-G221)</f>
        <v/>
      </c>
      <c r="N221" s="3">
        <f>IF(J221&lt;=0.005,"COLLECTED",IF(M221&lt;=30,"1-30",IF(M221&lt;=60,"31-60",IF(M221&lt;=90,"61-90","90+"))))</f>
        <v/>
      </c>
      <c r="O221" s="3">
        <f>IF(N221="90+","LOST",IF(N221="61-90","ESCALATE",IF(N221="31-60","WATCH",IF(N221="1-30","MILD","OK"))))</f>
        <v/>
      </c>
      <c r="P221" s="3">
        <f>IF(J221&gt;0.005,ROW()-1,"")</f>
        <v/>
      </c>
    </row>
    <row r="222">
      <c r="A222" s="3" t="inlineStr">
        <is>
          <t>D0221</t>
        </is>
      </c>
      <c r="B222" s="3">
        <f>INDEX(Raw_Schedule!B:B,MATCH(A222,Raw_Schedule!A:A,0))</f>
        <v/>
      </c>
      <c r="C222" s="3">
        <f>INDEX(Raw_Schedule!C:C,MATCH(A222,Raw_Schedule!A:A,0))</f>
        <v/>
      </c>
      <c r="D222" s="3">
        <f>INDEX(Raw_Schedule!D:D,MATCH(A222,Raw_Schedule!A:A,0))</f>
        <v/>
      </c>
      <c r="E222" s="3">
        <f>INDEX(Raw_Schedule!E:E,MATCH(A222,Raw_Schedule!A:A,0))</f>
        <v/>
      </c>
      <c r="F222" s="3">
        <f>INDEX(Raw_Schedule!F:F,MATCH(A222,Raw_Schedule!A:A,0))</f>
        <v/>
      </c>
      <c r="G222" s="4">
        <f>INDEX(Raw_Schedule!G:G,MATCH(A222,Raw_Schedule!A:A,0))</f>
        <v/>
      </c>
      <c r="H222" s="5">
        <f>INDEX(Raw_Schedule!H:H,MATCH(A222,Raw_Schedule!A:A,0))</f>
        <v/>
      </c>
      <c r="I222" s="5">
        <f>SUMIFS(Raw_Payments!E:E,Raw_Payments!B:B,A222)</f>
        <v/>
      </c>
      <c r="J222" s="5">
        <f>H222-I222</f>
        <v/>
      </c>
      <c r="K222" s="3">
        <f>IF(J222&lt;=0.005,"PAID",IF(I222&gt;0,"PARTIAL","OVERDUE"))</f>
        <v/>
      </c>
      <c r="L222" s="4">
        <f>IF(COUNTIFS(Raw_Payments!B:B,A222)=0,"",SUMPRODUCT(MAX((Raw_Payments!B$2:B$1079=A222)*Raw_Payments!D$2:D$1079)))</f>
        <v/>
      </c>
      <c r="M222" s="3">
        <f>IF(K222="PAID",MAX(0,L222-G222),Guide!$B$3-G222)</f>
        <v/>
      </c>
      <c r="N222" s="3">
        <f>IF(J222&lt;=0.005,"COLLECTED",IF(M222&lt;=30,"1-30",IF(M222&lt;=60,"31-60",IF(M222&lt;=90,"61-90","90+"))))</f>
        <v/>
      </c>
      <c r="O222" s="3">
        <f>IF(N222="90+","LOST",IF(N222="61-90","ESCALATE",IF(N222="31-60","WATCH",IF(N222="1-30","MILD","OK"))))</f>
        <v/>
      </c>
      <c r="P222" s="3">
        <f>IF(J222&gt;0.005,ROW()-1,"")</f>
        <v/>
      </c>
    </row>
    <row r="223">
      <c r="A223" s="3" t="inlineStr">
        <is>
          <t>D0222</t>
        </is>
      </c>
      <c r="B223" s="3">
        <f>INDEX(Raw_Schedule!B:B,MATCH(A223,Raw_Schedule!A:A,0))</f>
        <v/>
      </c>
      <c r="C223" s="3">
        <f>INDEX(Raw_Schedule!C:C,MATCH(A223,Raw_Schedule!A:A,0))</f>
        <v/>
      </c>
      <c r="D223" s="3">
        <f>INDEX(Raw_Schedule!D:D,MATCH(A223,Raw_Schedule!A:A,0))</f>
        <v/>
      </c>
      <c r="E223" s="3">
        <f>INDEX(Raw_Schedule!E:E,MATCH(A223,Raw_Schedule!A:A,0))</f>
        <v/>
      </c>
      <c r="F223" s="3">
        <f>INDEX(Raw_Schedule!F:F,MATCH(A223,Raw_Schedule!A:A,0))</f>
        <v/>
      </c>
      <c r="G223" s="4">
        <f>INDEX(Raw_Schedule!G:G,MATCH(A223,Raw_Schedule!A:A,0))</f>
        <v/>
      </c>
      <c r="H223" s="5">
        <f>INDEX(Raw_Schedule!H:H,MATCH(A223,Raw_Schedule!A:A,0))</f>
        <v/>
      </c>
      <c r="I223" s="5">
        <f>SUMIFS(Raw_Payments!E:E,Raw_Payments!B:B,A223)</f>
        <v/>
      </c>
      <c r="J223" s="5">
        <f>H223-I223</f>
        <v/>
      </c>
      <c r="K223" s="3">
        <f>IF(J223&lt;=0.005,"PAID",IF(I223&gt;0,"PARTIAL","OVERDUE"))</f>
        <v/>
      </c>
      <c r="L223" s="4">
        <f>IF(COUNTIFS(Raw_Payments!B:B,A223)=0,"",SUMPRODUCT(MAX((Raw_Payments!B$2:B$1079=A223)*Raw_Payments!D$2:D$1079)))</f>
        <v/>
      </c>
      <c r="M223" s="3">
        <f>IF(K223="PAID",MAX(0,L223-G223),Guide!$B$3-G223)</f>
        <v/>
      </c>
      <c r="N223" s="3">
        <f>IF(J223&lt;=0.005,"COLLECTED",IF(M223&lt;=30,"1-30",IF(M223&lt;=60,"31-60",IF(M223&lt;=90,"61-90","90+"))))</f>
        <v/>
      </c>
      <c r="O223" s="3">
        <f>IF(N223="90+","LOST",IF(N223="61-90","ESCALATE",IF(N223="31-60","WATCH",IF(N223="1-30","MILD","OK"))))</f>
        <v/>
      </c>
      <c r="P223" s="3">
        <f>IF(J223&gt;0.005,ROW()-1,"")</f>
        <v/>
      </c>
    </row>
    <row r="224">
      <c r="A224" s="3" t="inlineStr">
        <is>
          <t>D0223</t>
        </is>
      </c>
      <c r="B224" s="3">
        <f>INDEX(Raw_Schedule!B:B,MATCH(A224,Raw_Schedule!A:A,0))</f>
        <v/>
      </c>
      <c r="C224" s="3">
        <f>INDEX(Raw_Schedule!C:C,MATCH(A224,Raw_Schedule!A:A,0))</f>
        <v/>
      </c>
      <c r="D224" s="3">
        <f>INDEX(Raw_Schedule!D:D,MATCH(A224,Raw_Schedule!A:A,0))</f>
        <v/>
      </c>
      <c r="E224" s="3">
        <f>INDEX(Raw_Schedule!E:E,MATCH(A224,Raw_Schedule!A:A,0))</f>
        <v/>
      </c>
      <c r="F224" s="3">
        <f>INDEX(Raw_Schedule!F:F,MATCH(A224,Raw_Schedule!A:A,0))</f>
        <v/>
      </c>
      <c r="G224" s="4">
        <f>INDEX(Raw_Schedule!G:G,MATCH(A224,Raw_Schedule!A:A,0))</f>
        <v/>
      </c>
      <c r="H224" s="5">
        <f>INDEX(Raw_Schedule!H:H,MATCH(A224,Raw_Schedule!A:A,0))</f>
        <v/>
      </c>
      <c r="I224" s="5">
        <f>SUMIFS(Raw_Payments!E:E,Raw_Payments!B:B,A224)</f>
        <v/>
      </c>
      <c r="J224" s="5">
        <f>H224-I224</f>
        <v/>
      </c>
      <c r="K224" s="3">
        <f>IF(J224&lt;=0.005,"PAID",IF(I224&gt;0,"PARTIAL","OVERDUE"))</f>
        <v/>
      </c>
      <c r="L224" s="4">
        <f>IF(COUNTIFS(Raw_Payments!B:B,A224)=0,"",SUMPRODUCT(MAX((Raw_Payments!B$2:B$1079=A224)*Raw_Payments!D$2:D$1079)))</f>
        <v/>
      </c>
      <c r="M224" s="3">
        <f>IF(K224="PAID",MAX(0,L224-G224),Guide!$B$3-G224)</f>
        <v/>
      </c>
      <c r="N224" s="3">
        <f>IF(J224&lt;=0.005,"COLLECTED",IF(M224&lt;=30,"1-30",IF(M224&lt;=60,"31-60",IF(M224&lt;=90,"61-90","90+"))))</f>
        <v/>
      </c>
      <c r="O224" s="3">
        <f>IF(N224="90+","LOST",IF(N224="61-90","ESCALATE",IF(N224="31-60","WATCH",IF(N224="1-30","MILD","OK"))))</f>
        <v/>
      </c>
      <c r="P224" s="3">
        <f>IF(J224&gt;0.005,ROW()-1,"")</f>
        <v/>
      </c>
    </row>
    <row r="225">
      <c r="A225" s="3" t="inlineStr">
        <is>
          <t>D0224</t>
        </is>
      </c>
      <c r="B225" s="3">
        <f>INDEX(Raw_Schedule!B:B,MATCH(A225,Raw_Schedule!A:A,0))</f>
        <v/>
      </c>
      <c r="C225" s="3">
        <f>INDEX(Raw_Schedule!C:C,MATCH(A225,Raw_Schedule!A:A,0))</f>
        <v/>
      </c>
      <c r="D225" s="3">
        <f>INDEX(Raw_Schedule!D:D,MATCH(A225,Raw_Schedule!A:A,0))</f>
        <v/>
      </c>
      <c r="E225" s="3">
        <f>INDEX(Raw_Schedule!E:E,MATCH(A225,Raw_Schedule!A:A,0))</f>
        <v/>
      </c>
      <c r="F225" s="3">
        <f>INDEX(Raw_Schedule!F:F,MATCH(A225,Raw_Schedule!A:A,0))</f>
        <v/>
      </c>
      <c r="G225" s="4">
        <f>INDEX(Raw_Schedule!G:G,MATCH(A225,Raw_Schedule!A:A,0))</f>
        <v/>
      </c>
      <c r="H225" s="5">
        <f>INDEX(Raw_Schedule!H:H,MATCH(A225,Raw_Schedule!A:A,0))</f>
        <v/>
      </c>
      <c r="I225" s="5">
        <f>SUMIFS(Raw_Payments!E:E,Raw_Payments!B:B,A225)</f>
        <v/>
      </c>
      <c r="J225" s="5">
        <f>H225-I225</f>
        <v/>
      </c>
      <c r="K225" s="3">
        <f>IF(J225&lt;=0.005,"PAID",IF(I225&gt;0,"PARTIAL","OVERDUE"))</f>
        <v/>
      </c>
      <c r="L225" s="4">
        <f>IF(COUNTIFS(Raw_Payments!B:B,A225)=0,"",SUMPRODUCT(MAX((Raw_Payments!B$2:B$1079=A225)*Raw_Payments!D$2:D$1079)))</f>
        <v/>
      </c>
      <c r="M225" s="3">
        <f>IF(K225="PAID",MAX(0,L225-G225),Guide!$B$3-G225)</f>
        <v/>
      </c>
      <c r="N225" s="3">
        <f>IF(J225&lt;=0.005,"COLLECTED",IF(M225&lt;=30,"1-30",IF(M225&lt;=60,"31-60",IF(M225&lt;=90,"61-90","90+"))))</f>
        <v/>
      </c>
      <c r="O225" s="3">
        <f>IF(N225="90+","LOST",IF(N225="61-90","ESCALATE",IF(N225="31-60","WATCH",IF(N225="1-30","MILD","OK"))))</f>
        <v/>
      </c>
      <c r="P225" s="3">
        <f>IF(J225&gt;0.005,ROW()-1,"")</f>
        <v/>
      </c>
    </row>
    <row r="226">
      <c r="A226" s="3" t="inlineStr">
        <is>
          <t>D0225</t>
        </is>
      </c>
      <c r="B226" s="3">
        <f>INDEX(Raw_Schedule!B:B,MATCH(A226,Raw_Schedule!A:A,0))</f>
        <v/>
      </c>
      <c r="C226" s="3">
        <f>INDEX(Raw_Schedule!C:C,MATCH(A226,Raw_Schedule!A:A,0))</f>
        <v/>
      </c>
      <c r="D226" s="3">
        <f>INDEX(Raw_Schedule!D:D,MATCH(A226,Raw_Schedule!A:A,0))</f>
        <v/>
      </c>
      <c r="E226" s="3">
        <f>INDEX(Raw_Schedule!E:E,MATCH(A226,Raw_Schedule!A:A,0))</f>
        <v/>
      </c>
      <c r="F226" s="3">
        <f>INDEX(Raw_Schedule!F:F,MATCH(A226,Raw_Schedule!A:A,0))</f>
        <v/>
      </c>
      <c r="G226" s="4">
        <f>INDEX(Raw_Schedule!G:G,MATCH(A226,Raw_Schedule!A:A,0))</f>
        <v/>
      </c>
      <c r="H226" s="5">
        <f>INDEX(Raw_Schedule!H:H,MATCH(A226,Raw_Schedule!A:A,0))</f>
        <v/>
      </c>
      <c r="I226" s="5">
        <f>SUMIFS(Raw_Payments!E:E,Raw_Payments!B:B,A226)</f>
        <v/>
      </c>
      <c r="J226" s="5">
        <f>H226-I226</f>
        <v/>
      </c>
      <c r="K226" s="3">
        <f>IF(J226&lt;=0.005,"PAID",IF(I226&gt;0,"PARTIAL","OVERDUE"))</f>
        <v/>
      </c>
      <c r="L226" s="4">
        <f>IF(COUNTIFS(Raw_Payments!B:B,A226)=0,"",SUMPRODUCT(MAX((Raw_Payments!B$2:B$1079=A226)*Raw_Payments!D$2:D$1079)))</f>
        <v/>
      </c>
      <c r="M226" s="3">
        <f>IF(K226="PAID",MAX(0,L226-G226),Guide!$B$3-G226)</f>
        <v/>
      </c>
      <c r="N226" s="3">
        <f>IF(J226&lt;=0.005,"COLLECTED",IF(M226&lt;=30,"1-30",IF(M226&lt;=60,"31-60",IF(M226&lt;=90,"61-90","90+"))))</f>
        <v/>
      </c>
      <c r="O226" s="3">
        <f>IF(N226="90+","LOST",IF(N226="61-90","ESCALATE",IF(N226="31-60","WATCH",IF(N226="1-30","MILD","OK"))))</f>
        <v/>
      </c>
      <c r="P226" s="3">
        <f>IF(J226&gt;0.005,ROW()-1,"")</f>
        <v/>
      </c>
    </row>
    <row r="227">
      <c r="A227" s="3" t="inlineStr">
        <is>
          <t>D0226</t>
        </is>
      </c>
      <c r="B227" s="3">
        <f>INDEX(Raw_Schedule!B:B,MATCH(A227,Raw_Schedule!A:A,0))</f>
        <v/>
      </c>
      <c r="C227" s="3">
        <f>INDEX(Raw_Schedule!C:C,MATCH(A227,Raw_Schedule!A:A,0))</f>
        <v/>
      </c>
      <c r="D227" s="3">
        <f>INDEX(Raw_Schedule!D:D,MATCH(A227,Raw_Schedule!A:A,0))</f>
        <v/>
      </c>
      <c r="E227" s="3">
        <f>INDEX(Raw_Schedule!E:E,MATCH(A227,Raw_Schedule!A:A,0))</f>
        <v/>
      </c>
      <c r="F227" s="3">
        <f>INDEX(Raw_Schedule!F:F,MATCH(A227,Raw_Schedule!A:A,0))</f>
        <v/>
      </c>
      <c r="G227" s="4">
        <f>INDEX(Raw_Schedule!G:G,MATCH(A227,Raw_Schedule!A:A,0))</f>
        <v/>
      </c>
      <c r="H227" s="5">
        <f>INDEX(Raw_Schedule!H:H,MATCH(A227,Raw_Schedule!A:A,0))</f>
        <v/>
      </c>
      <c r="I227" s="5">
        <f>SUMIFS(Raw_Payments!E:E,Raw_Payments!B:B,A227)</f>
        <v/>
      </c>
      <c r="J227" s="5">
        <f>H227-I227</f>
        <v/>
      </c>
      <c r="K227" s="3">
        <f>IF(J227&lt;=0.005,"PAID",IF(I227&gt;0,"PARTIAL","OVERDUE"))</f>
        <v/>
      </c>
      <c r="L227" s="4">
        <f>IF(COUNTIFS(Raw_Payments!B:B,A227)=0,"",SUMPRODUCT(MAX((Raw_Payments!B$2:B$1079=A227)*Raw_Payments!D$2:D$1079)))</f>
        <v/>
      </c>
      <c r="M227" s="3">
        <f>IF(K227="PAID",MAX(0,L227-G227),Guide!$B$3-G227)</f>
        <v/>
      </c>
      <c r="N227" s="3">
        <f>IF(J227&lt;=0.005,"COLLECTED",IF(M227&lt;=30,"1-30",IF(M227&lt;=60,"31-60",IF(M227&lt;=90,"61-90","90+"))))</f>
        <v/>
      </c>
      <c r="O227" s="3">
        <f>IF(N227="90+","LOST",IF(N227="61-90","ESCALATE",IF(N227="31-60","WATCH",IF(N227="1-30","MILD","OK"))))</f>
        <v/>
      </c>
      <c r="P227" s="3">
        <f>IF(J227&gt;0.005,ROW()-1,"")</f>
        <v/>
      </c>
    </row>
    <row r="228">
      <c r="A228" s="3" t="inlineStr">
        <is>
          <t>D0227</t>
        </is>
      </c>
      <c r="B228" s="3">
        <f>INDEX(Raw_Schedule!B:B,MATCH(A228,Raw_Schedule!A:A,0))</f>
        <v/>
      </c>
      <c r="C228" s="3">
        <f>INDEX(Raw_Schedule!C:C,MATCH(A228,Raw_Schedule!A:A,0))</f>
        <v/>
      </c>
      <c r="D228" s="3">
        <f>INDEX(Raw_Schedule!D:D,MATCH(A228,Raw_Schedule!A:A,0))</f>
        <v/>
      </c>
      <c r="E228" s="3">
        <f>INDEX(Raw_Schedule!E:E,MATCH(A228,Raw_Schedule!A:A,0))</f>
        <v/>
      </c>
      <c r="F228" s="3">
        <f>INDEX(Raw_Schedule!F:F,MATCH(A228,Raw_Schedule!A:A,0))</f>
        <v/>
      </c>
      <c r="G228" s="4">
        <f>INDEX(Raw_Schedule!G:G,MATCH(A228,Raw_Schedule!A:A,0))</f>
        <v/>
      </c>
      <c r="H228" s="5">
        <f>INDEX(Raw_Schedule!H:H,MATCH(A228,Raw_Schedule!A:A,0))</f>
        <v/>
      </c>
      <c r="I228" s="5">
        <f>SUMIFS(Raw_Payments!E:E,Raw_Payments!B:B,A228)</f>
        <v/>
      </c>
      <c r="J228" s="5">
        <f>H228-I228</f>
        <v/>
      </c>
      <c r="K228" s="3">
        <f>IF(J228&lt;=0.005,"PAID",IF(I228&gt;0,"PARTIAL","OVERDUE"))</f>
        <v/>
      </c>
      <c r="L228" s="4">
        <f>IF(COUNTIFS(Raw_Payments!B:B,A228)=0,"",SUMPRODUCT(MAX((Raw_Payments!B$2:B$1079=A228)*Raw_Payments!D$2:D$1079)))</f>
        <v/>
      </c>
      <c r="M228" s="3">
        <f>IF(K228="PAID",MAX(0,L228-G228),Guide!$B$3-G228)</f>
        <v/>
      </c>
      <c r="N228" s="3">
        <f>IF(J228&lt;=0.005,"COLLECTED",IF(M228&lt;=30,"1-30",IF(M228&lt;=60,"31-60",IF(M228&lt;=90,"61-90","90+"))))</f>
        <v/>
      </c>
      <c r="O228" s="3">
        <f>IF(N228="90+","LOST",IF(N228="61-90","ESCALATE",IF(N228="31-60","WATCH",IF(N228="1-30","MILD","OK"))))</f>
        <v/>
      </c>
      <c r="P228" s="3">
        <f>IF(J228&gt;0.005,ROW()-1,"")</f>
        <v/>
      </c>
    </row>
    <row r="229">
      <c r="A229" s="3" t="inlineStr">
        <is>
          <t>D0228</t>
        </is>
      </c>
      <c r="B229" s="3">
        <f>INDEX(Raw_Schedule!B:B,MATCH(A229,Raw_Schedule!A:A,0))</f>
        <v/>
      </c>
      <c r="C229" s="3">
        <f>INDEX(Raw_Schedule!C:C,MATCH(A229,Raw_Schedule!A:A,0))</f>
        <v/>
      </c>
      <c r="D229" s="3">
        <f>INDEX(Raw_Schedule!D:D,MATCH(A229,Raw_Schedule!A:A,0))</f>
        <v/>
      </c>
      <c r="E229" s="3">
        <f>INDEX(Raw_Schedule!E:E,MATCH(A229,Raw_Schedule!A:A,0))</f>
        <v/>
      </c>
      <c r="F229" s="3">
        <f>INDEX(Raw_Schedule!F:F,MATCH(A229,Raw_Schedule!A:A,0))</f>
        <v/>
      </c>
      <c r="G229" s="4">
        <f>INDEX(Raw_Schedule!G:G,MATCH(A229,Raw_Schedule!A:A,0))</f>
        <v/>
      </c>
      <c r="H229" s="5">
        <f>INDEX(Raw_Schedule!H:H,MATCH(A229,Raw_Schedule!A:A,0))</f>
        <v/>
      </c>
      <c r="I229" s="5">
        <f>SUMIFS(Raw_Payments!E:E,Raw_Payments!B:B,A229)</f>
        <v/>
      </c>
      <c r="J229" s="5">
        <f>H229-I229</f>
        <v/>
      </c>
      <c r="K229" s="3">
        <f>IF(J229&lt;=0.005,"PAID",IF(I229&gt;0,"PARTIAL","OVERDUE"))</f>
        <v/>
      </c>
      <c r="L229" s="4">
        <f>IF(COUNTIFS(Raw_Payments!B:B,A229)=0,"",SUMPRODUCT(MAX((Raw_Payments!B$2:B$1079=A229)*Raw_Payments!D$2:D$1079)))</f>
        <v/>
      </c>
      <c r="M229" s="3">
        <f>IF(K229="PAID",MAX(0,L229-G229),Guide!$B$3-G229)</f>
        <v/>
      </c>
      <c r="N229" s="3">
        <f>IF(J229&lt;=0.005,"COLLECTED",IF(M229&lt;=30,"1-30",IF(M229&lt;=60,"31-60",IF(M229&lt;=90,"61-90","90+"))))</f>
        <v/>
      </c>
      <c r="O229" s="3">
        <f>IF(N229="90+","LOST",IF(N229="61-90","ESCALATE",IF(N229="31-60","WATCH",IF(N229="1-30","MILD","OK"))))</f>
        <v/>
      </c>
      <c r="P229" s="3">
        <f>IF(J229&gt;0.005,ROW()-1,"")</f>
        <v/>
      </c>
    </row>
    <row r="230">
      <c r="A230" s="3" t="inlineStr">
        <is>
          <t>D0229</t>
        </is>
      </c>
      <c r="B230" s="3">
        <f>INDEX(Raw_Schedule!B:B,MATCH(A230,Raw_Schedule!A:A,0))</f>
        <v/>
      </c>
      <c r="C230" s="3">
        <f>INDEX(Raw_Schedule!C:C,MATCH(A230,Raw_Schedule!A:A,0))</f>
        <v/>
      </c>
      <c r="D230" s="3">
        <f>INDEX(Raw_Schedule!D:D,MATCH(A230,Raw_Schedule!A:A,0))</f>
        <v/>
      </c>
      <c r="E230" s="3">
        <f>INDEX(Raw_Schedule!E:E,MATCH(A230,Raw_Schedule!A:A,0))</f>
        <v/>
      </c>
      <c r="F230" s="3">
        <f>INDEX(Raw_Schedule!F:F,MATCH(A230,Raw_Schedule!A:A,0))</f>
        <v/>
      </c>
      <c r="G230" s="4">
        <f>INDEX(Raw_Schedule!G:G,MATCH(A230,Raw_Schedule!A:A,0))</f>
        <v/>
      </c>
      <c r="H230" s="5">
        <f>INDEX(Raw_Schedule!H:H,MATCH(A230,Raw_Schedule!A:A,0))</f>
        <v/>
      </c>
      <c r="I230" s="5">
        <f>SUMIFS(Raw_Payments!E:E,Raw_Payments!B:B,A230)</f>
        <v/>
      </c>
      <c r="J230" s="5">
        <f>H230-I230</f>
        <v/>
      </c>
      <c r="K230" s="3">
        <f>IF(J230&lt;=0.005,"PAID",IF(I230&gt;0,"PARTIAL","OVERDUE"))</f>
        <v/>
      </c>
      <c r="L230" s="4">
        <f>IF(COUNTIFS(Raw_Payments!B:B,A230)=0,"",SUMPRODUCT(MAX((Raw_Payments!B$2:B$1079=A230)*Raw_Payments!D$2:D$1079)))</f>
        <v/>
      </c>
      <c r="M230" s="3">
        <f>IF(K230="PAID",MAX(0,L230-G230),Guide!$B$3-G230)</f>
        <v/>
      </c>
      <c r="N230" s="3">
        <f>IF(J230&lt;=0.005,"COLLECTED",IF(M230&lt;=30,"1-30",IF(M230&lt;=60,"31-60",IF(M230&lt;=90,"61-90","90+"))))</f>
        <v/>
      </c>
      <c r="O230" s="3">
        <f>IF(N230="90+","LOST",IF(N230="61-90","ESCALATE",IF(N230="31-60","WATCH",IF(N230="1-30","MILD","OK"))))</f>
        <v/>
      </c>
      <c r="P230" s="3">
        <f>IF(J230&gt;0.005,ROW()-1,"")</f>
        <v/>
      </c>
    </row>
    <row r="231">
      <c r="A231" s="3" t="inlineStr">
        <is>
          <t>D0230</t>
        </is>
      </c>
      <c r="B231" s="3">
        <f>INDEX(Raw_Schedule!B:B,MATCH(A231,Raw_Schedule!A:A,0))</f>
        <v/>
      </c>
      <c r="C231" s="3">
        <f>INDEX(Raw_Schedule!C:C,MATCH(A231,Raw_Schedule!A:A,0))</f>
        <v/>
      </c>
      <c r="D231" s="3">
        <f>INDEX(Raw_Schedule!D:D,MATCH(A231,Raw_Schedule!A:A,0))</f>
        <v/>
      </c>
      <c r="E231" s="3">
        <f>INDEX(Raw_Schedule!E:E,MATCH(A231,Raw_Schedule!A:A,0))</f>
        <v/>
      </c>
      <c r="F231" s="3">
        <f>INDEX(Raw_Schedule!F:F,MATCH(A231,Raw_Schedule!A:A,0))</f>
        <v/>
      </c>
      <c r="G231" s="4">
        <f>INDEX(Raw_Schedule!G:G,MATCH(A231,Raw_Schedule!A:A,0))</f>
        <v/>
      </c>
      <c r="H231" s="5">
        <f>INDEX(Raw_Schedule!H:H,MATCH(A231,Raw_Schedule!A:A,0))</f>
        <v/>
      </c>
      <c r="I231" s="5">
        <f>SUMIFS(Raw_Payments!E:E,Raw_Payments!B:B,A231)</f>
        <v/>
      </c>
      <c r="J231" s="5">
        <f>H231-I231</f>
        <v/>
      </c>
      <c r="K231" s="3">
        <f>IF(J231&lt;=0.005,"PAID",IF(I231&gt;0,"PARTIAL","OVERDUE"))</f>
        <v/>
      </c>
      <c r="L231" s="4">
        <f>IF(COUNTIFS(Raw_Payments!B:B,A231)=0,"",SUMPRODUCT(MAX((Raw_Payments!B$2:B$1079=A231)*Raw_Payments!D$2:D$1079)))</f>
        <v/>
      </c>
      <c r="M231" s="3">
        <f>IF(K231="PAID",MAX(0,L231-G231),Guide!$B$3-G231)</f>
        <v/>
      </c>
      <c r="N231" s="3">
        <f>IF(J231&lt;=0.005,"COLLECTED",IF(M231&lt;=30,"1-30",IF(M231&lt;=60,"31-60",IF(M231&lt;=90,"61-90","90+"))))</f>
        <v/>
      </c>
      <c r="O231" s="3">
        <f>IF(N231="90+","LOST",IF(N231="61-90","ESCALATE",IF(N231="31-60","WATCH",IF(N231="1-30","MILD","OK"))))</f>
        <v/>
      </c>
      <c r="P231" s="3">
        <f>IF(J231&gt;0.005,ROW()-1,"")</f>
        <v/>
      </c>
    </row>
    <row r="232">
      <c r="A232" s="3" t="inlineStr">
        <is>
          <t>D0231</t>
        </is>
      </c>
      <c r="B232" s="3">
        <f>INDEX(Raw_Schedule!B:B,MATCH(A232,Raw_Schedule!A:A,0))</f>
        <v/>
      </c>
      <c r="C232" s="3">
        <f>INDEX(Raw_Schedule!C:C,MATCH(A232,Raw_Schedule!A:A,0))</f>
        <v/>
      </c>
      <c r="D232" s="3">
        <f>INDEX(Raw_Schedule!D:D,MATCH(A232,Raw_Schedule!A:A,0))</f>
        <v/>
      </c>
      <c r="E232" s="3">
        <f>INDEX(Raw_Schedule!E:E,MATCH(A232,Raw_Schedule!A:A,0))</f>
        <v/>
      </c>
      <c r="F232" s="3">
        <f>INDEX(Raw_Schedule!F:F,MATCH(A232,Raw_Schedule!A:A,0))</f>
        <v/>
      </c>
      <c r="G232" s="4">
        <f>INDEX(Raw_Schedule!G:G,MATCH(A232,Raw_Schedule!A:A,0))</f>
        <v/>
      </c>
      <c r="H232" s="5">
        <f>INDEX(Raw_Schedule!H:H,MATCH(A232,Raw_Schedule!A:A,0))</f>
        <v/>
      </c>
      <c r="I232" s="5">
        <f>SUMIFS(Raw_Payments!E:E,Raw_Payments!B:B,A232)</f>
        <v/>
      </c>
      <c r="J232" s="5">
        <f>H232-I232</f>
        <v/>
      </c>
      <c r="K232" s="3">
        <f>IF(J232&lt;=0.005,"PAID",IF(I232&gt;0,"PARTIAL","OVERDUE"))</f>
        <v/>
      </c>
      <c r="L232" s="4">
        <f>IF(COUNTIFS(Raw_Payments!B:B,A232)=0,"",SUMPRODUCT(MAX((Raw_Payments!B$2:B$1079=A232)*Raw_Payments!D$2:D$1079)))</f>
        <v/>
      </c>
      <c r="M232" s="3">
        <f>IF(K232="PAID",MAX(0,L232-G232),Guide!$B$3-G232)</f>
        <v/>
      </c>
      <c r="N232" s="3">
        <f>IF(J232&lt;=0.005,"COLLECTED",IF(M232&lt;=30,"1-30",IF(M232&lt;=60,"31-60",IF(M232&lt;=90,"61-90","90+"))))</f>
        <v/>
      </c>
      <c r="O232" s="3">
        <f>IF(N232="90+","LOST",IF(N232="61-90","ESCALATE",IF(N232="31-60","WATCH",IF(N232="1-30","MILD","OK"))))</f>
        <v/>
      </c>
      <c r="P232" s="3">
        <f>IF(J232&gt;0.005,ROW()-1,"")</f>
        <v/>
      </c>
    </row>
    <row r="233">
      <c r="A233" s="3" t="inlineStr">
        <is>
          <t>D0232</t>
        </is>
      </c>
      <c r="B233" s="3">
        <f>INDEX(Raw_Schedule!B:B,MATCH(A233,Raw_Schedule!A:A,0))</f>
        <v/>
      </c>
      <c r="C233" s="3">
        <f>INDEX(Raw_Schedule!C:C,MATCH(A233,Raw_Schedule!A:A,0))</f>
        <v/>
      </c>
      <c r="D233" s="3">
        <f>INDEX(Raw_Schedule!D:D,MATCH(A233,Raw_Schedule!A:A,0))</f>
        <v/>
      </c>
      <c r="E233" s="3">
        <f>INDEX(Raw_Schedule!E:E,MATCH(A233,Raw_Schedule!A:A,0))</f>
        <v/>
      </c>
      <c r="F233" s="3">
        <f>INDEX(Raw_Schedule!F:F,MATCH(A233,Raw_Schedule!A:A,0))</f>
        <v/>
      </c>
      <c r="G233" s="4">
        <f>INDEX(Raw_Schedule!G:G,MATCH(A233,Raw_Schedule!A:A,0))</f>
        <v/>
      </c>
      <c r="H233" s="5">
        <f>INDEX(Raw_Schedule!H:H,MATCH(A233,Raw_Schedule!A:A,0))</f>
        <v/>
      </c>
      <c r="I233" s="5">
        <f>SUMIFS(Raw_Payments!E:E,Raw_Payments!B:B,A233)</f>
        <v/>
      </c>
      <c r="J233" s="5">
        <f>H233-I233</f>
        <v/>
      </c>
      <c r="K233" s="3">
        <f>IF(J233&lt;=0.005,"PAID",IF(I233&gt;0,"PARTIAL","OVERDUE"))</f>
        <v/>
      </c>
      <c r="L233" s="4">
        <f>IF(COUNTIFS(Raw_Payments!B:B,A233)=0,"",SUMPRODUCT(MAX((Raw_Payments!B$2:B$1079=A233)*Raw_Payments!D$2:D$1079)))</f>
        <v/>
      </c>
      <c r="M233" s="3">
        <f>IF(K233="PAID",MAX(0,L233-G233),Guide!$B$3-G233)</f>
        <v/>
      </c>
      <c r="N233" s="3">
        <f>IF(J233&lt;=0.005,"COLLECTED",IF(M233&lt;=30,"1-30",IF(M233&lt;=60,"31-60",IF(M233&lt;=90,"61-90","90+"))))</f>
        <v/>
      </c>
      <c r="O233" s="3">
        <f>IF(N233="90+","LOST",IF(N233="61-90","ESCALATE",IF(N233="31-60","WATCH",IF(N233="1-30","MILD","OK"))))</f>
        <v/>
      </c>
      <c r="P233" s="3">
        <f>IF(J233&gt;0.005,ROW()-1,"")</f>
        <v/>
      </c>
    </row>
    <row r="234">
      <c r="A234" s="3" t="inlineStr">
        <is>
          <t>D0233</t>
        </is>
      </c>
      <c r="B234" s="3">
        <f>INDEX(Raw_Schedule!B:B,MATCH(A234,Raw_Schedule!A:A,0))</f>
        <v/>
      </c>
      <c r="C234" s="3">
        <f>INDEX(Raw_Schedule!C:C,MATCH(A234,Raw_Schedule!A:A,0))</f>
        <v/>
      </c>
      <c r="D234" s="3">
        <f>INDEX(Raw_Schedule!D:D,MATCH(A234,Raw_Schedule!A:A,0))</f>
        <v/>
      </c>
      <c r="E234" s="3">
        <f>INDEX(Raw_Schedule!E:E,MATCH(A234,Raw_Schedule!A:A,0))</f>
        <v/>
      </c>
      <c r="F234" s="3">
        <f>INDEX(Raw_Schedule!F:F,MATCH(A234,Raw_Schedule!A:A,0))</f>
        <v/>
      </c>
      <c r="G234" s="4">
        <f>INDEX(Raw_Schedule!G:G,MATCH(A234,Raw_Schedule!A:A,0))</f>
        <v/>
      </c>
      <c r="H234" s="5">
        <f>INDEX(Raw_Schedule!H:H,MATCH(A234,Raw_Schedule!A:A,0))</f>
        <v/>
      </c>
      <c r="I234" s="5">
        <f>SUMIFS(Raw_Payments!E:E,Raw_Payments!B:B,A234)</f>
        <v/>
      </c>
      <c r="J234" s="5">
        <f>H234-I234</f>
        <v/>
      </c>
      <c r="K234" s="3">
        <f>IF(J234&lt;=0.005,"PAID",IF(I234&gt;0,"PARTIAL","OVERDUE"))</f>
        <v/>
      </c>
      <c r="L234" s="4">
        <f>IF(COUNTIFS(Raw_Payments!B:B,A234)=0,"",SUMPRODUCT(MAX((Raw_Payments!B$2:B$1079=A234)*Raw_Payments!D$2:D$1079)))</f>
        <v/>
      </c>
      <c r="M234" s="3">
        <f>IF(K234="PAID",MAX(0,L234-G234),Guide!$B$3-G234)</f>
        <v/>
      </c>
      <c r="N234" s="3">
        <f>IF(J234&lt;=0.005,"COLLECTED",IF(M234&lt;=30,"1-30",IF(M234&lt;=60,"31-60",IF(M234&lt;=90,"61-90","90+"))))</f>
        <v/>
      </c>
      <c r="O234" s="3">
        <f>IF(N234="90+","LOST",IF(N234="61-90","ESCALATE",IF(N234="31-60","WATCH",IF(N234="1-30","MILD","OK"))))</f>
        <v/>
      </c>
      <c r="P234" s="3">
        <f>IF(J234&gt;0.005,ROW()-1,"")</f>
        <v/>
      </c>
    </row>
    <row r="235">
      <c r="A235" s="3" t="inlineStr">
        <is>
          <t>D0234</t>
        </is>
      </c>
      <c r="B235" s="3">
        <f>INDEX(Raw_Schedule!B:B,MATCH(A235,Raw_Schedule!A:A,0))</f>
        <v/>
      </c>
      <c r="C235" s="3">
        <f>INDEX(Raw_Schedule!C:C,MATCH(A235,Raw_Schedule!A:A,0))</f>
        <v/>
      </c>
      <c r="D235" s="3">
        <f>INDEX(Raw_Schedule!D:D,MATCH(A235,Raw_Schedule!A:A,0))</f>
        <v/>
      </c>
      <c r="E235" s="3">
        <f>INDEX(Raw_Schedule!E:E,MATCH(A235,Raw_Schedule!A:A,0))</f>
        <v/>
      </c>
      <c r="F235" s="3">
        <f>INDEX(Raw_Schedule!F:F,MATCH(A235,Raw_Schedule!A:A,0))</f>
        <v/>
      </c>
      <c r="G235" s="4">
        <f>INDEX(Raw_Schedule!G:G,MATCH(A235,Raw_Schedule!A:A,0))</f>
        <v/>
      </c>
      <c r="H235" s="5">
        <f>INDEX(Raw_Schedule!H:H,MATCH(A235,Raw_Schedule!A:A,0))</f>
        <v/>
      </c>
      <c r="I235" s="5">
        <f>SUMIFS(Raw_Payments!E:E,Raw_Payments!B:B,A235)</f>
        <v/>
      </c>
      <c r="J235" s="5">
        <f>H235-I235</f>
        <v/>
      </c>
      <c r="K235" s="3">
        <f>IF(J235&lt;=0.005,"PAID",IF(I235&gt;0,"PARTIAL","OVERDUE"))</f>
        <v/>
      </c>
      <c r="L235" s="4">
        <f>IF(COUNTIFS(Raw_Payments!B:B,A235)=0,"",SUMPRODUCT(MAX((Raw_Payments!B$2:B$1079=A235)*Raw_Payments!D$2:D$1079)))</f>
        <v/>
      </c>
      <c r="M235" s="3">
        <f>IF(K235="PAID",MAX(0,L235-G235),Guide!$B$3-G235)</f>
        <v/>
      </c>
      <c r="N235" s="3">
        <f>IF(J235&lt;=0.005,"COLLECTED",IF(M235&lt;=30,"1-30",IF(M235&lt;=60,"31-60",IF(M235&lt;=90,"61-90","90+"))))</f>
        <v/>
      </c>
      <c r="O235" s="3">
        <f>IF(N235="90+","LOST",IF(N235="61-90","ESCALATE",IF(N235="31-60","WATCH",IF(N235="1-30","MILD","OK"))))</f>
        <v/>
      </c>
      <c r="P235" s="3">
        <f>IF(J235&gt;0.005,ROW()-1,"")</f>
        <v/>
      </c>
    </row>
    <row r="236">
      <c r="A236" s="3" t="inlineStr">
        <is>
          <t>D0235</t>
        </is>
      </c>
      <c r="B236" s="3">
        <f>INDEX(Raw_Schedule!B:B,MATCH(A236,Raw_Schedule!A:A,0))</f>
        <v/>
      </c>
      <c r="C236" s="3">
        <f>INDEX(Raw_Schedule!C:C,MATCH(A236,Raw_Schedule!A:A,0))</f>
        <v/>
      </c>
      <c r="D236" s="3">
        <f>INDEX(Raw_Schedule!D:D,MATCH(A236,Raw_Schedule!A:A,0))</f>
        <v/>
      </c>
      <c r="E236" s="3">
        <f>INDEX(Raw_Schedule!E:E,MATCH(A236,Raw_Schedule!A:A,0))</f>
        <v/>
      </c>
      <c r="F236" s="3">
        <f>INDEX(Raw_Schedule!F:F,MATCH(A236,Raw_Schedule!A:A,0))</f>
        <v/>
      </c>
      <c r="G236" s="4">
        <f>INDEX(Raw_Schedule!G:G,MATCH(A236,Raw_Schedule!A:A,0))</f>
        <v/>
      </c>
      <c r="H236" s="5">
        <f>INDEX(Raw_Schedule!H:H,MATCH(A236,Raw_Schedule!A:A,0))</f>
        <v/>
      </c>
      <c r="I236" s="5">
        <f>SUMIFS(Raw_Payments!E:E,Raw_Payments!B:B,A236)</f>
        <v/>
      </c>
      <c r="J236" s="5">
        <f>H236-I236</f>
        <v/>
      </c>
      <c r="K236" s="3">
        <f>IF(J236&lt;=0.005,"PAID",IF(I236&gt;0,"PARTIAL","OVERDUE"))</f>
        <v/>
      </c>
      <c r="L236" s="4">
        <f>IF(COUNTIFS(Raw_Payments!B:B,A236)=0,"",SUMPRODUCT(MAX((Raw_Payments!B$2:B$1079=A236)*Raw_Payments!D$2:D$1079)))</f>
        <v/>
      </c>
      <c r="M236" s="3">
        <f>IF(K236="PAID",MAX(0,L236-G236),Guide!$B$3-G236)</f>
        <v/>
      </c>
      <c r="N236" s="3">
        <f>IF(J236&lt;=0.005,"COLLECTED",IF(M236&lt;=30,"1-30",IF(M236&lt;=60,"31-60",IF(M236&lt;=90,"61-90","90+"))))</f>
        <v/>
      </c>
      <c r="O236" s="3">
        <f>IF(N236="90+","LOST",IF(N236="61-90","ESCALATE",IF(N236="31-60","WATCH",IF(N236="1-30","MILD","OK"))))</f>
        <v/>
      </c>
      <c r="P236" s="3">
        <f>IF(J236&gt;0.005,ROW()-1,"")</f>
        <v/>
      </c>
    </row>
    <row r="237">
      <c r="A237" s="3" t="inlineStr">
        <is>
          <t>D0236</t>
        </is>
      </c>
      <c r="B237" s="3">
        <f>INDEX(Raw_Schedule!B:B,MATCH(A237,Raw_Schedule!A:A,0))</f>
        <v/>
      </c>
      <c r="C237" s="3">
        <f>INDEX(Raw_Schedule!C:C,MATCH(A237,Raw_Schedule!A:A,0))</f>
        <v/>
      </c>
      <c r="D237" s="3">
        <f>INDEX(Raw_Schedule!D:D,MATCH(A237,Raw_Schedule!A:A,0))</f>
        <v/>
      </c>
      <c r="E237" s="3">
        <f>INDEX(Raw_Schedule!E:E,MATCH(A237,Raw_Schedule!A:A,0))</f>
        <v/>
      </c>
      <c r="F237" s="3">
        <f>INDEX(Raw_Schedule!F:F,MATCH(A237,Raw_Schedule!A:A,0))</f>
        <v/>
      </c>
      <c r="G237" s="4">
        <f>INDEX(Raw_Schedule!G:G,MATCH(A237,Raw_Schedule!A:A,0))</f>
        <v/>
      </c>
      <c r="H237" s="5">
        <f>INDEX(Raw_Schedule!H:H,MATCH(A237,Raw_Schedule!A:A,0))</f>
        <v/>
      </c>
      <c r="I237" s="5">
        <f>SUMIFS(Raw_Payments!E:E,Raw_Payments!B:B,A237)</f>
        <v/>
      </c>
      <c r="J237" s="5">
        <f>H237-I237</f>
        <v/>
      </c>
      <c r="K237" s="3">
        <f>IF(J237&lt;=0.005,"PAID",IF(I237&gt;0,"PARTIAL","OVERDUE"))</f>
        <v/>
      </c>
      <c r="L237" s="4">
        <f>IF(COUNTIFS(Raw_Payments!B:B,A237)=0,"",SUMPRODUCT(MAX((Raw_Payments!B$2:B$1079=A237)*Raw_Payments!D$2:D$1079)))</f>
        <v/>
      </c>
      <c r="M237" s="3">
        <f>IF(K237="PAID",MAX(0,L237-G237),Guide!$B$3-G237)</f>
        <v/>
      </c>
      <c r="N237" s="3">
        <f>IF(J237&lt;=0.005,"COLLECTED",IF(M237&lt;=30,"1-30",IF(M237&lt;=60,"31-60",IF(M237&lt;=90,"61-90","90+"))))</f>
        <v/>
      </c>
      <c r="O237" s="3">
        <f>IF(N237="90+","LOST",IF(N237="61-90","ESCALATE",IF(N237="31-60","WATCH",IF(N237="1-30","MILD","OK"))))</f>
        <v/>
      </c>
      <c r="P237" s="3">
        <f>IF(J237&gt;0.005,ROW()-1,"")</f>
        <v/>
      </c>
    </row>
    <row r="238">
      <c r="A238" s="3" t="inlineStr">
        <is>
          <t>D0237</t>
        </is>
      </c>
      <c r="B238" s="3">
        <f>INDEX(Raw_Schedule!B:B,MATCH(A238,Raw_Schedule!A:A,0))</f>
        <v/>
      </c>
      <c r="C238" s="3">
        <f>INDEX(Raw_Schedule!C:C,MATCH(A238,Raw_Schedule!A:A,0))</f>
        <v/>
      </c>
      <c r="D238" s="3">
        <f>INDEX(Raw_Schedule!D:D,MATCH(A238,Raw_Schedule!A:A,0))</f>
        <v/>
      </c>
      <c r="E238" s="3">
        <f>INDEX(Raw_Schedule!E:E,MATCH(A238,Raw_Schedule!A:A,0))</f>
        <v/>
      </c>
      <c r="F238" s="3">
        <f>INDEX(Raw_Schedule!F:F,MATCH(A238,Raw_Schedule!A:A,0))</f>
        <v/>
      </c>
      <c r="G238" s="4">
        <f>INDEX(Raw_Schedule!G:G,MATCH(A238,Raw_Schedule!A:A,0))</f>
        <v/>
      </c>
      <c r="H238" s="5">
        <f>INDEX(Raw_Schedule!H:H,MATCH(A238,Raw_Schedule!A:A,0))</f>
        <v/>
      </c>
      <c r="I238" s="5">
        <f>SUMIFS(Raw_Payments!E:E,Raw_Payments!B:B,A238)</f>
        <v/>
      </c>
      <c r="J238" s="5">
        <f>H238-I238</f>
        <v/>
      </c>
      <c r="K238" s="3">
        <f>IF(J238&lt;=0.005,"PAID",IF(I238&gt;0,"PARTIAL","OVERDUE"))</f>
        <v/>
      </c>
      <c r="L238" s="4">
        <f>IF(COUNTIFS(Raw_Payments!B:B,A238)=0,"",SUMPRODUCT(MAX((Raw_Payments!B$2:B$1079=A238)*Raw_Payments!D$2:D$1079)))</f>
        <v/>
      </c>
      <c r="M238" s="3">
        <f>IF(K238="PAID",MAX(0,L238-G238),Guide!$B$3-G238)</f>
        <v/>
      </c>
      <c r="N238" s="3">
        <f>IF(J238&lt;=0.005,"COLLECTED",IF(M238&lt;=30,"1-30",IF(M238&lt;=60,"31-60",IF(M238&lt;=90,"61-90","90+"))))</f>
        <v/>
      </c>
      <c r="O238" s="3">
        <f>IF(N238="90+","LOST",IF(N238="61-90","ESCALATE",IF(N238="31-60","WATCH",IF(N238="1-30","MILD","OK"))))</f>
        <v/>
      </c>
      <c r="P238" s="3">
        <f>IF(J238&gt;0.005,ROW()-1,"")</f>
        <v/>
      </c>
    </row>
    <row r="239">
      <c r="A239" s="3" t="inlineStr">
        <is>
          <t>D0238</t>
        </is>
      </c>
      <c r="B239" s="3">
        <f>INDEX(Raw_Schedule!B:B,MATCH(A239,Raw_Schedule!A:A,0))</f>
        <v/>
      </c>
      <c r="C239" s="3">
        <f>INDEX(Raw_Schedule!C:C,MATCH(A239,Raw_Schedule!A:A,0))</f>
        <v/>
      </c>
      <c r="D239" s="3">
        <f>INDEX(Raw_Schedule!D:D,MATCH(A239,Raw_Schedule!A:A,0))</f>
        <v/>
      </c>
      <c r="E239" s="3">
        <f>INDEX(Raw_Schedule!E:E,MATCH(A239,Raw_Schedule!A:A,0))</f>
        <v/>
      </c>
      <c r="F239" s="3">
        <f>INDEX(Raw_Schedule!F:F,MATCH(A239,Raw_Schedule!A:A,0))</f>
        <v/>
      </c>
      <c r="G239" s="4">
        <f>INDEX(Raw_Schedule!G:G,MATCH(A239,Raw_Schedule!A:A,0))</f>
        <v/>
      </c>
      <c r="H239" s="5">
        <f>INDEX(Raw_Schedule!H:H,MATCH(A239,Raw_Schedule!A:A,0))</f>
        <v/>
      </c>
      <c r="I239" s="5">
        <f>SUMIFS(Raw_Payments!E:E,Raw_Payments!B:B,A239)</f>
        <v/>
      </c>
      <c r="J239" s="5">
        <f>H239-I239</f>
        <v/>
      </c>
      <c r="K239" s="3">
        <f>IF(J239&lt;=0.005,"PAID",IF(I239&gt;0,"PARTIAL","OVERDUE"))</f>
        <v/>
      </c>
      <c r="L239" s="4">
        <f>IF(COUNTIFS(Raw_Payments!B:B,A239)=0,"",SUMPRODUCT(MAX((Raw_Payments!B$2:B$1079=A239)*Raw_Payments!D$2:D$1079)))</f>
        <v/>
      </c>
      <c r="M239" s="3">
        <f>IF(K239="PAID",MAX(0,L239-G239),Guide!$B$3-G239)</f>
        <v/>
      </c>
      <c r="N239" s="3">
        <f>IF(J239&lt;=0.005,"COLLECTED",IF(M239&lt;=30,"1-30",IF(M239&lt;=60,"31-60",IF(M239&lt;=90,"61-90","90+"))))</f>
        <v/>
      </c>
      <c r="O239" s="3">
        <f>IF(N239="90+","LOST",IF(N239="61-90","ESCALATE",IF(N239="31-60","WATCH",IF(N239="1-30","MILD","OK"))))</f>
        <v/>
      </c>
      <c r="P239" s="3">
        <f>IF(J239&gt;0.005,ROW()-1,"")</f>
        <v/>
      </c>
    </row>
    <row r="240">
      <c r="A240" s="3" t="inlineStr">
        <is>
          <t>D0239</t>
        </is>
      </c>
      <c r="B240" s="3">
        <f>INDEX(Raw_Schedule!B:B,MATCH(A240,Raw_Schedule!A:A,0))</f>
        <v/>
      </c>
      <c r="C240" s="3">
        <f>INDEX(Raw_Schedule!C:C,MATCH(A240,Raw_Schedule!A:A,0))</f>
        <v/>
      </c>
      <c r="D240" s="3">
        <f>INDEX(Raw_Schedule!D:D,MATCH(A240,Raw_Schedule!A:A,0))</f>
        <v/>
      </c>
      <c r="E240" s="3">
        <f>INDEX(Raw_Schedule!E:E,MATCH(A240,Raw_Schedule!A:A,0))</f>
        <v/>
      </c>
      <c r="F240" s="3">
        <f>INDEX(Raw_Schedule!F:F,MATCH(A240,Raw_Schedule!A:A,0))</f>
        <v/>
      </c>
      <c r="G240" s="4">
        <f>INDEX(Raw_Schedule!G:G,MATCH(A240,Raw_Schedule!A:A,0))</f>
        <v/>
      </c>
      <c r="H240" s="5">
        <f>INDEX(Raw_Schedule!H:H,MATCH(A240,Raw_Schedule!A:A,0))</f>
        <v/>
      </c>
      <c r="I240" s="5">
        <f>SUMIFS(Raw_Payments!E:E,Raw_Payments!B:B,A240)</f>
        <v/>
      </c>
      <c r="J240" s="5">
        <f>H240-I240</f>
        <v/>
      </c>
      <c r="K240" s="3">
        <f>IF(J240&lt;=0.005,"PAID",IF(I240&gt;0,"PARTIAL","OVERDUE"))</f>
        <v/>
      </c>
      <c r="L240" s="4">
        <f>IF(COUNTIFS(Raw_Payments!B:B,A240)=0,"",SUMPRODUCT(MAX((Raw_Payments!B$2:B$1079=A240)*Raw_Payments!D$2:D$1079)))</f>
        <v/>
      </c>
      <c r="M240" s="3">
        <f>IF(K240="PAID",MAX(0,L240-G240),Guide!$B$3-G240)</f>
        <v/>
      </c>
      <c r="N240" s="3">
        <f>IF(J240&lt;=0.005,"COLLECTED",IF(M240&lt;=30,"1-30",IF(M240&lt;=60,"31-60",IF(M240&lt;=90,"61-90","90+"))))</f>
        <v/>
      </c>
      <c r="O240" s="3">
        <f>IF(N240="90+","LOST",IF(N240="61-90","ESCALATE",IF(N240="31-60","WATCH",IF(N240="1-30","MILD","OK"))))</f>
        <v/>
      </c>
      <c r="P240" s="3">
        <f>IF(J240&gt;0.005,ROW()-1,"")</f>
        <v/>
      </c>
    </row>
    <row r="241">
      <c r="A241" s="3" t="inlineStr">
        <is>
          <t>D0240</t>
        </is>
      </c>
      <c r="B241" s="3">
        <f>INDEX(Raw_Schedule!B:B,MATCH(A241,Raw_Schedule!A:A,0))</f>
        <v/>
      </c>
      <c r="C241" s="3">
        <f>INDEX(Raw_Schedule!C:C,MATCH(A241,Raw_Schedule!A:A,0))</f>
        <v/>
      </c>
      <c r="D241" s="3">
        <f>INDEX(Raw_Schedule!D:D,MATCH(A241,Raw_Schedule!A:A,0))</f>
        <v/>
      </c>
      <c r="E241" s="3">
        <f>INDEX(Raw_Schedule!E:E,MATCH(A241,Raw_Schedule!A:A,0))</f>
        <v/>
      </c>
      <c r="F241" s="3">
        <f>INDEX(Raw_Schedule!F:F,MATCH(A241,Raw_Schedule!A:A,0))</f>
        <v/>
      </c>
      <c r="G241" s="4">
        <f>INDEX(Raw_Schedule!G:G,MATCH(A241,Raw_Schedule!A:A,0))</f>
        <v/>
      </c>
      <c r="H241" s="5">
        <f>INDEX(Raw_Schedule!H:H,MATCH(A241,Raw_Schedule!A:A,0))</f>
        <v/>
      </c>
      <c r="I241" s="5">
        <f>SUMIFS(Raw_Payments!E:E,Raw_Payments!B:B,A241)</f>
        <v/>
      </c>
      <c r="J241" s="5">
        <f>H241-I241</f>
        <v/>
      </c>
      <c r="K241" s="3">
        <f>IF(J241&lt;=0.005,"PAID",IF(I241&gt;0,"PARTIAL","OVERDUE"))</f>
        <v/>
      </c>
      <c r="L241" s="4">
        <f>IF(COUNTIFS(Raw_Payments!B:B,A241)=0,"",SUMPRODUCT(MAX((Raw_Payments!B$2:B$1079=A241)*Raw_Payments!D$2:D$1079)))</f>
        <v/>
      </c>
      <c r="M241" s="3">
        <f>IF(K241="PAID",MAX(0,L241-G241),Guide!$B$3-G241)</f>
        <v/>
      </c>
      <c r="N241" s="3">
        <f>IF(J241&lt;=0.005,"COLLECTED",IF(M241&lt;=30,"1-30",IF(M241&lt;=60,"31-60",IF(M241&lt;=90,"61-90","90+"))))</f>
        <v/>
      </c>
      <c r="O241" s="3">
        <f>IF(N241="90+","LOST",IF(N241="61-90","ESCALATE",IF(N241="31-60","WATCH",IF(N241="1-30","MILD","OK"))))</f>
        <v/>
      </c>
      <c r="P241" s="3">
        <f>IF(J241&gt;0.005,ROW()-1,"")</f>
        <v/>
      </c>
    </row>
    <row r="242">
      <c r="A242" s="3" t="inlineStr">
        <is>
          <t>D0241</t>
        </is>
      </c>
      <c r="B242" s="3">
        <f>INDEX(Raw_Schedule!B:B,MATCH(A242,Raw_Schedule!A:A,0))</f>
        <v/>
      </c>
      <c r="C242" s="3">
        <f>INDEX(Raw_Schedule!C:C,MATCH(A242,Raw_Schedule!A:A,0))</f>
        <v/>
      </c>
      <c r="D242" s="3">
        <f>INDEX(Raw_Schedule!D:D,MATCH(A242,Raw_Schedule!A:A,0))</f>
        <v/>
      </c>
      <c r="E242" s="3">
        <f>INDEX(Raw_Schedule!E:E,MATCH(A242,Raw_Schedule!A:A,0))</f>
        <v/>
      </c>
      <c r="F242" s="3">
        <f>INDEX(Raw_Schedule!F:F,MATCH(A242,Raw_Schedule!A:A,0))</f>
        <v/>
      </c>
      <c r="G242" s="4">
        <f>INDEX(Raw_Schedule!G:G,MATCH(A242,Raw_Schedule!A:A,0))</f>
        <v/>
      </c>
      <c r="H242" s="5">
        <f>INDEX(Raw_Schedule!H:H,MATCH(A242,Raw_Schedule!A:A,0))</f>
        <v/>
      </c>
      <c r="I242" s="5">
        <f>SUMIFS(Raw_Payments!E:E,Raw_Payments!B:B,A242)</f>
        <v/>
      </c>
      <c r="J242" s="5">
        <f>H242-I242</f>
        <v/>
      </c>
      <c r="K242" s="3">
        <f>IF(J242&lt;=0.005,"PAID",IF(I242&gt;0,"PARTIAL","OVERDUE"))</f>
        <v/>
      </c>
      <c r="L242" s="4">
        <f>IF(COUNTIFS(Raw_Payments!B:B,A242)=0,"",SUMPRODUCT(MAX((Raw_Payments!B$2:B$1079=A242)*Raw_Payments!D$2:D$1079)))</f>
        <v/>
      </c>
      <c r="M242" s="3">
        <f>IF(K242="PAID",MAX(0,L242-G242),Guide!$B$3-G242)</f>
        <v/>
      </c>
      <c r="N242" s="3">
        <f>IF(J242&lt;=0.005,"COLLECTED",IF(M242&lt;=30,"1-30",IF(M242&lt;=60,"31-60",IF(M242&lt;=90,"61-90","90+"))))</f>
        <v/>
      </c>
      <c r="O242" s="3">
        <f>IF(N242="90+","LOST",IF(N242="61-90","ESCALATE",IF(N242="31-60","WATCH",IF(N242="1-30","MILD","OK"))))</f>
        <v/>
      </c>
      <c r="P242" s="3">
        <f>IF(J242&gt;0.005,ROW()-1,"")</f>
        <v/>
      </c>
    </row>
    <row r="243">
      <c r="A243" s="3" t="inlineStr">
        <is>
          <t>D0242</t>
        </is>
      </c>
      <c r="B243" s="3">
        <f>INDEX(Raw_Schedule!B:B,MATCH(A243,Raw_Schedule!A:A,0))</f>
        <v/>
      </c>
      <c r="C243" s="3">
        <f>INDEX(Raw_Schedule!C:C,MATCH(A243,Raw_Schedule!A:A,0))</f>
        <v/>
      </c>
      <c r="D243" s="3">
        <f>INDEX(Raw_Schedule!D:D,MATCH(A243,Raw_Schedule!A:A,0))</f>
        <v/>
      </c>
      <c r="E243" s="3">
        <f>INDEX(Raw_Schedule!E:E,MATCH(A243,Raw_Schedule!A:A,0))</f>
        <v/>
      </c>
      <c r="F243" s="3">
        <f>INDEX(Raw_Schedule!F:F,MATCH(A243,Raw_Schedule!A:A,0))</f>
        <v/>
      </c>
      <c r="G243" s="4">
        <f>INDEX(Raw_Schedule!G:G,MATCH(A243,Raw_Schedule!A:A,0))</f>
        <v/>
      </c>
      <c r="H243" s="5">
        <f>INDEX(Raw_Schedule!H:H,MATCH(A243,Raw_Schedule!A:A,0))</f>
        <v/>
      </c>
      <c r="I243" s="5">
        <f>SUMIFS(Raw_Payments!E:E,Raw_Payments!B:B,A243)</f>
        <v/>
      </c>
      <c r="J243" s="5">
        <f>H243-I243</f>
        <v/>
      </c>
      <c r="K243" s="3">
        <f>IF(J243&lt;=0.005,"PAID",IF(I243&gt;0,"PARTIAL","OVERDUE"))</f>
        <v/>
      </c>
      <c r="L243" s="4">
        <f>IF(COUNTIFS(Raw_Payments!B:B,A243)=0,"",SUMPRODUCT(MAX((Raw_Payments!B$2:B$1079=A243)*Raw_Payments!D$2:D$1079)))</f>
        <v/>
      </c>
      <c r="M243" s="3">
        <f>IF(K243="PAID",MAX(0,L243-G243),Guide!$B$3-G243)</f>
        <v/>
      </c>
      <c r="N243" s="3">
        <f>IF(J243&lt;=0.005,"COLLECTED",IF(M243&lt;=30,"1-30",IF(M243&lt;=60,"31-60",IF(M243&lt;=90,"61-90","90+"))))</f>
        <v/>
      </c>
      <c r="O243" s="3">
        <f>IF(N243="90+","LOST",IF(N243="61-90","ESCALATE",IF(N243="31-60","WATCH",IF(N243="1-30","MILD","OK"))))</f>
        <v/>
      </c>
      <c r="P243" s="3">
        <f>IF(J243&gt;0.005,ROW()-1,"")</f>
        <v/>
      </c>
    </row>
    <row r="244">
      <c r="A244" s="3" t="inlineStr">
        <is>
          <t>D0243</t>
        </is>
      </c>
      <c r="B244" s="3">
        <f>INDEX(Raw_Schedule!B:B,MATCH(A244,Raw_Schedule!A:A,0))</f>
        <v/>
      </c>
      <c r="C244" s="3">
        <f>INDEX(Raw_Schedule!C:C,MATCH(A244,Raw_Schedule!A:A,0))</f>
        <v/>
      </c>
      <c r="D244" s="3">
        <f>INDEX(Raw_Schedule!D:D,MATCH(A244,Raw_Schedule!A:A,0))</f>
        <v/>
      </c>
      <c r="E244" s="3">
        <f>INDEX(Raw_Schedule!E:E,MATCH(A244,Raw_Schedule!A:A,0))</f>
        <v/>
      </c>
      <c r="F244" s="3">
        <f>INDEX(Raw_Schedule!F:F,MATCH(A244,Raw_Schedule!A:A,0))</f>
        <v/>
      </c>
      <c r="G244" s="4">
        <f>INDEX(Raw_Schedule!G:G,MATCH(A244,Raw_Schedule!A:A,0))</f>
        <v/>
      </c>
      <c r="H244" s="5">
        <f>INDEX(Raw_Schedule!H:H,MATCH(A244,Raw_Schedule!A:A,0))</f>
        <v/>
      </c>
      <c r="I244" s="5">
        <f>SUMIFS(Raw_Payments!E:E,Raw_Payments!B:B,A244)</f>
        <v/>
      </c>
      <c r="J244" s="5">
        <f>H244-I244</f>
        <v/>
      </c>
      <c r="K244" s="3">
        <f>IF(J244&lt;=0.005,"PAID",IF(I244&gt;0,"PARTIAL","OVERDUE"))</f>
        <v/>
      </c>
      <c r="L244" s="4">
        <f>IF(COUNTIFS(Raw_Payments!B:B,A244)=0,"",SUMPRODUCT(MAX((Raw_Payments!B$2:B$1079=A244)*Raw_Payments!D$2:D$1079)))</f>
        <v/>
      </c>
      <c r="M244" s="3">
        <f>IF(K244="PAID",MAX(0,L244-G244),Guide!$B$3-G244)</f>
        <v/>
      </c>
      <c r="N244" s="3">
        <f>IF(J244&lt;=0.005,"COLLECTED",IF(M244&lt;=30,"1-30",IF(M244&lt;=60,"31-60",IF(M244&lt;=90,"61-90","90+"))))</f>
        <v/>
      </c>
      <c r="O244" s="3">
        <f>IF(N244="90+","LOST",IF(N244="61-90","ESCALATE",IF(N244="31-60","WATCH",IF(N244="1-30","MILD","OK"))))</f>
        <v/>
      </c>
      <c r="P244" s="3">
        <f>IF(J244&gt;0.005,ROW()-1,"")</f>
        <v/>
      </c>
    </row>
    <row r="245">
      <c r="A245" s="3" t="inlineStr">
        <is>
          <t>D0244</t>
        </is>
      </c>
      <c r="B245" s="3">
        <f>INDEX(Raw_Schedule!B:B,MATCH(A245,Raw_Schedule!A:A,0))</f>
        <v/>
      </c>
      <c r="C245" s="3">
        <f>INDEX(Raw_Schedule!C:C,MATCH(A245,Raw_Schedule!A:A,0))</f>
        <v/>
      </c>
      <c r="D245" s="3">
        <f>INDEX(Raw_Schedule!D:D,MATCH(A245,Raw_Schedule!A:A,0))</f>
        <v/>
      </c>
      <c r="E245" s="3">
        <f>INDEX(Raw_Schedule!E:E,MATCH(A245,Raw_Schedule!A:A,0))</f>
        <v/>
      </c>
      <c r="F245" s="3">
        <f>INDEX(Raw_Schedule!F:F,MATCH(A245,Raw_Schedule!A:A,0))</f>
        <v/>
      </c>
      <c r="G245" s="4">
        <f>INDEX(Raw_Schedule!G:G,MATCH(A245,Raw_Schedule!A:A,0))</f>
        <v/>
      </c>
      <c r="H245" s="5">
        <f>INDEX(Raw_Schedule!H:H,MATCH(A245,Raw_Schedule!A:A,0))</f>
        <v/>
      </c>
      <c r="I245" s="5">
        <f>SUMIFS(Raw_Payments!E:E,Raw_Payments!B:B,A245)</f>
        <v/>
      </c>
      <c r="J245" s="5">
        <f>H245-I245</f>
        <v/>
      </c>
      <c r="K245" s="3">
        <f>IF(J245&lt;=0.005,"PAID",IF(I245&gt;0,"PARTIAL","OVERDUE"))</f>
        <v/>
      </c>
      <c r="L245" s="4">
        <f>IF(COUNTIFS(Raw_Payments!B:B,A245)=0,"",SUMPRODUCT(MAX((Raw_Payments!B$2:B$1079=A245)*Raw_Payments!D$2:D$1079)))</f>
        <v/>
      </c>
      <c r="M245" s="3">
        <f>IF(K245="PAID",MAX(0,L245-G245),Guide!$B$3-G245)</f>
        <v/>
      </c>
      <c r="N245" s="3">
        <f>IF(J245&lt;=0.005,"COLLECTED",IF(M245&lt;=30,"1-30",IF(M245&lt;=60,"31-60",IF(M245&lt;=90,"61-90","90+"))))</f>
        <v/>
      </c>
      <c r="O245" s="3">
        <f>IF(N245="90+","LOST",IF(N245="61-90","ESCALATE",IF(N245="31-60","WATCH",IF(N245="1-30","MILD","OK"))))</f>
        <v/>
      </c>
      <c r="P245" s="3">
        <f>IF(J245&gt;0.005,ROW()-1,"")</f>
        <v/>
      </c>
    </row>
    <row r="246">
      <c r="A246" s="3" t="inlineStr">
        <is>
          <t>D0245</t>
        </is>
      </c>
      <c r="B246" s="3">
        <f>INDEX(Raw_Schedule!B:B,MATCH(A246,Raw_Schedule!A:A,0))</f>
        <v/>
      </c>
      <c r="C246" s="3">
        <f>INDEX(Raw_Schedule!C:C,MATCH(A246,Raw_Schedule!A:A,0))</f>
        <v/>
      </c>
      <c r="D246" s="3">
        <f>INDEX(Raw_Schedule!D:D,MATCH(A246,Raw_Schedule!A:A,0))</f>
        <v/>
      </c>
      <c r="E246" s="3">
        <f>INDEX(Raw_Schedule!E:E,MATCH(A246,Raw_Schedule!A:A,0))</f>
        <v/>
      </c>
      <c r="F246" s="3">
        <f>INDEX(Raw_Schedule!F:F,MATCH(A246,Raw_Schedule!A:A,0))</f>
        <v/>
      </c>
      <c r="G246" s="4">
        <f>INDEX(Raw_Schedule!G:G,MATCH(A246,Raw_Schedule!A:A,0))</f>
        <v/>
      </c>
      <c r="H246" s="5">
        <f>INDEX(Raw_Schedule!H:H,MATCH(A246,Raw_Schedule!A:A,0))</f>
        <v/>
      </c>
      <c r="I246" s="5">
        <f>SUMIFS(Raw_Payments!E:E,Raw_Payments!B:B,A246)</f>
        <v/>
      </c>
      <c r="J246" s="5">
        <f>H246-I246</f>
        <v/>
      </c>
      <c r="K246" s="3">
        <f>IF(J246&lt;=0.005,"PAID",IF(I246&gt;0,"PARTIAL","OVERDUE"))</f>
        <v/>
      </c>
      <c r="L246" s="4">
        <f>IF(COUNTIFS(Raw_Payments!B:B,A246)=0,"",SUMPRODUCT(MAX((Raw_Payments!B$2:B$1079=A246)*Raw_Payments!D$2:D$1079)))</f>
        <v/>
      </c>
      <c r="M246" s="3">
        <f>IF(K246="PAID",MAX(0,L246-G246),Guide!$B$3-G246)</f>
        <v/>
      </c>
      <c r="N246" s="3">
        <f>IF(J246&lt;=0.005,"COLLECTED",IF(M246&lt;=30,"1-30",IF(M246&lt;=60,"31-60",IF(M246&lt;=90,"61-90","90+"))))</f>
        <v/>
      </c>
      <c r="O246" s="3">
        <f>IF(N246="90+","LOST",IF(N246="61-90","ESCALATE",IF(N246="31-60","WATCH",IF(N246="1-30","MILD","OK"))))</f>
        <v/>
      </c>
      <c r="P246" s="3">
        <f>IF(J246&gt;0.005,ROW()-1,"")</f>
        <v/>
      </c>
    </row>
    <row r="247">
      <c r="A247" s="3" t="inlineStr">
        <is>
          <t>D0246</t>
        </is>
      </c>
      <c r="B247" s="3">
        <f>INDEX(Raw_Schedule!B:B,MATCH(A247,Raw_Schedule!A:A,0))</f>
        <v/>
      </c>
      <c r="C247" s="3">
        <f>INDEX(Raw_Schedule!C:C,MATCH(A247,Raw_Schedule!A:A,0))</f>
        <v/>
      </c>
      <c r="D247" s="3">
        <f>INDEX(Raw_Schedule!D:D,MATCH(A247,Raw_Schedule!A:A,0))</f>
        <v/>
      </c>
      <c r="E247" s="3">
        <f>INDEX(Raw_Schedule!E:E,MATCH(A247,Raw_Schedule!A:A,0))</f>
        <v/>
      </c>
      <c r="F247" s="3">
        <f>INDEX(Raw_Schedule!F:F,MATCH(A247,Raw_Schedule!A:A,0))</f>
        <v/>
      </c>
      <c r="G247" s="4">
        <f>INDEX(Raw_Schedule!G:G,MATCH(A247,Raw_Schedule!A:A,0))</f>
        <v/>
      </c>
      <c r="H247" s="5">
        <f>INDEX(Raw_Schedule!H:H,MATCH(A247,Raw_Schedule!A:A,0))</f>
        <v/>
      </c>
      <c r="I247" s="5">
        <f>SUMIFS(Raw_Payments!E:E,Raw_Payments!B:B,A247)</f>
        <v/>
      </c>
      <c r="J247" s="5">
        <f>H247-I247</f>
        <v/>
      </c>
      <c r="K247" s="3">
        <f>IF(J247&lt;=0.005,"PAID",IF(I247&gt;0,"PARTIAL","OVERDUE"))</f>
        <v/>
      </c>
      <c r="L247" s="4">
        <f>IF(COUNTIFS(Raw_Payments!B:B,A247)=0,"",SUMPRODUCT(MAX((Raw_Payments!B$2:B$1079=A247)*Raw_Payments!D$2:D$1079)))</f>
        <v/>
      </c>
      <c r="M247" s="3">
        <f>IF(K247="PAID",MAX(0,L247-G247),Guide!$B$3-G247)</f>
        <v/>
      </c>
      <c r="N247" s="3">
        <f>IF(J247&lt;=0.005,"COLLECTED",IF(M247&lt;=30,"1-30",IF(M247&lt;=60,"31-60",IF(M247&lt;=90,"61-90","90+"))))</f>
        <v/>
      </c>
      <c r="O247" s="3">
        <f>IF(N247="90+","LOST",IF(N247="61-90","ESCALATE",IF(N247="31-60","WATCH",IF(N247="1-30","MILD","OK"))))</f>
        <v/>
      </c>
      <c r="P247" s="3">
        <f>IF(J247&gt;0.005,ROW()-1,"")</f>
        <v/>
      </c>
    </row>
    <row r="248">
      <c r="A248" s="3" t="inlineStr">
        <is>
          <t>D0247</t>
        </is>
      </c>
      <c r="B248" s="3">
        <f>INDEX(Raw_Schedule!B:B,MATCH(A248,Raw_Schedule!A:A,0))</f>
        <v/>
      </c>
      <c r="C248" s="3">
        <f>INDEX(Raw_Schedule!C:C,MATCH(A248,Raw_Schedule!A:A,0))</f>
        <v/>
      </c>
      <c r="D248" s="3">
        <f>INDEX(Raw_Schedule!D:D,MATCH(A248,Raw_Schedule!A:A,0))</f>
        <v/>
      </c>
      <c r="E248" s="3">
        <f>INDEX(Raw_Schedule!E:E,MATCH(A248,Raw_Schedule!A:A,0))</f>
        <v/>
      </c>
      <c r="F248" s="3">
        <f>INDEX(Raw_Schedule!F:F,MATCH(A248,Raw_Schedule!A:A,0))</f>
        <v/>
      </c>
      <c r="G248" s="4">
        <f>INDEX(Raw_Schedule!G:G,MATCH(A248,Raw_Schedule!A:A,0))</f>
        <v/>
      </c>
      <c r="H248" s="5">
        <f>INDEX(Raw_Schedule!H:H,MATCH(A248,Raw_Schedule!A:A,0))</f>
        <v/>
      </c>
      <c r="I248" s="5">
        <f>SUMIFS(Raw_Payments!E:E,Raw_Payments!B:B,A248)</f>
        <v/>
      </c>
      <c r="J248" s="5">
        <f>H248-I248</f>
        <v/>
      </c>
      <c r="K248" s="3">
        <f>IF(J248&lt;=0.005,"PAID",IF(I248&gt;0,"PARTIAL","OVERDUE"))</f>
        <v/>
      </c>
      <c r="L248" s="4">
        <f>IF(COUNTIFS(Raw_Payments!B:B,A248)=0,"",SUMPRODUCT(MAX((Raw_Payments!B$2:B$1079=A248)*Raw_Payments!D$2:D$1079)))</f>
        <v/>
      </c>
      <c r="M248" s="3">
        <f>IF(K248="PAID",MAX(0,L248-G248),Guide!$B$3-G248)</f>
        <v/>
      </c>
      <c r="N248" s="3">
        <f>IF(J248&lt;=0.005,"COLLECTED",IF(M248&lt;=30,"1-30",IF(M248&lt;=60,"31-60",IF(M248&lt;=90,"61-90","90+"))))</f>
        <v/>
      </c>
      <c r="O248" s="3">
        <f>IF(N248="90+","LOST",IF(N248="61-90","ESCALATE",IF(N248="31-60","WATCH",IF(N248="1-30","MILD","OK"))))</f>
        <v/>
      </c>
      <c r="P248" s="3">
        <f>IF(J248&gt;0.005,ROW()-1,"")</f>
        <v/>
      </c>
    </row>
    <row r="249">
      <c r="A249" s="3" t="inlineStr">
        <is>
          <t>D0248</t>
        </is>
      </c>
      <c r="B249" s="3">
        <f>INDEX(Raw_Schedule!B:B,MATCH(A249,Raw_Schedule!A:A,0))</f>
        <v/>
      </c>
      <c r="C249" s="3">
        <f>INDEX(Raw_Schedule!C:C,MATCH(A249,Raw_Schedule!A:A,0))</f>
        <v/>
      </c>
      <c r="D249" s="3">
        <f>INDEX(Raw_Schedule!D:D,MATCH(A249,Raw_Schedule!A:A,0))</f>
        <v/>
      </c>
      <c r="E249" s="3">
        <f>INDEX(Raw_Schedule!E:E,MATCH(A249,Raw_Schedule!A:A,0))</f>
        <v/>
      </c>
      <c r="F249" s="3">
        <f>INDEX(Raw_Schedule!F:F,MATCH(A249,Raw_Schedule!A:A,0))</f>
        <v/>
      </c>
      <c r="G249" s="4">
        <f>INDEX(Raw_Schedule!G:G,MATCH(A249,Raw_Schedule!A:A,0))</f>
        <v/>
      </c>
      <c r="H249" s="5">
        <f>INDEX(Raw_Schedule!H:H,MATCH(A249,Raw_Schedule!A:A,0))</f>
        <v/>
      </c>
      <c r="I249" s="5">
        <f>SUMIFS(Raw_Payments!E:E,Raw_Payments!B:B,A249)</f>
        <v/>
      </c>
      <c r="J249" s="5">
        <f>H249-I249</f>
        <v/>
      </c>
      <c r="K249" s="3">
        <f>IF(J249&lt;=0.005,"PAID",IF(I249&gt;0,"PARTIAL","OVERDUE"))</f>
        <v/>
      </c>
      <c r="L249" s="4">
        <f>IF(COUNTIFS(Raw_Payments!B:B,A249)=0,"",SUMPRODUCT(MAX((Raw_Payments!B$2:B$1079=A249)*Raw_Payments!D$2:D$1079)))</f>
        <v/>
      </c>
      <c r="M249" s="3">
        <f>IF(K249="PAID",MAX(0,L249-G249),Guide!$B$3-G249)</f>
        <v/>
      </c>
      <c r="N249" s="3">
        <f>IF(J249&lt;=0.005,"COLLECTED",IF(M249&lt;=30,"1-30",IF(M249&lt;=60,"31-60",IF(M249&lt;=90,"61-90","90+"))))</f>
        <v/>
      </c>
      <c r="O249" s="3">
        <f>IF(N249="90+","LOST",IF(N249="61-90","ESCALATE",IF(N249="31-60","WATCH",IF(N249="1-30","MILD","OK"))))</f>
        <v/>
      </c>
      <c r="P249" s="3">
        <f>IF(J249&gt;0.005,ROW()-1,"")</f>
        <v/>
      </c>
    </row>
    <row r="250">
      <c r="A250" s="3" t="inlineStr">
        <is>
          <t>D0249</t>
        </is>
      </c>
      <c r="B250" s="3">
        <f>INDEX(Raw_Schedule!B:B,MATCH(A250,Raw_Schedule!A:A,0))</f>
        <v/>
      </c>
      <c r="C250" s="3">
        <f>INDEX(Raw_Schedule!C:C,MATCH(A250,Raw_Schedule!A:A,0))</f>
        <v/>
      </c>
      <c r="D250" s="3">
        <f>INDEX(Raw_Schedule!D:D,MATCH(A250,Raw_Schedule!A:A,0))</f>
        <v/>
      </c>
      <c r="E250" s="3">
        <f>INDEX(Raw_Schedule!E:E,MATCH(A250,Raw_Schedule!A:A,0))</f>
        <v/>
      </c>
      <c r="F250" s="3">
        <f>INDEX(Raw_Schedule!F:F,MATCH(A250,Raw_Schedule!A:A,0))</f>
        <v/>
      </c>
      <c r="G250" s="4">
        <f>INDEX(Raw_Schedule!G:G,MATCH(A250,Raw_Schedule!A:A,0))</f>
        <v/>
      </c>
      <c r="H250" s="5">
        <f>INDEX(Raw_Schedule!H:H,MATCH(A250,Raw_Schedule!A:A,0))</f>
        <v/>
      </c>
      <c r="I250" s="5">
        <f>SUMIFS(Raw_Payments!E:E,Raw_Payments!B:B,A250)</f>
        <v/>
      </c>
      <c r="J250" s="5">
        <f>H250-I250</f>
        <v/>
      </c>
      <c r="K250" s="3">
        <f>IF(J250&lt;=0.005,"PAID",IF(I250&gt;0,"PARTIAL","OVERDUE"))</f>
        <v/>
      </c>
      <c r="L250" s="4">
        <f>IF(COUNTIFS(Raw_Payments!B:B,A250)=0,"",SUMPRODUCT(MAX((Raw_Payments!B$2:B$1079=A250)*Raw_Payments!D$2:D$1079)))</f>
        <v/>
      </c>
      <c r="M250" s="3">
        <f>IF(K250="PAID",MAX(0,L250-G250),Guide!$B$3-G250)</f>
        <v/>
      </c>
      <c r="N250" s="3">
        <f>IF(J250&lt;=0.005,"COLLECTED",IF(M250&lt;=30,"1-30",IF(M250&lt;=60,"31-60",IF(M250&lt;=90,"61-90","90+"))))</f>
        <v/>
      </c>
      <c r="O250" s="3">
        <f>IF(N250="90+","LOST",IF(N250="61-90","ESCALATE",IF(N250="31-60","WATCH",IF(N250="1-30","MILD","OK"))))</f>
        <v/>
      </c>
      <c r="P250" s="3">
        <f>IF(J250&gt;0.005,ROW()-1,"")</f>
        <v/>
      </c>
    </row>
    <row r="251">
      <c r="A251" s="3" t="inlineStr">
        <is>
          <t>D0250</t>
        </is>
      </c>
      <c r="B251" s="3">
        <f>INDEX(Raw_Schedule!B:B,MATCH(A251,Raw_Schedule!A:A,0))</f>
        <v/>
      </c>
      <c r="C251" s="3">
        <f>INDEX(Raw_Schedule!C:C,MATCH(A251,Raw_Schedule!A:A,0))</f>
        <v/>
      </c>
      <c r="D251" s="3">
        <f>INDEX(Raw_Schedule!D:D,MATCH(A251,Raw_Schedule!A:A,0))</f>
        <v/>
      </c>
      <c r="E251" s="3">
        <f>INDEX(Raw_Schedule!E:E,MATCH(A251,Raw_Schedule!A:A,0))</f>
        <v/>
      </c>
      <c r="F251" s="3">
        <f>INDEX(Raw_Schedule!F:F,MATCH(A251,Raw_Schedule!A:A,0))</f>
        <v/>
      </c>
      <c r="G251" s="4">
        <f>INDEX(Raw_Schedule!G:G,MATCH(A251,Raw_Schedule!A:A,0))</f>
        <v/>
      </c>
      <c r="H251" s="5">
        <f>INDEX(Raw_Schedule!H:H,MATCH(A251,Raw_Schedule!A:A,0))</f>
        <v/>
      </c>
      <c r="I251" s="5">
        <f>SUMIFS(Raw_Payments!E:E,Raw_Payments!B:B,A251)</f>
        <v/>
      </c>
      <c r="J251" s="5">
        <f>H251-I251</f>
        <v/>
      </c>
      <c r="K251" s="3">
        <f>IF(J251&lt;=0.005,"PAID",IF(I251&gt;0,"PARTIAL","OVERDUE"))</f>
        <v/>
      </c>
      <c r="L251" s="4">
        <f>IF(COUNTIFS(Raw_Payments!B:B,A251)=0,"",SUMPRODUCT(MAX((Raw_Payments!B$2:B$1079=A251)*Raw_Payments!D$2:D$1079)))</f>
        <v/>
      </c>
      <c r="M251" s="3">
        <f>IF(K251="PAID",MAX(0,L251-G251),Guide!$B$3-G251)</f>
        <v/>
      </c>
      <c r="N251" s="3">
        <f>IF(J251&lt;=0.005,"COLLECTED",IF(M251&lt;=30,"1-30",IF(M251&lt;=60,"31-60",IF(M251&lt;=90,"61-90","90+"))))</f>
        <v/>
      </c>
      <c r="O251" s="3">
        <f>IF(N251="90+","LOST",IF(N251="61-90","ESCALATE",IF(N251="31-60","WATCH",IF(N251="1-30","MILD","OK"))))</f>
        <v/>
      </c>
      <c r="P251" s="3">
        <f>IF(J251&gt;0.005,ROW()-1,"")</f>
        <v/>
      </c>
    </row>
    <row r="252">
      <c r="A252" s="3" t="inlineStr">
        <is>
          <t>D0251</t>
        </is>
      </c>
      <c r="B252" s="3">
        <f>INDEX(Raw_Schedule!B:B,MATCH(A252,Raw_Schedule!A:A,0))</f>
        <v/>
      </c>
      <c r="C252" s="3">
        <f>INDEX(Raw_Schedule!C:C,MATCH(A252,Raw_Schedule!A:A,0))</f>
        <v/>
      </c>
      <c r="D252" s="3">
        <f>INDEX(Raw_Schedule!D:D,MATCH(A252,Raw_Schedule!A:A,0))</f>
        <v/>
      </c>
      <c r="E252" s="3">
        <f>INDEX(Raw_Schedule!E:E,MATCH(A252,Raw_Schedule!A:A,0))</f>
        <v/>
      </c>
      <c r="F252" s="3">
        <f>INDEX(Raw_Schedule!F:F,MATCH(A252,Raw_Schedule!A:A,0))</f>
        <v/>
      </c>
      <c r="G252" s="4">
        <f>INDEX(Raw_Schedule!G:G,MATCH(A252,Raw_Schedule!A:A,0))</f>
        <v/>
      </c>
      <c r="H252" s="5">
        <f>INDEX(Raw_Schedule!H:H,MATCH(A252,Raw_Schedule!A:A,0))</f>
        <v/>
      </c>
      <c r="I252" s="5">
        <f>SUMIFS(Raw_Payments!E:E,Raw_Payments!B:B,A252)</f>
        <v/>
      </c>
      <c r="J252" s="5">
        <f>H252-I252</f>
        <v/>
      </c>
      <c r="K252" s="3">
        <f>IF(J252&lt;=0.005,"PAID",IF(I252&gt;0,"PARTIAL","OVERDUE"))</f>
        <v/>
      </c>
      <c r="L252" s="4">
        <f>IF(COUNTIFS(Raw_Payments!B:B,A252)=0,"",SUMPRODUCT(MAX((Raw_Payments!B$2:B$1079=A252)*Raw_Payments!D$2:D$1079)))</f>
        <v/>
      </c>
      <c r="M252" s="3">
        <f>IF(K252="PAID",MAX(0,L252-G252),Guide!$B$3-G252)</f>
        <v/>
      </c>
      <c r="N252" s="3">
        <f>IF(J252&lt;=0.005,"COLLECTED",IF(M252&lt;=30,"1-30",IF(M252&lt;=60,"31-60",IF(M252&lt;=90,"61-90","90+"))))</f>
        <v/>
      </c>
      <c r="O252" s="3">
        <f>IF(N252="90+","LOST",IF(N252="61-90","ESCALATE",IF(N252="31-60","WATCH",IF(N252="1-30","MILD","OK"))))</f>
        <v/>
      </c>
      <c r="P252" s="3">
        <f>IF(J252&gt;0.005,ROW()-1,"")</f>
        <v/>
      </c>
    </row>
    <row r="253">
      <c r="A253" s="3" t="inlineStr">
        <is>
          <t>D0252</t>
        </is>
      </c>
      <c r="B253" s="3">
        <f>INDEX(Raw_Schedule!B:B,MATCH(A253,Raw_Schedule!A:A,0))</f>
        <v/>
      </c>
      <c r="C253" s="3">
        <f>INDEX(Raw_Schedule!C:C,MATCH(A253,Raw_Schedule!A:A,0))</f>
        <v/>
      </c>
      <c r="D253" s="3">
        <f>INDEX(Raw_Schedule!D:D,MATCH(A253,Raw_Schedule!A:A,0))</f>
        <v/>
      </c>
      <c r="E253" s="3">
        <f>INDEX(Raw_Schedule!E:E,MATCH(A253,Raw_Schedule!A:A,0))</f>
        <v/>
      </c>
      <c r="F253" s="3">
        <f>INDEX(Raw_Schedule!F:F,MATCH(A253,Raw_Schedule!A:A,0))</f>
        <v/>
      </c>
      <c r="G253" s="4">
        <f>INDEX(Raw_Schedule!G:G,MATCH(A253,Raw_Schedule!A:A,0))</f>
        <v/>
      </c>
      <c r="H253" s="5">
        <f>INDEX(Raw_Schedule!H:H,MATCH(A253,Raw_Schedule!A:A,0))</f>
        <v/>
      </c>
      <c r="I253" s="5">
        <f>SUMIFS(Raw_Payments!E:E,Raw_Payments!B:B,A253)</f>
        <v/>
      </c>
      <c r="J253" s="5">
        <f>H253-I253</f>
        <v/>
      </c>
      <c r="K253" s="3">
        <f>IF(J253&lt;=0.005,"PAID",IF(I253&gt;0,"PARTIAL","OVERDUE"))</f>
        <v/>
      </c>
      <c r="L253" s="4">
        <f>IF(COUNTIFS(Raw_Payments!B:B,A253)=0,"",SUMPRODUCT(MAX((Raw_Payments!B$2:B$1079=A253)*Raw_Payments!D$2:D$1079)))</f>
        <v/>
      </c>
      <c r="M253" s="3">
        <f>IF(K253="PAID",MAX(0,L253-G253),Guide!$B$3-G253)</f>
        <v/>
      </c>
      <c r="N253" s="3">
        <f>IF(J253&lt;=0.005,"COLLECTED",IF(M253&lt;=30,"1-30",IF(M253&lt;=60,"31-60",IF(M253&lt;=90,"61-90","90+"))))</f>
        <v/>
      </c>
      <c r="O253" s="3">
        <f>IF(N253="90+","LOST",IF(N253="61-90","ESCALATE",IF(N253="31-60","WATCH",IF(N253="1-30","MILD","OK"))))</f>
        <v/>
      </c>
      <c r="P253" s="3">
        <f>IF(J253&gt;0.005,ROW()-1,"")</f>
        <v/>
      </c>
    </row>
    <row r="254">
      <c r="A254" s="3" t="inlineStr">
        <is>
          <t>D0253</t>
        </is>
      </c>
      <c r="B254" s="3">
        <f>INDEX(Raw_Schedule!B:B,MATCH(A254,Raw_Schedule!A:A,0))</f>
        <v/>
      </c>
      <c r="C254" s="3">
        <f>INDEX(Raw_Schedule!C:C,MATCH(A254,Raw_Schedule!A:A,0))</f>
        <v/>
      </c>
      <c r="D254" s="3">
        <f>INDEX(Raw_Schedule!D:D,MATCH(A254,Raw_Schedule!A:A,0))</f>
        <v/>
      </c>
      <c r="E254" s="3">
        <f>INDEX(Raw_Schedule!E:E,MATCH(A254,Raw_Schedule!A:A,0))</f>
        <v/>
      </c>
      <c r="F254" s="3">
        <f>INDEX(Raw_Schedule!F:F,MATCH(A254,Raw_Schedule!A:A,0))</f>
        <v/>
      </c>
      <c r="G254" s="4">
        <f>INDEX(Raw_Schedule!G:G,MATCH(A254,Raw_Schedule!A:A,0))</f>
        <v/>
      </c>
      <c r="H254" s="5">
        <f>INDEX(Raw_Schedule!H:H,MATCH(A254,Raw_Schedule!A:A,0))</f>
        <v/>
      </c>
      <c r="I254" s="5">
        <f>SUMIFS(Raw_Payments!E:E,Raw_Payments!B:B,A254)</f>
        <v/>
      </c>
      <c r="J254" s="5">
        <f>H254-I254</f>
        <v/>
      </c>
      <c r="K254" s="3">
        <f>IF(J254&lt;=0.005,"PAID",IF(I254&gt;0,"PARTIAL","OVERDUE"))</f>
        <v/>
      </c>
      <c r="L254" s="4">
        <f>IF(COUNTIFS(Raw_Payments!B:B,A254)=0,"",SUMPRODUCT(MAX((Raw_Payments!B$2:B$1079=A254)*Raw_Payments!D$2:D$1079)))</f>
        <v/>
      </c>
      <c r="M254" s="3">
        <f>IF(K254="PAID",MAX(0,L254-G254),Guide!$B$3-G254)</f>
        <v/>
      </c>
      <c r="N254" s="3">
        <f>IF(J254&lt;=0.005,"COLLECTED",IF(M254&lt;=30,"1-30",IF(M254&lt;=60,"31-60",IF(M254&lt;=90,"61-90","90+"))))</f>
        <v/>
      </c>
      <c r="O254" s="3">
        <f>IF(N254="90+","LOST",IF(N254="61-90","ESCALATE",IF(N254="31-60","WATCH",IF(N254="1-30","MILD","OK"))))</f>
        <v/>
      </c>
      <c r="P254" s="3">
        <f>IF(J254&gt;0.005,ROW()-1,"")</f>
        <v/>
      </c>
    </row>
    <row r="255">
      <c r="A255" s="3" t="inlineStr">
        <is>
          <t>D0254</t>
        </is>
      </c>
      <c r="B255" s="3">
        <f>INDEX(Raw_Schedule!B:B,MATCH(A255,Raw_Schedule!A:A,0))</f>
        <v/>
      </c>
      <c r="C255" s="3">
        <f>INDEX(Raw_Schedule!C:C,MATCH(A255,Raw_Schedule!A:A,0))</f>
        <v/>
      </c>
      <c r="D255" s="3">
        <f>INDEX(Raw_Schedule!D:D,MATCH(A255,Raw_Schedule!A:A,0))</f>
        <v/>
      </c>
      <c r="E255" s="3">
        <f>INDEX(Raw_Schedule!E:E,MATCH(A255,Raw_Schedule!A:A,0))</f>
        <v/>
      </c>
      <c r="F255" s="3">
        <f>INDEX(Raw_Schedule!F:F,MATCH(A255,Raw_Schedule!A:A,0))</f>
        <v/>
      </c>
      <c r="G255" s="4">
        <f>INDEX(Raw_Schedule!G:G,MATCH(A255,Raw_Schedule!A:A,0))</f>
        <v/>
      </c>
      <c r="H255" s="5">
        <f>INDEX(Raw_Schedule!H:H,MATCH(A255,Raw_Schedule!A:A,0))</f>
        <v/>
      </c>
      <c r="I255" s="5">
        <f>SUMIFS(Raw_Payments!E:E,Raw_Payments!B:B,A255)</f>
        <v/>
      </c>
      <c r="J255" s="5">
        <f>H255-I255</f>
        <v/>
      </c>
      <c r="K255" s="3">
        <f>IF(J255&lt;=0.005,"PAID",IF(I255&gt;0,"PARTIAL","OVERDUE"))</f>
        <v/>
      </c>
      <c r="L255" s="4">
        <f>IF(COUNTIFS(Raw_Payments!B:B,A255)=0,"",SUMPRODUCT(MAX((Raw_Payments!B$2:B$1079=A255)*Raw_Payments!D$2:D$1079)))</f>
        <v/>
      </c>
      <c r="M255" s="3">
        <f>IF(K255="PAID",MAX(0,L255-G255),Guide!$B$3-G255)</f>
        <v/>
      </c>
      <c r="N255" s="3">
        <f>IF(J255&lt;=0.005,"COLLECTED",IF(M255&lt;=30,"1-30",IF(M255&lt;=60,"31-60",IF(M255&lt;=90,"61-90","90+"))))</f>
        <v/>
      </c>
      <c r="O255" s="3">
        <f>IF(N255="90+","LOST",IF(N255="61-90","ESCALATE",IF(N255="31-60","WATCH",IF(N255="1-30","MILD","OK"))))</f>
        <v/>
      </c>
      <c r="P255" s="3">
        <f>IF(J255&gt;0.005,ROW()-1,"")</f>
        <v/>
      </c>
    </row>
    <row r="256">
      <c r="A256" s="3" t="inlineStr">
        <is>
          <t>D0255</t>
        </is>
      </c>
      <c r="B256" s="3">
        <f>INDEX(Raw_Schedule!B:B,MATCH(A256,Raw_Schedule!A:A,0))</f>
        <v/>
      </c>
      <c r="C256" s="3">
        <f>INDEX(Raw_Schedule!C:C,MATCH(A256,Raw_Schedule!A:A,0))</f>
        <v/>
      </c>
      <c r="D256" s="3">
        <f>INDEX(Raw_Schedule!D:D,MATCH(A256,Raw_Schedule!A:A,0))</f>
        <v/>
      </c>
      <c r="E256" s="3">
        <f>INDEX(Raw_Schedule!E:E,MATCH(A256,Raw_Schedule!A:A,0))</f>
        <v/>
      </c>
      <c r="F256" s="3">
        <f>INDEX(Raw_Schedule!F:F,MATCH(A256,Raw_Schedule!A:A,0))</f>
        <v/>
      </c>
      <c r="G256" s="4">
        <f>INDEX(Raw_Schedule!G:G,MATCH(A256,Raw_Schedule!A:A,0))</f>
        <v/>
      </c>
      <c r="H256" s="5">
        <f>INDEX(Raw_Schedule!H:H,MATCH(A256,Raw_Schedule!A:A,0))</f>
        <v/>
      </c>
      <c r="I256" s="5">
        <f>SUMIFS(Raw_Payments!E:E,Raw_Payments!B:B,A256)</f>
        <v/>
      </c>
      <c r="J256" s="5">
        <f>H256-I256</f>
        <v/>
      </c>
      <c r="K256" s="3">
        <f>IF(J256&lt;=0.005,"PAID",IF(I256&gt;0,"PARTIAL","OVERDUE"))</f>
        <v/>
      </c>
      <c r="L256" s="4">
        <f>IF(COUNTIFS(Raw_Payments!B:B,A256)=0,"",SUMPRODUCT(MAX((Raw_Payments!B$2:B$1079=A256)*Raw_Payments!D$2:D$1079)))</f>
        <v/>
      </c>
      <c r="M256" s="3">
        <f>IF(K256="PAID",MAX(0,L256-G256),Guide!$B$3-G256)</f>
        <v/>
      </c>
      <c r="N256" s="3">
        <f>IF(J256&lt;=0.005,"COLLECTED",IF(M256&lt;=30,"1-30",IF(M256&lt;=60,"31-60",IF(M256&lt;=90,"61-90","90+"))))</f>
        <v/>
      </c>
      <c r="O256" s="3">
        <f>IF(N256="90+","LOST",IF(N256="61-90","ESCALATE",IF(N256="31-60","WATCH",IF(N256="1-30","MILD","OK"))))</f>
        <v/>
      </c>
      <c r="P256" s="3">
        <f>IF(J256&gt;0.005,ROW()-1,"")</f>
        <v/>
      </c>
    </row>
    <row r="257">
      <c r="A257" s="3" t="inlineStr">
        <is>
          <t>D0256</t>
        </is>
      </c>
      <c r="B257" s="3">
        <f>INDEX(Raw_Schedule!B:B,MATCH(A257,Raw_Schedule!A:A,0))</f>
        <v/>
      </c>
      <c r="C257" s="3">
        <f>INDEX(Raw_Schedule!C:C,MATCH(A257,Raw_Schedule!A:A,0))</f>
        <v/>
      </c>
      <c r="D257" s="3">
        <f>INDEX(Raw_Schedule!D:D,MATCH(A257,Raw_Schedule!A:A,0))</f>
        <v/>
      </c>
      <c r="E257" s="3">
        <f>INDEX(Raw_Schedule!E:E,MATCH(A257,Raw_Schedule!A:A,0))</f>
        <v/>
      </c>
      <c r="F257" s="3">
        <f>INDEX(Raw_Schedule!F:F,MATCH(A257,Raw_Schedule!A:A,0))</f>
        <v/>
      </c>
      <c r="G257" s="4">
        <f>INDEX(Raw_Schedule!G:G,MATCH(A257,Raw_Schedule!A:A,0))</f>
        <v/>
      </c>
      <c r="H257" s="5">
        <f>INDEX(Raw_Schedule!H:H,MATCH(A257,Raw_Schedule!A:A,0))</f>
        <v/>
      </c>
      <c r="I257" s="5">
        <f>SUMIFS(Raw_Payments!E:E,Raw_Payments!B:B,A257)</f>
        <v/>
      </c>
      <c r="J257" s="5">
        <f>H257-I257</f>
        <v/>
      </c>
      <c r="K257" s="3">
        <f>IF(J257&lt;=0.005,"PAID",IF(I257&gt;0,"PARTIAL","OVERDUE"))</f>
        <v/>
      </c>
      <c r="L257" s="4">
        <f>IF(COUNTIFS(Raw_Payments!B:B,A257)=0,"",SUMPRODUCT(MAX((Raw_Payments!B$2:B$1079=A257)*Raw_Payments!D$2:D$1079)))</f>
        <v/>
      </c>
      <c r="M257" s="3">
        <f>IF(K257="PAID",MAX(0,L257-G257),Guide!$B$3-G257)</f>
        <v/>
      </c>
      <c r="N257" s="3">
        <f>IF(J257&lt;=0.005,"COLLECTED",IF(M257&lt;=30,"1-30",IF(M257&lt;=60,"31-60",IF(M257&lt;=90,"61-90","90+"))))</f>
        <v/>
      </c>
      <c r="O257" s="3">
        <f>IF(N257="90+","LOST",IF(N257="61-90","ESCALATE",IF(N257="31-60","WATCH",IF(N257="1-30","MILD","OK"))))</f>
        <v/>
      </c>
      <c r="P257" s="3">
        <f>IF(J257&gt;0.005,ROW()-1,"")</f>
        <v/>
      </c>
    </row>
    <row r="258">
      <c r="A258" s="3" t="inlineStr">
        <is>
          <t>D0257</t>
        </is>
      </c>
      <c r="B258" s="3">
        <f>INDEX(Raw_Schedule!B:B,MATCH(A258,Raw_Schedule!A:A,0))</f>
        <v/>
      </c>
      <c r="C258" s="3">
        <f>INDEX(Raw_Schedule!C:C,MATCH(A258,Raw_Schedule!A:A,0))</f>
        <v/>
      </c>
      <c r="D258" s="3">
        <f>INDEX(Raw_Schedule!D:D,MATCH(A258,Raw_Schedule!A:A,0))</f>
        <v/>
      </c>
      <c r="E258" s="3">
        <f>INDEX(Raw_Schedule!E:E,MATCH(A258,Raw_Schedule!A:A,0))</f>
        <v/>
      </c>
      <c r="F258" s="3">
        <f>INDEX(Raw_Schedule!F:F,MATCH(A258,Raw_Schedule!A:A,0))</f>
        <v/>
      </c>
      <c r="G258" s="4">
        <f>INDEX(Raw_Schedule!G:G,MATCH(A258,Raw_Schedule!A:A,0))</f>
        <v/>
      </c>
      <c r="H258" s="5">
        <f>INDEX(Raw_Schedule!H:H,MATCH(A258,Raw_Schedule!A:A,0))</f>
        <v/>
      </c>
      <c r="I258" s="5">
        <f>SUMIFS(Raw_Payments!E:E,Raw_Payments!B:B,A258)</f>
        <v/>
      </c>
      <c r="J258" s="5">
        <f>H258-I258</f>
        <v/>
      </c>
      <c r="K258" s="3">
        <f>IF(J258&lt;=0.005,"PAID",IF(I258&gt;0,"PARTIAL","OVERDUE"))</f>
        <v/>
      </c>
      <c r="L258" s="4">
        <f>IF(COUNTIFS(Raw_Payments!B:B,A258)=0,"",SUMPRODUCT(MAX((Raw_Payments!B$2:B$1079=A258)*Raw_Payments!D$2:D$1079)))</f>
        <v/>
      </c>
      <c r="M258" s="3">
        <f>IF(K258="PAID",MAX(0,L258-G258),Guide!$B$3-G258)</f>
        <v/>
      </c>
      <c r="N258" s="3">
        <f>IF(J258&lt;=0.005,"COLLECTED",IF(M258&lt;=30,"1-30",IF(M258&lt;=60,"31-60",IF(M258&lt;=90,"61-90","90+"))))</f>
        <v/>
      </c>
      <c r="O258" s="3">
        <f>IF(N258="90+","LOST",IF(N258="61-90","ESCALATE",IF(N258="31-60","WATCH",IF(N258="1-30","MILD","OK"))))</f>
        <v/>
      </c>
      <c r="P258" s="3">
        <f>IF(J258&gt;0.005,ROW()-1,"")</f>
        <v/>
      </c>
    </row>
    <row r="259">
      <c r="A259" s="3" t="inlineStr">
        <is>
          <t>D0258</t>
        </is>
      </c>
      <c r="B259" s="3">
        <f>INDEX(Raw_Schedule!B:B,MATCH(A259,Raw_Schedule!A:A,0))</f>
        <v/>
      </c>
      <c r="C259" s="3">
        <f>INDEX(Raw_Schedule!C:C,MATCH(A259,Raw_Schedule!A:A,0))</f>
        <v/>
      </c>
      <c r="D259" s="3">
        <f>INDEX(Raw_Schedule!D:D,MATCH(A259,Raw_Schedule!A:A,0))</f>
        <v/>
      </c>
      <c r="E259" s="3">
        <f>INDEX(Raw_Schedule!E:E,MATCH(A259,Raw_Schedule!A:A,0))</f>
        <v/>
      </c>
      <c r="F259" s="3">
        <f>INDEX(Raw_Schedule!F:F,MATCH(A259,Raw_Schedule!A:A,0))</f>
        <v/>
      </c>
      <c r="G259" s="4">
        <f>INDEX(Raw_Schedule!G:G,MATCH(A259,Raw_Schedule!A:A,0))</f>
        <v/>
      </c>
      <c r="H259" s="5">
        <f>INDEX(Raw_Schedule!H:H,MATCH(A259,Raw_Schedule!A:A,0))</f>
        <v/>
      </c>
      <c r="I259" s="5">
        <f>SUMIFS(Raw_Payments!E:E,Raw_Payments!B:B,A259)</f>
        <v/>
      </c>
      <c r="J259" s="5">
        <f>H259-I259</f>
        <v/>
      </c>
      <c r="K259" s="3">
        <f>IF(J259&lt;=0.005,"PAID",IF(I259&gt;0,"PARTIAL","OVERDUE"))</f>
        <v/>
      </c>
      <c r="L259" s="4">
        <f>IF(COUNTIFS(Raw_Payments!B:B,A259)=0,"",SUMPRODUCT(MAX((Raw_Payments!B$2:B$1079=A259)*Raw_Payments!D$2:D$1079)))</f>
        <v/>
      </c>
      <c r="M259" s="3">
        <f>IF(K259="PAID",MAX(0,L259-G259),Guide!$B$3-G259)</f>
        <v/>
      </c>
      <c r="N259" s="3">
        <f>IF(J259&lt;=0.005,"COLLECTED",IF(M259&lt;=30,"1-30",IF(M259&lt;=60,"31-60",IF(M259&lt;=90,"61-90","90+"))))</f>
        <v/>
      </c>
      <c r="O259" s="3">
        <f>IF(N259="90+","LOST",IF(N259="61-90","ESCALATE",IF(N259="31-60","WATCH",IF(N259="1-30","MILD","OK"))))</f>
        <v/>
      </c>
      <c r="P259" s="3">
        <f>IF(J259&gt;0.005,ROW()-1,"")</f>
        <v/>
      </c>
    </row>
    <row r="260">
      <c r="A260" s="3" t="inlineStr">
        <is>
          <t>D0259</t>
        </is>
      </c>
      <c r="B260" s="3">
        <f>INDEX(Raw_Schedule!B:B,MATCH(A260,Raw_Schedule!A:A,0))</f>
        <v/>
      </c>
      <c r="C260" s="3">
        <f>INDEX(Raw_Schedule!C:C,MATCH(A260,Raw_Schedule!A:A,0))</f>
        <v/>
      </c>
      <c r="D260" s="3">
        <f>INDEX(Raw_Schedule!D:D,MATCH(A260,Raw_Schedule!A:A,0))</f>
        <v/>
      </c>
      <c r="E260" s="3">
        <f>INDEX(Raw_Schedule!E:E,MATCH(A260,Raw_Schedule!A:A,0))</f>
        <v/>
      </c>
      <c r="F260" s="3">
        <f>INDEX(Raw_Schedule!F:F,MATCH(A260,Raw_Schedule!A:A,0))</f>
        <v/>
      </c>
      <c r="G260" s="4">
        <f>INDEX(Raw_Schedule!G:G,MATCH(A260,Raw_Schedule!A:A,0))</f>
        <v/>
      </c>
      <c r="H260" s="5">
        <f>INDEX(Raw_Schedule!H:H,MATCH(A260,Raw_Schedule!A:A,0))</f>
        <v/>
      </c>
      <c r="I260" s="5">
        <f>SUMIFS(Raw_Payments!E:E,Raw_Payments!B:B,A260)</f>
        <v/>
      </c>
      <c r="J260" s="5">
        <f>H260-I260</f>
        <v/>
      </c>
      <c r="K260" s="3">
        <f>IF(J260&lt;=0.005,"PAID",IF(I260&gt;0,"PARTIAL","OVERDUE"))</f>
        <v/>
      </c>
      <c r="L260" s="4">
        <f>IF(COUNTIFS(Raw_Payments!B:B,A260)=0,"",SUMPRODUCT(MAX((Raw_Payments!B$2:B$1079=A260)*Raw_Payments!D$2:D$1079)))</f>
        <v/>
      </c>
      <c r="M260" s="3">
        <f>IF(K260="PAID",MAX(0,L260-G260),Guide!$B$3-G260)</f>
        <v/>
      </c>
      <c r="N260" s="3">
        <f>IF(J260&lt;=0.005,"COLLECTED",IF(M260&lt;=30,"1-30",IF(M260&lt;=60,"31-60",IF(M260&lt;=90,"61-90","90+"))))</f>
        <v/>
      </c>
      <c r="O260" s="3">
        <f>IF(N260="90+","LOST",IF(N260="61-90","ESCALATE",IF(N260="31-60","WATCH",IF(N260="1-30","MILD","OK"))))</f>
        <v/>
      </c>
      <c r="P260" s="3">
        <f>IF(J260&gt;0.005,ROW()-1,"")</f>
        <v/>
      </c>
    </row>
    <row r="261">
      <c r="A261" s="3" t="inlineStr">
        <is>
          <t>D0260</t>
        </is>
      </c>
      <c r="B261" s="3">
        <f>INDEX(Raw_Schedule!B:B,MATCH(A261,Raw_Schedule!A:A,0))</f>
        <v/>
      </c>
      <c r="C261" s="3">
        <f>INDEX(Raw_Schedule!C:C,MATCH(A261,Raw_Schedule!A:A,0))</f>
        <v/>
      </c>
      <c r="D261" s="3">
        <f>INDEX(Raw_Schedule!D:D,MATCH(A261,Raw_Schedule!A:A,0))</f>
        <v/>
      </c>
      <c r="E261" s="3">
        <f>INDEX(Raw_Schedule!E:E,MATCH(A261,Raw_Schedule!A:A,0))</f>
        <v/>
      </c>
      <c r="F261" s="3">
        <f>INDEX(Raw_Schedule!F:F,MATCH(A261,Raw_Schedule!A:A,0))</f>
        <v/>
      </c>
      <c r="G261" s="4">
        <f>INDEX(Raw_Schedule!G:G,MATCH(A261,Raw_Schedule!A:A,0))</f>
        <v/>
      </c>
      <c r="H261" s="5">
        <f>INDEX(Raw_Schedule!H:H,MATCH(A261,Raw_Schedule!A:A,0))</f>
        <v/>
      </c>
      <c r="I261" s="5">
        <f>SUMIFS(Raw_Payments!E:E,Raw_Payments!B:B,A261)</f>
        <v/>
      </c>
      <c r="J261" s="5">
        <f>H261-I261</f>
        <v/>
      </c>
      <c r="K261" s="3">
        <f>IF(J261&lt;=0.005,"PAID",IF(I261&gt;0,"PARTIAL","OVERDUE"))</f>
        <v/>
      </c>
      <c r="L261" s="4">
        <f>IF(COUNTIFS(Raw_Payments!B:B,A261)=0,"",SUMPRODUCT(MAX((Raw_Payments!B$2:B$1079=A261)*Raw_Payments!D$2:D$1079)))</f>
        <v/>
      </c>
      <c r="M261" s="3">
        <f>IF(K261="PAID",MAX(0,L261-G261),Guide!$B$3-G261)</f>
        <v/>
      </c>
      <c r="N261" s="3">
        <f>IF(J261&lt;=0.005,"COLLECTED",IF(M261&lt;=30,"1-30",IF(M261&lt;=60,"31-60",IF(M261&lt;=90,"61-90","90+"))))</f>
        <v/>
      </c>
      <c r="O261" s="3">
        <f>IF(N261="90+","LOST",IF(N261="61-90","ESCALATE",IF(N261="31-60","WATCH",IF(N261="1-30","MILD","OK"))))</f>
        <v/>
      </c>
      <c r="P261" s="3">
        <f>IF(J261&gt;0.005,ROW()-1,"")</f>
        <v/>
      </c>
    </row>
    <row r="262">
      <c r="A262" s="3" t="inlineStr">
        <is>
          <t>D0261</t>
        </is>
      </c>
      <c r="B262" s="3">
        <f>INDEX(Raw_Schedule!B:B,MATCH(A262,Raw_Schedule!A:A,0))</f>
        <v/>
      </c>
      <c r="C262" s="3">
        <f>INDEX(Raw_Schedule!C:C,MATCH(A262,Raw_Schedule!A:A,0))</f>
        <v/>
      </c>
      <c r="D262" s="3">
        <f>INDEX(Raw_Schedule!D:D,MATCH(A262,Raw_Schedule!A:A,0))</f>
        <v/>
      </c>
      <c r="E262" s="3">
        <f>INDEX(Raw_Schedule!E:E,MATCH(A262,Raw_Schedule!A:A,0))</f>
        <v/>
      </c>
      <c r="F262" s="3">
        <f>INDEX(Raw_Schedule!F:F,MATCH(A262,Raw_Schedule!A:A,0))</f>
        <v/>
      </c>
      <c r="G262" s="4">
        <f>INDEX(Raw_Schedule!G:G,MATCH(A262,Raw_Schedule!A:A,0))</f>
        <v/>
      </c>
      <c r="H262" s="5">
        <f>INDEX(Raw_Schedule!H:H,MATCH(A262,Raw_Schedule!A:A,0))</f>
        <v/>
      </c>
      <c r="I262" s="5">
        <f>SUMIFS(Raw_Payments!E:E,Raw_Payments!B:B,A262)</f>
        <v/>
      </c>
      <c r="J262" s="5">
        <f>H262-I262</f>
        <v/>
      </c>
      <c r="K262" s="3">
        <f>IF(J262&lt;=0.005,"PAID",IF(I262&gt;0,"PARTIAL","OVERDUE"))</f>
        <v/>
      </c>
      <c r="L262" s="4">
        <f>IF(COUNTIFS(Raw_Payments!B:B,A262)=0,"",SUMPRODUCT(MAX((Raw_Payments!B$2:B$1079=A262)*Raw_Payments!D$2:D$1079)))</f>
        <v/>
      </c>
      <c r="M262" s="3">
        <f>IF(K262="PAID",MAX(0,L262-G262),Guide!$B$3-G262)</f>
        <v/>
      </c>
      <c r="N262" s="3">
        <f>IF(J262&lt;=0.005,"COLLECTED",IF(M262&lt;=30,"1-30",IF(M262&lt;=60,"31-60",IF(M262&lt;=90,"61-90","90+"))))</f>
        <v/>
      </c>
      <c r="O262" s="3">
        <f>IF(N262="90+","LOST",IF(N262="61-90","ESCALATE",IF(N262="31-60","WATCH",IF(N262="1-30","MILD","OK"))))</f>
        <v/>
      </c>
      <c r="P262" s="3">
        <f>IF(J262&gt;0.005,ROW()-1,"")</f>
        <v/>
      </c>
    </row>
    <row r="263">
      <c r="A263" s="3" t="inlineStr">
        <is>
          <t>D0262</t>
        </is>
      </c>
      <c r="B263" s="3">
        <f>INDEX(Raw_Schedule!B:B,MATCH(A263,Raw_Schedule!A:A,0))</f>
        <v/>
      </c>
      <c r="C263" s="3">
        <f>INDEX(Raw_Schedule!C:C,MATCH(A263,Raw_Schedule!A:A,0))</f>
        <v/>
      </c>
      <c r="D263" s="3">
        <f>INDEX(Raw_Schedule!D:D,MATCH(A263,Raw_Schedule!A:A,0))</f>
        <v/>
      </c>
      <c r="E263" s="3">
        <f>INDEX(Raw_Schedule!E:E,MATCH(A263,Raw_Schedule!A:A,0))</f>
        <v/>
      </c>
      <c r="F263" s="3">
        <f>INDEX(Raw_Schedule!F:F,MATCH(A263,Raw_Schedule!A:A,0))</f>
        <v/>
      </c>
      <c r="G263" s="4">
        <f>INDEX(Raw_Schedule!G:G,MATCH(A263,Raw_Schedule!A:A,0))</f>
        <v/>
      </c>
      <c r="H263" s="5">
        <f>INDEX(Raw_Schedule!H:H,MATCH(A263,Raw_Schedule!A:A,0))</f>
        <v/>
      </c>
      <c r="I263" s="5">
        <f>SUMIFS(Raw_Payments!E:E,Raw_Payments!B:B,A263)</f>
        <v/>
      </c>
      <c r="J263" s="5">
        <f>H263-I263</f>
        <v/>
      </c>
      <c r="K263" s="3">
        <f>IF(J263&lt;=0.005,"PAID",IF(I263&gt;0,"PARTIAL","OVERDUE"))</f>
        <v/>
      </c>
      <c r="L263" s="4">
        <f>IF(COUNTIFS(Raw_Payments!B:B,A263)=0,"",SUMPRODUCT(MAX((Raw_Payments!B$2:B$1079=A263)*Raw_Payments!D$2:D$1079)))</f>
        <v/>
      </c>
      <c r="M263" s="3">
        <f>IF(K263="PAID",MAX(0,L263-G263),Guide!$B$3-G263)</f>
        <v/>
      </c>
      <c r="N263" s="3">
        <f>IF(J263&lt;=0.005,"COLLECTED",IF(M263&lt;=30,"1-30",IF(M263&lt;=60,"31-60",IF(M263&lt;=90,"61-90","90+"))))</f>
        <v/>
      </c>
      <c r="O263" s="3">
        <f>IF(N263="90+","LOST",IF(N263="61-90","ESCALATE",IF(N263="31-60","WATCH",IF(N263="1-30","MILD","OK"))))</f>
        <v/>
      </c>
      <c r="P263" s="3">
        <f>IF(J263&gt;0.005,ROW()-1,"")</f>
        <v/>
      </c>
    </row>
    <row r="264">
      <c r="A264" s="3" t="inlineStr">
        <is>
          <t>D0263</t>
        </is>
      </c>
      <c r="B264" s="3">
        <f>INDEX(Raw_Schedule!B:B,MATCH(A264,Raw_Schedule!A:A,0))</f>
        <v/>
      </c>
      <c r="C264" s="3">
        <f>INDEX(Raw_Schedule!C:C,MATCH(A264,Raw_Schedule!A:A,0))</f>
        <v/>
      </c>
      <c r="D264" s="3">
        <f>INDEX(Raw_Schedule!D:D,MATCH(A264,Raw_Schedule!A:A,0))</f>
        <v/>
      </c>
      <c r="E264" s="3">
        <f>INDEX(Raw_Schedule!E:E,MATCH(A264,Raw_Schedule!A:A,0))</f>
        <v/>
      </c>
      <c r="F264" s="3">
        <f>INDEX(Raw_Schedule!F:F,MATCH(A264,Raw_Schedule!A:A,0))</f>
        <v/>
      </c>
      <c r="G264" s="4">
        <f>INDEX(Raw_Schedule!G:G,MATCH(A264,Raw_Schedule!A:A,0))</f>
        <v/>
      </c>
      <c r="H264" s="5">
        <f>INDEX(Raw_Schedule!H:H,MATCH(A264,Raw_Schedule!A:A,0))</f>
        <v/>
      </c>
      <c r="I264" s="5">
        <f>SUMIFS(Raw_Payments!E:E,Raw_Payments!B:B,A264)</f>
        <v/>
      </c>
      <c r="J264" s="5">
        <f>H264-I264</f>
        <v/>
      </c>
      <c r="K264" s="3">
        <f>IF(J264&lt;=0.005,"PAID",IF(I264&gt;0,"PARTIAL","OVERDUE"))</f>
        <v/>
      </c>
      <c r="L264" s="4">
        <f>IF(COUNTIFS(Raw_Payments!B:B,A264)=0,"",SUMPRODUCT(MAX((Raw_Payments!B$2:B$1079=A264)*Raw_Payments!D$2:D$1079)))</f>
        <v/>
      </c>
      <c r="M264" s="3">
        <f>IF(K264="PAID",MAX(0,L264-G264),Guide!$B$3-G264)</f>
        <v/>
      </c>
      <c r="N264" s="3">
        <f>IF(J264&lt;=0.005,"COLLECTED",IF(M264&lt;=30,"1-30",IF(M264&lt;=60,"31-60",IF(M264&lt;=90,"61-90","90+"))))</f>
        <v/>
      </c>
      <c r="O264" s="3">
        <f>IF(N264="90+","LOST",IF(N264="61-90","ESCALATE",IF(N264="31-60","WATCH",IF(N264="1-30","MILD","OK"))))</f>
        <v/>
      </c>
      <c r="P264" s="3">
        <f>IF(J264&gt;0.005,ROW()-1,"")</f>
        <v/>
      </c>
    </row>
    <row r="265">
      <c r="A265" s="3" t="inlineStr">
        <is>
          <t>D0264</t>
        </is>
      </c>
      <c r="B265" s="3">
        <f>INDEX(Raw_Schedule!B:B,MATCH(A265,Raw_Schedule!A:A,0))</f>
        <v/>
      </c>
      <c r="C265" s="3">
        <f>INDEX(Raw_Schedule!C:C,MATCH(A265,Raw_Schedule!A:A,0))</f>
        <v/>
      </c>
      <c r="D265" s="3">
        <f>INDEX(Raw_Schedule!D:D,MATCH(A265,Raw_Schedule!A:A,0))</f>
        <v/>
      </c>
      <c r="E265" s="3">
        <f>INDEX(Raw_Schedule!E:E,MATCH(A265,Raw_Schedule!A:A,0))</f>
        <v/>
      </c>
      <c r="F265" s="3">
        <f>INDEX(Raw_Schedule!F:F,MATCH(A265,Raw_Schedule!A:A,0))</f>
        <v/>
      </c>
      <c r="G265" s="4">
        <f>INDEX(Raw_Schedule!G:G,MATCH(A265,Raw_Schedule!A:A,0))</f>
        <v/>
      </c>
      <c r="H265" s="5">
        <f>INDEX(Raw_Schedule!H:H,MATCH(A265,Raw_Schedule!A:A,0))</f>
        <v/>
      </c>
      <c r="I265" s="5">
        <f>SUMIFS(Raw_Payments!E:E,Raw_Payments!B:B,A265)</f>
        <v/>
      </c>
      <c r="J265" s="5">
        <f>H265-I265</f>
        <v/>
      </c>
      <c r="K265" s="3">
        <f>IF(J265&lt;=0.005,"PAID",IF(I265&gt;0,"PARTIAL","OVERDUE"))</f>
        <v/>
      </c>
      <c r="L265" s="4">
        <f>IF(COUNTIFS(Raw_Payments!B:B,A265)=0,"",SUMPRODUCT(MAX((Raw_Payments!B$2:B$1079=A265)*Raw_Payments!D$2:D$1079)))</f>
        <v/>
      </c>
      <c r="M265" s="3">
        <f>IF(K265="PAID",MAX(0,L265-G265),Guide!$B$3-G265)</f>
        <v/>
      </c>
      <c r="N265" s="3">
        <f>IF(J265&lt;=0.005,"COLLECTED",IF(M265&lt;=30,"1-30",IF(M265&lt;=60,"31-60",IF(M265&lt;=90,"61-90","90+"))))</f>
        <v/>
      </c>
      <c r="O265" s="3">
        <f>IF(N265="90+","LOST",IF(N265="61-90","ESCALATE",IF(N265="31-60","WATCH",IF(N265="1-30","MILD","OK"))))</f>
        <v/>
      </c>
      <c r="P265" s="3">
        <f>IF(J265&gt;0.005,ROW()-1,"")</f>
        <v/>
      </c>
    </row>
    <row r="266">
      <c r="A266" s="3" t="inlineStr">
        <is>
          <t>D0265</t>
        </is>
      </c>
      <c r="B266" s="3">
        <f>INDEX(Raw_Schedule!B:B,MATCH(A266,Raw_Schedule!A:A,0))</f>
        <v/>
      </c>
      <c r="C266" s="3">
        <f>INDEX(Raw_Schedule!C:C,MATCH(A266,Raw_Schedule!A:A,0))</f>
        <v/>
      </c>
      <c r="D266" s="3">
        <f>INDEX(Raw_Schedule!D:D,MATCH(A266,Raw_Schedule!A:A,0))</f>
        <v/>
      </c>
      <c r="E266" s="3">
        <f>INDEX(Raw_Schedule!E:E,MATCH(A266,Raw_Schedule!A:A,0))</f>
        <v/>
      </c>
      <c r="F266" s="3">
        <f>INDEX(Raw_Schedule!F:F,MATCH(A266,Raw_Schedule!A:A,0))</f>
        <v/>
      </c>
      <c r="G266" s="4">
        <f>INDEX(Raw_Schedule!G:G,MATCH(A266,Raw_Schedule!A:A,0))</f>
        <v/>
      </c>
      <c r="H266" s="5">
        <f>INDEX(Raw_Schedule!H:H,MATCH(A266,Raw_Schedule!A:A,0))</f>
        <v/>
      </c>
      <c r="I266" s="5">
        <f>SUMIFS(Raw_Payments!E:E,Raw_Payments!B:B,A266)</f>
        <v/>
      </c>
      <c r="J266" s="5">
        <f>H266-I266</f>
        <v/>
      </c>
      <c r="K266" s="3">
        <f>IF(J266&lt;=0.005,"PAID",IF(I266&gt;0,"PARTIAL","OVERDUE"))</f>
        <v/>
      </c>
      <c r="L266" s="4">
        <f>IF(COUNTIFS(Raw_Payments!B:B,A266)=0,"",SUMPRODUCT(MAX((Raw_Payments!B$2:B$1079=A266)*Raw_Payments!D$2:D$1079)))</f>
        <v/>
      </c>
      <c r="M266" s="3">
        <f>IF(K266="PAID",MAX(0,L266-G266),Guide!$B$3-G266)</f>
        <v/>
      </c>
      <c r="N266" s="3">
        <f>IF(J266&lt;=0.005,"COLLECTED",IF(M266&lt;=30,"1-30",IF(M266&lt;=60,"31-60",IF(M266&lt;=90,"61-90","90+"))))</f>
        <v/>
      </c>
      <c r="O266" s="3">
        <f>IF(N266="90+","LOST",IF(N266="61-90","ESCALATE",IF(N266="31-60","WATCH",IF(N266="1-30","MILD","OK"))))</f>
        <v/>
      </c>
      <c r="P266" s="3">
        <f>IF(J266&gt;0.005,ROW()-1,"")</f>
        <v/>
      </c>
    </row>
    <row r="267">
      <c r="A267" s="3" t="inlineStr">
        <is>
          <t>D0266</t>
        </is>
      </c>
      <c r="B267" s="3">
        <f>INDEX(Raw_Schedule!B:B,MATCH(A267,Raw_Schedule!A:A,0))</f>
        <v/>
      </c>
      <c r="C267" s="3">
        <f>INDEX(Raw_Schedule!C:C,MATCH(A267,Raw_Schedule!A:A,0))</f>
        <v/>
      </c>
      <c r="D267" s="3">
        <f>INDEX(Raw_Schedule!D:D,MATCH(A267,Raw_Schedule!A:A,0))</f>
        <v/>
      </c>
      <c r="E267" s="3">
        <f>INDEX(Raw_Schedule!E:E,MATCH(A267,Raw_Schedule!A:A,0))</f>
        <v/>
      </c>
      <c r="F267" s="3">
        <f>INDEX(Raw_Schedule!F:F,MATCH(A267,Raw_Schedule!A:A,0))</f>
        <v/>
      </c>
      <c r="G267" s="4">
        <f>INDEX(Raw_Schedule!G:G,MATCH(A267,Raw_Schedule!A:A,0))</f>
        <v/>
      </c>
      <c r="H267" s="5">
        <f>INDEX(Raw_Schedule!H:H,MATCH(A267,Raw_Schedule!A:A,0))</f>
        <v/>
      </c>
      <c r="I267" s="5">
        <f>SUMIFS(Raw_Payments!E:E,Raw_Payments!B:B,A267)</f>
        <v/>
      </c>
      <c r="J267" s="5">
        <f>H267-I267</f>
        <v/>
      </c>
      <c r="K267" s="3">
        <f>IF(J267&lt;=0.005,"PAID",IF(I267&gt;0,"PARTIAL","OVERDUE"))</f>
        <v/>
      </c>
      <c r="L267" s="4">
        <f>IF(COUNTIFS(Raw_Payments!B:B,A267)=0,"",SUMPRODUCT(MAX((Raw_Payments!B$2:B$1079=A267)*Raw_Payments!D$2:D$1079)))</f>
        <v/>
      </c>
      <c r="M267" s="3">
        <f>IF(K267="PAID",MAX(0,L267-G267),Guide!$B$3-G267)</f>
        <v/>
      </c>
      <c r="N267" s="3">
        <f>IF(J267&lt;=0.005,"COLLECTED",IF(M267&lt;=30,"1-30",IF(M267&lt;=60,"31-60",IF(M267&lt;=90,"61-90","90+"))))</f>
        <v/>
      </c>
      <c r="O267" s="3">
        <f>IF(N267="90+","LOST",IF(N267="61-90","ESCALATE",IF(N267="31-60","WATCH",IF(N267="1-30","MILD","OK"))))</f>
        <v/>
      </c>
      <c r="P267" s="3">
        <f>IF(J267&gt;0.005,ROW()-1,"")</f>
        <v/>
      </c>
    </row>
    <row r="268">
      <c r="A268" s="3" t="inlineStr">
        <is>
          <t>D0267</t>
        </is>
      </c>
      <c r="B268" s="3">
        <f>INDEX(Raw_Schedule!B:B,MATCH(A268,Raw_Schedule!A:A,0))</f>
        <v/>
      </c>
      <c r="C268" s="3">
        <f>INDEX(Raw_Schedule!C:C,MATCH(A268,Raw_Schedule!A:A,0))</f>
        <v/>
      </c>
      <c r="D268" s="3">
        <f>INDEX(Raw_Schedule!D:D,MATCH(A268,Raw_Schedule!A:A,0))</f>
        <v/>
      </c>
      <c r="E268" s="3">
        <f>INDEX(Raw_Schedule!E:E,MATCH(A268,Raw_Schedule!A:A,0))</f>
        <v/>
      </c>
      <c r="F268" s="3">
        <f>INDEX(Raw_Schedule!F:F,MATCH(A268,Raw_Schedule!A:A,0))</f>
        <v/>
      </c>
      <c r="G268" s="4">
        <f>INDEX(Raw_Schedule!G:G,MATCH(A268,Raw_Schedule!A:A,0))</f>
        <v/>
      </c>
      <c r="H268" s="5">
        <f>INDEX(Raw_Schedule!H:H,MATCH(A268,Raw_Schedule!A:A,0))</f>
        <v/>
      </c>
      <c r="I268" s="5">
        <f>SUMIFS(Raw_Payments!E:E,Raw_Payments!B:B,A268)</f>
        <v/>
      </c>
      <c r="J268" s="5">
        <f>H268-I268</f>
        <v/>
      </c>
      <c r="K268" s="3">
        <f>IF(J268&lt;=0.005,"PAID",IF(I268&gt;0,"PARTIAL","OVERDUE"))</f>
        <v/>
      </c>
      <c r="L268" s="4">
        <f>IF(COUNTIFS(Raw_Payments!B:B,A268)=0,"",SUMPRODUCT(MAX((Raw_Payments!B$2:B$1079=A268)*Raw_Payments!D$2:D$1079)))</f>
        <v/>
      </c>
      <c r="M268" s="3">
        <f>IF(K268="PAID",MAX(0,L268-G268),Guide!$B$3-G268)</f>
        <v/>
      </c>
      <c r="N268" s="3">
        <f>IF(J268&lt;=0.005,"COLLECTED",IF(M268&lt;=30,"1-30",IF(M268&lt;=60,"31-60",IF(M268&lt;=90,"61-90","90+"))))</f>
        <v/>
      </c>
      <c r="O268" s="3">
        <f>IF(N268="90+","LOST",IF(N268="61-90","ESCALATE",IF(N268="31-60","WATCH",IF(N268="1-30","MILD","OK"))))</f>
        <v/>
      </c>
      <c r="P268" s="3">
        <f>IF(J268&gt;0.005,ROW()-1,"")</f>
        <v/>
      </c>
    </row>
    <row r="269">
      <c r="A269" s="3" t="inlineStr">
        <is>
          <t>D0268</t>
        </is>
      </c>
      <c r="B269" s="3">
        <f>INDEX(Raw_Schedule!B:B,MATCH(A269,Raw_Schedule!A:A,0))</f>
        <v/>
      </c>
      <c r="C269" s="3">
        <f>INDEX(Raw_Schedule!C:C,MATCH(A269,Raw_Schedule!A:A,0))</f>
        <v/>
      </c>
      <c r="D269" s="3">
        <f>INDEX(Raw_Schedule!D:D,MATCH(A269,Raw_Schedule!A:A,0))</f>
        <v/>
      </c>
      <c r="E269" s="3">
        <f>INDEX(Raw_Schedule!E:E,MATCH(A269,Raw_Schedule!A:A,0))</f>
        <v/>
      </c>
      <c r="F269" s="3">
        <f>INDEX(Raw_Schedule!F:F,MATCH(A269,Raw_Schedule!A:A,0))</f>
        <v/>
      </c>
      <c r="G269" s="4">
        <f>INDEX(Raw_Schedule!G:G,MATCH(A269,Raw_Schedule!A:A,0))</f>
        <v/>
      </c>
      <c r="H269" s="5">
        <f>INDEX(Raw_Schedule!H:H,MATCH(A269,Raw_Schedule!A:A,0))</f>
        <v/>
      </c>
      <c r="I269" s="5">
        <f>SUMIFS(Raw_Payments!E:E,Raw_Payments!B:B,A269)</f>
        <v/>
      </c>
      <c r="J269" s="5">
        <f>H269-I269</f>
        <v/>
      </c>
      <c r="K269" s="3">
        <f>IF(J269&lt;=0.005,"PAID",IF(I269&gt;0,"PARTIAL","OVERDUE"))</f>
        <v/>
      </c>
      <c r="L269" s="4">
        <f>IF(COUNTIFS(Raw_Payments!B:B,A269)=0,"",SUMPRODUCT(MAX((Raw_Payments!B$2:B$1079=A269)*Raw_Payments!D$2:D$1079)))</f>
        <v/>
      </c>
      <c r="M269" s="3">
        <f>IF(K269="PAID",MAX(0,L269-G269),Guide!$B$3-G269)</f>
        <v/>
      </c>
      <c r="N269" s="3">
        <f>IF(J269&lt;=0.005,"COLLECTED",IF(M269&lt;=30,"1-30",IF(M269&lt;=60,"31-60",IF(M269&lt;=90,"61-90","90+"))))</f>
        <v/>
      </c>
      <c r="O269" s="3">
        <f>IF(N269="90+","LOST",IF(N269="61-90","ESCALATE",IF(N269="31-60","WATCH",IF(N269="1-30","MILD","OK"))))</f>
        <v/>
      </c>
      <c r="P269" s="3">
        <f>IF(J269&gt;0.005,ROW()-1,"")</f>
        <v/>
      </c>
    </row>
    <row r="270">
      <c r="A270" s="3" t="inlineStr">
        <is>
          <t>D0269</t>
        </is>
      </c>
      <c r="B270" s="3">
        <f>INDEX(Raw_Schedule!B:B,MATCH(A270,Raw_Schedule!A:A,0))</f>
        <v/>
      </c>
      <c r="C270" s="3">
        <f>INDEX(Raw_Schedule!C:C,MATCH(A270,Raw_Schedule!A:A,0))</f>
        <v/>
      </c>
      <c r="D270" s="3">
        <f>INDEX(Raw_Schedule!D:D,MATCH(A270,Raw_Schedule!A:A,0))</f>
        <v/>
      </c>
      <c r="E270" s="3">
        <f>INDEX(Raw_Schedule!E:E,MATCH(A270,Raw_Schedule!A:A,0))</f>
        <v/>
      </c>
      <c r="F270" s="3">
        <f>INDEX(Raw_Schedule!F:F,MATCH(A270,Raw_Schedule!A:A,0))</f>
        <v/>
      </c>
      <c r="G270" s="4">
        <f>INDEX(Raw_Schedule!G:G,MATCH(A270,Raw_Schedule!A:A,0))</f>
        <v/>
      </c>
      <c r="H270" s="5">
        <f>INDEX(Raw_Schedule!H:H,MATCH(A270,Raw_Schedule!A:A,0))</f>
        <v/>
      </c>
      <c r="I270" s="5">
        <f>SUMIFS(Raw_Payments!E:E,Raw_Payments!B:B,A270)</f>
        <v/>
      </c>
      <c r="J270" s="5">
        <f>H270-I270</f>
        <v/>
      </c>
      <c r="K270" s="3">
        <f>IF(J270&lt;=0.005,"PAID",IF(I270&gt;0,"PARTIAL","OVERDUE"))</f>
        <v/>
      </c>
      <c r="L270" s="4">
        <f>IF(COUNTIFS(Raw_Payments!B:B,A270)=0,"",SUMPRODUCT(MAX((Raw_Payments!B$2:B$1079=A270)*Raw_Payments!D$2:D$1079)))</f>
        <v/>
      </c>
      <c r="M270" s="3">
        <f>IF(K270="PAID",MAX(0,L270-G270),Guide!$B$3-G270)</f>
        <v/>
      </c>
      <c r="N270" s="3">
        <f>IF(J270&lt;=0.005,"COLLECTED",IF(M270&lt;=30,"1-30",IF(M270&lt;=60,"31-60",IF(M270&lt;=90,"61-90","90+"))))</f>
        <v/>
      </c>
      <c r="O270" s="3">
        <f>IF(N270="90+","LOST",IF(N270="61-90","ESCALATE",IF(N270="31-60","WATCH",IF(N270="1-30","MILD","OK"))))</f>
        <v/>
      </c>
      <c r="P270" s="3">
        <f>IF(J270&gt;0.005,ROW()-1,"")</f>
        <v/>
      </c>
    </row>
    <row r="271">
      <c r="A271" s="3" t="inlineStr">
        <is>
          <t>D0270</t>
        </is>
      </c>
      <c r="B271" s="3">
        <f>INDEX(Raw_Schedule!B:B,MATCH(A271,Raw_Schedule!A:A,0))</f>
        <v/>
      </c>
      <c r="C271" s="3">
        <f>INDEX(Raw_Schedule!C:C,MATCH(A271,Raw_Schedule!A:A,0))</f>
        <v/>
      </c>
      <c r="D271" s="3">
        <f>INDEX(Raw_Schedule!D:D,MATCH(A271,Raw_Schedule!A:A,0))</f>
        <v/>
      </c>
      <c r="E271" s="3">
        <f>INDEX(Raw_Schedule!E:E,MATCH(A271,Raw_Schedule!A:A,0))</f>
        <v/>
      </c>
      <c r="F271" s="3">
        <f>INDEX(Raw_Schedule!F:F,MATCH(A271,Raw_Schedule!A:A,0))</f>
        <v/>
      </c>
      <c r="G271" s="4">
        <f>INDEX(Raw_Schedule!G:G,MATCH(A271,Raw_Schedule!A:A,0))</f>
        <v/>
      </c>
      <c r="H271" s="5">
        <f>INDEX(Raw_Schedule!H:H,MATCH(A271,Raw_Schedule!A:A,0))</f>
        <v/>
      </c>
      <c r="I271" s="5">
        <f>SUMIFS(Raw_Payments!E:E,Raw_Payments!B:B,A271)</f>
        <v/>
      </c>
      <c r="J271" s="5">
        <f>H271-I271</f>
        <v/>
      </c>
      <c r="K271" s="3">
        <f>IF(J271&lt;=0.005,"PAID",IF(I271&gt;0,"PARTIAL","OVERDUE"))</f>
        <v/>
      </c>
      <c r="L271" s="4">
        <f>IF(COUNTIFS(Raw_Payments!B:B,A271)=0,"",SUMPRODUCT(MAX((Raw_Payments!B$2:B$1079=A271)*Raw_Payments!D$2:D$1079)))</f>
        <v/>
      </c>
      <c r="M271" s="3">
        <f>IF(K271="PAID",MAX(0,L271-G271),Guide!$B$3-G271)</f>
        <v/>
      </c>
      <c r="N271" s="3">
        <f>IF(J271&lt;=0.005,"COLLECTED",IF(M271&lt;=30,"1-30",IF(M271&lt;=60,"31-60",IF(M271&lt;=90,"61-90","90+"))))</f>
        <v/>
      </c>
      <c r="O271" s="3">
        <f>IF(N271="90+","LOST",IF(N271="61-90","ESCALATE",IF(N271="31-60","WATCH",IF(N271="1-30","MILD","OK"))))</f>
        <v/>
      </c>
      <c r="P271" s="3">
        <f>IF(J271&gt;0.005,ROW()-1,"")</f>
        <v/>
      </c>
    </row>
    <row r="272">
      <c r="A272" s="3" t="inlineStr">
        <is>
          <t>D0271</t>
        </is>
      </c>
      <c r="B272" s="3">
        <f>INDEX(Raw_Schedule!B:B,MATCH(A272,Raw_Schedule!A:A,0))</f>
        <v/>
      </c>
      <c r="C272" s="3">
        <f>INDEX(Raw_Schedule!C:C,MATCH(A272,Raw_Schedule!A:A,0))</f>
        <v/>
      </c>
      <c r="D272" s="3">
        <f>INDEX(Raw_Schedule!D:D,MATCH(A272,Raw_Schedule!A:A,0))</f>
        <v/>
      </c>
      <c r="E272" s="3">
        <f>INDEX(Raw_Schedule!E:E,MATCH(A272,Raw_Schedule!A:A,0))</f>
        <v/>
      </c>
      <c r="F272" s="3">
        <f>INDEX(Raw_Schedule!F:F,MATCH(A272,Raw_Schedule!A:A,0))</f>
        <v/>
      </c>
      <c r="G272" s="4">
        <f>INDEX(Raw_Schedule!G:G,MATCH(A272,Raw_Schedule!A:A,0))</f>
        <v/>
      </c>
      <c r="H272" s="5">
        <f>INDEX(Raw_Schedule!H:H,MATCH(A272,Raw_Schedule!A:A,0))</f>
        <v/>
      </c>
      <c r="I272" s="5">
        <f>SUMIFS(Raw_Payments!E:E,Raw_Payments!B:B,A272)</f>
        <v/>
      </c>
      <c r="J272" s="5">
        <f>H272-I272</f>
        <v/>
      </c>
      <c r="K272" s="3">
        <f>IF(J272&lt;=0.005,"PAID",IF(I272&gt;0,"PARTIAL","OVERDUE"))</f>
        <v/>
      </c>
      <c r="L272" s="4">
        <f>IF(COUNTIFS(Raw_Payments!B:B,A272)=0,"",SUMPRODUCT(MAX((Raw_Payments!B$2:B$1079=A272)*Raw_Payments!D$2:D$1079)))</f>
        <v/>
      </c>
      <c r="M272" s="3">
        <f>IF(K272="PAID",MAX(0,L272-G272),Guide!$B$3-G272)</f>
        <v/>
      </c>
      <c r="N272" s="3">
        <f>IF(J272&lt;=0.005,"COLLECTED",IF(M272&lt;=30,"1-30",IF(M272&lt;=60,"31-60",IF(M272&lt;=90,"61-90","90+"))))</f>
        <v/>
      </c>
      <c r="O272" s="3">
        <f>IF(N272="90+","LOST",IF(N272="61-90","ESCALATE",IF(N272="31-60","WATCH",IF(N272="1-30","MILD","OK"))))</f>
        <v/>
      </c>
      <c r="P272" s="3">
        <f>IF(J272&gt;0.005,ROW()-1,"")</f>
        <v/>
      </c>
    </row>
    <row r="273">
      <c r="A273" s="3" t="inlineStr">
        <is>
          <t>D0272</t>
        </is>
      </c>
      <c r="B273" s="3">
        <f>INDEX(Raw_Schedule!B:B,MATCH(A273,Raw_Schedule!A:A,0))</f>
        <v/>
      </c>
      <c r="C273" s="3">
        <f>INDEX(Raw_Schedule!C:C,MATCH(A273,Raw_Schedule!A:A,0))</f>
        <v/>
      </c>
      <c r="D273" s="3">
        <f>INDEX(Raw_Schedule!D:D,MATCH(A273,Raw_Schedule!A:A,0))</f>
        <v/>
      </c>
      <c r="E273" s="3">
        <f>INDEX(Raw_Schedule!E:E,MATCH(A273,Raw_Schedule!A:A,0))</f>
        <v/>
      </c>
      <c r="F273" s="3">
        <f>INDEX(Raw_Schedule!F:F,MATCH(A273,Raw_Schedule!A:A,0))</f>
        <v/>
      </c>
      <c r="G273" s="4">
        <f>INDEX(Raw_Schedule!G:G,MATCH(A273,Raw_Schedule!A:A,0))</f>
        <v/>
      </c>
      <c r="H273" s="5">
        <f>INDEX(Raw_Schedule!H:H,MATCH(A273,Raw_Schedule!A:A,0))</f>
        <v/>
      </c>
      <c r="I273" s="5">
        <f>SUMIFS(Raw_Payments!E:E,Raw_Payments!B:B,A273)</f>
        <v/>
      </c>
      <c r="J273" s="5">
        <f>H273-I273</f>
        <v/>
      </c>
      <c r="K273" s="3">
        <f>IF(J273&lt;=0.005,"PAID",IF(I273&gt;0,"PARTIAL","OVERDUE"))</f>
        <v/>
      </c>
      <c r="L273" s="4">
        <f>IF(COUNTIFS(Raw_Payments!B:B,A273)=0,"",SUMPRODUCT(MAX((Raw_Payments!B$2:B$1079=A273)*Raw_Payments!D$2:D$1079)))</f>
        <v/>
      </c>
      <c r="M273" s="3">
        <f>IF(K273="PAID",MAX(0,L273-G273),Guide!$B$3-G273)</f>
        <v/>
      </c>
      <c r="N273" s="3">
        <f>IF(J273&lt;=0.005,"COLLECTED",IF(M273&lt;=30,"1-30",IF(M273&lt;=60,"31-60",IF(M273&lt;=90,"61-90","90+"))))</f>
        <v/>
      </c>
      <c r="O273" s="3">
        <f>IF(N273="90+","LOST",IF(N273="61-90","ESCALATE",IF(N273="31-60","WATCH",IF(N273="1-30","MILD","OK"))))</f>
        <v/>
      </c>
      <c r="P273" s="3">
        <f>IF(J273&gt;0.005,ROW()-1,"")</f>
        <v/>
      </c>
    </row>
    <row r="274">
      <c r="A274" s="3" t="inlineStr">
        <is>
          <t>D0273</t>
        </is>
      </c>
      <c r="B274" s="3">
        <f>INDEX(Raw_Schedule!B:B,MATCH(A274,Raw_Schedule!A:A,0))</f>
        <v/>
      </c>
      <c r="C274" s="3">
        <f>INDEX(Raw_Schedule!C:C,MATCH(A274,Raw_Schedule!A:A,0))</f>
        <v/>
      </c>
      <c r="D274" s="3">
        <f>INDEX(Raw_Schedule!D:D,MATCH(A274,Raw_Schedule!A:A,0))</f>
        <v/>
      </c>
      <c r="E274" s="3">
        <f>INDEX(Raw_Schedule!E:E,MATCH(A274,Raw_Schedule!A:A,0))</f>
        <v/>
      </c>
      <c r="F274" s="3">
        <f>INDEX(Raw_Schedule!F:F,MATCH(A274,Raw_Schedule!A:A,0))</f>
        <v/>
      </c>
      <c r="G274" s="4">
        <f>INDEX(Raw_Schedule!G:G,MATCH(A274,Raw_Schedule!A:A,0))</f>
        <v/>
      </c>
      <c r="H274" s="5">
        <f>INDEX(Raw_Schedule!H:H,MATCH(A274,Raw_Schedule!A:A,0))</f>
        <v/>
      </c>
      <c r="I274" s="5">
        <f>SUMIFS(Raw_Payments!E:E,Raw_Payments!B:B,A274)</f>
        <v/>
      </c>
      <c r="J274" s="5">
        <f>H274-I274</f>
        <v/>
      </c>
      <c r="K274" s="3">
        <f>IF(J274&lt;=0.005,"PAID",IF(I274&gt;0,"PARTIAL","OVERDUE"))</f>
        <v/>
      </c>
      <c r="L274" s="4">
        <f>IF(COUNTIFS(Raw_Payments!B:B,A274)=0,"",SUMPRODUCT(MAX((Raw_Payments!B$2:B$1079=A274)*Raw_Payments!D$2:D$1079)))</f>
        <v/>
      </c>
      <c r="M274" s="3">
        <f>IF(K274="PAID",MAX(0,L274-G274),Guide!$B$3-G274)</f>
        <v/>
      </c>
      <c r="N274" s="3">
        <f>IF(J274&lt;=0.005,"COLLECTED",IF(M274&lt;=30,"1-30",IF(M274&lt;=60,"31-60",IF(M274&lt;=90,"61-90","90+"))))</f>
        <v/>
      </c>
      <c r="O274" s="3">
        <f>IF(N274="90+","LOST",IF(N274="61-90","ESCALATE",IF(N274="31-60","WATCH",IF(N274="1-30","MILD","OK"))))</f>
        <v/>
      </c>
      <c r="P274" s="3">
        <f>IF(J274&gt;0.005,ROW()-1,"")</f>
        <v/>
      </c>
    </row>
    <row r="275">
      <c r="A275" s="3" t="inlineStr">
        <is>
          <t>D0274</t>
        </is>
      </c>
      <c r="B275" s="3">
        <f>INDEX(Raw_Schedule!B:B,MATCH(A275,Raw_Schedule!A:A,0))</f>
        <v/>
      </c>
      <c r="C275" s="3">
        <f>INDEX(Raw_Schedule!C:C,MATCH(A275,Raw_Schedule!A:A,0))</f>
        <v/>
      </c>
      <c r="D275" s="3">
        <f>INDEX(Raw_Schedule!D:D,MATCH(A275,Raw_Schedule!A:A,0))</f>
        <v/>
      </c>
      <c r="E275" s="3">
        <f>INDEX(Raw_Schedule!E:E,MATCH(A275,Raw_Schedule!A:A,0))</f>
        <v/>
      </c>
      <c r="F275" s="3">
        <f>INDEX(Raw_Schedule!F:F,MATCH(A275,Raw_Schedule!A:A,0))</f>
        <v/>
      </c>
      <c r="G275" s="4">
        <f>INDEX(Raw_Schedule!G:G,MATCH(A275,Raw_Schedule!A:A,0))</f>
        <v/>
      </c>
      <c r="H275" s="5">
        <f>INDEX(Raw_Schedule!H:H,MATCH(A275,Raw_Schedule!A:A,0))</f>
        <v/>
      </c>
      <c r="I275" s="5">
        <f>SUMIFS(Raw_Payments!E:E,Raw_Payments!B:B,A275)</f>
        <v/>
      </c>
      <c r="J275" s="5">
        <f>H275-I275</f>
        <v/>
      </c>
      <c r="K275" s="3">
        <f>IF(J275&lt;=0.005,"PAID",IF(I275&gt;0,"PARTIAL","OVERDUE"))</f>
        <v/>
      </c>
      <c r="L275" s="4">
        <f>IF(COUNTIFS(Raw_Payments!B:B,A275)=0,"",SUMPRODUCT(MAX((Raw_Payments!B$2:B$1079=A275)*Raw_Payments!D$2:D$1079)))</f>
        <v/>
      </c>
      <c r="M275" s="3">
        <f>IF(K275="PAID",MAX(0,L275-G275),Guide!$B$3-G275)</f>
        <v/>
      </c>
      <c r="N275" s="3">
        <f>IF(J275&lt;=0.005,"COLLECTED",IF(M275&lt;=30,"1-30",IF(M275&lt;=60,"31-60",IF(M275&lt;=90,"61-90","90+"))))</f>
        <v/>
      </c>
      <c r="O275" s="3">
        <f>IF(N275="90+","LOST",IF(N275="61-90","ESCALATE",IF(N275="31-60","WATCH",IF(N275="1-30","MILD","OK"))))</f>
        <v/>
      </c>
      <c r="P275" s="3">
        <f>IF(J275&gt;0.005,ROW()-1,"")</f>
        <v/>
      </c>
    </row>
    <row r="276">
      <c r="A276" s="3" t="inlineStr">
        <is>
          <t>D0275</t>
        </is>
      </c>
      <c r="B276" s="3">
        <f>INDEX(Raw_Schedule!B:B,MATCH(A276,Raw_Schedule!A:A,0))</f>
        <v/>
      </c>
      <c r="C276" s="3">
        <f>INDEX(Raw_Schedule!C:C,MATCH(A276,Raw_Schedule!A:A,0))</f>
        <v/>
      </c>
      <c r="D276" s="3">
        <f>INDEX(Raw_Schedule!D:D,MATCH(A276,Raw_Schedule!A:A,0))</f>
        <v/>
      </c>
      <c r="E276" s="3">
        <f>INDEX(Raw_Schedule!E:E,MATCH(A276,Raw_Schedule!A:A,0))</f>
        <v/>
      </c>
      <c r="F276" s="3">
        <f>INDEX(Raw_Schedule!F:F,MATCH(A276,Raw_Schedule!A:A,0))</f>
        <v/>
      </c>
      <c r="G276" s="4">
        <f>INDEX(Raw_Schedule!G:G,MATCH(A276,Raw_Schedule!A:A,0))</f>
        <v/>
      </c>
      <c r="H276" s="5">
        <f>INDEX(Raw_Schedule!H:H,MATCH(A276,Raw_Schedule!A:A,0))</f>
        <v/>
      </c>
      <c r="I276" s="5">
        <f>SUMIFS(Raw_Payments!E:E,Raw_Payments!B:B,A276)</f>
        <v/>
      </c>
      <c r="J276" s="5">
        <f>H276-I276</f>
        <v/>
      </c>
      <c r="K276" s="3">
        <f>IF(J276&lt;=0.005,"PAID",IF(I276&gt;0,"PARTIAL","OVERDUE"))</f>
        <v/>
      </c>
      <c r="L276" s="4">
        <f>IF(COUNTIFS(Raw_Payments!B:B,A276)=0,"",SUMPRODUCT(MAX((Raw_Payments!B$2:B$1079=A276)*Raw_Payments!D$2:D$1079)))</f>
        <v/>
      </c>
      <c r="M276" s="3">
        <f>IF(K276="PAID",MAX(0,L276-G276),Guide!$B$3-G276)</f>
        <v/>
      </c>
      <c r="N276" s="3">
        <f>IF(J276&lt;=0.005,"COLLECTED",IF(M276&lt;=30,"1-30",IF(M276&lt;=60,"31-60",IF(M276&lt;=90,"61-90","90+"))))</f>
        <v/>
      </c>
      <c r="O276" s="3">
        <f>IF(N276="90+","LOST",IF(N276="61-90","ESCALATE",IF(N276="31-60","WATCH",IF(N276="1-30","MILD","OK"))))</f>
        <v/>
      </c>
      <c r="P276" s="3">
        <f>IF(J276&gt;0.005,ROW()-1,"")</f>
        <v/>
      </c>
    </row>
    <row r="277">
      <c r="A277" s="3" t="inlineStr">
        <is>
          <t>D0276</t>
        </is>
      </c>
      <c r="B277" s="3">
        <f>INDEX(Raw_Schedule!B:B,MATCH(A277,Raw_Schedule!A:A,0))</f>
        <v/>
      </c>
      <c r="C277" s="3">
        <f>INDEX(Raw_Schedule!C:C,MATCH(A277,Raw_Schedule!A:A,0))</f>
        <v/>
      </c>
      <c r="D277" s="3">
        <f>INDEX(Raw_Schedule!D:D,MATCH(A277,Raw_Schedule!A:A,0))</f>
        <v/>
      </c>
      <c r="E277" s="3">
        <f>INDEX(Raw_Schedule!E:E,MATCH(A277,Raw_Schedule!A:A,0))</f>
        <v/>
      </c>
      <c r="F277" s="3">
        <f>INDEX(Raw_Schedule!F:F,MATCH(A277,Raw_Schedule!A:A,0))</f>
        <v/>
      </c>
      <c r="G277" s="4">
        <f>INDEX(Raw_Schedule!G:G,MATCH(A277,Raw_Schedule!A:A,0))</f>
        <v/>
      </c>
      <c r="H277" s="5">
        <f>INDEX(Raw_Schedule!H:H,MATCH(A277,Raw_Schedule!A:A,0))</f>
        <v/>
      </c>
      <c r="I277" s="5">
        <f>SUMIFS(Raw_Payments!E:E,Raw_Payments!B:B,A277)</f>
        <v/>
      </c>
      <c r="J277" s="5">
        <f>H277-I277</f>
        <v/>
      </c>
      <c r="K277" s="3">
        <f>IF(J277&lt;=0.005,"PAID",IF(I277&gt;0,"PARTIAL","OVERDUE"))</f>
        <v/>
      </c>
      <c r="L277" s="4">
        <f>IF(COUNTIFS(Raw_Payments!B:B,A277)=0,"",SUMPRODUCT(MAX((Raw_Payments!B$2:B$1079=A277)*Raw_Payments!D$2:D$1079)))</f>
        <v/>
      </c>
      <c r="M277" s="3">
        <f>IF(K277="PAID",MAX(0,L277-G277),Guide!$B$3-G277)</f>
        <v/>
      </c>
      <c r="N277" s="3">
        <f>IF(J277&lt;=0.005,"COLLECTED",IF(M277&lt;=30,"1-30",IF(M277&lt;=60,"31-60",IF(M277&lt;=90,"61-90","90+"))))</f>
        <v/>
      </c>
      <c r="O277" s="3">
        <f>IF(N277="90+","LOST",IF(N277="61-90","ESCALATE",IF(N277="31-60","WATCH",IF(N277="1-30","MILD","OK"))))</f>
        <v/>
      </c>
      <c r="P277" s="3">
        <f>IF(J277&gt;0.005,ROW()-1,"")</f>
        <v/>
      </c>
    </row>
    <row r="278">
      <c r="A278" s="3" t="inlineStr">
        <is>
          <t>D0277</t>
        </is>
      </c>
      <c r="B278" s="3">
        <f>INDEX(Raw_Schedule!B:B,MATCH(A278,Raw_Schedule!A:A,0))</f>
        <v/>
      </c>
      <c r="C278" s="3">
        <f>INDEX(Raw_Schedule!C:C,MATCH(A278,Raw_Schedule!A:A,0))</f>
        <v/>
      </c>
      <c r="D278" s="3">
        <f>INDEX(Raw_Schedule!D:D,MATCH(A278,Raw_Schedule!A:A,0))</f>
        <v/>
      </c>
      <c r="E278" s="3">
        <f>INDEX(Raw_Schedule!E:E,MATCH(A278,Raw_Schedule!A:A,0))</f>
        <v/>
      </c>
      <c r="F278" s="3">
        <f>INDEX(Raw_Schedule!F:F,MATCH(A278,Raw_Schedule!A:A,0))</f>
        <v/>
      </c>
      <c r="G278" s="4">
        <f>INDEX(Raw_Schedule!G:G,MATCH(A278,Raw_Schedule!A:A,0))</f>
        <v/>
      </c>
      <c r="H278" s="5">
        <f>INDEX(Raw_Schedule!H:H,MATCH(A278,Raw_Schedule!A:A,0))</f>
        <v/>
      </c>
      <c r="I278" s="5">
        <f>SUMIFS(Raw_Payments!E:E,Raw_Payments!B:B,A278)</f>
        <v/>
      </c>
      <c r="J278" s="5">
        <f>H278-I278</f>
        <v/>
      </c>
      <c r="K278" s="3">
        <f>IF(J278&lt;=0.005,"PAID",IF(I278&gt;0,"PARTIAL","OVERDUE"))</f>
        <v/>
      </c>
      <c r="L278" s="4">
        <f>IF(COUNTIFS(Raw_Payments!B:B,A278)=0,"",SUMPRODUCT(MAX((Raw_Payments!B$2:B$1079=A278)*Raw_Payments!D$2:D$1079)))</f>
        <v/>
      </c>
      <c r="M278" s="3">
        <f>IF(K278="PAID",MAX(0,L278-G278),Guide!$B$3-G278)</f>
        <v/>
      </c>
      <c r="N278" s="3">
        <f>IF(J278&lt;=0.005,"COLLECTED",IF(M278&lt;=30,"1-30",IF(M278&lt;=60,"31-60",IF(M278&lt;=90,"61-90","90+"))))</f>
        <v/>
      </c>
      <c r="O278" s="3">
        <f>IF(N278="90+","LOST",IF(N278="61-90","ESCALATE",IF(N278="31-60","WATCH",IF(N278="1-30","MILD","OK"))))</f>
        <v/>
      </c>
      <c r="P278" s="3">
        <f>IF(J278&gt;0.005,ROW()-1,"")</f>
        <v/>
      </c>
    </row>
    <row r="279">
      <c r="A279" s="3" t="inlineStr">
        <is>
          <t>D0278</t>
        </is>
      </c>
      <c r="B279" s="3">
        <f>INDEX(Raw_Schedule!B:B,MATCH(A279,Raw_Schedule!A:A,0))</f>
        <v/>
      </c>
      <c r="C279" s="3">
        <f>INDEX(Raw_Schedule!C:C,MATCH(A279,Raw_Schedule!A:A,0))</f>
        <v/>
      </c>
      <c r="D279" s="3">
        <f>INDEX(Raw_Schedule!D:D,MATCH(A279,Raw_Schedule!A:A,0))</f>
        <v/>
      </c>
      <c r="E279" s="3">
        <f>INDEX(Raw_Schedule!E:E,MATCH(A279,Raw_Schedule!A:A,0))</f>
        <v/>
      </c>
      <c r="F279" s="3">
        <f>INDEX(Raw_Schedule!F:F,MATCH(A279,Raw_Schedule!A:A,0))</f>
        <v/>
      </c>
      <c r="G279" s="4">
        <f>INDEX(Raw_Schedule!G:G,MATCH(A279,Raw_Schedule!A:A,0))</f>
        <v/>
      </c>
      <c r="H279" s="5">
        <f>INDEX(Raw_Schedule!H:H,MATCH(A279,Raw_Schedule!A:A,0))</f>
        <v/>
      </c>
      <c r="I279" s="5">
        <f>SUMIFS(Raw_Payments!E:E,Raw_Payments!B:B,A279)</f>
        <v/>
      </c>
      <c r="J279" s="5">
        <f>H279-I279</f>
        <v/>
      </c>
      <c r="K279" s="3">
        <f>IF(J279&lt;=0.005,"PAID",IF(I279&gt;0,"PARTIAL","OVERDUE"))</f>
        <v/>
      </c>
      <c r="L279" s="4">
        <f>IF(COUNTIFS(Raw_Payments!B:B,A279)=0,"",SUMPRODUCT(MAX((Raw_Payments!B$2:B$1079=A279)*Raw_Payments!D$2:D$1079)))</f>
        <v/>
      </c>
      <c r="M279" s="3">
        <f>IF(K279="PAID",MAX(0,L279-G279),Guide!$B$3-G279)</f>
        <v/>
      </c>
      <c r="N279" s="3">
        <f>IF(J279&lt;=0.005,"COLLECTED",IF(M279&lt;=30,"1-30",IF(M279&lt;=60,"31-60",IF(M279&lt;=90,"61-90","90+"))))</f>
        <v/>
      </c>
      <c r="O279" s="3">
        <f>IF(N279="90+","LOST",IF(N279="61-90","ESCALATE",IF(N279="31-60","WATCH",IF(N279="1-30","MILD","OK"))))</f>
        <v/>
      </c>
      <c r="P279" s="3">
        <f>IF(J279&gt;0.005,ROW()-1,"")</f>
        <v/>
      </c>
    </row>
    <row r="280">
      <c r="A280" s="3" t="inlineStr">
        <is>
          <t>D0279</t>
        </is>
      </c>
      <c r="B280" s="3">
        <f>INDEX(Raw_Schedule!B:B,MATCH(A280,Raw_Schedule!A:A,0))</f>
        <v/>
      </c>
      <c r="C280" s="3">
        <f>INDEX(Raw_Schedule!C:C,MATCH(A280,Raw_Schedule!A:A,0))</f>
        <v/>
      </c>
      <c r="D280" s="3">
        <f>INDEX(Raw_Schedule!D:D,MATCH(A280,Raw_Schedule!A:A,0))</f>
        <v/>
      </c>
      <c r="E280" s="3">
        <f>INDEX(Raw_Schedule!E:E,MATCH(A280,Raw_Schedule!A:A,0))</f>
        <v/>
      </c>
      <c r="F280" s="3">
        <f>INDEX(Raw_Schedule!F:F,MATCH(A280,Raw_Schedule!A:A,0))</f>
        <v/>
      </c>
      <c r="G280" s="4">
        <f>INDEX(Raw_Schedule!G:G,MATCH(A280,Raw_Schedule!A:A,0))</f>
        <v/>
      </c>
      <c r="H280" s="5">
        <f>INDEX(Raw_Schedule!H:H,MATCH(A280,Raw_Schedule!A:A,0))</f>
        <v/>
      </c>
      <c r="I280" s="5">
        <f>SUMIFS(Raw_Payments!E:E,Raw_Payments!B:B,A280)</f>
        <v/>
      </c>
      <c r="J280" s="5">
        <f>H280-I280</f>
        <v/>
      </c>
      <c r="K280" s="3">
        <f>IF(J280&lt;=0.005,"PAID",IF(I280&gt;0,"PARTIAL","OVERDUE"))</f>
        <v/>
      </c>
      <c r="L280" s="4">
        <f>IF(COUNTIFS(Raw_Payments!B:B,A280)=0,"",SUMPRODUCT(MAX((Raw_Payments!B$2:B$1079=A280)*Raw_Payments!D$2:D$1079)))</f>
        <v/>
      </c>
      <c r="M280" s="3">
        <f>IF(K280="PAID",MAX(0,L280-G280),Guide!$B$3-G280)</f>
        <v/>
      </c>
      <c r="N280" s="3">
        <f>IF(J280&lt;=0.005,"COLLECTED",IF(M280&lt;=30,"1-30",IF(M280&lt;=60,"31-60",IF(M280&lt;=90,"61-90","90+"))))</f>
        <v/>
      </c>
      <c r="O280" s="3">
        <f>IF(N280="90+","LOST",IF(N280="61-90","ESCALATE",IF(N280="31-60","WATCH",IF(N280="1-30","MILD","OK"))))</f>
        <v/>
      </c>
      <c r="P280" s="3">
        <f>IF(J280&gt;0.005,ROW()-1,"")</f>
        <v/>
      </c>
    </row>
    <row r="281">
      <c r="A281" s="3" t="inlineStr">
        <is>
          <t>D0280</t>
        </is>
      </c>
      <c r="B281" s="3">
        <f>INDEX(Raw_Schedule!B:B,MATCH(A281,Raw_Schedule!A:A,0))</f>
        <v/>
      </c>
      <c r="C281" s="3">
        <f>INDEX(Raw_Schedule!C:C,MATCH(A281,Raw_Schedule!A:A,0))</f>
        <v/>
      </c>
      <c r="D281" s="3">
        <f>INDEX(Raw_Schedule!D:D,MATCH(A281,Raw_Schedule!A:A,0))</f>
        <v/>
      </c>
      <c r="E281" s="3">
        <f>INDEX(Raw_Schedule!E:E,MATCH(A281,Raw_Schedule!A:A,0))</f>
        <v/>
      </c>
      <c r="F281" s="3">
        <f>INDEX(Raw_Schedule!F:F,MATCH(A281,Raw_Schedule!A:A,0))</f>
        <v/>
      </c>
      <c r="G281" s="4">
        <f>INDEX(Raw_Schedule!G:G,MATCH(A281,Raw_Schedule!A:A,0))</f>
        <v/>
      </c>
      <c r="H281" s="5">
        <f>INDEX(Raw_Schedule!H:H,MATCH(A281,Raw_Schedule!A:A,0))</f>
        <v/>
      </c>
      <c r="I281" s="5">
        <f>SUMIFS(Raw_Payments!E:E,Raw_Payments!B:B,A281)</f>
        <v/>
      </c>
      <c r="J281" s="5">
        <f>H281-I281</f>
        <v/>
      </c>
      <c r="K281" s="3">
        <f>IF(J281&lt;=0.005,"PAID",IF(I281&gt;0,"PARTIAL","OVERDUE"))</f>
        <v/>
      </c>
      <c r="L281" s="4">
        <f>IF(COUNTIFS(Raw_Payments!B:B,A281)=0,"",SUMPRODUCT(MAX((Raw_Payments!B$2:B$1079=A281)*Raw_Payments!D$2:D$1079)))</f>
        <v/>
      </c>
      <c r="M281" s="3">
        <f>IF(K281="PAID",MAX(0,L281-G281),Guide!$B$3-G281)</f>
        <v/>
      </c>
      <c r="N281" s="3">
        <f>IF(J281&lt;=0.005,"COLLECTED",IF(M281&lt;=30,"1-30",IF(M281&lt;=60,"31-60",IF(M281&lt;=90,"61-90","90+"))))</f>
        <v/>
      </c>
      <c r="O281" s="3">
        <f>IF(N281="90+","LOST",IF(N281="61-90","ESCALATE",IF(N281="31-60","WATCH",IF(N281="1-30","MILD","OK"))))</f>
        <v/>
      </c>
      <c r="P281" s="3">
        <f>IF(J281&gt;0.005,ROW()-1,"")</f>
        <v/>
      </c>
    </row>
    <row r="282">
      <c r="A282" s="3" t="inlineStr">
        <is>
          <t>D0281</t>
        </is>
      </c>
      <c r="B282" s="3">
        <f>INDEX(Raw_Schedule!B:B,MATCH(A282,Raw_Schedule!A:A,0))</f>
        <v/>
      </c>
      <c r="C282" s="3">
        <f>INDEX(Raw_Schedule!C:C,MATCH(A282,Raw_Schedule!A:A,0))</f>
        <v/>
      </c>
      <c r="D282" s="3">
        <f>INDEX(Raw_Schedule!D:D,MATCH(A282,Raw_Schedule!A:A,0))</f>
        <v/>
      </c>
      <c r="E282" s="3">
        <f>INDEX(Raw_Schedule!E:E,MATCH(A282,Raw_Schedule!A:A,0))</f>
        <v/>
      </c>
      <c r="F282" s="3">
        <f>INDEX(Raw_Schedule!F:F,MATCH(A282,Raw_Schedule!A:A,0))</f>
        <v/>
      </c>
      <c r="G282" s="4">
        <f>INDEX(Raw_Schedule!G:G,MATCH(A282,Raw_Schedule!A:A,0))</f>
        <v/>
      </c>
      <c r="H282" s="5">
        <f>INDEX(Raw_Schedule!H:H,MATCH(A282,Raw_Schedule!A:A,0))</f>
        <v/>
      </c>
      <c r="I282" s="5">
        <f>SUMIFS(Raw_Payments!E:E,Raw_Payments!B:B,A282)</f>
        <v/>
      </c>
      <c r="J282" s="5">
        <f>H282-I282</f>
        <v/>
      </c>
      <c r="K282" s="3">
        <f>IF(J282&lt;=0.005,"PAID",IF(I282&gt;0,"PARTIAL","OVERDUE"))</f>
        <v/>
      </c>
      <c r="L282" s="4">
        <f>IF(COUNTIFS(Raw_Payments!B:B,A282)=0,"",SUMPRODUCT(MAX((Raw_Payments!B$2:B$1079=A282)*Raw_Payments!D$2:D$1079)))</f>
        <v/>
      </c>
      <c r="M282" s="3">
        <f>IF(K282="PAID",MAX(0,L282-G282),Guide!$B$3-G282)</f>
        <v/>
      </c>
      <c r="N282" s="3">
        <f>IF(J282&lt;=0.005,"COLLECTED",IF(M282&lt;=30,"1-30",IF(M282&lt;=60,"31-60",IF(M282&lt;=90,"61-90","90+"))))</f>
        <v/>
      </c>
      <c r="O282" s="3">
        <f>IF(N282="90+","LOST",IF(N282="61-90","ESCALATE",IF(N282="31-60","WATCH",IF(N282="1-30","MILD","OK"))))</f>
        <v/>
      </c>
      <c r="P282" s="3">
        <f>IF(J282&gt;0.005,ROW()-1,"")</f>
        <v/>
      </c>
    </row>
    <row r="283">
      <c r="A283" s="3" t="inlineStr">
        <is>
          <t>D0282</t>
        </is>
      </c>
      <c r="B283" s="3">
        <f>INDEX(Raw_Schedule!B:B,MATCH(A283,Raw_Schedule!A:A,0))</f>
        <v/>
      </c>
      <c r="C283" s="3">
        <f>INDEX(Raw_Schedule!C:C,MATCH(A283,Raw_Schedule!A:A,0))</f>
        <v/>
      </c>
      <c r="D283" s="3">
        <f>INDEX(Raw_Schedule!D:D,MATCH(A283,Raw_Schedule!A:A,0))</f>
        <v/>
      </c>
      <c r="E283" s="3">
        <f>INDEX(Raw_Schedule!E:E,MATCH(A283,Raw_Schedule!A:A,0))</f>
        <v/>
      </c>
      <c r="F283" s="3">
        <f>INDEX(Raw_Schedule!F:F,MATCH(A283,Raw_Schedule!A:A,0))</f>
        <v/>
      </c>
      <c r="G283" s="4">
        <f>INDEX(Raw_Schedule!G:G,MATCH(A283,Raw_Schedule!A:A,0))</f>
        <v/>
      </c>
      <c r="H283" s="5">
        <f>INDEX(Raw_Schedule!H:H,MATCH(A283,Raw_Schedule!A:A,0))</f>
        <v/>
      </c>
      <c r="I283" s="5">
        <f>SUMIFS(Raw_Payments!E:E,Raw_Payments!B:B,A283)</f>
        <v/>
      </c>
      <c r="J283" s="5">
        <f>H283-I283</f>
        <v/>
      </c>
      <c r="K283" s="3">
        <f>IF(J283&lt;=0.005,"PAID",IF(I283&gt;0,"PARTIAL","OVERDUE"))</f>
        <v/>
      </c>
      <c r="L283" s="4">
        <f>IF(COUNTIFS(Raw_Payments!B:B,A283)=0,"",SUMPRODUCT(MAX((Raw_Payments!B$2:B$1079=A283)*Raw_Payments!D$2:D$1079)))</f>
        <v/>
      </c>
      <c r="M283" s="3">
        <f>IF(K283="PAID",MAX(0,L283-G283),Guide!$B$3-G283)</f>
        <v/>
      </c>
      <c r="N283" s="3">
        <f>IF(J283&lt;=0.005,"COLLECTED",IF(M283&lt;=30,"1-30",IF(M283&lt;=60,"31-60",IF(M283&lt;=90,"61-90","90+"))))</f>
        <v/>
      </c>
      <c r="O283" s="3">
        <f>IF(N283="90+","LOST",IF(N283="61-90","ESCALATE",IF(N283="31-60","WATCH",IF(N283="1-30","MILD","OK"))))</f>
        <v/>
      </c>
      <c r="P283" s="3">
        <f>IF(J283&gt;0.005,ROW()-1,"")</f>
        <v/>
      </c>
    </row>
    <row r="284">
      <c r="A284" s="3" t="inlineStr">
        <is>
          <t>D0283</t>
        </is>
      </c>
      <c r="B284" s="3">
        <f>INDEX(Raw_Schedule!B:B,MATCH(A284,Raw_Schedule!A:A,0))</f>
        <v/>
      </c>
      <c r="C284" s="3">
        <f>INDEX(Raw_Schedule!C:C,MATCH(A284,Raw_Schedule!A:A,0))</f>
        <v/>
      </c>
      <c r="D284" s="3">
        <f>INDEX(Raw_Schedule!D:D,MATCH(A284,Raw_Schedule!A:A,0))</f>
        <v/>
      </c>
      <c r="E284" s="3">
        <f>INDEX(Raw_Schedule!E:E,MATCH(A284,Raw_Schedule!A:A,0))</f>
        <v/>
      </c>
      <c r="F284" s="3">
        <f>INDEX(Raw_Schedule!F:F,MATCH(A284,Raw_Schedule!A:A,0))</f>
        <v/>
      </c>
      <c r="G284" s="4">
        <f>INDEX(Raw_Schedule!G:G,MATCH(A284,Raw_Schedule!A:A,0))</f>
        <v/>
      </c>
      <c r="H284" s="5">
        <f>INDEX(Raw_Schedule!H:H,MATCH(A284,Raw_Schedule!A:A,0))</f>
        <v/>
      </c>
      <c r="I284" s="5">
        <f>SUMIFS(Raw_Payments!E:E,Raw_Payments!B:B,A284)</f>
        <v/>
      </c>
      <c r="J284" s="5">
        <f>H284-I284</f>
        <v/>
      </c>
      <c r="K284" s="3">
        <f>IF(J284&lt;=0.005,"PAID",IF(I284&gt;0,"PARTIAL","OVERDUE"))</f>
        <v/>
      </c>
      <c r="L284" s="4">
        <f>IF(COUNTIFS(Raw_Payments!B:B,A284)=0,"",SUMPRODUCT(MAX((Raw_Payments!B$2:B$1079=A284)*Raw_Payments!D$2:D$1079)))</f>
        <v/>
      </c>
      <c r="M284" s="3">
        <f>IF(K284="PAID",MAX(0,L284-G284),Guide!$B$3-G284)</f>
        <v/>
      </c>
      <c r="N284" s="3">
        <f>IF(J284&lt;=0.005,"COLLECTED",IF(M284&lt;=30,"1-30",IF(M284&lt;=60,"31-60",IF(M284&lt;=90,"61-90","90+"))))</f>
        <v/>
      </c>
      <c r="O284" s="3">
        <f>IF(N284="90+","LOST",IF(N284="61-90","ESCALATE",IF(N284="31-60","WATCH",IF(N284="1-30","MILD","OK"))))</f>
        <v/>
      </c>
      <c r="P284" s="3">
        <f>IF(J284&gt;0.005,ROW()-1,"")</f>
        <v/>
      </c>
    </row>
    <row r="285">
      <c r="A285" s="3" t="inlineStr">
        <is>
          <t>D0284</t>
        </is>
      </c>
      <c r="B285" s="3">
        <f>INDEX(Raw_Schedule!B:B,MATCH(A285,Raw_Schedule!A:A,0))</f>
        <v/>
      </c>
      <c r="C285" s="3">
        <f>INDEX(Raw_Schedule!C:C,MATCH(A285,Raw_Schedule!A:A,0))</f>
        <v/>
      </c>
      <c r="D285" s="3">
        <f>INDEX(Raw_Schedule!D:D,MATCH(A285,Raw_Schedule!A:A,0))</f>
        <v/>
      </c>
      <c r="E285" s="3">
        <f>INDEX(Raw_Schedule!E:E,MATCH(A285,Raw_Schedule!A:A,0))</f>
        <v/>
      </c>
      <c r="F285" s="3">
        <f>INDEX(Raw_Schedule!F:F,MATCH(A285,Raw_Schedule!A:A,0))</f>
        <v/>
      </c>
      <c r="G285" s="4">
        <f>INDEX(Raw_Schedule!G:G,MATCH(A285,Raw_Schedule!A:A,0))</f>
        <v/>
      </c>
      <c r="H285" s="5">
        <f>INDEX(Raw_Schedule!H:H,MATCH(A285,Raw_Schedule!A:A,0))</f>
        <v/>
      </c>
      <c r="I285" s="5">
        <f>SUMIFS(Raw_Payments!E:E,Raw_Payments!B:B,A285)</f>
        <v/>
      </c>
      <c r="J285" s="5">
        <f>H285-I285</f>
        <v/>
      </c>
      <c r="K285" s="3">
        <f>IF(J285&lt;=0.005,"PAID",IF(I285&gt;0,"PARTIAL","OVERDUE"))</f>
        <v/>
      </c>
      <c r="L285" s="4">
        <f>IF(COUNTIFS(Raw_Payments!B:B,A285)=0,"",SUMPRODUCT(MAX((Raw_Payments!B$2:B$1079=A285)*Raw_Payments!D$2:D$1079)))</f>
        <v/>
      </c>
      <c r="M285" s="3">
        <f>IF(K285="PAID",MAX(0,L285-G285),Guide!$B$3-G285)</f>
        <v/>
      </c>
      <c r="N285" s="3">
        <f>IF(J285&lt;=0.005,"COLLECTED",IF(M285&lt;=30,"1-30",IF(M285&lt;=60,"31-60",IF(M285&lt;=90,"61-90","90+"))))</f>
        <v/>
      </c>
      <c r="O285" s="3">
        <f>IF(N285="90+","LOST",IF(N285="61-90","ESCALATE",IF(N285="31-60","WATCH",IF(N285="1-30","MILD","OK"))))</f>
        <v/>
      </c>
      <c r="P285" s="3">
        <f>IF(J285&gt;0.005,ROW()-1,"")</f>
        <v/>
      </c>
    </row>
    <row r="286">
      <c r="A286" s="3" t="inlineStr">
        <is>
          <t>D0285</t>
        </is>
      </c>
      <c r="B286" s="3">
        <f>INDEX(Raw_Schedule!B:B,MATCH(A286,Raw_Schedule!A:A,0))</f>
        <v/>
      </c>
      <c r="C286" s="3">
        <f>INDEX(Raw_Schedule!C:C,MATCH(A286,Raw_Schedule!A:A,0))</f>
        <v/>
      </c>
      <c r="D286" s="3">
        <f>INDEX(Raw_Schedule!D:D,MATCH(A286,Raw_Schedule!A:A,0))</f>
        <v/>
      </c>
      <c r="E286" s="3">
        <f>INDEX(Raw_Schedule!E:E,MATCH(A286,Raw_Schedule!A:A,0))</f>
        <v/>
      </c>
      <c r="F286" s="3">
        <f>INDEX(Raw_Schedule!F:F,MATCH(A286,Raw_Schedule!A:A,0))</f>
        <v/>
      </c>
      <c r="G286" s="4">
        <f>INDEX(Raw_Schedule!G:G,MATCH(A286,Raw_Schedule!A:A,0))</f>
        <v/>
      </c>
      <c r="H286" s="5">
        <f>INDEX(Raw_Schedule!H:H,MATCH(A286,Raw_Schedule!A:A,0))</f>
        <v/>
      </c>
      <c r="I286" s="5">
        <f>SUMIFS(Raw_Payments!E:E,Raw_Payments!B:B,A286)</f>
        <v/>
      </c>
      <c r="J286" s="5">
        <f>H286-I286</f>
        <v/>
      </c>
      <c r="K286" s="3">
        <f>IF(J286&lt;=0.005,"PAID",IF(I286&gt;0,"PARTIAL","OVERDUE"))</f>
        <v/>
      </c>
      <c r="L286" s="4">
        <f>IF(COUNTIFS(Raw_Payments!B:B,A286)=0,"",SUMPRODUCT(MAX((Raw_Payments!B$2:B$1079=A286)*Raw_Payments!D$2:D$1079)))</f>
        <v/>
      </c>
      <c r="M286" s="3">
        <f>IF(K286="PAID",MAX(0,L286-G286),Guide!$B$3-G286)</f>
        <v/>
      </c>
      <c r="N286" s="3">
        <f>IF(J286&lt;=0.005,"COLLECTED",IF(M286&lt;=30,"1-30",IF(M286&lt;=60,"31-60",IF(M286&lt;=90,"61-90","90+"))))</f>
        <v/>
      </c>
      <c r="O286" s="3">
        <f>IF(N286="90+","LOST",IF(N286="61-90","ESCALATE",IF(N286="31-60","WATCH",IF(N286="1-30","MILD","OK"))))</f>
        <v/>
      </c>
      <c r="P286" s="3">
        <f>IF(J286&gt;0.005,ROW()-1,"")</f>
        <v/>
      </c>
    </row>
    <row r="287">
      <c r="A287" s="3" t="inlineStr">
        <is>
          <t>D0286</t>
        </is>
      </c>
      <c r="B287" s="3">
        <f>INDEX(Raw_Schedule!B:B,MATCH(A287,Raw_Schedule!A:A,0))</f>
        <v/>
      </c>
      <c r="C287" s="3">
        <f>INDEX(Raw_Schedule!C:C,MATCH(A287,Raw_Schedule!A:A,0))</f>
        <v/>
      </c>
      <c r="D287" s="3">
        <f>INDEX(Raw_Schedule!D:D,MATCH(A287,Raw_Schedule!A:A,0))</f>
        <v/>
      </c>
      <c r="E287" s="3">
        <f>INDEX(Raw_Schedule!E:E,MATCH(A287,Raw_Schedule!A:A,0))</f>
        <v/>
      </c>
      <c r="F287" s="3">
        <f>INDEX(Raw_Schedule!F:F,MATCH(A287,Raw_Schedule!A:A,0))</f>
        <v/>
      </c>
      <c r="G287" s="4">
        <f>INDEX(Raw_Schedule!G:G,MATCH(A287,Raw_Schedule!A:A,0))</f>
        <v/>
      </c>
      <c r="H287" s="5">
        <f>INDEX(Raw_Schedule!H:H,MATCH(A287,Raw_Schedule!A:A,0))</f>
        <v/>
      </c>
      <c r="I287" s="5">
        <f>SUMIFS(Raw_Payments!E:E,Raw_Payments!B:B,A287)</f>
        <v/>
      </c>
      <c r="J287" s="5">
        <f>H287-I287</f>
        <v/>
      </c>
      <c r="K287" s="3">
        <f>IF(J287&lt;=0.005,"PAID",IF(I287&gt;0,"PARTIAL","OVERDUE"))</f>
        <v/>
      </c>
      <c r="L287" s="4">
        <f>IF(COUNTIFS(Raw_Payments!B:B,A287)=0,"",SUMPRODUCT(MAX((Raw_Payments!B$2:B$1079=A287)*Raw_Payments!D$2:D$1079)))</f>
        <v/>
      </c>
      <c r="M287" s="3">
        <f>IF(K287="PAID",MAX(0,L287-G287),Guide!$B$3-G287)</f>
        <v/>
      </c>
      <c r="N287" s="3">
        <f>IF(J287&lt;=0.005,"COLLECTED",IF(M287&lt;=30,"1-30",IF(M287&lt;=60,"31-60",IF(M287&lt;=90,"61-90","90+"))))</f>
        <v/>
      </c>
      <c r="O287" s="3">
        <f>IF(N287="90+","LOST",IF(N287="61-90","ESCALATE",IF(N287="31-60","WATCH",IF(N287="1-30","MILD","OK"))))</f>
        <v/>
      </c>
      <c r="P287" s="3">
        <f>IF(J287&gt;0.005,ROW()-1,"")</f>
        <v/>
      </c>
    </row>
    <row r="288">
      <c r="A288" s="3" t="inlineStr">
        <is>
          <t>D0287</t>
        </is>
      </c>
      <c r="B288" s="3">
        <f>INDEX(Raw_Schedule!B:B,MATCH(A288,Raw_Schedule!A:A,0))</f>
        <v/>
      </c>
      <c r="C288" s="3">
        <f>INDEX(Raw_Schedule!C:C,MATCH(A288,Raw_Schedule!A:A,0))</f>
        <v/>
      </c>
      <c r="D288" s="3">
        <f>INDEX(Raw_Schedule!D:D,MATCH(A288,Raw_Schedule!A:A,0))</f>
        <v/>
      </c>
      <c r="E288" s="3">
        <f>INDEX(Raw_Schedule!E:E,MATCH(A288,Raw_Schedule!A:A,0))</f>
        <v/>
      </c>
      <c r="F288" s="3">
        <f>INDEX(Raw_Schedule!F:F,MATCH(A288,Raw_Schedule!A:A,0))</f>
        <v/>
      </c>
      <c r="G288" s="4">
        <f>INDEX(Raw_Schedule!G:G,MATCH(A288,Raw_Schedule!A:A,0))</f>
        <v/>
      </c>
      <c r="H288" s="5">
        <f>INDEX(Raw_Schedule!H:H,MATCH(A288,Raw_Schedule!A:A,0))</f>
        <v/>
      </c>
      <c r="I288" s="5">
        <f>SUMIFS(Raw_Payments!E:E,Raw_Payments!B:B,A288)</f>
        <v/>
      </c>
      <c r="J288" s="5">
        <f>H288-I288</f>
        <v/>
      </c>
      <c r="K288" s="3">
        <f>IF(J288&lt;=0.005,"PAID",IF(I288&gt;0,"PARTIAL","OVERDUE"))</f>
        <v/>
      </c>
      <c r="L288" s="4">
        <f>IF(COUNTIFS(Raw_Payments!B:B,A288)=0,"",SUMPRODUCT(MAX((Raw_Payments!B$2:B$1079=A288)*Raw_Payments!D$2:D$1079)))</f>
        <v/>
      </c>
      <c r="M288" s="3">
        <f>IF(K288="PAID",MAX(0,L288-G288),Guide!$B$3-G288)</f>
        <v/>
      </c>
      <c r="N288" s="3">
        <f>IF(J288&lt;=0.005,"COLLECTED",IF(M288&lt;=30,"1-30",IF(M288&lt;=60,"31-60",IF(M288&lt;=90,"61-90","90+"))))</f>
        <v/>
      </c>
      <c r="O288" s="3">
        <f>IF(N288="90+","LOST",IF(N288="61-90","ESCALATE",IF(N288="31-60","WATCH",IF(N288="1-30","MILD","OK"))))</f>
        <v/>
      </c>
      <c r="P288" s="3">
        <f>IF(J288&gt;0.005,ROW()-1,"")</f>
        <v/>
      </c>
    </row>
    <row r="289">
      <c r="A289" s="3" t="inlineStr">
        <is>
          <t>D0288</t>
        </is>
      </c>
      <c r="B289" s="3">
        <f>INDEX(Raw_Schedule!B:B,MATCH(A289,Raw_Schedule!A:A,0))</f>
        <v/>
      </c>
      <c r="C289" s="3">
        <f>INDEX(Raw_Schedule!C:C,MATCH(A289,Raw_Schedule!A:A,0))</f>
        <v/>
      </c>
      <c r="D289" s="3">
        <f>INDEX(Raw_Schedule!D:D,MATCH(A289,Raw_Schedule!A:A,0))</f>
        <v/>
      </c>
      <c r="E289" s="3">
        <f>INDEX(Raw_Schedule!E:E,MATCH(A289,Raw_Schedule!A:A,0))</f>
        <v/>
      </c>
      <c r="F289" s="3">
        <f>INDEX(Raw_Schedule!F:F,MATCH(A289,Raw_Schedule!A:A,0))</f>
        <v/>
      </c>
      <c r="G289" s="4">
        <f>INDEX(Raw_Schedule!G:G,MATCH(A289,Raw_Schedule!A:A,0))</f>
        <v/>
      </c>
      <c r="H289" s="5">
        <f>INDEX(Raw_Schedule!H:H,MATCH(A289,Raw_Schedule!A:A,0))</f>
        <v/>
      </c>
      <c r="I289" s="5">
        <f>SUMIFS(Raw_Payments!E:E,Raw_Payments!B:B,A289)</f>
        <v/>
      </c>
      <c r="J289" s="5">
        <f>H289-I289</f>
        <v/>
      </c>
      <c r="K289" s="3">
        <f>IF(J289&lt;=0.005,"PAID",IF(I289&gt;0,"PARTIAL","OVERDUE"))</f>
        <v/>
      </c>
      <c r="L289" s="4">
        <f>IF(COUNTIFS(Raw_Payments!B:B,A289)=0,"",SUMPRODUCT(MAX((Raw_Payments!B$2:B$1079=A289)*Raw_Payments!D$2:D$1079)))</f>
        <v/>
      </c>
      <c r="M289" s="3">
        <f>IF(K289="PAID",MAX(0,L289-G289),Guide!$B$3-G289)</f>
        <v/>
      </c>
      <c r="N289" s="3">
        <f>IF(J289&lt;=0.005,"COLLECTED",IF(M289&lt;=30,"1-30",IF(M289&lt;=60,"31-60",IF(M289&lt;=90,"61-90","90+"))))</f>
        <v/>
      </c>
      <c r="O289" s="3">
        <f>IF(N289="90+","LOST",IF(N289="61-90","ESCALATE",IF(N289="31-60","WATCH",IF(N289="1-30","MILD","OK"))))</f>
        <v/>
      </c>
      <c r="P289" s="3">
        <f>IF(J289&gt;0.005,ROW()-1,"")</f>
        <v/>
      </c>
    </row>
    <row r="290">
      <c r="A290" s="3" t="inlineStr">
        <is>
          <t>D0289</t>
        </is>
      </c>
      <c r="B290" s="3">
        <f>INDEX(Raw_Schedule!B:B,MATCH(A290,Raw_Schedule!A:A,0))</f>
        <v/>
      </c>
      <c r="C290" s="3">
        <f>INDEX(Raw_Schedule!C:C,MATCH(A290,Raw_Schedule!A:A,0))</f>
        <v/>
      </c>
      <c r="D290" s="3">
        <f>INDEX(Raw_Schedule!D:D,MATCH(A290,Raw_Schedule!A:A,0))</f>
        <v/>
      </c>
      <c r="E290" s="3">
        <f>INDEX(Raw_Schedule!E:E,MATCH(A290,Raw_Schedule!A:A,0))</f>
        <v/>
      </c>
      <c r="F290" s="3">
        <f>INDEX(Raw_Schedule!F:F,MATCH(A290,Raw_Schedule!A:A,0))</f>
        <v/>
      </c>
      <c r="G290" s="4">
        <f>INDEX(Raw_Schedule!G:G,MATCH(A290,Raw_Schedule!A:A,0))</f>
        <v/>
      </c>
      <c r="H290" s="5">
        <f>INDEX(Raw_Schedule!H:H,MATCH(A290,Raw_Schedule!A:A,0))</f>
        <v/>
      </c>
      <c r="I290" s="5">
        <f>SUMIFS(Raw_Payments!E:E,Raw_Payments!B:B,A290)</f>
        <v/>
      </c>
      <c r="J290" s="5">
        <f>H290-I290</f>
        <v/>
      </c>
      <c r="K290" s="3">
        <f>IF(J290&lt;=0.005,"PAID",IF(I290&gt;0,"PARTIAL","OVERDUE"))</f>
        <v/>
      </c>
      <c r="L290" s="4">
        <f>IF(COUNTIFS(Raw_Payments!B:B,A290)=0,"",SUMPRODUCT(MAX((Raw_Payments!B$2:B$1079=A290)*Raw_Payments!D$2:D$1079)))</f>
        <v/>
      </c>
      <c r="M290" s="3">
        <f>IF(K290="PAID",MAX(0,L290-G290),Guide!$B$3-G290)</f>
        <v/>
      </c>
      <c r="N290" s="3">
        <f>IF(J290&lt;=0.005,"COLLECTED",IF(M290&lt;=30,"1-30",IF(M290&lt;=60,"31-60",IF(M290&lt;=90,"61-90","90+"))))</f>
        <v/>
      </c>
      <c r="O290" s="3">
        <f>IF(N290="90+","LOST",IF(N290="61-90","ESCALATE",IF(N290="31-60","WATCH",IF(N290="1-30","MILD","OK"))))</f>
        <v/>
      </c>
      <c r="P290" s="3">
        <f>IF(J290&gt;0.005,ROW()-1,"")</f>
        <v/>
      </c>
    </row>
    <row r="291">
      <c r="A291" s="3" t="inlineStr">
        <is>
          <t>D0290</t>
        </is>
      </c>
      <c r="B291" s="3">
        <f>INDEX(Raw_Schedule!B:B,MATCH(A291,Raw_Schedule!A:A,0))</f>
        <v/>
      </c>
      <c r="C291" s="3">
        <f>INDEX(Raw_Schedule!C:C,MATCH(A291,Raw_Schedule!A:A,0))</f>
        <v/>
      </c>
      <c r="D291" s="3">
        <f>INDEX(Raw_Schedule!D:D,MATCH(A291,Raw_Schedule!A:A,0))</f>
        <v/>
      </c>
      <c r="E291" s="3">
        <f>INDEX(Raw_Schedule!E:E,MATCH(A291,Raw_Schedule!A:A,0))</f>
        <v/>
      </c>
      <c r="F291" s="3">
        <f>INDEX(Raw_Schedule!F:F,MATCH(A291,Raw_Schedule!A:A,0))</f>
        <v/>
      </c>
      <c r="G291" s="4">
        <f>INDEX(Raw_Schedule!G:G,MATCH(A291,Raw_Schedule!A:A,0))</f>
        <v/>
      </c>
      <c r="H291" s="5">
        <f>INDEX(Raw_Schedule!H:H,MATCH(A291,Raw_Schedule!A:A,0))</f>
        <v/>
      </c>
      <c r="I291" s="5">
        <f>SUMIFS(Raw_Payments!E:E,Raw_Payments!B:B,A291)</f>
        <v/>
      </c>
      <c r="J291" s="5">
        <f>H291-I291</f>
        <v/>
      </c>
      <c r="K291" s="3">
        <f>IF(J291&lt;=0.005,"PAID",IF(I291&gt;0,"PARTIAL","OVERDUE"))</f>
        <v/>
      </c>
      <c r="L291" s="4">
        <f>IF(COUNTIFS(Raw_Payments!B:B,A291)=0,"",SUMPRODUCT(MAX((Raw_Payments!B$2:B$1079=A291)*Raw_Payments!D$2:D$1079)))</f>
        <v/>
      </c>
      <c r="M291" s="3">
        <f>IF(K291="PAID",MAX(0,L291-G291),Guide!$B$3-G291)</f>
        <v/>
      </c>
      <c r="N291" s="3">
        <f>IF(J291&lt;=0.005,"COLLECTED",IF(M291&lt;=30,"1-30",IF(M291&lt;=60,"31-60",IF(M291&lt;=90,"61-90","90+"))))</f>
        <v/>
      </c>
      <c r="O291" s="3">
        <f>IF(N291="90+","LOST",IF(N291="61-90","ESCALATE",IF(N291="31-60","WATCH",IF(N291="1-30","MILD","OK"))))</f>
        <v/>
      </c>
      <c r="P291" s="3">
        <f>IF(J291&gt;0.005,ROW()-1,"")</f>
        <v/>
      </c>
    </row>
    <row r="292">
      <c r="A292" s="3" t="inlineStr">
        <is>
          <t>D0291</t>
        </is>
      </c>
      <c r="B292" s="3">
        <f>INDEX(Raw_Schedule!B:B,MATCH(A292,Raw_Schedule!A:A,0))</f>
        <v/>
      </c>
      <c r="C292" s="3">
        <f>INDEX(Raw_Schedule!C:C,MATCH(A292,Raw_Schedule!A:A,0))</f>
        <v/>
      </c>
      <c r="D292" s="3">
        <f>INDEX(Raw_Schedule!D:D,MATCH(A292,Raw_Schedule!A:A,0))</f>
        <v/>
      </c>
      <c r="E292" s="3">
        <f>INDEX(Raw_Schedule!E:E,MATCH(A292,Raw_Schedule!A:A,0))</f>
        <v/>
      </c>
      <c r="F292" s="3">
        <f>INDEX(Raw_Schedule!F:F,MATCH(A292,Raw_Schedule!A:A,0))</f>
        <v/>
      </c>
      <c r="G292" s="4">
        <f>INDEX(Raw_Schedule!G:G,MATCH(A292,Raw_Schedule!A:A,0))</f>
        <v/>
      </c>
      <c r="H292" s="5">
        <f>INDEX(Raw_Schedule!H:H,MATCH(A292,Raw_Schedule!A:A,0))</f>
        <v/>
      </c>
      <c r="I292" s="5">
        <f>SUMIFS(Raw_Payments!E:E,Raw_Payments!B:B,A292)</f>
        <v/>
      </c>
      <c r="J292" s="5">
        <f>H292-I292</f>
        <v/>
      </c>
      <c r="K292" s="3">
        <f>IF(J292&lt;=0.005,"PAID",IF(I292&gt;0,"PARTIAL","OVERDUE"))</f>
        <v/>
      </c>
      <c r="L292" s="4">
        <f>IF(COUNTIFS(Raw_Payments!B:B,A292)=0,"",SUMPRODUCT(MAX((Raw_Payments!B$2:B$1079=A292)*Raw_Payments!D$2:D$1079)))</f>
        <v/>
      </c>
      <c r="M292" s="3">
        <f>IF(K292="PAID",MAX(0,L292-G292),Guide!$B$3-G292)</f>
        <v/>
      </c>
      <c r="N292" s="3">
        <f>IF(J292&lt;=0.005,"COLLECTED",IF(M292&lt;=30,"1-30",IF(M292&lt;=60,"31-60",IF(M292&lt;=90,"61-90","90+"))))</f>
        <v/>
      </c>
      <c r="O292" s="3">
        <f>IF(N292="90+","LOST",IF(N292="61-90","ESCALATE",IF(N292="31-60","WATCH",IF(N292="1-30","MILD","OK"))))</f>
        <v/>
      </c>
      <c r="P292" s="3">
        <f>IF(J292&gt;0.005,ROW()-1,"")</f>
        <v/>
      </c>
    </row>
    <row r="293">
      <c r="A293" s="3" t="inlineStr">
        <is>
          <t>D0292</t>
        </is>
      </c>
      <c r="B293" s="3">
        <f>INDEX(Raw_Schedule!B:B,MATCH(A293,Raw_Schedule!A:A,0))</f>
        <v/>
      </c>
      <c r="C293" s="3">
        <f>INDEX(Raw_Schedule!C:C,MATCH(A293,Raw_Schedule!A:A,0))</f>
        <v/>
      </c>
      <c r="D293" s="3">
        <f>INDEX(Raw_Schedule!D:D,MATCH(A293,Raw_Schedule!A:A,0))</f>
        <v/>
      </c>
      <c r="E293" s="3">
        <f>INDEX(Raw_Schedule!E:E,MATCH(A293,Raw_Schedule!A:A,0))</f>
        <v/>
      </c>
      <c r="F293" s="3">
        <f>INDEX(Raw_Schedule!F:F,MATCH(A293,Raw_Schedule!A:A,0))</f>
        <v/>
      </c>
      <c r="G293" s="4">
        <f>INDEX(Raw_Schedule!G:G,MATCH(A293,Raw_Schedule!A:A,0))</f>
        <v/>
      </c>
      <c r="H293" s="5">
        <f>INDEX(Raw_Schedule!H:H,MATCH(A293,Raw_Schedule!A:A,0))</f>
        <v/>
      </c>
      <c r="I293" s="5">
        <f>SUMIFS(Raw_Payments!E:E,Raw_Payments!B:B,A293)</f>
        <v/>
      </c>
      <c r="J293" s="5">
        <f>H293-I293</f>
        <v/>
      </c>
      <c r="K293" s="3">
        <f>IF(J293&lt;=0.005,"PAID",IF(I293&gt;0,"PARTIAL","OVERDUE"))</f>
        <v/>
      </c>
      <c r="L293" s="4">
        <f>IF(COUNTIFS(Raw_Payments!B:B,A293)=0,"",SUMPRODUCT(MAX((Raw_Payments!B$2:B$1079=A293)*Raw_Payments!D$2:D$1079)))</f>
        <v/>
      </c>
      <c r="M293" s="3">
        <f>IF(K293="PAID",MAX(0,L293-G293),Guide!$B$3-G293)</f>
        <v/>
      </c>
      <c r="N293" s="3">
        <f>IF(J293&lt;=0.005,"COLLECTED",IF(M293&lt;=30,"1-30",IF(M293&lt;=60,"31-60",IF(M293&lt;=90,"61-90","90+"))))</f>
        <v/>
      </c>
      <c r="O293" s="3">
        <f>IF(N293="90+","LOST",IF(N293="61-90","ESCALATE",IF(N293="31-60","WATCH",IF(N293="1-30","MILD","OK"))))</f>
        <v/>
      </c>
      <c r="P293" s="3">
        <f>IF(J293&gt;0.005,ROW()-1,"")</f>
        <v/>
      </c>
    </row>
    <row r="294">
      <c r="A294" s="3" t="inlineStr">
        <is>
          <t>D0293</t>
        </is>
      </c>
      <c r="B294" s="3">
        <f>INDEX(Raw_Schedule!B:B,MATCH(A294,Raw_Schedule!A:A,0))</f>
        <v/>
      </c>
      <c r="C294" s="3">
        <f>INDEX(Raw_Schedule!C:C,MATCH(A294,Raw_Schedule!A:A,0))</f>
        <v/>
      </c>
      <c r="D294" s="3">
        <f>INDEX(Raw_Schedule!D:D,MATCH(A294,Raw_Schedule!A:A,0))</f>
        <v/>
      </c>
      <c r="E294" s="3">
        <f>INDEX(Raw_Schedule!E:E,MATCH(A294,Raw_Schedule!A:A,0))</f>
        <v/>
      </c>
      <c r="F294" s="3">
        <f>INDEX(Raw_Schedule!F:F,MATCH(A294,Raw_Schedule!A:A,0))</f>
        <v/>
      </c>
      <c r="G294" s="4">
        <f>INDEX(Raw_Schedule!G:G,MATCH(A294,Raw_Schedule!A:A,0))</f>
        <v/>
      </c>
      <c r="H294" s="5">
        <f>INDEX(Raw_Schedule!H:H,MATCH(A294,Raw_Schedule!A:A,0))</f>
        <v/>
      </c>
      <c r="I294" s="5">
        <f>SUMIFS(Raw_Payments!E:E,Raw_Payments!B:B,A294)</f>
        <v/>
      </c>
      <c r="J294" s="5">
        <f>H294-I294</f>
        <v/>
      </c>
      <c r="K294" s="3">
        <f>IF(J294&lt;=0.005,"PAID",IF(I294&gt;0,"PARTIAL","OVERDUE"))</f>
        <v/>
      </c>
      <c r="L294" s="4">
        <f>IF(COUNTIFS(Raw_Payments!B:B,A294)=0,"",SUMPRODUCT(MAX((Raw_Payments!B$2:B$1079=A294)*Raw_Payments!D$2:D$1079)))</f>
        <v/>
      </c>
      <c r="M294" s="3">
        <f>IF(K294="PAID",MAX(0,L294-G294),Guide!$B$3-G294)</f>
        <v/>
      </c>
      <c r="N294" s="3">
        <f>IF(J294&lt;=0.005,"COLLECTED",IF(M294&lt;=30,"1-30",IF(M294&lt;=60,"31-60",IF(M294&lt;=90,"61-90","90+"))))</f>
        <v/>
      </c>
      <c r="O294" s="3">
        <f>IF(N294="90+","LOST",IF(N294="61-90","ESCALATE",IF(N294="31-60","WATCH",IF(N294="1-30","MILD","OK"))))</f>
        <v/>
      </c>
      <c r="P294" s="3">
        <f>IF(J294&gt;0.005,ROW()-1,"")</f>
        <v/>
      </c>
    </row>
    <row r="295">
      <c r="A295" s="3" t="inlineStr">
        <is>
          <t>D0294</t>
        </is>
      </c>
      <c r="B295" s="3">
        <f>INDEX(Raw_Schedule!B:B,MATCH(A295,Raw_Schedule!A:A,0))</f>
        <v/>
      </c>
      <c r="C295" s="3">
        <f>INDEX(Raw_Schedule!C:C,MATCH(A295,Raw_Schedule!A:A,0))</f>
        <v/>
      </c>
      <c r="D295" s="3">
        <f>INDEX(Raw_Schedule!D:D,MATCH(A295,Raw_Schedule!A:A,0))</f>
        <v/>
      </c>
      <c r="E295" s="3">
        <f>INDEX(Raw_Schedule!E:E,MATCH(A295,Raw_Schedule!A:A,0))</f>
        <v/>
      </c>
      <c r="F295" s="3">
        <f>INDEX(Raw_Schedule!F:F,MATCH(A295,Raw_Schedule!A:A,0))</f>
        <v/>
      </c>
      <c r="G295" s="4">
        <f>INDEX(Raw_Schedule!G:G,MATCH(A295,Raw_Schedule!A:A,0))</f>
        <v/>
      </c>
      <c r="H295" s="5">
        <f>INDEX(Raw_Schedule!H:H,MATCH(A295,Raw_Schedule!A:A,0))</f>
        <v/>
      </c>
      <c r="I295" s="5">
        <f>SUMIFS(Raw_Payments!E:E,Raw_Payments!B:B,A295)</f>
        <v/>
      </c>
      <c r="J295" s="5">
        <f>H295-I295</f>
        <v/>
      </c>
      <c r="K295" s="3">
        <f>IF(J295&lt;=0.005,"PAID",IF(I295&gt;0,"PARTIAL","OVERDUE"))</f>
        <v/>
      </c>
      <c r="L295" s="4">
        <f>IF(COUNTIFS(Raw_Payments!B:B,A295)=0,"",SUMPRODUCT(MAX((Raw_Payments!B$2:B$1079=A295)*Raw_Payments!D$2:D$1079)))</f>
        <v/>
      </c>
      <c r="M295" s="3">
        <f>IF(K295="PAID",MAX(0,L295-G295),Guide!$B$3-G295)</f>
        <v/>
      </c>
      <c r="N295" s="3">
        <f>IF(J295&lt;=0.005,"COLLECTED",IF(M295&lt;=30,"1-30",IF(M295&lt;=60,"31-60",IF(M295&lt;=90,"61-90","90+"))))</f>
        <v/>
      </c>
      <c r="O295" s="3">
        <f>IF(N295="90+","LOST",IF(N295="61-90","ESCALATE",IF(N295="31-60","WATCH",IF(N295="1-30","MILD","OK"))))</f>
        <v/>
      </c>
      <c r="P295" s="3">
        <f>IF(J295&gt;0.005,ROW()-1,"")</f>
        <v/>
      </c>
    </row>
    <row r="296">
      <c r="A296" s="3" t="inlineStr">
        <is>
          <t>D0295</t>
        </is>
      </c>
      <c r="B296" s="3">
        <f>INDEX(Raw_Schedule!B:B,MATCH(A296,Raw_Schedule!A:A,0))</f>
        <v/>
      </c>
      <c r="C296" s="3">
        <f>INDEX(Raw_Schedule!C:C,MATCH(A296,Raw_Schedule!A:A,0))</f>
        <v/>
      </c>
      <c r="D296" s="3">
        <f>INDEX(Raw_Schedule!D:D,MATCH(A296,Raw_Schedule!A:A,0))</f>
        <v/>
      </c>
      <c r="E296" s="3">
        <f>INDEX(Raw_Schedule!E:E,MATCH(A296,Raw_Schedule!A:A,0))</f>
        <v/>
      </c>
      <c r="F296" s="3">
        <f>INDEX(Raw_Schedule!F:F,MATCH(A296,Raw_Schedule!A:A,0))</f>
        <v/>
      </c>
      <c r="G296" s="4">
        <f>INDEX(Raw_Schedule!G:G,MATCH(A296,Raw_Schedule!A:A,0))</f>
        <v/>
      </c>
      <c r="H296" s="5">
        <f>INDEX(Raw_Schedule!H:H,MATCH(A296,Raw_Schedule!A:A,0))</f>
        <v/>
      </c>
      <c r="I296" s="5">
        <f>SUMIFS(Raw_Payments!E:E,Raw_Payments!B:B,A296)</f>
        <v/>
      </c>
      <c r="J296" s="5">
        <f>H296-I296</f>
        <v/>
      </c>
      <c r="K296" s="3">
        <f>IF(J296&lt;=0.005,"PAID",IF(I296&gt;0,"PARTIAL","OVERDUE"))</f>
        <v/>
      </c>
      <c r="L296" s="4">
        <f>IF(COUNTIFS(Raw_Payments!B:B,A296)=0,"",SUMPRODUCT(MAX((Raw_Payments!B$2:B$1079=A296)*Raw_Payments!D$2:D$1079)))</f>
        <v/>
      </c>
      <c r="M296" s="3">
        <f>IF(K296="PAID",MAX(0,L296-G296),Guide!$B$3-G296)</f>
        <v/>
      </c>
      <c r="N296" s="3">
        <f>IF(J296&lt;=0.005,"COLLECTED",IF(M296&lt;=30,"1-30",IF(M296&lt;=60,"31-60",IF(M296&lt;=90,"61-90","90+"))))</f>
        <v/>
      </c>
      <c r="O296" s="3">
        <f>IF(N296="90+","LOST",IF(N296="61-90","ESCALATE",IF(N296="31-60","WATCH",IF(N296="1-30","MILD","OK"))))</f>
        <v/>
      </c>
      <c r="P296" s="3">
        <f>IF(J296&gt;0.005,ROW()-1,"")</f>
        <v/>
      </c>
    </row>
    <row r="297">
      <c r="A297" s="3" t="inlineStr">
        <is>
          <t>D0296</t>
        </is>
      </c>
      <c r="B297" s="3">
        <f>INDEX(Raw_Schedule!B:B,MATCH(A297,Raw_Schedule!A:A,0))</f>
        <v/>
      </c>
      <c r="C297" s="3">
        <f>INDEX(Raw_Schedule!C:C,MATCH(A297,Raw_Schedule!A:A,0))</f>
        <v/>
      </c>
      <c r="D297" s="3">
        <f>INDEX(Raw_Schedule!D:D,MATCH(A297,Raw_Schedule!A:A,0))</f>
        <v/>
      </c>
      <c r="E297" s="3">
        <f>INDEX(Raw_Schedule!E:E,MATCH(A297,Raw_Schedule!A:A,0))</f>
        <v/>
      </c>
      <c r="F297" s="3">
        <f>INDEX(Raw_Schedule!F:F,MATCH(A297,Raw_Schedule!A:A,0))</f>
        <v/>
      </c>
      <c r="G297" s="4">
        <f>INDEX(Raw_Schedule!G:G,MATCH(A297,Raw_Schedule!A:A,0))</f>
        <v/>
      </c>
      <c r="H297" s="5">
        <f>INDEX(Raw_Schedule!H:H,MATCH(A297,Raw_Schedule!A:A,0))</f>
        <v/>
      </c>
      <c r="I297" s="5">
        <f>SUMIFS(Raw_Payments!E:E,Raw_Payments!B:B,A297)</f>
        <v/>
      </c>
      <c r="J297" s="5">
        <f>H297-I297</f>
        <v/>
      </c>
      <c r="K297" s="3">
        <f>IF(J297&lt;=0.005,"PAID",IF(I297&gt;0,"PARTIAL","OVERDUE"))</f>
        <v/>
      </c>
      <c r="L297" s="4">
        <f>IF(COUNTIFS(Raw_Payments!B:B,A297)=0,"",SUMPRODUCT(MAX((Raw_Payments!B$2:B$1079=A297)*Raw_Payments!D$2:D$1079)))</f>
        <v/>
      </c>
      <c r="M297" s="3">
        <f>IF(K297="PAID",MAX(0,L297-G297),Guide!$B$3-G297)</f>
        <v/>
      </c>
      <c r="N297" s="3">
        <f>IF(J297&lt;=0.005,"COLLECTED",IF(M297&lt;=30,"1-30",IF(M297&lt;=60,"31-60",IF(M297&lt;=90,"61-90","90+"))))</f>
        <v/>
      </c>
      <c r="O297" s="3">
        <f>IF(N297="90+","LOST",IF(N297="61-90","ESCALATE",IF(N297="31-60","WATCH",IF(N297="1-30","MILD","OK"))))</f>
        <v/>
      </c>
      <c r="P297" s="3">
        <f>IF(J297&gt;0.005,ROW()-1,"")</f>
        <v/>
      </c>
    </row>
    <row r="298">
      <c r="A298" s="3" t="inlineStr">
        <is>
          <t>D0297</t>
        </is>
      </c>
      <c r="B298" s="3">
        <f>INDEX(Raw_Schedule!B:B,MATCH(A298,Raw_Schedule!A:A,0))</f>
        <v/>
      </c>
      <c r="C298" s="3">
        <f>INDEX(Raw_Schedule!C:C,MATCH(A298,Raw_Schedule!A:A,0))</f>
        <v/>
      </c>
      <c r="D298" s="3">
        <f>INDEX(Raw_Schedule!D:D,MATCH(A298,Raw_Schedule!A:A,0))</f>
        <v/>
      </c>
      <c r="E298" s="3">
        <f>INDEX(Raw_Schedule!E:E,MATCH(A298,Raw_Schedule!A:A,0))</f>
        <v/>
      </c>
      <c r="F298" s="3">
        <f>INDEX(Raw_Schedule!F:F,MATCH(A298,Raw_Schedule!A:A,0))</f>
        <v/>
      </c>
      <c r="G298" s="4">
        <f>INDEX(Raw_Schedule!G:G,MATCH(A298,Raw_Schedule!A:A,0))</f>
        <v/>
      </c>
      <c r="H298" s="5">
        <f>INDEX(Raw_Schedule!H:H,MATCH(A298,Raw_Schedule!A:A,0))</f>
        <v/>
      </c>
      <c r="I298" s="5">
        <f>SUMIFS(Raw_Payments!E:E,Raw_Payments!B:B,A298)</f>
        <v/>
      </c>
      <c r="J298" s="5">
        <f>H298-I298</f>
        <v/>
      </c>
      <c r="K298" s="3">
        <f>IF(J298&lt;=0.005,"PAID",IF(I298&gt;0,"PARTIAL","OVERDUE"))</f>
        <v/>
      </c>
      <c r="L298" s="4">
        <f>IF(COUNTIFS(Raw_Payments!B:B,A298)=0,"",SUMPRODUCT(MAX((Raw_Payments!B$2:B$1079=A298)*Raw_Payments!D$2:D$1079)))</f>
        <v/>
      </c>
      <c r="M298" s="3">
        <f>IF(K298="PAID",MAX(0,L298-G298),Guide!$B$3-G298)</f>
        <v/>
      </c>
      <c r="N298" s="3">
        <f>IF(J298&lt;=0.005,"COLLECTED",IF(M298&lt;=30,"1-30",IF(M298&lt;=60,"31-60",IF(M298&lt;=90,"61-90","90+"))))</f>
        <v/>
      </c>
      <c r="O298" s="3">
        <f>IF(N298="90+","LOST",IF(N298="61-90","ESCALATE",IF(N298="31-60","WATCH",IF(N298="1-30","MILD","OK"))))</f>
        <v/>
      </c>
      <c r="P298" s="3">
        <f>IF(J298&gt;0.005,ROW()-1,"")</f>
        <v/>
      </c>
    </row>
    <row r="299">
      <c r="A299" s="3" t="inlineStr">
        <is>
          <t>D0298</t>
        </is>
      </c>
      <c r="B299" s="3">
        <f>INDEX(Raw_Schedule!B:B,MATCH(A299,Raw_Schedule!A:A,0))</f>
        <v/>
      </c>
      <c r="C299" s="3">
        <f>INDEX(Raw_Schedule!C:C,MATCH(A299,Raw_Schedule!A:A,0))</f>
        <v/>
      </c>
      <c r="D299" s="3">
        <f>INDEX(Raw_Schedule!D:D,MATCH(A299,Raw_Schedule!A:A,0))</f>
        <v/>
      </c>
      <c r="E299" s="3">
        <f>INDEX(Raw_Schedule!E:E,MATCH(A299,Raw_Schedule!A:A,0))</f>
        <v/>
      </c>
      <c r="F299" s="3">
        <f>INDEX(Raw_Schedule!F:F,MATCH(A299,Raw_Schedule!A:A,0))</f>
        <v/>
      </c>
      <c r="G299" s="4">
        <f>INDEX(Raw_Schedule!G:G,MATCH(A299,Raw_Schedule!A:A,0))</f>
        <v/>
      </c>
      <c r="H299" s="5">
        <f>INDEX(Raw_Schedule!H:H,MATCH(A299,Raw_Schedule!A:A,0))</f>
        <v/>
      </c>
      <c r="I299" s="5">
        <f>SUMIFS(Raw_Payments!E:E,Raw_Payments!B:B,A299)</f>
        <v/>
      </c>
      <c r="J299" s="5">
        <f>H299-I299</f>
        <v/>
      </c>
      <c r="K299" s="3">
        <f>IF(J299&lt;=0.005,"PAID",IF(I299&gt;0,"PARTIAL","OVERDUE"))</f>
        <v/>
      </c>
      <c r="L299" s="4">
        <f>IF(COUNTIFS(Raw_Payments!B:B,A299)=0,"",SUMPRODUCT(MAX((Raw_Payments!B$2:B$1079=A299)*Raw_Payments!D$2:D$1079)))</f>
        <v/>
      </c>
      <c r="M299" s="3">
        <f>IF(K299="PAID",MAX(0,L299-G299),Guide!$B$3-G299)</f>
        <v/>
      </c>
      <c r="N299" s="3">
        <f>IF(J299&lt;=0.005,"COLLECTED",IF(M299&lt;=30,"1-30",IF(M299&lt;=60,"31-60",IF(M299&lt;=90,"61-90","90+"))))</f>
        <v/>
      </c>
      <c r="O299" s="3">
        <f>IF(N299="90+","LOST",IF(N299="61-90","ESCALATE",IF(N299="31-60","WATCH",IF(N299="1-30","MILD","OK"))))</f>
        <v/>
      </c>
      <c r="P299" s="3">
        <f>IF(J299&gt;0.005,ROW()-1,"")</f>
        <v/>
      </c>
    </row>
    <row r="300">
      <c r="A300" s="3" t="inlineStr">
        <is>
          <t>D0299</t>
        </is>
      </c>
      <c r="B300" s="3">
        <f>INDEX(Raw_Schedule!B:B,MATCH(A300,Raw_Schedule!A:A,0))</f>
        <v/>
      </c>
      <c r="C300" s="3">
        <f>INDEX(Raw_Schedule!C:C,MATCH(A300,Raw_Schedule!A:A,0))</f>
        <v/>
      </c>
      <c r="D300" s="3">
        <f>INDEX(Raw_Schedule!D:D,MATCH(A300,Raw_Schedule!A:A,0))</f>
        <v/>
      </c>
      <c r="E300" s="3">
        <f>INDEX(Raw_Schedule!E:E,MATCH(A300,Raw_Schedule!A:A,0))</f>
        <v/>
      </c>
      <c r="F300" s="3">
        <f>INDEX(Raw_Schedule!F:F,MATCH(A300,Raw_Schedule!A:A,0))</f>
        <v/>
      </c>
      <c r="G300" s="4">
        <f>INDEX(Raw_Schedule!G:G,MATCH(A300,Raw_Schedule!A:A,0))</f>
        <v/>
      </c>
      <c r="H300" s="5">
        <f>INDEX(Raw_Schedule!H:H,MATCH(A300,Raw_Schedule!A:A,0))</f>
        <v/>
      </c>
      <c r="I300" s="5">
        <f>SUMIFS(Raw_Payments!E:E,Raw_Payments!B:B,A300)</f>
        <v/>
      </c>
      <c r="J300" s="5">
        <f>H300-I300</f>
        <v/>
      </c>
      <c r="K300" s="3">
        <f>IF(J300&lt;=0.005,"PAID",IF(I300&gt;0,"PARTIAL","OVERDUE"))</f>
        <v/>
      </c>
      <c r="L300" s="4">
        <f>IF(COUNTIFS(Raw_Payments!B:B,A300)=0,"",SUMPRODUCT(MAX((Raw_Payments!B$2:B$1079=A300)*Raw_Payments!D$2:D$1079)))</f>
        <v/>
      </c>
      <c r="M300" s="3">
        <f>IF(K300="PAID",MAX(0,L300-G300),Guide!$B$3-G300)</f>
        <v/>
      </c>
      <c r="N300" s="3">
        <f>IF(J300&lt;=0.005,"COLLECTED",IF(M300&lt;=30,"1-30",IF(M300&lt;=60,"31-60",IF(M300&lt;=90,"61-90","90+"))))</f>
        <v/>
      </c>
      <c r="O300" s="3">
        <f>IF(N300="90+","LOST",IF(N300="61-90","ESCALATE",IF(N300="31-60","WATCH",IF(N300="1-30","MILD","OK"))))</f>
        <v/>
      </c>
      <c r="P300" s="3">
        <f>IF(J300&gt;0.005,ROW()-1,"")</f>
        <v/>
      </c>
    </row>
    <row r="301">
      <c r="A301" s="3" t="inlineStr">
        <is>
          <t>D0300</t>
        </is>
      </c>
      <c r="B301" s="3">
        <f>INDEX(Raw_Schedule!B:B,MATCH(A301,Raw_Schedule!A:A,0))</f>
        <v/>
      </c>
      <c r="C301" s="3">
        <f>INDEX(Raw_Schedule!C:C,MATCH(A301,Raw_Schedule!A:A,0))</f>
        <v/>
      </c>
      <c r="D301" s="3">
        <f>INDEX(Raw_Schedule!D:D,MATCH(A301,Raw_Schedule!A:A,0))</f>
        <v/>
      </c>
      <c r="E301" s="3">
        <f>INDEX(Raw_Schedule!E:E,MATCH(A301,Raw_Schedule!A:A,0))</f>
        <v/>
      </c>
      <c r="F301" s="3">
        <f>INDEX(Raw_Schedule!F:F,MATCH(A301,Raw_Schedule!A:A,0))</f>
        <v/>
      </c>
      <c r="G301" s="4">
        <f>INDEX(Raw_Schedule!G:G,MATCH(A301,Raw_Schedule!A:A,0))</f>
        <v/>
      </c>
      <c r="H301" s="5">
        <f>INDEX(Raw_Schedule!H:H,MATCH(A301,Raw_Schedule!A:A,0))</f>
        <v/>
      </c>
      <c r="I301" s="5">
        <f>SUMIFS(Raw_Payments!E:E,Raw_Payments!B:B,A301)</f>
        <v/>
      </c>
      <c r="J301" s="5">
        <f>H301-I301</f>
        <v/>
      </c>
      <c r="K301" s="3">
        <f>IF(J301&lt;=0.005,"PAID",IF(I301&gt;0,"PARTIAL","OVERDUE"))</f>
        <v/>
      </c>
      <c r="L301" s="4">
        <f>IF(COUNTIFS(Raw_Payments!B:B,A301)=0,"",SUMPRODUCT(MAX((Raw_Payments!B$2:B$1079=A301)*Raw_Payments!D$2:D$1079)))</f>
        <v/>
      </c>
      <c r="M301" s="3">
        <f>IF(K301="PAID",MAX(0,L301-G301),Guide!$B$3-G301)</f>
        <v/>
      </c>
      <c r="N301" s="3">
        <f>IF(J301&lt;=0.005,"COLLECTED",IF(M301&lt;=30,"1-30",IF(M301&lt;=60,"31-60",IF(M301&lt;=90,"61-90","90+"))))</f>
        <v/>
      </c>
      <c r="O301" s="3">
        <f>IF(N301="90+","LOST",IF(N301="61-90","ESCALATE",IF(N301="31-60","WATCH",IF(N301="1-30","MILD","OK"))))</f>
        <v/>
      </c>
      <c r="P301" s="3">
        <f>IF(J301&gt;0.005,ROW()-1,"")</f>
        <v/>
      </c>
    </row>
    <row r="302">
      <c r="A302" s="3" t="inlineStr">
        <is>
          <t>D0301</t>
        </is>
      </c>
      <c r="B302" s="3">
        <f>INDEX(Raw_Schedule!B:B,MATCH(A302,Raw_Schedule!A:A,0))</f>
        <v/>
      </c>
      <c r="C302" s="3">
        <f>INDEX(Raw_Schedule!C:C,MATCH(A302,Raw_Schedule!A:A,0))</f>
        <v/>
      </c>
      <c r="D302" s="3">
        <f>INDEX(Raw_Schedule!D:D,MATCH(A302,Raw_Schedule!A:A,0))</f>
        <v/>
      </c>
      <c r="E302" s="3">
        <f>INDEX(Raw_Schedule!E:E,MATCH(A302,Raw_Schedule!A:A,0))</f>
        <v/>
      </c>
      <c r="F302" s="3">
        <f>INDEX(Raw_Schedule!F:F,MATCH(A302,Raw_Schedule!A:A,0))</f>
        <v/>
      </c>
      <c r="G302" s="4">
        <f>INDEX(Raw_Schedule!G:G,MATCH(A302,Raw_Schedule!A:A,0))</f>
        <v/>
      </c>
      <c r="H302" s="5">
        <f>INDEX(Raw_Schedule!H:H,MATCH(A302,Raw_Schedule!A:A,0))</f>
        <v/>
      </c>
      <c r="I302" s="5">
        <f>SUMIFS(Raw_Payments!E:E,Raw_Payments!B:B,A302)</f>
        <v/>
      </c>
      <c r="J302" s="5">
        <f>H302-I302</f>
        <v/>
      </c>
      <c r="K302" s="3">
        <f>IF(J302&lt;=0.005,"PAID",IF(I302&gt;0,"PARTIAL","OVERDUE"))</f>
        <v/>
      </c>
      <c r="L302" s="4">
        <f>IF(COUNTIFS(Raw_Payments!B:B,A302)=0,"",SUMPRODUCT(MAX((Raw_Payments!B$2:B$1079=A302)*Raw_Payments!D$2:D$1079)))</f>
        <v/>
      </c>
      <c r="M302" s="3">
        <f>IF(K302="PAID",MAX(0,L302-G302),Guide!$B$3-G302)</f>
        <v/>
      </c>
      <c r="N302" s="3">
        <f>IF(J302&lt;=0.005,"COLLECTED",IF(M302&lt;=30,"1-30",IF(M302&lt;=60,"31-60",IF(M302&lt;=90,"61-90","90+"))))</f>
        <v/>
      </c>
      <c r="O302" s="3">
        <f>IF(N302="90+","LOST",IF(N302="61-90","ESCALATE",IF(N302="31-60","WATCH",IF(N302="1-30","MILD","OK"))))</f>
        <v/>
      </c>
      <c r="P302" s="3">
        <f>IF(J302&gt;0.005,ROW()-1,"")</f>
        <v/>
      </c>
    </row>
    <row r="303">
      <c r="A303" s="3" t="inlineStr">
        <is>
          <t>D0302</t>
        </is>
      </c>
      <c r="B303" s="3">
        <f>INDEX(Raw_Schedule!B:B,MATCH(A303,Raw_Schedule!A:A,0))</f>
        <v/>
      </c>
      <c r="C303" s="3">
        <f>INDEX(Raw_Schedule!C:C,MATCH(A303,Raw_Schedule!A:A,0))</f>
        <v/>
      </c>
      <c r="D303" s="3">
        <f>INDEX(Raw_Schedule!D:D,MATCH(A303,Raw_Schedule!A:A,0))</f>
        <v/>
      </c>
      <c r="E303" s="3">
        <f>INDEX(Raw_Schedule!E:E,MATCH(A303,Raw_Schedule!A:A,0))</f>
        <v/>
      </c>
      <c r="F303" s="3">
        <f>INDEX(Raw_Schedule!F:F,MATCH(A303,Raw_Schedule!A:A,0))</f>
        <v/>
      </c>
      <c r="G303" s="4">
        <f>INDEX(Raw_Schedule!G:G,MATCH(A303,Raw_Schedule!A:A,0))</f>
        <v/>
      </c>
      <c r="H303" s="5">
        <f>INDEX(Raw_Schedule!H:H,MATCH(A303,Raw_Schedule!A:A,0))</f>
        <v/>
      </c>
      <c r="I303" s="5">
        <f>SUMIFS(Raw_Payments!E:E,Raw_Payments!B:B,A303)</f>
        <v/>
      </c>
      <c r="J303" s="5">
        <f>H303-I303</f>
        <v/>
      </c>
      <c r="K303" s="3">
        <f>IF(J303&lt;=0.005,"PAID",IF(I303&gt;0,"PARTIAL","OVERDUE"))</f>
        <v/>
      </c>
      <c r="L303" s="4">
        <f>IF(COUNTIFS(Raw_Payments!B:B,A303)=0,"",SUMPRODUCT(MAX((Raw_Payments!B$2:B$1079=A303)*Raw_Payments!D$2:D$1079)))</f>
        <v/>
      </c>
      <c r="M303" s="3">
        <f>IF(K303="PAID",MAX(0,L303-G303),Guide!$B$3-G303)</f>
        <v/>
      </c>
      <c r="N303" s="3">
        <f>IF(J303&lt;=0.005,"COLLECTED",IF(M303&lt;=30,"1-30",IF(M303&lt;=60,"31-60",IF(M303&lt;=90,"61-90","90+"))))</f>
        <v/>
      </c>
      <c r="O303" s="3">
        <f>IF(N303="90+","LOST",IF(N303="61-90","ESCALATE",IF(N303="31-60","WATCH",IF(N303="1-30","MILD","OK"))))</f>
        <v/>
      </c>
      <c r="P303" s="3">
        <f>IF(J303&gt;0.005,ROW()-1,"")</f>
        <v/>
      </c>
    </row>
    <row r="304">
      <c r="A304" s="3" t="inlineStr">
        <is>
          <t>D0303</t>
        </is>
      </c>
      <c r="B304" s="3">
        <f>INDEX(Raw_Schedule!B:B,MATCH(A304,Raw_Schedule!A:A,0))</f>
        <v/>
      </c>
      <c r="C304" s="3">
        <f>INDEX(Raw_Schedule!C:C,MATCH(A304,Raw_Schedule!A:A,0))</f>
        <v/>
      </c>
      <c r="D304" s="3">
        <f>INDEX(Raw_Schedule!D:D,MATCH(A304,Raw_Schedule!A:A,0))</f>
        <v/>
      </c>
      <c r="E304" s="3">
        <f>INDEX(Raw_Schedule!E:E,MATCH(A304,Raw_Schedule!A:A,0))</f>
        <v/>
      </c>
      <c r="F304" s="3">
        <f>INDEX(Raw_Schedule!F:F,MATCH(A304,Raw_Schedule!A:A,0))</f>
        <v/>
      </c>
      <c r="G304" s="4">
        <f>INDEX(Raw_Schedule!G:G,MATCH(A304,Raw_Schedule!A:A,0))</f>
        <v/>
      </c>
      <c r="H304" s="5">
        <f>INDEX(Raw_Schedule!H:H,MATCH(A304,Raw_Schedule!A:A,0))</f>
        <v/>
      </c>
      <c r="I304" s="5">
        <f>SUMIFS(Raw_Payments!E:E,Raw_Payments!B:B,A304)</f>
        <v/>
      </c>
      <c r="J304" s="5">
        <f>H304-I304</f>
        <v/>
      </c>
      <c r="K304" s="3">
        <f>IF(J304&lt;=0.005,"PAID",IF(I304&gt;0,"PARTIAL","OVERDUE"))</f>
        <v/>
      </c>
      <c r="L304" s="4">
        <f>IF(COUNTIFS(Raw_Payments!B:B,A304)=0,"",SUMPRODUCT(MAX((Raw_Payments!B$2:B$1079=A304)*Raw_Payments!D$2:D$1079)))</f>
        <v/>
      </c>
      <c r="M304" s="3">
        <f>IF(K304="PAID",MAX(0,L304-G304),Guide!$B$3-G304)</f>
        <v/>
      </c>
      <c r="N304" s="3">
        <f>IF(J304&lt;=0.005,"COLLECTED",IF(M304&lt;=30,"1-30",IF(M304&lt;=60,"31-60",IF(M304&lt;=90,"61-90","90+"))))</f>
        <v/>
      </c>
      <c r="O304" s="3">
        <f>IF(N304="90+","LOST",IF(N304="61-90","ESCALATE",IF(N304="31-60","WATCH",IF(N304="1-30","MILD","OK"))))</f>
        <v/>
      </c>
      <c r="P304" s="3">
        <f>IF(J304&gt;0.005,ROW()-1,"")</f>
        <v/>
      </c>
    </row>
    <row r="305">
      <c r="A305" s="3" t="inlineStr">
        <is>
          <t>D0304</t>
        </is>
      </c>
      <c r="B305" s="3">
        <f>INDEX(Raw_Schedule!B:B,MATCH(A305,Raw_Schedule!A:A,0))</f>
        <v/>
      </c>
      <c r="C305" s="3">
        <f>INDEX(Raw_Schedule!C:C,MATCH(A305,Raw_Schedule!A:A,0))</f>
        <v/>
      </c>
      <c r="D305" s="3">
        <f>INDEX(Raw_Schedule!D:D,MATCH(A305,Raw_Schedule!A:A,0))</f>
        <v/>
      </c>
      <c r="E305" s="3">
        <f>INDEX(Raw_Schedule!E:E,MATCH(A305,Raw_Schedule!A:A,0))</f>
        <v/>
      </c>
      <c r="F305" s="3">
        <f>INDEX(Raw_Schedule!F:F,MATCH(A305,Raw_Schedule!A:A,0))</f>
        <v/>
      </c>
      <c r="G305" s="4">
        <f>INDEX(Raw_Schedule!G:G,MATCH(A305,Raw_Schedule!A:A,0))</f>
        <v/>
      </c>
      <c r="H305" s="5">
        <f>INDEX(Raw_Schedule!H:H,MATCH(A305,Raw_Schedule!A:A,0))</f>
        <v/>
      </c>
      <c r="I305" s="5">
        <f>SUMIFS(Raw_Payments!E:E,Raw_Payments!B:B,A305)</f>
        <v/>
      </c>
      <c r="J305" s="5">
        <f>H305-I305</f>
        <v/>
      </c>
      <c r="K305" s="3">
        <f>IF(J305&lt;=0.005,"PAID",IF(I305&gt;0,"PARTIAL","OVERDUE"))</f>
        <v/>
      </c>
      <c r="L305" s="4">
        <f>IF(COUNTIFS(Raw_Payments!B:B,A305)=0,"",SUMPRODUCT(MAX((Raw_Payments!B$2:B$1079=A305)*Raw_Payments!D$2:D$1079)))</f>
        <v/>
      </c>
      <c r="M305" s="3">
        <f>IF(K305="PAID",MAX(0,L305-G305),Guide!$B$3-G305)</f>
        <v/>
      </c>
      <c r="N305" s="3">
        <f>IF(J305&lt;=0.005,"COLLECTED",IF(M305&lt;=30,"1-30",IF(M305&lt;=60,"31-60",IF(M305&lt;=90,"61-90","90+"))))</f>
        <v/>
      </c>
      <c r="O305" s="3">
        <f>IF(N305="90+","LOST",IF(N305="61-90","ESCALATE",IF(N305="31-60","WATCH",IF(N305="1-30","MILD","OK"))))</f>
        <v/>
      </c>
      <c r="P305" s="3">
        <f>IF(J305&gt;0.005,ROW()-1,"")</f>
        <v/>
      </c>
    </row>
    <row r="306">
      <c r="A306" s="3" t="inlineStr">
        <is>
          <t>D0305</t>
        </is>
      </c>
      <c r="B306" s="3">
        <f>INDEX(Raw_Schedule!B:B,MATCH(A306,Raw_Schedule!A:A,0))</f>
        <v/>
      </c>
      <c r="C306" s="3">
        <f>INDEX(Raw_Schedule!C:C,MATCH(A306,Raw_Schedule!A:A,0))</f>
        <v/>
      </c>
      <c r="D306" s="3">
        <f>INDEX(Raw_Schedule!D:D,MATCH(A306,Raw_Schedule!A:A,0))</f>
        <v/>
      </c>
      <c r="E306" s="3">
        <f>INDEX(Raw_Schedule!E:E,MATCH(A306,Raw_Schedule!A:A,0))</f>
        <v/>
      </c>
      <c r="F306" s="3">
        <f>INDEX(Raw_Schedule!F:F,MATCH(A306,Raw_Schedule!A:A,0))</f>
        <v/>
      </c>
      <c r="G306" s="4">
        <f>INDEX(Raw_Schedule!G:G,MATCH(A306,Raw_Schedule!A:A,0))</f>
        <v/>
      </c>
      <c r="H306" s="5">
        <f>INDEX(Raw_Schedule!H:H,MATCH(A306,Raw_Schedule!A:A,0))</f>
        <v/>
      </c>
      <c r="I306" s="5">
        <f>SUMIFS(Raw_Payments!E:E,Raw_Payments!B:B,A306)</f>
        <v/>
      </c>
      <c r="J306" s="5">
        <f>H306-I306</f>
        <v/>
      </c>
      <c r="K306" s="3">
        <f>IF(J306&lt;=0.005,"PAID",IF(I306&gt;0,"PARTIAL","OVERDUE"))</f>
        <v/>
      </c>
      <c r="L306" s="4">
        <f>IF(COUNTIFS(Raw_Payments!B:B,A306)=0,"",SUMPRODUCT(MAX((Raw_Payments!B$2:B$1079=A306)*Raw_Payments!D$2:D$1079)))</f>
        <v/>
      </c>
      <c r="M306" s="3">
        <f>IF(K306="PAID",MAX(0,L306-G306),Guide!$B$3-G306)</f>
        <v/>
      </c>
      <c r="N306" s="3">
        <f>IF(J306&lt;=0.005,"COLLECTED",IF(M306&lt;=30,"1-30",IF(M306&lt;=60,"31-60",IF(M306&lt;=90,"61-90","90+"))))</f>
        <v/>
      </c>
      <c r="O306" s="3">
        <f>IF(N306="90+","LOST",IF(N306="61-90","ESCALATE",IF(N306="31-60","WATCH",IF(N306="1-30","MILD","OK"))))</f>
        <v/>
      </c>
      <c r="P306" s="3">
        <f>IF(J306&gt;0.005,ROW()-1,"")</f>
        <v/>
      </c>
    </row>
    <row r="307">
      <c r="A307" s="3" t="inlineStr">
        <is>
          <t>D0306</t>
        </is>
      </c>
      <c r="B307" s="3">
        <f>INDEX(Raw_Schedule!B:B,MATCH(A307,Raw_Schedule!A:A,0))</f>
        <v/>
      </c>
      <c r="C307" s="3">
        <f>INDEX(Raw_Schedule!C:C,MATCH(A307,Raw_Schedule!A:A,0))</f>
        <v/>
      </c>
      <c r="D307" s="3">
        <f>INDEX(Raw_Schedule!D:D,MATCH(A307,Raw_Schedule!A:A,0))</f>
        <v/>
      </c>
      <c r="E307" s="3">
        <f>INDEX(Raw_Schedule!E:E,MATCH(A307,Raw_Schedule!A:A,0))</f>
        <v/>
      </c>
      <c r="F307" s="3">
        <f>INDEX(Raw_Schedule!F:F,MATCH(A307,Raw_Schedule!A:A,0))</f>
        <v/>
      </c>
      <c r="G307" s="4">
        <f>INDEX(Raw_Schedule!G:G,MATCH(A307,Raw_Schedule!A:A,0))</f>
        <v/>
      </c>
      <c r="H307" s="5">
        <f>INDEX(Raw_Schedule!H:H,MATCH(A307,Raw_Schedule!A:A,0))</f>
        <v/>
      </c>
      <c r="I307" s="5">
        <f>SUMIFS(Raw_Payments!E:E,Raw_Payments!B:B,A307)</f>
        <v/>
      </c>
      <c r="J307" s="5">
        <f>H307-I307</f>
        <v/>
      </c>
      <c r="K307" s="3">
        <f>IF(J307&lt;=0.005,"PAID",IF(I307&gt;0,"PARTIAL","OVERDUE"))</f>
        <v/>
      </c>
      <c r="L307" s="4">
        <f>IF(COUNTIFS(Raw_Payments!B:B,A307)=0,"",SUMPRODUCT(MAX((Raw_Payments!B$2:B$1079=A307)*Raw_Payments!D$2:D$1079)))</f>
        <v/>
      </c>
      <c r="M307" s="3">
        <f>IF(K307="PAID",MAX(0,L307-G307),Guide!$B$3-G307)</f>
        <v/>
      </c>
      <c r="N307" s="3">
        <f>IF(J307&lt;=0.005,"COLLECTED",IF(M307&lt;=30,"1-30",IF(M307&lt;=60,"31-60",IF(M307&lt;=90,"61-90","90+"))))</f>
        <v/>
      </c>
      <c r="O307" s="3">
        <f>IF(N307="90+","LOST",IF(N307="61-90","ESCALATE",IF(N307="31-60","WATCH",IF(N307="1-30","MILD","OK"))))</f>
        <v/>
      </c>
      <c r="P307" s="3">
        <f>IF(J307&gt;0.005,ROW()-1,"")</f>
        <v/>
      </c>
    </row>
    <row r="308">
      <c r="A308" s="3" t="inlineStr">
        <is>
          <t>D0307</t>
        </is>
      </c>
      <c r="B308" s="3">
        <f>INDEX(Raw_Schedule!B:B,MATCH(A308,Raw_Schedule!A:A,0))</f>
        <v/>
      </c>
      <c r="C308" s="3">
        <f>INDEX(Raw_Schedule!C:C,MATCH(A308,Raw_Schedule!A:A,0))</f>
        <v/>
      </c>
      <c r="D308" s="3">
        <f>INDEX(Raw_Schedule!D:D,MATCH(A308,Raw_Schedule!A:A,0))</f>
        <v/>
      </c>
      <c r="E308" s="3">
        <f>INDEX(Raw_Schedule!E:E,MATCH(A308,Raw_Schedule!A:A,0))</f>
        <v/>
      </c>
      <c r="F308" s="3">
        <f>INDEX(Raw_Schedule!F:F,MATCH(A308,Raw_Schedule!A:A,0))</f>
        <v/>
      </c>
      <c r="G308" s="4">
        <f>INDEX(Raw_Schedule!G:G,MATCH(A308,Raw_Schedule!A:A,0))</f>
        <v/>
      </c>
      <c r="H308" s="5">
        <f>INDEX(Raw_Schedule!H:H,MATCH(A308,Raw_Schedule!A:A,0))</f>
        <v/>
      </c>
      <c r="I308" s="5">
        <f>SUMIFS(Raw_Payments!E:E,Raw_Payments!B:B,A308)</f>
        <v/>
      </c>
      <c r="J308" s="5">
        <f>H308-I308</f>
        <v/>
      </c>
      <c r="K308" s="3">
        <f>IF(J308&lt;=0.005,"PAID",IF(I308&gt;0,"PARTIAL","OVERDUE"))</f>
        <v/>
      </c>
      <c r="L308" s="4">
        <f>IF(COUNTIFS(Raw_Payments!B:B,A308)=0,"",SUMPRODUCT(MAX((Raw_Payments!B$2:B$1079=A308)*Raw_Payments!D$2:D$1079)))</f>
        <v/>
      </c>
      <c r="M308" s="3">
        <f>IF(K308="PAID",MAX(0,L308-G308),Guide!$B$3-G308)</f>
        <v/>
      </c>
      <c r="N308" s="3">
        <f>IF(J308&lt;=0.005,"COLLECTED",IF(M308&lt;=30,"1-30",IF(M308&lt;=60,"31-60",IF(M308&lt;=90,"61-90","90+"))))</f>
        <v/>
      </c>
      <c r="O308" s="3">
        <f>IF(N308="90+","LOST",IF(N308="61-90","ESCALATE",IF(N308="31-60","WATCH",IF(N308="1-30","MILD","OK"))))</f>
        <v/>
      </c>
      <c r="P308" s="3">
        <f>IF(J308&gt;0.005,ROW()-1,"")</f>
        <v/>
      </c>
    </row>
    <row r="309">
      <c r="A309" s="3" t="inlineStr">
        <is>
          <t>D0308</t>
        </is>
      </c>
      <c r="B309" s="3">
        <f>INDEX(Raw_Schedule!B:B,MATCH(A309,Raw_Schedule!A:A,0))</f>
        <v/>
      </c>
      <c r="C309" s="3">
        <f>INDEX(Raw_Schedule!C:C,MATCH(A309,Raw_Schedule!A:A,0))</f>
        <v/>
      </c>
      <c r="D309" s="3">
        <f>INDEX(Raw_Schedule!D:D,MATCH(A309,Raw_Schedule!A:A,0))</f>
        <v/>
      </c>
      <c r="E309" s="3">
        <f>INDEX(Raw_Schedule!E:E,MATCH(A309,Raw_Schedule!A:A,0))</f>
        <v/>
      </c>
      <c r="F309" s="3">
        <f>INDEX(Raw_Schedule!F:F,MATCH(A309,Raw_Schedule!A:A,0))</f>
        <v/>
      </c>
      <c r="G309" s="4">
        <f>INDEX(Raw_Schedule!G:G,MATCH(A309,Raw_Schedule!A:A,0))</f>
        <v/>
      </c>
      <c r="H309" s="5">
        <f>INDEX(Raw_Schedule!H:H,MATCH(A309,Raw_Schedule!A:A,0))</f>
        <v/>
      </c>
      <c r="I309" s="5">
        <f>SUMIFS(Raw_Payments!E:E,Raw_Payments!B:B,A309)</f>
        <v/>
      </c>
      <c r="J309" s="5">
        <f>H309-I309</f>
        <v/>
      </c>
      <c r="K309" s="3">
        <f>IF(J309&lt;=0.005,"PAID",IF(I309&gt;0,"PARTIAL","OVERDUE"))</f>
        <v/>
      </c>
      <c r="L309" s="4">
        <f>IF(COUNTIFS(Raw_Payments!B:B,A309)=0,"",SUMPRODUCT(MAX((Raw_Payments!B$2:B$1079=A309)*Raw_Payments!D$2:D$1079)))</f>
        <v/>
      </c>
      <c r="M309" s="3">
        <f>IF(K309="PAID",MAX(0,L309-G309),Guide!$B$3-G309)</f>
        <v/>
      </c>
      <c r="N309" s="3">
        <f>IF(J309&lt;=0.005,"COLLECTED",IF(M309&lt;=30,"1-30",IF(M309&lt;=60,"31-60",IF(M309&lt;=90,"61-90","90+"))))</f>
        <v/>
      </c>
      <c r="O309" s="3">
        <f>IF(N309="90+","LOST",IF(N309="61-90","ESCALATE",IF(N309="31-60","WATCH",IF(N309="1-30","MILD","OK"))))</f>
        <v/>
      </c>
      <c r="P309" s="3">
        <f>IF(J309&gt;0.005,ROW()-1,"")</f>
        <v/>
      </c>
    </row>
    <row r="310">
      <c r="A310" s="3" t="inlineStr">
        <is>
          <t>D0309</t>
        </is>
      </c>
      <c r="B310" s="3">
        <f>INDEX(Raw_Schedule!B:B,MATCH(A310,Raw_Schedule!A:A,0))</f>
        <v/>
      </c>
      <c r="C310" s="3">
        <f>INDEX(Raw_Schedule!C:C,MATCH(A310,Raw_Schedule!A:A,0))</f>
        <v/>
      </c>
      <c r="D310" s="3">
        <f>INDEX(Raw_Schedule!D:D,MATCH(A310,Raw_Schedule!A:A,0))</f>
        <v/>
      </c>
      <c r="E310" s="3">
        <f>INDEX(Raw_Schedule!E:E,MATCH(A310,Raw_Schedule!A:A,0))</f>
        <v/>
      </c>
      <c r="F310" s="3">
        <f>INDEX(Raw_Schedule!F:F,MATCH(A310,Raw_Schedule!A:A,0))</f>
        <v/>
      </c>
      <c r="G310" s="4">
        <f>INDEX(Raw_Schedule!G:G,MATCH(A310,Raw_Schedule!A:A,0))</f>
        <v/>
      </c>
      <c r="H310" s="5">
        <f>INDEX(Raw_Schedule!H:H,MATCH(A310,Raw_Schedule!A:A,0))</f>
        <v/>
      </c>
      <c r="I310" s="5">
        <f>SUMIFS(Raw_Payments!E:E,Raw_Payments!B:B,A310)</f>
        <v/>
      </c>
      <c r="J310" s="5">
        <f>H310-I310</f>
        <v/>
      </c>
      <c r="K310" s="3">
        <f>IF(J310&lt;=0.005,"PAID",IF(I310&gt;0,"PARTIAL","OVERDUE"))</f>
        <v/>
      </c>
      <c r="L310" s="4">
        <f>IF(COUNTIFS(Raw_Payments!B:B,A310)=0,"",SUMPRODUCT(MAX((Raw_Payments!B$2:B$1079=A310)*Raw_Payments!D$2:D$1079)))</f>
        <v/>
      </c>
      <c r="M310" s="3">
        <f>IF(K310="PAID",MAX(0,L310-G310),Guide!$B$3-G310)</f>
        <v/>
      </c>
      <c r="N310" s="3">
        <f>IF(J310&lt;=0.005,"COLLECTED",IF(M310&lt;=30,"1-30",IF(M310&lt;=60,"31-60",IF(M310&lt;=90,"61-90","90+"))))</f>
        <v/>
      </c>
      <c r="O310" s="3">
        <f>IF(N310="90+","LOST",IF(N310="61-90","ESCALATE",IF(N310="31-60","WATCH",IF(N310="1-30","MILD","OK"))))</f>
        <v/>
      </c>
      <c r="P310" s="3">
        <f>IF(J310&gt;0.005,ROW()-1,"")</f>
        <v/>
      </c>
    </row>
    <row r="311">
      <c r="A311" s="3" t="inlineStr">
        <is>
          <t>D0310</t>
        </is>
      </c>
      <c r="B311" s="3">
        <f>INDEX(Raw_Schedule!B:B,MATCH(A311,Raw_Schedule!A:A,0))</f>
        <v/>
      </c>
      <c r="C311" s="3">
        <f>INDEX(Raw_Schedule!C:C,MATCH(A311,Raw_Schedule!A:A,0))</f>
        <v/>
      </c>
      <c r="D311" s="3">
        <f>INDEX(Raw_Schedule!D:D,MATCH(A311,Raw_Schedule!A:A,0))</f>
        <v/>
      </c>
      <c r="E311" s="3">
        <f>INDEX(Raw_Schedule!E:E,MATCH(A311,Raw_Schedule!A:A,0))</f>
        <v/>
      </c>
      <c r="F311" s="3">
        <f>INDEX(Raw_Schedule!F:F,MATCH(A311,Raw_Schedule!A:A,0))</f>
        <v/>
      </c>
      <c r="G311" s="4">
        <f>INDEX(Raw_Schedule!G:G,MATCH(A311,Raw_Schedule!A:A,0))</f>
        <v/>
      </c>
      <c r="H311" s="5">
        <f>INDEX(Raw_Schedule!H:H,MATCH(A311,Raw_Schedule!A:A,0))</f>
        <v/>
      </c>
      <c r="I311" s="5">
        <f>SUMIFS(Raw_Payments!E:E,Raw_Payments!B:B,A311)</f>
        <v/>
      </c>
      <c r="J311" s="5">
        <f>H311-I311</f>
        <v/>
      </c>
      <c r="K311" s="3">
        <f>IF(J311&lt;=0.005,"PAID",IF(I311&gt;0,"PARTIAL","OVERDUE"))</f>
        <v/>
      </c>
      <c r="L311" s="4">
        <f>IF(COUNTIFS(Raw_Payments!B:B,A311)=0,"",SUMPRODUCT(MAX((Raw_Payments!B$2:B$1079=A311)*Raw_Payments!D$2:D$1079)))</f>
        <v/>
      </c>
      <c r="M311" s="3">
        <f>IF(K311="PAID",MAX(0,L311-G311),Guide!$B$3-G311)</f>
        <v/>
      </c>
      <c r="N311" s="3">
        <f>IF(J311&lt;=0.005,"COLLECTED",IF(M311&lt;=30,"1-30",IF(M311&lt;=60,"31-60",IF(M311&lt;=90,"61-90","90+"))))</f>
        <v/>
      </c>
      <c r="O311" s="3">
        <f>IF(N311="90+","LOST",IF(N311="61-90","ESCALATE",IF(N311="31-60","WATCH",IF(N311="1-30","MILD","OK"))))</f>
        <v/>
      </c>
      <c r="P311" s="3">
        <f>IF(J311&gt;0.005,ROW()-1,"")</f>
        <v/>
      </c>
    </row>
    <row r="312">
      <c r="A312" s="3" t="inlineStr">
        <is>
          <t>D0311</t>
        </is>
      </c>
      <c r="B312" s="3">
        <f>INDEX(Raw_Schedule!B:B,MATCH(A312,Raw_Schedule!A:A,0))</f>
        <v/>
      </c>
      <c r="C312" s="3">
        <f>INDEX(Raw_Schedule!C:C,MATCH(A312,Raw_Schedule!A:A,0))</f>
        <v/>
      </c>
      <c r="D312" s="3">
        <f>INDEX(Raw_Schedule!D:D,MATCH(A312,Raw_Schedule!A:A,0))</f>
        <v/>
      </c>
      <c r="E312" s="3">
        <f>INDEX(Raw_Schedule!E:E,MATCH(A312,Raw_Schedule!A:A,0))</f>
        <v/>
      </c>
      <c r="F312" s="3">
        <f>INDEX(Raw_Schedule!F:F,MATCH(A312,Raw_Schedule!A:A,0))</f>
        <v/>
      </c>
      <c r="G312" s="4">
        <f>INDEX(Raw_Schedule!G:G,MATCH(A312,Raw_Schedule!A:A,0))</f>
        <v/>
      </c>
      <c r="H312" s="5">
        <f>INDEX(Raw_Schedule!H:H,MATCH(A312,Raw_Schedule!A:A,0))</f>
        <v/>
      </c>
      <c r="I312" s="5">
        <f>SUMIFS(Raw_Payments!E:E,Raw_Payments!B:B,A312)</f>
        <v/>
      </c>
      <c r="J312" s="5">
        <f>H312-I312</f>
        <v/>
      </c>
      <c r="K312" s="3">
        <f>IF(J312&lt;=0.005,"PAID",IF(I312&gt;0,"PARTIAL","OVERDUE"))</f>
        <v/>
      </c>
      <c r="L312" s="4">
        <f>IF(COUNTIFS(Raw_Payments!B:B,A312)=0,"",SUMPRODUCT(MAX((Raw_Payments!B$2:B$1079=A312)*Raw_Payments!D$2:D$1079)))</f>
        <v/>
      </c>
      <c r="M312" s="3">
        <f>IF(K312="PAID",MAX(0,L312-G312),Guide!$B$3-G312)</f>
        <v/>
      </c>
      <c r="N312" s="3">
        <f>IF(J312&lt;=0.005,"COLLECTED",IF(M312&lt;=30,"1-30",IF(M312&lt;=60,"31-60",IF(M312&lt;=90,"61-90","90+"))))</f>
        <v/>
      </c>
      <c r="O312" s="3">
        <f>IF(N312="90+","LOST",IF(N312="61-90","ESCALATE",IF(N312="31-60","WATCH",IF(N312="1-30","MILD","OK"))))</f>
        <v/>
      </c>
      <c r="P312" s="3">
        <f>IF(J312&gt;0.005,ROW()-1,"")</f>
        <v/>
      </c>
    </row>
    <row r="313">
      <c r="A313" s="3" t="inlineStr">
        <is>
          <t>D0312</t>
        </is>
      </c>
      <c r="B313" s="3">
        <f>INDEX(Raw_Schedule!B:B,MATCH(A313,Raw_Schedule!A:A,0))</f>
        <v/>
      </c>
      <c r="C313" s="3">
        <f>INDEX(Raw_Schedule!C:C,MATCH(A313,Raw_Schedule!A:A,0))</f>
        <v/>
      </c>
      <c r="D313" s="3">
        <f>INDEX(Raw_Schedule!D:D,MATCH(A313,Raw_Schedule!A:A,0))</f>
        <v/>
      </c>
      <c r="E313" s="3">
        <f>INDEX(Raw_Schedule!E:E,MATCH(A313,Raw_Schedule!A:A,0))</f>
        <v/>
      </c>
      <c r="F313" s="3">
        <f>INDEX(Raw_Schedule!F:F,MATCH(A313,Raw_Schedule!A:A,0))</f>
        <v/>
      </c>
      <c r="G313" s="4">
        <f>INDEX(Raw_Schedule!G:G,MATCH(A313,Raw_Schedule!A:A,0))</f>
        <v/>
      </c>
      <c r="H313" s="5">
        <f>INDEX(Raw_Schedule!H:H,MATCH(A313,Raw_Schedule!A:A,0))</f>
        <v/>
      </c>
      <c r="I313" s="5">
        <f>SUMIFS(Raw_Payments!E:E,Raw_Payments!B:B,A313)</f>
        <v/>
      </c>
      <c r="J313" s="5">
        <f>H313-I313</f>
        <v/>
      </c>
      <c r="K313" s="3">
        <f>IF(J313&lt;=0.005,"PAID",IF(I313&gt;0,"PARTIAL","OVERDUE"))</f>
        <v/>
      </c>
      <c r="L313" s="4">
        <f>IF(COUNTIFS(Raw_Payments!B:B,A313)=0,"",SUMPRODUCT(MAX((Raw_Payments!B$2:B$1079=A313)*Raw_Payments!D$2:D$1079)))</f>
        <v/>
      </c>
      <c r="M313" s="3">
        <f>IF(K313="PAID",MAX(0,L313-G313),Guide!$B$3-G313)</f>
        <v/>
      </c>
      <c r="N313" s="3">
        <f>IF(J313&lt;=0.005,"COLLECTED",IF(M313&lt;=30,"1-30",IF(M313&lt;=60,"31-60",IF(M313&lt;=90,"61-90","90+"))))</f>
        <v/>
      </c>
      <c r="O313" s="3">
        <f>IF(N313="90+","LOST",IF(N313="61-90","ESCALATE",IF(N313="31-60","WATCH",IF(N313="1-30","MILD","OK"))))</f>
        <v/>
      </c>
      <c r="P313" s="3">
        <f>IF(J313&gt;0.005,ROW()-1,"")</f>
        <v/>
      </c>
    </row>
    <row r="314">
      <c r="A314" s="3" t="inlineStr">
        <is>
          <t>D0313</t>
        </is>
      </c>
      <c r="B314" s="3">
        <f>INDEX(Raw_Schedule!B:B,MATCH(A314,Raw_Schedule!A:A,0))</f>
        <v/>
      </c>
      <c r="C314" s="3">
        <f>INDEX(Raw_Schedule!C:C,MATCH(A314,Raw_Schedule!A:A,0))</f>
        <v/>
      </c>
      <c r="D314" s="3">
        <f>INDEX(Raw_Schedule!D:D,MATCH(A314,Raw_Schedule!A:A,0))</f>
        <v/>
      </c>
      <c r="E314" s="3">
        <f>INDEX(Raw_Schedule!E:E,MATCH(A314,Raw_Schedule!A:A,0))</f>
        <v/>
      </c>
      <c r="F314" s="3">
        <f>INDEX(Raw_Schedule!F:F,MATCH(A314,Raw_Schedule!A:A,0))</f>
        <v/>
      </c>
      <c r="G314" s="4">
        <f>INDEX(Raw_Schedule!G:G,MATCH(A314,Raw_Schedule!A:A,0))</f>
        <v/>
      </c>
      <c r="H314" s="5">
        <f>INDEX(Raw_Schedule!H:H,MATCH(A314,Raw_Schedule!A:A,0))</f>
        <v/>
      </c>
      <c r="I314" s="5">
        <f>SUMIFS(Raw_Payments!E:E,Raw_Payments!B:B,A314)</f>
        <v/>
      </c>
      <c r="J314" s="5">
        <f>H314-I314</f>
        <v/>
      </c>
      <c r="K314" s="3">
        <f>IF(J314&lt;=0.005,"PAID",IF(I314&gt;0,"PARTIAL","OVERDUE"))</f>
        <v/>
      </c>
      <c r="L314" s="4">
        <f>IF(COUNTIFS(Raw_Payments!B:B,A314)=0,"",SUMPRODUCT(MAX((Raw_Payments!B$2:B$1079=A314)*Raw_Payments!D$2:D$1079)))</f>
        <v/>
      </c>
      <c r="M314" s="3">
        <f>IF(K314="PAID",MAX(0,L314-G314),Guide!$B$3-G314)</f>
        <v/>
      </c>
      <c r="N314" s="3">
        <f>IF(J314&lt;=0.005,"COLLECTED",IF(M314&lt;=30,"1-30",IF(M314&lt;=60,"31-60",IF(M314&lt;=90,"61-90","90+"))))</f>
        <v/>
      </c>
      <c r="O314" s="3">
        <f>IF(N314="90+","LOST",IF(N314="61-90","ESCALATE",IF(N314="31-60","WATCH",IF(N314="1-30","MILD","OK"))))</f>
        <v/>
      </c>
      <c r="P314" s="3">
        <f>IF(J314&gt;0.005,ROW()-1,"")</f>
        <v/>
      </c>
    </row>
    <row r="315">
      <c r="A315" s="3" t="inlineStr">
        <is>
          <t>D0314</t>
        </is>
      </c>
      <c r="B315" s="3">
        <f>INDEX(Raw_Schedule!B:B,MATCH(A315,Raw_Schedule!A:A,0))</f>
        <v/>
      </c>
      <c r="C315" s="3">
        <f>INDEX(Raw_Schedule!C:C,MATCH(A315,Raw_Schedule!A:A,0))</f>
        <v/>
      </c>
      <c r="D315" s="3">
        <f>INDEX(Raw_Schedule!D:D,MATCH(A315,Raw_Schedule!A:A,0))</f>
        <v/>
      </c>
      <c r="E315" s="3">
        <f>INDEX(Raw_Schedule!E:E,MATCH(A315,Raw_Schedule!A:A,0))</f>
        <v/>
      </c>
      <c r="F315" s="3">
        <f>INDEX(Raw_Schedule!F:F,MATCH(A315,Raw_Schedule!A:A,0))</f>
        <v/>
      </c>
      <c r="G315" s="4">
        <f>INDEX(Raw_Schedule!G:G,MATCH(A315,Raw_Schedule!A:A,0))</f>
        <v/>
      </c>
      <c r="H315" s="5">
        <f>INDEX(Raw_Schedule!H:H,MATCH(A315,Raw_Schedule!A:A,0))</f>
        <v/>
      </c>
      <c r="I315" s="5">
        <f>SUMIFS(Raw_Payments!E:E,Raw_Payments!B:B,A315)</f>
        <v/>
      </c>
      <c r="J315" s="5">
        <f>H315-I315</f>
        <v/>
      </c>
      <c r="K315" s="3">
        <f>IF(J315&lt;=0.005,"PAID",IF(I315&gt;0,"PARTIAL","OVERDUE"))</f>
        <v/>
      </c>
      <c r="L315" s="4">
        <f>IF(COUNTIFS(Raw_Payments!B:B,A315)=0,"",SUMPRODUCT(MAX((Raw_Payments!B$2:B$1079=A315)*Raw_Payments!D$2:D$1079)))</f>
        <v/>
      </c>
      <c r="M315" s="3">
        <f>IF(K315="PAID",MAX(0,L315-G315),Guide!$B$3-G315)</f>
        <v/>
      </c>
      <c r="N315" s="3">
        <f>IF(J315&lt;=0.005,"COLLECTED",IF(M315&lt;=30,"1-30",IF(M315&lt;=60,"31-60",IF(M315&lt;=90,"61-90","90+"))))</f>
        <v/>
      </c>
      <c r="O315" s="3">
        <f>IF(N315="90+","LOST",IF(N315="61-90","ESCALATE",IF(N315="31-60","WATCH",IF(N315="1-30","MILD","OK"))))</f>
        <v/>
      </c>
      <c r="P315" s="3">
        <f>IF(J315&gt;0.005,ROW()-1,"")</f>
        <v/>
      </c>
    </row>
    <row r="316">
      <c r="A316" s="3" t="inlineStr">
        <is>
          <t>D0315</t>
        </is>
      </c>
      <c r="B316" s="3">
        <f>INDEX(Raw_Schedule!B:B,MATCH(A316,Raw_Schedule!A:A,0))</f>
        <v/>
      </c>
      <c r="C316" s="3">
        <f>INDEX(Raw_Schedule!C:C,MATCH(A316,Raw_Schedule!A:A,0))</f>
        <v/>
      </c>
      <c r="D316" s="3">
        <f>INDEX(Raw_Schedule!D:D,MATCH(A316,Raw_Schedule!A:A,0))</f>
        <v/>
      </c>
      <c r="E316" s="3">
        <f>INDEX(Raw_Schedule!E:E,MATCH(A316,Raw_Schedule!A:A,0))</f>
        <v/>
      </c>
      <c r="F316" s="3">
        <f>INDEX(Raw_Schedule!F:F,MATCH(A316,Raw_Schedule!A:A,0))</f>
        <v/>
      </c>
      <c r="G316" s="4">
        <f>INDEX(Raw_Schedule!G:G,MATCH(A316,Raw_Schedule!A:A,0))</f>
        <v/>
      </c>
      <c r="H316" s="5">
        <f>INDEX(Raw_Schedule!H:H,MATCH(A316,Raw_Schedule!A:A,0))</f>
        <v/>
      </c>
      <c r="I316" s="5">
        <f>SUMIFS(Raw_Payments!E:E,Raw_Payments!B:B,A316)</f>
        <v/>
      </c>
      <c r="J316" s="5">
        <f>H316-I316</f>
        <v/>
      </c>
      <c r="K316" s="3">
        <f>IF(J316&lt;=0.005,"PAID",IF(I316&gt;0,"PARTIAL","OVERDUE"))</f>
        <v/>
      </c>
      <c r="L316" s="4">
        <f>IF(COUNTIFS(Raw_Payments!B:B,A316)=0,"",SUMPRODUCT(MAX((Raw_Payments!B$2:B$1079=A316)*Raw_Payments!D$2:D$1079)))</f>
        <v/>
      </c>
      <c r="M316" s="3">
        <f>IF(K316="PAID",MAX(0,L316-G316),Guide!$B$3-G316)</f>
        <v/>
      </c>
      <c r="N316" s="3">
        <f>IF(J316&lt;=0.005,"COLLECTED",IF(M316&lt;=30,"1-30",IF(M316&lt;=60,"31-60",IF(M316&lt;=90,"61-90","90+"))))</f>
        <v/>
      </c>
      <c r="O316" s="3">
        <f>IF(N316="90+","LOST",IF(N316="61-90","ESCALATE",IF(N316="31-60","WATCH",IF(N316="1-30","MILD","OK"))))</f>
        <v/>
      </c>
      <c r="P316" s="3">
        <f>IF(J316&gt;0.005,ROW()-1,"")</f>
        <v/>
      </c>
    </row>
    <row r="317">
      <c r="A317" s="3" t="inlineStr">
        <is>
          <t>D0316</t>
        </is>
      </c>
      <c r="B317" s="3">
        <f>INDEX(Raw_Schedule!B:B,MATCH(A317,Raw_Schedule!A:A,0))</f>
        <v/>
      </c>
      <c r="C317" s="3">
        <f>INDEX(Raw_Schedule!C:C,MATCH(A317,Raw_Schedule!A:A,0))</f>
        <v/>
      </c>
      <c r="D317" s="3">
        <f>INDEX(Raw_Schedule!D:D,MATCH(A317,Raw_Schedule!A:A,0))</f>
        <v/>
      </c>
      <c r="E317" s="3">
        <f>INDEX(Raw_Schedule!E:E,MATCH(A317,Raw_Schedule!A:A,0))</f>
        <v/>
      </c>
      <c r="F317" s="3">
        <f>INDEX(Raw_Schedule!F:F,MATCH(A317,Raw_Schedule!A:A,0))</f>
        <v/>
      </c>
      <c r="G317" s="4">
        <f>INDEX(Raw_Schedule!G:G,MATCH(A317,Raw_Schedule!A:A,0))</f>
        <v/>
      </c>
      <c r="H317" s="5">
        <f>INDEX(Raw_Schedule!H:H,MATCH(A317,Raw_Schedule!A:A,0))</f>
        <v/>
      </c>
      <c r="I317" s="5">
        <f>SUMIFS(Raw_Payments!E:E,Raw_Payments!B:B,A317)</f>
        <v/>
      </c>
      <c r="J317" s="5">
        <f>H317-I317</f>
        <v/>
      </c>
      <c r="K317" s="3">
        <f>IF(J317&lt;=0.005,"PAID",IF(I317&gt;0,"PARTIAL","OVERDUE"))</f>
        <v/>
      </c>
      <c r="L317" s="4">
        <f>IF(COUNTIFS(Raw_Payments!B:B,A317)=0,"",SUMPRODUCT(MAX((Raw_Payments!B$2:B$1079=A317)*Raw_Payments!D$2:D$1079)))</f>
        <v/>
      </c>
      <c r="M317" s="3">
        <f>IF(K317="PAID",MAX(0,L317-G317),Guide!$B$3-G317)</f>
        <v/>
      </c>
      <c r="N317" s="3">
        <f>IF(J317&lt;=0.005,"COLLECTED",IF(M317&lt;=30,"1-30",IF(M317&lt;=60,"31-60",IF(M317&lt;=90,"61-90","90+"))))</f>
        <v/>
      </c>
      <c r="O317" s="3">
        <f>IF(N317="90+","LOST",IF(N317="61-90","ESCALATE",IF(N317="31-60","WATCH",IF(N317="1-30","MILD","OK"))))</f>
        <v/>
      </c>
      <c r="P317" s="3">
        <f>IF(J317&gt;0.005,ROW()-1,"")</f>
        <v/>
      </c>
    </row>
    <row r="318">
      <c r="A318" s="3" t="inlineStr">
        <is>
          <t>D0317</t>
        </is>
      </c>
      <c r="B318" s="3">
        <f>INDEX(Raw_Schedule!B:B,MATCH(A318,Raw_Schedule!A:A,0))</f>
        <v/>
      </c>
      <c r="C318" s="3">
        <f>INDEX(Raw_Schedule!C:C,MATCH(A318,Raw_Schedule!A:A,0))</f>
        <v/>
      </c>
      <c r="D318" s="3">
        <f>INDEX(Raw_Schedule!D:D,MATCH(A318,Raw_Schedule!A:A,0))</f>
        <v/>
      </c>
      <c r="E318" s="3">
        <f>INDEX(Raw_Schedule!E:E,MATCH(A318,Raw_Schedule!A:A,0))</f>
        <v/>
      </c>
      <c r="F318" s="3">
        <f>INDEX(Raw_Schedule!F:F,MATCH(A318,Raw_Schedule!A:A,0))</f>
        <v/>
      </c>
      <c r="G318" s="4">
        <f>INDEX(Raw_Schedule!G:G,MATCH(A318,Raw_Schedule!A:A,0))</f>
        <v/>
      </c>
      <c r="H318" s="5">
        <f>INDEX(Raw_Schedule!H:H,MATCH(A318,Raw_Schedule!A:A,0))</f>
        <v/>
      </c>
      <c r="I318" s="5">
        <f>SUMIFS(Raw_Payments!E:E,Raw_Payments!B:B,A318)</f>
        <v/>
      </c>
      <c r="J318" s="5">
        <f>H318-I318</f>
        <v/>
      </c>
      <c r="K318" s="3">
        <f>IF(J318&lt;=0.005,"PAID",IF(I318&gt;0,"PARTIAL","OVERDUE"))</f>
        <v/>
      </c>
      <c r="L318" s="4">
        <f>IF(COUNTIFS(Raw_Payments!B:B,A318)=0,"",SUMPRODUCT(MAX((Raw_Payments!B$2:B$1079=A318)*Raw_Payments!D$2:D$1079)))</f>
        <v/>
      </c>
      <c r="M318" s="3">
        <f>IF(K318="PAID",MAX(0,L318-G318),Guide!$B$3-G318)</f>
        <v/>
      </c>
      <c r="N318" s="3">
        <f>IF(J318&lt;=0.005,"COLLECTED",IF(M318&lt;=30,"1-30",IF(M318&lt;=60,"31-60",IF(M318&lt;=90,"61-90","90+"))))</f>
        <v/>
      </c>
      <c r="O318" s="3">
        <f>IF(N318="90+","LOST",IF(N318="61-90","ESCALATE",IF(N318="31-60","WATCH",IF(N318="1-30","MILD","OK"))))</f>
        <v/>
      </c>
      <c r="P318" s="3">
        <f>IF(J318&gt;0.005,ROW()-1,"")</f>
        <v/>
      </c>
    </row>
    <row r="319">
      <c r="A319" s="3" t="inlineStr">
        <is>
          <t>D0318</t>
        </is>
      </c>
      <c r="B319" s="3">
        <f>INDEX(Raw_Schedule!B:B,MATCH(A319,Raw_Schedule!A:A,0))</f>
        <v/>
      </c>
      <c r="C319" s="3">
        <f>INDEX(Raw_Schedule!C:C,MATCH(A319,Raw_Schedule!A:A,0))</f>
        <v/>
      </c>
      <c r="D319" s="3">
        <f>INDEX(Raw_Schedule!D:D,MATCH(A319,Raw_Schedule!A:A,0))</f>
        <v/>
      </c>
      <c r="E319" s="3">
        <f>INDEX(Raw_Schedule!E:E,MATCH(A319,Raw_Schedule!A:A,0))</f>
        <v/>
      </c>
      <c r="F319" s="3">
        <f>INDEX(Raw_Schedule!F:F,MATCH(A319,Raw_Schedule!A:A,0))</f>
        <v/>
      </c>
      <c r="G319" s="4">
        <f>INDEX(Raw_Schedule!G:G,MATCH(A319,Raw_Schedule!A:A,0))</f>
        <v/>
      </c>
      <c r="H319" s="5">
        <f>INDEX(Raw_Schedule!H:H,MATCH(A319,Raw_Schedule!A:A,0))</f>
        <v/>
      </c>
      <c r="I319" s="5">
        <f>SUMIFS(Raw_Payments!E:E,Raw_Payments!B:B,A319)</f>
        <v/>
      </c>
      <c r="J319" s="5">
        <f>H319-I319</f>
        <v/>
      </c>
      <c r="K319" s="3">
        <f>IF(J319&lt;=0.005,"PAID",IF(I319&gt;0,"PARTIAL","OVERDUE"))</f>
        <v/>
      </c>
      <c r="L319" s="4">
        <f>IF(COUNTIFS(Raw_Payments!B:B,A319)=0,"",SUMPRODUCT(MAX((Raw_Payments!B$2:B$1079=A319)*Raw_Payments!D$2:D$1079)))</f>
        <v/>
      </c>
      <c r="M319" s="3">
        <f>IF(K319="PAID",MAX(0,L319-G319),Guide!$B$3-G319)</f>
        <v/>
      </c>
      <c r="N319" s="3">
        <f>IF(J319&lt;=0.005,"COLLECTED",IF(M319&lt;=30,"1-30",IF(M319&lt;=60,"31-60",IF(M319&lt;=90,"61-90","90+"))))</f>
        <v/>
      </c>
      <c r="O319" s="3">
        <f>IF(N319="90+","LOST",IF(N319="61-90","ESCALATE",IF(N319="31-60","WATCH",IF(N319="1-30","MILD","OK"))))</f>
        <v/>
      </c>
      <c r="P319" s="3">
        <f>IF(J319&gt;0.005,ROW()-1,"")</f>
        <v/>
      </c>
    </row>
    <row r="320">
      <c r="A320" s="3" t="inlineStr">
        <is>
          <t>D0319</t>
        </is>
      </c>
      <c r="B320" s="3">
        <f>INDEX(Raw_Schedule!B:B,MATCH(A320,Raw_Schedule!A:A,0))</f>
        <v/>
      </c>
      <c r="C320" s="3">
        <f>INDEX(Raw_Schedule!C:C,MATCH(A320,Raw_Schedule!A:A,0))</f>
        <v/>
      </c>
      <c r="D320" s="3">
        <f>INDEX(Raw_Schedule!D:D,MATCH(A320,Raw_Schedule!A:A,0))</f>
        <v/>
      </c>
      <c r="E320" s="3">
        <f>INDEX(Raw_Schedule!E:E,MATCH(A320,Raw_Schedule!A:A,0))</f>
        <v/>
      </c>
      <c r="F320" s="3">
        <f>INDEX(Raw_Schedule!F:F,MATCH(A320,Raw_Schedule!A:A,0))</f>
        <v/>
      </c>
      <c r="G320" s="4">
        <f>INDEX(Raw_Schedule!G:G,MATCH(A320,Raw_Schedule!A:A,0))</f>
        <v/>
      </c>
      <c r="H320" s="5">
        <f>INDEX(Raw_Schedule!H:H,MATCH(A320,Raw_Schedule!A:A,0))</f>
        <v/>
      </c>
      <c r="I320" s="5">
        <f>SUMIFS(Raw_Payments!E:E,Raw_Payments!B:B,A320)</f>
        <v/>
      </c>
      <c r="J320" s="5">
        <f>H320-I320</f>
        <v/>
      </c>
      <c r="K320" s="3">
        <f>IF(J320&lt;=0.005,"PAID",IF(I320&gt;0,"PARTIAL","OVERDUE"))</f>
        <v/>
      </c>
      <c r="L320" s="4">
        <f>IF(COUNTIFS(Raw_Payments!B:B,A320)=0,"",SUMPRODUCT(MAX((Raw_Payments!B$2:B$1079=A320)*Raw_Payments!D$2:D$1079)))</f>
        <v/>
      </c>
      <c r="M320" s="3">
        <f>IF(K320="PAID",MAX(0,L320-G320),Guide!$B$3-G320)</f>
        <v/>
      </c>
      <c r="N320" s="3">
        <f>IF(J320&lt;=0.005,"COLLECTED",IF(M320&lt;=30,"1-30",IF(M320&lt;=60,"31-60",IF(M320&lt;=90,"61-90","90+"))))</f>
        <v/>
      </c>
      <c r="O320" s="3">
        <f>IF(N320="90+","LOST",IF(N320="61-90","ESCALATE",IF(N320="31-60","WATCH",IF(N320="1-30","MILD","OK"))))</f>
        <v/>
      </c>
      <c r="P320" s="3">
        <f>IF(J320&gt;0.005,ROW()-1,"")</f>
        <v/>
      </c>
    </row>
    <row r="321">
      <c r="A321" s="3" t="inlineStr">
        <is>
          <t>D0320</t>
        </is>
      </c>
      <c r="B321" s="3">
        <f>INDEX(Raw_Schedule!B:B,MATCH(A321,Raw_Schedule!A:A,0))</f>
        <v/>
      </c>
      <c r="C321" s="3">
        <f>INDEX(Raw_Schedule!C:C,MATCH(A321,Raw_Schedule!A:A,0))</f>
        <v/>
      </c>
      <c r="D321" s="3">
        <f>INDEX(Raw_Schedule!D:D,MATCH(A321,Raw_Schedule!A:A,0))</f>
        <v/>
      </c>
      <c r="E321" s="3">
        <f>INDEX(Raw_Schedule!E:E,MATCH(A321,Raw_Schedule!A:A,0))</f>
        <v/>
      </c>
      <c r="F321" s="3">
        <f>INDEX(Raw_Schedule!F:F,MATCH(A321,Raw_Schedule!A:A,0))</f>
        <v/>
      </c>
      <c r="G321" s="4">
        <f>INDEX(Raw_Schedule!G:G,MATCH(A321,Raw_Schedule!A:A,0))</f>
        <v/>
      </c>
      <c r="H321" s="5">
        <f>INDEX(Raw_Schedule!H:H,MATCH(A321,Raw_Schedule!A:A,0))</f>
        <v/>
      </c>
      <c r="I321" s="5">
        <f>SUMIFS(Raw_Payments!E:E,Raw_Payments!B:B,A321)</f>
        <v/>
      </c>
      <c r="J321" s="5">
        <f>H321-I321</f>
        <v/>
      </c>
      <c r="K321" s="3">
        <f>IF(J321&lt;=0.005,"PAID",IF(I321&gt;0,"PARTIAL","OVERDUE"))</f>
        <v/>
      </c>
      <c r="L321" s="4">
        <f>IF(COUNTIFS(Raw_Payments!B:B,A321)=0,"",SUMPRODUCT(MAX((Raw_Payments!B$2:B$1079=A321)*Raw_Payments!D$2:D$1079)))</f>
        <v/>
      </c>
      <c r="M321" s="3">
        <f>IF(K321="PAID",MAX(0,L321-G321),Guide!$B$3-G321)</f>
        <v/>
      </c>
      <c r="N321" s="3">
        <f>IF(J321&lt;=0.005,"COLLECTED",IF(M321&lt;=30,"1-30",IF(M321&lt;=60,"31-60",IF(M321&lt;=90,"61-90","90+"))))</f>
        <v/>
      </c>
      <c r="O321" s="3">
        <f>IF(N321="90+","LOST",IF(N321="61-90","ESCALATE",IF(N321="31-60","WATCH",IF(N321="1-30","MILD","OK"))))</f>
        <v/>
      </c>
      <c r="P321" s="3">
        <f>IF(J321&gt;0.005,ROW()-1,"")</f>
        <v/>
      </c>
    </row>
    <row r="322">
      <c r="A322" s="3" t="inlineStr">
        <is>
          <t>D0321</t>
        </is>
      </c>
      <c r="B322" s="3">
        <f>INDEX(Raw_Schedule!B:B,MATCH(A322,Raw_Schedule!A:A,0))</f>
        <v/>
      </c>
      <c r="C322" s="3">
        <f>INDEX(Raw_Schedule!C:C,MATCH(A322,Raw_Schedule!A:A,0))</f>
        <v/>
      </c>
      <c r="D322" s="3">
        <f>INDEX(Raw_Schedule!D:D,MATCH(A322,Raw_Schedule!A:A,0))</f>
        <v/>
      </c>
      <c r="E322" s="3">
        <f>INDEX(Raw_Schedule!E:E,MATCH(A322,Raw_Schedule!A:A,0))</f>
        <v/>
      </c>
      <c r="F322" s="3">
        <f>INDEX(Raw_Schedule!F:F,MATCH(A322,Raw_Schedule!A:A,0))</f>
        <v/>
      </c>
      <c r="G322" s="4">
        <f>INDEX(Raw_Schedule!G:G,MATCH(A322,Raw_Schedule!A:A,0))</f>
        <v/>
      </c>
      <c r="H322" s="5">
        <f>INDEX(Raw_Schedule!H:H,MATCH(A322,Raw_Schedule!A:A,0))</f>
        <v/>
      </c>
      <c r="I322" s="5">
        <f>SUMIFS(Raw_Payments!E:E,Raw_Payments!B:B,A322)</f>
        <v/>
      </c>
      <c r="J322" s="5">
        <f>H322-I322</f>
        <v/>
      </c>
      <c r="K322" s="3">
        <f>IF(J322&lt;=0.005,"PAID",IF(I322&gt;0,"PARTIAL","OVERDUE"))</f>
        <v/>
      </c>
      <c r="L322" s="4">
        <f>IF(COUNTIFS(Raw_Payments!B:B,A322)=0,"",SUMPRODUCT(MAX((Raw_Payments!B$2:B$1079=A322)*Raw_Payments!D$2:D$1079)))</f>
        <v/>
      </c>
      <c r="M322" s="3">
        <f>IF(K322="PAID",MAX(0,L322-G322),Guide!$B$3-G322)</f>
        <v/>
      </c>
      <c r="N322" s="3">
        <f>IF(J322&lt;=0.005,"COLLECTED",IF(M322&lt;=30,"1-30",IF(M322&lt;=60,"31-60",IF(M322&lt;=90,"61-90","90+"))))</f>
        <v/>
      </c>
      <c r="O322" s="3">
        <f>IF(N322="90+","LOST",IF(N322="61-90","ESCALATE",IF(N322="31-60","WATCH",IF(N322="1-30","MILD","OK"))))</f>
        <v/>
      </c>
      <c r="P322" s="3">
        <f>IF(J322&gt;0.005,ROW()-1,"")</f>
        <v/>
      </c>
    </row>
    <row r="323">
      <c r="A323" s="3" t="inlineStr">
        <is>
          <t>D0322</t>
        </is>
      </c>
      <c r="B323" s="3">
        <f>INDEX(Raw_Schedule!B:B,MATCH(A323,Raw_Schedule!A:A,0))</f>
        <v/>
      </c>
      <c r="C323" s="3">
        <f>INDEX(Raw_Schedule!C:C,MATCH(A323,Raw_Schedule!A:A,0))</f>
        <v/>
      </c>
      <c r="D323" s="3">
        <f>INDEX(Raw_Schedule!D:D,MATCH(A323,Raw_Schedule!A:A,0))</f>
        <v/>
      </c>
      <c r="E323" s="3">
        <f>INDEX(Raw_Schedule!E:E,MATCH(A323,Raw_Schedule!A:A,0))</f>
        <v/>
      </c>
      <c r="F323" s="3">
        <f>INDEX(Raw_Schedule!F:F,MATCH(A323,Raw_Schedule!A:A,0))</f>
        <v/>
      </c>
      <c r="G323" s="4">
        <f>INDEX(Raw_Schedule!G:G,MATCH(A323,Raw_Schedule!A:A,0))</f>
        <v/>
      </c>
      <c r="H323" s="5">
        <f>INDEX(Raw_Schedule!H:H,MATCH(A323,Raw_Schedule!A:A,0))</f>
        <v/>
      </c>
      <c r="I323" s="5">
        <f>SUMIFS(Raw_Payments!E:E,Raw_Payments!B:B,A323)</f>
        <v/>
      </c>
      <c r="J323" s="5">
        <f>H323-I323</f>
        <v/>
      </c>
      <c r="K323" s="3">
        <f>IF(J323&lt;=0.005,"PAID",IF(I323&gt;0,"PARTIAL","OVERDUE"))</f>
        <v/>
      </c>
      <c r="L323" s="4">
        <f>IF(COUNTIFS(Raw_Payments!B:B,A323)=0,"",SUMPRODUCT(MAX((Raw_Payments!B$2:B$1079=A323)*Raw_Payments!D$2:D$1079)))</f>
        <v/>
      </c>
      <c r="M323" s="3">
        <f>IF(K323="PAID",MAX(0,L323-G323),Guide!$B$3-G323)</f>
        <v/>
      </c>
      <c r="N323" s="3">
        <f>IF(J323&lt;=0.005,"COLLECTED",IF(M323&lt;=30,"1-30",IF(M323&lt;=60,"31-60",IF(M323&lt;=90,"61-90","90+"))))</f>
        <v/>
      </c>
      <c r="O323" s="3">
        <f>IF(N323="90+","LOST",IF(N323="61-90","ESCALATE",IF(N323="31-60","WATCH",IF(N323="1-30","MILD","OK"))))</f>
        <v/>
      </c>
      <c r="P323" s="3">
        <f>IF(J323&gt;0.005,ROW()-1,"")</f>
        <v/>
      </c>
    </row>
    <row r="324">
      <c r="A324" s="3" t="inlineStr">
        <is>
          <t>D0323</t>
        </is>
      </c>
      <c r="B324" s="3">
        <f>INDEX(Raw_Schedule!B:B,MATCH(A324,Raw_Schedule!A:A,0))</f>
        <v/>
      </c>
      <c r="C324" s="3">
        <f>INDEX(Raw_Schedule!C:C,MATCH(A324,Raw_Schedule!A:A,0))</f>
        <v/>
      </c>
      <c r="D324" s="3">
        <f>INDEX(Raw_Schedule!D:D,MATCH(A324,Raw_Schedule!A:A,0))</f>
        <v/>
      </c>
      <c r="E324" s="3">
        <f>INDEX(Raw_Schedule!E:E,MATCH(A324,Raw_Schedule!A:A,0))</f>
        <v/>
      </c>
      <c r="F324" s="3">
        <f>INDEX(Raw_Schedule!F:F,MATCH(A324,Raw_Schedule!A:A,0))</f>
        <v/>
      </c>
      <c r="G324" s="4">
        <f>INDEX(Raw_Schedule!G:G,MATCH(A324,Raw_Schedule!A:A,0))</f>
        <v/>
      </c>
      <c r="H324" s="5">
        <f>INDEX(Raw_Schedule!H:H,MATCH(A324,Raw_Schedule!A:A,0))</f>
        <v/>
      </c>
      <c r="I324" s="5">
        <f>SUMIFS(Raw_Payments!E:E,Raw_Payments!B:B,A324)</f>
        <v/>
      </c>
      <c r="J324" s="5">
        <f>H324-I324</f>
        <v/>
      </c>
      <c r="K324" s="3">
        <f>IF(J324&lt;=0.005,"PAID",IF(I324&gt;0,"PARTIAL","OVERDUE"))</f>
        <v/>
      </c>
      <c r="L324" s="4">
        <f>IF(COUNTIFS(Raw_Payments!B:B,A324)=0,"",SUMPRODUCT(MAX((Raw_Payments!B$2:B$1079=A324)*Raw_Payments!D$2:D$1079)))</f>
        <v/>
      </c>
      <c r="M324" s="3">
        <f>IF(K324="PAID",MAX(0,L324-G324),Guide!$B$3-G324)</f>
        <v/>
      </c>
      <c r="N324" s="3">
        <f>IF(J324&lt;=0.005,"COLLECTED",IF(M324&lt;=30,"1-30",IF(M324&lt;=60,"31-60",IF(M324&lt;=90,"61-90","90+"))))</f>
        <v/>
      </c>
      <c r="O324" s="3">
        <f>IF(N324="90+","LOST",IF(N324="61-90","ESCALATE",IF(N324="31-60","WATCH",IF(N324="1-30","MILD","OK"))))</f>
        <v/>
      </c>
      <c r="P324" s="3">
        <f>IF(J324&gt;0.005,ROW()-1,"")</f>
        <v/>
      </c>
    </row>
    <row r="325">
      <c r="A325" s="3" t="inlineStr">
        <is>
          <t>D0324</t>
        </is>
      </c>
      <c r="B325" s="3">
        <f>INDEX(Raw_Schedule!B:B,MATCH(A325,Raw_Schedule!A:A,0))</f>
        <v/>
      </c>
      <c r="C325" s="3">
        <f>INDEX(Raw_Schedule!C:C,MATCH(A325,Raw_Schedule!A:A,0))</f>
        <v/>
      </c>
      <c r="D325" s="3">
        <f>INDEX(Raw_Schedule!D:D,MATCH(A325,Raw_Schedule!A:A,0))</f>
        <v/>
      </c>
      <c r="E325" s="3">
        <f>INDEX(Raw_Schedule!E:E,MATCH(A325,Raw_Schedule!A:A,0))</f>
        <v/>
      </c>
      <c r="F325" s="3">
        <f>INDEX(Raw_Schedule!F:F,MATCH(A325,Raw_Schedule!A:A,0))</f>
        <v/>
      </c>
      <c r="G325" s="4">
        <f>INDEX(Raw_Schedule!G:G,MATCH(A325,Raw_Schedule!A:A,0))</f>
        <v/>
      </c>
      <c r="H325" s="5">
        <f>INDEX(Raw_Schedule!H:H,MATCH(A325,Raw_Schedule!A:A,0))</f>
        <v/>
      </c>
      <c r="I325" s="5">
        <f>SUMIFS(Raw_Payments!E:E,Raw_Payments!B:B,A325)</f>
        <v/>
      </c>
      <c r="J325" s="5">
        <f>H325-I325</f>
        <v/>
      </c>
      <c r="K325" s="3">
        <f>IF(J325&lt;=0.005,"PAID",IF(I325&gt;0,"PARTIAL","OVERDUE"))</f>
        <v/>
      </c>
      <c r="L325" s="4">
        <f>IF(COUNTIFS(Raw_Payments!B:B,A325)=0,"",SUMPRODUCT(MAX((Raw_Payments!B$2:B$1079=A325)*Raw_Payments!D$2:D$1079)))</f>
        <v/>
      </c>
      <c r="M325" s="3">
        <f>IF(K325="PAID",MAX(0,L325-G325),Guide!$B$3-G325)</f>
        <v/>
      </c>
      <c r="N325" s="3">
        <f>IF(J325&lt;=0.005,"COLLECTED",IF(M325&lt;=30,"1-30",IF(M325&lt;=60,"31-60",IF(M325&lt;=90,"61-90","90+"))))</f>
        <v/>
      </c>
      <c r="O325" s="3">
        <f>IF(N325="90+","LOST",IF(N325="61-90","ESCALATE",IF(N325="31-60","WATCH",IF(N325="1-30","MILD","OK"))))</f>
        <v/>
      </c>
      <c r="P325" s="3">
        <f>IF(J325&gt;0.005,ROW()-1,"")</f>
        <v/>
      </c>
    </row>
    <row r="326">
      <c r="A326" s="3" t="inlineStr">
        <is>
          <t>D0325</t>
        </is>
      </c>
      <c r="B326" s="3">
        <f>INDEX(Raw_Schedule!B:B,MATCH(A326,Raw_Schedule!A:A,0))</f>
        <v/>
      </c>
      <c r="C326" s="3">
        <f>INDEX(Raw_Schedule!C:C,MATCH(A326,Raw_Schedule!A:A,0))</f>
        <v/>
      </c>
      <c r="D326" s="3">
        <f>INDEX(Raw_Schedule!D:D,MATCH(A326,Raw_Schedule!A:A,0))</f>
        <v/>
      </c>
      <c r="E326" s="3">
        <f>INDEX(Raw_Schedule!E:E,MATCH(A326,Raw_Schedule!A:A,0))</f>
        <v/>
      </c>
      <c r="F326" s="3">
        <f>INDEX(Raw_Schedule!F:F,MATCH(A326,Raw_Schedule!A:A,0))</f>
        <v/>
      </c>
      <c r="G326" s="4">
        <f>INDEX(Raw_Schedule!G:G,MATCH(A326,Raw_Schedule!A:A,0))</f>
        <v/>
      </c>
      <c r="H326" s="5">
        <f>INDEX(Raw_Schedule!H:H,MATCH(A326,Raw_Schedule!A:A,0))</f>
        <v/>
      </c>
      <c r="I326" s="5">
        <f>SUMIFS(Raw_Payments!E:E,Raw_Payments!B:B,A326)</f>
        <v/>
      </c>
      <c r="J326" s="5">
        <f>H326-I326</f>
        <v/>
      </c>
      <c r="K326" s="3">
        <f>IF(J326&lt;=0.005,"PAID",IF(I326&gt;0,"PARTIAL","OVERDUE"))</f>
        <v/>
      </c>
      <c r="L326" s="4">
        <f>IF(COUNTIFS(Raw_Payments!B:B,A326)=0,"",SUMPRODUCT(MAX((Raw_Payments!B$2:B$1079=A326)*Raw_Payments!D$2:D$1079)))</f>
        <v/>
      </c>
      <c r="M326" s="3">
        <f>IF(K326="PAID",MAX(0,L326-G326),Guide!$B$3-G326)</f>
        <v/>
      </c>
      <c r="N326" s="3">
        <f>IF(J326&lt;=0.005,"COLLECTED",IF(M326&lt;=30,"1-30",IF(M326&lt;=60,"31-60",IF(M326&lt;=90,"61-90","90+"))))</f>
        <v/>
      </c>
      <c r="O326" s="3">
        <f>IF(N326="90+","LOST",IF(N326="61-90","ESCALATE",IF(N326="31-60","WATCH",IF(N326="1-30","MILD","OK"))))</f>
        <v/>
      </c>
      <c r="P326" s="3">
        <f>IF(J326&gt;0.005,ROW()-1,"")</f>
        <v/>
      </c>
    </row>
    <row r="327">
      <c r="A327" s="3" t="inlineStr">
        <is>
          <t>D0326</t>
        </is>
      </c>
      <c r="B327" s="3">
        <f>INDEX(Raw_Schedule!B:B,MATCH(A327,Raw_Schedule!A:A,0))</f>
        <v/>
      </c>
      <c r="C327" s="3">
        <f>INDEX(Raw_Schedule!C:C,MATCH(A327,Raw_Schedule!A:A,0))</f>
        <v/>
      </c>
      <c r="D327" s="3">
        <f>INDEX(Raw_Schedule!D:D,MATCH(A327,Raw_Schedule!A:A,0))</f>
        <v/>
      </c>
      <c r="E327" s="3">
        <f>INDEX(Raw_Schedule!E:E,MATCH(A327,Raw_Schedule!A:A,0))</f>
        <v/>
      </c>
      <c r="F327" s="3">
        <f>INDEX(Raw_Schedule!F:F,MATCH(A327,Raw_Schedule!A:A,0))</f>
        <v/>
      </c>
      <c r="G327" s="4">
        <f>INDEX(Raw_Schedule!G:G,MATCH(A327,Raw_Schedule!A:A,0))</f>
        <v/>
      </c>
      <c r="H327" s="5">
        <f>INDEX(Raw_Schedule!H:H,MATCH(A327,Raw_Schedule!A:A,0))</f>
        <v/>
      </c>
      <c r="I327" s="5">
        <f>SUMIFS(Raw_Payments!E:E,Raw_Payments!B:B,A327)</f>
        <v/>
      </c>
      <c r="J327" s="5">
        <f>H327-I327</f>
        <v/>
      </c>
      <c r="K327" s="3">
        <f>IF(J327&lt;=0.005,"PAID",IF(I327&gt;0,"PARTIAL","OVERDUE"))</f>
        <v/>
      </c>
      <c r="L327" s="4">
        <f>IF(COUNTIFS(Raw_Payments!B:B,A327)=0,"",SUMPRODUCT(MAX((Raw_Payments!B$2:B$1079=A327)*Raw_Payments!D$2:D$1079)))</f>
        <v/>
      </c>
      <c r="M327" s="3">
        <f>IF(K327="PAID",MAX(0,L327-G327),Guide!$B$3-G327)</f>
        <v/>
      </c>
      <c r="N327" s="3">
        <f>IF(J327&lt;=0.005,"COLLECTED",IF(M327&lt;=30,"1-30",IF(M327&lt;=60,"31-60",IF(M327&lt;=90,"61-90","90+"))))</f>
        <v/>
      </c>
      <c r="O327" s="3">
        <f>IF(N327="90+","LOST",IF(N327="61-90","ESCALATE",IF(N327="31-60","WATCH",IF(N327="1-30","MILD","OK"))))</f>
        <v/>
      </c>
      <c r="P327" s="3">
        <f>IF(J327&gt;0.005,ROW()-1,"")</f>
        <v/>
      </c>
    </row>
    <row r="328">
      <c r="A328" s="3" t="inlineStr">
        <is>
          <t>D0327</t>
        </is>
      </c>
      <c r="B328" s="3">
        <f>INDEX(Raw_Schedule!B:B,MATCH(A328,Raw_Schedule!A:A,0))</f>
        <v/>
      </c>
      <c r="C328" s="3">
        <f>INDEX(Raw_Schedule!C:C,MATCH(A328,Raw_Schedule!A:A,0))</f>
        <v/>
      </c>
      <c r="D328" s="3">
        <f>INDEX(Raw_Schedule!D:D,MATCH(A328,Raw_Schedule!A:A,0))</f>
        <v/>
      </c>
      <c r="E328" s="3">
        <f>INDEX(Raw_Schedule!E:E,MATCH(A328,Raw_Schedule!A:A,0))</f>
        <v/>
      </c>
      <c r="F328" s="3">
        <f>INDEX(Raw_Schedule!F:F,MATCH(A328,Raw_Schedule!A:A,0))</f>
        <v/>
      </c>
      <c r="G328" s="4">
        <f>INDEX(Raw_Schedule!G:G,MATCH(A328,Raw_Schedule!A:A,0))</f>
        <v/>
      </c>
      <c r="H328" s="5">
        <f>INDEX(Raw_Schedule!H:H,MATCH(A328,Raw_Schedule!A:A,0))</f>
        <v/>
      </c>
      <c r="I328" s="5">
        <f>SUMIFS(Raw_Payments!E:E,Raw_Payments!B:B,A328)</f>
        <v/>
      </c>
      <c r="J328" s="5">
        <f>H328-I328</f>
        <v/>
      </c>
      <c r="K328" s="3">
        <f>IF(J328&lt;=0.005,"PAID",IF(I328&gt;0,"PARTIAL","OVERDUE"))</f>
        <v/>
      </c>
      <c r="L328" s="4">
        <f>IF(COUNTIFS(Raw_Payments!B:B,A328)=0,"",SUMPRODUCT(MAX((Raw_Payments!B$2:B$1079=A328)*Raw_Payments!D$2:D$1079)))</f>
        <v/>
      </c>
      <c r="M328" s="3">
        <f>IF(K328="PAID",MAX(0,L328-G328),Guide!$B$3-G328)</f>
        <v/>
      </c>
      <c r="N328" s="3">
        <f>IF(J328&lt;=0.005,"COLLECTED",IF(M328&lt;=30,"1-30",IF(M328&lt;=60,"31-60",IF(M328&lt;=90,"61-90","90+"))))</f>
        <v/>
      </c>
      <c r="O328" s="3">
        <f>IF(N328="90+","LOST",IF(N328="61-90","ESCALATE",IF(N328="31-60","WATCH",IF(N328="1-30","MILD","OK"))))</f>
        <v/>
      </c>
      <c r="P328" s="3">
        <f>IF(J328&gt;0.005,ROW()-1,"")</f>
        <v/>
      </c>
    </row>
    <row r="329">
      <c r="A329" s="3" t="inlineStr">
        <is>
          <t>D0328</t>
        </is>
      </c>
      <c r="B329" s="3">
        <f>INDEX(Raw_Schedule!B:B,MATCH(A329,Raw_Schedule!A:A,0))</f>
        <v/>
      </c>
      <c r="C329" s="3">
        <f>INDEX(Raw_Schedule!C:C,MATCH(A329,Raw_Schedule!A:A,0))</f>
        <v/>
      </c>
      <c r="D329" s="3">
        <f>INDEX(Raw_Schedule!D:D,MATCH(A329,Raw_Schedule!A:A,0))</f>
        <v/>
      </c>
      <c r="E329" s="3">
        <f>INDEX(Raw_Schedule!E:E,MATCH(A329,Raw_Schedule!A:A,0))</f>
        <v/>
      </c>
      <c r="F329" s="3">
        <f>INDEX(Raw_Schedule!F:F,MATCH(A329,Raw_Schedule!A:A,0))</f>
        <v/>
      </c>
      <c r="G329" s="4">
        <f>INDEX(Raw_Schedule!G:G,MATCH(A329,Raw_Schedule!A:A,0))</f>
        <v/>
      </c>
      <c r="H329" s="5">
        <f>INDEX(Raw_Schedule!H:H,MATCH(A329,Raw_Schedule!A:A,0))</f>
        <v/>
      </c>
      <c r="I329" s="5">
        <f>SUMIFS(Raw_Payments!E:E,Raw_Payments!B:B,A329)</f>
        <v/>
      </c>
      <c r="J329" s="5">
        <f>H329-I329</f>
        <v/>
      </c>
      <c r="K329" s="3">
        <f>IF(J329&lt;=0.005,"PAID",IF(I329&gt;0,"PARTIAL","OVERDUE"))</f>
        <v/>
      </c>
      <c r="L329" s="4">
        <f>IF(COUNTIFS(Raw_Payments!B:B,A329)=0,"",SUMPRODUCT(MAX((Raw_Payments!B$2:B$1079=A329)*Raw_Payments!D$2:D$1079)))</f>
        <v/>
      </c>
      <c r="M329" s="3">
        <f>IF(K329="PAID",MAX(0,L329-G329),Guide!$B$3-G329)</f>
        <v/>
      </c>
      <c r="N329" s="3">
        <f>IF(J329&lt;=0.005,"COLLECTED",IF(M329&lt;=30,"1-30",IF(M329&lt;=60,"31-60",IF(M329&lt;=90,"61-90","90+"))))</f>
        <v/>
      </c>
      <c r="O329" s="3">
        <f>IF(N329="90+","LOST",IF(N329="61-90","ESCALATE",IF(N329="31-60","WATCH",IF(N329="1-30","MILD","OK"))))</f>
        <v/>
      </c>
      <c r="P329" s="3">
        <f>IF(J329&gt;0.005,ROW()-1,"")</f>
        <v/>
      </c>
    </row>
    <row r="330">
      <c r="A330" s="3" t="inlineStr">
        <is>
          <t>D0329</t>
        </is>
      </c>
      <c r="B330" s="3">
        <f>INDEX(Raw_Schedule!B:B,MATCH(A330,Raw_Schedule!A:A,0))</f>
        <v/>
      </c>
      <c r="C330" s="3">
        <f>INDEX(Raw_Schedule!C:C,MATCH(A330,Raw_Schedule!A:A,0))</f>
        <v/>
      </c>
      <c r="D330" s="3">
        <f>INDEX(Raw_Schedule!D:D,MATCH(A330,Raw_Schedule!A:A,0))</f>
        <v/>
      </c>
      <c r="E330" s="3">
        <f>INDEX(Raw_Schedule!E:E,MATCH(A330,Raw_Schedule!A:A,0))</f>
        <v/>
      </c>
      <c r="F330" s="3">
        <f>INDEX(Raw_Schedule!F:F,MATCH(A330,Raw_Schedule!A:A,0))</f>
        <v/>
      </c>
      <c r="G330" s="4">
        <f>INDEX(Raw_Schedule!G:G,MATCH(A330,Raw_Schedule!A:A,0))</f>
        <v/>
      </c>
      <c r="H330" s="5">
        <f>INDEX(Raw_Schedule!H:H,MATCH(A330,Raw_Schedule!A:A,0))</f>
        <v/>
      </c>
      <c r="I330" s="5">
        <f>SUMIFS(Raw_Payments!E:E,Raw_Payments!B:B,A330)</f>
        <v/>
      </c>
      <c r="J330" s="5">
        <f>H330-I330</f>
        <v/>
      </c>
      <c r="K330" s="3">
        <f>IF(J330&lt;=0.005,"PAID",IF(I330&gt;0,"PARTIAL","OVERDUE"))</f>
        <v/>
      </c>
      <c r="L330" s="4">
        <f>IF(COUNTIFS(Raw_Payments!B:B,A330)=0,"",SUMPRODUCT(MAX((Raw_Payments!B$2:B$1079=A330)*Raw_Payments!D$2:D$1079)))</f>
        <v/>
      </c>
      <c r="M330" s="3">
        <f>IF(K330="PAID",MAX(0,L330-G330),Guide!$B$3-G330)</f>
        <v/>
      </c>
      <c r="N330" s="3">
        <f>IF(J330&lt;=0.005,"COLLECTED",IF(M330&lt;=30,"1-30",IF(M330&lt;=60,"31-60",IF(M330&lt;=90,"61-90","90+"))))</f>
        <v/>
      </c>
      <c r="O330" s="3">
        <f>IF(N330="90+","LOST",IF(N330="61-90","ESCALATE",IF(N330="31-60","WATCH",IF(N330="1-30","MILD","OK"))))</f>
        <v/>
      </c>
      <c r="P330" s="3">
        <f>IF(J330&gt;0.005,ROW()-1,"")</f>
        <v/>
      </c>
    </row>
    <row r="331">
      <c r="A331" s="3" t="inlineStr">
        <is>
          <t>D0330</t>
        </is>
      </c>
      <c r="B331" s="3">
        <f>INDEX(Raw_Schedule!B:B,MATCH(A331,Raw_Schedule!A:A,0))</f>
        <v/>
      </c>
      <c r="C331" s="3">
        <f>INDEX(Raw_Schedule!C:C,MATCH(A331,Raw_Schedule!A:A,0))</f>
        <v/>
      </c>
      <c r="D331" s="3">
        <f>INDEX(Raw_Schedule!D:D,MATCH(A331,Raw_Schedule!A:A,0))</f>
        <v/>
      </c>
      <c r="E331" s="3">
        <f>INDEX(Raw_Schedule!E:E,MATCH(A331,Raw_Schedule!A:A,0))</f>
        <v/>
      </c>
      <c r="F331" s="3">
        <f>INDEX(Raw_Schedule!F:F,MATCH(A331,Raw_Schedule!A:A,0))</f>
        <v/>
      </c>
      <c r="G331" s="4">
        <f>INDEX(Raw_Schedule!G:G,MATCH(A331,Raw_Schedule!A:A,0))</f>
        <v/>
      </c>
      <c r="H331" s="5">
        <f>INDEX(Raw_Schedule!H:H,MATCH(A331,Raw_Schedule!A:A,0))</f>
        <v/>
      </c>
      <c r="I331" s="5">
        <f>SUMIFS(Raw_Payments!E:E,Raw_Payments!B:B,A331)</f>
        <v/>
      </c>
      <c r="J331" s="5">
        <f>H331-I331</f>
        <v/>
      </c>
      <c r="K331" s="3">
        <f>IF(J331&lt;=0.005,"PAID",IF(I331&gt;0,"PARTIAL","OVERDUE"))</f>
        <v/>
      </c>
      <c r="L331" s="4">
        <f>IF(COUNTIFS(Raw_Payments!B:B,A331)=0,"",SUMPRODUCT(MAX((Raw_Payments!B$2:B$1079=A331)*Raw_Payments!D$2:D$1079)))</f>
        <v/>
      </c>
      <c r="M331" s="3">
        <f>IF(K331="PAID",MAX(0,L331-G331),Guide!$B$3-G331)</f>
        <v/>
      </c>
      <c r="N331" s="3">
        <f>IF(J331&lt;=0.005,"COLLECTED",IF(M331&lt;=30,"1-30",IF(M331&lt;=60,"31-60",IF(M331&lt;=90,"61-90","90+"))))</f>
        <v/>
      </c>
      <c r="O331" s="3">
        <f>IF(N331="90+","LOST",IF(N331="61-90","ESCALATE",IF(N331="31-60","WATCH",IF(N331="1-30","MILD","OK"))))</f>
        <v/>
      </c>
      <c r="P331" s="3">
        <f>IF(J331&gt;0.005,ROW()-1,"")</f>
        <v/>
      </c>
    </row>
    <row r="332">
      <c r="A332" s="3" t="inlineStr">
        <is>
          <t>D0331</t>
        </is>
      </c>
      <c r="B332" s="3">
        <f>INDEX(Raw_Schedule!B:B,MATCH(A332,Raw_Schedule!A:A,0))</f>
        <v/>
      </c>
      <c r="C332" s="3">
        <f>INDEX(Raw_Schedule!C:C,MATCH(A332,Raw_Schedule!A:A,0))</f>
        <v/>
      </c>
      <c r="D332" s="3">
        <f>INDEX(Raw_Schedule!D:D,MATCH(A332,Raw_Schedule!A:A,0))</f>
        <v/>
      </c>
      <c r="E332" s="3">
        <f>INDEX(Raw_Schedule!E:E,MATCH(A332,Raw_Schedule!A:A,0))</f>
        <v/>
      </c>
      <c r="F332" s="3">
        <f>INDEX(Raw_Schedule!F:F,MATCH(A332,Raw_Schedule!A:A,0))</f>
        <v/>
      </c>
      <c r="G332" s="4">
        <f>INDEX(Raw_Schedule!G:G,MATCH(A332,Raw_Schedule!A:A,0))</f>
        <v/>
      </c>
      <c r="H332" s="5">
        <f>INDEX(Raw_Schedule!H:H,MATCH(A332,Raw_Schedule!A:A,0))</f>
        <v/>
      </c>
      <c r="I332" s="5">
        <f>SUMIFS(Raw_Payments!E:E,Raw_Payments!B:B,A332)</f>
        <v/>
      </c>
      <c r="J332" s="5">
        <f>H332-I332</f>
        <v/>
      </c>
      <c r="K332" s="3">
        <f>IF(J332&lt;=0.005,"PAID",IF(I332&gt;0,"PARTIAL","OVERDUE"))</f>
        <v/>
      </c>
      <c r="L332" s="4">
        <f>IF(COUNTIFS(Raw_Payments!B:B,A332)=0,"",SUMPRODUCT(MAX((Raw_Payments!B$2:B$1079=A332)*Raw_Payments!D$2:D$1079)))</f>
        <v/>
      </c>
      <c r="M332" s="3">
        <f>IF(K332="PAID",MAX(0,L332-G332),Guide!$B$3-G332)</f>
        <v/>
      </c>
      <c r="N332" s="3">
        <f>IF(J332&lt;=0.005,"COLLECTED",IF(M332&lt;=30,"1-30",IF(M332&lt;=60,"31-60",IF(M332&lt;=90,"61-90","90+"))))</f>
        <v/>
      </c>
      <c r="O332" s="3">
        <f>IF(N332="90+","LOST",IF(N332="61-90","ESCALATE",IF(N332="31-60","WATCH",IF(N332="1-30","MILD","OK"))))</f>
        <v/>
      </c>
      <c r="P332" s="3">
        <f>IF(J332&gt;0.005,ROW()-1,"")</f>
        <v/>
      </c>
    </row>
    <row r="333">
      <c r="A333" s="3" t="inlineStr">
        <is>
          <t>D0332</t>
        </is>
      </c>
      <c r="B333" s="3">
        <f>INDEX(Raw_Schedule!B:B,MATCH(A333,Raw_Schedule!A:A,0))</f>
        <v/>
      </c>
      <c r="C333" s="3">
        <f>INDEX(Raw_Schedule!C:C,MATCH(A333,Raw_Schedule!A:A,0))</f>
        <v/>
      </c>
      <c r="D333" s="3">
        <f>INDEX(Raw_Schedule!D:D,MATCH(A333,Raw_Schedule!A:A,0))</f>
        <v/>
      </c>
      <c r="E333" s="3">
        <f>INDEX(Raw_Schedule!E:E,MATCH(A333,Raw_Schedule!A:A,0))</f>
        <v/>
      </c>
      <c r="F333" s="3">
        <f>INDEX(Raw_Schedule!F:F,MATCH(A333,Raw_Schedule!A:A,0))</f>
        <v/>
      </c>
      <c r="G333" s="4">
        <f>INDEX(Raw_Schedule!G:G,MATCH(A333,Raw_Schedule!A:A,0))</f>
        <v/>
      </c>
      <c r="H333" s="5">
        <f>INDEX(Raw_Schedule!H:H,MATCH(A333,Raw_Schedule!A:A,0))</f>
        <v/>
      </c>
      <c r="I333" s="5">
        <f>SUMIFS(Raw_Payments!E:E,Raw_Payments!B:B,A333)</f>
        <v/>
      </c>
      <c r="J333" s="5">
        <f>H333-I333</f>
        <v/>
      </c>
      <c r="K333" s="3">
        <f>IF(J333&lt;=0.005,"PAID",IF(I333&gt;0,"PARTIAL","OVERDUE"))</f>
        <v/>
      </c>
      <c r="L333" s="4">
        <f>IF(COUNTIFS(Raw_Payments!B:B,A333)=0,"",SUMPRODUCT(MAX((Raw_Payments!B$2:B$1079=A333)*Raw_Payments!D$2:D$1079)))</f>
        <v/>
      </c>
      <c r="M333" s="3">
        <f>IF(K333="PAID",MAX(0,L333-G333),Guide!$B$3-G333)</f>
        <v/>
      </c>
      <c r="N333" s="3">
        <f>IF(J333&lt;=0.005,"COLLECTED",IF(M333&lt;=30,"1-30",IF(M333&lt;=60,"31-60",IF(M333&lt;=90,"61-90","90+"))))</f>
        <v/>
      </c>
      <c r="O333" s="3">
        <f>IF(N333="90+","LOST",IF(N333="61-90","ESCALATE",IF(N333="31-60","WATCH",IF(N333="1-30","MILD","OK"))))</f>
        <v/>
      </c>
      <c r="P333" s="3">
        <f>IF(J333&gt;0.005,ROW()-1,"")</f>
        <v/>
      </c>
    </row>
    <row r="334">
      <c r="A334" s="3" t="inlineStr">
        <is>
          <t>D0333</t>
        </is>
      </c>
      <c r="B334" s="3">
        <f>INDEX(Raw_Schedule!B:B,MATCH(A334,Raw_Schedule!A:A,0))</f>
        <v/>
      </c>
      <c r="C334" s="3">
        <f>INDEX(Raw_Schedule!C:C,MATCH(A334,Raw_Schedule!A:A,0))</f>
        <v/>
      </c>
      <c r="D334" s="3">
        <f>INDEX(Raw_Schedule!D:D,MATCH(A334,Raw_Schedule!A:A,0))</f>
        <v/>
      </c>
      <c r="E334" s="3">
        <f>INDEX(Raw_Schedule!E:E,MATCH(A334,Raw_Schedule!A:A,0))</f>
        <v/>
      </c>
      <c r="F334" s="3">
        <f>INDEX(Raw_Schedule!F:F,MATCH(A334,Raw_Schedule!A:A,0))</f>
        <v/>
      </c>
      <c r="G334" s="4">
        <f>INDEX(Raw_Schedule!G:G,MATCH(A334,Raw_Schedule!A:A,0))</f>
        <v/>
      </c>
      <c r="H334" s="5">
        <f>INDEX(Raw_Schedule!H:H,MATCH(A334,Raw_Schedule!A:A,0))</f>
        <v/>
      </c>
      <c r="I334" s="5">
        <f>SUMIFS(Raw_Payments!E:E,Raw_Payments!B:B,A334)</f>
        <v/>
      </c>
      <c r="J334" s="5">
        <f>H334-I334</f>
        <v/>
      </c>
      <c r="K334" s="3">
        <f>IF(J334&lt;=0.005,"PAID",IF(I334&gt;0,"PARTIAL","OVERDUE"))</f>
        <v/>
      </c>
      <c r="L334" s="4">
        <f>IF(COUNTIFS(Raw_Payments!B:B,A334)=0,"",SUMPRODUCT(MAX((Raw_Payments!B$2:B$1079=A334)*Raw_Payments!D$2:D$1079)))</f>
        <v/>
      </c>
      <c r="M334" s="3">
        <f>IF(K334="PAID",MAX(0,L334-G334),Guide!$B$3-G334)</f>
        <v/>
      </c>
      <c r="N334" s="3">
        <f>IF(J334&lt;=0.005,"COLLECTED",IF(M334&lt;=30,"1-30",IF(M334&lt;=60,"31-60",IF(M334&lt;=90,"61-90","90+"))))</f>
        <v/>
      </c>
      <c r="O334" s="3">
        <f>IF(N334="90+","LOST",IF(N334="61-90","ESCALATE",IF(N334="31-60","WATCH",IF(N334="1-30","MILD","OK"))))</f>
        <v/>
      </c>
      <c r="P334" s="3">
        <f>IF(J334&gt;0.005,ROW()-1,"")</f>
        <v/>
      </c>
    </row>
    <row r="335">
      <c r="A335" s="3" t="inlineStr">
        <is>
          <t>D0334</t>
        </is>
      </c>
      <c r="B335" s="3">
        <f>INDEX(Raw_Schedule!B:B,MATCH(A335,Raw_Schedule!A:A,0))</f>
        <v/>
      </c>
      <c r="C335" s="3">
        <f>INDEX(Raw_Schedule!C:C,MATCH(A335,Raw_Schedule!A:A,0))</f>
        <v/>
      </c>
      <c r="D335" s="3">
        <f>INDEX(Raw_Schedule!D:D,MATCH(A335,Raw_Schedule!A:A,0))</f>
        <v/>
      </c>
      <c r="E335" s="3">
        <f>INDEX(Raw_Schedule!E:E,MATCH(A335,Raw_Schedule!A:A,0))</f>
        <v/>
      </c>
      <c r="F335" s="3">
        <f>INDEX(Raw_Schedule!F:F,MATCH(A335,Raw_Schedule!A:A,0))</f>
        <v/>
      </c>
      <c r="G335" s="4">
        <f>INDEX(Raw_Schedule!G:G,MATCH(A335,Raw_Schedule!A:A,0))</f>
        <v/>
      </c>
      <c r="H335" s="5">
        <f>INDEX(Raw_Schedule!H:H,MATCH(A335,Raw_Schedule!A:A,0))</f>
        <v/>
      </c>
      <c r="I335" s="5">
        <f>SUMIFS(Raw_Payments!E:E,Raw_Payments!B:B,A335)</f>
        <v/>
      </c>
      <c r="J335" s="5">
        <f>H335-I335</f>
        <v/>
      </c>
      <c r="K335" s="3">
        <f>IF(J335&lt;=0.005,"PAID",IF(I335&gt;0,"PARTIAL","OVERDUE"))</f>
        <v/>
      </c>
      <c r="L335" s="4">
        <f>IF(COUNTIFS(Raw_Payments!B:B,A335)=0,"",SUMPRODUCT(MAX((Raw_Payments!B$2:B$1079=A335)*Raw_Payments!D$2:D$1079)))</f>
        <v/>
      </c>
      <c r="M335" s="3">
        <f>IF(K335="PAID",MAX(0,L335-G335),Guide!$B$3-G335)</f>
        <v/>
      </c>
      <c r="N335" s="3">
        <f>IF(J335&lt;=0.005,"COLLECTED",IF(M335&lt;=30,"1-30",IF(M335&lt;=60,"31-60",IF(M335&lt;=90,"61-90","90+"))))</f>
        <v/>
      </c>
      <c r="O335" s="3">
        <f>IF(N335="90+","LOST",IF(N335="61-90","ESCALATE",IF(N335="31-60","WATCH",IF(N335="1-30","MILD","OK"))))</f>
        <v/>
      </c>
      <c r="P335" s="3">
        <f>IF(J335&gt;0.005,ROW()-1,"")</f>
        <v/>
      </c>
    </row>
    <row r="336">
      <c r="A336" s="3" t="inlineStr">
        <is>
          <t>D0335</t>
        </is>
      </c>
      <c r="B336" s="3">
        <f>INDEX(Raw_Schedule!B:B,MATCH(A336,Raw_Schedule!A:A,0))</f>
        <v/>
      </c>
      <c r="C336" s="3">
        <f>INDEX(Raw_Schedule!C:C,MATCH(A336,Raw_Schedule!A:A,0))</f>
        <v/>
      </c>
      <c r="D336" s="3">
        <f>INDEX(Raw_Schedule!D:D,MATCH(A336,Raw_Schedule!A:A,0))</f>
        <v/>
      </c>
      <c r="E336" s="3">
        <f>INDEX(Raw_Schedule!E:E,MATCH(A336,Raw_Schedule!A:A,0))</f>
        <v/>
      </c>
      <c r="F336" s="3">
        <f>INDEX(Raw_Schedule!F:F,MATCH(A336,Raw_Schedule!A:A,0))</f>
        <v/>
      </c>
      <c r="G336" s="4">
        <f>INDEX(Raw_Schedule!G:G,MATCH(A336,Raw_Schedule!A:A,0))</f>
        <v/>
      </c>
      <c r="H336" s="5">
        <f>INDEX(Raw_Schedule!H:H,MATCH(A336,Raw_Schedule!A:A,0))</f>
        <v/>
      </c>
      <c r="I336" s="5">
        <f>SUMIFS(Raw_Payments!E:E,Raw_Payments!B:B,A336)</f>
        <v/>
      </c>
      <c r="J336" s="5">
        <f>H336-I336</f>
        <v/>
      </c>
      <c r="K336" s="3">
        <f>IF(J336&lt;=0.005,"PAID",IF(I336&gt;0,"PARTIAL","OVERDUE"))</f>
        <v/>
      </c>
      <c r="L336" s="4">
        <f>IF(COUNTIFS(Raw_Payments!B:B,A336)=0,"",SUMPRODUCT(MAX((Raw_Payments!B$2:B$1079=A336)*Raw_Payments!D$2:D$1079)))</f>
        <v/>
      </c>
      <c r="M336" s="3">
        <f>IF(K336="PAID",MAX(0,L336-G336),Guide!$B$3-G336)</f>
        <v/>
      </c>
      <c r="N336" s="3">
        <f>IF(J336&lt;=0.005,"COLLECTED",IF(M336&lt;=30,"1-30",IF(M336&lt;=60,"31-60",IF(M336&lt;=90,"61-90","90+"))))</f>
        <v/>
      </c>
      <c r="O336" s="3">
        <f>IF(N336="90+","LOST",IF(N336="61-90","ESCALATE",IF(N336="31-60","WATCH",IF(N336="1-30","MILD","OK"))))</f>
        <v/>
      </c>
      <c r="P336" s="3">
        <f>IF(J336&gt;0.005,ROW()-1,"")</f>
        <v/>
      </c>
    </row>
    <row r="337">
      <c r="A337" s="3" t="inlineStr">
        <is>
          <t>D0336</t>
        </is>
      </c>
      <c r="B337" s="3">
        <f>INDEX(Raw_Schedule!B:B,MATCH(A337,Raw_Schedule!A:A,0))</f>
        <v/>
      </c>
      <c r="C337" s="3">
        <f>INDEX(Raw_Schedule!C:C,MATCH(A337,Raw_Schedule!A:A,0))</f>
        <v/>
      </c>
      <c r="D337" s="3">
        <f>INDEX(Raw_Schedule!D:D,MATCH(A337,Raw_Schedule!A:A,0))</f>
        <v/>
      </c>
      <c r="E337" s="3">
        <f>INDEX(Raw_Schedule!E:E,MATCH(A337,Raw_Schedule!A:A,0))</f>
        <v/>
      </c>
      <c r="F337" s="3">
        <f>INDEX(Raw_Schedule!F:F,MATCH(A337,Raw_Schedule!A:A,0))</f>
        <v/>
      </c>
      <c r="G337" s="4">
        <f>INDEX(Raw_Schedule!G:G,MATCH(A337,Raw_Schedule!A:A,0))</f>
        <v/>
      </c>
      <c r="H337" s="5">
        <f>INDEX(Raw_Schedule!H:H,MATCH(A337,Raw_Schedule!A:A,0))</f>
        <v/>
      </c>
      <c r="I337" s="5">
        <f>SUMIFS(Raw_Payments!E:E,Raw_Payments!B:B,A337)</f>
        <v/>
      </c>
      <c r="J337" s="5">
        <f>H337-I337</f>
        <v/>
      </c>
      <c r="K337" s="3">
        <f>IF(J337&lt;=0.005,"PAID",IF(I337&gt;0,"PARTIAL","OVERDUE"))</f>
        <v/>
      </c>
      <c r="L337" s="4">
        <f>IF(COUNTIFS(Raw_Payments!B:B,A337)=0,"",SUMPRODUCT(MAX((Raw_Payments!B$2:B$1079=A337)*Raw_Payments!D$2:D$1079)))</f>
        <v/>
      </c>
      <c r="M337" s="3">
        <f>IF(K337="PAID",MAX(0,L337-G337),Guide!$B$3-G337)</f>
        <v/>
      </c>
      <c r="N337" s="3">
        <f>IF(J337&lt;=0.005,"COLLECTED",IF(M337&lt;=30,"1-30",IF(M337&lt;=60,"31-60",IF(M337&lt;=90,"61-90","90+"))))</f>
        <v/>
      </c>
      <c r="O337" s="3">
        <f>IF(N337="90+","LOST",IF(N337="61-90","ESCALATE",IF(N337="31-60","WATCH",IF(N337="1-30","MILD","OK"))))</f>
        <v/>
      </c>
      <c r="P337" s="3">
        <f>IF(J337&gt;0.005,ROW()-1,"")</f>
        <v/>
      </c>
    </row>
    <row r="338">
      <c r="A338" s="3" t="inlineStr">
        <is>
          <t>D0337</t>
        </is>
      </c>
      <c r="B338" s="3">
        <f>INDEX(Raw_Schedule!B:B,MATCH(A338,Raw_Schedule!A:A,0))</f>
        <v/>
      </c>
      <c r="C338" s="3">
        <f>INDEX(Raw_Schedule!C:C,MATCH(A338,Raw_Schedule!A:A,0))</f>
        <v/>
      </c>
      <c r="D338" s="3">
        <f>INDEX(Raw_Schedule!D:D,MATCH(A338,Raw_Schedule!A:A,0))</f>
        <v/>
      </c>
      <c r="E338" s="3">
        <f>INDEX(Raw_Schedule!E:E,MATCH(A338,Raw_Schedule!A:A,0))</f>
        <v/>
      </c>
      <c r="F338" s="3">
        <f>INDEX(Raw_Schedule!F:F,MATCH(A338,Raw_Schedule!A:A,0))</f>
        <v/>
      </c>
      <c r="G338" s="4">
        <f>INDEX(Raw_Schedule!G:G,MATCH(A338,Raw_Schedule!A:A,0))</f>
        <v/>
      </c>
      <c r="H338" s="5">
        <f>INDEX(Raw_Schedule!H:H,MATCH(A338,Raw_Schedule!A:A,0))</f>
        <v/>
      </c>
      <c r="I338" s="5">
        <f>SUMIFS(Raw_Payments!E:E,Raw_Payments!B:B,A338)</f>
        <v/>
      </c>
      <c r="J338" s="5">
        <f>H338-I338</f>
        <v/>
      </c>
      <c r="K338" s="3">
        <f>IF(J338&lt;=0.005,"PAID",IF(I338&gt;0,"PARTIAL","OVERDUE"))</f>
        <v/>
      </c>
      <c r="L338" s="4">
        <f>IF(COUNTIFS(Raw_Payments!B:B,A338)=0,"",SUMPRODUCT(MAX((Raw_Payments!B$2:B$1079=A338)*Raw_Payments!D$2:D$1079)))</f>
        <v/>
      </c>
      <c r="M338" s="3">
        <f>IF(K338="PAID",MAX(0,L338-G338),Guide!$B$3-G338)</f>
        <v/>
      </c>
      <c r="N338" s="3">
        <f>IF(J338&lt;=0.005,"COLLECTED",IF(M338&lt;=30,"1-30",IF(M338&lt;=60,"31-60",IF(M338&lt;=90,"61-90","90+"))))</f>
        <v/>
      </c>
      <c r="O338" s="3">
        <f>IF(N338="90+","LOST",IF(N338="61-90","ESCALATE",IF(N338="31-60","WATCH",IF(N338="1-30","MILD","OK"))))</f>
        <v/>
      </c>
      <c r="P338" s="3">
        <f>IF(J338&gt;0.005,ROW()-1,"")</f>
        <v/>
      </c>
    </row>
    <row r="339">
      <c r="A339" s="3" t="inlineStr">
        <is>
          <t>D0338</t>
        </is>
      </c>
      <c r="B339" s="3">
        <f>INDEX(Raw_Schedule!B:B,MATCH(A339,Raw_Schedule!A:A,0))</f>
        <v/>
      </c>
      <c r="C339" s="3">
        <f>INDEX(Raw_Schedule!C:C,MATCH(A339,Raw_Schedule!A:A,0))</f>
        <v/>
      </c>
      <c r="D339" s="3">
        <f>INDEX(Raw_Schedule!D:D,MATCH(A339,Raw_Schedule!A:A,0))</f>
        <v/>
      </c>
      <c r="E339" s="3">
        <f>INDEX(Raw_Schedule!E:E,MATCH(A339,Raw_Schedule!A:A,0))</f>
        <v/>
      </c>
      <c r="F339" s="3">
        <f>INDEX(Raw_Schedule!F:F,MATCH(A339,Raw_Schedule!A:A,0))</f>
        <v/>
      </c>
      <c r="G339" s="4">
        <f>INDEX(Raw_Schedule!G:G,MATCH(A339,Raw_Schedule!A:A,0))</f>
        <v/>
      </c>
      <c r="H339" s="5">
        <f>INDEX(Raw_Schedule!H:H,MATCH(A339,Raw_Schedule!A:A,0))</f>
        <v/>
      </c>
      <c r="I339" s="5">
        <f>SUMIFS(Raw_Payments!E:E,Raw_Payments!B:B,A339)</f>
        <v/>
      </c>
      <c r="J339" s="5">
        <f>H339-I339</f>
        <v/>
      </c>
      <c r="K339" s="3">
        <f>IF(J339&lt;=0.005,"PAID",IF(I339&gt;0,"PARTIAL","OVERDUE"))</f>
        <v/>
      </c>
      <c r="L339" s="4">
        <f>IF(COUNTIFS(Raw_Payments!B:B,A339)=0,"",SUMPRODUCT(MAX((Raw_Payments!B$2:B$1079=A339)*Raw_Payments!D$2:D$1079)))</f>
        <v/>
      </c>
      <c r="M339" s="3">
        <f>IF(K339="PAID",MAX(0,L339-G339),Guide!$B$3-G339)</f>
        <v/>
      </c>
      <c r="N339" s="3">
        <f>IF(J339&lt;=0.005,"COLLECTED",IF(M339&lt;=30,"1-30",IF(M339&lt;=60,"31-60",IF(M339&lt;=90,"61-90","90+"))))</f>
        <v/>
      </c>
      <c r="O339" s="3">
        <f>IF(N339="90+","LOST",IF(N339="61-90","ESCALATE",IF(N339="31-60","WATCH",IF(N339="1-30","MILD","OK"))))</f>
        <v/>
      </c>
      <c r="P339" s="3">
        <f>IF(J339&gt;0.005,ROW()-1,"")</f>
        <v/>
      </c>
    </row>
    <row r="340">
      <c r="A340" s="3" t="inlineStr">
        <is>
          <t>D0339</t>
        </is>
      </c>
      <c r="B340" s="3">
        <f>INDEX(Raw_Schedule!B:B,MATCH(A340,Raw_Schedule!A:A,0))</f>
        <v/>
      </c>
      <c r="C340" s="3">
        <f>INDEX(Raw_Schedule!C:C,MATCH(A340,Raw_Schedule!A:A,0))</f>
        <v/>
      </c>
      <c r="D340" s="3">
        <f>INDEX(Raw_Schedule!D:D,MATCH(A340,Raw_Schedule!A:A,0))</f>
        <v/>
      </c>
      <c r="E340" s="3">
        <f>INDEX(Raw_Schedule!E:E,MATCH(A340,Raw_Schedule!A:A,0))</f>
        <v/>
      </c>
      <c r="F340" s="3">
        <f>INDEX(Raw_Schedule!F:F,MATCH(A340,Raw_Schedule!A:A,0))</f>
        <v/>
      </c>
      <c r="G340" s="4">
        <f>INDEX(Raw_Schedule!G:G,MATCH(A340,Raw_Schedule!A:A,0))</f>
        <v/>
      </c>
      <c r="H340" s="5">
        <f>INDEX(Raw_Schedule!H:H,MATCH(A340,Raw_Schedule!A:A,0))</f>
        <v/>
      </c>
      <c r="I340" s="5">
        <f>SUMIFS(Raw_Payments!E:E,Raw_Payments!B:B,A340)</f>
        <v/>
      </c>
      <c r="J340" s="5">
        <f>H340-I340</f>
        <v/>
      </c>
      <c r="K340" s="3">
        <f>IF(J340&lt;=0.005,"PAID",IF(I340&gt;0,"PARTIAL","OVERDUE"))</f>
        <v/>
      </c>
      <c r="L340" s="4">
        <f>IF(COUNTIFS(Raw_Payments!B:B,A340)=0,"",SUMPRODUCT(MAX((Raw_Payments!B$2:B$1079=A340)*Raw_Payments!D$2:D$1079)))</f>
        <v/>
      </c>
      <c r="M340" s="3">
        <f>IF(K340="PAID",MAX(0,L340-G340),Guide!$B$3-G340)</f>
        <v/>
      </c>
      <c r="N340" s="3">
        <f>IF(J340&lt;=0.005,"COLLECTED",IF(M340&lt;=30,"1-30",IF(M340&lt;=60,"31-60",IF(M340&lt;=90,"61-90","90+"))))</f>
        <v/>
      </c>
      <c r="O340" s="3">
        <f>IF(N340="90+","LOST",IF(N340="61-90","ESCALATE",IF(N340="31-60","WATCH",IF(N340="1-30","MILD","OK"))))</f>
        <v/>
      </c>
      <c r="P340" s="3">
        <f>IF(J340&gt;0.005,ROW()-1,"")</f>
        <v/>
      </c>
    </row>
    <row r="341">
      <c r="A341" s="3" t="inlineStr">
        <is>
          <t>D0340</t>
        </is>
      </c>
      <c r="B341" s="3">
        <f>INDEX(Raw_Schedule!B:B,MATCH(A341,Raw_Schedule!A:A,0))</f>
        <v/>
      </c>
      <c r="C341" s="3">
        <f>INDEX(Raw_Schedule!C:C,MATCH(A341,Raw_Schedule!A:A,0))</f>
        <v/>
      </c>
      <c r="D341" s="3">
        <f>INDEX(Raw_Schedule!D:D,MATCH(A341,Raw_Schedule!A:A,0))</f>
        <v/>
      </c>
      <c r="E341" s="3">
        <f>INDEX(Raw_Schedule!E:E,MATCH(A341,Raw_Schedule!A:A,0))</f>
        <v/>
      </c>
      <c r="F341" s="3">
        <f>INDEX(Raw_Schedule!F:F,MATCH(A341,Raw_Schedule!A:A,0))</f>
        <v/>
      </c>
      <c r="G341" s="4">
        <f>INDEX(Raw_Schedule!G:G,MATCH(A341,Raw_Schedule!A:A,0))</f>
        <v/>
      </c>
      <c r="H341" s="5">
        <f>INDEX(Raw_Schedule!H:H,MATCH(A341,Raw_Schedule!A:A,0))</f>
        <v/>
      </c>
      <c r="I341" s="5">
        <f>SUMIFS(Raw_Payments!E:E,Raw_Payments!B:B,A341)</f>
        <v/>
      </c>
      <c r="J341" s="5">
        <f>H341-I341</f>
        <v/>
      </c>
      <c r="K341" s="3">
        <f>IF(J341&lt;=0.005,"PAID",IF(I341&gt;0,"PARTIAL","OVERDUE"))</f>
        <v/>
      </c>
      <c r="L341" s="4">
        <f>IF(COUNTIFS(Raw_Payments!B:B,A341)=0,"",SUMPRODUCT(MAX((Raw_Payments!B$2:B$1079=A341)*Raw_Payments!D$2:D$1079)))</f>
        <v/>
      </c>
      <c r="M341" s="3">
        <f>IF(K341="PAID",MAX(0,L341-G341),Guide!$B$3-G341)</f>
        <v/>
      </c>
      <c r="N341" s="3">
        <f>IF(J341&lt;=0.005,"COLLECTED",IF(M341&lt;=30,"1-30",IF(M341&lt;=60,"31-60",IF(M341&lt;=90,"61-90","90+"))))</f>
        <v/>
      </c>
      <c r="O341" s="3">
        <f>IF(N341="90+","LOST",IF(N341="61-90","ESCALATE",IF(N341="31-60","WATCH",IF(N341="1-30","MILD","OK"))))</f>
        <v/>
      </c>
      <c r="P341" s="3">
        <f>IF(J341&gt;0.005,ROW()-1,"")</f>
        <v/>
      </c>
    </row>
    <row r="342">
      <c r="A342" s="3" t="inlineStr">
        <is>
          <t>D0341</t>
        </is>
      </c>
      <c r="B342" s="3">
        <f>INDEX(Raw_Schedule!B:B,MATCH(A342,Raw_Schedule!A:A,0))</f>
        <v/>
      </c>
      <c r="C342" s="3">
        <f>INDEX(Raw_Schedule!C:C,MATCH(A342,Raw_Schedule!A:A,0))</f>
        <v/>
      </c>
      <c r="D342" s="3">
        <f>INDEX(Raw_Schedule!D:D,MATCH(A342,Raw_Schedule!A:A,0))</f>
        <v/>
      </c>
      <c r="E342" s="3">
        <f>INDEX(Raw_Schedule!E:E,MATCH(A342,Raw_Schedule!A:A,0))</f>
        <v/>
      </c>
      <c r="F342" s="3">
        <f>INDEX(Raw_Schedule!F:F,MATCH(A342,Raw_Schedule!A:A,0))</f>
        <v/>
      </c>
      <c r="G342" s="4">
        <f>INDEX(Raw_Schedule!G:G,MATCH(A342,Raw_Schedule!A:A,0))</f>
        <v/>
      </c>
      <c r="H342" s="5">
        <f>INDEX(Raw_Schedule!H:H,MATCH(A342,Raw_Schedule!A:A,0))</f>
        <v/>
      </c>
      <c r="I342" s="5">
        <f>SUMIFS(Raw_Payments!E:E,Raw_Payments!B:B,A342)</f>
        <v/>
      </c>
      <c r="J342" s="5">
        <f>H342-I342</f>
        <v/>
      </c>
      <c r="K342" s="3">
        <f>IF(J342&lt;=0.005,"PAID",IF(I342&gt;0,"PARTIAL","OVERDUE"))</f>
        <v/>
      </c>
      <c r="L342" s="4">
        <f>IF(COUNTIFS(Raw_Payments!B:B,A342)=0,"",SUMPRODUCT(MAX((Raw_Payments!B$2:B$1079=A342)*Raw_Payments!D$2:D$1079)))</f>
        <v/>
      </c>
      <c r="M342" s="3">
        <f>IF(K342="PAID",MAX(0,L342-G342),Guide!$B$3-G342)</f>
        <v/>
      </c>
      <c r="N342" s="3">
        <f>IF(J342&lt;=0.005,"COLLECTED",IF(M342&lt;=30,"1-30",IF(M342&lt;=60,"31-60",IF(M342&lt;=90,"61-90","90+"))))</f>
        <v/>
      </c>
      <c r="O342" s="3">
        <f>IF(N342="90+","LOST",IF(N342="61-90","ESCALATE",IF(N342="31-60","WATCH",IF(N342="1-30","MILD","OK"))))</f>
        <v/>
      </c>
      <c r="P342" s="3">
        <f>IF(J342&gt;0.005,ROW()-1,"")</f>
        <v/>
      </c>
    </row>
    <row r="343">
      <c r="A343" s="3" t="inlineStr">
        <is>
          <t>D0342</t>
        </is>
      </c>
      <c r="B343" s="3">
        <f>INDEX(Raw_Schedule!B:B,MATCH(A343,Raw_Schedule!A:A,0))</f>
        <v/>
      </c>
      <c r="C343" s="3">
        <f>INDEX(Raw_Schedule!C:C,MATCH(A343,Raw_Schedule!A:A,0))</f>
        <v/>
      </c>
      <c r="D343" s="3">
        <f>INDEX(Raw_Schedule!D:D,MATCH(A343,Raw_Schedule!A:A,0))</f>
        <v/>
      </c>
      <c r="E343" s="3">
        <f>INDEX(Raw_Schedule!E:E,MATCH(A343,Raw_Schedule!A:A,0))</f>
        <v/>
      </c>
      <c r="F343" s="3">
        <f>INDEX(Raw_Schedule!F:F,MATCH(A343,Raw_Schedule!A:A,0))</f>
        <v/>
      </c>
      <c r="G343" s="4">
        <f>INDEX(Raw_Schedule!G:G,MATCH(A343,Raw_Schedule!A:A,0))</f>
        <v/>
      </c>
      <c r="H343" s="5">
        <f>INDEX(Raw_Schedule!H:H,MATCH(A343,Raw_Schedule!A:A,0))</f>
        <v/>
      </c>
      <c r="I343" s="5">
        <f>SUMIFS(Raw_Payments!E:E,Raw_Payments!B:B,A343)</f>
        <v/>
      </c>
      <c r="J343" s="5">
        <f>H343-I343</f>
        <v/>
      </c>
      <c r="K343" s="3">
        <f>IF(J343&lt;=0.005,"PAID",IF(I343&gt;0,"PARTIAL","OVERDUE"))</f>
        <v/>
      </c>
      <c r="L343" s="4">
        <f>IF(COUNTIFS(Raw_Payments!B:B,A343)=0,"",SUMPRODUCT(MAX((Raw_Payments!B$2:B$1079=A343)*Raw_Payments!D$2:D$1079)))</f>
        <v/>
      </c>
      <c r="M343" s="3">
        <f>IF(K343="PAID",MAX(0,L343-G343),Guide!$B$3-G343)</f>
        <v/>
      </c>
      <c r="N343" s="3">
        <f>IF(J343&lt;=0.005,"COLLECTED",IF(M343&lt;=30,"1-30",IF(M343&lt;=60,"31-60",IF(M343&lt;=90,"61-90","90+"))))</f>
        <v/>
      </c>
      <c r="O343" s="3">
        <f>IF(N343="90+","LOST",IF(N343="61-90","ESCALATE",IF(N343="31-60","WATCH",IF(N343="1-30","MILD","OK"))))</f>
        <v/>
      </c>
      <c r="P343" s="3">
        <f>IF(J343&gt;0.005,ROW()-1,"")</f>
        <v/>
      </c>
    </row>
    <row r="344">
      <c r="A344" s="3" t="inlineStr">
        <is>
          <t>D0343</t>
        </is>
      </c>
      <c r="B344" s="3">
        <f>INDEX(Raw_Schedule!B:B,MATCH(A344,Raw_Schedule!A:A,0))</f>
        <v/>
      </c>
      <c r="C344" s="3">
        <f>INDEX(Raw_Schedule!C:C,MATCH(A344,Raw_Schedule!A:A,0))</f>
        <v/>
      </c>
      <c r="D344" s="3">
        <f>INDEX(Raw_Schedule!D:D,MATCH(A344,Raw_Schedule!A:A,0))</f>
        <v/>
      </c>
      <c r="E344" s="3">
        <f>INDEX(Raw_Schedule!E:E,MATCH(A344,Raw_Schedule!A:A,0))</f>
        <v/>
      </c>
      <c r="F344" s="3">
        <f>INDEX(Raw_Schedule!F:F,MATCH(A344,Raw_Schedule!A:A,0))</f>
        <v/>
      </c>
      <c r="G344" s="4">
        <f>INDEX(Raw_Schedule!G:G,MATCH(A344,Raw_Schedule!A:A,0))</f>
        <v/>
      </c>
      <c r="H344" s="5">
        <f>INDEX(Raw_Schedule!H:H,MATCH(A344,Raw_Schedule!A:A,0))</f>
        <v/>
      </c>
      <c r="I344" s="5">
        <f>SUMIFS(Raw_Payments!E:E,Raw_Payments!B:B,A344)</f>
        <v/>
      </c>
      <c r="J344" s="5">
        <f>H344-I344</f>
        <v/>
      </c>
      <c r="K344" s="3">
        <f>IF(J344&lt;=0.005,"PAID",IF(I344&gt;0,"PARTIAL","OVERDUE"))</f>
        <v/>
      </c>
      <c r="L344" s="4">
        <f>IF(COUNTIFS(Raw_Payments!B:B,A344)=0,"",SUMPRODUCT(MAX((Raw_Payments!B$2:B$1079=A344)*Raw_Payments!D$2:D$1079)))</f>
        <v/>
      </c>
      <c r="M344" s="3">
        <f>IF(K344="PAID",MAX(0,L344-G344),Guide!$B$3-G344)</f>
        <v/>
      </c>
      <c r="N344" s="3">
        <f>IF(J344&lt;=0.005,"COLLECTED",IF(M344&lt;=30,"1-30",IF(M344&lt;=60,"31-60",IF(M344&lt;=90,"61-90","90+"))))</f>
        <v/>
      </c>
      <c r="O344" s="3">
        <f>IF(N344="90+","LOST",IF(N344="61-90","ESCALATE",IF(N344="31-60","WATCH",IF(N344="1-30","MILD","OK"))))</f>
        <v/>
      </c>
      <c r="P344" s="3">
        <f>IF(J344&gt;0.005,ROW()-1,"")</f>
        <v/>
      </c>
    </row>
    <row r="345">
      <c r="A345" s="3" t="inlineStr">
        <is>
          <t>D0344</t>
        </is>
      </c>
      <c r="B345" s="3">
        <f>INDEX(Raw_Schedule!B:B,MATCH(A345,Raw_Schedule!A:A,0))</f>
        <v/>
      </c>
      <c r="C345" s="3">
        <f>INDEX(Raw_Schedule!C:C,MATCH(A345,Raw_Schedule!A:A,0))</f>
        <v/>
      </c>
      <c r="D345" s="3">
        <f>INDEX(Raw_Schedule!D:D,MATCH(A345,Raw_Schedule!A:A,0))</f>
        <v/>
      </c>
      <c r="E345" s="3">
        <f>INDEX(Raw_Schedule!E:E,MATCH(A345,Raw_Schedule!A:A,0))</f>
        <v/>
      </c>
      <c r="F345" s="3">
        <f>INDEX(Raw_Schedule!F:F,MATCH(A345,Raw_Schedule!A:A,0))</f>
        <v/>
      </c>
      <c r="G345" s="4">
        <f>INDEX(Raw_Schedule!G:G,MATCH(A345,Raw_Schedule!A:A,0))</f>
        <v/>
      </c>
      <c r="H345" s="5">
        <f>INDEX(Raw_Schedule!H:H,MATCH(A345,Raw_Schedule!A:A,0))</f>
        <v/>
      </c>
      <c r="I345" s="5">
        <f>SUMIFS(Raw_Payments!E:E,Raw_Payments!B:B,A345)</f>
        <v/>
      </c>
      <c r="J345" s="5">
        <f>H345-I345</f>
        <v/>
      </c>
      <c r="K345" s="3">
        <f>IF(J345&lt;=0.005,"PAID",IF(I345&gt;0,"PARTIAL","OVERDUE"))</f>
        <v/>
      </c>
      <c r="L345" s="4">
        <f>IF(COUNTIFS(Raw_Payments!B:B,A345)=0,"",SUMPRODUCT(MAX((Raw_Payments!B$2:B$1079=A345)*Raw_Payments!D$2:D$1079)))</f>
        <v/>
      </c>
      <c r="M345" s="3">
        <f>IF(K345="PAID",MAX(0,L345-G345),Guide!$B$3-G345)</f>
        <v/>
      </c>
      <c r="N345" s="3">
        <f>IF(J345&lt;=0.005,"COLLECTED",IF(M345&lt;=30,"1-30",IF(M345&lt;=60,"31-60",IF(M345&lt;=90,"61-90","90+"))))</f>
        <v/>
      </c>
      <c r="O345" s="3">
        <f>IF(N345="90+","LOST",IF(N345="61-90","ESCALATE",IF(N345="31-60","WATCH",IF(N345="1-30","MILD","OK"))))</f>
        <v/>
      </c>
      <c r="P345" s="3">
        <f>IF(J345&gt;0.005,ROW()-1,"")</f>
        <v/>
      </c>
    </row>
    <row r="346">
      <c r="A346" s="3" t="inlineStr">
        <is>
          <t>D0345</t>
        </is>
      </c>
      <c r="B346" s="3">
        <f>INDEX(Raw_Schedule!B:B,MATCH(A346,Raw_Schedule!A:A,0))</f>
        <v/>
      </c>
      <c r="C346" s="3">
        <f>INDEX(Raw_Schedule!C:C,MATCH(A346,Raw_Schedule!A:A,0))</f>
        <v/>
      </c>
      <c r="D346" s="3">
        <f>INDEX(Raw_Schedule!D:D,MATCH(A346,Raw_Schedule!A:A,0))</f>
        <v/>
      </c>
      <c r="E346" s="3">
        <f>INDEX(Raw_Schedule!E:E,MATCH(A346,Raw_Schedule!A:A,0))</f>
        <v/>
      </c>
      <c r="F346" s="3">
        <f>INDEX(Raw_Schedule!F:F,MATCH(A346,Raw_Schedule!A:A,0))</f>
        <v/>
      </c>
      <c r="G346" s="4">
        <f>INDEX(Raw_Schedule!G:G,MATCH(A346,Raw_Schedule!A:A,0))</f>
        <v/>
      </c>
      <c r="H346" s="5">
        <f>INDEX(Raw_Schedule!H:H,MATCH(A346,Raw_Schedule!A:A,0))</f>
        <v/>
      </c>
      <c r="I346" s="5">
        <f>SUMIFS(Raw_Payments!E:E,Raw_Payments!B:B,A346)</f>
        <v/>
      </c>
      <c r="J346" s="5">
        <f>H346-I346</f>
        <v/>
      </c>
      <c r="K346" s="3">
        <f>IF(J346&lt;=0.005,"PAID",IF(I346&gt;0,"PARTIAL","OVERDUE"))</f>
        <v/>
      </c>
      <c r="L346" s="4">
        <f>IF(COUNTIFS(Raw_Payments!B:B,A346)=0,"",SUMPRODUCT(MAX((Raw_Payments!B$2:B$1079=A346)*Raw_Payments!D$2:D$1079)))</f>
        <v/>
      </c>
      <c r="M346" s="3">
        <f>IF(K346="PAID",MAX(0,L346-G346),Guide!$B$3-G346)</f>
        <v/>
      </c>
      <c r="N346" s="3">
        <f>IF(J346&lt;=0.005,"COLLECTED",IF(M346&lt;=30,"1-30",IF(M346&lt;=60,"31-60",IF(M346&lt;=90,"61-90","90+"))))</f>
        <v/>
      </c>
      <c r="O346" s="3">
        <f>IF(N346="90+","LOST",IF(N346="61-90","ESCALATE",IF(N346="31-60","WATCH",IF(N346="1-30","MILD","OK"))))</f>
        <v/>
      </c>
      <c r="P346" s="3">
        <f>IF(J346&gt;0.005,ROW()-1,"")</f>
        <v/>
      </c>
    </row>
    <row r="347">
      <c r="A347" s="3" t="inlineStr">
        <is>
          <t>D0346</t>
        </is>
      </c>
      <c r="B347" s="3">
        <f>INDEX(Raw_Schedule!B:B,MATCH(A347,Raw_Schedule!A:A,0))</f>
        <v/>
      </c>
      <c r="C347" s="3">
        <f>INDEX(Raw_Schedule!C:C,MATCH(A347,Raw_Schedule!A:A,0))</f>
        <v/>
      </c>
      <c r="D347" s="3">
        <f>INDEX(Raw_Schedule!D:D,MATCH(A347,Raw_Schedule!A:A,0))</f>
        <v/>
      </c>
      <c r="E347" s="3">
        <f>INDEX(Raw_Schedule!E:E,MATCH(A347,Raw_Schedule!A:A,0))</f>
        <v/>
      </c>
      <c r="F347" s="3">
        <f>INDEX(Raw_Schedule!F:F,MATCH(A347,Raw_Schedule!A:A,0))</f>
        <v/>
      </c>
      <c r="G347" s="4">
        <f>INDEX(Raw_Schedule!G:G,MATCH(A347,Raw_Schedule!A:A,0))</f>
        <v/>
      </c>
      <c r="H347" s="5">
        <f>INDEX(Raw_Schedule!H:H,MATCH(A347,Raw_Schedule!A:A,0))</f>
        <v/>
      </c>
      <c r="I347" s="5">
        <f>SUMIFS(Raw_Payments!E:E,Raw_Payments!B:B,A347)</f>
        <v/>
      </c>
      <c r="J347" s="5">
        <f>H347-I347</f>
        <v/>
      </c>
      <c r="K347" s="3">
        <f>IF(J347&lt;=0.005,"PAID",IF(I347&gt;0,"PARTIAL","OVERDUE"))</f>
        <v/>
      </c>
      <c r="L347" s="4">
        <f>IF(COUNTIFS(Raw_Payments!B:B,A347)=0,"",SUMPRODUCT(MAX((Raw_Payments!B$2:B$1079=A347)*Raw_Payments!D$2:D$1079)))</f>
        <v/>
      </c>
      <c r="M347" s="3">
        <f>IF(K347="PAID",MAX(0,L347-G347),Guide!$B$3-G347)</f>
        <v/>
      </c>
      <c r="N347" s="3">
        <f>IF(J347&lt;=0.005,"COLLECTED",IF(M347&lt;=30,"1-30",IF(M347&lt;=60,"31-60",IF(M347&lt;=90,"61-90","90+"))))</f>
        <v/>
      </c>
      <c r="O347" s="3">
        <f>IF(N347="90+","LOST",IF(N347="61-90","ESCALATE",IF(N347="31-60","WATCH",IF(N347="1-30","MILD","OK"))))</f>
        <v/>
      </c>
      <c r="P347" s="3">
        <f>IF(J347&gt;0.005,ROW()-1,"")</f>
        <v/>
      </c>
    </row>
    <row r="348">
      <c r="A348" s="3" t="inlineStr">
        <is>
          <t>D0347</t>
        </is>
      </c>
      <c r="B348" s="3">
        <f>INDEX(Raw_Schedule!B:B,MATCH(A348,Raw_Schedule!A:A,0))</f>
        <v/>
      </c>
      <c r="C348" s="3">
        <f>INDEX(Raw_Schedule!C:C,MATCH(A348,Raw_Schedule!A:A,0))</f>
        <v/>
      </c>
      <c r="D348" s="3">
        <f>INDEX(Raw_Schedule!D:D,MATCH(A348,Raw_Schedule!A:A,0))</f>
        <v/>
      </c>
      <c r="E348" s="3">
        <f>INDEX(Raw_Schedule!E:E,MATCH(A348,Raw_Schedule!A:A,0))</f>
        <v/>
      </c>
      <c r="F348" s="3">
        <f>INDEX(Raw_Schedule!F:F,MATCH(A348,Raw_Schedule!A:A,0))</f>
        <v/>
      </c>
      <c r="G348" s="4">
        <f>INDEX(Raw_Schedule!G:G,MATCH(A348,Raw_Schedule!A:A,0))</f>
        <v/>
      </c>
      <c r="H348" s="5">
        <f>INDEX(Raw_Schedule!H:H,MATCH(A348,Raw_Schedule!A:A,0))</f>
        <v/>
      </c>
      <c r="I348" s="5">
        <f>SUMIFS(Raw_Payments!E:E,Raw_Payments!B:B,A348)</f>
        <v/>
      </c>
      <c r="J348" s="5">
        <f>H348-I348</f>
        <v/>
      </c>
      <c r="K348" s="3">
        <f>IF(J348&lt;=0.005,"PAID",IF(I348&gt;0,"PARTIAL","OVERDUE"))</f>
        <v/>
      </c>
      <c r="L348" s="4">
        <f>IF(COUNTIFS(Raw_Payments!B:B,A348)=0,"",SUMPRODUCT(MAX((Raw_Payments!B$2:B$1079=A348)*Raw_Payments!D$2:D$1079)))</f>
        <v/>
      </c>
      <c r="M348" s="3">
        <f>IF(K348="PAID",MAX(0,L348-G348),Guide!$B$3-G348)</f>
        <v/>
      </c>
      <c r="N348" s="3">
        <f>IF(J348&lt;=0.005,"COLLECTED",IF(M348&lt;=30,"1-30",IF(M348&lt;=60,"31-60",IF(M348&lt;=90,"61-90","90+"))))</f>
        <v/>
      </c>
      <c r="O348" s="3">
        <f>IF(N348="90+","LOST",IF(N348="61-90","ESCALATE",IF(N348="31-60","WATCH",IF(N348="1-30","MILD","OK"))))</f>
        <v/>
      </c>
      <c r="P348" s="3">
        <f>IF(J348&gt;0.005,ROW()-1,"")</f>
        <v/>
      </c>
    </row>
    <row r="349">
      <c r="A349" s="3" t="inlineStr">
        <is>
          <t>D0348</t>
        </is>
      </c>
      <c r="B349" s="3">
        <f>INDEX(Raw_Schedule!B:B,MATCH(A349,Raw_Schedule!A:A,0))</f>
        <v/>
      </c>
      <c r="C349" s="3">
        <f>INDEX(Raw_Schedule!C:C,MATCH(A349,Raw_Schedule!A:A,0))</f>
        <v/>
      </c>
      <c r="D349" s="3">
        <f>INDEX(Raw_Schedule!D:D,MATCH(A349,Raw_Schedule!A:A,0))</f>
        <v/>
      </c>
      <c r="E349" s="3">
        <f>INDEX(Raw_Schedule!E:E,MATCH(A349,Raw_Schedule!A:A,0))</f>
        <v/>
      </c>
      <c r="F349" s="3">
        <f>INDEX(Raw_Schedule!F:F,MATCH(A349,Raw_Schedule!A:A,0))</f>
        <v/>
      </c>
      <c r="G349" s="4">
        <f>INDEX(Raw_Schedule!G:G,MATCH(A349,Raw_Schedule!A:A,0))</f>
        <v/>
      </c>
      <c r="H349" s="5">
        <f>INDEX(Raw_Schedule!H:H,MATCH(A349,Raw_Schedule!A:A,0))</f>
        <v/>
      </c>
      <c r="I349" s="5">
        <f>SUMIFS(Raw_Payments!E:E,Raw_Payments!B:B,A349)</f>
        <v/>
      </c>
      <c r="J349" s="5">
        <f>H349-I349</f>
        <v/>
      </c>
      <c r="K349" s="3">
        <f>IF(J349&lt;=0.005,"PAID",IF(I349&gt;0,"PARTIAL","OVERDUE"))</f>
        <v/>
      </c>
      <c r="L349" s="4">
        <f>IF(COUNTIFS(Raw_Payments!B:B,A349)=0,"",SUMPRODUCT(MAX((Raw_Payments!B$2:B$1079=A349)*Raw_Payments!D$2:D$1079)))</f>
        <v/>
      </c>
      <c r="M349" s="3">
        <f>IF(K349="PAID",MAX(0,L349-G349),Guide!$B$3-G349)</f>
        <v/>
      </c>
      <c r="N349" s="3">
        <f>IF(J349&lt;=0.005,"COLLECTED",IF(M349&lt;=30,"1-30",IF(M349&lt;=60,"31-60",IF(M349&lt;=90,"61-90","90+"))))</f>
        <v/>
      </c>
      <c r="O349" s="3">
        <f>IF(N349="90+","LOST",IF(N349="61-90","ESCALATE",IF(N349="31-60","WATCH",IF(N349="1-30","MILD","OK"))))</f>
        <v/>
      </c>
      <c r="P349" s="3">
        <f>IF(J349&gt;0.005,ROW()-1,"")</f>
        <v/>
      </c>
    </row>
    <row r="350">
      <c r="A350" s="3" t="inlineStr">
        <is>
          <t>D0349</t>
        </is>
      </c>
      <c r="B350" s="3">
        <f>INDEX(Raw_Schedule!B:B,MATCH(A350,Raw_Schedule!A:A,0))</f>
        <v/>
      </c>
      <c r="C350" s="3">
        <f>INDEX(Raw_Schedule!C:C,MATCH(A350,Raw_Schedule!A:A,0))</f>
        <v/>
      </c>
      <c r="D350" s="3">
        <f>INDEX(Raw_Schedule!D:D,MATCH(A350,Raw_Schedule!A:A,0))</f>
        <v/>
      </c>
      <c r="E350" s="3">
        <f>INDEX(Raw_Schedule!E:E,MATCH(A350,Raw_Schedule!A:A,0))</f>
        <v/>
      </c>
      <c r="F350" s="3">
        <f>INDEX(Raw_Schedule!F:F,MATCH(A350,Raw_Schedule!A:A,0))</f>
        <v/>
      </c>
      <c r="G350" s="4">
        <f>INDEX(Raw_Schedule!G:G,MATCH(A350,Raw_Schedule!A:A,0))</f>
        <v/>
      </c>
      <c r="H350" s="5">
        <f>INDEX(Raw_Schedule!H:H,MATCH(A350,Raw_Schedule!A:A,0))</f>
        <v/>
      </c>
      <c r="I350" s="5">
        <f>SUMIFS(Raw_Payments!E:E,Raw_Payments!B:B,A350)</f>
        <v/>
      </c>
      <c r="J350" s="5">
        <f>H350-I350</f>
        <v/>
      </c>
      <c r="K350" s="3">
        <f>IF(J350&lt;=0.005,"PAID",IF(I350&gt;0,"PARTIAL","OVERDUE"))</f>
        <v/>
      </c>
      <c r="L350" s="4">
        <f>IF(COUNTIFS(Raw_Payments!B:B,A350)=0,"",SUMPRODUCT(MAX((Raw_Payments!B$2:B$1079=A350)*Raw_Payments!D$2:D$1079)))</f>
        <v/>
      </c>
      <c r="M350" s="3">
        <f>IF(K350="PAID",MAX(0,L350-G350),Guide!$B$3-G350)</f>
        <v/>
      </c>
      <c r="N350" s="3">
        <f>IF(J350&lt;=0.005,"COLLECTED",IF(M350&lt;=30,"1-30",IF(M350&lt;=60,"31-60",IF(M350&lt;=90,"61-90","90+"))))</f>
        <v/>
      </c>
      <c r="O350" s="3">
        <f>IF(N350="90+","LOST",IF(N350="61-90","ESCALATE",IF(N350="31-60","WATCH",IF(N350="1-30","MILD","OK"))))</f>
        <v/>
      </c>
      <c r="P350" s="3">
        <f>IF(J350&gt;0.005,ROW()-1,"")</f>
        <v/>
      </c>
    </row>
    <row r="351">
      <c r="A351" s="3" t="inlineStr">
        <is>
          <t>D0350</t>
        </is>
      </c>
      <c r="B351" s="3">
        <f>INDEX(Raw_Schedule!B:B,MATCH(A351,Raw_Schedule!A:A,0))</f>
        <v/>
      </c>
      <c r="C351" s="3">
        <f>INDEX(Raw_Schedule!C:C,MATCH(A351,Raw_Schedule!A:A,0))</f>
        <v/>
      </c>
      <c r="D351" s="3">
        <f>INDEX(Raw_Schedule!D:D,MATCH(A351,Raw_Schedule!A:A,0))</f>
        <v/>
      </c>
      <c r="E351" s="3">
        <f>INDEX(Raw_Schedule!E:E,MATCH(A351,Raw_Schedule!A:A,0))</f>
        <v/>
      </c>
      <c r="F351" s="3">
        <f>INDEX(Raw_Schedule!F:F,MATCH(A351,Raw_Schedule!A:A,0))</f>
        <v/>
      </c>
      <c r="G351" s="4">
        <f>INDEX(Raw_Schedule!G:G,MATCH(A351,Raw_Schedule!A:A,0))</f>
        <v/>
      </c>
      <c r="H351" s="5">
        <f>INDEX(Raw_Schedule!H:H,MATCH(A351,Raw_Schedule!A:A,0))</f>
        <v/>
      </c>
      <c r="I351" s="5">
        <f>SUMIFS(Raw_Payments!E:E,Raw_Payments!B:B,A351)</f>
        <v/>
      </c>
      <c r="J351" s="5">
        <f>H351-I351</f>
        <v/>
      </c>
      <c r="K351" s="3">
        <f>IF(J351&lt;=0.005,"PAID",IF(I351&gt;0,"PARTIAL","OVERDUE"))</f>
        <v/>
      </c>
      <c r="L351" s="4">
        <f>IF(COUNTIFS(Raw_Payments!B:B,A351)=0,"",SUMPRODUCT(MAX((Raw_Payments!B$2:B$1079=A351)*Raw_Payments!D$2:D$1079)))</f>
        <v/>
      </c>
      <c r="M351" s="3">
        <f>IF(K351="PAID",MAX(0,L351-G351),Guide!$B$3-G351)</f>
        <v/>
      </c>
      <c r="N351" s="3">
        <f>IF(J351&lt;=0.005,"COLLECTED",IF(M351&lt;=30,"1-30",IF(M351&lt;=60,"31-60",IF(M351&lt;=90,"61-90","90+"))))</f>
        <v/>
      </c>
      <c r="O351" s="3">
        <f>IF(N351="90+","LOST",IF(N351="61-90","ESCALATE",IF(N351="31-60","WATCH",IF(N351="1-30","MILD","OK"))))</f>
        <v/>
      </c>
      <c r="P351" s="3">
        <f>IF(J351&gt;0.005,ROW()-1,"")</f>
        <v/>
      </c>
    </row>
    <row r="352">
      <c r="A352" s="3" t="inlineStr">
        <is>
          <t>D0351</t>
        </is>
      </c>
      <c r="B352" s="3">
        <f>INDEX(Raw_Schedule!B:B,MATCH(A352,Raw_Schedule!A:A,0))</f>
        <v/>
      </c>
      <c r="C352" s="3">
        <f>INDEX(Raw_Schedule!C:C,MATCH(A352,Raw_Schedule!A:A,0))</f>
        <v/>
      </c>
      <c r="D352" s="3">
        <f>INDEX(Raw_Schedule!D:D,MATCH(A352,Raw_Schedule!A:A,0))</f>
        <v/>
      </c>
      <c r="E352" s="3">
        <f>INDEX(Raw_Schedule!E:E,MATCH(A352,Raw_Schedule!A:A,0))</f>
        <v/>
      </c>
      <c r="F352" s="3">
        <f>INDEX(Raw_Schedule!F:F,MATCH(A352,Raw_Schedule!A:A,0))</f>
        <v/>
      </c>
      <c r="G352" s="4">
        <f>INDEX(Raw_Schedule!G:G,MATCH(A352,Raw_Schedule!A:A,0))</f>
        <v/>
      </c>
      <c r="H352" s="5">
        <f>INDEX(Raw_Schedule!H:H,MATCH(A352,Raw_Schedule!A:A,0))</f>
        <v/>
      </c>
      <c r="I352" s="5">
        <f>SUMIFS(Raw_Payments!E:E,Raw_Payments!B:B,A352)</f>
        <v/>
      </c>
      <c r="J352" s="5">
        <f>H352-I352</f>
        <v/>
      </c>
      <c r="K352" s="3">
        <f>IF(J352&lt;=0.005,"PAID",IF(I352&gt;0,"PARTIAL","OVERDUE"))</f>
        <v/>
      </c>
      <c r="L352" s="4">
        <f>IF(COUNTIFS(Raw_Payments!B:B,A352)=0,"",SUMPRODUCT(MAX((Raw_Payments!B$2:B$1079=A352)*Raw_Payments!D$2:D$1079)))</f>
        <v/>
      </c>
      <c r="M352" s="3">
        <f>IF(K352="PAID",MAX(0,L352-G352),Guide!$B$3-G352)</f>
        <v/>
      </c>
      <c r="N352" s="3">
        <f>IF(J352&lt;=0.005,"COLLECTED",IF(M352&lt;=30,"1-30",IF(M352&lt;=60,"31-60",IF(M352&lt;=90,"61-90","90+"))))</f>
        <v/>
      </c>
      <c r="O352" s="3">
        <f>IF(N352="90+","LOST",IF(N352="61-90","ESCALATE",IF(N352="31-60","WATCH",IF(N352="1-30","MILD","OK"))))</f>
        <v/>
      </c>
      <c r="P352" s="3">
        <f>IF(J352&gt;0.005,ROW()-1,"")</f>
        <v/>
      </c>
    </row>
    <row r="353">
      <c r="A353" s="3" t="inlineStr">
        <is>
          <t>D0352</t>
        </is>
      </c>
      <c r="B353" s="3">
        <f>INDEX(Raw_Schedule!B:B,MATCH(A353,Raw_Schedule!A:A,0))</f>
        <v/>
      </c>
      <c r="C353" s="3">
        <f>INDEX(Raw_Schedule!C:C,MATCH(A353,Raw_Schedule!A:A,0))</f>
        <v/>
      </c>
      <c r="D353" s="3">
        <f>INDEX(Raw_Schedule!D:D,MATCH(A353,Raw_Schedule!A:A,0))</f>
        <v/>
      </c>
      <c r="E353" s="3">
        <f>INDEX(Raw_Schedule!E:E,MATCH(A353,Raw_Schedule!A:A,0))</f>
        <v/>
      </c>
      <c r="F353" s="3">
        <f>INDEX(Raw_Schedule!F:F,MATCH(A353,Raw_Schedule!A:A,0))</f>
        <v/>
      </c>
      <c r="G353" s="4">
        <f>INDEX(Raw_Schedule!G:G,MATCH(A353,Raw_Schedule!A:A,0))</f>
        <v/>
      </c>
      <c r="H353" s="5">
        <f>INDEX(Raw_Schedule!H:H,MATCH(A353,Raw_Schedule!A:A,0))</f>
        <v/>
      </c>
      <c r="I353" s="5">
        <f>SUMIFS(Raw_Payments!E:E,Raw_Payments!B:B,A353)</f>
        <v/>
      </c>
      <c r="J353" s="5">
        <f>H353-I353</f>
        <v/>
      </c>
      <c r="K353" s="3">
        <f>IF(J353&lt;=0.005,"PAID",IF(I353&gt;0,"PARTIAL","OVERDUE"))</f>
        <v/>
      </c>
      <c r="L353" s="4">
        <f>IF(COUNTIFS(Raw_Payments!B:B,A353)=0,"",SUMPRODUCT(MAX((Raw_Payments!B$2:B$1079=A353)*Raw_Payments!D$2:D$1079)))</f>
        <v/>
      </c>
      <c r="M353" s="3">
        <f>IF(K353="PAID",MAX(0,L353-G353),Guide!$B$3-G353)</f>
        <v/>
      </c>
      <c r="N353" s="3">
        <f>IF(J353&lt;=0.005,"COLLECTED",IF(M353&lt;=30,"1-30",IF(M353&lt;=60,"31-60",IF(M353&lt;=90,"61-90","90+"))))</f>
        <v/>
      </c>
      <c r="O353" s="3">
        <f>IF(N353="90+","LOST",IF(N353="61-90","ESCALATE",IF(N353="31-60","WATCH",IF(N353="1-30","MILD","OK"))))</f>
        <v/>
      </c>
      <c r="P353" s="3">
        <f>IF(J353&gt;0.005,ROW()-1,"")</f>
        <v/>
      </c>
    </row>
    <row r="354">
      <c r="A354" s="3" t="inlineStr">
        <is>
          <t>D0353</t>
        </is>
      </c>
      <c r="B354" s="3">
        <f>INDEX(Raw_Schedule!B:B,MATCH(A354,Raw_Schedule!A:A,0))</f>
        <v/>
      </c>
      <c r="C354" s="3">
        <f>INDEX(Raw_Schedule!C:C,MATCH(A354,Raw_Schedule!A:A,0))</f>
        <v/>
      </c>
      <c r="D354" s="3">
        <f>INDEX(Raw_Schedule!D:D,MATCH(A354,Raw_Schedule!A:A,0))</f>
        <v/>
      </c>
      <c r="E354" s="3">
        <f>INDEX(Raw_Schedule!E:E,MATCH(A354,Raw_Schedule!A:A,0))</f>
        <v/>
      </c>
      <c r="F354" s="3">
        <f>INDEX(Raw_Schedule!F:F,MATCH(A354,Raw_Schedule!A:A,0))</f>
        <v/>
      </c>
      <c r="G354" s="4">
        <f>INDEX(Raw_Schedule!G:G,MATCH(A354,Raw_Schedule!A:A,0))</f>
        <v/>
      </c>
      <c r="H354" s="5">
        <f>INDEX(Raw_Schedule!H:H,MATCH(A354,Raw_Schedule!A:A,0))</f>
        <v/>
      </c>
      <c r="I354" s="5">
        <f>SUMIFS(Raw_Payments!E:E,Raw_Payments!B:B,A354)</f>
        <v/>
      </c>
      <c r="J354" s="5">
        <f>H354-I354</f>
        <v/>
      </c>
      <c r="K354" s="3">
        <f>IF(J354&lt;=0.005,"PAID",IF(I354&gt;0,"PARTIAL","OVERDUE"))</f>
        <v/>
      </c>
      <c r="L354" s="4">
        <f>IF(COUNTIFS(Raw_Payments!B:B,A354)=0,"",SUMPRODUCT(MAX((Raw_Payments!B$2:B$1079=A354)*Raw_Payments!D$2:D$1079)))</f>
        <v/>
      </c>
      <c r="M354" s="3">
        <f>IF(K354="PAID",MAX(0,L354-G354),Guide!$B$3-G354)</f>
        <v/>
      </c>
      <c r="N354" s="3">
        <f>IF(J354&lt;=0.005,"COLLECTED",IF(M354&lt;=30,"1-30",IF(M354&lt;=60,"31-60",IF(M354&lt;=90,"61-90","90+"))))</f>
        <v/>
      </c>
      <c r="O354" s="3">
        <f>IF(N354="90+","LOST",IF(N354="61-90","ESCALATE",IF(N354="31-60","WATCH",IF(N354="1-30","MILD","OK"))))</f>
        <v/>
      </c>
      <c r="P354" s="3">
        <f>IF(J354&gt;0.005,ROW()-1,"")</f>
        <v/>
      </c>
    </row>
    <row r="355">
      <c r="A355" s="3" t="inlineStr">
        <is>
          <t>D0354</t>
        </is>
      </c>
      <c r="B355" s="3">
        <f>INDEX(Raw_Schedule!B:B,MATCH(A355,Raw_Schedule!A:A,0))</f>
        <v/>
      </c>
      <c r="C355" s="3">
        <f>INDEX(Raw_Schedule!C:C,MATCH(A355,Raw_Schedule!A:A,0))</f>
        <v/>
      </c>
      <c r="D355" s="3">
        <f>INDEX(Raw_Schedule!D:D,MATCH(A355,Raw_Schedule!A:A,0))</f>
        <v/>
      </c>
      <c r="E355" s="3">
        <f>INDEX(Raw_Schedule!E:E,MATCH(A355,Raw_Schedule!A:A,0))</f>
        <v/>
      </c>
      <c r="F355" s="3">
        <f>INDEX(Raw_Schedule!F:F,MATCH(A355,Raw_Schedule!A:A,0))</f>
        <v/>
      </c>
      <c r="G355" s="4">
        <f>INDEX(Raw_Schedule!G:G,MATCH(A355,Raw_Schedule!A:A,0))</f>
        <v/>
      </c>
      <c r="H355" s="5">
        <f>INDEX(Raw_Schedule!H:H,MATCH(A355,Raw_Schedule!A:A,0))</f>
        <v/>
      </c>
      <c r="I355" s="5">
        <f>SUMIFS(Raw_Payments!E:E,Raw_Payments!B:B,A355)</f>
        <v/>
      </c>
      <c r="J355" s="5">
        <f>H355-I355</f>
        <v/>
      </c>
      <c r="K355" s="3">
        <f>IF(J355&lt;=0.005,"PAID",IF(I355&gt;0,"PARTIAL","OVERDUE"))</f>
        <v/>
      </c>
      <c r="L355" s="4">
        <f>IF(COUNTIFS(Raw_Payments!B:B,A355)=0,"",SUMPRODUCT(MAX((Raw_Payments!B$2:B$1079=A355)*Raw_Payments!D$2:D$1079)))</f>
        <v/>
      </c>
      <c r="M355" s="3">
        <f>IF(K355="PAID",MAX(0,L355-G355),Guide!$B$3-G355)</f>
        <v/>
      </c>
      <c r="N355" s="3">
        <f>IF(J355&lt;=0.005,"COLLECTED",IF(M355&lt;=30,"1-30",IF(M355&lt;=60,"31-60",IF(M355&lt;=90,"61-90","90+"))))</f>
        <v/>
      </c>
      <c r="O355" s="3">
        <f>IF(N355="90+","LOST",IF(N355="61-90","ESCALATE",IF(N355="31-60","WATCH",IF(N355="1-30","MILD","OK"))))</f>
        <v/>
      </c>
      <c r="P355" s="3">
        <f>IF(J355&gt;0.005,ROW()-1,"")</f>
        <v/>
      </c>
    </row>
    <row r="356">
      <c r="A356" s="3" t="inlineStr">
        <is>
          <t>D0355</t>
        </is>
      </c>
      <c r="B356" s="3">
        <f>INDEX(Raw_Schedule!B:B,MATCH(A356,Raw_Schedule!A:A,0))</f>
        <v/>
      </c>
      <c r="C356" s="3">
        <f>INDEX(Raw_Schedule!C:C,MATCH(A356,Raw_Schedule!A:A,0))</f>
        <v/>
      </c>
      <c r="D356" s="3">
        <f>INDEX(Raw_Schedule!D:D,MATCH(A356,Raw_Schedule!A:A,0))</f>
        <v/>
      </c>
      <c r="E356" s="3">
        <f>INDEX(Raw_Schedule!E:E,MATCH(A356,Raw_Schedule!A:A,0))</f>
        <v/>
      </c>
      <c r="F356" s="3">
        <f>INDEX(Raw_Schedule!F:F,MATCH(A356,Raw_Schedule!A:A,0))</f>
        <v/>
      </c>
      <c r="G356" s="4">
        <f>INDEX(Raw_Schedule!G:G,MATCH(A356,Raw_Schedule!A:A,0))</f>
        <v/>
      </c>
      <c r="H356" s="5">
        <f>INDEX(Raw_Schedule!H:H,MATCH(A356,Raw_Schedule!A:A,0))</f>
        <v/>
      </c>
      <c r="I356" s="5">
        <f>SUMIFS(Raw_Payments!E:E,Raw_Payments!B:B,A356)</f>
        <v/>
      </c>
      <c r="J356" s="5">
        <f>H356-I356</f>
        <v/>
      </c>
      <c r="K356" s="3">
        <f>IF(J356&lt;=0.005,"PAID",IF(I356&gt;0,"PARTIAL","OVERDUE"))</f>
        <v/>
      </c>
      <c r="L356" s="4">
        <f>IF(COUNTIFS(Raw_Payments!B:B,A356)=0,"",SUMPRODUCT(MAX((Raw_Payments!B$2:B$1079=A356)*Raw_Payments!D$2:D$1079)))</f>
        <v/>
      </c>
      <c r="M356" s="3">
        <f>IF(K356="PAID",MAX(0,L356-G356),Guide!$B$3-G356)</f>
        <v/>
      </c>
      <c r="N356" s="3">
        <f>IF(J356&lt;=0.005,"COLLECTED",IF(M356&lt;=30,"1-30",IF(M356&lt;=60,"31-60",IF(M356&lt;=90,"61-90","90+"))))</f>
        <v/>
      </c>
      <c r="O356" s="3">
        <f>IF(N356="90+","LOST",IF(N356="61-90","ESCALATE",IF(N356="31-60","WATCH",IF(N356="1-30","MILD","OK"))))</f>
        <v/>
      </c>
      <c r="P356" s="3">
        <f>IF(J356&gt;0.005,ROW()-1,"")</f>
        <v/>
      </c>
    </row>
    <row r="357">
      <c r="A357" s="3" t="inlineStr">
        <is>
          <t>D0356</t>
        </is>
      </c>
      <c r="B357" s="3">
        <f>INDEX(Raw_Schedule!B:B,MATCH(A357,Raw_Schedule!A:A,0))</f>
        <v/>
      </c>
      <c r="C357" s="3">
        <f>INDEX(Raw_Schedule!C:C,MATCH(A357,Raw_Schedule!A:A,0))</f>
        <v/>
      </c>
      <c r="D357" s="3">
        <f>INDEX(Raw_Schedule!D:D,MATCH(A357,Raw_Schedule!A:A,0))</f>
        <v/>
      </c>
      <c r="E357" s="3">
        <f>INDEX(Raw_Schedule!E:E,MATCH(A357,Raw_Schedule!A:A,0))</f>
        <v/>
      </c>
      <c r="F357" s="3">
        <f>INDEX(Raw_Schedule!F:F,MATCH(A357,Raw_Schedule!A:A,0))</f>
        <v/>
      </c>
      <c r="G357" s="4">
        <f>INDEX(Raw_Schedule!G:G,MATCH(A357,Raw_Schedule!A:A,0))</f>
        <v/>
      </c>
      <c r="H357" s="5">
        <f>INDEX(Raw_Schedule!H:H,MATCH(A357,Raw_Schedule!A:A,0))</f>
        <v/>
      </c>
      <c r="I357" s="5">
        <f>SUMIFS(Raw_Payments!E:E,Raw_Payments!B:B,A357)</f>
        <v/>
      </c>
      <c r="J357" s="5">
        <f>H357-I357</f>
        <v/>
      </c>
      <c r="K357" s="3">
        <f>IF(J357&lt;=0.005,"PAID",IF(I357&gt;0,"PARTIAL","OVERDUE"))</f>
        <v/>
      </c>
      <c r="L357" s="4">
        <f>IF(COUNTIFS(Raw_Payments!B:B,A357)=0,"",SUMPRODUCT(MAX((Raw_Payments!B$2:B$1079=A357)*Raw_Payments!D$2:D$1079)))</f>
        <v/>
      </c>
      <c r="M357" s="3">
        <f>IF(K357="PAID",MAX(0,L357-G357),Guide!$B$3-G357)</f>
        <v/>
      </c>
      <c r="N357" s="3">
        <f>IF(J357&lt;=0.005,"COLLECTED",IF(M357&lt;=30,"1-30",IF(M357&lt;=60,"31-60",IF(M357&lt;=90,"61-90","90+"))))</f>
        <v/>
      </c>
      <c r="O357" s="3">
        <f>IF(N357="90+","LOST",IF(N357="61-90","ESCALATE",IF(N357="31-60","WATCH",IF(N357="1-30","MILD","OK"))))</f>
        <v/>
      </c>
      <c r="P357" s="3">
        <f>IF(J357&gt;0.005,ROW()-1,"")</f>
        <v/>
      </c>
    </row>
    <row r="358">
      <c r="A358" s="3" t="inlineStr">
        <is>
          <t>D0357</t>
        </is>
      </c>
      <c r="B358" s="3">
        <f>INDEX(Raw_Schedule!B:B,MATCH(A358,Raw_Schedule!A:A,0))</f>
        <v/>
      </c>
      <c r="C358" s="3">
        <f>INDEX(Raw_Schedule!C:C,MATCH(A358,Raw_Schedule!A:A,0))</f>
        <v/>
      </c>
      <c r="D358" s="3">
        <f>INDEX(Raw_Schedule!D:D,MATCH(A358,Raw_Schedule!A:A,0))</f>
        <v/>
      </c>
      <c r="E358" s="3">
        <f>INDEX(Raw_Schedule!E:E,MATCH(A358,Raw_Schedule!A:A,0))</f>
        <v/>
      </c>
      <c r="F358" s="3">
        <f>INDEX(Raw_Schedule!F:F,MATCH(A358,Raw_Schedule!A:A,0))</f>
        <v/>
      </c>
      <c r="G358" s="4">
        <f>INDEX(Raw_Schedule!G:G,MATCH(A358,Raw_Schedule!A:A,0))</f>
        <v/>
      </c>
      <c r="H358" s="5">
        <f>INDEX(Raw_Schedule!H:H,MATCH(A358,Raw_Schedule!A:A,0))</f>
        <v/>
      </c>
      <c r="I358" s="5">
        <f>SUMIFS(Raw_Payments!E:E,Raw_Payments!B:B,A358)</f>
        <v/>
      </c>
      <c r="J358" s="5">
        <f>H358-I358</f>
        <v/>
      </c>
      <c r="K358" s="3">
        <f>IF(J358&lt;=0.005,"PAID",IF(I358&gt;0,"PARTIAL","OVERDUE"))</f>
        <v/>
      </c>
      <c r="L358" s="4">
        <f>IF(COUNTIFS(Raw_Payments!B:B,A358)=0,"",SUMPRODUCT(MAX((Raw_Payments!B$2:B$1079=A358)*Raw_Payments!D$2:D$1079)))</f>
        <v/>
      </c>
      <c r="M358" s="3">
        <f>IF(K358="PAID",MAX(0,L358-G358),Guide!$B$3-G358)</f>
        <v/>
      </c>
      <c r="N358" s="3">
        <f>IF(J358&lt;=0.005,"COLLECTED",IF(M358&lt;=30,"1-30",IF(M358&lt;=60,"31-60",IF(M358&lt;=90,"61-90","90+"))))</f>
        <v/>
      </c>
      <c r="O358" s="3">
        <f>IF(N358="90+","LOST",IF(N358="61-90","ESCALATE",IF(N358="31-60","WATCH",IF(N358="1-30","MILD","OK"))))</f>
        <v/>
      </c>
      <c r="P358" s="3">
        <f>IF(J358&gt;0.005,ROW()-1,"")</f>
        <v/>
      </c>
    </row>
    <row r="359">
      <c r="A359" s="3" t="inlineStr">
        <is>
          <t>D0358</t>
        </is>
      </c>
      <c r="B359" s="3">
        <f>INDEX(Raw_Schedule!B:B,MATCH(A359,Raw_Schedule!A:A,0))</f>
        <v/>
      </c>
      <c r="C359" s="3">
        <f>INDEX(Raw_Schedule!C:C,MATCH(A359,Raw_Schedule!A:A,0))</f>
        <v/>
      </c>
      <c r="D359" s="3">
        <f>INDEX(Raw_Schedule!D:D,MATCH(A359,Raw_Schedule!A:A,0))</f>
        <v/>
      </c>
      <c r="E359" s="3">
        <f>INDEX(Raw_Schedule!E:E,MATCH(A359,Raw_Schedule!A:A,0))</f>
        <v/>
      </c>
      <c r="F359" s="3">
        <f>INDEX(Raw_Schedule!F:F,MATCH(A359,Raw_Schedule!A:A,0))</f>
        <v/>
      </c>
      <c r="G359" s="4">
        <f>INDEX(Raw_Schedule!G:G,MATCH(A359,Raw_Schedule!A:A,0))</f>
        <v/>
      </c>
      <c r="H359" s="5">
        <f>INDEX(Raw_Schedule!H:H,MATCH(A359,Raw_Schedule!A:A,0))</f>
        <v/>
      </c>
      <c r="I359" s="5">
        <f>SUMIFS(Raw_Payments!E:E,Raw_Payments!B:B,A359)</f>
        <v/>
      </c>
      <c r="J359" s="5">
        <f>H359-I359</f>
        <v/>
      </c>
      <c r="K359" s="3">
        <f>IF(J359&lt;=0.005,"PAID",IF(I359&gt;0,"PARTIAL","OVERDUE"))</f>
        <v/>
      </c>
      <c r="L359" s="4">
        <f>IF(COUNTIFS(Raw_Payments!B:B,A359)=0,"",SUMPRODUCT(MAX((Raw_Payments!B$2:B$1079=A359)*Raw_Payments!D$2:D$1079)))</f>
        <v/>
      </c>
      <c r="M359" s="3">
        <f>IF(K359="PAID",MAX(0,L359-G359),Guide!$B$3-G359)</f>
        <v/>
      </c>
      <c r="N359" s="3">
        <f>IF(J359&lt;=0.005,"COLLECTED",IF(M359&lt;=30,"1-30",IF(M359&lt;=60,"31-60",IF(M359&lt;=90,"61-90","90+"))))</f>
        <v/>
      </c>
      <c r="O359" s="3">
        <f>IF(N359="90+","LOST",IF(N359="61-90","ESCALATE",IF(N359="31-60","WATCH",IF(N359="1-30","MILD","OK"))))</f>
        <v/>
      </c>
      <c r="P359" s="3">
        <f>IF(J359&gt;0.005,ROW()-1,"")</f>
        <v/>
      </c>
    </row>
    <row r="360">
      <c r="A360" s="3" t="inlineStr">
        <is>
          <t>D0359</t>
        </is>
      </c>
      <c r="B360" s="3">
        <f>INDEX(Raw_Schedule!B:B,MATCH(A360,Raw_Schedule!A:A,0))</f>
        <v/>
      </c>
      <c r="C360" s="3">
        <f>INDEX(Raw_Schedule!C:C,MATCH(A360,Raw_Schedule!A:A,0))</f>
        <v/>
      </c>
      <c r="D360" s="3">
        <f>INDEX(Raw_Schedule!D:D,MATCH(A360,Raw_Schedule!A:A,0))</f>
        <v/>
      </c>
      <c r="E360" s="3">
        <f>INDEX(Raw_Schedule!E:E,MATCH(A360,Raw_Schedule!A:A,0))</f>
        <v/>
      </c>
      <c r="F360" s="3">
        <f>INDEX(Raw_Schedule!F:F,MATCH(A360,Raw_Schedule!A:A,0))</f>
        <v/>
      </c>
      <c r="G360" s="4">
        <f>INDEX(Raw_Schedule!G:G,MATCH(A360,Raw_Schedule!A:A,0))</f>
        <v/>
      </c>
      <c r="H360" s="5">
        <f>INDEX(Raw_Schedule!H:H,MATCH(A360,Raw_Schedule!A:A,0))</f>
        <v/>
      </c>
      <c r="I360" s="5">
        <f>SUMIFS(Raw_Payments!E:E,Raw_Payments!B:B,A360)</f>
        <v/>
      </c>
      <c r="J360" s="5">
        <f>H360-I360</f>
        <v/>
      </c>
      <c r="K360" s="3">
        <f>IF(J360&lt;=0.005,"PAID",IF(I360&gt;0,"PARTIAL","OVERDUE"))</f>
        <v/>
      </c>
      <c r="L360" s="4">
        <f>IF(COUNTIFS(Raw_Payments!B:B,A360)=0,"",SUMPRODUCT(MAX((Raw_Payments!B$2:B$1079=A360)*Raw_Payments!D$2:D$1079)))</f>
        <v/>
      </c>
      <c r="M360" s="3">
        <f>IF(K360="PAID",MAX(0,L360-G360),Guide!$B$3-G360)</f>
        <v/>
      </c>
      <c r="N360" s="3">
        <f>IF(J360&lt;=0.005,"COLLECTED",IF(M360&lt;=30,"1-30",IF(M360&lt;=60,"31-60",IF(M360&lt;=90,"61-90","90+"))))</f>
        <v/>
      </c>
      <c r="O360" s="3">
        <f>IF(N360="90+","LOST",IF(N360="61-90","ESCALATE",IF(N360="31-60","WATCH",IF(N360="1-30","MILD","OK"))))</f>
        <v/>
      </c>
      <c r="P360" s="3">
        <f>IF(J360&gt;0.005,ROW()-1,"")</f>
        <v/>
      </c>
    </row>
    <row r="361">
      <c r="A361" s="3" t="inlineStr">
        <is>
          <t>D0360</t>
        </is>
      </c>
      <c r="B361" s="3">
        <f>INDEX(Raw_Schedule!B:B,MATCH(A361,Raw_Schedule!A:A,0))</f>
        <v/>
      </c>
      <c r="C361" s="3">
        <f>INDEX(Raw_Schedule!C:C,MATCH(A361,Raw_Schedule!A:A,0))</f>
        <v/>
      </c>
      <c r="D361" s="3">
        <f>INDEX(Raw_Schedule!D:D,MATCH(A361,Raw_Schedule!A:A,0))</f>
        <v/>
      </c>
      <c r="E361" s="3">
        <f>INDEX(Raw_Schedule!E:E,MATCH(A361,Raw_Schedule!A:A,0))</f>
        <v/>
      </c>
      <c r="F361" s="3">
        <f>INDEX(Raw_Schedule!F:F,MATCH(A361,Raw_Schedule!A:A,0))</f>
        <v/>
      </c>
      <c r="G361" s="4">
        <f>INDEX(Raw_Schedule!G:G,MATCH(A361,Raw_Schedule!A:A,0))</f>
        <v/>
      </c>
      <c r="H361" s="5">
        <f>INDEX(Raw_Schedule!H:H,MATCH(A361,Raw_Schedule!A:A,0))</f>
        <v/>
      </c>
      <c r="I361" s="5">
        <f>SUMIFS(Raw_Payments!E:E,Raw_Payments!B:B,A361)</f>
        <v/>
      </c>
      <c r="J361" s="5">
        <f>H361-I361</f>
        <v/>
      </c>
      <c r="K361" s="3">
        <f>IF(J361&lt;=0.005,"PAID",IF(I361&gt;0,"PARTIAL","OVERDUE"))</f>
        <v/>
      </c>
      <c r="L361" s="4">
        <f>IF(COUNTIFS(Raw_Payments!B:B,A361)=0,"",SUMPRODUCT(MAX((Raw_Payments!B$2:B$1079=A361)*Raw_Payments!D$2:D$1079)))</f>
        <v/>
      </c>
      <c r="M361" s="3">
        <f>IF(K361="PAID",MAX(0,L361-G361),Guide!$B$3-G361)</f>
        <v/>
      </c>
      <c r="N361" s="3">
        <f>IF(J361&lt;=0.005,"COLLECTED",IF(M361&lt;=30,"1-30",IF(M361&lt;=60,"31-60",IF(M361&lt;=90,"61-90","90+"))))</f>
        <v/>
      </c>
      <c r="O361" s="3">
        <f>IF(N361="90+","LOST",IF(N361="61-90","ESCALATE",IF(N361="31-60","WATCH",IF(N361="1-30","MILD","OK"))))</f>
        <v/>
      </c>
      <c r="P361" s="3">
        <f>IF(J361&gt;0.005,ROW()-1,"")</f>
        <v/>
      </c>
    </row>
    <row r="362">
      <c r="A362" s="3" t="inlineStr">
        <is>
          <t>D0361</t>
        </is>
      </c>
      <c r="B362" s="3">
        <f>INDEX(Raw_Schedule!B:B,MATCH(A362,Raw_Schedule!A:A,0))</f>
        <v/>
      </c>
      <c r="C362" s="3">
        <f>INDEX(Raw_Schedule!C:C,MATCH(A362,Raw_Schedule!A:A,0))</f>
        <v/>
      </c>
      <c r="D362" s="3">
        <f>INDEX(Raw_Schedule!D:D,MATCH(A362,Raw_Schedule!A:A,0))</f>
        <v/>
      </c>
      <c r="E362" s="3">
        <f>INDEX(Raw_Schedule!E:E,MATCH(A362,Raw_Schedule!A:A,0))</f>
        <v/>
      </c>
      <c r="F362" s="3">
        <f>INDEX(Raw_Schedule!F:F,MATCH(A362,Raw_Schedule!A:A,0))</f>
        <v/>
      </c>
      <c r="G362" s="4">
        <f>INDEX(Raw_Schedule!G:G,MATCH(A362,Raw_Schedule!A:A,0))</f>
        <v/>
      </c>
      <c r="H362" s="5">
        <f>INDEX(Raw_Schedule!H:H,MATCH(A362,Raw_Schedule!A:A,0))</f>
        <v/>
      </c>
      <c r="I362" s="5">
        <f>SUMIFS(Raw_Payments!E:E,Raw_Payments!B:B,A362)</f>
        <v/>
      </c>
      <c r="J362" s="5">
        <f>H362-I362</f>
        <v/>
      </c>
      <c r="K362" s="3">
        <f>IF(J362&lt;=0.005,"PAID",IF(I362&gt;0,"PARTIAL","OVERDUE"))</f>
        <v/>
      </c>
      <c r="L362" s="4">
        <f>IF(COUNTIFS(Raw_Payments!B:B,A362)=0,"",SUMPRODUCT(MAX((Raw_Payments!B$2:B$1079=A362)*Raw_Payments!D$2:D$1079)))</f>
        <v/>
      </c>
      <c r="M362" s="3">
        <f>IF(K362="PAID",MAX(0,L362-G362),Guide!$B$3-G362)</f>
        <v/>
      </c>
      <c r="N362" s="3">
        <f>IF(J362&lt;=0.005,"COLLECTED",IF(M362&lt;=30,"1-30",IF(M362&lt;=60,"31-60",IF(M362&lt;=90,"61-90","90+"))))</f>
        <v/>
      </c>
      <c r="O362" s="3">
        <f>IF(N362="90+","LOST",IF(N362="61-90","ESCALATE",IF(N362="31-60","WATCH",IF(N362="1-30","MILD","OK"))))</f>
        <v/>
      </c>
      <c r="P362" s="3">
        <f>IF(J362&gt;0.005,ROW()-1,"")</f>
        <v/>
      </c>
    </row>
    <row r="363">
      <c r="A363" s="3" t="inlineStr">
        <is>
          <t>D0362</t>
        </is>
      </c>
      <c r="B363" s="3">
        <f>INDEX(Raw_Schedule!B:B,MATCH(A363,Raw_Schedule!A:A,0))</f>
        <v/>
      </c>
      <c r="C363" s="3">
        <f>INDEX(Raw_Schedule!C:C,MATCH(A363,Raw_Schedule!A:A,0))</f>
        <v/>
      </c>
      <c r="D363" s="3">
        <f>INDEX(Raw_Schedule!D:D,MATCH(A363,Raw_Schedule!A:A,0))</f>
        <v/>
      </c>
      <c r="E363" s="3">
        <f>INDEX(Raw_Schedule!E:E,MATCH(A363,Raw_Schedule!A:A,0))</f>
        <v/>
      </c>
      <c r="F363" s="3">
        <f>INDEX(Raw_Schedule!F:F,MATCH(A363,Raw_Schedule!A:A,0))</f>
        <v/>
      </c>
      <c r="G363" s="4">
        <f>INDEX(Raw_Schedule!G:G,MATCH(A363,Raw_Schedule!A:A,0))</f>
        <v/>
      </c>
      <c r="H363" s="5">
        <f>INDEX(Raw_Schedule!H:H,MATCH(A363,Raw_Schedule!A:A,0))</f>
        <v/>
      </c>
      <c r="I363" s="5">
        <f>SUMIFS(Raw_Payments!E:E,Raw_Payments!B:B,A363)</f>
        <v/>
      </c>
      <c r="J363" s="5">
        <f>H363-I363</f>
        <v/>
      </c>
      <c r="K363" s="3">
        <f>IF(J363&lt;=0.005,"PAID",IF(I363&gt;0,"PARTIAL","OVERDUE"))</f>
        <v/>
      </c>
      <c r="L363" s="4">
        <f>IF(COUNTIFS(Raw_Payments!B:B,A363)=0,"",SUMPRODUCT(MAX((Raw_Payments!B$2:B$1079=A363)*Raw_Payments!D$2:D$1079)))</f>
        <v/>
      </c>
      <c r="M363" s="3">
        <f>IF(K363="PAID",MAX(0,L363-G363),Guide!$B$3-G363)</f>
        <v/>
      </c>
      <c r="N363" s="3">
        <f>IF(J363&lt;=0.005,"COLLECTED",IF(M363&lt;=30,"1-30",IF(M363&lt;=60,"31-60",IF(M363&lt;=90,"61-90","90+"))))</f>
        <v/>
      </c>
      <c r="O363" s="3">
        <f>IF(N363="90+","LOST",IF(N363="61-90","ESCALATE",IF(N363="31-60","WATCH",IF(N363="1-30","MILD","OK"))))</f>
        <v/>
      </c>
      <c r="P363" s="3">
        <f>IF(J363&gt;0.005,ROW()-1,"")</f>
        <v/>
      </c>
    </row>
    <row r="364">
      <c r="A364" s="3" t="inlineStr">
        <is>
          <t>D0363</t>
        </is>
      </c>
      <c r="B364" s="3">
        <f>INDEX(Raw_Schedule!B:B,MATCH(A364,Raw_Schedule!A:A,0))</f>
        <v/>
      </c>
      <c r="C364" s="3">
        <f>INDEX(Raw_Schedule!C:C,MATCH(A364,Raw_Schedule!A:A,0))</f>
        <v/>
      </c>
      <c r="D364" s="3">
        <f>INDEX(Raw_Schedule!D:D,MATCH(A364,Raw_Schedule!A:A,0))</f>
        <v/>
      </c>
      <c r="E364" s="3">
        <f>INDEX(Raw_Schedule!E:E,MATCH(A364,Raw_Schedule!A:A,0))</f>
        <v/>
      </c>
      <c r="F364" s="3">
        <f>INDEX(Raw_Schedule!F:F,MATCH(A364,Raw_Schedule!A:A,0))</f>
        <v/>
      </c>
      <c r="G364" s="4">
        <f>INDEX(Raw_Schedule!G:G,MATCH(A364,Raw_Schedule!A:A,0))</f>
        <v/>
      </c>
      <c r="H364" s="5">
        <f>INDEX(Raw_Schedule!H:H,MATCH(A364,Raw_Schedule!A:A,0))</f>
        <v/>
      </c>
      <c r="I364" s="5">
        <f>SUMIFS(Raw_Payments!E:E,Raw_Payments!B:B,A364)</f>
        <v/>
      </c>
      <c r="J364" s="5">
        <f>H364-I364</f>
        <v/>
      </c>
      <c r="K364" s="3">
        <f>IF(J364&lt;=0.005,"PAID",IF(I364&gt;0,"PARTIAL","OVERDUE"))</f>
        <v/>
      </c>
      <c r="L364" s="4">
        <f>IF(COUNTIFS(Raw_Payments!B:B,A364)=0,"",SUMPRODUCT(MAX((Raw_Payments!B$2:B$1079=A364)*Raw_Payments!D$2:D$1079)))</f>
        <v/>
      </c>
      <c r="M364" s="3">
        <f>IF(K364="PAID",MAX(0,L364-G364),Guide!$B$3-G364)</f>
        <v/>
      </c>
      <c r="N364" s="3">
        <f>IF(J364&lt;=0.005,"COLLECTED",IF(M364&lt;=30,"1-30",IF(M364&lt;=60,"31-60",IF(M364&lt;=90,"61-90","90+"))))</f>
        <v/>
      </c>
      <c r="O364" s="3">
        <f>IF(N364="90+","LOST",IF(N364="61-90","ESCALATE",IF(N364="31-60","WATCH",IF(N364="1-30","MILD","OK"))))</f>
        <v/>
      </c>
      <c r="P364" s="3">
        <f>IF(J364&gt;0.005,ROW()-1,"")</f>
        <v/>
      </c>
    </row>
    <row r="365">
      <c r="A365" s="3" t="inlineStr">
        <is>
          <t>D0364</t>
        </is>
      </c>
      <c r="B365" s="3">
        <f>INDEX(Raw_Schedule!B:B,MATCH(A365,Raw_Schedule!A:A,0))</f>
        <v/>
      </c>
      <c r="C365" s="3">
        <f>INDEX(Raw_Schedule!C:C,MATCH(A365,Raw_Schedule!A:A,0))</f>
        <v/>
      </c>
      <c r="D365" s="3">
        <f>INDEX(Raw_Schedule!D:D,MATCH(A365,Raw_Schedule!A:A,0))</f>
        <v/>
      </c>
      <c r="E365" s="3">
        <f>INDEX(Raw_Schedule!E:E,MATCH(A365,Raw_Schedule!A:A,0))</f>
        <v/>
      </c>
      <c r="F365" s="3">
        <f>INDEX(Raw_Schedule!F:F,MATCH(A365,Raw_Schedule!A:A,0))</f>
        <v/>
      </c>
      <c r="G365" s="4">
        <f>INDEX(Raw_Schedule!G:G,MATCH(A365,Raw_Schedule!A:A,0))</f>
        <v/>
      </c>
      <c r="H365" s="5">
        <f>INDEX(Raw_Schedule!H:H,MATCH(A365,Raw_Schedule!A:A,0))</f>
        <v/>
      </c>
      <c r="I365" s="5">
        <f>SUMIFS(Raw_Payments!E:E,Raw_Payments!B:B,A365)</f>
        <v/>
      </c>
      <c r="J365" s="5">
        <f>H365-I365</f>
        <v/>
      </c>
      <c r="K365" s="3">
        <f>IF(J365&lt;=0.005,"PAID",IF(I365&gt;0,"PARTIAL","OVERDUE"))</f>
        <v/>
      </c>
      <c r="L365" s="4">
        <f>IF(COUNTIFS(Raw_Payments!B:B,A365)=0,"",SUMPRODUCT(MAX((Raw_Payments!B$2:B$1079=A365)*Raw_Payments!D$2:D$1079)))</f>
        <v/>
      </c>
      <c r="M365" s="3">
        <f>IF(K365="PAID",MAX(0,L365-G365),Guide!$B$3-G365)</f>
        <v/>
      </c>
      <c r="N365" s="3">
        <f>IF(J365&lt;=0.005,"COLLECTED",IF(M365&lt;=30,"1-30",IF(M365&lt;=60,"31-60",IF(M365&lt;=90,"61-90","90+"))))</f>
        <v/>
      </c>
      <c r="O365" s="3">
        <f>IF(N365="90+","LOST",IF(N365="61-90","ESCALATE",IF(N365="31-60","WATCH",IF(N365="1-30","MILD","OK"))))</f>
        <v/>
      </c>
      <c r="P365" s="3">
        <f>IF(J365&gt;0.005,ROW()-1,"")</f>
        <v/>
      </c>
    </row>
    <row r="366">
      <c r="A366" s="3" t="inlineStr">
        <is>
          <t>D0365</t>
        </is>
      </c>
      <c r="B366" s="3">
        <f>INDEX(Raw_Schedule!B:B,MATCH(A366,Raw_Schedule!A:A,0))</f>
        <v/>
      </c>
      <c r="C366" s="3">
        <f>INDEX(Raw_Schedule!C:C,MATCH(A366,Raw_Schedule!A:A,0))</f>
        <v/>
      </c>
      <c r="D366" s="3">
        <f>INDEX(Raw_Schedule!D:D,MATCH(A366,Raw_Schedule!A:A,0))</f>
        <v/>
      </c>
      <c r="E366" s="3">
        <f>INDEX(Raw_Schedule!E:E,MATCH(A366,Raw_Schedule!A:A,0))</f>
        <v/>
      </c>
      <c r="F366" s="3">
        <f>INDEX(Raw_Schedule!F:F,MATCH(A366,Raw_Schedule!A:A,0))</f>
        <v/>
      </c>
      <c r="G366" s="4">
        <f>INDEX(Raw_Schedule!G:G,MATCH(A366,Raw_Schedule!A:A,0))</f>
        <v/>
      </c>
      <c r="H366" s="5">
        <f>INDEX(Raw_Schedule!H:H,MATCH(A366,Raw_Schedule!A:A,0))</f>
        <v/>
      </c>
      <c r="I366" s="5">
        <f>SUMIFS(Raw_Payments!E:E,Raw_Payments!B:B,A366)</f>
        <v/>
      </c>
      <c r="J366" s="5">
        <f>H366-I366</f>
        <v/>
      </c>
      <c r="K366" s="3">
        <f>IF(J366&lt;=0.005,"PAID",IF(I366&gt;0,"PARTIAL","OVERDUE"))</f>
        <v/>
      </c>
      <c r="L366" s="4">
        <f>IF(COUNTIFS(Raw_Payments!B:B,A366)=0,"",SUMPRODUCT(MAX((Raw_Payments!B$2:B$1079=A366)*Raw_Payments!D$2:D$1079)))</f>
        <v/>
      </c>
      <c r="M366" s="3">
        <f>IF(K366="PAID",MAX(0,L366-G366),Guide!$B$3-G366)</f>
        <v/>
      </c>
      <c r="N366" s="3">
        <f>IF(J366&lt;=0.005,"COLLECTED",IF(M366&lt;=30,"1-30",IF(M366&lt;=60,"31-60",IF(M366&lt;=90,"61-90","90+"))))</f>
        <v/>
      </c>
      <c r="O366" s="3">
        <f>IF(N366="90+","LOST",IF(N366="61-90","ESCALATE",IF(N366="31-60","WATCH",IF(N366="1-30","MILD","OK"))))</f>
        <v/>
      </c>
      <c r="P366" s="3">
        <f>IF(J366&gt;0.005,ROW()-1,"")</f>
        <v/>
      </c>
    </row>
    <row r="367">
      <c r="A367" s="3" t="inlineStr">
        <is>
          <t>D0366</t>
        </is>
      </c>
      <c r="B367" s="3">
        <f>INDEX(Raw_Schedule!B:B,MATCH(A367,Raw_Schedule!A:A,0))</f>
        <v/>
      </c>
      <c r="C367" s="3">
        <f>INDEX(Raw_Schedule!C:C,MATCH(A367,Raw_Schedule!A:A,0))</f>
        <v/>
      </c>
      <c r="D367" s="3">
        <f>INDEX(Raw_Schedule!D:D,MATCH(A367,Raw_Schedule!A:A,0))</f>
        <v/>
      </c>
      <c r="E367" s="3">
        <f>INDEX(Raw_Schedule!E:E,MATCH(A367,Raw_Schedule!A:A,0))</f>
        <v/>
      </c>
      <c r="F367" s="3">
        <f>INDEX(Raw_Schedule!F:F,MATCH(A367,Raw_Schedule!A:A,0))</f>
        <v/>
      </c>
      <c r="G367" s="4">
        <f>INDEX(Raw_Schedule!G:G,MATCH(A367,Raw_Schedule!A:A,0))</f>
        <v/>
      </c>
      <c r="H367" s="5">
        <f>INDEX(Raw_Schedule!H:H,MATCH(A367,Raw_Schedule!A:A,0))</f>
        <v/>
      </c>
      <c r="I367" s="5">
        <f>SUMIFS(Raw_Payments!E:E,Raw_Payments!B:B,A367)</f>
        <v/>
      </c>
      <c r="J367" s="5">
        <f>H367-I367</f>
        <v/>
      </c>
      <c r="K367" s="3">
        <f>IF(J367&lt;=0.005,"PAID",IF(I367&gt;0,"PARTIAL","OVERDUE"))</f>
        <v/>
      </c>
      <c r="L367" s="4">
        <f>IF(COUNTIFS(Raw_Payments!B:B,A367)=0,"",SUMPRODUCT(MAX((Raw_Payments!B$2:B$1079=A367)*Raw_Payments!D$2:D$1079)))</f>
        <v/>
      </c>
      <c r="M367" s="3">
        <f>IF(K367="PAID",MAX(0,L367-G367),Guide!$B$3-G367)</f>
        <v/>
      </c>
      <c r="N367" s="3">
        <f>IF(J367&lt;=0.005,"COLLECTED",IF(M367&lt;=30,"1-30",IF(M367&lt;=60,"31-60",IF(M367&lt;=90,"61-90","90+"))))</f>
        <v/>
      </c>
      <c r="O367" s="3">
        <f>IF(N367="90+","LOST",IF(N367="61-90","ESCALATE",IF(N367="31-60","WATCH",IF(N367="1-30","MILD","OK"))))</f>
        <v/>
      </c>
      <c r="P367" s="3">
        <f>IF(J367&gt;0.005,ROW()-1,"")</f>
        <v/>
      </c>
    </row>
    <row r="368">
      <c r="A368" s="3" t="inlineStr">
        <is>
          <t>D0367</t>
        </is>
      </c>
      <c r="B368" s="3">
        <f>INDEX(Raw_Schedule!B:B,MATCH(A368,Raw_Schedule!A:A,0))</f>
        <v/>
      </c>
      <c r="C368" s="3">
        <f>INDEX(Raw_Schedule!C:C,MATCH(A368,Raw_Schedule!A:A,0))</f>
        <v/>
      </c>
      <c r="D368" s="3">
        <f>INDEX(Raw_Schedule!D:D,MATCH(A368,Raw_Schedule!A:A,0))</f>
        <v/>
      </c>
      <c r="E368" s="3">
        <f>INDEX(Raw_Schedule!E:E,MATCH(A368,Raw_Schedule!A:A,0))</f>
        <v/>
      </c>
      <c r="F368" s="3">
        <f>INDEX(Raw_Schedule!F:F,MATCH(A368,Raw_Schedule!A:A,0))</f>
        <v/>
      </c>
      <c r="G368" s="4">
        <f>INDEX(Raw_Schedule!G:G,MATCH(A368,Raw_Schedule!A:A,0))</f>
        <v/>
      </c>
      <c r="H368" s="5">
        <f>INDEX(Raw_Schedule!H:H,MATCH(A368,Raw_Schedule!A:A,0))</f>
        <v/>
      </c>
      <c r="I368" s="5">
        <f>SUMIFS(Raw_Payments!E:E,Raw_Payments!B:B,A368)</f>
        <v/>
      </c>
      <c r="J368" s="5">
        <f>H368-I368</f>
        <v/>
      </c>
      <c r="K368" s="3">
        <f>IF(J368&lt;=0.005,"PAID",IF(I368&gt;0,"PARTIAL","OVERDUE"))</f>
        <v/>
      </c>
      <c r="L368" s="4">
        <f>IF(COUNTIFS(Raw_Payments!B:B,A368)=0,"",SUMPRODUCT(MAX((Raw_Payments!B$2:B$1079=A368)*Raw_Payments!D$2:D$1079)))</f>
        <v/>
      </c>
      <c r="M368" s="3">
        <f>IF(K368="PAID",MAX(0,L368-G368),Guide!$B$3-G368)</f>
        <v/>
      </c>
      <c r="N368" s="3">
        <f>IF(J368&lt;=0.005,"COLLECTED",IF(M368&lt;=30,"1-30",IF(M368&lt;=60,"31-60",IF(M368&lt;=90,"61-90","90+"))))</f>
        <v/>
      </c>
      <c r="O368" s="3">
        <f>IF(N368="90+","LOST",IF(N368="61-90","ESCALATE",IF(N368="31-60","WATCH",IF(N368="1-30","MILD","OK"))))</f>
        <v/>
      </c>
      <c r="P368" s="3">
        <f>IF(J368&gt;0.005,ROW()-1,"")</f>
        <v/>
      </c>
    </row>
    <row r="369">
      <c r="A369" s="3" t="inlineStr">
        <is>
          <t>D0368</t>
        </is>
      </c>
      <c r="B369" s="3">
        <f>INDEX(Raw_Schedule!B:B,MATCH(A369,Raw_Schedule!A:A,0))</f>
        <v/>
      </c>
      <c r="C369" s="3">
        <f>INDEX(Raw_Schedule!C:C,MATCH(A369,Raw_Schedule!A:A,0))</f>
        <v/>
      </c>
      <c r="D369" s="3">
        <f>INDEX(Raw_Schedule!D:D,MATCH(A369,Raw_Schedule!A:A,0))</f>
        <v/>
      </c>
      <c r="E369" s="3">
        <f>INDEX(Raw_Schedule!E:E,MATCH(A369,Raw_Schedule!A:A,0))</f>
        <v/>
      </c>
      <c r="F369" s="3">
        <f>INDEX(Raw_Schedule!F:F,MATCH(A369,Raw_Schedule!A:A,0))</f>
        <v/>
      </c>
      <c r="G369" s="4">
        <f>INDEX(Raw_Schedule!G:G,MATCH(A369,Raw_Schedule!A:A,0))</f>
        <v/>
      </c>
      <c r="H369" s="5">
        <f>INDEX(Raw_Schedule!H:H,MATCH(A369,Raw_Schedule!A:A,0))</f>
        <v/>
      </c>
      <c r="I369" s="5">
        <f>SUMIFS(Raw_Payments!E:E,Raw_Payments!B:B,A369)</f>
        <v/>
      </c>
      <c r="J369" s="5">
        <f>H369-I369</f>
        <v/>
      </c>
      <c r="K369" s="3">
        <f>IF(J369&lt;=0.005,"PAID",IF(I369&gt;0,"PARTIAL","OVERDUE"))</f>
        <v/>
      </c>
      <c r="L369" s="4">
        <f>IF(COUNTIFS(Raw_Payments!B:B,A369)=0,"",SUMPRODUCT(MAX((Raw_Payments!B$2:B$1079=A369)*Raw_Payments!D$2:D$1079)))</f>
        <v/>
      </c>
      <c r="M369" s="3">
        <f>IF(K369="PAID",MAX(0,L369-G369),Guide!$B$3-G369)</f>
        <v/>
      </c>
      <c r="N369" s="3">
        <f>IF(J369&lt;=0.005,"COLLECTED",IF(M369&lt;=30,"1-30",IF(M369&lt;=60,"31-60",IF(M369&lt;=90,"61-90","90+"))))</f>
        <v/>
      </c>
      <c r="O369" s="3">
        <f>IF(N369="90+","LOST",IF(N369="61-90","ESCALATE",IF(N369="31-60","WATCH",IF(N369="1-30","MILD","OK"))))</f>
        <v/>
      </c>
      <c r="P369" s="3">
        <f>IF(J369&gt;0.005,ROW()-1,"")</f>
        <v/>
      </c>
    </row>
    <row r="370">
      <c r="A370" s="3" t="inlineStr">
        <is>
          <t>D0369</t>
        </is>
      </c>
      <c r="B370" s="3">
        <f>INDEX(Raw_Schedule!B:B,MATCH(A370,Raw_Schedule!A:A,0))</f>
        <v/>
      </c>
      <c r="C370" s="3">
        <f>INDEX(Raw_Schedule!C:C,MATCH(A370,Raw_Schedule!A:A,0))</f>
        <v/>
      </c>
      <c r="D370" s="3">
        <f>INDEX(Raw_Schedule!D:D,MATCH(A370,Raw_Schedule!A:A,0))</f>
        <v/>
      </c>
      <c r="E370" s="3">
        <f>INDEX(Raw_Schedule!E:E,MATCH(A370,Raw_Schedule!A:A,0))</f>
        <v/>
      </c>
      <c r="F370" s="3">
        <f>INDEX(Raw_Schedule!F:F,MATCH(A370,Raw_Schedule!A:A,0))</f>
        <v/>
      </c>
      <c r="G370" s="4">
        <f>INDEX(Raw_Schedule!G:G,MATCH(A370,Raw_Schedule!A:A,0))</f>
        <v/>
      </c>
      <c r="H370" s="5">
        <f>INDEX(Raw_Schedule!H:H,MATCH(A370,Raw_Schedule!A:A,0))</f>
        <v/>
      </c>
      <c r="I370" s="5">
        <f>SUMIFS(Raw_Payments!E:E,Raw_Payments!B:B,A370)</f>
        <v/>
      </c>
      <c r="J370" s="5">
        <f>H370-I370</f>
        <v/>
      </c>
      <c r="K370" s="3">
        <f>IF(J370&lt;=0.005,"PAID",IF(I370&gt;0,"PARTIAL","OVERDUE"))</f>
        <v/>
      </c>
      <c r="L370" s="4">
        <f>IF(COUNTIFS(Raw_Payments!B:B,A370)=0,"",SUMPRODUCT(MAX((Raw_Payments!B$2:B$1079=A370)*Raw_Payments!D$2:D$1079)))</f>
        <v/>
      </c>
      <c r="M370" s="3">
        <f>IF(K370="PAID",MAX(0,L370-G370),Guide!$B$3-G370)</f>
        <v/>
      </c>
      <c r="N370" s="3">
        <f>IF(J370&lt;=0.005,"COLLECTED",IF(M370&lt;=30,"1-30",IF(M370&lt;=60,"31-60",IF(M370&lt;=90,"61-90","90+"))))</f>
        <v/>
      </c>
      <c r="O370" s="3">
        <f>IF(N370="90+","LOST",IF(N370="61-90","ESCALATE",IF(N370="31-60","WATCH",IF(N370="1-30","MILD","OK"))))</f>
        <v/>
      </c>
      <c r="P370" s="3">
        <f>IF(J370&gt;0.005,ROW()-1,"")</f>
        <v/>
      </c>
    </row>
    <row r="371">
      <c r="A371" s="3" t="inlineStr">
        <is>
          <t>D0370</t>
        </is>
      </c>
      <c r="B371" s="3">
        <f>INDEX(Raw_Schedule!B:B,MATCH(A371,Raw_Schedule!A:A,0))</f>
        <v/>
      </c>
      <c r="C371" s="3">
        <f>INDEX(Raw_Schedule!C:C,MATCH(A371,Raw_Schedule!A:A,0))</f>
        <v/>
      </c>
      <c r="D371" s="3">
        <f>INDEX(Raw_Schedule!D:D,MATCH(A371,Raw_Schedule!A:A,0))</f>
        <v/>
      </c>
      <c r="E371" s="3">
        <f>INDEX(Raw_Schedule!E:E,MATCH(A371,Raw_Schedule!A:A,0))</f>
        <v/>
      </c>
      <c r="F371" s="3">
        <f>INDEX(Raw_Schedule!F:F,MATCH(A371,Raw_Schedule!A:A,0))</f>
        <v/>
      </c>
      <c r="G371" s="4">
        <f>INDEX(Raw_Schedule!G:G,MATCH(A371,Raw_Schedule!A:A,0))</f>
        <v/>
      </c>
      <c r="H371" s="5">
        <f>INDEX(Raw_Schedule!H:H,MATCH(A371,Raw_Schedule!A:A,0))</f>
        <v/>
      </c>
      <c r="I371" s="5">
        <f>SUMIFS(Raw_Payments!E:E,Raw_Payments!B:B,A371)</f>
        <v/>
      </c>
      <c r="J371" s="5">
        <f>H371-I371</f>
        <v/>
      </c>
      <c r="K371" s="3">
        <f>IF(J371&lt;=0.005,"PAID",IF(I371&gt;0,"PARTIAL","OVERDUE"))</f>
        <v/>
      </c>
      <c r="L371" s="4">
        <f>IF(COUNTIFS(Raw_Payments!B:B,A371)=0,"",SUMPRODUCT(MAX((Raw_Payments!B$2:B$1079=A371)*Raw_Payments!D$2:D$1079)))</f>
        <v/>
      </c>
      <c r="M371" s="3">
        <f>IF(K371="PAID",MAX(0,L371-G371),Guide!$B$3-G371)</f>
        <v/>
      </c>
      <c r="N371" s="3">
        <f>IF(J371&lt;=0.005,"COLLECTED",IF(M371&lt;=30,"1-30",IF(M371&lt;=60,"31-60",IF(M371&lt;=90,"61-90","90+"))))</f>
        <v/>
      </c>
      <c r="O371" s="3">
        <f>IF(N371="90+","LOST",IF(N371="61-90","ESCALATE",IF(N371="31-60","WATCH",IF(N371="1-30","MILD","OK"))))</f>
        <v/>
      </c>
      <c r="P371" s="3">
        <f>IF(J371&gt;0.005,ROW()-1,"")</f>
        <v/>
      </c>
    </row>
    <row r="372">
      <c r="A372" s="3" t="inlineStr">
        <is>
          <t>D0371</t>
        </is>
      </c>
      <c r="B372" s="3">
        <f>INDEX(Raw_Schedule!B:B,MATCH(A372,Raw_Schedule!A:A,0))</f>
        <v/>
      </c>
      <c r="C372" s="3">
        <f>INDEX(Raw_Schedule!C:C,MATCH(A372,Raw_Schedule!A:A,0))</f>
        <v/>
      </c>
      <c r="D372" s="3">
        <f>INDEX(Raw_Schedule!D:D,MATCH(A372,Raw_Schedule!A:A,0))</f>
        <v/>
      </c>
      <c r="E372" s="3">
        <f>INDEX(Raw_Schedule!E:E,MATCH(A372,Raw_Schedule!A:A,0))</f>
        <v/>
      </c>
      <c r="F372" s="3">
        <f>INDEX(Raw_Schedule!F:F,MATCH(A372,Raw_Schedule!A:A,0))</f>
        <v/>
      </c>
      <c r="G372" s="4">
        <f>INDEX(Raw_Schedule!G:G,MATCH(A372,Raw_Schedule!A:A,0))</f>
        <v/>
      </c>
      <c r="H372" s="5">
        <f>INDEX(Raw_Schedule!H:H,MATCH(A372,Raw_Schedule!A:A,0))</f>
        <v/>
      </c>
      <c r="I372" s="5">
        <f>SUMIFS(Raw_Payments!E:E,Raw_Payments!B:B,A372)</f>
        <v/>
      </c>
      <c r="J372" s="5">
        <f>H372-I372</f>
        <v/>
      </c>
      <c r="K372" s="3">
        <f>IF(J372&lt;=0.005,"PAID",IF(I372&gt;0,"PARTIAL","OVERDUE"))</f>
        <v/>
      </c>
      <c r="L372" s="4">
        <f>IF(COUNTIFS(Raw_Payments!B:B,A372)=0,"",SUMPRODUCT(MAX((Raw_Payments!B$2:B$1079=A372)*Raw_Payments!D$2:D$1079)))</f>
        <v/>
      </c>
      <c r="M372" s="3">
        <f>IF(K372="PAID",MAX(0,L372-G372),Guide!$B$3-G372)</f>
        <v/>
      </c>
      <c r="N372" s="3">
        <f>IF(J372&lt;=0.005,"COLLECTED",IF(M372&lt;=30,"1-30",IF(M372&lt;=60,"31-60",IF(M372&lt;=90,"61-90","90+"))))</f>
        <v/>
      </c>
      <c r="O372" s="3">
        <f>IF(N372="90+","LOST",IF(N372="61-90","ESCALATE",IF(N372="31-60","WATCH",IF(N372="1-30","MILD","OK"))))</f>
        <v/>
      </c>
      <c r="P372" s="3">
        <f>IF(J372&gt;0.005,ROW()-1,"")</f>
        <v/>
      </c>
    </row>
    <row r="373">
      <c r="A373" s="3" t="inlineStr">
        <is>
          <t>D0372</t>
        </is>
      </c>
      <c r="B373" s="3">
        <f>INDEX(Raw_Schedule!B:B,MATCH(A373,Raw_Schedule!A:A,0))</f>
        <v/>
      </c>
      <c r="C373" s="3">
        <f>INDEX(Raw_Schedule!C:C,MATCH(A373,Raw_Schedule!A:A,0))</f>
        <v/>
      </c>
      <c r="D373" s="3">
        <f>INDEX(Raw_Schedule!D:D,MATCH(A373,Raw_Schedule!A:A,0))</f>
        <v/>
      </c>
      <c r="E373" s="3">
        <f>INDEX(Raw_Schedule!E:E,MATCH(A373,Raw_Schedule!A:A,0))</f>
        <v/>
      </c>
      <c r="F373" s="3">
        <f>INDEX(Raw_Schedule!F:F,MATCH(A373,Raw_Schedule!A:A,0))</f>
        <v/>
      </c>
      <c r="G373" s="4">
        <f>INDEX(Raw_Schedule!G:G,MATCH(A373,Raw_Schedule!A:A,0))</f>
        <v/>
      </c>
      <c r="H373" s="5">
        <f>INDEX(Raw_Schedule!H:H,MATCH(A373,Raw_Schedule!A:A,0))</f>
        <v/>
      </c>
      <c r="I373" s="5">
        <f>SUMIFS(Raw_Payments!E:E,Raw_Payments!B:B,A373)</f>
        <v/>
      </c>
      <c r="J373" s="5">
        <f>H373-I373</f>
        <v/>
      </c>
      <c r="K373" s="3">
        <f>IF(J373&lt;=0.005,"PAID",IF(I373&gt;0,"PARTIAL","OVERDUE"))</f>
        <v/>
      </c>
      <c r="L373" s="4">
        <f>IF(COUNTIFS(Raw_Payments!B:B,A373)=0,"",SUMPRODUCT(MAX((Raw_Payments!B$2:B$1079=A373)*Raw_Payments!D$2:D$1079)))</f>
        <v/>
      </c>
      <c r="M373" s="3">
        <f>IF(K373="PAID",MAX(0,L373-G373),Guide!$B$3-G373)</f>
        <v/>
      </c>
      <c r="N373" s="3">
        <f>IF(J373&lt;=0.005,"COLLECTED",IF(M373&lt;=30,"1-30",IF(M373&lt;=60,"31-60",IF(M373&lt;=90,"61-90","90+"))))</f>
        <v/>
      </c>
      <c r="O373" s="3">
        <f>IF(N373="90+","LOST",IF(N373="61-90","ESCALATE",IF(N373="31-60","WATCH",IF(N373="1-30","MILD","OK"))))</f>
        <v/>
      </c>
      <c r="P373" s="3">
        <f>IF(J373&gt;0.005,ROW()-1,"")</f>
        <v/>
      </c>
    </row>
    <row r="374">
      <c r="A374" s="3" t="inlineStr">
        <is>
          <t>D0373</t>
        </is>
      </c>
      <c r="B374" s="3">
        <f>INDEX(Raw_Schedule!B:B,MATCH(A374,Raw_Schedule!A:A,0))</f>
        <v/>
      </c>
      <c r="C374" s="3">
        <f>INDEX(Raw_Schedule!C:C,MATCH(A374,Raw_Schedule!A:A,0))</f>
        <v/>
      </c>
      <c r="D374" s="3">
        <f>INDEX(Raw_Schedule!D:D,MATCH(A374,Raw_Schedule!A:A,0))</f>
        <v/>
      </c>
      <c r="E374" s="3">
        <f>INDEX(Raw_Schedule!E:E,MATCH(A374,Raw_Schedule!A:A,0))</f>
        <v/>
      </c>
      <c r="F374" s="3">
        <f>INDEX(Raw_Schedule!F:F,MATCH(A374,Raw_Schedule!A:A,0))</f>
        <v/>
      </c>
      <c r="G374" s="4">
        <f>INDEX(Raw_Schedule!G:G,MATCH(A374,Raw_Schedule!A:A,0))</f>
        <v/>
      </c>
      <c r="H374" s="5">
        <f>INDEX(Raw_Schedule!H:H,MATCH(A374,Raw_Schedule!A:A,0))</f>
        <v/>
      </c>
      <c r="I374" s="5">
        <f>SUMIFS(Raw_Payments!E:E,Raw_Payments!B:B,A374)</f>
        <v/>
      </c>
      <c r="J374" s="5">
        <f>H374-I374</f>
        <v/>
      </c>
      <c r="K374" s="3">
        <f>IF(J374&lt;=0.005,"PAID",IF(I374&gt;0,"PARTIAL","OVERDUE"))</f>
        <v/>
      </c>
      <c r="L374" s="4">
        <f>IF(COUNTIFS(Raw_Payments!B:B,A374)=0,"",SUMPRODUCT(MAX((Raw_Payments!B$2:B$1079=A374)*Raw_Payments!D$2:D$1079)))</f>
        <v/>
      </c>
      <c r="M374" s="3">
        <f>IF(K374="PAID",MAX(0,L374-G374),Guide!$B$3-G374)</f>
        <v/>
      </c>
      <c r="N374" s="3">
        <f>IF(J374&lt;=0.005,"COLLECTED",IF(M374&lt;=30,"1-30",IF(M374&lt;=60,"31-60",IF(M374&lt;=90,"61-90","90+"))))</f>
        <v/>
      </c>
      <c r="O374" s="3">
        <f>IF(N374="90+","LOST",IF(N374="61-90","ESCALATE",IF(N374="31-60","WATCH",IF(N374="1-30","MILD","OK"))))</f>
        <v/>
      </c>
      <c r="P374" s="3">
        <f>IF(J374&gt;0.005,ROW()-1,"")</f>
        <v/>
      </c>
    </row>
    <row r="375">
      <c r="A375" s="3" t="inlineStr">
        <is>
          <t>D0374</t>
        </is>
      </c>
      <c r="B375" s="3">
        <f>INDEX(Raw_Schedule!B:B,MATCH(A375,Raw_Schedule!A:A,0))</f>
        <v/>
      </c>
      <c r="C375" s="3">
        <f>INDEX(Raw_Schedule!C:C,MATCH(A375,Raw_Schedule!A:A,0))</f>
        <v/>
      </c>
      <c r="D375" s="3">
        <f>INDEX(Raw_Schedule!D:D,MATCH(A375,Raw_Schedule!A:A,0))</f>
        <v/>
      </c>
      <c r="E375" s="3">
        <f>INDEX(Raw_Schedule!E:E,MATCH(A375,Raw_Schedule!A:A,0))</f>
        <v/>
      </c>
      <c r="F375" s="3">
        <f>INDEX(Raw_Schedule!F:F,MATCH(A375,Raw_Schedule!A:A,0))</f>
        <v/>
      </c>
      <c r="G375" s="4">
        <f>INDEX(Raw_Schedule!G:G,MATCH(A375,Raw_Schedule!A:A,0))</f>
        <v/>
      </c>
      <c r="H375" s="5">
        <f>INDEX(Raw_Schedule!H:H,MATCH(A375,Raw_Schedule!A:A,0))</f>
        <v/>
      </c>
      <c r="I375" s="5">
        <f>SUMIFS(Raw_Payments!E:E,Raw_Payments!B:B,A375)</f>
        <v/>
      </c>
      <c r="J375" s="5">
        <f>H375-I375</f>
        <v/>
      </c>
      <c r="K375" s="3">
        <f>IF(J375&lt;=0.005,"PAID",IF(I375&gt;0,"PARTIAL","OVERDUE"))</f>
        <v/>
      </c>
      <c r="L375" s="4">
        <f>IF(COUNTIFS(Raw_Payments!B:B,A375)=0,"",SUMPRODUCT(MAX((Raw_Payments!B$2:B$1079=A375)*Raw_Payments!D$2:D$1079)))</f>
        <v/>
      </c>
      <c r="M375" s="3">
        <f>IF(K375="PAID",MAX(0,L375-G375),Guide!$B$3-G375)</f>
        <v/>
      </c>
      <c r="N375" s="3">
        <f>IF(J375&lt;=0.005,"COLLECTED",IF(M375&lt;=30,"1-30",IF(M375&lt;=60,"31-60",IF(M375&lt;=90,"61-90","90+"))))</f>
        <v/>
      </c>
      <c r="O375" s="3">
        <f>IF(N375="90+","LOST",IF(N375="61-90","ESCALATE",IF(N375="31-60","WATCH",IF(N375="1-30","MILD","OK"))))</f>
        <v/>
      </c>
      <c r="P375" s="3">
        <f>IF(J375&gt;0.005,ROW()-1,"")</f>
        <v/>
      </c>
    </row>
    <row r="376">
      <c r="A376" s="3" t="inlineStr">
        <is>
          <t>D0375</t>
        </is>
      </c>
      <c r="B376" s="3">
        <f>INDEX(Raw_Schedule!B:B,MATCH(A376,Raw_Schedule!A:A,0))</f>
        <v/>
      </c>
      <c r="C376" s="3">
        <f>INDEX(Raw_Schedule!C:C,MATCH(A376,Raw_Schedule!A:A,0))</f>
        <v/>
      </c>
      <c r="D376" s="3">
        <f>INDEX(Raw_Schedule!D:D,MATCH(A376,Raw_Schedule!A:A,0))</f>
        <v/>
      </c>
      <c r="E376" s="3">
        <f>INDEX(Raw_Schedule!E:E,MATCH(A376,Raw_Schedule!A:A,0))</f>
        <v/>
      </c>
      <c r="F376" s="3">
        <f>INDEX(Raw_Schedule!F:F,MATCH(A376,Raw_Schedule!A:A,0))</f>
        <v/>
      </c>
      <c r="G376" s="4">
        <f>INDEX(Raw_Schedule!G:G,MATCH(A376,Raw_Schedule!A:A,0))</f>
        <v/>
      </c>
      <c r="H376" s="5">
        <f>INDEX(Raw_Schedule!H:H,MATCH(A376,Raw_Schedule!A:A,0))</f>
        <v/>
      </c>
      <c r="I376" s="5">
        <f>SUMIFS(Raw_Payments!E:E,Raw_Payments!B:B,A376)</f>
        <v/>
      </c>
      <c r="J376" s="5">
        <f>H376-I376</f>
        <v/>
      </c>
      <c r="K376" s="3">
        <f>IF(J376&lt;=0.005,"PAID",IF(I376&gt;0,"PARTIAL","OVERDUE"))</f>
        <v/>
      </c>
      <c r="L376" s="4">
        <f>IF(COUNTIFS(Raw_Payments!B:B,A376)=0,"",SUMPRODUCT(MAX((Raw_Payments!B$2:B$1079=A376)*Raw_Payments!D$2:D$1079)))</f>
        <v/>
      </c>
      <c r="M376" s="3">
        <f>IF(K376="PAID",MAX(0,L376-G376),Guide!$B$3-G376)</f>
        <v/>
      </c>
      <c r="N376" s="3">
        <f>IF(J376&lt;=0.005,"COLLECTED",IF(M376&lt;=30,"1-30",IF(M376&lt;=60,"31-60",IF(M376&lt;=90,"61-90","90+"))))</f>
        <v/>
      </c>
      <c r="O376" s="3">
        <f>IF(N376="90+","LOST",IF(N376="61-90","ESCALATE",IF(N376="31-60","WATCH",IF(N376="1-30","MILD","OK"))))</f>
        <v/>
      </c>
      <c r="P376" s="3">
        <f>IF(J376&gt;0.005,ROW()-1,"")</f>
        <v/>
      </c>
    </row>
    <row r="377">
      <c r="A377" s="3" t="inlineStr">
        <is>
          <t>D0376</t>
        </is>
      </c>
      <c r="B377" s="3">
        <f>INDEX(Raw_Schedule!B:B,MATCH(A377,Raw_Schedule!A:A,0))</f>
        <v/>
      </c>
      <c r="C377" s="3">
        <f>INDEX(Raw_Schedule!C:C,MATCH(A377,Raw_Schedule!A:A,0))</f>
        <v/>
      </c>
      <c r="D377" s="3">
        <f>INDEX(Raw_Schedule!D:D,MATCH(A377,Raw_Schedule!A:A,0))</f>
        <v/>
      </c>
      <c r="E377" s="3">
        <f>INDEX(Raw_Schedule!E:E,MATCH(A377,Raw_Schedule!A:A,0))</f>
        <v/>
      </c>
      <c r="F377" s="3">
        <f>INDEX(Raw_Schedule!F:F,MATCH(A377,Raw_Schedule!A:A,0))</f>
        <v/>
      </c>
      <c r="G377" s="4">
        <f>INDEX(Raw_Schedule!G:G,MATCH(A377,Raw_Schedule!A:A,0))</f>
        <v/>
      </c>
      <c r="H377" s="5">
        <f>INDEX(Raw_Schedule!H:H,MATCH(A377,Raw_Schedule!A:A,0))</f>
        <v/>
      </c>
      <c r="I377" s="5">
        <f>SUMIFS(Raw_Payments!E:E,Raw_Payments!B:B,A377)</f>
        <v/>
      </c>
      <c r="J377" s="5">
        <f>H377-I377</f>
        <v/>
      </c>
      <c r="K377" s="3">
        <f>IF(J377&lt;=0.005,"PAID",IF(I377&gt;0,"PARTIAL","OVERDUE"))</f>
        <v/>
      </c>
      <c r="L377" s="4">
        <f>IF(COUNTIFS(Raw_Payments!B:B,A377)=0,"",SUMPRODUCT(MAX((Raw_Payments!B$2:B$1079=A377)*Raw_Payments!D$2:D$1079)))</f>
        <v/>
      </c>
      <c r="M377" s="3">
        <f>IF(K377="PAID",MAX(0,L377-G377),Guide!$B$3-G377)</f>
        <v/>
      </c>
      <c r="N377" s="3">
        <f>IF(J377&lt;=0.005,"COLLECTED",IF(M377&lt;=30,"1-30",IF(M377&lt;=60,"31-60",IF(M377&lt;=90,"61-90","90+"))))</f>
        <v/>
      </c>
      <c r="O377" s="3">
        <f>IF(N377="90+","LOST",IF(N377="61-90","ESCALATE",IF(N377="31-60","WATCH",IF(N377="1-30","MILD","OK"))))</f>
        <v/>
      </c>
      <c r="P377" s="3">
        <f>IF(J377&gt;0.005,ROW()-1,"")</f>
        <v/>
      </c>
    </row>
    <row r="378">
      <c r="A378" s="3" t="inlineStr">
        <is>
          <t>D0377</t>
        </is>
      </c>
      <c r="B378" s="3">
        <f>INDEX(Raw_Schedule!B:B,MATCH(A378,Raw_Schedule!A:A,0))</f>
        <v/>
      </c>
      <c r="C378" s="3">
        <f>INDEX(Raw_Schedule!C:C,MATCH(A378,Raw_Schedule!A:A,0))</f>
        <v/>
      </c>
      <c r="D378" s="3">
        <f>INDEX(Raw_Schedule!D:D,MATCH(A378,Raw_Schedule!A:A,0))</f>
        <v/>
      </c>
      <c r="E378" s="3">
        <f>INDEX(Raw_Schedule!E:E,MATCH(A378,Raw_Schedule!A:A,0))</f>
        <v/>
      </c>
      <c r="F378" s="3">
        <f>INDEX(Raw_Schedule!F:F,MATCH(A378,Raw_Schedule!A:A,0))</f>
        <v/>
      </c>
      <c r="G378" s="4">
        <f>INDEX(Raw_Schedule!G:G,MATCH(A378,Raw_Schedule!A:A,0))</f>
        <v/>
      </c>
      <c r="H378" s="5">
        <f>INDEX(Raw_Schedule!H:H,MATCH(A378,Raw_Schedule!A:A,0))</f>
        <v/>
      </c>
      <c r="I378" s="5">
        <f>SUMIFS(Raw_Payments!E:E,Raw_Payments!B:B,A378)</f>
        <v/>
      </c>
      <c r="J378" s="5">
        <f>H378-I378</f>
        <v/>
      </c>
      <c r="K378" s="3">
        <f>IF(J378&lt;=0.005,"PAID",IF(I378&gt;0,"PARTIAL","OVERDUE"))</f>
        <v/>
      </c>
      <c r="L378" s="4">
        <f>IF(COUNTIFS(Raw_Payments!B:B,A378)=0,"",SUMPRODUCT(MAX((Raw_Payments!B$2:B$1079=A378)*Raw_Payments!D$2:D$1079)))</f>
        <v/>
      </c>
      <c r="M378" s="3">
        <f>IF(K378="PAID",MAX(0,L378-G378),Guide!$B$3-G378)</f>
        <v/>
      </c>
      <c r="N378" s="3">
        <f>IF(J378&lt;=0.005,"COLLECTED",IF(M378&lt;=30,"1-30",IF(M378&lt;=60,"31-60",IF(M378&lt;=90,"61-90","90+"))))</f>
        <v/>
      </c>
      <c r="O378" s="3">
        <f>IF(N378="90+","LOST",IF(N378="61-90","ESCALATE",IF(N378="31-60","WATCH",IF(N378="1-30","MILD","OK"))))</f>
        <v/>
      </c>
      <c r="P378" s="3">
        <f>IF(J378&gt;0.005,ROW()-1,"")</f>
        <v/>
      </c>
    </row>
    <row r="379">
      <c r="A379" s="3" t="inlineStr">
        <is>
          <t>D0378</t>
        </is>
      </c>
      <c r="B379" s="3">
        <f>INDEX(Raw_Schedule!B:B,MATCH(A379,Raw_Schedule!A:A,0))</f>
        <v/>
      </c>
      <c r="C379" s="3">
        <f>INDEX(Raw_Schedule!C:C,MATCH(A379,Raw_Schedule!A:A,0))</f>
        <v/>
      </c>
      <c r="D379" s="3">
        <f>INDEX(Raw_Schedule!D:D,MATCH(A379,Raw_Schedule!A:A,0))</f>
        <v/>
      </c>
      <c r="E379" s="3">
        <f>INDEX(Raw_Schedule!E:E,MATCH(A379,Raw_Schedule!A:A,0))</f>
        <v/>
      </c>
      <c r="F379" s="3">
        <f>INDEX(Raw_Schedule!F:F,MATCH(A379,Raw_Schedule!A:A,0))</f>
        <v/>
      </c>
      <c r="G379" s="4">
        <f>INDEX(Raw_Schedule!G:G,MATCH(A379,Raw_Schedule!A:A,0))</f>
        <v/>
      </c>
      <c r="H379" s="5">
        <f>INDEX(Raw_Schedule!H:H,MATCH(A379,Raw_Schedule!A:A,0))</f>
        <v/>
      </c>
      <c r="I379" s="5">
        <f>SUMIFS(Raw_Payments!E:E,Raw_Payments!B:B,A379)</f>
        <v/>
      </c>
      <c r="J379" s="5">
        <f>H379-I379</f>
        <v/>
      </c>
      <c r="K379" s="3">
        <f>IF(J379&lt;=0.005,"PAID",IF(I379&gt;0,"PARTIAL","OVERDUE"))</f>
        <v/>
      </c>
      <c r="L379" s="4">
        <f>IF(COUNTIFS(Raw_Payments!B:B,A379)=0,"",SUMPRODUCT(MAX((Raw_Payments!B$2:B$1079=A379)*Raw_Payments!D$2:D$1079)))</f>
        <v/>
      </c>
      <c r="M379" s="3">
        <f>IF(K379="PAID",MAX(0,L379-G379),Guide!$B$3-G379)</f>
        <v/>
      </c>
      <c r="N379" s="3">
        <f>IF(J379&lt;=0.005,"COLLECTED",IF(M379&lt;=30,"1-30",IF(M379&lt;=60,"31-60",IF(M379&lt;=90,"61-90","90+"))))</f>
        <v/>
      </c>
      <c r="O379" s="3">
        <f>IF(N379="90+","LOST",IF(N379="61-90","ESCALATE",IF(N379="31-60","WATCH",IF(N379="1-30","MILD","OK"))))</f>
        <v/>
      </c>
      <c r="P379" s="3">
        <f>IF(J379&gt;0.005,ROW()-1,"")</f>
        <v/>
      </c>
    </row>
    <row r="380">
      <c r="A380" s="3" t="inlineStr">
        <is>
          <t>D0379</t>
        </is>
      </c>
      <c r="B380" s="3">
        <f>INDEX(Raw_Schedule!B:B,MATCH(A380,Raw_Schedule!A:A,0))</f>
        <v/>
      </c>
      <c r="C380" s="3">
        <f>INDEX(Raw_Schedule!C:C,MATCH(A380,Raw_Schedule!A:A,0))</f>
        <v/>
      </c>
      <c r="D380" s="3">
        <f>INDEX(Raw_Schedule!D:D,MATCH(A380,Raw_Schedule!A:A,0))</f>
        <v/>
      </c>
      <c r="E380" s="3">
        <f>INDEX(Raw_Schedule!E:E,MATCH(A380,Raw_Schedule!A:A,0))</f>
        <v/>
      </c>
      <c r="F380" s="3">
        <f>INDEX(Raw_Schedule!F:F,MATCH(A380,Raw_Schedule!A:A,0))</f>
        <v/>
      </c>
      <c r="G380" s="4">
        <f>INDEX(Raw_Schedule!G:G,MATCH(A380,Raw_Schedule!A:A,0))</f>
        <v/>
      </c>
      <c r="H380" s="5">
        <f>INDEX(Raw_Schedule!H:H,MATCH(A380,Raw_Schedule!A:A,0))</f>
        <v/>
      </c>
      <c r="I380" s="5">
        <f>SUMIFS(Raw_Payments!E:E,Raw_Payments!B:B,A380)</f>
        <v/>
      </c>
      <c r="J380" s="5">
        <f>H380-I380</f>
        <v/>
      </c>
      <c r="K380" s="3">
        <f>IF(J380&lt;=0.005,"PAID",IF(I380&gt;0,"PARTIAL","OVERDUE"))</f>
        <v/>
      </c>
      <c r="L380" s="4">
        <f>IF(COUNTIFS(Raw_Payments!B:B,A380)=0,"",SUMPRODUCT(MAX((Raw_Payments!B$2:B$1079=A380)*Raw_Payments!D$2:D$1079)))</f>
        <v/>
      </c>
      <c r="M380" s="3">
        <f>IF(K380="PAID",MAX(0,L380-G380),Guide!$B$3-G380)</f>
        <v/>
      </c>
      <c r="N380" s="3">
        <f>IF(J380&lt;=0.005,"COLLECTED",IF(M380&lt;=30,"1-30",IF(M380&lt;=60,"31-60",IF(M380&lt;=90,"61-90","90+"))))</f>
        <v/>
      </c>
      <c r="O380" s="3">
        <f>IF(N380="90+","LOST",IF(N380="61-90","ESCALATE",IF(N380="31-60","WATCH",IF(N380="1-30","MILD","OK"))))</f>
        <v/>
      </c>
      <c r="P380" s="3">
        <f>IF(J380&gt;0.005,ROW()-1,"")</f>
        <v/>
      </c>
    </row>
    <row r="381">
      <c r="A381" s="3" t="inlineStr">
        <is>
          <t>D0380</t>
        </is>
      </c>
      <c r="B381" s="3">
        <f>INDEX(Raw_Schedule!B:B,MATCH(A381,Raw_Schedule!A:A,0))</f>
        <v/>
      </c>
      <c r="C381" s="3">
        <f>INDEX(Raw_Schedule!C:C,MATCH(A381,Raw_Schedule!A:A,0))</f>
        <v/>
      </c>
      <c r="D381" s="3">
        <f>INDEX(Raw_Schedule!D:D,MATCH(A381,Raw_Schedule!A:A,0))</f>
        <v/>
      </c>
      <c r="E381" s="3">
        <f>INDEX(Raw_Schedule!E:E,MATCH(A381,Raw_Schedule!A:A,0))</f>
        <v/>
      </c>
      <c r="F381" s="3">
        <f>INDEX(Raw_Schedule!F:F,MATCH(A381,Raw_Schedule!A:A,0))</f>
        <v/>
      </c>
      <c r="G381" s="4">
        <f>INDEX(Raw_Schedule!G:G,MATCH(A381,Raw_Schedule!A:A,0))</f>
        <v/>
      </c>
      <c r="H381" s="5">
        <f>INDEX(Raw_Schedule!H:H,MATCH(A381,Raw_Schedule!A:A,0))</f>
        <v/>
      </c>
      <c r="I381" s="5">
        <f>SUMIFS(Raw_Payments!E:E,Raw_Payments!B:B,A381)</f>
        <v/>
      </c>
      <c r="J381" s="5">
        <f>H381-I381</f>
        <v/>
      </c>
      <c r="K381" s="3">
        <f>IF(J381&lt;=0.005,"PAID",IF(I381&gt;0,"PARTIAL","OVERDUE"))</f>
        <v/>
      </c>
      <c r="L381" s="4">
        <f>IF(COUNTIFS(Raw_Payments!B:B,A381)=0,"",SUMPRODUCT(MAX((Raw_Payments!B$2:B$1079=A381)*Raw_Payments!D$2:D$1079)))</f>
        <v/>
      </c>
      <c r="M381" s="3">
        <f>IF(K381="PAID",MAX(0,L381-G381),Guide!$B$3-G381)</f>
        <v/>
      </c>
      <c r="N381" s="3">
        <f>IF(J381&lt;=0.005,"COLLECTED",IF(M381&lt;=30,"1-30",IF(M381&lt;=60,"31-60",IF(M381&lt;=90,"61-90","90+"))))</f>
        <v/>
      </c>
      <c r="O381" s="3">
        <f>IF(N381="90+","LOST",IF(N381="61-90","ESCALATE",IF(N381="31-60","WATCH",IF(N381="1-30","MILD","OK"))))</f>
        <v/>
      </c>
      <c r="P381" s="3">
        <f>IF(J381&gt;0.005,ROW()-1,"")</f>
        <v/>
      </c>
    </row>
    <row r="382">
      <c r="A382" s="3" t="inlineStr">
        <is>
          <t>D0381</t>
        </is>
      </c>
      <c r="B382" s="3">
        <f>INDEX(Raw_Schedule!B:B,MATCH(A382,Raw_Schedule!A:A,0))</f>
        <v/>
      </c>
      <c r="C382" s="3">
        <f>INDEX(Raw_Schedule!C:C,MATCH(A382,Raw_Schedule!A:A,0))</f>
        <v/>
      </c>
      <c r="D382" s="3">
        <f>INDEX(Raw_Schedule!D:D,MATCH(A382,Raw_Schedule!A:A,0))</f>
        <v/>
      </c>
      <c r="E382" s="3">
        <f>INDEX(Raw_Schedule!E:E,MATCH(A382,Raw_Schedule!A:A,0))</f>
        <v/>
      </c>
      <c r="F382" s="3">
        <f>INDEX(Raw_Schedule!F:F,MATCH(A382,Raw_Schedule!A:A,0))</f>
        <v/>
      </c>
      <c r="G382" s="4">
        <f>INDEX(Raw_Schedule!G:G,MATCH(A382,Raw_Schedule!A:A,0))</f>
        <v/>
      </c>
      <c r="H382" s="5">
        <f>INDEX(Raw_Schedule!H:H,MATCH(A382,Raw_Schedule!A:A,0))</f>
        <v/>
      </c>
      <c r="I382" s="5">
        <f>SUMIFS(Raw_Payments!E:E,Raw_Payments!B:B,A382)</f>
        <v/>
      </c>
      <c r="J382" s="5">
        <f>H382-I382</f>
        <v/>
      </c>
      <c r="K382" s="3">
        <f>IF(J382&lt;=0.005,"PAID",IF(I382&gt;0,"PARTIAL","OVERDUE"))</f>
        <v/>
      </c>
      <c r="L382" s="4">
        <f>IF(COUNTIFS(Raw_Payments!B:B,A382)=0,"",SUMPRODUCT(MAX((Raw_Payments!B$2:B$1079=A382)*Raw_Payments!D$2:D$1079)))</f>
        <v/>
      </c>
      <c r="M382" s="3">
        <f>IF(K382="PAID",MAX(0,L382-G382),Guide!$B$3-G382)</f>
        <v/>
      </c>
      <c r="N382" s="3">
        <f>IF(J382&lt;=0.005,"COLLECTED",IF(M382&lt;=30,"1-30",IF(M382&lt;=60,"31-60",IF(M382&lt;=90,"61-90","90+"))))</f>
        <v/>
      </c>
      <c r="O382" s="3">
        <f>IF(N382="90+","LOST",IF(N382="61-90","ESCALATE",IF(N382="31-60","WATCH",IF(N382="1-30","MILD","OK"))))</f>
        <v/>
      </c>
      <c r="P382" s="3">
        <f>IF(J382&gt;0.005,ROW()-1,"")</f>
        <v/>
      </c>
    </row>
    <row r="383">
      <c r="A383" s="3" t="inlineStr">
        <is>
          <t>D0382</t>
        </is>
      </c>
      <c r="B383" s="3">
        <f>INDEX(Raw_Schedule!B:B,MATCH(A383,Raw_Schedule!A:A,0))</f>
        <v/>
      </c>
      <c r="C383" s="3">
        <f>INDEX(Raw_Schedule!C:C,MATCH(A383,Raw_Schedule!A:A,0))</f>
        <v/>
      </c>
      <c r="D383" s="3">
        <f>INDEX(Raw_Schedule!D:D,MATCH(A383,Raw_Schedule!A:A,0))</f>
        <v/>
      </c>
      <c r="E383" s="3">
        <f>INDEX(Raw_Schedule!E:E,MATCH(A383,Raw_Schedule!A:A,0))</f>
        <v/>
      </c>
      <c r="F383" s="3">
        <f>INDEX(Raw_Schedule!F:F,MATCH(A383,Raw_Schedule!A:A,0))</f>
        <v/>
      </c>
      <c r="G383" s="4">
        <f>INDEX(Raw_Schedule!G:G,MATCH(A383,Raw_Schedule!A:A,0))</f>
        <v/>
      </c>
      <c r="H383" s="5">
        <f>INDEX(Raw_Schedule!H:H,MATCH(A383,Raw_Schedule!A:A,0))</f>
        <v/>
      </c>
      <c r="I383" s="5">
        <f>SUMIFS(Raw_Payments!E:E,Raw_Payments!B:B,A383)</f>
        <v/>
      </c>
      <c r="J383" s="5">
        <f>H383-I383</f>
        <v/>
      </c>
      <c r="K383" s="3">
        <f>IF(J383&lt;=0.005,"PAID",IF(I383&gt;0,"PARTIAL","OVERDUE"))</f>
        <v/>
      </c>
      <c r="L383" s="4">
        <f>IF(COUNTIFS(Raw_Payments!B:B,A383)=0,"",SUMPRODUCT(MAX((Raw_Payments!B$2:B$1079=A383)*Raw_Payments!D$2:D$1079)))</f>
        <v/>
      </c>
      <c r="M383" s="3">
        <f>IF(K383="PAID",MAX(0,L383-G383),Guide!$B$3-G383)</f>
        <v/>
      </c>
      <c r="N383" s="3">
        <f>IF(J383&lt;=0.005,"COLLECTED",IF(M383&lt;=30,"1-30",IF(M383&lt;=60,"31-60",IF(M383&lt;=90,"61-90","90+"))))</f>
        <v/>
      </c>
      <c r="O383" s="3">
        <f>IF(N383="90+","LOST",IF(N383="61-90","ESCALATE",IF(N383="31-60","WATCH",IF(N383="1-30","MILD","OK"))))</f>
        <v/>
      </c>
      <c r="P383" s="3">
        <f>IF(J383&gt;0.005,ROW()-1,"")</f>
        <v/>
      </c>
    </row>
    <row r="384">
      <c r="A384" s="3" t="inlineStr">
        <is>
          <t>D0383</t>
        </is>
      </c>
      <c r="B384" s="3">
        <f>INDEX(Raw_Schedule!B:B,MATCH(A384,Raw_Schedule!A:A,0))</f>
        <v/>
      </c>
      <c r="C384" s="3">
        <f>INDEX(Raw_Schedule!C:C,MATCH(A384,Raw_Schedule!A:A,0))</f>
        <v/>
      </c>
      <c r="D384" s="3">
        <f>INDEX(Raw_Schedule!D:D,MATCH(A384,Raw_Schedule!A:A,0))</f>
        <v/>
      </c>
      <c r="E384" s="3">
        <f>INDEX(Raw_Schedule!E:E,MATCH(A384,Raw_Schedule!A:A,0))</f>
        <v/>
      </c>
      <c r="F384" s="3">
        <f>INDEX(Raw_Schedule!F:F,MATCH(A384,Raw_Schedule!A:A,0))</f>
        <v/>
      </c>
      <c r="G384" s="4">
        <f>INDEX(Raw_Schedule!G:G,MATCH(A384,Raw_Schedule!A:A,0))</f>
        <v/>
      </c>
      <c r="H384" s="5">
        <f>INDEX(Raw_Schedule!H:H,MATCH(A384,Raw_Schedule!A:A,0))</f>
        <v/>
      </c>
      <c r="I384" s="5">
        <f>SUMIFS(Raw_Payments!E:E,Raw_Payments!B:B,A384)</f>
        <v/>
      </c>
      <c r="J384" s="5">
        <f>H384-I384</f>
        <v/>
      </c>
      <c r="K384" s="3">
        <f>IF(J384&lt;=0.005,"PAID",IF(I384&gt;0,"PARTIAL","OVERDUE"))</f>
        <v/>
      </c>
      <c r="L384" s="4">
        <f>IF(COUNTIFS(Raw_Payments!B:B,A384)=0,"",SUMPRODUCT(MAX((Raw_Payments!B$2:B$1079=A384)*Raw_Payments!D$2:D$1079)))</f>
        <v/>
      </c>
      <c r="M384" s="3">
        <f>IF(K384="PAID",MAX(0,L384-G384),Guide!$B$3-G384)</f>
        <v/>
      </c>
      <c r="N384" s="3">
        <f>IF(J384&lt;=0.005,"COLLECTED",IF(M384&lt;=30,"1-30",IF(M384&lt;=60,"31-60",IF(M384&lt;=90,"61-90","90+"))))</f>
        <v/>
      </c>
      <c r="O384" s="3">
        <f>IF(N384="90+","LOST",IF(N384="61-90","ESCALATE",IF(N384="31-60","WATCH",IF(N384="1-30","MILD","OK"))))</f>
        <v/>
      </c>
      <c r="P384" s="3">
        <f>IF(J384&gt;0.005,ROW()-1,"")</f>
        <v/>
      </c>
    </row>
    <row r="385">
      <c r="A385" s="3" t="inlineStr">
        <is>
          <t>D0384</t>
        </is>
      </c>
      <c r="B385" s="3">
        <f>INDEX(Raw_Schedule!B:B,MATCH(A385,Raw_Schedule!A:A,0))</f>
        <v/>
      </c>
      <c r="C385" s="3">
        <f>INDEX(Raw_Schedule!C:C,MATCH(A385,Raw_Schedule!A:A,0))</f>
        <v/>
      </c>
      <c r="D385" s="3">
        <f>INDEX(Raw_Schedule!D:D,MATCH(A385,Raw_Schedule!A:A,0))</f>
        <v/>
      </c>
      <c r="E385" s="3">
        <f>INDEX(Raw_Schedule!E:E,MATCH(A385,Raw_Schedule!A:A,0))</f>
        <v/>
      </c>
      <c r="F385" s="3">
        <f>INDEX(Raw_Schedule!F:F,MATCH(A385,Raw_Schedule!A:A,0))</f>
        <v/>
      </c>
      <c r="G385" s="4">
        <f>INDEX(Raw_Schedule!G:G,MATCH(A385,Raw_Schedule!A:A,0))</f>
        <v/>
      </c>
      <c r="H385" s="5">
        <f>INDEX(Raw_Schedule!H:H,MATCH(A385,Raw_Schedule!A:A,0))</f>
        <v/>
      </c>
      <c r="I385" s="5">
        <f>SUMIFS(Raw_Payments!E:E,Raw_Payments!B:B,A385)</f>
        <v/>
      </c>
      <c r="J385" s="5">
        <f>H385-I385</f>
        <v/>
      </c>
      <c r="K385" s="3">
        <f>IF(J385&lt;=0.005,"PAID",IF(I385&gt;0,"PARTIAL","OVERDUE"))</f>
        <v/>
      </c>
      <c r="L385" s="4">
        <f>IF(COUNTIFS(Raw_Payments!B:B,A385)=0,"",SUMPRODUCT(MAX((Raw_Payments!B$2:B$1079=A385)*Raw_Payments!D$2:D$1079)))</f>
        <v/>
      </c>
      <c r="M385" s="3">
        <f>IF(K385="PAID",MAX(0,L385-G385),Guide!$B$3-G385)</f>
        <v/>
      </c>
      <c r="N385" s="3">
        <f>IF(J385&lt;=0.005,"COLLECTED",IF(M385&lt;=30,"1-30",IF(M385&lt;=60,"31-60",IF(M385&lt;=90,"61-90","90+"))))</f>
        <v/>
      </c>
      <c r="O385" s="3">
        <f>IF(N385="90+","LOST",IF(N385="61-90","ESCALATE",IF(N385="31-60","WATCH",IF(N385="1-30","MILD","OK"))))</f>
        <v/>
      </c>
      <c r="P385" s="3">
        <f>IF(J385&gt;0.005,ROW()-1,"")</f>
        <v/>
      </c>
    </row>
    <row r="386">
      <c r="A386" s="3" t="inlineStr">
        <is>
          <t>D0385</t>
        </is>
      </c>
      <c r="B386" s="3">
        <f>INDEX(Raw_Schedule!B:B,MATCH(A386,Raw_Schedule!A:A,0))</f>
        <v/>
      </c>
      <c r="C386" s="3">
        <f>INDEX(Raw_Schedule!C:C,MATCH(A386,Raw_Schedule!A:A,0))</f>
        <v/>
      </c>
      <c r="D386" s="3">
        <f>INDEX(Raw_Schedule!D:D,MATCH(A386,Raw_Schedule!A:A,0))</f>
        <v/>
      </c>
      <c r="E386" s="3">
        <f>INDEX(Raw_Schedule!E:E,MATCH(A386,Raw_Schedule!A:A,0))</f>
        <v/>
      </c>
      <c r="F386" s="3">
        <f>INDEX(Raw_Schedule!F:F,MATCH(A386,Raw_Schedule!A:A,0))</f>
        <v/>
      </c>
      <c r="G386" s="4">
        <f>INDEX(Raw_Schedule!G:G,MATCH(A386,Raw_Schedule!A:A,0))</f>
        <v/>
      </c>
      <c r="H386" s="5">
        <f>INDEX(Raw_Schedule!H:H,MATCH(A386,Raw_Schedule!A:A,0))</f>
        <v/>
      </c>
      <c r="I386" s="5">
        <f>SUMIFS(Raw_Payments!E:E,Raw_Payments!B:B,A386)</f>
        <v/>
      </c>
      <c r="J386" s="5">
        <f>H386-I386</f>
        <v/>
      </c>
      <c r="K386" s="3">
        <f>IF(J386&lt;=0.005,"PAID",IF(I386&gt;0,"PARTIAL","OVERDUE"))</f>
        <v/>
      </c>
      <c r="L386" s="4">
        <f>IF(COUNTIFS(Raw_Payments!B:B,A386)=0,"",SUMPRODUCT(MAX((Raw_Payments!B$2:B$1079=A386)*Raw_Payments!D$2:D$1079)))</f>
        <v/>
      </c>
      <c r="M386" s="3">
        <f>IF(K386="PAID",MAX(0,L386-G386),Guide!$B$3-G386)</f>
        <v/>
      </c>
      <c r="N386" s="3">
        <f>IF(J386&lt;=0.005,"COLLECTED",IF(M386&lt;=30,"1-30",IF(M386&lt;=60,"31-60",IF(M386&lt;=90,"61-90","90+"))))</f>
        <v/>
      </c>
      <c r="O386" s="3">
        <f>IF(N386="90+","LOST",IF(N386="61-90","ESCALATE",IF(N386="31-60","WATCH",IF(N386="1-30","MILD","OK"))))</f>
        <v/>
      </c>
      <c r="P386" s="3">
        <f>IF(J386&gt;0.005,ROW()-1,"")</f>
        <v/>
      </c>
    </row>
    <row r="387">
      <c r="A387" s="3" t="inlineStr">
        <is>
          <t>D0386</t>
        </is>
      </c>
      <c r="B387" s="3">
        <f>INDEX(Raw_Schedule!B:B,MATCH(A387,Raw_Schedule!A:A,0))</f>
        <v/>
      </c>
      <c r="C387" s="3">
        <f>INDEX(Raw_Schedule!C:C,MATCH(A387,Raw_Schedule!A:A,0))</f>
        <v/>
      </c>
      <c r="D387" s="3">
        <f>INDEX(Raw_Schedule!D:D,MATCH(A387,Raw_Schedule!A:A,0))</f>
        <v/>
      </c>
      <c r="E387" s="3">
        <f>INDEX(Raw_Schedule!E:E,MATCH(A387,Raw_Schedule!A:A,0))</f>
        <v/>
      </c>
      <c r="F387" s="3">
        <f>INDEX(Raw_Schedule!F:F,MATCH(A387,Raw_Schedule!A:A,0))</f>
        <v/>
      </c>
      <c r="G387" s="4">
        <f>INDEX(Raw_Schedule!G:G,MATCH(A387,Raw_Schedule!A:A,0))</f>
        <v/>
      </c>
      <c r="H387" s="5">
        <f>INDEX(Raw_Schedule!H:H,MATCH(A387,Raw_Schedule!A:A,0))</f>
        <v/>
      </c>
      <c r="I387" s="5">
        <f>SUMIFS(Raw_Payments!E:E,Raw_Payments!B:B,A387)</f>
        <v/>
      </c>
      <c r="J387" s="5">
        <f>H387-I387</f>
        <v/>
      </c>
      <c r="K387" s="3">
        <f>IF(J387&lt;=0.005,"PAID",IF(I387&gt;0,"PARTIAL","OVERDUE"))</f>
        <v/>
      </c>
      <c r="L387" s="4">
        <f>IF(COUNTIFS(Raw_Payments!B:B,A387)=0,"",SUMPRODUCT(MAX((Raw_Payments!B$2:B$1079=A387)*Raw_Payments!D$2:D$1079)))</f>
        <v/>
      </c>
      <c r="M387" s="3">
        <f>IF(K387="PAID",MAX(0,L387-G387),Guide!$B$3-G387)</f>
        <v/>
      </c>
      <c r="N387" s="3">
        <f>IF(J387&lt;=0.005,"COLLECTED",IF(M387&lt;=30,"1-30",IF(M387&lt;=60,"31-60",IF(M387&lt;=90,"61-90","90+"))))</f>
        <v/>
      </c>
      <c r="O387" s="3">
        <f>IF(N387="90+","LOST",IF(N387="61-90","ESCALATE",IF(N387="31-60","WATCH",IF(N387="1-30","MILD","OK"))))</f>
        <v/>
      </c>
      <c r="P387" s="3">
        <f>IF(J387&gt;0.005,ROW()-1,"")</f>
        <v/>
      </c>
    </row>
    <row r="388">
      <c r="A388" s="3" t="inlineStr">
        <is>
          <t>D0387</t>
        </is>
      </c>
      <c r="B388" s="3">
        <f>INDEX(Raw_Schedule!B:B,MATCH(A388,Raw_Schedule!A:A,0))</f>
        <v/>
      </c>
      <c r="C388" s="3">
        <f>INDEX(Raw_Schedule!C:C,MATCH(A388,Raw_Schedule!A:A,0))</f>
        <v/>
      </c>
      <c r="D388" s="3">
        <f>INDEX(Raw_Schedule!D:D,MATCH(A388,Raw_Schedule!A:A,0))</f>
        <v/>
      </c>
      <c r="E388" s="3">
        <f>INDEX(Raw_Schedule!E:E,MATCH(A388,Raw_Schedule!A:A,0))</f>
        <v/>
      </c>
      <c r="F388" s="3">
        <f>INDEX(Raw_Schedule!F:F,MATCH(A388,Raw_Schedule!A:A,0))</f>
        <v/>
      </c>
      <c r="G388" s="4">
        <f>INDEX(Raw_Schedule!G:G,MATCH(A388,Raw_Schedule!A:A,0))</f>
        <v/>
      </c>
      <c r="H388" s="5">
        <f>INDEX(Raw_Schedule!H:H,MATCH(A388,Raw_Schedule!A:A,0))</f>
        <v/>
      </c>
      <c r="I388" s="5">
        <f>SUMIFS(Raw_Payments!E:E,Raw_Payments!B:B,A388)</f>
        <v/>
      </c>
      <c r="J388" s="5">
        <f>H388-I388</f>
        <v/>
      </c>
      <c r="K388" s="3">
        <f>IF(J388&lt;=0.005,"PAID",IF(I388&gt;0,"PARTIAL","OVERDUE"))</f>
        <v/>
      </c>
      <c r="L388" s="4">
        <f>IF(COUNTIFS(Raw_Payments!B:B,A388)=0,"",SUMPRODUCT(MAX((Raw_Payments!B$2:B$1079=A388)*Raw_Payments!D$2:D$1079)))</f>
        <v/>
      </c>
      <c r="M388" s="3">
        <f>IF(K388="PAID",MAX(0,L388-G388),Guide!$B$3-G388)</f>
        <v/>
      </c>
      <c r="N388" s="3">
        <f>IF(J388&lt;=0.005,"COLLECTED",IF(M388&lt;=30,"1-30",IF(M388&lt;=60,"31-60",IF(M388&lt;=90,"61-90","90+"))))</f>
        <v/>
      </c>
      <c r="O388" s="3">
        <f>IF(N388="90+","LOST",IF(N388="61-90","ESCALATE",IF(N388="31-60","WATCH",IF(N388="1-30","MILD","OK"))))</f>
        <v/>
      </c>
      <c r="P388" s="3">
        <f>IF(J388&gt;0.005,ROW()-1,"")</f>
        <v/>
      </c>
    </row>
    <row r="389">
      <c r="A389" s="3" t="inlineStr">
        <is>
          <t>D0388</t>
        </is>
      </c>
      <c r="B389" s="3">
        <f>INDEX(Raw_Schedule!B:B,MATCH(A389,Raw_Schedule!A:A,0))</f>
        <v/>
      </c>
      <c r="C389" s="3">
        <f>INDEX(Raw_Schedule!C:C,MATCH(A389,Raw_Schedule!A:A,0))</f>
        <v/>
      </c>
      <c r="D389" s="3">
        <f>INDEX(Raw_Schedule!D:D,MATCH(A389,Raw_Schedule!A:A,0))</f>
        <v/>
      </c>
      <c r="E389" s="3">
        <f>INDEX(Raw_Schedule!E:E,MATCH(A389,Raw_Schedule!A:A,0))</f>
        <v/>
      </c>
      <c r="F389" s="3">
        <f>INDEX(Raw_Schedule!F:F,MATCH(A389,Raw_Schedule!A:A,0))</f>
        <v/>
      </c>
      <c r="G389" s="4">
        <f>INDEX(Raw_Schedule!G:G,MATCH(A389,Raw_Schedule!A:A,0))</f>
        <v/>
      </c>
      <c r="H389" s="5">
        <f>INDEX(Raw_Schedule!H:H,MATCH(A389,Raw_Schedule!A:A,0))</f>
        <v/>
      </c>
      <c r="I389" s="5">
        <f>SUMIFS(Raw_Payments!E:E,Raw_Payments!B:B,A389)</f>
        <v/>
      </c>
      <c r="J389" s="5">
        <f>H389-I389</f>
        <v/>
      </c>
      <c r="K389" s="3">
        <f>IF(J389&lt;=0.005,"PAID",IF(I389&gt;0,"PARTIAL","OVERDUE"))</f>
        <v/>
      </c>
      <c r="L389" s="4">
        <f>IF(COUNTIFS(Raw_Payments!B:B,A389)=0,"",SUMPRODUCT(MAX((Raw_Payments!B$2:B$1079=A389)*Raw_Payments!D$2:D$1079)))</f>
        <v/>
      </c>
      <c r="M389" s="3">
        <f>IF(K389="PAID",MAX(0,L389-G389),Guide!$B$3-G389)</f>
        <v/>
      </c>
      <c r="N389" s="3">
        <f>IF(J389&lt;=0.005,"COLLECTED",IF(M389&lt;=30,"1-30",IF(M389&lt;=60,"31-60",IF(M389&lt;=90,"61-90","90+"))))</f>
        <v/>
      </c>
      <c r="O389" s="3">
        <f>IF(N389="90+","LOST",IF(N389="61-90","ESCALATE",IF(N389="31-60","WATCH",IF(N389="1-30","MILD","OK"))))</f>
        <v/>
      </c>
      <c r="P389" s="3">
        <f>IF(J389&gt;0.005,ROW()-1,"")</f>
        <v/>
      </c>
    </row>
    <row r="390">
      <c r="A390" s="3" t="inlineStr">
        <is>
          <t>D0389</t>
        </is>
      </c>
      <c r="B390" s="3">
        <f>INDEX(Raw_Schedule!B:B,MATCH(A390,Raw_Schedule!A:A,0))</f>
        <v/>
      </c>
      <c r="C390" s="3">
        <f>INDEX(Raw_Schedule!C:C,MATCH(A390,Raw_Schedule!A:A,0))</f>
        <v/>
      </c>
      <c r="D390" s="3">
        <f>INDEX(Raw_Schedule!D:D,MATCH(A390,Raw_Schedule!A:A,0))</f>
        <v/>
      </c>
      <c r="E390" s="3">
        <f>INDEX(Raw_Schedule!E:E,MATCH(A390,Raw_Schedule!A:A,0))</f>
        <v/>
      </c>
      <c r="F390" s="3">
        <f>INDEX(Raw_Schedule!F:F,MATCH(A390,Raw_Schedule!A:A,0))</f>
        <v/>
      </c>
      <c r="G390" s="4">
        <f>INDEX(Raw_Schedule!G:G,MATCH(A390,Raw_Schedule!A:A,0))</f>
        <v/>
      </c>
      <c r="H390" s="5">
        <f>INDEX(Raw_Schedule!H:H,MATCH(A390,Raw_Schedule!A:A,0))</f>
        <v/>
      </c>
      <c r="I390" s="5">
        <f>SUMIFS(Raw_Payments!E:E,Raw_Payments!B:B,A390)</f>
        <v/>
      </c>
      <c r="J390" s="5">
        <f>H390-I390</f>
        <v/>
      </c>
      <c r="K390" s="3">
        <f>IF(J390&lt;=0.005,"PAID",IF(I390&gt;0,"PARTIAL","OVERDUE"))</f>
        <v/>
      </c>
      <c r="L390" s="4">
        <f>IF(COUNTIFS(Raw_Payments!B:B,A390)=0,"",SUMPRODUCT(MAX((Raw_Payments!B$2:B$1079=A390)*Raw_Payments!D$2:D$1079)))</f>
        <v/>
      </c>
      <c r="M390" s="3">
        <f>IF(K390="PAID",MAX(0,L390-G390),Guide!$B$3-G390)</f>
        <v/>
      </c>
      <c r="N390" s="3">
        <f>IF(J390&lt;=0.005,"COLLECTED",IF(M390&lt;=30,"1-30",IF(M390&lt;=60,"31-60",IF(M390&lt;=90,"61-90","90+"))))</f>
        <v/>
      </c>
      <c r="O390" s="3">
        <f>IF(N390="90+","LOST",IF(N390="61-90","ESCALATE",IF(N390="31-60","WATCH",IF(N390="1-30","MILD","OK"))))</f>
        <v/>
      </c>
      <c r="P390" s="3">
        <f>IF(J390&gt;0.005,ROW()-1,"")</f>
        <v/>
      </c>
    </row>
    <row r="391">
      <c r="A391" s="3" t="inlineStr">
        <is>
          <t>D0390</t>
        </is>
      </c>
      <c r="B391" s="3">
        <f>INDEX(Raw_Schedule!B:B,MATCH(A391,Raw_Schedule!A:A,0))</f>
        <v/>
      </c>
      <c r="C391" s="3">
        <f>INDEX(Raw_Schedule!C:C,MATCH(A391,Raw_Schedule!A:A,0))</f>
        <v/>
      </c>
      <c r="D391" s="3">
        <f>INDEX(Raw_Schedule!D:D,MATCH(A391,Raw_Schedule!A:A,0))</f>
        <v/>
      </c>
      <c r="E391" s="3">
        <f>INDEX(Raw_Schedule!E:E,MATCH(A391,Raw_Schedule!A:A,0))</f>
        <v/>
      </c>
      <c r="F391" s="3">
        <f>INDEX(Raw_Schedule!F:F,MATCH(A391,Raw_Schedule!A:A,0))</f>
        <v/>
      </c>
      <c r="G391" s="4">
        <f>INDEX(Raw_Schedule!G:G,MATCH(A391,Raw_Schedule!A:A,0))</f>
        <v/>
      </c>
      <c r="H391" s="5">
        <f>INDEX(Raw_Schedule!H:H,MATCH(A391,Raw_Schedule!A:A,0))</f>
        <v/>
      </c>
      <c r="I391" s="5">
        <f>SUMIFS(Raw_Payments!E:E,Raw_Payments!B:B,A391)</f>
        <v/>
      </c>
      <c r="J391" s="5">
        <f>H391-I391</f>
        <v/>
      </c>
      <c r="K391" s="3">
        <f>IF(J391&lt;=0.005,"PAID",IF(I391&gt;0,"PARTIAL","OVERDUE"))</f>
        <v/>
      </c>
      <c r="L391" s="4">
        <f>IF(COUNTIFS(Raw_Payments!B:B,A391)=0,"",SUMPRODUCT(MAX((Raw_Payments!B$2:B$1079=A391)*Raw_Payments!D$2:D$1079)))</f>
        <v/>
      </c>
      <c r="M391" s="3">
        <f>IF(K391="PAID",MAX(0,L391-G391),Guide!$B$3-G391)</f>
        <v/>
      </c>
      <c r="N391" s="3">
        <f>IF(J391&lt;=0.005,"COLLECTED",IF(M391&lt;=30,"1-30",IF(M391&lt;=60,"31-60",IF(M391&lt;=90,"61-90","90+"))))</f>
        <v/>
      </c>
      <c r="O391" s="3">
        <f>IF(N391="90+","LOST",IF(N391="61-90","ESCALATE",IF(N391="31-60","WATCH",IF(N391="1-30","MILD","OK"))))</f>
        <v/>
      </c>
      <c r="P391" s="3">
        <f>IF(J391&gt;0.005,ROW()-1,"")</f>
        <v/>
      </c>
    </row>
    <row r="392">
      <c r="A392" s="3" t="inlineStr">
        <is>
          <t>D0391</t>
        </is>
      </c>
      <c r="B392" s="3">
        <f>INDEX(Raw_Schedule!B:B,MATCH(A392,Raw_Schedule!A:A,0))</f>
        <v/>
      </c>
      <c r="C392" s="3">
        <f>INDEX(Raw_Schedule!C:C,MATCH(A392,Raw_Schedule!A:A,0))</f>
        <v/>
      </c>
      <c r="D392" s="3">
        <f>INDEX(Raw_Schedule!D:D,MATCH(A392,Raw_Schedule!A:A,0))</f>
        <v/>
      </c>
      <c r="E392" s="3">
        <f>INDEX(Raw_Schedule!E:E,MATCH(A392,Raw_Schedule!A:A,0))</f>
        <v/>
      </c>
      <c r="F392" s="3">
        <f>INDEX(Raw_Schedule!F:F,MATCH(A392,Raw_Schedule!A:A,0))</f>
        <v/>
      </c>
      <c r="G392" s="4">
        <f>INDEX(Raw_Schedule!G:G,MATCH(A392,Raw_Schedule!A:A,0))</f>
        <v/>
      </c>
      <c r="H392" s="5">
        <f>INDEX(Raw_Schedule!H:H,MATCH(A392,Raw_Schedule!A:A,0))</f>
        <v/>
      </c>
      <c r="I392" s="5">
        <f>SUMIFS(Raw_Payments!E:E,Raw_Payments!B:B,A392)</f>
        <v/>
      </c>
      <c r="J392" s="5">
        <f>H392-I392</f>
        <v/>
      </c>
      <c r="K392" s="3">
        <f>IF(J392&lt;=0.005,"PAID",IF(I392&gt;0,"PARTIAL","OVERDUE"))</f>
        <v/>
      </c>
      <c r="L392" s="4">
        <f>IF(COUNTIFS(Raw_Payments!B:B,A392)=0,"",SUMPRODUCT(MAX((Raw_Payments!B$2:B$1079=A392)*Raw_Payments!D$2:D$1079)))</f>
        <v/>
      </c>
      <c r="M392" s="3">
        <f>IF(K392="PAID",MAX(0,L392-G392),Guide!$B$3-G392)</f>
        <v/>
      </c>
      <c r="N392" s="3">
        <f>IF(J392&lt;=0.005,"COLLECTED",IF(M392&lt;=30,"1-30",IF(M392&lt;=60,"31-60",IF(M392&lt;=90,"61-90","90+"))))</f>
        <v/>
      </c>
      <c r="O392" s="3">
        <f>IF(N392="90+","LOST",IF(N392="61-90","ESCALATE",IF(N392="31-60","WATCH",IF(N392="1-30","MILD","OK"))))</f>
        <v/>
      </c>
      <c r="P392" s="3">
        <f>IF(J392&gt;0.005,ROW()-1,"")</f>
        <v/>
      </c>
    </row>
    <row r="393">
      <c r="A393" s="3" t="inlineStr">
        <is>
          <t>D0392</t>
        </is>
      </c>
      <c r="B393" s="3">
        <f>INDEX(Raw_Schedule!B:B,MATCH(A393,Raw_Schedule!A:A,0))</f>
        <v/>
      </c>
      <c r="C393" s="3">
        <f>INDEX(Raw_Schedule!C:C,MATCH(A393,Raw_Schedule!A:A,0))</f>
        <v/>
      </c>
      <c r="D393" s="3">
        <f>INDEX(Raw_Schedule!D:D,MATCH(A393,Raw_Schedule!A:A,0))</f>
        <v/>
      </c>
      <c r="E393" s="3">
        <f>INDEX(Raw_Schedule!E:E,MATCH(A393,Raw_Schedule!A:A,0))</f>
        <v/>
      </c>
      <c r="F393" s="3">
        <f>INDEX(Raw_Schedule!F:F,MATCH(A393,Raw_Schedule!A:A,0))</f>
        <v/>
      </c>
      <c r="G393" s="4">
        <f>INDEX(Raw_Schedule!G:G,MATCH(A393,Raw_Schedule!A:A,0))</f>
        <v/>
      </c>
      <c r="H393" s="5">
        <f>INDEX(Raw_Schedule!H:H,MATCH(A393,Raw_Schedule!A:A,0))</f>
        <v/>
      </c>
      <c r="I393" s="5">
        <f>SUMIFS(Raw_Payments!E:E,Raw_Payments!B:B,A393)</f>
        <v/>
      </c>
      <c r="J393" s="5">
        <f>H393-I393</f>
        <v/>
      </c>
      <c r="K393" s="3">
        <f>IF(J393&lt;=0.005,"PAID",IF(I393&gt;0,"PARTIAL","OVERDUE"))</f>
        <v/>
      </c>
      <c r="L393" s="4">
        <f>IF(COUNTIFS(Raw_Payments!B:B,A393)=0,"",SUMPRODUCT(MAX((Raw_Payments!B$2:B$1079=A393)*Raw_Payments!D$2:D$1079)))</f>
        <v/>
      </c>
      <c r="M393" s="3">
        <f>IF(K393="PAID",MAX(0,L393-G393),Guide!$B$3-G393)</f>
        <v/>
      </c>
      <c r="N393" s="3">
        <f>IF(J393&lt;=0.005,"COLLECTED",IF(M393&lt;=30,"1-30",IF(M393&lt;=60,"31-60",IF(M393&lt;=90,"61-90","90+"))))</f>
        <v/>
      </c>
      <c r="O393" s="3">
        <f>IF(N393="90+","LOST",IF(N393="61-90","ESCALATE",IF(N393="31-60","WATCH",IF(N393="1-30","MILD","OK"))))</f>
        <v/>
      </c>
      <c r="P393" s="3">
        <f>IF(J393&gt;0.005,ROW()-1,"")</f>
        <v/>
      </c>
    </row>
    <row r="394">
      <c r="A394" s="3" t="inlineStr">
        <is>
          <t>D0393</t>
        </is>
      </c>
      <c r="B394" s="3">
        <f>INDEX(Raw_Schedule!B:B,MATCH(A394,Raw_Schedule!A:A,0))</f>
        <v/>
      </c>
      <c r="C394" s="3">
        <f>INDEX(Raw_Schedule!C:C,MATCH(A394,Raw_Schedule!A:A,0))</f>
        <v/>
      </c>
      <c r="D394" s="3">
        <f>INDEX(Raw_Schedule!D:D,MATCH(A394,Raw_Schedule!A:A,0))</f>
        <v/>
      </c>
      <c r="E394" s="3">
        <f>INDEX(Raw_Schedule!E:E,MATCH(A394,Raw_Schedule!A:A,0))</f>
        <v/>
      </c>
      <c r="F394" s="3">
        <f>INDEX(Raw_Schedule!F:F,MATCH(A394,Raw_Schedule!A:A,0))</f>
        <v/>
      </c>
      <c r="G394" s="4">
        <f>INDEX(Raw_Schedule!G:G,MATCH(A394,Raw_Schedule!A:A,0))</f>
        <v/>
      </c>
      <c r="H394" s="5">
        <f>INDEX(Raw_Schedule!H:H,MATCH(A394,Raw_Schedule!A:A,0))</f>
        <v/>
      </c>
      <c r="I394" s="5">
        <f>SUMIFS(Raw_Payments!E:E,Raw_Payments!B:B,A394)</f>
        <v/>
      </c>
      <c r="J394" s="5">
        <f>H394-I394</f>
        <v/>
      </c>
      <c r="K394" s="3">
        <f>IF(J394&lt;=0.005,"PAID",IF(I394&gt;0,"PARTIAL","OVERDUE"))</f>
        <v/>
      </c>
      <c r="L394" s="4">
        <f>IF(COUNTIFS(Raw_Payments!B:B,A394)=0,"",SUMPRODUCT(MAX((Raw_Payments!B$2:B$1079=A394)*Raw_Payments!D$2:D$1079)))</f>
        <v/>
      </c>
      <c r="M394" s="3">
        <f>IF(K394="PAID",MAX(0,L394-G394),Guide!$B$3-G394)</f>
        <v/>
      </c>
      <c r="N394" s="3">
        <f>IF(J394&lt;=0.005,"COLLECTED",IF(M394&lt;=30,"1-30",IF(M394&lt;=60,"31-60",IF(M394&lt;=90,"61-90","90+"))))</f>
        <v/>
      </c>
      <c r="O394" s="3">
        <f>IF(N394="90+","LOST",IF(N394="61-90","ESCALATE",IF(N394="31-60","WATCH",IF(N394="1-30","MILD","OK"))))</f>
        <v/>
      </c>
      <c r="P394" s="3">
        <f>IF(J394&gt;0.005,ROW()-1,"")</f>
        <v/>
      </c>
    </row>
    <row r="395">
      <c r="A395" s="3" t="inlineStr">
        <is>
          <t>D0394</t>
        </is>
      </c>
      <c r="B395" s="3">
        <f>INDEX(Raw_Schedule!B:B,MATCH(A395,Raw_Schedule!A:A,0))</f>
        <v/>
      </c>
      <c r="C395" s="3">
        <f>INDEX(Raw_Schedule!C:C,MATCH(A395,Raw_Schedule!A:A,0))</f>
        <v/>
      </c>
      <c r="D395" s="3">
        <f>INDEX(Raw_Schedule!D:D,MATCH(A395,Raw_Schedule!A:A,0))</f>
        <v/>
      </c>
      <c r="E395" s="3">
        <f>INDEX(Raw_Schedule!E:E,MATCH(A395,Raw_Schedule!A:A,0))</f>
        <v/>
      </c>
      <c r="F395" s="3">
        <f>INDEX(Raw_Schedule!F:F,MATCH(A395,Raw_Schedule!A:A,0))</f>
        <v/>
      </c>
      <c r="G395" s="4">
        <f>INDEX(Raw_Schedule!G:G,MATCH(A395,Raw_Schedule!A:A,0))</f>
        <v/>
      </c>
      <c r="H395" s="5">
        <f>INDEX(Raw_Schedule!H:H,MATCH(A395,Raw_Schedule!A:A,0))</f>
        <v/>
      </c>
      <c r="I395" s="5">
        <f>SUMIFS(Raw_Payments!E:E,Raw_Payments!B:B,A395)</f>
        <v/>
      </c>
      <c r="J395" s="5">
        <f>H395-I395</f>
        <v/>
      </c>
      <c r="K395" s="3">
        <f>IF(J395&lt;=0.005,"PAID",IF(I395&gt;0,"PARTIAL","OVERDUE"))</f>
        <v/>
      </c>
      <c r="L395" s="4">
        <f>IF(COUNTIFS(Raw_Payments!B:B,A395)=0,"",SUMPRODUCT(MAX((Raw_Payments!B$2:B$1079=A395)*Raw_Payments!D$2:D$1079)))</f>
        <v/>
      </c>
      <c r="M395" s="3">
        <f>IF(K395="PAID",MAX(0,L395-G395),Guide!$B$3-G395)</f>
        <v/>
      </c>
      <c r="N395" s="3">
        <f>IF(J395&lt;=0.005,"COLLECTED",IF(M395&lt;=30,"1-30",IF(M395&lt;=60,"31-60",IF(M395&lt;=90,"61-90","90+"))))</f>
        <v/>
      </c>
      <c r="O395" s="3">
        <f>IF(N395="90+","LOST",IF(N395="61-90","ESCALATE",IF(N395="31-60","WATCH",IF(N395="1-30","MILD","OK"))))</f>
        <v/>
      </c>
      <c r="P395" s="3">
        <f>IF(J395&gt;0.005,ROW()-1,"")</f>
        <v/>
      </c>
    </row>
    <row r="396">
      <c r="A396" s="3" t="inlineStr">
        <is>
          <t>D0395</t>
        </is>
      </c>
      <c r="B396" s="3">
        <f>INDEX(Raw_Schedule!B:B,MATCH(A396,Raw_Schedule!A:A,0))</f>
        <v/>
      </c>
      <c r="C396" s="3">
        <f>INDEX(Raw_Schedule!C:C,MATCH(A396,Raw_Schedule!A:A,0))</f>
        <v/>
      </c>
      <c r="D396" s="3">
        <f>INDEX(Raw_Schedule!D:D,MATCH(A396,Raw_Schedule!A:A,0))</f>
        <v/>
      </c>
      <c r="E396" s="3">
        <f>INDEX(Raw_Schedule!E:E,MATCH(A396,Raw_Schedule!A:A,0))</f>
        <v/>
      </c>
      <c r="F396" s="3">
        <f>INDEX(Raw_Schedule!F:F,MATCH(A396,Raw_Schedule!A:A,0))</f>
        <v/>
      </c>
      <c r="G396" s="4">
        <f>INDEX(Raw_Schedule!G:G,MATCH(A396,Raw_Schedule!A:A,0))</f>
        <v/>
      </c>
      <c r="H396" s="5">
        <f>INDEX(Raw_Schedule!H:H,MATCH(A396,Raw_Schedule!A:A,0))</f>
        <v/>
      </c>
      <c r="I396" s="5">
        <f>SUMIFS(Raw_Payments!E:E,Raw_Payments!B:B,A396)</f>
        <v/>
      </c>
      <c r="J396" s="5">
        <f>H396-I396</f>
        <v/>
      </c>
      <c r="K396" s="3">
        <f>IF(J396&lt;=0.005,"PAID",IF(I396&gt;0,"PARTIAL","OVERDUE"))</f>
        <v/>
      </c>
      <c r="L396" s="4">
        <f>IF(COUNTIFS(Raw_Payments!B:B,A396)=0,"",SUMPRODUCT(MAX((Raw_Payments!B$2:B$1079=A396)*Raw_Payments!D$2:D$1079)))</f>
        <v/>
      </c>
      <c r="M396" s="3">
        <f>IF(K396="PAID",MAX(0,L396-G396),Guide!$B$3-G396)</f>
        <v/>
      </c>
      <c r="N396" s="3">
        <f>IF(J396&lt;=0.005,"COLLECTED",IF(M396&lt;=30,"1-30",IF(M396&lt;=60,"31-60",IF(M396&lt;=90,"61-90","90+"))))</f>
        <v/>
      </c>
      <c r="O396" s="3">
        <f>IF(N396="90+","LOST",IF(N396="61-90","ESCALATE",IF(N396="31-60","WATCH",IF(N396="1-30","MILD","OK"))))</f>
        <v/>
      </c>
      <c r="P396" s="3">
        <f>IF(J396&gt;0.005,ROW()-1,"")</f>
        <v/>
      </c>
    </row>
    <row r="397">
      <c r="A397" s="3" t="inlineStr">
        <is>
          <t>D0396</t>
        </is>
      </c>
      <c r="B397" s="3">
        <f>INDEX(Raw_Schedule!B:B,MATCH(A397,Raw_Schedule!A:A,0))</f>
        <v/>
      </c>
      <c r="C397" s="3">
        <f>INDEX(Raw_Schedule!C:C,MATCH(A397,Raw_Schedule!A:A,0))</f>
        <v/>
      </c>
      <c r="D397" s="3">
        <f>INDEX(Raw_Schedule!D:D,MATCH(A397,Raw_Schedule!A:A,0))</f>
        <v/>
      </c>
      <c r="E397" s="3">
        <f>INDEX(Raw_Schedule!E:E,MATCH(A397,Raw_Schedule!A:A,0))</f>
        <v/>
      </c>
      <c r="F397" s="3">
        <f>INDEX(Raw_Schedule!F:F,MATCH(A397,Raw_Schedule!A:A,0))</f>
        <v/>
      </c>
      <c r="G397" s="4">
        <f>INDEX(Raw_Schedule!G:G,MATCH(A397,Raw_Schedule!A:A,0))</f>
        <v/>
      </c>
      <c r="H397" s="5">
        <f>INDEX(Raw_Schedule!H:H,MATCH(A397,Raw_Schedule!A:A,0))</f>
        <v/>
      </c>
      <c r="I397" s="5">
        <f>SUMIFS(Raw_Payments!E:E,Raw_Payments!B:B,A397)</f>
        <v/>
      </c>
      <c r="J397" s="5">
        <f>H397-I397</f>
        <v/>
      </c>
      <c r="K397" s="3">
        <f>IF(J397&lt;=0.005,"PAID",IF(I397&gt;0,"PARTIAL","OVERDUE"))</f>
        <v/>
      </c>
      <c r="L397" s="4">
        <f>IF(COUNTIFS(Raw_Payments!B:B,A397)=0,"",SUMPRODUCT(MAX((Raw_Payments!B$2:B$1079=A397)*Raw_Payments!D$2:D$1079)))</f>
        <v/>
      </c>
      <c r="M397" s="3">
        <f>IF(K397="PAID",MAX(0,L397-G397),Guide!$B$3-G397)</f>
        <v/>
      </c>
      <c r="N397" s="3">
        <f>IF(J397&lt;=0.005,"COLLECTED",IF(M397&lt;=30,"1-30",IF(M397&lt;=60,"31-60",IF(M397&lt;=90,"61-90","90+"))))</f>
        <v/>
      </c>
      <c r="O397" s="3">
        <f>IF(N397="90+","LOST",IF(N397="61-90","ESCALATE",IF(N397="31-60","WATCH",IF(N397="1-30","MILD","OK"))))</f>
        <v/>
      </c>
      <c r="P397" s="3">
        <f>IF(J397&gt;0.005,ROW()-1,"")</f>
        <v/>
      </c>
    </row>
    <row r="398">
      <c r="A398" s="3" t="inlineStr">
        <is>
          <t>D0397</t>
        </is>
      </c>
      <c r="B398" s="3">
        <f>INDEX(Raw_Schedule!B:B,MATCH(A398,Raw_Schedule!A:A,0))</f>
        <v/>
      </c>
      <c r="C398" s="3">
        <f>INDEX(Raw_Schedule!C:C,MATCH(A398,Raw_Schedule!A:A,0))</f>
        <v/>
      </c>
      <c r="D398" s="3">
        <f>INDEX(Raw_Schedule!D:D,MATCH(A398,Raw_Schedule!A:A,0))</f>
        <v/>
      </c>
      <c r="E398" s="3">
        <f>INDEX(Raw_Schedule!E:E,MATCH(A398,Raw_Schedule!A:A,0))</f>
        <v/>
      </c>
      <c r="F398" s="3">
        <f>INDEX(Raw_Schedule!F:F,MATCH(A398,Raw_Schedule!A:A,0))</f>
        <v/>
      </c>
      <c r="G398" s="4">
        <f>INDEX(Raw_Schedule!G:G,MATCH(A398,Raw_Schedule!A:A,0))</f>
        <v/>
      </c>
      <c r="H398" s="5">
        <f>INDEX(Raw_Schedule!H:H,MATCH(A398,Raw_Schedule!A:A,0))</f>
        <v/>
      </c>
      <c r="I398" s="5">
        <f>SUMIFS(Raw_Payments!E:E,Raw_Payments!B:B,A398)</f>
        <v/>
      </c>
      <c r="J398" s="5">
        <f>H398-I398</f>
        <v/>
      </c>
      <c r="K398" s="3">
        <f>IF(J398&lt;=0.005,"PAID",IF(I398&gt;0,"PARTIAL","OVERDUE"))</f>
        <v/>
      </c>
      <c r="L398" s="4">
        <f>IF(COUNTIFS(Raw_Payments!B:B,A398)=0,"",SUMPRODUCT(MAX((Raw_Payments!B$2:B$1079=A398)*Raw_Payments!D$2:D$1079)))</f>
        <v/>
      </c>
      <c r="M398" s="3">
        <f>IF(K398="PAID",MAX(0,L398-G398),Guide!$B$3-G398)</f>
        <v/>
      </c>
      <c r="N398" s="3">
        <f>IF(J398&lt;=0.005,"COLLECTED",IF(M398&lt;=30,"1-30",IF(M398&lt;=60,"31-60",IF(M398&lt;=90,"61-90","90+"))))</f>
        <v/>
      </c>
      <c r="O398" s="3">
        <f>IF(N398="90+","LOST",IF(N398="61-90","ESCALATE",IF(N398="31-60","WATCH",IF(N398="1-30","MILD","OK"))))</f>
        <v/>
      </c>
      <c r="P398" s="3">
        <f>IF(J398&gt;0.005,ROW()-1,"")</f>
        <v/>
      </c>
    </row>
    <row r="399">
      <c r="A399" s="3" t="inlineStr">
        <is>
          <t>D0398</t>
        </is>
      </c>
      <c r="B399" s="3">
        <f>INDEX(Raw_Schedule!B:B,MATCH(A399,Raw_Schedule!A:A,0))</f>
        <v/>
      </c>
      <c r="C399" s="3">
        <f>INDEX(Raw_Schedule!C:C,MATCH(A399,Raw_Schedule!A:A,0))</f>
        <v/>
      </c>
      <c r="D399" s="3">
        <f>INDEX(Raw_Schedule!D:D,MATCH(A399,Raw_Schedule!A:A,0))</f>
        <v/>
      </c>
      <c r="E399" s="3">
        <f>INDEX(Raw_Schedule!E:E,MATCH(A399,Raw_Schedule!A:A,0))</f>
        <v/>
      </c>
      <c r="F399" s="3">
        <f>INDEX(Raw_Schedule!F:F,MATCH(A399,Raw_Schedule!A:A,0))</f>
        <v/>
      </c>
      <c r="G399" s="4">
        <f>INDEX(Raw_Schedule!G:G,MATCH(A399,Raw_Schedule!A:A,0))</f>
        <v/>
      </c>
      <c r="H399" s="5">
        <f>INDEX(Raw_Schedule!H:H,MATCH(A399,Raw_Schedule!A:A,0))</f>
        <v/>
      </c>
      <c r="I399" s="5">
        <f>SUMIFS(Raw_Payments!E:E,Raw_Payments!B:B,A399)</f>
        <v/>
      </c>
      <c r="J399" s="5">
        <f>H399-I399</f>
        <v/>
      </c>
      <c r="K399" s="3">
        <f>IF(J399&lt;=0.005,"PAID",IF(I399&gt;0,"PARTIAL","OVERDUE"))</f>
        <v/>
      </c>
      <c r="L399" s="4">
        <f>IF(COUNTIFS(Raw_Payments!B:B,A399)=0,"",SUMPRODUCT(MAX((Raw_Payments!B$2:B$1079=A399)*Raw_Payments!D$2:D$1079)))</f>
        <v/>
      </c>
      <c r="M399" s="3">
        <f>IF(K399="PAID",MAX(0,L399-G399),Guide!$B$3-G399)</f>
        <v/>
      </c>
      <c r="N399" s="3">
        <f>IF(J399&lt;=0.005,"COLLECTED",IF(M399&lt;=30,"1-30",IF(M399&lt;=60,"31-60",IF(M399&lt;=90,"61-90","90+"))))</f>
        <v/>
      </c>
      <c r="O399" s="3">
        <f>IF(N399="90+","LOST",IF(N399="61-90","ESCALATE",IF(N399="31-60","WATCH",IF(N399="1-30","MILD","OK"))))</f>
        <v/>
      </c>
      <c r="P399" s="3">
        <f>IF(J399&gt;0.005,ROW()-1,"")</f>
        <v/>
      </c>
    </row>
    <row r="400">
      <c r="A400" s="3" t="inlineStr">
        <is>
          <t>D0399</t>
        </is>
      </c>
      <c r="B400" s="3">
        <f>INDEX(Raw_Schedule!B:B,MATCH(A400,Raw_Schedule!A:A,0))</f>
        <v/>
      </c>
      <c r="C400" s="3">
        <f>INDEX(Raw_Schedule!C:C,MATCH(A400,Raw_Schedule!A:A,0))</f>
        <v/>
      </c>
      <c r="D400" s="3">
        <f>INDEX(Raw_Schedule!D:D,MATCH(A400,Raw_Schedule!A:A,0))</f>
        <v/>
      </c>
      <c r="E400" s="3">
        <f>INDEX(Raw_Schedule!E:E,MATCH(A400,Raw_Schedule!A:A,0))</f>
        <v/>
      </c>
      <c r="F400" s="3">
        <f>INDEX(Raw_Schedule!F:F,MATCH(A400,Raw_Schedule!A:A,0))</f>
        <v/>
      </c>
      <c r="G400" s="4">
        <f>INDEX(Raw_Schedule!G:G,MATCH(A400,Raw_Schedule!A:A,0))</f>
        <v/>
      </c>
      <c r="H400" s="5">
        <f>INDEX(Raw_Schedule!H:H,MATCH(A400,Raw_Schedule!A:A,0))</f>
        <v/>
      </c>
      <c r="I400" s="5">
        <f>SUMIFS(Raw_Payments!E:E,Raw_Payments!B:B,A400)</f>
        <v/>
      </c>
      <c r="J400" s="5">
        <f>H400-I400</f>
        <v/>
      </c>
      <c r="K400" s="3">
        <f>IF(J400&lt;=0.005,"PAID",IF(I400&gt;0,"PARTIAL","OVERDUE"))</f>
        <v/>
      </c>
      <c r="L400" s="4">
        <f>IF(COUNTIFS(Raw_Payments!B:B,A400)=0,"",SUMPRODUCT(MAX((Raw_Payments!B$2:B$1079=A400)*Raw_Payments!D$2:D$1079)))</f>
        <v/>
      </c>
      <c r="M400" s="3">
        <f>IF(K400="PAID",MAX(0,L400-G400),Guide!$B$3-G400)</f>
        <v/>
      </c>
      <c r="N400" s="3">
        <f>IF(J400&lt;=0.005,"COLLECTED",IF(M400&lt;=30,"1-30",IF(M400&lt;=60,"31-60",IF(M400&lt;=90,"61-90","90+"))))</f>
        <v/>
      </c>
      <c r="O400" s="3">
        <f>IF(N400="90+","LOST",IF(N400="61-90","ESCALATE",IF(N400="31-60","WATCH",IF(N400="1-30","MILD","OK"))))</f>
        <v/>
      </c>
      <c r="P400" s="3">
        <f>IF(J400&gt;0.005,ROW()-1,"")</f>
        <v/>
      </c>
    </row>
    <row r="401">
      <c r="A401" s="3" t="inlineStr">
        <is>
          <t>D0400</t>
        </is>
      </c>
      <c r="B401" s="3">
        <f>INDEX(Raw_Schedule!B:B,MATCH(A401,Raw_Schedule!A:A,0))</f>
        <v/>
      </c>
      <c r="C401" s="3">
        <f>INDEX(Raw_Schedule!C:C,MATCH(A401,Raw_Schedule!A:A,0))</f>
        <v/>
      </c>
      <c r="D401" s="3">
        <f>INDEX(Raw_Schedule!D:D,MATCH(A401,Raw_Schedule!A:A,0))</f>
        <v/>
      </c>
      <c r="E401" s="3">
        <f>INDEX(Raw_Schedule!E:E,MATCH(A401,Raw_Schedule!A:A,0))</f>
        <v/>
      </c>
      <c r="F401" s="3">
        <f>INDEX(Raw_Schedule!F:F,MATCH(A401,Raw_Schedule!A:A,0))</f>
        <v/>
      </c>
      <c r="G401" s="4">
        <f>INDEX(Raw_Schedule!G:G,MATCH(A401,Raw_Schedule!A:A,0))</f>
        <v/>
      </c>
      <c r="H401" s="5">
        <f>INDEX(Raw_Schedule!H:H,MATCH(A401,Raw_Schedule!A:A,0))</f>
        <v/>
      </c>
      <c r="I401" s="5">
        <f>SUMIFS(Raw_Payments!E:E,Raw_Payments!B:B,A401)</f>
        <v/>
      </c>
      <c r="J401" s="5">
        <f>H401-I401</f>
        <v/>
      </c>
      <c r="K401" s="3">
        <f>IF(J401&lt;=0.005,"PAID",IF(I401&gt;0,"PARTIAL","OVERDUE"))</f>
        <v/>
      </c>
      <c r="L401" s="4">
        <f>IF(COUNTIFS(Raw_Payments!B:B,A401)=0,"",SUMPRODUCT(MAX((Raw_Payments!B$2:B$1079=A401)*Raw_Payments!D$2:D$1079)))</f>
        <v/>
      </c>
      <c r="M401" s="3">
        <f>IF(K401="PAID",MAX(0,L401-G401),Guide!$B$3-G401)</f>
        <v/>
      </c>
      <c r="N401" s="3">
        <f>IF(J401&lt;=0.005,"COLLECTED",IF(M401&lt;=30,"1-30",IF(M401&lt;=60,"31-60",IF(M401&lt;=90,"61-90","90+"))))</f>
        <v/>
      </c>
      <c r="O401" s="3">
        <f>IF(N401="90+","LOST",IF(N401="61-90","ESCALATE",IF(N401="31-60","WATCH",IF(N401="1-30","MILD","OK"))))</f>
        <v/>
      </c>
      <c r="P401" s="3">
        <f>IF(J401&gt;0.005,ROW()-1,"")</f>
        <v/>
      </c>
    </row>
    <row r="402">
      <c r="A402" s="3" t="inlineStr">
        <is>
          <t>D0401</t>
        </is>
      </c>
      <c r="B402" s="3">
        <f>INDEX(Raw_Schedule!B:B,MATCH(A402,Raw_Schedule!A:A,0))</f>
        <v/>
      </c>
      <c r="C402" s="3">
        <f>INDEX(Raw_Schedule!C:C,MATCH(A402,Raw_Schedule!A:A,0))</f>
        <v/>
      </c>
      <c r="D402" s="3">
        <f>INDEX(Raw_Schedule!D:D,MATCH(A402,Raw_Schedule!A:A,0))</f>
        <v/>
      </c>
      <c r="E402" s="3">
        <f>INDEX(Raw_Schedule!E:E,MATCH(A402,Raw_Schedule!A:A,0))</f>
        <v/>
      </c>
      <c r="F402" s="3">
        <f>INDEX(Raw_Schedule!F:F,MATCH(A402,Raw_Schedule!A:A,0))</f>
        <v/>
      </c>
      <c r="G402" s="4">
        <f>INDEX(Raw_Schedule!G:G,MATCH(A402,Raw_Schedule!A:A,0))</f>
        <v/>
      </c>
      <c r="H402" s="5">
        <f>INDEX(Raw_Schedule!H:H,MATCH(A402,Raw_Schedule!A:A,0))</f>
        <v/>
      </c>
      <c r="I402" s="5">
        <f>SUMIFS(Raw_Payments!E:E,Raw_Payments!B:B,A402)</f>
        <v/>
      </c>
      <c r="J402" s="5">
        <f>H402-I402</f>
        <v/>
      </c>
      <c r="K402" s="3">
        <f>IF(J402&lt;=0.005,"PAID",IF(I402&gt;0,"PARTIAL","OVERDUE"))</f>
        <v/>
      </c>
      <c r="L402" s="4">
        <f>IF(COUNTIFS(Raw_Payments!B:B,A402)=0,"",SUMPRODUCT(MAX((Raw_Payments!B$2:B$1079=A402)*Raw_Payments!D$2:D$1079)))</f>
        <v/>
      </c>
      <c r="M402" s="3">
        <f>IF(K402="PAID",MAX(0,L402-G402),Guide!$B$3-G402)</f>
        <v/>
      </c>
      <c r="N402" s="3">
        <f>IF(J402&lt;=0.005,"COLLECTED",IF(M402&lt;=30,"1-30",IF(M402&lt;=60,"31-60",IF(M402&lt;=90,"61-90","90+"))))</f>
        <v/>
      </c>
      <c r="O402" s="3">
        <f>IF(N402="90+","LOST",IF(N402="61-90","ESCALATE",IF(N402="31-60","WATCH",IF(N402="1-30","MILD","OK"))))</f>
        <v/>
      </c>
      <c r="P402" s="3">
        <f>IF(J402&gt;0.005,ROW()-1,"")</f>
        <v/>
      </c>
    </row>
    <row r="403">
      <c r="A403" s="3" t="inlineStr">
        <is>
          <t>D0402</t>
        </is>
      </c>
      <c r="B403" s="3">
        <f>INDEX(Raw_Schedule!B:B,MATCH(A403,Raw_Schedule!A:A,0))</f>
        <v/>
      </c>
      <c r="C403" s="3">
        <f>INDEX(Raw_Schedule!C:C,MATCH(A403,Raw_Schedule!A:A,0))</f>
        <v/>
      </c>
      <c r="D403" s="3">
        <f>INDEX(Raw_Schedule!D:D,MATCH(A403,Raw_Schedule!A:A,0))</f>
        <v/>
      </c>
      <c r="E403" s="3">
        <f>INDEX(Raw_Schedule!E:E,MATCH(A403,Raw_Schedule!A:A,0))</f>
        <v/>
      </c>
      <c r="F403" s="3">
        <f>INDEX(Raw_Schedule!F:F,MATCH(A403,Raw_Schedule!A:A,0))</f>
        <v/>
      </c>
      <c r="G403" s="4">
        <f>INDEX(Raw_Schedule!G:G,MATCH(A403,Raw_Schedule!A:A,0))</f>
        <v/>
      </c>
      <c r="H403" s="5">
        <f>INDEX(Raw_Schedule!H:H,MATCH(A403,Raw_Schedule!A:A,0))</f>
        <v/>
      </c>
      <c r="I403" s="5">
        <f>SUMIFS(Raw_Payments!E:E,Raw_Payments!B:B,A403)</f>
        <v/>
      </c>
      <c r="J403" s="5">
        <f>H403-I403</f>
        <v/>
      </c>
      <c r="K403" s="3">
        <f>IF(J403&lt;=0.005,"PAID",IF(I403&gt;0,"PARTIAL","OVERDUE"))</f>
        <v/>
      </c>
      <c r="L403" s="4">
        <f>IF(COUNTIFS(Raw_Payments!B:B,A403)=0,"",SUMPRODUCT(MAX((Raw_Payments!B$2:B$1079=A403)*Raw_Payments!D$2:D$1079)))</f>
        <v/>
      </c>
      <c r="M403" s="3">
        <f>IF(K403="PAID",MAX(0,L403-G403),Guide!$B$3-G403)</f>
        <v/>
      </c>
      <c r="N403" s="3">
        <f>IF(J403&lt;=0.005,"COLLECTED",IF(M403&lt;=30,"1-30",IF(M403&lt;=60,"31-60",IF(M403&lt;=90,"61-90","90+"))))</f>
        <v/>
      </c>
      <c r="O403" s="3">
        <f>IF(N403="90+","LOST",IF(N403="61-90","ESCALATE",IF(N403="31-60","WATCH",IF(N403="1-30","MILD","OK"))))</f>
        <v/>
      </c>
      <c r="P403" s="3">
        <f>IF(J403&gt;0.005,ROW()-1,"")</f>
        <v/>
      </c>
    </row>
    <row r="404">
      <c r="A404" s="3" t="inlineStr">
        <is>
          <t>D0403</t>
        </is>
      </c>
      <c r="B404" s="3">
        <f>INDEX(Raw_Schedule!B:B,MATCH(A404,Raw_Schedule!A:A,0))</f>
        <v/>
      </c>
      <c r="C404" s="3">
        <f>INDEX(Raw_Schedule!C:C,MATCH(A404,Raw_Schedule!A:A,0))</f>
        <v/>
      </c>
      <c r="D404" s="3">
        <f>INDEX(Raw_Schedule!D:D,MATCH(A404,Raw_Schedule!A:A,0))</f>
        <v/>
      </c>
      <c r="E404" s="3">
        <f>INDEX(Raw_Schedule!E:E,MATCH(A404,Raw_Schedule!A:A,0))</f>
        <v/>
      </c>
      <c r="F404" s="3">
        <f>INDEX(Raw_Schedule!F:F,MATCH(A404,Raw_Schedule!A:A,0))</f>
        <v/>
      </c>
      <c r="G404" s="4">
        <f>INDEX(Raw_Schedule!G:G,MATCH(A404,Raw_Schedule!A:A,0))</f>
        <v/>
      </c>
      <c r="H404" s="5">
        <f>INDEX(Raw_Schedule!H:H,MATCH(A404,Raw_Schedule!A:A,0))</f>
        <v/>
      </c>
      <c r="I404" s="5">
        <f>SUMIFS(Raw_Payments!E:E,Raw_Payments!B:B,A404)</f>
        <v/>
      </c>
      <c r="J404" s="5">
        <f>H404-I404</f>
        <v/>
      </c>
      <c r="K404" s="3">
        <f>IF(J404&lt;=0.005,"PAID",IF(I404&gt;0,"PARTIAL","OVERDUE"))</f>
        <v/>
      </c>
      <c r="L404" s="4">
        <f>IF(COUNTIFS(Raw_Payments!B:B,A404)=0,"",SUMPRODUCT(MAX((Raw_Payments!B$2:B$1079=A404)*Raw_Payments!D$2:D$1079)))</f>
        <v/>
      </c>
      <c r="M404" s="3">
        <f>IF(K404="PAID",MAX(0,L404-G404),Guide!$B$3-G404)</f>
        <v/>
      </c>
      <c r="N404" s="3">
        <f>IF(J404&lt;=0.005,"COLLECTED",IF(M404&lt;=30,"1-30",IF(M404&lt;=60,"31-60",IF(M404&lt;=90,"61-90","90+"))))</f>
        <v/>
      </c>
      <c r="O404" s="3">
        <f>IF(N404="90+","LOST",IF(N404="61-90","ESCALATE",IF(N404="31-60","WATCH",IF(N404="1-30","MILD","OK"))))</f>
        <v/>
      </c>
      <c r="P404" s="3">
        <f>IF(J404&gt;0.005,ROW()-1,"")</f>
        <v/>
      </c>
    </row>
    <row r="405">
      <c r="A405" s="3" t="inlineStr">
        <is>
          <t>D0404</t>
        </is>
      </c>
      <c r="B405" s="3">
        <f>INDEX(Raw_Schedule!B:B,MATCH(A405,Raw_Schedule!A:A,0))</f>
        <v/>
      </c>
      <c r="C405" s="3">
        <f>INDEX(Raw_Schedule!C:C,MATCH(A405,Raw_Schedule!A:A,0))</f>
        <v/>
      </c>
      <c r="D405" s="3">
        <f>INDEX(Raw_Schedule!D:D,MATCH(A405,Raw_Schedule!A:A,0))</f>
        <v/>
      </c>
      <c r="E405" s="3">
        <f>INDEX(Raw_Schedule!E:E,MATCH(A405,Raw_Schedule!A:A,0))</f>
        <v/>
      </c>
      <c r="F405" s="3">
        <f>INDEX(Raw_Schedule!F:F,MATCH(A405,Raw_Schedule!A:A,0))</f>
        <v/>
      </c>
      <c r="G405" s="4">
        <f>INDEX(Raw_Schedule!G:G,MATCH(A405,Raw_Schedule!A:A,0))</f>
        <v/>
      </c>
      <c r="H405" s="5">
        <f>INDEX(Raw_Schedule!H:H,MATCH(A405,Raw_Schedule!A:A,0))</f>
        <v/>
      </c>
      <c r="I405" s="5">
        <f>SUMIFS(Raw_Payments!E:E,Raw_Payments!B:B,A405)</f>
        <v/>
      </c>
      <c r="J405" s="5">
        <f>H405-I405</f>
        <v/>
      </c>
      <c r="K405" s="3">
        <f>IF(J405&lt;=0.005,"PAID",IF(I405&gt;0,"PARTIAL","OVERDUE"))</f>
        <v/>
      </c>
      <c r="L405" s="4">
        <f>IF(COUNTIFS(Raw_Payments!B:B,A405)=0,"",SUMPRODUCT(MAX((Raw_Payments!B$2:B$1079=A405)*Raw_Payments!D$2:D$1079)))</f>
        <v/>
      </c>
      <c r="M405" s="3">
        <f>IF(K405="PAID",MAX(0,L405-G405),Guide!$B$3-G405)</f>
        <v/>
      </c>
      <c r="N405" s="3">
        <f>IF(J405&lt;=0.005,"COLLECTED",IF(M405&lt;=30,"1-30",IF(M405&lt;=60,"31-60",IF(M405&lt;=90,"61-90","90+"))))</f>
        <v/>
      </c>
      <c r="O405" s="3">
        <f>IF(N405="90+","LOST",IF(N405="61-90","ESCALATE",IF(N405="31-60","WATCH",IF(N405="1-30","MILD","OK"))))</f>
        <v/>
      </c>
      <c r="P405" s="3">
        <f>IF(J405&gt;0.005,ROW()-1,"")</f>
        <v/>
      </c>
    </row>
    <row r="406">
      <c r="A406" s="3" t="inlineStr">
        <is>
          <t>D0405</t>
        </is>
      </c>
      <c r="B406" s="3">
        <f>INDEX(Raw_Schedule!B:B,MATCH(A406,Raw_Schedule!A:A,0))</f>
        <v/>
      </c>
      <c r="C406" s="3">
        <f>INDEX(Raw_Schedule!C:C,MATCH(A406,Raw_Schedule!A:A,0))</f>
        <v/>
      </c>
      <c r="D406" s="3">
        <f>INDEX(Raw_Schedule!D:D,MATCH(A406,Raw_Schedule!A:A,0))</f>
        <v/>
      </c>
      <c r="E406" s="3">
        <f>INDEX(Raw_Schedule!E:E,MATCH(A406,Raw_Schedule!A:A,0))</f>
        <v/>
      </c>
      <c r="F406" s="3">
        <f>INDEX(Raw_Schedule!F:F,MATCH(A406,Raw_Schedule!A:A,0))</f>
        <v/>
      </c>
      <c r="G406" s="4">
        <f>INDEX(Raw_Schedule!G:G,MATCH(A406,Raw_Schedule!A:A,0))</f>
        <v/>
      </c>
      <c r="H406" s="5">
        <f>INDEX(Raw_Schedule!H:H,MATCH(A406,Raw_Schedule!A:A,0))</f>
        <v/>
      </c>
      <c r="I406" s="5">
        <f>SUMIFS(Raw_Payments!E:E,Raw_Payments!B:B,A406)</f>
        <v/>
      </c>
      <c r="J406" s="5">
        <f>H406-I406</f>
        <v/>
      </c>
      <c r="K406" s="3">
        <f>IF(J406&lt;=0.005,"PAID",IF(I406&gt;0,"PARTIAL","OVERDUE"))</f>
        <v/>
      </c>
      <c r="L406" s="4">
        <f>IF(COUNTIFS(Raw_Payments!B:B,A406)=0,"",SUMPRODUCT(MAX((Raw_Payments!B$2:B$1079=A406)*Raw_Payments!D$2:D$1079)))</f>
        <v/>
      </c>
      <c r="M406" s="3">
        <f>IF(K406="PAID",MAX(0,L406-G406),Guide!$B$3-G406)</f>
        <v/>
      </c>
      <c r="N406" s="3">
        <f>IF(J406&lt;=0.005,"COLLECTED",IF(M406&lt;=30,"1-30",IF(M406&lt;=60,"31-60",IF(M406&lt;=90,"61-90","90+"))))</f>
        <v/>
      </c>
      <c r="O406" s="3">
        <f>IF(N406="90+","LOST",IF(N406="61-90","ESCALATE",IF(N406="31-60","WATCH",IF(N406="1-30","MILD","OK"))))</f>
        <v/>
      </c>
      <c r="P406" s="3">
        <f>IF(J406&gt;0.005,ROW()-1,"")</f>
        <v/>
      </c>
    </row>
    <row r="407">
      <c r="A407" s="3" t="inlineStr">
        <is>
          <t>D0406</t>
        </is>
      </c>
      <c r="B407" s="3">
        <f>INDEX(Raw_Schedule!B:B,MATCH(A407,Raw_Schedule!A:A,0))</f>
        <v/>
      </c>
      <c r="C407" s="3">
        <f>INDEX(Raw_Schedule!C:C,MATCH(A407,Raw_Schedule!A:A,0))</f>
        <v/>
      </c>
      <c r="D407" s="3">
        <f>INDEX(Raw_Schedule!D:D,MATCH(A407,Raw_Schedule!A:A,0))</f>
        <v/>
      </c>
      <c r="E407" s="3">
        <f>INDEX(Raw_Schedule!E:E,MATCH(A407,Raw_Schedule!A:A,0))</f>
        <v/>
      </c>
      <c r="F407" s="3">
        <f>INDEX(Raw_Schedule!F:F,MATCH(A407,Raw_Schedule!A:A,0))</f>
        <v/>
      </c>
      <c r="G407" s="4">
        <f>INDEX(Raw_Schedule!G:G,MATCH(A407,Raw_Schedule!A:A,0))</f>
        <v/>
      </c>
      <c r="H407" s="5">
        <f>INDEX(Raw_Schedule!H:H,MATCH(A407,Raw_Schedule!A:A,0))</f>
        <v/>
      </c>
      <c r="I407" s="5">
        <f>SUMIFS(Raw_Payments!E:E,Raw_Payments!B:B,A407)</f>
        <v/>
      </c>
      <c r="J407" s="5">
        <f>H407-I407</f>
        <v/>
      </c>
      <c r="K407" s="3">
        <f>IF(J407&lt;=0.005,"PAID",IF(I407&gt;0,"PARTIAL","OVERDUE"))</f>
        <v/>
      </c>
      <c r="L407" s="4">
        <f>IF(COUNTIFS(Raw_Payments!B:B,A407)=0,"",SUMPRODUCT(MAX((Raw_Payments!B$2:B$1079=A407)*Raw_Payments!D$2:D$1079)))</f>
        <v/>
      </c>
      <c r="M407" s="3">
        <f>IF(K407="PAID",MAX(0,L407-G407),Guide!$B$3-G407)</f>
        <v/>
      </c>
      <c r="N407" s="3">
        <f>IF(J407&lt;=0.005,"COLLECTED",IF(M407&lt;=30,"1-30",IF(M407&lt;=60,"31-60",IF(M407&lt;=90,"61-90","90+"))))</f>
        <v/>
      </c>
      <c r="O407" s="3">
        <f>IF(N407="90+","LOST",IF(N407="61-90","ESCALATE",IF(N407="31-60","WATCH",IF(N407="1-30","MILD","OK"))))</f>
        <v/>
      </c>
      <c r="P407" s="3">
        <f>IF(J407&gt;0.005,ROW()-1,"")</f>
        <v/>
      </c>
    </row>
    <row r="408">
      <c r="A408" s="3" t="inlineStr">
        <is>
          <t>D0407</t>
        </is>
      </c>
      <c r="B408" s="3">
        <f>INDEX(Raw_Schedule!B:B,MATCH(A408,Raw_Schedule!A:A,0))</f>
        <v/>
      </c>
      <c r="C408" s="3">
        <f>INDEX(Raw_Schedule!C:C,MATCH(A408,Raw_Schedule!A:A,0))</f>
        <v/>
      </c>
      <c r="D408" s="3">
        <f>INDEX(Raw_Schedule!D:D,MATCH(A408,Raw_Schedule!A:A,0))</f>
        <v/>
      </c>
      <c r="E408" s="3">
        <f>INDEX(Raw_Schedule!E:E,MATCH(A408,Raw_Schedule!A:A,0))</f>
        <v/>
      </c>
      <c r="F408" s="3">
        <f>INDEX(Raw_Schedule!F:F,MATCH(A408,Raw_Schedule!A:A,0))</f>
        <v/>
      </c>
      <c r="G408" s="4">
        <f>INDEX(Raw_Schedule!G:G,MATCH(A408,Raw_Schedule!A:A,0))</f>
        <v/>
      </c>
      <c r="H408" s="5">
        <f>INDEX(Raw_Schedule!H:H,MATCH(A408,Raw_Schedule!A:A,0))</f>
        <v/>
      </c>
      <c r="I408" s="5">
        <f>SUMIFS(Raw_Payments!E:E,Raw_Payments!B:B,A408)</f>
        <v/>
      </c>
      <c r="J408" s="5">
        <f>H408-I408</f>
        <v/>
      </c>
      <c r="K408" s="3">
        <f>IF(J408&lt;=0.005,"PAID",IF(I408&gt;0,"PARTIAL","OVERDUE"))</f>
        <v/>
      </c>
      <c r="L408" s="4">
        <f>IF(COUNTIFS(Raw_Payments!B:B,A408)=0,"",SUMPRODUCT(MAX((Raw_Payments!B$2:B$1079=A408)*Raw_Payments!D$2:D$1079)))</f>
        <v/>
      </c>
      <c r="M408" s="3">
        <f>IF(K408="PAID",MAX(0,L408-G408),Guide!$B$3-G408)</f>
        <v/>
      </c>
      <c r="N408" s="3">
        <f>IF(J408&lt;=0.005,"COLLECTED",IF(M408&lt;=30,"1-30",IF(M408&lt;=60,"31-60",IF(M408&lt;=90,"61-90","90+"))))</f>
        <v/>
      </c>
      <c r="O408" s="3">
        <f>IF(N408="90+","LOST",IF(N408="61-90","ESCALATE",IF(N408="31-60","WATCH",IF(N408="1-30","MILD","OK"))))</f>
        <v/>
      </c>
      <c r="P408" s="3">
        <f>IF(J408&gt;0.005,ROW()-1,"")</f>
        <v/>
      </c>
    </row>
    <row r="409">
      <c r="A409" s="3" t="inlineStr">
        <is>
          <t>D0408</t>
        </is>
      </c>
      <c r="B409" s="3">
        <f>INDEX(Raw_Schedule!B:B,MATCH(A409,Raw_Schedule!A:A,0))</f>
        <v/>
      </c>
      <c r="C409" s="3">
        <f>INDEX(Raw_Schedule!C:C,MATCH(A409,Raw_Schedule!A:A,0))</f>
        <v/>
      </c>
      <c r="D409" s="3">
        <f>INDEX(Raw_Schedule!D:D,MATCH(A409,Raw_Schedule!A:A,0))</f>
        <v/>
      </c>
      <c r="E409" s="3">
        <f>INDEX(Raw_Schedule!E:E,MATCH(A409,Raw_Schedule!A:A,0))</f>
        <v/>
      </c>
      <c r="F409" s="3">
        <f>INDEX(Raw_Schedule!F:F,MATCH(A409,Raw_Schedule!A:A,0))</f>
        <v/>
      </c>
      <c r="G409" s="4">
        <f>INDEX(Raw_Schedule!G:G,MATCH(A409,Raw_Schedule!A:A,0))</f>
        <v/>
      </c>
      <c r="H409" s="5">
        <f>INDEX(Raw_Schedule!H:H,MATCH(A409,Raw_Schedule!A:A,0))</f>
        <v/>
      </c>
      <c r="I409" s="5">
        <f>SUMIFS(Raw_Payments!E:E,Raw_Payments!B:B,A409)</f>
        <v/>
      </c>
      <c r="J409" s="5">
        <f>H409-I409</f>
        <v/>
      </c>
      <c r="K409" s="3">
        <f>IF(J409&lt;=0.005,"PAID",IF(I409&gt;0,"PARTIAL","OVERDUE"))</f>
        <v/>
      </c>
      <c r="L409" s="4">
        <f>IF(COUNTIFS(Raw_Payments!B:B,A409)=0,"",SUMPRODUCT(MAX((Raw_Payments!B$2:B$1079=A409)*Raw_Payments!D$2:D$1079)))</f>
        <v/>
      </c>
      <c r="M409" s="3">
        <f>IF(K409="PAID",MAX(0,L409-G409),Guide!$B$3-G409)</f>
        <v/>
      </c>
      <c r="N409" s="3">
        <f>IF(J409&lt;=0.005,"COLLECTED",IF(M409&lt;=30,"1-30",IF(M409&lt;=60,"31-60",IF(M409&lt;=90,"61-90","90+"))))</f>
        <v/>
      </c>
      <c r="O409" s="3">
        <f>IF(N409="90+","LOST",IF(N409="61-90","ESCALATE",IF(N409="31-60","WATCH",IF(N409="1-30","MILD","OK"))))</f>
        <v/>
      </c>
      <c r="P409" s="3">
        <f>IF(J409&gt;0.005,ROW()-1,"")</f>
        <v/>
      </c>
    </row>
    <row r="410">
      <c r="A410" s="3" t="inlineStr">
        <is>
          <t>D0409</t>
        </is>
      </c>
      <c r="B410" s="3">
        <f>INDEX(Raw_Schedule!B:B,MATCH(A410,Raw_Schedule!A:A,0))</f>
        <v/>
      </c>
      <c r="C410" s="3">
        <f>INDEX(Raw_Schedule!C:C,MATCH(A410,Raw_Schedule!A:A,0))</f>
        <v/>
      </c>
      <c r="D410" s="3">
        <f>INDEX(Raw_Schedule!D:D,MATCH(A410,Raw_Schedule!A:A,0))</f>
        <v/>
      </c>
      <c r="E410" s="3">
        <f>INDEX(Raw_Schedule!E:E,MATCH(A410,Raw_Schedule!A:A,0))</f>
        <v/>
      </c>
      <c r="F410" s="3">
        <f>INDEX(Raw_Schedule!F:F,MATCH(A410,Raw_Schedule!A:A,0))</f>
        <v/>
      </c>
      <c r="G410" s="4">
        <f>INDEX(Raw_Schedule!G:G,MATCH(A410,Raw_Schedule!A:A,0))</f>
        <v/>
      </c>
      <c r="H410" s="5">
        <f>INDEX(Raw_Schedule!H:H,MATCH(A410,Raw_Schedule!A:A,0))</f>
        <v/>
      </c>
      <c r="I410" s="5">
        <f>SUMIFS(Raw_Payments!E:E,Raw_Payments!B:B,A410)</f>
        <v/>
      </c>
      <c r="J410" s="5">
        <f>H410-I410</f>
        <v/>
      </c>
      <c r="K410" s="3">
        <f>IF(J410&lt;=0.005,"PAID",IF(I410&gt;0,"PARTIAL","OVERDUE"))</f>
        <v/>
      </c>
      <c r="L410" s="4">
        <f>IF(COUNTIFS(Raw_Payments!B:B,A410)=0,"",SUMPRODUCT(MAX((Raw_Payments!B$2:B$1079=A410)*Raw_Payments!D$2:D$1079)))</f>
        <v/>
      </c>
      <c r="M410" s="3">
        <f>IF(K410="PAID",MAX(0,L410-G410),Guide!$B$3-G410)</f>
        <v/>
      </c>
      <c r="N410" s="3">
        <f>IF(J410&lt;=0.005,"COLLECTED",IF(M410&lt;=30,"1-30",IF(M410&lt;=60,"31-60",IF(M410&lt;=90,"61-90","90+"))))</f>
        <v/>
      </c>
      <c r="O410" s="3">
        <f>IF(N410="90+","LOST",IF(N410="61-90","ESCALATE",IF(N410="31-60","WATCH",IF(N410="1-30","MILD","OK"))))</f>
        <v/>
      </c>
      <c r="P410" s="3">
        <f>IF(J410&gt;0.005,ROW()-1,"")</f>
        <v/>
      </c>
    </row>
    <row r="411">
      <c r="A411" s="3" t="inlineStr">
        <is>
          <t>D0410</t>
        </is>
      </c>
      <c r="B411" s="3">
        <f>INDEX(Raw_Schedule!B:B,MATCH(A411,Raw_Schedule!A:A,0))</f>
        <v/>
      </c>
      <c r="C411" s="3">
        <f>INDEX(Raw_Schedule!C:C,MATCH(A411,Raw_Schedule!A:A,0))</f>
        <v/>
      </c>
      <c r="D411" s="3">
        <f>INDEX(Raw_Schedule!D:D,MATCH(A411,Raw_Schedule!A:A,0))</f>
        <v/>
      </c>
      <c r="E411" s="3">
        <f>INDEX(Raw_Schedule!E:E,MATCH(A411,Raw_Schedule!A:A,0))</f>
        <v/>
      </c>
      <c r="F411" s="3">
        <f>INDEX(Raw_Schedule!F:F,MATCH(A411,Raw_Schedule!A:A,0))</f>
        <v/>
      </c>
      <c r="G411" s="4">
        <f>INDEX(Raw_Schedule!G:G,MATCH(A411,Raw_Schedule!A:A,0))</f>
        <v/>
      </c>
      <c r="H411" s="5">
        <f>INDEX(Raw_Schedule!H:H,MATCH(A411,Raw_Schedule!A:A,0))</f>
        <v/>
      </c>
      <c r="I411" s="5">
        <f>SUMIFS(Raw_Payments!E:E,Raw_Payments!B:B,A411)</f>
        <v/>
      </c>
      <c r="J411" s="5">
        <f>H411-I411</f>
        <v/>
      </c>
      <c r="K411" s="3">
        <f>IF(J411&lt;=0.005,"PAID",IF(I411&gt;0,"PARTIAL","OVERDUE"))</f>
        <v/>
      </c>
      <c r="L411" s="4">
        <f>IF(COUNTIFS(Raw_Payments!B:B,A411)=0,"",SUMPRODUCT(MAX((Raw_Payments!B$2:B$1079=A411)*Raw_Payments!D$2:D$1079)))</f>
        <v/>
      </c>
      <c r="M411" s="3">
        <f>IF(K411="PAID",MAX(0,L411-G411),Guide!$B$3-G411)</f>
        <v/>
      </c>
      <c r="N411" s="3">
        <f>IF(J411&lt;=0.005,"COLLECTED",IF(M411&lt;=30,"1-30",IF(M411&lt;=60,"31-60",IF(M411&lt;=90,"61-90","90+"))))</f>
        <v/>
      </c>
      <c r="O411" s="3">
        <f>IF(N411="90+","LOST",IF(N411="61-90","ESCALATE",IF(N411="31-60","WATCH",IF(N411="1-30","MILD","OK"))))</f>
        <v/>
      </c>
      <c r="P411" s="3">
        <f>IF(J411&gt;0.005,ROW()-1,"")</f>
        <v/>
      </c>
    </row>
    <row r="412">
      <c r="A412" s="3" t="inlineStr">
        <is>
          <t>D0411</t>
        </is>
      </c>
      <c r="B412" s="3">
        <f>INDEX(Raw_Schedule!B:B,MATCH(A412,Raw_Schedule!A:A,0))</f>
        <v/>
      </c>
      <c r="C412" s="3">
        <f>INDEX(Raw_Schedule!C:C,MATCH(A412,Raw_Schedule!A:A,0))</f>
        <v/>
      </c>
      <c r="D412" s="3">
        <f>INDEX(Raw_Schedule!D:D,MATCH(A412,Raw_Schedule!A:A,0))</f>
        <v/>
      </c>
      <c r="E412" s="3">
        <f>INDEX(Raw_Schedule!E:E,MATCH(A412,Raw_Schedule!A:A,0))</f>
        <v/>
      </c>
      <c r="F412" s="3">
        <f>INDEX(Raw_Schedule!F:F,MATCH(A412,Raw_Schedule!A:A,0))</f>
        <v/>
      </c>
      <c r="G412" s="4">
        <f>INDEX(Raw_Schedule!G:G,MATCH(A412,Raw_Schedule!A:A,0))</f>
        <v/>
      </c>
      <c r="H412" s="5">
        <f>INDEX(Raw_Schedule!H:H,MATCH(A412,Raw_Schedule!A:A,0))</f>
        <v/>
      </c>
      <c r="I412" s="5">
        <f>SUMIFS(Raw_Payments!E:E,Raw_Payments!B:B,A412)</f>
        <v/>
      </c>
      <c r="J412" s="5">
        <f>H412-I412</f>
        <v/>
      </c>
      <c r="K412" s="3">
        <f>IF(J412&lt;=0.005,"PAID",IF(I412&gt;0,"PARTIAL","OVERDUE"))</f>
        <v/>
      </c>
      <c r="L412" s="4">
        <f>IF(COUNTIFS(Raw_Payments!B:B,A412)=0,"",SUMPRODUCT(MAX((Raw_Payments!B$2:B$1079=A412)*Raw_Payments!D$2:D$1079)))</f>
        <v/>
      </c>
      <c r="M412" s="3">
        <f>IF(K412="PAID",MAX(0,L412-G412),Guide!$B$3-G412)</f>
        <v/>
      </c>
      <c r="N412" s="3">
        <f>IF(J412&lt;=0.005,"COLLECTED",IF(M412&lt;=30,"1-30",IF(M412&lt;=60,"31-60",IF(M412&lt;=90,"61-90","90+"))))</f>
        <v/>
      </c>
      <c r="O412" s="3">
        <f>IF(N412="90+","LOST",IF(N412="61-90","ESCALATE",IF(N412="31-60","WATCH",IF(N412="1-30","MILD","OK"))))</f>
        <v/>
      </c>
      <c r="P412" s="3">
        <f>IF(J412&gt;0.005,ROW()-1,"")</f>
        <v/>
      </c>
    </row>
    <row r="413">
      <c r="A413" s="3" t="inlineStr">
        <is>
          <t>D0412</t>
        </is>
      </c>
      <c r="B413" s="3">
        <f>INDEX(Raw_Schedule!B:B,MATCH(A413,Raw_Schedule!A:A,0))</f>
        <v/>
      </c>
      <c r="C413" s="3">
        <f>INDEX(Raw_Schedule!C:C,MATCH(A413,Raw_Schedule!A:A,0))</f>
        <v/>
      </c>
      <c r="D413" s="3">
        <f>INDEX(Raw_Schedule!D:D,MATCH(A413,Raw_Schedule!A:A,0))</f>
        <v/>
      </c>
      <c r="E413" s="3">
        <f>INDEX(Raw_Schedule!E:E,MATCH(A413,Raw_Schedule!A:A,0))</f>
        <v/>
      </c>
      <c r="F413" s="3">
        <f>INDEX(Raw_Schedule!F:F,MATCH(A413,Raw_Schedule!A:A,0))</f>
        <v/>
      </c>
      <c r="G413" s="4">
        <f>INDEX(Raw_Schedule!G:G,MATCH(A413,Raw_Schedule!A:A,0))</f>
        <v/>
      </c>
      <c r="H413" s="5">
        <f>INDEX(Raw_Schedule!H:H,MATCH(A413,Raw_Schedule!A:A,0))</f>
        <v/>
      </c>
      <c r="I413" s="5">
        <f>SUMIFS(Raw_Payments!E:E,Raw_Payments!B:B,A413)</f>
        <v/>
      </c>
      <c r="J413" s="5">
        <f>H413-I413</f>
        <v/>
      </c>
      <c r="K413" s="3">
        <f>IF(J413&lt;=0.005,"PAID",IF(I413&gt;0,"PARTIAL","OVERDUE"))</f>
        <v/>
      </c>
      <c r="L413" s="4">
        <f>IF(COUNTIFS(Raw_Payments!B:B,A413)=0,"",SUMPRODUCT(MAX((Raw_Payments!B$2:B$1079=A413)*Raw_Payments!D$2:D$1079)))</f>
        <v/>
      </c>
      <c r="M413" s="3">
        <f>IF(K413="PAID",MAX(0,L413-G413),Guide!$B$3-G413)</f>
        <v/>
      </c>
      <c r="N413" s="3">
        <f>IF(J413&lt;=0.005,"COLLECTED",IF(M413&lt;=30,"1-30",IF(M413&lt;=60,"31-60",IF(M413&lt;=90,"61-90","90+"))))</f>
        <v/>
      </c>
      <c r="O413" s="3">
        <f>IF(N413="90+","LOST",IF(N413="61-90","ESCALATE",IF(N413="31-60","WATCH",IF(N413="1-30","MILD","OK"))))</f>
        <v/>
      </c>
      <c r="P413" s="3">
        <f>IF(J413&gt;0.005,ROW()-1,"")</f>
        <v/>
      </c>
    </row>
    <row r="414">
      <c r="A414" s="3" t="inlineStr">
        <is>
          <t>D0413</t>
        </is>
      </c>
      <c r="B414" s="3">
        <f>INDEX(Raw_Schedule!B:B,MATCH(A414,Raw_Schedule!A:A,0))</f>
        <v/>
      </c>
      <c r="C414" s="3">
        <f>INDEX(Raw_Schedule!C:C,MATCH(A414,Raw_Schedule!A:A,0))</f>
        <v/>
      </c>
      <c r="D414" s="3">
        <f>INDEX(Raw_Schedule!D:D,MATCH(A414,Raw_Schedule!A:A,0))</f>
        <v/>
      </c>
      <c r="E414" s="3">
        <f>INDEX(Raw_Schedule!E:E,MATCH(A414,Raw_Schedule!A:A,0))</f>
        <v/>
      </c>
      <c r="F414" s="3">
        <f>INDEX(Raw_Schedule!F:F,MATCH(A414,Raw_Schedule!A:A,0))</f>
        <v/>
      </c>
      <c r="G414" s="4">
        <f>INDEX(Raw_Schedule!G:G,MATCH(A414,Raw_Schedule!A:A,0))</f>
        <v/>
      </c>
      <c r="H414" s="5">
        <f>INDEX(Raw_Schedule!H:H,MATCH(A414,Raw_Schedule!A:A,0))</f>
        <v/>
      </c>
      <c r="I414" s="5">
        <f>SUMIFS(Raw_Payments!E:E,Raw_Payments!B:B,A414)</f>
        <v/>
      </c>
      <c r="J414" s="5">
        <f>H414-I414</f>
        <v/>
      </c>
      <c r="K414" s="3">
        <f>IF(J414&lt;=0.005,"PAID",IF(I414&gt;0,"PARTIAL","OVERDUE"))</f>
        <v/>
      </c>
      <c r="L414" s="4">
        <f>IF(COUNTIFS(Raw_Payments!B:B,A414)=0,"",SUMPRODUCT(MAX((Raw_Payments!B$2:B$1079=A414)*Raw_Payments!D$2:D$1079)))</f>
        <v/>
      </c>
      <c r="M414" s="3">
        <f>IF(K414="PAID",MAX(0,L414-G414),Guide!$B$3-G414)</f>
        <v/>
      </c>
      <c r="N414" s="3">
        <f>IF(J414&lt;=0.005,"COLLECTED",IF(M414&lt;=30,"1-30",IF(M414&lt;=60,"31-60",IF(M414&lt;=90,"61-90","90+"))))</f>
        <v/>
      </c>
      <c r="O414" s="3">
        <f>IF(N414="90+","LOST",IF(N414="61-90","ESCALATE",IF(N414="31-60","WATCH",IF(N414="1-30","MILD","OK"))))</f>
        <v/>
      </c>
      <c r="P414" s="3">
        <f>IF(J414&gt;0.005,ROW()-1,"")</f>
        <v/>
      </c>
    </row>
    <row r="415">
      <c r="A415" s="3" t="inlineStr">
        <is>
          <t>D0414</t>
        </is>
      </c>
      <c r="B415" s="3">
        <f>INDEX(Raw_Schedule!B:B,MATCH(A415,Raw_Schedule!A:A,0))</f>
        <v/>
      </c>
      <c r="C415" s="3">
        <f>INDEX(Raw_Schedule!C:C,MATCH(A415,Raw_Schedule!A:A,0))</f>
        <v/>
      </c>
      <c r="D415" s="3">
        <f>INDEX(Raw_Schedule!D:D,MATCH(A415,Raw_Schedule!A:A,0))</f>
        <v/>
      </c>
      <c r="E415" s="3">
        <f>INDEX(Raw_Schedule!E:E,MATCH(A415,Raw_Schedule!A:A,0))</f>
        <v/>
      </c>
      <c r="F415" s="3">
        <f>INDEX(Raw_Schedule!F:F,MATCH(A415,Raw_Schedule!A:A,0))</f>
        <v/>
      </c>
      <c r="G415" s="4">
        <f>INDEX(Raw_Schedule!G:G,MATCH(A415,Raw_Schedule!A:A,0))</f>
        <v/>
      </c>
      <c r="H415" s="5">
        <f>INDEX(Raw_Schedule!H:H,MATCH(A415,Raw_Schedule!A:A,0))</f>
        <v/>
      </c>
      <c r="I415" s="5">
        <f>SUMIFS(Raw_Payments!E:E,Raw_Payments!B:B,A415)</f>
        <v/>
      </c>
      <c r="J415" s="5">
        <f>H415-I415</f>
        <v/>
      </c>
      <c r="K415" s="3">
        <f>IF(J415&lt;=0.005,"PAID",IF(I415&gt;0,"PARTIAL","OVERDUE"))</f>
        <v/>
      </c>
      <c r="L415" s="4">
        <f>IF(COUNTIFS(Raw_Payments!B:B,A415)=0,"",SUMPRODUCT(MAX((Raw_Payments!B$2:B$1079=A415)*Raw_Payments!D$2:D$1079)))</f>
        <v/>
      </c>
      <c r="M415" s="3">
        <f>IF(K415="PAID",MAX(0,L415-G415),Guide!$B$3-G415)</f>
        <v/>
      </c>
      <c r="N415" s="3">
        <f>IF(J415&lt;=0.005,"COLLECTED",IF(M415&lt;=30,"1-30",IF(M415&lt;=60,"31-60",IF(M415&lt;=90,"61-90","90+"))))</f>
        <v/>
      </c>
      <c r="O415" s="3">
        <f>IF(N415="90+","LOST",IF(N415="61-90","ESCALATE",IF(N415="31-60","WATCH",IF(N415="1-30","MILD","OK"))))</f>
        <v/>
      </c>
      <c r="P415" s="3">
        <f>IF(J415&gt;0.005,ROW()-1,"")</f>
        <v/>
      </c>
    </row>
    <row r="416">
      <c r="A416" s="3" t="inlineStr">
        <is>
          <t>D0415</t>
        </is>
      </c>
      <c r="B416" s="3">
        <f>INDEX(Raw_Schedule!B:B,MATCH(A416,Raw_Schedule!A:A,0))</f>
        <v/>
      </c>
      <c r="C416" s="3">
        <f>INDEX(Raw_Schedule!C:C,MATCH(A416,Raw_Schedule!A:A,0))</f>
        <v/>
      </c>
      <c r="D416" s="3">
        <f>INDEX(Raw_Schedule!D:D,MATCH(A416,Raw_Schedule!A:A,0))</f>
        <v/>
      </c>
      <c r="E416" s="3">
        <f>INDEX(Raw_Schedule!E:E,MATCH(A416,Raw_Schedule!A:A,0))</f>
        <v/>
      </c>
      <c r="F416" s="3">
        <f>INDEX(Raw_Schedule!F:F,MATCH(A416,Raw_Schedule!A:A,0))</f>
        <v/>
      </c>
      <c r="G416" s="4">
        <f>INDEX(Raw_Schedule!G:G,MATCH(A416,Raw_Schedule!A:A,0))</f>
        <v/>
      </c>
      <c r="H416" s="5">
        <f>INDEX(Raw_Schedule!H:H,MATCH(A416,Raw_Schedule!A:A,0))</f>
        <v/>
      </c>
      <c r="I416" s="5">
        <f>SUMIFS(Raw_Payments!E:E,Raw_Payments!B:B,A416)</f>
        <v/>
      </c>
      <c r="J416" s="5">
        <f>H416-I416</f>
        <v/>
      </c>
      <c r="K416" s="3">
        <f>IF(J416&lt;=0.005,"PAID",IF(I416&gt;0,"PARTIAL","OVERDUE"))</f>
        <v/>
      </c>
      <c r="L416" s="4">
        <f>IF(COUNTIFS(Raw_Payments!B:B,A416)=0,"",SUMPRODUCT(MAX((Raw_Payments!B$2:B$1079=A416)*Raw_Payments!D$2:D$1079)))</f>
        <v/>
      </c>
      <c r="M416" s="3">
        <f>IF(K416="PAID",MAX(0,L416-G416),Guide!$B$3-G416)</f>
        <v/>
      </c>
      <c r="N416" s="3">
        <f>IF(J416&lt;=0.005,"COLLECTED",IF(M416&lt;=30,"1-30",IF(M416&lt;=60,"31-60",IF(M416&lt;=90,"61-90","90+"))))</f>
        <v/>
      </c>
      <c r="O416" s="3">
        <f>IF(N416="90+","LOST",IF(N416="61-90","ESCALATE",IF(N416="31-60","WATCH",IF(N416="1-30","MILD","OK"))))</f>
        <v/>
      </c>
      <c r="P416" s="3">
        <f>IF(J416&gt;0.005,ROW()-1,"")</f>
        <v/>
      </c>
    </row>
    <row r="417">
      <c r="A417" s="3" t="inlineStr">
        <is>
          <t>D0416</t>
        </is>
      </c>
      <c r="B417" s="3">
        <f>INDEX(Raw_Schedule!B:B,MATCH(A417,Raw_Schedule!A:A,0))</f>
        <v/>
      </c>
      <c r="C417" s="3">
        <f>INDEX(Raw_Schedule!C:C,MATCH(A417,Raw_Schedule!A:A,0))</f>
        <v/>
      </c>
      <c r="D417" s="3">
        <f>INDEX(Raw_Schedule!D:D,MATCH(A417,Raw_Schedule!A:A,0))</f>
        <v/>
      </c>
      <c r="E417" s="3">
        <f>INDEX(Raw_Schedule!E:E,MATCH(A417,Raw_Schedule!A:A,0))</f>
        <v/>
      </c>
      <c r="F417" s="3">
        <f>INDEX(Raw_Schedule!F:F,MATCH(A417,Raw_Schedule!A:A,0))</f>
        <v/>
      </c>
      <c r="G417" s="4">
        <f>INDEX(Raw_Schedule!G:G,MATCH(A417,Raw_Schedule!A:A,0))</f>
        <v/>
      </c>
      <c r="H417" s="5">
        <f>INDEX(Raw_Schedule!H:H,MATCH(A417,Raw_Schedule!A:A,0))</f>
        <v/>
      </c>
      <c r="I417" s="5">
        <f>SUMIFS(Raw_Payments!E:E,Raw_Payments!B:B,A417)</f>
        <v/>
      </c>
      <c r="J417" s="5">
        <f>H417-I417</f>
        <v/>
      </c>
      <c r="K417" s="3">
        <f>IF(J417&lt;=0.005,"PAID",IF(I417&gt;0,"PARTIAL","OVERDUE"))</f>
        <v/>
      </c>
      <c r="L417" s="4">
        <f>IF(COUNTIFS(Raw_Payments!B:B,A417)=0,"",SUMPRODUCT(MAX((Raw_Payments!B$2:B$1079=A417)*Raw_Payments!D$2:D$1079)))</f>
        <v/>
      </c>
      <c r="M417" s="3">
        <f>IF(K417="PAID",MAX(0,L417-G417),Guide!$B$3-G417)</f>
        <v/>
      </c>
      <c r="N417" s="3">
        <f>IF(J417&lt;=0.005,"COLLECTED",IF(M417&lt;=30,"1-30",IF(M417&lt;=60,"31-60",IF(M417&lt;=90,"61-90","90+"))))</f>
        <v/>
      </c>
      <c r="O417" s="3">
        <f>IF(N417="90+","LOST",IF(N417="61-90","ESCALATE",IF(N417="31-60","WATCH",IF(N417="1-30","MILD","OK"))))</f>
        <v/>
      </c>
      <c r="P417" s="3">
        <f>IF(J417&gt;0.005,ROW()-1,"")</f>
        <v/>
      </c>
    </row>
    <row r="418">
      <c r="A418" s="3" t="inlineStr">
        <is>
          <t>D0417</t>
        </is>
      </c>
      <c r="B418" s="3">
        <f>INDEX(Raw_Schedule!B:B,MATCH(A418,Raw_Schedule!A:A,0))</f>
        <v/>
      </c>
      <c r="C418" s="3">
        <f>INDEX(Raw_Schedule!C:C,MATCH(A418,Raw_Schedule!A:A,0))</f>
        <v/>
      </c>
      <c r="D418" s="3">
        <f>INDEX(Raw_Schedule!D:D,MATCH(A418,Raw_Schedule!A:A,0))</f>
        <v/>
      </c>
      <c r="E418" s="3">
        <f>INDEX(Raw_Schedule!E:E,MATCH(A418,Raw_Schedule!A:A,0))</f>
        <v/>
      </c>
      <c r="F418" s="3">
        <f>INDEX(Raw_Schedule!F:F,MATCH(A418,Raw_Schedule!A:A,0))</f>
        <v/>
      </c>
      <c r="G418" s="4">
        <f>INDEX(Raw_Schedule!G:G,MATCH(A418,Raw_Schedule!A:A,0))</f>
        <v/>
      </c>
      <c r="H418" s="5">
        <f>INDEX(Raw_Schedule!H:H,MATCH(A418,Raw_Schedule!A:A,0))</f>
        <v/>
      </c>
      <c r="I418" s="5">
        <f>SUMIFS(Raw_Payments!E:E,Raw_Payments!B:B,A418)</f>
        <v/>
      </c>
      <c r="J418" s="5">
        <f>H418-I418</f>
        <v/>
      </c>
      <c r="K418" s="3">
        <f>IF(J418&lt;=0.005,"PAID",IF(I418&gt;0,"PARTIAL","OVERDUE"))</f>
        <v/>
      </c>
      <c r="L418" s="4">
        <f>IF(COUNTIFS(Raw_Payments!B:B,A418)=0,"",SUMPRODUCT(MAX((Raw_Payments!B$2:B$1079=A418)*Raw_Payments!D$2:D$1079)))</f>
        <v/>
      </c>
      <c r="M418" s="3">
        <f>IF(K418="PAID",MAX(0,L418-G418),Guide!$B$3-G418)</f>
        <v/>
      </c>
      <c r="N418" s="3">
        <f>IF(J418&lt;=0.005,"COLLECTED",IF(M418&lt;=30,"1-30",IF(M418&lt;=60,"31-60",IF(M418&lt;=90,"61-90","90+"))))</f>
        <v/>
      </c>
      <c r="O418" s="3">
        <f>IF(N418="90+","LOST",IF(N418="61-90","ESCALATE",IF(N418="31-60","WATCH",IF(N418="1-30","MILD","OK"))))</f>
        <v/>
      </c>
      <c r="P418" s="3">
        <f>IF(J418&gt;0.005,ROW()-1,"")</f>
        <v/>
      </c>
    </row>
    <row r="419">
      <c r="A419" s="3" t="inlineStr">
        <is>
          <t>D0418</t>
        </is>
      </c>
      <c r="B419" s="3">
        <f>INDEX(Raw_Schedule!B:B,MATCH(A419,Raw_Schedule!A:A,0))</f>
        <v/>
      </c>
      <c r="C419" s="3">
        <f>INDEX(Raw_Schedule!C:C,MATCH(A419,Raw_Schedule!A:A,0))</f>
        <v/>
      </c>
      <c r="D419" s="3">
        <f>INDEX(Raw_Schedule!D:D,MATCH(A419,Raw_Schedule!A:A,0))</f>
        <v/>
      </c>
      <c r="E419" s="3">
        <f>INDEX(Raw_Schedule!E:E,MATCH(A419,Raw_Schedule!A:A,0))</f>
        <v/>
      </c>
      <c r="F419" s="3">
        <f>INDEX(Raw_Schedule!F:F,MATCH(A419,Raw_Schedule!A:A,0))</f>
        <v/>
      </c>
      <c r="G419" s="4">
        <f>INDEX(Raw_Schedule!G:G,MATCH(A419,Raw_Schedule!A:A,0))</f>
        <v/>
      </c>
      <c r="H419" s="5">
        <f>INDEX(Raw_Schedule!H:H,MATCH(A419,Raw_Schedule!A:A,0))</f>
        <v/>
      </c>
      <c r="I419" s="5">
        <f>SUMIFS(Raw_Payments!E:E,Raw_Payments!B:B,A419)</f>
        <v/>
      </c>
      <c r="J419" s="5">
        <f>H419-I419</f>
        <v/>
      </c>
      <c r="K419" s="3">
        <f>IF(J419&lt;=0.005,"PAID",IF(I419&gt;0,"PARTIAL","OVERDUE"))</f>
        <v/>
      </c>
      <c r="L419" s="4">
        <f>IF(COUNTIFS(Raw_Payments!B:B,A419)=0,"",SUMPRODUCT(MAX((Raw_Payments!B$2:B$1079=A419)*Raw_Payments!D$2:D$1079)))</f>
        <v/>
      </c>
      <c r="M419" s="3">
        <f>IF(K419="PAID",MAX(0,L419-G419),Guide!$B$3-G419)</f>
        <v/>
      </c>
      <c r="N419" s="3">
        <f>IF(J419&lt;=0.005,"COLLECTED",IF(M419&lt;=30,"1-30",IF(M419&lt;=60,"31-60",IF(M419&lt;=90,"61-90","90+"))))</f>
        <v/>
      </c>
      <c r="O419" s="3">
        <f>IF(N419="90+","LOST",IF(N419="61-90","ESCALATE",IF(N419="31-60","WATCH",IF(N419="1-30","MILD","OK"))))</f>
        <v/>
      </c>
      <c r="P419" s="3">
        <f>IF(J419&gt;0.005,ROW()-1,"")</f>
        <v/>
      </c>
    </row>
    <row r="420">
      <c r="A420" s="3" t="inlineStr">
        <is>
          <t>D0419</t>
        </is>
      </c>
      <c r="B420" s="3">
        <f>INDEX(Raw_Schedule!B:B,MATCH(A420,Raw_Schedule!A:A,0))</f>
        <v/>
      </c>
      <c r="C420" s="3">
        <f>INDEX(Raw_Schedule!C:C,MATCH(A420,Raw_Schedule!A:A,0))</f>
        <v/>
      </c>
      <c r="D420" s="3">
        <f>INDEX(Raw_Schedule!D:D,MATCH(A420,Raw_Schedule!A:A,0))</f>
        <v/>
      </c>
      <c r="E420" s="3">
        <f>INDEX(Raw_Schedule!E:E,MATCH(A420,Raw_Schedule!A:A,0))</f>
        <v/>
      </c>
      <c r="F420" s="3">
        <f>INDEX(Raw_Schedule!F:F,MATCH(A420,Raw_Schedule!A:A,0))</f>
        <v/>
      </c>
      <c r="G420" s="4">
        <f>INDEX(Raw_Schedule!G:G,MATCH(A420,Raw_Schedule!A:A,0))</f>
        <v/>
      </c>
      <c r="H420" s="5">
        <f>INDEX(Raw_Schedule!H:H,MATCH(A420,Raw_Schedule!A:A,0))</f>
        <v/>
      </c>
      <c r="I420" s="5">
        <f>SUMIFS(Raw_Payments!E:E,Raw_Payments!B:B,A420)</f>
        <v/>
      </c>
      <c r="J420" s="5">
        <f>H420-I420</f>
        <v/>
      </c>
      <c r="K420" s="3">
        <f>IF(J420&lt;=0.005,"PAID",IF(I420&gt;0,"PARTIAL","OVERDUE"))</f>
        <v/>
      </c>
      <c r="L420" s="4">
        <f>IF(COUNTIFS(Raw_Payments!B:B,A420)=0,"",SUMPRODUCT(MAX((Raw_Payments!B$2:B$1079=A420)*Raw_Payments!D$2:D$1079)))</f>
        <v/>
      </c>
      <c r="M420" s="3">
        <f>IF(K420="PAID",MAX(0,L420-G420),Guide!$B$3-G420)</f>
        <v/>
      </c>
      <c r="N420" s="3">
        <f>IF(J420&lt;=0.005,"COLLECTED",IF(M420&lt;=30,"1-30",IF(M420&lt;=60,"31-60",IF(M420&lt;=90,"61-90","90+"))))</f>
        <v/>
      </c>
      <c r="O420" s="3">
        <f>IF(N420="90+","LOST",IF(N420="61-90","ESCALATE",IF(N420="31-60","WATCH",IF(N420="1-30","MILD","OK"))))</f>
        <v/>
      </c>
      <c r="P420" s="3">
        <f>IF(J420&gt;0.005,ROW()-1,"")</f>
        <v/>
      </c>
    </row>
    <row r="421">
      <c r="A421" s="3" t="inlineStr">
        <is>
          <t>D0420</t>
        </is>
      </c>
      <c r="B421" s="3">
        <f>INDEX(Raw_Schedule!B:B,MATCH(A421,Raw_Schedule!A:A,0))</f>
        <v/>
      </c>
      <c r="C421" s="3">
        <f>INDEX(Raw_Schedule!C:C,MATCH(A421,Raw_Schedule!A:A,0))</f>
        <v/>
      </c>
      <c r="D421" s="3">
        <f>INDEX(Raw_Schedule!D:D,MATCH(A421,Raw_Schedule!A:A,0))</f>
        <v/>
      </c>
      <c r="E421" s="3">
        <f>INDEX(Raw_Schedule!E:E,MATCH(A421,Raw_Schedule!A:A,0))</f>
        <v/>
      </c>
      <c r="F421" s="3">
        <f>INDEX(Raw_Schedule!F:F,MATCH(A421,Raw_Schedule!A:A,0))</f>
        <v/>
      </c>
      <c r="G421" s="4">
        <f>INDEX(Raw_Schedule!G:G,MATCH(A421,Raw_Schedule!A:A,0))</f>
        <v/>
      </c>
      <c r="H421" s="5">
        <f>INDEX(Raw_Schedule!H:H,MATCH(A421,Raw_Schedule!A:A,0))</f>
        <v/>
      </c>
      <c r="I421" s="5">
        <f>SUMIFS(Raw_Payments!E:E,Raw_Payments!B:B,A421)</f>
        <v/>
      </c>
      <c r="J421" s="5">
        <f>H421-I421</f>
        <v/>
      </c>
      <c r="K421" s="3">
        <f>IF(J421&lt;=0.005,"PAID",IF(I421&gt;0,"PARTIAL","OVERDUE"))</f>
        <v/>
      </c>
      <c r="L421" s="4">
        <f>IF(COUNTIFS(Raw_Payments!B:B,A421)=0,"",SUMPRODUCT(MAX((Raw_Payments!B$2:B$1079=A421)*Raw_Payments!D$2:D$1079)))</f>
        <v/>
      </c>
      <c r="M421" s="3">
        <f>IF(K421="PAID",MAX(0,L421-G421),Guide!$B$3-G421)</f>
        <v/>
      </c>
      <c r="N421" s="3">
        <f>IF(J421&lt;=0.005,"COLLECTED",IF(M421&lt;=30,"1-30",IF(M421&lt;=60,"31-60",IF(M421&lt;=90,"61-90","90+"))))</f>
        <v/>
      </c>
      <c r="O421" s="3">
        <f>IF(N421="90+","LOST",IF(N421="61-90","ESCALATE",IF(N421="31-60","WATCH",IF(N421="1-30","MILD","OK"))))</f>
        <v/>
      </c>
      <c r="P421" s="3">
        <f>IF(J421&gt;0.005,ROW()-1,"")</f>
        <v/>
      </c>
    </row>
    <row r="422">
      <c r="A422" s="3" t="inlineStr">
        <is>
          <t>D0421</t>
        </is>
      </c>
      <c r="B422" s="3">
        <f>INDEX(Raw_Schedule!B:B,MATCH(A422,Raw_Schedule!A:A,0))</f>
        <v/>
      </c>
      <c r="C422" s="3">
        <f>INDEX(Raw_Schedule!C:C,MATCH(A422,Raw_Schedule!A:A,0))</f>
        <v/>
      </c>
      <c r="D422" s="3">
        <f>INDEX(Raw_Schedule!D:D,MATCH(A422,Raw_Schedule!A:A,0))</f>
        <v/>
      </c>
      <c r="E422" s="3">
        <f>INDEX(Raw_Schedule!E:E,MATCH(A422,Raw_Schedule!A:A,0))</f>
        <v/>
      </c>
      <c r="F422" s="3">
        <f>INDEX(Raw_Schedule!F:F,MATCH(A422,Raw_Schedule!A:A,0))</f>
        <v/>
      </c>
      <c r="G422" s="4">
        <f>INDEX(Raw_Schedule!G:G,MATCH(A422,Raw_Schedule!A:A,0))</f>
        <v/>
      </c>
      <c r="H422" s="5">
        <f>INDEX(Raw_Schedule!H:H,MATCH(A422,Raw_Schedule!A:A,0))</f>
        <v/>
      </c>
      <c r="I422" s="5">
        <f>SUMIFS(Raw_Payments!E:E,Raw_Payments!B:B,A422)</f>
        <v/>
      </c>
      <c r="J422" s="5">
        <f>H422-I422</f>
        <v/>
      </c>
      <c r="K422" s="3">
        <f>IF(J422&lt;=0.005,"PAID",IF(I422&gt;0,"PARTIAL","OVERDUE"))</f>
        <v/>
      </c>
      <c r="L422" s="4">
        <f>IF(COUNTIFS(Raw_Payments!B:B,A422)=0,"",SUMPRODUCT(MAX((Raw_Payments!B$2:B$1079=A422)*Raw_Payments!D$2:D$1079)))</f>
        <v/>
      </c>
      <c r="M422" s="3">
        <f>IF(K422="PAID",MAX(0,L422-G422),Guide!$B$3-G422)</f>
        <v/>
      </c>
      <c r="N422" s="3">
        <f>IF(J422&lt;=0.005,"COLLECTED",IF(M422&lt;=30,"1-30",IF(M422&lt;=60,"31-60",IF(M422&lt;=90,"61-90","90+"))))</f>
        <v/>
      </c>
      <c r="O422" s="3">
        <f>IF(N422="90+","LOST",IF(N422="61-90","ESCALATE",IF(N422="31-60","WATCH",IF(N422="1-30","MILD","OK"))))</f>
        <v/>
      </c>
      <c r="P422" s="3">
        <f>IF(J422&gt;0.005,ROW()-1,"")</f>
        <v/>
      </c>
    </row>
    <row r="423">
      <c r="A423" s="3" t="inlineStr">
        <is>
          <t>D0422</t>
        </is>
      </c>
      <c r="B423" s="3">
        <f>INDEX(Raw_Schedule!B:B,MATCH(A423,Raw_Schedule!A:A,0))</f>
        <v/>
      </c>
      <c r="C423" s="3">
        <f>INDEX(Raw_Schedule!C:C,MATCH(A423,Raw_Schedule!A:A,0))</f>
        <v/>
      </c>
      <c r="D423" s="3">
        <f>INDEX(Raw_Schedule!D:D,MATCH(A423,Raw_Schedule!A:A,0))</f>
        <v/>
      </c>
      <c r="E423" s="3">
        <f>INDEX(Raw_Schedule!E:E,MATCH(A423,Raw_Schedule!A:A,0))</f>
        <v/>
      </c>
      <c r="F423" s="3">
        <f>INDEX(Raw_Schedule!F:F,MATCH(A423,Raw_Schedule!A:A,0))</f>
        <v/>
      </c>
      <c r="G423" s="4">
        <f>INDEX(Raw_Schedule!G:G,MATCH(A423,Raw_Schedule!A:A,0))</f>
        <v/>
      </c>
      <c r="H423" s="5">
        <f>INDEX(Raw_Schedule!H:H,MATCH(A423,Raw_Schedule!A:A,0))</f>
        <v/>
      </c>
      <c r="I423" s="5">
        <f>SUMIFS(Raw_Payments!E:E,Raw_Payments!B:B,A423)</f>
        <v/>
      </c>
      <c r="J423" s="5">
        <f>H423-I423</f>
        <v/>
      </c>
      <c r="K423" s="3">
        <f>IF(J423&lt;=0.005,"PAID",IF(I423&gt;0,"PARTIAL","OVERDUE"))</f>
        <v/>
      </c>
      <c r="L423" s="4">
        <f>IF(COUNTIFS(Raw_Payments!B:B,A423)=0,"",SUMPRODUCT(MAX((Raw_Payments!B$2:B$1079=A423)*Raw_Payments!D$2:D$1079)))</f>
        <v/>
      </c>
      <c r="M423" s="3">
        <f>IF(K423="PAID",MAX(0,L423-G423),Guide!$B$3-G423)</f>
        <v/>
      </c>
      <c r="N423" s="3">
        <f>IF(J423&lt;=0.005,"COLLECTED",IF(M423&lt;=30,"1-30",IF(M423&lt;=60,"31-60",IF(M423&lt;=90,"61-90","90+"))))</f>
        <v/>
      </c>
      <c r="O423" s="3">
        <f>IF(N423="90+","LOST",IF(N423="61-90","ESCALATE",IF(N423="31-60","WATCH",IF(N423="1-30","MILD","OK"))))</f>
        <v/>
      </c>
      <c r="P423" s="3">
        <f>IF(J423&gt;0.005,ROW()-1,"")</f>
        <v/>
      </c>
    </row>
    <row r="424">
      <c r="A424" s="3" t="inlineStr">
        <is>
          <t>D0423</t>
        </is>
      </c>
      <c r="B424" s="3">
        <f>INDEX(Raw_Schedule!B:B,MATCH(A424,Raw_Schedule!A:A,0))</f>
        <v/>
      </c>
      <c r="C424" s="3">
        <f>INDEX(Raw_Schedule!C:C,MATCH(A424,Raw_Schedule!A:A,0))</f>
        <v/>
      </c>
      <c r="D424" s="3">
        <f>INDEX(Raw_Schedule!D:D,MATCH(A424,Raw_Schedule!A:A,0))</f>
        <v/>
      </c>
      <c r="E424" s="3">
        <f>INDEX(Raw_Schedule!E:E,MATCH(A424,Raw_Schedule!A:A,0))</f>
        <v/>
      </c>
      <c r="F424" s="3">
        <f>INDEX(Raw_Schedule!F:F,MATCH(A424,Raw_Schedule!A:A,0))</f>
        <v/>
      </c>
      <c r="G424" s="4">
        <f>INDEX(Raw_Schedule!G:G,MATCH(A424,Raw_Schedule!A:A,0))</f>
        <v/>
      </c>
      <c r="H424" s="5">
        <f>INDEX(Raw_Schedule!H:H,MATCH(A424,Raw_Schedule!A:A,0))</f>
        <v/>
      </c>
      <c r="I424" s="5">
        <f>SUMIFS(Raw_Payments!E:E,Raw_Payments!B:B,A424)</f>
        <v/>
      </c>
      <c r="J424" s="5">
        <f>H424-I424</f>
        <v/>
      </c>
      <c r="K424" s="3">
        <f>IF(J424&lt;=0.005,"PAID",IF(I424&gt;0,"PARTIAL","OVERDUE"))</f>
        <v/>
      </c>
      <c r="L424" s="4">
        <f>IF(COUNTIFS(Raw_Payments!B:B,A424)=0,"",SUMPRODUCT(MAX((Raw_Payments!B$2:B$1079=A424)*Raw_Payments!D$2:D$1079)))</f>
        <v/>
      </c>
      <c r="M424" s="3">
        <f>IF(K424="PAID",MAX(0,L424-G424),Guide!$B$3-G424)</f>
        <v/>
      </c>
      <c r="N424" s="3">
        <f>IF(J424&lt;=0.005,"COLLECTED",IF(M424&lt;=30,"1-30",IF(M424&lt;=60,"31-60",IF(M424&lt;=90,"61-90","90+"))))</f>
        <v/>
      </c>
      <c r="O424" s="3">
        <f>IF(N424="90+","LOST",IF(N424="61-90","ESCALATE",IF(N424="31-60","WATCH",IF(N424="1-30","MILD","OK"))))</f>
        <v/>
      </c>
      <c r="P424" s="3">
        <f>IF(J424&gt;0.005,ROW()-1,"")</f>
        <v/>
      </c>
    </row>
    <row r="425">
      <c r="A425" s="3" t="inlineStr">
        <is>
          <t>D0424</t>
        </is>
      </c>
      <c r="B425" s="3">
        <f>INDEX(Raw_Schedule!B:B,MATCH(A425,Raw_Schedule!A:A,0))</f>
        <v/>
      </c>
      <c r="C425" s="3">
        <f>INDEX(Raw_Schedule!C:C,MATCH(A425,Raw_Schedule!A:A,0))</f>
        <v/>
      </c>
      <c r="D425" s="3">
        <f>INDEX(Raw_Schedule!D:D,MATCH(A425,Raw_Schedule!A:A,0))</f>
        <v/>
      </c>
      <c r="E425" s="3">
        <f>INDEX(Raw_Schedule!E:E,MATCH(A425,Raw_Schedule!A:A,0))</f>
        <v/>
      </c>
      <c r="F425" s="3">
        <f>INDEX(Raw_Schedule!F:F,MATCH(A425,Raw_Schedule!A:A,0))</f>
        <v/>
      </c>
      <c r="G425" s="4">
        <f>INDEX(Raw_Schedule!G:G,MATCH(A425,Raw_Schedule!A:A,0))</f>
        <v/>
      </c>
      <c r="H425" s="5">
        <f>INDEX(Raw_Schedule!H:H,MATCH(A425,Raw_Schedule!A:A,0))</f>
        <v/>
      </c>
      <c r="I425" s="5">
        <f>SUMIFS(Raw_Payments!E:E,Raw_Payments!B:B,A425)</f>
        <v/>
      </c>
      <c r="J425" s="5">
        <f>H425-I425</f>
        <v/>
      </c>
      <c r="K425" s="3">
        <f>IF(J425&lt;=0.005,"PAID",IF(I425&gt;0,"PARTIAL","OVERDUE"))</f>
        <v/>
      </c>
      <c r="L425" s="4">
        <f>IF(COUNTIFS(Raw_Payments!B:B,A425)=0,"",SUMPRODUCT(MAX((Raw_Payments!B$2:B$1079=A425)*Raw_Payments!D$2:D$1079)))</f>
        <v/>
      </c>
      <c r="M425" s="3">
        <f>IF(K425="PAID",MAX(0,L425-G425),Guide!$B$3-G425)</f>
        <v/>
      </c>
      <c r="N425" s="3">
        <f>IF(J425&lt;=0.005,"COLLECTED",IF(M425&lt;=30,"1-30",IF(M425&lt;=60,"31-60",IF(M425&lt;=90,"61-90","90+"))))</f>
        <v/>
      </c>
      <c r="O425" s="3">
        <f>IF(N425="90+","LOST",IF(N425="61-90","ESCALATE",IF(N425="31-60","WATCH",IF(N425="1-30","MILD","OK"))))</f>
        <v/>
      </c>
      <c r="P425" s="3">
        <f>IF(J425&gt;0.005,ROW()-1,"")</f>
        <v/>
      </c>
    </row>
    <row r="426">
      <c r="A426" s="3" t="inlineStr">
        <is>
          <t>D0425</t>
        </is>
      </c>
      <c r="B426" s="3">
        <f>INDEX(Raw_Schedule!B:B,MATCH(A426,Raw_Schedule!A:A,0))</f>
        <v/>
      </c>
      <c r="C426" s="3">
        <f>INDEX(Raw_Schedule!C:C,MATCH(A426,Raw_Schedule!A:A,0))</f>
        <v/>
      </c>
      <c r="D426" s="3">
        <f>INDEX(Raw_Schedule!D:D,MATCH(A426,Raw_Schedule!A:A,0))</f>
        <v/>
      </c>
      <c r="E426" s="3">
        <f>INDEX(Raw_Schedule!E:E,MATCH(A426,Raw_Schedule!A:A,0))</f>
        <v/>
      </c>
      <c r="F426" s="3">
        <f>INDEX(Raw_Schedule!F:F,MATCH(A426,Raw_Schedule!A:A,0))</f>
        <v/>
      </c>
      <c r="G426" s="4">
        <f>INDEX(Raw_Schedule!G:G,MATCH(A426,Raw_Schedule!A:A,0))</f>
        <v/>
      </c>
      <c r="H426" s="5">
        <f>INDEX(Raw_Schedule!H:H,MATCH(A426,Raw_Schedule!A:A,0))</f>
        <v/>
      </c>
      <c r="I426" s="5">
        <f>SUMIFS(Raw_Payments!E:E,Raw_Payments!B:B,A426)</f>
        <v/>
      </c>
      <c r="J426" s="5">
        <f>H426-I426</f>
        <v/>
      </c>
      <c r="K426" s="3">
        <f>IF(J426&lt;=0.005,"PAID",IF(I426&gt;0,"PARTIAL","OVERDUE"))</f>
        <v/>
      </c>
      <c r="L426" s="4">
        <f>IF(COUNTIFS(Raw_Payments!B:B,A426)=0,"",SUMPRODUCT(MAX((Raw_Payments!B$2:B$1079=A426)*Raw_Payments!D$2:D$1079)))</f>
        <v/>
      </c>
      <c r="M426" s="3">
        <f>IF(K426="PAID",MAX(0,L426-G426),Guide!$B$3-G426)</f>
        <v/>
      </c>
      <c r="N426" s="3">
        <f>IF(J426&lt;=0.005,"COLLECTED",IF(M426&lt;=30,"1-30",IF(M426&lt;=60,"31-60",IF(M426&lt;=90,"61-90","90+"))))</f>
        <v/>
      </c>
      <c r="O426" s="3">
        <f>IF(N426="90+","LOST",IF(N426="61-90","ESCALATE",IF(N426="31-60","WATCH",IF(N426="1-30","MILD","OK"))))</f>
        <v/>
      </c>
      <c r="P426" s="3">
        <f>IF(J426&gt;0.005,ROW()-1,"")</f>
        <v/>
      </c>
    </row>
    <row r="427">
      <c r="A427" s="3" t="inlineStr">
        <is>
          <t>D0426</t>
        </is>
      </c>
      <c r="B427" s="3">
        <f>INDEX(Raw_Schedule!B:B,MATCH(A427,Raw_Schedule!A:A,0))</f>
        <v/>
      </c>
      <c r="C427" s="3">
        <f>INDEX(Raw_Schedule!C:C,MATCH(A427,Raw_Schedule!A:A,0))</f>
        <v/>
      </c>
      <c r="D427" s="3">
        <f>INDEX(Raw_Schedule!D:D,MATCH(A427,Raw_Schedule!A:A,0))</f>
        <v/>
      </c>
      <c r="E427" s="3">
        <f>INDEX(Raw_Schedule!E:E,MATCH(A427,Raw_Schedule!A:A,0))</f>
        <v/>
      </c>
      <c r="F427" s="3">
        <f>INDEX(Raw_Schedule!F:F,MATCH(A427,Raw_Schedule!A:A,0))</f>
        <v/>
      </c>
      <c r="G427" s="4">
        <f>INDEX(Raw_Schedule!G:G,MATCH(A427,Raw_Schedule!A:A,0))</f>
        <v/>
      </c>
      <c r="H427" s="5">
        <f>INDEX(Raw_Schedule!H:H,MATCH(A427,Raw_Schedule!A:A,0))</f>
        <v/>
      </c>
      <c r="I427" s="5">
        <f>SUMIFS(Raw_Payments!E:E,Raw_Payments!B:B,A427)</f>
        <v/>
      </c>
      <c r="J427" s="5">
        <f>H427-I427</f>
        <v/>
      </c>
      <c r="K427" s="3">
        <f>IF(J427&lt;=0.005,"PAID",IF(I427&gt;0,"PARTIAL","OVERDUE"))</f>
        <v/>
      </c>
      <c r="L427" s="4">
        <f>IF(COUNTIFS(Raw_Payments!B:B,A427)=0,"",SUMPRODUCT(MAX((Raw_Payments!B$2:B$1079=A427)*Raw_Payments!D$2:D$1079)))</f>
        <v/>
      </c>
      <c r="M427" s="3">
        <f>IF(K427="PAID",MAX(0,L427-G427),Guide!$B$3-G427)</f>
        <v/>
      </c>
      <c r="N427" s="3">
        <f>IF(J427&lt;=0.005,"COLLECTED",IF(M427&lt;=30,"1-30",IF(M427&lt;=60,"31-60",IF(M427&lt;=90,"61-90","90+"))))</f>
        <v/>
      </c>
      <c r="O427" s="3">
        <f>IF(N427="90+","LOST",IF(N427="61-90","ESCALATE",IF(N427="31-60","WATCH",IF(N427="1-30","MILD","OK"))))</f>
        <v/>
      </c>
      <c r="P427" s="3">
        <f>IF(J427&gt;0.005,ROW()-1,"")</f>
        <v/>
      </c>
    </row>
    <row r="428">
      <c r="A428" s="3" t="inlineStr">
        <is>
          <t>D0427</t>
        </is>
      </c>
      <c r="B428" s="3">
        <f>INDEX(Raw_Schedule!B:B,MATCH(A428,Raw_Schedule!A:A,0))</f>
        <v/>
      </c>
      <c r="C428" s="3">
        <f>INDEX(Raw_Schedule!C:C,MATCH(A428,Raw_Schedule!A:A,0))</f>
        <v/>
      </c>
      <c r="D428" s="3">
        <f>INDEX(Raw_Schedule!D:D,MATCH(A428,Raw_Schedule!A:A,0))</f>
        <v/>
      </c>
      <c r="E428" s="3">
        <f>INDEX(Raw_Schedule!E:E,MATCH(A428,Raw_Schedule!A:A,0))</f>
        <v/>
      </c>
      <c r="F428" s="3">
        <f>INDEX(Raw_Schedule!F:F,MATCH(A428,Raw_Schedule!A:A,0))</f>
        <v/>
      </c>
      <c r="G428" s="4">
        <f>INDEX(Raw_Schedule!G:G,MATCH(A428,Raw_Schedule!A:A,0))</f>
        <v/>
      </c>
      <c r="H428" s="5">
        <f>INDEX(Raw_Schedule!H:H,MATCH(A428,Raw_Schedule!A:A,0))</f>
        <v/>
      </c>
      <c r="I428" s="5">
        <f>SUMIFS(Raw_Payments!E:E,Raw_Payments!B:B,A428)</f>
        <v/>
      </c>
      <c r="J428" s="5">
        <f>H428-I428</f>
        <v/>
      </c>
      <c r="K428" s="3">
        <f>IF(J428&lt;=0.005,"PAID",IF(I428&gt;0,"PARTIAL","OVERDUE"))</f>
        <v/>
      </c>
      <c r="L428" s="4">
        <f>IF(COUNTIFS(Raw_Payments!B:B,A428)=0,"",SUMPRODUCT(MAX((Raw_Payments!B$2:B$1079=A428)*Raw_Payments!D$2:D$1079)))</f>
        <v/>
      </c>
      <c r="M428" s="3">
        <f>IF(K428="PAID",MAX(0,L428-G428),Guide!$B$3-G428)</f>
        <v/>
      </c>
      <c r="N428" s="3">
        <f>IF(J428&lt;=0.005,"COLLECTED",IF(M428&lt;=30,"1-30",IF(M428&lt;=60,"31-60",IF(M428&lt;=90,"61-90","90+"))))</f>
        <v/>
      </c>
      <c r="O428" s="3">
        <f>IF(N428="90+","LOST",IF(N428="61-90","ESCALATE",IF(N428="31-60","WATCH",IF(N428="1-30","MILD","OK"))))</f>
        <v/>
      </c>
      <c r="P428" s="3">
        <f>IF(J428&gt;0.005,ROW()-1,"")</f>
        <v/>
      </c>
    </row>
    <row r="429">
      <c r="A429" s="3" t="inlineStr">
        <is>
          <t>D0428</t>
        </is>
      </c>
      <c r="B429" s="3">
        <f>INDEX(Raw_Schedule!B:B,MATCH(A429,Raw_Schedule!A:A,0))</f>
        <v/>
      </c>
      <c r="C429" s="3">
        <f>INDEX(Raw_Schedule!C:C,MATCH(A429,Raw_Schedule!A:A,0))</f>
        <v/>
      </c>
      <c r="D429" s="3">
        <f>INDEX(Raw_Schedule!D:D,MATCH(A429,Raw_Schedule!A:A,0))</f>
        <v/>
      </c>
      <c r="E429" s="3">
        <f>INDEX(Raw_Schedule!E:E,MATCH(A429,Raw_Schedule!A:A,0))</f>
        <v/>
      </c>
      <c r="F429" s="3">
        <f>INDEX(Raw_Schedule!F:F,MATCH(A429,Raw_Schedule!A:A,0))</f>
        <v/>
      </c>
      <c r="G429" s="4">
        <f>INDEX(Raw_Schedule!G:G,MATCH(A429,Raw_Schedule!A:A,0))</f>
        <v/>
      </c>
      <c r="H429" s="5">
        <f>INDEX(Raw_Schedule!H:H,MATCH(A429,Raw_Schedule!A:A,0))</f>
        <v/>
      </c>
      <c r="I429" s="5">
        <f>SUMIFS(Raw_Payments!E:E,Raw_Payments!B:B,A429)</f>
        <v/>
      </c>
      <c r="J429" s="5">
        <f>H429-I429</f>
        <v/>
      </c>
      <c r="K429" s="3">
        <f>IF(J429&lt;=0.005,"PAID",IF(I429&gt;0,"PARTIAL","OVERDUE"))</f>
        <v/>
      </c>
      <c r="L429" s="4">
        <f>IF(COUNTIFS(Raw_Payments!B:B,A429)=0,"",SUMPRODUCT(MAX((Raw_Payments!B$2:B$1079=A429)*Raw_Payments!D$2:D$1079)))</f>
        <v/>
      </c>
      <c r="M429" s="3">
        <f>IF(K429="PAID",MAX(0,L429-G429),Guide!$B$3-G429)</f>
        <v/>
      </c>
      <c r="N429" s="3">
        <f>IF(J429&lt;=0.005,"COLLECTED",IF(M429&lt;=30,"1-30",IF(M429&lt;=60,"31-60",IF(M429&lt;=90,"61-90","90+"))))</f>
        <v/>
      </c>
      <c r="O429" s="3">
        <f>IF(N429="90+","LOST",IF(N429="61-90","ESCALATE",IF(N429="31-60","WATCH",IF(N429="1-30","MILD","OK"))))</f>
        <v/>
      </c>
      <c r="P429" s="3">
        <f>IF(J429&gt;0.005,ROW()-1,"")</f>
        <v/>
      </c>
    </row>
    <row r="430">
      <c r="A430" s="3" t="inlineStr">
        <is>
          <t>D0429</t>
        </is>
      </c>
      <c r="B430" s="3">
        <f>INDEX(Raw_Schedule!B:B,MATCH(A430,Raw_Schedule!A:A,0))</f>
        <v/>
      </c>
      <c r="C430" s="3">
        <f>INDEX(Raw_Schedule!C:C,MATCH(A430,Raw_Schedule!A:A,0))</f>
        <v/>
      </c>
      <c r="D430" s="3">
        <f>INDEX(Raw_Schedule!D:D,MATCH(A430,Raw_Schedule!A:A,0))</f>
        <v/>
      </c>
      <c r="E430" s="3">
        <f>INDEX(Raw_Schedule!E:E,MATCH(A430,Raw_Schedule!A:A,0))</f>
        <v/>
      </c>
      <c r="F430" s="3">
        <f>INDEX(Raw_Schedule!F:F,MATCH(A430,Raw_Schedule!A:A,0))</f>
        <v/>
      </c>
      <c r="G430" s="4">
        <f>INDEX(Raw_Schedule!G:G,MATCH(A430,Raw_Schedule!A:A,0))</f>
        <v/>
      </c>
      <c r="H430" s="5">
        <f>INDEX(Raw_Schedule!H:H,MATCH(A430,Raw_Schedule!A:A,0))</f>
        <v/>
      </c>
      <c r="I430" s="5">
        <f>SUMIFS(Raw_Payments!E:E,Raw_Payments!B:B,A430)</f>
        <v/>
      </c>
      <c r="J430" s="5">
        <f>H430-I430</f>
        <v/>
      </c>
      <c r="K430" s="3">
        <f>IF(J430&lt;=0.005,"PAID",IF(I430&gt;0,"PARTIAL","OVERDUE"))</f>
        <v/>
      </c>
      <c r="L430" s="4">
        <f>IF(COUNTIFS(Raw_Payments!B:B,A430)=0,"",SUMPRODUCT(MAX((Raw_Payments!B$2:B$1079=A430)*Raw_Payments!D$2:D$1079)))</f>
        <v/>
      </c>
      <c r="M430" s="3">
        <f>IF(K430="PAID",MAX(0,L430-G430),Guide!$B$3-G430)</f>
        <v/>
      </c>
      <c r="N430" s="3">
        <f>IF(J430&lt;=0.005,"COLLECTED",IF(M430&lt;=30,"1-30",IF(M430&lt;=60,"31-60",IF(M430&lt;=90,"61-90","90+"))))</f>
        <v/>
      </c>
      <c r="O430" s="3">
        <f>IF(N430="90+","LOST",IF(N430="61-90","ESCALATE",IF(N430="31-60","WATCH",IF(N430="1-30","MILD","OK"))))</f>
        <v/>
      </c>
      <c r="P430" s="3">
        <f>IF(J430&gt;0.005,ROW()-1,"")</f>
        <v/>
      </c>
    </row>
    <row r="431">
      <c r="A431" s="3" t="inlineStr">
        <is>
          <t>D0430</t>
        </is>
      </c>
      <c r="B431" s="3">
        <f>INDEX(Raw_Schedule!B:B,MATCH(A431,Raw_Schedule!A:A,0))</f>
        <v/>
      </c>
      <c r="C431" s="3">
        <f>INDEX(Raw_Schedule!C:C,MATCH(A431,Raw_Schedule!A:A,0))</f>
        <v/>
      </c>
      <c r="D431" s="3">
        <f>INDEX(Raw_Schedule!D:D,MATCH(A431,Raw_Schedule!A:A,0))</f>
        <v/>
      </c>
      <c r="E431" s="3">
        <f>INDEX(Raw_Schedule!E:E,MATCH(A431,Raw_Schedule!A:A,0))</f>
        <v/>
      </c>
      <c r="F431" s="3">
        <f>INDEX(Raw_Schedule!F:F,MATCH(A431,Raw_Schedule!A:A,0))</f>
        <v/>
      </c>
      <c r="G431" s="4">
        <f>INDEX(Raw_Schedule!G:G,MATCH(A431,Raw_Schedule!A:A,0))</f>
        <v/>
      </c>
      <c r="H431" s="5">
        <f>INDEX(Raw_Schedule!H:H,MATCH(A431,Raw_Schedule!A:A,0))</f>
        <v/>
      </c>
      <c r="I431" s="5">
        <f>SUMIFS(Raw_Payments!E:E,Raw_Payments!B:B,A431)</f>
        <v/>
      </c>
      <c r="J431" s="5">
        <f>H431-I431</f>
        <v/>
      </c>
      <c r="K431" s="3">
        <f>IF(J431&lt;=0.005,"PAID",IF(I431&gt;0,"PARTIAL","OVERDUE"))</f>
        <v/>
      </c>
      <c r="L431" s="4">
        <f>IF(COUNTIFS(Raw_Payments!B:B,A431)=0,"",SUMPRODUCT(MAX((Raw_Payments!B$2:B$1079=A431)*Raw_Payments!D$2:D$1079)))</f>
        <v/>
      </c>
      <c r="M431" s="3">
        <f>IF(K431="PAID",MAX(0,L431-G431),Guide!$B$3-G431)</f>
        <v/>
      </c>
      <c r="N431" s="3">
        <f>IF(J431&lt;=0.005,"COLLECTED",IF(M431&lt;=30,"1-30",IF(M431&lt;=60,"31-60",IF(M431&lt;=90,"61-90","90+"))))</f>
        <v/>
      </c>
      <c r="O431" s="3">
        <f>IF(N431="90+","LOST",IF(N431="61-90","ESCALATE",IF(N431="31-60","WATCH",IF(N431="1-30","MILD","OK"))))</f>
        <v/>
      </c>
      <c r="P431" s="3">
        <f>IF(J431&gt;0.005,ROW()-1,"")</f>
        <v/>
      </c>
    </row>
    <row r="432">
      <c r="A432" s="3" t="inlineStr">
        <is>
          <t>D0431</t>
        </is>
      </c>
      <c r="B432" s="3">
        <f>INDEX(Raw_Schedule!B:B,MATCH(A432,Raw_Schedule!A:A,0))</f>
        <v/>
      </c>
      <c r="C432" s="3">
        <f>INDEX(Raw_Schedule!C:C,MATCH(A432,Raw_Schedule!A:A,0))</f>
        <v/>
      </c>
      <c r="D432" s="3">
        <f>INDEX(Raw_Schedule!D:D,MATCH(A432,Raw_Schedule!A:A,0))</f>
        <v/>
      </c>
      <c r="E432" s="3">
        <f>INDEX(Raw_Schedule!E:E,MATCH(A432,Raw_Schedule!A:A,0))</f>
        <v/>
      </c>
      <c r="F432" s="3">
        <f>INDEX(Raw_Schedule!F:F,MATCH(A432,Raw_Schedule!A:A,0))</f>
        <v/>
      </c>
      <c r="G432" s="4">
        <f>INDEX(Raw_Schedule!G:G,MATCH(A432,Raw_Schedule!A:A,0))</f>
        <v/>
      </c>
      <c r="H432" s="5">
        <f>INDEX(Raw_Schedule!H:H,MATCH(A432,Raw_Schedule!A:A,0))</f>
        <v/>
      </c>
      <c r="I432" s="5">
        <f>SUMIFS(Raw_Payments!E:E,Raw_Payments!B:B,A432)</f>
        <v/>
      </c>
      <c r="J432" s="5">
        <f>H432-I432</f>
        <v/>
      </c>
      <c r="K432" s="3">
        <f>IF(J432&lt;=0.005,"PAID",IF(I432&gt;0,"PARTIAL","OVERDUE"))</f>
        <v/>
      </c>
      <c r="L432" s="4">
        <f>IF(COUNTIFS(Raw_Payments!B:B,A432)=0,"",SUMPRODUCT(MAX((Raw_Payments!B$2:B$1079=A432)*Raw_Payments!D$2:D$1079)))</f>
        <v/>
      </c>
      <c r="M432" s="3">
        <f>IF(K432="PAID",MAX(0,L432-G432),Guide!$B$3-G432)</f>
        <v/>
      </c>
      <c r="N432" s="3">
        <f>IF(J432&lt;=0.005,"COLLECTED",IF(M432&lt;=30,"1-30",IF(M432&lt;=60,"31-60",IF(M432&lt;=90,"61-90","90+"))))</f>
        <v/>
      </c>
      <c r="O432" s="3">
        <f>IF(N432="90+","LOST",IF(N432="61-90","ESCALATE",IF(N432="31-60","WATCH",IF(N432="1-30","MILD","OK"))))</f>
        <v/>
      </c>
      <c r="P432" s="3">
        <f>IF(J432&gt;0.005,ROW()-1,"")</f>
        <v/>
      </c>
    </row>
    <row r="433">
      <c r="A433" s="3" t="inlineStr">
        <is>
          <t>D0432</t>
        </is>
      </c>
      <c r="B433" s="3">
        <f>INDEX(Raw_Schedule!B:B,MATCH(A433,Raw_Schedule!A:A,0))</f>
        <v/>
      </c>
      <c r="C433" s="3">
        <f>INDEX(Raw_Schedule!C:C,MATCH(A433,Raw_Schedule!A:A,0))</f>
        <v/>
      </c>
      <c r="D433" s="3">
        <f>INDEX(Raw_Schedule!D:D,MATCH(A433,Raw_Schedule!A:A,0))</f>
        <v/>
      </c>
      <c r="E433" s="3">
        <f>INDEX(Raw_Schedule!E:E,MATCH(A433,Raw_Schedule!A:A,0))</f>
        <v/>
      </c>
      <c r="F433" s="3">
        <f>INDEX(Raw_Schedule!F:F,MATCH(A433,Raw_Schedule!A:A,0))</f>
        <v/>
      </c>
      <c r="G433" s="4">
        <f>INDEX(Raw_Schedule!G:G,MATCH(A433,Raw_Schedule!A:A,0))</f>
        <v/>
      </c>
      <c r="H433" s="5">
        <f>INDEX(Raw_Schedule!H:H,MATCH(A433,Raw_Schedule!A:A,0))</f>
        <v/>
      </c>
      <c r="I433" s="5">
        <f>SUMIFS(Raw_Payments!E:E,Raw_Payments!B:B,A433)</f>
        <v/>
      </c>
      <c r="J433" s="5">
        <f>H433-I433</f>
        <v/>
      </c>
      <c r="K433" s="3">
        <f>IF(J433&lt;=0.005,"PAID",IF(I433&gt;0,"PARTIAL","OVERDUE"))</f>
        <v/>
      </c>
      <c r="L433" s="4">
        <f>IF(COUNTIFS(Raw_Payments!B:B,A433)=0,"",SUMPRODUCT(MAX((Raw_Payments!B$2:B$1079=A433)*Raw_Payments!D$2:D$1079)))</f>
        <v/>
      </c>
      <c r="M433" s="3">
        <f>IF(K433="PAID",MAX(0,L433-G433),Guide!$B$3-G433)</f>
        <v/>
      </c>
      <c r="N433" s="3">
        <f>IF(J433&lt;=0.005,"COLLECTED",IF(M433&lt;=30,"1-30",IF(M433&lt;=60,"31-60",IF(M433&lt;=90,"61-90","90+"))))</f>
        <v/>
      </c>
      <c r="O433" s="3">
        <f>IF(N433="90+","LOST",IF(N433="61-90","ESCALATE",IF(N433="31-60","WATCH",IF(N433="1-30","MILD","OK"))))</f>
        <v/>
      </c>
      <c r="P433" s="3">
        <f>IF(J433&gt;0.005,ROW()-1,"")</f>
        <v/>
      </c>
    </row>
    <row r="434">
      <c r="A434" s="3" t="inlineStr">
        <is>
          <t>D0433</t>
        </is>
      </c>
      <c r="B434" s="3">
        <f>INDEX(Raw_Schedule!B:B,MATCH(A434,Raw_Schedule!A:A,0))</f>
        <v/>
      </c>
      <c r="C434" s="3">
        <f>INDEX(Raw_Schedule!C:C,MATCH(A434,Raw_Schedule!A:A,0))</f>
        <v/>
      </c>
      <c r="D434" s="3">
        <f>INDEX(Raw_Schedule!D:D,MATCH(A434,Raw_Schedule!A:A,0))</f>
        <v/>
      </c>
      <c r="E434" s="3">
        <f>INDEX(Raw_Schedule!E:E,MATCH(A434,Raw_Schedule!A:A,0))</f>
        <v/>
      </c>
      <c r="F434" s="3">
        <f>INDEX(Raw_Schedule!F:F,MATCH(A434,Raw_Schedule!A:A,0))</f>
        <v/>
      </c>
      <c r="G434" s="4">
        <f>INDEX(Raw_Schedule!G:G,MATCH(A434,Raw_Schedule!A:A,0))</f>
        <v/>
      </c>
      <c r="H434" s="5">
        <f>INDEX(Raw_Schedule!H:H,MATCH(A434,Raw_Schedule!A:A,0))</f>
        <v/>
      </c>
      <c r="I434" s="5">
        <f>SUMIFS(Raw_Payments!E:E,Raw_Payments!B:B,A434)</f>
        <v/>
      </c>
      <c r="J434" s="5">
        <f>H434-I434</f>
        <v/>
      </c>
      <c r="K434" s="3">
        <f>IF(J434&lt;=0.005,"PAID",IF(I434&gt;0,"PARTIAL","OVERDUE"))</f>
        <v/>
      </c>
      <c r="L434" s="4">
        <f>IF(COUNTIFS(Raw_Payments!B:B,A434)=0,"",SUMPRODUCT(MAX((Raw_Payments!B$2:B$1079=A434)*Raw_Payments!D$2:D$1079)))</f>
        <v/>
      </c>
      <c r="M434" s="3">
        <f>IF(K434="PAID",MAX(0,L434-G434),Guide!$B$3-G434)</f>
        <v/>
      </c>
      <c r="N434" s="3">
        <f>IF(J434&lt;=0.005,"COLLECTED",IF(M434&lt;=30,"1-30",IF(M434&lt;=60,"31-60",IF(M434&lt;=90,"61-90","90+"))))</f>
        <v/>
      </c>
      <c r="O434" s="3">
        <f>IF(N434="90+","LOST",IF(N434="61-90","ESCALATE",IF(N434="31-60","WATCH",IF(N434="1-30","MILD","OK"))))</f>
        <v/>
      </c>
      <c r="P434" s="3">
        <f>IF(J434&gt;0.005,ROW()-1,"")</f>
        <v/>
      </c>
    </row>
    <row r="435">
      <c r="A435" s="3" t="inlineStr">
        <is>
          <t>D0434</t>
        </is>
      </c>
      <c r="B435" s="3">
        <f>INDEX(Raw_Schedule!B:B,MATCH(A435,Raw_Schedule!A:A,0))</f>
        <v/>
      </c>
      <c r="C435" s="3">
        <f>INDEX(Raw_Schedule!C:C,MATCH(A435,Raw_Schedule!A:A,0))</f>
        <v/>
      </c>
      <c r="D435" s="3">
        <f>INDEX(Raw_Schedule!D:D,MATCH(A435,Raw_Schedule!A:A,0))</f>
        <v/>
      </c>
      <c r="E435" s="3">
        <f>INDEX(Raw_Schedule!E:E,MATCH(A435,Raw_Schedule!A:A,0))</f>
        <v/>
      </c>
      <c r="F435" s="3">
        <f>INDEX(Raw_Schedule!F:F,MATCH(A435,Raw_Schedule!A:A,0))</f>
        <v/>
      </c>
      <c r="G435" s="4">
        <f>INDEX(Raw_Schedule!G:G,MATCH(A435,Raw_Schedule!A:A,0))</f>
        <v/>
      </c>
      <c r="H435" s="5">
        <f>INDEX(Raw_Schedule!H:H,MATCH(A435,Raw_Schedule!A:A,0))</f>
        <v/>
      </c>
      <c r="I435" s="5">
        <f>SUMIFS(Raw_Payments!E:E,Raw_Payments!B:B,A435)</f>
        <v/>
      </c>
      <c r="J435" s="5">
        <f>H435-I435</f>
        <v/>
      </c>
      <c r="K435" s="3">
        <f>IF(J435&lt;=0.005,"PAID",IF(I435&gt;0,"PARTIAL","OVERDUE"))</f>
        <v/>
      </c>
      <c r="L435" s="4">
        <f>IF(COUNTIFS(Raw_Payments!B:B,A435)=0,"",SUMPRODUCT(MAX((Raw_Payments!B$2:B$1079=A435)*Raw_Payments!D$2:D$1079)))</f>
        <v/>
      </c>
      <c r="M435" s="3">
        <f>IF(K435="PAID",MAX(0,L435-G435),Guide!$B$3-G435)</f>
        <v/>
      </c>
      <c r="N435" s="3">
        <f>IF(J435&lt;=0.005,"COLLECTED",IF(M435&lt;=30,"1-30",IF(M435&lt;=60,"31-60",IF(M435&lt;=90,"61-90","90+"))))</f>
        <v/>
      </c>
      <c r="O435" s="3">
        <f>IF(N435="90+","LOST",IF(N435="61-90","ESCALATE",IF(N435="31-60","WATCH",IF(N435="1-30","MILD","OK"))))</f>
        <v/>
      </c>
      <c r="P435" s="3">
        <f>IF(J435&gt;0.005,ROW()-1,"")</f>
        <v/>
      </c>
    </row>
    <row r="436">
      <c r="A436" s="3" t="inlineStr">
        <is>
          <t>D0435</t>
        </is>
      </c>
      <c r="B436" s="3">
        <f>INDEX(Raw_Schedule!B:B,MATCH(A436,Raw_Schedule!A:A,0))</f>
        <v/>
      </c>
      <c r="C436" s="3">
        <f>INDEX(Raw_Schedule!C:C,MATCH(A436,Raw_Schedule!A:A,0))</f>
        <v/>
      </c>
      <c r="D436" s="3">
        <f>INDEX(Raw_Schedule!D:D,MATCH(A436,Raw_Schedule!A:A,0))</f>
        <v/>
      </c>
      <c r="E436" s="3">
        <f>INDEX(Raw_Schedule!E:E,MATCH(A436,Raw_Schedule!A:A,0))</f>
        <v/>
      </c>
      <c r="F436" s="3">
        <f>INDEX(Raw_Schedule!F:F,MATCH(A436,Raw_Schedule!A:A,0))</f>
        <v/>
      </c>
      <c r="G436" s="4">
        <f>INDEX(Raw_Schedule!G:G,MATCH(A436,Raw_Schedule!A:A,0))</f>
        <v/>
      </c>
      <c r="H436" s="5">
        <f>INDEX(Raw_Schedule!H:H,MATCH(A436,Raw_Schedule!A:A,0))</f>
        <v/>
      </c>
      <c r="I436" s="5">
        <f>SUMIFS(Raw_Payments!E:E,Raw_Payments!B:B,A436)</f>
        <v/>
      </c>
      <c r="J436" s="5">
        <f>H436-I436</f>
        <v/>
      </c>
      <c r="K436" s="3">
        <f>IF(J436&lt;=0.005,"PAID",IF(I436&gt;0,"PARTIAL","OVERDUE"))</f>
        <v/>
      </c>
      <c r="L436" s="4">
        <f>IF(COUNTIFS(Raw_Payments!B:B,A436)=0,"",SUMPRODUCT(MAX((Raw_Payments!B$2:B$1079=A436)*Raw_Payments!D$2:D$1079)))</f>
        <v/>
      </c>
      <c r="M436" s="3">
        <f>IF(K436="PAID",MAX(0,L436-G436),Guide!$B$3-G436)</f>
        <v/>
      </c>
      <c r="N436" s="3">
        <f>IF(J436&lt;=0.005,"COLLECTED",IF(M436&lt;=30,"1-30",IF(M436&lt;=60,"31-60",IF(M436&lt;=90,"61-90","90+"))))</f>
        <v/>
      </c>
      <c r="O436" s="3">
        <f>IF(N436="90+","LOST",IF(N436="61-90","ESCALATE",IF(N436="31-60","WATCH",IF(N436="1-30","MILD","OK"))))</f>
        <v/>
      </c>
      <c r="P436" s="3">
        <f>IF(J436&gt;0.005,ROW()-1,"")</f>
        <v/>
      </c>
    </row>
    <row r="437">
      <c r="A437" s="3" t="inlineStr">
        <is>
          <t>D0436</t>
        </is>
      </c>
      <c r="B437" s="3">
        <f>INDEX(Raw_Schedule!B:B,MATCH(A437,Raw_Schedule!A:A,0))</f>
        <v/>
      </c>
      <c r="C437" s="3">
        <f>INDEX(Raw_Schedule!C:C,MATCH(A437,Raw_Schedule!A:A,0))</f>
        <v/>
      </c>
      <c r="D437" s="3">
        <f>INDEX(Raw_Schedule!D:D,MATCH(A437,Raw_Schedule!A:A,0))</f>
        <v/>
      </c>
      <c r="E437" s="3">
        <f>INDEX(Raw_Schedule!E:E,MATCH(A437,Raw_Schedule!A:A,0))</f>
        <v/>
      </c>
      <c r="F437" s="3">
        <f>INDEX(Raw_Schedule!F:F,MATCH(A437,Raw_Schedule!A:A,0))</f>
        <v/>
      </c>
      <c r="G437" s="4">
        <f>INDEX(Raw_Schedule!G:G,MATCH(A437,Raw_Schedule!A:A,0))</f>
        <v/>
      </c>
      <c r="H437" s="5">
        <f>INDEX(Raw_Schedule!H:H,MATCH(A437,Raw_Schedule!A:A,0))</f>
        <v/>
      </c>
      <c r="I437" s="5">
        <f>SUMIFS(Raw_Payments!E:E,Raw_Payments!B:B,A437)</f>
        <v/>
      </c>
      <c r="J437" s="5">
        <f>H437-I437</f>
        <v/>
      </c>
      <c r="K437" s="3">
        <f>IF(J437&lt;=0.005,"PAID",IF(I437&gt;0,"PARTIAL","OVERDUE"))</f>
        <v/>
      </c>
      <c r="L437" s="4">
        <f>IF(COUNTIFS(Raw_Payments!B:B,A437)=0,"",SUMPRODUCT(MAX((Raw_Payments!B$2:B$1079=A437)*Raw_Payments!D$2:D$1079)))</f>
        <v/>
      </c>
      <c r="M437" s="3">
        <f>IF(K437="PAID",MAX(0,L437-G437),Guide!$B$3-G437)</f>
        <v/>
      </c>
      <c r="N437" s="3">
        <f>IF(J437&lt;=0.005,"COLLECTED",IF(M437&lt;=30,"1-30",IF(M437&lt;=60,"31-60",IF(M437&lt;=90,"61-90","90+"))))</f>
        <v/>
      </c>
      <c r="O437" s="3">
        <f>IF(N437="90+","LOST",IF(N437="61-90","ESCALATE",IF(N437="31-60","WATCH",IF(N437="1-30","MILD","OK"))))</f>
        <v/>
      </c>
      <c r="P437" s="3">
        <f>IF(J437&gt;0.005,ROW()-1,"")</f>
        <v/>
      </c>
    </row>
    <row r="438">
      <c r="A438" s="3" t="inlineStr">
        <is>
          <t>D0437</t>
        </is>
      </c>
      <c r="B438" s="3">
        <f>INDEX(Raw_Schedule!B:B,MATCH(A438,Raw_Schedule!A:A,0))</f>
        <v/>
      </c>
      <c r="C438" s="3">
        <f>INDEX(Raw_Schedule!C:C,MATCH(A438,Raw_Schedule!A:A,0))</f>
        <v/>
      </c>
      <c r="D438" s="3">
        <f>INDEX(Raw_Schedule!D:D,MATCH(A438,Raw_Schedule!A:A,0))</f>
        <v/>
      </c>
      <c r="E438" s="3">
        <f>INDEX(Raw_Schedule!E:E,MATCH(A438,Raw_Schedule!A:A,0))</f>
        <v/>
      </c>
      <c r="F438" s="3">
        <f>INDEX(Raw_Schedule!F:F,MATCH(A438,Raw_Schedule!A:A,0))</f>
        <v/>
      </c>
      <c r="G438" s="4">
        <f>INDEX(Raw_Schedule!G:G,MATCH(A438,Raw_Schedule!A:A,0))</f>
        <v/>
      </c>
      <c r="H438" s="5">
        <f>INDEX(Raw_Schedule!H:H,MATCH(A438,Raw_Schedule!A:A,0))</f>
        <v/>
      </c>
      <c r="I438" s="5">
        <f>SUMIFS(Raw_Payments!E:E,Raw_Payments!B:B,A438)</f>
        <v/>
      </c>
      <c r="J438" s="5">
        <f>H438-I438</f>
        <v/>
      </c>
      <c r="K438" s="3">
        <f>IF(J438&lt;=0.005,"PAID",IF(I438&gt;0,"PARTIAL","OVERDUE"))</f>
        <v/>
      </c>
      <c r="L438" s="4">
        <f>IF(COUNTIFS(Raw_Payments!B:B,A438)=0,"",SUMPRODUCT(MAX((Raw_Payments!B$2:B$1079=A438)*Raw_Payments!D$2:D$1079)))</f>
        <v/>
      </c>
      <c r="M438" s="3">
        <f>IF(K438="PAID",MAX(0,L438-G438),Guide!$B$3-G438)</f>
        <v/>
      </c>
      <c r="N438" s="3">
        <f>IF(J438&lt;=0.005,"COLLECTED",IF(M438&lt;=30,"1-30",IF(M438&lt;=60,"31-60",IF(M438&lt;=90,"61-90","90+"))))</f>
        <v/>
      </c>
      <c r="O438" s="3">
        <f>IF(N438="90+","LOST",IF(N438="61-90","ESCALATE",IF(N438="31-60","WATCH",IF(N438="1-30","MILD","OK"))))</f>
        <v/>
      </c>
      <c r="P438" s="3">
        <f>IF(J438&gt;0.005,ROW()-1,"")</f>
        <v/>
      </c>
    </row>
    <row r="439">
      <c r="A439" s="3" t="inlineStr">
        <is>
          <t>D0438</t>
        </is>
      </c>
      <c r="B439" s="3">
        <f>INDEX(Raw_Schedule!B:B,MATCH(A439,Raw_Schedule!A:A,0))</f>
        <v/>
      </c>
      <c r="C439" s="3">
        <f>INDEX(Raw_Schedule!C:C,MATCH(A439,Raw_Schedule!A:A,0))</f>
        <v/>
      </c>
      <c r="D439" s="3">
        <f>INDEX(Raw_Schedule!D:D,MATCH(A439,Raw_Schedule!A:A,0))</f>
        <v/>
      </c>
      <c r="E439" s="3">
        <f>INDEX(Raw_Schedule!E:E,MATCH(A439,Raw_Schedule!A:A,0))</f>
        <v/>
      </c>
      <c r="F439" s="3">
        <f>INDEX(Raw_Schedule!F:F,MATCH(A439,Raw_Schedule!A:A,0))</f>
        <v/>
      </c>
      <c r="G439" s="4">
        <f>INDEX(Raw_Schedule!G:G,MATCH(A439,Raw_Schedule!A:A,0))</f>
        <v/>
      </c>
      <c r="H439" s="5">
        <f>INDEX(Raw_Schedule!H:H,MATCH(A439,Raw_Schedule!A:A,0))</f>
        <v/>
      </c>
      <c r="I439" s="5">
        <f>SUMIFS(Raw_Payments!E:E,Raw_Payments!B:B,A439)</f>
        <v/>
      </c>
      <c r="J439" s="5">
        <f>H439-I439</f>
        <v/>
      </c>
      <c r="K439" s="3">
        <f>IF(J439&lt;=0.005,"PAID",IF(I439&gt;0,"PARTIAL","OVERDUE"))</f>
        <v/>
      </c>
      <c r="L439" s="4">
        <f>IF(COUNTIFS(Raw_Payments!B:B,A439)=0,"",SUMPRODUCT(MAX((Raw_Payments!B$2:B$1079=A439)*Raw_Payments!D$2:D$1079)))</f>
        <v/>
      </c>
      <c r="M439" s="3">
        <f>IF(K439="PAID",MAX(0,L439-G439),Guide!$B$3-G439)</f>
        <v/>
      </c>
      <c r="N439" s="3">
        <f>IF(J439&lt;=0.005,"COLLECTED",IF(M439&lt;=30,"1-30",IF(M439&lt;=60,"31-60",IF(M439&lt;=90,"61-90","90+"))))</f>
        <v/>
      </c>
      <c r="O439" s="3">
        <f>IF(N439="90+","LOST",IF(N439="61-90","ESCALATE",IF(N439="31-60","WATCH",IF(N439="1-30","MILD","OK"))))</f>
        <v/>
      </c>
      <c r="P439" s="3">
        <f>IF(J439&gt;0.005,ROW()-1,"")</f>
        <v/>
      </c>
    </row>
    <row r="440">
      <c r="A440" s="3" t="inlineStr">
        <is>
          <t>D0439</t>
        </is>
      </c>
      <c r="B440" s="3">
        <f>INDEX(Raw_Schedule!B:B,MATCH(A440,Raw_Schedule!A:A,0))</f>
        <v/>
      </c>
      <c r="C440" s="3">
        <f>INDEX(Raw_Schedule!C:C,MATCH(A440,Raw_Schedule!A:A,0))</f>
        <v/>
      </c>
      <c r="D440" s="3">
        <f>INDEX(Raw_Schedule!D:D,MATCH(A440,Raw_Schedule!A:A,0))</f>
        <v/>
      </c>
      <c r="E440" s="3">
        <f>INDEX(Raw_Schedule!E:E,MATCH(A440,Raw_Schedule!A:A,0))</f>
        <v/>
      </c>
      <c r="F440" s="3">
        <f>INDEX(Raw_Schedule!F:F,MATCH(A440,Raw_Schedule!A:A,0))</f>
        <v/>
      </c>
      <c r="G440" s="4">
        <f>INDEX(Raw_Schedule!G:G,MATCH(A440,Raw_Schedule!A:A,0))</f>
        <v/>
      </c>
      <c r="H440" s="5">
        <f>INDEX(Raw_Schedule!H:H,MATCH(A440,Raw_Schedule!A:A,0))</f>
        <v/>
      </c>
      <c r="I440" s="5">
        <f>SUMIFS(Raw_Payments!E:E,Raw_Payments!B:B,A440)</f>
        <v/>
      </c>
      <c r="J440" s="5">
        <f>H440-I440</f>
        <v/>
      </c>
      <c r="K440" s="3">
        <f>IF(J440&lt;=0.005,"PAID",IF(I440&gt;0,"PARTIAL","OVERDUE"))</f>
        <v/>
      </c>
      <c r="L440" s="4">
        <f>IF(COUNTIFS(Raw_Payments!B:B,A440)=0,"",SUMPRODUCT(MAX((Raw_Payments!B$2:B$1079=A440)*Raw_Payments!D$2:D$1079)))</f>
        <v/>
      </c>
      <c r="M440" s="3">
        <f>IF(K440="PAID",MAX(0,L440-G440),Guide!$B$3-G440)</f>
        <v/>
      </c>
      <c r="N440" s="3">
        <f>IF(J440&lt;=0.005,"COLLECTED",IF(M440&lt;=30,"1-30",IF(M440&lt;=60,"31-60",IF(M440&lt;=90,"61-90","90+"))))</f>
        <v/>
      </c>
      <c r="O440" s="3">
        <f>IF(N440="90+","LOST",IF(N440="61-90","ESCALATE",IF(N440="31-60","WATCH",IF(N440="1-30","MILD","OK"))))</f>
        <v/>
      </c>
      <c r="P440" s="3">
        <f>IF(J440&gt;0.005,ROW()-1,"")</f>
        <v/>
      </c>
    </row>
    <row r="441">
      <c r="A441" s="3" t="inlineStr">
        <is>
          <t>D0440</t>
        </is>
      </c>
      <c r="B441" s="3">
        <f>INDEX(Raw_Schedule!B:B,MATCH(A441,Raw_Schedule!A:A,0))</f>
        <v/>
      </c>
      <c r="C441" s="3">
        <f>INDEX(Raw_Schedule!C:C,MATCH(A441,Raw_Schedule!A:A,0))</f>
        <v/>
      </c>
      <c r="D441" s="3">
        <f>INDEX(Raw_Schedule!D:D,MATCH(A441,Raw_Schedule!A:A,0))</f>
        <v/>
      </c>
      <c r="E441" s="3">
        <f>INDEX(Raw_Schedule!E:E,MATCH(A441,Raw_Schedule!A:A,0))</f>
        <v/>
      </c>
      <c r="F441" s="3">
        <f>INDEX(Raw_Schedule!F:F,MATCH(A441,Raw_Schedule!A:A,0))</f>
        <v/>
      </c>
      <c r="G441" s="4">
        <f>INDEX(Raw_Schedule!G:G,MATCH(A441,Raw_Schedule!A:A,0))</f>
        <v/>
      </c>
      <c r="H441" s="5">
        <f>INDEX(Raw_Schedule!H:H,MATCH(A441,Raw_Schedule!A:A,0))</f>
        <v/>
      </c>
      <c r="I441" s="5">
        <f>SUMIFS(Raw_Payments!E:E,Raw_Payments!B:B,A441)</f>
        <v/>
      </c>
      <c r="J441" s="5">
        <f>H441-I441</f>
        <v/>
      </c>
      <c r="K441" s="3">
        <f>IF(J441&lt;=0.005,"PAID",IF(I441&gt;0,"PARTIAL","OVERDUE"))</f>
        <v/>
      </c>
      <c r="L441" s="4">
        <f>IF(COUNTIFS(Raw_Payments!B:B,A441)=0,"",SUMPRODUCT(MAX((Raw_Payments!B$2:B$1079=A441)*Raw_Payments!D$2:D$1079)))</f>
        <v/>
      </c>
      <c r="M441" s="3">
        <f>IF(K441="PAID",MAX(0,L441-G441),Guide!$B$3-G441)</f>
        <v/>
      </c>
      <c r="N441" s="3">
        <f>IF(J441&lt;=0.005,"COLLECTED",IF(M441&lt;=30,"1-30",IF(M441&lt;=60,"31-60",IF(M441&lt;=90,"61-90","90+"))))</f>
        <v/>
      </c>
      <c r="O441" s="3">
        <f>IF(N441="90+","LOST",IF(N441="61-90","ESCALATE",IF(N441="31-60","WATCH",IF(N441="1-30","MILD","OK"))))</f>
        <v/>
      </c>
      <c r="P441" s="3">
        <f>IF(J441&gt;0.005,ROW()-1,"")</f>
        <v/>
      </c>
    </row>
    <row r="442">
      <c r="A442" s="3" t="inlineStr">
        <is>
          <t>D0441</t>
        </is>
      </c>
      <c r="B442" s="3">
        <f>INDEX(Raw_Schedule!B:B,MATCH(A442,Raw_Schedule!A:A,0))</f>
        <v/>
      </c>
      <c r="C442" s="3">
        <f>INDEX(Raw_Schedule!C:C,MATCH(A442,Raw_Schedule!A:A,0))</f>
        <v/>
      </c>
      <c r="D442" s="3">
        <f>INDEX(Raw_Schedule!D:D,MATCH(A442,Raw_Schedule!A:A,0))</f>
        <v/>
      </c>
      <c r="E442" s="3">
        <f>INDEX(Raw_Schedule!E:E,MATCH(A442,Raw_Schedule!A:A,0))</f>
        <v/>
      </c>
      <c r="F442" s="3">
        <f>INDEX(Raw_Schedule!F:F,MATCH(A442,Raw_Schedule!A:A,0))</f>
        <v/>
      </c>
      <c r="G442" s="4">
        <f>INDEX(Raw_Schedule!G:G,MATCH(A442,Raw_Schedule!A:A,0))</f>
        <v/>
      </c>
      <c r="H442" s="5">
        <f>INDEX(Raw_Schedule!H:H,MATCH(A442,Raw_Schedule!A:A,0))</f>
        <v/>
      </c>
      <c r="I442" s="5">
        <f>SUMIFS(Raw_Payments!E:E,Raw_Payments!B:B,A442)</f>
        <v/>
      </c>
      <c r="J442" s="5">
        <f>H442-I442</f>
        <v/>
      </c>
      <c r="K442" s="3">
        <f>IF(J442&lt;=0.005,"PAID",IF(I442&gt;0,"PARTIAL","OVERDUE"))</f>
        <v/>
      </c>
      <c r="L442" s="4">
        <f>IF(COUNTIFS(Raw_Payments!B:B,A442)=0,"",SUMPRODUCT(MAX((Raw_Payments!B$2:B$1079=A442)*Raw_Payments!D$2:D$1079)))</f>
        <v/>
      </c>
      <c r="M442" s="3">
        <f>IF(K442="PAID",MAX(0,L442-G442),Guide!$B$3-G442)</f>
        <v/>
      </c>
      <c r="N442" s="3">
        <f>IF(J442&lt;=0.005,"COLLECTED",IF(M442&lt;=30,"1-30",IF(M442&lt;=60,"31-60",IF(M442&lt;=90,"61-90","90+"))))</f>
        <v/>
      </c>
      <c r="O442" s="3">
        <f>IF(N442="90+","LOST",IF(N442="61-90","ESCALATE",IF(N442="31-60","WATCH",IF(N442="1-30","MILD","OK"))))</f>
        <v/>
      </c>
      <c r="P442" s="3">
        <f>IF(J442&gt;0.005,ROW()-1,"")</f>
        <v/>
      </c>
    </row>
    <row r="443">
      <c r="A443" s="3" t="inlineStr">
        <is>
          <t>D0442</t>
        </is>
      </c>
      <c r="B443" s="3">
        <f>INDEX(Raw_Schedule!B:B,MATCH(A443,Raw_Schedule!A:A,0))</f>
        <v/>
      </c>
      <c r="C443" s="3">
        <f>INDEX(Raw_Schedule!C:C,MATCH(A443,Raw_Schedule!A:A,0))</f>
        <v/>
      </c>
      <c r="D443" s="3">
        <f>INDEX(Raw_Schedule!D:D,MATCH(A443,Raw_Schedule!A:A,0))</f>
        <v/>
      </c>
      <c r="E443" s="3">
        <f>INDEX(Raw_Schedule!E:E,MATCH(A443,Raw_Schedule!A:A,0))</f>
        <v/>
      </c>
      <c r="F443" s="3">
        <f>INDEX(Raw_Schedule!F:F,MATCH(A443,Raw_Schedule!A:A,0))</f>
        <v/>
      </c>
      <c r="G443" s="4">
        <f>INDEX(Raw_Schedule!G:G,MATCH(A443,Raw_Schedule!A:A,0))</f>
        <v/>
      </c>
      <c r="H443" s="5">
        <f>INDEX(Raw_Schedule!H:H,MATCH(A443,Raw_Schedule!A:A,0))</f>
        <v/>
      </c>
      <c r="I443" s="5">
        <f>SUMIFS(Raw_Payments!E:E,Raw_Payments!B:B,A443)</f>
        <v/>
      </c>
      <c r="J443" s="5">
        <f>H443-I443</f>
        <v/>
      </c>
      <c r="K443" s="3">
        <f>IF(J443&lt;=0.005,"PAID",IF(I443&gt;0,"PARTIAL","OVERDUE"))</f>
        <v/>
      </c>
      <c r="L443" s="4">
        <f>IF(COUNTIFS(Raw_Payments!B:B,A443)=0,"",SUMPRODUCT(MAX((Raw_Payments!B$2:B$1079=A443)*Raw_Payments!D$2:D$1079)))</f>
        <v/>
      </c>
      <c r="M443" s="3">
        <f>IF(K443="PAID",MAX(0,L443-G443),Guide!$B$3-G443)</f>
        <v/>
      </c>
      <c r="N443" s="3">
        <f>IF(J443&lt;=0.005,"COLLECTED",IF(M443&lt;=30,"1-30",IF(M443&lt;=60,"31-60",IF(M443&lt;=90,"61-90","90+"))))</f>
        <v/>
      </c>
      <c r="O443" s="3">
        <f>IF(N443="90+","LOST",IF(N443="61-90","ESCALATE",IF(N443="31-60","WATCH",IF(N443="1-30","MILD","OK"))))</f>
        <v/>
      </c>
      <c r="P443" s="3">
        <f>IF(J443&gt;0.005,ROW()-1,"")</f>
        <v/>
      </c>
    </row>
    <row r="444">
      <c r="A444" s="3" t="inlineStr">
        <is>
          <t>D0443</t>
        </is>
      </c>
      <c r="B444" s="3">
        <f>INDEX(Raw_Schedule!B:B,MATCH(A444,Raw_Schedule!A:A,0))</f>
        <v/>
      </c>
      <c r="C444" s="3">
        <f>INDEX(Raw_Schedule!C:C,MATCH(A444,Raw_Schedule!A:A,0))</f>
        <v/>
      </c>
      <c r="D444" s="3">
        <f>INDEX(Raw_Schedule!D:D,MATCH(A444,Raw_Schedule!A:A,0))</f>
        <v/>
      </c>
      <c r="E444" s="3">
        <f>INDEX(Raw_Schedule!E:E,MATCH(A444,Raw_Schedule!A:A,0))</f>
        <v/>
      </c>
      <c r="F444" s="3">
        <f>INDEX(Raw_Schedule!F:F,MATCH(A444,Raw_Schedule!A:A,0))</f>
        <v/>
      </c>
      <c r="G444" s="4">
        <f>INDEX(Raw_Schedule!G:G,MATCH(A444,Raw_Schedule!A:A,0))</f>
        <v/>
      </c>
      <c r="H444" s="5">
        <f>INDEX(Raw_Schedule!H:H,MATCH(A444,Raw_Schedule!A:A,0))</f>
        <v/>
      </c>
      <c r="I444" s="5">
        <f>SUMIFS(Raw_Payments!E:E,Raw_Payments!B:B,A444)</f>
        <v/>
      </c>
      <c r="J444" s="5">
        <f>H444-I444</f>
        <v/>
      </c>
      <c r="K444" s="3">
        <f>IF(J444&lt;=0.005,"PAID",IF(I444&gt;0,"PARTIAL","OVERDUE"))</f>
        <v/>
      </c>
      <c r="L444" s="4">
        <f>IF(COUNTIFS(Raw_Payments!B:B,A444)=0,"",SUMPRODUCT(MAX((Raw_Payments!B$2:B$1079=A444)*Raw_Payments!D$2:D$1079)))</f>
        <v/>
      </c>
      <c r="M444" s="3">
        <f>IF(K444="PAID",MAX(0,L444-G444),Guide!$B$3-G444)</f>
        <v/>
      </c>
      <c r="N444" s="3">
        <f>IF(J444&lt;=0.005,"COLLECTED",IF(M444&lt;=30,"1-30",IF(M444&lt;=60,"31-60",IF(M444&lt;=90,"61-90","90+"))))</f>
        <v/>
      </c>
      <c r="O444" s="3">
        <f>IF(N444="90+","LOST",IF(N444="61-90","ESCALATE",IF(N444="31-60","WATCH",IF(N444="1-30","MILD","OK"))))</f>
        <v/>
      </c>
      <c r="P444" s="3">
        <f>IF(J444&gt;0.005,ROW()-1,"")</f>
        <v/>
      </c>
    </row>
    <row r="445">
      <c r="A445" s="3" t="inlineStr">
        <is>
          <t>D0444</t>
        </is>
      </c>
      <c r="B445" s="3">
        <f>INDEX(Raw_Schedule!B:B,MATCH(A445,Raw_Schedule!A:A,0))</f>
        <v/>
      </c>
      <c r="C445" s="3">
        <f>INDEX(Raw_Schedule!C:C,MATCH(A445,Raw_Schedule!A:A,0))</f>
        <v/>
      </c>
      <c r="D445" s="3">
        <f>INDEX(Raw_Schedule!D:D,MATCH(A445,Raw_Schedule!A:A,0))</f>
        <v/>
      </c>
      <c r="E445" s="3">
        <f>INDEX(Raw_Schedule!E:E,MATCH(A445,Raw_Schedule!A:A,0))</f>
        <v/>
      </c>
      <c r="F445" s="3">
        <f>INDEX(Raw_Schedule!F:F,MATCH(A445,Raw_Schedule!A:A,0))</f>
        <v/>
      </c>
      <c r="G445" s="4">
        <f>INDEX(Raw_Schedule!G:G,MATCH(A445,Raw_Schedule!A:A,0))</f>
        <v/>
      </c>
      <c r="H445" s="5">
        <f>INDEX(Raw_Schedule!H:H,MATCH(A445,Raw_Schedule!A:A,0))</f>
        <v/>
      </c>
      <c r="I445" s="5">
        <f>SUMIFS(Raw_Payments!E:E,Raw_Payments!B:B,A445)</f>
        <v/>
      </c>
      <c r="J445" s="5">
        <f>H445-I445</f>
        <v/>
      </c>
      <c r="K445" s="3">
        <f>IF(J445&lt;=0.005,"PAID",IF(I445&gt;0,"PARTIAL","OVERDUE"))</f>
        <v/>
      </c>
      <c r="L445" s="4">
        <f>IF(COUNTIFS(Raw_Payments!B:B,A445)=0,"",SUMPRODUCT(MAX((Raw_Payments!B$2:B$1079=A445)*Raw_Payments!D$2:D$1079)))</f>
        <v/>
      </c>
      <c r="M445" s="3">
        <f>IF(K445="PAID",MAX(0,L445-G445),Guide!$B$3-G445)</f>
        <v/>
      </c>
      <c r="N445" s="3">
        <f>IF(J445&lt;=0.005,"COLLECTED",IF(M445&lt;=30,"1-30",IF(M445&lt;=60,"31-60",IF(M445&lt;=90,"61-90","90+"))))</f>
        <v/>
      </c>
      <c r="O445" s="3">
        <f>IF(N445="90+","LOST",IF(N445="61-90","ESCALATE",IF(N445="31-60","WATCH",IF(N445="1-30","MILD","OK"))))</f>
        <v/>
      </c>
      <c r="P445" s="3">
        <f>IF(J445&gt;0.005,ROW()-1,"")</f>
        <v/>
      </c>
    </row>
    <row r="446">
      <c r="A446" s="3" t="inlineStr">
        <is>
          <t>D0445</t>
        </is>
      </c>
      <c r="B446" s="3">
        <f>INDEX(Raw_Schedule!B:B,MATCH(A446,Raw_Schedule!A:A,0))</f>
        <v/>
      </c>
      <c r="C446" s="3">
        <f>INDEX(Raw_Schedule!C:C,MATCH(A446,Raw_Schedule!A:A,0))</f>
        <v/>
      </c>
      <c r="D446" s="3">
        <f>INDEX(Raw_Schedule!D:D,MATCH(A446,Raw_Schedule!A:A,0))</f>
        <v/>
      </c>
      <c r="E446" s="3">
        <f>INDEX(Raw_Schedule!E:E,MATCH(A446,Raw_Schedule!A:A,0))</f>
        <v/>
      </c>
      <c r="F446" s="3">
        <f>INDEX(Raw_Schedule!F:F,MATCH(A446,Raw_Schedule!A:A,0))</f>
        <v/>
      </c>
      <c r="G446" s="4">
        <f>INDEX(Raw_Schedule!G:G,MATCH(A446,Raw_Schedule!A:A,0))</f>
        <v/>
      </c>
      <c r="H446" s="5">
        <f>INDEX(Raw_Schedule!H:H,MATCH(A446,Raw_Schedule!A:A,0))</f>
        <v/>
      </c>
      <c r="I446" s="5">
        <f>SUMIFS(Raw_Payments!E:E,Raw_Payments!B:B,A446)</f>
        <v/>
      </c>
      <c r="J446" s="5">
        <f>H446-I446</f>
        <v/>
      </c>
      <c r="K446" s="3">
        <f>IF(J446&lt;=0.005,"PAID",IF(I446&gt;0,"PARTIAL","OVERDUE"))</f>
        <v/>
      </c>
      <c r="L446" s="4">
        <f>IF(COUNTIFS(Raw_Payments!B:B,A446)=0,"",SUMPRODUCT(MAX((Raw_Payments!B$2:B$1079=A446)*Raw_Payments!D$2:D$1079)))</f>
        <v/>
      </c>
      <c r="M446" s="3">
        <f>IF(K446="PAID",MAX(0,L446-G446),Guide!$B$3-G446)</f>
        <v/>
      </c>
      <c r="N446" s="3">
        <f>IF(J446&lt;=0.005,"COLLECTED",IF(M446&lt;=30,"1-30",IF(M446&lt;=60,"31-60",IF(M446&lt;=90,"61-90","90+"))))</f>
        <v/>
      </c>
      <c r="O446" s="3">
        <f>IF(N446="90+","LOST",IF(N446="61-90","ESCALATE",IF(N446="31-60","WATCH",IF(N446="1-30","MILD","OK"))))</f>
        <v/>
      </c>
      <c r="P446" s="3">
        <f>IF(J446&gt;0.005,ROW()-1,"")</f>
        <v/>
      </c>
    </row>
    <row r="447">
      <c r="A447" s="3" t="inlineStr">
        <is>
          <t>D0446</t>
        </is>
      </c>
      <c r="B447" s="3">
        <f>INDEX(Raw_Schedule!B:B,MATCH(A447,Raw_Schedule!A:A,0))</f>
        <v/>
      </c>
      <c r="C447" s="3">
        <f>INDEX(Raw_Schedule!C:C,MATCH(A447,Raw_Schedule!A:A,0))</f>
        <v/>
      </c>
      <c r="D447" s="3">
        <f>INDEX(Raw_Schedule!D:D,MATCH(A447,Raw_Schedule!A:A,0))</f>
        <v/>
      </c>
      <c r="E447" s="3">
        <f>INDEX(Raw_Schedule!E:E,MATCH(A447,Raw_Schedule!A:A,0))</f>
        <v/>
      </c>
      <c r="F447" s="3">
        <f>INDEX(Raw_Schedule!F:F,MATCH(A447,Raw_Schedule!A:A,0))</f>
        <v/>
      </c>
      <c r="G447" s="4">
        <f>INDEX(Raw_Schedule!G:G,MATCH(A447,Raw_Schedule!A:A,0))</f>
        <v/>
      </c>
      <c r="H447" s="5">
        <f>INDEX(Raw_Schedule!H:H,MATCH(A447,Raw_Schedule!A:A,0))</f>
        <v/>
      </c>
      <c r="I447" s="5">
        <f>SUMIFS(Raw_Payments!E:E,Raw_Payments!B:B,A447)</f>
        <v/>
      </c>
      <c r="J447" s="5">
        <f>H447-I447</f>
        <v/>
      </c>
      <c r="K447" s="3">
        <f>IF(J447&lt;=0.005,"PAID",IF(I447&gt;0,"PARTIAL","OVERDUE"))</f>
        <v/>
      </c>
      <c r="L447" s="4">
        <f>IF(COUNTIFS(Raw_Payments!B:B,A447)=0,"",SUMPRODUCT(MAX((Raw_Payments!B$2:B$1079=A447)*Raw_Payments!D$2:D$1079)))</f>
        <v/>
      </c>
      <c r="M447" s="3">
        <f>IF(K447="PAID",MAX(0,L447-G447),Guide!$B$3-G447)</f>
        <v/>
      </c>
      <c r="N447" s="3">
        <f>IF(J447&lt;=0.005,"COLLECTED",IF(M447&lt;=30,"1-30",IF(M447&lt;=60,"31-60",IF(M447&lt;=90,"61-90","90+"))))</f>
        <v/>
      </c>
      <c r="O447" s="3">
        <f>IF(N447="90+","LOST",IF(N447="61-90","ESCALATE",IF(N447="31-60","WATCH",IF(N447="1-30","MILD","OK"))))</f>
        <v/>
      </c>
      <c r="P447" s="3">
        <f>IF(J447&gt;0.005,ROW()-1,"")</f>
        <v/>
      </c>
    </row>
    <row r="448">
      <c r="A448" s="3" t="inlineStr">
        <is>
          <t>D0447</t>
        </is>
      </c>
      <c r="B448" s="3">
        <f>INDEX(Raw_Schedule!B:B,MATCH(A448,Raw_Schedule!A:A,0))</f>
        <v/>
      </c>
      <c r="C448" s="3">
        <f>INDEX(Raw_Schedule!C:C,MATCH(A448,Raw_Schedule!A:A,0))</f>
        <v/>
      </c>
      <c r="D448" s="3">
        <f>INDEX(Raw_Schedule!D:D,MATCH(A448,Raw_Schedule!A:A,0))</f>
        <v/>
      </c>
      <c r="E448" s="3">
        <f>INDEX(Raw_Schedule!E:E,MATCH(A448,Raw_Schedule!A:A,0))</f>
        <v/>
      </c>
      <c r="F448" s="3">
        <f>INDEX(Raw_Schedule!F:F,MATCH(A448,Raw_Schedule!A:A,0))</f>
        <v/>
      </c>
      <c r="G448" s="4">
        <f>INDEX(Raw_Schedule!G:G,MATCH(A448,Raw_Schedule!A:A,0))</f>
        <v/>
      </c>
      <c r="H448" s="5">
        <f>INDEX(Raw_Schedule!H:H,MATCH(A448,Raw_Schedule!A:A,0))</f>
        <v/>
      </c>
      <c r="I448" s="5">
        <f>SUMIFS(Raw_Payments!E:E,Raw_Payments!B:B,A448)</f>
        <v/>
      </c>
      <c r="J448" s="5">
        <f>H448-I448</f>
        <v/>
      </c>
      <c r="K448" s="3">
        <f>IF(J448&lt;=0.005,"PAID",IF(I448&gt;0,"PARTIAL","OVERDUE"))</f>
        <v/>
      </c>
      <c r="L448" s="4">
        <f>IF(COUNTIFS(Raw_Payments!B:B,A448)=0,"",SUMPRODUCT(MAX((Raw_Payments!B$2:B$1079=A448)*Raw_Payments!D$2:D$1079)))</f>
        <v/>
      </c>
      <c r="M448" s="3">
        <f>IF(K448="PAID",MAX(0,L448-G448),Guide!$B$3-G448)</f>
        <v/>
      </c>
      <c r="N448" s="3">
        <f>IF(J448&lt;=0.005,"COLLECTED",IF(M448&lt;=30,"1-30",IF(M448&lt;=60,"31-60",IF(M448&lt;=90,"61-90","90+"))))</f>
        <v/>
      </c>
      <c r="O448" s="3">
        <f>IF(N448="90+","LOST",IF(N448="61-90","ESCALATE",IF(N448="31-60","WATCH",IF(N448="1-30","MILD","OK"))))</f>
        <v/>
      </c>
      <c r="P448" s="3">
        <f>IF(J448&gt;0.005,ROW()-1,"")</f>
        <v/>
      </c>
    </row>
    <row r="449">
      <c r="A449" s="3" t="inlineStr">
        <is>
          <t>D0448</t>
        </is>
      </c>
      <c r="B449" s="3">
        <f>INDEX(Raw_Schedule!B:B,MATCH(A449,Raw_Schedule!A:A,0))</f>
        <v/>
      </c>
      <c r="C449" s="3">
        <f>INDEX(Raw_Schedule!C:C,MATCH(A449,Raw_Schedule!A:A,0))</f>
        <v/>
      </c>
      <c r="D449" s="3">
        <f>INDEX(Raw_Schedule!D:D,MATCH(A449,Raw_Schedule!A:A,0))</f>
        <v/>
      </c>
      <c r="E449" s="3">
        <f>INDEX(Raw_Schedule!E:E,MATCH(A449,Raw_Schedule!A:A,0))</f>
        <v/>
      </c>
      <c r="F449" s="3">
        <f>INDEX(Raw_Schedule!F:F,MATCH(A449,Raw_Schedule!A:A,0))</f>
        <v/>
      </c>
      <c r="G449" s="4">
        <f>INDEX(Raw_Schedule!G:G,MATCH(A449,Raw_Schedule!A:A,0))</f>
        <v/>
      </c>
      <c r="H449" s="5">
        <f>INDEX(Raw_Schedule!H:H,MATCH(A449,Raw_Schedule!A:A,0))</f>
        <v/>
      </c>
      <c r="I449" s="5">
        <f>SUMIFS(Raw_Payments!E:E,Raw_Payments!B:B,A449)</f>
        <v/>
      </c>
      <c r="J449" s="5">
        <f>H449-I449</f>
        <v/>
      </c>
      <c r="K449" s="3">
        <f>IF(J449&lt;=0.005,"PAID",IF(I449&gt;0,"PARTIAL","OVERDUE"))</f>
        <v/>
      </c>
      <c r="L449" s="4">
        <f>IF(COUNTIFS(Raw_Payments!B:B,A449)=0,"",SUMPRODUCT(MAX((Raw_Payments!B$2:B$1079=A449)*Raw_Payments!D$2:D$1079)))</f>
        <v/>
      </c>
      <c r="M449" s="3">
        <f>IF(K449="PAID",MAX(0,L449-G449),Guide!$B$3-G449)</f>
        <v/>
      </c>
      <c r="N449" s="3">
        <f>IF(J449&lt;=0.005,"COLLECTED",IF(M449&lt;=30,"1-30",IF(M449&lt;=60,"31-60",IF(M449&lt;=90,"61-90","90+"))))</f>
        <v/>
      </c>
      <c r="O449" s="3">
        <f>IF(N449="90+","LOST",IF(N449="61-90","ESCALATE",IF(N449="31-60","WATCH",IF(N449="1-30","MILD","OK"))))</f>
        <v/>
      </c>
      <c r="P449" s="3">
        <f>IF(J449&gt;0.005,ROW()-1,"")</f>
        <v/>
      </c>
    </row>
    <row r="450">
      <c r="A450" s="3" t="inlineStr">
        <is>
          <t>D0449</t>
        </is>
      </c>
      <c r="B450" s="3">
        <f>INDEX(Raw_Schedule!B:B,MATCH(A450,Raw_Schedule!A:A,0))</f>
        <v/>
      </c>
      <c r="C450" s="3">
        <f>INDEX(Raw_Schedule!C:C,MATCH(A450,Raw_Schedule!A:A,0))</f>
        <v/>
      </c>
      <c r="D450" s="3">
        <f>INDEX(Raw_Schedule!D:D,MATCH(A450,Raw_Schedule!A:A,0))</f>
        <v/>
      </c>
      <c r="E450" s="3">
        <f>INDEX(Raw_Schedule!E:E,MATCH(A450,Raw_Schedule!A:A,0))</f>
        <v/>
      </c>
      <c r="F450" s="3">
        <f>INDEX(Raw_Schedule!F:F,MATCH(A450,Raw_Schedule!A:A,0))</f>
        <v/>
      </c>
      <c r="G450" s="4">
        <f>INDEX(Raw_Schedule!G:G,MATCH(A450,Raw_Schedule!A:A,0))</f>
        <v/>
      </c>
      <c r="H450" s="5">
        <f>INDEX(Raw_Schedule!H:H,MATCH(A450,Raw_Schedule!A:A,0))</f>
        <v/>
      </c>
      <c r="I450" s="5">
        <f>SUMIFS(Raw_Payments!E:E,Raw_Payments!B:B,A450)</f>
        <v/>
      </c>
      <c r="J450" s="5">
        <f>H450-I450</f>
        <v/>
      </c>
      <c r="K450" s="3">
        <f>IF(J450&lt;=0.005,"PAID",IF(I450&gt;0,"PARTIAL","OVERDUE"))</f>
        <v/>
      </c>
      <c r="L450" s="4">
        <f>IF(COUNTIFS(Raw_Payments!B:B,A450)=0,"",SUMPRODUCT(MAX((Raw_Payments!B$2:B$1079=A450)*Raw_Payments!D$2:D$1079)))</f>
        <v/>
      </c>
      <c r="M450" s="3">
        <f>IF(K450="PAID",MAX(0,L450-G450),Guide!$B$3-G450)</f>
        <v/>
      </c>
      <c r="N450" s="3">
        <f>IF(J450&lt;=0.005,"COLLECTED",IF(M450&lt;=30,"1-30",IF(M450&lt;=60,"31-60",IF(M450&lt;=90,"61-90","90+"))))</f>
        <v/>
      </c>
      <c r="O450" s="3">
        <f>IF(N450="90+","LOST",IF(N450="61-90","ESCALATE",IF(N450="31-60","WATCH",IF(N450="1-30","MILD","OK"))))</f>
        <v/>
      </c>
      <c r="P450" s="3">
        <f>IF(J450&gt;0.005,ROW()-1,"")</f>
        <v/>
      </c>
    </row>
    <row r="451">
      <c r="A451" s="3" t="inlineStr">
        <is>
          <t>D0450</t>
        </is>
      </c>
      <c r="B451" s="3">
        <f>INDEX(Raw_Schedule!B:B,MATCH(A451,Raw_Schedule!A:A,0))</f>
        <v/>
      </c>
      <c r="C451" s="3">
        <f>INDEX(Raw_Schedule!C:C,MATCH(A451,Raw_Schedule!A:A,0))</f>
        <v/>
      </c>
      <c r="D451" s="3">
        <f>INDEX(Raw_Schedule!D:D,MATCH(A451,Raw_Schedule!A:A,0))</f>
        <v/>
      </c>
      <c r="E451" s="3">
        <f>INDEX(Raw_Schedule!E:E,MATCH(A451,Raw_Schedule!A:A,0))</f>
        <v/>
      </c>
      <c r="F451" s="3">
        <f>INDEX(Raw_Schedule!F:F,MATCH(A451,Raw_Schedule!A:A,0))</f>
        <v/>
      </c>
      <c r="G451" s="4">
        <f>INDEX(Raw_Schedule!G:G,MATCH(A451,Raw_Schedule!A:A,0))</f>
        <v/>
      </c>
      <c r="H451" s="5">
        <f>INDEX(Raw_Schedule!H:H,MATCH(A451,Raw_Schedule!A:A,0))</f>
        <v/>
      </c>
      <c r="I451" s="5">
        <f>SUMIFS(Raw_Payments!E:E,Raw_Payments!B:B,A451)</f>
        <v/>
      </c>
      <c r="J451" s="5">
        <f>H451-I451</f>
        <v/>
      </c>
      <c r="K451" s="3">
        <f>IF(J451&lt;=0.005,"PAID",IF(I451&gt;0,"PARTIAL","OVERDUE"))</f>
        <v/>
      </c>
      <c r="L451" s="4">
        <f>IF(COUNTIFS(Raw_Payments!B:B,A451)=0,"",SUMPRODUCT(MAX((Raw_Payments!B$2:B$1079=A451)*Raw_Payments!D$2:D$1079)))</f>
        <v/>
      </c>
      <c r="M451" s="3">
        <f>IF(K451="PAID",MAX(0,L451-G451),Guide!$B$3-G451)</f>
        <v/>
      </c>
      <c r="N451" s="3">
        <f>IF(J451&lt;=0.005,"COLLECTED",IF(M451&lt;=30,"1-30",IF(M451&lt;=60,"31-60",IF(M451&lt;=90,"61-90","90+"))))</f>
        <v/>
      </c>
      <c r="O451" s="3">
        <f>IF(N451="90+","LOST",IF(N451="61-90","ESCALATE",IF(N451="31-60","WATCH",IF(N451="1-30","MILD","OK"))))</f>
        <v/>
      </c>
      <c r="P451" s="3">
        <f>IF(J451&gt;0.005,ROW()-1,"")</f>
        <v/>
      </c>
    </row>
    <row r="452">
      <c r="A452" s="3" t="inlineStr">
        <is>
          <t>D0451</t>
        </is>
      </c>
      <c r="B452" s="3">
        <f>INDEX(Raw_Schedule!B:B,MATCH(A452,Raw_Schedule!A:A,0))</f>
        <v/>
      </c>
      <c r="C452" s="3">
        <f>INDEX(Raw_Schedule!C:C,MATCH(A452,Raw_Schedule!A:A,0))</f>
        <v/>
      </c>
      <c r="D452" s="3">
        <f>INDEX(Raw_Schedule!D:D,MATCH(A452,Raw_Schedule!A:A,0))</f>
        <v/>
      </c>
      <c r="E452" s="3">
        <f>INDEX(Raw_Schedule!E:E,MATCH(A452,Raw_Schedule!A:A,0))</f>
        <v/>
      </c>
      <c r="F452" s="3">
        <f>INDEX(Raw_Schedule!F:F,MATCH(A452,Raw_Schedule!A:A,0))</f>
        <v/>
      </c>
      <c r="G452" s="4">
        <f>INDEX(Raw_Schedule!G:G,MATCH(A452,Raw_Schedule!A:A,0))</f>
        <v/>
      </c>
      <c r="H452" s="5">
        <f>INDEX(Raw_Schedule!H:H,MATCH(A452,Raw_Schedule!A:A,0))</f>
        <v/>
      </c>
      <c r="I452" s="5">
        <f>SUMIFS(Raw_Payments!E:E,Raw_Payments!B:B,A452)</f>
        <v/>
      </c>
      <c r="J452" s="5">
        <f>H452-I452</f>
        <v/>
      </c>
      <c r="K452" s="3">
        <f>IF(J452&lt;=0.005,"PAID",IF(I452&gt;0,"PARTIAL","OVERDUE"))</f>
        <v/>
      </c>
      <c r="L452" s="4">
        <f>IF(COUNTIFS(Raw_Payments!B:B,A452)=0,"",SUMPRODUCT(MAX((Raw_Payments!B$2:B$1079=A452)*Raw_Payments!D$2:D$1079)))</f>
        <v/>
      </c>
      <c r="M452" s="3">
        <f>IF(K452="PAID",MAX(0,L452-G452),Guide!$B$3-G452)</f>
        <v/>
      </c>
      <c r="N452" s="3">
        <f>IF(J452&lt;=0.005,"COLLECTED",IF(M452&lt;=30,"1-30",IF(M452&lt;=60,"31-60",IF(M452&lt;=90,"61-90","90+"))))</f>
        <v/>
      </c>
      <c r="O452" s="3">
        <f>IF(N452="90+","LOST",IF(N452="61-90","ESCALATE",IF(N452="31-60","WATCH",IF(N452="1-30","MILD","OK"))))</f>
        <v/>
      </c>
      <c r="P452" s="3">
        <f>IF(J452&gt;0.005,ROW()-1,"")</f>
        <v/>
      </c>
    </row>
    <row r="453">
      <c r="A453" s="3" t="inlineStr">
        <is>
          <t>D0452</t>
        </is>
      </c>
      <c r="B453" s="3">
        <f>INDEX(Raw_Schedule!B:B,MATCH(A453,Raw_Schedule!A:A,0))</f>
        <v/>
      </c>
      <c r="C453" s="3">
        <f>INDEX(Raw_Schedule!C:C,MATCH(A453,Raw_Schedule!A:A,0))</f>
        <v/>
      </c>
      <c r="D453" s="3">
        <f>INDEX(Raw_Schedule!D:D,MATCH(A453,Raw_Schedule!A:A,0))</f>
        <v/>
      </c>
      <c r="E453" s="3">
        <f>INDEX(Raw_Schedule!E:E,MATCH(A453,Raw_Schedule!A:A,0))</f>
        <v/>
      </c>
      <c r="F453" s="3">
        <f>INDEX(Raw_Schedule!F:F,MATCH(A453,Raw_Schedule!A:A,0))</f>
        <v/>
      </c>
      <c r="G453" s="4">
        <f>INDEX(Raw_Schedule!G:G,MATCH(A453,Raw_Schedule!A:A,0))</f>
        <v/>
      </c>
      <c r="H453" s="5">
        <f>INDEX(Raw_Schedule!H:H,MATCH(A453,Raw_Schedule!A:A,0))</f>
        <v/>
      </c>
      <c r="I453" s="5">
        <f>SUMIFS(Raw_Payments!E:E,Raw_Payments!B:B,A453)</f>
        <v/>
      </c>
      <c r="J453" s="5">
        <f>H453-I453</f>
        <v/>
      </c>
      <c r="K453" s="3">
        <f>IF(J453&lt;=0.005,"PAID",IF(I453&gt;0,"PARTIAL","OVERDUE"))</f>
        <v/>
      </c>
      <c r="L453" s="4">
        <f>IF(COUNTIFS(Raw_Payments!B:B,A453)=0,"",SUMPRODUCT(MAX((Raw_Payments!B$2:B$1079=A453)*Raw_Payments!D$2:D$1079)))</f>
        <v/>
      </c>
      <c r="M453" s="3">
        <f>IF(K453="PAID",MAX(0,L453-G453),Guide!$B$3-G453)</f>
        <v/>
      </c>
      <c r="N453" s="3">
        <f>IF(J453&lt;=0.005,"COLLECTED",IF(M453&lt;=30,"1-30",IF(M453&lt;=60,"31-60",IF(M453&lt;=90,"61-90","90+"))))</f>
        <v/>
      </c>
      <c r="O453" s="3">
        <f>IF(N453="90+","LOST",IF(N453="61-90","ESCALATE",IF(N453="31-60","WATCH",IF(N453="1-30","MILD","OK"))))</f>
        <v/>
      </c>
      <c r="P453" s="3">
        <f>IF(J453&gt;0.005,ROW()-1,"")</f>
        <v/>
      </c>
    </row>
    <row r="454">
      <c r="A454" s="3" t="inlineStr">
        <is>
          <t>D0453</t>
        </is>
      </c>
      <c r="B454" s="3">
        <f>INDEX(Raw_Schedule!B:B,MATCH(A454,Raw_Schedule!A:A,0))</f>
        <v/>
      </c>
      <c r="C454" s="3">
        <f>INDEX(Raw_Schedule!C:C,MATCH(A454,Raw_Schedule!A:A,0))</f>
        <v/>
      </c>
      <c r="D454" s="3">
        <f>INDEX(Raw_Schedule!D:D,MATCH(A454,Raw_Schedule!A:A,0))</f>
        <v/>
      </c>
      <c r="E454" s="3">
        <f>INDEX(Raw_Schedule!E:E,MATCH(A454,Raw_Schedule!A:A,0))</f>
        <v/>
      </c>
      <c r="F454" s="3">
        <f>INDEX(Raw_Schedule!F:F,MATCH(A454,Raw_Schedule!A:A,0))</f>
        <v/>
      </c>
      <c r="G454" s="4">
        <f>INDEX(Raw_Schedule!G:G,MATCH(A454,Raw_Schedule!A:A,0))</f>
        <v/>
      </c>
      <c r="H454" s="5">
        <f>INDEX(Raw_Schedule!H:H,MATCH(A454,Raw_Schedule!A:A,0))</f>
        <v/>
      </c>
      <c r="I454" s="5">
        <f>SUMIFS(Raw_Payments!E:E,Raw_Payments!B:B,A454)</f>
        <v/>
      </c>
      <c r="J454" s="5">
        <f>H454-I454</f>
        <v/>
      </c>
      <c r="K454" s="3">
        <f>IF(J454&lt;=0.005,"PAID",IF(I454&gt;0,"PARTIAL","OVERDUE"))</f>
        <v/>
      </c>
      <c r="L454" s="4">
        <f>IF(COUNTIFS(Raw_Payments!B:B,A454)=0,"",SUMPRODUCT(MAX((Raw_Payments!B$2:B$1079=A454)*Raw_Payments!D$2:D$1079)))</f>
        <v/>
      </c>
      <c r="M454" s="3">
        <f>IF(K454="PAID",MAX(0,L454-G454),Guide!$B$3-G454)</f>
        <v/>
      </c>
      <c r="N454" s="3">
        <f>IF(J454&lt;=0.005,"COLLECTED",IF(M454&lt;=30,"1-30",IF(M454&lt;=60,"31-60",IF(M454&lt;=90,"61-90","90+"))))</f>
        <v/>
      </c>
      <c r="O454" s="3">
        <f>IF(N454="90+","LOST",IF(N454="61-90","ESCALATE",IF(N454="31-60","WATCH",IF(N454="1-30","MILD","OK"))))</f>
        <v/>
      </c>
      <c r="P454" s="3">
        <f>IF(J454&gt;0.005,ROW()-1,"")</f>
        <v/>
      </c>
    </row>
    <row r="455">
      <c r="A455" s="3" t="inlineStr">
        <is>
          <t>D0454</t>
        </is>
      </c>
      <c r="B455" s="3">
        <f>INDEX(Raw_Schedule!B:B,MATCH(A455,Raw_Schedule!A:A,0))</f>
        <v/>
      </c>
      <c r="C455" s="3">
        <f>INDEX(Raw_Schedule!C:C,MATCH(A455,Raw_Schedule!A:A,0))</f>
        <v/>
      </c>
      <c r="D455" s="3">
        <f>INDEX(Raw_Schedule!D:D,MATCH(A455,Raw_Schedule!A:A,0))</f>
        <v/>
      </c>
      <c r="E455" s="3">
        <f>INDEX(Raw_Schedule!E:E,MATCH(A455,Raw_Schedule!A:A,0))</f>
        <v/>
      </c>
      <c r="F455" s="3">
        <f>INDEX(Raw_Schedule!F:F,MATCH(A455,Raw_Schedule!A:A,0))</f>
        <v/>
      </c>
      <c r="G455" s="4">
        <f>INDEX(Raw_Schedule!G:G,MATCH(A455,Raw_Schedule!A:A,0))</f>
        <v/>
      </c>
      <c r="H455" s="5">
        <f>INDEX(Raw_Schedule!H:H,MATCH(A455,Raw_Schedule!A:A,0))</f>
        <v/>
      </c>
      <c r="I455" s="5">
        <f>SUMIFS(Raw_Payments!E:E,Raw_Payments!B:B,A455)</f>
        <v/>
      </c>
      <c r="J455" s="5">
        <f>H455-I455</f>
        <v/>
      </c>
      <c r="K455" s="3">
        <f>IF(J455&lt;=0.005,"PAID",IF(I455&gt;0,"PARTIAL","OVERDUE"))</f>
        <v/>
      </c>
      <c r="L455" s="4">
        <f>IF(COUNTIFS(Raw_Payments!B:B,A455)=0,"",SUMPRODUCT(MAX((Raw_Payments!B$2:B$1079=A455)*Raw_Payments!D$2:D$1079)))</f>
        <v/>
      </c>
      <c r="M455" s="3">
        <f>IF(K455="PAID",MAX(0,L455-G455),Guide!$B$3-G455)</f>
        <v/>
      </c>
      <c r="N455" s="3">
        <f>IF(J455&lt;=0.005,"COLLECTED",IF(M455&lt;=30,"1-30",IF(M455&lt;=60,"31-60",IF(M455&lt;=90,"61-90","90+"))))</f>
        <v/>
      </c>
      <c r="O455" s="3">
        <f>IF(N455="90+","LOST",IF(N455="61-90","ESCALATE",IF(N455="31-60","WATCH",IF(N455="1-30","MILD","OK"))))</f>
        <v/>
      </c>
      <c r="P455" s="3">
        <f>IF(J455&gt;0.005,ROW()-1,"")</f>
        <v/>
      </c>
    </row>
    <row r="456">
      <c r="A456" s="3" t="inlineStr">
        <is>
          <t>D0455</t>
        </is>
      </c>
      <c r="B456" s="3">
        <f>INDEX(Raw_Schedule!B:B,MATCH(A456,Raw_Schedule!A:A,0))</f>
        <v/>
      </c>
      <c r="C456" s="3">
        <f>INDEX(Raw_Schedule!C:C,MATCH(A456,Raw_Schedule!A:A,0))</f>
        <v/>
      </c>
      <c r="D456" s="3">
        <f>INDEX(Raw_Schedule!D:D,MATCH(A456,Raw_Schedule!A:A,0))</f>
        <v/>
      </c>
      <c r="E456" s="3">
        <f>INDEX(Raw_Schedule!E:E,MATCH(A456,Raw_Schedule!A:A,0))</f>
        <v/>
      </c>
      <c r="F456" s="3">
        <f>INDEX(Raw_Schedule!F:F,MATCH(A456,Raw_Schedule!A:A,0))</f>
        <v/>
      </c>
      <c r="G456" s="4">
        <f>INDEX(Raw_Schedule!G:G,MATCH(A456,Raw_Schedule!A:A,0))</f>
        <v/>
      </c>
      <c r="H456" s="5">
        <f>INDEX(Raw_Schedule!H:H,MATCH(A456,Raw_Schedule!A:A,0))</f>
        <v/>
      </c>
      <c r="I456" s="5">
        <f>SUMIFS(Raw_Payments!E:E,Raw_Payments!B:B,A456)</f>
        <v/>
      </c>
      <c r="J456" s="5">
        <f>H456-I456</f>
        <v/>
      </c>
      <c r="K456" s="3">
        <f>IF(J456&lt;=0.005,"PAID",IF(I456&gt;0,"PARTIAL","OVERDUE"))</f>
        <v/>
      </c>
      <c r="L456" s="4">
        <f>IF(COUNTIFS(Raw_Payments!B:B,A456)=0,"",SUMPRODUCT(MAX((Raw_Payments!B$2:B$1079=A456)*Raw_Payments!D$2:D$1079)))</f>
        <v/>
      </c>
      <c r="M456" s="3">
        <f>IF(K456="PAID",MAX(0,L456-G456),Guide!$B$3-G456)</f>
        <v/>
      </c>
      <c r="N456" s="3">
        <f>IF(J456&lt;=0.005,"COLLECTED",IF(M456&lt;=30,"1-30",IF(M456&lt;=60,"31-60",IF(M456&lt;=90,"61-90","90+"))))</f>
        <v/>
      </c>
      <c r="O456" s="3">
        <f>IF(N456="90+","LOST",IF(N456="61-90","ESCALATE",IF(N456="31-60","WATCH",IF(N456="1-30","MILD","OK"))))</f>
        <v/>
      </c>
      <c r="P456" s="3">
        <f>IF(J456&gt;0.005,ROW()-1,"")</f>
        <v/>
      </c>
    </row>
    <row r="457">
      <c r="A457" s="3" t="inlineStr">
        <is>
          <t>D0456</t>
        </is>
      </c>
      <c r="B457" s="3">
        <f>INDEX(Raw_Schedule!B:B,MATCH(A457,Raw_Schedule!A:A,0))</f>
        <v/>
      </c>
      <c r="C457" s="3">
        <f>INDEX(Raw_Schedule!C:C,MATCH(A457,Raw_Schedule!A:A,0))</f>
        <v/>
      </c>
      <c r="D457" s="3">
        <f>INDEX(Raw_Schedule!D:D,MATCH(A457,Raw_Schedule!A:A,0))</f>
        <v/>
      </c>
      <c r="E457" s="3">
        <f>INDEX(Raw_Schedule!E:E,MATCH(A457,Raw_Schedule!A:A,0))</f>
        <v/>
      </c>
      <c r="F457" s="3">
        <f>INDEX(Raw_Schedule!F:F,MATCH(A457,Raw_Schedule!A:A,0))</f>
        <v/>
      </c>
      <c r="G457" s="4">
        <f>INDEX(Raw_Schedule!G:G,MATCH(A457,Raw_Schedule!A:A,0))</f>
        <v/>
      </c>
      <c r="H457" s="5">
        <f>INDEX(Raw_Schedule!H:H,MATCH(A457,Raw_Schedule!A:A,0))</f>
        <v/>
      </c>
      <c r="I457" s="5">
        <f>SUMIFS(Raw_Payments!E:E,Raw_Payments!B:B,A457)</f>
        <v/>
      </c>
      <c r="J457" s="5">
        <f>H457-I457</f>
        <v/>
      </c>
      <c r="K457" s="3">
        <f>IF(J457&lt;=0.005,"PAID",IF(I457&gt;0,"PARTIAL","OVERDUE"))</f>
        <v/>
      </c>
      <c r="L457" s="4">
        <f>IF(COUNTIFS(Raw_Payments!B:B,A457)=0,"",SUMPRODUCT(MAX((Raw_Payments!B$2:B$1079=A457)*Raw_Payments!D$2:D$1079)))</f>
        <v/>
      </c>
      <c r="M457" s="3">
        <f>IF(K457="PAID",MAX(0,L457-G457),Guide!$B$3-G457)</f>
        <v/>
      </c>
      <c r="N457" s="3">
        <f>IF(J457&lt;=0.005,"COLLECTED",IF(M457&lt;=30,"1-30",IF(M457&lt;=60,"31-60",IF(M457&lt;=90,"61-90","90+"))))</f>
        <v/>
      </c>
      <c r="O457" s="3">
        <f>IF(N457="90+","LOST",IF(N457="61-90","ESCALATE",IF(N457="31-60","WATCH",IF(N457="1-30","MILD","OK"))))</f>
        <v/>
      </c>
      <c r="P457" s="3">
        <f>IF(J457&gt;0.005,ROW()-1,"")</f>
        <v/>
      </c>
    </row>
    <row r="458">
      <c r="A458" s="3" t="inlineStr">
        <is>
          <t>D0457</t>
        </is>
      </c>
      <c r="B458" s="3">
        <f>INDEX(Raw_Schedule!B:B,MATCH(A458,Raw_Schedule!A:A,0))</f>
        <v/>
      </c>
      <c r="C458" s="3">
        <f>INDEX(Raw_Schedule!C:C,MATCH(A458,Raw_Schedule!A:A,0))</f>
        <v/>
      </c>
      <c r="D458" s="3">
        <f>INDEX(Raw_Schedule!D:D,MATCH(A458,Raw_Schedule!A:A,0))</f>
        <v/>
      </c>
      <c r="E458" s="3">
        <f>INDEX(Raw_Schedule!E:E,MATCH(A458,Raw_Schedule!A:A,0))</f>
        <v/>
      </c>
      <c r="F458" s="3">
        <f>INDEX(Raw_Schedule!F:F,MATCH(A458,Raw_Schedule!A:A,0))</f>
        <v/>
      </c>
      <c r="G458" s="4">
        <f>INDEX(Raw_Schedule!G:G,MATCH(A458,Raw_Schedule!A:A,0))</f>
        <v/>
      </c>
      <c r="H458" s="5">
        <f>INDEX(Raw_Schedule!H:H,MATCH(A458,Raw_Schedule!A:A,0))</f>
        <v/>
      </c>
      <c r="I458" s="5">
        <f>SUMIFS(Raw_Payments!E:E,Raw_Payments!B:B,A458)</f>
        <v/>
      </c>
      <c r="J458" s="5">
        <f>H458-I458</f>
        <v/>
      </c>
      <c r="K458" s="3">
        <f>IF(J458&lt;=0.005,"PAID",IF(I458&gt;0,"PARTIAL","OVERDUE"))</f>
        <v/>
      </c>
      <c r="L458" s="4">
        <f>IF(COUNTIFS(Raw_Payments!B:B,A458)=0,"",SUMPRODUCT(MAX((Raw_Payments!B$2:B$1079=A458)*Raw_Payments!D$2:D$1079)))</f>
        <v/>
      </c>
      <c r="M458" s="3">
        <f>IF(K458="PAID",MAX(0,L458-G458),Guide!$B$3-G458)</f>
        <v/>
      </c>
      <c r="N458" s="3">
        <f>IF(J458&lt;=0.005,"COLLECTED",IF(M458&lt;=30,"1-30",IF(M458&lt;=60,"31-60",IF(M458&lt;=90,"61-90","90+"))))</f>
        <v/>
      </c>
      <c r="O458" s="3">
        <f>IF(N458="90+","LOST",IF(N458="61-90","ESCALATE",IF(N458="31-60","WATCH",IF(N458="1-30","MILD","OK"))))</f>
        <v/>
      </c>
      <c r="P458" s="3">
        <f>IF(J458&gt;0.005,ROW()-1,"")</f>
        <v/>
      </c>
    </row>
    <row r="459">
      <c r="A459" s="3" t="inlineStr">
        <is>
          <t>D0458</t>
        </is>
      </c>
      <c r="B459" s="3">
        <f>INDEX(Raw_Schedule!B:B,MATCH(A459,Raw_Schedule!A:A,0))</f>
        <v/>
      </c>
      <c r="C459" s="3">
        <f>INDEX(Raw_Schedule!C:C,MATCH(A459,Raw_Schedule!A:A,0))</f>
        <v/>
      </c>
      <c r="D459" s="3">
        <f>INDEX(Raw_Schedule!D:D,MATCH(A459,Raw_Schedule!A:A,0))</f>
        <v/>
      </c>
      <c r="E459" s="3">
        <f>INDEX(Raw_Schedule!E:E,MATCH(A459,Raw_Schedule!A:A,0))</f>
        <v/>
      </c>
      <c r="F459" s="3">
        <f>INDEX(Raw_Schedule!F:F,MATCH(A459,Raw_Schedule!A:A,0))</f>
        <v/>
      </c>
      <c r="G459" s="4">
        <f>INDEX(Raw_Schedule!G:G,MATCH(A459,Raw_Schedule!A:A,0))</f>
        <v/>
      </c>
      <c r="H459" s="5">
        <f>INDEX(Raw_Schedule!H:H,MATCH(A459,Raw_Schedule!A:A,0))</f>
        <v/>
      </c>
      <c r="I459" s="5">
        <f>SUMIFS(Raw_Payments!E:E,Raw_Payments!B:B,A459)</f>
        <v/>
      </c>
      <c r="J459" s="5">
        <f>H459-I459</f>
        <v/>
      </c>
      <c r="K459" s="3">
        <f>IF(J459&lt;=0.005,"PAID",IF(I459&gt;0,"PARTIAL","OVERDUE"))</f>
        <v/>
      </c>
      <c r="L459" s="4">
        <f>IF(COUNTIFS(Raw_Payments!B:B,A459)=0,"",SUMPRODUCT(MAX((Raw_Payments!B$2:B$1079=A459)*Raw_Payments!D$2:D$1079)))</f>
        <v/>
      </c>
      <c r="M459" s="3">
        <f>IF(K459="PAID",MAX(0,L459-G459),Guide!$B$3-G459)</f>
        <v/>
      </c>
      <c r="N459" s="3">
        <f>IF(J459&lt;=0.005,"COLLECTED",IF(M459&lt;=30,"1-30",IF(M459&lt;=60,"31-60",IF(M459&lt;=90,"61-90","90+"))))</f>
        <v/>
      </c>
      <c r="O459" s="3">
        <f>IF(N459="90+","LOST",IF(N459="61-90","ESCALATE",IF(N459="31-60","WATCH",IF(N459="1-30","MILD","OK"))))</f>
        <v/>
      </c>
      <c r="P459" s="3">
        <f>IF(J459&gt;0.005,ROW()-1,"")</f>
        <v/>
      </c>
    </row>
    <row r="460">
      <c r="A460" s="3" t="inlineStr">
        <is>
          <t>D0459</t>
        </is>
      </c>
      <c r="B460" s="3">
        <f>INDEX(Raw_Schedule!B:B,MATCH(A460,Raw_Schedule!A:A,0))</f>
        <v/>
      </c>
      <c r="C460" s="3">
        <f>INDEX(Raw_Schedule!C:C,MATCH(A460,Raw_Schedule!A:A,0))</f>
        <v/>
      </c>
      <c r="D460" s="3">
        <f>INDEX(Raw_Schedule!D:D,MATCH(A460,Raw_Schedule!A:A,0))</f>
        <v/>
      </c>
      <c r="E460" s="3">
        <f>INDEX(Raw_Schedule!E:E,MATCH(A460,Raw_Schedule!A:A,0))</f>
        <v/>
      </c>
      <c r="F460" s="3">
        <f>INDEX(Raw_Schedule!F:F,MATCH(A460,Raw_Schedule!A:A,0))</f>
        <v/>
      </c>
      <c r="G460" s="4">
        <f>INDEX(Raw_Schedule!G:G,MATCH(A460,Raw_Schedule!A:A,0))</f>
        <v/>
      </c>
      <c r="H460" s="5">
        <f>INDEX(Raw_Schedule!H:H,MATCH(A460,Raw_Schedule!A:A,0))</f>
        <v/>
      </c>
      <c r="I460" s="5">
        <f>SUMIFS(Raw_Payments!E:E,Raw_Payments!B:B,A460)</f>
        <v/>
      </c>
      <c r="J460" s="5">
        <f>H460-I460</f>
        <v/>
      </c>
      <c r="K460" s="3">
        <f>IF(J460&lt;=0.005,"PAID",IF(I460&gt;0,"PARTIAL","OVERDUE"))</f>
        <v/>
      </c>
      <c r="L460" s="4">
        <f>IF(COUNTIFS(Raw_Payments!B:B,A460)=0,"",SUMPRODUCT(MAX((Raw_Payments!B$2:B$1079=A460)*Raw_Payments!D$2:D$1079)))</f>
        <v/>
      </c>
      <c r="M460" s="3">
        <f>IF(K460="PAID",MAX(0,L460-G460),Guide!$B$3-G460)</f>
        <v/>
      </c>
      <c r="N460" s="3">
        <f>IF(J460&lt;=0.005,"COLLECTED",IF(M460&lt;=30,"1-30",IF(M460&lt;=60,"31-60",IF(M460&lt;=90,"61-90","90+"))))</f>
        <v/>
      </c>
      <c r="O460" s="3">
        <f>IF(N460="90+","LOST",IF(N460="61-90","ESCALATE",IF(N460="31-60","WATCH",IF(N460="1-30","MILD","OK"))))</f>
        <v/>
      </c>
      <c r="P460" s="3">
        <f>IF(J460&gt;0.005,ROW()-1,"")</f>
        <v/>
      </c>
    </row>
    <row r="461">
      <c r="A461" s="3" t="inlineStr">
        <is>
          <t>D0460</t>
        </is>
      </c>
      <c r="B461" s="3">
        <f>INDEX(Raw_Schedule!B:B,MATCH(A461,Raw_Schedule!A:A,0))</f>
        <v/>
      </c>
      <c r="C461" s="3">
        <f>INDEX(Raw_Schedule!C:C,MATCH(A461,Raw_Schedule!A:A,0))</f>
        <v/>
      </c>
      <c r="D461" s="3">
        <f>INDEX(Raw_Schedule!D:D,MATCH(A461,Raw_Schedule!A:A,0))</f>
        <v/>
      </c>
      <c r="E461" s="3">
        <f>INDEX(Raw_Schedule!E:E,MATCH(A461,Raw_Schedule!A:A,0))</f>
        <v/>
      </c>
      <c r="F461" s="3">
        <f>INDEX(Raw_Schedule!F:F,MATCH(A461,Raw_Schedule!A:A,0))</f>
        <v/>
      </c>
      <c r="G461" s="4">
        <f>INDEX(Raw_Schedule!G:G,MATCH(A461,Raw_Schedule!A:A,0))</f>
        <v/>
      </c>
      <c r="H461" s="5">
        <f>INDEX(Raw_Schedule!H:H,MATCH(A461,Raw_Schedule!A:A,0))</f>
        <v/>
      </c>
      <c r="I461" s="5">
        <f>SUMIFS(Raw_Payments!E:E,Raw_Payments!B:B,A461)</f>
        <v/>
      </c>
      <c r="J461" s="5">
        <f>H461-I461</f>
        <v/>
      </c>
      <c r="K461" s="3">
        <f>IF(J461&lt;=0.005,"PAID",IF(I461&gt;0,"PARTIAL","OVERDUE"))</f>
        <v/>
      </c>
      <c r="L461" s="4">
        <f>IF(COUNTIFS(Raw_Payments!B:B,A461)=0,"",SUMPRODUCT(MAX((Raw_Payments!B$2:B$1079=A461)*Raw_Payments!D$2:D$1079)))</f>
        <v/>
      </c>
      <c r="M461" s="3">
        <f>IF(K461="PAID",MAX(0,L461-G461),Guide!$B$3-G461)</f>
        <v/>
      </c>
      <c r="N461" s="3">
        <f>IF(J461&lt;=0.005,"COLLECTED",IF(M461&lt;=30,"1-30",IF(M461&lt;=60,"31-60",IF(M461&lt;=90,"61-90","90+"))))</f>
        <v/>
      </c>
      <c r="O461" s="3">
        <f>IF(N461="90+","LOST",IF(N461="61-90","ESCALATE",IF(N461="31-60","WATCH",IF(N461="1-30","MILD","OK"))))</f>
        <v/>
      </c>
      <c r="P461" s="3">
        <f>IF(J461&gt;0.005,ROW()-1,"")</f>
        <v/>
      </c>
    </row>
    <row r="462">
      <c r="A462" s="3" t="inlineStr">
        <is>
          <t>D0461</t>
        </is>
      </c>
      <c r="B462" s="3">
        <f>INDEX(Raw_Schedule!B:B,MATCH(A462,Raw_Schedule!A:A,0))</f>
        <v/>
      </c>
      <c r="C462" s="3">
        <f>INDEX(Raw_Schedule!C:C,MATCH(A462,Raw_Schedule!A:A,0))</f>
        <v/>
      </c>
      <c r="D462" s="3">
        <f>INDEX(Raw_Schedule!D:D,MATCH(A462,Raw_Schedule!A:A,0))</f>
        <v/>
      </c>
      <c r="E462" s="3">
        <f>INDEX(Raw_Schedule!E:E,MATCH(A462,Raw_Schedule!A:A,0))</f>
        <v/>
      </c>
      <c r="F462" s="3">
        <f>INDEX(Raw_Schedule!F:F,MATCH(A462,Raw_Schedule!A:A,0))</f>
        <v/>
      </c>
      <c r="G462" s="4">
        <f>INDEX(Raw_Schedule!G:G,MATCH(A462,Raw_Schedule!A:A,0))</f>
        <v/>
      </c>
      <c r="H462" s="5">
        <f>INDEX(Raw_Schedule!H:H,MATCH(A462,Raw_Schedule!A:A,0))</f>
        <v/>
      </c>
      <c r="I462" s="5">
        <f>SUMIFS(Raw_Payments!E:E,Raw_Payments!B:B,A462)</f>
        <v/>
      </c>
      <c r="J462" s="5">
        <f>H462-I462</f>
        <v/>
      </c>
      <c r="K462" s="3">
        <f>IF(J462&lt;=0.005,"PAID",IF(I462&gt;0,"PARTIAL","OVERDUE"))</f>
        <v/>
      </c>
      <c r="L462" s="4">
        <f>IF(COUNTIFS(Raw_Payments!B:B,A462)=0,"",SUMPRODUCT(MAX((Raw_Payments!B$2:B$1079=A462)*Raw_Payments!D$2:D$1079)))</f>
        <v/>
      </c>
      <c r="M462" s="3">
        <f>IF(K462="PAID",MAX(0,L462-G462),Guide!$B$3-G462)</f>
        <v/>
      </c>
      <c r="N462" s="3">
        <f>IF(J462&lt;=0.005,"COLLECTED",IF(M462&lt;=30,"1-30",IF(M462&lt;=60,"31-60",IF(M462&lt;=90,"61-90","90+"))))</f>
        <v/>
      </c>
      <c r="O462" s="3">
        <f>IF(N462="90+","LOST",IF(N462="61-90","ESCALATE",IF(N462="31-60","WATCH",IF(N462="1-30","MILD","OK"))))</f>
        <v/>
      </c>
      <c r="P462" s="3">
        <f>IF(J462&gt;0.005,ROW()-1,"")</f>
        <v/>
      </c>
    </row>
    <row r="463">
      <c r="A463" s="3" t="inlineStr">
        <is>
          <t>D0462</t>
        </is>
      </c>
      <c r="B463" s="3">
        <f>INDEX(Raw_Schedule!B:B,MATCH(A463,Raw_Schedule!A:A,0))</f>
        <v/>
      </c>
      <c r="C463" s="3">
        <f>INDEX(Raw_Schedule!C:C,MATCH(A463,Raw_Schedule!A:A,0))</f>
        <v/>
      </c>
      <c r="D463" s="3">
        <f>INDEX(Raw_Schedule!D:D,MATCH(A463,Raw_Schedule!A:A,0))</f>
        <v/>
      </c>
      <c r="E463" s="3">
        <f>INDEX(Raw_Schedule!E:E,MATCH(A463,Raw_Schedule!A:A,0))</f>
        <v/>
      </c>
      <c r="F463" s="3">
        <f>INDEX(Raw_Schedule!F:F,MATCH(A463,Raw_Schedule!A:A,0))</f>
        <v/>
      </c>
      <c r="G463" s="4">
        <f>INDEX(Raw_Schedule!G:G,MATCH(A463,Raw_Schedule!A:A,0))</f>
        <v/>
      </c>
      <c r="H463" s="5">
        <f>INDEX(Raw_Schedule!H:H,MATCH(A463,Raw_Schedule!A:A,0))</f>
        <v/>
      </c>
      <c r="I463" s="5">
        <f>SUMIFS(Raw_Payments!E:E,Raw_Payments!B:B,A463)</f>
        <v/>
      </c>
      <c r="J463" s="5">
        <f>H463-I463</f>
        <v/>
      </c>
      <c r="K463" s="3">
        <f>IF(J463&lt;=0.005,"PAID",IF(I463&gt;0,"PARTIAL","OVERDUE"))</f>
        <v/>
      </c>
      <c r="L463" s="4">
        <f>IF(COUNTIFS(Raw_Payments!B:B,A463)=0,"",SUMPRODUCT(MAX((Raw_Payments!B$2:B$1079=A463)*Raw_Payments!D$2:D$1079)))</f>
        <v/>
      </c>
      <c r="M463" s="3">
        <f>IF(K463="PAID",MAX(0,L463-G463),Guide!$B$3-G463)</f>
        <v/>
      </c>
      <c r="N463" s="3">
        <f>IF(J463&lt;=0.005,"COLLECTED",IF(M463&lt;=30,"1-30",IF(M463&lt;=60,"31-60",IF(M463&lt;=90,"61-90","90+"))))</f>
        <v/>
      </c>
      <c r="O463" s="3">
        <f>IF(N463="90+","LOST",IF(N463="61-90","ESCALATE",IF(N463="31-60","WATCH",IF(N463="1-30","MILD","OK"))))</f>
        <v/>
      </c>
      <c r="P463" s="3">
        <f>IF(J463&gt;0.005,ROW()-1,"")</f>
        <v/>
      </c>
    </row>
    <row r="464">
      <c r="A464" s="3" t="inlineStr">
        <is>
          <t>D0463</t>
        </is>
      </c>
      <c r="B464" s="3">
        <f>INDEX(Raw_Schedule!B:B,MATCH(A464,Raw_Schedule!A:A,0))</f>
        <v/>
      </c>
      <c r="C464" s="3">
        <f>INDEX(Raw_Schedule!C:C,MATCH(A464,Raw_Schedule!A:A,0))</f>
        <v/>
      </c>
      <c r="D464" s="3">
        <f>INDEX(Raw_Schedule!D:D,MATCH(A464,Raw_Schedule!A:A,0))</f>
        <v/>
      </c>
      <c r="E464" s="3">
        <f>INDEX(Raw_Schedule!E:E,MATCH(A464,Raw_Schedule!A:A,0))</f>
        <v/>
      </c>
      <c r="F464" s="3">
        <f>INDEX(Raw_Schedule!F:F,MATCH(A464,Raw_Schedule!A:A,0))</f>
        <v/>
      </c>
      <c r="G464" s="4">
        <f>INDEX(Raw_Schedule!G:G,MATCH(A464,Raw_Schedule!A:A,0))</f>
        <v/>
      </c>
      <c r="H464" s="5">
        <f>INDEX(Raw_Schedule!H:H,MATCH(A464,Raw_Schedule!A:A,0))</f>
        <v/>
      </c>
      <c r="I464" s="5">
        <f>SUMIFS(Raw_Payments!E:E,Raw_Payments!B:B,A464)</f>
        <v/>
      </c>
      <c r="J464" s="5">
        <f>H464-I464</f>
        <v/>
      </c>
      <c r="K464" s="3">
        <f>IF(J464&lt;=0.005,"PAID",IF(I464&gt;0,"PARTIAL","OVERDUE"))</f>
        <v/>
      </c>
      <c r="L464" s="4">
        <f>IF(COUNTIFS(Raw_Payments!B:B,A464)=0,"",SUMPRODUCT(MAX((Raw_Payments!B$2:B$1079=A464)*Raw_Payments!D$2:D$1079)))</f>
        <v/>
      </c>
      <c r="M464" s="3">
        <f>IF(K464="PAID",MAX(0,L464-G464),Guide!$B$3-G464)</f>
        <v/>
      </c>
      <c r="N464" s="3">
        <f>IF(J464&lt;=0.005,"COLLECTED",IF(M464&lt;=30,"1-30",IF(M464&lt;=60,"31-60",IF(M464&lt;=90,"61-90","90+"))))</f>
        <v/>
      </c>
      <c r="O464" s="3">
        <f>IF(N464="90+","LOST",IF(N464="61-90","ESCALATE",IF(N464="31-60","WATCH",IF(N464="1-30","MILD","OK"))))</f>
        <v/>
      </c>
      <c r="P464" s="3">
        <f>IF(J464&gt;0.005,ROW()-1,"")</f>
        <v/>
      </c>
    </row>
    <row r="465">
      <c r="A465" s="3" t="inlineStr">
        <is>
          <t>D0464</t>
        </is>
      </c>
      <c r="B465" s="3">
        <f>INDEX(Raw_Schedule!B:B,MATCH(A465,Raw_Schedule!A:A,0))</f>
        <v/>
      </c>
      <c r="C465" s="3">
        <f>INDEX(Raw_Schedule!C:C,MATCH(A465,Raw_Schedule!A:A,0))</f>
        <v/>
      </c>
      <c r="D465" s="3">
        <f>INDEX(Raw_Schedule!D:D,MATCH(A465,Raw_Schedule!A:A,0))</f>
        <v/>
      </c>
      <c r="E465" s="3">
        <f>INDEX(Raw_Schedule!E:E,MATCH(A465,Raw_Schedule!A:A,0))</f>
        <v/>
      </c>
      <c r="F465" s="3">
        <f>INDEX(Raw_Schedule!F:F,MATCH(A465,Raw_Schedule!A:A,0))</f>
        <v/>
      </c>
      <c r="G465" s="4">
        <f>INDEX(Raw_Schedule!G:G,MATCH(A465,Raw_Schedule!A:A,0))</f>
        <v/>
      </c>
      <c r="H465" s="5">
        <f>INDEX(Raw_Schedule!H:H,MATCH(A465,Raw_Schedule!A:A,0))</f>
        <v/>
      </c>
      <c r="I465" s="5">
        <f>SUMIFS(Raw_Payments!E:E,Raw_Payments!B:B,A465)</f>
        <v/>
      </c>
      <c r="J465" s="5">
        <f>H465-I465</f>
        <v/>
      </c>
      <c r="K465" s="3">
        <f>IF(J465&lt;=0.005,"PAID",IF(I465&gt;0,"PARTIAL","OVERDUE"))</f>
        <v/>
      </c>
      <c r="L465" s="4">
        <f>IF(COUNTIFS(Raw_Payments!B:B,A465)=0,"",SUMPRODUCT(MAX((Raw_Payments!B$2:B$1079=A465)*Raw_Payments!D$2:D$1079)))</f>
        <v/>
      </c>
      <c r="M465" s="3">
        <f>IF(K465="PAID",MAX(0,L465-G465),Guide!$B$3-G465)</f>
        <v/>
      </c>
      <c r="N465" s="3">
        <f>IF(J465&lt;=0.005,"COLLECTED",IF(M465&lt;=30,"1-30",IF(M465&lt;=60,"31-60",IF(M465&lt;=90,"61-90","90+"))))</f>
        <v/>
      </c>
      <c r="O465" s="3">
        <f>IF(N465="90+","LOST",IF(N465="61-90","ESCALATE",IF(N465="31-60","WATCH",IF(N465="1-30","MILD","OK"))))</f>
        <v/>
      </c>
      <c r="P465" s="3">
        <f>IF(J465&gt;0.005,ROW()-1,"")</f>
        <v/>
      </c>
    </row>
    <row r="466">
      <c r="A466" s="3" t="inlineStr">
        <is>
          <t>D0465</t>
        </is>
      </c>
      <c r="B466" s="3">
        <f>INDEX(Raw_Schedule!B:B,MATCH(A466,Raw_Schedule!A:A,0))</f>
        <v/>
      </c>
      <c r="C466" s="3">
        <f>INDEX(Raw_Schedule!C:C,MATCH(A466,Raw_Schedule!A:A,0))</f>
        <v/>
      </c>
      <c r="D466" s="3">
        <f>INDEX(Raw_Schedule!D:D,MATCH(A466,Raw_Schedule!A:A,0))</f>
        <v/>
      </c>
      <c r="E466" s="3">
        <f>INDEX(Raw_Schedule!E:E,MATCH(A466,Raw_Schedule!A:A,0))</f>
        <v/>
      </c>
      <c r="F466" s="3">
        <f>INDEX(Raw_Schedule!F:F,MATCH(A466,Raw_Schedule!A:A,0))</f>
        <v/>
      </c>
      <c r="G466" s="4">
        <f>INDEX(Raw_Schedule!G:G,MATCH(A466,Raw_Schedule!A:A,0))</f>
        <v/>
      </c>
      <c r="H466" s="5">
        <f>INDEX(Raw_Schedule!H:H,MATCH(A466,Raw_Schedule!A:A,0))</f>
        <v/>
      </c>
      <c r="I466" s="5">
        <f>SUMIFS(Raw_Payments!E:E,Raw_Payments!B:B,A466)</f>
        <v/>
      </c>
      <c r="J466" s="5">
        <f>H466-I466</f>
        <v/>
      </c>
      <c r="K466" s="3">
        <f>IF(J466&lt;=0.005,"PAID",IF(I466&gt;0,"PARTIAL","OVERDUE"))</f>
        <v/>
      </c>
      <c r="L466" s="4">
        <f>IF(COUNTIFS(Raw_Payments!B:B,A466)=0,"",SUMPRODUCT(MAX((Raw_Payments!B$2:B$1079=A466)*Raw_Payments!D$2:D$1079)))</f>
        <v/>
      </c>
      <c r="M466" s="3">
        <f>IF(K466="PAID",MAX(0,L466-G466),Guide!$B$3-G466)</f>
        <v/>
      </c>
      <c r="N466" s="3">
        <f>IF(J466&lt;=0.005,"COLLECTED",IF(M466&lt;=30,"1-30",IF(M466&lt;=60,"31-60",IF(M466&lt;=90,"61-90","90+"))))</f>
        <v/>
      </c>
      <c r="O466" s="3">
        <f>IF(N466="90+","LOST",IF(N466="61-90","ESCALATE",IF(N466="31-60","WATCH",IF(N466="1-30","MILD","OK"))))</f>
        <v/>
      </c>
      <c r="P466" s="3">
        <f>IF(J466&gt;0.005,ROW()-1,"")</f>
        <v/>
      </c>
    </row>
    <row r="467">
      <c r="A467" s="3" t="inlineStr">
        <is>
          <t>D0466</t>
        </is>
      </c>
      <c r="B467" s="3">
        <f>INDEX(Raw_Schedule!B:B,MATCH(A467,Raw_Schedule!A:A,0))</f>
        <v/>
      </c>
      <c r="C467" s="3">
        <f>INDEX(Raw_Schedule!C:C,MATCH(A467,Raw_Schedule!A:A,0))</f>
        <v/>
      </c>
      <c r="D467" s="3">
        <f>INDEX(Raw_Schedule!D:D,MATCH(A467,Raw_Schedule!A:A,0))</f>
        <v/>
      </c>
      <c r="E467" s="3">
        <f>INDEX(Raw_Schedule!E:E,MATCH(A467,Raw_Schedule!A:A,0))</f>
        <v/>
      </c>
      <c r="F467" s="3">
        <f>INDEX(Raw_Schedule!F:F,MATCH(A467,Raw_Schedule!A:A,0))</f>
        <v/>
      </c>
      <c r="G467" s="4">
        <f>INDEX(Raw_Schedule!G:G,MATCH(A467,Raw_Schedule!A:A,0))</f>
        <v/>
      </c>
      <c r="H467" s="5">
        <f>INDEX(Raw_Schedule!H:H,MATCH(A467,Raw_Schedule!A:A,0))</f>
        <v/>
      </c>
      <c r="I467" s="5">
        <f>SUMIFS(Raw_Payments!E:E,Raw_Payments!B:B,A467)</f>
        <v/>
      </c>
      <c r="J467" s="5">
        <f>H467-I467</f>
        <v/>
      </c>
      <c r="K467" s="3">
        <f>IF(J467&lt;=0.005,"PAID",IF(I467&gt;0,"PARTIAL","OVERDUE"))</f>
        <v/>
      </c>
      <c r="L467" s="4">
        <f>IF(COUNTIFS(Raw_Payments!B:B,A467)=0,"",SUMPRODUCT(MAX((Raw_Payments!B$2:B$1079=A467)*Raw_Payments!D$2:D$1079)))</f>
        <v/>
      </c>
      <c r="M467" s="3">
        <f>IF(K467="PAID",MAX(0,L467-G467),Guide!$B$3-G467)</f>
        <v/>
      </c>
      <c r="N467" s="3">
        <f>IF(J467&lt;=0.005,"COLLECTED",IF(M467&lt;=30,"1-30",IF(M467&lt;=60,"31-60",IF(M467&lt;=90,"61-90","90+"))))</f>
        <v/>
      </c>
      <c r="O467" s="3">
        <f>IF(N467="90+","LOST",IF(N467="61-90","ESCALATE",IF(N467="31-60","WATCH",IF(N467="1-30","MILD","OK"))))</f>
        <v/>
      </c>
      <c r="P467" s="3">
        <f>IF(J467&gt;0.005,ROW()-1,"")</f>
        <v/>
      </c>
    </row>
    <row r="468">
      <c r="A468" s="3" t="inlineStr">
        <is>
          <t>D0467</t>
        </is>
      </c>
      <c r="B468" s="3">
        <f>INDEX(Raw_Schedule!B:B,MATCH(A468,Raw_Schedule!A:A,0))</f>
        <v/>
      </c>
      <c r="C468" s="3">
        <f>INDEX(Raw_Schedule!C:C,MATCH(A468,Raw_Schedule!A:A,0))</f>
        <v/>
      </c>
      <c r="D468" s="3">
        <f>INDEX(Raw_Schedule!D:D,MATCH(A468,Raw_Schedule!A:A,0))</f>
        <v/>
      </c>
      <c r="E468" s="3">
        <f>INDEX(Raw_Schedule!E:E,MATCH(A468,Raw_Schedule!A:A,0))</f>
        <v/>
      </c>
      <c r="F468" s="3">
        <f>INDEX(Raw_Schedule!F:F,MATCH(A468,Raw_Schedule!A:A,0))</f>
        <v/>
      </c>
      <c r="G468" s="4">
        <f>INDEX(Raw_Schedule!G:G,MATCH(A468,Raw_Schedule!A:A,0))</f>
        <v/>
      </c>
      <c r="H468" s="5">
        <f>INDEX(Raw_Schedule!H:H,MATCH(A468,Raw_Schedule!A:A,0))</f>
        <v/>
      </c>
      <c r="I468" s="5">
        <f>SUMIFS(Raw_Payments!E:E,Raw_Payments!B:B,A468)</f>
        <v/>
      </c>
      <c r="J468" s="5">
        <f>H468-I468</f>
        <v/>
      </c>
      <c r="K468" s="3">
        <f>IF(J468&lt;=0.005,"PAID",IF(I468&gt;0,"PARTIAL","OVERDUE"))</f>
        <v/>
      </c>
      <c r="L468" s="4">
        <f>IF(COUNTIFS(Raw_Payments!B:B,A468)=0,"",SUMPRODUCT(MAX((Raw_Payments!B$2:B$1079=A468)*Raw_Payments!D$2:D$1079)))</f>
        <v/>
      </c>
      <c r="M468" s="3">
        <f>IF(K468="PAID",MAX(0,L468-G468),Guide!$B$3-G468)</f>
        <v/>
      </c>
      <c r="N468" s="3">
        <f>IF(J468&lt;=0.005,"COLLECTED",IF(M468&lt;=30,"1-30",IF(M468&lt;=60,"31-60",IF(M468&lt;=90,"61-90","90+"))))</f>
        <v/>
      </c>
      <c r="O468" s="3">
        <f>IF(N468="90+","LOST",IF(N468="61-90","ESCALATE",IF(N468="31-60","WATCH",IF(N468="1-30","MILD","OK"))))</f>
        <v/>
      </c>
      <c r="P468" s="3">
        <f>IF(J468&gt;0.005,ROW()-1,"")</f>
        <v/>
      </c>
    </row>
    <row r="469">
      <c r="A469" s="3" t="inlineStr">
        <is>
          <t>D0468</t>
        </is>
      </c>
      <c r="B469" s="3">
        <f>INDEX(Raw_Schedule!B:B,MATCH(A469,Raw_Schedule!A:A,0))</f>
        <v/>
      </c>
      <c r="C469" s="3">
        <f>INDEX(Raw_Schedule!C:C,MATCH(A469,Raw_Schedule!A:A,0))</f>
        <v/>
      </c>
      <c r="D469" s="3">
        <f>INDEX(Raw_Schedule!D:D,MATCH(A469,Raw_Schedule!A:A,0))</f>
        <v/>
      </c>
      <c r="E469" s="3">
        <f>INDEX(Raw_Schedule!E:E,MATCH(A469,Raw_Schedule!A:A,0))</f>
        <v/>
      </c>
      <c r="F469" s="3">
        <f>INDEX(Raw_Schedule!F:F,MATCH(A469,Raw_Schedule!A:A,0))</f>
        <v/>
      </c>
      <c r="G469" s="4">
        <f>INDEX(Raw_Schedule!G:G,MATCH(A469,Raw_Schedule!A:A,0))</f>
        <v/>
      </c>
      <c r="H469" s="5">
        <f>INDEX(Raw_Schedule!H:H,MATCH(A469,Raw_Schedule!A:A,0))</f>
        <v/>
      </c>
      <c r="I469" s="5">
        <f>SUMIFS(Raw_Payments!E:E,Raw_Payments!B:B,A469)</f>
        <v/>
      </c>
      <c r="J469" s="5">
        <f>H469-I469</f>
        <v/>
      </c>
      <c r="K469" s="3">
        <f>IF(J469&lt;=0.005,"PAID",IF(I469&gt;0,"PARTIAL","OVERDUE"))</f>
        <v/>
      </c>
      <c r="L469" s="4">
        <f>IF(COUNTIFS(Raw_Payments!B:B,A469)=0,"",SUMPRODUCT(MAX((Raw_Payments!B$2:B$1079=A469)*Raw_Payments!D$2:D$1079)))</f>
        <v/>
      </c>
      <c r="M469" s="3">
        <f>IF(K469="PAID",MAX(0,L469-G469),Guide!$B$3-G469)</f>
        <v/>
      </c>
      <c r="N469" s="3">
        <f>IF(J469&lt;=0.005,"COLLECTED",IF(M469&lt;=30,"1-30",IF(M469&lt;=60,"31-60",IF(M469&lt;=90,"61-90","90+"))))</f>
        <v/>
      </c>
      <c r="O469" s="3">
        <f>IF(N469="90+","LOST",IF(N469="61-90","ESCALATE",IF(N469="31-60","WATCH",IF(N469="1-30","MILD","OK"))))</f>
        <v/>
      </c>
      <c r="P469" s="3">
        <f>IF(J469&gt;0.005,ROW()-1,"")</f>
        <v/>
      </c>
    </row>
    <row r="470">
      <c r="A470" s="3" t="inlineStr">
        <is>
          <t>D0469</t>
        </is>
      </c>
      <c r="B470" s="3">
        <f>INDEX(Raw_Schedule!B:B,MATCH(A470,Raw_Schedule!A:A,0))</f>
        <v/>
      </c>
      <c r="C470" s="3">
        <f>INDEX(Raw_Schedule!C:C,MATCH(A470,Raw_Schedule!A:A,0))</f>
        <v/>
      </c>
      <c r="D470" s="3">
        <f>INDEX(Raw_Schedule!D:D,MATCH(A470,Raw_Schedule!A:A,0))</f>
        <v/>
      </c>
      <c r="E470" s="3">
        <f>INDEX(Raw_Schedule!E:E,MATCH(A470,Raw_Schedule!A:A,0))</f>
        <v/>
      </c>
      <c r="F470" s="3">
        <f>INDEX(Raw_Schedule!F:F,MATCH(A470,Raw_Schedule!A:A,0))</f>
        <v/>
      </c>
      <c r="G470" s="4">
        <f>INDEX(Raw_Schedule!G:G,MATCH(A470,Raw_Schedule!A:A,0))</f>
        <v/>
      </c>
      <c r="H470" s="5">
        <f>INDEX(Raw_Schedule!H:H,MATCH(A470,Raw_Schedule!A:A,0))</f>
        <v/>
      </c>
      <c r="I470" s="5">
        <f>SUMIFS(Raw_Payments!E:E,Raw_Payments!B:B,A470)</f>
        <v/>
      </c>
      <c r="J470" s="5">
        <f>H470-I470</f>
        <v/>
      </c>
      <c r="K470" s="3">
        <f>IF(J470&lt;=0.005,"PAID",IF(I470&gt;0,"PARTIAL","OVERDUE"))</f>
        <v/>
      </c>
      <c r="L470" s="4">
        <f>IF(COUNTIFS(Raw_Payments!B:B,A470)=0,"",SUMPRODUCT(MAX((Raw_Payments!B$2:B$1079=A470)*Raw_Payments!D$2:D$1079)))</f>
        <v/>
      </c>
      <c r="M470" s="3">
        <f>IF(K470="PAID",MAX(0,L470-G470),Guide!$B$3-G470)</f>
        <v/>
      </c>
      <c r="N470" s="3">
        <f>IF(J470&lt;=0.005,"COLLECTED",IF(M470&lt;=30,"1-30",IF(M470&lt;=60,"31-60",IF(M470&lt;=90,"61-90","90+"))))</f>
        <v/>
      </c>
      <c r="O470" s="3">
        <f>IF(N470="90+","LOST",IF(N470="61-90","ESCALATE",IF(N470="31-60","WATCH",IF(N470="1-30","MILD","OK"))))</f>
        <v/>
      </c>
      <c r="P470" s="3">
        <f>IF(J470&gt;0.005,ROW()-1,"")</f>
        <v/>
      </c>
    </row>
    <row r="471">
      <c r="A471" s="3" t="inlineStr">
        <is>
          <t>D0470</t>
        </is>
      </c>
      <c r="B471" s="3">
        <f>INDEX(Raw_Schedule!B:B,MATCH(A471,Raw_Schedule!A:A,0))</f>
        <v/>
      </c>
      <c r="C471" s="3">
        <f>INDEX(Raw_Schedule!C:C,MATCH(A471,Raw_Schedule!A:A,0))</f>
        <v/>
      </c>
      <c r="D471" s="3">
        <f>INDEX(Raw_Schedule!D:D,MATCH(A471,Raw_Schedule!A:A,0))</f>
        <v/>
      </c>
      <c r="E471" s="3">
        <f>INDEX(Raw_Schedule!E:E,MATCH(A471,Raw_Schedule!A:A,0))</f>
        <v/>
      </c>
      <c r="F471" s="3">
        <f>INDEX(Raw_Schedule!F:F,MATCH(A471,Raw_Schedule!A:A,0))</f>
        <v/>
      </c>
      <c r="G471" s="4">
        <f>INDEX(Raw_Schedule!G:G,MATCH(A471,Raw_Schedule!A:A,0))</f>
        <v/>
      </c>
      <c r="H471" s="5">
        <f>INDEX(Raw_Schedule!H:H,MATCH(A471,Raw_Schedule!A:A,0))</f>
        <v/>
      </c>
      <c r="I471" s="5">
        <f>SUMIFS(Raw_Payments!E:E,Raw_Payments!B:B,A471)</f>
        <v/>
      </c>
      <c r="J471" s="5">
        <f>H471-I471</f>
        <v/>
      </c>
      <c r="K471" s="3">
        <f>IF(J471&lt;=0.005,"PAID",IF(I471&gt;0,"PARTIAL","OVERDUE"))</f>
        <v/>
      </c>
      <c r="L471" s="4">
        <f>IF(COUNTIFS(Raw_Payments!B:B,A471)=0,"",SUMPRODUCT(MAX((Raw_Payments!B$2:B$1079=A471)*Raw_Payments!D$2:D$1079)))</f>
        <v/>
      </c>
      <c r="M471" s="3">
        <f>IF(K471="PAID",MAX(0,L471-G471),Guide!$B$3-G471)</f>
        <v/>
      </c>
      <c r="N471" s="3">
        <f>IF(J471&lt;=0.005,"COLLECTED",IF(M471&lt;=30,"1-30",IF(M471&lt;=60,"31-60",IF(M471&lt;=90,"61-90","90+"))))</f>
        <v/>
      </c>
      <c r="O471" s="3">
        <f>IF(N471="90+","LOST",IF(N471="61-90","ESCALATE",IF(N471="31-60","WATCH",IF(N471="1-30","MILD","OK"))))</f>
        <v/>
      </c>
      <c r="P471" s="3">
        <f>IF(J471&gt;0.005,ROW()-1,"")</f>
        <v/>
      </c>
    </row>
    <row r="472">
      <c r="A472" s="3" t="inlineStr">
        <is>
          <t>D0471</t>
        </is>
      </c>
      <c r="B472" s="3">
        <f>INDEX(Raw_Schedule!B:B,MATCH(A472,Raw_Schedule!A:A,0))</f>
        <v/>
      </c>
      <c r="C472" s="3">
        <f>INDEX(Raw_Schedule!C:C,MATCH(A472,Raw_Schedule!A:A,0))</f>
        <v/>
      </c>
      <c r="D472" s="3">
        <f>INDEX(Raw_Schedule!D:D,MATCH(A472,Raw_Schedule!A:A,0))</f>
        <v/>
      </c>
      <c r="E472" s="3">
        <f>INDEX(Raw_Schedule!E:E,MATCH(A472,Raw_Schedule!A:A,0))</f>
        <v/>
      </c>
      <c r="F472" s="3">
        <f>INDEX(Raw_Schedule!F:F,MATCH(A472,Raw_Schedule!A:A,0))</f>
        <v/>
      </c>
      <c r="G472" s="4">
        <f>INDEX(Raw_Schedule!G:G,MATCH(A472,Raw_Schedule!A:A,0))</f>
        <v/>
      </c>
      <c r="H472" s="5">
        <f>INDEX(Raw_Schedule!H:H,MATCH(A472,Raw_Schedule!A:A,0))</f>
        <v/>
      </c>
      <c r="I472" s="5">
        <f>SUMIFS(Raw_Payments!E:E,Raw_Payments!B:B,A472)</f>
        <v/>
      </c>
      <c r="J472" s="5">
        <f>H472-I472</f>
        <v/>
      </c>
      <c r="K472" s="3">
        <f>IF(J472&lt;=0.005,"PAID",IF(I472&gt;0,"PARTIAL","OVERDUE"))</f>
        <v/>
      </c>
      <c r="L472" s="4">
        <f>IF(COUNTIFS(Raw_Payments!B:B,A472)=0,"",SUMPRODUCT(MAX((Raw_Payments!B$2:B$1079=A472)*Raw_Payments!D$2:D$1079)))</f>
        <v/>
      </c>
      <c r="M472" s="3">
        <f>IF(K472="PAID",MAX(0,L472-G472),Guide!$B$3-G472)</f>
        <v/>
      </c>
      <c r="N472" s="3">
        <f>IF(J472&lt;=0.005,"COLLECTED",IF(M472&lt;=30,"1-30",IF(M472&lt;=60,"31-60",IF(M472&lt;=90,"61-90","90+"))))</f>
        <v/>
      </c>
      <c r="O472" s="3">
        <f>IF(N472="90+","LOST",IF(N472="61-90","ESCALATE",IF(N472="31-60","WATCH",IF(N472="1-30","MILD","OK"))))</f>
        <v/>
      </c>
      <c r="P472" s="3">
        <f>IF(J472&gt;0.005,ROW()-1,"")</f>
        <v/>
      </c>
    </row>
    <row r="473">
      <c r="A473" s="3" t="inlineStr">
        <is>
          <t>D0472</t>
        </is>
      </c>
      <c r="B473" s="3">
        <f>INDEX(Raw_Schedule!B:B,MATCH(A473,Raw_Schedule!A:A,0))</f>
        <v/>
      </c>
      <c r="C473" s="3">
        <f>INDEX(Raw_Schedule!C:C,MATCH(A473,Raw_Schedule!A:A,0))</f>
        <v/>
      </c>
      <c r="D473" s="3">
        <f>INDEX(Raw_Schedule!D:D,MATCH(A473,Raw_Schedule!A:A,0))</f>
        <v/>
      </c>
      <c r="E473" s="3">
        <f>INDEX(Raw_Schedule!E:E,MATCH(A473,Raw_Schedule!A:A,0))</f>
        <v/>
      </c>
      <c r="F473" s="3">
        <f>INDEX(Raw_Schedule!F:F,MATCH(A473,Raw_Schedule!A:A,0))</f>
        <v/>
      </c>
      <c r="G473" s="4">
        <f>INDEX(Raw_Schedule!G:G,MATCH(A473,Raw_Schedule!A:A,0))</f>
        <v/>
      </c>
      <c r="H473" s="5">
        <f>INDEX(Raw_Schedule!H:H,MATCH(A473,Raw_Schedule!A:A,0))</f>
        <v/>
      </c>
      <c r="I473" s="5">
        <f>SUMIFS(Raw_Payments!E:E,Raw_Payments!B:B,A473)</f>
        <v/>
      </c>
      <c r="J473" s="5">
        <f>H473-I473</f>
        <v/>
      </c>
      <c r="K473" s="3">
        <f>IF(J473&lt;=0.005,"PAID",IF(I473&gt;0,"PARTIAL","OVERDUE"))</f>
        <v/>
      </c>
      <c r="L473" s="4">
        <f>IF(COUNTIFS(Raw_Payments!B:B,A473)=0,"",SUMPRODUCT(MAX((Raw_Payments!B$2:B$1079=A473)*Raw_Payments!D$2:D$1079)))</f>
        <v/>
      </c>
      <c r="M473" s="3">
        <f>IF(K473="PAID",MAX(0,L473-G473),Guide!$B$3-G473)</f>
        <v/>
      </c>
      <c r="N473" s="3">
        <f>IF(J473&lt;=0.005,"COLLECTED",IF(M473&lt;=30,"1-30",IF(M473&lt;=60,"31-60",IF(M473&lt;=90,"61-90","90+"))))</f>
        <v/>
      </c>
      <c r="O473" s="3">
        <f>IF(N473="90+","LOST",IF(N473="61-90","ESCALATE",IF(N473="31-60","WATCH",IF(N473="1-30","MILD","OK"))))</f>
        <v/>
      </c>
      <c r="P473" s="3">
        <f>IF(J473&gt;0.005,ROW()-1,"")</f>
        <v/>
      </c>
    </row>
    <row r="474">
      <c r="A474" s="3" t="inlineStr">
        <is>
          <t>D0473</t>
        </is>
      </c>
      <c r="B474" s="3">
        <f>INDEX(Raw_Schedule!B:B,MATCH(A474,Raw_Schedule!A:A,0))</f>
        <v/>
      </c>
      <c r="C474" s="3">
        <f>INDEX(Raw_Schedule!C:C,MATCH(A474,Raw_Schedule!A:A,0))</f>
        <v/>
      </c>
      <c r="D474" s="3">
        <f>INDEX(Raw_Schedule!D:D,MATCH(A474,Raw_Schedule!A:A,0))</f>
        <v/>
      </c>
      <c r="E474" s="3">
        <f>INDEX(Raw_Schedule!E:E,MATCH(A474,Raw_Schedule!A:A,0))</f>
        <v/>
      </c>
      <c r="F474" s="3">
        <f>INDEX(Raw_Schedule!F:F,MATCH(A474,Raw_Schedule!A:A,0))</f>
        <v/>
      </c>
      <c r="G474" s="4">
        <f>INDEX(Raw_Schedule!G:G,MATCH(A474,Raw_Schedule!A:A,0))</f>
        <v/>
      </c>
      <c r="H474" s="5">
        <f>INDEX(Raw_Schedule!H:H,MATCH(A474,Raw_Schedule!A:A,0))</f>
        <v/>
      </c>
      <c r="I474" s="5">
        <f>SUMIFS(Raw_Payments!E:E,Raw_Payments!B:B,A474)</f>
        <v/>
      </c>
      <c r="J474" s="5">
        <f>H474-I474</f>
        <v/>
      </c>
      <c r="K474" s="3">
        <f>IF(J474&lt;=0.005,"PAID",IF(I474&gt;0,"PARTIAL","OVERDUE"))</f>
        <v/>
      </c>
      <c r="L474" s="4">
        <f>IF(COUNTIFS(Raw_Payments!B:B,A474)=0,"",SUMPRODUCT(MAX((Raw_Payments!B$2:B$1079=A474)*Raw_Payments!D$2:D$1079)))</f>
        <v/>
      </c>
      <c r="M474" s="3">
        <f>IF(K474="PAID",MAX(0,L474-G474),Guide!$B$3-G474)</f>
        <v/>
      </c>
      <c r="N474" s="3">
        <f>IF(J474&lt;=0.005,"COLLECTED",IF(M474&lt;=30,"1-30",IF(M474&lt;=60,"31-60",IF(M474&lt;=90,"61-90","90+"))))</f>
        <v/>
      </c>
      <c r="O474" s="3">
        <f>IF(N474="90+","LOST",IF(N474="61-90","ESCALATE",IF(N474="31-60","WATCH",IF(N474="1-30","MILD","OK"))))</f>
        <v/>
      </c>
      <c r="P474" s="3">
        <f>IF(J474&gt;0.005,ROW()-1,"")</f>
        <v/>
      </c>
    </row>
    <row r="475">
      <c r="A475" s="3" t="inlineStr">
        <is>
          <t>D0474</t>
        </is>
      </c>
      <c r="B475" s="3">
        <f>INDEX(Raw_Schedule!B:B,MATCH(A475,Raw_Schedule!A:A,0))</f>
        <v/>
      </c>
      <c r="C475" s="3">
        <f>INDEX(Raw_Schedule!C:C,MATCH(A475,Raw_Schedule!A:A,0))</f>
        <v/>
      </c>
      <c r="D475" s="3">
        <f>INDEX(Raw_Schedule!D:D,MATCH(A475,Raw_Schedule!A:A,0))</f>
        <v/>
      </c>
      <c r="E475" s="3">
        <f>INDEX(Raw_Schedule!E:E,MATCH(A475,Raw_Schedule!A:A,0))</f>
        <v/>
      </c>
      <c r="F475" s="3">
        <f>INDEX(Raw_Schedule!F:F,MATCH(A475,Raw_Schedule!A:A,0))</f>
        <v/>
      </c>
      <c r="G475" s="4">
        <f>INDEX(Raw_Schedule!G:G,MATCH(A475,Raw_Schedule!A:A,0))</f>
        <v/>
      </c>
      <c r="H475" s="5">
        <f>INDEX(Raw_Schedule!H:H,MATCH(A475,Raw_Schedule!A:A,0))</f>
        <v/>
      </c>
      <c r="I475" s="5">
        <f>SUMIFS(Raw_Payments!E:E,Raw_Payments!B:B,A475)</f>
        <v/>
      </c>
      <c r="J475" s="5">
        <f>H475-I475</f>
        <v/>
      </c>
      <c r="K475" s="3">
        <f>IF(J475&lt;=0.005,"PAID",IF(I475&gt;0,"PARTIAL","OVERDUE"))</f>
        <v/>
      </c>
      <c r="L475" s="4">
        <f>IF(COUNTIFS(Raw_Payments!B:B,A475)=0,"",SUMPRODUCT(MAX((Raw_Payments!B$2:B$1079=A475)*Raw_Payments!D$2:D$1079)))</f>
        <v/>
      </c>
      <c r="M475" s="3">
        <f>IF(K475="PAID",MAX(0,L475-G475),Guide!$B$3-G475)</f>
        <v/>
      </c>
      <c r="N475" s="3">
        <f>IF(J475&lt;=0.005,"COLLECTED",IF(M475&lt;=30,"1-30",IF(M475&lt;=60,"31-60",IF(M475&lt;=90,"61-90","90+"))))</f>
        <v/>
      </c>
      <c r="O475" s="3">
        <f>IF(N475="90+","LOST",IF(N475="61-90","ESCALATE",IF(N475="31-60","WATCH",IF(N475="1-30","MILD","OK"))))</f>
        <v/>
      </c>
      <c r="P475" s="3">
        <f>IF(J475&gt;0.005,ROW()-1,"")</f>
        <v/>
      </c>
    </row>
    <row r="476">
      <c r="A476" s="3" t="inlineStr">
        <is>
          <t>D0475</t>
        </is>
      </c>
      <c r="B476" s="3">
        <f>INDEX(Raw_Schedule!B:B,MATCH(A476,Raw_Schedule!A:A,0))</f>
        <v/>
      </c>
      <c r="C476" s="3">
        <f>INDEX(Raw_Schedule!C:C,MATCH(A476,Raw_Schedule!A:A,0))</f>
        <v/>
      </c>
      <c r="D476" s="3">
        <f>INDEX(Raw_Schedule!D:D,MATCH(A476,Raw_Schedule!A:A,0))</f>
        <v/>
      </c>
      <c r="E476" s="3">
        <f>INDEX(Raw_Schedule!E:E,MATCH(A476,Raw_Schedule!A:A,0))</f>
        <v/>
      </c>
      <c r="F476" s="3">
        <f>INDEX(Raw_Schedule!F:F,MATCH(A476,Raw_Schedule!A:A,0))</f>
        <v/>
      </c>
      <c r="G476" s="4">
        <f>INDEX(Raw_Schedule!G:G,MATCH(A476,Raw_Schedule!A:A,0))</f>
        <v/>
      </c>
      <c r="H476" s="5">
        <f>INDEX(Raw_Schedule!H:H,MATCH(A476,Raw_Schedule!A:A,0))</f>
        <v/>
      </c>
      <c r="I476" s="5">
        <f>SUMIFS(Raw_Payments!E:E,Raw_Payments!B:B,A476)</f>
        <v/>
      </c>
      <c r="J476" s="5">
        <f>H476-I476</f>
        <v/>
      </c>
      <c r="K476" s="3">
        <f>IF(J476&lt;=0.005,"PAID",IF(I476&gt;0,"PARTIAL","OVERDUE"))</f>
        <v/>
      </c>
      <c r="L476" s="4">
        <f>IF(COUNTIFS(Raw_Payments!B:B,A476)=0,"",SUMPRODUCT(MAX((Raw_Payments!B$2:B$1079=A476)*Raw_Payments!D$2:D$1079)))</f>
        <v/>
      </c>
      <c r="M476" s="3">
        <f>IF(K476="PAID",MAX(0,L476-G476),Guide!$B$3-G476)</f>
        <v/>
      </c>
      <c r="N476" s="3">
        <f>IF(J476&lt;=0.005,"COLLECTED",IF(M476&lt;=30,"1-30",IF(M476&lt;=60,"31-60",IF(M476&lt;=90,"61-90","90+"))))</f>
        <v/>
      </c>
      <c r="O476" s="3">
        <f>IF(N476="90+","LOST",IF(N476="61-90","ESCALATE",IF(N476="31-60","WATCH",IF(N476="1-30","MILD","OK"))))</f>
        <v/>
      </c>
      <c r="P476" s="3">
        <f>IF(J476&gt;0.005,ROW()-1,"")</f>
        <v/>
      </c>
    </row>
    <row r="477">
      <c r="A477" s="3" t="inlineStr">
        <is>
          <t>D0476</t>
        </is>
      </c>
      <c r="B477" s="3">
        <f>INDEX(Raw_Schedule!B:B,MATCH(A477,Raw_Schedule!A:A,0))</f>
        <v/>
      </c>
      <c r="C477" s="3">
        <f>INDEX(Raw_Schedule!C:C,MATCH(A477,Raw_Schedule!A:A,0))</f>
        <v/>
      </c>
      <c r="D477" s="3">
        <f>INDEX(Raw_Schedule!D:D,MATCH(A477,Raw_Schedule!A:A,0))</f>
        <v/>
      </c>
      <c r="E477" s="3">
        <f>INDEX(Raw_Schedule!E:E,MATCH(A477,Raw_Schedule!A:A,0))</f>
        <v/>
      </c>
      <c r="F477" s="3">
        <f>INDEX(Raw_Schedule!F:F,MATCH(A477,Raw_Schedule!A:A,0))</f>
        <v/>
      </c>
      <c r="G477" s="4">
        <f>INDEX(Raw_Schedule!G:G,MATCH(A477,Raw_Schedule!A:A,0))</f>
        <v/>
      </c>
      <c r="H477" s="5">
        <f>INDEX(Raw_Schedule!H:H,MATCH(A477,Raw_Schedule!A:A,0))</f>
        <v/>
      </c>
      <c r="I477" s="5">
        <f>SUMIFS(Raw_Payments!E:E,Raw_Payments!B:B,A477)</f>
        <v/>
      </c>
      <c r="J477" s="5">
        <f>H477-I477</f>
        <v/>
      </c>
      <c r="K477" s="3">
        <f>IF(J477&lt;=0.005,"PAID",IF(I477&gt;0,"PARTIAL","OVERDUE"))</f>
        <v/>
      </c>
      <c r="L477" s="4">
        <f>IF(COUNTIFS(Raw_Payments!B:B,A477)=0,"",SUMPRODUCT(MAX((Raw_Payments!B$2:B$1079=A477)*Raw_Payments!D$2:D$1079)))</f>
        <v/>
      </c>
      <c r="M477" s="3">
        <f>IF(K477="PAID",MAX(0,L477-G477),Guide!$B$3-G477)</f>
        <v/>
      </c>
      <c r="N477" s="3">
        <f>IF(J477&lt;=0.005,"COLLECTED",IF(M477&lt;=30,"1-30",IF(M477&lt;=60,"31-60",IF(M477&lt;=90,"61-90","90+"))))</f>
        <v/>
      </c>
      <c r="O477" s="3">
        <f>IF(N477="90+","LOST",IF(N477="61-90","ESCALATE",IF(N477="31-60","WATCH",IF(N477="1-30","MILD","OK"))))</f>
        <v/>
      </c>
      <c r="P477" s="3">
        <f>IF(J477&gt;0.005,ROW()-1,"")</f>
        <v/>
      </c>
    </row>
    <row r="478">
      <c r="A478" s="3" t="inlineStr">
        <is>
          <t>D0477</t>
        </is>
      </c>
      <c r="B478" s="3">
        <f>INDEX(Raw_Schedule!B:B,MATCH(A478,Raw_Schedule!A:A,0))</f>
        <v/>
      </c>
      <c r="C478" s="3">
        <f>INDEX(Raw_Schedule!C:C,MATCH(A478,Raw_Schedule!A:A,0))</f>
        <v/>
      </c>
      <c r="D478" s="3">
        <f>INDEX(Raw_Schedule!D:D,MATCH(A478,Raw_Schedule!A:A,0))</f>
        <v/>
      </c>
      <c r="E478" s="3">
        <f>INDEX(Raw_Schedule!E:E,MATCH(A478,Raw_Schedule!A:A,0))</f>
        <v/>
      </c>
      <c r="F478" s="3">
        <f>INDEX(Raw_Schedule!F:F,MATCH(A478,Raw_Schedule!A:A,0))</f>
        <v/>
      </c>
      <c r="G478" s="4">
        <f>INDEX(Raw_Schedule!G:G,MATCH(A478,Raw_Schedule!A:A,0))</f>
        <v/>
      </c>
      <c r="H478" s="5">
        <f>INDEX(Raw_Schedule!H:H,MATCH(A478,Raw_Schedule!A:A,0))</f>
        <v/>
      </c>
      <c r="I478" s="5">
        <f>SUMIFS(Raw_Payments!E:E,Raw_Payments!B:B,A478)</f>
        <v/>
      </c>
      <c r="J478" s="5">
        <f>H478-I478</f>
        <v/>
      </c>
      <c r="K478" s="3">
        <f>IF(J478&lt;=0.005,"PAID",IF(I478&gt;0,"PARTIAL","OVERDUE"))</f>
        <v/>
      </c>
      <c r="L478" s="4">
        <f>IF(COUNTIFS(Raw_Payments!B:B,A478)=0,"",SUMPRODUCT(MAX((Raw_Payments!B$2:B$1079=A478)*Raw_Payments!D$2:D$1079)))</f>
        <v/>
      </c>
      <c r="M478" s="3">
        <f>IF(K478="PAID",MAX(0,L478-G478),Guide!$B$3-G478)</f>
        <v/>
      </c>
      <c r="N478" s="3">
        <f>IF(J478&lt;=0.005,"COLLECTED",IF(M478&lt;=30,"1-30",IF(M478&lt;=60,"31-60",IF(M478&lt;=90,"61-90","90+"))))</f>
        <v/>
      </c>
      <c r="O478" s="3">
        <f>IF(N478="90+","LOST",IF(N478="61-90","ESCALATE",IF(N478="31-60","WATCH",IF(N478="1-30","MILD","OK"))))</f>
        <v/>
      </c>
      <c r="P478" s="3">
        <f>IF(J478&gt;0.005,ROW()-1,"")</f>
        <v/>
      </c>
    </row>
    <row r="479">
      <c r="A479" s="3" t="inlineStr">
        <is>
          <t>D0478</t>
        </is>
      </c>
      <c r="B479" s="3">
        <f>INDEX(Raw_Schedule!B:B,MATCH(A479,Raw_Schedule!A:A,0))</f>
        <v/>
      </c>
      <c r="C479" s="3">
        <f>INDEX(Raw_Schedule!C:C,MATCH(A479,Raw_Schedule!A:A,0))</f>
        <v/>
      </c>
      <c r="D479" s="3">
        <f>INDEX(Raw_Schedule!D:D,MATCH(A479,Raw_Schedule!A:A,0))</f>
        <v/>
      </c>
      <c r="E479" s="3">
        <f>INDEX(Raw_Schedule!E:E,MATCH(A479,Raw_Schedule!A:A,0))</f>
        <v/>
      </c>
      <c r="F479" s="3">
        <f>INDEX(Raw_Schedule!F:F,MATCH(A479,Raw_Schedule!A:A,0))</f>
        <v/>
      </c>
      <c r="G479" s="4">
        <f>INDEX(Raw_Schedule!G:G,MATCH(A479,Raw_Schedule!A:A,0))</f>
        <v/>
      </c>
      <c r="H479" s="5">
        <f>INDEX(Raw_Schedule!H:H,MATCH(A479,Raw_Schedule!A:A,0))</f>
        <v/>
      </c>
      <c r="I479" s="5">
        <f>SUMIFS(Raw_Payments!E:E,Raw_Payments!B:B,A479)</f>
        <v/>
      </c>
      <c r="J479" s="5">
        <f>H479-I479</f>
        <v/>
      </c>
      <c r="K479" s="3">
        <f>IF(J479&lt;=0.005,"PAID",IF(I479&gt;0,"PARTIAL","OVERDUE"))</f>
        <v/>
      </c>
      <c r="L479" s="4">
        <f>IF(COUNTIFS(Raw_Payments!B:B,A479)=0,"",SUMPRODUCT(MAX((Raw_Payments!B$2:B$1079=A479)*Raw_Payments!D$2:D$1079)))</f>
        <v/>
      </c>
      <c r="M479" s="3">
        <f>IF(K479="PAID",MAX(0,L479-G479),Guide!$B$3-G479)</f>
        <v/>
      </c>
      <c r="N479" s="3">
        <f>IF(J479&lt;=0.005,"COLLECTED",IF(M479&lt;=30,"1-30",IF(M479&lt;=60,"31-60",IF(M479&lt;=90,"61-90","90+"))))</f>
        <v/>
      </c>
      <c r="O479" s="3">
        <f>IF(N479="90+","LOST",IF(N479="61-90","ESCALATE",IF(N479="31-60","WATCH",IF(N479="1-30","MILD","OK"))))</f>
        <v/>
      </c>
      <c r="P479" s="3">
        <f>IF(J479&gt;0.005,ROW()-1,"")</f>
        <v/>
      </c>
    </row>
    <row r="480">
      <c r="A480" s="3" t="inlineStr">
        <is>
          <t>D0479</t>
        </is>
      </c>
      <c r="B480" s="3">
        <f>INDEX(Raw_Schedule!B:B,MATCH(A480,Raw_Schedule!A:A,0))</f>
        <v/>
      </c>
      <c r="C480" s="3">
        <f>INDEX(Raw_Schedule!C:C,MATCH(A480,Raw_Schedule!A:A,0))</f>
        <v/>
      </c>
      <c r="D480" s="3">
        <f>INDEX(Raw_Schedule!D:D,MATCH(A480,Raw_Schedule!A:A,0))</f>
        <v/>
      </c>
      <c r="E480" s="3">
        <f>INDEX(Raw_Schedule!E:E,MATCH(A480,Raw_Schedule!A:A,0))</f>
        <v/>
      </c>
      <c r="F480" s="3">
        <f>INDEX(Raw_Schedule!F:F,MATCH(A480,Raw_Schedule!A:A,0))</f>
        <v/>
      </c>
      <c r="G480" s="4">
        <f>INDEX(Raw_Schedule!G:G,MATCH(A480,Raw_Schedule!A:A,0))</f>
        <v/>
      </c>
      <c r="H480" s="5">
        <f>INDEX(Raw_Schedule!H:H,MATCH(A480,Raw_Schedule!A:A,0))</f>
        <v/>
      </c>
      <c r="I480" s="5">
        <f>SUMIFS(Raw_Payments!E:E,Raw_Payments!B:B,A480)</f>
        <v/>
      </c>
      <c r="J480" s="5">
        <f>H480-I480</f>
        <v/>
      </c>
      <c r="K480" s="3">
        <f>IF(J480&lt;=0.005,"PAID",IF(I480&gt;0,"PARTIAL","OVERDUE"))</f>
        <v/>
      </c>
      <c r="L480" s="4">
        <f>IF(COUNTIFS(Raw_Payments!B:B,A480)=0,"",SUMPRODUCT(MAX((Raw_Payments!B$2:B$1079=A480)*Raw_Payments!D$2:D$1079)))</f>
        <v/>
      </c>
      <c r="M480" s="3">
        <f>IF(K480="PAID",MAX(0,L480-G480),Guide!$B$3-G480)</f>
        <v/>
      </c>
      <c r="N480" s="3">
        <f>IF(J480&lt;=0.005,"COLLECTED",IF(M480&lt;=30,"1-30",IF(M480&lt;=60,"31-60",IF(M480&lt;=90,"61-90","90+"))))</f>
        <v/>
      </c>
      <c r="O480" s="3">
        <f>IF(N480="90+","LOST",IF(N480="61-90","ESCALATE",IF(N480="31-60","WATCH",IF(N480="1-30","MILD","OK"))))</f>
        <v/>
      </c>
      <c r="P480" s="3">
        <f>IF(J480&gt;0.005,ROW()-1,"")</f>
        <v/>
      </c>
    </row>
    <row r="481">
      <c r="A481" s="3" t="inlineStr">
        <is>
          <t>D0480</t>
        </is>
      </c>
      <c r="B481" s="3">
        <f>INDEX(Raw_Schedule!B:B,MATCH(A481,Raw_Schedule!A:A,0))</f>
        <v/>
      </c>
      <c r="C481" s="3">
        <f>INDEX(Raw_Schedule!C:C,MATCH(A481,Raw_Schedule!A:A,0))</f>
        <v/>
      </c>
      <c r="D481" s="3">
        <f>INDEX(Raw_Schedule!D:D,MATCH(A481,Raw_Schedule!A:A,0))</f>
        <v/>
      </c>
      <c r="E481" s="3">
        <f>INDEX(Raw_Schedule!E:E,MATCH(A481,Raw_Schedule!A:A,0))</f>
        <v/>
      </c>
      <c r="F481" s="3">
        <f>INDEX(Raw_Schedule!F:F,MATCH(A481,Raw_Schedule!A:A,0))</f>
        <v/>
      </c>
      <c r="G481" s="4">
        <f>INDEX(Raw_Schedule!G:G,MATCH(A481,Raw_Schedule!A:A,0))</f>
        <v/>
      </c>
      <c r="H481" s="5">
        <f>INDEX(Raw_Schedule!H:H,MATCH(A481,Raw_Schedule!A:A,0))</f>
        <v/>
      </c>
      <c r="I481" s="5">
        <f>SUMIFS(Raw_Payments!E:E,Raw_Payments!B:B,A481)</f>
        <v/>
      </c>
      <c r="J481" s="5">
        <f>H481-I481</f>
        <v/>
      </c>
      <c r="K481" s="3">
        <f>IF(J481&lt;=0.005,"PAID",IF(I481&gt;0,"PARTIAL","OVERDUE"))</f>
        <v/>
      </c>
      <c r="L481" s="4">
        <f>IF(COUNTIFS(Raw_Payments!B:B,A481)=0,"",SUMPRODUCT(MAX((Raw_Payments!B$2:B$1079=A481)*Raw_Payments!D$2:D$1079)))</f>
        <v/>
      </c>
      <c r="M481" s="3">
        <f>IF(K481="PAID",MAX(0,L481-G481),Guide!$B$3-G481)</f>
        <v/>
      </c>
      <c r="N481" s="3">
        <f>IF(J481&lt;=0.005,"COLLECTED",IF(M481&lt;=30,"1-30",IF(M481&lt;=60,"31-60",IF(M481&lt;=90,"61-90","90+"))))</f>
        <v/>
      </c>
      <c r="O481" s="3">
        <f>IF(N481="90+","LOST",IF(N481="61-90","ESCALATE",IF(N481="31-60","WATCH",IF(N481="1-30","MILD","OK"))))</f>
        <v/>
      </c>
      <c r="P481" s="3">
        <f>IF(J481&gt;0.005,ROW()-1,"")</f>
        <v/>
      </c>
    </row>
    <row r="482">
      <c r="A482" s="3" t="inlineStr">
        <is>
          <t>D0481</t>
        </is>
      </c>
      <c r="B482" s="3">
        <f>INDEX(Raw_Schedule!B:B,MATCH(A482,Raw_Schedule!A:A,0))</f>
        <v/>
      </c>
      <c r="C482" s="3">
        <f>INDEX(Raw_Schedule!C:C,MATCH(A482,Raw_Schedule!A:A,0))</f>
        <v/>
      </c>
      <c r="D482" s="3">
        <f>INDEX(Raw_Schedule!D:D,MATCH(A482,Raw_Schedule!A:A,0))</f>
        <v/>
      </c>
      <c r="E482" s="3">
        <f>INDEX(Raw_Schedule!E:E,MATCH(A482,Raw_Schedule!A:A,0))</f>
        <v/>
      </c>
      <c r="F482" s="3">
        <f>INDEX(Raw_Schedule!F:F,MATCH(A482,Raw_Schedule!A:A,0))</f>
        <v/>
      </c>
      <c r="G482" s="4">
        <f>INDEX(Raw_Schedule!G:G,MATCH(A482,Raw_Schedule!A:A,0))</f>
        <v/>
      </c>
      <c r="H482" s="5">
        <f>INDEX(Raw_Schedule!H:H,MATCH(A482,Raw_Schedule!A:A,0))</f>
        <v/>
      </c>
      <c r="I482" s="5">
        <f>SUMIFS(Raw_Payments!E:E,Raw_Payments!B:B,A482)</f>
        <v/>
      </c>
      <c r="J482" s="5">
        <f>H482-I482</f>
        <v/>
      </c>
      <c r="K482" s="3">
        <f>IF(J482&lt;=0.005,"PAID",IF(I482&gt;0,"PARTIAL","OVERDUE"))</f>
        <v/>
      </c>
      <c r="L482" s="4">
        <f>IF(COUNTIFS(Raw_Payments!B:B,A482)=0,"",SUMPRODUCT(MAX((Raw_Payments!B$2:B$1079=A482)*Raw_Payments!D$2:D$1079)))</f>
        <v/>
      </c>
      <c r="M482" s="3">
        <f>IF(K482="PAID",MAX(0,L482-G482),Guide!$B$3-G482)</f>
        <v/>
      </c>
      <c r="N482" s="3">
        <f>IF(J482&lt;=0.005,"COLLECTED",IF(M482&lt;=30,"1-30",IF(M482&lt;=60,"31-60",IF(M482&lt;=90,"61-90","90+"))))</f>
        <v/>
      </c>
      <c r="O482" s="3">
        <f>IF(N482="90+","LOST",IF(N482="61-90","ESCALATE",IF(N482="31-60","WATCH",IF(N482="1-30","MILD","OK"))))</f>
        <v/>
      </c>
      <c r="P482" s="3">
        <f>IF(J482&gt;0.005,ROW()-1,"")</f>
        <v/>
      </c>
    </row>
    <row r="483">
      <c r="A483" s="3" t="inlineStr">
        <is>
          <t>D0482</t>
        </is>
      </c>
      <c r="B483" s="3">
        <f>INDEX(Raw_Schedule!B:B,MATCH(A483,Raw_Schedule!A:A,0))</f>
        <v/>
      </c>
      <c r="C483" s="3">
        <f>INDEX(Raw_Schedule!C:C,MATCH(A483,Raw_Schedule!A:A,0))</f>
        <v/>
      </c>
      <c r="D483" s="3">
        <f>INDEX(Raw_Schedule!D:D,MATCH(A483,Raw_Schedule!A:A,0))</f>
        <v/>
      </c>
      <c r="E483" s="3">
        <f>INDEX(Raw_Schedule!E:E,MATCH(A483,Raw_Schedule!A:A,0))</f>
        <v/>
      </c>
      <c r="F483" s="3">
        <f>INDEX(Raw_Schedule!F:F,MATCH(A483,Raw_Schedule!A:A,0))</f>
        <v/>
      </c>
      <c r="G483" s="4">
        <f>INDEX(Raw_Schedule!G:G,MATCH(A483,Raw_Schedule!A:A,0))</f>
        <v/>
      </c>
      <c r="H483" s="5">
        <f>INDEX(Raw_Schedule!H:H,MATCH(A483,Raw_Schedule!A:A,0))</f>
        <v/>
      </c>
      <c r="I483" s="5">
        <f>SUMIFS(Raw_Payments!E:E,Raw_Payments!B:B,A483)</f>
        <v/>
      </c>
      <c r="J483" s="5">
        <f>H483-I483</f>
        <v/>
      </c>
      <c r="K483" s="3">
        <f>IF(J483&lt;=0.005,"PAID",IF(I483&gt;0,"PARTIAL","OVERDUE"))</f>
        <v/>
      </c>
      <c r="L483" s="4">
        <f>IF(COUNTIFS(Raw_Payments!B:B,A483)=0,"",SUMPRODUCT(MAX((Raw_Payments!B$2:B$1079=A483)*Raw_Payments!D$2:D$1079)))</f>
        <v/>
      </c>
      <c r="M483" s="3">
        <f>IF(K483="PAID",MAX(0,L483-G483),Guide!$B$3-G483)</f>
        <v/>
      </c>
      <c r="N483" s="3">
        <f>IF(J483&lt;=0.005,"COLLECTED",IF(M483&lt;=30,"1-30",IF(M483&lt;=60,"31-60",IF(M483&lt;=90,"61-90","90+"))))</f>
        <v/>
      </c>
      <c r="O483" s="3">
        <f>IF(N483="90+","LOST",IF(N483="61-90","ESCALATE",IF(N483="31-60","WATCH",IF(N483="1-30","MILD","OK"))))</f>
        <v/>
      </c>
      <c r="P483" s="3">
        <f>IF(J483&gt;0.005,ROW()-1,"")</f>
        <v/>
      </c>
    </row>
    <row r="484">
      <c r="A484" s="3" t="inlineStr">
        <is>
          <t>D0483</t>
        </is>
      </c>
      <c r="B484" s="3">
        <f>INDEX(Raw_Schedule!B:B,MATCH(A484,Raw_Schedule!A:A,0))</f>
        <v/>
      </c>
      <c r="C484" s="3">
        <f>INDEX(Raw_Schedule!C:C,MATCH(A484,Raw_Schedule!A:A,0))</f>
        <v/>
      </c>
      <c r="D484" s="3">
        <f>INDEX(Raw_Schedule!D:D,MATCH(A484,Raw_Schedule!A:A,0))</f>
        <v/>
      </c>
      <c r="E484" s="3">
        <f>INDEX(Raw_Schedule!E:E,MATCH(A484,Raw_Schedule!A:A,0))</f>
        <v/>
      </c>
      <c r="F484" s="3">
        <f>INDEX(Raw_Schedule!F:F,MATCH(A484,Raw_Schedule!A:A,0))</f>
        <v/>
      </c>
      <c r="G484" s="4">
        <f>INDEX(Raw_Schedule!G:G,MATCH(A484,Raw_Schedule!A:A,0))</f>
        <v/>
      </c>
      <c r="H484" s="5">
        <f>INDEX(Raw_Schedule!H:H,MATCH(A484,Raw_Schedule!A:A,0))</f>
        <v/>
      </c>
      <c r="I484" s="5">
        <f>SUMIFS(Raw_Payments!E:E,Raw_Payments!B:B,A484)</f>
        <v/>
      </c>
      <c r="J484" s="5">
        <f>H484-I484</f>
        <v/>
      </c>
      <c r="K484" s="3">
        <f>IF(J484&lt;=0.005,"PAID",IF(I484&gt;0,"PARTIAL","OVERDUE"))</f>
        <v/>
      </c>
      <c r="L484" s="4">
        <f>IF(COUNTIFS(Raw_Payments!B:B,A484)=0,"",SUMPRODUCT(MAX((Raw_Payments!B$2:B$1079=A484)*Raw_Payments!D$2:D$1079)))</f>
        <v/>
      </c>
      <c r="M484" s="3">
        <f>IF(K484="PAID",MAX(0,L484-G484),Guide!$B$3-G484)</f>
        <v/>
      </c>
      <c r="N484" s="3">
        <f>IF(J484&lt;=0.005,"COLLECTED",IF(M484&lt;=30,"1-30",IF(M484&lt;=60,"31-60",IF(M484&lt;=90,"61-90","90+"))))</f>
        <v/>
      </c>
      <c r="O484" s="3">
        <f>IF(N484="90+","LOST",IF(N484="61-90","ESCALATE",IF(N484="31-60","WATCH",IF(N484="1-30","MILD","OK"))))</f>
        <v/>
      </c>
      <c r="P484" s="3">
        <f>IF(J484&gt;0.005,ROW()-1,"")</f>
        <v/>
      </c>
    </row>
    <row r="485">
      <c r="A485" s="3" t="inlineStr">
        <is>
          <t>D0484</t>
        </is>
      </c>
      <c r="B485" s="3">
        <f>INDEX(Raw_Schedule!B:B,MATCH(A485,Raw_Schedule!A:A,0))</f>
        <v/>
      </c>
      <c r="C485" s="3">
        <f>INDEX(Raw_Schedule!C:C,MATCH(A485,Raw_Schedule!A:A,0))</f>
        <v/>
      </c>
      <c r="D485" s="3">
        <f>INDEX(Raw_Schedule!D:D,MATCH(A485,Raw_Schedule!A:A,0))</f>
        <v/>
      </c>
      <c r="E485" s="3">
        <f>INDEX(Raw_Schedule!E:E,MATCH(A485,Raw_Schedule!A:A,0))</f>
        <v/>
      </c>
      <c r="F485" s="3">
        <f>INDEX(Raw_Schedule!F:F,MATCH(A485,Raw_Schedule!A:A,0))</f>
        <v/>
      </c>
      <c r="G485" s="4">
        <f>INDEX(Raw_Schedule!G:G,MATCH(A485,Raw_Schedule!A:A,0))</f>
        <v/>
      </c>
      <c r="H485" s="5">
        <f>INDEX(Raw_Schedule!H:H,MATCH(A485,Raw_Schedule!A:A,0))</f>
        <v/>
      </c>
      <c r="I485" s="5">
        <f>SUMIFS(Raw_Payments!E:E,Raw_Payments!B:B,A485)</f>
        <v/>
      </c>
      <c r="J485" s="5">
        <f>H485-I485</f>
        <v/>
      </c>
      <c r="K485" s="3">
        <f>IF(J485&lt;=0.005,"PAID",IF(I485&gt;0,"PARTIAL","OVERDUE"))</f>
        <v/>
      </c>
      <c r="L485" s="4">
        <f>IF(COUNTIFS(Raw_Payments!B:B,A485)=0,"",SUMPRODUCT(MAX((Raw_Payments!B$2:B$1079=A485)*Raw_Payments!D$2:D$1079)))</f>
        <v/>
      </c>
      <c r="M485" s="3">
        <f>IF(K485="PAID",MAX(0,L485-G485),Guide!$B$3-G485)</f>
        <v/>
      </c>
      <c r="N485" s="3">
        <f>IF(J485&lt;=0.005,"COLLECTED",IF(M485&lt;=30,"1-30",IF(M485&lt;=60,"31-60",IF(M485&lt;=90,"61-90","90+"))))</f>
        <v/>
      </c>
      <c r="O485" s="3">
        <f>IF(N485="90+","LOST",IF(N485="61-90","ESCALATE",IF(N485="31-60","WATCH",IF(N485="1-30","MILD","OK"))))</f>
        <v/>
      </c>
      <c r="P485" s="3">
        <f>IF(J485&gt;0.005,ROW()-1,"")</f>
        <v/>
      </c>
    </row>
    <row r="486">
      <c r="A486" s="3" t="inlineStr">
        <is>
          <t>D0485</t>
        </is>
      </c>
      <c r="B486" s="3">
        <f>INDEX(Raw_Schedule!B:B,MATCH(A486,Raw_Schedule!A:A,0))</f>
        <v/>
      </c>
      <c r="C486" s="3">
        <f>INDEX(Raw_Schedule!C:C,MATCH(A486,Raw_Schedule!A:A,0))</f>
        <v/>
      </c>
      <c r="D486" s="3">
        <f>INDEX(Raw_Schedule!D:D,MATCH(A486,Raw_Schedule!A:A,0))</f>
        <v/>
      </c>
      <c r="E486" s="3">
        <f>INDEX(Raw_Schedule!E:E,MATCH(A486,Raw_Schedule!A:A,0))</f>
        <v/>
      </c>
      <c r="F486" s="3">
        <f>INDEX(Raw_Schedule!F:F,MATCH(A486,Raw_Schedule!A:A,0))</f>
        <v/>
      </c>
      <c r="G486" s="4">
        <f>INDEX(Raw_Schedule!G:G,MATCH(A486,Raw_Schedule!A:A,0))</f>
        <v/>
      </c>
      <c r="H486" s="5">
        <f>INDEX(Raw_Schedule!H:H,MATCH(A486,Raw_Schedule!A:A,0))</f>
        <v/>
      </c>
      <c r="I486" s="5">
        <f>SUMIFS(Raw_Payments!E:E,Raw_Payments!B:B,A486)</f>
        <v/>
      </c>
      <c r="J486" s="5">
        <f>H486-I486</f>
        <v/>
      </c>
      <c r="K486" s="3">
        <f>IF(J486&lt;=0.005,"PAID",IF(I486&gt;0,"PARTIAL","OVERDUE"))</f>
        <v/>
      </c>
      <c r="L486" s="4">
        <f>IF(COUNTIFS(Raw_Payments!B:B,A486)=0,"",SUMPRODUCT(MAX((Raw_Payments!B$2:B$1079=A486)*Raw_Payments!D$2:D$1079)))</f>
        <v/>
      </c>
      <c r="M486" s="3">
        <f>IF(K486="PAID",MAX(0,L486-G486),Guide!$B$3-G486)</f>
        <v/>
      </c>
      <c r="N486" s="3">
        <f>IF(J486&lt;=0.005,"COLLECTED",IF(M486&lt;=30,"1-30",IF(M486&lt;=60,"31-60",IF(M486&lt;=90,"61-90","90+"))))</f>
        <v/>
      </c>
      <c r="O486" s="3">
        <f>IF(N486="90+","LOST",IF(N486="61-90","ESCALATE",IF(N486="31-60","WATCH",IF(N486="1-30","MILD","OK"))))</f>
        <v/>
      </c>
      <c r="P486" s="3">
        <f>IF(J486&gt;0.005,ROW()-1,"")</f>
        <v/>
      </c>
    </row>
    <row r="487">
      <c r="A487" s="3" t="inlineStr">
        <is>
          <t>D0486</t>
        </is>
      </c>
      <c r="B487" s="3">
        <f>INDEX(Raw_Schedule!B:B,MATCH(A487,Raw_Schedule!A:A,0))</f>
        <v/>
      </c>
      <c r="C487" s="3">
        <f>INDEX(Raw_Schedule!C:C,MATCH(A487,Raw_Schedule!A:A,0))</f>
        <v/>
      </c>
      <c r="D487" s="3">
        <f>INDEX(Raw_Schedule!D:D,MATCH(A487,Raw_Schedule!A:A,0))</f>
        <v/>
      </c>
      <c r="E487" s="3">
        <f>INDEX(Raw_Schedule!E:E,MATCH(A487,Raw_Schedule!A:A,0))</f>
        <v/>
      </c>
      <c r="F487" s="3">
        <f>INDEX(Raw_Schedule!F:F,MATCH(A487,Raw_Schedule!A:A,0))</f>
        <v/>
      </c>
      <c r="G487" s="4">
        <f>INDEX(Raw_Schedule!G:G,MATCH(A487,Raw_Schedule!A:A,0))</f>
        <v/>
      </c>
      <c r="H487" s="5">
        <f>INDEX(Raw_Schedule!H:H,MATCH(A487,Raw_Schedule!A:A,0))</f>
        <v/>
      </c>
      <c r="I487" s="5">
        <f>SUMIFS(Raw_Payments!E:E,Raw_Payments!B:B,A487)</f>
        <v/>
      </c>
      <c r="J487" s="5">
        <f>H487-I487</f>
        <v/>
      </c>
      <c r="K487" s="3">
        <f>IF(J487&lt;=0.005,"PAID",IF(I487&gt;0,"PARTIAL","OVERDUE"))</f>
        <v/>
      </c>
      <c r="L487" s="4">
        <f>IF(COUNTIFS(Raw_Payments!B:B,A487)=0,"",SUMPRODUCT(MAX((Raw_Payments!B$2:B$1079=A487)*Raw_Payments!D$2:D$1079)))</f>
        <v/>
      </c>
      <c r="M487" s="3">
        <f>IF(K487="PAID",MAX(0,L487-G487),Guide!$B$3-G487)</f>
        <v/>
      </c>
      <c r="N487" s="3">
        <f>IF(J487&lt;=0.005,"COLLECTED",IF(M487&lt;=30,"1-30",IF(M487&lt;=60,"31-60",IF(M487&lt;=90,"61-90","90+"))))</f>
        <v/>
      </c>
      <c r="O487" s="3">
        <f>IF(N487="90+","LOST",IF(N487="61-90","ESCALATE",IF(N487="31-60","WATCH",IF(N487="1-30","MILD","OK"))))</f>
        <v/>
      </c>
      <c r="P487" s="3">
        <f>IF(J487&gt;0.005,ROW()-1,"")</f>
        <v/>
      </c>
    </row>
    <row r="488">
      <c r="A488" s="3" t="inlineStr">
        <is>
          <t>D0487</t>
        </is>
      </c>
      <c r="B488" s="3">
        <f>INDEX(Raw_Schedule!B:B,MATCH(A488,Raw_Schedule!A:A,0))</f>
        <v/>
      </c>
      <c r="C488" s="3">
        <f>INDEX(Raw_Schedule!C:C,MATCH(A488,Raw_Schedule!A:A,0))</f>
        <v/>
      </c>
      <c r="D488" s="3">
        <f>INDEX(Raw_Schedule!D:D,MATCH(A488,Raw_Schedule!A:A,0))</f>
        <v/>
      </c>
      <c r="E488" s="3">
        <f>INDEX(Raw_Schedule!E:E,MATCH(A488,Raw_Schedule!A:A,0))</f>
        <v/>
      </c>
      <c r="F488" s="3">
        <f>INDEX(Raw_Schedule!F:F,MATCH(A488,Raw_Schedule!A:A,0))</f>
        <v/>
      </c>
      <c r="G488" s="4">
        <f>INDEX(Raw_Schedule!G:G,MATCH(A488,Raw_Schedule!A:A,0))</f>
        <v/>
      </c>
      <c r="H488" s="5">
        <f>INDEX(Raw_Schedule!H:H,MATCH(A488,Raw_Schedule!A:A,0))</f>
        <v/>
      </c>
      <c r="I488" s="5">
        <f>SUMIFS(Raw_Payments!E:E,Raw_Payments!B:B,A488)</f>
        <v/>
      </c>
      <c r="J488" s="5">
        <f>H488-I488</f>
        <v/>
      </c>
      <c r="K488" s="3">
        <f>IF(J488&lt;=0.005,"PAID",IF(I488&gt;0,"PARTIAL","OVERDUE"))</f>
        <v/>
      </c>
      <c r="L488" s="4">
        <f>IF(COUNTIFS(Raw_Payments!B:B,A488)=0,"",SUMPRODUCT(MAX((Raw_Payments!B$2:B$1079=A488)*Raw_Payments!D$2:D$1079)))</f>
        <v/>
      </c>
      <c r="M488" s="3">
        <f>IF(K488="PAID",MAX(0,L488-G488),Guide!$B$3-G488)</f>
        <v/>
      </c>
      <c r="N488" s="3">
        <f>IF(J488&lt;=0.005,"COLLECTED",IF(M488&lt;=30,"1-30",IF(M488&lt;=60,"31-60",IF(M488&lt;=90,"61-90","90+"))))</f>
        <v/>
      </c>
      <c r="O488" s="3">
        <f>IF(N488="90+","LOST",IF(N488="61-90","ESCALATE",IF(N488="31-60","WATCH",IF(N488="1-30","MILD","OK"))))</f>
        <v/>
      </c>
      <c r="P488" s="3">
        <f>IF(J488&gt;0.005,ROW()-1,"")</f>
        <v/>
      </c>
    </row>
    <row r="489">
      <c r="A489" s="3" t="inlineStr">
        <is>
          <t>D0488</t>
        </is>
      </c>
      <c r="B489" s="3">
        <f>INDEX(Raw_Schedule!B:B,MATCH(A489,Raw_Schedule!A:A,0))</f>
        <v/>
      </c>
      <c r="C489" s="3">
        <f>INDEX(Raw_Schedule!C:C,MATCH(A489,Raw_Schedule!A:A,0))</f>
        <v/>
      </c>
      <c r="D489" s="3">
        <f>INDEX(Raw_Schedule!D:D,MATCH(A489,Raw_Schedule!A:A,0))</f>
        <v/>
      </c>
      <c r="E489" s="3">
        <f>INDEX(Raw_Schedule!E:E,MATCH(A489,Raw_Schedule!A:A,0))</f>
        <v/>
      </c>
      <c r="F489" s="3">
        <f>INDEX(Raw_Schedule!F:F,MATCH(A489,Raw_Schedule!A:A,0))</f>
        <v/>
      </c>
      <c r="G489" s="4">
        <f>INDEX(Raw_Schedule!G:G,MATCH(A489,Raw_Schedule!A:A,0))</f>
        <v/>
      </c>
      <c r="H489" s="5">
        <f>INDEX(Raw_Schedule!H:H,MATCH(A489,Raw_Schedule!A:A,0))</f>
        <v/>
      </c>
      <c r="I489" s="5">
        <f>SUMIFS(Raw_Payments!E:E,Raw_Payments!B:B,A489)</f>
        <v/>
      </c>
      <c r="J489" s="5">
        <f>H489-I489</f>
        <v/>
      </c>
      <c r="K489" s="3">
        <f>IF(J489&lt;=0.005,"PAID",IF(I489&gt;0,"PARTIAL","OVERDUE"))</f>
        <v/>
      </c>
      <c r="L489" s="4">
        <f>IF(COUNTIFS(Raw_Payments!B:B,A489)=0,"",SUMPRODUCT(MAX((Raw_Payments!B$2:B$1079=A489)*Raw_Payments!D$2:D$1079)))</f>
        <v/>
      </c>
      <c r="M489" s="3">
        <f>IF(K489="PAID",MAX(0,L489-G489),Guide!$B$3-G489)</f>
        <v/>
      </c>
      <c r="N489" s="3">
        <f>IF(J489&lt;=0.005,"COLLECTED",IF(M489&lt;=30,"1-30",IF(M489&lt;=60,"31-60",IF(M489&lt;=90,"61-90","90+"))))</f>
        <v/>
      </c>
      <c r="O489" s="3">
        <f>IF(N489="90+","LOST",IF(N489="61-90","ESCALATE",IF(N489="31-60","WATCH",IF(N489="1-30","MILD","OK"))))</f>
        <v/>
      </c>
      <c r="P489" s="3">
        <f>IF(J489&gt;0.005,ROW()-1,"")</f>
        <v/>
      </c>
    </row>
    <row r="490">
      <c r="A490" s="3" t="inlineStr">
        <is>
          <t>D0489</t>
        </is>
      </c>
      <c r="B490" s="3">
        <f>INDEX(Raw_Schedule!B:B,MATCH(A490,Raw_Schedule!A:A,0))</f>
        <v/>
      </c>
      <c r="C490" s="3">
        <f>INDEX(Raw_Schedule!C:C,MATCH(A490,Raw_Schedule!A:A,0))</f>
        <v/>
      </c>
      <c r="D490" s="3">
        <f>INDEX(Raw_Schedule!D:D,MATCH(A490,Raw_Schedule!A:A,0))</f>
        <v/>
      </c>
      <c r="E490" s="3">
        <f>INDEX(Raw_Schedule!E:E,MATCH(A490,Raw_Schedule!A:A,0))</f>
        <v/>
      </c>
      <c r="F490" s="3">
        <f>INDEX(Raw_Schedule!F:F,MATCH(A490,Raw_Schedule!A:A,0))</f>
        <v/>
      </c>
      <c r="G490" s="4">
        <f>INDEX(Raw_Schedule!G:G,MATCH(A490,Raw_Schedule!A:A,0))</f>
        <v/>
      </c>
      <c r="H490" s="5">
        <f>INDEX(Raw_Schedule!H:H,MATCH(A490,Raw_Schedule!A:A,0))</f>
        <v/>
      </c>
      <c r="I490" s="5">
        <f>SUMIFS(Raw_Payments!E:E,Raw_Payments!B:B,A490)</f>
        <v/>
      </c>
      <c r="J490" s="5">
        <f>H490-I490</f>
        <v/>
      </c>
      <c r="K490" s="3">
        <f>IF(J490&lt;=0.005,"PAID",IF(I490&gt;0,"PARTIAL","OVERDUE"))</f>
        <v/>
      </c>
      <c r="L490" s="4">
        <f>IF(COUNTIFS(Raw_Payments!B:B,A490)=0,"",SUMPRODUCT(MAX((Raw_Payments!B$2:B$1079=A490)*Raw_Payments!D$2:D$1079)))</f>
        <v/>
      </c>
      <c r="M490" s="3">
        <f>IF(K490="PAID",MAX(0,L490-G490),Guide!$B$3-G490)</f>
        <v/>
      </c>
      <c r="N490" s="3">
        <f>IF(J490&lt;=0.005,"COLLECTED",IF(M490&lt;=30,"1-30",IF(M490&lt;=60,"31-60",IF(M490&lt;=90,"61-90","90+"))))</f>
        <v/>
      </c>
      <c r="O490" s="3">
        <f>IF(N490="90+","LOST",IF(N490="61-90","ESCALATE",IF(N490="31-60","WATCH",IF(N490="1-30","MILD","OK"))))</f>
        <v/>
      </c>
      <c r="P490" s="3">
        <f>IF(J490&gt;0.005,ROW()-1,"")</f>
        <v/>
      </c>
    </row>
    <row r="491">
      <c r="A491" s="3" t="inlineStr">
        <is>
          <t>D0490</t>
        </is>
      </c>
      <c r="B491" s="3">
        <f>INDEX(Raw_Schedule!B:B,MATCH(A491,Raw_Schedule!A:A,0))</f>
        <v/>
      </c>
      <c r="C491" s="3">
        <f>INDEX(Raw_Schedule!C:C,MATCH(A491,Raw_Schedule!A:A,0))</f>
        <v/>
      </c>
      <c r="D491" s="3">
        <f>INDEX(Raw_Schedule!D:D,MATCH(A491,Raw_Schedule!A:A,0))</f>
        <v/>
      </c>
      <c r="E491" s="3">
        <f>INDEX(Raw_Schedule!E:E,MATCH(A491,Raw_Schedule!A:A,0))</f>
        <v/>
      </c>
      <c r="F491" s="3">
        <f>INDEX(Raw_Schedule!F:F,MATCH(A491,Raw_Schedule!A:A,0))</f>
        <v/>
      </c>
      <c r="G491" s="4">
        <f>INDEX(Raw_Schedule!G:G,MATCH(A491,Raw_Schedule!A:A,0))</f>
        <v/>
      </c>
      <c r="H491" s="5">
        <f>INDEX(Raw_Schedule!H:H,MATCH(A491,Raw_Schedule!A:A,0))</f>
        <v/>
      </c>
      <c r="I491" s="5">
        <f>SUMIFS(Raw_Payments!E:E,Raw_Payments!B:B,A491)</f>
        <v/>
      </c>
      <c r="J491" s="5">
        <f>H491-I491</f>
        <v/>
      </c>
      <c r="K491" s="3">
        <f>IF(J491&lt;=0.005,"PAID",IF(I491&gt;0,"PARTIAL","OVERDUE"))</f>
        <v/>
      </c>
      <c r="L491" s="4">
        <f>IF(COUNTIFS(Raw_Payments!B:B,A491)=0,"",SUMPRODUCT(MAX((Raw_Payments!B$2:B$1079=A491)*Raw_Payments!D$2:D$1079)))</f>
        <v/>
      </c>
      <c r="M491" s="3">
        <f>IF(K491="PAID",MAX(0,L491-G491),Guide!$B$3-G491)</f>
        <v/>
      </c>
      <c r="N491" s="3">
        <f>IF(J491&lt;=0.005,"COLLECTED",IF(M491&lt;=30,"1-30",IF(M491&lt;=60,"31-60",IF(M491&lt;=90,"61-90","90+"))))</f>
        <v/>
      </c>
      <c r="O491" s="3">
        <f>IF(N491="90+","LOST",IF(N491="61-90","ESCALATE",IF(N491="31-60","WATCH",IF(N491="1-30","MILD","OK"))))</f>
        <v/>
      </c>
      <c r="P491" s="3">
        <f>IF(J491&gt;0.005,ROW()-1,"")</f>
        <v/>
      </c>
    </row>
    <row r="492">
      <c r="A492" s="3" t="inlineStr">
        <is>
          <t>D0491</t>
        </is>
      </c>
      <c r="B492" s="3">
        <f>INDEX(Raw_Schedule!B:B,MATCH(A492,Raw_Schedule!A:A,0))</f>
        <v/>
      </c>
      <c r="C492" s="3">
        <f>INDEX(Raw_Schedule!C:C,MATCH(A492,Raw_Schedule!A:A,0))</f>
        <v/>
      </c>
      <c r="D492" s="3">
        <f>INDEX(Raw_Schedule!D:D,MATCH(A492,Raw_Schedule!A:A,0))</f>
        <v/>
      </c>
      <c r="E492" s="3">
        <f>INDEX(Raw_Schedule!E:E,MATCH(A492,Raw_Schedule!A:A,0))</f>
        <v/>
      </c>
      <c r="F492" s="3">
        <f>INDEX(Raw_Schedule!F:F,MATCH(A492,Raw_Schedule!A:A,0))</f>
        <v/>
      </c>
      <c r="G492" s="4">
        <f>INDEX(Raw_Schedule!G:G,MATCH(A492,Raw_Schedule!A:A,0))</f>
        <v/>
      </c>
      <c r="H492" s="5">
        <f>INDEX(Raw_Schedule!H:H,MATCH(A492,Raw_Schedule!A:A,0))</f>
        <v/>
      </c>
      <c r="I492" s="5">
        <f>SUMIFS(Raw_Payments!E:E,Raw_Payments!B:B,A492)</f>
        <v/>
      </c>
      <c r="J492" s="5">
        <f>H492-I492</f>
        <v/>
      </c>
      <c r="K492" s="3">
        <f>IF(J492&lt;=0.005,"PAID",IF(I492&gt;0,"PARTIAL","OVERDUE"))</f>
        <v/>
      </c>
      <c r="L492" s="4">
        <f>IF(COUNTIFS(Raw_Payments!B:B,A492)=0,"",SUMPRODUCT(MAX((Raw_Payments!B$2:B$1079=A492)*Raw_Payments!D$2:D$1079)))</f>
        <v/>
      </c>
      <c r="M492" s="3">
        <f>IF(K492="PAID",MAX(0,L492-G492),Guide!$B$3-G492)</f>
        <v/>
      </c>
      <c r="N492" s="3">
        <f>IF(J492&lt;=0.005,"COLLECTED",IF(M492&lt;=30,"1-30",IF(M492&lt;=60,"31-60",IF(M492&lt;=90,"61-90","90+"))))</f>
        <v/>
      </c>
      <c r="O492" s="3">
        <f>IF(N492="90+","LOST",IF(N492="61-90","ESCALATE",IF(N492="31-60","WATCH",IF(N492="1-30","MILD","OK"))))</f>
        <v/>
      </c>
      <c r="P492" s="3">
        <f>IF(J492&gt;0.005,ROW()-1,"")</f>
        <v/>
      </c>
    </row>
    <row r="493">
      <c r="A493" s="3" t="inlineStr">
        <is>
          <t>D0492</t>
        </is>
      </c>
      <c r="B493" s="3">
        <f>INDEX(Raw_Schedule!B:B,MATCH(A493,Raw_Schedule!A:A,0))</f>
        <v/>
      </c>
      <c r="C493" s="3">
        <f>INDEX(Raw_Schedule!C:C,MATCH(A493,Raw_Schedule!A:A,0))</f>
        <v/>
      </c>
      <c r="D493" s="3">
        <f>INDEX(Raw_Schedule!D:D,MATCH(A493,Raw_Schedule!A:A,0))</f>
        <v/>
      </c>
      <c r="E493" s="3">
        <f>INDEX(Raw_Schedule!E:E,MATCH(A493,Raw_Schedule!A:A,0))</f>
        <v/>
      </c>
      <c r="F493" s="3">
        <f>INDEX(Raw_Schedule!F:F,MATCH(A493,Raw_Schedule!A:A,0))</f>
        <v/>
      </c>
      <c r="G493" s="4">
        <f>INDEX(Raw_Schedule!G:G,MATCH(A493,Raw_Schedule!A:A,0))</f>
        <v/>
      </c>
      <c r="H493" s="5">
        <f>INDEX(Raw_Schedule!H:H,MATCH(A493,Raw_Schedule!A:A,0))</f>
        <v/>
      </c>
      <c r="I493" s="5">
        <f>SUMIFS(Raw_Payments!E:E,Raw_Payments!B:B,A493)</f>
        <v/>
      </c>
      <c r="J493" s="5">
        <f>H493-I493</f>
        <v/>
      </c>
      <c r="K493" s="3">
        <f>IF(J493&lt;=0.005,"PAID",IF(I493&gt;0,"PARTIAL","OVERDUE"))</f>
        <v/>
      </c>
      <c r="L493" s="4">
        <f>IF(COUNTIFS(Raw_Payments!B:B,A493)=0,"",SUMPRODUCT(MAX((Raw_Payments!B$2:B$1079=A493)*Raw_Payments!D$2:D$1079)))</f>
        <v/>
      </c>
      <c r="M493" s="3">
        <f>IF(K493="PAID",MAX(0,L493-G493),Guide!$B$3-G493)</f>
        <v/>
      </c>
      <c r="N493" s="3">
        <f>IF(J493&lt;=0.005,"COLLECTED",IF(M493&lt;=30,"1-30",IF(M493&lt;=60,"31-60",IF(M493&lt;=90,"61-90","90+"))))</f>
        <v/>
      </c>
      <c r="O493" s="3">
        <f>IF(N493="90+","LOST",IF(N493="61-90","ESCALATE",IF(N493="31-60","WATCH",IF(N493="1-30","MILD","OK"))))</f>
        <v/>
      </c>
      <c r="P493" s="3">
        <f>IF(J493&gt;0.005,ROW()-1,"")</f>
        <v/>
      </c>
    </row>
    <row r="494">
      <c r="A494" s="3" t="inlineStr">
        <is>
          <t>D0493</t>
        </is>
      </c>
      <c r="B494" s="3">
        <f>INDEX(Raw_Schedule!B:B,MATCH(A494,Raw_Schedule!A:A,0))</f>
        <v/>
      </c>
      <c r="C494" s="3">
        <f>INDEX(Raw_Schedule!C:C,MATCH(A494,Raw_Schedule!A:A,0))</f>
        <v/>
      </c>
      <c r="D494" s="3">
        <f>INDEX(Raw_Schedule!D:D,MATCH(A494,Raw_Schedule!A:A,0))</f>
        <v/>
      </c>
      <c r="E494" s="3">
        <f>INDEX(Raw_Schedule!E:E,MATCH(A494,Raw_Schedule!A:A,0))</f>
        <v/>
      </c>
      <c r="F494" s="3">
        <f>INDEX(Raw_Schedule!F:F,MATCH(A494,Raw_Schedule!A:A,0))</f>
        <v/>
      </c>
      <c r="G494" s="4">
        <f>INDEX(Raw_Schedule!G:G,MATCH(A494,Raw_Schedule!A:A,0))</f>
        <v/>
      </c>
      <c r="H494" s="5">
        <f>INDEX(Raw_Schedule!H:H,MATCH(A494,Raw_Schedule!A:A,0))</f>
        <v/>
      </c>
      <c r="I494" s="5">
        <f>SUMIFS(Raw_Payments!E:E,Raw_Payments!B:B,A494)</f>
        <v/>
      </c>
      <c r="J494" s="5">
        <f>H494-I494</f>
        <v/>
      </c>
      <c r="K494" s="3">
        <f>IF(J494&lt;=0.005,"PAID",IF(I494&gt;0,"PARTIAL","OVERDUE"))</f>
        <v/>
      </c>
      <c r="L494" s="4">
        <f>IF(COUNTIFS(Raw_Payments!B:B,A494)=0,"",SUMPRODUCT(MAX((Raw_Payments!B$2:B$1079=A494)*Raw_Payments!D$2:D$1079)))</f>
        <v/>
      </c>
      <c r="M494" s="3">
        <f>IF(K494="PAID",MAX(0,L494-G494),Guide!$B$3-G494)</f>
        <v/>
      </c>
      <c r="N494" s="3">
        <f>IF(J494&lt;=0.005,"COLLECTED",IF(M494&lt;=30,"1-30",IF(M494&lt;=60,"31-60",IF(M494&lt;=90,"61-90","90+"))))</f>
        <v/>
      </c>
      <c r="O494" s="3">
        <f>IF(N494="90+","LOST",IF(N494="61-90","ESCALATE",IF(N494="31-60","WATCH",IF(N494="1-30","MILD","OK"))))</f>
        <v/>
      </c>
      <c r="P494" s="3">
        <f>IF(J494&gt;0.005,ROW()-1,"")</f>
        <v/>
      </c>
    </row>
    <row r="495">
      <c r="A495" s="3" t="inlineStr">
        <is>
          <t>D0494</t>
        </is>
      </c>
      <c r="B495" s="3">
        <f>INDEX(Raw_Schedule!B:B,MATCH(A495,Raw_Schedule!A:A,0))</f>
        <v/>
      </c>
      <c r="C495" s="3">
        <f>INDEX(Raw_Schedule!C:C,MATCH(A495,Raw_Schedule!A:A,0))</f>
        <v/>
      </c>
      <c r="D495" s="3">
        <f>INDEX(Raw_Schedule!D:D,MATCH(A495,Raw_Schedule!A:A,0))</f>
        <v/>
      </c>
      <c r="E495" s="3">
        <f>INDEX(Raw_Schedule!E:E,MATCH(A495,Raw_Schedule!A:A,0))</f>
        <v/>
      </c>
      <c r="F495" s="3">
        <f>INDEX(Raw_Schedule!F:F,MATCH(A495,Raw_Schedule!A:A,0))</f>
        <v/>
      </c>
      <c r="G495" s="4">
        <f>INDEX(Raw_Schedule!G:G,MATCH(A495,Raw_Schedule!A:A,0))</f>
        <v/>
      </c>
      <c r="H495" s="5">
        <f>INDEX(Raw_Schedule!H:H,MATCH(A495,Raw_Schedule!A:A,0))</f>
        <v/>
      </c>
      <c r="I495" s="5">
        <f>SUMIFS(Raw_Payments!E:E,Raw_Payments!B:B,A495)</f>
        <v/>
      </c>
      <c r="J495" s="5">
        <f>H495-I495</f>
        <v/>
      </c>
      <c r="K495" s="3">
        <f>IF(J495&lt;=0.005,"PAID",IF(I495&gt;0,"PARTIAL","OVERDUE"))</f>
        <v/>
      </c>
      <c r="L495" s="4">
        <f>IF(COUNTIFS(Raw_Payments!B:B,A495)=0,"",SUMPRODUCT(MAX((Raw_Payments!B$2:B$1079=A495)*Raw_Payments!D$2:D$1079)))</f>
        <v/>
      </c>
      <c r="M495" s="3">
        <f>IF(K495="PAID",MAX(0,L495-G495),Guide!$B$3-G495)</f>
        <v/>
      </c>
      <c r="N495" s="3">
        <f>IF(J495&lt;=0.005,"COLLECTED",IF(M495&lt;=30,"1-30",IF(M495&lt;=60,"31-60",IF(M495&lt;=90,"61-90","90+"))))</f>
        <v/>
      </c>
      <c r="O495" s="3">
        <f>IF(N495="90+","LOST",IF(N495="61-90","ESCALATE",IF(N495="31-60","WATCH",IF(N495="1-30","MILD","OK"))))</f>
        <v/>
      </c>
      <c r="P495" s="3">
        <f>IF(J495&gt;0.005,ROW()-1,"")</f>
        <v/>
      </c>
    </row>
    <row r="496">
      <c r="A496" s="3" t="inlineStr">
        <is>
          <t>D0495</t>
        </is>
      </c>
      <c r="B496" s="3">
        <f>INDEX(Raw_Schedule!B:B,MATCH(A496,Raw_Schedule!A:A,0))</f>
        <v/>
      </c>
      <c r="C496" s="3">
        <f>INDEX(Raw_Schedule!C:C,MATCH(A496,Raw_Schedule!A:A,0))</f>
        <v/>
      </c>
      <c r="D496" s="3">
        <f>INDEX(Raw_Schedule!D:D,MATCH(A496,Raw_Schedule!A:A,0))</f>
        <v/>
      </c>
      <c r="E496" s="3">
        <f>INDEX(Raw_Schedule!E:E,MATCH(A496,Raw_Schedule!A:A,0))</f>
        <v/>
      </c>
      <c r="F496" s="3">
        <f>INDEX(Raw_Schedule!F:F,MATCH(A496,Raw_Schedule!A:A,0))</f>
        <v/>
      </c>
      <c r="G496" s="4">
        <f>INDEX(Raw_Schedule!G:G,MATCH(A496,Raw_Schedule!A:A,0))</f>
        <v/>
      </c>
      <c r="H496" s="5">
        <f>INDEX(Raw_Schedule!H:H,MATCH(A496,Raw_Schedule!A:A,0))</f>
        <v/>
      </c>
      <c r="I496" s="5">
        <f>SUMIFS(Raw_Payments!E:E,Raw_Payments!B:B,A496)</f>
        <v/>
      </c>
      <c r="J496" s="5">
        <f>H496-I496</f>
        <v/>
      </c>
      <c r="K496" s="3">
        <f>IF(J496&lt;=0.005,"PAID",IF(I496&gt;0,"PARTIAL","OVERDUE"))</f>
        <v/>
      </c>
      <c r="L496" s="4">
        <f>IF(COUNTIFS(Raw_Payments!B:B,A496)=0,"",SUMPRODUCT(MAX((Raw_Payments!B$2:B$1079=A496)*Raw_Payments!D$2:D$1079)))</f>
        <v/>
      </c>
      <c r="M496" s="3">
        <f>IF(K496="PAID",MAX(0,L496-G496),Guide!$B$3-G496)</f>
        <v/>
      </c>
      <c r="N496" s="3">
        <f>IF(J496&lt;=0.005,"COLLECTED",IF(M496&lt;=30,"1-30",IF(M496&lt;=60,"31-60",IF(M496&lt;=90,"61-90","90+"))))</f>
        <v/>
      </c>
      <c r="O496" s="3">
        <f>IF(N496="90+","LOST",IF(N496="61-90","ESCALATE",IF(N496="31-60","WATCH",IF(N496="1-30","MILD","OK"))))</f>
        <v/>
      </c>
      <c r="P496" s="3">
        <f>IF(J496&gt;0.005,ROW()-1,"")</f>
        <v/>
      </c>
    </row>
    <row r="497">
      <c r="A497" s="3" t="inlineStr">
        <is>
          <t>D0496</t>
        </is>
      </c>
      <c r="B497" s="3">
        <f>INDEX(Raw_Schedule!B:B,MATCH(A497,Raw_Schedule!A:A,0))</f>
        <v/>
      </c>
      <c r="C497" s="3">
        <f>INDEX(Raw_Schedule!C:C,MATCH(A497,Raw_Schedule!A:A,0))</f>
        <v/>
      </c>
      <c r="D497" s="3">
        <f>INDEX(Raw_Schedule!D:D,MATCH(A497,Raw_Schedule!A:A,0))</f>
        <v/>
      </c>
      <c r="E497" s="3">
        <f>INDEX(Raw_Schedule!E:E,MATCH(A497,Raw_Schedule!A:A,0))</f>
        <v/>
      </c>
      <c r="F497" s="3">
        <f>INDEX(Raw_Schedule!F:F,MATCH(A497,Raw_Schedule!A:A,0))</f>
        <v/>
      </c>
      <c r="G497" s="4">
        <f>INDEX(Raw_Schedule!G:G,MATCH(A497,Raw_Schedule!A:A,0))</f>
        <v/>
      </c>
      <c r="H497" s="5">
        <f>INDEX(Raw_Schedule!H:H,MATCH(A497,Raw_Schedule!A:A,0))</f>
        <v/>
      </c>
      <c r="I497" s="5">
        <f>SUMIFS(Raw_Payments!E:E,Raw_Payments!B:B,A497)</f>
        <v/>
      </c>
      <c r="J497" s="5">
        <f>H497-I497</f>
        <v/>
      </c>
      <c r="K497" s="3">
        <f>IF(J497&lt;=0.005,"PAID",IF(I497&gt;0,"PARTIAL","OVERDUE"))</f>
        <v/>
      </c>
      <c r="L497" s="4">
        <f>IF(COUNTIFS(Raw_Payments!B:B,A497)=0,"",SUMPRODUCT(MAX((Raw_Payments!B$2:B$1079=A497)*Raw_Payments!D$2:D$1079)))</f>
        <v/>
      </c>
      <c r="M497" s="3">
        <f>IF(K497="PAID",MAX(0,L497-G497),Guide!$B$3-G497)</f>
        <v/>
      </c>
      <c r="N497" s="3">
        <f>IF(J497&lt;=0.005,"COLLECTED",IF(M497&lt;=30,"1-30",IF(M497&lt;=60,"31-60",IF(M497&lt;=90,"61-90","90+"))))</f>
        <v/>
      </c>
      <c r="O497" s="3">
        <f>IF(N497="90+","LOST",IF(N497="61-90","ESCALATE",IF(N497="31-60","WATCH",IF(N497="1-30","MILD","OK"))))</f>
        <v/>
      </c>
      <c r="P497" s="3">
        <f>IF(J497&gt;0.005,ROW()-1,"")</f>
        <v/>
      </c>
    </row>
    <row r="498">
      <c r="A498" s="3" t="inlineStr">
        <is>
          <t>D0497</t>
        </is>
      </c>
      <c r="B498" s="3">
        <f>INDEX(Raw_Schedule!B:B,MATCH(A498,Raw_Schedule!A:A,0))</f>
        <v/>
      </c>
      <c r="C498" s="3">
        <f>INDEX(Raw_Schedule!C:C,MATCH(A498,Raw_Schedule!A:A,0))</f>
        <v/>
      </c>
      <c r="D498" s="3">
        <f>INDEX(Raw_Schedule!D:D,MATCH(A498,Raw_Schedule!A:A,0))</f>
        <v/>
      </c>
      <c r="E498" s="3">
        <f>INDEX(Raw_Schedule!E:E,MATCH(A498,Raw_Schedule!A:A,0))</f>
        <v/>
      </c>
      <c r="F498" s="3">
        <f>INDEX(Raw_Schedule!F:F,MATCH(A498,Raw_Schedule!A:A,0))</f>
        <v/>
      </c>
      <c r="G498" s="4">
        <f>INDEX(Raw_Schedule!G:G,MATCH(A498,Raw_Schedule!A:A,0))</f>
        <v/>
      </c>
      <c r="H498" s="5">
        <f>INDEX(Raw_Schedule!H:H,MATCH(A498,Raw_Schedule!A:A,0))</f>
        <v/>
      </c>
      <c r="I498" s="5">
        <f>SUMIFS(Raw_Payments!E:E,Raw_Payments!B:B,A498)</f>
        <v/>
      </c>
      <c r="J498" s="5">
        <f>H498-I498</f>
        <v/>
      </c>
      <c r="K498" s="3">
        <f>IF(J498&lt;=0.005,"PAID",IF(I498&gt;0,"PARTIAL","OVERDUE"))</f>
        <v/>
      </c>
      <c r="L498" s="4">
        <f>IF(COUNTIFS(Raw_Payments!B:B,A498)=0,"",SUMPRODUCT(MAX((Raw_Payments!B$2:B$1079=A498)*Raw_Payments!D$2:D$1079)))</f>
        <v/>
      </c>
      <c r="M498" s="3">
        <f>IF(K498="PAID",MAX(0,L498-G498),Guide!$B$3-G498)</f>
        <v/>
      </c>
      <c r="N498" s="3">
        <f>IF(J498&lt;=0.005,"COLLECTED",IF(M498&lt;=30,"1-30",IF(M498&lt;=60,"31-60",IF(M498&lt;=90,"61-90","90+"))))</f>
        <v/>
      </c>
      <c r="O498" s="3">
        <f>IF(N498="90+","LOST",IF(N498="61-90","ESCALATE",IF(N498="31-60","WATCH",IF(N498="1-30","MILD","OK"))))</f>
        <v/>
      </c>
      <c r="P498" s="3">
        <f>IF(J498&gt;0.005,ROW()-1,"")</f>
        <v/>
      </c>
    </row>
    <row r="499">
      <c r="A499" s="3" t="inlineStr">
        <is>
          <t>D0498</t>
        </is>
      </c>
      <c r="B499" s="3">
        <f>INDEX(Raw_Schedule!B:B,MATCH(A499,Raw_Schedule!A:A,0))</f>
        <v/>
      </c>
      <c r="C499" s="3">
        <f>INDEX(Raw_Schedule!C:C,MATCH(A499,Raw_Schedule!A:A,0))</f>
        <v/>
      </c>
      <c r="D499" s="3">
        <f>INDEX(Raw_Schedule!D:D,MATCH(A499,Raw_Schedule!A:A,0))</f>
        <v/>
      </c>
      <c r="E499" s="3">
        <f>INDEX(Raw_Schedule!E:E,MATCH(A499,Raw_Schedule!A:A,0))</f>
        <v/>
      </c>
      <c r="F499" s="3">
        <f>INDEX(Raw_Schedule!F:F,MATCH(A499,Raw_Schedule!A:A,0))</f>
        <v/>
      </c>
      <c r="G499" s="4">
        <f>INDEX(Raw_Schedule!G:G,MATCH(A499,Raw_Schedule!A:A,0))</f>
        <v/>
      </c>
      <c r="H499" s="5">
        <f>INDEX(Raw_Schedule!H:H,MATCH(A499,Raw_Schedule!A:A,0))</f>
        <v/>
      </c>
      <c r="I499" s="5">
        <f>SUMIFS(Raw_Payments!E:E,Raw_Payments!B:B,A499)</f>
        <v/>
      </c>
      <c r="J499" s="5">
        <f>H499-I499</f>
        <v/>
      </c>
      <c r="K499" s="3">
        <f>IF(J499&lt;=0.005,"PAID",IF(I499&gt;0,"PARTIAL","OVERDUE"))</f>
        <v/>
      </c>
      <c r="L499" s="4">
        <f>IF(COUNTIFS(Raw_Payments!B:B,A499)=0,"",SUMPRODUCT(MAX((Raw_Payments!B$2:B$1079=A499)*Raw_Payments!D$2:D$1079)))</f>
        <v/>
      </c>
      <c r="M499" s="3">
        <f>IF(K499="PAID",MAX(0,L499-G499),Guide!$B$3-G499)</f>
        <v/>
      </c>
      <c r="N499" s="3">
        <f>IF(J499&lt;=0.005,"COLLECTED",IF(M499&lt;=30,"1-30",IF(M499&lt;=60,"31-60",IF(M499&lt;=90,"61-90","90+"))))</f>
        <v/>
      </c>
      <c r="O499" s="3">
        <f>IF(N499="90+","LOST",IF(N499="61-90","ESCALATE",IF(N499="31-60","WATCH",IF(N499="1-30","MILD","OK"))))</f>
        <v/>
      </c>
      <c r="P499" s="3">
        <f>IF(J499&gt;0.005,ROW()-1,"")</f>
        <v/>
      </c>
    </row>
    <row r="500">
      <c r="A500" s="3" t="inlineStr">
        <is>
          <t>D0499</t>
        </is>
      </c>
      <c r="B500" s="3">
        <f>INDEX(Raw_Schedule!B:B,MATCH(A500,Raw_Schedule!A:A,0))</f>
        <v/>
      </c>
      <c r="C500" s="3">
        <f>INDEX(Raw_Schedule!C:C,MATCH(A500,Raw_Schedule!A:A,0))</f>
        <v/>
      </c>
      <c r="D500" s="3">
        <f>INDEX(Raw_Schedule!D:D,MATCH(A500,Raw_Schedule!A:A,0))</f>
        <v/>
      </c>
      <c r="E500" s="3">
        <f>INDEX(Raw_Schedule!E:E,MATCH(A500,Raw_Schedule!A:A,0))</f>
        <v/>
      </c>
      <c r="F500" s="3">
        <f>INDEX(Raw_Schedule!F:F,MATCH(A500,Raw_Schedule!A:A,0))</f>
        <v/>
      </c>
      <c r="G500" s="4">
        <f>INDEX(Raw_Schedule!G:G,MATCH(A500,Raw_Schedule!A:A,0))</f>
        <v/>
      </c>
      <c r="H500" s="5">
        <f>INDEX(Raw_Schedule!H:H,MATCH(A500,Raw_Schedule!A:A,0))</f>
        <v/>
      </c>
      <c r="I500" s="5">
        <f>SUMIFS(Raw_Payments!E:E,Raw_Payments!B:B,A500)</f>
        <v/>
      </c>
      <c r="J500" s="5">
        <f>H500-I500</f>
        <v/>
      </c>
      <c r="K500" s="3">
        <f>IF(J500&lt;=0.005,"PAID",IF(I500&gt;0,"PARTIAL","OVERDUE"))</f>
        <v/>
      </c>
      <c r="L500" s="4">
        <f>IF(COUNTIFS(Raw_Payments!B:B,A500)=0,"",SUMPRODUCT(MAX((Raw_Payments!B$2:B$1079=A500)*Raw_Payments!D$2:D$1079)))</f>
        <v/>
      </c>
      <c r="M500" s="3">
        <f>IF(K500="PAID",MAX(0,L500-G500),Guide!$B$3-G500)</f>
        <v/>
      </c>
      <c r="N500" s="3">
        <f>IF(J500&lt;=0.005,"COLLECTED",IF(M500&lt;=30,"1-30",IF(M500&lt;=60,"31-60",IF(M500&lt;=90,"61-90","90+"))))</f>
        <v/>
      </c>
      <c r="O500" s="3">
        <f>IF(N500="90+","LOST",IF(N500="61-90","ESCALATE",IF(N500="31-60","WATCH",IF(N500="1-30","MILD","OK"))))</f>
        <v/>
      </c>
      <c r="P500" s="3">
        <f>IF(J500&gt;0.005,ROW()-1,"")</f>
        <v/>
      </c>
    </row>
    <row r="501">
      <c r="A501" s="3" t="inlineStr">
        <is>
          <t>D0500</t>
        </is>
      </c>
      <c r="B501" s="3">
        <f>INDEX(Raw_Schedule!B:B,MATCH(A501,Raw_Schedule!A:A,0))</f>
        <v/>
      </c>
      <c r="C501" s="3">
        <f>INDEX(Raw_Schedule!C:C,MATCH(A501,Raw_Schedule!A:A,0))</f>
        <v/>
      </c>
      <c r="D501" s="3">
        <f>INDEX(Raw_Schedule!D:D,MATCH(A501,Raw_Schedule!A:A,0))</f>
        <v/>
      </c>
      <c r="E501" s="3">
        <f>INDEX(Raw_Schedule!E:E,MATCH(A501,Raw_Schedule!A:A,0))</f>
        <v/>
      </c>
      <c r="F501" s="3">
        <f>INDEX(Raw_Schedule!F:F,MATCH(A501,Raw_Schedule!A:A,0))</f>
        <v/>
      </c>
      <c r="G501" s="4">
        <f>INDEX(Raw_Schedule!G:G,MATCH(A501,Raw_Schedule!A:A,0))</f>
        <v/>
      </c>
      <c r="H501" s="5">
        <f>INDEX(Raw_Schedule!H:H,MATCH(A501,Raw_Schedule!A:A,0))</f>
        <v/>
      </c>
      <c r="I501" s="5">
        <f>SUMIFS(Raw_Payments!E:E,Raw_Payments!B:B,A501)</f>
        <v/>
      </c>
      <c r="J501" s="5">
        <f>H501-I501</f>
        <v/>
      </c>
      <c r="K501" s="3">
        <f>IF(J501&lt;=0.005,"PAID",IF(I501&gt;0,"PARTIAL","OVERDUE"))</f>
        <v/>
      </c>
      <c r="L501" s="4">
        <f>IF(COUNTIFS(Raw_Payments!B:B,A501)=0,"",SUMPRODUCT(MAX((Raw_Payments!B$2:B$1079=A501)*Raw_Payments!D$2:D$1079)))</f>
        <v/>
      </c>
      <c r="M501" s="3">
        <f>IF(K501="PAID",MAX(0,L501-G501),Guide!$B$3-G501)</f>
        <v/>
      </c>
      <c r="N501" s="3">
        <f>IF(J501&lt;=0.005,"COLLECTED",IF(M501&lt;=30,"1-30",IF(M501&lt;=60,"31-60",IF(M501&lt;=90,"61-90","90+"))))</f>
        <v/>
      </c>
      <c r="O501" s="3">
        <f>IF(N501="90+","LOST",IF(N501="61-90","ESCALATE",IF(N501="31-60","WATCH",IF(N501="1-30","MILD","OK"))))</f>
        <v/>
      </c>
      <c r="P501" s="3">
        <f>IF(J501&gt;0.005,ROW()-1,"")</f>
        <v/>
      </c>
    </row>
    <row r="502">
      <c r="A502" s="3" t="inlineStr">
        <is>
          <t>D0501</t>
        </is>
      </c>
      <c r="B502" s="3">
        <f>INDEX(Raw_Schedule!B:B,MATCH(A502,Raw_Schedule!A:A,0))</f>
        <v/>
      </c>
      <c r="C502" s="3">
        <f>INDEX(Raw_Schedule!C:C,MATCH(A502,Raw_Schedule!A:A,0))</f>
        <v/>
      </c>
      <c r="D502" s="3">
        <f>INDEX(Raw_Schedule!D:D,MATCH(A502,Raw_Schedule!A:A,0))</f>
        <v/>
      </c>
      <c r="E502" s="3">
        <f>INDEX(Raw_Schedule!E:E,MATCH(A502,Raw_Schedule!A:A,0))</f>
        <v/>
      </c>
      <c r="F502" s="3">
        <f>INDEX(Raw_Schedule!F:F,MATCH(A502,Raw_Schedule!A:A,0))</f>
        <v/>
      </c>
      <c r="G502" s="4">
        <f>INDEX(Raw_Schedule!G:G,MATCH(A502,Raw_Schedule!A:A,0))</f>
        <v/>
      </c>
      <c r="H502" s="5">
        <f>INDEX(Raw_Schedule!H:H,MATCH(A502,Raw_Schedule!A:A,0))</f>
        <v/>
      </c>
      <c r="I502" s="5">
        <f>SUMIFS(Raw_Payments!E:E,Raw_Payments!B:B,A502)</f>
        <v/>
      </c>
      <c r="J502" s="5">
        <f>H502-I502</f>
        <v/>
      </c>
      <c r="K502" s="3">
        <f>IF(J502&lt;=0.005,"PAID",IF(I502&gt;0,"PARTIAL","OVERDUE"))</f>
        <v/>
      </c>
      <c r="L502" s="4">
        <f>IF(COUNTIFS(Raw_Payments!B:B,A502)=0,"",SUMPRODUCT(MAX((Raw_Payments!B$2:B$1079=A502)*Raw_Payments!D$2:D$1079)))</f>
        <v/>
      </c>
      <c r="M502" s="3">
        <f>IF(K502="PAID",MAX(0,L502-G502),Guide!$B$3-G502)</f>
        <v/>
      </c>
      <c r="N502" s="3">
        <f>IF(J502&lt;=0.005,"COLLECTED",IF(M502&lt;=30,"1-30",IF(M502&lt;=60,"31-60",IF(M502&lt;=90,"61-90","90+"))))</f>
        <v/>
      </c>
      <c r="O502" s="3">
        <f>IF(N502="90+","LOST",IF(N502="61-90","ESCALATE",IF(N502="31-60","WATCH",IF(N502="1-30","MILD","OK"))))</f>
        <v/>
      </c>
      <c r="P502" s="3">
        <f>IF(J502&gt;0.005,ROW()-1,"")</f>
        <v/>
      </c>
    </row>
    <row r="503">
      <c r="A503" s="3" t="inlineStr">
        <is>
          <t>D0502</t>
        </is>
      </c>
      <c r="B503" s="3">
        <f>INDEX(Raw_Schedule!B:B,MATCH(A503,Raw_Schedule!A:A,0))</f>
        <v/>
      </c>
      <c r="C503" s="3">
        <f>INDEX(Raw_Schedule!C:C,MATCH(A503,Raw_Schedule!A:A,0))</f>
        <v/>
      </c>
      <c r="D503" s="3">
        <f>INDEX(Raw_Schedule!D:D,MATCH(A503,Raw_Schedule!A:A,0))</f>
        <v/>
      </c>
      <c r="E503" s="3">
        <f>INDEX(Raw_Schedule!E:E,MATCH(A503,Raw_Schedule!A:A,0))</f>
        <v/>
      </c>
      <c r="F503" s="3">
        <f>INDEX(Raw_Schedule!F:F,MATCH(A503,Raw_Schedule!A:A,0))</f>
        <v/>
      </c>
      <c r="G503" s="4">
        <f>INDEX(Raw_Schedule!G:G,MATCH(A503,Raw_Schedule!A:A,0))</f>
        <v/>
      </c>
      <c r="H503" s="5">
        <f>INDEX(Raw_Schedule!H:H,MATCH(A503,Raw_Schedule!A:A,0))</f>
        <v/>
      </c>
      <c r="I503" s="5">
        <f>SUMIFS(Raw_Payments!E:E,Raw_Payments!B:B,A503)</f>
        <v/>
      </c>
      <c r="J503" s="5">
        <f>H503-I503</f>
        <v/>
      </c>
      <c r="K503" s="3">
        <f>IF(J503&lt;=0.005,"PAID",IF(I503&gt;0,"PARTIAL","OVERDUE"))</f>
        <v/>
      </c>
      <c r="L503" s="4">
        <f>IF(COUNTIFS(Raw_Payments!B:B,A503)=0,"",SUMPRODUCT(MAX((Raw_Payments!B$2:B$1079=A503)*Raw_Payments!D$2:D$1079)))</f>
        <v/>
      </c>
      <c r="M503" s="3">
        <f>IF(K503="PAID",MAX(0,L503-G503),Guide!$B$3-G503)</f>
        <v/>
      </c>
      <c r="N503" s="3">
        <f>IF(J503&lt;=0.005,"COLLECTED",IF(M503&lt;=30,"1-30",IF(M503&lt;=60,"31-60",IF(M503&lt;=90,"61-90","90+"))))</f>
        <v/>
      </c>
      <c r="O503" s="3">
        <f>IF(N503="90+","LOST",IF(N503="61-90","ESCALATE",IF(N503="31-60","WATCH",IF(N503="1-30","MILD","OK"))))</f>
        <v/>
      </c>
      <c r="P503" s="3">
        <f>IF(J503&gt;0.005,ROW()-1,"")</f>
        <v/>
      </c>
    </row>
    <row r="504">
      <c r="A504" s="3" t="inlineStr">
        <is>
          <t>D0503</t>
        </is>
      </c>
      <c r="B504" s="3">
        <f>INDEX(Raw_Schedule!B:B,MATCH(A504,Raw_Schedule!A:A,0))</f>
        <v/>
      </c>
      <c r="C504" s="3">
        <f>INDEX(Raw_Schedule!C:C,MATCH(A504,Raw_Schedule!A:A,0))</f>
        <v/>
      </c>
      <c r="D504" s="3">
        <f>INDEX(Raw_Schedule!D:D,MATCH(A504,Raw_Schedule!A:A,0))</f>
        <v/>
      </c>
      <c r="E504" s="3">
        <f>INDEX(Raw_Schedule!E:E,MATCH(A504,Raw_Schedule!A:A,0))</f>
        <v/>
      </c>
      <c r="F504" s="3">
        <f>INDEX(Raw_Schedule!F:F,MATCH(A504,Raw_Schedule!A:A,0))</f>
        <v/>
      </c>
      <c r="G504" s="4">
        <f>INDEX(Raw_Schedule!G:G,MATCH(A504,Raw_Schedule!A:A,0))</f>
        <v/>
      </c>
      <c r="H504" s="5">
        <f>INDEX(Raw_Schedule!H:H,MATCH(A504,Raw_Schedule!A:A,0))</f>
        <v/>
      </c>
      <c r="I504" s="5">
        <f>SUMIFS(Raw_Payments!E:E,Raw_Payments!B:B,A504)</f>
        <v/>
      </c>
      <c r="J504" s="5">
        <f>H504-I504</f>
        <v/>
      </c>
      <c r="K504" s="3">
        <f>IF(J504&lt;=0.005,"PAID",IF(I504&gt;0,"PARTIAL","OVERDUE"))</f>
        <v/>
      </c>
      <c r="L504" s="4">
        <f>IF(COUNTIFS(Raw_Payments!B:B,A504)=0,"",SUMPRODUCT(MAX((Raw_Payments!B$2:B$1079=A504)*Raw_Payments!D$2:D$1079)))</f>
        <v/>
      </c>
      <c r="M504" s="3">
        <f>IF(K504="PAID",MAX(0,L504-G504),Guide!$B$3-G504)</f>
        <v/>
      </c>
      <c r="N504" s="3">
        <f>IF(J504&lt;=0.005,"COLLECTED",IF(M504&lt;=30,"1-30",IF(M504&lt;=60,"31-60",IF(M504&lt;=90,"61-90","90+"))))</f>
        <v/>
      </c>
      <c r="O504" s="3">
        <f>IF(N504="90+","LOST",IF(N504="61-90","ESCALATE",IF(N504="31-60","WATCH",IF(N504="1-30","MILD","OK"))))</f>
        <v/>
      </c>
      <c r="P504" s="3">
        <f>IF(J504&gt;0.005,ROW()-1,"")</f>
        <v/>
      </c>
    </row>
    <row r="505">
      <c r="A505" s="3" t="inlineStr">
        <is>
          <t>D0504</t>
        </is>
      </c>
      <c r="B505" s="3">
        <f>INDEX(Raw_Schedule!B:B,MATCH(A505,Raw_Schedule!A:A,0))</f>
        <v/>
      </c>
      <c r="C505" s="3">
        <f>INDEX(Raw_Schedule!C:C,MATCH(A505,Raw_Schedule!A:A,0))</f>
        <v/>
      </c>
      <c r="D505" s="3">
        <f>INDEX(Raw_Schedule!D:D,MATCH(A505,Raw_Schedule!A:A,0))</f>
        <v/>
      </c>
      <c r="E505" s="3">
        <f>INDEX(Raw_Schedule!E:E,MATCH(A505,Raw_Schedule!A:A,0))</f>
        <v/>
      </c>
      <c r="F505" s="3">
        <f>INDEX(Raw_Schedule!F:F,MATCH(A505,Raw_Schedule!A:A,0))</f>
        <v/>
      </c>
      <c r="G505" s="4">
        <f>INDEX(Raw_Schedule!G:G,MATCH(A505,Raw_Schedule!A:A,0))</f>
        <v/>
      </c>
      <c r="H505" s="5">
        <f>INDEX(Raw_Schedule!H:H,MATCH(A505,Raw_Schedule!A:A,0))</f>
        <v/>
      </c>
      <c r="I505" s="5">
        <f>SUMIFS(Raw_Payments!E:E,Raw_Payments!B:B,A505)</f>
        <v/>
      </c>
      <c r="J505" s="5">
        <f>H505-I505</f>
        <v/>
      </c>
      <c r="K505" s="3">
        <f>IF(J505&lt;=0.005,"PAID",IF(I505&gt;0,"PARTIAL","OVERDUE"))</f>
        <v/>
      </c>
      <c r="L505" s="4">
        <f>IF(COUNTIFS(Raw_Payments!B:B,A505)=0,"",SUMPRODUCT(MAX((Raw_Payments!B$2:B$1079=A505)*Raw_Payments!D$2:D$1079)))</f>
        <v/>
      </c>
      <c r="M505" s="3">
        <f>IF(K505="PAID",MAX(0,L505-G505),Guide!$B$3-G505)</f>
        <v/>
      </c>
      <c r="N505" s="3">
        <f>IF(J505&lt;=0.005,"COLLECTED",IF(M505&lt;=30,"1-30",IF(M505&lt;=60,"31-60",IF(M505&lt;=90,"61-90","90+"))))</f>
        <v/>
      </c>
      <c r="O505" s="3">
        <f>IF(N505="90+","LOST",IF(N505="61-90","ESCALATE",IF(N505="31-60","WATCH",IF(N505="1-30","MILD","OK"))))</f>
        <v/>
      </c>
      <c r="P505" s="3">
        <f>IF(J505&gt;0.005,ROW()-1,"")</f>
        <v/>
      </c>
    </row>
    <row r="506">
      <c r="A506" s="3" t="inlineStr">
        <is>
          <t>D0505</t>
        </is>
      </c>
      <c r="B506" s="3">
        <f>INDEX(Raw_Schedule!B:B,MATCH(A506,Raw_Schedule!A:A,0))</f>
        <v/>
      </c>
      <c r="C506" s="3">
        <f>INDEX(Raw_Schedule!C:C,MATCH(A506,Raw_Schedule!A:A,0))</f>
        <v/>
      </c>
      <c r="D506" s="3">
        <f>INDEX(Raw_Schedule!D:D,MATCH(A506,Raw_Schedule!A:A,0))</f>
        <v/>
      </c>
      <c r="E506" s="3">
        <f>INDEX(Raw_Schedule!E:E,MATCH(A506,Raw_Schedule!A:A,0))</f>
        <v/>
      </c>
      <c r="F506" s="3">
        <f>INDEX(Raw_Schedule!F:F,MATCH(A506,Raw_Schedule!A:A,0))</f>
        <v/>
      </c>
      <c r="G506" s="4">
        <f>INDEX(Raw_Schedule!G:G,MATCH(A506,Raw_Schedule!A:A,0))</f>
        <v/>
      </c>
      <c r="H506" s="5">
        <f>INDEX(Raw_Schedule!H:H,MATCH(A506,Raw_Schedule!A:A,0))</f>
        <v/>
      </c>
      <c r="I506" s="5">
        <f>SUMIFS(Raw_Payments!E:E,Raw_Payments!B:B,A506)</f>
        <v/>
      </c>
      <c r="J506" s="5">
        <f>H506-I506</f>
        <v/>
      </c>
      <c r="K506" s="3">
        <f>IF(J506&lt;=0.005,"PAID",IF(I506&gt;0,"PARTIAL","OVERDUE"))</f>
        <v/>
      </c>
      <c r="L506" s="4">
        <f>IF(COUNTIFS(Raw_Payments!B:B,A506)=0,"",SUMPRODUCT(MAX((Raw_Payments!B$2:B$1079=A506)*Raw_Payments!D$2:D$1079)))</f>
        <v/>
      </c>
      <c r="M506" s="3">
        <f>IF(K506="PAID",MAX(0,L506-G506),Guide!$B$3-G506)</f>
        <v/>
      </c>
      <c r="N506" s="3">
        <f>IF(J506&lt;=0.005,"COLLECTED",IF(M506&lt;=30,"1-30",IF(M506&lt;=60,"31-60",IF(M506&lt;=90,"61-90","90+"))))</f>
        <v/>
      </c>
      <c r="O506" s="3">
        <f>IF(N506="90+","LOST",IF(N506="61-90","ESCALATE",IF(N506="31-60","WATCH",IF(N506="1-30","MILD","OK"))))</f>
        <v/>
      </c>
      <c r="P506" s="3">
        <f>IF(J506&gt;0.005,ROW()-1,"")</f>
        <v/>
      </c>
    </row>
    <row r="507">
      <c r="A507" s="3" t="inlineStr">
        <is>
          <t>D0506</t>
        </is>
      </c>
      <c r="B507" s="3">
        <f>INDEX(Raw_Schedule!B:B,MATCH(A507,Raw_Schedule!A:A,0))</f>
        <v/>
      </c>
      <c r="C507" s="3">
        <f>INDEX(Raw_Schedule!C:C,MATCH(A507,Raw_Schedule!A:A,0))</f>
        <v/>
      </c>
      <c r="D507" s="3">
        <f>INDEX(Raw_Schedule!D:D,MATCH(A507,Raw_Schedule!A:A,0))</f>
        <v/>
      </c>
      <c r="E507" s="3">
        <f>INDEX(Raw_Schedule!E:E,MATCH(A507,Raw_Schedule!A:A,0))</f>
        <v/>
      </c>
      <c r="F507" s="3">
        <f>INDEX(Raw_Schedule!F:F,MATCH(A507,Raw_Schedule!A:A,0))</f>
        <v/>
      </c>
      <c r="G507" s="4">
        <f>INDEX(Raw_Schedule!G:G,MATCH(A507,Raw_Schedule!A:A,0))</f>
        <v/>
      </c>
      <c r="H507" s="5">
        <f>INDEX(Raw_Schedule!H:H,MATCH(A507,Raw_Schedule!A:A,0))</f>
        <v/>
      </c>
      <c r="I507" s="5">
        <f>SUMIFS(Raw_Payments!E:E,Raw_Payments!B:B,A507)</f>
        <v/>
      </c>
      <c r="J507" s="5">
        <f>H507-I507</f>
        <v/>
      </c>
      <c r="K507" s="3">
        <f>IF(J507&lt;=0.005,"PAID",IF(I507&gt;0,"PARTIAL","OVERDUE"))</f>
        <v/>
      </c>
      <c r="L507" s="4">
        <f>IF(COUNTIFS(Raw_Payments!B:B,A507)=0,"",SUMPRODUCT(MAX((Raw_Payments!B$2:B$1079=A507)*Raw_Payments!D$2:D$1079)))</f>
        <v/>
      </c>
      <c r="M507" s="3">
        <f>IF(K507="PAID",MAX(0,L507-G507),Guide!$B$3-G507)</f>
        <v/>
      </c>
      <c r="N507" s="3">
        <f>IF(J507&lt;=0.005,"COLLECTED",IF(M507&lt;=30,"1-30",IF(M507&lt;=60,"31-60",IF(M507&lt;=90,"61-90","90+"))))</f>
        <v/>
      </c>
      <c r="O507" s="3">
        <f>IF(N507="90+","LOST",IF(N507="61-90","ESCALATE",IF(N507="31-60","WATCH",IF(N507="1-30","MILD","OK"))))</f>
        <v/>
      </c>
      <c r="P507" s="3">
        <f>IF(J507&gt;0.005,ROW()-1,"")</f>
        <v/>
      </c>
    </row>
    <row r="508">
      <c r="A508" s="3" t="inlineStr">
        <is>
          <t>D0507</t>
        </is>
      </c>
      <c r="B508" s="3">
        <f>INDEX(Raw_Schedule!B:B,MATCH(A508,Raw_Schedule!A:A,0))</f>
        <v/>
      </c>
      <c r="C508" s="3">
        <f>INDEX(Raw_Schedule!C:C,MATCH(A508,Raw_Schedule!A:A,0))</f>
        <v/>
      </c>
      <c r="D508" s="3">
        <f>INDEX(Raw_Schedule!D:D,MATCH(A508,Raw_Schedule!A:A,0))</f>
        <v/>
      </c>
      <c r="E508" s="3">
        <f>INDEX(Raw_Schedule!E:E,MATCH(A508,Raw_Schedule!A:A,0))</f>
        <v/>
      </c>
      <c r="F508" s="3">
        <f>INDEX(Raw_Schedule!F:F,MATCH(A508,Raw_Schedule!A:A,0))</f>
        <v/>
      </c>
      <c r="G508" s="4">
        <f>INDEX(Raw_Schedule!G:G,MATCH(A508,Raw_Schedule!A:A,0))</f>
        <v/>
      </c>
      <c r="H508" s="5">
        <f>INDEX(Raw_Schedule!H:H,MATCH(A508,Raw_Schedule!A:A,0))</f>
        <v/>
      </c>
      <c r="I508" s="5">
        <f>SUMIFS(Raw_Payments!E:E,Raw_Payments!B:B,A508)</f>
        <v/>
      </c>
      <c r="J508" s="5">
        <f>H508-I508</f>
        <v/>
      </c>
      <c r="K508" s="3">
        <f>IF(J508&lt;=0.005,"PAID",IF(I508&gt;0,"PARTIAL","OVERDUE"))</f>
        <v/>
      </c>
      <c r="L508" s="4">
        <f>IF(COUNTIFS(Raw_Payments!B:B,A508)=0,"",SUMPRODUCT(MAX((Raw_Payments!B$2:B$1079=A508)*Raw_Payments!D$2:D$1079)))</f>
        <v/>
      </c>
      <c r="M508" s="3">
        <f>IF(K508="PAID",MAX(0,L508-G508),Guide!$B$3-G508)</f>
        <v/>
      </c>
      <c r="N508" s="3">
        <f>IF(J508&lt;=0.005,"COLLECTED",IF(M508&lt;=30,"1-30",IF(M508&lt;=60,"31-60",IF(M508&lt;=90,"61-90","90+"))))</f>
        <v/>
      </c>
      <c r="O508" s="3">
        <f>IF(N508="90+","LOST",IF(N508="61-90","ESCALATE",IF(N508="31-60","WATCH",IF(N508="1-30","MILD","OK"))))</f>
        <v/>
      </c>
      <c r="P508" s="3">
        <f>IF(J508&gt;0.005,ROW()-1,"")</f>
        <v/>
      </c>
    </row>
    <row r="509">
      <c r="A509" s="3" t="inlineStr">
        <is>
          <t>D0508</t>
        </is>
      </c>
      <c r="B509" s="3">
        <f>INDEX(Raw_Schedule!B:B,MATCH(A509,Raw_Schedule!A:A,0))</f>
        <v/>
      </c>
      <c r="C509" s="3">
        <f>INDEX(Raw_Schedule!C:C,MATCH(A509,Raw_Schedule!A:A,0))</f>
        <v/>
      </c>
      <c r="D509" s="3">
        <f>INDEX(Raw_Schedule!D:D,MATCH(A509,Raw_Schedule!A:A,0))</f>
        <v/>
      </c>
      <c r="E509" s="3">
        <f>INDEX(Raw_Schedule!E:E,MATCH(A509,Raw_Schedule!A:A,0))</f>
        <v/>
      </c>
      <c r="F509" s="3">
        <f>INDEX(Raw_Schedule!F:F,MATCH(A509,Raw_Schedule!A:A,0))</f>
        <v/>
      </c>
      <c r="G509" s="4">
        <f>INDEX(Raw_Schedule!G:G,MATCH(A509,Raw_Schedule!A:A,0))</f>
        <v/>
      </c>
      <c r="H509" s="5">
        <f>INDEX(Raw_Schedule!H:H,MATCH(A509,Raw_Schedule!A:A,0))</f>
        <v/>
      </c>
      <c r="I509" s="5">
        <f>SUMIFS(Raw_Payments!E:E,Raw_Payments!B:B,A509)</f>
        <v/>
      </c>
      <c r="J509" s="5">
        <f>H509-I509</f>
        <v/>
      </c>
      <c r="K509" s="3">
        <f>IF(J509&lt;=0.005,"PAID",IF(I509&gt;0,"PARTIAL","OVERDUE"))</f>
        <v/>
      </c>
      <c r="L509" s="4">
        <f>IF(COUNTIFS(Raw_Payments!B:B,A509)=0,"",SUMPRODUCT(MAX((Raw_Payments!B$2:B$1079=A509)*Raw_Payments!D$2:D$1079)))</f>
        <v/>
      </c>
      <c r="M509" s="3">
        <f>IF(K509="PAID",MAX(0,L509-G509),Guide!$B$3-G509)</f>
        <v/>
      </c>
      <c r="N509" s="3">
        <f>IF(J509&lt;=0.005,"COLLECTED",IF(M509&lt;=30,"1-30",IF(M509&lt;=60,"31-60",IF(M509&lt;=90,"61-90","90+"))))</f>
        <v/>
      </c>
      <c r="O509" s="3">
        <f>IF(N509="90+","LOST",IF(N509="61-90","ESCALATE",IF(N509="31-60","WATCH",IF(N509="1-30","MILD","OK"))))</f>
        <v/>
      </c>
      <c r="P509" s="3">
        <f>IF(J509&gt;0.005,ROW()-1,"")</f>
        <v/>
      </c>
    </row>
    <row r="510">
      <c r="A510" s="3" t="inlineStr">
        <is>
          <t>D0509</t>
        </is>
      </c>
      <c r="B510" s="3">
        <f>INDEX(Raw_Schedule!B:B,MATCH(A510,Raw_Schedule!A:A,0))</f>
        <v/>
      </c>
      <c r="C510" s="3">
        <f>INDEX(Raw_Schedule!C:C,MATCH(A510,Raw_Schedule!A:A,0))</f>
        <v/>
      </c>
      <c r="D510" s="3">
        <f>INDEX(Raw_Schedule!D:D,MATCH(A510,Raw_Schedule!A:A,0))</f>
        <v/>
      </c>
      <c r="E510" s="3">
        <f>INDEX(Raw_Schedule!E:E,MATCH(A510,Raw_Schedule!A:A,0))</f>
        <v/>
      </c>
      <c r="F510" s="3">
        <f>INDEX(Raw_Schedule!F:F,MATCH(A510,Raw_Schedule!A:A,0))</f>
        <v/>
      </c>
      <c r="G510" s="4">
        <f>INDEX(Raw_Schedule!G:G,MATCH(A510,Raw_Schedule!A:A,0))</f>
        <v/>
      </c>
      <c r="H510" s="5">
        <f>INDEX(Raw_Schedule!H:H,MATCH(A510,Raw_Schedule!A:A,0))</f>
        <v/>
      </c>
      <c r="I510" s="5">
        <f>SUMIFS(Raw_Payments!E:E,Raw_Payments!B:B,A510)</f>
        <v/>
      </c>
      <c r="J510" s="5">
        <f>H510-I510</f>
        <v/>
      </c>
      <c r="K510" s="3">
        <f>IF(J510&lt;=0.005,"PAID",IF(I510&gt;0,"PARTIAL","OVERDUE"))</f>
        <v/>
      </c>
      <c r="L510" s="4">
        <f>IF(COUNTIFS(Raw_Payments!B:B,A510)=0,"",SUMPRODUCT(MAX((Raw_Payments!B$2:B$1079=A510)*Raw_Payments!D$2:D$1079)))</f>
        <v/>
      </c>
      <c r="M510" s="3">
        <f>IF(K510="PAID",MAX(0,L510-G510),Guide!$B$3-G510)</f>
        <v/>
      </c>
      <c r="N510" s="3">
        <f>IF(J510&lt;=0.005,"COLLECTED",IF(M510&lt;=30,"1-30",IF(M510&lt;=60,"31-60",IF(M510&lt;=90,"61-90","90+"))))</f>
        <v/>
      </c>
      <c r="O510" s="3">
        <f>IF(N510="90+","LOST",IF(N510="61-90","ESCALATE",IF(N510="31-60","WATCH",IF(N510="1-30","MILD","OK"))))</f>
        <v/>
      </c>
      <c r="P510" s="3">
        <f>IF(J510&gt;0.005,ROW()-1,"")</f>
        <v/>
      </c>
    </row>
    <row r="511">
      <c r="A511" s="3" t="inlineStr">
        <is>
          <t>D0510</t>
        </is>
      </c>
      <c r="B511" s="3">
        <f>INDEX(Raw_Schedule!B:B,MATCH(A511,Raw_Schedule!A:A,0))</f>
        <v/>
      </c>
      <c r="C511" s="3">
        <f>INDEX(Raw_Schedule!C:C,MATCH(A511,Raw_Schedule!A:A,0))</f>
        <v/>
      </c>
      <c r="D511" s="3">
        <f>INDEX(Raw_Schedule!D:D,MATCH(A511,Raw_Schedule!A:A,0))</f>
        <v/>
      </c>
      <c r="E511" s="3">
        <f>INDEX(Raw_Schedule!E:E,MATCH(A511,Raw_Schedule!A:A,0))</f>
        <v/>
      </c>
      <c r="F511" s="3">
        <f>INDEX(Raw_Schedule!F:F,MATCH(A511,Raw_Schedule!A:A,0))</f>
        <v/>
      </c>
      <c r="G511" s="4">
        <f>INDEX(Raw_Schedule!G:G,MATCH(A511,Raw_Schedule!A:A,0))</f>
        <v/>
      </c>
      <c r="H511" s="5">
        <f>INDEX(Raw_Schedule!H:H,MATCH(A511,Raw_Schedule!A:A,0))</f>
        <v/>
      </c>
      <c r="I511" s="5">
        <f>SUMIFS(Raw_Payments!E:E,Raw_Payments!B:B,A511)</f>
        <v/>
      </c>
      <c r="J511" s="5">
        <f>H511-I511</f>
        <v/>
      </c>
      <c r="K511" s="3">
        <f>IF(J511&lt;=0.005,"PAID",IF(I511&gt;0,"PARTIAL","OVERDUE"))</f>
        <v/>
      </c>
      <c r="L511" s="4">
        <f>IF(COUNTIFS(Raw_Payments!B:B,A511)=0,"",SUMPRODUCT(MAX((Raw_Payments!B$2:B$1079=A511)*Raw_Payments!D$2:D$1079)))</f>
        <v/>
      </c>
      <c r="M511" s="3">
        <f>IF(K511="PAID",MAX(0,L511-G511),Guide!$B$3-G511)</f>
        <v/>
      </c>
      <c r="N511" s="3">
        <f>IF(J511&lt;=0.005,"COLLECTED",IF(M511&lt;=30,"1-30",IF(M511&lt;=60,"31-60",IF(M511&lt;=90,"61-90","90+"))))</f>
        <v/>
      </c>
      <c r="O511" s="3">
        <f>IF(N511="90+","LOST",IF(N511="61-90","ESCALATE",IF(N511="31-60","WATCH",IF(N511="1-30","MILD","OK"))))</f>
        <v/>
      </c>
      <c r="P511" s="3">
        <f>IF(J511&gt;0.005,ROW()-1,"")</f>
        <v/>
      </c>
    </row>
    <row r="512">
      <c r="A512" s="3" t="inlineStr">
        <is>
          <t>D0511</t>
        </is>
      </c>
      <c r="B512" s="3">
        <f>INDEX(Raw_Schedule!B:B,MATCH(A512,Raw_Schedule!A:A,0))</f>
        <v/>
      </c>
      <c r="C512" s="3">
        <f>INDEX(Raw_Schedule!C:C,MATCH(A512,Raw_Schedule!A:A,0))</f>
        <v/>
      </c>
      <c r="D512" s="3">
        <f>INDEX(Raw_Schedule!D:D,MATCH(A512,Raw_Schedule!A:A,0))</f>
        <v/>
      </c>
      <c r="E512" s="3">
        <f>INDEX(Raw_Schedule!E:E,MATCH(A512,Raw_Schedule!A:A,0))</f>
        <v/>
      </c>
      <c r="F512" s="3">
        <f>INDEX(Raw_Schedule!F:F,MATCH(A512,Raw_Schedule!A:A,0))</f>
        <v/>
      </c>
      <c r="G512" s="4">
        <f>INDEX(Raw_Schedule!G:G,MATCH(A512,Raw_Schedule!A:A,0))</f>
        <v/>
      </c>
      <c r="H512" s="5">
        <f>INDEX(Raw_Schedule!H:H,MATCH(A512,Raw_Schedule!A:A,0))</f>
        <v/>
      </c>
      <c r="I512" s="5">
        <f>SUMIFS(Raw_Payments!E:E,Raw_Payments!B:B,A512)</f>
        <v/>
      </c>
      <c r="J512" s="5">
        <f>H512-I512</f>
        <v/>
      </c>
      <c r="K512" s="3">
        <f>IF(J512&lt;=0.005,"PAID",IF(I512&gt;0,"PARTIAL","OVERDUE"))</f>
        <v/>
      </c>
      <c r="L512" s="4">
        <f>IF(COUNTIFS(Raw_Payments!B:B,A512)=0,"",SUMPRODUCT(MAX((Raw_Payments!B$2:B$1079=A512)*Raw_Payments!D$2:D$1079)))</f>
        <v/>
      </c>
      <c r="M512" s="3">
        <f>IF(K512="PAID",MAX(0,L512-G512),Guide!$B$3-G512)</f>
        <v/>
      </c>
      <c r="N512" s="3">
        <f>IF(J512&lt;=0.005,"COLLECTED",IF(M512&lt;=30,"1-30",IF(M512&lt;=60,"31-60",IF(M512&lt;=90,"61-90","90+"))))</f>
        <v/>
      </c>
      <c r="O512" s="3">
        <f>IF(N512="90+","LOST",IF(N512="61-90","ESCALATE",IF(N512="31-60","WATCH",IF(N512="1-30","MILD","OK"))))</f>
        <v/>
      </c>
      <c r="P512" s="3">
        <f>IF(J512&gt;0.005,ROW()-1,"")</f>
        <v/>
      </c>
    </row>
    <row r="513">
      <c r="A513" s="3" t="inlineStr">
        <is>
          <t>D0512</t>
        </is>
      </c>
      <c r="B513" s="3">
        <f>INDEX(Raw_Schedule!B:B,MATCH(A513,Raw_Schedule!A:A,0))</f>
        <v/>
      </c>
      <c r="C513" s="3">
        <f>INDEX(Raw_Schedule!C:C,MATCH(A513,Raw_Schedule!A:A,0))</f>
        <v/>
      </c>
      <c r="D513" s="3">
        <f>INDEX(Raw_Schedule!D:D,MATCH(A513,Raw_Schedule!A:A,0))</f>
        <v/>
      </c>
      <c r="E513" s="3">
        <f>INDEX(Raw_Schedule!E:E,MATCH(A513,Raw_Schedule!A:A,0))</f>
        <v/>
      </c>
      <c r="F513" s="3">
        <f>INDEX(Raw_Schedule!F:F,MATCH(A513,Raw_Schedule!A:A,0))</f>
        <v/>
      </c>
      <c r="G513" s="4">
        <f>INDEX(Raw_Schedule!G:G,MATCH(A513,Raw_Schedule!A:A,0))</f>
        <v/>
      </c>
      <c r="H513" s="5">
        <f>INDEX(Raw_Schedule!H:H,MATCH(A513,Raw_Schedule!A:A,0))</f>
        <v/>
      </c>
      <c r="I513" s="5">
        <f>SUMIFS(Raw_Payments!E:E,Raw_Payments!B:B,A513)</f>
        <v/>
      </c>
      <c r="J513" s="5">
        <f>H513-I513</f>
        <v/>
      </c>
      <c r="K513" s="3">
        <f>IF(J513&lt;=0.005,"PAID",IF(I513&gt;0,"PARTIAL","OVERDUE"))</f>
        <v/>
      </c>
      <c r="L513" s="4">
        <f>IF(COUNTIFS(Raw_Payments!B:B,A513)=0,"",SUMPRODUCT(MAX((Raw_Payments!B$2:B$1079=A513)*Raw_Payments!D$2:D$1079)))</f>
        <v/>
      </c>
      <c r="M513" s="3">
        <f>IF(K513="PAID",MAX(0,L513-G513),Guide!$B$3-G513)</f>
        <v/>
      </c>
      <c r="N513" s="3">
        <f>IF(J513&lt;=0.005,"COLLECTED",IF(M513&lt;=30,"1-30",IF(M513&lt;=60,"31-60",IF(M513&lt;=90,"61-90","90+"))))</f>
        <v/>
      </c>
      <c r="O513" s="3">
        <f>IF(N513="90+","LOST",IF(N513="61-90","ESCALATE",IF(N513="31-60","WATCH",IF(N513="1-30","MILD","OK"))))</f>
        <v/>
      </c>
      <c r="P513" s="3">
        <f>IF(J513&gt;0.005,ROW()-1,"")</f>
        <v/>
      </c>
    </row>
    <row r="514">
      <c r="A514" s="3" t="inlineStr">
        <is>
          <t>D0513</t>
        </is>
      </c>
      <c r="B514" s="3">
        <f>INDEX(Raw_Schedule!B:B,MATCH(A514,Raw_Schedule!A:A,0))</f>
        <v/>
      </c>
      <c r="C514" s="3">
        <f>INDEX(Raw_Schedule!C:C,MATCH(A514,Raw_Schedule!A:A,0))</f>
        <v/>
      </c>
      <c r="D514" s="3">
        <f>INDEX(Raw_Schedule!D:D,MATCH(A514,Raw_Schedule!A:A,0))</f>
        <v/>
      </c>
      <c r="E514" s="3">
        <f>INDEX(Raw_Schedule!E:E,MATCH(A514,Raw_Schedule!A:A,0))</f>
        <v/>
      </c>
      <c r="F514" s="3">
        <f>INDEX(Raw_Schedule!F:F,MATCH(A514,Raw_Schedule!A:A,0))</f>
        <v/>
      </c>
      <c r="G514" s="4">
        <f>INDEX(Raw_Schedule!G:G,MATCH(A514,Raw_Schedule!A:A,0))</f>
        <v/>
      </c>
      <c r="H514" s="5">
        <f>INDEX(Raw_Schedule!H:H,MATCH(A514,Raw_Schedule!A:A,0))</f>
        <v/>
      </c>
      <c r="I514" s="5">
        <f>SUMIFS(Raw_Payments!E:E,Raw_Payments!B:B,A514)</f>
        <v/>
      </c>
      <c r="J514" s="5">
        <f>H514-I514</f>
        <v/>
      </c>
      <c r="K514" s="3">
        <f>IF(J514&lt;=0.005,"PAID",IF(I514&gt;0,"PARTIAL","OVERDUE"))</f>
        <v/>
      </c>
      <c r="L514" s="4">
        <f>IF(COUNTIFS(Raw_Payments!B:B,A514)=0,"",SUMPRODUCT(MAX((Raw_Payments!B$2:B$1079=A514)*Raw_Payments!D$2:D$1079)))</f>
        <v/>
      </c>
      <c r="M514" s="3">
        <f>IF(K514="PAID",MAX(0,L514-G514),Guide!$B$3-G514)</f>
        <v/>
      </c>
      <c r="N514" s="3">
        <f>IF(J514&lt;=0.005,"COLLECTED",IF(M514&lt;=30,"1-30",IF(M514&lt;=60,"31-60",IF(M514&lt;=90,"61-90","90+"))))</f>
        <v/>
      </c>
      <c r="O514" s="3">
        <f>IF(N514="90+","LOST",IF(N514="61-90","ESCALATE",IF(N514="31-60","WATCH",IF(N514="1-30","MILD","OK"))))</f>
        <v/>
      </c>
      <c r="P514" s="3">
        <f>IF(J514&gt;0.005,ROW()-1,"")</f>
        <v/>
      </c>
    </row>
    <row r="515">
      <c r="A515" s="3" t="inlineStr">
        <is>
          <t>D0514</t>
        </is>
      </c>
      <c r="B515" s="3">
        <f>INDEX(Raw_Schedule!B:B,MATCH(A515,Raw_Schedule!A:A,0))</f>
        <v/>
      </c>
      <c r="C515" s="3">
        <f>INDEX(Raw_Schedule!C:C,MATCH(A515,Raw_Schedule!A:A,0))</f>
        <v/>
      </c>
      <c r="D515" s="3">
        <f>INDEX(Raw_Schedule!D:D,MATCH(A515,Raw_Schedule!A:A,0))</f>
        <v/>
      </c>
      <c r="E515" s="3">
        <f>INDEX(Raw_Schedule!E:E,MATCH(A515,Raw_Schedule!A:A,0))</f>
        <v/>
      </c>
      <c r="F515" s="3">
        <f>INDEX(Raw_Schedule!F:F,MATCH(A515,Raw_Schedule!A:A,0))</f>
        <v/>
      </c>
      <c r="G515" s="4">
        <f>INDEX(Raw_Schedule!G:G,MATCH(A515,Raw_Schedule!A:A,0))</f>
        <v/>
      </c>
      <c r="H515" s="5">
        <f>INDEX(Raw_Schedule!H:H,MATCH(A515,Raw_Schedule!A:A,0))</f>
        <v/>
      </c>
      <c r="I515" s="5">
        <f>SUMIFS(Raw_Payments!E:E,Raw_Payments!B:B,A515)</f>
        <v/>
      </c>
      <c r="J515" s="5">
        <f>H515-I515</f>
        <v/>
      </c>
      <c r="K515" s="3">
        <f>IF(J515&lt;=0.005,"PAID",IF(I515&gt;0,"PARTIAL","OVERDUE"))</f>
        <v/>
      </c>
      <c r="L515" s="4">
        <f>IF(COUNTIFS(Raw_Payments!B:B,A515)=0,"",SUMPRODUCT(MAX((Raw_Payments!B$2:B$1079=A515)*Raw_Payments!D$2:D$1079)))</f>
        <v/>
      </c>
      <c r="M515" s="3">
        <f>IF(K515="PAID",MAX(0,L515-G515),Guide!$B$3-G515)</f>
        <v/>
      </c>
      <c r="N515" s="3">
        <f>IF(J515&lt;=0.005,"COLLECTED",IF(M515&lt;=30,"1-30",IF(M515&lt;=60,"31-60",IF(M515&lt;=90,"61-90","90+"))))</f>
        <v/>
      </c>
      <c r="O515" s="3">
        <f>IF(N515="90+","LOST",IF(N515="61-90","ESCALATE",IF(N515="31-60","WATCH",IF(N515="1-30","MILD","OK"))))</f>
        <v/>
      </c>
      <c r="P515" s="3">
        <f>IF(J515&gt;0.005,ROW()-1,"")</f>
        <v/>
      </c>
    </row>
    <row r="516">
      <c r="A516" s="3" t="inlineStr">
        <is>
          <t>D0515</t>
        </is>
      </c>
      <c r="B516" s="3">
        <f>INDEX(Raw_Schedule!B:B,MATCH(A516,Raw_Schedule!A:A,0))</f>
        <v/>
      </c>
      <c r="C516" s="3">
        <f>INDEX(Raw_Schedule!C:C,MATCH(A516,Raw_Schedule!A:A,0))</f>
        <v/>
      </c>
      <c r="D516" s="3">
        <f>INDEX(Raw_Schedule!D:D,MATCH(A516,Raw_Schedule!A:A,0))</f>
        <v/>
      </c>
      <c r="E516" s="3">
        <f>INDEX(Raw_Schedule!E:E,MATCH(A516,Raw_Schedule!A:A,0))</f>
        <v/>
      </c>
      <c r="F516" s="3">
        <f>INDEX(Raw_Schedule!F:F,MATCH(A516,Raw_Schedule!A:A,0))</f>
        <v/>
      </c>
      <c r="G516" s="4">
        <f>INDEX(Raw_Schedule!G:G,MATCH(A516,Raw_Schedule!A:A,0))</f>
        <v/>
      </c>
      <c r="H516" s="5">
        <f>INDEX(Raw_Schedule!H:H,MATCH(A516,Raw_Schedule!A:A,0))</f>
        <v/>
      </c>
      <c r="I516" s="5">
        <f>SUMIFS(Raw_Payments!E:E,Raw_Payments!B:B,A516)</f>
        <v/>
      </c>
      <c r="J516" s="5">
        <f>H516-I516</f>
        <v/>
      </c>
      <c r="K516" s="3">
        <f>IF(J516&lt;=0.005,"PAID",IF(I516&gt;0,"PARTIAL","OVERDUE"))</f>
        <v/>
      </c>
      <c r="L516" s="4">
        <f>IF(COUNTIFS(Raw_Payments!B:B,A516)=0,"",SUMPRODUCT(MAX((Raw_Payments!B$2:B$1079=A516)*Raw_Payments!D$2:D$1079)))</f>
        <v/>
      </c>
      <c r="M516" s="3">
        <f>IF(K516="PAID",MAX(0,L516-G516),Guide!$B$3-G516)</f>
        <v/>
      </c>
      <c r="N516" s="3">
        <f>IF(J516&lt;=0.005,"COLLECTED",IF(M516&lt;=30,"1-30",IF(M516&lt;=60,"31-60",IF(M516&lt;=90,"61-90","90+"))))</f>
        <v/>
      </c>
      <c r="O516" s="3">
        <f>IF(N516="90+","LOST",IF(N516="61-90","ESCALATE",IF(N516="31-60","WATCH",IF(N516="1-30","MILD","OK"))))</f>
        <v/>
      </c>
      <c r="P516" s="3">
        <f>IF(J516&gt;0.005,ROW()-1,"")</f>
        <v/>
      </c>
    </row>
    <row r="517">
      <c r="A517" s="3" t="inlineStr">
        <is>
          <t>D0516</t>
        </is>
      </c>
      <c r="B517" s="3">
        <f>INDEX(Raw_Schedule!B:B,MATCH(A517,Raw_Schedule!A:A,0))</f>
        <v/>
      </c>
      <c r="C517" s="3">
        <f>INDEX(Raw_Schedule!C:C,MATCH(A517,Raw_Schedule!A:A,0))</f>
        <v/>
      </c>
      <c r="D517" s="3">
        <f>INDEX(Raw_Schedule!D:D,MATCH(A517,Raw_Schedule!A:A,0))</f>
        <v/>
      </c>
      <c r="E517" s="3">
        <f>INDEX(Raw_Schedule!E:E,MATCH(A517,Raw_Schedule!A:A,0))</f>
        <v/>
      </c>
      <c r="F517" s="3">
        <f>INDEX(Raw_Schedule!F:F,MATCH(A517,Raw_Schedule!A:A,0))</f>
        <v/>
      </c>
      <c r="G517" s="4">
        <f>INDEX(Raw_Schedule!G:G,MATCH(A517,Raw_Schedule!A:A,0))</f>
        <v/>
      </c>
      <c r="H517" s="5">
        <f>INDEX(Raw_Schedule!H:H,MATCH(A517,Raw_Schedule!A:A,0))</f>
        <v/>
      </c>
      <c r="I517" s="5">
        <f>SUMIFS(Raw_Payments!E:E,Raw_Payments!B:B,A517)</f>
        <v/>
      </c>
      <c r="J517" s="5">
        <f>H517-I517</f>
        <v/>
      </c>
      <c r="K517" s="3">
        <f>IF(J517&lt;=0.005,"PAID",IF(I517&gt;0,"PARTIAL","OVERDUE"))</f>
        <v/>
      </c>
      <c r="L517" s="4">
        <f>IF(COUNTIFS(Raw_Payments!B:B,A517)=0,"",SUMPRODUCT(MAX((Raw_Payments!B$2:B$1079=A517)*Raw_Payments!D$2:D$1079)))</f>
        <v/>
      </c>
      <c r="M517" s="3">
        <f>IF(K517="PAID",MAX(0,L517-G517),Guide!$B$3-G517)</f>
        <v/>
      </c>
      <c r="N517" s="3">
        <f>IF(J517&lt;=0.005,"COLLECTED",IF(M517&lt;=30,"1-30",IF(M517&lt;=60,"31-60",IF(M517&lt;=90,"61-90","90+"))))</f>
        <v/>
      </c>
      <c r="O517" s="3">
        <f>IF(N517="90+","LOST",IF(N517="61-90","ESCALATE",IF(N517="31-60","WATCH",IF(N517="1-30","MILD","OK"))))</f>
        <v/>
      </c>
      <c r="P517" s="3">
        <f>IF(J517&gt;0.005,ROW()-1,"")</f>
        <v/>
      </c>
    </row>
    <row r="518">
      <c r="A518" s="3" t="inlineStr">
        <is>
          <t>D0517</t>
        </is>
      </c>
      <c r="B518" s="3">
        <f>INDEX(Raw_Schedule!B:B,MATCH(A518,Raw_Schedule!A:A,0))</f>
        <v/>
      </c>
      <c r="C518" s="3">
        <f>INDEX(Raw_Schedule!C:C,MATCH(A518,Raw_Schedule!A:A,0))</f>
        <v/>
      </c>
      <c r="D518" s="3">
        <f>INDEX(Raw_Schedule!D:D,MATCH(A518,Raw_Schedule!A:A,0))</f>
        <v/>
      </c>
      <c r="E518" s="3">
        <f>INDEX(Raw_Schedule!E:E,MATCH(A518,Raw_Schedule!A:A,0))</f>
        <v/>
      </c>
      <c r="F518" s="3">
        <f>INDEX(Raw_Schedule!F:F,MATCH(A518,Raw_Schedule!A:A,0))</f>
        <v/>
      </c>
      <c r="G518" s="4">
        <f>INDEX(Raw_Schedule!G:G,MATCH(A518,Raw_Schedule!A:A,0))</f>
        <v/>
      </c>
      <c r="H518" s="5">
        <f>INDEX(Raw_Schedule!H:H,MATCH(A518,Raw_Schedule!A:A,0))</f>
        <v/>
      </c>
      <c r="I518" s="5">
        <f>SUMIFS(Raw_Payments!E:E,Raw_Payments!B:B,A518)</f>
        <v/>
      </c>
      <c r="J518" s="5">
        <f>H518-I518</f>
        <v/>
      </c>
      <c r="K518" s="3">
        <f>IF(J518&lt;=0.005,"PAID",IF(I518&gt;0,"PARTIAL","OVERDUE"))</f>
        <v/>
      </c>
      <c r="L518" s="4">
        <f>IF(COUNTIFS(Raw_Payments!B:B,A518)=0,"",SUMPRODUCT(MAX((Raw_Payments!B$2:B$1079=A518)*Raw_Payments!D$2:D$1079)))</f>
        <v/>
      </c>
      <c r="M518" s="3">
        <f>IF(K518="PAID",MAX(0,L518-G518),Guide!$B$3-G518)</f>
        <v/>
      </c>
      <c r="N518" s="3">
        <f>IF(J518&lt;=0.005,"COLLECTED",IF(M518&lt;=30,"1-30",IF(M518&lt;=60,"31-60",IF(M518&lt;=90,"61-90","90+"))))</f>
        <v/>
      </c>
      <c r="O518" s="3">
        <f>IF(N518="90+","LOST",IF(N518="61-90","ESCALATE",IF(N518="31-60","WATCH",IF(N518="1-30","MILD","OK"))))</f>
        <v/>
      </c>
      <c r="P518" s="3">
        <f>IF(J518&gt;0.005,ROW()-1,"")</f>
        <v/>
      </c>
    </row>
    <row r="519">
      <c r="A519" s="3" t="inlineStr">
        <is>
          <t>D0518</t>
        </is>
      </c>
      <c r="B519" s="3">
        <f>INDEX(Raw_Schedule!B:B,MATCH(A519,Raw_Schedule!A:A,0))</f>
        <v/>
      </c>
      <c r="C519" s="3">
        <f>INDEX(Raw_Schedule!C:C,MATCH(A519,Raw_Schedule!A:A,0))</f>
        <v/>
      </c>
      <c r="D519" s="3">
        <f>INDEX(Raw_Schedule!D:D,MATCH(A519,Raw_Schedule!A:A,0))</f>
        <v/>
      </c>
      <c r="E519" s="3">
        <f>INDEX(Raw_Schedule!E:E,MATCH(A519,Raw_Schedule!A:A,0))</f>
        <v/>
      </c>
      <c r="F519" s="3">
        <f>INDEX(Raw_Schedule!F:F,MATCH(A519,Raw_Schedule!A:A,0))</f>
        <v/>
      </c>
      <c r="G519" s="4">
        <f>INDEX(Raw_Schedule!G:G,MATCH(A519,Raw_Schedule!A:A,0))</f>
        <v/>
      </c>
      <c r="H519" s="5">
        <f>INDEX(Raw_Schedule!H:H,MATCH(A519,Raw_Schedule!A:A,0))</f>
        <v/>
      </c>
      <c r="I519" s="5">
        <f>SUMIFS(Raw_Payments!E:E,Raw_Payments!B:B,A519)</f>
        <v/>
      </c>
      <c r="J519" s="5">
        <f>H519-I519</f>
        <v/>
      </c>
      <c r="K519" s="3">
        <f>IF(J519&lt;=0.005,"PAID",IF(I519&gt;0,"PARTIAL","OVERDUE"))</f>
        <v/>
      </c>
      <c r="L519" s="4">
        <f>IF(COUNTIFS(Raw_Payments!B:B,A519)=0,"",SUMPRODUCT(MAX((Raw_Payments!B$2:B$1079=A519)*Raw_Payments!D$2:D$1079)))</f>
        <v/>
      </c>
      <c r="M519" s="3">
        <f>IF(K519="PAID",MAX(0,L519-G519),Guide!$B$3-G519)</f>
        <v/>
      </c>
      <c r="N519" s="3">
        <f>IF(J519&lt;=0.005,"COLLECTED",IF(M519&lt;=30,"1-30",IF(M519&lt;=60,"31-60",IF(M519&lt;=90,"61-90","90+"))))</f>
        <v/>
      </c>
      <c r="O519" s="3">
        <f>IF(N519="90+","LOST",IF(N519="61-90","ESCALATE",IF(N519="31-60","WATCH",IF(N519="1-30","MILD","OK"))))</f>
        <v/>
      </c>
      <c r="P519" s="3">
        <f>IF(J519&gt;0.005,ROW()-1,"")</f>
        <v/>
      </c>
    </row>
    <row r="520">
      <c r="A520" s="3" t="inlineStr">
        <is>
          <t>D0519</t>
        </is>
      </c>
      <c r="B520" s="3">
        <f>INDEX(Raw_Schedule!B:B,MATCH(A520,Raw_Schedule!A:A,0))</f>
        <v/>
      </c>
      <c r="C520" s="3">
        <f>INDEX(Raw_Schedule!C:C,MATCH(A520,Raw_Schedule!A:A,0))</f>
        <v/>
      </c>
      <c r="D520" s="3">
        <f>INDEX(Raw_Schedule!D:D,MATCH(A520,Raw_Schedule!A:A,0))</f>
        <v/>
      </c>
      <c r="E520" s="3">
        <f>INDEX(Raw_Schedule!E:E,MATCH(A520,Raw_Schedule!A:A,0))</f>
        <v/>
      </c>
      <c r="F520" s="3">
        <f>INDEX(Raw_Schedule!F:F,MATCH(A520,Raw_Schedule!A:A,0))</f>
        <v/>
      </c>
      <c r="G520" s="4">
        <f>INDEX(Raw_Schedule!G:G,MATCH(A520,Raw_Schedule!A:A,0))</f>
        <v/>
      </c>
      <c r="H520" s="5">
        <f>INDEX(Raw_Schedule!H:H,MATCH(A520,Raw_Schedule!A:A,0))</f>
        <v/>
      </c>
      <c r="I520" s="5">
        <f>SUMIFS(Raw_Payments!E:E,Raw_Payments!B:B,A520)</f>
        <v/>
      </c>
      <c r="J520" s="5">
        <f>H520-I520</f>
        <v/>
      </c>
      <c r="K520" s="3">
        <f>IF(J520&lt;=0.005,"PAID",IF(I520&gt;0,"PARTIAL","OVERDUE"))</f>
        <v/>
      </c>
      <c r="L520" s="4">
        <f>IF(COUNTIFS(Raw_Payments!B:B,A520)=0,"",SUMPRODUCT(MAX((Raw_Payments!B$2:B$1079=A520)*Raw_Payments!D$2:D$1079)))</f>
        <v/>
      </c>
      <c r="M520" s="3">
        <f>IF(K520="PAID",MAX(0,L520-G520),Guide!$B$3-G520)</f>
        <v/>
      </c>
      <c r="N520" s="3">
        <f>IF(J520&lt;=0.005,"COLLECTED",IF(M520&lt;=30,"1-30",IF(M520&lt;=60,"31-60",IF(M520&lt;=90,"61-90","90+"))))</f>
        <v/>
      </c>
      <c r="O520" s="3">
        <f>IF(N520="90+","LOST",IF(N520="61-90","ESCALATE",IF(N520="31-60","WATCH",IF(N520="1-30","MILD","OK"))))</f>
        <v/>
      </c>
      <c r="P520" s="3">
        <f>IF(J520&gt;0.005,ROW()-1,"")</f>
        <v/>
      </c>
    </row>
    <row r="521">
      <c r="A521" s="3" t="inlineStr">
        <is>
          <t>D0520</t>
        </is>
      </c>
      <c r="B521" s="3">
        <f>INDEX(Raw_Schedule!B:B,MATCH(A521,Raw_Schedule!A:A,0))</f>
        <v/>
      </c>
      <c r="C521" s="3">
        <f>INDEX(Raw_Schedule!C:C,MATCH(A521,Raw_Schedule!A:A,0))</f>
        <v/>
      </c>
      <c r="D521" s="3">
        <f>INDEX(Raw_Schedule!D:D,MATCH(A521,Raw_Schedule!A:A,0))</f>
        <v/>
      </c>
      <c r="E521" s="3">
        <f>INDEX(Raw_Schedule!E:E,MATCH(A521,Raw_Schedule!A:A,0))</f>
        <v/>
      </c>
      <c r="F521" s="3">
        <f>INDEX(Raw_Schedule!F:F,MATCH(A521,Raw_Schedule!A:A,0))</f>
        <v/>
      </c>
      <c r="G521" s="4">
        <f>INDEX(Raw_Schedule!G:G,MATCH(A521,Raw_Schedule!A:A,0))</f>
        <v/>
      </c>
      <c r="H521" s="5">
        <f>INDEX(Raw_Schedule!H:H,MATCH(A521,Raw_Schedule!A:A,0))</f>
        <v/>
      </c>
      <c r="I521" s="5">
        <f>SUMIFS(Raw_Payments!E:E,Raw_Payments!B:B,A521)</f>
        <v/>
      </c>
      <c r="J521" s="5">
        <f>H521-I521</f>
        <v/>
      </c>
      <c r="K521" s="3">
        <f>IF(J521&lt;=0.005,"PAID",IF(I521&gt;0,"PARTIAL","OVERDUE"))</f>
        <v/>
      </c>
      <c r="L521" s="4">
        <f>IF(COUNTIFS(Raw_Payments!B:B,A521)=0,"",SUMPRODUCT(MAX((Raw_Payments!B$2:B$1079=A521)*Raw_Payments!D$2:D$1079)))</f>
        <v/>
      </c>
      <c r="M521" s="3">
        <f>IF(K521="PAID",MAX(0,L521-G521),Guide!$B$3-G521)</f>
        <v/>
      </c>
      <c r="N521" s="3">
        <f>IF(J521&lt;=0.005,"COLLECTED",IF(M521&lt;=30,"1-30",IF(M521&lt;=60,"31-60",IF(M521&lt;=90,"61-90","90+"))))</f>
        <v/>
      </c>
      <c r="O521" s="3">
        <f>IF(N521="90+","LOST",IF(N521="61-90","ESCALATE",IF(N521="31-60","WATCH",IF(N521="1-30","MILD","OK"))))</f>
        <v/>
      </c>
      <c r="P521" s="3">
        <f>IF(J521&gt;0.005,ROW()-1,"")</f>
        <v/>
      </c>
    </row>
    <row r="522">
      <c r="A522" s="3" t="inlineStr">
        <is>
          <t>D0521</t>
        </is>
      </c>
      <c r="B522" s="3">
        <f>INDEX(Raw_Schedule!B:B,MATCH(A522,Raw_Schedule!A:A,0))</f>
        <v/>
      </c>
      <c r="C522" s="3">
        <f>INDEX(Raw_Schedule!C:C,MATCH(A522,Raw_Schedule!A:A,0))</f>
        <v/>
      </c>
      <c r="D522" s="3">
        <f>INDEX(Raw_Schedule!D:D,MATCH(A522,Raw_Schedule!A:A,0))</f>
        <v/>
      </c>
      <c r="E522" s="3">
        <f>INDEX(Raw_Schedule!E:E,MATCH(A522,Raw_Schedule!A:A,0))</f>
        <v/>
      </c>
      <c r="F522" s="3">
        <f>INDEX(Raw_Schedule!F:F,MATCH(A522,Raw_Schedule!A:A,0))</f>
        <v/>
      </c>
      <c r="G522" s="4">
        <f>INDEX(Raw_Schedule!G:G,MATCH(A522,Raw_Schedule!A:A,0))</f>
        <v/>
      </c>
      <c r="H522" s="5">
        <f>INDEX(Raw_Schedule!H:H,MATCH(A522,Raw_Schedule!A:A,0))</f>
        <v/>
      </c>
      <c r="I522" s="5">
        <f>SUMIFS(Raw_Payments!E:E,Raw_Payments!B:B,A522)</f>
        <v/>
      </c>
      <c r="J522" s="5">
        <f>H522-I522</f>
        <v/>
      </c>
      <c r="K522" s="3">
        <f>IF(J522&lt;=0.005,"PAID",IF(I522&gt;0,"PARTIAL","OVERDUE"))</f>
        <v/>
      </c>
      <c r="L522" s="4">
        <f>IF(COUNTIFS(Raw_Payments!B:B,A522)=0,"",SUMPRODUCT(MAX((Raw_Payments!B$2:B$1079=A522)*Raw_Payments!D$2:D$1079)))</f>
        <v/>
      </c>
      <c r="M522" s="3">
        <f>IF(K522="PAID",MAX(0,L522-G522),Guide!$B$3-G522)</f>
        <v/>
      </c>
      <c r="N522" s="3">
        <f>IF(J522&lt;=0.005,"COLLECTED",IF(M522&lt;=30,"1-30",IF(M522&lt;=60,"31-60",IF(M522&lt;=90,"61-90","90+"))))</f>
        <v/>
      </c>
      <c r="O522" s="3">
        <f>IF(N522="90+","LOST",IF(N522="61-90","ESCALATE",IF(N522="31-60","WATCH",IF(N522="1-30","MILD","OK"))))</f>
        <v/>
      </c>
      <c r="P522" s="3">
        <f>IF(J522&gt;0.005,ROW()-1,"")</f>
        <v/>
      </c>
    </row>
    <row r="523">
      <c r="A523" s="3" t="inlineStr">
        <is>
          <t>D0522</t>
        </is>
      </c>
      <c r="B523" s="3">
        <f>INDEX(Raw_Schedule!B:B,MATCH(A523,Raw_Schedule!A:A,0))</f>
        <v/>
      </c>
      <c r="C523" s="3">
        <f>INDEX(Raw_Schedule!C:C,MATCH(A523,Raw_Schedule!A:A,0))</f>
        <v/>
      </c>
      <c r="D523" s="3">
        <f>INDEX(Raw_Schedule!D:D,MATCH(A523,Raw_Schedule!A:A,0))</f>
        <v/>
      </c>
      <c r="E523" s="3">
        <f>INDEX(Raw_Schedule!E:E,MATCH(A523,Raw_Schedule!A:A,0))</f>
        <v/>
      </c>
      <c r="F523" s="3">
        <f>INDEX(Raw_Schedule!F:F,MATCH(A523,Raw_Schedule!A:A,0))</f>
        <v/>
      </c>
      <c r="G523" s="4">
        <f>INDEX(Raw_Schedule!G:G,MATCH(A523,Raw_Schedule!A:A,0))</f>
        <v/>
      </c>
      <c r="H523" s="5">
        <f>INDEX(Raw_Schedule!H:H,MATCH(A523,Raw_Schedule!A:A,0))</f>
        <v/>
      </c>
      <c r="I523" s="5">
        <f>SUMIFS(Raw_Payments!E:E,Raw_Payments!B:B,A523)</f>
        <v/>
      </c>
      <c r="J523" s="5">
        <f>H523-I523</f>
        <v/>
      </c>
      <c r="K523" s="3">
        <f>IF(J523&lt;=0.005,"PAID",IF(I523&gt;0,"PARTIAL","OVERDUE"))</f>
        <v/>
      </c>
      <c r="L523" s="4">
        <f>IF(COUNTIFS(Raw_Payments!B:B,A523)=0,"",SUMPRODUCT(MAX((Raw_Payments!B$2:B$1079=A523)*Raw_Payments!D$2:D$1079)))</f>
        <v/>
      </c>
      <c r="M523" s="3">
        <f>IF(K523="PAID",MAX(0,L523-G523),Guide!$B$3-G523)</f>
        <v/>
      </c>
      <c r="N523" s="3">
        <f>IF(J523&lt;=0.005,"COLLECTED",IF(M523&lt;=30,"1-30",IF(M523&lt;=60,"31-60",IF(M523&lt;=90,"61-90","90+"))))</f>
        <v/>
      </c>
      <c r="O523" s="3">
        <f>IF(N523="90+","LOST",IF(N523="61-90","ESCALATE",IF(N523="31-60","WATCH",IF(N523="1-30","MILD","OK"))))</f>
        <v/>
      </c>
      <c r="P523" s="3">
        <f>IF(J523&gt;0.005,ROW()-1,"")</f>
        <v/>
      </c>
    </row>
    <row r="524">
      <c r="A524" s="3" t="inlineStr">
        <is>
          <t>D0523</t>
        </is>
      </c>
      <c r="B524" s="3">
        <f>INDEX(Raw_Schedule!B:B,MATCH(A524,Raw_Schedule!A:A,0))</f>
        <v/>
      </c>
      <c r="C524" s="3">
        <f>INDEX(Raw_Schedule!C:C,MATCH(A524,Raw_Schedule!A:A,0))</f>
        <v/>
      </c>
      <c r="D524" s="3">
        <f>INDEX(Raw_Schedule!D:D,MATCH(A524,Raw_Schedule!A:A,0))</f>
        <v/>
      </c>
      <c r="E524" s="3">
        <f>INDEX(Raw_Schedule!E:E,MATCH(A524,Raw_Schedule!A:A,0))</f>
        <v/>
      </c>
      <c r="F524" s="3">
        <f>INDEX(Raw_Schedule!F:F,MATCH(A524,Raw_Schedule!A:A,0))</f>
        <v/>
      </c>
      <c r="G524" s="4">
        <f>INDEX(Raw_Schedule!G:G,MATCH(A524,Raw_Schedule!A:A,0))</f>
        <v/>
      </c>
      <c r="H524" s="5">
        <f>INDEX(Raw_Schedule!H:H,MATCH(A524,Raw_Schedule!A:A,0))</f>
        <v/>
      </c>
      <c r="I524" s="5">
        <f>SUMIFS(Raw_Payments!E:E,Raw_Payments!B:B,A524)</f>
        <v/>
      </c>
      <c r="J524" s="5">
        <f>H524-I524</f>
        <v/>
      </c>
      <c r="K524" s="3">
        <f>IF(J524&lt;=0.005,"PAID",IF(I524&gt;0,"PARTIAL","OVERDUE"))</f>
        <v/>
      </c>
      <c r="L524" s="4">
        <f>IF(COUNTIFS(Raw_Payments!B:B,A524)=0,"",SUMPRODUCT(MAX((Raw_Payments!B$2:B$1079=A524)*Raw_Payments!D$2:D$1079)))</f>
        <v/>
      </c>
      <c r="M524" s="3">
        <f>IF(K524="PAID",MAX(0,L524-G524),Guide!$B$3-G524)</f>
        <v/>
      </c>
      <c r="N524" s="3">
        <f>IF(J524&lt;=0.005,"COLLECTED",IF(M524&lt;=30,"1-30",IF(M524&lt;=60,"31-60",IF(M524&lt;=90,"61-90","90+"))))</f>
        <v/>
      </c>
      <c r="O524" s="3">
        <f>IF(N524="90+","LOST",IF(N524="61-90","ESCALATE",IF(N524="31-60","WATCH",IF(N524="1-30","MILD","OK"))))</f>
        <v/>
      </c>
      <c r="P524" s="3">
        <f>IF(J524&gt;0.005,ROW()-1,"")</f>
        <v/>
      </c>
    </row>
    <row r="525">
      <c r="A525" s="3" t="inlineStr">
        <is>
          <t>D0524</t>
        </is>
      </c>
      <c r="B525" s="3">
        <f>INDEX(Raw_Schedule!B:B,MATCH(A525,Raw_Schedule!A:A,0))</f>
        <v/>
      </c>
      <c r="C525" s="3">
        <f>INDEX(Raw_Schedule!C:C,MATCH(A525,Raw_Schedule!A:A,0))</f>
        <v/>
      </c>
      <c r="D525" s="3">
        <f>INDEX(Raw_Schedule!D:D,MATCH(A525,Raw_Schedule!A:A,0))</f>
        <v/>
      </c>
      <c r="E525" s="3">
        <f>INDEX(Raw_Schedule!E:E,MATCH(A525,Raw_Schedule!A:A,0))</f>
        <v/>
      </c>
      <c r="F525" s="3">
        <f>INDEX(Raw_Schedule!F:F,MATCH(A525,Raw_Schedule!A:A,0))</f>
        <v/>
      </c>
      <c r="G525" s="4">
        <f>INDEX(Raw_Schedule!G:G,MATCH(A525,Raw_Schedule!A:A,0))</f>
        <v/>
      </c>
      <c r="H525" s="5">
        <f>INDEX(Raw_Schedule!H:H,MATCH(A525,Raw_Schedule!A:A,0))</f>
        <v/>
      </c>
      <c r="I525" s="5">
        <f>SUMIFS(Raw_Payments!E:E,Raw_Payments!B:B,A525)</f>
        <v/>
      </c>
      <c r="J525" s="5">
        <f>H525-I525</f>
        <v/>
      </c>
      <c r="K525" s="3">
        <f>IF(J525&lt;=0.005,"PAID",IF(I525&gt;0,"PARTIAL","OVERDUE"))</f>
        <v/>
      </c>
      <c r="L525" s="4">
        <f>IF(COUNTIFS(Raw_Payments!B:B,A525)=0,"",SUMPRODUCT(MAX((Raw_Payments!B$2:B$1079=A525)*Raw_Payments!D$2:D$1079)))</f>
        <v/>
      </c>
      <c r="M525" s="3">
        <f>IF(K525="PAID",MAX(0,L525-G525),Guide!$B$3-G525)</f>
        <v/>
      </c>
      <c r="N525" s="3">
        <f>IF(J525&lt;=0.005,"COLLECTED",IF(M525&lt;=30,"1-30",IF(M525&lt;=60,"31-60",IF(M525&lt;=90,"61-90","90+"))))</f>
        <v/>
      </c>
      <c r="O525" s="3">
        <f>IF(N525="90+","LOST",IF(N525="61-90","ESCALATE",IF(N525="31-60","WATCH",IF(N525="1-30","MILD","OK"))))</f>
        <v/>
      </c>
      <c r="P525" s="3">
        <f>IF(J525&gt;0.005,ROW()-1,"")</f>
        <v/>
      </c>
    </row>
    <row r="526">
      <c r="A526" s="3" t="inlineStr">
        <is>
          <t>D0525</t>
        </is>
      </c>
      <c r="B526" s="3">
        <f>INDEX(Raw_Schedule!B:B,MATCH(A526,Raw_Schedule!A:A,0))</f>
        <v/>
      </c>
      <c r="C526" s="3">
        <f>INDEX(Raw_Schedule!C:C,MATCH(A526,Raw_Schedule!A:A,0))</f>
        <v/>
      </c>
      <c r="D526" s="3">
        <f>INDEX(Raw_Schedule!D:D,MATCH(A526,Raw_Schedule!A:A,0))</f>
        <v/>
      </c>
      <c r="E526" s="3">
        <f>INDEX(Raw_Schedule!E:E,MATCH(A526,Raw_Schedule!A:A,0))</f>
        <v/>
      </c>
      <c r="F526" s="3">
        <f>INDEX(Raw_Schedule!F:F,MATCH(A526,Raw_Schedule!A:A,0))</f>
        <v/>
      </c>
      <c r="G526" s="4">
        <f>INDEX(Raw_Schedule!G:G,MATCH(A526,Raw_Schedule!A:A,0))</f>
        <v/>
      </c>
      <c r="H526" s="5">
        <f>INDEX(Raw_Schedule!H:H,MATCH(A526,Raw_Schedule!A:A,0))</f>
        <v/>
      </c>
      <c r="I526" s="5">
        <f>SUMIFS(Raw_Payments!E:E,Raw_Payments!B:B,A526)</f>
        <v/>
      </c>
      <c r="J526" s="5">
        <f>H526-I526</f>
        <v/>
      </c>
      <c r="K526" s="3">
        <f>IF(J526&lt;=0.005,"PAID",IF(I526&gt;0,"PARTIAL","OVERDUE"))</f>
        <v/>
      </c>
      <c r="L526" s="4">
        <f>IF(COUNTIFS(Raw_Payments!B:B,A526)=0,"",SUMPRODUCT(MAX((Raw_Payments!B$2:B$1079=A526)*Raw_Payments!D$2:D$1079)))</f>
        <v/>
      </c>
      <c r="M526" s="3">
        <f>IF(K526="PAID",MAX(0,L526-G526),Guide!$B$3-G526)</f>
        <v/>
      </c>
      <c r="N526" s="3">
        <f>IF(J526&lt;=0.005,"COLLECTED",IF(M526&lt;=30,"1-30",IF(M526&lt;=60,"31-60",IF(M526&lt;=90,"61-90","90+"))))</f>
        <v/>
      </c>
      <c r="O526" s="3">
        <f>IF(N526="90+","LOST",IF(N526="61-90","ESCALATE",IF(N526="31-60","WATCH",IF(N526="1-30","MILD","OK"))))</f>
        <v/>
      </c>
      <c r="P526" s="3">
        <f>IF(J526&gt;0.005,ROW()-1,"")</f>
        <v/>
      </c>
    </row>
    <row r="527">
      <c r="A527" s="3" t="inlineStr">
        <is>
          <t>D0526</t>
        </is>
      </c>
      <c r="B527" s="3">
        <f>INDEX(Raw_Schedule!B:B,MATCH(A527,Raw_Schedule!A:A,0))</f>
        <v/>
      </c>
      <c r="C527" s="3">
        <f>INDEX(Raw_Schedule!C:C,MATCH(A527,Raw_Schedule!A:A,0))</f>
        <v/>
      </c>
      <c r="D527" s="3">
        <f>INDEX(Raw_Schedule!D:D,MATCH(A527,Raw_Schedule!A:A,0))</f>
        <v/>
      </c>
      <c r="E527" s="3">
        <f>INDEX(Raw_Schedule!E:E,MATCH(A527,Raw_Schedule!A:A,0))</f>
        <v/>
      </c>
      <c r="F527" s="3">
        <f>INDEX(Raw_Schedule!F:F,MATCH(A527,Raw_Schedule!A:A,0))</f>
        <v/>
      </c>
      <c r="G527" s="4">
        <f>INDEX(Raw_Schedule!G:G,MATCH(A527,Raw_Schedule!A:A,0))</f>
        <v/>
      </c>
      <c r="H527" s="5">
        <f>INDEX(Raw_Schedule!H:H,MATCH(A527,Raw_Schedule!A:A,0))</f>
        <v/>
      </c>
      <c r="I527" s="5">
        <f>SUMIFS(Raw_Payments!E:E,Raw_Payments!B:B,A527)</f>
        <v/>
      </c>
      <c r="J527" s="5">
        <f>H527-I527</f>
        <v/>
      </c>
      <c r="K527" s="3">
        <f>IF(J527&lt;=0.005,"PAID",IF(I527&gt;0,"PARTIAL","OVERDUE"))</f>
        <v/>
      </c>
      <c r="L527" s="4">
        <f>IF(COUNTIFS(Raw_Payments!B:B,A527)=0,"",SUMPRODUCT(MAX((Raw_Payments!B$2:B$1079=A527)*Raw_Payments!D$2:D$1079)))</f>
        <v/>
      </c>
      <c r="M527" s="3">
        <f>IF(K527="PAID",MAX(0,L527-G527),Guide!$B$3-G527)</f>
        <v/>
      </c>
      <c r="N527" s="3">
        <f>IF(J527&lt;=0.005,"COLLECTED",IF(M527&lt;=30,"1-30",IF(M527&lt;=60,"31-60",IF(M527&lt;=90,"61-90","90+"))))</f>
        <v/>
      </c>
      <c r="O527" s="3">
        <f>IF(N527="90+","LOST",IF(N527="61-90","ESCALATE",IF(N527="31-60","WATCH",IF(N527="1-30","MILD","OK"))))</f>
        <v/>
      </c>
      <c r="P527" s="3">
        <f>IF(J527&gt;0.005,ROW()-1,"")</f>
        <v/>
      </c>
    </row>
    <row r="528">
      <c r="A528" s="3" t="inlineStr">
        <is>
          <t>D0527</t>
        </is>
      </c>
      <c r="B528" s="3">
        <f>INDEX(Raw_Schedule!B:B,MATCH(A528,Raw_Schedule!A:A,0))</f>
        <v/>
      </c>
      <c r="C528" s="3">
        <f>INDEX(Raw_Schedule!C:C,MATCH(A528,Raw_Schedule!A:A,0))</f>
        <v/>
      </c>
      <c r="D528" s="3">
        <f>INDEX(Raw_Schedule!D:D,MATCH(A528,Raw_Schedule!A:A,0))</f>
        <v/>
      </c>
      <c r="E528" s="3">
        <f>INDEX(Raw_Schedule!E:E,MATCH(A528,Raw_Schedule!A:A,0))</f>
        <v/>
      </c>
      <c r="F528" s="3">
        <f>INDEX(Raw_Schedule!F:F,MATCH(A528,Raw_Schedule!A:A,0))</f>
        <v/>
      </c>
      <c r="G528" s="4">
        <f>INDEX(Raw_Schedule!G:G,MATCH(A528,Raw_Schedule!A:A,0))</f>
        <v/>
      </c>
      <c r="H528" s="5">
        <f>INDEX(Raw_Schedule!H:H,MATCH(A528,Raw_Schedule!A:A,0))</f>
        <v/>
      </c>
      <c r="I528" s="5">
        <f>SUMIFS(Raw_Payments!E:E,Raw_Payments!B:B,A528)</f>
        <v/>
      </c>
      <c r="J528" s="5">
        <f>H528-I528</f>
        <v/>
      </c>
      <c r="K528" s="3">
        <f>IF(J528&lt;=0.005,"PAID",IF(I528&gt;0,"PARTIAL","OVERDUE"))</f>
        <v/>
      </c>
      <c r="L528" s="4">
        <f>IF(COUNTIFS(Raw_Payments!B:B,A528)=0,"",SUMPRODUCT(MAX((Raw_Payments!B$2:B$1079=A528)*Raw_Payments!D$2:D$1079)))</f>
        <v/>
      </c>
      <c r="M528" s="3">
        <f>IF(K528="PAID",MAX(0,L528-G528),Guide!$B$3-G528)</f>
        <v/>
      </c>
      <c r="N528" s="3">
        <f>IF(J528&lt;=0.005,"COLLECTED",IF(M528&lt;=30,"1-30",IF(M528&lt;=60,"31-60",IF(M528&lt;=90,"61-90","90+"))))</f>
        <v/>
      </c>
      <c r="O528" s="3">
        <f>IF(N528="90+","LOST",IF(N528="61-90","ESCALATE",IF(N528="31-60","WATCH",IF(N528="1-30","MILD","OK"))))</f>
        <v/>
      </c>
      <c r="P528" s="3">
        <f>IF(J528&gt;0.005,ROW()-1,"")</f>
        <v/>
      </c>
    </row>
    <row r="529">
      <c r="A529" s="3" t="inlineStr">
        <is>
          <t>D0528</t>
        </is>
      </c>
      <c r="B529" s="3">
        <f>INDEX(Raw_Schedule!B:B,MATCH(A529,Raw_Schedule!A:A,0))</f>
        <v/>
      </c>
      <c r="C529" s="3">
        <f>INDEX(Raw_Schedule!C:C,MATCH(A529,Raw_Schedule!A:A,0))</f>
        <v/>
      </c>
      <c r="D529" s="3">
        <f>INDEX(Raw_Schedule!D:D,MATCH(A529,Raw_Schedule!A:A,0))</f>
        <v/>
      </c>
      <c r="E529" s="3">
        <f>INDEX(Raw_Schedule!E:E,MATCH(A529,Raw_Schedule!A:A,0))</f>
        <v/>
      </c>
      <c r="F529" s="3">
        <f>INDEX(Raw_Schedule!F:F,MATCH(A529,Raw_Schedule!A:A,0))</f>
        <v/>
      </c>
      <c r="G529" s="4">
        <f>INDEX(Raw_Schedule!G:G,MATCH(A529,Raw_Schedule!A:A,0))</f>
        <v/>
      </c>
      <c r="H529" s="5">
        <f>INDEX(Raw_Schedule!H:H,MATCH(A529,Raw_Schedule!A:A,0))</f>
        <v/>
      </c>
      <c r="I529" s="5">
        <f>SUMIFS(Raw_Payments!E:E,Raw_Payments!B:B,A529)</f>
        <v/>
      </c>
      <c r="J529" s="5">
        <f>H529-I529</f>
        <v/>
      </c>
      <c r="K529" s="3">
        <f>IF(J529&lt;=0.005,"PAID",IF(I529&gt;0,"PARTIAL","OVERDUE"))</f>
        <v/>
      </c>
      <c r="L529" s="4">
        <f>IF(COUNTIFS(Raw_Payments!B:B,A529)=0,"",SUMPRODUCT(MAX((Raw_Payments!B$2:B$1079=A529)*Raw_Payments!D$2:D$1079)))</f>
        <v/>
      </c>
      <c r="M529" s="3">
        <f>IF(K529="PAID",MAX(0,L529-G529),Guide!$B$3-G529)</f>
        <v/>
      </c>
      <c r="N529" s="3">
        <f>IF(J529&lt;=0.005,"COLLECTED",IF(M529&lt;=30,"1-30",IF(M529&lt;=60,"31-60",IF(M529&lt;=90,"61-90","90+"))))</f>
        <v/>
      </c>
      <c r="O529" s="3">
        <f>IF(N529="90+","LOST",IF(N529="61-90","ESCALATE",IF(N529="31-60","WATCH",IF(N529="1-30","MILD","OK"))))</f>
        <v/>
      </c>
      <c r="P529" s="3">
        <f>IF(J529&gt;0.005,ROW()-1,"")</f>
        <v/>
      </c>
    </row>
    <row r="530">
      <c r="A530" s="3" t="inlineStr">
        <is>
          <t>D0529</t>
        </is>
      </c>
      <c r="B530" s="3">
        <f>INDEX(Raw_Schedule!B:B,MATCH(A530,Raw_Schedule!A:A,0))</f>
        <v/>
      </c>
      <c r="C530" s="3">
        <f>INDEX(Raw_Schedule!C:C,MATCH(A530,Raw_Schedule!A:A,0))</f>
        <v/>
      </c>
      <c r="D530" s="3">
        <f>INDEX(Raw_Schedule!D:D,MATCH(A530,Raw_Schedule!A:A,0))</f>
        <v/>
      </c>
      <c r="E530" s="3">
        <f>INDEX(Raw_Schedule!E:E,MATCH(A530,Raw_Schedule!A:A,0))</f>
        <v/>
      </c>
      <c r="F530" s="3">
        <f>INDEX(Raw_Schedule!F:F,MATCH(A530,Raw_Schedule!A:A,0))</f>
        <v/>
      </c>
      <c r="G530" s="4">
        <f>INDEX(Raw_Schedule!G:G,MATCH(A530,Raw_Schedule!A:A,0))</f>
        <v/>
      </c>
      <c r="H530" s="5">
        <f>INDEX(Raw_Schedule!H:H,MATCH(A530,Raw_Schedule!A:A,0))</f>
        <v/>
      </c>
      <c r="I530" s="5">
        <f>SUMIFS(Raw_Payments!E:E,Raw_Payments!B:B,A530)</f>
        <v/>
      </c>
      <c r="J530" s="5">
        <f>H530-I530</f>
        <v/>
      </c>
      <c r="K530" s="3">
        <f>IF(J530&lt;=0.005,"PAID",IF(I530&gt;0,"PARTIAL","OVERDUE"))</f>
        <v/>
      </c>
      <c r="L530" s="4">
        <f>IF(COUNTIFS(Raw_Payments!B:B,A530)=0,"",SUMPRODUCT(MAX((Raw_Payments!B$2:B$1079=A530)*Raw_Payments!D$2:D$1079)))</f>
        <v/>
      </c>
      <c r="M530" s="3">
        <f>IF(K530="PAID",MAX(0,L530-G530),Guide!$B$3-G530)</f>
        <v/>
      </c>
      <c r="N530" s="3">
        <f>IF(J530&lt;=0.005,"COLLECTED",IF(M530&lt;=30,"1-30",IF(M530&lt;=60,"31-60",IF(M530&lt;=90,"61-90","90+"))))</f>
        <v/>
      </c>
      <c r="O530" s="3">
        <f>IF(N530="90+","LOST",IF(N530="61-90","ESCALATE",IF(N530="31-60","WATCH",IF(N530="1-30","MILD","OK"))))</f>
        <v/>
      </c>
      <c r="P530" s="3">
        <f>IF(J530&gt;0.005,ROW()-1,"")</f>
        <v/>
      </c>
    </row>
    <row r="531">
      <c r="A531" s="3" t="inlineStr">
        <is>
          <t>D0530</t>
        </is>
      </c>
      <c r="B531" s="3">
        <f>INDEX(Raw_Schedule!B:B,MATCH(A531,Raw_Schedule!A:A,0))</f>
        <v/>
      </c>
      <c r="C531" s="3">
        <f>INDEX(Raw_Schedule!C:C,MATCH(A531,Raw_Schedule!A:A,0))</f>
        <v/>
      </c>
      <c r="D531" s="3">
        <f>INDEX(Raw_Schedule!D:D,MATCH(A531,Raw_Schedule!A:A,0))</f>
        <v/>
      </c>
      <c r="E531" s="3">
        <f>INDEX(Raw_Schedule!E:E,MATCH(A531,Raw_Schedule!A:A,0))</f>
        <v/>
      </c>
      <c r="F531" s="3">
        <f>INDEX(Raw_Schedule!F:F,MATCH(A531,Raw_Schedule!A:A,0))</f>
        <v/>
      </c>
      <c r="G531" s="4">
        <f>INDEX(Raw_Schedule!G:G,MATCH(A531,Raw_Schedule!A:A,0))</f>
        <v/>
      </c>
      <c r="H531" s="5">
        <f>INDEX(Raw_Schedule!H:H,MATCH(A531,Raw_Schedule!A:A,0))</f>
        <v/>
      </c>
      <c r="I531" s="5">
        <f>SUMIFS(Raw_Payments!E:E,Raw_Payments!B:B,A531)</f>
        <v/>
      </c>
      <c r="J531" s="5">
        <f>H531-I531</f>
        <v/>
      </c>
      <c r="K531" s="3">
        <f>IF(J531&lt;=0.005,"PAID",IF(I531&gt;0,"PARTIAL","OVERDUE"))</f>
        <v/>
      </c>
      <c r="L531" s="4">
        <f>IF(COUNTIFS(Raw_Payments!B:B,A531)=0,"",SUMPRODUCT(MAX((Raw_Payments!B$2:B$1079=A531)*Raw_Payments!D$2:D$1079)))</f>
        <v/>
      </c>
      <c r="M531" s="3">
        <f>IF(K531="PAID",MAX(0,L531-G531),Guide!$B$3-G531)</f>
        <v/>
      </c>
      <c r="N531" s="3">
        <f>IF(J531&lt;=0.005,"COLLECTED",IF(M531&lt;=30,"1-30",IF(M531&lt;=60,"31-60",IF(M531&lt;=90,"61-90","90+"))))</f>
        <v/>
      </c>
      <c r="O531" s="3">
        <f>IF(N531="90+","LOST",IF(N531="61-90","ESCALATE",IF(N531="31-60","WATCH",IF(N531="1-30","MILD","OK"))))</f>
        <v/>
      </c>
      <c r="P531" s="3">
        <f>IF(J531&gt;0.005,ROW()-1,"")</f>
        <v/>
      </c>
    </row>
    <row r="532">
      <c r="A532" s="3" t="inlineStr">
        <is>
          <t>D0531</t>
        </is>
      </c>
      <c r="B532" s="3">
        <f>INDEX(Raw_Schedule!B:B,MATCH(A532,Raw_Schedule!A:A,0))</f>
        <v/>
      </c>
      <c r="C532" s="3">
        <f>INDEX(Raw_Schedule!C:C,MATCH(A532,Raw_Schedule!A:A,0))</f>
        <v/>
      </c>
      <c r="D532" s="3">
        <f>INDEX(Raw_Schedule!D:D,MATCH(A532,Raw_Schedule!A:A,0))</f>
        <v/>
      </c>
      <c r="E532" s="3">
        <f>INDEX(Raw_Schedule!E:E,MATCH(A532,Raw_Schedule!A:A,0))</f>
        <v/>
      </c>
      <c r="F532" s="3">
        <f>INDEX(Raw_Schedule!F:F,MATCH(A532,Raw_Schedule!A:A,0))</f>
        <v/>
      </c>
      <c r="G532" s="4">
        <f>INDEX(Raw_Schedule!G:G,MATCH(A532,Raw_Schedule!A:A,0))</f>
        <v/>
      </c>
      <c r="H532" s="5">
        <f>INDEX(Raw_Schedule!H:H,MATCH(A532,Raw_Schedule!A:A,0))</f>
        <v/>
      </c>
      <c r="I532" s="5">
        <f>SUMIFS(Raw_Payments!E:E,Raw_Payments!B:B,A532)</f>
        <v/>
      </c>
      <c r="J532" s="5">
        <f>H532-I532</f>
        <v/>
      </c>
      <c r="K532" s="3">
        <f>IF(J532&lt;=0.005,"PAID",IF(I532&gt;0,"PARTIAL","OVERDUE"))</f>
        <v/>
      </c>
      <c r="L532" s="4">
        <f>IF(COUNTIFS(Raw_Payments!B:B,A532)=0,"",SUMPRODUCT(MAX((Raw_Payments!B$2:B$1079=A532)*Raw_Payments!D$2:D$1079)))</f>
        <v/>
      </c>
      <c r="M532" s="3">
        <f>IF(K532="PAID",MAX(0,L532-G532),Guide!$B$3-G532)</f>
        <v/>
      </c>
      <c r="N532" s="3">
        <f>IF(J532&lt;=0.005,"COLLECTED",IF(M532&lt;=30,"1-30",IF(M532&lt;=60,"31-60",IF(M532&lt;=90,"61-90","90+"))))</f>
        <v/>
      </c>
      <c r="O532" s="3">
        <f>IF(N532="90+","LOST",IF(N532="61-90","ESCALATE",IF(N532="31-60","WATCH",IF(N532="1-30","MILD","OK"))))</f>
        <v/>
      </c>
      <c r="P532" s="3">
        <f>IF(J532&gt;0.005,ROW()-1,"")</f>
        <v/>
      </c>
    </row>
    <row r="533">
      <c r="A533" s="3" t="inlineStr">
        <is>
          <t>D0532</t>
        </is>
      </c>
      <c r="B533" s="3">
        <f>INDEX(Raw_Schedule!B:B,MATCH(A533,Raw_Schedule!A:A,0))</f>
        <v/>
      </c>
      <c r="C533" s="3">
        <f>INDEX(Raw_Schedule!C:C,MATCH(A533,Raw_Schedule!A:A,0))</f>
        <v/>
      </c>
      <c r="D533" s="3">
        <f>INDEX(Raw_Schedule!D:D,MATCH(A533,Raw_Schedule!A:A,0))</f>
        <v/>
      </c>
      <c r="E533" s="3">
        <f>INDEX(Raw_Schedule!E:E,MATCH(A533,Raw_Schedule!A:A,0))</f>
        <v/>
      </c>
      <c r="F533" s="3">
        <f>INDEX(Raw_Schedule!F:F,MATCH(A533,Raw_Schedule!A:A,0))</f>
        <v/>
      </c>
      <c r="G533" s="4">
        <f>INDEX(Raw_Schedule!G:G,MATCH(A533,Raw_Schedule!A:A,0))</f>
        <v/>
      </c>
      <c r="H533" s="5">
        <f>INDEX(Raw_Schedule!H:H,MATCH(A533,Raw_Schedule!A:A,0))</f>
        <v/>
      </c>
      <c r="I533" s="5">
        <f>SUMIFS(Raw_Payments!E:E,Raw_Payments!B:B,A533)</f>
        <v/>
      </c>
      <c r="J533" s="5">
        <f>H533-I533</f>
        <v/>
      </c>
      <c r="K533" s="3">
        <f>IF(J533&lt;=0.005,"PAID",IF(I533&gt;0,"PARTIAL","OVERDUE"))</f>
        <v/>
      </c>
      <c r="L533" s="4">
        <f>IF(COUNTIFS(Raw_Payments!B:B,A533)=0,"",SUMPRODUCT(MAX((Raw_Payments!B$2:B$1079=A533)*Raw_Payments!D$2:D$1079)))</f>
        <v/>
      </c>
      <c r="M533" s="3">
        <f>IF(K533="PAID",MAX(0,L533-G533),Guide!$B$3-G533)</f>
        <v/>
      </c>
      <c r="N533" s="3">
        <f>IF(J533&lt;=0.005,"COLLECTED",IF(M533&lt;=30,"1-30",IF(M533&lt;=60,"31-60",IF(M533&lt;=90,"61-90","90+"))))</f>
        <v/>
      </c>
      <c r="O533" s="3">
        <f>IF(N533="90+","LOST",IF(N533="61-90","ESCALATE",IF(N533="31-60","WATCH",IF(N533="1-30","MILD","OK"))))</f>
        <v/>
      </c>
      <c r="P533" s="3">
        <f>IF(J533&gt;0.005,ROW()-1,"")</f>
        <v/>
      </c>
    </row>
    <row r="534">
      <c r="A534" s="3" t="inlineStr">
        <is>
          <t>D0533</t>
        </is>
      </c>
      <c r="B534" s="3">
        <f>INDEX(Raw_Schedule!B:B,MATCH(A534,Raw_Schedule!A:A,0))</f>
        <v/>
      </c>
      <c r="C534" s="3">
        <f>INDEX(Raw_Schedule!C:C,MATCH(A534,Raw_Schedule!A:A,0))</f>
        <v/>
      </c>
      <c r="D534" s="3">
        <f>INDEX(Raw_Schedule!D:D,MATCH(A534,Raw_Schedule!A:A,0))</f>
        <v/>
      </c>
      <c r="E534" s="3">
        <f>INDEX(Raw_Schedule!E:E,MATCH(A534,Raw_Schedule!A:A,0))</f>
        <v/>
      </c>
      <c r="F534" s="3">
        <f>INDEX(Raw_Schedule!F:F,MATCH(A534,Raw_Schedule!A:A,0))</f>
        <v/>
      </c>
      <c r="G534" s="4">
        <f>INDEX(Raw_Schedule!G:G,MATCH(A534,Raw_Schedule!A:A,0))</f>
        <v/>
      </c>
      <c r="H534" s="5">
        <f>INDEX(Raw_Schedule!H:H,MATCH(A534,Raw_Schedule!A:A,0))</f>
        <v/>
      </c>
      <c r="I534" s="5">
        <f>SUMIFS(Raw_Payments!E:E,Raw_Payments!B:B,A534)</f>
        <v/>
      </c>
      <c r="J534" s="5">
        <f>H534-I534</f>
        <v/>
      </c>
      <c r="K534" s="3">
        <f>IF(J534&lt;=0.005,"PAID",IF(I534&gt;0,"PARTIAL","OVERDUE"))</f>
        <v/>
      </c>
      <c r="L534" s="4">
        <f>IF(COUNTIFS(Raw_Payments!B:B,A534)=0,"",SUMPRODUCT(MAX((Raw_Payments!B$2:B$1079=A534)*Raw_Payments!D$2:D$1079)))</f>
        <v/>
      </c>
      <c r="M534" s="3">
        <f>IF(K534="PAID",MAX(0,L534-G534),Guide!$B$3-G534)</f>
        <v/>
      </c>
      <c r="N534" s="3">
        <f>IF(J534&lt;=0.005,"COLLECTED",IF(M534&lt;=30,"1-30",IF(M534&lt;=60,"31-60",IF(M534&lt;=90,"61-90","90+"))))</f>
        <v/>
      </c>
      <c r="O534" s="3">
        <f>IF(N534="90+","LOST",IF(N534="61-90","ESCALATE",IF(N534="31-60","WATCH",IF(N534="1-30","MILD","OK"))))</f>
        <v/>
      </c>
      <c r="P534" s="3">
        <f>IF(J534&gt;0.005,ROW()-1,"")</f>
        <v/>
      </c>
    </row>
    <row r="535">
      <c r="A535" s="3" t="inlineStr">
        <is>
          <t>D0534</t>
        </is>
      </c>
      <c r="B535" s="3">
        <f>INDEX(Raw_Schedule!B:B,MATCH(A535,Raw_Schedule!A:A,0))</f>
        <v/>
      </c>
      <c r="C535" s="3">
        <f>INDEX(Raw_Schedule!C:C,MATCH(A535,Raw_Schedule!A:A,0))</f>
        <v/>
      </c>
      <c r="D535" s="3">
        <f>INDEX(Raw_Schedule!D:D,MATCH(A535,Raw_Schedule!A:A,0))</f>
        <v/>
      </c>
      <c r="E535" s="3">
        <f>INDEX(Raw_Schedule!E:E,MATCH(A535,Raw_Schedule!A:A,0))</f>
        <v/>
      </c>
      <c r="F535" s="3">
        <f>INDEX(Raw_Schedule!F:F,MATCH(A535,Raw_Schedule!A:A,0))</f>
        <v/>
      </c>
      <c r="G535" s="4">
        <f>INDEX(Raw_Schedule!G:G,MATCH(A535,Raw_Schedule!A:A,0))</f>
        <v/>
      </c>
      <c r="H535" s="5">
        <f>INDEX(Raw_Schedule!H:H,MATCH(A535,Raw_Schedule!A:A,0))</f>
        <v/>
      </c>
      <c r="I535" s="5">
        <f>SUMIFS(Raw_Payments!E:E,Raw_Payments!B:B,A535)</f>
        <v/>
      </c>
      <c r="J535" s="5">
        <f>H535-I535</f>
        <v/>
      </c>
      <c r="K535" s="3">
        <f>IF(J535&lt;=0.005,"PAID",IF(I535&gt;0,"PARTIAL","OVERDUE"))</f>
        <v/>
      </c>
      <c r="L535" s="4">
        <f>IF(COUNTIFS(Raw_Payments!B:B,A535)=0,"",SUMPRODUCT(MAX((Raw_Payments!B$2:B$1079=A535)*Raw_Payments!D$2:D$1079)))</f>
        <v/>
      </c>
      <c r="M535" s="3">
        <f>IF(K535="PAID",MAX(0,L535-G535),Guide!$B$3-G535)</f>
        <v/>
      </c>
      <c r="N535" s="3">
        <f>IF(J535&lt;=0.005,"COLLECTED",IF(M535&lt;=30,"1-30",IF(M535&lt;=60,"31-60",IF(M535&lt;=90,"61-90","90+"))))</f>
        <v/>
      </c>
      <c r="O535" s="3">
        <f>IF(N535="90+","LOST",IF(N535="61-90","ESCALATE",IF(N535="31-60","WATCH",IF(N535="1-30","MILD","OK"))))</f>
        <v/>
      </c>
      <c r="P535" s="3">
        <f>IF(J535&gt;0.005,ROW()-1,"")</f>
        <v/>
      </c>
    </row>
    <row r="536">
      <c r="A536" s="3" t="inlineStr">
        <is>
          <t>D0535</t>
        </is>
      </c>
      <c r="B536" s="3">
        <f>INDEX(Raw_Schedule!B:B,MATCH(A536,Raw_Schedule!A:A,0))</f>
        <v/>
      </c>
      <c r="C536" s="3">
        <f>INDEX(Raw_Schedule!C:C,MATCH(A536,Raw_Schedule!A:A,0))</f>
        <v/>
      </c>
      <c r="D536" s="3">
        <f>INDEX(Raw_Schedule!D:D,MATCH(A536,Raw_Schedule!A:A,0))</f>
        <v/>
      </c>
      <c r="E536" s="3">
        <f>INDEX(Raw_Schedule!E:E,MATCH(A536,Raw_Schedule!A:A,0))</f>
        <v/>
      </c>
      <c r="F536" s="3">
        <f>INDEX(Raw_Schedule!F:F,MATCH(A536,Raw_Schedule!A:A,0))</f>
        <v/>
      </c>
      <c r="G536" s="4">
        <f>INDEX(Raw_Schedule!G:G,MATCH(A536,Raw_Schedule!A:A,0))</f>
        <v/>
      </c>
      <c r="H536" s="5">
        <f>INDEX(Raw_Schedule!H:H,MATCH(A536,Raw_Schedule!A:A,0))</f>
        <v/>
      </c>
      <c r="I536" s="5">
        <f>SUMIFS(Raw_Payments!E:E,Raw_Payments!B:B,A536)</f>
        <v/>
      </c>
      <c r="J536" s="5">
        <f>H536-I536</f>
        <v/>
      </c>
      <c r="K536" s="3">
        <f>IF(J536&lt;=0.005,"PAID",IF(I536&gt;0,"PARTIAL","OVERDUE"))</f>
        <v/>
      </c>
      <c r="L536" s="4">
        <f>IF(COUNTIFS(Raw_Payments!B:B,A536)=0,"",SUMPRODUCT(MAX((Raw_Payments!B$2:B$1079=A536)*Raw_Payments!D$2:D$1079)))</f>
        <v/>
      </c>
      <c r="M536" s="3">
        <f>IF(K536="PAID",MAX(0,L536-G536),Guide!$B$3-G536)</f>
        <v/>
      </c>
      <c r="N536" s="3">
        <f>IF(J536&lt;=0.005,"COLLECTED",IF(M536&lt;=30,"1-30",IF(M536&lt;=60,"31-60",IF(M536&lt;=90,"61-90","90+"))))</f>
        <v/>
      </c>
      <c r="O536" s="3">
        <f>IF(N536="90+","LOST",IF(N536="61-90","ESCALATE",IF(N536="31-60","WATCH",IF(N536="1-30","MILD","OK"))))</f>
        <v/>
      </c>
      <c r="P536" s="3">
        <f>IF(J536&gt;0.005,ROW()-1,"")</f>
        <v/>
      </c>
    </row>
    <row r="537">
      <c r="A537" s="3" t="inlineStr">
        <is>
          <t>D0536</t>
        </is>
      </c>
      <c r="B537" s="3">
        <f>INDEX(Raw_Schedule!B:B,MATCH(A537,Raw_Schedule!A:A,0))</f>
        <v/>
      </c>
      <c r="C537" s="3">
        <f>INDEX(Raw_Schedule!C:C,MATCH(A537,Raw_Schedule!A:A,0))</f>
        <v/>
      </c>
      <c r="D537" s="3">
        <f>INDEX(Raw_Schedule!D:D,MATCH(A537,Raw_Schedule!A:A,0))</f>
        <v/>
      </c>
      <c r="E537" s="3">
        <f>INDEX(Raw_Schedule!E:E,MATCH(A537,Raw_Schedule!A:A,0))</f>
        <v/>
      </c>
      <c r="F537" s="3">
        <f>INDEX(Raw_Schedule!F:F,MATCH(A537,Raw_Schedule!A:A,0))</f>
        <v/>
      </c>
      <c r="G537" s="4">
        <f>INDEX(Raw_Schedule!G:G,MATCH(A537,Raw_Schedule!A:A,0))</f>
        <v/>
      </c>
      <c r="H537" s="5">
        <f>INDEX(Raw_Schedule!H:H,MATCH(A537,Raw_Schedule!A:A,0))</f>
        <v/>
      </c>
      <c r="I537" s="5">
        <f>SUMIFS(Raw_Payments!E:E,Raw_Payments!B:B,A537)</f>
        <v/>
      </c>
      <c r="J537" s="5">
        <f>H537-I537</f>
        <v/>
      </c>
      <c r="K537" s="3">
        <f>IF(J537&lt;=0.005,"PAID",IF(I537&gt;0,"PARTIAL","OVERDUE"))</f>
        <v/>
      </c>
      <c r="L537" s="4">
        <f>IF(COUNTIFS(Raw_Payments!B:B,A537)=0,"",SUMPRODUCT(MAX((Raw_Payments!B$2:B$1079=A537)*Raw_Payments!D$2:D$1079)))</f>
        <v/>
      </c>
      <c r="M537" s="3">
        <f>IF(K537="PAID",MAX(0,L537-G537),Guide!$B$3-G537)</f>
        <v/>
      </c>
      <c r="N537" s="3">
        <f>IF(J537&lt;=0.005,"COLLECTED",IF(M537&lt;=30,"1-30",IF(M537&lt;=60,"31-60",IF(M537&lt;=90,"61-90","90+"))))</f>
        <v/>
      </c>
      <c r="O537" s="3">
        <f>IF(N537="90+","LOST",IF(N537="61-90","ESCALATE",IF(N537="31-60","WATCH",IF(N537="1-30","MILD","OK"))))</f>
        <v/>
      </c>
      <c r="P537" s="3">
        <f>IF(J537&gt;0.005,ROW()-1,"")</f>
        <v/>
      </c>
    </row>
    <row r="538">
      <c r="A538" s="3" t="inlineStr">
        <is>
          <t>D0537</t>
        </is>
      </c>
      <c r="B538" s="3">
        <f>INDEX(Raw_Schedule!B:B,MATCH(A538,Raw_Schedule!A:A,0))</f>
        <v/>
      </c>
      <c r="C538" s="3">
        <f>INDEX(Raw_Schedule!C:C,MATCH(A538,Raw_Schedule!A:A,0))</f>
        <v/>
      </c>
      <c r="D538" s="3">
        <f>INDEX(Raw_Schedule!D:D,MATCH(A538,Raw_Schedule!A:A,0))</f>
        <v/>
      </c>
      <c r="E538" s="3">
        <f>INDEX(Raw_Schedule!E:E,MATCH(A538,Raw_Schedule!A:A,0))</f>
        <v/>
      </c>
      <c r="F538" s="3">
        <f>INDEX(Raw_Schedule!F:F,MATCH(A538,Raw_Schedule!A:A,0))</f>
        <v/>
      </c>
      <c r="G538" s="4">
        <f>INDEX(Raw_Schedule!G:G,MATCH(A538,Raw_Schedule!A:A,0))</f>
        <v/>
      </c>
      <c r="H538" s="5">
        <f>INDEX(Raw_Schedule!H:H,MATCH(A538,Raw_Schedule!A:A,0))</f>
        <v/>
      </c>
      <c r="I538" s="5">
        <f>SUMIFS(Raw_Payments!E:E,Raw_Payments!B:B,A538)</f>
        <v/>
      </c>
      <c r="J538" s="5">
        <f>H538-I538</f>
        <v/>
      </c>
      <c r="K538" s="3">
        <f>IF(J538&lt;=0.005,"PAID",IF(I538&gt;0,"PARTIAL","OVERDUE"))</f>
        <v/>
      </c>
      <c r="L538" s="4">
        <f>IF(COUNTIFS(Raw_Payments!B:B,A538)=0,"",SUMPRODUCT(MAX((Raw_Payments!B$2:B$1079=A538)*Raw_Payments!D$2:D$1079)))</f>
        <v/>
      </c>
      <c r="M538" s="3">
        <f>IF(K538="PAID",MAX(0,L538-G538),Guide!$B$3-G538)</f>
        <v/>
      </c>
      <c r="N538" s="3">
        <f>IF(J538&lt;=0.005,"COLLECTED",IF(M538&lt;=30,"1-30",IF(M538&lt;=60,"31-60",IF(M538&lt;=90,"61-90","90+"))))</f>
        <v/>
      </c>
      <c r="O538" s="3">
        <f>IF(N538="90+","LOST",IF(N538="61-90","ESCALATE",IF(N538="31-60","WATCH",IF(N538="1-30","MILD","OK"))))</f>
        <v/>
      </c>
      <c r="P538" s="3">
        <f>IF(J538&gt;0.005,ROW()-1,"")</f>
        <v/>
      </c>
    </row>
    <row r="539">
      <c r="A539" s="3" t="inlineStr">
        <is>
          <t>D0538</t>
        </is>
      </c>
      <c r="B539" s="3">
        <f>INDEX(Raw_Schedule!B:B,MATCH(A539,Raw_Schedule!A:A,0))</f>
        <v/>
      </c>
      <c r="C539" s="3">
        <f>INDEX(Raw_Schedule!C:C,MATCH(A539,Raw_Schedule!A:A,0))</f>
        <v/>
      </c>
      <c r="D539" s="3">
        <f>INDEX(Raw_Schedule!D:D,MATCH(A539,Raw_Schedule!A:A,0))</f>
        <v/>
      </c>
      <c r="E539" s="3">
        <f>INDEX(Raw_Schedule!E:E,MATCH(A539,Raw_Schedule!A:A,0))</f>
        <v/>
      </c>
      <c r="F539" s="3">
        <f>INDEX(Raw_Schedule!F:F,MATCH(A539,Raw_Schedule!A:A,0))</f>
        <v/>
      </c>
      <c r="G539" s="4">
        <f>INDEX(Raw_Schedule!G:G,MATCH(A539,Raw_Schedule!A:A,0))</f>
        <v/>
      </c>
      <c r="H539" s="5">
        <f>INDEX(Raw_Schedule!H:H,MATCH(A539,Raw_Schedule!A:A,0))</f>
        <v/>
      </c>
      <c r="I539" s="5">
        <f>SUMIFS(Raw_Payments!E:E,Raw_Payments!B:B,A539)</f>
        <v/>
      </c>
      <c r="J539" s="5">
        <f>H539-I539</f>
        <v/>
      </c>
      <c r="K539" s="3">
        <f>IF(J539&lt;=0.005,"PAID",IF(I539&gt;0,"PARTIAL","OVERDUE"))</f>
        <v/>
      </c>
      <c r="L539" s="4">
        <f>IF(COUNTIFS(Raw_Payments!B:B,A539)=0,"",SUMPRODUCT(MAX((Raw_Payments!B$2:B$1079=A539)*Raw_Payments!D$2:D$1079)))</f>
        <v/>
      </c>
      <c r="M539" s="3">
        <f>IF(K539="PAID",MAX(0,L539-G539),Guide!$B$3-G539)</f>
        <v/>
      </c>
      <c r="N539" s="3">
        <f>IF(J539&lt;=0.005,"COLLECTED",IF(M539&lt;=30,"1-30",IF(M539&lt;=60,"31-60",IF(M539&lt;=90,"61-90","90+"))))</f>
        <v/>
      </c>
      <c r="O539" s="3">
        <f>IF(N539="90+","LOST",IF(N539="61-90","ESCALATE",IF(N539="31-60","WATCH",IF(N539="1-30","MILD","OK"))))</f>
        <v/>
      </c>
      <c r="P539" s="3">
        <f>IF(J539&gt;0.005,ROW()-1,"")</f>
        <v/>
      </c>
    </row>
    <row r="540">
      <c r="A540" s="3" t="inlineStr">
        <is>
          <t>D0539</t>
        </is>
      </c>
      <c r="B540" s="3">
        <f>INDEX(Raw_Schedule!B:B,MATCH(A540,Raw_Schedule!A:A,0))</f>
        <v/>
      </c>
      <c r="C540" s="3">
        <f>INDEX(Raw_Schedule!C:C,MATCH(A540,Raw_Schedule!A:A,0))</f>
        <v/>
      </c>
      <c r="D540" s="3">
        <f>INDEX(Raw_Schedule!D:D,MATCH(A540,Raw_Schedule!A:A,0))</f>
        <v/>
      </c>
      <c r="E540" s="3">
        <f>INDEX(Raw_Schedule!E:E,MATCH(A540,Raw_Schedule!A:A,0))</f>
        <v/>
      </c>
      <c r="F540" s="3">
        <f>INDEX(Raw_Schedule!F:F,MATCH(A540,Raw_Schedule!A:A,0))</f>
        <v/>
      </c>
      <c r="G540" s="4">
        <f>INDEX(Raw_Schedule!G:G,MATCH(A540,Raw_Schedule!A:A,0))</f>
        <v/>
      </c>
      <c r="H540" s="5">
        <f>INDEX(Raw_Schedule!H:H,MATCH(A540,Raw_Schedule!A:A,0))</f>
        <v/>
      </c>
      <c r="I540" s="5">
        <f>SUMIFS(Raw_Payments!E:E,Raw_Payments!B:B,A540)</f>
        <v/>
      </c>
      <c r="J540" s="5">
        <f>H540-I540</f>
        <v/>
      </c>
      <c r="K540" s="3">
        <f>IF(J540&lt;=0.005,"PAID",IF(I540&gt;0,"PARTIAL","OVERDUE"))</f>
        <v/>
      </c>
      <c r="L540" s="4">
        <f>IF(COUNTIFS(Raw_Payments!B:B,A540)=0,"",SUMPRODUCT(MAX((Raw_Payments!B$2:B$1079=A540)*Raw_Payments!D$2:D$1079)))</f>
        <v/>
      </c>
      <c r="M540" s="3">
        <f>IF(K540="PAID",MAX(0,L540-G540),Guide!$B$3-G540)</f>
        <v/>
      </c>
      <c r="N540" s="3">
        <f>IF(J540&lt;=0.005,"COLLECTED",IF(M540&lt;=30,"1-30",IF(M540&lt;=60,"31-60",IF(M540&lt;=90,"61-90","90+"))))</f>
        <v/>
      </c>
      <c r="O540" s="3">
        <f>IF(N540="90+","LOST",IF(N540="61-90","ESCALATE",IF(N540="31-60","WATCH",IF(N540="1-30","MILD","OK"))))</f>
        <v/>
      </c>
      <c r="P540" s="3">
        <f>IF(J540&gt;0.005,ROW()-1,"")</f>
        <v/>
      </c>
    </row>
    <row r="541">
      <c r="A541" s="3" t="inlineStr">
        <is>
          <t>D0540</t>
        </is>
      </c>
      <c r="B541" s="3">
        <f>INDEX(Raw_Schedule!B:B,MATCH(A541,Raw_Schedule!A:A,0))</f>
        <v/>
      </c>
      <c r="C541" s="3">
        <f>INDEX(Raw_Schedule!C:C,MATCH(A541,Raw_Schedule!A:A,0))</f>
        <v/>
      </c>
      <c r="D541" s="3">
        <f>INDEX(Raw_Schedule!D:D,MATCH(A541,Raw_Schedule!A:A,0))</f>
        <v/>
      </c>
      <c r="E541" s="3">
        <f>INDEX(Raw_Schedule!E:E,MATCH(A541,Raw_Schedule!A:A,0))</f>
        <v/>
      </c>
      <c r="F541" s="3">
        <f>INDEX(Raw_Schedule!F:F,MATCH(A541,Raw_Schedule!A:A,0))</f>
        <v/>
      </c>
      <c r="G541" s="4">
        <f>INDEX(Raw_Schedule!G:G,MATCH(A541,Raw_Schedule!A:A,0))</f>
        <v/>
      </c>
      <c r="H541" s="5">
        <f>INDEX(Raw_Schedule!H:H,MATCH(A541,Raw_Schedule!A:A,0))</f>
        <v/>
      </c>
      <c r="I541" s="5">
        <f>SUMIFS(Raw_Payments!E:E,Raw_Payments!B:B,A541)</f>
        <v/>
      </c>
      <c r="J541" s="5">
        <f>H541-I541</f>
        <v/>
      </c>
      <c r="K541" s="3">
        <f>IF(J541&lt;=0.005,"PAID",IF(I541&gt;0,"PARTIAL","OVERDUE"))</f>
        <v/>
      </c>
      <c r="L541" s="4">
        <f>IF(COUNTIFS(Raw_Payments!B:B,A541)=0,"",SUMPRODUCT(MAX((Raw_Payments!B$2:B$1079=A541)*Raw_Payments!D$2:D$1079)))</f>
        <v/>
      </c>
      <c r="M541" s="3">
        <f>IF(K541="PAID",MAX(0,L541-G541),Guide!$B$3-G541)</f>
        <v/>
      </c>
      <c r="N541" s="3">
        <f>IF(J541&lt;=0.005,"COLLECTED",IF(M541&lt;=30,"1-30",IF(M541&lt;=60,"31-60",IF(M541&lt;=90,"61-90","90+"))))</f>
        <v/>
      </c>
      <c r="O541" s="3">
        <f>IF(N541="90+","LOST",IF(N541="61-90","ESCALATE",IF(N541="31-60","WATCH",IF(N541="1-30","MILD","OK"))))</f>
        <v/>
      </c>
      <c r="P541" s="3">
        <f>IF(J541&gt;0.005,ROW()-1,"")</f>
        <v/>
      </c>
    </row>
    <row r="542">
      <c r="A542" s="3" t="inlineStr">
        <is>
          <t>D0541</t>
        </is>
      </c>
      <c r="B542" s="3">
        <f>INDEX(Raw_Schedule!B:B,MATCH(A542,Raw_Schedule!A:A,0))</f>
        <v/>
      </c>
      <c r="C542" s="3">
        <f>INDEX(Raw_Schedule!C:C,MATCH(A542,Raw_Schedule!A:A,0))</f>
        <v/>
      </c>
      <c r="D542" s="3">
        <f>INDEX(Raw_Schedule!D:D,MATCH(A542,Raw_Schedule!A:A,0))</f>
        <v/>
      </c>
      <c r="E542" s="3">
        <f>INDEX(Raw_Schedule!E:E,MATCH(A542,Raw_Schedule!A:A,0))</f>
        <v/>
      </c>
      <c r="F542" s="3">
        <f>INDEX(Raw_Schedule!F:F,MATCH(A542,Raw_Schedule!A:A,0))</f>
        <v/>
      </c>
      <c r="G542" s="4">
        <f>INDEX(Raw_Schedule!G:G,MATCH(A542,Raw_Schedule!A:A,0))</f>
        <v/>
      </c>
      <c r="H542" s="5">
        <f>INDEX(Raw_Schedule!H:H,MATCH(A542,Raw_Schedule!A:A,0))</f>
        <v/>
      </c>
      <c r="I542" s="5">
        <f>SUMIFS(Raw_Payments!E:E,Raw_Payments!B:B,A542)</f>
        <v/>
      </c>
      <c r="J542" s="5">
        <f>H542-I542</f>
        <v/>
      </c>
      <c r="K542" s="3">
        <f>IF(J542&lt;=0.005,"PAID",IF(I542&gt;0,"PARTIAL","OVERDUE"))</f>
        <v/>
      </c>
      <c r="L542" s="4">
        <f>IF(COUNTIFS(Raw_Payments!B:B,A542)=0,"",SUMPRODUCT(MAX((Raw_Payments!B$2:B$1079=A542)*Raw_Payments!D$2:D$1079)))</f>
        <v/>
      </c>
      <c r="M542" s="3">
        <f>IF(K542="PAID",MAX(0,L542-G542),Guide!$B$3-G542)</f>
        <v/>
      </c>
      <c r="N542" s="3">
        <f>IF(J542&lt;=0.005,"COLLECTED",IF(M542&lt;=30,"1-30",IF(M542&lt;=60,"31-60",IF(M542&lt;=90,"61-90","90+"))))</f>
        <v/>
      </c>
      <c r="O542" s="3">
        <f>IF(N542="90+","LOST",IF(N542="61-90","ESCALATE",IF(N542="31-60","WATCH",IF(N542="1-30","MILD","OK"))))</f>
        <v/>
      </c>
      <c r="P542" s="3">
        <f>IF(J542&gt;0.005,ROW()-1,"")</f>
        <v/>
      </c>
    </row>
    <row r="543">
      <c r="A543" s="3" t="inlineStr">
        <is>
          <t>D0542</t>
        </is>
      </c>
      <c r="B543" s="3">
        <f>INDEX(Raw_Schedule!B:B,MATCH(A543,Raw_Schedule!A:A,0))</f>
        <v/>
      </c>
      <c r="C543" s="3">
        <f>INDEX(Raw_Schedule!C:C,MATCH(A543,Raw_Schedule!A:A,0))</f>
        <v/>
      </c>
      <c r="D543" s="3">
        <f>INDEX(Raw_Schedule!D:D,MATCH(A543,Raw_Schedule!A:A,0))</f>
        <v/>
      </c>
      <c r="E543" s="3">
        <f>INDEX(Raw_Schedule!E:E,MATCH(A543,Raw_Schedule!A:A,0))</f>
        <v/>
      </c>
      <c r="F543" s="3">
        <f>INDEX(Raw_Schedule!F:F,MATCH(A543,Raw_Schedule!A:A,0))</f>
        <v/>
      </c>
      <c r="G543" s="4">
        <f>INDEX(Raw_Schedule!G:G,MATCH(A543,Raw_Schedule!A:A,0))</f>
        <v/>
      </c>
      <c r="H543" s="5">
        <f>INDEX(Raw_Schedule!H:H,MATCH(A543,Raw_Schedule!A:A,0))</f>
        <v/>
      </c>
      <c r="I543" s="5">
        <f>SUMIFS(Raw_Payments!E:E,Raw_Payments!B:B,A543)</f>
        <v/>
      </c>
      <c r="J543" s="5">
        <f>H543-I543</f>
        <v/>
      </c>
      <c r="K543" s="3">
        <f>IF(J543&lt;=0.005,"PAID",IF(I543&gt;0,"PARTIAL","OVERDUE"))</f>
        <v/>
      </c>
      <c r="L543" s="4">
        <f>IF(COUNTIFS(Raw_Payments!B:B,A543)=0,"",SUMPRODUCT(MAX((Raw_Payments!B$2:B$1079=A543)*Raw_Payments!D$2:D$1079)))</f>
        <v/>
      </c>
      <c r="M543" s="3">
        <f>IF(K543="PAID",MAX(0,L543-G543),Guide!$B$3-G543)</f>
        <v/>
      </c>
      <c r="N543" s="3">
        <f>IF(J543&lt;=0.005,"COLLECTED",IF(M543&lt;=30,"1-30",IF(M543&lt;=60,"31-60",IF(M543&lt;=90,"61-90","90+"))))</f>
        <v/>
      </c>
      <c r="O543" s="3">
        <f>IF(N543="90+","LOST",IF(N543="61-90","ESCALATE",IF(N543="31-60","WATCH",IF(N543="1-30","MILD","OK"))))</f>
        <v/>
      </c>
      <c r="P543" s="3">
        <f>IF(J543&gt;0.005,ROW()-1,"")</f>
        <v/>
      </c>
    </row>
    <row r="544">
      <c r="A544" s="3" t="inlineStr">
        <is>
          <t>D0543</t>
        </is>
      </c>
      <c r="B544" s="3">
        <f>INDEX(Raw_Schedule!B:B,MATCH(A544,Raw_Schedule!A:A,0))</f>
        <v/>
      </c>
      <c r="C544" s="3">
        <f>INDEX(Raw_Schedule!C:C,MATCH(A544,Raw_Schedule!A:A,0))</f>
        <v/>
      </c>
      <c r="D544" s="3">
        <f>INDEX(Raw_Schedule!D:D,MATCH(A544,Raw_Schedule!A:A,0))</f>
        <v/>
      </c>
      <c r="E544" s="3">
        <f>INDEX(Raw_Schedule!E:E,MATCH(A544,Raw_Schedule!A:A,0))</f>
        <v/>
      </c>
      <c r="F544" s="3">
        <f>INDEX(Raw_Schedule!F:F,MATCH(A544,Raw_Schedule!A:A,0))</f>
        <v/>
      </c>
      <c r="G544" s="4">
        <f>INDEX(Raw_Schedule!G:G,MATCH(A544,Raw_Schedule!A:A,0))</f>
        <v/>
      </c>
      <c r="H544" s="5">
        <f>INDEX(Raw_Schedule!H:H,MATCH(A544,Raw_Schedule!A:A,0))</f>
        <v/>
      </c>
      <c r="I544" s="5">
        <f>SUMIFS(Raw_Payments!E:E,Raw_Payments!B:B,A544)</f>
        <v/>
      </c>
      <c r="J544" s="5">
        <f>H544-I544</f>
        <v/>
      </c>
      <c r="K544" s="3">
        <f>IF(J544&lt;=0.005,"PAID",IF(I544&gt;0,"PARTIAL","OVERDUE"))</f>
        <v/>
      </c>
      <c r="L544" s="4">
        <f>IF(COUNTIFS(Raw_Payments!B:B,A544)=0,"",SUMPRODUCT(MAX((Raw_Payments!B$2:B$1079=A544)*Raw_Payments!D$2:D$1079)))</f>
        <v/>
      </c>
      <c r="M544" s="3">
        <f>IF(K544="PAID",MAX(0,L544-G544),Guide!$B$3-G544)</f>
        <v/>
      </c>
      <c r="N544" s="3">
        <f>IF(J544&lt;=0.005,"COLLECTED",IF(M544&lt;=30,"1-30",IF(M544&lt;=60,"31-60",IF(M544&lt;=90,"61-90","90+"))))</f>
        <v/>
      </c>
      <c r="O544" s="3">
        <f>IF(N544="90+","LOST",IF(N544="61-90","ESCALATE",IF(N544="31-60","WATCH",IF(N544="1-30","MILD","OK"))))</f>
        <v/>
      </c>
      <c r="P544" s="3">
        <f>IF(J544&gt;0.005,ROW()-1,"")</f>
        <v/>
      </c>
    </row>
    <row r="545">
      <c r="A545" s="3" t="inlineStr">
        <is>
          <t>D0544</t>
        </is>
      </c>
      <c r="B545" s="3">
        <f>INDEX(Raw_Schedule!B:B,MATCH(A545,Raw_Schedule!A:A,0))</f>
        <v/>
      </c>
      <c r="C545" s="3">
        <f>INDEX(Raw_Schedule!C:C,MATCH(A545,Raw_Schedule!A:A,0))</f>
        <v/>
      </c>
      <c r="D545" s="3">
        <f>INDEX(Raw_Schedule!D:D,MATCH(A545,Raw_Schedule!A:A,0))</f>
        <v/>
      </c>
      <c r="E545" s="3">
        <f>INDEX(Raw_Schedule!E:E,MATCH(A545,Raw_Schedule!A:A,0))</f>
        <v/>
      </c>
      <c r="F545" s="3">
        <f>INDEX(Raw_Schedule!F:F,MATCH(A545,Raw_Schedule!A:A,0))</f>
        <v/>
      </c>
      <c r="G545" s="4">
        <f>INDEX(Raw_Schedule!G:G,MATCH(A545,Raw_Schedule!A:A,0))</f>
        <v/>
      </c>
      <c r="H545" s="5">
        <f>INDEX(Raw_Schedule!H:H,MATCH(A545,Raw_Schedule!A:A,0))</f>
        <v/>
      </c>
      <c r="I545" s="5">
        <f>SUMIFS(Raw_Payments!E:E,Raw_Payments!B:B,A545)</f>
        <v/>
      </c>
      <c r="J545" s="5">
        <f>H545-I545</f>
        <v/>
      </c>
      <c r="K545" s="3">
        <f>IF(J545&lt;=0.005,"PAID",IF(I545&gt;0,"PARTIAL","OVERDUE"))</f>
        <v/>
      </c>
      <c r="L545" s="4">
        <f>IF(COUNTIFS(Raw_Payments!B:B,A545)=0,"",SUMPRODUCT(MAX((Raw_Payments!B$2:B$1079=A545)*Raw_Payments!D$2:D$1079)))</f>
        <v/>
      </c>
      <c r="M545" s="3">
        <f>IF(K545="PAID",MAX(0,L545-G545),Guide!$B$3-G545)</f>
        <v/>
      </c>
      <c r="N545" s="3">
        <f>IF(J545&lt;=0.005,"COLLECTED",IF(M545&lt;=30,"1-30",IF(M545&lt;=60,"31-60",IF(M545&lt;=90,"61-90","90+"))))</f>
        <v/>
      </c>
      <c r="O545" s="3">
        <f>IF(N545="90+","LOST",IF(N545="61-90","ESCALATE",IF(N545="31-60","WATCH",IF(N545="1-30","MILD","OK"))))</f>
        <v/>
      </c>
      <c r="P545" s="3">
        <f>IF(J545&gt;0.005,ROW()-1,"")</f>
        <v/>
      </c>
    </row>
    <row r="546">
      <c r="A546" s="3" t="inlineStr">
        <is>
          <t>D0545</t>
        </is>
      </c>
      <c r="B546" s="3">
        <f>INDEX(Raw_Schedule!B:B,MATCH(A546,Raw_Schedule!A:A,0))</f>
        <v/>
      </c>
      <c r="C546" s="3">
        <f>INDEX(Raw_Schedule!C:C,MATCH(A546,Raw_Schedule!A:A,0))</f>
        <v/>
      </c>
      <c r="D546" s="3">
        <f>INDEX(Raw_Schedule!D:D,MATCH(A546,Raw_Schedule!A:A,0))</f>
        <v/>
      </c>
      <c r="E546" s="3">
        <f>INDEX(Raw_Schedule!E:E,MATCH(A546,Raw_Schedule!A:A,0))</f>
        <v/>
      </c>
      <c r="F546" s="3">
        <f>INDEX(Raw_Schedule!F:F,MATCH(A546,Raw_Schedule!A:A,0))</f>
        <v/>
      </c>
      <c r="G546" s="4">
        <f>INDEX(Raw_Schedule!G:G,MATCH(A546,Raw_Schedule!A:A,0))</f>
        <v/>
      </c>
      <c r="H546" s="5">
        <f>INDEX(Raw_Schedule!H:H,MATCH(A546,Raw_Schedule!A:A,0))</f>
        <v/>
      </c>
      <c r="I546" s="5">
        <f>SUMIFS(Raw_Payments!E:E,Raw_Payments!B:B,A546)</f>
        <v/>
      </c>
      <c r="J546" s="5">
        <f>H546-I546</f>
        <v/>
      </c>
      <c r="K546" s="3">
        <f>IF(J546&lt;=0.005,"PAID",IF(I546&gt;0,"PARTIAL","OVERDUE"))</f>
        <v/>
      </c>
      <c r="L546" s="4">
        <f>IF(COUNTIFS(Raw_Payments!B:B,A546)=0,"",SUMPRODUCT(MAX((Raw_Payments!B$2:B$1079=A546)*Raw_Payments!D$2:D$1079)))</f>
        <v/>
      </c>
      <c r="M546" s="3">
        <f>IF(K546="PAID",MAX(0,L546-G546),Guide!$B$3-G546)</f>
        <v/>
      </c>
      <c r="N546" s="3">
        <f>IF(J546&lt;=0.005,"COLLECTED",IF(M546&lt;=30,"1-30",IF(M546&lt;=60,"31-60",IF(M546&lt;=90,"61-90","90+"))))</f>
        <v/>
      </c>
      <c r="O546" s="3">
        <f>IF(N546="90+","LOST",IF(N546="61-90","ESCALATE",IF(N546="31-60","WATCH",IF(N546="1-30","MILD","OK"))))</f>
        <v/>
      </c>
      <c r="P546" s="3">
        <f>IF(J546&gt;0.005,ROW()-1,"")</f>
        <v/>
      </c>
    </row>
    <row r="547">
      <c r="A547" s="3" t="inlineStr">
        <is>
          <t>D0546</t>
        </is>
      </c>
      <c r="B547" s="3">
        <f>INDEX(Raw_Schedule!B:B,MATCH(A547,Raw_Schedule!A:A,0))</f>
        <v/>
      </c>
      <c r="C547" s="3">
        <f>INDEX(Raw_Schedule!C:C,MATCH(A547,Raw_Schedule!A:A,0))</f>
        <v/>
      </c>
      <c r="D547" s="3">
        <f>INDEX(Raw_Schedule!D:D,MATCH(A547,Raw_Schedule!A:A,0))</f>
        <v/>
      </c>
      <c r="E547" s="3">
        <f>INDEX(Raw_Schedule!E:E,MATCH(A547,Raw_Schedule!A:A,0))</f>
        <v/>
      </c>
      <c r="F547" s="3">
        <f>INDEX(Raw_Schedule!F:F,MATCH(A547,Raw_Schedule!A:A,0))</f>
        <v/>
      </c>
      <c r="G547" s="4">
        <f>INDEX(Raw_Schedule!G:G,MATCH(A547,Raw_Schedule!A:A,0))</f>
        <v/>
      </c>
      <c r="H547" s="5">
        <f>INDEX(Raw_Schedule!H:H,MATCH(A547,Raw_Schedule!A:A,0))</f>
        <v/>
      </c>
      <c r="I547" s="5">
        <f>SUMIFS(Raw_Payments!E:E,Raw_Payments!B:B,A547)</f>
        <v/>
      </c>
      <c r="J547" s="5">
        <f>H547-I547</f>
        <v/>
      </c>
      <c r="K547" s="3">
        <f>IF(J547&lt;=0.005,"PAID",IF(I547&gt;0,"PARTIAL","OVERDUE"))</f>
        <v/>
      </c>
      <c r="L547" s="4">
        <f>IF(COUNTIFS(Raw_Payments!B:B,A547)=0,"",SUMPRODUCT(MAX((Raw_Payments!B$2:B$1079=A547)*Raw_Payments!D$2:D$1079)))</f>
        <v/>
      </c>
      <c r="M547" s="3">
        <f>IF(K547="PAID",MAX(0,L547-G547),Guide!$B$3-G547)</f>
        <v/>
      </c>
      <c r="N547" s="3">
        <f>IF(J547&lt;=0.005,"COLLECTED",IF(M547&lt;=30,"1-30",IF(M547&lt;=60,"31-60",IF(M547&lt;=90,"61-90","90+"))))</f>
        <v/>
      </c>
      <c r="O547" s="3">
        <f>IF(N547="90+","LOST",IF(N547="61-90","ESCALATE",IF(N547="31-60","WATCH",IF(N547="1-30","MILD","OK"))))</f>
        <v/>
      </c>
      <c r="P547" s="3">
        <f>IF(J547&gt;0.005,ROW()-1,"")</f>
        <v/>
      </c>
    </row>
    <row r="548">
      <c r="A548" s="3" t="inlineStr">
        <is>
          <t>D0547</t>
        </is>
      </c>
      <c r="B548" s="3">
        <f>INDEX(Raw_Schedule!B:B,MATCH(A548,Raw_Schedule!A:A,0))</f>
        <v/>
      </c>
      <c r="C548" s="3">
        <f>INDEX(Raw_Schedule!C:C,MATCH(A548,Raw_Schedule!A:A,0))</f>
        <v/>
      </c>
      <c r="D548" s="3">
        <f>INDEX(Raw_Schedule!D:D,MATCH(A548,Raw_Schedule!A:A,0))</f>
        <v/>
      </c>
      <c r="E548" s="3">
        <f>INDEX(Raw_Schedule!E:E,MATCH(A548,Raw_Schedule!A:A,0))</f>
        <v/>
      </c>
      <c r="F548" s="3">
        <f>INDEX(Raw_Schedule!F:F,MATCH(A548,Raw_Schedule!A:A,0))</f>
        <v/>
      </c>
      <c r="G548" s="4">
        <f>INDEX(Raw_Schedule!G:G,MATCH(A548,Raw_Schedule!A:A,0))</f>
        <v/>
      </c>
      <c r="H548" s="5">
        <f>INDEX(Raw_Schedule!H:H,MATCH(A548,Raw_Schedule!A:A,0))</f>
        <v/>
      </c>
      <c r="I548" s="5">
        <f>SUMIFS(Raw_Payments!E:E,Raw_Payments!B:B,A548)</f>
        <v/>
      </c>
      <c r="J548" s="5">
        <f>H548-I548</f>
        <v/>
      </c>
      <c r="K548" s="3">
        <f>IF(J548&lt;=0.005,"PAID",IF(I548&gt;0,"PARTIAL","OVERDUE"))</f>
        <v/>
      </c>
      <c r="L548" s="4">
        <f>IF(COUNTIFS(Raw_Payments!B:B,A548)=0,"",SUMPRODUCT(MAX((Raw_Payments!B$2:B$1079=A548)*Raw_Payments!D$2:D$1079)))</f>
        <v/>
      </c>
      <c r="M548" s="3">
        <f>IF(K548="PAID",MAX(0,L548-G548),Guide!$B$3-G548)</f>
        <v/>
      </c>
      <c r="N548" s="3">
        <f>IF(J548&lt;=0.005,"COLLECTED",IF(M548&lt;=30,"1-30",IF(M548&lt;=60,"31-60",IF(M548&lt;=90,"61-90","90+"))))</f>
        <v/>
      </c>
      <c r="O548" s="3">
        <f>IF(N548="90+","LOST",IF(N548="61-90","ESCALATE",IF(N548="31-60","WATCH",IF(N548="1-30","MILD","OK"))))</f>
        <v/>
      </c>
      <c r="P548" s="3">
        <f>IF(J548&gt;0.005,ROW()-1,"")</f>
        <v/>
      </c>
    </row>
    <row r="549">
      <c r="A549" s="3" t="inlineStr">
        <is>
          <t>D0548</t>
        </is>
      </c>
      <c r="B549" s="3">
        <f>INDEX(Raw_Schedule!B:B,MATCH(A549,Raw_Schedule!A:A,0))</f>
        <v/>
      </c>
      <c r="C549" s="3">
        <f>INDEX(Raw_Schedule!C:C,MATCH(A549,Raw_Schedule!A:A,0))</f>
        <v/>
      </c>
      <c r="D549" s="3">
        <f>INDEX(Raw_Schedule!D:D,MATCH(A549,Raw_Schedule!A:A,0))</f>
        <v/>
      </c>
      <c r="E549" s="3">
        <f>INDEX(Raw_Schedule!E:E,MATCH(A549,Raw_Schedule!A:A,0))</f>
        <v/>
      </c>
      <c r="F549" s="3">
        <f>INDEX(Raw_Schedule!F:F,MATCH(A549,Raw_Schedule!A:A,0))</f>
        <v/>
      </c>
      <c r="G549" s="4">
        <f>INDEX(Raw_Schedule!G:G,MATCH(A549,Raw_Schedule!A:A,0))</f>
        <v/>
      </c>
      <c r="H549" s="5">
        <f>INDEX(Raw_Schedule!H:H,MATCH(A549,Raw_Schedule!A:A,0))</f>
        <v/>
      </c>
      <c r="I549" s="5">
        <f>SUMIFS(Raw_Payments!E:E,Raw_Payments!B:B,A549)</f>
        <v/>
      </c>
      <c r="J549" s="5">
        <f>H549-I549</f>
        <v/>
      </c>
      <c r="K549" s="3">
        <f>IF(J549&lt;=0.005,"PAID",IF(I549&gt;0,"PARTIAL","OVERDUE"))</f>
        <v/>
      </c>
      <c r="L549" s="4">
        <f>IF(COUNTIFS(Raw_Payments!B:B,A549)=0,"",SUMPRODUCT(MAX((Raw_Payments!B$2:B$1079=A549)*Raw_Payments!D$2:D$1079)))</f>
        <v/>
      </c>
      <c r="M549" s="3">
        <f>IF(K549="PAID",MAX(0,L549-G549),Guide!$B$3-G549)</f>
        <v/>
      </c>
      <c r="N549" s="3">
        <f>IF(J549&lt;=0.005,"COLLECTED",IF(M549&lt;=30,"1-30",IF(M549&lt;=60,"31-60",IF(M549&lt;=90,"61-90","90+"))))</f>
        <v/>
      </c>
      <c r="O549" s="3">
        <f>IF(N549="90+","LOST",IF(N549="61-90","ESCALATE",IF(N549="31-60","WATCH",IF(N549="1-30","MILD","OK"))))</f>
        <v/>
      </c>
      <c r="P549" s="3">
        <f>IF(J549&gt;0.005,ROW()-1,"")</f>
        <v/>
      </c>
    </row>
    <row r="550">
      <c r="A550" s="3" t="inlineStr">
        <is>
          <t>D0549</t>
        </is>
      </c>
      <c r="B550" s="3">
        <f>INDEX(Raw_Schedule!B:B,MATCH(A550,Raw_Schedule!A:A,0))</f>
        <v/>
      </c>
      <c r="C550" s="3">
        <f>INDEX(Raw_Schedule!C:C,MATCH(A550,Raw_Schedule!A:A,0))</f>
        <v/>
      </c>
      <c r="D550" s="3">
        <f>INDEX(Raw_Schedule!D:D,MATCH(A550,Raw_Schedule!A:A,0))</f>
        <v/>
      </c>
      <c r="E550" s="3">
        <f>INDEX(Raw_Schedule!E:E,MATCH(A550,Raw_Schedule!A:A,0))</f>
        <v/>
      </c>
      <c r="F550" s="3">
        <f>INDEX(Raw_Schedule!F:F,MATCH(A550,Raw_Schedule!A:A,0))</f>
        <v/>
      </c>
      <c r="G550" s="4">
        <f>INDEX(Raw_Schedule!G:G,MATCH(A550,Raw_Schedule!A:A,0))</f>
        <v/>
      </c>
      <c r="H550" s="5">
        <f>INDEX(Raw_Schedule!H:H,MATCH(A550,Raw_Schedule!A:A,0))</f>
        <v/>
      </c>
      <c r="I550" s="5">
        <f>SUMIFS(Raw_Payments!E:E,Raw_Payments!B:B,A550)</f>
        <v/>
      </c>
      <c r="J550" s="5">
        <f>H550-I550</f>
        <v/>
      </c>
      <c r="K550" s="3">
        <f>IF(J550&lt;=0.005,"PAID",IF(I550&gt;0,"PARTIAL","OVERDUE"))</f>
        <v/>
      </c>
      <c r="L550" s="4">
        <f>IF(COUNTIFS(Raw_Payments!B:B,A550)=0,"",SUMPRODUCT(MAX((Raw_Payments!B$2:B$1079=A550)*Raw_Payments!D$2:D$1079)))</f>
        <v/>
      </c>
      <c r="M550" s="3">
        <f>IF(K550="PAID",MAX(0,L550-G550),Guide!$B$3-G550)</f>
        <v/>
      </c>
      <c r="N550" s="3">
        <f>IF(J550&lt;=0.005,"COLLECTED",IF(M550&lt;=30,"1-30",IF(M550&lt;=60,"31-60",IF(M550&lt;=90,"61-90","90+"))))</f>
        <v/>
      </c>
      <c r="O550" s="3">
        <f>IF(N550="90+","LOST",IF(N550="61-90","ESCALATE",IF(N550="31-60","WATCH",IF(N550="1-30","MILD","OK"))))</f>
        <v/>
      </c>
      <c r="P550" s="3">
        <f>IF(J550&gt;0.005,ROW()-1,"")</f>
        <v/>
      </c>
    </row>
    <row r="551">
      <c r="A551" s="3" t="inlineStr">
        <is>
          <t>D0550</t>
        </is>
      </c>
      <c r="B551" s="3">
        <f>INDEX(Raw_Schedule!B:B,MATCH(A551,Raw_Schedule!A:A,0))</f>
        <v/>
      </c>
      <c r="C551" s="3">
        <f>INDEX(Raw_Schedule!C:C,MATCH(A551,Raw_Schedule!A:A,0))</f>
        <v/>
      </c>
      <c r="D551" s="3">
        <f>INDEX(Raw_Schedule!D:D,MATCH(A551,Raw_Schedule!A:A,0))</f>
        <v/>
      </c>
      <c r="E551" s="3">
        <f>INDEX(Raw_Schedule!E:E,MATCH(A551,Raw_Schedule!A:A,0))</f>
        <v/>
      </c>
      <c r="F551" s="3">
        <f>INDEX(Raw_Schedule!F:F,MATCH(A551,Raw_Schedule!A:A,0))</f>
        <v/>
      </c>
      <c r="G551" s="4">
        <f>INDEX(Raw_Schedule!G:G,MATCH(A551,Raw_Schedule!A:A,0))</f>
        <v/>
      </c>
      <c r="H551" s="5">
        <f>INDEX(Raw_Schedule!H:H,MATCH(A551,Raw_Schedule!A:A,0))</f>
        <v/>
      </c>
      <c r="I551" s="5">
        <f>SUMIFS(Raw_Payments!E:E,Raw_Payments!B:B,A551)</f>
        <v/>
      </c>
      <c r="J551" s="5">
        <f>H551-I551</f>
        <v/>
      </c>
      <c r="K551" s="3">
        <f>IF(J551&lt;=0.005,"PAID",IF(I551&gt;0,"PARTIAL","OVERDUE"))</f>
        <v/>
      </c>
      <c r="L551" s="4">
        <f>IF(COUNTIFS(Raw_Payments!B:B,A551)=0,"",SUMPRODUCT(MAX((Raw_Payments!B$2:B$1079=A551)*Raw_Payments!D$2:D$1079)))</f>
        <v/>
      </c>
      <c r="M551" s="3">
        <f>IF(K551="PAID",MAX(0,L551-G551),Guide!$B$3-G551)</f>
        <v/>
      </c>
      <c r="N551" s="3">
        <f>IF(J551&lt;=0.005,"COLLECTED",IF(M551&lt;=30,"1-30",IF(M551&lt;=60,"31-60",IF(M551&lt;=90,"61-90","90+"))))</f>
        <v/>
      </c>
      <c r="O551" s="3">
        <f>IF(N551="90+","LOST",IF(N551="61-90","ESCALATE",IF(N551="31-60","WATCH",IF(N551="1-30","MILD","OK"))))</f>
        <v/>
      </c>
      <c r="P551" s="3">
        <f>IF(J551&gt;0.005,ROW()-1,"")</f>
        <v/>
      </c>
    </row>
    <row r="552">
      <c r="A552" s="3" t="inlineStr">
        <is>
          <t>D0551</t>
        </is>
      </c>
      <c r="B552" s="3">
        <f>INDEX(Raw_Schedule!B:B,MATCH(A552,Raw_Schedule!A:A,0))</f>
        <v/>
      </c>
      <c r="C552" s="3">
        <f>INDEX(Raw_Schedule!C:C,MATCH(A552,Raw_Schedule!A:A,0))</f>
        <v/>
      </c>
      <c r="D552" s="3">
        <f>INDEX(Raw_Schedule!D:D,MATCH(A552,Raw_Schedule!A:A,0))</f>
        <v/>
      </c>
      <c r="E552" s="3">
        <f>INDEX(Raw_Schedule!E:E,MATCH(A552,Raw_Schedule!A:A,0))</f>
        <v/>
      </c>
      <c r="F552" s="3">
        <f>INDEX(Raw_Schedule!F:F,MATCH(A552,Raw_Schedule!A:A,0))</f>
        <v/>
      </c>
      <c r="G552" s="4">
        <f>INDEX(Raw_Schedule!G:G,MATCH(A552,Raw_Schedule!A:A,0))</f>
        <v/>
      </c>
      <c r="H552" s="5">
        <f>INDEX(Raw_Schedule!H:H,MATCH(A552,Raw_Schedule!A:A,0))</f>
        <v/>
      </c>
      <c r="I552" s="5">
        <f>SUMIFS(Raw_Payments!E:E,Raw_Payments!B:B,A552)</f>
        <v/>
      </c>
      <c r="J552" s="5">
        <f>H552-I552</f>
        <v/>
      </c>
      <c r="K552" s="3">
        <f>IF(J552&lt;=0.005,"PAID",IF(I552&gt;0,"PARTIAL","OVERDUE"))</f>
        <v/>
      </c>
      <c r="L552" s="4">
        <f>IF(COUNTIFS(Raw_Payments!B:B,A552)=0,"",SUMPRODUCT(MAX((Raw_Payments!B$2:B$1079=A552)*Raw_Payments!D$2:D$1079)))</f>
        <v/>
      </c>
      <c r="M552" s="3">
        <f>IF(K552="PAID",MAX(0,L552-G552),Guide!$B$3-G552)</f>
        <v/>
      </c>
      <c r="N552" s="3">
        <f>IF(J552&lt;=0.005,"COLLECTED",IF(M552&lt;=30,"1-30",IF(M552&lt;=60,"31-60",IF(M552&lt;=90,"61-90","90+"))))</f>
        <v/>
      </c>
      <c r="O552" s="3">
        <f>IF(N552="90+","LOST",IF(N552="61-90","ESCALATE",IF(N552="31-60","WATCH",IF(N552="1-30","MILD","OK"))))</f>
        <v/>
      </c>
      <c r="P552" s="3">
        <f>IF(J552&gt;0.005,ROW()-1,"")</f>
        <v/>
      </c>
    </row>
    <row r="553">
      <c r="A553" s="3" t="inlineStr">
        <is>
          <t>D0552</t>
        </is>
      </c>
      <c r="B553" s="3">
        <f>INDEX(Raw_Schedule!B:B,MATCH(A553,Raw_Schedule!A:A,0))</f>
        <v/>
      </c>
      <c r="C553" s="3">
        <f>INDEX(Raw_Schedule!C:C,MATCH(A553,Raw_Schedule!A:A,0))</f>
        <v/>
      </c>
      <c r="D553" s="3">
        <f>INDEX(Raw_Schedule!D:D,MATCH(A553,Raw_Schedule!A:A,0))</f>
        <v/>
      </c>
      <c r="E553" s="3">
        <f>INDEX(Raw_Schedule!E:E,MATCH(A553,Raw_Schedule!A:A,0))</f>
        <v/>
      </c>
      <c r="F553" s="3">
        <f>INDEX(Raw_Schedule!F:F,MATCH(A553,Raw_Schedule!A:A,0))</f>
        <v/>
      </c>
      <c r="G553" s="4">
        <f>INDEX(Raw_Schedule!G:G,MATCH(A553,Raw_Schedule!A:A,0))</f>
        <v/>
      </c>
      <c r="H553" s="5">
        <f>INDEX(Raw_Schedule!H:H,MATCH(A553,Raw_Schedule!A:A,0))</f>
        <v/>
      </c>
      <c r="I553" s="5">
        <f>SUMIFS(Raw_Payments!E:E,Raw_Payments!B:B,A553)</f>
        <v/>
      </c>
      <c r="J553" s="5">
        <f>H553-I553</f>
        <v/>
      </c>
      <c r="K553" s="3">
        <f>IF(J553&lt;=0.005,"PAID",IF(I553&gt;0,"PARTIAL","OVERDUE"))</f>
        <v/>
      </c>
      <c r="L553" s="4">
        <f>IF(COUNTIFS(Raw_Payments!B:B,A553)=0,"",SUMPRODUCT(MAX((Raw_Payments!B$2:B$1079=A553)*Raw_Payments!D$2:D$1079)))</f>
        <v/>
      </c>
      <c r="M553" s="3">
        <f>IF(K553="PAID",MAX(0,L553-G553),Guide!$B$3-G553)</f>
        <v/>
      </c>
      <c r="N553" s="3">
        <f>IF(J553&lt;=0.005,"COLLECTED",IF(M553&lt;=30,"1-30",IF(M553&lt;=60,"31-60",IF(M553&lt;=90,"61-90","90+"))))</f>
        <v/>
      </c>
      <c r="O553" s="3">
        <f>IF(N553="90+","LOST",IF(N553="61-90","ESCALATE",IF(N553="31-60","WATCH",IF(N553="1-30","MILD","OK"))))</f>
        <v/>
      </c>
      <c r="P553" s="3">
        <f>IF(J553&gt;0.005,ROW()-1,"")</f>
        <v/>
      </c>
    </row>
    <row r="554">
      <c r="A554" s="3" t="inlineStr">
        <is>
          <t>D0553</t>
        </is>
      </c>
      <c r="B554" s="3">
        <f>INDEX(Raw_Schedule!B:B,MATCH(A554,Raw_Schedule!A:A,0))</f>
        <v/>
      </c>
      <c r="C554" s="3">
        <f>INDEX(Raw_Schedule!C:C,MATCH(A554,Raw_Schedule!A:A,0))</f>
        <v/>
      </c>
      <c r="D554" s="3">
        <f>INDEX(Raw_Schedule!D:D,MATCH(A554,Raw_Schedule!A:A,0))</f>
        <v/>
      </c>
      <c r="E554" s="3">
        <f>INDEX(Raw_Schedule!E:E,MATCH(A554,Raw_Schedule!A:A,0))</f>
        <v/>
      </c>
      <c r="F554" s="3">
        <f>INDEX(Raw_Schedule!F:F,MATCH(A554,Raw_Schedule!A:A,0))</f>
        <v/>
      </c>
      <c r="G554" s="4">
        <f>INDEX(Raw_Schedule!G:G,MATCH(A554,Raw_Schedule!A:A,0))</f>
        <v/>
      </c>
      <c r="H554" s="5">
        <f>INDEX(Raw_Schedule!H:H,MATCH(A554,Raw_Schedule!A:A,0))</f>
        <v/>
      </c>
      <c r="I554" s="5">
        <f>SUMIFS(Raw_Payments!E:E,Raw_Payments!B:B,A554)</f>
        <v/>
      </c>
      <c r="J554" s="5">
        <f>H554-I554</f>
        <v/>
      </c>
      <c r="K554" s="3">
        <f>IF(J554&lt;=0.005,"PAID",IF(I554&gt;0,"PARTIAL","OVERDUE"))</f>
        <v/>
      </c>
      <c r="L554" s="4">
        <f>IF(COUNTIFS(Raw_Payments!B:B,A554)=0,"",SUMPRODUCT(MAX((Raw_Payments!B$2:B$1079=A554)*Raw_Payments!D$2:D$1079)))</f>
        <v/>
      </c>
      <c r="M554" s="3">
        <f>IF(K554="PAID",MAX(0,L554-G554),Guide!$B$3-G554)</f>
        <v/>
      </c>
      <c r="N554" s="3">
        <f>IF(J554&lt;=0.005,"COLLECTED",IF(M554&lt;=30,"1-30",IF(M554&lt;=60,"31-60",IF(M554&lt;=90,"61-90","90+"))))</f>
        <v/>
      </c>
      <c r="O554" s="3">
        <f>IF(N554="90+","LOST",IF(N554="61-90","ESCALATE",IF(N554="31-60","WATCH",IF(N554="1-30","MILD","OK"))))</f>
        <v/>
      </c>
      <c r="P554" s="3">
        <f>IF(J554&gt;0.005,ROW()-1,"")</f>
        <v/>
      </c>
    </row>
    <row r="555">
      <c r="A555" s="3" t="inlineStr">
        <is>
          <t>D0554</t>
        </is>
      </c>
      <c r="B555" s="3">
        <f>INDEX(Raw_Schedule!B:B,MATCH(A555,Raw_Schedule!A:A,0))</f>
        <v/>
      </c>
      <c r="C555" s="3">
        <f>INDEX(Raw_Schedule!C:C,MATCH(A555,Raw_Schedule!A:A,0))</f>
        <v/>
      </c>
      <c r="D555" s="3">
        <f>INDEX(Raw_Schedule!D:D,MATCH(A555,Raw_Schedule!A:A,0))</f>
        <v/>
      </c>
      <c r="E555" s="3">
        <f>INDEX(Raw_Schedule!E:E,MATCH(A555,Raw_Schedule!A:A,0))</f>
        <v/>
      </c>
      <c r="F555" s="3">
        <f>INDEX(Raw_Schedule!F:F,MATCH(A555,Raw_Schedule!A:A,0))</f>
        <v/>
      </c>
      <c r="G555" s="4">
        <f>INDEX(Raw_Schedule!G:G,MATCH(A555,Raw_Schedule!A:A,0))</f>
        <v/>
      </c>
      <c r="H555" s="5">
        <f>INDEX(Raw_Schedule!H:H,MATCH(A555,Raw_Schedule!A:A,0))</f>
        <v/>
      </c>
      <c r="I555" s="5">
        <f>SUMIFS(Raw_Payments!E:E,Raw_Payments!B:B,A555)</f>
        <v/>
      </c>
      <c r="J555" s="5">
        <f>H555-I555</f>
        <v/>
      </c>
      <c r="K555" s="3">
        <f>IF(J555&lt;=0.005,"PAID",IF(I555&gt;0,"PARTIAL","OVERDUE"))</f>
        <v/>
      </c>
      <c r="L555" s="4">
        <f>IF(COUNTIFS(Raw_Payments!B:B,A555)=0,"",SUMPRODUCT(MAX((Raw_Payments!B$2:B$1079=A555)*Raw_Payments!D$2:D$1079)))</f>
        <v/>
      </c>
      <c r="M555" s="3">
        <f>IF(K555="PAID",MAX(0,L555-G555),Guide!$B$3-G555)</f>
        <v/>
      </c>
      <c r="N555" s="3">
        <f>IF(J555&lt;=0.005,"COLLECTED",IF(M555&lt;=30,"1-30",IF(M555&lt;=60,"31-60",IF(M555&lt;=90,"61-90","90+"))))</f>
        <v/>
      </c>
      <c r="O555" s="3">
        <f>IF(N555="90+","LOST",IF(N555="61-90","ESCALATE",IF(N555="31-60","WATCH",IF(N555="1-30","MILD","OK"))))</f>
        <v/>
      </c>
      <c r="P555" s="3">
        <f>IF(J555&gt;0.005,ROW()-1,"")</f>
        <v/>
      </c>
    </row>
    <row r="556">
      <c r="A556" s="3" t="inlineStr">
        <is>
          <t>D0555</t>
        </is>
      </c>
      <c r="B556" s="3">
        <f>INDEX(Raw_Schedule!B:B,MATCH(A556,Raw_Schedule!A:A,0))</f>
        <v/>
      </c>
      <c r="C556" s="3">
        <f>INDEX(Raw_Schedule!C:C,MATCH(A556,Raw_Schedule!A:A,0))</f>
        <v/>
      </c>
      <c r="D556" s="3">
        <f>INDEX(Raw_Schedule!D:D,MATCH(A556,Raw_Schedule!A:A,0))</f>
        <v/>
      </c>
      <c r="E556" s="3">
        <f>INDEX(Raw_Schedule!E:E,MATCH(A556,Raw_Schedule!A:A,0))</f>
        <v/>
      </c>
      <c r="F556" s="3">
        <f>INDEX(Raw_Schedule!F:F,MATCH(A556,Raw_Schedule!A:A,0))</f>
        <v/>
      </c>
      <c r="G556" s="4">
        <f>INDEX(Raw_Schedule!G:G,MATCH(A556,Raw_Schedule!A:A,0))</f>
        <v/>
      </c>
      <c r="H556" s="5">
        <f>INDEX(Raw_Schedule!H:H,MATCH(A556,Raw_Schedule!A:A,0))</f>
        <v/>
      </c>
      <c r="I556" s="5">
        <f>SUMIFS(Raw_Payments!E:E,Raw_Payments!B:B,A556)</f>
        <v/>
      </c>
      <c r="J556" s="5">
        <f>H556-I556</f>
        <v/>
      </c>
      <c r="K556" s="3">
        <f>IF(J556&lt;=0.005,"PAID",IF(I556&gt;0,"PARTIAL","OVERDUE"))</f>
        <v/>
      </c>
      <c r="L556" s="4">
        <f>IF(COUNTIFS(Raw_Payments!B:B,A556)=0,"",SUMPRODUCT(MAX((Raw_Payments!B$2:B$1079=A556)*Raw_Payments!D$2:D$1079)))</f>
        <v/>
      </c>
      <c r="M556" s="3">
        <f>IF(K556="PAID",MAX(0,L556-G556),Guide!$B$3-G556)</f>
        <v/>
      </c>
      <c r="N556" s="3">
        <f>IF(J556&lt;=0.005,"COLLECTED",IF(M556&lt;=30,"1-30",IF(M556&lt;=60,"31-60",IF(M556&lt;=90,"61-90","90+"))))</f>
        <v/>
      </c>
      <c r="O556" s="3">
        <f>IF(N556="90+","LOST",IF(N556="61-90","ESCALATE",IF(N556="31-60","WATCH",IF(N556="1-30","MILD","OK"))))</f>
        <v/>
      </c>
      <c r="P556" s="3">
        <f>IF(J556&gt;0.005,ROW()-1,"")</f>
        <v/>
      </c>
    </row>
    <row r="557">
      <c r="A557" s="3" t="inlineStr">
        <is>
          <t>D0556</t>
        </is>
      </c>
      <c r="B557" s="3">
        <f>INDEX(Raw_Schedule!B:B,MATCH(A557,Raw_Schedule!A:A,0))</f>
        <v/>
      </c>
      <c r="C557" s="3">
        <f>INDEX(Raw_Schedule!C:C,MATCH(A557,Raw_Schedule!A:A,0))</f>
        <v/>
      </c>
      <c r="D557" s="3">
        <f>INDEX(Raw_Schedule!D:D,MATCH(A557,Raw_Schedule!A:A,0))</f>
        <v/>
      </c>
      <c r="E557" s="3">
        <f>INDEX(Raw_Schedule!E:E,MATCH(A557,Raw_Schedule!A:A,0))</f>
        <v/>
      </c>
      <c r="F557" s="3">
        <f>INDEX(Raw_Schedule!F:F,MATCH(A557,Raw_Schedule!A:A,0))</f>
        <v/>
      </c>
      <c r="G557" s="4">
        <f>INDEX(Raw_Schedule!G:G,MATCH(A557,Raw_Schedule!A:A,0))</f>
        <v/>
      </c>
      <c r="H557" s="5">
        <f>INDEX(Raw_Schedule!H:H,MATCH(A557,Raw_Schedule!A:A,0))</f>
        <v/>
      </c>
      <c r="I557" s="5">
        <f>SUMIFS(Raw_Payments!E:E,Raw_Payments!B:B,A557)</f>
        <v/>
      </c>
      <c r="J557" s="5">
        <f>H557-I557</f>
        <v/>
      </c>
      <c r="K557" s="3">
        <f>IF(J557&lt;=0.005,"PAID",IF(I557&gt;0,"PARTIAL","OVERDUE"))</f>
        <v/>
      </c>
      <c r="L557" s="4">
        <f>IF(COUNTIFS(Raw_Payments!B:B,A557)=0,"",SUMPRODUCT(MAX((Raw_Payments!B$2:B$1079=A557)*Raw_Payments!D$2:D$1079)))</f>
        <v/>
      </c>
      <c r="M557" s="3">
        <f>IF(K557="PAID",MAX(0,L557-G557),Guide!$B$3-G557)</f>
        <v/>
      </c>
      <c r="N557" s="3">
        <f>IF(J557&lt;=0.005,"COLLECTED",IF(M557&lt;=30,"1-30",IF(M557&lt;=60,"31-60",IF(M557&lt;=90,"61-90","90+"))))</f>
        <v/>
      </c>
      <c r="O557" s="3">
        <f>IF(N557="90+","LOST",IF(N557="61-90","ESCALATE",IF(N557="31-60","WATCH",IF(N557="1-30","MILD","OK"))))</f>
        <v/>
      </c>
      <c r="P557" s="3">
        <f>IF(J557&gt;0.005,ROW()-1,"")</f>
        <v/>
      </c>
    </row>
    <row r="558">
      <c r="A558" s="3" t="inlineStr">
        <is>
          <t>D0557</t>
        </is>
      </c>
      <c r="B558" s="3">
        <f>INDEX(Raw_Schedule!B:B,MATCH(A558,Raw_Schedule!A:A,0))</f>
        <v/>
      </c>
      <c r="C558" s="3">
        <f>INDEX(Raw_Schedule!C:C,MATCH(A558,Raw_Schedule!A:A,0))</f>
        <v/>
      </c>
      <c r="D558" s="3">
        <f>INDEX(Raw_Schedule!D:D,MATCH(A558,Raw_Schedule!A:A,0))</f>
        <v/>
      </c>
      <c r="E558" s="3">
        <f>INDEX(Raw_Schedule!E:E,MATCH(A558,Raw_Schedule!A:A,0))</f>
        <v/>
      </c>
      <c r="F558" s="3">
        <f>INDEX(Raw_Schedule!F:F,MATCH(A558,Raw_Schedule!A:A,0))</f>
        <v/>
      </c>
      <c r="G558" s="4">
        <f>INDEX(Raw_Schedule!G:G,MATCH(A558,Raw_Schedule!A:A,0))</f>
        <v/>
      </c>
      <c r="H558" s="5">
        <f>INDEX(Raw_Schedule!H:H,MATCH(A558,Raw_Schedule!A:A,0))</f>
        <v/>
      </c>
      <c r="I558" s="5">
        <f>SUMIFS(Raw_Payments!E:E,Raw_Payments!B:B,A558)</f>
        <v/>
      </c>
      <c r="J558" s="5">
        <f>H558-I558</f>
        <v/>
      </c>
      <c r="K558" s="3">
        <f>IF(J558&lt;=0.005,"PAID",IF(I558&gt;0,"PARTIAL","OVERDUE"))</f>
        <v/>
      </c>
      <c r="L558" s="4">
        <f>IF(COUNTIFS(Raw_Payments!B:B,A558)=0,"",SUMPRODUCT(MAX((Raw_Payments!B$2:B$1079=A558)*Raw_Payments!D$2:D$1079)))</f>
        <v/>
      </c>
      <c r="M558" s="3">
        <f>IF(K558="PAID",MAX(0,L558-G558),Guide!$B$3-G558)</f>
        <v/>
      </c>
      <c r="N558" s="3">
        <f>IF(J558&lt;=0.005,"COLLECTED",IF(M558&lt;=30,"1-30",IF(M558&lt;=60,"31-60",IF(M558&lt;=90,"61-90","90+"))))</f>
        <v/>
      </c>
      <c r="O558" s="3">
        <f>IF(N558="90+","LOST",IF(N558="61-90","ESCALATE",IF(N558="31-60","WATCH",IF(N558="1-30","MILD","OK"))))</f>
        <v/>
      </c>
      <c r="P558" s="3">
        <f>IF(J558&gt;0.005,ROW()-1,"")</f>
        <v/>
      </c>
    </row>
    <row r="559">
      <c r="A559" s="3" t="inlineStr">
        <is>
          <t>D0558</t>
        </is>
      </c>
      <c r="B559" s="3">
        <f>INDEX(Raw_Schedule!B:B,MATCH(A559,Raw_Schedule!A:A,0))</f>
        <v/>
      </c>
      <c r="C559" s="3">
        <f>INDEX(Raw_Schedule!C:C,MATCH(A559,Raw_Schedule!A:A,0))</f>
        <v/>
      </c>
      <c r="D559" s="3">
        <f>INDEX(Raw_Schedule!D:D,MATCH(A559,Raw_Schedule!A:A,0))</f>
        <v/>
      </c>
      <c r="E559" s="3">
        <f>INDEX(Raw_Schedule!E:E,MATCH(A559,Raw_Schedule!A:A,0))</f>
        <v/>
      </c>
      <c r="F559" s="3">
        <f>INDEX(Raw_Schedule!F:F,MATCH(A559,Raw_Schedule!A:A,0))</f>
        <v/>
      </c>
      <c r="G559" s="4">
        <f>INDEX(Raw_Schedule!G:G,MATCH(A559,Raw_Schedule!A:A,0))</f>
        <v/>
      </c>
      <c r="H559" s="5">
        <f>INDEX(Raw_Schedule!H:H,MATCH(A559,Raw_Schedule!A:A,0))</f>
        <v/>
      </c>
      <c r="I559" s="5">
        <f>SUMIFS(Raw_Payments!E:E,Raw_Payments!B:B,A559)</f>
        <v/>
      </c>
      <c r="J559" s="5">
        <f>H559-I559</f>
        <v/>
      </c>
      <c r="K559" s="3">
        <f>IF(J559&lt;=0.005,"PAID",IF(I559&gt;0,"PARTIAL","OVERDUE"))</f>
        <v/>
      </c>
      <c r="L559" s="4">
        <f>IF(COUNTIFS(Raw_Payments!B:B,A559)=0,"",SUMPRODUCT(MAX((Raw_Payments!B$2:B$1079=A559)*Raw_Payments!D$2:D$1079)))</f>
        <v/>
      </c>
      <c r="M559" s="3">
        <f>IF(K559="PAID",MAX(0,L559-G559),Guide!$B$3-G559)</f>
        <v/>
      </c>
      <c r="N559" s="3">
        <f>IF(J559&lt;=0.005,"COLLECTED",IF(M559&lt;=30,"1-30",IF(M559&lt;=60,"31-60",IF(M559&lt;=90,"61-90","90+"))))</f>
        <v/>
      </c>
      <c r="O559" s="3">
        <f>IF(N559="90+","LOST",IF(N559="61-90","ESCALATE",IF(N559="31-60","WATCH",IF(N559="1-30","MILD","OK"))))</f>
        <v/>
      </c>
      <c r="P559" s="3">
        <f>IF(J559&gt;0.005,ROW()-1,"")</f>
        <v/>
      </c>
    </row>
    <row r="560">
      <c r="A560" s="3" t="inlineStr">
        <is>
          <t>D0559</t>
        </is>
      </c>
      <c r="B560" s="3">
        <f>INDEX(Raw_Schedule!B:B,MATCH(A560,Raw_Schedule!A:A,0))</f>
        <v/>
      </c>
      <c r="C560" s="3">
        <f>INDEX(Raw_Schedule!C:C,MATCH(A560,Raw_Schedule!A:A,0))</f>
        <v/>
      </c>
      <c r="D560" s="3">
        <f>INDEX(Raw_Schedule!D:D,MATCH(A560,Raw_Schedule!A:A,0))</f>
        <v/>
      </c>
      <c r="E560" s="3">
        <f>INDEX(Raw_Schedule!E:E,MATCH(A560,Raw_Schedule!A:A,0))</f>
        <v/>
      </c>
      <c r="F560" s="3">
        <f>INDEX(Raw_Schedule!F:F,MATCH(A560,Raw_Schedule!A:A,0))</f>
        <v/>
      </c>
      <c r="G560" s="4">
        <f>INDEX(Raw_Schedule!G:G,MATCH(A560,Raw_Schedule!A:A,0))</f>
        <v/>
      </c>
      <c r="H560" s="5">
        <f>INDEX(Raw_Schedule!H:H,MATCH(A560,Raw_Schedule!A:A,0))</f>
        <v/>
      </c>
      <c r="I560" s="5">
        <f>SUMIFS(Raw_Payments!E:E,Raw_Payments!B:B,A560)</f>
        <v/>
      </c>
      <c r="J560" s="5">
        <f>H560-I560</f>
        <v/>
      </c>
      <c r="K560" s="3">
        <f>IF(J560&lt;=0.005,"PAID",IF(I560&gt;0,"PARTIAL","OVERDUE"))</f>
        <v/>
      </c>
      <c r="L560" s="4">
        <f>IF(COUNTIFS(Raw_Payments!B:B,A560)=0,"",SUMPRODUCT(MAX((Raw_Payments!B$2:B$1079=A560)*Raw_Payments!D$2:D$1079)))</f>
        <v/>
      </c>
      <c r="M560" s="3">
        <f>IF(K560="PAID",MAX(0,L560-G560),Guide!$B$3-G560)</f>
        <v/>
      </c>
      <c r="N560" s="3">
        <f>IF(J560&lt;=0.005,"COLLECTED",IF(M560&lt;=30,"1-30",IF(M560&lt;=60,"31-60",IF(M560&lt;=90,"61-90","90+"))))</f>
        <v/>
      </c>
      <c r="O560" s="3">
        <f>IF(N560="90+","LOST",IF(N560="61-90","ESCALATE",IF(N560="31-60","WATCH",IF(N560="1-30","MILD","OK"))))</f>
        <v/>
      </c>
      <c r="P560" s="3">
        <f>IF(J560&gt;0.005,ROW()-1,"")</f>
        <v/>
      </c>
    </row>
    <row r="561">
      <c r="A561" s="3" t="inlineStr">
        <is>
          <t>D0560</t>
        </is>
      </c>
      <c r="B561" s="3">
        <f>INDEX(Raw_Schedule!B:B,MATCH(A561,Raw_Schedule!A:A,0))</f>
        <v/>
      </c>
      <c r="C561" s="3">
        <f>INDEX(Raw_Schedule!C:C,MATCH(A561,Raw_Schedule!A:A,0))</f>
        <v/>
      </c>
      <c r="D561" s="3">
        <f>INDEX(Raw_Schedule!D:D,MATCH(A561,Raw_Schedule!A:A,0))</f>
        <v/>
      </c>
      <c r="E561" s="3">
        <f>INDEX(Raw_Schedule!E:E,MATCH(A561,Raw_Schedule!A:A,0))</f>
        <v/>
      </c>
      <c r="F561" s="3">
        <f>INDEX(Raw_Schedule!F:F,MATCH(A561,Raw_Schedule!A:A,0))</f>
        <v/>
      </c>
      <c r="G561" s="4">
        <f>INDEX(Raw_Schedule!G:G,MATCH(A561,Raw_Schedule!A:A,0))</f>
        <v/>
      </c>
      <c r="H561" s="5">
        <f>INDEX(Raw_Schedule!H:H,MATCH(A561,Raw_Schedule!A:A,0))</f>
        <v/>
      </c>
      <c r="I561" s="5">
        <f>SUMIFS(Raw_Payments!E:E,Raw_Payments!B:B,A561)</f>
        <v/>
      </c>
      <c r="J561" s="5">
        <f>H561-I561</f>
        <v/>
      </c>
      <c r="K561" s="3">
        <f>IF(J561&lt;=0.005,"PAID",IF(I561&gt;0,"PARTIAL","OVERDUE"))</f>
        <v/>
      </c>
      <c r="L561" s="4">
        <f>IF(COUNTIFS(Raw_Payments!B:B,A561)=0,"",SUMPRODUCT(MAX((Raw_Payments!B$2:B$1079=A561)*Raw_Payments!D$2:D$1079)))</f>
        <v/>
      </c>
      <c r="M561" s="3">
        <f>IF(K561="PAID",MAX(0,L561-G561),Guide!$B$3-G561)</f>
        <v/>
      </c>
      <c r="N561" s="3">
        <f>IF(J561&lt;=0.005,"COLLECTED",IF(M561&lt;=30,"1-30",IF(M561&lt;=60,"31-60",IF(M561&lt;=90,"61-90","90+"))))</f>
        <v/>
      </c>
      <c r="O561" s="3">
        <f>IF(N561="90+","LOST",IF(N561="61-90","ESCALATE",IF(N561="31-60","WATCH",IF(N561="1-30","MILD","OK"))))</f>
        <v/>
      </c>
      <c r="P561" s="3">
        <f>IF(J561&gt;0.005,ROW()-1,"")</f>
        <v/>
      </c>
    </row>
    <row r="562">
      <c r="A562" s="3" t="inlineStr">
        <is>
          <t>D0561</t>
        </is>
      </c>
      <c r="B562" s="3">
        <f>INDEX(Raw_Schedule!B:B,MATCH(A562,Raw_Schedule!A:A,0))</f>
        <v/>
      </c>
      <c r="C562" s="3">
        <f>INDEX(Raw_Schedule!C:C,MATCH(A562,Raw_Schedule!A:A,0))</f>
        <v/>
      </c>
      <c r="D562" s="3">
        <f>INDEX(Raw_Schedule!D:D,MATCH(A562,Raw_Schedule!A:A,0))</f>
        <v/>
      </c>
      <c r="E562" s="3">
        <f>INDEX(Raw_Schedule!E:E,MATCH(A562,Raw_Schedule!A:A,0))</f>
        <v/>
      </c>
      <c r="F562" s="3">
        <f>INDEX(Raw_Schedule!F:F,MATCH(A562,Raw_Schedule!A:A,0))</f>
        <v/>
      </c>
      <c r="G562" s="4">
        <f>INDEX(Raw_Schedule!G:G,MATCH(A562,Raw_Schedule!A:A,0))</f>
        <v/>
      </c>
      <c r="H562" s="5">
        <f>INDEX(Raw_Schedule!H:H,MATCH(A562,Raw_Schedule!A:A,0))</f>
        <v/>
      </c>
      <c r="I562" s="5">
        <f>SUMIFS(Raw_Payments!E:E,Raw_Payments!B:B,A562)</f>
        <v/>
      </c>
      <c r="J562" s="5">
        <f>H562-I562</f>
        <v/>
      </c>
      <c r="K562" s="3">
        <f>IF(J562&lt;=0.005,"PAID",IF(I562&gt;0,"PARTIAL","OVERDUE"))</f>
        <v/>
      </c>
      <c r="L562" s="4">
        <f>IF(COUNTIFS(Raw_Payments!B:B,A562)=0,"",SUMPRODUCT(MAX((Raw_Payments!B$2:B$1079=A562)*Raw_Payments!D$2:D$1079)))</f>
        <v/>
      </c>
      <c r="M562" s="3">
        <f>IF(K562="PAID",MAX(0,L562-G562),Guide!$B$3-G562)</f>
        <v/>
      </c>
      <c r="N562" s="3">
        <f>IF(J562&lt;=0.005,"COLLECTED",IF(M562&lt;=30,"1-30",IF(M562&lt;=60,"31-60",IF(M562&lt;=90,"61-90","90+"))))</f>
        <v/>
      </c>
      <c r="O562" s="3">
        <f>IF(N562="90+","LOST",IF(N562="61-90","ESCALATE",IF(N562="31-60","WATCH",IF(N562="1-30","MILD","OK"))))</f>
        <v/>
      </c>
      <c r="P562" s="3">
        <f>IF(J562&gt;0.005,ROW()-1,"")</f>
        <v/>
      </c>
    </row>
    <row r="563">
      <c r="A563" s="3" t="inlineStr">
        <is>
          <t>D0562</t>
        </is>
      </c>
      <c r="B563" s="3">
        <f>INDEX(Raw_Schedule!B:B,MATCH(A563,Raw_Schedule!A:A,0))</f>
        <v/>
      </c>
      <c r="C563" s="3">
        <f>INDEX(Raw_Schedule!C:C,MATCH(A563,Raw_Schedule!A:A,0))</f>
        <v/>
      </c>
      <c r="D563" s="3">
        <f>INDEX(Raw_Schedule!D:D,MATCH(A563,Raw_Schedule!A:A,0))</f>
        <v/>
      </c>
      <c r="E563" s="3">
        <f>INDEX(Raw_Schedule!E:E,MATCH(A563,Raw_Schedule!A:A,0))</f>
        <v/>
      </c>
      <c r="F563" s="3">
        <f>INDEX(Raw_Schedule!F:F,MATCH(A563,Raw_Schedule!A:A,0))</f>
        <v/>
      </c>
      <c r="G563" s="4">
        <f>INDEX(Raw_Schedule!G:G,MATCH(A563,Raw_Schedule!A:A,0))</f>
        <v/>
      </c>
      <c r="H563" s="5">
        <f>INDEX(Raw_Schedule!H:H,MATCH(A563,Raw_Schedule!A:A,0))</f>
        <v/>
      </c>
      <c r="I563" s="5">
        <f>SUMIFS(Raw_Payments!E:E,Raw_Payments!B:B,A563)</f>
        <v/>
      </c>
      <c r="J563" s="5">
        <f>H563-I563</f>
        <v/>
      </c>
      <c r="K563" s="3">
        <f>IF(J563&lt;=0.005,"PAID",IF(I563&gt;0,"PARTIAL","OVERDUE"))</f>
        <v/>
      </c>
      <c r="L563" s="4">
        <f>IF(COUNTIFS(Raw_Payments!B:B,A563)=0,"",SUMPRODUCT(MAX((Raw_Payments!B$2:B$1079=A563)*Raw_Payments!D$2:D$1079)))</f>
        <v/>
      </c>
      <c r="M563" s="3">
        <f>IF(K563="PAID",MAX(0,L563-G563),Guide!$B$3-G563)</f>
        <v/>
      </c>
      <c r="N563" s="3">
        <f>IF(J563&lt;=0.005,"COLLECTED",IF(M563&lt;=30,"1-30",IF(M563&lt;=60,"31-60",IF(M563&lt;=90,"61-90","90+"))))</f>
        <v/>
      </c>
      <c r="O563" s="3">
        <f>IF(N563="90+","LOST",IF(N563="61-90","ESCALATE",IF(N563="31-60","WATCH",IF(N563="1-30","MILD","OK"))))</f>
        <v/>
      </c>
      <c r="P563" s="3">
        <f>IF(J563&gt;0.005,ROW()-1,"")</f>
        <v/>
      </c>
    </row>
    <row r="564">
      <c r="A564" s="3" t="inlineStr">
        <is>
          <t>D0563</t>
        </is>
      </c>
      <c r="B564" s="3">
        <f>INDEX(Raw_Schedule!B:B,MATCH(A564,Raw_Schedule!A:A,0))</f>
        <v/>
      </c>
      <c r="C564" s="3">
        <f>INDEX(Raw_Schedule!C:C,MATCH(A564,Raw_Schedule!A:A,0))</f>
        <v/>
      </c>
      <c r="D564" s="3">
        <f>INDEX(Raw_Schedule!D:D,MATCH(A564,Raw_Schedule!A:A,0))</f>
        <v/>
      </c>
      <c r="E564" s="3">
        <f>INDEX(Raw_Schedule!E:E,MATCH(A564,Raw_Schedule!A:A,0))</f>
        <v/>
      </c>
      <c r="F564" s="3">
        <f>INDEX(Raw_Schedule!F:F,MATCH(A564,Raw_Schedule!A:A,0))</f>
        <v/>
      </c>
      <c r="G564" s="4">
        <f>INDEX(Raw_Schedule!G:G,MATCH(A564,Raw_Schedule!A:A,0))</f>
        <v/>
      </c>
      <c r="H564" s="5">
        <f>INDEX(Raw_Schedule!H:H,MATCH(A564,Raw_Schedule!A:A,0))</f>
        <v/>
      </c>
      <c r="I564" s="5">
        <f>SUMIFS(Raw_Payments!E:E,Raw_Payments!B:B,A564)</f>
        <v/>
      </c>
      <c r="J564" s="5">
        <f>H564-I564</f>
        <v/>
      </c>
      <c r="K564" s="3">
        <f>IF(J564&lt;=0.005,"PAID",IF(I564&gt;0,"PARTIAL","OVERDUE"))</f>
        <v/>
      </c>
      <c r="L564" s="4">
        <f>IF(COUNTIFS(Raw_Payments!B:B,A564)=0,"",SUMPRODUCT(MAX((Raw_Payments!B$2:B$1079=A564)*Raw_Payments!D$2:D$1079)))</f>
        <v/>
      </c>
      <c r="M564" s="3">
        <f>IF(K564="PAID",MAX(0,L564-G564),Guide!$B$3-G564)</f>
        <v/>
      </c>
      <c r="N564" s="3">
        <f>IF(J564&lt;=0.005,"COLLECTED",IF(M564&lt;=30,"1-30",IF(M564&lt;=60,"31-60",IF(M564&lt;=90,"61-90","90+"))))</f>
        <v/>
      </c>
      <c r="O564" s="3">
        <f>IF(N564="90+","LOST",IF(N564="61-90","ESCALATE",IF(N564="31-60","WATCH",IF(N564="1-30","MILD","OK"))))</f>
        <v/>
      </c>
      <c r="P564" s="3">
        <f>IF(J564&gt;0.005,ROW()-1,"")</f>
        <v/>
      </c>
    </row>
    <row r="565">
      <c r="A565" s="3" t="inlineStr">
        <is>
          <t>D0564</t>
        </is>
      </c>
      <c r="B565" s="3">
        <f>INDEX(Raw_Schedule!B:B,MATCH(A565,Raw_Schedule!A:A,0))</f>
        <v/>
      </c>
      <c r="C565" s="3">
        <f>INDEX(Raw_Schedule!C:C,MATCH(A565,Raw_Schedule!A:A,0))</f>
        <v/>
      </c>
      <c r="D565" s="3">
        <f>INDEX(Raw_Schedule!D:D,MATCH(A565,Raw_Schedule!A:A,0))</f>
        <v/>
      </c>
      <c r="E565" s="3">
        <f>INDEX(Raw_Schedule!E:E,MATCH(A565,Raw_Schedule!A:A,0))</f>
        <v/>
      </c>
      <c r="F565" s="3">
        <f>INDEX(Raw_Schedule!F:F,MATCH(A565,Raw_Schedule!A:A,0))</f>
        <v/>
      </c>
      <c r="G565" s="4">
        <f>INDEX(Raw_Schedule!G:G,MATCH(A565,Raw_Schedule!A:A,0))</f>
        <v/>
      </c>
      <c r="H565" s="5">
        <f>INDEX(Raw_Schedule!H:H,MATCH(A565,Raw_Schedule!A:A,0))</f>
        <v/>
      </c>
      <c r="I565" s="5">
        <f>SUMIFS(Raw_Payments!E:E,Raw_Payments!B:B,A565)</f>
        <v/>
      </c>
      <c r="J565" s="5">
        <f>H565-I565</f>
        <v/>
      </c>
      <c r="K565" s="3">
        <f>IF(J565&lt;=0.005,"PAID",IF(I565&gt;0,"PARTIAL","OVERDUE"))</f>
        <v/>
      </c>
      <c r="L565" s="4">
        <f>IF(COUNTIFS(Raw_Payments!B:B,A565)=0,"",SUMPRODUCT(MAX((Raw_Payments!B$2:B$1079=A565)*Raw_Payments!D$2:D$1079)))</f>
        <v/>
      </c>
      <c r="M565" s="3">
        <f>IF(K565="PAID",MAX(0,L565-G565),Guide!$B$3-G565)</f>
        <v/>
      </c>
      <c r="N565" s="3">
        <f>IF(J565&lt;=0.005,"COLLECTED",IF(M565&lt;=30,"1-30",IF(M565&lt;=60,"31-60",IF(M565&lt;=90,"61-90","90+"))))</f>
        <v/>
      </c>
      <c r="O565" s="3">
        <f>IF(N565="90+","LOST",IF(N565="61-90","ESCALATE",IF(N565="31-60","WATCH",IF(N565="1-30","MILD","OK"))))</f>
        <v/>
      </c>
      <c r="P565" s="3">
        <f>IF(J565&gt;0.005,ROW()-1,"")</f>
        <v/>
      </c>
    </row>
    <row r="566">
      <c r="A566" s="3" t="inlineStr">
        <is>
          <t>D0565</t>
        </is>
      </c>
      <c r="B566" s="3">
        <f>INDEX(Raw_Schedule!B:B,MATCH(A566,Raw_Schedule!A:A,0))</f>
        <v/>
      </c>
      <c r="C566" s="3">
        <f>INDEX(Raw_Schedule!C:C,MATCH(A566,Raw_Schedule!A:A,0))</f>
        <v/>
      </c>
      <c r="D566" s="3">
        <f>INDEX(Raw_Schedule!D:D,MATCH(A566,Raw_Schedule!A:A,0))</f>
        <v/>
      </c>
      <c r="E566" s="3">
        <f>INDEX(Raw_Schedule!E:E,MATCH(A566,Raw_Schedule!A:A,0))</f>
        <v/>
      </c>
      <c r="F566" s="3">
        <f>INDEX(Raw_Schedule!F:F,MATCH(A566,Raw_Schedule!A:A,0))</f>
        <v/>
      </c>
      <c r="G566" s="4">
        <f>INDEX(Raw_Schedule!G:G,MATCH(A566,Raw_Schedule!A:A,0))</f>
        <v/>
      </c>
      <c r="H566" s="5">
        <f>INDEX(Raw_Schedule!H:H,MATCH(A566,Raw_Schedule!A:A,0))</f>
        <v/>
      </c>
      <c r="I566" s="5">
        <f>SUMIFS(Raw_Payments!E:E,Raw_Payments!B:B,A566)</f>
        <v/>
      </c>
      <c r="J566" s="5">
        <f>H566-I566</f>
        <v/>
      </c>
      <c r="K566" s="3">
        <f>IF(J566&lt;=0.005,"PAID",IF(I566&gt;0,"PARTIAL","OVERDUE"))</f>
        <v/>
      </c>
      <c r="L566" s="4">
        <f>IF(COUNTIFS(Raw_Payments!B:B,A566)=0,"",SUMPRODUCT(MAX((Raw_Payments!B$2:B$1079=A566)*Raw_Payments!D$2:D$1079)))</f>
        <v/>
      </c>
      <c r="M566" s="3">
        <f>IF(K566="PAID",MAX(0,L566-G566),Guide!$B$3-G566)</f>
        <v/>
      </c>
      <c r="N566" s="3">
        <f>IF(J566&lt;=0.005,"COLLECTED",IF(M566&lt;=30,"1-30",IF(M566&lt;=60,"31-60",IF(M566&lt;=90,"61-90","90+"))))</f>
        <v/>
      </c>
      <c r="O566" s="3">
        <f>IF(N566="90+","LOST",IF(N566="61-90","ESCALATE",IF(N566="31-60","WATCH",IF(N566="1-30","MILD","OK"))))</f>
        <v/>
      </c>
      <c r="P566" s="3">
        <f>IF(J566&gt;0.005,ROW()-1,"")</f>
        <v/>
      </c>
    </row>
    <row r="567">
      <c r="A567" s="3" t="inlineStr">
        <is>
          <t>D0566</t>
        </is>
      </c>
      <c r="B567" s="3">
        <f>INDEX(Raw_Schedule!B:B,MATCH(A567,Raw_Schedule!A:A,0))</f>
        <v/>
      </c>
      <c r="C567" s="3">
        <f>INDEX(Raw_Schedule!C:C,MATCH(A567,Raw_Schedule!A:A,0))</f>
        <v/>
      </c>
      <c r="D567" s="3">
        <f>INDEX(Raw_Schedule!D:D,MATCH(A567,Raw_Schedule!A:A,0))</f>
        <v/>
      </c>
      <c r="E567" s="3">
        <f>INDEX(Raw_Schedule!E:E,MATCH(A567,Raw_Schedule!A:A,0))</f>
        <v/>
      </c>
      <c r="F567" s="3">
        <f>INDEX(Raw_Schedule!F:F,MATCH(A567,Raw_Schedule!A:A,0))</f>
        <v/>
      </c>
      <c r="G567" s="4">
        <f>INDEX(Raw_Schedule!G:G,MATCH(A567,Raw_Schedule!A:A,0))</f>
        <v/>
      </c>
      <c r="H567" s="5">
        <f>INDEX(Raw_Schedule!H:H,MATCH(A567,Raw_Schedule!A:A,0))</f>
        <v/>
      </c>
      <c r="I567" s="5">
        <f>SUMIFS(Raw_Payments!E:E,Raw_Payments!B:B,A567)</f>
        <v/>
      </c>
      <c r="J567" s="5">
        <f>H567-I567</f>
        <v/>
      </c>
      <c r="K567" s="3">
        <f>IF(J567&lt;=0.005,"PAID",IF(I567&gt;0,"PARTIAL","OVERDUE"))</f>
        <v/>
      </c>
      <c r="L567" s="4">
        <f>IF(COUNTIFS(Raw_Payments!B:B,A567)=0,"",SUMPRODUCT(MAX((Raw_Payments!B$2:B$1079=A567)*Raw_Payments!D$2:D$1079)))</f>
        <v/>
      </c>
      <c r="M567" s="3">
        <f>IF(K567="PAID",MAX(0,L567-G567),Guide!$B$3-G567)</f>
        <v/>
      </c>
      <c r="N567" s="3">
        <f>IF(J567&lt;=0.005,"COLLECTED",IF(M567&lt;=30,"1-30",IF(M567&lt;=60,"31-60",IF(M567&lt;=90,"61-90","90+"))))</f>
        <v/>
      </c>
      <c r="O567" s="3">
        <f>IF(N567="90+","LOST",IF(N567="61-90","ESCALATE",IF(N567="31-60","WATCH",IF(N567="1-30","MILD","OK"))))</f>
        <v/>
      </c>
      <c r="P567" s="3">
        <f>IF(J567&gt;0.005,ROW()-1,"")</f>
        <v/>
      </c>
    </row>
    <row r="568">
      <c r="A568" s="3" t="inlineStr">
        <is>
          <t>D0567</t>
        </is>
      </c>
      <c r="B568" s="3">
        <f>INDEX(Raw_Schedule!B:B,MATCH(A568,Raw_Schedule!A:A,0))</f>
        <v/>
      </c>
      <c r="C568" s="3">
        <f>INDEX(Raw_Schedule!C:C,MATCH(A568,Raw_Schedule!A:A,0))</f>
        <v/>
      </c>
      <c r="D568" s="3">
        <f>INDEX(Raw_Schedule!D:D,MATCH(A568,Raw_Schedule!A:A,0))</f>
        <v/>
      </c>
      <c r="E568" s="3">
        <f>INDEX(Raw_Schedule!E:E,MATCH(A568,Raw_Schedule!A:A,0))</f>
        <v/>
      </c>
      <c r="F568" s="3">
        <f>INDEX(Raw_Schedule!F:F,MATCH(A568,Raw_Schedule!A:A,0))</f>
        <v/>
      </c>
      <c r="G568" s="4">
        <f>INDEX(Raw_Schedule!G:G,MATCH(A568,Raw_Schedule!A:A,0))</f>
        <v/>
      </c>
      <c r="H568" s="5">
        <f>INDEX(Raw_Schedule!H:H,MATCH(A568,Raw_Schedule!A:A,0))</f>
        <v/>
      </c>
      <c r="I568" s="5">
        <f>SUMIFS(Raw_Payments!E:E,Raw_Payments!B:B,A568)</f>
        <v/>
      </c>
      <c r="J568" s="5">
        <f>H568-I568</f>
        <v/>
      </c>
      <c r="K568" s="3">
        <f>IF(J568&lt;=0.005,"PAID",IF(I568&gt;0,"PARTIAL","OVERDUE"))</f>
        <v/>
      </c>
      <c r="L568" s="4">
        <f>IF(COUNTIFS(Raw_Payments!B:B,A568)=0,"",SUMPRODUCT(MAX((Raw_Payments!B$2:B$1079=A568)*Raw_Payments!D$2:D$1079)))</f>
        <v/>
      </c>
      <c r="M568" s="3">
        <f>IF(K568="PAID",MAX(0,L568-G568),Guide!$B$3-G568)</f>
        <v/>
      </c>
      <c r="N568" s="3">
        <f>IF(J568&lt;=0.005,"COLLECTED",IF(M568&lt;=30,"1-30",IF(M568&lt;=60,"31-60",IF(M568&lt;=90,"61-90","90+"))))</f>
        <v/>
      </c>
      <c r="O568" s="3">
        <f>IF(N568="90+","LOST",IF(N568="61-90","ESCALATE",IF(N568="31-60","WATCH",IF(N568="1-30","MILD","OK"))))</f>
        <v/>
      </c>
      <c r="P568" s="3">
        <f>IF(J568&gt;0.005,ROW()-1,"")</f>
        <v/>
      </c>
    </row>
    <row r="569">
      <c r="A569" s="3" t="inlineStr">
        <is>
          <t>D0568</t>
        </is>
      </c>
      <c r="B569" s="3">
        <f>INDEX(Raw_Schedule!B:B,MATCH(A569,Raw_Schedule!A:A,0))</f>
        <v/>
      </c>
      <c r="C569" s="3">
        <f>INDEX(Raw_Schedule!C:C,MATCH(A569,Raw_Schedule!A:A,0))</f>
        <v/>
      </c>
      <c r="D569" s="3">
        <f>INDEX(Raw_Schedule!D:D,MATCH(A569,Raw_Schedule!A:A,0))</f>
        <v/>
      </c>
      <c r="E569" s="3">
        <f>INDEX(Raw_Schedule!E:E,MATCH(A569,Raw_Schedule!A:A,0))</f>
        <v/>
      </c>
      <c r="F569" s="3">
        <f>INDEX(Raw_Schedule!F:F,MATCH(A569,Raw_Schedule!A:A,0))</f>
        <v/>
      </c>
      <c r="G569" s="4">
        <f>INDEX(Raw_Schedule!G:G,MATCH(A569,Raw_Schedule!A:A,0))</f>
        <v/>
      </c>
      <c r="H569" s="5">
        <f>INDEX(Raw_Schedule!H:H,MATCH(A569,Raw_Schedule!A:A,0))</f>
        <v/>
      </c>
      <c r="I569" s="5">
        <f>SUMIFS(Raw_Payments!E:E,Raw_Payments!B:B,A569)</f>
        <v/>
      </c>
      <c r="J569" s="5">
        <f>H569-I569</f>
        <v/>
      </c>
      <c r="K569" s="3">
        <f>IF(J569&lt;=0.005,"PAID",IF(I569&gt;0,"PARTIAL","OVERDUE"))</f>
        <v/>
      </c>
      <c r="L569" s="4">
        <f>IF(COUNTIFS(Raw_Payments!B:B,A569)=0,"",SUMPRODUCT(MAX((Raw_Payments!B$2:B$1079=A569)*Raw_Payments!D$2:D$1079)))</f>
        <v/>
      </c>
      <c r="M569" s="3">
        <f>IF(K569="PAID",MAX(0,L569-G569),Guide!$B$3-G569)</f>
        <v/>
      </c>
      <c r="N569" s="3">
        <f>IF(J569&lt;=0.005,"COLLECTED",IF(M569&lt;=30,"1-30",IF(M569&lt;=60,"31-60",IF(M569&lt;=90,"61-90","90+"))))</f>
        <v/>
      </c>
      <c r="O569" s="3">
        <f>IF(N569="90+","LOST",IF(N569="61-90","ESCALATE",IF(N569="31-60","WATCH",IF(N569="1-30","MILD","OK"))))</f>
        <v/>
      </c>
      <c r="P569" s="3">
        <f>IF(J569&gt;0.005,ROW()-1,"")</f>
        <v/>
      </c>
    </row>
    <row r="570">
      <c r="A570" s="3" t="inlineStr">
        <is>
          <t>D0569</t>
        </is>
      </c>
      <c r="B570" s="3">
        <f>INDEX(Raw_Schedule!B:B,MATCH(A570,Raw_Schedule!A:A,0))</f>
        <v/>
      </c>
      <c r="C570" s="3">
        <f>INDEX(Raw_Schedule!C:C,MATCH(A570,Raw_Schedule!A:A,0))</f>
        <v/>
      </c>
      <c r="D570" s="3">
        <f>INDEX(Raw_Schedule!D:D,MATCH(A570,Raw_Schedule!A:A,0))</f>
        <v/>
      </c>
      <c r="E570" s="3">
        <f>INDEX(Raw_Schedule!E:E,MATCH(A570,Raw_Schedule!A:A,0))</f>
        <v/>
      </c>
      <c r="F570" s="3">
        <f>INDEX(Raw_Schedule!F:F,MATCH(A570,Raw_Schedule!A:A,0))</f>
        <v/>
      </c>
      <c r="G570" s="4">
        <f>INDEX(Raw_Schedule!G:G,MATCH(A570,Raw_Schedule!A:A,0))</f>
        <v/>
      </c>
      <c r="H570" s="5">
        <f>INDEX(Raw_Schedule!H:H,MATCH(A570,Raw_Schedule!A:A,0))</f>
        <v/>
      </c>
      <c r="I570" s="5">
        <f>SUMIFS(Raw_Payments!E:E,Raw_Payments!B:B,A570)</f>
        <v/>
      </c>
      <c r="J570" s="5">
        <f>H570-I570</f>
        <v/>
      </c>
      <c r="K570" s="3">
        <f>IF(J570&lt;=0.005,"PAID",IF(I570&gt;0,"PARTIAL","OVERDUE"))</f>
        <v/>
      </c>
      <c r="L570" s="4">
        <f>IF(COUNTIFS(Raw_Payments!B:B,A570)=0,"",SUMPRODUCT(MAX((Raw_Payments!B$2:B$1079=A570)*Raw_Payments!D$2:D$1079)))</f>
        <v/>
      </c>
      <c r="M570" s="3">
        <f>IF(K570="PAID",MAX(0,L570-G570),Guide!$B$3-G570)</f>
        <v/>
      </c>
      <c r="N570" s="3">
        <f>IF(J570&lt;=0.005,"COLLECTED",IF(M570&lt;=30,"1-30",IF(M570&lt;=60,"31-60",IF(M570&lt;=90,"61-90","90+"))))</f>
        <v/>
      </c>
      <c r="O570" s="3">
        <f>IF(N570="90+","LOST",IF(N570="61-90","ESCALATE",IF(N570="31-60","WATCH",IF(N570="1-30","MILD","OK"))))</f>
        <v/>
      </c>
      <c r="P570" s="3">
        <f>IF(J570&gt;0.005,ROW()-1,"")</f>
        <v/>
      </c>
    </row>
    <row r="571">
      <c r="A571" s="3" t="inlineStr">
        <is>
          <t>D0570</t>
        </is>
      </c>
      <c r="B571" s="3">
        <f>INDEX(Raw_Schedule!B:B,MATCH(A571,Raw_Schedule!A:A,0))</f>
        <v/>
      </c>
      <c r="C571" s="3">
        <f>INDEX(Raw_Schedule!C:C,MATCH(A571,Raw_Schedule!A:A,0))</f>
        <v/>
      </c>
      <c r="D571" s="3">
        <f>INDEX(Raw_Schedule!D:D,MATCH(A571,Raw_Schedule!A:A,0))</f>
        <v/>
      </c>
      <c r="E571" s="3">
        <f>INDEX(Raw_Schedule!E:E,MATCH(A571,Raw_Schedule!A:A,0))</f>
        <v/>
      </c>
      <c r="F571" s="3">
        <f>INDEX(Raw_Schedule!F:F,MATCH(A571,Raw_Schedule!A:A,0))</f>
        <v/>
      </c>
      <c r="G571" s="4">
        <f>INDEX(Raw_Schedule!G:G,MATCH(A571,Raw_Schedule!A:A,0))</f>
        <v/>
      </c>
      <c r="H571" s="5">
        <f>INDEX(Raw_Schedule!H:H,MATCH(A571,Raw_Schedule!A:A,0))</f>
        <v/>
      </c>
      <c r="I571" s="5">
        <f>SUMIFS(Raw_Payments!E:E,Raw_Payments!B:B,A571)</f>
        <v/>
      </c>
      <c r="J571" s="5">
        <f>H571-I571</f>
        <v/>
      </c>
      <c r="K571" s="3">
        <f>IF(J571&lt;=0.005,"PAID",IF(I571&gt;0,"PARTIAL","OVERDUE"))</f>
        <v/>
      </c>
      <c r="L571" s="4">
        <f>IF(COUNTIFS(Raw_Payments!B:B,A571)=0,"",SUMPRODUCT(MAX((Raw_Payments!B$2:B$1079=A571)*Raw_Payments!D$2:D$1079)))</f>
        <v/>
      </c>
      <c r="M571" s="3">
        <f>IF(K571="PAID",MAX(0,L571-G571),Guide!$B$3-G571)</f>
        <v/>
      </c>
      <c r="N571" s="3">
        <f>IF(J571&lt;=0.005,"COLLECTED",IF(M571&lt;=30,"1-30",IF(M571&lt;=60,"31-60",IF(M571&lt;=90,"61-90","90+"))))</f>
        <v/>
      </c>
      <c r="O571" s="3">
        <f>IF(N571="90+","LOST",IF(N571="61-90","ESCALATE",IF(N571="31-60","WATCH",IF(N571="1-30","MILD","OK"))))</f>
        <v/>
      </c>
      <c r="P571" s="3">
        <f>IF(J571&gt;0.005,ROW()-1,"")</f>
        <v/>
      </c>
    </row>
    <row r="572">
      <c r="A572" s="3" t="inlineStr">
        <is>
          <t>D0571</t>
        </is>
      </c>
      <c r="B572" s="3">
        <f>INDEX(Raw_Schedule!B:B,MATCH(A572,Raw_Schedule!A:A,0))</f>
        <v/>
      </c>
      <c r="C572" s="3">
        <f>INDEX(Raw_Schedule!C:C,MATCH(A572,Raw_Schedule!A:A,0))</f>
        <v/>
      </c>
      <c r="D572" s="3">
        <f>INDEX(Raw_Schedule!D:D,MATCH(A572,Raw_Schedule!A:A,0))</f>
        <v/>
      </c>
      <c r="E572" s="3">
        <f>INDEX(Raw_Schedule!E:E,MATCH(A572,Raw_Schedule!A:A,0))</f>
        <v/>
      </c>
      <c r="F572" s="3">
        <f>INDEX(Raw_Schedule!F:F,MATCH(A572,Raw_Schedule!A:A,0))</f>
        <v/>
      </c>
      <c r="G572" s="4">
        <f>INDEX(Raw_Schedule!G:G,MATCH(A572,Raw_Schedule!A:A,0))</f>
        <v/>
      </c>
      <c r="H572" s="5">
        <f>INDEX(Raw_Schedule!H:H,MATCH(A572,Raw_Schedule!A:A,0))</f>
        <v/>
      </c>
      <c r="I572" s="5">
        <f>SUMIFS(Raw_Payments!E:E,Raw_Payments!B:B,A572)</f>
        <v/>
      </c>
      <c r="J572" s="5">
        <f>H572-I572</f>
        <v/>
      </c>
      <c r="K572" s="3">
        <f>IF(J572&lt;=0.005,"PAID",IF(I572&gt;0,"PARTIAL","OVERDUE"))</f>
        <v/>
      </c>
      <c r="L572" s="4">
        <f>IF(COUNTIFS(Raw_Payments!B:B,A572)=0,"",SUMPRODUCT(MAX((Raw_Payments!B$2:B$1079=A572)*Raw_Payments!D$2:D$1079)))</f>
        <v/>
      </c>
      <c r="M572" s="3">
        <f>IF(K572="PAID",MAX(0,L572-G572),Guide!$B$3-G572)</f>
        <v/>
      </c>
      <c r="N572" s="3">
        <f>IF(J572&lt;=0.005,"COLLECTED",IF(M572&lt;=30,"1-30",IF(M572&lt;=60,"31-60",IF(M572&lt;=90,"61-90","90+"))))</f>
        <v/>
      </c>
      <c r="O572" s="3">
        <f>IF(N572="90+","LOST",IF(N572="61-90","ESCALATE",IF(N572="31-60","WATCH",IF(N572="1-30","MILD","OK"))))</f>
        <v/>
      </c>
      <c r="P572" s="3">
        <f>IF(J572&gt;0.005,ROW()-1,"")</f>
        <v/>
      </c>
    </row>
    <row r="573">
      <c r="A573" s="3" t="inlineStr">
        <is>
          <t>D0572</t>
        </is>
      </c>
      <c r="B573" s="3">
        <f>INDEX(Raw_Schedule!B:B,MATCH(A573,Raw_Schedule!A:A,0))</f>
        <v/>
      </c>
      <c r="C573" s="3">
        <f>INDEX(Raw_Schedule!C:C,MATCH(A573,Raw_Schedule!A:A,0))</f>
        <v/>
      </c>
      <c r="D573" s="3">
        <f>INDEX(Raw_Schedule!D:D,MATCH(A573,Raw_Schedule!A:A,0))</f>
        <v/>
      </c>
      <c r="E573" s="3">
        <f>INDEX(Raw_Schedule!E:E,MATCH(A573,Raw_Schedule!A:A,0))</f>
        <v/>
      </c>
      <c r="F573" s="3">
        <f>INDEX(Raw_Schedule!F:F,MATCH(A573,Raw_Schedule!A:A,0))</f>
        <v/>
      </c>
      <c r="G573" s="4">
        <f>INDEX(Raw_Schedule!G:G,MATCH(A573,Raw_Schedule!A:A,0))</f>
        <v/>
      </c>
      <c r="H573" s="5">
        <f>INDEX(Raw_Schedule!H:H,MATCH(A573,Raw_Schedule!A:A,0))</f>
        <v/>
      </c>
      <c r="I573" s="5">
        <f>SUMIFS(Raw_Payments!E:E,Raw_Payments!B:B,A573)</f>
        <v/>
      </c>
      <c r="J573" s="5">
        <f>H573-I573</f>
        <v/>
      </c>
      <c r="K573" s="3">
        <f>IF(J573&lt;=0.005,"PAID",IF(I573&gt;0,"PARTIAL","OVERDUE"))</f>
        <v/>
      </c>
      <c r="L573" s="4">
        <f>IF(COUNTIFS(Raw_Payments!B:B,A573)=0,"",SUMPRODUCT(MAX((Raw_Payments!B$2:B$1079=A573)*Raw_Payments!D$2:D$1079)))</f>
        <v/>
      </c>
      <c r="M573" s="3">
        <f>IF(K573="PAID",MAX(0,L573-G573),Guide!$B$3-G573)</f>
        <v/>
      </c>
      <c r="N573" s="3">
        <f>IF(J573&lt;=0.005,"COLLECTED",IF(M573&lt;=30,"1-30",IF(M573&lt;=60,"31-60",IF(M573&lt;=90,"61-90","90+"))))</f>
        <v/>
      </c>
      <c r="O573" s="3">
        <f>IF(N573="90+","LOST",IF(N573="61-90","ESCALATE",IF(N573="31-60","WATCH",IF(N573="1-30","MILD","OK"))))</f>
        <v/>
      </c>
      <c r="P573" s="3">
        <f>IF(J573&gt;0.005,ROW()-1,"")</f>
        <v/>
      </c>
    </row>
    <row r="574">
      <c r="A574" s="3" t="inlineStr">
        <is>
          <t>D0573</t>
        </is>
      </c>
      <c r="B574" s="3">
        <f>INDEX(Raw_Schedule!B:B,MATCH(A574,Raw_Schedule!A:A,0))</f>
        <v/>
      </c>
      <c r="C574" s="3">
        <f>INDEX(Raw_Schedule!C:C,MATCH(A574,Raw_Schedule!A:A,0))</f>
        <v/>
      </c>
      <c r="D574" s="3">
        <f>INDEX(Raw_Schedule!D:D,MATCH(A574,Raw_Schedule!A:A,0))</f>
        <v/>
      </c>
      <c r="E574" s="3">
        <f>INDEX(Raw_Schedule!E:E,MATCH(A574,Raw_Schedule!A:A,0))</f>
        <v/>
      </c>
      <c r="F574" s="3">
        <f>INDEX(Raw_Schedule!F:F,MATCH(A574,Raw_Schedule!A:A,0))</f>
        <v/>
      </c>
      <c r="G574" s="4">
        <f>INDEX(Raw_Schedule!G:G,MATCH(A574,Raw_Schedule!A:A,0))</f>
        <v/>
      </c>
      <c r="H574" s="5">
        <f>INDEX(Raw_Schedule!H:H,MATCH(A574,Raw_Schedule!A:A,0))</f>
        <v/>
      </c>
      <c r="I574" s="5">
        <f>SUMIFS(Raw_Payments!E:E,Raw_Payments!B:B,A574)</f>
        <v/>
      </c>
      <c r="J574" s="5">
        <f>H574-I574</f>
        <v/>
      </c>
      <c r="K574" s="3">
        <f>IF(J574&lt;=0.005,"PAID",IF(I574&gt;0,"PARTIAL","OVERDUE"))</f>
        <v/>
      </c>
      <c r="L574" s="4">
        <f>IF(COUNTIFS(Raw_Payments!B:B,A574)=0,"",SUMPRODUCT(MAX((Raw_Payments!B$2:B$1079=A574)*Raw_Payments!D$2:D$1079)))</f>
        <v/>
      </c>
      <c r="M574" s="3">
        <f>IF(K574="PAID",MAX(0,L574-G574),Guide!$B$3-G574)</f>
        <v/>
      </c>
      <c r="N574" s="3">
        <f>IF(J574&lt;=0.005,"COLLECTED",IF(M574&lt;=30,"1-30",IF(M574&lt;=60,"31-60",IF(M574&lt;=90,"61-90","90+"))))</f>
        <v/>
      </c>
      <c r="O574" s="3">
        <f>IF(N574="90+","LOST",IF(N574="61-90","ESCALATE",IF(N574="31-60","WATCH",IF(N574="1-30","MILD","OK"))))</f>
        <v/>
      </c>
      <c r="P574" s="3">
        <f>IF(J574&gt;0.005,ROW()-1,"")</f>
        <v/>
      </c>
    </row>
    <row r="575">
      <c r="A575" s="3" t="inlineStr">
        <is>
          <t>D0574</t>
        </is>
      </c>
      <c r="B575" s="3">
        <f>INDEX(Raw_Schedule!B:B,MATCH(A575,Raw_Schedule!A:A,0))</f>
        <v/>
      </c>
      <c r="C575" s="3">
        <f>INDEX(Raw_Schedule!C:C,MATCH(A575,Raw_Schedule!A:A,0))</f>
        <v/>
      </c>
      <c r="D575" s="3">
        <f>INDEX(Raw_Schedule!D:D,MATCH(A575,Raw_Schedule!A:A,0))</f>
        <v/>
      </c>
      <c r="E575" s="3">
        <f>INDEX(Raw_Schedule!E:E,MATCH(A575,Raw_Schedule!A:A,0))</f>
        <v/>
      </c>
      <c r="F575" s="3">
        <f>INDEX(Raw_Schedule!F:F,MATCH(A575,Raw_Schedule!A:A,0))</f>
        <v/>
      </c>
      <c r="G575" s="4">
        <f>INDEX(Raw_Schedule!G:G,MATCH(A575,Raw_Schedule!A:A,0))</f>
        <v/>
      </c>
      <c r="H575" s="5">
        <f>INDEX(Raw_Schedule!H:H,MATCH(A575,Raw_Schedule!A:A,0))</f>
        <v/>
      </c>
      <c r="I575" s="5">
        <f>SUMIFS(Raw_Payments!E:E,Raw_Payments!B:B,A575)</f>
        <v/>
      </c>
      <c r="J575" s="5">
        <f>H575-I575</f>
        <v/>
      </c>
      <c r="K575" s="3">
        <f>IF(J575&lt;=0.005,"PAID",IF(I575&gt;0,"PARTIAL","OVERDUE"))</f>
        <v/>
      </c>
      <c r="L575" s="4">
        <f>IF(COUNTIFS(Raw_Payments!B:B,A575)=0,"",SUMPRODUCT(MAX((Raw_Payments!B$2:B$1079=A575)*Raw_Payments!D$2:D$1079)))</f>
        <v/>
      </c>
      <c r="M575" s="3">
        <f>IF(K575="PAID",MAX(0,L575-G575),Guide!$B$3-G575)</f>
        <v/>
      </c>
      <c r="N575" s="3">
        <f>IF(J575&lt;=0.005,"COLLECTED",IF(M575&lt;=30,"1-30",IF(M575&lt;=60,"31-60",IF(M575&lt;=90,"61-90","90+"))))</f>
        <v/>
      </c>
      <c r="O575" s="3">
        <f>IF(N575="90+","LOST",IF(N575="61-90","ESCALATE",IF(N575="31-60","WATCH",IF(N575="1-30","MILD","OK"))))</f>
        <v/>
      </c>
      <c r="P575" s="3">
        <f>IF(J575&gt;0.005,ROW()-1,"")</f>
        <v/>
      </c>
    </row>
    <row r="576">
      <c r="A576" s="3" t="inlineStr">
        <is>
          <t>D0575</t>
        </is>
      </c>
      <c r="B576" s="3">
        <f>INDEX(Raw_Schedule!B:B,MATCH(A576,Raw_Schedule!A:A,0))</f>
        <v/>
      </c>
      <c r="C576" s="3">
        <f>INDEX(Raw_Schedule!C:C,MATCH(A576,Raw_Schedule!A:A,0))</f>
        <v/>
      </c>
      <c r="D576" s="3">
        <f>INDEX(Raw_Schedule!D:D,MATCH(A576,Raw_Schedule!A:A,0))</f>
        <v/>
      </c>
      <c r="E576" s="3">
        <f>INDEX(Raw_Schedule!E:E,MATCH(A576,Raw_Schedule!A:A,0))</f>
        <v/>
      </c>
      <c r="F576" s="3">
        <f>INDEX(Raw_Schedule!F:F,MATCH(A576,Raw_Schedule!A:A,0))</f>
        <v/>
      </c>
      <c r="G576" s="4">
        <f>INDEX(Raw_Schedule!G:G,MATCH(A576,Raw_Schedule!A:A,0))</f>
        <v/>
      </c>
      <c r="H576" s="5">
        <f>INDEX(Raw_Schedule!H:H,MATCH(A576,Raw_Schedule!A:A,0))</f>
        <v/>
      </c>
      <c r="I576" s="5">
        <f>SUMIFS(Raw_Payments!E:E,Raw_Payments!B:B,A576)</f>
        <v/>
      </c>
      <c r="J576" s="5">
        <f>H576-I576</f>
        <v/>
      </c>
      <c r="K576" s="3">
        <f>IF(J576&lt;=0.005,"PAID",IF(I576&gt;0,"PARTIAL","OVERDUE"))</f>
        <v/>
      </c>
      <c r="L576" s="4">
        <f>IF(COUNTIFS(Raw_Payments!B:B,A576)=0,"",SUMPRODUCT(MAX((Raw_Payments!B$2:B$1079=A576)*Raw_Payments!D$2:D$1079)))</f>
        <v/>
      </c>
      <c r="M576" s="3">
        <f>IF(K576="PAID",MAX(0,L576-G576),Guide!$B$3-G576)</f>
        <v/>
      </c>
      <c r="N576" s="3">
        <f>IF(J576&lt;=0.005,"COLLECTED",IF(M576&lt;=30,"1-30",IF(M576&lt;=60,"31-60",IF(M576&lt;=90,"61-90","90+"))))</f>
        <v/>
      </c>
      <c r="O576" s="3">
        <f>IF(N576="90+","LOST",IF(N576="61-90","ESCALATE",IF(N576="31-60","WATCH",IF(N576="1-30","MILD","OK"))))</f>
        <v/>
      </c>
      <c r="P576" s="3">
        <f>IF(J576&gt;0.005,ROW()-1,"")</f>
        <v/>
      </c>
    </row>
    <row r="577">
      <c r="A577" s="3" t="inlineStr">
        <is>
          <t>D0576</t>
        </is>
      </c>
      <c r="B577" s="3">
        <f>INDEX(Raw_Schedule!B:B,MATCH(A577,Raw_Schedule!A:A,0))</f>
        <v/>
      </c>
      <c r="C577" s="3">
        <f>INDEX(Raw_Schedule!C:C,MATCH(A577,Raw_Schedule!A:A,0))</f>
        <v/>
      </c>
      <c r="D577" s="3">
        <f>INDEX(Raw_Schedule!D:D,MATCH(A577,Raw_Schedule!A:A,0))</f>
        <v/>
      </c>
      <c r="E577" s="3">
        <f>INDEX(Raw_Schedule!E:E,MATCH(A577,Raw_Schedule!A:A,0))</f>
        <v/>
      </c>
      <c r="F577" s="3">
        <f>INDEX(Raw_Schedule!F:F,MATCH(A577,Raw_Schedule!A:A,0))</f>
        <v/>
      </c>
      <c r="G577" s="4">
        <f>INDEX(Raw_Schedule!G:G,MATCH(A577,Raw_Schedule!A:A,0))</f>
        <v/>
      </c>
      <c r="H577" s="5">
        <f>INDEX(Raw_Schedule!H:H,MATCH(A577,Raw_Schedule!A:A,0))</f>
        <v/>
      </c>
      <c r="I577" s="5">
        <f>SUMIFS(Raw_Payments!E:E,Raw_Payments!B:B,A577)</f>
        <v/>
      </c>
      <c r="J577" s="5">
        <f>H577-I577</f>
        <v/>
      </c>
      <c r="K577" s="3">
        <f>IF(J577&lt;=0.005,"PAID",IF(I577&gt;0,"PARTIAL","OVERDUE"))</f>
        <v/>
      </c>
      <c r="L577" s="4">
        <f>IF(COUNTIFS(Raw_Payments!B:B,A577)=0,"",SUMPRODUCT(MAX((Raw_Payments!B$2:B$1079=A577)*Raw_Payments!D$2:D$1079)))</f>
        <v/>
      </c>
      <c r="M577" s="3">
        <f>IF(K577="PAID",MAX(0,L577-G577),Guide!$B$3-G577)</f>
        <v/>
      </c>
      <c r="N577" s="3">
        <f>IF(J577&lt;=0.005,"COLLECTED",IF(M577&lt;=30,"1-30",IF(M577&lt;=60,"31-60",IF(M577&lt;=90,"61-90","90+"))))</f>
        <v/>
      </c>
      <c r="O577" s="3">
        <f>IF(N577="90+","LOST",IF(N577="61-90","ESCALATE",IF(N577="31-60","WATCH",IF(N577="1-30","MILD","OK"))))</f>
        <v/>
      </c>
      <c r="P577" s="3">
        <f>IF(J577&gt;0.005,ROW()-1,"")</f>
        <v/>
      </c>
    </row>
    <row r="578">
      <c r="A578" s="3" t="inlineStr">
        <is>
          <t>D0577</t>
        </is>
      </c>
      <c r="B578" s="3">
        <f>INDEX(Raw_Schedule!B:B,MATCH(A578,Raw_Schedule!A:A,0))</f>
        <v/>
      </c>
      <c r="C578" s="3">
        <f>INDEX(Raw_Schedule!C:C,MATCH(A578,Raw_Schedule!A:A,0))</f>
        <v/>
      </c>
      <c r="D578" s="3">
        <f>INDEX(Raw_Schedule!D:D,MATCH(A578,Raw_Schedule!A:A,0))</f>
        <v/>
      </c>
      <c r="E578" s="3">
        <f>INDEX(Raw_Schedule!E:E,MATCH(A578,Raw_Schedule!A:A,0))</f>
        <v/>
      </c>
      <c r="F578" s="3">
        <f>INDEX(Raw_Schedule!F:F,MATCH(A578,Raw_Schedule!A:A,0))</f>
        <v/>
      </c>
      <c r="G578" s="4">
        <f>INDEX(Raw_Schedule!G:G,MATCH(A578,Raw_Schedule!A:A,0))</f>
        <v/>
      </c>
      <c r="H578" s="5">
        <f>INDEX(Raw_Schedule!H:H,MATCH(A578,Raw_Schedule!A:A,0))</f>
        <v/>
      </c>
      <c r="I578" s="5">
        <f>SUMIFS(Raw_Payments!E:E,Raw_Payments!B:B,A578)</f>
        <v/>
      </c>
      <c r="J578" s="5">
        <f>H578-I578</f>
        <v/>
      </c>
      <c r="K578" s="3">
        <f>IF(J578&lt;=0.005,"PAID",IF(I578&gt;0,"PARTIAL","OVERDUE"))</f>
        <v/>
      </c>
      <c r="L578" s="4">
        <f>IF(COUNTIFS(Raw_Payments!B:B,A578)=0,"",SUMPRODUCT(MAX((Raw_Payments!B$2:B$1079=A578)*Raw_Payments!D$2:D$1079)))</f>
        <v/>
      </c>
      <c r="M578" s="3">
        <f>IF(K578="PAID",MAX(0,L578-G578),Guide!$B$3-G578)</f>
        <v/>
      </c>
      <c r="N578" s="3">
        <f>IF(J578&lt;=0.005,"COLLECTED",IF(M578&lt;=30,"1-30",IF(M578&lt;=60,"31-60",IF(M578&lt;=90,"61-90","90+"))))</f>
        <v/>
      </c>
      <c r="O578" s="3">
        <f>IF(N578="90+","LOST",IF(N578="61-90","ESCALATE",IF(N578="31-60","WATCH",IF(N578="1-30","MILD","OK"))))</f>
        <v/>
      </c>
      <c r="P578" s="3">
        <f>IF(J578&gt;0.005,ROW()-1,"")</f>
        <v/>
      </c>
    </row>
    <row r="579">
      <c r="A579" s="3" t="inlineStr">
        <is>
          <t>D0578</t>
        </is>
      </c>
      <c r="B579" s="3">
        <f>INDEX(Raw_Schedule!B:B,MATCH(A579,Raw_Schedule!A:A,0))</f>
        <v/>
      </c>
      <c r="C579" s="3">
        <f>INDEX(Raw_Schedule!C:C,MATCH(A579,Raw_Schedule!A:A,0))</f>
        <v/>
      </c>
      <c r="D579" s="3">
        <f>INDEX(Raw_Schedule!D:D,MATCH(A579,Raw_Schedule!A:A,0))</f>
        <v/>
      </c>
      <c r="E579" s="3">
        <f>INDEX(Raw_Schedule!E:E,MATCH(A579,Raw_Schedule!A:A,0))</f>
        <v/>
      </c>
      <c r="F579" s="3">
        <f>INDEX(Raw_Schedule!F:F,MATCH(A579,Raw_Schedule!A:A,0))</f>
        <v/>
      </c>
      <c r="G579" s="4">
        <f>INDEX(Raw_Schedule!G:G,MATCH(A579,Raw_Schedule!A:A,0))</f>
        <v/>
      </c>
      <c r="H579" s="5">
        <f>INDEX(Raw_Schedule!H:H,MATCH(A579,Raw_Schedule!A:A,0))</f>
        <v/>
      </c>
      <c r="I579" s="5">
        <f>SUMIFS(Raw_Payments!E:E,Raw_Payments!B:B,A579)</f>
        <v/>
      </c>
      <c r="J579" s="5">
        <f>H579-I579</f>
        <v/>
      </c>
      <c r="K579" s="3">
        <f>IF(J579&lt;=0.005,"PAID",IF(I579&gt;0,"PARTIAL","OVERDUE"))</f>
        <v/>
      </c>
      <c r="L579" s="4">
        <f>IF(COUNTIFS(Raw_Payments!B:B,A579)=0,"",SUMPRODUCT(MAX((Raw_Payments!B$2:B$1079=A579)*Raw_Payments!D$2:D$1079)))</f>
        <v/>
      </c>
      <c r="M579" s="3">
        <f>IF(K579="PAID",MAX(0,L579-G579),Guide!$B$3-G579)</f>
        <v/>
      </c>
      <c r="N579" s="3">
        <f>IF(J579&lt;=0.005,"COLLECTED",IF(M579&lt;=30,"1-30",IF(M579&lt;=60,"31-60",IF(M579&lt;=90,"61-90","90+"))))</f>
        <v/>
      </c>
      <c r="O579" s="3">
        <f>IF(N579="90+","LOST",IF(N579="61-90","ESCALATE",IF(N579="31-60","WATCH",IF(N579="1-30","MILD","OK"))))</f>
        <v/>
      </c>
      <c r="P579" s="3">
        <f>IF(J579&gt;0.005,ROW()-1,"")</f>
        <v/>
      </c>
    </row>
    <row r="580">
      <c r="A580" s="3" t="inlineStr">
        <is>
          <t>D0579</t>
        </is>
      </c>
      <c r="B580" s="3">
        <f>INDEX(Raw_Schedule!B:B,MATCH(A580,Raw_Schedule!A:A,0))</f>
        <v/>
      </c>
      <c r="C580" s="3">
        <f>INDEX(Raw_Schedule!C:C,MATCH(A580,Raw_Schedule!A:A,0))</f>
        <v/>
      </c>
      <c r="D580" s="3">
        <f>INDEX(Raw_Schedule!D:D,MATCH(A580,Raw_Schedule!A:A,0))</f>
        <v/>
      </c>
      <c r="E580" s="3">
        <f>INDEX(Raw_Schedule!E:E,MATCH(A580,Raw_Schedule!A:A,0))</f>
        <v/>
      </c>
      <c r="F580" s="3">
        <f>INDEX(Raw_Schedule!F:F,MATCH(A580,Raw_Schedule!A:A,0))</f>
        <v/>
      </c>
      <c r="G580" s="4">
        <f>INDEX(Raw_Schedule!G:G,MATCH(A580,Raw_Schedule!A:A,0))</f>
        <v/>
      </c>
      <c r="H580" s="5">
        <f>INDEX(Raw_Schedule!H:H,MATCH(A580,Raw_Schedule!A:A,0))</f>
        <v/>
      </c>
      <c r="I580" s="5">
        <f>SUMIFS(Raw_Payments!E:E,Raw_Payments!B:B,A580)</f>
        <v/>
      </c>
      <c r="J580" s="5">
        <f>H580-I580</f>
        <v/>
      </c>
      <c r="K580" s="3">
        <f>IF(J580&lt;=0.005,"PAID",IF(I580&gt;0,"PARTIAL","OVERDUE"))</f>
        <v/>
      </c>
      <c r="L580" s="4">
        <f>IF(COUNTIFS(Raw_Payments!B:B,A580)=0,"",SUMPRODUCT(MAX((Raw_Payments!B$2:B$1079=A580)*Raw_Payments!D$2:D$1079)))</f>
        <v/>
      </c>
      <c r="M580" s="3">
        <f>IF(K580="PAID",MAX(0,L580-G580),Guide!$B$3-G580)</f>
        <v/>
      </c>
      <c r="N580" s="3">
        <f>IF(J580&lt;=0.005,"COLLECTED",IF(M580&lt;=30,"1-30",IF(M580&lt;=60,"31-60",IF(M580&lt;=90,"61-90","90+"))))</f>
        <v/>
      </c>
      <c r="O580" s="3">
        <f>IF(N580="90+","LOST",IF(N580="61-90","ESCALATE",IF(N580="31-60","WATCH",IF(N580="1-30","MILD","OK"))))</f>
        <v/>
      </c>
      <c r="P580" s="3">
        <f>IF(J580&gt;0.005,ROW()-1,"")</f>
        <v/>
      </c>
    </row>
    <row r="581">
      <c r="A581" s="3" t="inlineStr">
        <is>
          <t>D0580</t>
        </is>
      </c>
      <c r="B581" s="3">
        <f>INDEX(Raw_Schedule!B:B,MATCH(A581,Raw_Schedule!A:A,0))</f>
        <v/>
      </c>
      <c r="C581" s="3">
        <f>INDEX(Raw_Schedule!C:C,MATCH(A581,Raw_Schedule!A:A,0))</f>
        <v/>
      </c>
      <c r="D581" s="3">
        <f>INDEX(Raw_Schedule!D:D,MATCH(A581,Raw_Schedule!A:A,0))</f>
        <v/>
      </c>
      <c r="E581" s="3">
        <f>INDEX(Raw_Schedule!E:E,MATCH(A581,Raw_Schedule!A:A,0))</f>
        <v/>
      </c>
      <c r="F581" s="3">
        <f>INDEX(Raw_Schedule!F:F,MATCH(A581,Raw_Schedule!A:A,0))</f>
        <v/>
      </c>
      <c r="G581" s="4">
        <f>INDEX(Raw_Schedule!G:G,MATCH(A581,Raw_Schedule!A:A,0))</f>
        <v/>
      </c>
      <c r="H581" s="5">
        <f>INDEX(Raw_Schedule!H:H,MATCH(A581,Raw_Schedule!A:A,0))</f>
        <v/>
      </c>
      <c r="I581" s="5">
        <f>SUMIFS(Raw_Payments!E:E,Raw_Payments!B:B,A581)</f>
        <v/>
      </c>
      <c r="J581" s="5">
        <f>H581-I581</f>
        <v/>
      </c>
      <c r="K581" s="3">
        <f>IF(J581&lt;=0.005,"PAID",IF(I581&gt;0,"PARTIAL","OVERDUE"))</f>
        <v/>
      </c>
      <c r="L581" s="4">
        <f>IF(COUNTIFS(Raw_Payments!B:B,A581)=0,"",SUMPRODUCT(MAX((Raw_Payments!B$2:B$1079=A581)*Raw_Payments!D$2:D$1079)))</f>
        <v/>
      </c>
      <c r="M581" s="3">
        <f>IF(K581="PAID",MAX(0,L581-G581),Guide!$B$3-G581)</f>
        <v/>
      </c>
      <c r="N581" s="3">
        <f>IF(J581&lt;=0.005,"COLLECTED",IF(M581&lt;=30,"1-30",IF(M581&lt;=60,"31-60",IF(M581&lt;=90,"61-90","90+"))))</f>
        <v/>
      </c>
      <c r="O581" s="3">
        <f>IF(N581="90+","LOST",IF(N581="61-90","ESCALATE",IF(N581="31-60","WATCH",IF(N581="1-30","MILD","OK"))))</f>
        <v/>
      </c>
      <c r="P581" s="3">
        <f>IF(J581&gt;0.005,ROW()-1,"")</f>
        <v/>
      </c>
    </row>
    <row r="582">
      <c r="A582" s="3" t="inlineStr">
        <is>
          <t>D0581</t>
        </is>
      </c>
      <c r="B582" s="3">
        <f>INDEX(Raw_Schedule!B:B,MATCH(A582,Raw_Schedule!A:A,0))</f>
        <v/>
      </c>
      <c r="C582" s="3">
        <f>INDEX(Raw_Schedule!C:C,MATCH(A582,Raw_Schedule!A:A,0))</f>
        <v/>
      </c>
      <c r="D582" s="3">
        <f>INDEX(Raw_Schedule!D:D,MATCH(A582,Raw_Schedule!A:A,0))</f>
        <v/>
      </c>
      <c r="E582" s="3">
        <f>INDEX(Raw_Schedule!E:E,MATCH(A582,Raw_Schedule!A:A,0))</f>
        <v/>
      </c>
      <c r="F582" s="3">
        <f>INDEX(Raw_Schedule!F:F,MATCH(A582,Raw_Schedule!A:A,0))</f>
        <v/>
      </c>
      <c r="G582" s="4">
        <f>INDEX(Raw_Schedule!G:G,MATCH(A582,Raw_Schedule!A:A,0))</f>
        <v/>
      </c>
      <c r="H582" s="5">
        <f>INDEX(Raw_Schedule!H:H,MATCH(A582,Raw_Schedule!A:A,0))</f>
        <v/>
      </c>
      <c r="I582" s="5">
        <f>SUMIFS(Raw_Payments!E:E,Raw_Payments!B:B,A582)</f>
        <v/>
      </c>
      <c r="J582" s="5">
        <f>H582-I582</f>
        <v/>
      </c>
      <c r="K582" s="3">
        <f>IF(J582&lt;=0.005,"PAID",IF(I582&gt;0,"PARTIAL","OVERDUE"))</f>
        <v/>
      </c>
      <c r="L582" s="4">
        <f>IF(COUNTIFS(Raw_Payments!B:B,A582)=0,"",SUMPRODUCT(MAX((Raw_Payments!B$2:B$1079=A582)*Raw_Payments!D$2:D$1079)))</f>
        <v/>
      </c>
      <c r="M582" s="3">
        <f>IF(K582="PAID",MAX(0,L582-G582),Guide!$B$3-G582)</f>
        <v/>
      </c>
      <c r="N582" s="3">
        <f>IF(J582&lt;=0.005,"COLLECTED",IF(M582&lt;=30,"1-30",IF(M582&lt;=60,"31-60",IF(M582&lt;=90,"61-90","90+"))))</f>
        <v/>
      </c>
      <c r="O582" s="3">
        <f>IF(N582="90+","LOST",IF(N582="61-90","ESCALATE",IF(N582="31-60","WATCH",IF(N582="1-30","MILD","OK"))))</f>
        <v/>
      </c>
      <c r="P582" s="3">
        <f>IF(J582&gt;0.005,ROW()-1,"")</f>
        <v/>
      </c>
    </row>
    <row r="583">
      <c r="A583" s="3" t="inlineStr">
        <is>
          <t>D0582</t>
        </is>
      </c>
      <c r="B583" s="3">
        <f>INDEX(Raw_Schedule!B:B,MATCH(A583,Raw_Schedule!A:A,0))</f>
        <v/>
      </c>
      <c r="C583" s="3">
        <f>INDEX(Raw_Schedule!C:C,MATCH(A583,Raw_Schedule!A:A,0))</f>
        <v/>
      </c>
      <c r="D583" s="3">
        <f>INDEX(Raw_Schedule!D:D,MATCH(A583,Raw_Schedule!A:A,0))</f>
        <v/>
      </c>
      <c r="E583" s="3">
        <f>INDEX(Raw_Schedule!E:E,MATCH(A583,Raw_Schedule!A:A,0))</f>
        <v/>
      </c>
      <c r="F583" s="3">
        <f>INDEX(Raw_Schedule!F:F,MATCH(A583,Raw_Schedule!A:A,0))</f>
        <v/>
      </c>
      <c r="G583" s="4">
        <f>INDEX(Raw_Schedule!G:G,MATCH(A583,Raw_Schedule!A:A,0))</f>
        <v/>
      </c>
      <c r="H583" s="5">
        <f>INDEX(Raw_Schedule!H:H,MATCH(A583,Raw_Schedule!A:A,0))</f>
        <v/>
      </c>
      <c r="I583" s="5">
        <f>SUMIFS(Raw_Payments!E:E,Raw_Payments!B:B,A583)</f>
        <v/>
      </c>
      <c r="J583" s="5">
        <f>H583-I583</f>
        <v/>
      </c>
      <c r="K583" s="3">
        <f>IF(J583&lt;=0.005,"PAID",IF(I583&gt;0,"PARTIAL","OVERDUE"))</f>
        <v/>
      </c>
      <c r="L583" s="4">
        <f>IF(COUNTIFS(Raw_Payments!B:B,A583)=0,"",SUMPRODUCT(MAX((Raw_Payments!B$2:B$1079=A583)*Raw_Payments!D$2:D$1079)))</f>
        <v/>
      </c>
      <c r="M583" s="3">
        <f>IF(K583="PAID",MAX(0,L583-G583),Guide!$B$3-G583)</f>
        <v/>
      </c>
      <c r="N583" s="3">
        <f>IF(J583&lt;=0.005,"COLLECTED",IF(M583&lt;=30,"1-30",IF(M583&lt;=60,"31-60",IF(M583&lt;=90,"61-90","90+"))))</f>
        <v/>
      </c>
      <c r="O583" s="3">
        <f>IF(N583="90+","LOST",IF(N583="61-90","ESCALATE",IF(N583="31-60","WATCH",IF(N583="1-30","MILD","OK"))))</f>
        <v/>
      </c>
      <c r="P583" s="3">
        <f>IF(J583&gt;0.005,ROW()-1,"")</f>
        <v/>
      </c>
    </row>
    <row r="584">
      <c r="A584" s="3" t="inlineStr">
        <is>
          <t>D0583</t>
        </is>
      </c>
      <c r="B584" s="3">
        <f>INDEX(Raw_Schedule!B:B,MATCH(A584,Raw_Schedule!A:A,0))</f>
        <v/>
      </c>
      <c r="C584" s="3">
        <f>INDEX(Raw_Schedule!C:C,MATCH(A584,Raw_Schedule!A:A,0))</f>
        <v/>
      </c>
      <c r="D584" s="3">
        <f>INDEX(Raw_Schedule!D:D,MATCH(A584,Raw_Schedule!A:A,0))</f>
        <v/>
      </c>
      <c r="E584" s="3">
        <f>INDEX(Raw_Schedule!E:E,MATCH(A584,Raw_Schedule!A:A,0))</f>
        <v/>
      </c>
      <c r="F584" s="3">
        <f>INDEX(Raw_Schedule!F:F,MATCH(A584,Raw_Schedule!A:A,0))</f>
        <v/>
      </c>
      <c r="G584" s="4">
        <f>INDEX(Raw_Schedule!G:G,MATCH(A584,Raw_Schedule!A:A,0))</f>
        <v/>
      </c>
      <c r="H584" s="5">
        <f>INDEX(Raw_Schedule!H:H,MATCH(A584,Raw_Schedule!A:A,0))</f>
        <v/>
      </c>
      <c r="I584" s="5">
        <f>SUMIFS(Raw_Payments!E:E,Raw_Payments!B:B,A584)</f>
        <v/>
      </c>
      <c r="J584" s="5">
        <f>H584-I584</f>
        <v/>
      </c>
      <c r="K584" s="3">
        <f>IF(J584&lt;=0.005,"PAID",IF(I584&gt;0,"PARTIAL","OVERDUE"))</f>
        <v/>
      </c>
      <c r="L584" s="4">
        <f>IF(COUNTIFS(Raw_Payments!B:B,A584)=0,"",SUMPRODUCT(MAX((Raw_Payments!B$2:B$1079=A584)*Raw_Payments!D$2:D$1079)))</f>
        <v/>
      </c>
      <c r="M584" s="3">
        <f>IF(K584="PAID",MAX(0,L584-G584),Guide!$B$3-G584)</f>
        <v/>
      </c>
      <c r="N584" s="3">
        <f>IF(J584&lt;=0.005,"COLLECTED",IF(M584&lt;=30,"1-30",IF(M584&lt;=60,"31-60",IF(M584&lt;=90,"61-90","90+"))))</f>
        <v/>
      </c>
      <c r="O584" s="3">
        <f>IF(N584="90+","LOST",IF(N584="61-90","ESCALATE",IF(N584="31-60","WATCH",IF(N584="1-30","MILD","OK"))))</f>
        <v/>
      </c>
      <c r="P584" s="3">
        <f>IF(J584&gt;0.005,ROW()-1,"")</f>
        <v/>
      </c>
    </row>
    <row r="585">
      <c r="A585" s="3" t="inlineStr">
        <is>
          <t>D0584</t>
        </is>
      </c>
      <c r="B585" s="3">
        <f>INDEX(Raw_Schedule!B:B,MATCH(A585,Raw_Schedule!A:A,0))</f>
        <v/>
      </c>
      <c r="C585" s="3">
        <f>INDEX(Raw_Schedule!C:C,MATCH(A585,Raw_Schedule!A:A,0))</f>
        <v/>
      </c>
      <c r="D585" s="3">
        <f>INDEX(Raw_Schedule!D:D,MATCH(A585,Raw_Schedule!A:A,0))</f>
        <v/>
      </c>
      <c r="E585" s="3">
        <f>INDEX(Raw_Schedule!E:E,MATCH(A585,Raw_Schedule!A:A,0))</f>
        <v/>
      </c>
      <c r="F585" s="3">
        <f>INDEX(Raw_Schedule!F:F,MATCH(A585,Raw_Schedule!A:A,0))</f>
        <v/>
      </c>
      <c r="G585" s="4">
        <f>INDEX(Raw_Schedule!G:G,MATCH(A585,Raw_Schedule!A:A,0))</f>
        <v/>
      </c>
      <c r="H585" s="5">
        <f>INDEX(Raw_Schedule!H:H,MATCH(A585,Raw_Schedule!A:A,0))</f>
        <v/>
      </c>
      <c r="I585" s="5">
        <f>SUMIFS(Raw_Payments!E:E,Raw_Payments!B:B,A585)</f>
        <v/>
      </c>
      <c r="J585" s="5">
        <f>H585-I585</f>
        <v/>
      </c>
      <c r="K585" s="3">
        <f>IF(J585&lt;=0.005,"PAID",IF(I585&gt;0,"PARTIAL","OVERDUE"))</f>
        <v/>
      </c>
      <c r="L585" s="4">
        <f>IF(COUNTIFS(Raw_Payments!B:B,A585)=0,"",SUMPRODUCT(MAX((Raw_Payments!B$2:B$1079=A585)*Raw_Payments!D$2:D$1079)))</f>
        <v/>
      </c>
      <c r="M585" s="3">
        <f>IF(K585="PAID",MAX(0,L585-G585),Guide!$B$3-G585)</f>
        <v/>
      </c>
      <c r="N585" s="3">
        <f>IF(J585&lt;=0.005,"COLLECTED",IF(M585&lt;=30,"1-30",IF(M585&lt;=60,"31-60",IF(M585&lt;=90,"61-90","90+"))))</f>
        <v/>
      </c>
      <c r="O585" s="3">
        <f>IF(N585="90+","LOST",IF(N585="61-90","ESCALATE",IF(N585="31-60","WATCH",IF(N585="1-30","MILD","OK"))))</f>
        <v/>
      </c>
      <c r="P585" s="3">
        <f>IF(J585&gt;0.005,ROW()-1,"")</f>
        <v/>
      </c>
    </row>
    <row r="586">
      <c r="A586" s="3" t="inlineStr">
        <is>
          <t>D0585</t>
        </is>
      </c>
      <c r="B586" s="3">
        <f>INDEX(Raw_Schedule!B:B,MATCH(A586,Raw_Schedule!A:A,0))</f>
        <v/>
      </c>
      <c r="C586" s="3">
        <f>INDEX(Raw_Schedule!C:C,MATCH(A586,Raw_Schedule!A:A,0))</f>
        <v/>
      </c>
      <c r="D586" s="3">
        <f>INDEX(Raw_Schedule!D:D,MATCH(A586,Raw_Schedule!A:A,0))</f>
        <v/>
      </c>
      <c r="E586" s="3">
        <f>INDEX(Raw_Schedule!E:E,MATCH(A586,Raw_Schedule!A:A,0))</f>
        <v/>
      </c>
      <c r="F586" s="3">
        <f>INDEX(Raw_Schedule!F:F,MATCH(A586,Raw_Schedule!A:A,0))</f>
        <v/>
      </c>
      <c r="G586" s="4">
        <f>INDEX(Raw_Schedule!G:G,MATCH(A586,Raw_Schedule!A:A,0))</f>
        <v/>
      </c>
      <c r="H586" s="5">
        <f>INDEX(Raw_Schedule!H:H,MATCH(A586,Raw_Schedule!A:A,0))</f>
        <v/>
      </c>
      <c r="I586" s="5">
        <f>SUMIFS(Raw_Payments!E:E,Raw_Payments!B:B,A586)</f>
        <v/>
      </c>
      <c r="J586" s="5">
        <f>H586-I586</f>
        <v/>
      </c>
      <c r="K586" s="3">
        <f>IF(J586&lt;=0.005,"PAID",IF(I586&gt;0,"PARTIAL","OVERDUE"))</f>
        <v/>
      </c>
      <c r="L586" s="4">
        <f>IF(COUNTIFS(Raw_Payments!B:B,A586)=0,"",SUMPRODUCT(MAX((Raw_Payments!B$2:B$1079=A586)*Raw_Payments!D$2:D$1079)))</f>
        <v/>
      </c>
      <c r="M586" s="3">
        <f>IF(K586="PAID",MAX(0,L586-G586),Guide!$B$3-G586)</f>
        <v/>
      </c>
      <c r="N586" s="3">
        <f>IF(J586&lt;=0.005,"COLLECTED",IF(M586&lt;=30,"1-30",IF(M586&lt;=60,"31-60",IF(M586&lt;=90,"61-90","90+"))))</f>
        <v/>
      </c>
      <c r="O586" s="3">
        <f>IF(N586="90+","LOST",IF(N586="61-90","ESCALATE",IF(N586="31-60","WATCH",IF(N586="1-30","MILD","OK"))))</f>
        <v/>
      </c>
      <c r="P586" s="3">
        <f>IF(J586&gt;0.005,ROW()-1,"")</f>
        <v/>
      </c>
    </row>
    <row r="587">
      <c r="A587" s="3" t="inlineStr">
        <is>
          <t>D0586</t>
        </is>
      </c>
      <c r="B587" s="3">
        <f>INDEX(Raw_Schedule!B:B,MATCH(A587,Raw_Schedule!A:A,0))</f>
        <v/>
      </c>
      <c r="C587" s="3">
        <f>INDEX(Raw_Schedule!C:C,MATCH(A587,Raw_Schedule!A:A,0))</f>
        <v/>
      </c>
      <c r="D587" s="3">
        <f>INDEX(Raw_Schedule!D:D,MATCH(A587,Raw_Schedule!A:A,0))</f>
        <v/>
      </c>
      <c r="E587" s="3">
        <f>INDEX(Raw_Schedule!E:E,MATCH(A587,Raw_Schedule!A:A,0))</f>
        <v/>
      </c>
      <c r="F587" s="3">
        <f>INDEX(Raw_Schedule!F:F,MATCH(A587,Raw_Schedule!A:A,0))</f>
        <v/>
      </c>
      <c r="G587" s="4">
        <f>INDEX(Raw_Schedule!G:G,MATCH(A587,Raw_Schedule!A:A,0))</f>
        <v/>
      </c>
      <c r="H587" s="5">
        <f>INDEX(Raw_Schedule!H:H,MATCH(A587,Raw_Schedule!A:A,0))</f>
        <v/>
      </c>
      <c r="I587" s="5">
        <f>SUMIFS(Raw_Payments!E:E,Raw_Payments!B:B,A587)</f>
        <v/>
      </c>
      <c r="J587" s="5">
        <f>H587-I587</f>
        <v/>
      </c>
      <c r="K587" s="3">
        <f>IF(J587&lt;=0.005,"PAID",IF(I587&gt;0,"PARTIAL","OVERDUE"))</f>
        <v/>
      </c>
      <c r="L587" s="4">
        <f>IF(COUNTIFS(Raw_Payments!B:B,A587)=0,"",SUMPRODUCT(MAX((Raw_Payments!B$2:B$1079=A587)*Raw_Payments!D$2:D$1079)))</f>
        <v/>
      </c>
      <c r="M587" s="3">
        <f>IF(K587="PAID",MAX(0,L587-G587),Guide!$B$3-G587)</f>
        <v/>
      </c>
      <c r="N587" s="3">
        <f>IF(J587&lt;=0.005,"COLLECTED",IF(M587&lt;=30,"1-30",IF(M587&lt;=60,"31-60",IF(M587&lt;=90,"61-90","90+"))))</f>
        <v/>
      </c>
      <c r="O587" s="3">
        <f>IF(N587="90+","LOST",IF(N587="61-90","ESCALATE",IF(N587="31-60","WATCH",IF(N587="1-30","MILD","OK"))))</f>
        <v/>
      </c>
      <c r="P587" s="3">
        <f>IF(J587&gt;0.005,ROW()-1,"")</f>
        <v/>
      </c>
    </row>
    <row r="588">
      <c r="A588" s="3" t="inlineStr">
        <is>
          <t>D0587</t>
        </is>
      </c>
      <c r="B588" s="3">
        <f>INDEX(Raw_Schedule!B:B,MATCH(A588,Raw_Schedule!A:A,0))</f>
        <v/>
      </c>
      <c r="C588" s="3">
        <f>INDEX(Raw_Schedule!C:C,MATCH(A588,Raw_Schedule!A:A,0))</f>
        <v/>
      </c>
      <c r="D588" s="3">
        <f>INDEX(Raw_Schedule!D:D,MATCH(A588,Raw_Schedule!A:A,0))</f>
        <v/>
      </c>
      <c r="E588" s="3">
        <f>INDEX(Raw_Schedule!E:E,MATCH(A588,Raw_Schedule!A:A,0))</f>
        <v/>
      </c>
      <c r="F588" s="3">
        <f>INDEX(Raw_Schedule!F:F,MATCH(A588,Raw_Schedule!A:A,0))</f>
        <v/>
      </c>
      <c r="G588" s="4">
        <f>INDEX(Raw_Schedule!G:G,MATCH(A588,Raw_Schedule!A:A,0))</f>
        <v/>
      </c>
      <c r="H588" s="5">
        <f>INDEX(Raw_Schedule!H:H,MATCH(A588,Raw_Schedule!A:A,0))</f>
        <v/>
      </c>
      <c r="I588" s="5">
        <f>SUMIFS(Raw_Payments!E:E,Raw_Payments!B:B,A588)</f>
        <v/>
      </c>
      <c r="J588" s="5">
        <f>H588-I588</f>
        <v/>
      </c>
      <c r="K588" s="3">
        <f>IF(J588&lt;=0.005,"PAID",IF(I588&gt;0,"PARTIAL","OVERDUE"))</f>
        <v/>
      </c>
      <c r="L588" s="4">
        <f>IF(COUNTIFS(Raw_Payments!B:B,A588)=0,"",SUMPRODUCT(MAX((Raw_Payments!B$2:B$1079=A588)*Raw_Payments!D$2:D$1079)))</f>
        <v/>
      </c>
      <c r="M588" s="3">
        <f>IF(K588="PAID",MAX(0,L588-G588),Guide!$B$3-G588)</f>
        <v/>
      </c>
      <c r="N588" s="3">
        <f>IF(J588&lt;=0.005,"COLLECTED",IF(M588&lt;=30,"1-30",IF(M588&lt;=60,"31-60",IF(M588&lt;=90,"61-90","90+"))))</f>
        <v/>
      </c>
      <c r="O588" s="3">
        <f>IF(N588="90+","LOST",IF(N588="61-90","ESCALATE",IF(N588="31-60","WATCH",IF(N588="1-30","MILD","OK"))))</f>
        <v/>
      </c>
      <c r="P588" s="3">
        <f>IF(J588&gt;0.005,ROW()-1,"")</f>
        <v/>
      </c>
    </row>
    <row r="589">
      <c r="A589" s="3" t="inlineStr">
        <is>
          <t>D0588</t>
        </is>
      </c>
      <c r="B589" s="3">
        <f>INDEX(Raw_Schedule!B:B,MATCH(A589,Raw_Schedule!A:A,0))</f>
        <v/>
      </c>
      <c r="C589" s="3">
        <f>INDEX(Raw_Schedule!C:C,MATCH(A589,Raw_Schedule!A:A,0))</f>
        <v/>
      </c>
      <c r="D589" s="3">
        <f>INDEX(Raw_Schedule!D:D,MATCH(A589,Raw_Schedule!A:A,0))</f>
        <v/>
      </c>
      <c r="E589" s="3">
        <f>INDEX(Raw_Schedule!E:E,MATCH(A589,Raw_Schedule!A:A,0))</f>
        <v/>
      </c>
      <c r="F589" s="3">
        <f>INDEX(Raw_Schedule!F:F,MATCH(A589,Raw_Schedule!A:A,0))</f>
        <v/>
      </c>
      <c r="G589" s="4">
        <f>INDEX(Raw_Schedule!G:G,MATCH(A589,Raw_Schedule!A:A,0))</f>
        <v/>
      </c>
      <c r="H589" s="5">
        <f>INDEX(Raw_Schedule!H:H,MATCH(A589,Raw_Schedule!A:A,0))</f>
        <v/>
      </c>
      <c r="I589" s="5">
        <f>SUMIFS(Raw_Payments!E:E,Raw_Payments!B:B,A589)</f>
        <v/>
      </c>
      <c r="J589" s="5">
        <f>H589-I589</f>
        <v/>
      </c>
      <c r="K589" s="3">
        <f>IF(J589&lt;=0.005,"PAID",IF(I589&gt;0,"PARTIAL","OVERDUE"))</f>
        <v/>
      </c>
      <c r="L589" s="4">
        <f>IF(COUNTIFS(Raw_Payments!B:B,A589)=0,"",SUMPRODUCT(MAX((Raw_Payments!B$2:B$1079=A589)*Raw_Payments!D$2:D$1079)))</f>
        <v/>
      </c>
      <c r="M589" s="3">
        <f>IF(K589="PAID",MAX(0,L589-G589),Guide!$B$3-G589)</f>
        <v/>
      </c>
      <c r="N589" s="3">
        <f>IF(J589&lt;=0.005,"COLLECTED",IF(M589&lt;=30,"1-30",IF(M589&lt;=60,"31-60",IF(M589&lt;=90,"61-90","90+"))))</f>
        <v/>
      </c>
      <c r="O589" s="3">
        <f>IF(N589="90+","LOST",IF(N589="61-90","ESCALATE",IF(N589="31-60","WATCH",IF(N589="1-30","MILD","OK"))))</f>
        <v/>
      </c>
      <c r="P589" s="3">
        <f>IF(J589&gt;0.005,ROW()-1,"")</f>
        <v/>
      </c>
    </row>
    <row r="590">
      <c r="A590" s="3" t="inlineStr">
        <is>
          <t>D0589</t>
        </is>
      </c>
      <c r="B590" s="3">
        <f>INDEX(Raw_Schedule!B:B,MATCH(A590,Raw_Schedule!A:A,0))</f>
        <v/>
      </c>
      <c r="C590" s="3">
        <f>INDEX(Raw_Schedule!C:C,MATCH(A590,Raw_Schedule!A:A,0))</f>
        <v/>
      </c>
      <c r="D590" s="3">
        <f>INDEX(Raw_Schedule!D:D,MATCH(A590,Raw_Schedule!A:A,0))</f>
        <v/>
      </c>
      <c r="E590" s="3">
        <f>INDEX(Raw_Schedule!E:E,MATCH(A590,Raw_Schedule!A:A,0))</f>
        <v/>
      </c>
      <c r="F590" s="3">
        <f>INDEX(Raw_Schedule!F:F,MATCH(A590,Raw_Schedule!A:A,0))</f>
        <v/>
      </c>
      <c r="G590" s="4">
        <f>INDEX(Raw_Schedule!G:G,MATCH(A590,Raw_Schedule!A:A,0))</f>
        <v/>
      </c>
      <c r="H590" s="5">
        <f>INDEX(Raw_Schedule!H:H,MATCH(A590,Raw_Schedule!A:A,0))</f>
        <v/>
      </c>
      <c r="I590" s="5">
        <f>SUMIFS(Raw_Payments!E:E,Raw_Payments!B:B,A590)</f>
        <v/>
      </c>
      <c r="J590" s="5">
        <f>H590-I590</f>
        <v/>
      </c>
      <c r="K590" s="3">
        <f>IF(J590&lt;=0.005,"PAID",IF(I590&gt;0,"PARTIAL","OVERDUE"))</f>
        <v/>
      </c>
      <c r="L590" s="4">
        <f>IF(COUNTIFS(Raw_Payments!B:B,A590)=0,"",SUMPRODUCT(MAX((Raw_Payments!B$2:B$1079=A590)*Raw_Payments!D$2:D$1079)))</f>
        <v/>
      </c>
      <c r="M590" s="3">
        <f>IF(K590="PAID",MAX(0,L590-G590),Guide!$B$3-G590)</f>
        <v/>
      </c>
      <c r="N590" s="3">
        <f>IF(J590&lt;=0.005,"COLLECTED",IF(M590&lt;=30,"1-30",IF(M590&lt;=60,"31-60",IF(M590&lt;=90,"61-90","90+"))))</f>
        <v/>
      </c>
      <c r="O590" s="3">
        <f>IF(N590="90+","LOST",IF(N590="61-90","ESCALATE",IF(N590="31-60","WATCH",IF(N590="1-30","MILD","OK"))))</f>
        <v/>
      </c>
      <c r="P590" s="3">
        <f>IF(J590&gt;0.005,ROW()-1,"")</f>
        <v/>
      </c>
    </row>
    <row r="591">
      <c r="A591" s="3" t="inlineStr">
        <is>
          <t>D0590</t>
        </is>
      </c>
      <c r="B591" s="3">
        <f>INDEX(Raw_Schedule!B:B,MATCH(A591,Raw_Schedule!A:A,0))</f>
        <v/>
      </c>
      <c r="C591" s="3">
        <f>INDEX(Raw_Schedule!C:C,MATCH(A591,Raw_Schedule!A:A,0))</f>
        <v/>
      </c>
      <c r="D591" s="3">
        <f>INDEX(Raw_Schedule!D:D,MATCH(A591,Raw_Schedule!A:A,0))</f>
        <v/>
      </c>
      <c r="E591" s="3">
        <f>INDEX(Raw_Schedule!E:E,MATCH(A591,Raw_Schedule!A:A,0))</f>
        <v/>
      </c>
      <c r="F591" s="3">
        <f>INDEX(Raw_Schedule!F:F,MATCH(A591,Raw_Schedule!A:A,0))</f>
        <v/>
      </c>
      <c r="G591" s="4">
        <f>INDEX(Raw_Schedule!G:G,MATCH(A591,Raw_Schedule!A:A,0))</f>
        <v/>
      </c>
      <c r="H591" s="5">
        <f>INDEX(Raw_Schedule!H:H,MATCH(A591,Raw_Schedule!A:A,0))</f>
        <v/>
      </c>
      <c r="I591" s="5">
        <f>SUMIFS(Raw_Payments!E:E,Raw_Payments!B:B,A591)</f>
        <v/>
      </c>
      <c r="J591" s="5">
        <f>H591-I591</f>
        <v/>
      </c>
      <c r="K591" s="3">
        <f>IF(J591&lt;=0.005,"PAID",IF(I591&gt;0,"PARTIAL","OVERDUE"))</f>
        <v/>
      </c>
      <c r="L591" s="4">
        <f>IF(COUNTIFS(Raw_Payments!B:B,A591)=0,"",SUMPRODUCT(MAX((Raw_Payments!B$2:B$1079=A591)*Raw_Payments!D$2:D$1079)))</f>
        <v/>
      </c>
      <c r="M591" s="3">
        <f>IF(K591="PAID",MAX(0,L591-G591),Guide!$B$3-G591)</f>
        <v/>
      </c>
      <c r="N591" s="3">
        <f>IF(J591&lt;=0.005,"COLLECTED",IF(M591&lt;=30,"1-30",IF(M591&lt;=60,"31-60",IF(M591&lt;=90,"61-90","90+"))))</f>
        <v/>
      </c>
      <c r="O591" s="3">
        <f>IF(N591="90+","LOST",IF(N591="61-90","ESCALATE",IF(N591="31-60","WATCH",IF(N591="1-30","MILD","OK"))))</f>
        <v/>
      </c>
      <c r="P591" s="3">
        <f>IF(J591&gt;0.005,ROW()-1,"")</f>
        <v/>
      </c>
    </row>
    <row r="592">
      <c r="A592" s="3" t="inlineStr">
        <is>
          <t>D0591</t>
        </is>
      </c>
      <c r="B592" s="3">
        <f>INDEX(Raw_Schedule!B:B,MATCH(A592,Raw_Schedule!A:A,0))</f>
        <v/>
      </c>
      <c r="C592" s="3">
        <f>INDEX(Raw_Schedule!C:C,MATCH(A592,Raw_Schedule!A:A,0))</f>
        <v/>
      </c>
      <c r="D592" s="3">
        <f>INDEX(Raw_Schedule!D:D,MATCH(A592,Raw_Schedule!A:A,0))</f>
        <v/>
      </c>
      <c r="E592" s="3">
        <f>INDEX(Raw_Schedule!E:E,MATCH(A592,Raw_Schedule!A:A,0))</f>
        <v/>
      </c>
      <c r="F592" s="3">
        <f>INDEX(Raw_Schedule!F:F,MATCH(A592,Raw_Schedule!A:A,0))</f>
        <v/>
      </c>
      <c r="G592" s="4">
        <f>INDEX(Raw_Schedule!G:G,MATCH(A592,Raw_Schedule!A:A,0))</f>
        <v/>
      </c>
      <c r="H592" s="5">
        <f>INDEX(Raw_Schedule!H:H,MATCH(A592,Raw_Schedule!A:A,0))</f>
        <v/>
      </c>
      <c r="I592" s="5">
        <f>SUMIFS(Raw_Payments!E:E,Raw_Payments!B:B,A592)</f>
        <v/>
      </c>
      <c r="J592" s="5">
        <f>H592-I592</f>
        <v/>
      </c>
      <c r="K592" s="3">
        <f>IF(J592&lt;=0.005,"PAID",IF(I592&gt;0,"PARTIAL","OVERDUE"))</f>
        <v/>
      </c>
      <c r="L592" s="4">
        <f>IF(COUNTIFS(Raw_Payments!B:B,A592)=0,"",SUMPRODUCT(MAX((Raw_Payments!B$2:B$1079=A592)*Raw_Payments!D$2:D$1079)))</f>
        <v/>
      </c>
      <c r="M592" s="3">
        <f>IF(K592="PAID",MAX(0,L592-G592),Guide!$B$3-G592)</f>
        <v/>
      </c>
      <c r="N592" s="3">
        <f>IF(J592&lt;=0.005,"COLLECTED",IF(M592&lt;=30,"1-30",IF(M592&lt;=60,"31-60",IF(M592&lt;=90,"61-90","90+"))))</f>
        <v/>
      </c>
      <c r="O592" s="3">
        <f>IF(N592="90+","LOST",IF(N592="61-90","ESCALATE",IF(N592="31-60","WATCH",IF(N592="1-30","MILD","OK"))))</f>
        <v/>
      </c>
      <c r="P592" s="3">
        <f>IF(J592&gt;0.005,ROW()-1,"")</f>
        <v/>
      </c>
    </row>
    <row r="593">
      <c r="A593" s="3" t="inlineStr">
        <is>
          <t>D0592</t>
        </is>
      </c>
      <c r="B593" s="3">
        <f>INDEX(Raw_Schedule!B:B,MATCH(A593,Raw_Schedule!A:A,0))</f>
        <v/>
      </c>
      <c r="C593" s="3">
        <f>INDEX(Raw_Schedule!C:C,MATCH(A593,Raw_Schedule!A:A,0))</f>
        <v/>
      </c>
      <c r="D593" s="3">
        <f>INDEX(Raw_Schedule!D:D,MATCH(A593,Raw_Schedule!A:A,0))</f>
        <v/>
      </c>
      <c r="E593" s="3">
        <f>INDEX(Raw_Schedule!E:E,MATCH(A593,Raw_Schedule!A:A,0))</f>
        <v/>
      </c>
      <c r="F593" s="3">
        <f>INDEX(Raw_Schedule!F:F,MATCH(A593,Raw_Schedule!A:A,0))</f>
        <v/>
      </c>
      <c r="G593" s="4">
        <f>INDEX(Raw_Schedule!G:G,MATCH(A593,Raw_Schedule!A:A,0))</f>
        <v/>
      </c>
      <c r="H593" s="5">
        <f>INDEX(Raw_Schedule!H:H,MATCH(A593,Raw_Schedule!A:A,0))</f>
        <v/>
      </c>
      <c r="I593" s="5">
        <f>SUMIFS(Raw_Payments!E:E,Raw_Payments!B:B,A593)</f>
        <v/>
      </c>
      <c r="J593" s="5">
        <f>H593-I593</f>
        <v/>
      </c>
      <c r="K593" s="3">
        <f>IF(J593&lt;=0.005,"PAID",IF(I593&gt;0,"PARTIAL","OVERDUE"))</f>
        <v/>
      </c>
      <c r="L593" s="4">
        <f>IF(COUNTIFS(Raw_Payments!B:B,A593)=0,"",SUMPRODUCT(MAX((Raw_Payments!B$2:B$1079=A593)*Raw_Payments!D$2:D$1079)))</f>
        <v/>
      </c>
      <c r="M593" s="3">
        <f>IF(K593="PAID",MAX(0,L593-G593),Guide!$B$3-G593)</f>
        <v/>
      </c>
      <c r="N593" s="3">
        <f>IF(J593&lt;=0.005,"COLLECTED",IF(M593&lt;=30,"1-30",IF(M593&lt;=60,"31-60",IF(M593&lt;=90,"61-90","90+"))))</f>
        <v/>
      </c>
      <c r="O593" s="3">
        <f>IF(N593="90+","LOST",IF(N593="61-90","ESCALATE",IF(N593="31-60","WATCH",IF(N593="1-30","MILD","OK"))))</f>
        <v/>
      </c>
      <c r="P593" s="3">
        <f>IF(J593&gt;0.005,ROW()-1,"")</f>
        <v/>
      </c>
    </row>
    <row r="594">
      <c r="A594" s="3" t="inlineStr">
        <is>
          <t>D0593</t>
        </is>
      </c>
      <c r="B594" s="3">
        <f>INDEX(Raw_Schedule!B:B,MATCH(A594,Raw_Schedule!A:A,0))</f>
        <v/>
      </c>
      <c r="C594" s="3">
        <f>INDEX(Raw_Schedule!C:C,MATCH(A594,Raw_Schedule!A:A,0))</f>
        <v/>
      </c>
      <c r="D594" s="3">
        <f>INDEX(Raw_Schedule!D:D,MATCH(A594,Raw_Schedule!A:A,0))</f>
        <v/>
      </c>
      <c r="E594" s="3">
        <f>INDEX(Raw_Schedule!E:E,MATCH(A594,Raw_Schedule!A:A,0))</f>
        <v/>
      </c>
      <c r="F594" s="3">
        <f>INDEX(Raw_Schedule!F:F,MATCH(A594,Raw_Schedule!A:A,0))</f>
        <v/>
      </c>
      <c r="G594" s="4">
        <f>INDEX(Raw_Schedule!G:G,MATCH(A594,Raw_Schedule!A:A,0))</f>
        <v/>
      </c>
      <c r="H594" s="5">
        <f>INDEX(Raw_Schedule!H:H,MATCH(A594,Raw_Schedule!A:A,0))</f>
        <v/>
      </c>
      <c r="I594" s="5">
        <f>SUMIFS(Raw_Payments!E:E,Raw_Payments!B:B,A594)</f>
        <v/>
      </c>
      <c r="J594" s="5">
        <f>H594-I594</f>
        <v/>
      </c>
      <c r="K594" s="3">
        <f>IF(J594&lt;=0.005,"PAID",IF(I594&gt;0,"PARTIAL","OVERDUE"))</f>
        <v/>
      </c>
      <c r="L594" s="4">
        <f>IF(COUNTIFS(Raw_Payments!B:B,A594)=0,"",SUMPRODUCT(MAX((Raw_Payments!B$2:B$1079=A594)*Raw_Payments!D$2:D$1079)))</f>
        <v/>
      </c>
      <c r="M594" s="3">
        <f>IF(K594="PAID",MAX(0,L594-G594),Guide!$B$3-G594)</f>
        <v/>
      </c>
      <c r="N594" s="3">
        <f>IF(J594&lt;=0.005,"COLLECTED",IF(M594&lt;=30,"1-30",IF(M594&lt;=60,"31-60",IF(M594&lt;=90,"61-90","90+"))))</f>
        <v/>
      </c>
      <c r="O594" s="3">
        <f>IF(N594="90+","LOST",IF(N594="61-90","ESCALATE",IF(N594="31-60","WATCH",IF(N594="1-30","MILD","OK"))))</f>
        <v/>
      </c>
      <c r="P594" s="3">
        <f>IF(J594&gt;0.005,ROW()-1,"")</f>
        <v/>
      </c>
    </row>
    <row r="595">
      <c r="A595" s="3" t="inlineStr">
        <is>
          <t>D0594</t>
        </is>
      </c>
      <c r="B595" s="3">
        <f>INDEX(Raw_Schedule!B:B,MATCH(A595,Raw_Schedule!A:A,0))</f>
        <v/>
      </c>
      <c r="C595" s="3">
        <f>INDEX(Raw_Schedule!C:C,MATCH(A595,Raw_Schedule!A:A,0))</f>
        <v/>
      </c>
      <c r="D595" s="3">
        <f>INDEX(Raw_Schedule!D:D,MATCH(A595,Raw_Schedule!A:A,0))</f>
        <v/>
      </c>
      <c r="E595" s="3">
        <f>INDEX(Raw_Schedule!E:E,MATCH(A595,Raw_Schedule!A:A,0))</f>
        <v/>
      </c>
      <c r="F595" s="3">
        <f>INDEX(Raw_Schedule!F:F,MATCH(A595,Raw_Schedule!A:A,0))</f>
        <v/>
      </c>
      <c r="G595" s="4">
        <f>INDEX(Raw_Schedule!G:G,MATCH(A595,Raw_Schedule!A:A,0))</f>
        <v/>
      </c>
      <c r="H595" s="5">
        <f>INDEX(Raw_Schedule!H:H,MATCH(A595,Raw_Schedule!A:A,0))</f>
        <v/>
      </c>
      <c r="I595" s="5">
        <f>SUMIFS(Raw_Payments!E:E,Raw_Payments!B:B,A595)</f>
        <v/>
      </c>
      <c r="J595" s="5">
        <f>H595-I595</f>
        <v/>
      </c>
      <c r="K595" s="3">
        <f>IF(J595&lt;=0.005,"PAID",IF(I595&gt;0,"PARTIAL","OVERDUE"))</f>
        <v/>
      </c>
      <c r="L595" s="4">
        <f>IF(COUNTIFS(Raw_Payments!B:B,A595)=0,"",SUMPRODUCT(MAX((Raw_Payments!B$2:B$1079=A595)*Raw_Payments!D$2:D$1079)))</f>
        <v/>
      </c>
      <c r="M595" s="3">
        <f>IF(K595="PAID",MAX(0,L595-G595),Guide!$B$3-G595)</f>
        <v/>
      </c>
      <c r="N595" s="3">
        <f>IF(J595&lt;=0.005,"COLLECTED",IF(M595&lt;=30,"1-30",IF(M595&lt;=60,"31-60",IF(M595&lt;=90,"61-90","90+"))))</f>
        <v/>
      </c>
      <c r="O595" s="3">
        <f>IF(N595="90+","LOST",IF(N595="61-90","ESCALATE",IF(N595="31-60","WATCH",IF(N595="1-30","MILD","OK"))))</f>
        <v/>
      </c>
      <c r="P595" s="3">
        <f>IF(J595&gt;0.005,ROW()-1,"")</f>
        <v/>
      </c>
    </row>
    <row r="596">
      <c r="A596" s="3" t="inlineStr">
        <is>
          <t>D0595</t>
        </is>
      </c>
      <c r="B596" s="3">
        <f>INDEX(Raw_Schedule!B:B,MATCH(A596,Raw_Schedule!A:A,0))</f>
        <v/>
      </c>
      <c r="C596" s="3">
        <f>INDEX(Raw_Schedule!C:C,MATCH(A596,Raw_Schedule!A:A,0))</f>
        <v/>
      </c>
      <c r="D596" s="3">
        <f>INDEX(Raw_Schedule!D:D,MATCH(A596,Raw_Schedule!A:A,0))</f>
        <v/>
      </c>
      <c r="E596" s="3">
        <f>INDEX(Raw_Schedule!E:E,MATCH(A596,Raw_Schedule!A:A,0))</f>
        <v/>
      </c>
      <c r="F596" s="3">
        <f>INDEX(Raw_Schedule!F:F,MATCH(A596,Raw_Schedule!A:A,0))</f>
        <v/>
      </c>
      <c r="G596" s="4">
        <f>INDEX(Raw_Schedule!G:G,MATCH(A596,Raw_Schedule!A:A,0))</f>
        <v/>
      </c>
      <c r="H596" s="5">
        <f>INDEX(Raw_Schedule!H:H,MATCH(A596,Raw_Schedule!A:A,0))</f>
        <v/>
      </c>
      <c r="I596" s="5">
        <f>SUMIFS(Raw_Payments!E:E,Raw_Payments!B:B,A596)</f>
        <v/>
      </c>
      <c r="J596" s="5">
        <f>H596-I596</f>
        <v/>
      </c>
      <c r="K596" s="3">
        <f>IF(J596&lt;=0.005,"PAID",IF(I596&gt;0,"PARTIAL","OVERDUE"))</f>
        <v/>
      </c>
      <c r="L596" s="4">
        <f>IF(COUNTIFS(Raw_Payments!B:B,A596)=0,"",SUMPRODUCT(MAX((Raw_Payments!B$2:B$1079=A596)*Raw_Payments!D$2:D$1079)))</f>
        <v/>
      </c>
      <c r="M596" s="3">
        <f>IF(K596="PAID",MAX(0,L596-G596),Guide!$B$3-G596)</f>
        <v/>
      </c>
      <c r="N596" s="3">
        <f>IF(J596&lt;=0.005,"COLLECTED",IF(M596&lt;=30,"1-30",IF(M596&lt;=60,"31-60",IF(M596&lt;=90,"61-90","90+"))))</f>
        <v/>
      </c>
      <c r="O596" s="3">
        <f>IF(N596="90+","LOST",IF(N596="61-90","ESCALATE",IF(N596="31-60","WATCH",IF(N596="1-30","MILD","OK"))))</f>
        <v/>
      </c>
      <c r="P596" s="3">
        <f>IF(J596&gt;0.005,ROW()-1,"")</f>
        <v/>
      </c>
    </row>
    <row r="597">
      <c r="A597" s="3" t="inlineStr">
        <is>
          <t>D0596</t>
        </is>
      </c>
      <c r="B597" s="3">
        <f>INDEX(Raw_Schedule!B:B,MATCH(A597,Raw_Schedule!A:A,0))</f>
        <v/>
      </c>
      <c r="C597" s="3">
        <f>INDEX(Raw_Schedule!C:C,MATCH(A597,Raw_Schedule!A:A,0))</f>
        <v/>
      </c>
      <c r="D597" s="3">
        <f>INDEX(Raw_Schedule!D:D,MATCH(A597,Raw_Schedule!A:A,0))</f>
        <v/>
      </c>
      <c r="E597" s="3">
        <f>INDEX(Raw_Schedule!E:E,MATCH(A597,Raw_Schedule!A:A,0))</f>
        <v/>
      </c>
      <c r="F597" s="3">
        <f>INDEX(Raw_Schedule!F:F,MATCH(A597,Raw_Schedule!A:A,0))</f>
        <v/>
      </c>
      <c r="G597" s="4">
        <f>INDEX(Raw_Schedule!G:G,MATCH(A597,Raw_Schedule!A:A,0))</f>
        <v/>
      </c>
      <c r="H597" s="5">
        <f>INDEX(Raw_Schedule!H:H,MATCH(A597,Raw_Schedule!A:A,0))</f>
        <v/>
      </c>
      <c r="I597" s="5">
        <f>SUMIFS(Raw_Payments!E:E,Raw_Payments!B:B,A597)</f>
        <v/>
      </c>
      <c r="J597" s="5">
        <f>H597-I597</f>
        <v/>
      </c>
      <c r="K597" s="3">
        <f>IF(J597&lt;=0.005,"PAID",IF(I597&gt;0,"PARTIAL","OVERDUE"))</f>
        <v/>
      </c>
      <c r="L597" s="4">
        <f>IF(COUNTIFS(Raw_Payments!B:B,A597)=0,"",SUMPRODUCT(MAX((Raw_Payments!B$2:B$1079=A597)*Raw_Payments!D$2:D$1079)))</f>
        <v/>
      </c>
      <c r="M597" s="3">
        <f>IF(K597="PAID",MAX(0,L597-G597),Guide!$B$3-G597)</f>
        <v/>
      </c>
      <c r="N597" s="3">
        <f>IF(J597&lt;=0.005,"COLLECTED",IF(M597&lt;=30,"1-30",IF(M597&lt;=60,"31-60",IF(M597&lt;=90,"61-90","90+"))))</f>
        <v/>
      </c>
      <c r="O597" s="3">
        <f>IF(N597="90+","LOST",IF(N597="61-90","ESCALATE",IF(N597="31-60","WATCH",IF(N597="1-30","MILD","OK"))))</f>
        <v/>
      </c>
      <c r="P597" s="3">
        <f>IF(J597&gt;0.005,ROW()-1,"")</f>
        <v/>
      </c>
    </row>
    <row r="598">
      <c r="A598" s="3" t="inlineStr">
        <is>
          <t>D0597</t>
        </is>
      </c>
      <c r="B598" s="3">
        <f>INDEX(Raw_Schedule!B:B,MATCH(A598,Raw_Schedule!A:A,0))</f>
        <v/>
      </c>
      <c r="C598" s="3">
        <f>INDEX(Raw_Schedule!C:C,MATCH(A598,Raw_Schedule!A:A,0))</f>
        <v/>
      </c>
      <c r="D598" s="3">
        <f>INDEX(Raw_Schedule!D:D,MATCH(A598,Raw_Schedule!A:A,0))</f>
        <v/>
      </c>
      <c r="E598" s="3">
        <f>INDEX(Raw_Schedule!E:E,MATCH(A598,Raw_Schedule!A:A,0))</f>
        <v/>
      </c>
      <c r="F598" s="3">
        <f>INDEX(Raw_Schedule!F:F,MATCH(A598,Raw_Schedule!A:A,0))</f>
        <v/>
      </c>
      <c r="G598" s="4">
        <f>INDEX(Raw_Schedule!G:G,MATCH(A598,Raw_Schedule!A:A,0))</f>
        <v/>
      </c>
      <c r="H598" s="5">
        <f>INDEX(Raw_Schedule!H:H,MATCH(A598,Raw_Schedule!A:A,0))</f>
        <v/>
      </c>
      <c r="I598" s="5">
        <f>SUMIFS(Raw_Payments!E:E,Raw_Payments!B:B,A598)</f>
        <v/>
      </c>
      <c r="J598" s="5">
        <f>H598-I598</f>
        <v/>
      </c>
      <c r="K598" s="3">
        <f>IF(J598&lt;=0.005,"PAID",IF(I598&gt;0,"PARTIAL","OVERDUE"))</f>
        <v/>
      </c>
      <c r="L598" s="4">
        <f>IF(COUNTIFS(Raw_Payments!B:B,A598)=0,"",SUMPRODUCT(MAX((Raw_Payments!B$2:B$1079=A598)*Raw_Payments!D$2:D$1079)))</f>
        <v/>
      </c>
      <c r="M598" s="3">
        <f>IF(K598="PAID",MAX(0,L598-G598),Guide!$B$3-G598)</f>
        <v/>
      </c>
      <c r="N598" s="3">
        <f>IF(J598&lt;=0.005,"COLLECTED",IF(M598&lt;=30,"1-30",IF(M598&lt;=60,"31-60",IF(M598&lt;=90,"61-90","90+"))))</f>
        <v/>
      </c>
      <c r="O598" s="3">
        <f>IF(N598="90+","LOST",IF(N598="61-90","ESCALATE",IF(N598="31-60","WATCH",IF(N598="1-30","MILD","OK"))))</f>
        <v/>
      </c>
      <c r="P598" s="3">
        <f>IF(J598&gt;0.005,ROW()-1,"")</f>
        <v/>
      </c>
    </row>
    <row r="599">
      <c r="A599" s="3" t="inlineStr">
        <is>
          <t>D0598</t>
        </is>
      </c>
      <c r="B599" s="3">
        <f>INDEX(Raw_Schedule!B:B,MATCH(A599,Raw_Schedule!A:A,0))</f>
        <v/>
      </c>
      <c r="C599" s="3">
        <f>INDEX(Raw_Schedule!C:C,MATCH(A599,Raw_Schedule!A:A,0))</f>
        <v/>
      </c>
      <c r="D599" s="3">
        <f>INDEX(Raw_Schedule!D:D,MATCH(A599,Raw_Schedule!A:A,0))</f>
        <v/>
      </c>
      <c r="E599" s="3">
        <f>INDEX(Raw_Schedule!E:E,MATCH(A599,Raw_Schedule!A:A,0))</f>
        <v/>
      </c>
      <c r="F599" s="3">
        <f>INDEX(Raw_Schedule!F:F,MATCH(A599,Raw_Schedule!A:A,0))</f>
        <v/>
      </c>
      <c r="G599" s="4">
        <f>INDEX(Raw_Schedule!G:G,MATCH(A599,Raw_Schedule!A:A,0))</f>
        <v/>
      </c>
      <c r="H599" s="5">
        <f>INDEX(Raw_Schedule!H:H,MATCH(A599,Raw_Schedule!A:A,0))</f>
        <v/>
      </c>
      <c r="I599" s="5">
        <f>SUMIFS(Raw_Payments!E:E,Raw_Payments!B:B,A599)</f>
        <v/>
      </c>
      <c r="J599" s="5">
        <f>H599-I599</f>
        <v/>
      </c>
      <c r="K599" s="3">
        <f>IF(J599&lt;=0.005,"PAID",IF(I599&gt;0,"PARTIAL","OVERDUE"))</f>
        <v/>
      </c>
      <c r="L599" s="4">
        <f>IF(COUNTIFS(Raw_Payments!B:B,A599)=0,"",SUMPRODUCT(MAX((Raw_Payments!B$2:B$1079=A599)*Raw_Payments!D$2:D$1079)))</f>
        <v/>
      </c>
      <c r="M599" s="3">
        <f>IF(K599="PAID",MAX(0,L599-G599),Guide!$B$3-G599)</f>
        <v/>
      </c>
      <c r="N599" s="3">
        <f>IF(J599&lt;=0.005,"COLLECTED",IF(M599&lt;=30,"1-30",IF(M599&lt;=60,"31-60",IF(M599&lt;=90,"61-90","90+"))))</f>
        <v/>
      </c>
      <c r="O599" s="3">
        <f>IF(N599="90+","LOST",IF(N599="61-90","ESCALATE",IF(N599="31-60","WATCH",IF(N599="1-30","MILD","OK"))))</f>
        <v/>
      </c>
      <c r="P599" s="3">
        <f>IF(J599&gt;0.005,ROW()-1,"")</f>
        <v/>
      </c>
    </row>
    <row r="600">
      <c r="A600" s="3" t="inlineStr">
        <is>
          <t>D0599</t>
        </is>
      </c>
      <c r="B600" s="3">
        <f>INDEX(Raw_Schedule!B:B,MATCH(A600,Raw_Schedule!A:A,0))</f>
        <v/>
      </c>
      <c r="C600" s="3">
        <f>INDEX(Raw_Schedule!C:C,MATCH(A600,Raw_Schedule!A:A,0))</f>
        <v/>
      </c>
      <c r="D600" s="3">
        <f>INDEX(Raw_Schedule!D:D,MATCH(A600,Raw_Schedule!A:A,0))</f>
        <v/>
      </c>
      <c r="E600" s="3">
        <f>INDEX(Raw_Schedule!E:E,MATCH(A600,Raw_Schedule!A:A,0))</f>
        <v/>
      </c>
      <c r="F600" s="3">
        <f>INDEX(Raw_Schedule!F:F,MATCH(A600,Raw_Schedule!A:A,0))</f>
        <v/>
      </c>
      <c r="G600" s="4">
        <f>INDEX(Raw_Schedule!G:G,MATCH(A600,Raw_Schedule!A:A,0))</f>
        <v/>
      </c>
      <c r="H600" s="5">
        <f>INDEX(Raw_Schedule!H:H,MATCH(A600,Raw_Schedule!A:A,0))</f>
        <v/>
      </c>
      <c r="I600" s="5">
        <f>SUMIFS(Raw_Payments!E:E,Raw_Payments!B:B,A600)</f>
        <v/>
      </c>
      <c r="J600" s="5">
        <f>H600-I600</f>
        <v/>
      </c>
      <c r="K600" s="3">
        <f>IF(J600&lt;=0.005,"PAID",IF(I600&gt;0,"PARTIAL","OVERDUE"))</f>
        <v/>
      </c>
      <c r="L600" s="4">
        <f>IF(COUNTIFS(Raw_Payments!B:B,A600)=0,"",SUMPRODUCT(MAX((Raw_Payments!B$2:B$1079=A600)*Raw_Payments!D$2:D$1079)))</f>
        <v/>
      </c>
      <c r="M600" s="3">
        <f>IF(K600="PAID",MAX(0,L600-G600),Guide!$B$3-G600)</f>
        <v/>
      </c>
      <c r="N600" s="3">
        <f>IF(J600&lt;=0.005,"COLLECTED",IF(M600&lt;=30,"1-30",IF(M600&lt;=60,"31-60",IF(M600&lt;=90,"61-90","90+"))))</f>
        <v/>
      </c>
      <c r="O600" s="3">
        <f>IF(N600="90+","LOST",IF(N600="61-90","ESCALATE",IF(N600="31-60","WATCH",IF(N600="1-30","MILD","OK"))))</f>
        <v/>
      </c>
      <c r="P600" s="3">
        <f>IF(J600&gt;0.005,ROW()-1,"")</f>
        <v/>
      </c>
    </row>
    <row r="601">
      <c r="A601" s="3" t="inlineStr">
        <is>
          <t>D0600</t>
        </is>
      </c>
      <c r="B601" s="3">
        <f>INDEX(Raw_Schedule!B:B,MATCH(A601,Raw_Schedule!A:A,0))</f>
        <v/>
      </c>
      <c r="C601" s="3">
        <f>INDEX(Raw_Schedule!C:C,MATCH(A601,Raw_Schedule!A:A,0))</f>
        <v/>
      </c>
      <c r="D601" s="3">
        <f>INDEX(Raw_Schedule!D:D,MATCH(A601,Raw_Schedule!A:A,0))</f>
        <v/>
      </c>
      <c r="E601" s="3">
        <f>INDEX(Raw_Schedule!E:E,MATCH(A601,Raw_Schedule!A:A,0))</f>
        <v/>
      </c>
      <c r="F601" s="3">
        <f>INDEX(Raw_Schedule!F:F,MATCH(A601,Raw_Schedule!A:A,0))</f>
        <v/>
      </c>
      <c r="G601" s="4">
        <f>INDEX(Raw_Schedule!G:G,MATCH(A601,Raw_Schedule!A:A,0))</f>
        <v/>
      </c>
      <c r="H601" s="5">
        <f>INDEX(Raw_Schedule!H:H,MATCH(A601,Raw_Schedule!A:A,0))</f>
        <v/>
      </c>
      <c r="I601" s="5">
        <f>SUMIFS(Raw_Payments!E:E,Raw_Payments!B:B,A601)</f>
        <v/>
      </c>
      <c r="J601" s="5">
        <f>H601-I601</f>
        <v/>
      </c>
      <c r="K601" s="3">
        <f>IF(J601&lt;=0.005,"PAID",IF(I601&gt;0,"PARTIAL","OVERDUE"))</f>
        <v/>
      </c>
      <c r="L601" s="4">
        <f>IF(COUNTIFS(Raw_Payments!B:B,A601)=0,"",SUMPRODUCT(MAX((Raw_Payments!B$2:B$1079=A601)*Raw_Payments!D$2:D$1079)))</f>
        <v/>
      </c>
      <c r="M601" s="3">
        <f>IF(K601="PAID",MAX(0,L601-G601),Guide!$B$3-G601)</f>
        <v/>
      </c>
      <c r="N601" s="3">
        <f>IF(J601&lt;=0.005,"COLLECTED",IF(M601&lt;=30,"1-30",IF(M601&lt;=60,"31-60",IF(M601&lt;=90,"61-90","90+"))))</f>
        <v/>
      </c>
      <c r="O601" s="3">
        <f>IF(N601="90+","LOST",IF(N601="61-90","ESCALATE",IF(N601="31-60","WATCH",IF(N601="1-30","MILD","OK"))))</f>
        <v/>
      </c>
      <c r="P601" s="3">
        <f>IF(J601&gt;0.005,ROW()-1,"")</f>
        <v/>
      </c>
    </row>
    <row r="602">
      <c r="A602" s="3" t="inlineStr">
        <is>
          <t>D0601</t>
        </is>
      </c>
      <c r="B602" s="3">
        <f>INDEX(Raw_Schedule!B:B,MATCH(A602,Raw_Schedule!A:A,0))</f>
        <v/>
      </c>
      <c r="C602" s="3">
        <f>INDEX(Raw_Schedule!C:C,MATCH(A602,Raw_Schedule!A:A,0))</f>
        <v/>
      </c>
      <c r="D602" s="3">
        <f>INDEX(Raw_Schedule!D:D,MATCH(A602,Raw_Schedule!A:A,0))</f>
        <v/>
      </c>
      <c r="E602" s="3">
        <f>INDEX(Raw_Schedule!E:E,MATCH(A602,Raw_Schedule!A:A,0))</f>
        <v/>
      </c>
      <c r="F602" s="3">
        <f>INDEX(Raw_Schedule!F:F,MATCH(A602,Raw_Schedule!A:A,0))</f>
        <v/>
      </c>
      <c r="G602" s="4">
        <f>INDEX(Raw_Schedule!G:G,MATCH(A602,Raw_Schedule!A:A,0))</f>
        <v/>
      </c>
      <c r="H602" s="5">
        <f>INDEX(Raw_Schedule!H:H,MATCH(A602,Raw_Schedule!A:A,0))</f>
        <v/>
      </c>
      <c r="I602" s="5">
        <f>SUMIFS(Raw_Payments!E:E,Raw_Payments!B:B,A602)</f>
        <v/>
      </c>
      <c r="J602" s="5">
        <f>H602-I602</f>
        <v/>
      </c>
      <c r="K602" s="3">
        <f>IF(J602&lt;=0.005,"PAID",IF(I602&gt;0,"PARTIAL","OVERDUE"))</f>
        <v/>
      </c>
      <c r="L602" s="4">
        <f>IF(COUNTIFS(Raw_Payments!B:B,A602)=0,"",SUMPRODUCT(MAX((Raw_Payments!B$2:B$1079=A602)*Raw_Payments!D$2:D$1079)))</f>
        <v/>
      </c>
      <c r="M602" s="3">
        <f>IF(K602="PAID",MAX(0,L602-G602),Guide!$B$3-G602)</f>
        <v/>
      </c>
      <c r="N602" s="3">
        <f>IF(J602&lt;=0.005,"COLLECTED",IF(M602&lt;=30,"1-30",IF(M602&lt;=60,"31-60",IF(M602&lt;=90,"61-90","90+"))))</f>
        <v/>
      </c>
      <c r="O602" s="3">
        <f>IF(N602="90+","LOST",IF(N602="61-90","ESCALATE",IF(N602="31-60","WATCH",IF(N602="1-30","MILD","OK"))))</f>
        <v/>
      </c>
      <c r="P602" s="3">
        <f>IF(J602&gt;0.005,ROW()-1,"")</f>
        <v/>
      </c>
    </row>
    <row r="603">
      <c r="A603" s="3" t="inlineStr">
        <is>
          <t>D0602</t>
        </is>
      </c>
      <c r="B603" s="3">
        <f>INDEX(Raw_Schedule!B:B,MATCH(A603,Raw_Schedule!A:A,0))</f>
        <v/>
      </c>
      <c r="C603" s="3">
        <f>INDEX(Raw_Schedule!C:C,MATCH(A603,Raw_Schedule!A:A,0))</f>
        <v/>
      </c>
      <c r="D603" s="3">
        <f>INDEX(Raw_Schedule!D:D,MATCH(A603,Raw_Schedule!A:A,0))</f>
        <v/>
      </c>
      <c r="E603" s="3">
        <f>INDEX(Raw_Schedule!E:E,MATCH(A603,Raw_Schedule!A:A,0))</f>
        <v/>
      </c>
      <c r="F603" s="3">
        <f>INDEX(Raw_Schedule!F:F,MATCH(A603,Raw_Schedule!A:A,0))</f>
        <v/>
      </c>
      <c r="G603" s="4">
        <f>INDEX(Raw_Schedule!G:G,MATCH(A603,Raw_Schedule!A:A,0))</f>
        <v/>
      </c>
      <c r="H603" s="5">
        <f>INDEX(Raw_Schedule!H:H,MATCH(A603,Raw_Schedule!A:A,0))</f>
        <v/>
      </c>
      <c r="I603" s="5">
        <f>SUMIFS(Raw_Payments!E:E,Raw_Payments!B:B,A603)</f>
        <v/>
      </c>
      <c r="J603" s="5">
        <f>H603-I603</f>
        <v/>
      </c>
      <c r="K603" s="3">
        <f>IF(J603&lt;=0.005,"PAID",IF(I603&gt;0,"PARTIAL","OVERDUE"))</f>
        <v/>
      </c>
      <c r="L603" s="4">
        <f>IF(COUNTIFS(Raw_Payments!B:B,A603)=0,"",SUMPRODUCT(MAX((Raw_Payments!B$2:B$1079=A603)*Raw_Payments!D$2:D$1079)))</f>
        <v/>
      </c>
      <c r="M603" s="3">
        <f>IF(K603="PAID",MAX(0,L603-G603),Guide!$B$3-G603)</f>
        <v/>
      </c>
      <c r="N603" s="3">
        <f>IF(J603&lt;=0.005,"COLLECTED",IF(M603&lt;=30,"1-30",IF(M603&lt;=60,"31-60",IF(M603&lt;=90,"61-90","90+"))))</f>
        <v/>
      </c>
      <c r="O603" s="3">
        <f>IF(N603="90+","LOST",IF(N603="61-90","ESCALATE",IF(N603="31-60","WATCH",IF(N603="1-30","MILD","OK"))))</f>
        <v/>
      </c>
      <c r="P603" s="3">
        <f>IF(J603&gt;0.005,ROW()-1,"")</f>
        <v/>
      </c>
    </row>
    <row r="604">
      <c r="A604" s="3" t="inlineStr">
        <is>
          <t>D0603</t>
        </is>
      </c>
      <c r="B604" s="3">
        <f>INDEX(Raw_Schedule!B:B,MATCH(A604,Raw_Schedule!A:A,0))</f>
        <v/>
      </c>
      <c r="C604" s="3">
        <f>INDEX(Raw_Schedule!C:C,MATCH(A604,Raw_Schedule!A:A,0))</f>
        <v/>
      </c>
      <c r="D604" s="3">
        <f>INDEX(Raw_Schedule!D:D,MATCH(A604,Raw_Schedule!A:A,0))</f>
        <v/>
      </c>
      <c r="E604" s="3">
        <f>INDEX(Raw_Schedule!E:E,MATCH(A604,Raw_Schedule!A:A,0))</f>
        <v/>
      </c>
      <c r="F604" s="3">
        <f>INDEX(Raw_Schedule!F:F,MATCH(A604,Raw_Schedule!A:A,0))</f>
        <v/>
      </c>
      <c r="G604" s="4">
        <f>INDEX(Raw_Schedule!G:G,MATCH(A604,Raw_Schedule!A:A,0))</f>
        <v/>
      </c>
      <c r="H604" s="5">
        <f>INDEX(Raw_Schedule!H:H,MATCH(A604,Raw_Schedule!A:A,0))</f>
        <v/>
      </c>
      <c r="I604" s="5">
        <f>SUMIFS(Raw_Payments!E:E,Raw_Payments!B:B,A604)</f>
        <v/>
      </c>
      <c r="J604" s="5">
        <f>H604-I604</f>
        <v/>
      </c>
      <c r="K604" s="3">
        <f>IF(J604&lt;=0.005,"PAID",IF(I604&gt;0,"PARTIAL","OVERDUE"))</f>
        <v/>
      </c>
      <c r="L604" s="4">
        <f>IF(COUNTIFS(Raw_Payments!B:B,A604)=0,"",SUMPRODUCT(MAX((Raw_Payments!B$2:B$1079=A604)*Raw_Payments!D$2:D$1079)))</f>
        <v/>
      </c>
      <c r="M604" s="3">
        <f>IF(K604="PAID",MAX(0,L604-G604),Guide!$B$3-G604)</f>
        <v/>
      </c>
      <c r="N604" s="3">
        <f>IF(J604&lt;=0.005,"COLLECTED",IF(M604&lt;=30,"1-30",IF(M604&lt;=60,"31-60",IF(M604&lt;=90,"61-90","90+"))))</f>
        <v/>
      </c>
      <c r="O604" s="3">
        <f>IF(N604="90+","LOST",IF(N604="61-90","ESCALATE",IF(N604="31-60","WATCH",IF(N604="1-30","MILD","OK"))))</f>
        <v/>
      </c>
      <c r="P604" s="3">
        <f>IF(J604&gt;0.005,ROW()-1,"")</f>
        <v/>
      </c>
    </row>
    <row r="605">
      <c r="A605" s="3" t="inlineStr">
        <is>
          <t>D0604</t>
        </is>
      </c>
      <c r="B605" s="3">
        <f>INDEX(Raw_Schedule!B:B,MATCH(A605,Raw_Schedule!A:A,0))</f>
        <v/>
      </c>
      <c r="C605" s="3">
        <f>INDEX(Raw_Schedule!C:C,MATCH(A605,Raw_Schedule!A:A,0))</f>
        <v/>
      </c>
      <c r="D605" s="3">
        <f>INDEX(Raw_Schedule!D:D,MATCH(A605,Raw_Schedule!A:A,0))</f>
        <v/>
      </c>
      <c r="E605" s="3">
        <f>INDEX(Raw_Schedule!E:E,MATCH(A605,Raw_Schedule!A:A,0))</f>
        <v/>
      </c>
      <c r="F605" s="3">
        <f>INDEX(Raw_Schedule!F:F,MATCH(A605,Raw_Schedule!A:A,0))</f>
        <v/>
      </c>
      <c r="G605" s="4">
        <f>INDEX(Raw_Schedule!G:G,MATCH(A605,Raw_Schedule!A:A,0))</f>
        <v/>
      </c>
      <c r="H605" s="5">
        <f>INDEX(Raw_Schedule!H:H,MATCH(A605,Raw_Schedule!A:A,0))</f>
        <v/>
      </c>
      <c r="I605" s="5">
        <f>SUMIFS(Raw_Payments!E:E,Raw_Payments!B:B,A605)</f>
        <v/>
      </c>
      <c r="J605" s="5">
        <f>H605-I605</f>
        <v/>
      </c>
      <c r="K605" s="3">
        <f>IF(J605&lt;=0.005,"PAID",IF(I605&gt;0,"PARTIAL","OVERDUE"))</f>
        <v/>
      </c>
      <c r="L605" s="4">
        <f>IF(COUNTIFS(Raw_Payments!B:B,A605)=0,"",SUMPRODUCT(MAX((Raw_Payments!B$2:B$1079=A605)*Raw_Payments!D$2:D$1079)))</f>
        <v/>
      </c>
      <c r="M605" s="3">
        <f>IF(K605="PAID",MAX(0,L605-G605),Guide!$B$3-G605)</f>
        <v/>
      </c>
      <c r="N605" s="3">
        <f>IF(J605&lt;=0.005,"COLLECTED",IF(M605&lt;=30,"1-30",IF(M605&lt;=60,"31-60",IF(M605&lt;=90,"61-90","90+"))))</f>
        <v/>
      </c>
      <c r="O605" s="3">
        <f>IF(N605="90+","LOST",IF(N605="61-90","ESCALATE",IF(N605="31-60","WATCH",IF(N605="1-30","MILD","OK"))))</f>
        <v/>
      </c>
      <c r="P605" s="3">
        <f>IF(J605&gt;0.005,ROW()-1,"")</f>
        <v/>
      </c>
    </row>
    <row r="606">
      <c r="A606" s="3" t="inlineStr">
        <is>
          <t>D0605</t>
        </is>
      </c>
      <c r="B606" s="3">
        <f>INDEX(Raw_Schedule!B:B,MATCH(A606,Raw_Schedule!A:A,0))</f>
        <v/>
      </c>
      <c r="C606" s="3">
        <f>INDEX(Raw_Schedule!C:C,MATCH(A606,Raw_Schedule!A:A,0))</f>
        <v/>
      </c>
      <c r="D606" s="3">
        <f>INDEX(Raw_Schedule!D:D,MATCH(A606,Raw_Schedule!A:A,0))</f>
        <v/>
      </c>
      <c r="E606" s="3">
        <f>INDEX(Raw_Schedule!E:E,MATCH(A606,Raw_Schedule!A:A,0))</f>
        <v/>
      </c>
      <c r="F606" s="3">
        <f>INDEX(Raw_Schedule!F:F,MATCH(A606,Raw_Schedule!A:A,0))</f>
        <v/>
      </c>
      <c r="G606" s="4">
        <f>INDEX(Raw_Schedule!G:G,MATCH(A606,Raw_Schedule!A:A,0))</f>
        <v/>
      </c>
      <c r="H606" s="5">
        <f>INDEX(Raw_Schedule!H:H,MATCH(A606,Raw_Schedule!A:A,0))</f>
        <v/>
      </c>
      <c r="I606" s="5">
        <f>SUMIFS(Raw_Payments!E:E,Raw_Payments!B:B,A606)</f>
        <v/>
      </c>
      <c r="J606" s="5">
        <f>H606-I606</f>
        <v/>
      </c>
      <c r="K606" s="3">
        <f>IF(J606&lt;=0.005,"PAID",IF(I606&gt;0,"PARTIAL","OVERDUE"))</f>
        <v/>
      </c>
      <c r="L606" s="4">
        <f>IF(COUNTIFS(Raw_Payments!B:B,A606)=0,"",SUMPRODUCT(MAX((Raw_Payments!B$2:B$1079=A606)*Raw_Payments!D$2:D$1079)))</f>
        <v/>
      </c>
      <c r="M606" s="3">
        <f>IF(K606="PAID",MAX(0,L606-G606),Guide!$B$3-G606)</f>
        <v/>
      </c>
      <c r="N606" s="3">
        <f>IF(J606&lt;=0.005,"COLLECTED",IF(M606&lt;=30,"1-30",IF(M606&lt;=60,"31-60",IF(M606&lt;=90,"61-90","90+"))))</f>
        <v/>
      </c>
      <c r="O606" s="3">
        <f>IF(N606="90+","LOST",IF(N606="61-90","ESCALATE",IF(N606="31-60","WATCH",IF(N606="1-30","MILD","OK"))))</f>
        <v/>
      </c>
      <c r="P606" s="3">
        <f>IF(J606&gt;0.005,ROW()-1,"")</f>
        <v/>
      </c>
    </row>
    <row r="607">
      <c r="A607" s="3" t="inlineStr">
        <is>
          <t>D0606</t>
        </is>
      </c>
      <c r="B607" s="3">
        <f>INDEX(Raw_Schedule!B:B,MATCH(A607,Raw_Schedule!A:A,0))</f>
        <v/>
      </c>
      <c r="C607" s="3">
        <f>INDEX(Raw_Schedule!C:C,MATCH(A607,Raw_Schedule!A:A,0))</f>
        <v/>
      </c>
      <c r="D607" s="3">
        <f>INDEX(Raw_Schedule!D:D,MATCH(A607,Raw_Schedule!A:A,0))</f>
        <v/>
      </c>
      <c r="E607" s="3">
        <f>INDEX(Raw_Schedule!E:E,MATCH(A607,Raw_Schedule!A:A,0))</f>
        <v/>
      </c>
      <c r="F607" s="3">
        <f>INDEX(Raw_Schedule!F:F,MATCH(A607,Raw_Schedule!A:A,0))</f>
        <v/>
      </c>
      <c r="G607" s="4">
        <f>INDEX(Raw_Schedule!G:G,MATCH(A607,Raw_Schedule!A:A,0))</f>
        <v/>
      </c>
      <c r="H607" s="5">
        <f>INDEX(Raw_Schedule!H:H,MATCH(A607,Raw_Schedule!A:A,0))</f>
        <v/>
      </c>
      <c r="I607" s="5">
        <f>SUMIFS(Raw_Payments!E:E,Raw_Payments!B:B,A607)</f>
        <v/>
      </c>
      <c r="J607" s="5">
        <f>H607-I607</f>
        <v/>
      </c>
      <c r="K607" s="3">
        <f>IF(J607&lt;=0.005,"PAID",IF(I607&gt;0,"PARTIAL","OVERDUE"))</f>
        <v/>
      </c>
      <c r="L607" s="4">
        <f>IF(COUNTIFS(Raw_Payments!B:B,A607)=0,"",SUMPRODUCT(MAX((Raw_Payments!B$2:B$1079=A607)*Raw_Payments!D$2:D$1079)))</f>
        <v/>
      </c>
      <c r="M607" s="3">
        <f>IF(K607="PAID",MAX(0,L607-G607),Guide!$B$3-G607)</f>
        <v/>
      </c>
      <c r="N607" s="3">
        <f>IF(J607&lt;=0.005,"COLLECTED",IF(M607&lt;=30,"1-30",IF(M607&lt;=60,"31-60",IF(M607&lt;=90,"61-90","90+"))))</f>
        <v/>
      </c>
      <c r="O607" s="3">
        <f>IF(N607="90+","LOST",IF(N607="61-90","ESCALATE",IF(N607="31-60","WATCH",IF(N607="1-30","MILD","OK"))))</f>
        <v/>
      </c>
      <c r="P607" s="3">
        <f>IF(J607&gt;0.005,ROW()-1,"")</f>
        <v/>
      </c>
    </row>
    <row r="608">
      <c r="A608" s="3" t="inlineStr">
        <is>
          <t>D0607</t>
        </is>
      </c>
      <c r="B608" s="3">
        <f>INDEX(Raw_Schedule!B:B,MATCH(A608,Raw_Schedule!A:A,0))</f>
        <v/>
      </c>
      <c r="C608" s="3">
        <f>INDEX(Raw_Schedule!C:C,MATCH(A608,Raw_Schedule!A:A,0))</f>
        <v/>
      </c>
      <c r="D608" s="3">
        <f>INDEX(Raw_Schedule!D:D,MATCH(A608,Raw_Schedule!A:A,0))</f>
        <v/>
      </c>
      <c r="E608" s="3">
        <f>INDEX(Raw_Schedule!E:E,MATCH(A608,Raw_Schedule!A:A,0))</f>
        <v/>
      </c>
      <c r="F608" s="3">
        <f>INDEX(Raw_Schedule!F:F,MATCH(A608,Raw_Schedule!A:A,0))</f>
        <v/>
      </c>
      <c r="G608" s="4">
        <f>INDEX(Raw_Schedule!G:G,MATCH(A608,Raw_Schedule!A:A,0))</f>
        <v/>
      </c>
      <c r="H608" s="5">
        <f>INDEX(Raw_Schedule!H:H,MATCH(A608,Raw_Schedule!A:A,0))</f>
        <v/>
      </c>
      <c r="I608" s="5">
        <f>SUMIFS(Raw_Payments!E:E,Raw_Payments!B:B,A608)</f>
        <v/>
      </c>
      <c r="J608" s="5">
        <f>H608-I608</f>
        <v/>
      </c>
      <c r="K608" s="3">
        <f>IF(J608&lt;=0.005,"PAID",IF(I608&gt;0,"PARTIAL","OVERDUE"))</f>
        <v/>
      </c>
      <c r="L608" s="4">
        <f>IF(COUNTIFS(Raw_Payments!B:B,A608)=0,"",SUMPRODUCT(MAX((Raw_Payments!B$2:B$1079=A608)*Raw_Payments!D$2:D$1079)))</f>
        <v/>
      </c>
      <c r="M608" s="3">
        <f>IF(K608="PAID",MAX(0,L608-G608),Guide!$B$3-G608)</f>
        <v/>
      </c>
      <c r="N608" s="3">
        <f>IF(J608&lt;=0.005,"COLLECTED",IF(M608&lt;=30,"1-30",IF(M608&lt;=60,"31-60",IF(M608&lt;=90,"61-90","90+"))))</f>
        <v/>
      </c>
      <c r="O608" s="3">
        <f>IF(N608="90+","LOST",IF(N608="61-90","ESCALATE",IF(N608="31-60","WATCH",IF(N608="1-30","MILD","OK"))))</f>
        <v/>
      </c>
      <c r="P608" s="3">
        <f>IF(J608&gt;0.005,ROW()-1,"")</f>
        <v/>
      </c>
    </row>
    <row r="609">
      <c r="A609" s="3" t="inlineStr">
        <is>
          <t>D0608</t>
        </is>
      </c>
      <c r="B609" s="3">
        <f>INDEX(Raw_Schedule!B:B,MATCH(A609,Raw_Schedule!A:A,0))</f>
        <v/>
      </c>
      <c r="C609" s="3">
        <f>INDEX(Raw_Schedule!C:C,MATCH(A609,Raw_Schedule!A:A,0))</f>
        <v/>
      </c>
      <c r="D609" s="3">
        <f>INDEX(Raw_Schedule!D:D,MATCH(A609,Raw_Schedule!A:A,0))</f>
        <v/>
      </c>
      <c r="E609" s="3">
        <f>INDEX(Raw_Schedule!E:E,MATCH(A609,Raw_Schedule!A:A,0))</f>
        <v/>
      </c>
      <c r="F609" s="3">
        <f>INDEX(Raw_Schedule!F:F,MATCH(A609,Raw_Schedule!A:A,0))</f>
        <v/>
      </c>
      <c r="G609" s="4">
        <f>INDEX(Raw_Schedule!G:G,MATCH(A609,Raw_Schedule!A:A,0))</f>
        <v/>
      </c>
      <c r="H609" s="5">
        <f>INDEX(Raw_Schedule!H:H,MATCH(A609,Raw_Schedule!A:A,0))</f>
        <v/>
      </c>
      <c r="I609" s="5">
        <f>SUMIFS(Raw_Payments!E:E,Raw_Payments!B:B,A609)</f>
        <v/>
      </c>
      <c r="J609" s="5">
        <f>H609-I609</f>
        <v/>
      </c>
      <c r="K609" s="3">
        <f>IF(J609&lt;=0.005,"PAID",IF(I609&gt;0,"PARTIAL","OVERDUE"))</f>
        <v/>
      </c>
      <c r="L609" s="4">
        <f>IF(COUNTIFS(Raw_Payments!B:B,A609)=0,"",SUMPRODUCT(MAX((Raw_Payments!B$2:B$1079=A609)*Raw_Payments!D$2:D$1079)))</f>
        <v/>
      </c>
      <c r="M609" s="3">
        <f>IF(K609="PAID",MAX(0,L609-G609),Guide!$B$3-G609)</f>
        <v/>
      </c>
      <c r="N609" s="3">
        <f>IF(J609&lt;=0.005,"COLLECTED",IF(M609&lt;=30,"1-30",IF(M609&lt;=60,"31-60",IF(M609&lt;=90,"61-90","90+"))))</f>
        <v/>
      </c>
      <c r="O609" s="3">
        <f>IF(N609="90+","LOST",IF(N609="61-90","ESCALATE",IF(N609="31-60","WATCH",IF(N609="1-30","MILD","OK"))))</f>
        <v/>
      </c>
      <c r="P609" s="3">
        <f>IF(J609&gt;0.005,ROW()-1,"")</f>
        <v/>
      </c>
    </row>
    <row r="610">
      <c r="A610" s="3" t="inlineStr">
        <is>
          <t>D0609</t>
        </is>
      </c>
      <c r="B610" s="3">
        <f>INDEX(Raw_Schedule!B:B,MATCH(A610,Raw_Schedule!A:A,0))</f>
        <v/>
      </c>
      <c r="C610" s="3">
        <f>INDEX(Raw_Schedule!C:C,MATCH(A610,Raw_Schedule!A:A,0))</f>
        <v/>
      </c>
      <c r="D610" s="3">
        <f>INDEX(Raw_Schedule!D:D,MATCH(A610,Raw_Schedule!A:A,0))</f>
        <v/>
      </c>
      <c r="E610" s="3">
        <f>INDEX(Raw_Schedule!E:E,MATCH(A610,Raw_Schedule!A:A,0))</f>
        <v/>
      </c>
      <c r="F610" s="3">
        <f>INDEX(Raw_Schedule!F:F,MATCH(A610,Raw_Schedule!A:A,0))</f>
        <v/>
      </c>
      <c r="G610" s="4">
        <f>INDEX(Raw_Schedule!G:G,MATCH(A610,Raw_Schedule!A:A,0))</f>
        <v/>
      </c>
      <c r="H610" s="5">
        <f>INDEX(Raw_Schedule!H:H,MATCH(A610,Raw_Schedule!A:A,0))</f>
        <v/>
      </c>
      <c r="I610" s="5">
        <f>SUMIFS(Raw_Payments!E:E,Raw_Payments!B:B,A610)</f>
        <v/>
      </c>
      <c r="J610" s="5">
        <f>H610-I610</f>
        <v/>
      </c>
      <c r="K610" s="3">
        <f>IF(J610&lt;=0.005,"PAID",IF(I610&gt;0,"PARTIAL","OVERDUE"))</f>
        <v/>
      </c>
      <c r="L610" s="4">
        <f>IF(COUNTIFS(Raw_Payments!B:B,A610)=0,"",SUMPRODUCT(MAX((Raw_Payments!B$2:B$1079=A610)*Raw_Payments!D$2:D$1079)))</f>
        <v/>
      </c>
      <c r="M610" s="3">
        <f>IF(K610="PAID",MAX(0,L610-G610),Guide!$B$3-G610)</f>
        <v/>
      </c>
      <c r="N610" s="3">
        <f>IF(J610&lt;=0.005,"COLLECTED",IF(M610&lt;=30,"1-30",IF(M610&lt;=60,"31-60",IF(M610&lt;=90,"61-90","90+"))))</f>
        <v/>
      </c>
      <c r="O610" s="3">
        <f>IF(N610="90+","LOST",IF(N610="61-90","ESCALATE",IF(N610="31-60","WATCH",IF(N610="1-30","MILD","OK"))))</f>
        <v/>
      </c>
      <c r="P610" s="3">
        <f>IF(J610&gt;0.005,ROW()-1,"")</f>
        <v/>
      </c>
    </row>
    <row r="611">
      <c r="A611" s="3" t="inlineStr">
        <is>
          <t>D0610</t>
        </is>
      </c>
      <c r="B611" s="3">
        <f>INDEX(Raw_Schedule!B:B,MATCH(A611,Raw_Schedule!A:A,0))</f>
        <v/>
      </c>
      <c r="C611" s="3">
        <f>INDEX(Raw_Schedule!C:C,MATCH(A611,Raw_Schedule!A:A,0))</f>
        <v/>
      </c>
      <c r="D611" s="3">
        <f>INDEX(Raw_Schedule!D:D,MATCH(A611,Raw_Schedule!A:A,0))</f>
        <v/>
      </c>
      <c r="E611" s="3">
        <f>INDEX(Raw_Schedule!E:E,MATCH(A611,Raw_Schedule!A:A,0))</f>
        <v/>
      </c>
      <c r="F611" s="3">
        <f>INDEX(Raw_Schedule!F:F,MATCH(A611,Raw_Schedule!A:A,0))</f>
        <v/>
      </c>
      <c r="G611" s="4">
        <f>INDEX(Raw_Schedule!G:G,MATCH(A611,Raw_Schedule!A:A,0))</f>
        <v/>
      </c>
      <c r="H611" s="5">
        <f>INDEX(Raw_Schedule!H:H,MATCH(A611,Raw_Schedule!A:A,0))</f>
        <v/>
      </c>
      <c r="I611" s="5">
        <f>SUMIFS(Raw_Payments!E:E,Raw_Payments!B:B,A611)</f>
        <v/>
      </c>
      <c r="J611" s="5">
        <f>H611-I611</f>
        <v/>
      </c>
      <c r="K611" s="3">
        <f>IF(J611&lt;=0.005,"PAID",IF(I611&gt;0,"PARTIAL","OVERDUE"))</f>
        <v/>
      </c>
      <c r="L611" s="4">
        <f>IF(COUNTIFS(Raw_Payments!B:B,A611)=0,"",SUMPRODUCT(MAX((Raw_Payments!B$2:B$1079=A611)*Raw_Payments!D$2:D$1079)))</f>
        <v/>
      </c>
      <c r="M611" s="3">
        <f>IF(K611="PAID",MAX(0,L611-G611),Guide!$B$3-G611)</f>
        <v/>
      </c>
      <c r="N611" s="3">
        <f>IF(J611&lt;=0.005,"COLLECTED",IF(M611&lt;=30,"1-30",IF(M611&lt;=60,"31-60",IF(M611&lt;=90,"61-90","90+"))))</f>
        <v/>
      </c>
      <c r="O611" s="3">
        <f>IF(N611="90+","LOST",IF(N611="61-90","ESCALATE",IF(N611="31-60","WATCH",IF(N611="1-30","MILD","OK"))))</f>
        <v/>
      </c>
      <c r="P611" s="3">
        <f>IF(J611&gt;0.005,ROW()-1,"")</f>
        <v/>
      </c>
    </row>
    <row r="612">
      <c r="A612" s="3" t="inlineStr">
        <is>
          <t>D0611</t>
        </is>
      </c>
      <c r="B612" s="3">
        <f>INDEX(Raw_Schedule!B:B,MATCH(A612,Raw_Schedule!A:A,0))</f>
        <v/>
      </c>
      <c r="C612" s="3">
        <f>INDEX(Raw_Schedule!C:C,MATCH(A612,Raw_Schedule!A:A,0))</f>
        <v/>
      </c>
      <c r="D612" s="3">
        <f>INDEX(Raw_Schedule!D:D,MATCH(A612,Raw_Schedule!A:A,0))</f>
        <v/>
      </c>
      <c r="E612" s="3">
        <f>INDEX(Raw_Schedule!E:E,MATCH(A612,Raw_Schedule!A:A,0))</f>
        <v/>
      </c>
      <c r="F612" s="3">
        <f>INDEX(Raw_Schedule!F:F,MATCH(A612,Raw_Schedule!A:A,0))</f>
        <v/>
      </c>
      <c r="G612" s="4">
        <f>INDEX(Raw_Schedule!G:G,MATCH(A612,Raw_Schedule!A:A,0))</f>
        <v/>
      </c>
      <c r="H612" s="5">
        <f>INDEX(Raw_Schedule!H:H,MATCH(A612,Raw_Schedule!A:A,0))</f>
        <v/>
      </c>
      <c r="I612" s="5">
        <f>SUMIFS(Raw_Payments!E:E,Raw_Payments!B:B,A612)</f>
        <v/>
      </c>
      <c r="J612" s="5">
        <f>H612-I612</f>
        <v/>
      </c>
      <c r="K612" s="3">
        <f>IF(J612&lt;=0.005,"PAID",IF(I612&gt;0,"PARTIAL","OVERDUE"))</f>
        <v/>
      </c>
      <c r="L612" s="4">
        <f>IF(COUNTIFS(Raw_Payments!B:B,A612)=0,"",SUMPRODUCT(MAX((Raw_Payments!B$2:B$1079=A612)*Raw_Payments!D$2:D$1079)))</f>
        <v/>
      </c>
      <c r="M612" s="3">
        <f>IF(K612="PAID",MAX(0,L612-G612),Guide!$B$3-G612)</f>
        <v/>
      </c>
      <c r="N612" s="3">
        <f>IF(J612&lt;=0.005,"COLLECTED",IF(M612&lt;=30,"1-30",IF(M612&lt;=60,"31-60",IF(M612&lt;=90,"61-90","90+"))))</f>
        <v/>
      </c>
      <c r="O612" s="3">
        <f>IF(N612="90+","LOST",IF(N612="61-90","ESCALATE",IF(N612="31-60","WATCH",IF(N612="1-30","MILD","OK"))))</f>
        <v/>
      </c>
      <c r="P612" s="3">
        <f>IF(J612&gt;0.005,ROW()-1,"")</f>
        <v/>
      </c>
    </row>
    <row r="613">
      <c r="A613" s="3" t="inlineStr">
        <is>
          <t>D0612</t>
        </is>
      </c>
      <c r="B613" s="3">
        <f>INDEX(Raw_Schedule!B:B,MATCH(A613,Raw_Schedule!A:A,0))</f>
        <v/>
      </c>
      <c r="C613" s="3">
        <f>INDEX(Raw_Schedule!C:C,MATCH(A613,Raw_Schedule!A:A,0))</f>
        <v/>
      </c>
      <c r="D613" s="3">
        <f>INDEX(Raw_Schedule!D:D,MATCH(A613,Raw_Schedule!A:A,0))</f>
        <v/>
      </c>
      <c r="E613" s="3">
        <f>INDEX(Raw_Schedule!E:E,MATCH(A613,Raw_Schedule!A:A,0))</f>
        <v/>
      </c>
      <c r="F613" s="3">
        <f>INDEX(Raw_Schedule!F:F,MATCH(A613,Raw_Schedule!A:A,0))</f>
        <v/>
      </c>
      <c r="G613" s="4">
        <f>INDEX(Raw_Schedule!G:G,MATCH(A613,Raw_Schedule!A:A,0))</f>
        <v/>
      </c>
      <c r="H613" s="5">
        <f>INDEX(Raw_Schedule!H:H,MATCH(A613,Raw_Schedule!A:A,0))</f>
        <v/>
      </c>
      <c r="I613" s="5">
        <f>SUMIFS(Raw_Payments!E:E,Raw_Payments!B:B,A613)</f>
        <v/>
      </c>
      <c r="J613" s="5">
        <f>H613-I613</f>
        <v/>
      </c>
      <c r="K613" s="3">
        <f>IF(J613&lt;=0.005,"PAID",IF(I613&gt;0,"PARTIAL","OVERDUE"))</f>
        <v/>
      </c>
      <c r="L613" s="4">
        <f>IF(COUNTIFS(Raw_Payments!B:B,A613)=0,"",SUMPRODUCT(MAX((Raw_Payments!B$2:B$1079=A613)*Raw_Payments!D$2:D$1079)))</f>
        <v/>
      </c>
      <c r="M613" s="3">
        <f>IF(K613="PAID",MAX(0,L613-G613),Guide!$B$3-G613)</f>
        <v/>
      </c>
      <c r="N613" s="3">
        <f>IF(J613&lt;=0.005,"COLLECTED",IF(M613&lt;=30,"1-30",IF(M613&lt;=60,"31-60",IF(M613&lt;=90,"61-90","90+"))))</f>
        <v/>
      </c>
      <c r="O613" s="3">
        <f>IF(N613="90+","LOST",IF(N613="61-90","ESCALATE",IF(N613="31-60","WATCH",IF(N613="1-30","MILD","OK"))))</f>
        <v/>
      </c>
      <c r="P613" s="3">
        <f>IF(J613&gt;0.005,ROW()-1,"")</f>
        <v/>
      </c>
    </row>
    <row r="614">
      <c r="A614" s="3" t="inlineStr">
        <is>
          <t>D0613</t>
        </is>
      </c>
      <c r="B614" s="3">
        <f>INDEX(Raw_Schedule!B:B,MATCH(A614,Raw_Schedule!A:A,0))</f>
        <v/>
      </c>
      <c r="C614" s="3">
        <f>INDEX(Raw_Schedule!C:C,MATCH(A614,Raw_Schedule!A:A,0))</f>
        <v/>
      </c>
      <c r="D614" s="3">
        <f>INDEX(Raw_Schedule!D:D,MATCH(A614,Raw_Schedule!A:A,0))</f>
        <v/>
      </c>
      <c r="E614" s="3">
        <f>INDEX(Raw_Schedule!E:E,MATCH(A614,Raw_Schedule!A:A,0))</f>
        <v/>
      </c>
      <c r="F614" s="3">
        <f>INDEX(Raw_Schedule!F:F,MATCH(A614,Raw_Schedule!A:A,0))</f>
        <v/>
      </c>
      <c r="G614" s="4">
        <f>INDEX(Raw_Schedule!G:G,MATCH(A614,Raw_Schedule!A:A,0))</f>
        <v/>
      </c>
      <c r="H614" s="5">
        <f>INDEX(Raw_Schedule!H:H,MATCH(A614,Raw_Schedule!A:A,0))</f>
        <v/>
      </c>
      <c r="I614" s="5">
        <f>SUMIFS(Raw_Payments!E:E,Raw_Payments!B:B,A614)</f>
        <v/>
      </c>
      <c r="J614" s="5">
        <f>H614-I614</f>
        <v/>
      </c>
      <c r="K614" s="3">
        <f>IF(J614&lt;=0.005,"PAID",IF(I614&gt;0,"PARTIAL","OVERDUE"))</f>
        <v/>
      </c>
      <c r="L614" s="4">
        <f>IF(COUNTIFS(Raw_Payments!B:B,A614)=0,"",SUMPRODUCT(MAX((Raw_Payments!B$2:B$1079=A614)*Raw_Payments!D$2:D$1079)))</f>
        <v/>
      </c>
      <c r="M614" s="3">
        <f>IF(K614="PAID",MAX(0,L614-G614),Guide!$B$3-G614)</f>
        <v/>
      </c>
      <c r="N614" s="3">
        <f>IF(J614&lt;=0.005,"COLLECTED",IF(M614&lt;=30,"1-30",IF(M614&lt;=60,"31-60",IF(M614&lt;=90,"61-90","90+"))))</f>
        <v/>
      </c>
      <c r="O614" s="3">
        <f>IF(N614="90+","LOST",IF(N614="61-90","ESCALATE",IF(N614="31-60","WATCH",IF(N614="1-30","MILD","OK"))))</f>
        <v/>
      </c>
      <c r="P614" s="3">
        <f>IF(J614&gt;0.005,ROW()-1,"")</f>
        <v/>
      </c>
    </row>
    <row r="615">
      <c r="A615" s="3" t="inlineStr">
        <is>
          <t>D0614</t>
        </is>
      </c>
      <c r="B615" s="3">
        <f>INDEX(Raw_Schedule!B:B,MATCH(A615,Raw_Schedule!A:A,0))</f>
        <v/>
      </c>
      <c r="C615" s="3">
        <f>INDEX(Raw_Schedule!C:C,MATCH(A615,Raw_Schedule!A:A,0))</f>
        <v/>
      </c>
      <c r="D615" s="3">
        <f>INDEX(Raw_Schedule!D:D,MATCH(A615,Raw_Schedule!A:A,0))</f>
        <v/>
      </c>
      <c r="E615" s="3">
        <f>INDEX(Raw_Schedule!E:E,MATCH(A615,Raw_Schedule!A:A,0))</f>
        <v/>
      </c>
      <c r="F615" s="3">
        <f>INDEX(Raw_Schedule!F:F,MATCH(A615,Raw_Schedule!A:A,0))</f>
        <v/>
      </c>
      <c r="G615" s="4">
        <f>INDEX(Raw_Schedule!G:G,MATCH(A615,Raw_Schedule!A:A,0))</f>
        <v/>
      </c>
      <c r="H615" s="5">
        <f>INDEX(Raw_Schedule!H:H,MATCH(A615,Raw_Schedule!A:A,0))</f>
        <v/>
      </c>
      <c r="I615" s="5">
        <f>SUMIFS(Raw_Payments!E:E,Raw_Payments!B:B,A615)</f>
        <v/>
      </c>
      <c r="J615" s="5">
        <f>H615-I615</f>
        <v/>
      </c>
      <c r="K615" s="3">
        <f>IF(J615&lt;=0.005,"PAID",IF(I615&gt;0,"PARTIAL","OVERDUE"))</f>
        <v/>
      </c>
      <c r="L615" s="4">
        <f>IF(COUNTIFS(Raw_Payments!B:B,A615)=0,"",SUMPRODUCT(MAX((Raw_Payments!B$2:B$1079=A615)*Raw_Payments!D$2:D$1079)))</f>
        <v/>
      </c>
      <c r="M615" s="3">
        <f>IF(K615="PAID",MAX(0,L615-G615),Guide!$B$3-G615)</f>
        <v/>
      </c>
      <c r="N615" s="3">
        <f>IF(J615&lt;=0.005,"COLLECTED",IF(M615&lt;=30,"1-30",IF(M615&lt;=60,"31-60",IF(M615&lt;=90,"61-90","90+"))))</f>
        <v/>
      </c>
      <c r="O615" s="3">
        <f>IF(N615="90+","LOST",IF(N615="61-90","ESCALATE",IF(N615="31-60","WATCH",IF(N615="1-30","MILD","OK"))))</f>
        <v/>
      </c>
      <c r="P615" s="3">
        <f>IF(J615&gt;0.005,ROW()-1,"")</f>
        <v/>
      </c>
    </row>
    <row r="616">
      <c r="A616" s="3" t="inlineStr">
        <is>
          <t>D0615</t>
        </is>
      </c>
      <c r="B616" s="3">
        <f>INDEX(Raw_Schedule!B:B,MATCH(A616,Raw_Schedule!A:A,0))</f>
        <v/>
      </c>
      <c r="C616" s="3">
        <f>INDEX(Raw_Schedule!C:C,MATCH(A616,Raw_Schedule!A:A,0))</f>
        <v/>
      </c>
      <c r="D616" s="3">
        <f>INDEX(Raw_Schedule!D:D,MATCH(A616,Raw_Schedule!A:A,0))</f>
        <v/>
      </c>
      <c r="E616" s="3">
        <f>INDEX(Raw_Schedule!E:E,MATCH(A616,Raw_Schedule!A:A,0))</f>
        <v/>
      </c>
      <c r="F616" s="3">
        <f>INDEX(Raw_Schedule!F:F,MATCH(A616,Raw_Schedule!A:A,0))</f>
        <v/>
      </c>
      <c r="G616" s="4">
        <f>INDEX(Raw_Schedule!G:G,MATCH(A616,Raw_Schedule!A:A,0))</f>
        <v/>
      </c>
      <c r="H616" s="5">
        <f>INDEX(Raw_Schedule!H:H,MATCH(A616,Raw_Schedule!A:A,0))</f>
        <v/>
      </c>
      <c r="I616" s="5">
        <f>SUMIFS(Raw_Payments!E:E,Raw_Payments!B:B,A616)</f>
        <v/>
      </c>
      <c r="J616" s="5">
        <f>H616-I616</f>
        <v/>
      </c>
      <c r="K616" s="3">
        <f>IF(J616&lt;=0.005,"PAID",IF(I616&gt;0,"PARTIAL","OVERDUE"))</f>
        <v/>
      </c>
      <c r="L616" s="4">
        <f>IF(COUNTIFS(Raw_Payments!B:B,A616)=0,"",SUMPRODUCT(MAX((Raw_Payments!B$2:B$1079=A616)*Raw_Payments!D$2:D$1079)))</f>
        <v/>
      </c>
      <c r="M616" s="3">
        <f>IF(K616="PAID",MAX(0,L616-G616),Guide!$B$3-G616)</f>
        <v/>
      </c>
      <c r="N616" s="3">
        <f>IF(J616&lt;=0.005,"COLLECTED",IF(M616&lt;=30,"1-30",IF(M616&lt;=60,"31-60",IF(M616&lt;=90,"61-90","90+"))))</f>
        <v/>
      </c>
      <c r="O616" s="3">
        <f>IF(N616="90+","LOST",IF(N616="61-90","ESCALATE",IF(N616="31-60","WATCH",IF(N616="1-30","MILD","OK"))))</f>
        <v/>
      </c>
      <c r="P616" s="3">
        <f>IF(J616&gt;0.005,ROW()-1,"")</f>
        <v/>
      </c>
    </row>
    <row r="617">
      <c r="A617" s="3" t="inlineStr">
        <is>
          <t>D0616</t>
        </is>
      </c>
      <c r="B617" s="3">
        <f>INDEX(Raw_Schedule!B:B,MATCH(A617,Raw_Schedule!A:A,0))</f>
        <v/>
      </c>
      <c r="C617" s="3">
        <f>INDEX(Raw_Schedule!C:C,MATCH(A617,Raw_Schedule!A:A,0))</f>
        <v/>
      </c>
      <c r="D617" s="3">
        <f>INDEX(Raw_Schedule!D:D,MATCH(A617,Raw_Schedule!A:A,0))</f>
        <v/>
      </c>
      <c r="E617" s="3">
        <f>INDEX(Raw_Schedule!E:E,MATCH(A617,Raw_Schedule!A:A,0))</f>
        <v/>
      </c>
      <c r="F617" s="3">
        <f>INDEX(Raw_Schedule!F:F,MATCH(A617,Raw_Schedule!A:A,0))</f>
        <v/>
      </c>
      <c r="G617" s="4">
        <f>INDEX(Raw_Schedule!G:G,MATCH(A617,Raw_Schedule!A:A,0))</f>
        <v/>
      </c>
      <c r="H617" s="5">
        <f>INDEX(Raw_Schedule!H:H,MATCH(A617,Raw_Schedule!A:A,0))</f>
        <v/>
      </c>
      <c r="I617" s="5">
        <f>SUMIFS(Raw_Payments!E:E,Raw_Payments!B:B,A617)</f>
        <v/>
      </c>
      <c r="J617" s="5">
        <f>H617-I617</f>
        <v/>
      </c>
      <c r="K617" s="3">
        <f>IF(J617&lt;=0.005,"PAID",IF(I617&gt;0,"PARTIAL","OVERDUE"))</f>
        <v/>
      </c>
      <c r="L617" s="4">
        <f>IF(COUNTIFS(Raw_Payments!B:B,A617)=0,"",SUMPRODUCT(MAX((Raw_Payments!B$2:B$1079=A617)*Raw_Payments!D$2:D$1079)))</f>
        <v/>
      </c>
      <c r="M617" s="3">
        <f>IF(K617="PAID",MAX(0,L617-G617),Guide!$B$3-G617)</f>
        <v/>
      </c>
      <c r="N617" s="3">
        <f>IF(J617&lt;=0.005,"COLLECTED",IF(M617&lt;=30,"1-30",IF(M617&lt;=60,"31-60",IF(M617&lt;=90,"61-90","90+"))))</f>
        <v/>
      </c>
      <c r="O617" s="3">
        <f>IF(N617="90+","LOST",IF(N617="61-90","ESCALATE",IF(N617="31-60","WATCH",IF(N617="1-30","MILD","OK"))))</f>
        <v/>
      </c>
      <c r="P617" s="3">
        <f>IF(J617&gt;0.005,ROW()-1,"")</f>
        <v/>
      </c>
    </row>
    <row r="618">
      <c r="A618" s="3" t="inlineStr">
        <is>
          <t>D0617</t>
        </is>
      </c>
      <c r="B618" s="3">
        <f>INDEX(Raw_Schedule!B:B,MATCH(A618,Raw_Schedule!A:A,0))</f>
        <v/>
      </c>
      <c r="C618" s="3">
        <f>INDEX(Raw_Schedule!C:C,MATCH(A618,Raw_Schedule!A:A,0))</f>
        <v/>
      </c>
      <c r="D618" s="3">
        <f>INDEX(Raw_Schedule!D:D,MATCH(A618,Raw_Schedule!A:A,0))</f>
        <v/>
      </c>
      <c r="E618" s="3">
        <f>INDEX(Raw_Schedule!E:E,MATCH(A618,Raw_Schedule!A:A,0))</f>
        <v/>
      </c>
      <c r="F618" s="3">
        <f>INDEX(Raw_Schedule!F:F,MATCH(A618,Raw_Schedule!A:A,0))</f>
        <v/>
      </c>
      <c r="G618" s="4">
        <f>INDEX(Raw_Schedule!G:G,MATCH(A618,Raw_Schedule!A:A,0))</f>
        <v/>
      </c>
      <c r="H618" s="5">
        <f>INDEX(Raw_Schedule!H:H,MATCH(A618,Raw_Schedule!A:A,0))</f>
        <v/>
      </c>
      <c r="I618" s="5">
        <f>SUMIFS(Raw_Payments!E:E,Raw_Payments!B:B,A618)</f>
        <v/>
      </c>
      <c r="J618" s="5">
        <f>H618-I618</f>
        <v/>
      </c>
      <c r="K618" s="3">
        <f>IF(J618&lt;=0.005,"PAID",IF(I618&gt;0,"PARTIAL","OVERDUE"))</f>
        <v/>
      </c>
      <c r="L618" s="4">
        <f>IF(COUNTIFS(Raw_Payments!B:B,A618)=0,"",SUMPRODUCT(MAX((Raw_Payments!B$2:B$1079=A618)*Raw_Payments!D$2:D$1079)))</f>
        <v/>
      </c>
      <c r="M618" s="3">
        <f>IF(K618="PAID",MAX(0,L618-G618),Guide!$B$3-G618)</f>
        <v/>
      </c>
      <c r="N618" s="3">
        <f>IF(J618&lt;=0.005,"COLLECTED",IF(M618&lt;=30,"1-30",IF(M618&lt;=60,"31-60",IF(M618&lt;=90,"61-90","90+"))))</f>
        <v/>
      </c>
      <c r="O618" s="3">
        <f>IF(N618="90+","LOST",IF(N618="61-90","ESCALATE",IF(N618="31-60","WATCH",IF(N618="1-30","MILD","OK"))))</f>
        <v/>
      </c>
      <c r="P618" s="3">
        <f>IF(J618&gt;0.005,ROW()-1,"")</f>
        <v/>
      </c>
    </row>
    <row r="619">
      <c r="A619" s="3" t="inlineStr">
        <is>
          <t>D0618</t>
        </is>
      </c>
      <c r="B619" s="3">
        <f>INDEX(Raw_Schedule!B:B,MATCH(A619,Raw_Schedule!A:A,0))</f>
        <v/>
      </c>
      <c r="C619" s="3">
        <f>INDEX(Raw_Schedule!C:C,MATCH(A619,Raw_Schedule!A:A,0))</f>
        <v/>
      </c>
      <c r="D619" s="3">
        <f>INDEX(Raw_Schedule!D:D,MATCH(A619,Raw_Schedule!A:A,0))</f>
        <v/>
      </c>
      <c r="E619" s="3">
        <f>INDEX(Raw_Schedule!E:E,MATCH(A619,Raw_Schedule!A:A,0))</f>
        <v/>
      </c>
      <c r="F619" s="3">
        <f>INDEX(Raw_Schedule!F:F,MATCH(A619,Raw_Schedule!A:A,0))</f>
        <v/>
      </c>
      <c r="G619" s="4">
        <f>INDEX(Raw_Schedule!G:G,MATCH(A619,Raw_Schedule!A:A,0))</f>
        <v/>
      </c>
      <c r="H619" s="5">
        <f>INDEX(Raw_Schedule!H:H,MATCH(A619,Raw_Schedule!A:A,0))</f>
        <v/>
      </c>
      <c r="I619" s="5">
        <f>SUMIFS(Raw_Payments!E:E,Raw_Payments!B:B,A619)</f>
        <v/>
      </c>
      <c r="J619" s="5">
        <f>H619-I619</f>
        <v/>
      </c>
      <c r="K619" s="3">
        <f>IF(J619&lt;=0.005,"PAID",IF(I619&gt;0,"PARTIAL","OVERDUE"))</f>
        <v/>
      </c>
      <c r="L619" s="4">
        <f>IF(COUNTIFS(Raw_Payments!B:B,A619)=0,"",SUMPRODUCT(MAX((Raw_Payments!B$2:B$1079=A619)*Raw_Payments!D$2:D$1079)))</f>
        <v/>
      </c>
      <c r="M619" s="3">
        <f>IF(K619="PAID",MAX(0,L619-G619),Guide!$B$3-G619)</f>
        <v/>
      </c>
      <c r="N619" s="3">
        <f>IF(J619&lt;=0.005,"COLLECTED",IF(M619&lt;=30,"1-30",IF(M619&lt;=60,"31-60",IF(M619&lt;=90,"61-90","90+"))))</f>
        <v/>
      </c>
      <c r="O619" s="3">
        <f>IF(N619="90+","LOST",IF(N619="61-90","ESCALATE",IF(N619="31-60","WATCH",IF(N619="1-30","MILD","OK"))))</f>
        <v/>
      </c>
      <c r="P619" s="3">
        <f>IF(J619&gt;0.005,ROW()-1,"")</f>
        <v/>
      </c>
    </row>
    <row r="620">
      <c r="A620" s="3" t="inlineStr">
        <is>
          <t>D0619</t>
        </is>
      </c>
      <c r="B620" s="3">
        <f>INDEX(Raw_Schedule!B:B,MATCH(A620,Raw_Schedule!A:A,0))</f>
        <v/>
      </c>
      <c r="C620" s="3">
        <f>INDEX(Raw_Schedule!C:C,MATCH(A620,Raw_Schedule!A:A,0))</f>
        <v/>
      </c>
      <c r="D620" s="3">
        <f>INDEX(Raw_Schedule!D:D,MATCH(A620,Raw_Schedule!A:A,0))</f>
        <v/>
      </c>
      <c r="E620" s="3">
        <f>INDEX(Raw_Schedule!E:E,MATCH(A620,Raw_Schedule!A:A,0))</f>
        <v/>
      </c>
      <c r="F620" s="3">
        <f>INDEX(Raw_Schedule!F:F,MATCH(A620,Raw_Schedule!A:A,0))</f>
        <v/>
      </c>
      <c r="G620" s="4">
        <f>INDEX(Raw_Schedule!G:G,MATCH(A620,Raw_Schedule!A:A,0))</f>
        <v/>
      </c>
      <c r="H620" s="5">
        <f>INDEX(Raw_Schedule!H:H,MATCH(A620,Raw_Schedule!A:A,0))</f>
        <v/>
      </c>
      <c r="I620" s="5">
        <f>SUMIFS(Raw_Payments!E:E,Raw_Payments!B:B,A620)</f>
        <v/>
      </c>
      <c r="J620" s="5">
        <f>H620-I620</f>
        <v/>
      </c>
      <c r="K620" s="3">
        <f>IF(J620&lt;=0.005,"PAID",IF(I620&gt;0,"PARTIAL","OVERDUE"))</f>
        <v/>
      </c>
      <c r="L620" s="4">
        <f>IF(COUNTIFS(Raw_Payments!B:B,A620)=0,"",SUMPRODUCT(MAX((Raw_Payments!B$2:B$1079=A620)*Raw_Payments!D$2:D$1079)))</f>
        <v/>
      </c>
      <c r="M620" s="3">
        <f>IF(K620="PAID",MAX(0,L620-G620),Guide!$B$3-G620)</f>
        <v/>
      </c>
      <c r="N620" s="3">
        <f>IF(J620&lt;=0.005,"COLLECTED",IF(M620&lt;=30,"1-30",IF(M620&lt;=60,"31-60",IF(M620&lt;=90,"61-90","90+"))))</f>
        <v/>
      </c>
      <c r="O620" s="3">
        <f>IF(N620="90+","LOST",IF(N620="61-90","ESCALATE",IF(N620="31-60","WATCH",IF(N620="1-30","MILD","OK"))))</f>
        <v/>
      </c>
      <c r="P620" s="3">
        <f>IF(J620&gt;0.005,ROW()-1,"")</f>
        <v/>
      </c>
    </row>
    <row r="621">
      <c r="A621" s="3" t="inlineStr">
        <is>
          <t>D0620</t>
        </is>
      </c>
      <c r="B621" s="3">
        <f>INDEX(Raw_Schedule!B:B,MATCH(A621,Raw_Schedule!A:A,0))</f>
        <v/>
      </c>
      <c r="C621" s="3">
        <f>INDEX(Raw_Schedule!C:C,MATCH(A621,Raw_Schedule!A:A,0))</f>
        <v/>
      </c>
      <c r="D621" s="3">
        <f>INDEX(Raw_Schedule!D:D,MATCH(A621,Raw_Schedule!A:A,0))</f>
        <v/>
      </c>
      <c r="E621" s="3">
        <f>INDEX(Raw_Schedule!E:E,MATCH(A621,Raw_Schedule!A:A,0))</f>
        <v/>
      </c>
      <c r="F621" s="3">
        <f>INDEX(Raw_Schedule!F:F,MATCH(A621,Raw_Schedule!A:A,0))</f>
        <v/>
      </c>
      <c r="G621" s="4">
        <f>INDEX(Raw_Schedule!G:G,MATCH(A621,Raw_Schedule!A:A,0))</f>
        <v/>
      </c>
      <c r="H621" s="5">
        <f>INDEX(Raw_Schedule!H:H,MATCH(A621,Raw_Schedule!A:A,0))</f>
        <v/>
      </c>
      <c r="I621" s="5">
        <f>SUMIFS(Raw_Payments!E:E,Raw_Payments!B:B,A621)</f>
        <v/>
      </c>
      <c r="J621" s="5">
        <f>H621-I621</f>
        <v/>
      </c>
      <c r="K621" s="3">
        <f>IF(J621&lt;=0.005,"PAID",IF(I621&gt;0,"PARTIAL","OVERDUE"))</f>
        <v/>
      </c>
      <c r="L621" s="4">
        <f>IF(COUNTIFS(Raw_Payments!B:B,A621)=0,"",SUMPRODUCT(MAX((Raw_Payments!B$2:B$1079=A621)*Raw_Payments!D$2:D$1079)))</f>
        <v/>
      </c>
      <c r="M621" s="3">
        <f>IF(K621="PAID",MAX(0,L621-G621),Guide!$B$3-G621)</f>
        <v/>
      </c>
      <c r="N621" s="3">
        <f>IF(J621&lt;=0.005,"COLLECTED",IF(M621&lt;=30,"1-30",IF(M621&lt;=60,"31-60",IF(M621&lt;=90,"61-90","90+"))))</f>
        <v/>
      </c>
      <c r="O621" s="3">
        <f>IF(N621="90+","LOST",IF(N621="61-90","ESCALATE",IF(N621="31-60","WATCH",IF(N621="1-30","MILD","OK"))))</f>
        <v/>
      </c>
      <c r="P621" s="3">
        <f>IF(J621&gt;0.005,ROW()-1,"")</f>
        <v/>
      </c>
    </row>
    <row r="622">
      <c r="A622" s="3" t="inlineStr">
        <is>
          <t>D0621</t>
        </is>
      </c>
      <c r="B622" s="3">
        <f>INDEX(Raw_Schedule!B:B,MATCH(A622,Raw_Schedule!A:A,0))</f>
        <v/>
      </c>
      <c r="C622" s="3">
        <f>INDEX(Raw_Schedule!C:C,MATCH(A622,Raw_Schedule!A:A,0))</f>
        <v/>
      </c>
      <c r="D622" s="3">
        <f>INDEX(Raw_Schedule!D:D,MATCH(A622,Raw_Schedule!A:A,0))</f>
        <v/>
      </c>
      <c r="E622" s="3">
        <f>INDEX(Raw_Schedule!E:E,MATCH(A622,Raw_Schedule!A:A,0))</f>
        <v/>
      </c>
      <c r="F622" s="3">
        <f>INDEX(Raw_Schedule!F:F,MATCH(A622,Raw_Schedule!A:A,0))</f>
        <v/>
      </c>
      <c r="G622" s="4">
        <f>INDEX(Raw_Schedule!G:G,MATCH(A622,Raw_Schedule!A:A,0))</f>
        <v/>
      </c>
      <c r="H622" s="5">
        <f>INDEX(Raw_Schedule!H:H,MATCH(A622,Raw_Schedule!A:A,0))</f>
        <v/>
      </c>
      <c r="I622" s="5">
        <f>SUMIFS(Raw_Payments!E:E,Raw_Payments!B:B,A622)</f>
        <v/>
      </c>
      <c r="J622" s="5">
        <f>H622-I622</f>
        <v/>
      </c>
      <c r="K622" s="3">
        <f>IF(J622&lt;=0.005,"PAID",IF(I622&gt;0,"PARTIAL","OVERDUE"))</f>
        <v/>
      </c>
      <c r="L622" s="4">
        <f>IF(COUNTIFS(Raw_Payments!B:B,A622)=0,"",SUMPRODUCT(MAX((Raw_Payments!B$2:B$1079=A622)*Raw_Payments!D$2:D$1079)))</f>
        <v/>
      </c>
      <c r="M622" s="3">
        <f>IF(K622="PAID",MAX(0,L622-G622),Guide!$B$3-G622)</f>
        <v/>
      </c>
      <c r="N622" s="3">
        <f>IF(J622&lt;=0.005,"COLLECTED",IF(M622&lt;=30,"1-30",IF(M622&lt;=60,"31-60",IF(M622&lt;=90,"61-90","90+"))))</f>
        <v/>
      </c>
      <c r="O622" s="3">
        <f>IF(N622="90+","LOST",IF(N622="61-90","ESCALATE",IF(N622="31-60","WATCH",IF(N622="1-30","MILD","OK"))))</f>
        <v/>
      </c>
      <c r="P622" s="3">
        <f>IF(J622&gt;0.005,ROW()-1,"")</f>
        <v/>
      </c>
    </row>
    <row r="623">
      <c r="A623" s="3" t="inlineStr">
        <is>
          <t>D0622</t>
        </is>
      </c>
      <c r="B623" s="3">
        <f>INDEX(Raw_Schedule!B:B,MATCH(A623,Raw_Schedule!A:A,0))</f>
        <v/>
      </c>
      <c r="C623" s="3">
        <f>INDEX(Raw_Schedule!C:C,MATCH(A623,Raw_Schedule!A:A,0))</f>
        <v/>
      </c>
      <c r="D623" s="3">
        <f>INDEX(Raw_Schedule!D:D,MATCH(A623,Raw_Schedule!A:A,0))</f>
        <v/>
      </c>
      <c r="E623" s="3">
        <f>INDEX(Raw_Schedule!E:E,MATCH(A623,Raw_Schedule!A:A,0))</f>
        <v/>
      </c>
      <c r="F623" s="3">
        <f>INDEX(Raw_Schedule!F:F,MATCH(A623,Raw_Schedule!A:A,0))</f>
        <v/>
      </c>
      <c r="G623" s="4">
        <f>INDEX(Raw_Schedule!G:G,MATCH(A623,Raw_Schedule!A:A,0))</f>
        <v/>
      </c>
      <c r="H623" s="5">
        <f>INDEX(Raw_Schedule!H:H,MATCH(A623,Raw_Schedule!A:A,0))</f>
        <v/>
      </c>
      <c r="I623" s="5">
        <f>SUMIFS(Raw_Payments!E:E,Raw_Payments!B:B,A623)</f>
        <v/>
      </c>
      <c r="J623" s="5">
        <f>H623-I623</f>
        <v/>
      </c>
      <c r="K623" s="3">
        <f>IF(J623&lt;=0.005,"PAID",IF(I623&gt;0,"PARTIAL","OVERDUE"))</f>
        <v/>
      </c>
      <c r="L623" s="4">
        <f>IF(COUNTIFS(Raw_Payments!B:B,A623)=0,"",SUMPRODUCT(MAX((Raw_Payments!B$2:B$1079=A623)*Raw_Payments!D$2:D$1079)))</f>
        <v/>
      </c>
      <c r="M623" s="3">
        <f>IF(K623="PAID",MAX(0,L623-G623),Guide!$B$3-G623)</f>
        <v/>
      </c>
      <c r="N623" s="3">
        <f>IF(J623&lt;=0.005,"COLLECTED",IF(M623&lt;=30,"1-30",IF(M623&lt;=60,"31-60",IF(M623&lt;=90,"61-90","90+"))))</f>
        <v/>
      </c>
      <c r="O623" s="3">
        <f>IF(N623="90+","LOST",IF(N623="61-90","ESCALATE",IF(N623="31-60","WATCH",IF(N623="1-30","MILD","OK"))))</f>
        <v/>
      </c>
      <c r="P623" s="3">
        <f>IF(J623&gt;0.005,ROW()-1,"")</f>
        <v/>
      </c>
    </row>
    <row r="624">
      <c r="A624" s="3" t="inlineStr">
        <is>
          <t>D0623</t>
        </is>
      </c>
      <c r="B624" s="3">
        <f>INDEX(Raw_Schedule!B:B,MATCH(A624,Raw_Schedule!A:A,0))</f>
        <v/>
      </c>
      <c r="C624" s="3">
        <f>INDEX(Raw_Schedule!C:C,MATCH(A624,Raw_Schedule!A:A,0))</f>
        <v/>
      </c>
      <c r="D624" s="3">
        <f>INDEX(Raw_Schedule!D:D,MATCH(A624,Raw_Schedule!A:A,0))</f>
        <v/>
      </c>
      <c r="E624" s="3">
        <f>INDEX(Raw_Schedule!E:E,MATCH(A624,Raw_Schedule!A:A,0))</f>
        <v/>
      </c>
      <c r="F624" s="3">
        <f>INDEX(Raw_Schedule!F:F,MATCH(A624,Raw_Schedule!A:A,0))</f>
        <v/>
      </c>
      <c r="G624" s="4">
        <f>INDEX(Raw_Schedule!G:G,MATCH(A624,Raw_Schedule!A:A,0))</f>
        <v/>
      </c>
      <c r="H624" s="5">
        <f>INDEX(Raw_Schedule!H:H,MATCH(A624,Raw_Schedule!A:A,0))</f>
        <v/>
      </c>
      <c r="I624" s="5">
        <f>SUMIFS(Raw_Payments!E:E,Raw_Payments!B:B,A624)</f>
        <v/>
      </c>
      <c r="J624" s="5">
        <f>H624-I624</f>
        <v/>
      </c>
      <c r="K624" s="3">
        <f>IF(J624&lt;=0.005,"PAID",IF(I624&gt;0,"PARTIAL","OVERDUE"))</f>
        <v/>
      </c>
      <c r="L624" s="4">
        <f>IF(COUNTIFS(Raw_Payments!B:B,A624)=0,"",SUMPRODUCT(MAX((Raw_Payments!B$2:B$1079=A624)*Raw_Payments!D$2:D$1079)))</f>
        <v/>
      </c>
      <c r="M624" s="3">
        <f>IF(K624="PAID",MAX(0,L624-G624),Guide!$B$3-G624)</f>
        <v/>
      </c>
      <c r="N624" s="3">
        <f>IF(J624&lt;=0.005,"COLLECTED",IF(M624&lt;=30,"1-30",IF(M624&lt;=60,"31-60",IF(M624&lt;=90,"61-90","90+"))))</f>
        <v/>
      </c>
      <c r="O624" s="3">
        <f>IF(N624="90+","LOST",IF(N624="61-90","ESCALATE",IF(N624="31-60","WATCH",IF(N624="1-30","MILD","OK"))))</f>
        <v/>
      </c>
      <c r="P624" s="3">
        <f>IF(J624&gt;0.005,ROW()-1,"")</f>
        <v/>
      </c>
    </row>
    <row r="625">
      <c r="A625" s="3" t="inlineStr">
        <is>
          <t>D0624</t>
        </is>
      </c>
      <c r="B625" s="3">
        <f>INDEX(Raw_Schedule!B:B,MATCH(A625,Raw_Schedule!A:A,0))</f>
        <v/>
      </c>
      <c r="C625" s="3">
        <f>INDEX(Raw_Schedule!C:C,MATCH(A625,Raw_Schedule!A:A,0))</f>
        <v/>
      </c>
      <c r="D625" s="3">
        <f>INDEX(Raw_Schedule!D:D,MATCH(A625,Raw_Schedule!A:A,0))</f>
        <v/>
      </c>
      <c r="E625" s="3">
        <f>INDEX(Raw_Schedule!E:E,MATCH(A625,Raw_Schedule!A:A,0))</f>
        <v/>
      </c>
      <c r="F625" s="3">
        <f>INDEX(Raw_Schedule!F:F,MATCH(A625,Raw_Schedule!A:A,0))</f>
        <v/>
      </c>
      <c r="G625" s="4">
        <f>INDEX(Raw_Schedule!G:G,MATCH(A625,Raw_Schedule!A:A,0))</f>
        <v/>
      </c>
      <c r="H625" s="5">
        <f>INDEX(Raw_Schedule!H:H,MATCH(A625,Raw_Schedule!A:A,0))</f>
        <v/>
      </c>
      <c r="I625" s="5">
        <f>SUMIFS(Raw_Payments!E:E,Raw_Payments!B:B,A625)</f>
        <v/>
      </c>
      <c r="J625" s="5">
        <f>H625-I625</f>
        <v/>
      </c>
      <c r="K625" s="3">
        <f>IF(J625&lt;=0.005,"PAID",IF(I625&gt;0,"PARTIAL","OVERDUE"))</f>
        <v/>
      </c>
      <c r="L625" s="4">
        <f>IF(COUNTIFS(Raw_Payments!B:B,A625)=0,"",SUMPRODUCT(MAX((Raw_Payments!B$2:B$1079=A625)*Raw_Payments!D$2:D$1079)))</f>
        <v/>
      </c>
      <c r="M625" s="3">
        <f>IF(K625="PAID",MAX(0,L625-G625),Guide!$B$3-G625)</f>
        <v/>
      </c>
      <c r="N625" s="3">
        <f>IF(J625&lt;=0.005,"COLLECTED",IF(M625&lt;=30,"1-30",IF(M625&lt;=60,"31-60",IF(M625&lt;=90,"61-90","90+"))))</f>
        <v/>
      </c>
      <c r="O625" s="3">
        <f>IF(N625="90+","LOST",IF(N625="61-90","ESCALATE",IF(N625="31-60","WATCH",IF(N625="1-30","MILD","OK"))))</f>
        <v/>
      </c>
      <c r="P625" s="3">
        <f>IF(J625&gt;0.005,ROW()-1,"")</f>
        <v/>
      </c>
    </row>
    <row r="626">
      <c r="A626" s="3" t="inlineStr">
        <is>
          <t>D0625</t>
        </is>
      </c>
      <c r="B626" s="3">
        <f>INDEX(Raw_Schedule!B:B,MATCH(A626,Raw_Schedule!A:A,0))</f>
        <v/>
      </c>
      <c r="C626" s="3">
        <f>INDEX(Raw_Schedule!C:C,MATCH(A626,Raw_Schedule!A:A,0))</f>
        <v/>
      </c>
      <c r="D626" s="3">
        <f>INDEX(Raw_Schedule!D:D,MATCH(A626,Raw_Schedule!A:A,0))</f>
        <v/>
      </c>
      <c r="E626" s="3">
        <f>INDEX(Raw_Schedule!E:E,MATCH(A626,Raw_Schedule!A:A,0))</f>
        <v/>
      </c>
      <c r="F626" s="3">
        <f>INDEX(Raw_Schedule!F:F,MATCH(A626,Raw_Schedule!A:A,0))</f>
        <v/>
      </c>
      <c r="G626" s="4">
        <f>INDEX(Raw_Schedule!G:G,MATCH(A626,Raw_Schedule!A:A,0))</f>
        <v/>
      </c>
      <c r="H626" s="5">
        <f>INDEX(Raw_Schedule!H:H,MATCH(A626,Raw_Schedule!A:A,0))</f>
        <v/>
      </c>
      <c r="I626" s="5">
        <f>SUMIFS(Raw_Payments!E:E,Raw_Payments!B:B,A626)</f>
        <v/>
      </c>
      <c r="J626" s="5">
        <f>H626-I626</f>
        <v/>
      </c>
      <c r="K626" s="3">
        <f>IF(J626&lt;=0.005,"PAID",IF(I626&gt;0,"PARTIAL","OVERDUE"))</f>
        <v/>
      </c>
      <c r="L626" s="4">
        <f>IF(COUNTIFS(Raw_Payments!B:B,A626)=0,"",SUMPRODUCT(MAX((Raw_Payments!B$2:B$1079=A626)*Raw_Payments!D$2:D$1079)))</f>
        <v/>
      </c>
      <c r="M626" s="3">
        <f>IF(K626="PAID",MAX(0,L626-G626),Guide!$B$3-G626)</f>
        <v/>
      </c>
      <c r="N626" s="3">
        <f>IF(J626&lt;=0.005,"COLLECTED",IF(M626&lt;=30,"1-30",IF(M626&lt;=60,"31-60",IF(M626&lt;=90,"61-90","90+"))))</f>
        <v/>
      </c>
      <c r="O626" s="3">
        <f>IF(N626="90+","LOST",IF(N626="61-90","ESCALATE",IF(N626="31-60","WATCH",IF(N626="1-30","MILD","OK"))))</f>
        <v/>
      </c>
      <c r="P626" s="3">
        <f>IF(J626&gt;0.005,ROW()-1,"")</f>
        <v/>
      </c>
    </row>
    <row r="627">
      <c r="A627" s="3" t="inlineStr">
        <is>
          <t>D0626</t>
        </is>
      </c>
      <c r="B627" s="3">
        <f>INDEX(Raw_Schedule!B:B,MATCH(A627,Raw_Schedule!A:A,0))</f>
        <v/>
      </c>
      <c r="C627" s="3">
        <f>INDEX(Raw_Schedule!C:C,MATCH(A627,Raw_Schedule!A:A,0))</f>
        <v/>
      </c>
      <c r="D627" s="3">
        <f>INDEX(Raw_Schedule!D:D,MATCH(A627,Raw_Schedule!A:A,0))</f>
        <v/>
      </c>
      <c r="E627" s="3">
        <f>INDEX(Raw_Schedule!E:E,MATCH(A627,Raw_Schedule!A:A,0))</f>
        <v/>
      </c>
      <c r="F627" s="3">
        <f>INDEX(Raw_Schedule!F:F,MATCH(A627,Raw_Schedule!A:A,0))</f>
        <v/>
      </c>
      <c r="G627" s="4">
        <f>INDEX(Raw_Schedule!G:G,MATCH(A627,Raw_Schedule!A:A,0))</f>
        <v/>
      </c>
      <c r="H627" s="5">
        <f>INDEX(Raw_Schedule!H:H,MATCH(A627,Raw_Schedule!A:A,0))</f>
        <v/>
      </c>
      <c r="I627" s="5">
        <f>SUMIFS(Raw_Payments!E:E,Raw_Payments!B:B,A627)</f>
        <v/>
      </c>
      <c r="J627" s="5">
        <f>H627-I627</f>
        <v/>
      </c>
      <c r="K627" s="3">
        <f>IF(J627&lt;=0.005,"PAID",IF(I627&gt;0,"PARTIAL","OVERDUE"))</f>
        <v/>
      </c>
      <c r="L627" s="4">
        <f>IF(COUNTIFS(Raw_Payments!B:B,A627)=0,"",SUMPRODUCT(MAX((Raw_Payments!B$2:B$1079=A627)*Raw_Payments!D$2:D$1079)))</f>
        <v/>
      </c>
      <c r="M627" s="3">
        <f>IF(K627="PAID",MAX(0,L627-G627),Guide!$B$3-G627)</f>
        <v/>
      </c>
      <c r="N627" s="3">
        <f>IF(J627&lt;=0.005,"COLLECTED",IF(M627&lt;=30,"1-30",IF(M627&lt;=60,"31-60",IF(M627&lt;=90,"61-90","90+"))))</f>
        <v/>
      </c>
      <c r="O627" s="3">
        <f>IF(N627="90+","LOST",IF(N627="61-90","ESCALATE",IF(N627="31-60","WATCH",IF(N627="1-30","MILD","OK"))))</f>
        <v/>
      </c>
      <c r="P627" s="3">
        <f>IF(J627&gt;0.005,ROW()-1,"")</f>
        <v/>
      </c>
    </row>
    <row r="628">
      <c r="A628" s="3" t="inlineStr">
        <is>
          <t>D0627</t>
        </is>
      </c>
      <c r="B628" s="3">
        <f>INDEX(Raw_Schedule!B:B,MATCH(A628,Raw_Schedule!A:A,0))</f>
        <v/>
      </c>
      <c r="C628" s="3">
        <f>INDEX(Raw_Schedule!C:C,MATCH(A628,Raw_Schedule!A:A,0))</f>
        <v/>
      </c>
      <c r="D628" s="3">
        <f>INDEX(Raw_Schedule!D:D,MATCH(A628,Raw_Schedule!A:A,0))</f>
        <v/>
      </c>
      <c r="E628" s="3">
        <f>INDEX(Raw_Schedule!E:E,MATCH(A628,Raw_Schedule!A:A,0))</f>
        <v/>
      </c>
      <c r="F628" s="3">
        <f>INDEX(Raw_Schedule!F:F,MATCH(A628,Raw_Schedule!A:A,0))</f>
        <v/>
      </c>
      <c r="G628" s="4">
        <f>INDEX(Raw_Schedule!G:G,MATCH(A628,Raw_Schedule!A:A,0))</f>
        <v/>
      </c>
      <c r="H628" s="5">
        <f>INDEX(Raw_Schedule!H:H,MATCH(A628,Raw_Schedule!A:A,0))</f>
        <v/>
      </c>
      <c r="I628" s="5">
        <f>SUMIFS(Raw_Payments!E:E,Raw_Payments!B:B,A628)</f>
        <v/>
      </c>
      <c r="J628" s="5">
        <f>H628-I628</f>
        <v/>
      </c>
      <c r="K628" s="3">
        <f>IF(J628&lt;=0.005,"PAID",IF(I628&gt;0,"PARTIAL","OVERDUE"))</f>
        <v/>
      </c>
      <c r="L628" s="4">
        <f>IF(COUNTIFS(Raw_Payments!B:B,A628)=0,"",SUMPRODUCT(MAX((Raw_Payments!B$2:B$1079=A628)*Raw_Payments!D$2:D$1079)))</f>
        <v/>
      </c>
      <c r="M628" s="3">
        <f>IF(K628="PAID",MAX(0,L628-G628),Guide!$B$3-G628)</f>
        <v/>
      </c>
      <c r="N628" s="3">
        <f>IF(J628&lt;=0.005,"COLLECTED",IF(M628&lt;=30,"1-30",IF(M628&lt;=60,"31-60",IF(M628&lt;=90,"61-90","90+"))))</f>
        <v/>
      </c>
      <c r="O628" s="3">
        <f>IF(N628="90+","LOST",IF(N628="61-90","ESCALATE",IF(N628="31-60","WATCH",IF(N628="1-30","MILD","OK"))))</f>
        <v/>
      </c>
      <c r="P628" s="3">
        <f>IF(J628&gt;0.005,ROW()-1,"")</f>
        <v/>
      </c>
    </row>
    <row r="629">
      <c r="A629" s="3" t="inlineStr">
        <is>
          <t>D0628</t>
        </is>
      </c>
      <c r="B629" s="3">
        <f>INDEX(Raw_Schedule!B:B,MATCH(A629,Raw_Schedule!A:A,0))</f>
        <v/>
      </c>
      <c r="C629" s="3">
        <f>INDEX(Raw_Schedule!C:C,MATCH(A629,Raw_Schedule!A:A,0))</f>
        <v/>
      </c>
      <c r="D629" s="3">
        <f>INDEX(Raw_Schedule!D:D,MATCH(A629,Raw_Schedule!A:A,0))</f>
        <v/>
      </c>
      <c r="E629" s="3">
        <f>INDEX(Raw_Schedule!E:E,MATCH(A629,Raw_Schedule!A:A,0))</f>
        <v/>
      </c>
      <c r="F629" s="3">
        <f>INDEX(Raw_Schedule!F:F,MATCH(A629,Raw_Schedule!A:A,0))</f>
        <v/>
      </c>
      <c r="G629" s="4">
        <f>INDEX(Raw_Schedule!G:G,MATCH(A629,Raw_Schedule!A:A,0))</f>
        <v/>
      </c>
      <c r="H629" s="5">
        <f>INDEX(Raw_Schedule!H:H,MATCH(A629,Raw_Schedule!A:A,0))</f>
        <v/>
      </c>
      <c r="I629" s="5">
        <f>SUMIFS(Raw_Payments!E:E,Raw_Payments!B:B,A629)</f>
        <v/>
      </c>
      <c r="J629" s="5">
        <f>H629-I629</f>
        <v/>
      </c>
      <c r="K629" s="3">
        <f>IF(J629&lt;=0.005,"PAID",IF(I629&gt;0,"PARTIAL","OVERDUE"))</f>
        <v/>
      </c>
      <c r="L629" s="4">
        <f>IF(COUNTIFS(Raw_Payments!B:B,A629)=0,"",SUMPRODUCT(MAX((Raw_Payments!B$2:B$1079=A629)*Raw_Payments!D$2:D$1079)))</f>
        <v/>
      </c>
      <c r="M629" s="3">
        <f>IF(K629="PAID",MAX(0,L629-G629),Guide!$B$3-G629)</f>
        <v/>
      </c>
      <c r="N629" s="3">
        <f>IF(J629&lt;=0.005,"COLLECTED",IF(M629&lt;=30,"1-30",IF(M629&lt;=60,"31-60",IF(M629&lt;=90,"61-90","90+"))))</f>
        <v/>
      </c>
      <c r="O629" s="3">
        <f>IF(N629="90+","LOST",IF(N629="61-90","ESCALATE",IF(N629="31-60","WATCH",IF(N629="1-30","MILD","OK"))))</f>
        <v/>
      </c>
      <c r="P629" s="3">
        <f>IF(J629&gt;0.005,ROW()-1,"")</f>
        <v/>
      </c>
    </row>
    <row r="630">
      <c r="A630" s="3" t="inlineStr">
        <is>
          <t>D0629</t>
        </is>
      </c>
      <c r="B630" s="3">
        <f>INDEX(Raw_Schedule!B:B,MATCH(A630,Raw_Schedule!A:A,0))</f>
        <v/>
      </c>
      <c r="C630" s="3">
        <f>INDEX(Raw_Schedule!C:C,MATCH(A630,Raw_Schedule!A:A,0))</f>
        <v/>
      </c>
      <c r="D630" s="3">
        <f>INDEX(Raw_Schedule!D:D,MATCH(A630,Raw_Schedule!A:A,0))</f>
        <v/>
      </c>
      <c r="E630" s="3">
        <f>INDEX(Raw_Schedule!E:E,MATCH(A630,Raw_Schedule!A:A,0))</f>
        <v/>
      </c>
      <c r="F630" s="3">
        <f>INDEX(Raw_Schedule!F:F,MATCH(A630,Raw_Schedule!A:A,0))</f>
        <v/>
      </c>
      <c r="G630" s="4">
        <f>INDEX(Raw_Schedule!G:G,MATCH(A630,Raw_Schedule!A:A,0))</f>
        <v/>
      </c>
      <c r="H630" s="5">
        <f>INDEX(Raw_Schedule!H:H,MATCH(A630,Raw_Schedule!A:A,0))</f>
        <v/>
      </c>
      <c r="I630" s="5">
        <f>SUMIFS(Raw_Payments!E:E,Raw_Payments!B:B,A630)</f>
        <v/>
      </c>
      <c r="J630" s="5">
        <f>H630-I630</f>
        <v/>
      </c>
      <c r="K630" s="3">
        <f>IF(J630&lt;=0.005,"PAID",IF(I630&gt;0,"PARTIAL","OVERDUE"))</f>
        <v/>
      </c>
      <c r="L630" s="4">
        <f>IF(COUNTIFS(Raw_Payments!B:B,A630)=0,"",SUMPRODUCT(MAX((Raw_Payments!B$2:B$1079=A630)*Raw_Payments!D$2:D$1079)))</f>
        <v/>
      </c>
      <c r="M630" s="3">
        <f>IF(K630="PAID",MAX(0,L630-G630),Guide!$B$3-G630)</f>
        <v/>
      </c>
      <c r="N630" s="3">
        <f>IF(J630&lt;=0.005,"COLLECTED",IF(M630&lt;=30,"1-30",IF(M630&lt;=60,"31-60",IF(M630&lt;=90,"61-90","90+"))))</f>
        <v/>
      </c>
      <c r="O630" s="3">
        <f>IF(N630="90+","LOST",IF(N630="61-90","ESCALATE",IF(N630="31-60","WATCH",IF(N630="1-30","MILD","OK"))))</f>
        <v/>
      </c>
      <c r="P630" s="3">
        <f>IF(J630&gt;0.005,ROW()-1,"")</f>
        <v/>
      </c>
    </row>
    <row r="631">
      <c r="A631" s="3" t="inlineStr">
        <is>
          <t>D0630</t>
        </is>
      </c>
      <c r="B631" s="3">
        <f>INDEX(Raw_Schedule!B:B,MATCH(A631,Raw_Schedule!A:A,0))</f>
        <v/>
      </c>
      <c r="C631" s="3">
        <f>INDEX(Raw_Schedule!C:C,MATCH(A631,Raw_Schedule!A:A,0))</f>
        <v/>
      </c>
      <c r="D631" s="3">
        <f>INDEX(Raw_Schedule!D:D,MATCH(A631,Raw_Schedule!A:A,0))</f>
        <v/>
      </c>
      <c r="E631" s="3">
        <f>INDEX(Raw_Schedule!E:E,MATCH(A631,Raw_Schedule!A:A,0))</f>
        <v/>
      </c>
      <c r="F631" s="3">
        <f>INDEX(Raw_Schedule!F:F,MATCH(A631,Raw_Schedule!A:A,0))</f>
        <v/>
      </c>
      <c r="G631" s="4">
        <f>INDEX(Raw_Schedule!G:G,MATCH(A631,Raw_Schedule!A:A,0))</f>
        <v/>
      </c>
      <c r="H631" s="5">
        <f>INDEX(Raw_Schedule!H:H,MATCH(A631,Raw_Schedule!A:A,0))</f>
        <v/>
      </c>
      <c r="I631" s="5">
        <f>SUMIFS(Raw_Payments!E:E,Raw_Payments!B:B,A631)</f>
        <v/>
      </c>
      <c r="J631" s="5">
        <f>H631-I631</f>
        <v/>
      </c>
      <c r="K631" s="3">
        <f>IF(J631&lt;=0.005,"PAID",IF(I631&gt;0,"PARTIAL","OVERDUE"))</f>
        <v/>
      </c>
      <c r="L631" s="4">
        <f>IF(COUNTIFS(Raw_Payments!B:B,A631)=0,"",SUMPRODUCT(MAX((Raw_Payments!B$2:B$1079=A631)*Raw_Payments!D$2:D$1079)))</f>
        <v/>
      </c>
      <c r="M631" s="3">
        <f>IF(K631="PAID",MAX(0,L631-G631),Guide!$B$3-G631)</f>
        <v/>
      </c>
      <c r="N631" s="3">
        <f>IF(J631&lt;=0.005,"COLLECTED",IF(M631&lt;=30,"1-30",IF(M631&lt;=60,"31-60",IF(M631&lt;=90,"61-90","90+"))))</f>
        <v/>
      </c>
      <c r="O631" s="3">
        <f>IF(N631="90+","LOST",IF(N631="61-90","ESCALATE",IF(N631="31-60","WATCH",IF(N631="1-30","MILD","OK"))))</f>
        <v/>
      </c>
      <c r="P631" s="3">
        <f>IF(J631&gt;0.005,ROW()-1,"")</f>
        <v/>
      </c>
    </row>
    <row r="632">
      <c r="A632" s="3" t="inlineStr">
        <is>
          <t>D0631</t>
        </is>
      </c>
      <c r="B632" s="3">
        <f>INDEX(Raw_Schedule!B:B,MATCH(A632,Raw_Schedule!A:A,0))</f>
        <v/>
      </c>
      <c r="C632" s="3">
        <f>INDEX(Raw_Schedule!C:C,MATCH(A632,Raw_Schedule!A:A,0))</f>
        <v/>
      </c>
      <c r="D632" s="3">
        <f>INDEX(Raw_Schedule!D:D,MATCH(A632,Raw_Schedule!A:A,0))</f>
        <v/>
      </c>
      <c r="E632" s="3">
        <f>INDEX(Raw_Schedule!E:E,MATCH(A632,Raw_Schedule!A:A,0))</f>
        <v/>
      </c>
      <c r="F632" s="3">
        <f>INDEX(Raw_Schedule!F:F,MATCH(A632,Raw_Schedule!A:A,0))</f>
        <v/>
      </c>
      <c r="G632" s="4">
        <f>INDEX(Raw_Schedule!G:G,MATCH(A632,Raw_Schedule!A:A,0))</f>
        <v/>
      </c>
      <c r="H632" s="5">
        <f>INDEX(Raw_Schedule!H:H,MATCH(A632,Raw_Schedule!A:A,0))</f>
        <v/>
      </c>
      <c r="I632" s="5">
        <f>SUMIFS(Raw_Payments!E:E,Raw_Payments!B:B,A632)</f>
        <v/>
      </c>
      <c r="J632" s="5">
        <f>H632-I632</f>
        <v/>
      </c>
      <c r="K632" s="3">
        <f>IF(J632&lt;=0.005,"PAID",IF(I632&gt;0,"PARTIAL","OVERDUE"))</f>
        <v/>
      </c>
      <c r="L632" s="4">
        <f>IF(COUNTIFS(Raw_Payments!B:B,A632)=0,"",SUMPRODUCT(MAX((Raw_Payments!B$2:B$1079=A632)*Raw_Payments!D$2:D$1079)))</f>
        <v/>
      </c>
      <c r="M632" s="3">
        <f>IF(K632="PAID",MAX(0,L632-G632),Guide!$B$3-G632)</f>
        <v/>
      </c>
      <c r="N632" s="3">
        <f>IF(J632&lt;=0.005,"COLLECTED",IF(M632&lt;=30,"1-30",IF(M632&lt;=60,"31-60",IF(M632&lt;=90,"61-90","90+"))))</f>
        <v/>
      </c>
      <c r="O632" s="3">
        <f>IF(N632="90+","LOST",IF(N632="61-90","ESCALATE",IF(N632="31-60","WATCH",IF(N632="1-30","MILD","OK"))))</f>
        <v/>
      </c>
      <c r="P632" s="3">
        <f>IF(J632&gt;0.005,ROW()-1,"")</f>
        <v/>
      </c>
    </row>
    <row r="633">
      <c r="A633" s="3" t="inlineStr">
        <is>
          <t>D0632</t>
        </is>
      </c>
      <c r="B633" s="3">
        <f>INDEX(Raw_Schedule!B:B,MATCH(A633,Raw_Schedule!A:A,0))</f>
        <v/>
      </c>
      <c r="C633" s="3">
        <f>INDEX(Raw_Schedule!C:C,MATCH(A633,Raw_Schedule!A:A,0))</f>
        <v/>
      </c>
      <c r="D633" s="3">
        <f>INDEX(Raw_Schedule!D:D,MATCH(A633,Raw_Schedule!A:A,0))</f>
        <v/>
      </c>
      <c r="E633" s="3">
        <f>INDEX(Raw_Schedule!E:E,MATCH(A633,Raw_Schedule!A:A,0))</f>
        <v/>
      </c>
      <c r="F633" s="3">
        <f>INDEX(Raw_Schedule!F:F,MATCH(A633,Raw_Schedule!A:A,0))</f>
        <v/>
      </c>
      <c r="G633" s="4">
        <f>INDEX(Raw_Schedule!G:G,MATCH(A633,Raw_Schedule!A:A,0))</f>
        <v/>
      </c>
      <c r="H633" s="5">
        <f>INDEX(Raw_Schedule!H:H,MATCH(A633,Raw_Schedule!A:A,0))</f>
        <v/>
      </c>
      <c r="I633" s="5">
        <f>SUMIFS(Raw_Payments!E:E,Raw_Payments!B:B,A633)</f>
        <v/>
      </c>
      <c r="J633" s="5">
        <f>H633-I633</f>
        <v/>
      </c>
      <c r="K633" s="3">
        <f>IF(J633&lt;=0.005,"PAID",IF(I633&gt;0,"PARTIAL","OVERDUE"))</f>
        <v/>
      </c>
      <c r="L633" s="4">
        <f>IF(COUNTIFS(Raw_Payments!B:B,A633)=0,"",SUMPRODUCT(MAX((Raw_Payments!B$2:B$1079=A633)*Raw_Payments!D$2:D$1079)))</f>
        <v/>
      </c>
      <c r="M633" s="3">
        <f>IF(K633="PAID",MAX(0,L633-G633),Guide!$B$3-G633)</f>
        <v/>
      </c>
      <c r="N633" s="3">
        <f>IF(J633&lt;=0.005,"COLLECTED",IF(M633&lt;=30,"1-30",IF(M633&lt;=60,"31-60",IF(M633&lt;=90,"61-90","90+"))))</f>
        <v/>
      </c>
      <c r="O633" s="3">
        <f>IF(N633="90+","LOST",IF(N633="61-90","ESCALATE",IF(N633="31-60","WATCH",IF(N633="1-30","MILD","OK"))))</f>
        <v/>
      </c>
      <c r="P633" s="3">
        <f>IF(J633&gt;0.005,ROW()-1,"")</f>
        <v/>
      </c>
    </row>
    <row r="634">
      <c r="A634" s="3" t="inlineStr">
        <is>
          <t>D0633</t>
        </is>
      </c>
      <c r="B634" s="3">
        <f>INDEX(Raw_Schedule!B:B,MATCH(A634,Raw_Schedule!A:A,0))</f>
        <v/>
      </c>
      <c r="C634" s="3">
        <f>INDEX(Raw_Schedule!C:C,MATCH(A634,Raw_Schedule!A:A,0))</f>
        <v/>
      </c>
      <c r="D634" s="3">
        <f>INDEX(Raw_Schedule!D:D,MATCH(A634,Raw_Schedule!A:A,0))</f>
        <v/>
      </c>
      <c r="E634" s="3">
        <f>INDEX(Raw_Schedule!E:E,MATCH(A634,Raw_Schedule!A:A,0))</f>
        <v/>
      </c>
      <c r="F634" s="3">
        <f>INDEX(Raw_Schedule!F:F,MATCH(A634,Raw_Schedule!A:A,0))</f>
        <v/>
      </c>
      <c r="G634" s="4">
        <f>INDEX(Raw_Schedule!G:G,MATCH(A634,Raw_Schedule!A:A,0))</f>
        <v/>
      </c>
      <c r="H634" s="5">
        <f>INDEX(Raw_Schedule!H:H,MATCH(A634,Raw_Schedule!A:A,0))</f>
        <v/>
      </c>
      <c r="I634" s="5">
        <f>SUMIFS(Raw_Payments!E:E,Raw_Payments!B:B,A634)</f>
        <v/>
      </c>
      <c r="J634" s="5">
        <f>H634-I634</f>
        <v/>
      </c>
      <c r="K634" s="3">
        <f>IF(J634&lt;=0.005,"PAID",IF(I634&gt;0,"PARTIAL","OVERDUE"))</f>
        <v/>
      </c>
      <c r="L634" s="4">
        <f>IF(COUNTIFS(Raw_Payments!B:B,A634)=0,"",SUMPRODUCT(MAX((Raw_Payments!B$2:B$1079=A634)*Raw_Payments!D$2:D$1079)))</f>
        <v/>
      </c>
      <c r="M634" s="3">
        <f>IF(K634="PAID",MAX(0,L634-G634),Guide!$B$3-G634)</f>
        <v/>
      </c>
      <c r="N634" s="3">
        <f>IF(J634&lt;=0.005,"COLLECTED",IF(M634&lt;=30,"1-30",IF(M634&lt;=60,"31-60",IF(M634&lt;=90,"61-90","90+"))))</f>
        <v/>
      </c>
      <c r="O634" s="3">
        <f>IF(N634="90+","LOST",IF(N634="61-90","ESCALATE",IF(N634="31-60","WATCH",IF(N634="1-30","MILD","OK"))))</f>
        <v/>
      </c>
      <c r="P634" s="3">
        <f>IF(J634&gt;0.005,ROW()-1,"")</f>
        <v/>
      </c>
    </row>
    <row r="635">
      <c r="A635" s="3" t="inlineStr">
        <is>
          <t>D0634</t>
        </is>
      </c>
      <c r="B635" s="3">
        <f>INDEX(Raw_Schedule!B:B,MATCH(A635,Raw_Schedule!A:A,0))</f>
        <v/>
      </c>
      <c r="C635" s="3">
        <f>INDEX(Raw_Schedule!C:C,MATCH(A635,Raw_Schedule!A:A,0))</f>
        <v/>
      </c>
      <c r="D635" s="3">
        <f>INDEX(Raw_Schedule!D:D,MATCH(A635,Raw_Schedule!A:A,0))</f>
        <v/>
      </c>
      <c r="E635" s="3">
        <f>INDEX(Raw_Schedule!E:E,MATCH(A635,Raw_Schedule!A:A,0))</f>
        <v/>
      </c>
      <c r="F635" s="3">
        <f>INDEX(Raw_Schedule!F:F,MATCH(A635,Raw_Schedule!A:A,0))</f>
        <v/>
      </c>
      <c r="G635" s="4">
        <f>INDEX(Raw_Schedule!G:G,MATCH(A635,Raw_Schedule!A:A,0))</f>
        <v/>
      </c>
      <c r="H635" s="5">
        <f>INDEX(Raw_Schedule!H:H,MATCH(A635,Raw_Schedule!A:A,0))</f>
        <v/>
      </c>
      <c r="I635" s="5">
        <f>SUMIFS(Raw_Payments!E:E,Raw_Payments!B:B,A635)</f>
        <v/>
      </c>
      <c r="J635" s="5">
        <f>H635-I635</f>
        <v/>
      </c>
      <c r="K635" s="3">
        <f>IF(J635&lt;=0.005,"PAID",IF(I635&gt;0,"PARTIAL","OVERDUE"))</f>
        <v/>
      </c>
      <c r="L635" s="4">
        <f>IF(COUNTIFS(Raw_Payments!B:B,A635)=0,"",SUMPRODUCT(MAX((Raw_Payments!B$2:B$1079=A635)*Raw_Payments!D$2:D$1079)))</f>
        <v/>
      </c>
      <c r="M635" s="3">
        <f>IF(K635="PAID",MAX(0,L635-G635),Guide!$B$3-G635)</f>
        <v/>
      </c>
      <c r="N635" s="3">
        <f>IF(J635&lt;=0.005,"COLLECTED",IF(M635&lt;=30,"1-30",IF(M635&lt;=60,"31-60",IF(M635&lt;=90,"61-90","90+"))))</f>
        <v/>
      </c>
      <c r="O635" s="3">
        <f>IF(N635="90+","LOST",IF(N635="61-90","ESCALATE",IF(N635="31-60","WATCH",IF(N635="1-30","MILD","OK"))))</f>
        <v/>
      </c>
      <c r="P635" s="3">
        <f>IF(J635&gt;0.005,ROW()-1,"")</f>
        <v/>
      </c>
    </row>
    <row r="636">
      <c r="A636" s="3" t="inlineStr">
        <is>
          <t>D0635</t>
        </is>
      </c>
      <c r="B636" s="3">
        <f>INDEX(Raw_Schedule!B:B,MATCH(A636,Raw_Schedule!A:A,0))</f>
        <v/>
      </c>
      <c r="C636" s="3">
        <f>INDEX(Raw_Schedule!C:C,MATCH(A636,Raw_Schedule!A:A,0))</f>
        <v/>
      </c>
      <c r="D636" s="3">
        <f>INDEX(Raw_Schedule!D:D,MATCH(A636,Raw_Schedule!A:A,0))</f>
        <v/>
      </c>
      <c r="E636" s="3">
        <f>INDEX(Raw_Schedule!E:E,MATCH(A636,Raw_Schedule!A:A,0))</f>
        <v/>
      </c>
      <c r="F636" s="3">
        <f>INDEX(Raw_Schedule!F:F,MATCH(A636,Raw_Schedule!A:A,0))</f>
        <v/>
      </c>
      <c r="G636" s="4">
        <f>INDEX(Raw_Schedule!G:G,MATCH(A636,Raw_Schedule!A:A,0))</f>
        <v/>
      </c>
      <c r="H636" s="5">
        <f>INDEX(Raw_Schedule!H:H,MATCH(A636,Raw_Schedule!A:A,0))</f>
        <v/>
      </c>
      <c r="I636" s="5">
        <f>SUMIFS(Raw_Payments!E:E,Raw_Payments!B:B,A636)</f>
        <v/>
      </c>
      <c r="J636" s="5">
        <f>H636-I636</f>
        <v/>
      </c>
      <c r="K636" s="3">
        <f>IF(J636&lt;=0.005,"PAID",IF(I636&gt;0,"PARTIAL","OVERDUE"))</f>
        <v/>
      </c>
      <c r="L636" s="4">
        <f>IF(COUNTIFS(Raw_Payments!B:B,A636)=0,"",SUMPRODUCT(MAX((Raw_Payments!B$2:B$1079=A636)*Raw_Payments!D$2:D$1079)))</f>
        <v/>
      </c>
      <c r="M636" s="3">
        <f>IF(K636="PAID",MAX(0,L636-G636),Guide!$B$3-G636)</f>
        <v/>
      </c>
      <c r="N636" s="3">
        <f>IF(J636&lt;=0.005,"COLLECTED",IF(M636&lt;=30,"1-30",IF(M636&lt;=60,"31-60",IF(M636&lt;=90,"61-90","90+"))))</f>
        <v/>
      </c>
      <c r="O636" s="3">
        <f>IF(N636="90+","LOST",IF(N636="61-90","ESCALATE",IF(N636="31-60","WATCH",IF(N636="1-30","MILD","OK"))))</f>
        <v/>
      </c>
      <c r="P636" s="3">
        <f>IF(J636&gt;0.005,ROW()-1,"")</f>
        <v/>
      </c>
    </row>
    <row r="637">
      <c r="A637" s="3" t="inlineStr">
        <is>
          <t>D0636</t>
        </is>
      </c>
      <c r="B637" s="3">
        <f>INDEX(Raw_Schedule!B:B,MATCH(A637,Raw_Schedule!A:A,0))</f>
        <v/>
      </c>
      <c r="C637" s="3">
        <f>INDEX(Raw_Schedule!C:C,MATCH(A637,Raw_Schedule!A:A,0))</f>
        <v/>
      </c>
      <c r="D637" s="3">
        <f>INDEX(Raw_Schedule!D:D,MATCH(A637,Raw_Schedule!A:A,0))</f>
        <v/>
      </c>
      <c r="E637" s="3">
        <f>INDEX(Raw_Schedule!E:E,MATCH(A637,Raw_Schedule!A:A,0))</f>
        <v/>
      </c>
      <c r="F637" s="3">
        <f>INDEX(Raw_Schedule!F:F,MATCH(A637,Raw_Schedule!A:A,0))</f>
        <v/>
      </c>
      <c r="G637" s="4">
        <f>INDEX(Raw_Schedule!G:G,MATCH(A637,Raw_Schedule!A:A,0))</f>
        <v/>
      </c>
      <c r="H637" s="5">
        <f>INDEX(Raw_Schedule!H:H,MATCH(A637,Raw_Schedule!A:A,0))</f>
        <v/>
      </c>
      <c r="I637" s="5">
        <f>SUMIFS(Raw_Payments!E:E,Raw_Payments!B:B,A637)</f>
        <v/>
      </c>
      <c r="J637" s="5">
        <f>H637-I637</f>
        <v/>
      </c>
      <c r="K637" s="3">
        <f>IF(J637&lt;=0.005,"PAID",IF(I637&gt;0,"PARTIAL","OVERDUE"))</f>
        <v/>
      </c>
      <c r="L637" s="4">
        <f>IF(COUNTIFS(Raw_Payments!B:B,A637)=0,"",SUMPRODUCT(MAX((Raw_Payments!B$2:B$1079=A637)*Raw_Payments!D$2:D$1079)))</f>
        <v/>
      </c>
      <c r="M637" s="3">
        <f>IF(K637="PAID",MAX(0,L637-G637),Guide!$B$3-G637)</f>
        <v/>
      </c>
      <c r="N637" s="3">
        <f>IF(J637&lt;=0.005,"COLLECTED",IF(M637&lt;=30,"1-30",IF(M637&lt;=60,"31-60",IF(M637&lt;=90,"61-90","90+"))))</f>
        <v/>
      </c>
      <c r="O637" s="3">
        <f>IF(N637="90+","LOST",IF(N637="61-90","ESCALATE",IF(N637="31-60","WATCH",IF(N637="1-30","MILD","OK"))))</f>
        <v/>
      </c>
      <c r="P637" s="3">
        <f>IF(J637&gt;0.005,ROW()-1,"")</f>
        <v/>
      </c>
    </row>
    <row r="638">
      <c r="A638" s="3" t="inlineStr">
        <is>
          <t>D0637</t>
        </is>
      </c>
      <c r="B638" s="3">
        <f>INDEX(Raw_Schedule!B:B,MATCH(A638,Raw_Schedule!A:A,0))</f>
        <v/>
      </c>
      <c r="C638" s="3">
        <f>INDEX(Raw_Schedule!C:C,MATCH(A638,Raw_Schedule!A:A,0))</f>
        <v/>
      </c>
      <c r="D638" s="3">
        <f>INDEX(Raw_Schedule!D:D,MATCH(A638,Raw_Schedule!A:A,0))</f>
        <v/>
      </c>
      <c r="E638" s="3">
        <f>INDEX(Raw_Schedule!E:E,MATCH(A638,Raw_Schedule!A:A,0))</f>
        <v/>
      </c>
      <c r="F638" s="3">
        <f>INDEX(Raw_Schedule!F:F,MATCH(A638,Raw_Schedule!A:A,0))</f>
        <v/>
      </c>
      <c r="G638" s="4">
        <f>INDEX(Raw_Schedule!G:G,MATCH(A638,Raw_Schedule!A:A,0))</f>
        <v/>
      </c>
      <c r="H638" s="5">
        <f>INDEX(Raw_Schedule!H:H,MATCH(A638,Raw_Schedule!A:A,0))</f>
        <v/>
      </c>
      <c r="I638" s="5">
        <f>SUMIFS(Raw_Payments!E:E,Raw_Payments!B:B,A638)</f>
        <v/>
      </c>
      <c r="J638" s="5">
        <f>H638-I638</f>
        <v/>
      </c>
      <c r="K638" s="3">
        <f>IF(J638&lt;=0.005,"PAID",IF(I638&gt;0,"PARTIAL","OVERDUE"))</f>
        <v/>
      </c>
      <c r="L638" s="4">
        <f>IF(COUNTIFS(Raw_Payments!B:B,A638)=0,"",SUMPRODUCT(MAX((Raw_Payments!B$2:B$1079=A638)*Raw_Payments!D$2:D$1079)))</f>
        <v/>
      </c>
      <c r="M638" s="3">
        <f>IF(K638="PAID",MAX(0,L638-G638),Guide!$B$3-G638)</f>
        <v/>
      </c>
      <c r="N638" s="3">
        <f>IF(J638&lt;=0.005,"COLLECTED",IF(M638&lt;=30,"1-30",IF(M638&lt;=60,"31-60",IF(M638&lt;=90,"61-90","90+"))))</f>
        <v/>
      </c>
      <c r="O638" s="3">
        <f>IF(N638="90+","LOST",IF(N638="61-90","ESCALATE",IF(N638="31-60","WATCH",IF(N638="1-30","MILD","OK"))))</f>
        <v/>
      </c>
      <c r="P638" s="3">
        <f>IF(J638&gt;0.005,ROW()-1,"")</f>
        <v/>
      </c>
    </row>
    <row r="639">
      <c r="A639" s="3" t="inlineStr">
        <is>
          <t>D0638</t>
        </is>
      </c>
      <c r="B639" s="3">
        <f>INDEX(Raw_Schedule!B:B,MATCH(A639,Raw_Schedule!A:A,0))</f>
        <v/>
      </c>
      <c r="C639" s="3">
        <f>INDEX(Raw_Schedule!C:C,MATCH(A639,Raw_Schedule!A:A,0))</f>
        <v/>
      </c>
      <c r="D639" s="3">
        <f>INDEX(Raw_Schedule!D:D,MATCH(A639,Raw_Schedule!A:A,0))</f>
        <v/>
      </c>
      <c r="E639" s="3">
        <f>INDEX(Raw_Schedule!E:E,MATCH(A639,Raw_Schedule!A:A,0))</f>
        <v/>
      </c>
      <c r="F639" s="3">
        <f>INDEX(Raw_Schedule!F:F,MATCH(A639,Raw_Schedule!A:A,0))</f>
        <v/>
      </c>
      <c r="G639" s="4">
        <f>INDEX(Raw_Schedule!G:G,MATCH(A639,Raw_Schedule!A:A,0))</f>
        <v/>
      </c>
      <c r="H639" s="5">
        <f>INDEX(Raw_Schedule!H:H,MATCH(A639,Raw_Schedule!A:A,0))</f>
        <v/>
      </c>
      <c r="I639" s="5">
        <f>SUMIFS(Raw_Payments!E:E,Raw_Payments!B:B,A639)</f>
        <v/>
      </c>
      <c r="J639" s="5">
        <f>H639-I639</f>
        <v/>
      </c>
      <c r="K639" s="3">
        <f>IF(J639&lt;=0.005,"PAID",IF(I639&gt;0,"PARTIAL","OVERDUE"))</f>
        <v/>
      </c>
      <c r="L639" s="4">
        <f>IF(COUNTIFS(Raw_Payments!B:B,A639)=0,"",SUMPRODUCT(MAX((Raw_Payments!B$2:B$1079=A639)*Raw_Payments!D$2:D$1079)))</f>
        <v/>
      </c>
      <c r="M639" s="3">
        <f>IF(K639="PAID",MAX(0,L639-G639),Guide!$B$3-G639)</f>
        <v/>
      </c>
      <c r="N639" s="3">
        <f>IF(J639&lt;=0.005,"COLLECTED",IF(M639&lt;=30,"1-30",IF(M639&lt;=60,"31-60",IF(M639&lt;=90,"61-90","90+"))))</f>
        <v/>
      </c>
      <c r="O639" s="3">
        <f>IF(N639="90+","LOST",IF(N639="61-90","ESCALATE",IF(N639="31-60","WATCH",IF(N639="1-30","MILD","OK"))))</f>
        <v/>
      </c>
      <c r="P639" s="3">
        <f>IF(J639&gt;0.005,ROW()-1,"")</f>
        <v/>
      </c>
    </row>
    <row r="640">
      <c r="A640" s="3" t="inlineStr">
        <is>
          <t>D0639</t>
        </is>
      </c>
      <c r="B640" s="3">
        <f>INDEX(Raw_Schedule!B:B,MATCH(A640,Raw_Schedule!A:A,0))</f>
        <v/>
      </c>
      <c r="C640" s="3">
        <f>INDEX(Raw_Schedule!C:C,MATCH(A640,Raw_Schedule!A:A,0))</f>
        <v/>
      </c>
      <c r="D640" s="3">
        <f>INDEX(Raw_Schedule!D:D,MATCH(A640,Raw_Schedule!A:A,0))</f>
        <v/>
      </c>
      <c r="E640" s="3">
        <f>INDEX(Raw_Schedule!E:E,MATCH(A640,Raw_Schedule!A:A,0))</f>
        <v/>
      </c>
      <c r="F640" s="3">
        <f>INDEX(Raw_Schedule!F:F,MATCH(A640,Raw_Schedule!A:A,0))</f>
        <v/>
      </c>
      <c r="G640" s="4">
        <f>INDEX(Raw_Schedule!G:G,MATCH(A640,Raw_Schedule!A:A,0))</f>
        <v/>
      </c>
      <c r="H640" s="5">
        <f>INDEX(Raw_Schedule!H:H,MATCH(A640,Raw_Schedule!A:A,0))</f>
        <v/>
      </c>
      <c r="I640" s="5">
        <f>SUMIFS(Raw_Payments!E:E,Raw_Payments!B:B,A640)</f>
        <v/>
      </c>
      <c r="J640" s="5">
        <f>H640-I640</f>
        <v/>
      </c>
      <c r="K640" s="3">
        <f>IF(J640&lt;=0.005,"PAID",IF(I640&gt;0,"PARTIAL","OVERDUE"))</f>
        <v/>
      </c>
      <c r="L640" s="4">
        <f>IF(COUNTIFS(Raw_Payments!B:B,A640)=0,"",SUMPRODUCT(MAX((Raw_Payments!B$2:B$1079=A640)*Raw_Payments!D$2:D$1079)))</f>
        <v/>
      </c>
      <c r="M640" s="3">
        <f>IF(K640="PAID",MAX(0,L640-G640),Guide!$B$3-G640)</f>
        <v/>
      </c>
      <c r="N640" s="3">
        <f>IF(J640&lt;=0.005,"COLLECTED",IF(M640&lt;=30,"1-30",IF(M640&lt;=60,"31-60",IF(M640&lt;=90,"61-90","90+"))))</f>
        <v/>
      </c>
      <c r="O640" s="3">
        <f>IF(N640="90+","LOST",IF(N640="61-90","ESCALATE",IF(N640="31-60","WATCH",IF(N640="1-30","MILD","OK"))))</f>
        <v/>
      </c>
      <c r="P640" s="3">
        <f>IF(J640&gt;0.005,ROW()-1,"")</f>
        <v/>
      </c>
    </row>
    <row r="641">
      <c r="A641" s="3" t="inlineStr">
        <is>
          <t>D0640</t>
        </is>
      </c>
      <c r="B641" s="3">
        <f>INDEX(Raw_Schedule!B:B,MATCH(A641,Raw_Schedule!A:A,0))</f>
        <v/>
      </c>
      <c r="C641" s="3">
        <f>INDEX(Raw_Schedule!C:C,MATCH(A641,Raw_Schedule!A:A,0))</f>
        <v/>
      </c>
      <c r="D641" s="3">
        <f>INDEX(Raw_Schedule!D:D,MATCH(A641,Raw_Schedule!A:A,0))</f>
        <v/>
      </c>
      <c r="E641" s="3">
        <f>INDEX(Raw_Schedule!E:E,MATCH(A641,Raw_Schedule!A:A,0))</f>
        <v/>
      </c>
      <c r="F641" s="3">
        <f>INDEX(Raw_Schedule!F:F,MATCH(A641,Raw_Schedule!A:A,0))</f>
        <v/>
      </c>
      <c r="G641" s="4">
        <f>INDEX(Raw_Schedule!G:G,MATCH(A641,Raw_Schedule!A:A,0))</f>
        <v/>
      </c>
      <c r="H641" s="5">
        <f>INDEX(Raw_Schedule!H:H,MATCH(A641,Raw_Schedule!A:A,0))</f>
        <v/>
      </c>
      <c r="I641" s="5">
        <f>SUMIFS(Raw_Payments!E:E,Raw_Payments!B:B,A641)</f>
        <v/>
      </c>
      <c r="J641" s="5">
        <f>H641-I641</f>
        <v/>
      </c>
      <c r="K641" s="3">
        <f>IF(J641&lt;=0.005,"PAID",IF(I641&gt;0,"PARTIAL","OVERDUE"))</f>
        <v/>
      </c>
      <c r="L641" s="4">
        <f>IF(COUNTIFS(Raw_Payments!B:B,A641)=0,"",SUMPRODUCT(MAX((Raw_Payments!B$2:B$1079=A641)*Raw_Payments!D$2:D$1079)))</f>
        <v/>
      </c>
      <c r="M641" s="3">
        <f>IF(K641="PAID",MAX(0,L641-G641),Guide!$B$3-G641)</f>
        <v/>
      </c>
      <c r="N641" s="3">
        <f>IF(J641&lt;=0.005,"COLLECTED",IF(M641&lt;=30,"1-30",IF(M641&lt;=60,"31-60",IF(M641&lt;=90,"61-90","90+"))))</f>
        <v/>
      </c>
      <c r="O641" s="3">
        <f>IF(N641="90+","LOST",IF(N641="61-90","ESCALATE",IF(N641="31-60","WATCH",IF(N641="1-30","MILD","OK"))))</f>
        <v/>
      </c>
      <c r="P641" s="3">
        <f>IF(J641&gt;0.005,ROW()-1,"")</f>
        <v/>
      </c>
    </row>
    <row r="642">
      <c r="A642" s="3" t="inlineStr">
        <is>
          <t>D0641</t>
        </is>
      </c>
      <c r="B642" s="3">
        <f>INDEX(Raw_Schedule!B:B,MATCH(A642,Raw_Schedule!A:A,0))</f>
        <v/>
      </c>
      <c r="C642" s="3">
        <f>INDEX(Raw_Schedule!C:C,MATCH(A642,Raw_Schedule!A:A,0))</f>
        <v/>
      </c>
      <c r="D642" s="3">
        <f>INDEX(Raw_Schedule!D:D,MATCH(A642,Raw_Schedule!A:A,0))</f>
        <v/>
      </c>
      <c r="E642" s="3">
        <f>INDEX(Raw_Schedule!E:E,MATCH(A642,Raw_Schedule!A:A,0))</f>
        <v/>
      </c>
      <c r="F642" s="3">
        <f>INDEX(Raw_Schedule!F:F,MATCH(A642,Raw_Schedule!A:A,0))</f>
        <v/>
      </c>
      <c r="G642" s="4">
        <f>INDEX(Raw_Schedule!G:G,MATCH(A642,Raw_Schedule!A:A,0))</f>
        <v/>
      </c>
      <c r="H642" s="5">
        <f>INDEX(Raw_Schedule!H:H,MATCH(A642,Raw_Schedule!A:A,0))</f>
        <v/>
      </c>
      <c r="I642" s="5">
        <f>SUMIFS(Raw_Payments!E:E,Raw_Payments!B:B,A642)</f>
        <v/>
      </c>
      <c r="J642" s="5">
        <f>H642-I642</f>
        <v/>
      </c>
      <c r="K642" s="3">
        <f>IF(J642&lt;=0.005,"PAID",IF(I642&gt;0,"PARTIAL","OVERDUE"))</f>
        <v/>
      </c>
      <c r="L642" s="4">
        <f>IF(COUNTIFS(Raw_Payments!B:B,A642)=0,"",SUMPRODUCT(MAX((Raw_Payments!B$2:B$1079=A642)*Raw_Payments!D$2:D$1079)))</f>
        <v/>
      </c>
      <c r="M642" s="3">
        <f>IF(K642="PAID",MAX(0,L642-G642),Guide!$B$3-G642)</f>
        <v/>
      </c>
      <c r="N642" s="3">
        <f>IF(J642&lt;=0.005,"COLLECTED",IF(M642&lt;=30,"1-30",IF(M642&lt;=60,"31-60",IF(M642&lt;=90,"61-90","90+"))))</f>
        <v/>
      </c>
      <c r="O642" s="3">
        <f>IF(N642="90+","LOST",IF(N642="61-90","ESCALATE",IF(N642="31-60","WATCH",IF(N642="1-30","MILD","OK"))))</f>
        <v/>
      </c>
      <c r="P642" s="3">
        <f>IF(J642&gt;0.005,ROW()-1,"")</f>
        <v/>
      </c>
    </row>
    <row r="643">
      <c r="A643" s="3" t="inlineStr">
        <is>
          <t>D0642</t>
        </is>
      </c>
      <c r="B643" s="3">
        <f>INDEX(Raw_Schedule!B:B,MATCH(A643,Raw_Schedule!A:A,0))</f>
        <v/>
      </c>
      <c r="C643" s="3">
        <f>INDEX(Raw_Schedule!C:C,MATCH(A643,Raw_Schedule!A:A,0))</f>
        <v/>
      </c>
      <c r="D643" s="3">
        <f>INDEX(Raw_Schedule!D:D,MATCH(A643,Raw_Schedule!A:A,0))</f>
        <v/>
      </c>
      <c r="E643" s="3">
        <f>INDEX(Raw_Schedule!E:E,MATCH(A643,Raw_Schedule!A:A,0))</f>
        <v/>
      </c>
      <c r="F643" s="3">
        <f>INDEX(Raw_Schedule!F:F,MATCH(A643,Raw_Schedule!A:A,0))</f>
        <v/>
      </c>
      <c r="G643" s="4">
        <f>INDEX(Raw_Schedule!G:G,MATCH(A643,Raw_Schedule!A:A,0))</f>
        <v/>
      </c>
      <c r="H643" s="5">
        <f>INDEX(Raw_Schedule!H:H,MATCH(A643,Raw_Schedule!A:A,0))</f>
        <v/>
      </c>
      <c r="I643" s="5">
        <f>SUMIFS(Raw_Payments!E:E,Raw_Payments!B:B,A643)</f>
        <v/>
      </c>
      <c r="J643" s="5">
        <f>H643-I643</f>
        <v/>
      </c>
      <c r="K643" s="3">
        <f>IF(J643&lt;=0.005,"PAID",IF(I643&gt;0,"PARTIAL","OVERDUE"))</f>
        <v/>
      </c>
      <c r="L643" s="4">
        <f>IF(COUNTIFS(Raw_Payments!B:B,A643)=0,"",SUMPRODUCT(MAX((Raw_Payments!B$2:B$1079=A643)*Raw_Payments!D$2:D$1079)))</f>
        <v/>
      </c>
      <c r="M643" s="3">
        <f>IF(K643="PAID",MAX(0,L643-G643),Guide!$B$3-G643)</f>
        <v/>
      </c>
      <c r="N643" s="3">
        <f>IF(J643&lt;=0.005,"COLLECTED",IF(M643&lt;=30,"1-30",IF(M643&lt;=60,"31-60",IF(M643&lt;=90,"61-90","90+"))))</f>
        <v/>
      </c>
      <c r="O643" s="3">
        <f>IF(N643="90+","LOST",IF(N643="61-90","ESCALATE",IF(N643="31-60","WATCH",IF(N643="1-30","MILD","OK"))))</f>
        <v/>
      </c>
      <c r="P643" s="3">
        <f>IF(J643&gt;0.005,ROW()-1,"")</f>
        <v/>
      </c>
    </row>
    <row r="644">
      <c r="A644" s="3" t="inlineStr">
        <is>
          <t>D0643</t>
        </is>
      </c>
      <c r="B644" s="3">
        <f>INDEX(Raw_Schedule!B:B,MATCH(A644,Raw_Schedule!A:A,0))</f>
        <v/>
      </c>
      <c r="C644" s="3">
        <f>INDEX(Raw_Schedule!C:C,MATCH(A644,Raw_Schedule!A:A,0))</f>
        <v/>
      </c>
      <c r="D644" s="3">
        <f>INDEX(Raw_Schedule!D:D,MATCH(A644,Raw_Schedule!A:A,0))</f>
        <v/>
      </c>
      <c r="E644" s="3">
        <f>INDEX(Raw_Schedule!E:E,MATCH(A644,Raw_Schedule!A:A,0))</f>
        <v/>
      </c>
      <c r="F644" s="3">
        <f>INDEX(Raw_Schedule!F:F,MATCH(A644,Raw_Schedule!A:A,0))</f>
        <v/>
      </c>
      <c r="G644" s="4">
        <f>INDEX(Raw_Schedule!G:G,MATCH(A644,Raw_Schedule!A:A,0))</f>
        <v/>
      </c>
      <c r="H644" s="5">
        <f>INDEX(Raw_Schedule!H:H,MATCH(A644,Raw_Schedule!A:A,0))</f>
        <v/>
      </c>
      <c r="I644" s="5">
        <f>SUMIFS(Raw_Payments!E:E,Raw_Payments!B:B,A644)</f>
        <v/>
      </c>
      <c r="J644" s="5">
        <f>H644-I644</f>
        <v/>
      </c>
      <c r="K644" s="3">
        <f>IF(J644&lt;=0.005,"PAID",IF(I644&gt;0,"PARTIAL","OVERDUE"))</f>
        <v/>
      </c>
      <c r="L644" s="4">
        <f>IF(COUNTIFS(Raw_Payments!B:B,A644)=0,"",SUMPRODUCT(MAX((Raw_Payments!B$2:B$1079=A644)*Raw_Payments!D$2:D$1079)))</f>
        <v/>
      </c>
      <c r="M644" s="3">
        <f>IF(K644="PAID",MAX(0,L644-G644),Guide!$B$3-G644)</f>
        <v/>
      </c>
      <c r="N644" s="3">
        <f>IF(J644&lt;=0.005,"COLLECTED",IF(M644&lt;=30,"1-30",IF(M644&lt;=60,"31-60",IF(M644&lt;=90,"61-90","90+"))))</f>
        <v/>
      </c>
      <c r="O644" s="3">
        <f>IF(N644="90+","LOST",IF(N644="61-90","ESCALATE",IF(N644="31-60","WATCH",IF(N644="1-30","MILD","OK"))))</f>
        <v/>
      </c>
      <c r="P644" s="3">
        <f>IF(J644&gt;0.005,ROW()-1,"")</f>
        <v/>
      </c>
    </row>
    <row r="645">
      <c r="A645" s="3" t="inlineStr">
        <is>
          <t>D0644</t>
        </is>
      </c>
      <c r="B645" s="3">
        <f>INDEX(Raw_Schedule!B:B,MATCH(A645,Raw_Schedule!A:A,0))</f>
        <v/>
      </c>
      <c r="C645" s="3">
        <f>INDEX(Raw_Schedule!C:C,MATCH(A645,Raw_Schedule!A:A,0))</f>
        <v/>
      </c>
      <c r="D645" s="3">
        <f>INDEX(Raw_Schedule!D:D,MATCH(A645,Raw_Schedule!A:A,0))</f>
        <v/>
      </c>
      <c r="E645" s="3">
        <f>INDEX(Raw_Schedule!E:E,MATCH(A645,Raw_Schedule!A:A,0))</f>
        <v/>
      </c>
      <c r="F645" s="3">
        <f>INDEX(Raw_Schedule!F:F,MATCH(A645,Raw_Schedule!A:A,0))</f>
        <v/>
      </c>
      <c r="G645" s="4">
        <f>INDEX(Raw_Schedule!G:G,MATCH(A645,Raw_Schedule!A:A,0))</f>
        <v/>
      </c>
      <c r="H645" s="5">
        <f>INDEX(Raw_Schedule!H:H,MATCH(A645,Raw_Schedule!A:A,0))</f>
        <v/>
      </c>
      <c r="I645" s="5">
        <f>SUMIFS(Raw_Payments!E:E,Raw_Payments!B:B,A645)</f>
        <v/>
      </c>
      <c r="J645" s="5">
        <f>H645-I645</f>
        <v/>
      </c>
      <c r="K645" s="3">
        <f>IF(J645&lt;=0.005,"PAID",IF(I645&gt;0,"PARTIAL","OVERDUE"))</f>
        <v/>
      </c>
      <c r="L645" s="4">
        <f>IF(COUNTIFS(Raw_Payments!B:B,A645)=0,"",SUMPRODUCT(MAX((Raw_Payments!B$2:B$1079=A645)*Raw_Payments!D$2:D$1079)))</f>
        <v/>
      </c>
      <c r="M645" s="3">
        <f>IF(K645="PAID",MAX(0,L645-G645),Guide!$B$3-G645)</f>
        <v/>
      </c>
      <c r="N645" s="3">
        <f>IF(J645&lt;=0.005,"COLLECTED",IF(M645&lt;=30,"1-30",IF(M645&lt;=60,"31-60",IF(M645&lt;=90,"61-90","90+"))))</f>
        <v/>
      </c>
      <c r="O645" s="3">
        <f>IF(N645="90+","LOST",IF(N645="61-90","ESCALATE",IF(N645="31-60","WATCH",IF(N645="1-30","MILD","OK"))))</f>
        <v/>
      </c>
      <c r="P645" s="3">
        <f>IF(J645&gt;0.005,ROW()-1,"")</f>
        <v/>
      </c>
    </row>
    <row r="646">
      <c r="A646" s="3" t="inlineStr">
        <is>
          <t>D0645</t>
        </is>
      </c>
      <c r="B646" s="3">
        <f>INDEX(Raw_Schedule!B:B,MATCH(A646,Raw_Schedule!A:A,0))</f>
        <v/>
      </c>
      <c r="C646" s="3">
        <f>INDEX(Raw_Schedule!C:C,MATCH(A646,Raw_Schedule!A:A,0))</f>
        <v/>
      </c>
      <c r="D646" s="3">
        <f>INDEX(Raw_Schedule!D:D,MATCH(A646,Raw_Schedule!A:A,0))</f>
        <v/>
      </c>
      <c r="E646" s="3">
        <f>INDEX(Raw_Schedule!E:E,MATCH(A646,Raw_Schedule!A:A,0))</f>
        <v/>
      </c>
      <c r="F646" s="3">
        <f>INDEX(Raw_Schedule!F:F,MATCH(A646,Raw_Schedule!A:A,0))</f>
        <v/>
      </c>
      <c r="G646" s="4">
        <f>INDEX(Raw_Schedule!G:G,MATCH(A646,Raw_Schedule!A:A,0))</f>
        <v/>
      </c>
      <c r="H646" s="5">
        <f>INDEX(Raw_Schedule!H:H,MATCH(A646,Raw_Schedule!A:A,0))</f>
        <v/>
      </c>
      <c r="I646" s="5">
        <f>SUMIFS(Raw_Payments!E:E,Raw_Payments!B:B,A646)</f>
        <v/>
      </c>
      <c r="J646" s="5">
        <f>H646-I646</f>
        <v/>
      </c>
      <c r="K646" s="3">
        <f>IF(J646&lt;=0.005,"PAID",IF(I646&gt;0,"PARTIAL","OVERDUE"))</f>
        <v/>
      </c>
      <c r="L646" s="4">
        <f>IF(COUNTIFS(Raw_Payments!B:B,A646)=0,"",SUMPRODUCT(MAX((Raw_Payments!B$2:B$1079=A646)*Raw_Payments!D$2:D$1079)))</f>
        <v/>
      </c>
      <c r="M646" s="3">
        <f>IF(K646="PAID",MAX(0,L646-G646),Guide!$B$3-G646)</f>
        <v/>
      </c>
      <c r="N646" s="3">
        <f>IF(J646&lt;=0.005,"COLLECTED",IF(M646&lt;=30,"1-30",IF(M646&lt;=60,"31-60",IF(M646&lt;=90,"61-90","90+"))))</f>
        <v/>
      </c>
      <c r="O646" s="3">
        <f>IF(N646="90+","LOST",IF(N646="61-90","ESCALATE",IF(N646="31-60","WATCH",IF(N646="1-30","MILD","OK"))))</f>
        <v/>
      </c>
      <c r="P646" s="3">
        <f>IF(J646&gt;0.005,ROW()-1,"")</f>
        <v/>
      </c>
    </row>
    <row r="647">
      <c r="A647" s="3" t="inlineStr">
        <is>
          <t>D0646</t>
        </is>
      </c>
      <c r="B647" s="3">
        <f>INDEX(Raw_Schedule!B:B,MATCH(A647,Raw_Schedule!A:A,0))</f>
        <v/>
      </c>
      <c r="C647" s="3">
        <f>INDEX(Raw_Schedule!C:C,MATCH(A647,Raw_Schedule!A:A,0))</f>
        <v/>
      </c>
      <c r="D647" s="3">
        <f>INDEX(Raw_Schedule!D:D,MATCH(A647,Raw_Schedule!A:A,0))</f>
        <v/>
      </c>
      <c r="E647" s="3">
        <f>INDEX(Raw_Schedule!E:E,MATCH(A647,Raw_Schedule!A:A,0))</f>
        <v/>
      </c>
      <c r="F647" s="3">
        <f>INDEX(Raw_Schedule!F:F,MATCH(A647,Raw_Schedule!A:A,0))</f>
        <v/>
      </c>
      <c r="G647" s="4">
        <f>INDEX(Raw_Schedule!G:G,MATCH(A647,Raw_Schedule!A:A,0))</f>
        <v/>
      </c>
      <c r="H647" s="5">
        <f>INDEX(Raw_Schedule!H:H,MATCH(A647,Raw_Schedule!A:A,0))</f>
        <v/>
      </c>
      <c r="I647" s="5">
        <f>SUMIFS(Raw_Payments!E:E,Raw_Payments!B:B,A647)</f>
        <v/>
      </c>
      <c r="J647" s="5">
        <f>H647-I647</f>
        <v/>
      </c>
      <c r="K647" s="3">
        <f>IF(J647&lt;=0.005,"PAID",IF(I647&gt;0,"PARTIAL","OVERDUE"))</f>
        <v/>
      </c>
      <c r="L647" s="4">
        <f>IF(COUNTIFS(Raw_Payments!B:B,A647)=0,"",SUMPRODUCT(MAX((Raw_Payments!B$2:B$1079=A647)*Raw_Payments!D$2:D$1079)))</f>
        <v/>
      </c>
      <c r="M647" s="3">
        <f>IF(K647="PAID",MAX(0,L647-G647),Guide!$B$3-G647)</f>
        <v/>
      </c>
      <c r="N647" s="3">
        <f>IF(J647&lt;=0.005,"COLLECTED",IF(M647&lt;=30,"1-30",IF(M647&lt;=60,"31-60",IF(M647&lt;=90,"61-90","90+"))))</f>
        <v/>
      </c>
      <c r="O647" s="3">
        <f>IF(N647="90+","LOST",IF(N647="61-90","ESCALATE",IF(N647="31-60","WATCH",IF(N647="1-30","MILD","OK"))))</f>
        <v/>
      </c>
      <c r="P647" s="3">
        <f>IF(J647&gt;0.005,ROW()-1,"")</f>
        <v/>
      </c>
    </row>
    <row r="648">
      <c r="A648" s="3" t="inlineStr">
        <is>
          <t>D0647</t>
        </is>
      </c>
      <c r="B648" s="3">
        <f>INDEX(Raw_Schedule!B:B,MATCH(A648,Raw_Schedule!A:A,0))</f>
        <v/>
      </c>
      <c r="C648" s="3">
        <f>INDEX(Raw_Schedule!C:C,MATCH(A648,Raw_Schedule!A:A,0))</f>
        <v/>
      </c>
      <c r="D648" s="3">
        <f>INDEX(Raw_Schedule!D:D,MATCH(A648,Raw_Schedule!A:A,0))</f>
        <v/>
      </c>
      <c r="E648" s="3">
        <f>INDEX(Raw_Schedule!E:E,MATCH(A648,Raw_Schedule!A:A,0))</f>
        <v/>
      </c>
      <c r="F648" s="3">
        <f>INDEX(Raw_Schedule!F:F,MATCH(A648,Raw_Schedule!A:A,0))</f>
        <v/>
      </c>
      <c r="G648" s="4">
        <f>INDEX(Raw_Schedule!G:G,MATCH(A648,Raw_Schedule!A:A,0))</f>
        <v/>
      </c>
      <c r="H648" s="5">
        <f>INDEX(Raw_Schedule!H:H,MATCH(A648,Raw_Schedule!A:A,0))</f>
        <v/>
      </c>
      <c r="I648" s="5">
        <f>SUMIFS(Raw_Payments!E:E,Raw_Payments!B:B,A648)</f>
        <v/>
      </c>
      <c r="J648" s="5">
        <f>H648-I648</f>
        <v/>
      </c>
      <c r="K648" s="3">
        <f>IF(J648&lt;=0.005,"PAID",IF(I648&gt;0,"PARTIAL","OVERDUE"))</f>
        <v/>
      </c>
      <c r="L648" s="4">
        <f>IF(COUNTIFS(Raw_Payments!B:B,A648)=0,"",SUMPRODUCT(MAX((Raw_Payments!B$2:B$1079=A648)*Raw_Payments!D$2:D$1079)))</f>
        <v/>
      </c>
      <c r="M648" s="3">
        <f>IF(K648="PAID",MAX(0,L648-G648),Guide!$B$3-G648)</f>
        <v/>
      </c>
      <c r="N648" s="3">
        <f>IF(J648&lt;=0.005,"COLLECTED",IF(M648&lt;=30,"1-30",IF(M648&lt;=60,"31-60",IF(M648&lt;=90,"61-90","90+"))))</f>
        <v/>
      </c>
      <c r="O648" s="3">
        <f>IF(N648="90+","LOST",IF(N648="61-90","ESCALATE",IF(N648="31-60","WATCH",IF(N648="1-30","MILD","OK"))))</f>
        <v/>
      </c>
      <c r="P648" s="3">
        <f>IF(J648&gt;0.005,ROW()-1,"")</f>
        <v/>
      </c>
    </row>
    <row r="649">
      <c r="A649" s="3" t="inlineStr">
        <is>
          <t>D0648</t>
        </is>
      </c>
      <c r="B649" s="3">
        <f>INDEX(Raw_Schedule!B:B,MATCH(A649,Raw_Schedule!A:A,0))</f>
        <v/>
      </c>
      <c r="C649" s="3">
        <f>INDEX(Raw_Schedule!C:C,MATCH(A649,Raw_Schedule!A:A,0))</f>
        <v/>
      </c>
      <c r="D649" s="3">
        <f>INDEX(Raw_Schedule!D:D,MATCH(A649,Raw_Schedule!A:A,0))</f>
        <v/>
      </c>
      <c r="E649" s="3">
        <f>INDEX(Raw_Schedule!E:E,MATCH(A649,Raw_Schedule!A:A,0))</f>
        <v/>
      </c>
      <c r="F649" s="3">
        <f>INDEX(Raw_Schedule!F:F,MATCH(A649,Raw_Schedule!A:A,0))</f>
        <v/>
      </c>
      <c r="G649" s="4">
        <f>INDEX(Raw_Schedule!G:G,MATCH(A649,Raw_Schedule!A:A,0))</f>
        <v/>
      </c>
      <c r="H649" s="5">
        <f>INDEX(Raw_Schedule!H:H,MATCH(A649,Raw_Schedule!A:A,0))</f>
        <v/>
      </c>
      <c r="I649" s="5">
        <f>SUMIFS(Raw_Payments!E:E,Raw_Payments!B:B,A649)</f>
        <v/>
      </c>
      <c r="J649" s="5">
        <f>H649-I649</f>
        <v/>
      </c>
      <c r="K649" s="3">
        <f>IF(J649&lt;=0.005,"PAID",IF(I649&gt;0,"PARTIAL","OVERDUE"))</f>
        <v/>
      </c>
      <c r="L649" s="4">
        <f>IF(COUNTIFS(Raw_Payments!B:B,A649)=0,"",SUMPRODUCT(MAX((Raw_Payments!B$2:B$1079=A649)*Raw_Payments!D$2:D$1079)))</f>
        <v/>
      </c>
      <c r="M649" s="3">
        <f>IF(K649="PAID",MAX(0,L649-G649),Guide!$B$3-G649)</f>
        <v/>
      </c>
      <c r="N649" s="3">
        <f>IF(J649&lt;=0.005,"COLLECTED",IF(M649&lt;=30,"1-30",IF(M649&lt;=60,"31-60",IF(M649&lt;=90,"61-90","90+"))))</f>
        <v/>
      </c>
      <c r="O649" s="3">
        <f>IF(N649="90+","LOST",IF(N649="61-90","ESCALATE",IF(N649="31-60","WATCH",IF(N649="1-30","MILD","OK"))))</f>
        <v/>
      </c>
      <c r="P649" s="3">
        <f>IF(J649&gt;0.005,ROW()-1,"")</f>
        <v/>
      </c>
    </row>
    <row r="650">
      <c r="A650" s="3" t="inlineStr">
        <is>
          <t>D0649</t>
        </is>
      </c>
      <c r="B650" s="3">
        <f>INDEX(Raw_Schedule!B:B,MATCH(A650,Raw_Schedule!A:A,0))</f>
        <v/>
      </c>
      <c r="C650" s="3">
        <f>INDEX(Raw_Schedule!C:C,MATCH(A650,Raw_Schedule!A:A,0))</f>
        <v/>
      </c>
      <c r="D650" s="3">
        <f>INDEX(Raw_Schedule!D:D,MATCH(A650,Raw_Schedule!A:A,0))</f>
        <v/>
      </c>
      <c r="E650" s="3">
        <f>INDEX(Raw_Schedule!E:E,MATCH(A650,Raw_Schedule!A:A,0))</f>
        <v/>
      </c>
      <c r="F650" s="3">
        <f>INDEX(Raw_Schedule!F:F,MATCH(A650,Raw_Schedule!A:A,0))</f>
        <v/>
      </c>
      <c r="G650" s="4">
        <f>INDEX(Raw_Schedule!G:G,MATCH(A650,Raw_Schedule!A:A,0))</f>
        <v/>
      </c>
      <c r="H650" s="5">
        <f>INDEX(Raw_Schedule!H:H,MATCH(A650,Raw_Schedule!A:A,0))</f>
        <v/>
      </c>
      <c r="I650" s="5">
        <f>SUMIFS(Raw_Payments!E:E,Raw_Payments!B:B,A650)</f>
        <v/>
      </c>
      <c r="J650" s="5">
        <f>H650-I650</f>
        <v/>
      </c>
      <c r="K650" s="3">
        <f>IF(J650&lt;=0.005,"PAID",IF(I650&gt;0,"PARTIAL","OVERDUE"))</f>
        <v/>
      </c>
      <c r="L650" s="4">
        <f>IF(COUNTIFS(Raw_Payments!B:B,A650)=0,"",SUMPRODUCT(MAX((Raw_Payments!B$2:B$1079=A650)*Raw_Payments!D$2:D$1079)))</f>
        <v/>
      </c>
      <c r="M650" s="3">
        <f>IF(K650="PAID",MAX(0,L650-G650),Guide!$B$3-G650)</f>
        <v/>
      </c>
      <c r="N650" s="3">
        <f>IF(J650&lt;=0.005,"COLLECTED",IF(M650&lt;=30,"1-30",IF(M650&lt;=60,"31-60",IF(M650&lt;=90,"61-90","90+"))))</f>
        <v/>
      </c>
      <c r="O650" s="3">
        <f>IF(N650="90+","LOST",IF(N650="61-90","ESCALATE",IF(N650="31-60","WATCH",IF(N650="1-30","MILD","OK"))))</f>
        <v/>
      </c>
      <c r="P650" s="3">
        <f>IF(J650&gt;0.005,ROW()-1,"")</f>
        <v/>
      </c>
    </row>
    <row r="651">
      <c r="A651" s="3" t="inlineStr">
        <is>
          <t>D0650</t>
        </is>
      </c>
      <c r="B651" s="3">
        <f>INDEX(Raw_Schedule!B:B,MATCH(A651,Raw_Schedule!A:A,0))</f>
        <v/>
      </c>
      <c r="C651" s="3">
        <f>INDEX(Raw_Schedule!C:C,MATCH(A651,Raw_Schedule!A:A,0))</f>
        <v/>
      </c>
      <c r="D651" s="3">
        <f>INDEX(Raw_Schedule!D:D,MATCH(A651,Raw_Schedule!A:A,0))</f>
        <v/>
      </c>
      <c r="E651" s="3">
        <f>INDEX(Raw_Schedule!E:E,MATCH(A651,Raw_Schedule!A:A,0))</f>
        <v/>
      </c>
      <c r="F651" s="3">
        <f>INDEX(Raw_Schedule!F:F,MATCH(A651,Raw_Schedule!A:A,0))</f>
        <v/>
      </c>
      <c r="G651" s="4">
        <f>INDEX(Raw_Schedule!G:G,MATCH(A651,Raw_Schedule!A:A,0))</f>
        <v/>
      </c>
      <c r="H651" s="5">
        <f>INDEX(Raw_Schedule!H:H,MATCH(A651,Raw_Schedule!A:A,0))</f>
        <v/>
      </c>
      <c r="I651" s="5">
        <f>SUMIFS(Raw_Payments!E:E,Raw_Payments!B:B,A651)</f>
        <v/>
      </c>
      <c r="J651" s="5">
        <f>H651-I651</f>
        <v/>
      </c>
      <c r="K651" s="3">
        <f>IF(J651&lt;=0.005,"PAID",IF(I651&gt;0,"PARTIAL","OVERDUE"))</f>
        <v/>
      </c>
      <c r="L651" s="4">
        <f>IF(COUNTIFS(Raw_Payments!B:B,A651)=0,"",SUMPRODUCT(MAX((Raw_Payments!B$2:B$1079=A651)*Raw_Payments!D$2:D$1079)))</f>
        <v/>
      </c>
      <c r="M651" s="3">
        <f>IF(K651="PAID",MAX(0,L651-G651),Guide!$B$3-G651)</f>
        <v/>
      </c>
      <c r="N651" s="3">
        <f>IF(J651&lt;=0.005,"COLLECTED",IF(M651&lt;=30,"1-30",IF(M651&lt;=60,"31-60",IF(M651&lt;=90,"61-90","90+"))))</f>
        <v/>
      </c>
      <c r="O651" s="3">
        <f>IF(N651="90+","LOST",IF(N651="61-90","ESCALATE",IF(N651="31-60","WATCH",IF(N651="1-30","MILD","OK"))))</f>
        <v/>
      </c>
      <c r="P651" s="3">
        <f>IF(J651&gt;0.005,ROW()-1,"")</f>
        <v/>
      </c>
    </row>
    <row r="652">
      <c r="A652" s="3" t="inlineStr">
        <is>
          <t>D0651</t>
        </is>
      </c>
      <c r="B652" s="3">
        <f>INDEX(Raw_Schedule!B:B,MATCH(A652,Raw_Schedule!A:A,0))</f>
        <v/>
      </c>
      <c r="C652" s="3">
        <f>INDEX(Raw_Schedule!C:C,MATCH(A652,Raw_Schedule!A:A,0))</f>
        <v/>
      </c>
      <c r="D652" s="3">
        <f>INDEX(Raw_Schedule!D:D,MATCH(A652,Raw_Schedule!A:A,0))</f>
        <v/>
      </c>
      <c r="E652" s="3">
        <f>INDEX(Raw_Schedule!E:E,MATCH(A652,Raw_Schedule!A:A,0))</f>
        <v/>
      </c>
      <c r="F652" s="3">
        <f>INDEX(Raw_Schedule!F:F,MATCH(A652,Raw_Schedule!A:A,0))</f>
        <v/>
      </c>
      <c r="G652" s="4">
        <f>INDEX(Raw_Schedule!G:G,MATCH(A652,Raw_Schedule!A:A,0))</f>
        <v/>
      </c>
      <c r="H652" s="5">
        <f>INDEX(Raw_Schedule!H:H,MATCH(A652,Raw_Schedule!A:A,0))</f>
        <v/>
      </c>
      <c r="I652" s="5">
        <f>SUMIFS(Raw_Payments!E:E,Raw_Payments!B:B,A652)</f>
        <v/>
      </c>
      <c r="J652" s="5">
        <f>H652-I652</f>
        <v/>
      </c>
      <c r="K652" s="3">
        <f>IF(J652&lt;=0.005,"PAID",IF(I652&gt;0,"PARTIAL","OVERDUE"))</f>
        <v/>
      </c>
      <c r="L652" s="4">
        <f>IF(COUNTIFS(Raw_Payments!B:B,A652)=0,"",SUMPRODUCT(MAX((Raw_Payments!B$2:B$1079=A652)*Raw_Payments!D$2:D$1079)))</f>
        <v/>
      </c>
      <c r="M652" s="3">
        <f>IF(K652="PAID",MAX(0,L652-G652),Guide!$B$3-G652)</f>
        <v/>
      </c>
      <c r="N652" s="3">
        <f>IF(J652&lt;=0.005,"COLLECTED",IF(M652&lt;=30,"1-30",IF(M652&lt;=60,"31-60",IF(M652&lt;=90,"61-90","90+"))))</f>
        <v/>
      </c>
      <c r="O652" s="3">
        <f>IF(N652="90+","LOST",IF(N652="61-90","ESCALATE",IF(N652="31-60","WATCH",IF(N652="1-30","MILD","OK"))))</f>
        <v/>
      </c>
      <c r="P652" s="3">
        <f>IF(J652&gt;0.005,ROW()-1,"")</f>
        <v/>
      </c>
    </row>
    <row r="653">
      <c r="A653" s="3" t="inlineStr">
        <is>
          <t>D0652</t>
        </is>
      </c>
      <c r="B653" s="3">
        <f>INDEX(Raw_Schedule!B:B,MATCH(A653,Raw_Schedule!A:A,0))</f>
        <v/>
      </c>
      <c r="C653" s="3">
        <f>INDEX(Raw_Schedule!C:C,MATCH(A653,Raw_Schedule!A:A,0))</f>
        <v/>
      </c>
      <c r="D653" s="3">
        <f>INDEX(Raw_Schedule!D:D,MATCH(A653,Raw_Schedule!A:A,0))</f>
        <v/>
      </c>
      <c r="E653" s="3">
        <f>INDEX(Raw_Schedule!E:E,MATCH(A653,Raw_Schedule!A:A,0))</f>
        <v/>
      </c>
      <c r="F653" s="3">
        <f>INDEX(Raw_Schedule!F:F,MATCH(A653,Raw_Schedule!A:A,0))</f>
        <v/>
      </c>
      <c r="G653" s="4">
        <f>INDEX(Raw_Schedule!G:G,MATCH(A653,Raw_Schedule!A:A,0))</f>
        <v/>
      </c>
      <c r="H653" s="5">
        <f>INDEX(Raw_Schedule!H:H,MATCH(A653,Raw_Schedule!A:A,0))</f>
        <v/>
      </c>
      <c r="I653" s="5">
        <f>SUMIFS(Raw_Payments!E:E,Raw_Payments!B:B,A653)</f>
        <v/>
      </c>
      <c r="J653" s="5">
        <f>H653-I653</f>
        <v/>
      </c>
      <c r="K653" s="3">
        <f>IF(J653&lt;=0.005,"PAID",IF(I653&gt;0,"PARTIAL","OVERDUE"))</f>
        <v/>
      </c>
      <c r="L653" s="4">
        <f>IF(COUNTIFS(Raw_Payments!B:B,A653)=0,"",SUMPRODUCT(MAX((Raw_Payments!B$2:B$1079=A653)*Raw_Payments!D$2:D$1079)))</f>
        <v/>
      </c>
      <c r="M653" s="3">
        <f>IF(K653="PAID",MAX(0,L653-G653),Guide!$B$3-G653)</f>
        <v/>
      </c>
      <c r="N653" s="3">
        <f>IF(J653&lt;=0.005,"COLLECTED",IF(M653&lt;=30,"1-30",IF(M653&lt;=60,"31-60",IF(M653&lt;=90,"61-90","90+"))))</f>
        <v/>
      </c>
      <c r="O653" s="3">
        <f>IF(N653="90+","LOST",IF(N653="61-90","ESCALATE",IF(N653="31-60","WATCH",IF(N653="1-30","MILD","OK"))))</f>
        <v/>
      </c>
      <c r="P653" s="3">
        <f>IF(J653&gt;0.005,ROW()-1,"")</f>
        <v/>
      </c>
    </row>
    <row r="654">
      <c r="A654" s="3" t="inlineStr">
        <is>
          <t>D0653</t>
        </is>
      </c>
      <c r="B654" s="3">
        <f>INDEX(Raw_Schedule!B:B,MATCH(A654,Raw_Schedule!A:A,0))</f>
        <v/>
      </c>
      <c r="C654" s="3">
        <f>INDEX(Raw_Schedule!C:C,MATCH(A654,Raw_Schedule!A:A,0))</f>
        <v/>
      </c>
      <c r="D654" s="3">
        <f>INDEX(Raw_Schedule!D:D,MATCH(A654,Raw_Schedule!A:A,0))</f>
        <v/>
      </c>
      <c r="E654" s="3">
        <f>INDEX(Raw_Schedule!E:E,MATCH(A654,Raw_Schedule!A:A,0))</f>
        <v/>
      </c>
      <c r="F654" s="3">
        <f>INDEX(Raw_Schedule!F:F,MATCH(A654,Raw_Schedule!A:A,0))</f>
        <v/>
      </c>
      <c r="G654" s="4">
        <f>INDEX(Raw_Schedule!G:G,MATCH(A654,Raw_Schedule!A:A,0))</f>
        <v/>
      </c>
      <c r="H654" s="5">
        <f>INDEX(Raw_Schedule!H:H,MATCH(A654,Raw_Schedule!A:A,0))</f>
        <v/>
      </c>
      <c r="I654" s="5">
        <f>SUMIFS(Raw_Payments!E:E,Raw_Payments!B:B,A654)</f>
        <v/>
      </c>
      <c r="J654" s="5">
        <f>H654-I654</f>
        <v/>
      </c>
      <c r="K654" s="3">
        <f>IF(J654&lt;=0.005,"PAID",IF(I654&gt;0,"PARTIAL","OVERDUE"))</f>
        <v/>
      </c>
      <c r="L654" s="4">
        <f>IF(COUNTIFS(Raw_Payments!B:B,A654)=0,"",SUMPRODUCT(MAX((Raw_Payments!B$2:B$1079=A654)*Raw_Payments!D$2:D$1079)))</f>
        <v/>
      </c>
      <c r="M654" s="3">
        <f>IF(K654="PAID",MAX(0,L654-G654),Guide!$B$3-G654)</f>
        <v/>
      </c>
      <c r="N654" s="3">
        <f>IF(J654&lt;=0.005,"COLLECTED",IF(M654&lt;=30,"1-30",IF(M654&lt;=60,"31-60",IF(M654&lt;=90,"61-90","90+"))))</f>
        <v/>
      </c>
      <c r="O654" s="3">
        <f>IF(N654="90+","LOST",IF(N654="61-90","ESCALATE",IF(N654="31-60","WATCH",IF(N654="1-30","MILD","OK"))))</f>
        <v/>
      </c>
      <c r="P654" s="3">
        <f>IF(J654&gt;0.005,ROW()-1,"")</f>
        <v/>
      </c>
    </row>
    <row r="655">
      <c r="A655" s="3" t="inlineStr">
        <is>
          <t>D0654</t>
        </is>
      </c>
      <c r="B655" s="3">
        <f>INDEX(Raw_Schedule!B:B,MATCH(A655,Raw_Schedule!A:A,0))</f>
        <v/>
      </c>
      <c r="C655" s="3">
        <f>INDEX(Raw_Schedule!C:C,MATCH(A655,Raw_Schedule!A:A,0))</f>
        <v/>
      </c>
      <c r="D655" s="3">
        <f>INDEX(Raw_Schedule!D:D,MATCH(A655,Raw_Schedule!A:A,0))</f>
        <v/>
      </c>
      <c r="E655" s="3">
        <f>INDEX(Raw_Schedule!E:E,MATCH(A655,Raw_Schedule!A:A,0))</f>
        <v/>
      </c>
      <c r="F655" s="3">
        <f>INDEX(Raw_Schedule!F:F,MATCH(A655,Raw_Schedule!A:A,0))</f>
        <v/>
      </c>
      <c r="G655" s="4">
        <f>INDEX(Raw_Schedule!G:G,MATCH(A655,Raw_Schedule!A:A,0))</f>
        <v/>
      </c>
      <c r="H655" s="5">
        <f>INDEX(Raw_Schedule!H:H,MATCH(A655,Raw_Schedule!A:A,0))</f>
        <v/>
      </c>
      <c r="I655" s="5">
        <f>SUMIFS(Raw_Payments!E:E,Raw_Payments!B:B,A655)</f>
        <v/>
      </c>
      <c r="J655" s="5">
        <f>H655-I655</f>
        <v/>
      </c>
      <c r="K655" s="3">
        <f>IF(J655&lt;=0.005,"PAID",IF(I655&gt;0,"PARTIAL","OVERDUE"))</f>
        <v/>
      </c>
      <c r="L655" s="4">
        <f>IF(COUNTIFS(Raw_Payments!B:B,A655)=0,"",SUMPRODUCT(MAX((Raw_Payments!B$2:B$1079=A655)*Raw_Payments!D$2:D$1079)))</f>
        <v/>
      </c>
      <c r="M655" s="3">
        <f>IF(K655="PAID",MAX(0,L655-G655),Guide!$B$3-G655)</f>
        <v/>
      </c>
      <c r="N655" s="3">
        <f>IF(J655&lt;=0.005,"COLLECTED",IF(M655&lt;=30,"1-30",IF(M655&lt;=60,"31-60",IF(M655&lt;=90,"61-90","90+"))))</f>
        <v/>
      </c>
      <c r="O655" s="3">
        <f>IF(N655="90+","LOST",IF(N655="61-90","ESCALATE",IF(N655="31-60","WATCH",IF(N655="1-30","MILD","OK"))))</f>
        <v/>
      </c>
      <c r="P655" s="3">
        <f>IF(J655&gt;0.005,ROW()-1,"")</f>
        <v/>
      </c>
    </row>
    <row r="656">
      <c r="A656" s="3" t="inlineStr">
        <is>
          <t>D0655</t>
        </is>
      </c>
      <c r="B656" s="3">
        <f>INDEX(Raw_Schedule!B:B,MATCH(A656,Raw_Schedule!A:A,0))</f>
        <v/>
      </c>
      <c r="C656" s="3">
        <f>INDEX(Raw_Schedule!C:C,MATCH(A656,Raw_Schedule!A:A,0))</f>
        <v/>
      </c>
      <c r="D656" s="3">
        <f>INDEX(Raw_Schedule!D:D,MATCH(A656,Raw_Schedule!A:A,0))</f>
        <v/>
      </c>
      <c r="E656" s="3">
        <f>INDEX(Raw_Schedule!E:E,MATCH(A656,Raw_Schedule!A:A,0))</f>
        <v/>
      </c>
      <c r="F656" s="3">
        <f>INDEX(Raw_Schedule!F:F,MATCH(A656,Raw_Schedule!A:A,0))</f>
        <v/>
      </c>
      <c r="G656" s="4">
        <f>INDEX(Raw_Schedule!G:G,MATCH(A656,Raw_Schedule!A:A,0))</f>
        <v/>
      </c>
      <c r="H656" s="5">
        <f>INDEX(Raw_Schedule!H:H,MATCH(A656,Raw_Schedule!A:A,0))</f>
        <v/>
      </c>
      <c r="I656" s="5">
        <f>SUMIFS(Raw_Payments!E:E,Raw_Payments!B:B,A656)</f>
        <v/>
      </c>
      <c r="J656" s="5">
        <f>H656-I656</f>
        <v/>
      </c>
      <c r="K656" s="3">
        <f>IF(J656&lt;=0.005,"PAID",IF(I656&gt;0,"PARTIAL","OVERDUE"))</f>
        <v/>
      </c>
      <c r="L656" s="4">
        <f>IF(COUNTIFS(Raw_Payments!B:B,A656)=0,"",SUMPRODUCT(MAX((Raw_Payments!B$2:B$1079=A656)*Raw_Payments!D$2:D$1079)))</f>
        <v/>
      </c>
      <c r="M656" s="3">
        <f>IF(K656="PAID",MAX(0,L656-G656),Guide!$B$3-G656)</f>
        <v/>
      </c>
      <c r="N656" s="3">
        <f>IF(J656&lt;=0.005,"COLLECTED",IF(M656&lt;=30,"1-30",IF(M656&lt;=60,"31-60",IF(M656&lt;=90,"61-90","90+"))))</f>
        <v/>
      </c>
      <c r="O656" s="3">
        <f>IF(N656="90+","LOST",IF(N656="61-90","ESCALATE",IF(N656="31-60","WATCH",IF(N656="1-30","MILD","OK"))))</f>
        <v/>
      </c>
      <c r="P656" s="3">
        <f>IF(J656&gt;0.005,ROW()-1,"")</f>
        <v/>
      </c>
    </row>
    <row r="657">
      <c r="A657" s="3" t="inlineStr">
        <is>
          <t>D0656</t>
        </is>
      </c>
      <c r="B657" s="3">
        <f>INDEX(Raw_Schedule!B:B,MATCH(A657,Raw_Schedule!A:A,0))</f>
        <v/>
      </c>
      <c r="C657" s="3">
        <f>INDEX(Raw_Schedule!C:C,MATCH(A657,Raw_Schedule!A:A,0))</f>
        <v/>
      </c>
      <c r="D657" s="3">
        <f>INDEX(Raw_Schedule!D:D,MATCH(A657,Raw_Schedule!A:A,0))</f>
        <v/>
      </c>
      <c r="E657" s="3">
        <f>INDEX(Raw_Schedule!E:E,MATCH(A657,Raw_Schedule!A:A,0))</f>
        <v/>
      </c>
      <c r="F657" s="3">
        <f>INDEX(Raw_Schedule!F:F,MATCH(A657,Raw_Schedule!A:A,0))</f>
        <v/>
      </c>
      <c r="G657" s="4">
        <f>INDEX(Raw_Schedule!G:G,MATCH(A657,Raw_Schedule!A:A,0))</f>
        <v/>
      </c>
      <c r="H657" s="5">
        <f>INDEX(Raw_Schedule!H:H,MATCH(A657,Raw_Schedule!A:A,0))</f>
        <v/>
      </c>
      <c r="I657" s="5">
        <f>SUMIFS(Raw_Payments!E:E,Raw_Payments!B:B,A657)</f>
        <v/>
      </c>
      <c r="J657" s="5">
        <f>H657-I657</f>
        <v/>
      </c>
      <c r="K657" s="3">
        <f>IF(J657&lt;=0.005,"PAID",IF(I657&gt;0,"PARTIAL","OVERDUE"))</f>
        <v/>
      </c>
      <c r="L657" s="4">
        <f>IF(COUNTIFS(Raw_Payments!B:B,A657)=0,"",SUMPRODUCT(MAX((Raw_Payments!B$2:B$1079=A657)*Raw_Payments!D$2:D$1079)))</f>
        <v/>
      </c>
      <c r="M657" s="3">
        <f>IF(K657="PAID",MAX(0,L657-G657),Guide!$B$3-G657)</f>
        <v/>
      </c>
      <c r="N657" s="3">
        <f>IF(J657&lt;=0.005,"COLLECTED",IF(M657&lt;=30,"1-30",IF(M657&lt;=60,"31-60",IF(M657&lt;=90,"61-90","90+"))))</f>
        <v/>
      </c>
      <c r="O657" s="3">
        <f>IF(N657="90+","LOST",IF(N657="61-90","ESCALATE",IF(N657="31-60","WATCH",IF(N657="1-30","MILD","OK"))))</f>
        <v/>
      </c>
      <c r="P657" s="3">
        <f>IF(J657&gt;0.005,ROW()-1,"")</f>
        <v/>
      </c>
    </row>
    <row r="658">
      <c r="A658" s="3" t="inlineStr">
        <is>
          <t>D0657</t>
        </is>
      </c>
      <c r="B658" s="3">
        <f>INDEX(Raw_Schedule!B:B,MATCH(A658,Raw_Schedule!A:A,0))</f>
        <v/>
      </c>
      <c r="C658" s="3">
        <f>INDEX(Raw_Schedule!C:C,MATCH(A658,Raw_Schedule!A:A,0))</f>
        <v/>
      </c>
      <c r="D658" s="3">
        <f>INDEX(Raw_Schedule!D:D,MATCH(A658,Raw_Schedule!A:A,0))</f>
        <v/>
      </c>
      <c r="E658" s="3">
        <f>INDEX(Raw_Schedule!E:E,MATCH(A658,Raw_Schedule!A:A,0))</f>
        <v/>
      </c>
      <c r="F658" s="3">
        <f>INDEX(Raw_Schedule!F:F,MATCH(A658,Raw_Schedule!A:A,0))</f>
        <v/>
      </c>
      <c r="G658" s="4">
        <f>INDEX(Raw_Schedule!G:G,MATCH(A658,Raw_Schedule!A:A,0))</f>
        <v/>
      </c>
      <c r="H658" s="5">
        <f>INDEX(Raw_Schedule!H:H,MATCH(A658,Raw_Schedule!A:A,0))</f>
        <v/>
      </c>
      <c r="I658" s="5">
        <f>SUMIFS(Raw_Payments!E:E,Raw_Payments!B:B,A658)</f>
        <v/>
      </c>
      <c r="J658" s="5">
        <f>H658-I658</f>
        <v/>
      </c>
      <c r="K658" s="3">
        <f>IF(J658&lt;=0.005,"PAID",IF(I658&gt;0,"PARTIAL","OVERDUE"))</f>
        <v/>
      </c>
      <c r="L658" s="4">
        <f>IF(COUNTIFS(Raw_Payments!B:B,A658)=0,"",SUMPRODUCT(MAX((Raw_Payments!B$2:B$1079=A658)*Raw_Payments!D$2:D$1079)))</f>
        <v/>
      </c>
      <c r="M658" s="3">
        <f>IF(K658="PAID",MAX(0,L658-G658),Guide!$B$3-G658)</f>
        <v/>
      </c>
      <c r="N658" s="3">
        <f>IF(J658&lt;=0.005,"COLLECTED",IF(M658&lt;=30,"1-30",IF(M658&lt;=60,"31-60",IF(M658&lt;=90,"61-90","90+"))))</f>
        <v/>
      </c>
      <c r="O658" s="3">
        <f>IF(N658="90+","LOST",IF(N658="61-90","ESCALATE",IF(N658="31-60","WATCH",IF(N658="1-30","MILD","OK"))))</f>
        <v/>
      </c>
      <c r="P658" s="3">
        <f>IF(J658&gt;0.005,ROW()-1,"")</f>
        <v/>
      </c>
    </row>
    <row r="659">
      <c r="A659" s="3" t="inlineStr">
        <is>
          <t>D0658</t>
        </is>
      </c>
      <c r="B659" s="3">
        <f>INDEX(Raw_Schedule!B:B,MATCH(A659,Raw_Schedule!A:A,0))</f>
        <v/>
      </c>
      <c r="C659" s="3">
        <f>INDEX(Raw_Schedule!C:C,MATCH(A659,Raw_Schedule!A:A,0))</f>
        <v/>
      </c>
      <c r="D659" s="3">
        <f>INDEX(Raw_Schedule!D:D,MATCH(A659,Raw_Schedule!A:A,0))</f>
        <v/>
      </c>
      <c r="E659" s="3">
        <f>INDEX(Raw_Schedule!E:E,MATCH(A659,Raw_Schedule!A:A,0))</f>
        <v/>
      </c>
      <c r="F659" s="3">
        <f>INDEX(Raw_Schedule!F:F,MATCH(A659,Raw_Schedule!A:A,0))</f>
        <v/>
      </c>
      <c r="G659" s="4">
        <f>INDEX(Raw_Schedule!G:G,MATCH(A659,Raw_Schedule!A:A,0))</f>
        <v/>
      </c>
      <c r="H659" s="5">
        <f>INDEX(Raw_Schedule!H:H,MATCH(A659,Raw_Schedule!A:A,0))</f>
        <v/>
      </c>
      <c r="I659" s="5">
        <f>SUMIFS(Raw_Payments!E:E,Raw_Payments!B:B,A659)</f>
        <v/>
      </c>
      <c r="J659" s="5">
        <f>H659-I659</f>
        <v/>
      </c>
      <c r="K659" s="3">
        <f>IF(J659&lt;=0.005,"PAID",IF(I659&gt;0,"PARTIAL","OVERDUE"))</f>
        <v/>
      </c>
      <c r="L659" s="4">
        <f>IF(COUNTIFS(Raw_Payments!B:B,A659)=0,"",SUMPRODUCT(MAX((Raw_Payments!B$2:B$1079=A659)*Raw_Payments!D$2:D$1079)))</f>
        <v/>
      </c>
      <c r="M659" s="3">
        <f>IF(K659="PAID",MAX(0,L659-G659),Guide!$B$3-G659)</f>
        <v/>
      </c>
      <c r="N659" s="3">
        <f>IF(J659&lt;=0.005,"COLLECTED",IF(M659&lt;=30,"1-30",IF(M659&lt;=60,"31-60",IF(M659&lt;=90,"61-90","90+"))))</f>
        <v/>
      </c>
      <c r="O659" s="3">
        <f>IF(N659="90+","LOST",IF(N659="61-90","ESCALATE",IF(N659="31-60","WATCH",IF(N659="1-30","MILD","OK"))))</f>
        <v/>
      </c>
      <c r="P659" s="3">
        <f>IF(J659&gt;0.005,ROW()-1,"")</f>
        <v/>
      </c>
    </row>
    <row r="660">
      <c r="A660" s="3" t="inlineStr">
        <is>
          <t>D0659</t>
        </is>
      </c>
      <c r="B660" s="3">
        <f>INDEX(Raw_Schedule!B:B,MATCH(A660,Raw_Schedule!A:A,0))</f>
        <v/>
      </c>
      <c r="C660" s="3">
        <f>INDEX(Raw_Schedule!C:C,MATCH(A660,Raw_Schedule!A:A,0))</f>
        <v/>
      </c>
      <c r="D660" s="3">
        <f>INDEX(Raw_Schedule!D:D,MATCH(A660,Raw_Schedule!A:A,0))</f>
        <v/>
      </c>
      <c r="E660" s="3">
        <f>INDEX(Raw_Schedule!E:E,MATCH(A660,Raw_Schedule!A:A,0))</f>
        <v/>
      </c>
      <c r="F660" s="3">
        <f>INDEX(Raw_Schedule!F:F,MATCH(A660,Raw_Schedule!A:A,0))</f>
        <v/>
      </c>
      <c r="G660" s="4">
        <f>INDEX(Raw_Schedule!G:G,MATCH(A660,Raw_Schedule!A:A,0))</f>
        <v/>
      </c>
      <c r="H660" s="5">
        <f>INDEX(Raw_Schedule!H:H,MATCH(A660,Raw_Schedule!A:A,0))</f>
        <v/>
      </c>
      <c r="I660" s="5">
        <f>SUMIFS(Raw_Payments!E:E,Raw_Payments!B:B,A660)</f>
        <v/>
      </c>
      <c r="J660" s="5">
        <f>H660-I660</f>
        <v/>
      </c>
      <c r="K660" s="3">
        <f>IF(J660&lt;=0.005,"PAID",IF(I660&gt;0,"PARTIAL","OVERDUE"))</f>
        <v/>
      </c>
      <c r="L660" s="4">
        <f>IF(COUNTIFS(Raw_Payments!B:B,A660)=0,"",SUMPRODUCT(MAX((Raw_Payments!B$2:B$1079=A660)*Raw_Payments!D$2:D$1079)))</f>
        <v/>
      </c>
      <c r="M660" s="3">
        <f>IF(K660="PAID",MAX(0,L660-G660),Guide!$B$3-G660)</f>
        <v/>
      </c>
      <c r="N660" s="3">
        <f>IF(J660&lt;=0.005,"COLLECTED",IF(M660&lt;=30,"1-30",IF(M660&lt;=60,"31-60",IF(M660&lt;=90,"61-90","90+"))))</f>
        <v/>
      </c>
      <c r="O660" s="3">
        <f>IF(N660="90+","LOST",IF(N660="61-90","ESCALATE",IF(N660="31-60","WATCH",IF(N660="1-30","MILD","OK"))))</f>
        <v/>
      </c>
      <c r="P660" s="3">
        <f>IF(J660&gt;0.005,ROW()-1,"")</f>
        <v/>
      </c>
    </row>
    <row r="661">
      <c r="A661" s="3" t="inlineStr">
        <is>
          <t>D0660</t>
        </is>
      </c>
      <c r="B661" s="3">
        <f>INDEX(Raw_Schedule!B:B,MATCH(A661,Raw_Schedule!A:A,0))</f>
        <v/>
      </c>
      <c r="C661" s="3">
        <f>INDEX(Raw_Schedule!C:C,MATCH(A661,Raw_Schedule!A:A,0))</f>
        <v/>
      </c>
      <c r="D661" s="3">
        <f>INDEX(Raw_Schedule!D:D,MATCH(A661,Raw_Schedule!A:A,0))</f>
        <v/>
      </c>
      <c r="E661" s="3">
        <f>INDEX(Raw_Schedule!E:E,MATCH(A661,Raw_Schedule!A:A,0))</f>
        <v/>
      </c>
      <c r="F661" s="3">
        <f>INDEX(Raw_Schedule!F:F,MATCH(A661,Raw_Schedule!A:A,0))</f>
        <v/>
      </c>
      <c r="G661" s="4">
        <f>INDEX(Raw_Schedule!G:G,MATCH(A661,Raw_Schedule!A:A,0))</f>
        <v/>
      </c>
      <c r="H661" s="5">
        <f>INDEX(Raw_Schedule!H:H,MATCH(A661,Raw_Schedule!A:A,0))</f>
        <v/>
      </c>
      <c r="I661" s="5">
        <f>SUMIFS(Raw_Payments!E:E,Raw_Payments!B:B,A661)</f>
        <v/>
      </c>
      <c r="J661" s="5">
        <f>H661-I661</f>
        <v/>
      </c>
      <c r="K661" s="3">
        <f>IF(J661&lt;=0.005,"PAID",IF(I661&gt;0,"PARTIAL","OVERDUE"))</f>
        <v/>
      </c>
      <c r="L661" s="4">
        <f>IF(COUNTIFS(Raw_Payments!B:B,A661)=0,"",SUMPRODUCT(MAX((Raw_Payments!B$2:B$1079=A661)*Raw_Payments!D$2:D$1079)))</f>
        <v/>
      </c>
      <c r="M661" s="3">
        <f>IF(K661="PAID",MAX(0,L661-G661),Guide!$B$3-G661)</f>
        <v/>
      </c>
      <c r="N661" s="3">
        <f>IF(J661&lt;=0.005,"COLLECTED",IF(M661&lt;=30,"1-30",IF(M661&lt;=60,"31-60",IF(M661&lt;=90,"61-90","90+"))))</f>
        <v/>
      </c>
      <c r="O661" s="3">
        <f>IF(N661="90+","LOST",IF(N661="61-90","ESCALATE",IF(N661="31-60","WATCH",IF(N661="1-30","MILD","OK"))))</f>
        <v/>
      </c>
      <c r="P661" s="3">
        <f>IF(J661&gt;0.005,ROW()-1,"")</f>
        <v/>
      </c>
    </row>
    <row r="662">
      <c r="A662" s="3" t="inlineStr">
        <is>
          <t>D0661</t>
        </is>
      </c>
      <c r="B662" s="3">
        <f>INDEX(Raw_Schedule!B:B,MATCH(A662,Raw_Schedule!A:A,0))</f>
        <v/>
      </c>
      <c r="C662" s="3">
        <f>INDEX(Raw_Schedule!C:C,MATCH(A662,Raw_Schedule!A:A,0))</f>
        <v/>
      </c>
      <c r="D662" s="3">
        <f>INDEX(Raw_Schedule!D:D,MATCH(A662,Raw_Schedule!A:A,0))</f>
        <v/>
      </c>
      <c r="E662" s="3">
        <f>INDEX(Raw_Schedule!E:E,MATCH(A662,Raw_Schedule!A:A,0))</f>
        <v/>
      </c>
      <c r="F662" s="3">
        <f>INDEX(Raw_Schedule!F:F,MATCH(A662,Raw_Schedule!A:A,0))</f>
        <v/>
      </c>
      <c r="G662" s="4">
        <f>INDEX(Raw_Schedule!G:G,MATCH(A662,Raw_Schedule!A:A,0))</f>
        <v/>
      </c>
      <c r="H662" s="5">
        <f>INDEX(Raw_Schedule!H:H,MATCH(A662,Raw_Schedule!A:A,0))</f>
        <v/>
      </c>
      <c r="I662" s="5">
        <f>SUMIFS(Raw_Payments!E:E,Raw_Payments!B:B,A662)</f>
        <v/>
      </c>
      <c r="J662" s="5">
        <f>H662-I662</f>
        <v/>
      </c>
      <c r="K662" s="3">
        <f>IF(J662&lt;=0.005,"PAID",IF(I662&gt;0,"PARTIAL","OVERDUE"))</f>
        <v/>
      </c>
      <c r="L662" s="4">
        <f>IF(COUNTIFS(Raw_Payments!B:B,A662)=0,"",SUMPRODUCT(MAX((Raw_Payments!B$2:B$1079=A662)*Raw_Payments!D$2:D$1079)))</f>
        <v/>
      </c>
      <c r="M662" s="3">
        <f>IF(K662="PAID",MAX(0,L662-G662),Guide!$B$3-G662)</f>
        <v/>
      </c>
      <c r="N662" s="3">
        <f>IF(J662&lt;=0.005,"COLLECTED",IF(M662&lt;=30,"1-30",IF(M662&lt;=60,"31-60",IF(M662&lt;=90,"61-90","90+"))))</f>
        <v/>
      </c>
      <c r="O662" s="3">
        <f>IF(N662="90+","LOST",IF(N662="61-90","ESCALATE",IF(N662="31-60","WATCH",IF(N662="1-30","MILD","OK"))))</f>
        <v/>
      </c>
      <c r="P662" s="3">
        <f>IF(J662&gt;0.005,ROW()-1,"")</f>
        <v/>
      </c>
    </row>
    <row r="663">
      <c r="A663" s="3" t="inlineStr">
        <is>
          <t>D0662</t>
        </is>
      </c>
      <c r="B663" s="3">
        <f>INDEX(Raw_Schedule!B:B,MATCH(A663,Raw_Schedule!A:A,0))</f>
        <v/>
      </c>
      <c r="C663" s="3">
        <f>INDEX(Raw_Schedule!C:C,MATCH(A663,Raw_Schedule!A:A,0))</f>
        <v/>
      </c>
      <c r="D663" s="3">
        <f>INDEX(Raw_Schedule!D:D,MATCH(A663,Raw_Schedule!A:A,0))</f>
        <v/>
      </c>
      <c r="E663" s="3">
        <f>INDEX(Raw_Schedule!E:E,MATCH(A663,Raw_Schedule!A:A,0))</f>
        <v/>
      </c>
      <c r="F663" s="3">
        <f>INDEX(Raw_Schedule!F:F,MATCH(A663,Raw_Schedule!A:A,0))</f>
        <v/>
      </c>
      <c r="G663" s="4">
        <f>INDEX(Raw_Schedule!G:G,MATCH(A663,Raw_Schedule!A:A,0))</f>
        <v/>
      </c>
      <c r="H663" s="5">
        <f>INDEX(Raw_Schedule!H:H,MATCH(A663,Raw_Schedule!A:A,0))</f>
        <v/>
      </c>
      <c r="I663" s="5">
        <f>SUMIFS(Raw_Payments!E:E,Raw_Payments!B:B,A663)</f>
        <v/>
      </c>
      <c r="J663" s="5">
        <f>H663-I663</f>
        <v/>
      </c>
      <c r="K663" s="3">
        <f>IF(J663&lt;=0.005,"PAID",IF(I663&gt;0,"PARTIAL","OVERDUE"))</f>
        <v/>
      </c>
      <c r="L663" s="4">
        <f>IF(COUNTIFS(Raw_Payments!B:B,A663)=0,"",SUMPRODUCT(MAX((Raw_Payments!B$2:B$1079=A663)*Raw_Payments!D$2:D$1079)))</f>
        <v/>
      </c>
      <c r="M663" s="3">
        <f>IF(K663="PAID",MAX(0,L663-G663),Guide!$B$3-G663)</f>
        <v/>
      </c>
      <c r="N663" s="3">
        <f>IF(J663&lt;=0.005,"COLLECTED",IF(M663&lt;=30,"1-30",IF(M663&lt;=60,"31-60",IF(M663&lt;=90,"61-90","90+"))))</f>
        <v/>
      </c>
      <c r="O663" s="3">
        <f>IF(N663="90+","LOST",IF(N663="61-90","ESCALATE",IF(N663="31-60","WATCH",IF(N663="1-30","MILD","OK"))))</f>
        <v/>
      </c>
      <c r="P663" s="3">
        <f>IF(J663&gt;0.005,ROW()-1,"")</f>
        <v/>
      </c>
    </row>
    <row r="664">
      <c r="A664" s="3" t="inlineStr">
        <is>
          <t>D0663</t>
        </is>
      </c>
      <c r="B664" s="3">
        <f>INDEX(Raw_Schedule!B:B,MATCH(A664,Raw_Schedule!A:A,0))</f>
        <v/>
      </c>
      <c r="C664" s="3">
        <f>INDEX(Raw_Schedule!C:C,MATCH(A664,Raw_Schedule!A:A,0))</f>
        <v/>
      </c>
      <c r="D664" s="3">
        <f>INDEX(Raw_Schedule!D:D,MATCH(A664,Raw_Schedule!A:A,0))</f>
        <v/>
      </c>
      <c r="E664" s="3">
        <f>INDEX(Raw_Schedule!E:E,MATCH(A664,Raw_Schedule!A:A,0))</f>
        <v/>
      </c>
      <c r="F664" s="3">
        <f>INDEX(Raw_Schedule!F:F,MATCH(A664,Raw_Schedule!A:A,0))</f>
        <v/>
      </c>
      <c r="G664" s="4">
        <f>INDEX(Raw_Schedule!G:G,MATCH(A664,Raw_Schedule!A:A,0))</f>
        <v/>
      </c>
      <c r="H664" s="5">
        <f>INDEX(Raw_Schedule!H:H,MATCH(A664,Raw_Schedule!A:A,0))</f>
        <v/>
      </c>
      <c r="I664" s="5">
        <f>SUMIFS(Raw_Payments!E:E,Raw_Payments!B:B,A664)</f>
        <v/>
      </c>
      <c r="J664" s="5">
        <f>H664-I664</f>
        <v/>
      </c>
      <c r="K664" s="3">
        <f>IF(J664&lt;=0.005,"PAID",IF(I664&gt;0,"PARTIAL","OVERDUE"))</f>
        <v/>
      </c>
      <c r="L664" s="4">
        <f>IF(COUNTIFS(Raw_Payments!B:B,A664)=0,"",SUMPRODUCT(MAX((Raw_Payments!B$2:B$1079=A664)*Raw_Payments!D$2:D$1079)))</f>
        <v/>
      </c>
      <c r="M664" s="3">
        <f>IF(K664="PAID",MAX(0,L664-G664),Guide!$B$3-G664)</f>
        <v/>
      </c>
      <c r="N664" s="3">
        <f>IF(J664&lt;=0.005,"COLLECTED",IF(M664&lt;=30,"1-30",IF(M664&lt;=60,"31-60",IF(M664&lt;=90,"61-90","90+"))))</f>
        <v/>
      </c>
      <c r="O664" s="3">
        <f>IF(N664="90+","LOST",IF(N664="61-90","ESCALATE",IF(N664="31-60","WATCH",IF(N664="1-30","MILD","OK"))))</f>
        <v/>
      </c>
      <c r="P664" s="3">
        <f>IF(J664&gt;0.005,ROW()-1,"")</f>
        <v/>
      </c>
    </row>
    <row r="665">
      <c r="A665" s="3" t="inlineStr">
        <is>
          <t>D0664</t>
        </is>
      </c>
      <c r="B665" s="3">
        <f>INDEX(Raw_Schedule!B:B,MATCH(A665,Raw_Schedule!A:A,0))</f>
        <v/>
      </c>
      <c r="C665" s="3">
        <f>INDEX(Raw_Schedule!C:C,MATCH(A665,Raw_Schedule!A:A,0))</f>
        <v/>
      </c>
      <c r="D665" s="3">
        <f>INDEX(Raw_Schedule!D:D,MATCH(A665,Raw_Schedule!A:A,0))</f>
        <v/>
      </c>
      <c r="E665" s="3">
        <f>INDEX(Raw_Schedule!E:E,MATCH(A665,Raw_Schedule!A:A,0))</f>
        <v/>
      </c>
      <c r="F665" s="3">
        <f>INDEX(Raw_Schedule!F:F,MATCH(A665,Raw_Schedule!A:A,0))</f>
        <v/>
      </c>
      <c r="G665" s="4">
        <f>INDEX(Raw_Schedule!G:G,MATCH(A665,Raw_Schedule!A:A,0))</f>
        <v/>
      </c>
      <c r="H665" s="5">
        <f>INDEX(Raw_Schedule!H:H,MATCH(A665,Raw_Schedule!A:A,0))</f>
        <v/>
      </c>
      <c r="I665" s="5">
        <f>SUMIFS(Raw_Payments!E:E,Raw_Payments!B:B,A665)</f>
        <v/>
      </c>
      <c r="J665" s="5">
        <f>H665-I665</f>
        <v/>
      </c>
      <c r="K665" s="3">
        <f>IF(J665&lt;=0.005,"PAID",IF(I665&gt;0,"PARTIAL","OVERDUE"))</f>
        <v/>
      </c>
      <c r="L665" s="4">
        <f>IF(COUNTIFS(Raw_Payments!B:B,A665)=0,"",SUMPRODUCT(MAX((Raw_Payments!B$2:B$1079=A665)*Raw_Payments!D$2:D$1079)))</f>
        <v/>
      </c>
      <c r="M665" s="3">
        <f>IF(K665="PAID",MAX(0,L665-G665),Guide!$B$3-G665)</f>
        <v/>
      </c>
      <c r="N665" s="3">
        <f>IF(J665&lt;=0.005,"COLLECTED",IF(M665&lt;=30,"1-30",IF(M665&lt;=60,"31-60",IF(M665&lt;=90,"61-90","90+"))))</f>
        <v/>
      </c>
      <c r="O665" s="3">
        <f>IF(N665="90+","LOST",IF(N665="61-90","ESCALATE",IF(N665="31-60","WATCH",IF(N665="1-30","MILD","OK"))))</f>
        <v/>
      </c>
      <c r="P665" s="3">
        <f>IF(J665&gt;0.005,ROW()-1,"")</f>
        <v/>
      </c>
    </row>
    <row r="666">
      <c r="A666" s="3" t="inlineStr">
        <is>
          <t>D0665</t>
        </is>
      </c>
      <c r="B666" s="3">
        <f>INDEX(Raw_Schedule!B:B,MATCH(A666,Raw_Schedule!A:A,0))</f>
        <v/>
      </c>
      <c r="C666" s="3">
        <f>INDEX(Raw_Schedule!C:C,MATCH(A666,Raw_Schedule!A:A,0))</f>
        <v/>
      </c>
      <c r="D666" s="3">
        <f>INDEX(Raw_Schedule!D:D,MATCH(A666,Raw_Schedule!A:A,0))</f>
        <v/>
      </c>
      <c r="E666" s="3">
        <f>INDEX(Raw_Schedule!E:E,MATCH(A666,Raw_Schedule!A:A,0))</f>
        <v/>
      </c>
      <c r="F666" s="3">
        <f>INDEX(Raw_Schedule!F:F,MATCH(A666,Raw_Schedule!A:A,0))</f>
        <v/>
      </c>
      <c r="G666" s="4">
        <f>INDEX(Raw_Schedule!G:G,MATCH(A666,Raw_Schedule!A:A,0))</f>
        <v/>
      </c>
      <c r="H666" s="5">
        <f>INDEX(Raw_Schedule!H:H,MATCH(A666,Raw_Schedule!A:A,0))</f>
        <v/>
      </c>
      <c r="I666" s="5">
        <f>SUMIFS(Raw_Payments!E:E,Raw_Payments!B:B,A666)</f>
        <v/>
      </c>
      <c r="J666" s="5">
        <f>H666-I666</f>
        <v/>
      </c>
      <c r="K666" s="3">
        <f>IF(J666&lt;=0.005,"PAID",IF(I666&gt;0,"PARTIAL","OVERDUE"))</f>
        <v/>
      </c>
      <c r="L666" s="4">
        <f>IF(COUNTIFS(Raw_Payments!B:B,A666)=0,"",SUMPRODUCT(MAX((Raw_Payments!B$2:B$1079=A666)*Raw_Payments!D$2:D$1079)))</f>
        <v/>
      </c>
      <c r="M666" s="3">
        <f>IF(K666="PAID",MAX(0,L666-G666),Guide!$B$3-G666)</f>
        <v/>
      </c>
      <c r="N666" s="3">
        <f>IF(J666&lt;=0.005,"COLLECTED",IF(M666&lt;=30,"1-30",IF(M666&lt;=60,"31-60",IF(M666&lt;=90,"61-90","90+"))))</f>
        <v/>
      </c>
      <c r="O666" s="3">
        <f>IF(N666="90+","LOST",IF(N666="61-90","ESCALATE",IF(N666="31-60","WATCH",IF(N666="1-30","MILD","OK"))))</f>
        <v/>
      </c>
      <c r="P666" s="3">
        <f>IF(J666&gt;0.005,ROW()-1,"")</f>
        <v/>
      </c>
    </row>
    <row r="667">
      <c r="A667" s="3" t="inlineStr">
        <is>
          <t>D0666</t>
        </is>
      </c>
      <c r="B667" s="3">
        <f>INDEX(Raw_Schedule!B:B,MATCH(A667,Raw_Schedule!A:A,0))</f>
        <v/>
      </c>
      <c r="C667" s="3">
        <f>INDEX(Raw_Schedule!C:C,MATCH(A667,Raw_Schedule!A:A,0))</f>
        <v/>
      </c>
      <c r="D667" s="3">
        <f>INDEX(Raw_Schedule!D:D,MATCH(A667,Raw_Schedule!A:A,0))</f>
        <v/>
      </c>
      <c r="E667" s="3">
        <f>INDEX(Raw_Schedule!E:E,MATCH(A667,Raw_Schedule!A:A,0))</f>
        <v/>
      </c>
      <c r="F667" s="3">
        <f>INDEX(Raw_Schedule!F:F,MATCH(A667,Raw_Schedule!A:A,0))</f>
        <v/>
      </c>
      <c r="G667" s="4">
        <f>INDEX(Raw_Schedule!G:G,MATCH(A667,Raw_Schedule!A:A,0))</f>
        <v/>
      </c>
      <c r="H667" s="5">
        <f>INDEX(Raw_Schedule!H:H,MATCH(A667,Raw_Schedule!A:A,0))</f>
        <v/>
      </c>
      <c r="I667" s="5">
        <f>SUMIFS(Raw_Payments!E:E,Raw_Payments!B:B,A667)</f>
        <v/>
      </c>
      <c r="J667" s="5">
        <f>H667-I667</f>
        <v/>
      </c>
      <c r="K667" s="3">
        <f>IF(J667&lt;=0.005,"PAID",IF(I667&gt;0,"PARTIAL","OVERDUE"))</f>
        <v/>
      </c>
      <c r="L667" s="4">
        <f>IF(COUNTIFS(Raw_Payments!B:B,A667)=0,"",SUMPRODUCT(MAX((Raw_Payments!B$2:B$1079=A667)*Raw_Payments!D$2:D$1079)))</f>
        <v/>
      </c>
      <c r="M667" s="3">
        <f>IF(K667="PAID",MAX(0,L667-G667),Guide!$B$3-G667)</f>
        <v/>
      </c>
      <c r="N667" s="3">
        <f>IF(J667&lt;=0.005,"COLLECTED",IF(M667&lt;=30,"1-30",IF(M667&lt;=60,"31-60",IF(M667&lt;=90,"61-90","90+"))))</f>
        <v/>
      </c>
      <c r="O667" s="3">
        <f>IF(N667="90+","LOST",IF(N667="61-90","ESCALATE",IF(N667="31-60","WATCH",IF(N667="1-30","MILD","OK"))))</f>
        <v/>
      </c>
      <c r="P667" s="3">
        <f>IF(J667&gt;0.005,ROW()-1,"")</f>
        <v/>
      </c>
    </row>
    <row r="668">
      <c r="A668" s="3" t="inlineStr">
        <is>
          <t>D0667</t>
        </is>
      </c>
      <c r="B668" s="3">
        <f>INDEX(Raw_Schedule!B:B,MATCH(A668,Raw_Schedule!A:A,0))</f>
        <v/>
      </c>
      <c r="C668" s="3">
        <f>INDEX(Raw_Schedule!C:C,MATCH(A668,Raw_Schedule!A:A,0))</f>
        <v/>
      </c>
      <c r="D668" s="3">
        <f>INDEX(Raw_Schedule!D:D,MATCH(A668,Raw_Schedule!A:A,0))</f>
        <v/>
      </c>
      <c r="E668" s="3">
        <f>INDEX(Raw_Schedule!E:E,MATCH(A668,Raw_Schedule!A:A,0))</f>
        <v/>
      </c>
      <c r="F668" s="3">
        <f>INDEX(Raw_Schedule!F:F,MATCH(A668,Raw_Schedule!A:A,0))</f>
        <v/>
      </c>
      <c r="G668" s="4">
        <f>INDEX(Raw_Schedule!G:G,MATCH(A668,Raw_Schedule!A:A,0))</f>
        <v/>
      </c>
      <c r="H668" s="5">
        <f>INDEX(Raw_Schedule!H:H,MATCH(A668,Raw_Schedule!A:A,0))</f>
        <v/>
      </c>
      <c r="I668" s="5">
        <f>SUMIFS(Raw_Payments!E:E,Raw_Payments!B:B,A668)</f>
        <v/>
      </c>
      <c r="J668" s="5">
        <f>H668-I668</f>
        <v/>
      </c>
      <c r="K668" s="3">
        <f>IF(J668&lt;=0.005,"PAID",IF(I668&gt;0,"PARTIAL","OVERDUE"))</f>
        <v/>
      </c>
      <c r="L668" s="4">
        <f>IF(COUNTIFS(Raw_Payments!B:B,A668)=0,"",SUMPRODUCT(MAX((Raw_Payments!B$2:B$1079=A668)*Raw_Payments!D$2:D$1079)))</f>
        <v/>
      </c>
      <c r="M668" s="3">
        <f>IF(K668="PAID",MAX(0,L668-G668),Guide!$B$3-G668)</f>
        <v/>
      </c>
      <c r="N668" s="3">
        <f>IF(J668&lt;=0.005,"COLLECTED",IF(M668&lt;=30,"1-30",IF(M668&lt;=60,"31-60",IF(M668&lt;=90,"61-90","90+"))))</f>
        <v/>
      </c>
      <c r="O668" s="3">
        <f>IF(N668="90+","LOST",IF(N668="61-90","ESCALATE",IF(N668="31-60","WATCH",IF(N668="1-30","MILD","OK"))))</f>
        <v/>
      </c>
      <c r="P668" s="3">
        <f>IF(J668&gt;0.005,ROW()-1,"")</f>
        <v/>
      </c>
    </row>
    <row r="669">
      <c r="A669" s="3" t="inlineStr">
        <is>
          <t>D0668</t>
        </is>
      </c>
      <c r="B669" s="3">
        <f>INDEX(Raw_Schedule!B:B,MATCH(A669,Raw_Schedule!A:A,0))</f>
        <v/>
      </c>
      <c r="C669" s="3">
        <f>INDEX(Raw_Schedule!C:C,MATCH(A669,Raw_Schedule!A:A,0))</f>
        <v/>
      </c>
      <c r="D669" s="3">
        <f>INDEX(Raw_Schedule!D:D,MATCH(A669,Raw_Schedule!A:A,0))</f>
        <v/>
      </c>
      <c r="E669" s="3">
        <f>INDEX(Raw_Schedule!E:E,MATCH(A669,Raw_Schedule!A:A,0))</f>
        <v/>
      </c>
      <c r="F669" s="3">
        <f>INDEX(Raw_Schedule!F:F,MATCH(A669,Raw_Schedule!A:A,0))</f>
        <v/>
      </c>
      <c r="G669" s="4">
        <f>INDEX(Raw_Schedule!G:G,MATCH(A669,Raw_Schedule!A:A,0))</f>
        <v/>
      </c>
      <c r="H669" s="5">
        <f>INDEX(Raw_Schedule!H:H,MATCH(A669,Raw_Schedule!A:A,0))</f>
        <v/>
      </c>
      <c r="I669" s="5">
        <f>SUMIFS(Raw_Payments!E:E,Raw_Payments!B:B,A669)</f>
        <v/>
      </c>
      <c r="J669" s="5">
        <f>H669-I669</f>
        <v/>
      </c>
      <c r="K669" s="3">
        <f>IF(J669&lt;=0.005,"PAID",IF(I669&gt;0,"PARTIAL","OVERDUE"))</f>
        <v/>
      </c>
      <c r="L669" s="4">
        <f>IF(COUNTIFS(Raw_Payments!B:B,A669)=0,"",SUMPRODUCT(MAX((Raw_Payments!B$2:B$1079=A669)*Raw_Payments!D$2:D$1079)))</f>
        <v/>
      </c>
      <c r="M669" s="3">
        <f>IF(K669="PAID",MAX(0,L669-G669),Guide!$B$3-G669)</f>
        <v/>
      </c>
      <c r="N669" s="3">
        <f>IF(J669&lt;=0.005,"COLLECTED",IF(M669&lt;=30,"1-30",IF(M669&lt;=60,"31-60",IF(M669&lt;=90,"61-90","90+"))))</f>
        <v/>
      </c>
      <c r="O669" s="3">
        <f>IF(N669="90+","LOST",IF(N669="61-90","ESCALATE",IF(N669="31-60","WATCH",IF(N669="1-30","MILD","OK"))))</f>
        <v/>
      </c>
      <c r="P669" s="3">
        <f>IF(J669&gt;0.005,ROW()-1,"")</f>
        <v/>
      </c>
    </row>
    <row r="670">
      <c r="A670" s="3" t="inlineStr">
        <is>
          <t>D0669</t>
        </is>
      </c>
      <c r="B670" s="3">
        <f>INDEX(Raw_Schedule!B:B,MATCH(A670,Raw_Schedule!A:A,0))</f>
        <v/>
      </c>
      <c r="C670" s="3">
        <f>INDEX(Raw_Schedule!C:C,MATCH(A670,Raw_Schedule!A:A,0))</f>
        <v/>
      </c>
      <c r="D670" s="3">
        <f>INDEX(Raw_Schedule!D:D,MATCH(A670,Raw_Schedule!A:A,0))</f>
        <v/>
      </c>
      <c r="E670" s="3">
        <f>INDEX(Raw_Schedule!E:E,MATCH(A670,Raw_Schedule!A:A,0))</f>
        <v/>
      </c>
      <c r="F670" s="3">
        <f>INDEX(Raw_Schedule!F:F,MATCH(A670,Raw_Schedule!A:A,0))</f>
        <v/>
      </c>
      <c r="G670" s="4">
        <f>INDEX(Raw_Schedule!G:G,MATCH(A670,Raw_Schedule!A:A,0))</f>
        <v/>
      </c>
      <c r="H670" s="5">
        <f>INDEX(Raw_Schedule!H:H,MATCH(A670,Raw_Schedule!A:A,0))</f>
        <v/>
      </c>
      <c r="I670" s="5">
        <f>SUMIFS(Raw_Payments!E:E,Raw_Payments!B:B,A670)</f>
        <v/>
      </c>
      <c r="J670" s="5">
        <f>H670-I670</f>
        <v/>
      </c>
      <c r="K670" s="3">
        <f>IF(J670&lt;=0.005,"PAID",IF(I670&gt;0,"PARTIAL","OVERDUE"))</f>
        <v/>
      </c>
      <c r="L670" s="4">
        <f>IF(COUNTIFS(Raw_Payments!B:B,A670)=0,"",SUMPRODUCT(MAX((Raw_Payments!B$2:B$1079=A670)*Raw_Payments!D$2:D$1079)))</f>
        <v/>
      </c>
      <c r="M670" s="3">
        <f>IF(K670="PAID",MAX(0,L670-G670),Guide!$B$3-G670)</f>
        <v/>
      </c>
      <c r="N670" s="3">
        <f>IF(J670&lt;=0.005,"COLLECTED",IF(M670&lt;=30,"1-30",IF(M670&lt;=60,"31-60",IF(M670&lt;=90,"61-90","90+"))))</f>
        <v/>
      </c>
      <c r="O670" s="3">
        <f>IF(N670="90+","LOST",IF(N670="61-90","ESCALATE",IF(N670="31-60","WATCH",IF(N670="1-30","MILD","OK"))))</f>
        <v/>
      </c>
      <c r="P670" s="3">
        <f>IF(J670&gt;0.005,ROW()-1,"")</f>
        <v/>
      </c>
    </row>
    <row r="671">
      <c r="A671" s="3" t="inlineStr">
        <is>
          <t>D0670</t>
        </is>
      </c>
      <c r="B671" s="3">
        <f>INDEX(Raw_Schedule!B:B,MATCH(A671,Raw_Schedule!A:A,0))</f>
        <v/>
      </c>
      <c r="C671" s="3">
        <f>INDEX(Raw_Schedule!C:C,MATCH(A671,Raw_Schedule!A:A,0))</f>
        <v/>
      </c>
      <c r="D671" s="3">
        <f>INDEX(Raw_Schedule!D:D,MATCH(A671,Raw_Schedule!A:A,0))</f>
        <v/>
      </c>
      <c r="E671" s="3">
        <f>INDEX(Raw_Schedule!E:E,MATCH(A671,Raw_Schedule!A:A,0))</f>
        <v/>
      </c>
      <c r="F671" s="3">
        <f>INDEX(Raw_Schedule!F:F,MATCH(A671,Raw_Schedule!A:A,0))</f>
        <v/>
      </c>
      <c r="G671" s="4">
        <f>INDEX(Raw_Schedule!G:G,MATCH(A671,Raw_Schedule!A:A,0))</f>
        <v/>
      </c>
      <c r="H671" s="5">
        <f>INDEX(Raw_Schedule!H:H,MATCH(A671,Raw_Schedule!A:A,0))</f>
        <v/>
      </c>
      <c r="I671" s="5">
        <f>SUMIFS(Raw_Payments!E:E,Raw_Payments!B:B,A671)</f>
        <v/>
      </c>
      <c r="J671" s="5">
        <f>H671-I671</f>
        <v/>
      </c>
      <c r="K671" s="3">
        <f>IF(J671&lt;=0.005,"PAID",IF(I671&gt;0,"PARTIAL","OVERDUE"))</f>
        <v/>
      </c>
      <c r="L671" s="4">
        <f>IF(COUNTIFS(Raw_Payments!B:B,A671)=0,"",SUMPRODUCT(MAX((Raw_Payments!B$2:B$1079=A671)*Raw_Payments!D$2:D$1079)))</f>
        <v/>
      </c>
      <c r="M671" s="3">
        <f>IF(K671="PAID",MAX(0,L671-G671),Guide!$B$3-G671)</f>
        <v/>
      </c>
      <c r="N671" s="3">
        <f>IF(J671&lt;=0.005,"COLLECTED",IF(M671&lt;=30,"1-30",IF(M671&lt;=60,"31-60",IF(M671&lt;=90,"61-90","90+"))))</f>
        <v/>
      </c>
      <c r="O671" s="3">
        <f>IF(N671="90+","LOST",IF(N671="61-90","ESCALATE",IF(N671="31-60","WATCH",IF(N671="1-30","MILD","OK"))))</f>
        <v/>
      </c>
      <c r="P671" s="3">
        <f>IF(J671&gt;0.005,ROW()-1,"")</f>
        <v/>
      </c>
    </row>
    <row r="672">
      <c r="A672" s="3" t="inlineStr">
        <is>
          <t>D0671</t>
        </is>
      </c>
      <c r="B672" s="3">
        <f>INDEX(Raw_Schedule!B:B,MATCH(A672,Raw_Schedule!A:A,0))</f>
        <v/>
      </c>
      <c r="C672" s="3">
        <f>INDEX(Raw_Schedule!C:C,MATCH(A672,Raw_Schedule!A:A,0))</f>
        <v/>
      </c>
      <c r="D672" s="3">
        <f>INDEX(Raw_Schedule!D:D,MATCH(A672,Raw_Schedule!A:A,0))</f>
        <v/>
      </c>
      <c r="E672" s="3">
        <f>INDEX(Raw_Schedule!E:E,MATCH(A672,Raw_Schedule!A:A,0))</f>
        <v/>
      </c>
      <c r="F672" s="3">
        <f>INDEX(Raw_Schedule!F:F,MATCH(A672,Raw_Schedule!A:A,0))</f>
        <v/>
      </c>
      <c r="G672" s="4">
        <f>INDEX(Raw_Schedule!G:G,MATCH(A672,Raw_Schedule!A:A,0))</f>
        <v/>
      </c>
      <c r="H672" s="5">
        <f>INDEX(Raw_Schedule!H:H,MATCH(A672,Raw_Schedule!A:A,0))</f>
        <v/>
      </c>
      <c r="I672" s="5">
        <f>SUMIFS(Raw_Payments!E:E,Raw_Payments!B:B,A672)</f>
        <v/>
      </c>
      <c r="J672" s="5">
        <f>H672-I672</f>
        <v/>
      </c>
      <c r="K672" s="3">
        <f>IF(J672&lt;=0.005,"PAID",IF(I672&gt;0,"PARTIAL","OVERDUE"))</f>
        <v/>
      </c>
      <c r="L672" s="4">
        <f>IF(COUNTIFS(Raw_Payments!B:B,A672)=0,"",SUMPRODUCT(MAX((Raw_Payments!B$2:B$1079=A672)*Raw_Payments!D$2:D$1079)))</f>
        <v/>
      </c>
      <c r="M672" s="3">
        <f>IF(K672="PAID",MAX(0,L672-G672),Guide!$B$3-G672)</f>
        <v/>
      </c>
      <c r="N672" s="3">
        <f>IF(J672&lt;=0.005,"COLLECTED",IF(M672&lt;=30,"1-30",IF(M672&lt;=60,"31-60",IF(M672&lt;=90,"61-90","90+"))))</f>
        <v/>
      </c>
      <c r="O672" s="3">
        <f>IF(N672="90+","LOST",IF(N672="61-90","ESCALATE",IF(N672="31-60","WATCH",IF(N672="1-30","MILD","OK"))))</f>
        <v/>
      </c>
      <c r="P672" s="3">
        <f>IF(J672&gt;0.005,ROW()-1,"")</f>
        <v/>
      </c>
    </row>
    <row r="673">
      <c r="A673" s="3" t="inlineStr">
        <is>
          <t>D0672</t>
        </is>
      </c>
      <c r="B673" s="3">
        <f>INDEX(Raw_Schedule!B:B,MATCH(A673,Raw_Schedule!A:A,0))</f>
        <v/>
      </c>
      <c r="C673" s="3">
        <f>INDEX(Raw_Schedule!C:C,MATCH(A673,Raw_Schedule!A:A,0))</f>
        <v/>
      </c>
      <c r="D673" s="3">
        <f>INDEX(Raw_Schedule!D:D,MATCH(A673,Raw_Schedule!A:A,0))</f>
        <v/>
      </c>
      <c r="E673" s="3">
        <f>INDEX(Raw_Schedule!E:E,MATCH(A673,Raw_Schedule!A:A,0))</f>
        <v/>
      </c>
      <c r="F673" s="3">
        <f>INDEX(Raw_Schedule!F:F,MATCH(A673,Raw_Schedule!A:A,0))</f>
        <v/>
      </c>
      <c r="G673" s="4">
        <f>INDEX(Raw_Schedule!G:G,MATCH(A673,Raw_Schedule!A:A,0))</f>
        <v/>
      </c>
      <c r="H673" s="5">
        <f>INDEX(Raw_Schedule!H:H,MATCH(A673,Raw_Schedule!A:A,0))</f>
        <v/>
      </c>
      <c r="I673" s="5">
        <f>SUMIFS(Raw_Payments!E:E,Raw_Payments!B:B,A673)</f>
        <v/>
      </c>
      <c r="J673" s="5">
        <f>H673-I673</f>
        <v/>
      </c>
      <c r="K673" s="3">
        <f>IF(J673&lt;=0.005,"PAID",IF(I673&gt;0,"PARTIAL","OVERDUE"))</f>
        <v/>
      </c>
      <c r="L673" s="4">
        <f>IF(COUNTIFS(Raw_Payments!B:B,A673)=0,"",SUMPRODUCT(MAX((Raw_Payments!B$2:B$1079=A673)*Raw_Payments!D$2:D$1079)))</f>
        <v/>
      </c>
      <c r="M673" s="3">
        <f>IF(K673="PAID",MAX(0,L673-G673),Guide!$B$3-G673)</f>
        <v/>
      </c>
      <c r="N673" s="3">
        <f>IF(J673&lt;=0.005,"COLLECTED",IF(M673&lt;=30,"1-30",IF(M673&lt;=60,"31-60",IF(M673&lt;=90,"61-90","90+"))))</f>
        <v/>
      </c>
      <c r="O673" s="3">
        <f>IF(N673="90+","LOST",IF(N673="61-90","ESCALATE",IF(N673="31-60","WATCH",IF(N673="1-30","MILD","OK"))))</f>
        <v/>
      </c>
      <c r="P673" s="3">
        <f>IF(J673&gt;0.005,ROW()-1,"")</f>
        <v/>
      </c>
    </row>
    <row r="674">
      <c r="A674" s="3" t="inlineStr">
        <is>
          <t>D0673</t>
        </is>
      </c>
      <c r="B674" s="3">
        <f>INDEX(Raw_Schedule!B:B,MATCH(A674,Raw_Schedule!A:A,0))</f>
        <v/>
      </c>
      <c r="C674" s="3">
        <f>INDEX(Raw_Schedule!C:C,MATCH(A674,Raw_Schedule!A:A,0))</f>
        <v/>
      </c>
      <c r="D674" s="3">
        <f>INDEX(Raw_Schedule!D:D,MATCH(A674,Raw_Schedule!A:A,0))</f>
        <v/>
      </c>
      <c r="E674" s="3">
        <f>INDEX(Raw_Schedule!E:E,MATCH(A674,Raw_Schedule!A:A,0))</f>
        <v/>
      </c>
      <c r="F674" s="3">
        <f>INDEX(Raw_Schedule!F:F,MATCH(A674,Raw_Schedule!A:A,0))</f>
        <v/>
      </c>
      <c r="G674" s="4">
        <f>INDEX(Raw_Schedule!G:G,MATCH(A674,Raw_Schedule!A:A,0))</f>
        <v/>
      </c>
      <c r="H674" s="5">
        <f>INDEX(Raw_Schedule!H:H,MATCH(A674,Raw_Schedule!A:A,0))</f>
        <v/>
      </c>
      <c r="I674" s="5">
        <f>SUMIFS(Raw_Payments!E:E,Raw_Payments!B:B,A674)</f>
        <v/>
      </c>
      <c r="J674" s="5">
        <f>H674-I674</f>
        <v/>
      </c>
      <c r="K674" s="3">
        <f>IF(J674&lt;=0.005,"PAID",IF(I674&gt;0,"PARTIAL","OVERDUE"))</f>
        <v/>
      </c>
      <c r="L674" s="4">
        <f>IF(COUNTIFS(Raw_Payments!B:B,A674)=0,"",SUMPRODUCT(MAX((Raw_Payments!B$2:B$1079=A674)*Raw_Payments!D$2:D$1079)))</f>
        <v/>
      </c>
      <c r="M674" s="3">
        <f>IF(K674="PAID",MAX(0,L674-G674),Guide!$B$3-G674)</f>
        <v/>
      </c>
      <c r="N674" s="3">
        <f>IF(J674&lt;=0.005,"COLLECTED",IF(M674&lt;=30,"1-30",IF(M674&lt;=60,"31-60",IF(M674&lt;=90,"61-90","90+"))))</f>
        <v/>
      </c>
      <c r="O674" s="3">
        <f>IF(N674="90+","LOST",IF(N674="61-90","ESCALATE",IF(N674="31-60","WATCH",IF(N674="1-30","MILD","OK"))))</f>
        <v/>
      </c>
      <c r="P674" s="3">
        <f>IF(J674&gt;0.005,ROW()-1,"")</f>
        <v/>
      </c>
    </row>
    <row r="675">
      <c r="A675" s="3" t="inlineStr">
        <is>
          <t>D0674</t>
        </is>
      </c>
      <c r="B675" s="3">
        <f>INDEX(Raw_Schedule!B:B,MATCH(A675,Raw_Schedule!A:A,0))</f>
        <v/>
      </c>
      <c r="C675" s="3">
        <f>INDEX(Raw_Schedule!C:C,MATCH(A675,Raw_Schedule!A:A,0))</f>
        <v/>
      </c>
      <c r="D675" s="3">
        <f>INDEX(Raw_Schedule!D:D,MATCH(A675,Raw_Schedule!A:A,0))</f>
        <v/>
      </c>
      <c r="E675" s="3">
        <f>INDEX(Raw_Schedule!E:E,MATCH(A675,Raw_Schedule!A:A,0))</f>
        <v/>
      </c>
      <c r="F675" s="3">
        <f>INDEX(Raw_Schedule!F:F,MATCH(A675,Raw_Schedule!A:A,0))</f>
        <v/>
      </c>
      <c r="G675" s="4">
        <f>INDEX(Raw_Schedule!G:G,MATCH(A675,Raw_Schedule!A:A,0))</f>
        <v/>
      </c>
      <c r="H675" s="5">
        <f>INDEX(Raw_Schedule!H:H,MATCH(A675,Raw_Schedule!A:A,0))</f>
        <v/>
      </c>
      <c r="I675" s="5">
        <f>SUMIFS(Raw_Payments!E:E,Raw_Payments!B:B,A675)</f>
        <v/>
      </c>
      <c r="J675" s="5">
        <f>H675-I675</f>
        <v/>
      </c>
      <c r="K675" s="3">
        <f>IF(J675&lt;=0.005,"PAID",IF(I675&gt;0,"PARTIAL","OVERDUE"))</f>
        <v/>
      </c>
      <c r="L675" s="4">
        <f>IF(COUNTIFS(Raw_Payments!B:B,A675)=0,"",SUMPRODUCT(MAX((Raw_Payments!B$2:B$1079=A675)*Raw_Payments!D$2:D$1079)))</f>
        <v/>
      </c>
      <c r="M675" s="3">
        <f>IF(K675="PAID",MAX(0,L675-G675),Guide!$B$3-G675)</f>
        <v/>
      </c>
      <c r="N675" s="3">
        <f>IF(J675&lt;=0.005,"COLLECTED",IF(M675&lt;=30,"1-30",IF(M675&lt;=60,"31-60",IF(M675&lt;=90,"61-90","90+"))))</f>
        <v/>
      </c>
      <c r="O675" s="3">
        <f>IF(N675="90+","LOST",IF(N675="61-90","ESCALATE",IF(N675="31-60","WATCH",IF(N675="1-30","MILD","OK"))))</f>
        <v/>
      </c>
      <c r="P675" s="3">
        <f>IF(J675&gt;0.005,ROW()-1,"")</f>
        <v/>
      </c>
    </row>
    <row r="676">
      <c r="A676" s="3" t="inlineStr">
        <is>
          <t>D0675</t>
        </is>
      </c>
      <c r="B676" s="3">
        <f>INDEX(Raw_Schedule!B:B,MATCH(A676,Raw_Schedule!A:A,0))</f>
        <v/>
      </c>
      <c r="C676" s="3">
        <f>INDEX(Raw_Schedule!C:C,MATCH(A676,Raw_Schedule!A:A,0))</f>
        <v/>
      </c>
      <c r="D676" s="3">
        <f>INDEX(Raw_Schedule!D:D,MATCH(A676,Raw_Schedule!A:A,0))</f>
        <v/>
      </c>
      <c r="E676" s="3">
        <f>INDEX(Raw_Schedule!E:E,MATCH(A676,Raw_Schedule!A:A,0))</f>
        <v/>
      </c>
      <c r="F676" s="3">
        <f>INDEX(Raw_Schedule!F:F,MATCH(A676,Raw_Schedule!A:A,0))</f>
        <v/>
      </c>
      <c r="G676" s="4">
        <f>INDEX(Raw_Schedule!G:G,MATCH(A676,Raw_Schedule!A:A,0))</f>
        <v/>
      </c>
      <c r="H676" s="5">
        <f>INDEX(Raw_Schedule!H:H,MATCH(A676,Raw_Schedule!A:A,0))</f>
        <v/>
      </c>
      <c r="I676" s="5">
        <f>SUMIFS(Raw_Payments!E:E,Raw_Payments!B:B,A676)</f>
        <v/>
      </c>
      <c r="J676" s="5">
        <f>H676-I676</f>
        <v/>
      </c>
      <c r="K676" s="3">
        <f>IF(J676&lt;=0.005,"PAID",IF(I676&gt;0,"PARTIAL","OVERDUE"))</f>
        <v/>
      </c>
      <c r="L676" s="4">
        <f>IF(COUNTIFS(Raw_Payments!B:B,A676)=0,"",SUMPRODUCT(MAX((Raw_Payments!B$2:B$1079=A676)*Raw_Payments!D$2:D$1079)))</f>
        <v/>
      </c>
      <c r="M676" s="3">
        <f>IF(K676="PAID",MAX(0,L676-G676),Guide!$B$3-G676)</f>
        <v/>
      </c>
      <c r="N676" s="3">
        <f>IF(J676&lt;=0.005,"COLLECTED",IF(M676&lt;=30,"1-30",IF(M676&lt;=60,"31-60",IF(M676&lt;=90,"61-90","90+"))))</f>
        <v/>
      </c>
      <c r="O676" s="3">
        <f>IF(N676="90+","LOST",IF(N676="61-90","ESCALATE",IF(N676="31-60","WATCH",IF(N676="1-30","MILD","OK"))))</f>
        <v/>
      </c>
      <c r="P676" s="3">
        <f>IF(J676&gt;0.005,ROW()-1,"")</f>
        <v/>
      </c>
    </row>
    <row r="677">
      <c r="A677" s="3" t="inlineStr">
        <is>
          <t>D0676</t>
        </is>
      </c>
      <c r="B677" s="3">
        <f>INDEX(Raw_Schedule!B:B,MATCH(A677,Raw_Schedule!A:A,0))</f>
        <v/>
      </c>
      <c r="C677" s="3">
        <f>INDEX(Raw_Schedule!C:C,MATCH(A677,Raw_Schedule!A:A,0))</f>
        <v/>
      </c>
      <c r="D677" s="3">
        <f>INDEX(Raw_Schedule!D:D,MATCH(A677,Raw_Schedule!A:A,0))</f>
        <v/>
      </c>
      <c r="E677" s="3">
        <f>INDEX(Raw_Schedule!E:E,MATCH(A677,Raw_Schedule!A:A,0))</f>
        <v/>
      </c>
      <c r="F677" s="3">
        <f>INDEX(Raw_Schedule!F:F,MATCH(A677,Raw_Schedule!A:A,0))</f>
        <v/>
      </c>
      <c r="G677" s="4">
        <f>INDEX(Raw_Schedule!G:G,MATCH(A677,Raw_Schedule!A:A,0))</f>
        <v/>
      </c>
      <c r="H677" s="5">
        <f>INDEX(Raw_Schedule!H:H,MATCH(A677,Raw_Schedule!A:A,0))</f>
        <v/>
      </c>
      <c r="I677" s="5">
        <f>SUMIFS(Raw_Payments!E:E,Raw_Payments!B:B,A677)</f>
        <v/>
      </c>
      <c r="J677" s="5">
        <f>H677-I677</f>
        <v/>
      </c>
      <c r="K677" s="3">
        <f>IF(J677&lt;=0.005,"PAID",IF(I677&gt;0,"PARTIAL","OVERDUE"))</f>
        <v/>
      </c>
      <c r="L677" s="4">
        <f>IF(COUNTIFS(Raw_Payments!B:B,A677)=0,"",SUMPRODUCT(MAX((Raw_Payments!B$2:B$1079=A677)*Raw_Payments!D$2:D$1079)))</f>
        <v/>
      </c>
      <c r="M677" s="3">
        <f>IF(K677="PAID",MAX(0,L677-G677),Guide!$B$3-G677)</f>
        <v/>
      </c>
      <c r="N677" s="3">
        <f>IF(J677&lt;=0.005,"COLLECTED",IF(M677&lt;=30,"1-30",IF(M677&lt;=60,"31-60",IF(M677&lt;=90,"61-90","90+"))))</f>
        <v/>
      </c>
      <c r="O677" s="3">
        <f>IF(N677="90+","LOST",IF(N677="61-90","ESCALATE",IF(N677="31-60","WATCH",IF(N677="1-30","MILD","OK"))))</f>
        <v/>
      </c>
      <c r="P677" s="3">
        <f>IF(J677&gt;0.005,ROW()-1,"")</f>
        <v/>
      </c>
    </row>
    <row r="678">
      <c r="A678" s="3" t="inlineStr">
        <is>
          <t>D0677</t>
        </is>
      </c>
      <c r="B678" s="3">
        <f>INDEX(Raw_Schedule!B:B,MATCH(A678,Raw_Schedule!A:A,0))</f>
        <v/>
      </c>
      <c r="C678" s="3">
        <f>INDEX(Raw_Schedule!C:C,MATCH(A678,Raw_Schedule!A:A,0))</f>
        <v/>
      </c>
      <c r="D678" s="3">
        <f>INDEX(Raw_Schedule!D:D,MATCH(A678,Raw_Schedule!A:A,0))</f>
        <v/>
      </c>
      <c r="E678" s="3">
        <f>INDEX(Raw_Schedule!E:E,MATCH(A678,Raw_Schedule!A:A,0))</f>
        <v/>
      </c>
      <c r="F678" s="3">
        <f>INDEX(Raw_Schedule!F:F,MATCH(A678,Raw_Schedule!A:A,0))</f>
        <v/>
      </c>
      <c r="G678" s="4">
        <f>INDEX(Raw_Schedule!G:G,MATCH(A678,Raw_Schedule!A:A,0))</f>
        <v/>
      </c>
      <c r="H678" s="5">
        <f>INDEX(Raw_Schedule!H:H,MATCH(A678,Raw_Schedule!A:A,0))</f>
        <v/>
      </c>
      <c r="I678" s="5">
        <f>SUMIFS(Raw_Payments!E:E,Raw_Payments!B:B,A678)</f>
        <v/>
      </c>
      <c r="J678" s="5">
        <f>H678-I678</f>
        <v/>
      </c>
      <c r="K678" s="3">
        <f>IF(J678&lt;=0.005,"PAID",IF(I678&gt;0,"PARTIAL","OVERDUE"))</f>
        <v/>
      </c>
      <c r="L678" s="4">
        <f>IF(COUNTIFS(Raw_Payments!B:B,A678)=0,"",SUMPRODUCT(MAX((Raw_Payments!B$2:B$1079=A678)*Raw_Payments!D$2:D$1079)))</f>
        <v/>
      </c>
      <c r="M678" s="3">
        <f>IF(K678="PAID",MAX(0,L678-G678),Guide!$B$3-G678)</f>
        <v/>
      </c>
      <c r="N678" s="3">
        <f>IF(J678&lt;=0.005,"COLLECTED",IF(M678&lt;=30,"1-30",IF(M678&lt;=60,"31-60",IF(M678&lt;=90,"61-90","90+"))))</f>
        <v/>
      </c>
      <c r="O678" s="3">
        <f>IF(N678="90+","LOST",IF(N678="61-90","ESCALATE",IF(N678="31-60","WATCH",IF(N678="1-30","MILD","OK"))))</f>
        <v/>
      </c>
      <c r="P678" s="3">
        <f>IF(J678&gt;0.005,ROW()-1,"")</f>
        <v/>
      </c>
    </row>
    <row r="679">
      <c r="A679" s="3" t="inlineStr">
        <is>
          <t>D0678</t>
        </is>
      </c>
      <c r="B679" s="3">
        <f>INDEX(Raw_Schedule!B:B,MATCH(A679,Raw_Schedule!A:A,0))</f>
        <v/>
      </c>
      <c r="C679" s="3">
        <f>INDEX(Raw_Schedule!C:C,MATCH(A679,Raw_Schedule!A:A,0))</f>
        <v/>
      </c>
      <c r="D679" s="3">
        <f>INDEX(Raw_Schedule!D:D,MATCH(A679,Raw_Schedule!A:A,0))</f>
        <v/>
      </c>
      <c r="E679" s="3">
        <f>INDEX(Raw_Schedule!E:E,MATCH(A679,Raw_Schedule!A:A,0))</f>
        <v/>
      </c>
      <c r="F679" s="3">
        <f>INDEX(Raw_Schedule!F:F,MATCH(A679,Raw_Schedule!A:A,0))</f>
        <v/>
      </c>
      <c r="G679" s="4">
        <f>INDEX(Raw_Schedule!G:G,MATCH(A679,Raw_Schedule!A:A,0))</f>
        <v/>
      </c>
      <c r="H679" s="5">
        <f>INDEX(Raw_Schedule!H:H,MATCH(A679,Raw_Schedule!A:A,0))</f>
        <v/>
      </c>
      <c r="I679" s="5">
        <f>SUMIFS(Raw_Payments!E:E,Raw_Payments!B:B,A679)</f>
        <v/>
      </c>
      <c r="J679" s="5">
        <f>H679-I679</f>
        <v/>
      </c>
      <c r="K679" s="3">
        <f>IF(J679&lt;=0.005,"PAID",IF(I679&gt;0,"PARTIAL","OVERDUE"))</f>
        <v/>
      </c>
      <c r="L679" s="4">
        <f>IF(COUNTIFS(Raw_Payments!B:B,A679)=0,"",SUMPRODUCT(MAX((Raw_Payments!B$2:B$1079=A679)*Raw_Payments!D$2:D$1079)))</f>
        <v/>
      </c>
      <c r="M679" s="3">
        <f>IF(K679="PAID",MAX(0,L679-G679),Guide!$B$3-G679)</f>
        <v/>
      </c>
      <c r="N679" s="3">
        <f>IF(J679&lt;=0.005,"COLLECTED",IF(M679&lt;=30,"1-30",IF(M679&lt;=60,"31-60",IF(M679&lt;=90,"61-90","90+"))))</f>
        <v/>
      </c>
      <c r="O679" s="3">
        <f>IF(N679="90+","LOST",IF(N679="61-90","ESCALATE",IF(N679="31-60","WATCH",IF(N679="1-30","MILD","OK"))))</f>
        <v/>
      </c>
      <c r="P679" s="3">
        <f>IF(J679&gt;0.005,ROW()-1,"")</f>
        <v/>
      </c>
    </row>
    <row r="680">
      <c r="A680" s="3" t="inlineStr">
        <is>
          <t>D0679</t>
        </is>
      </c>
      <c r="B680" s="3">
        <f>INDEX(Raw_Schedule!B:B,MATCH(A680,Raw_Schedule!A:A,0))</f>
        <v/>
      </c>
      <c r="C680" s="3">
        <f>INDEX(Raw_Schedule!C:C,MATCH(A680,Raw_Schedule!A:A,0))</f>
        <v/>
      </c>
      <c r="D680" s="3">
        <f>INDEX(Raw_Schedule!D:D,MATCH(A680,Raw_Schedule!A:A,0))</f>
        <v/>
      </c>
      <c r="E680" s="3">
        <f>INDEX(Raw_Schedule!E:E,MATCH(A680,Raw_Schedule!A:A,0))</f>
        <v/>
      </c>
      <c r="F680" s="3">
        <f>INDEX(Raw_Schedule!F:F,MATCH(A680,Raw_Schedule!A:A,0))</f>
        <v/>
      </c>
      <c r="G680" s="4">
        <f>INDEX(Raw_Schedule!G:G,MATCH(A680,Raw_Schedule!A:A,0))</f>
        <v/>
      </c>
      <c r="H680" s="5">
        <f>INDEX(Raw_Schedule!H:H,MATCH(A680,Raw_Schedule!A:A,0))</f>
        <v/>
      </c>
      <c r="I680" s="5">
        <f>SUMIFS(Raw_Payments!E:E,Raw_Payments!B:B,A680)</f>
        <v/>
      </c>
      <c r="J680" s="5">
        <f>H680-I680</f>
        <v/>
      </c>
      <c r="K680" s="3">
        <f>IF(J680&lt;=0.005,"PAID",IF(I680&gt;0,"PARTIAL","OVERDUE"))</f>
        <v/>
      </c>
      <c r="L680" s="4">
        <f>IF(COUNTIFS(Raw_Payments!B:B,A680)=0,"",SUMPRODUCT(MAX((Raw_Payments!B$2:B$1079=A680)*Raw_Payments!D$2:D$1079)))</f>
        <v/>
      </c>
      <c r="M680" s="3">
        <f>IF(K680="PAID",MAX(0,L680-G680),Guide!$B$3-G680)</f>
        <v/>
      </c>
      <c r="N680" s="3">
        <f>IF(J680&lt;=0.005,"COLLECTED",IF(M680&lt;=30,"1-30",IF(M680&lt;=60,"31-60",IF(M680&lt;=90,"61-90","90+"))))</f>
        <v/>
      </c>
      <c r="O680" s="3">
        <f>IF(N680="90+","LOST",IF(N680="61-90","ESCALATE",IF(N680="31-60","WATCH",IF(N680="1-30","MILD","OK"))))</f>
        <v/>
      </c>
      <c r="P680" s="3">
        <f>IF(J680&gt;0.005,ROW()-1,"")</f>
        <v/>
      </c>
    </row>
    <row r="681">
      <c r="A681" s="3" t="inlineStr">
        <is>
          <t>D0680</t>
        </is>
      </c>
      <c r="B681" s="3">
        <f>INDEX(Raw_Schedule!B:B,MATCH(A681,Raw_Schedule!A:A,0))</f>
        <v/>
      </c>
      <c r="C681" s="3">
        <f>INDEX(Raw_Schedule!C:C,MATCH(A681,Raw_Schedule!A:A,0))</f>
        <v/>
      </c>
      <c r="D681" s="3">
        <f>INDEX(Raw_Schedule!D:D,MATCH(A681,Raw_Schedule!A:A,0))</f>
        <v/>
      </c>
      <c r="E681" s="3">
        <f>INDEX(Raw_Schedule!E:E,MATCH(A681,Raw_Schedule!A:A,0))</f>
        <v/>
      </c>
      <c r="F681" s="3">
        <f>INDEX(Raw_Schedule!F:F,MATCH(A681,Raw_Schedule!A:A,0))</f>
        <v/>
      </c>
      <c r="G681" s="4">
        <f>INDEX(Raw_Schedule!G:G,MATCH(A681,Raw_Schedule!A:A,0))</f>
        <v/>
      </c>
      <c r="H681" s="5">
        <f>INDEX(Raw_Schedule!H:H,MATCH(A681,Raw_Schedule!A:A,0))</f>
        <v/>
      </c>
      <c r="I681" s="5">
        <f>SUMIFS(Raw_Payments!E:E,Raw_Payments!B:B,A681)</f>
        <v/>
      </c>
      <c r="J681" s="5">
        <f>H681-I681</f>
        <v/>
      </c>
      <c r="K681" s="3">
        <f>IF(J681&lt;=0.005,"PAID",IF(I681&gt;0,"PARTIAL","OVERDUE"))</f>
        <v/>
      </c>
      <c r="L681" s="4">
        <f>IF(COUNTIFS(Raw_Payments!B:B,A681)=0,"",SUMPRODUCT(MAX((Raw_Payments!B$2:B$1079=A681)*Raw_Payments!D$2:D$1079)))</f>
        <v/>
      </c>
      <c r="M681" s="3">
        <f>IF(K681="PAID",MAX(0,L681-G681),Guide!$B$3-G681)</f>
        <v/>
      </c>
      <c r="N681" s="3">
        <f>IF(J681&lt;=0.005,"COLLECTED",IF(M681&lt;=30,"1-30",IF(M681&lt;=60,"31-60",IF(M681&lt;=90,"61-90","90+"))))</f>
        <v/>
      </c>
      <c r="O681" s="3">
        <f>IF(N681="90+","LOST",IF(N681="61-90","ESCALATE",IF(N681="31-60","WATCH",IF(N681="1-30","MILD","OK"))))</f>
        <v/>
      </c>
      <c r="P681" s="3">
        <f>IF(J681&gt;0.005,ROW()-1,"")</f>
        <v/>
      </c>
    </row>
    <row r="682">
      <c r="A682" s="3" t="inlineStr">
        <is>
          <t>D0681</t>
        </is>
      </c>
      <c r="B682" s="3">
        <f>INDEX(Raw_Schedule!B:B,MATCH(A682,Raw_Schedule!A:A,0))</f>
        <v/>
      </c>
      <c r="C682" s="3">
        <f>INDEX(Raw_Schedule!C:C,MATCH(A682,Raw_Schedule!A:A,0))</f>
        <v/>
      </c>
      <c r="D682" s="3">
        <f>INDEX(Raw_Schedule!D:D,MATCH(A682,Raw_Schedule!A:A,0))</f>
        <v/>
      </c>
      <c r="E682" s="3">
        <f>INDEX(Raw_Schedule!E:E,MATCH(A682,Raw_Schedule!A:A,0))</f>
        <v/>
      </c>
      <c r="F682" s="3">
        <f>INDEX(Raw_Schedule!F:F,MATCH(A682,Raw_Schedule!A:A,0))</f>
        <v/>
      </c>
      <c r="G682" s="4">
        <f>INDEX(Raw_Schedule!G:G,MATCH(A682,Raw_Schedule!A:A,0))</f>
        <v/>
      </c>
      <c r="H682" s="5">
        <f>INDEX(Raw_Schedule!H:H,MATCH(A682,Raw_Schedule!A:A,0))</f>
        <v/>
      </c>
      <c r="I682" s="5">
        <f>SUMIFS(Raw_Payments!E:E,Raw_Payments!B:B,A682)</f>
        <v/>
      </c>
      <c r="J682" s="5">
        <f>H682-I682</f>
        <v/>
      </c>
      <c r="K682" s="3">
        <f>IF(J682&lt;=0.005,"PAID",IF(I682&gt;0,"PARTIAL","OVERDUE"))</f>
        <v/>
      </c>
      <c r="L682" s="4">
        <f>IF(COUNTIFS(Raw_Payments!B:B,A682)=0,"",SUMPRODUCT(MAX((Raw_Payments!B$2:B$1079=A682)*Raw_Payments!D$2:D$1079)))</f>
        <v/>
      </c>
      <c r="M682" s="3">
        <f>IF(K682="PAID",MAX(0,L682-G682),Guide!$B$3-G682)</f>
        <v/>
      </c>
      <c r="N682" s="3">
        <f>IF(J682&lt;=0.005,"COLLECTED",IF(M682&lt;=30,"1-30",IF(M682&lt;=60,"31-60",IF(M682&lt;=90,"61-90","90+"))))</f>
        <v/>
      </c>
      <c r="O682" s="3">
        <f>IF(N682="90+","LOST",IF(N682="61-90","ESCALATE",IF(N682="31-60","WATCH",IF(N682="1-30","MILD","OK"))))</f>
        <v/>
      </c>
      <c r="P682" s="3">
        <f>IF(J682&gt;0.005,ROW()-1,"")</f>
        <v/>
      </c>
    </row>
    <row r="683">
      <c r="A683" s="3" t="inlineStr">
        <is>
          <t>D0682</t>
        </is>
      </c>
      <c r="B683" s="3">
        <f>INDEX(Raw_Schedule!B:B,MATCH(A683,Raw_Schedule!A:A,0))</f>
        <v/>
      </c>
      <c r="C683" s="3">
        <f>INDEX(Raw_Schedule!C:C,MATCH(A683,Raw_Schedule!A:A,0))</f>
        <v/>
      </c>
      <c r="D683" s="3">
        <f>INDEX(Raw_Schedule!D:D,MATCH(A683,Raw_Schedule!A:A,0))</f>
        <v/>
      </c>
      <c r="E683" s="3">
        <f>INDEX(Raw_Schedule!E:E,MATCH(A683,Raw_Schedule!A:A,0))</f>
        <v/>
      </c>
      <c r="F683" s="3">
        <f>INDEX(Raw_Schedule!F:F,MATCH(A683,Raw_Schedule!A:A,0))</f>
        <v/>
      </c>
      <c r="G683" s="4">
        <f>INDEX(Raw_Schedule!G:G,MATCH(A683,Raw_Schedule!A:A,0))</f>
        <v/>
      </c>
      <c r="H683" s="5">
        <f>INDEX(Raw_Schedule!H:H,MATCH(A683,Raw_Schedule!A:A,0))</f>
        <v/>
      </c>
      <c r="I683" s="5">
        <f>SUMIFS(Raw_Payments!E:E,Raw_Payments!B:B,A683)</f>
        <v/>
      </c>
      <c r="J683" s="5">
        <f>H683-I683</f>
        <v/>
      </c>
      <c r="K683" s="3">
        <f>IF(J683&lt;=0.005,"PAID",IF(I683&gt;0,"PARTIAL","OVERDUE"))</f>
        <v/>
      </c>
      <c r="L683" s="4">
        <f>IF(COUNTIFS(Raw_Payments!B:B,A683)=0,"",SUMPRODUCT(MAX((Raw_Payments!B$2:B$1079=A683)*Raw_Payments!D$2:D$1079)))</f>
        <v/>
      </c>
      <c r="M683" s="3">
        <f>IF(K683="PAID",MAX(0,L683-G683),Guide!$B$3-G683)</f>
        <v/>
      </c>
      <c r="N683" s="3">
        <f>IF(J683&lt;=0.005,"COLLECTED",IF(M683&lt;=30,"1-30",IF(M683&lt;=60,"31-60",IF(M683&lt;=90,"61-90","90+"))))</f>
        <v/>
      </c>
      <c r="O683" s="3">
        <f>IF(N683="90+","LOST",IF(N683="61-90","ESCALATE",IF(N683="31-60","WATCH",IF(N683="1-30","MILD","OK"))))</f>
        <v/>
      </c>
      <c r="P683" s="3">
        <f>IF(J683&gt;0.005,ROW()-1,"")</f>
        <v/>
      </c>
    </row>
    <row r="684">
      <c r="A684" s="3" t="inlineStr">
        <is>
          <t>D0683</t>
        </is>
      </c>
      <c r="B684" s="3">
        <f>INDEX(Raw_Schedule!B:B,MATCH(A684,Raw_Schedule!A:A,0))</f>
        <v/>
      </c>
      <c r="C684" s="3">
        <f>INDEX(Raw_Schedule!C:C,MATCH(A684,Raw_Schedule!A:A,0))</f>
        <v/>
      </c>
      <c r="D684" s="3">
        <f>INDEX(Raw_Schedule!D:D,MATCH(A684,Raw_Schedule!A:A,0))</f>
        <v/>
      </c>
      <c r="E684" s="3">
        <f>INDEX(Raw_Schedule!E:E,MATCH(A684,Raw_Schedule!A:A,0))</f>
        <v/>
      </c>
      <c r="F684" s="3">
        <f>INDEX(Raw_Schedule!F:F,MATCH(A684,Raw_Schedule!A:A,0))</f>
        <v/>
      </c>
      <c r="G684" s="4">
        <f>INDEX(Raw_Schedule!G:G,MATCH(A684,Raw_Schedule!A:A,0))</f>
        <v/>
      </c>
      <c r="H684" s="5">
        <f>INDEX(Raw_Schedule!H:H,MATCH(A684,Raw_Schedule!A:A,0))</f>
        <v/>
      </c>
      <c r="I684" s="5">
        <f>SUMIFS(Raw_Payments!E:E,Raw_Payments!B:B,A684)</f>
        <v/>
      </c>
      <c r="J684" s="5">
        <f>H684-I684</f>
        <v/>
      </c>
      <c r="K684" s="3">
        <f>IF(J684&lt;=0.005,"PAID",IF(I684&gt;0,"PARTIAL","OVERDUE"))</f>
        <v/>
      </c>
      <c r="L684" s="4">
        <f>IF(COUNTIFS(Raw_Payments!B:B,A684)=0,"",SUMPRODUCT(MAX((Raw_Payments!B$2:B$1079=A684)*Raw_Payments!D$2:D$1079)))</f>
        <v/>
      </c>
      <c r="M684" s="3">
        <f>IF(K684="PAID",MAX(0,L684-G684),Guide!$B$3-G684)</f>
        <v/>
      </c>
      <c r="N684" s="3">
        <f>IF(J684&lt;=0.005,"COLLECTED",IF(M684&lt;=30,"1-30",IF(M684&lt;=60,"31-60",IF(M684&lt;=90,"61-90","90+"))))</f>
        <v/>
      </c>
      <c r="O684" s="3">
        <f>IF(N684="90+","LOST",IF(N684="61-90","ESCALATE",IF(N684="31-60","WATCH",IF(N684="1-30","MILD","OK"))))</f>
        <v/>
      </c>
      <c r="P684" s="3">
        <f>IF(J684&gt;0.005,ROW()-1,"")</f>
        <v/>
      </c>
    </row>
    <row r="685">
      <c r="A685" s="3" t="inlineStr">
        <is>
          <t>D0684</t>
        </is>
      </c>
      <c r="B685" s="3">
        <f>INDEX(Raw_Schedule!B:B,MATCH(A685,Raw_Schedule!A:A,0))</f>
        <v/>
      </c>
      <c r="C685" s="3">
        <f>INDEX(Raw_Schedule!C:C,MATCH(A685,Raw_Schedule!A:A,0))</f>
        <v/>
      </c>
      <c r="D685" s="3">
        <f>INDEX(Raw_Schedule!D:D,MATCH(A685,Raw_Schedule!A:A,0))</f>
        <v/>
      </c>
      <c r="E685" s="3">
        <f>INDEX(Raw_Schedule!E:E,MATCH(A685,Raw_Schedule!A:A,0))</f>
        <v/>
      </c>
      <c r="F685" s="3">
        <f>INDEX(Raw_Schedule!F:F,MATCH(A685,Raw_Schedule!A:A,0))</f>
        <v/>
      </c>
      <c r="G685" s="4">
        <f>INDEX(Raw_Schedule!G:G,MATCH(A685,Raw_Schedule!A:A,0))</f>
        <v/>
      </c>
      <c r="H685" s="5">
        <f>INDEX(Raw_Schedule!H:H,MATCH(A685,Raw_Schedule!A:A,0))</f>
        <v/>
      </c>
      <c r="I685" s="5">
        <f>SUMIFS(Raw_Payments!E:E,Raw_Payments!B:B,A685)</f>
        <v/>
      </c>
      <c r="J685" s="5">
        <f>H685-I685</f>
        <v/>
      </c>
      <c r="K685" s="3">
        <f>IF(J685&lt;=0.005,"PAID",IF(I685&gt;0,"PARTIAL","OVERDUE"))</f>
        <v/>
      </c>
      <c r="L685" s="4">
        <f>IF(COUNTIFS(Raw_Payments!B:B,A685)=0,"",SUMPRODUCT(MAX((Raw_Payments!B$2:B$1079=A685)*Raw_Payments!D$2:D$1079)))</f>
        <v/>
      </c>
      <c r="M685" s="3">
        <f>IF(K685="PAID",MAX(0,L685-G685),Guide!$B$3-G685)</f>
        <v/>
      </c>
      <c r="N685" s="3">
        <f>IF(J685&lt;=0.005,"COLLECTED",IF(M685&lt;=30,"1-30",IF(M685&lt;=60,"31-60",IF(M685&lt;=90,"61-90","90+"))))</f>
        <v/>
      </c>
      <c r="O685" s="3">
        <f>IF(N685="90+","LOST",IF(N685="61-90","ESCALATE",IF(N685="31-60","WATCH",IF(N685="1-30","MILD","OK"))))</f>
        <v/>
      </c>
      <c r="P685" s="3">
        <f>IF(J685&gt;0.005,ROW()-1,"")</f>
        <v/>
      </c>
    </row>
    <row r="686">
      <c r="A686" s="3" t="inlineStr">
        <is>
          <t>D0685</t>
        </is>
      </c>
      <c r="B686" s="3">
        <f>INDEX(Raw_Schedule!B:B,MATCH(A686,Raw_Schedule!A:A,0))</f>
        <v/>
      </c>
      <c r="C686" s="3">
        <f>INDEX(Raw_Schedule!C:C,MATCH(A686,Raw_Schedule!A:A,0))</f>
        <v/>
      </c>
      <c r="D686" s="3">
        <f>INDEX(Raw_Schedule!D:D,MATCH(A686,Raw_Schedule!A:A,0))</f>
        <v/>
      </c>
      <c r="E686" s="3">
        <f>INDEX(Raw_Schedule!E:E,MATCH(A686,Raw_Schedule!A:A,0))</f>
        <v/>
      </c>
      <c r="F686" s="3">
        <f>INDEX(Raw_Schedule!F:F,MATCH(A686,Raw_Schedule!A:A,0))</f>
        <v/>
      </c>
      <c r="G686" s="4">
        <f>INDEX(Raw_Schedule!G:G,MATCH(A686,Raw_Schedule!A:A,0))</f>
        <v/>
      </c>
      <c r="H686" s="5">
        <f>INDEX(Raw_Schedule!H:H,MATCH(A686,Raw_Schedule!A:A,0))</f>
        <v/>
      </c>
      <c r="I686" s="5">
        <f>SUMIFS(Raw_Payments!E:E,Raw_Payments!B:B,A686)</f>
        <v/>
      </c>
      <c r="J686" s="5">
        <f>H686-I686</f>
        <v/>
      </c>
      <c r="K686" s="3">
        <f>IF(J686&lt;=0.005,"PAID",IF(I686&gt;0,"PARTIAL","OVERDUE"))</f>
        <v/>
      </c>
      <c r="L686" s="4">
        <f>IF(COUNTIFS(Raw_Payments!B:B,A686)=0,"",SUMPRODUCT(MAX((Raw_Payments!B$2:B$1079=A686)*Raw_Payments!D$2:D$1079)))</f>
        <v/>
      </c>
      <c r="M686" s="3">
        <f>IF(K686="PAID",MAX(0,L686-G686),Guide!$B$3-G686)</f>
        <v/>
      </c>
      <c r="N686" s="3">
        <f>IF(J686&lt;=0.005,"COLLECTED",IF(M686&lt;=30,"1-30",IF(M686&lt;=60,"31-60",IF(M686&lt;=90,"61-90","90+"))))</f>
        <v/>
      </c>
      <c r="O686" s="3">
        <f>IF(N686="90+","LOST",IF(N686="61-90","ESCALATE",IF(N686="31-60","WATCH",IF(N686="1-30","MILD","OK"))))</f>
        <v/>
      </c>
      <c r="P686" s="3">
        <f>IF(J686&gt;0.005,ROW()-1,"")</f>
        <v/>
      </c>
    </row>
    <row r="687">
      <c r="A687" s="3" t="inlineStr">
        <is>
          <t>D0686</t>
        </is>
      </c>
      <c r="B687" s="3">
        <f>INDEX(Raw_Schedule!B:B,MATCH(A687,Raw_Schedule!A:A,0))</f>
        <v/>
      </c>
      <c r="C687" s="3">
        <f>INDEX(Raw_Schedule!C:C,MATCH(A687,Raw_Schedule!A:A,0))</f>
        <v/>
      </c>
      <c r="D687" s="3">
        <f>INDEX(Raw_Schedule!D:D,MATCH(A687,Raw_Schedule!A:A,0))</f>
        <v/>
      </c>
      <c r="E687" s="3">
        <f>INDEX(Raw_Schedule!E:E,MATCH(A687,Raw_Schedule!A:A,0))</f>
        <v/>
      </c>
      <c r="F687" s="3">
        <f>INDEX(Raw_Schedule!F:F,MATCH(A687,Raw_Schedule!A:A,0))</f>
        <v/>
      </c>
      <c r="G687" s="4">
        <f>INDEX(Raw_Schedule!G:G,MATCH(A687,Raw_Schedule!A:A,0))</f>
        <v/>
      </c>
      <c r="H687" s="5">
        <f>INDEX(Raw_Schedule!H:H,MATCH(A687,Raw_Schedule!A:A,0))</f>
        <v/>
      </c>
      <c r="I687" s="5">
        <f>SUMIFS(Raw_Payments!E:E,Raw_Payments!B:B,A687)</f>
        <v/>
      </c>
      <c r="J687" s="5">
        <f>H687-I687</f>
        <v/>
      </c>
      <c r="K687" s="3">
        <f>IF(J687&lt;=0.005,"PAID",IF(I687&gt;0,"PARTIAL","OVERDUE"))</f>
        <v/>
      </c>
      <c r="L687" s="4">
        <f>IF(COUNTIFS(Raw_Payments!B:B,A687)=0,"",SUMPRODUCT(MAX((Raw_Payments!B$2:B$1079=A687)*Raw_Payments!D$2:D$1079)))</f>
        <v/>
      </c>
      <c r="M687" s="3">
        <f>IF(K687="PAID",MAX(0,L687-G687),Guide!$B$3-G687)</f>
        <v/>
      </c>
      <c r="N687" s="3">
        <f>IF(J687&lt;=0.005,"COLLECTED",IF(M687&lt;=30,"1-30",IF(M687&lt;=60,"31-60",IF(M687&lt;=90,"61-90","90+"))))</f>
        <v/>
      </c>
      <c r="O687" s="3">
        <f>IF(N687="90+","LOST",IF(N687="61-90","ESCALATE",IF(N687="31-60","WATCH",IF(N687="1-30","MILD","OK"))))</f>
        <v/>
      </c>
      <c r="P687" s="3">
        <f>IF(J687&gt;0.005,ROW()-1,"")</f>
        <v/>
      </c>
    </row>
    <row r="688">
      <c r="A688" s="3" t="inlineStr">
        <is>
          <t>D0687</t>
        </is>
      </c>
      <c r="B688" s="3">
        <f>INDEX(Raw_Schedule!B:B,MATCH(A688,Raw_Schedule!A:A,0))</f>
        <v/>
      </c>
      <c r="C688" s="3">
        <f>INDEX(Raw_Schedule!C:C,MATCH(A688,Raw_Schedule!A:A,0))</f>
        <v/>
      </c>
      <c r="D688" s="3">
        <f>INDEX(Raw_Schedule!D:D,MATCH(A688,Raw_Schedule!A:A,0))</f>
        <v/>
      </c>
      <c r="E688" s="3">
        <f>INDEX(Raw_Schedule!E:E,MATCH(A688,Raw_Schedule!A:A,0))</f>
        <v/>
      </c>
      <c r="F688" s="3">
        <f>INDEX(Raw_Schedule!F:F,MATCH(A688,Raw_Schedule!A:A,0))</f>
        <v/>
      </c>
      <c r="G688" s="4">
        <f>INDEX(Raw_Schedule!G:G,MATCH(A688,Raw_Schedule!A:A,0))</f>
        <v/>
      </c>
      <c r="H688" s="5">
        <f>INDEX(Raw_Schedule!H:H,MATCH(A688,Raw_Schedule!A:A,0))</f>
        <v/>
      </c>
      <c r="I688" s="5">
        <f>SUMIFS(Raw_Payments!E:E,Raw_Payments!B:B,A688)</f>
        <v/>
      </c>
      <c r="J688" s="5">
        <f>H688-I688</f>
        <v/>
      </c>
      <c r="K688" s="3">
        <f>IF(J688&lt;=0.005,"PAID",IF(I688&gt;0,"PARTIAL","OVERDUE"))</f>
        <v/>
      </c>
      <c r="L688" s="4">
        <f>IF(COUNTIFS(Raw_Payments!B:B,A688)=0,"",SUMPRODUCT(MAX((Raw_Payments!B$2:B$1079=A688)*Raw_Payments!D$2:D$1079)))</f>
        <v/>
      </c>
      <c r="M688" s="3">
        <f>IF(K688="PAID",MAX(0,L688-G688),Guide!$B$3-G688)</f>
        <v/>
      </c>
      <c r="N688" s="3">
        <f>IF(J688&lt;=0.005,"COLLECTED",IF(M688&lt;=30,"1-30",IF(M688&lt;=60,"31-60",IF(M688&lt;=90,"61-90","90+"))))</f>
        <v/>
      </c>
      <c r="O688" s="3">
        <f>IF(N688="90+","LOST",IF(N688="61-90","ESCALATE",IF(N688="31-60","WATCH",IF(N688="1-30","MILD","OK"))))</f>
        <v/>
      </c>
      <c r="P688" s="3">
        <f>IF(J688&gt;0.005,ROW()-1,"")</f>
        <v/>
      </c>
    </row>
    <row r="689">
      <c r="A689" s="3" t="inlineStr">
        <is>
          <t>D0688</t>
        </is>
      </c>
      <c r="B689" s="3">
        <f>INDEX(Raw_Schedule!B:B,MATCH(A689,Raw_Schedule!A:A,0))</f>
        <v/>
      </c>
      <c r="C689" s="3">
        <f>INDEX(Raw_Schedule!C:C,MATCH(A689,Raw_Schedule!A:A,0))</f>
        <v/>
      </c>
      <c r="D689" s="3">
        <f>INDEX(Raw_Schedule!D:D,MATCH(A689,Raw_Schedule!A:A,0))</f>
        <v/>
      </c>
      <c r="E689" s="3">
        <f>INDEX(Raw_Schedule!E:E,MATCH(A689,Raw_Schedule!A:A,0))</f>
        <v/>
      </c>
      <c r="F689" s="3">
        <f>INDEX(Raw_Schedule!F:F,MATCH(A689,Raw_Schedule!A:A,0))</f>
        <v/>
      </c>
      <c r="G689" s="4">
        <f>INDEX(Raw_Schedule!G:G,MATCH(A689,Raw_Schedule!A:A,0))</f>
        <v/>
      </c>
      <c r="H689" s="5">
        <f>INDEX(Raw_Schedule!H:H,MATCH(A689,Raw_Schedule!A:A,0))</f>
        <v/>
      </c>
      <c r="I689" s="5">
        <f>SUMIFS(Raw_Payments!E:E,Raw_Payments!B:B,A689)</f>
        <v/>
      </c>
      <c r="J689" s="5">
        <f>H689-I689</f>
        <v/>
      </c>
      <c r="K689" s="3">
        <f>IF(J689&lt;=0.005,"PAID",IF(I689&gt;0,"PARTIAL","OVERDUE"))</f>
        <v/>
      </c>
      <c r="L689" s="4">
        <f>IF(COUNTIFS(Raw_Payments!B:B,A689)=0,"",SUMPRODUCT(MAX((Raw_Payments!B$2:B$1079=A689)*Raw_Payments!D$2:D$1079)))</f>
        <v/>
      </c>
      <c r="M689" s="3">
        <f>IF(K689="PAID",MAX(0,L689-G689),Guide!$B$3-G689)</f>
        <v/>
      </c>
      <c r="N689" s="3">
        <f>IF(J689&lt;=0.005,"COLLECTED",IF(M689&lt;=30,"1-30",IF(M689&lt;=60,"31-60",IF(M689&lt;=90,"61-90","90+"))))</f>
        <v/>
      </c>
      <c r="O689" s="3">
        <f>IF(N689="90+","LOST",IF(N689="61-90","ESCALATE",IF(N689="31-60","WATCH",IF(N689="1-30","MILD","OK"))))</f>
        <v/>
      </c>
      <c r="P689" s="3">
        <f>IF(J689&gt;0.005,ROW()-1,"")</f>
        <v/>
      </c>
    </row>
    <row r="690">
      <c r="A690" s="3" t="inlineStr">
        <is>
          <t>D0689</t>
        </is>
      </c>
      <c r="B690" s="3">
        <f>INDEX(Raw_Schedule!B:B,MATCH(A690,Raw_Schedule!A:A,0))</f>
        <v/>
      </c>
      <c r="C690" s="3">
        <f>INDEX(Raw_Schedule!C:C,MATCH(A690,Raw_Schedule!A:A,0))</f>
        <v/>
      </c>
      <c r="D690" s="3">
        <f>INDEX(Raw_Schedule!D:D,MATCH(A690,Raw_Schedule!A:A,0))</f>
        <v/>
      </c>
      <c r="E690" s="3">
        <f>INDEX(Raw_Schedule!E:E,MATCH(A690,Raw_Schedule!A:A,0))</f>
        <v/>
      </c>
      <c r="F690" s="3">
        <f>INDEX(Raw_Schedule!F:F,MATCH(A690,Raw_Schedule!A:A,0))</f>
        <v/>
      </c>
      <c r="G690" s="4">
        <f>INDEX(Raw_Schedule!G:G,MATCH(A690,Raw_Schedule!A:A,0))</f>
        <v/>
      </c>
      <c r="H690" s="5">
        <f>INDEX(Raw_Schedule!H:H,MATCH(A690,Raw_Schedule!A:A,0))</f>
        <v/>
      </c>
      <c r="I690" s="5">
        <f>SUMIFS(Raw_Payments!E:E,Raw_Payments!B:B,A690)</f>
        <v/>
      </c>
      <c r="J690" s="5">
        <f>H690-I690</f>
        <v/>
      </c>
      <c r="K690" s="3">
        <f>IF(J690&lt;=0.005,"PAID",IF(I690&gt;0,"PARTIAL","OVERDUE"))</f>
        <v/>
      </c>
      <c r="L690" s="4">
        <f>IF(COUNTIFS(Raw_Payments!B:B,A690)=0,"",SUMPRODUCT(MAX((Raw_Payments!B$2:B$1079=A690)*Raw_Payments!D$2:D$1079)))</f>
        <v/>
      </c>
      <c r="M690" s="3">
        <f>IF(K690="PAID",MAX(0,L690-G690),Guide!$B$3-G690)</f>
        <v/>
      </c>
      <c r="N690" s="3">
        <f>IF(J690&lt;=0.005,"COLLECTED",IF(M690&lt;=30,"1-30",IF(M690&lt;=60,"31-60",IF(M690&lt;=90,"61-90","90+"))))</f>
        <v/>
      </c>
      <c r="O690" s="3">
        <f>IF(N690="90+","LOST",IF(N690="61-90","ESCALATE",IF(N690="31-60","WATCH",IF(N690="1-30","MILD","OK"))))</f>
        <v/>
      </c>
      <c r="P690" s="3">
        <f>IF(J690&gt;0.005,ROW()-1,"")</f>
        <v/>
      </c>
    </row>
    <row r="691">
      <c r="A691" s="3" t="inlineStr">
        <is>
          <t>D0690</t>
        </is>
      </c>
      <c r="B691" s="3">
        <f>INDEX(Raw_Schedule!B:B,MATCH(A691,Raw_Schedule!A:A,0))</f>
        <v/>
      </c>
      <c r="C691" s="3">
        <f>INDEX(Raw_Schedule!C:C,MATCH(A691,Raw_Schedule!A:A,0))</f>
        <v/>
      </c>
      <c r="D691" s="3">
        <f>INDEX(Raw_Schedule!D:D,MATCH(A691,Raw_Schedule!A:A,0))</f>
        <v/>
      </c>
      <c r="E691" s="3">
        <f>INDEX(Raw_Schedule!E:E,MATCH(A691,Raw_Schedule!A:A,0))</f>
        <v/>
      </c>
      <c r="F691" s="3">
        <f>INDEX(Raw_Schedule!F:F,MATCH(A691,Raw_Schedule!A:A,0))</f>
        <v/>
      </c>
      <c r="G691" s="4">
        <f>INDEX(Raw_Schedule!G:G,MATCH(A691,Raw_Schedule!A:A,0))</f>
        <v/>
      </c>
      <c r="H691" s="5">
        <f>INDEX(Raw_Schedule!H:H,MATCH(A691,Raw_Schedule!A:A,0))</f>
        <v/>
      </c>
      <c r="I691" s="5">
        <f>SUMIFS(Raw_Payments!E:E,Raw_Payments!B:B,A691)</f>
        <v/>
      </c>
      <c r="J691" s="5">
        <f>H691-I691</f>
        <v/>
      </c>
      <c r="K691" s="3">
        <f>IF(J691&lt;=0.005,"PAID",IF(I691&gt;0,"PARTIAL","OVERDUE"))</f>
        <v/>
      </c>
      <c r="L691" s="4">
        <f>IF(COUNTIFS(Raw_Payments!B:B,A691)=0,"",SUMPRODUCT(MAX((Raw_Payments!B$2:B$1079=A691)*Raw_Payments!D$2:D$1079)))</f>
        <v/>
      </c>
      <c r="M691" s="3">
        <f>IF(K691="PAID",MAX(0,L691-G691),Guide!$B$3-G691)</f>
        <v/>
      </c>
      <c r="N691" s="3">
        <f>IF(J691&lt;=0.005,"COLLECTED",IF(M691&lt;=30,"1-30",IF(M691&lt;=60,"31-60",IF(M691&lt;=90,"61-90","90+"))))</f>
        <v/>
      </c>
      <c r="O691" s="3">
        <f>IF(N691="90+","LOST",IF(N691="61-90","ESCALATE",IF(N691="31-60","WATCH",IF(N691="1-30","MILD","OK"))))</f>
        <v/>
      </c>
      <c r="P691" s="3">
        <f>IF(J691&gt;0.005,ROW()-1,"")</f>
        <v/>
      </c>
    </row>
    <row r="692">
      <c r="A692" s="3" t="inlineStr">
        <is>
          <t>D0691</t>
        </is>
      </c>
      <c r="B692" s="3">
        <f>INDEX(Raw_Schedule!B:B,MATCH(A692,Raw_Schedule!A:A,0))</f>
        <v/>
      </c>
      <c r="C692" s="3">
        <f>INDEX(Raw_Schedule!C:C,MATCH(A692,Raw_Schedule!A:A,0))</f>
        <v/>
      </c>
      <c r="D692" s="3">
        <f>INDEX(Raw_Schedule!D:D,MATCH(A692,Raw_Schedule!A:A,0))</f>
        <v/>
      </c>
      <c r="E692" s="3">
        <f>INDEX(Raw_Schedule!E:E,MATCH(A692,Raw_Schedule!A:A,0))</f>
        <v/>
      </c>
      <c r="F692" s="3">
        <f>INDEX(Raw_Schedule!F:F,MATCH(A692,Raw_Schedule!A:A,0))</f>
        <v/>
      </c>
      <c r="G692" s="4">
        <f>INDEX(Raw_Schedule!G:G,MATCH(A692,Raw_Schedule!A:A,0))</f>
        <v/>
      </c>
      <c r="H692" s="5">
        <f>INDEX(Raw_Schedule!H:H,MATCH(A692,Raw_Schedule!A:A,0))</f>
        <v/>
      </c>
      <c r="I692" s="5">
        <f>SUMIFS(Raw_Payments!E:E,Raw_Payments!B:B,A692)</f>
        <v/>
      </c>
      <c r="J692" s="5">
        <f>H692-I692</f>
        <v/>
      </c>
      <c r="K692" s="3">
        <f>IF(J692&lt;=0.005,"PAID",IF(I692&gt;0,"PARTIAL","OVERDUE"))</f>
        <v/>
      </c>
      <c r="L692" s="4">
        <f>IF(COUNTIFS(Raw_Payments!B:B,A692)=0,"",SUMPRODUCT(MAX((Raw_Payments!B$2:B$1079=A692)*Raw_Payments!D$2:D$1079)))</f>
        <v/>
      </c>
      <c r="M692" s="3">
        <f>IF(K692="PAID",MAX(0,L692-G692),Guide!$B$3-G692)</f>
        <v/>
      </c>
      <c r="N692" s="3">
        <f>IF(J692&lt;=0.005,"COLLECTED",IF(M692&lt;=30,"1-30",IF(M692&lt;=60,"31-60",IF(M692&lt;=90,"61-90","90+"))))</f>
        <v/>
      </c>
      <c r="O692" s="3">
        <f>IF(N692="90+","LOST",IF(N692="61-90","ESCALATE",IF(N692="31-60","WATCH",IF(N692="1-30","MILD","OK"))))</f>
        <v/>
      </c>
      <c r="P692" s="3">
        <f>IF(J692&gt;0.005,ROW()-1,"")</f>
        <v/>
      </c>
    </row>
    <row r="693">
      <c r="A693" s="3" t="inlineStr">
        <is>
          <t>D0692</t>
        </is>
      </c>
      <c r="B693" s="3">
        <f>INDEX(Raw_Schedule!B:B,MATCH(A693,Raw_Schedule!A:A,0))</f>
        <v/>
      </c>
      <c r="C693" s="3">
        <f>INDEX(Raw_Schedule!C:C,MATCH(A693,Raw_Schedule!A:A,0))</f>
        <v/>
      </c>
      <c r="D693" s="3">
        <f>INDEX(Raw_Schedule!D:D,MATCH(A693,Raw_Schedule!A:A,0))</f>
        <v/>
      </c>
      <c r="E693" s="3">
        <f>INDEX(Raw_Schedule!E:E,MATCH(A693,Raw_Schedule!A:A,0))</f>
        <v/>
      </c>
      <c r="F693" s="3">
        <f>INDEX(Raw_Schedule!F:F,MATCH(A693,Raw_Schedule!A:A,0))</f>
        <v/>
      </c>
      <c r="G693" s="4">
        <f>INDEX(Raw_Schedule!G:G,MATCH(A693,Raw_Schedule!A:A,0))</f>
        <v/>
      </c>
      <c r="H693" s="5">
        <f>INDEX(Raw_Schedule!H:H,MATCH(A693,Raw_Schedule!A:A,0))</f>
        <v/>
      </c>
      <c r="I693" s="5">
        <f>SUMIFS(Raw_Payments!E:E,Raw_Payments!B:B,A693)</f>
        <v/>
      </c>
      <c r="J693" s="5">
        <f>H693-I693</f>
        <v/>
      </c>
      <c r="K693" s="3">
        <f>IF(J693&lt;=0.005,"PAID",IF(I693&gt;0,"PARTIAL","OVERDUE"))</f>
        <v/>
      </c>
      <c r="L693" s="4">
        <f>IF(COUNTIFS(Raw_Payments!B:B,A693)=0,"",SUMPRODUCT(MAX((Raw_Payments!B$2:B$1079=A693)*Raw_Payments!D$2:D$1079)))</f>
        <v/>
      </c>
      <c r="M693" s="3">
        <f>IF(K693="PAID",MAX(0,L693-G693),Guide!$B$3-G693)</f>
        <v/>
      </c>
      <c r="N693" s="3">
        <f>IF(J693&lt;=0.005,"COLLECTED",IF(M693&lt;=30,"1-30",IF(M693&lt;=60,"31-60",IF(M693&lt;=90,"61-90","90+"))))</f>
        <v/>
      </c>
      <c r="O693" s="3">
        <f>IF(N693="90+","LOST",IF(N693="61-90","ESCALATE",IF(N693="31-60","WATCH",IF(N693="1-30","MILD","OK"))))</f>
        <v/>
      </c>
      <c r="P693" s="3">
        <f>IF(J693&gt;0.005,ROW()-1,"")</f>
        <v/>
      </c>
    </row>
    <row r="694">
      <c r="A694" s="3" t="inlineStr">
        <is>
          <t>D0693</t>
        </is>
      </c>
      <c r="B694" s="3">
        <f>INDEX(Raw_Schedule!B:B,MATCH(A694,Raw_Schedule!A:A,0))</f>
        <v/>
      </c>
      <c r="C694" s="3">
        <f>INDEX(Raw_Schedule!C:C,MATCH(A694,Raw_Schedule!A:A,0))</f>
        <v/>
      </c>
      <c r="D694" s="3">
        <f>INDEX(Raw_Schedule!D:D,MATCH(A694,Raw_Schedule!A:A,0))</f>
        <v/>
      </c>
      <c r="E694" s="3">
        <f>INDEX(Raw_Schedule!E:E,MATCH(A694,Raw_Schedule!A:A,0))</f>
        <v/>
      </c>
      <c r="F694" s="3">
        <f>INDEX(Raw_Schedule!F:F,MATCH(A694,Raw_Schedule!A:A,0))</f>
        <v/>
      </c>
      <c r="G694" s="4">
        <f>INDEX(Raw_Schedule!G:G,MATCH(A694,Raw_Schedule!A:A,0))</f>
        <v/>
      </c>
      <c r="H694" s="5">
        <f>INDEX(Raw_Schedule!H:H,MATCH(A694,Raw_Schedule!A:A,0))</f>
        <v/>
      </c>
      <c r="I694" s="5">
        <f>SUMIFS(Raw_Payments!E:E,Raw_Payments!B:B,A694)</f>
        <v/>
      </c>
      <c r="J694" s="5">
        <f>H694-I694</f>
        <v/>
      </c>
      <c r="K694" s="3">
        <f>IF(J694&lt;=0.005,"PAID",IF(I694&gt;0,"PARTIAL","OVERDUE"))</f>
        <v/>
      </c>
      <c r="L694" s="4">
        <f>IF(COUNTIFS(Raw_Payments!B:B,A694)=0,"",SUMPRODUCT(MAX((Raw_Payments!B$2:B$1079=A694)*Raw_Payments!D$2:D$1079)))</f>
        <v/>
      </c>
      <c r="M694" s="3">
        <f>IF(K694="PAID",MAX(0,L694-G694),Guide!$B$3-G694)</f>
        <v/>
      </c>
      <c r="N694" s="3">
        <f>IF(J694&lt;=0.005,"COLLECTED",IF(M694&lt;=30,"1-30",IF(M694&lt;=60,"31-60",IF(M694&lt;=90,"61-90","90+"))))</f>
        <v/>
      </c>
      <c r="O694" s="3">
        <f>IF(N694="90+","LOST",IF(N694="61-90","ESCALATE",IF(N694="31-60","WATCH",IF(N694="1-30","MILD","OK"))))</f>
        <v/>
      </c>
      <c r="P694" s="3">
        <f>IF(J694&gt;0.005,ROW()-1,"")</f>
        <v/>
      </c>
    </row>
    <row r="695">
      <c r="A695" s="3" t="inlineStr">
        <is>
          <t>D0694</t>
        </is>
      </c>
      <c r="B695" s="3">
        <f>INDEX(Raw_Schedule!B:B,MATCH(A695,Raw_Schedule!A:A,0))</f>
        <v/>
      </c>
      <c r="C695" s="3">
        <f>INDEX(Raw_Schedule!C:C,MATCH(A695,Raw_Schedule!A:A,0))</f>
        <v/>
      </c>
      <c r="D695" s="3">
        <f>INDEX(Raw_Schedule!D:D,MATCH(A695,Raw_Schedule!A:A,0))</f>
        <v/>
      </c>
      <c r="E695" s="3">
        <f>INDEX(Raw_Schedule!E:E,MATCH(A695,Raw_Schedule!A:A,0))</f>
        <v/>
      </c>
      <c r="F695" s="3">
        <f>INDEX(Raw_Schedule!F:F,MATCH(A695,Raw_Schedule!A:A,0))</f>
        <v/>
      </c>
      <c r="G695" s="4">
        <f>INDEX(Raw_Schedule!G:G,MATCH(A695,Raw_Schedule!A:A,0))</f>
        <v/>
      </c>
      <c r="H695" s="5">
        <f>INDEX(Raw_Schedule!H:H,MATCH(A695,Raw_Schedule!A:A,0))</f>
        <v/>
      </c>
      <c r="I695" s="5">
        <f>SUMIFS(Raw_Payments!E:E,Raw_Payments!B:B,A695)</f>
        <v/>
      </c>
      <c r="J695" s="5">
        <f>H695-I695</f>
        <v/>
      </c>
      <c r="K695" s="3">
        <f>IF(J695&lt;=0.005,"PAID",IF(I695&gt;0,"PARTIAL","OVERDUE"))</f>
        <v/>
      </c>
      <c r="L695" s="4">
        <f>IF(COUNTIFS(Raw_Payments!B:B,A695)=0,"",SUMPRODUCT(MAX((Raw_Payments!B$2:B$1079=A695)*Raw_Payments!D$2:D$1079)))</f>
        <v/>
      </c>
      <c r="M695" s="3">
        <f>IF(K695="PAID",MAX(0,L695-G695),Guide!$B$3-G695)</f>
        <v/>
      </c>
      <c r="N695" s="3">
        <f>IF(J695&lt;=0.005,"COLLECTED",IF(M695&lt;=30,"1-30",IF(M695&lt;=60,"31-60",IF(M695&lt;=90,"61-90","90+"))))</f>
        <v/>
      </c>
      <c r="O695" s="3">
        <f>IF(N695="90+","LOST",IF(N695="61-90","ESCALATE",IF(N695="31-60","WATCH",IF(N695="1-30","MILD","OK"))))</f>
        <v/>
      </c>
      <c r="P695" s="3">
        <f>IF(J695&gt;0.005,ROW()-1,"")</f>
        <v/>
      </c>
    </row>
    <row r="696">
      <c r="A696" s="3" t="inlineStr">
        <is>
          <t>D0695</t>
        </is>
      </c>
      <c r="B696" s="3">
        <f>INDEX(Raw_Schedule!B:B,MATCH(A696,Raw_Schedule!A:A,0))</f>
        <v/>
      </c>
      <c r="C696" s="3">
        <f>INDEX(Raw_Schedule!C:C,MATCH(A696,Raw_Schedule!A:A,0))</f>
        <v/>
      </c>
      <c r="D696" s="3">
        <f>INDEX(Raw_Schedule!D:D,MATCH(A696,Raw_Schedule!A:A,0))</f>
        <v/>
      </c>
      <c r="E696" s="3">
        <f>INDEX(Raw_Schedule!E:E,MATCH(A696,Raw_Schedule!A:A,0))</f>
        <v/>
      </c>
      <c r="F696" s="3">
        <f>INDEX(Raw_Schedule!F:F,MATCH(A696,Raw_Schedule!A:A,0))</f>
        <v/>
      </c>
      <c r="G696" s="4">
        <f>INDEX(Raw_Schedule!G:G,MATCH(A696,Raw_Schedule!A:A,0))</f>
        <v/>
      </c>
      <c r="H696" s="5">
        <f>INDEX(Raw_Schedule!H:H,MATCH(A696,Raw_Schedule!A:A,0))</f>
        <v/>
      </c>
      <c r="I696" s="5">
        <f>SUMIFS(Raw_Payments!E:E,Raw_Payments!B:B,A696)</f>
        <v/>
      </c>
      <c r="J696" s="5">
        <f>H696-I696</f>
        <v/>
      </c>
      <c r="K696" s="3">
        <f>IF(J696&lt;=0.005,"PAID",IF(I696&gt;0,"PARTIAL","OVERDUE"))</f>
        <v/>
      </c>
      <c r="L696" s="4">
        <f>IF(COUNTIFS(Raw_Payments!B:B,A696)=0,"",SUMPRODUCT(MAX((Raw_Payments!B$2:B$1079=A696)*Raw_Payments!D$2:D$1079)))</f>
        <v/>
      </c>
      <c r="M696" s="3">
        <f>IF(K696="PAID",MAX(0,L696-G696),Guide!$B$3-G696)</f>
        <v/>
      </c>
      <c r="N696" s="3">
        <f>IF(J696&lt;=0.005,"COLLECTED",IF(M696&lt;=30,"1-30",IF(M696&lt;=60,"31-60",IF(M696&lt;=90,"61-90","90+"))))</f>
        <v/>
      </c>
      <c r="O696" s="3">
        <f>IF(N696="90+","LOST",IF(N696="61-90","ESCALATE",IF(N696="31-60","WATCH",IF(N696="1-30","MILD","OK"))))</f>
        <v/>
      </c>
      <c r="P696" s="3">
        <f>IF(J696&gt;0.005,ROW()-1,"")</f>
        <v/>
      </c>
    </row>
    <row r="697">
      <c r="A697" s="3" t="inlineStr">
        <is>
          <t>D0696</t>
        </is>
      </c>
      <c r="B697" s="3">
        <f>INDEX(Raw_Schedule!B:B,MATCH(A697,Raw_Schedule!A:A,0))</f>
        <v/>
      </c>
      <c r="C697" s="3">
        <f>INDEX(Raw_Schedule!C:C,MATCH(A697,Raw_Schedule!A:A,0))</f>
        <v/>
      </c>
      <c r="D697" s="3">
        <f>INDEX(Raw_Schedule!D:D,MATCH(A697,Raw_Schedule!A:A,0))</f>
        <v/>
      </c>
      <c r="E697" s="3">
        <f>INDEX(Raw_Schedule!E:E,MATCH(A697,Raw_Schedule!A:A,0))</f>
        <v/>
      </c>
      <c r="F697" s="3">
        <f>INDEX(Raw_Schedule!F:F,MATCH(A697,Raw_Schedule!A:A,0))</f>
        <v/>
      </c>
      <c r="G697" s="4">
        <f>INDEX(Raw_Schedule!G:G,MATCH(A697,Raw_Schedule!A:A,0))</f>
        <v/>
      </c>
      <c r="H697" s="5">
        <f>INDEX(Raw_Schedule!H:H,MATCH(A697,Raw_Schedule!A:A,0))</f>
        <v/>
      </c>
      <c r="I697" s="5">
        <f>SUMIFS(Raw_Payments!E:E,Raw_Payments!B:B,A697)</f>
        <v/>
      </c>
      <c r="J697" s="5">
        <f>H697-I697</f>
        <v/>
      </c>
      <c r="K697" s="3">
        <f>IF(J697&lt;=0.005,"PAID",IF(I697&gt;0,"PARTIAL","OVERDUE"))</f>
        <v/>
      </c>
      <c r="L697" s="4">
        <f>IF(COUNTIFS(Raw_Payments!B:B,A697)=0,"",SUMPRODUCT(MAX((Raw_Payments!B$2:B$1079=A697)*Raw_Payments!D$2:D$1079)))</f>
        <v/>
      </c>
      <c r="M697" s="3">
        <f>IF(K697="PAID",MAX(0,L697-G697),Guide!$B$3-G697)</f>
        <v/>
      </c>
      <c r="N697" s="3">
        <f>IF(J697&lt;=0.005,"COLLECTED",IF(M697&lt;=30,"1-30",IF(M697&lt;=60,"31-60",IF(M697&lt;=90,"61-90","90+"))))</f>
        <v/>
      </c>
      <c r="O697" s="3">
        <f>IF(N697="90+","LOST",IF(N697="61-90","ESCALATE",IF(N697="31-60","WATCH",IF(N697="1-30","MILD","OK"))))</f>
        <v/>
      </c>
      <c r="P697" s="3">
        <f>IF(J697&gt;0.005,ROW()-1,"")</f>
        <v/>
      </c>
    </row>
    <row r="698">
      <c r="A698" s="3" t="inlineStr">
        <is>
          <t>D0697</t>
        </is>
      </c>
      <c r="B698" s="3">
        <f>INDEX(Raw_Schedule!B:B,MATCH(A698,Raw_Schedule!A:A,0))</f>
        <v/>
      </c>
      <c r="C698" s="3">
        <f>INDEX(Raw_Schedule!C:C,MATCH(A698,Raw_Schedule!A:A,0))</f>
        <v/>
      </c>
      <c r="D698" s="3">
        <f>INDEX(Raw_Schedule!D:D,MATCH(A698,Raw_Schedule!A:A,0))</f>
        <v/>
      </c>
      <c r="E698" s="3">
        <f>INDEX(Raw_Schedule!E:E,MATCH(A698,Raw_Schedule!A:A,0))</f>
        <v/>
      </c>
      <c r="F698" s="3">
        <f>INDEX(Raw_Schedule!F:F,MATCH(A698,Raw_Schedule!A:A,0))</f>
        <v/>
      </c>
      <c r="G698" s="4">
        <f>INDEX(Raw_Schedule!G:G,MATCH(A698,Raw_Schedule!A:A,0))</f>
        <v/>
      </c>
      <c r="H698" s="5">
        <f>INDEX(Raw_Schedule!H:H,MATCH(A698,Raw_Schedule!A:A,0))</f>
        <v/>
      </c>
      <c r="I698" s="5">
        <f>SUMIFS(Raw_Payments!E:E,Raw_Payments!B:B,A698)</f>
        <v/>
      </c>
      <c r="J698" s="5">
        <f>H698-I698</f>
        <v/>
      </c>
      <c r="K698" s="3">
        <f>IF(J698&lt;=0.005,"PAID",IF(I698&gt;0,"PARTIAL","OVERDUE"))</f>
        <v/>
      </c>
      <c r="L698" s="4">
        <f>IF(COUNTIFS(Raw_Payments!B:B,A698)=0,"",SUMPRODUCT(MAX((Raw_Payments!B$2:B$1079=A698)*Raw_Payments!D$2:D$1079)))</f>
        <v/>
      </c>
      <c r="M698" s="3">
        <f>IF(K698="PAID",MAX(0,L698-G698),Guide!$B$3-G698)</f>
        <v/>
      </c>
      <c r="N698" s="3">
        <f>IF(J698&lt;=0.005,"COLLECTED",IF(M698&lt;=30,"1-30",IF(M698&lt;=60,"31-60",IF(M698&lt;=90,"61-90","90+"))))</f>
        <v/>
      </c>
      <c r="O698" s="3">
        <f>IF(N698="90+","LOST",IF(N698="61-90","ESCALATE",IF(N698="31-60","WATCH",IF(N698="1-30","MILD","OK"))))</f>
        <v/>
      </c>
      <c r="P698" s="3">
        <f>IF(J698&gt;0.005,ROW()-1,"")</f>
        <v/>
      </c>
    </row>
    <row r="699">
      <c r="A699" s="3" t="inlineStr">
        <is>
          <t>D0698</t>
        </is>
      </c>
      <c r="B699" s="3">
        <f>INDEX(Raw_Schedule!B:B,MATCH(A699,Raw_Schedule!A:A,0))</f>
        <v/>
      </c>
      <c r="C699" s="3">
        <f>INDEX(Raw_Schedule!C:C,MATCH(A699,Raw_Schedule!A:A,0))</f>
        <v/>
      </c>
      <c r="D699" s="3">
        <f>INDEX(Raw_Schedule!D:D,MATCH(A699,Raw_Schedule!A:A,0))</f>
        <v/>
      </c>
      <c r="E699" s="3">
        <f>INDEX(Raw_Schedule!E:E,MATCH(A699,Raw_Schedule!A:A,0))</f>
        <v/>
      </c>
      <c r="F699" s="3">
        <f>INDEX(Raw_Schedule!F:F,MATCH(A699,Raw_Schedule!A:A,0))</f>
        <v/>
      </c>
      <c r="G699" s="4">
        <f>INDEX(Raw_Schedule!G:G,MATCH(A699,Raw_Schedule!A:A,0))</f>
        <v/>
      </c>
      <c r="H699" s="5">
        <f>INDEX(Raw_Schedule!H:H,MATCH(A699,Raw_Schedule!A:A,0))</f>
        <v/>
      </c>
      <c r="I699" s="5">
        <f>SUMIFS(Raw_Payments!E:E,Raw_Payments!B:B,A699)</f>
        <v/>
      </c>
      <c r="J699" s="5">
        <f>H699-I699</f>
        <v/>
      </c>
      <c r="K699" s="3">
        <f>IF(J699&lt;=0.005,"PAID",IF(I699&gt;0,"PARTIAL","OVERDUE"))</f>
        <v/>
      </c>
      <c r="L699" s="4">
        <f>IF(COUNTIFS(Raw_Payments!B:B,A699)=0,"",SUMPRODUCT(MAX((Raw_Payments!B$2:B$1079=A699)*Raw_Payments!D$2:D$1079)))</f>
        <v/>
      </c>
      <c r="M699" s="3">
        <f>IF(K699="PAID",MAX(0,L699-G699),Guide!$B$3-G699)</f>
        <v/>
      </c>
      <c r="N699" s="3">
        <f>IF(J699&lt;=0.005,"COLLECTED",IF(M699&lt;=30,"1-30",IF(M699&lt;=60,"31-60",IF(M699&lt;=90,"61-90","90+"))))</f>
        <v/>
      </c>
      <c r="O699" s="3">
        <f>IF(N699="90+","LOST",IF(N699="61-90","ESCALATE",IF(N699="31-60","WATCH",IF(N699="1-30","MILD","OK"))))</f>
        <v/>
      </c>
      <c r="P699" s="3">
        <f>IF(J699&gt;0.005,ROW()-1,"")</f>
        <v/>
      </c>
    </row>
    <row r="700">
      <c r="A700" s="3" t="inlineStr">
        <is>
          <t>D0699</t>
        </is>
      </c>
      <c r="B700" s="3">
        <f>INDEX(Raw_Schedule!B:B,MATCH(A700,Raw_Schedule!A:A,0))</f>
        <v/>
      </c>
      <c r="C700" s="3">
        <f>INDEX(Raw_Schedule!C:C,MATCH(A700,Raw_Schedule!A:A,0))</f>
        <v/>
      </c>
      <c r="D700" s="3">
        <f>INDEX(Raw_Schedule!D:D,MATCH(A700,Raw_Schedule!A:A,0))</f>
        <v/>
      </c>
      <c r="E700" s="3">
        <f>INDEX(Raw_Schedule!E:E,MATCH(A700,Raw_Schedule!A:A,0))</f>
        <v/>
      </c>
      <c r="F700" s="3">
        <f>INDEX(Raw_Schedule!F:F,MATCH(A700,Raw_Schedule!A:A,0))</f>
        <v/>
      </c>
      <c r="G700" s="4">
        <f>INDEX(Raw_Schedule!G:G,MATCH(A700,Raw_Schedule!A:A,0))</f>
        <v/>
      </c>
      <c r="H700" s="5">
        <f>INDEX(Raw_Schedule!H:H,MATCH(A700,Raw_Schedule!A:A,0))</f>
        <v/>
      </c>
      <c r="I700" s="5">
        <f>SUMIFS(Raw_Payments!E:E,Raw_Payments!B:B,A700)</f>
        <v/>
      </c>
      <c r="J700" s="5">
        <f>H700-I700</f>
        <v/>
      </c>
      <c r="K700" s="3">
        <f>IF(J700&lt;=0.005,"PAID",IF(I700&gt;0,"PARTIAL","OVERDUE"))</f>
        <v/>
      </c>
      <c r="L700" s="4">
        <f>IF(COUNTIFS(Raw_Payments!B:B,A700)=0,"",SUMPRODUCT(MAX((Raw_Payments!B$2:B$1079=A700)*Raw_Payments!D$2:D$1079)))</f>
        <v/>
      </c>
      <c r="M700" s="3">
        <f>IF(K700="PAID",MAX(0,L700-G700),Guide!$B$3-G700)</f>
        <v/>
      </c>
      <c r="N700" s="3">
        <f>IF(J700&lt;=0.005,"COLLECTED",IF(M700&lt;=30,"1-30",IF(M700&lt;=60,"31-60",IF(M700&lt;=90,"61-90","90+"))))</f>
        <v/>
      </c>
      <c r="O700" s="3">
        <f>IF(N700="90+","LOST",IF(N700="61-90","ESCALATE",IF(N700="31-60","WATCH",IF(N700="1-30","MILD","OK"))))</f>
        <v/>
      </c>
      <c r="P700" s="3">
        <f>IF(J700&gt;0.005,ROW()-1,"")</f>
        <v/>
      </c>
    </row>
    <row r="701">
      <c r="A701" s="3" t="inlineStr">
        <is>
          <t>D0700</t>
        </is>
      </c>
      <c r="B701" s="3">
        <f>INDEX(Raw_Schedule!B:B,MATCH(A701,Raw_Schedule!A:A,0))</f>
        <v/>
      </c>
      <c r="C701" s="3">
        <f>INDEX(Raw_Schedule!C:C,MATCH(A701,Raw_Schedule!A:A,0))</f>
        <v/>
      </c>
      <c r="D701" s="3">
        <f>INDEX(Raw_Schedule!D:D,MATCH(A701,Raw_Schedule!A:A,0))</f>
        <v/>
      </c>
      <c r="E701" s="3">
        <f>INDEX(Raw_Schedule!E:E,MATCH(A701,Raw_Schedule!A:A,0))</f>
        <v/>
      </c>
      <c r="F701" s="3">
        <f>INDEX(Raw_Schedule!F:F,MATCH(A701,Raw_Schedule!A:A,0))</f>
        <v/>
      </c>
      <c r="G701" s="4">
        <f>INDEX(Raw_Schedule!G:G,MATCH(A701,Raw_Schedule!A:A,0))</f>
        <v/>
      </c>
      <c r="H701" s="5">
        <f>INDEX(Raw_Schedule!H:H,MATCH(A701,Raw_Schedule!A:A,0))</f>
        <v/>
      </c>
      <c r="I701" s="5">
        <f>SUMIFS(Raw_Payments!E:E,Raw_Payments!B:B,A701)</f>
        <v/>
      </c>
      <c r="J701" s="5">
        <f>H701-I701</f>
        <v/>
      </c>
      <c r="K701" s="3">
        <f>IF(J701&lt;=0.005,"PAID",IF(I701&gt;0,"PARTIAL","OVERDUE"))</f>
        <v/>
      </c>
      <c r="L701" s="4">
        <f>IF(COUNTIFS(Raw_Payments!B:B,A701)=0,"",SUMPRODUCT(MAX((Raw_Payments!B$2:B$1079=A701)*Raw_Payments!D$2:D$1079)))</f>
        <v/>
      </c>
      <c r="M701" s="3">
        <f>IF(K701="PAID",MAX(0,L701-G701),Guide!$B$3-G701)</f>
        <v/>
      </c>
      <c r="N701" s="3">
        <f>IF(J701&lt;=0.005,"COLLECTED",IF(M701&lt;=30,"1-30",IF(M701&lt;=60,"31-60",IF(M701&lt;=90,"61-90","90+"))))</f>
        <v/>
      </c>
      <c r="O701" s="3">
        <f>IF(N701="90+","LOST",IF(N701="61-90","ESCALATE",IF(N701="31-60","WATCH",IF(N701="1-30","MILD","OK"))))</f>
        <v/>
      </c>
      <c r="P701" s="3">
        <f>IF(J701&gt;0.005,ROW()-1,"")</f>
        <v/>
      </c>
    </row>
    <row r="702">
      <c r="A702" s="3" t="inlineStr">
        <is>
          <t>D0701</t>
        </is>
      </c>
      <c r="B702" s="3">
        <f>INDEX(Raw_Schedule!B:B,MATCH(A702,Raw_Schedule!A:A,0))</f>
        <v/>
      </c>
      <c r="C702" s="3">
        <f>INDEX(Raw_Schedule!C:C,MATCH(A702,Raw_Schedule!A:A,0))</f>
        <v/>
      </c>
      <c r="D702" s="3">
        <f>INDEX(Raw_Schedule!D:D,MATCH(A702,Raw_Schedule!A:A,0))</f>
        <v/>
      </c>
      <c r="E702" s="3">
        <f>INDEX(Raw_Schedule!E:E,MATCH(A702,Raw_Schedule!A:A,0))</f>
        <v/>
      </c>
      <c r="F702" s="3">
        <f>INDEX(Raw_Schedule!F:F,MATCH(A702,Raw_Schedule!A:A,0))</f>
        <v/>
      </c>
      <c r="G702" s="4">
        <f>INDEX(Raw_Schedule!G:G,MATCH(A702,Raw_Schedule!A:A,0))</f>
        <v/>
      </c>
      <c r="H702" s="5">
        <f>INDEX(Raw_Schedule!H:H,MATCH(A702,Raw_Schedule!A:A,0))</f>
        <v/>
      </c>
      <c r="I702" s="5">
        <f>SUMIFS(Raw_Payments!E:E,Raw_Payments!B:B,A702)</f>
        <v/>
      </c>
      <c r="J702" s="5">
        <f>H702-I702</f>
        <v/>
      </c>
      <c r="K702" s="3">
        <f>IF(J702&lt;=0.005,"PAID",IF(I702&gt;0,"PARTIAL","OVERDUE"))</f>
        <v/>
      </c>
      <c r="L702" s="4">
        <f>IF(COUNTIFS(Raw_Payments!B:B,A702)=0,"",SUMPRODUCT(MAX((Raw_Payments!B$2:B$1079=A702)*Raw_Payments!D$2:D$1079)))</f>
        <v/>
      </c>
      <c r="M702" s="3">
        <f>IF(K702="PAID",MAX(0,L702-G702),Guide!$B$3-G702)</f>
        <v/>
      </c>
      <c r="N702" s="3">
        <f>IF(J702&lt;=0.005,"COLLECTED",IF(M702&lt;=30,"1-30",IF(M702&lt;=60,"31-60",IF(M702&lt;=90,"61-90","90+"))))</f>
        <v/>
      </c>
      <c r="O702" s="3">
        <f>IF(N702="90+","LOST",IF(N702="61-90","ESCALATE",IF(N702="31-60","WATCH",IF(N702="1-30","MILD","OK"))))</f>
        <v/>
      </c>
      <c r="P702" s="3">
        <f>IF(J702&gt;0.005,ROW()-1,"")</f>
        <v/>
      </c>
    </row>
    <row r="703">
      <c r="A703" s="3" t="inlineStr">
        <is>
          <t>D0702</t>
        </is>
      </c>
      <c r="B703" s="3">
        <f>INDEX(Raw_Schedule!B:B,MATCH(A703,Raw_Schedule!A:A,0))</f>
        <v/>
      </c>
      <c r="C703" s="3">
        <f>INDEX(Raw_Schedule!C:C,MATCH(A703,Raw_Schedule!A:A,0))</f>
        <v/>
      </c>
      <c r="D703" s="3">
        <f>INDEX(Raw_Schedule!D:D,MATCH(A703,Raw_Schedule!A:A,0))</f>
        <v/>
      </c>
      <c r="E703" s="3">
        <f>INDEX(Raw_Schedule!E:E,MATCH(A703,Raw_Schedule!A:A,0))</f>
        <v/>
      </c>
      <c r="F703" s="3">
        <f>INDEX(Raw_Schedule!F:F,MATCH(A703,Raw_Schedule!A:A,0))</f>
        <v/>
      </c>
      <c r="G703" s="4">
        <f>INDEX(Raw_Schedule!G:G,MATCH(A703,Raw_Schedule!A:A,0))</f>
        <v/>
      </c>
      <c r="H703" s="5">
        <f>INDEX(Raw_Schedule!H:H,MATCH(A703,Raw_Schedule!A:A,0))</f>
        <v/>
      </c>
      <c r="I703" s="5">
        <f>SUMIFS(Raw_Payments!E:E,Raw_Payments!B:B,A703)</f>
        <v/>
      </c>
      <c r="J703" s="5">
        <f>H703-I703</f>
        <v/>
      </c>
      <c r="K703" s="3">
        <f>IF(J703&lt;=0.005,"PAID",IF(I703&gt;0,"PARTIAL","OVERDUE"))</f>
        <v/>
      </c>
      <c r="L703" s="4">
        <f>IF(COUNTIFS(Raw_Payments!B:B,A703)=0,"",SUMPRODUCT(MAX((Raw_Payments!B$2:B$1079=A703)*Raw_Payments!D$2:D$1079)))</f>
        <v/>
      </c>
      <c r="M703" s="3">
        <f>IF(K703="PAID",MAX(0,L703-G703),Guide!$B$3-G703)</f>
        <v/>
      </c>
      <c r="N703" s="3">
        <f>IF(J703&lt;=0.005,"COLLECTED",IF(M703&lt;=30,"1-30",IF(M703&lt;=60,"31-60",IF(M703&lt;=90,"61-90","90+"))))</f>
        <v/>
      </c>
      <c r="O703" s="3">
        <f>IF(N703="90+","LOST",IF(N703="61-90","ESCALATE",IF(N703="31-60","WATCH",IF(N703="1-30","MILD","OK"))))</f>
        <v/>
      </c>
      <c r="P703" s="3">
        <f>IF(J703&gt;0.005,ROW()-1,"")</f>
        <v/>
      </c>
    </row>
    <row r="704">
      <c r="A704" s="3" t="inlineStr">
        <is>
          <t>D0703</t>
        </is>
      </c>
      <c r="B704" s="3">
        <f>INDEX(Raw_Schedule!B:B,MATCH(A704,Raw_Schedule!A:A,0))</f>
        <v/>
      </c>
      <c r="C704" s="3">
        <f>INDEX(Raw_Schedule!C:C,MATCH(A704,Raw_Schedule!A:A,0))</f>
        <v/>
      </c>
      <c r="D704" s="3">
        <f>INDEX(Raw_Schedule!D:D,MATCH(A704,Raw_Schedule!A:A,0))</f>
        <v/>
      </c>
      <c r="E704" s="3">
        <f>INDEX(Raw_Schedule!E:E,MATCH(A704,Raw_Schedule!A:A,0))</f>
        <v/>
      </c>
      <c r="F704" s="3">
        <f>INDEX(Raw_Schedule!F:F,MATCH(A704,Raw_Schedule!A:A,0))</f>
        <v/>
      </c>
      <c r="G704" s="4">
        <f>INDEX(Raw_Schedule!G:G,MATCH(A704,Raw_Schedule!A:A,0))</f>
        <v/>
      </c>
      <c r="H704" s="5">
        <f>INDEX(Raw_Schedule!H:H,MATCH(A704,Raw_Schedule!A:A,0))</f>
        <v/>
      </c>
      <c r="I704" s="5">
        <f>SUMIFS(Raw_Payments!E:E,Raw_Payments!B:B,A704)</f>
        <v/>
      </c>
      <c r="J704" s="5">
        <f>H704-I704</f>
        <v/>
      </c>
      <c r="K704" s="3">
        <f>IF(J704&lt;=0.005,"PAID",IF(I704&gt;0,"PARTIAL","OVERDUE"))</f>
        <v/>
      </c>
      <c r="L704" s="4">
        <f>IF(COUNTIFS(Raw_Payments!B:B,A704)=0,"",SUMPRODUCT(MAX((Raw_Payments!B$2:B$1079=A704)*Raw_Payments!D$2:D$1079)))</f>
        <v/>
      </c>
      <c r="M704" s="3">
        <f>IF(K704="PAID",MAX(0,L704-G704),Guide!$B$3-G704)</f>
        <v/>
      </c>
      <c r="N704" s="3">
        <f>IF(J704&lt;=0.005,"COLLECTED",IF(M704&lt;=30,"1-30",IF(M704&lt;=60,"31-60",IF(M704&lt;=90,"61-90","90+"))))</f>
        <v/>
      </c>
      <c r="O704" s="3">
        <f>IF(N704="90+","LOST",IF(N704="61-90","ESCALATE",IF(N704="31-60","WATCH",IF(N704="1-30","MILD","OK"))))</f>
        <v/>
      </c>
      <c r="P704" s="3">
        <f>IF(J704&gt;0.005,ROW()-1,"")</f>
        <v/>
      </c>
    </row>
    <row r="705">
      <c r="A705" s="3" t="inlineStr">
        <is>
          <t>D0704</t>
        </is>
      </c>
      <c r="B705" s="3">
        <f>INDEX(Raw_Schedule!B:B,MATCH(A705,Raw_Schedule!A:A,0))</f>
        <v/>
      </c>
      <c r="C705" s="3">
        <f>INDEX(Raw_Schedule!C:C,MATCH(A705,Raw_Schedule!A:A,0))</f>
        <v/>
      </c>
      <c r="D705" s="3">
        <f>INDEX(Raw_Schedule!D:D,MATCH(A705,Raw_Schedule!A:A,0))</f>
        <v/>
      </c>
      <c r="E705" s="3">
        <f>INDEX(Raw_Schedule!E:E,MATCH(A705,Raw_Schedule!A:A,0))</f>
        <v/>
      </c>
      <c r="F705" s="3">
        <f>INDEX(Raw_Schedule!F:F,MATCH(A705,Raw_Schedule!A:A,0))</f>
        <v/>
      </c>
      <c r="G705" s="4">
        <f>INDEX(Raw_Schedule!G:G,MATCH(A705,Raw_Schedule!A:A,0))</f>
        <v/>
      </c>
      <c r="H705" s="5">
        <f>INDEX(Raw_Schedule!H:H,MATCH(A705,Raw_Schedule!A:A,0))</f>
        <v/>
      </c>
      <c r="I705" s="5">
        <f>SUMIFS(Raw_Payments!E:E,Raw_Payments!B:B,A705)</f>
        <v/>
      </c>
      <c r="J705" s="5">
        <f>H705-I705</f>
        <v/>
      </c>
      <c r="K705" s="3">
        <f>IF(J705&lt;=0.005,"PAID",IF(I705&gt;0,"PARTIAL","OVERDUE"))</f>
        <v/>
      </c>
      <c r="L705" s="4">
        <f>IF(COUNTIFS(Raw_Payments!B:B,A705)=0,"",SUMPRODUCT(MAX((Raw_Payments!B$2:B$1079=A705)*Raw_Payments!D$2:D$1079)))</f>
        <v/>
      </c>
      <c r="M705" s="3">
        <f>IF(K705="PAID",MAX(0,L705-G705),Guide!$B$3-G705)</f>
        <v/>
      </c>
      <c r="N705" s="3">
        <f>IF(J705&lt;=0.005,"COLLECTED",IF(M705&lt;=30,"1-30",IF(M705&lt;=60,"31-60",IF(M705&lt;=90,"61-90","90+"))))</f>
        <v/>
      </c>
      <c r="O705" s="3">
        <f>IF(N705="90+","LOST",IF(N705="61-90","ESCALATE",IF(N705="31-60","WATCH",IF(N705="1-30","MILD","OK"))))</f>
        <v/>
      </c>
      <c r="P705" s="3">
        <f>IF(J705&gt;0.005,ROW()-1,"")</f>
        <v/>
      </c>
    </row>
    <row r="706">
      <c r="A706" s="3" t="inlineStr">
        <is>
          <t>D0705</t>
        </is>
      </c>
      <c r="B706" s="3">
        <f>INDEX(Raw_Schedule!B:B,MATCH(A706,Raw_Schedule!A:A,0))</f>
        <v/>
      </c>
      <c r="C706" s="3">
        <f>INDEX(Raw_Schedule!C:C,MATCH(A706,Raw_Schedule!A:A,0))</f>
        <v/>
      </c>
      <c r="D706" s="3">
        <f>INDEX(Raw_Schedule!D:D,MATCH(A706,Raw_Schedule!A:A,0))</f>
        <v/>
      </c>
      <c r="E706" s="3">
        <f>INDEX(Raw_Schedule!E:E,MATCH(A706,Raw_Schedule!A:A,0))</f>
        <v/>
      </c>
      <c r="F706" s="3">
        <f>INDEX(Raw_Schedule!F:F,MATCH(A706,Raw_Schedule!A:A,0))</f>
        <v/>
      </c>
      <c r="G706" s="4">
        <f>INDEX(Raw_Schedule!G:G,MATCH(A706,Raw_Schedule!A:A,0))</f>
        <v/>
      </c>
      <c r="H706" s="5">
        <f>INDEX(Raw_Schedule!H:H,MATCH(A706,Raw_Schedule!A:A,0))</f>
        <v/>
      </c>
      <c r="I706" s="5">
        <f>SUMIFS(Raw_Payments!E:E,Raw_Payments!B:B,A706)</f>
        <v/>
      </c>
      <c r="J706" s="5">
        <f>H706-I706</f>
        <v/>
      </c>
      <c r="K706" s="3">
        <f>IF(J706&lt;=0.005,"PAID",IF(I706&gt;0,"PARTIAL","OVERDUE"))</f>
        <v/>
      </c>
      <c r="L706" s="4">
        <f>IF(COUNTIFS(Raw_Payments!B:B,A706)=0,"",SUMPRODUCT(MAX((Raw_Payments!B$2:B$1079=A706)*Raw_Payments!D$2:D$1079)))</f>
        <v/>
      </c>
      <c r="M706" s="3">
        <f>IF(K706="PAID",MAX(0,L706-G706),Guide!$B$3-G706)</f>
        <v/>
      </c>
      <c r="N706" s="3">
        <f>IF(J706&lt;=0.005,"COLLECTED",IF(M706&lt;=30,"1-30",IF(M706&lt;=60,"31-60",IF(M706&lt;=90,"61-90","90+"))))</f>
        <v/>
      </c>
      <c r="O706" s="3">
        <f>IF(N706="90+","LOST",IF(N706="61-90","ESCALATE",IF(N706="31-60","WATCH",IF(N706="1-30","MILD","OK"))))</f>
        <v/>
      </c>
      <c r="P706" s="3">
        <f>IF(J706&gt;0.005,ROW()-1,"")</f>
        <v/>
      </c>
    </row>
    <row r="707">
      <c r="A707" s="3" t="inlineStr">
        <is>
          <t>D0706</t>
        </is>
      </c>
      <c r="B707" s="3">
        <f>INDEX(Raw_Schedule!B:B,MATCH(A707,Raw_Schedule!A:A,0))</f>
        <v/>
      </c>
      <c r="C707" s="3">
        <f>INDEX(Raw_Schedule!C:C,MATCH(A707,Raw_Schedule!A:A,0))</f>
        <v/>
      </c>
      <c r="D707" s="3">
        <f>INDEX(Raw_Schedule!D:D,MATCH(A707,Raw_Schedule!A:A,0))</f>
        <v/>
      </c>
      <c r="E707" s="3">
        <f>INDEX(Raw_Schedule!E:E,MATCH(A707,Raw_Schedule!A:A,0))</f>
        <v/>
      </c>
      <c r="F707" s="3">
        <f>INDEX(Raw_Schedule!F:F,MATCH(A707,Raw_Schedule!A:A,0))</f>
        <v/>
      </c>
      <c r="G707" s="4">
        <f>INDEX(Raw_Schedule!G:G,MATCH(A707,Raw_Schedule!A:A,0))</f>
        <v/>
      </c>
      <c r="H707" s="5">
        <f>INDEX(Raw_Schedule!H:H,MATCH(A707,Raw_Schedule!A:A,0))</f>
        <v/>
      </c>
      <c r="I707" s="5">
        <f>SUMIFS(Raw_Payments!E:E,Raw_Payments!B:B,A707)</f>
        <v/>
      </c>
      <c r="J707" s="5">
        <f>H707-I707</f>
        <v/>
      </c>
      <c r="K707" s="3">
        <f>IF(J707&lt;=0.005,"PAID",IF(I707&gt;0,"PARTIAL","OVERDUE"))</f>
        <v/>
      </c>
      <c r="L707" s="4">
        <f>IF(COUNTIFS(Raw_Payments!B:B,A707)=0,"",SUMPRODUCT(MAX((Raw_Payments!B$2:B$1079=A707)*Raw_Payments!D$2:D$1079)))</f>
        <v/>
      </c>
      <c r="M707" s="3">
        <f>IF(K707="PAID",MAX(0,L707-G707),Guide!$B$3-G707)</f>
        <v/>
      </c>
      <c r="N707" s="3">
        <f>IF(J707&lt;=0.005,"COLLECTED",IF(M707&lt;=30,"1-30",IF(M707&lt;=60,"31-60",IF(M707&lt;=90,"61-90","90+"))))</f>
        <v/>
      </c>
      <c r="O707" s="3">
        <f>IF(N707="90+","LOST",IF(N707="61-90","ESCALATE",IF(N707="31-60","WATCH",IF(N707="1-30","MILD","OK"))))</f>
        <v/>
      </c>
      <c r="P707" s="3">
        <f>IF(J707&gt;0.005,ROW()-1,"")</f>
        <v/>
      </c>
    </row>
    <row r="708">
      <c r="A708" s="3" t="inlineStr">
        <is>
          <t>D0707</t>
        </is>
      </c>
      <c r="B708" s="3">
        <f>INDEX(Raw_Schedule!B:B,MATCH(A708,Raw_Schedule!A:A,0))</f>
        <v/>
      </c>
      <c r="C708" s="3">
        <f>INDEX(Raw_Schedule!C:C,MATCH(A708,Raw_Schedule!A:A,0))</f>
        <v/>
      </c>
      <c r="D708" s="3">
        <f>INDEX(Raw_Schedule!D:D,MATCH(A708,Raw_Schedule!A:A,0))</f>
        <v/>
      </c>
      <c r="E708" s="3">
        <f>INDEX(Raw_Schedule!E:E,MATCH(A708,Raw_Schedule!A:A,0))</f>
        <v/>
      </c>
      <c r="F708" s="3">
        <f>INDEX(Raw_Schedule!F:F,MATCH(A708,Raw_Schedule!A:A,0))</f>
        <v/>
      </c>
      <c r="G708" s="4">
        <f>INDEX(Raw_Schedule!G:G,MATCH(A708,Raw_Schedule!A:A,0))</f>
        <v/>
      </c>
      <c r="H708" s="5">
        <f>INDEX(Raw_Schedule!H:H,MATCH(A708,Raw_Schedule!A:A,0))</f>
        <v/>
      </c>
      <c r="I708" s="5">
        <f>SUMIFS(Raw_Payments!E:E,Raw_Payments!B:B,A708)</f>
        <v/>
      </c>
      <c r="J708" s="5">
        <f>H708-I708</f>
        <v/>
      </c>
      <c r="K708" s="3">
        <f>IF(J708&lt;=0.005,"PAID",IF(I708&gt;0,"PARTIAL","OVERDUE"))</f>
        <v/>
      </c>
      <c r="L708" s="4">
        <f>IF(COUNTIFS(Raw_Payments!B:B,A708)=0,"",SUMPRODUCT(MAX((Raw_Payments!B$2:B$1079=A708)*Raw_Payments!D$2:D$1079)))</f>
        <v/>
      </c>
      <c r="M708" s="3">
        <f>IF(K708="PAID",MAX(0,L708-G708),Guide!$B$3-G708)</f>
        <v/>
      </c>
      <c r="N708" s="3">
        <f>IF(J708&lt;=0.005,"COLLECTED",IF(M708&lt;=30,"1-30",IF(M708&lt;=60,"31-60",IF(M708&lt;=90,"61-90","90+"))))</f>
        <v/>
      </c>
      <c r="O708" s="3">
        <f>IF(N708="90+","LOST",IF(N708="61-90","ESCALATE",IF(N708="31-60","WATCH",IF(N708="1-30","MILD","OK"))))</f>
        <v/>
      </c>
      <c r="P708" s="3">
        <f>IF(J708&gt;0.005,ROW()-1,"")</f>
        <v/>
      </c>
    </row>
    <row r="709">
      <c r="A709" s="3" t="inlineStr">
        <is>
          <t>D0708</t>
        </is>
      </c>
      <c r="B709" s="3">
        <f>INDEX(Raw_Schedule!B:B,MATCH(A709,Raw_Schedule!A:A,0))</f>
        <v/>
      </c>
      <c r="C709" s="3">
        <f>INDEX(Raw_Schedule!C:C,MATCH(A709,Raw_Schedule!A:A,0))</f>
        <v/>
      </c>
      <c r="D709" s="3">
        <f>INDEX(Raw_Schedule!D:D,MATCH(A709,Raw_Schedule!A:A,0))</f>
        <v/>
      </c>
      <c r="E709" s="3">
        <f>INDEX(Raw_Schedule!E:E,MATCH(A709,Raw_Schedule!A:A,0))</f>
        <v/>
      </c>
      <c r="F709" s="3">
        <f>INDEX(Raw_Schedule!F:F,MATCH(A709,Raw_Schedule!A:A,0))</f>
        <v/>
      </c>
      <c r="G709" s="4">
        <f>INDEX(Raw_Schedule!G:G,MATCH(A709,Raw_Schedule!A:A,0))</f>
        <v/>
      </c>
      <c r="H709" s="5">
        <f>INDEX(Raw_Schedule!H:H,MATCH(A709,Raw_Schedule!A:A,0))</f>
        <v/>
      </c>
      <c r="I709" s="5">
        <f>SUMIFS(Raw_Payments!E:E,Raw_Payments!B:B,A709)</f>
        <v/>
      </c>
      <c r="J709" s="5">
        <f>H709-I709</f>
        <v/>
      </c>
      <c r="K709" s="3">
        <f>IF(J709&lt;=0.005,"PAID",IF(I709&gt;0,"PARTIAL","OVERDUE"))</f>
        <v/>
      </c>
      <c r="L709" s="4">
        <f>IF(COUNTIFS(Raw_Payments!B:B,A709)=0,"",SUMPRODUCT(MAX((Raw_Payments!B$2:B$1079=A709)*Raw_Payments!D$2:D$1079)))</f>
        <v/>
      </c>
      <c r="M709" s="3">
        <f>IF(K709="PAID",MAX(0,L709-G709),Guide!$B$3-G709)</f>
        <v/>
      </c>
      <c r="N709" s="3">
        <f>IF(J709&lt;=0.005,"COLLECTED",IF(M709&lt;=30,"1-30",IF(M709&lt;=60,"31-60",IF(M709&lt;=90,"61-90","90+"))))</f>
        <v/>
      </c>
      <c r="O709" s="3">
        <f>IF(N709="90+","LOST",IF(N709="61-90","ESCALATE",IF(N709="31-60","WATCH",IF(N709="1-30","MILD","OK"))))</f>
        <v/>
      </c>
      <c r="P709" s="3">
        <f>IF(J709&gt;0.005,ROW()-1,"")</f>
        <v/>
      </c>
    </row>
    <row r="710">
      <c r="A710" s="3" t="inlineStr">
        <is>
          <t>D0709</t>
        </is>
      </c>
      <c r="B710" s="3">
        <f>INDEX(Raw_Schedule!B:B,MATCH(A710,Raw_Schedule!A:A,0))</f>
        <v/>
      </c>
      <c r="C710" s="3">
        <f>INDEX(Raw_Schedule!C:C,MATCH(A710,Raw_Schedule!A:A,0))</f>
        <v/>
      </c>
      <c r="D710" s="3">
        <f>INDEX(Raw_Schedule!D:D,MATCH(A710,Raw_Schedule!A:A,0))</f>
        <v/>
      </c>
      <c r="E710" s="3">
        <f>INDEX(Raw_Schedule!E:E,MATCH(A710,Raw_Schedule!A:A,0))</f>
        <v/>
      </c>
      <c r="F710" s="3">
        <f>INDEX(Raw_Schedule!F:F,MATCH(A710,Raw_Schedule!A:A,0))</f>
        <v/>
      </c>
      <c r="G710" s="4">
        <f>INDEX(Raw_Schedule!G:G,MATCH(A710,Raw_Schedule!A:A,0))</f>
        <v/>
      </c>
      <c r="H710" s="5">
        <f>INDEX(Raw_Schedule!H:H,MATCH(A710,Raw_Schedule!A:A,0))</f>
        <v/>
      </c>
      <c r="I710" s="5">
        <f>SUMIFS(Raw_Payments!E:E,Raw_Payments!B:B,A710)</f>
        <v/>
      </c>
      <c r="J710" s="5">
        <f>H710-I710</f>
        <v/>
      </c>
      <c r="K710" s="3">
        <f>IF(J710&lt;=0.005,"PAID",IF(I710&gt;0,"PARTIAL","OVERDUE"))</f>
        <v/>
      </c>
      <c r="L710" s="4">
        <f>IF(COUNTIFS(Raw_Payments!B:B,A710)=0,"",SUMPRODUCT(MAX((Raw_Payments!B$2:B$1079=A710)*Raw_Payments!D$2:D$1079)))</f>
        <v/>
      </c>
      <c r="M710" s="3">
        <f>IF(K710="PAID",MAX(0,L710-G710),Guide!$B$3-G710)</f>
        <v/>
      </c>
      <c r="N710" s="3">
        <f>IF(J710&lt;=0.005,"COLLECTED",IF(M710&lt;=30,"1-30",IF(M710&lt;=60,"31-60",IF(M710&lt;=90,"61-90","90+"))))</f>
        <v/>
      </c>
      <c r="O710" s="3">
        <f>IF(N710="90+","LOST",IF(N710="61-90","ESCALATE",IF(N710="31-60","WATCH",IF(N710="1-30","MILD","OK"))))</f>
        <v/>
      </c>
      <c r="P710" s="3">
        <f>IF(J710&gt;0.005,ROW()-1,"")</f>
        <v/>
      </c>
    </row>
    <row r="711">
      <c r="A711" s="3" t="inlineStr">
        <is>
          <t>D0710</t>
        </is>
      </c>
      <c r="B711" s="3">
        <f>INDEX(Raw_Schedule!B:B,MATCH(A711,Raw_Schedule!A:A,0))</f>
        <v/>
      </c>
      <c r="C711" s="3">
        <f>INDEX(Raw_Schedule!C:C,MATCH(A711,Raw_Schedule!A:A,0))</f>
        <v/>
      </c>
      <c r="D711" s="3">
        <f>INDEX(Raw_Schedule!D:D,MATCH(A711,Raw_Schedule!A:A,0))</f>
        <v/>
      </c>
      <c r="E711" s="3">
        <f>INDEX(Raw_Schedule!E:E,MATCH(A711,Raw_Schedule!A:A,0))</f>
        <v/>
      </c>
      <c r="F711" s="3">
        <f>INDEX(Raw_Schedule!F:F,MATCH(A711,Raw_Schedule!A:A,0))</f>
        <v/>
      </c>
      <c r="G711" s="4">
        <f>INDEX(Raw_Schedule!G:G,MATCH(A711,Raw_Schedule!A:A,0))</f>
        <v/>
      </c>
      <c r="H711" s="5">
        <f>INDEX(Raw_Schedule!H:H,MATCH(A711,Raw_Schedule!A:A,0))</f>
        <v/>
      </c>
      <c r="I711" s="5">
        <f>SUMIFS(Raw_Payments!E:E,Raw_Payments!B:B,A711)</f>
        <v/>
      </c>
      <c r="J711" s="5">
        <f>H711-I711</f>
        <v/>
      </c>
      <c r="K711" s="3">
        <f>IF(J711&lt;=0.005,"PAID",IF(I711&gt;0,"PARTIAL","OVERDUE"))</f>
        <v/>
      </c>
      <c r="L711" s="4">
        <f>IF(COUNTIFS(Raw_Payments!B:B,A711)=0,"",SUMPRODUCT(MAX((Raw_Payments!B$2:B$1079=A711)*Raw_Payments!D$2:D$1079)))</f>
        <v/>
      </c>
      <c r="M711" s="3">
        <f>IF(K711="PAID",MAX(0,L711-G711),Guide!$B$3-G711)</f>
        <v/>
      </c>
      <c r="N711" s="3">
        <f>IF(J711&lt;=0.005,"COLLECTED",IF(M711&lt;=30,"1-30",IF(M711&lt;=60,"31-60",IF(M711&lt;=90,"61-90","90+"))))</f>
        <v/>
      </c>
      <c r="O711" s="3">
        <f>IF(N711="90+","LOST",IF(N711="61-90","ESCALATE",IF(N711="31-60","WATCH",IF(N711="1-30","MILD","OK"))))</f>
        <v/>
      </c>
      <c r="P711" s="3">
        <f>IF(J711&gt;0.005,ROW()-1,"")</f>
        <v/>
      </c>
    </row>
    <row r="712">
      <c r="A712" s="3" t="inlineStr">
        <is>
          <t>D0711</t>
        </is>
      </c>
      <c r="B712" s="3">
        <f>INDEX(Raw_Schedule!B:B,MATCH(A712,Raw_Schedule!A:A,0))</f>
        <v/>
      </c>
      <c r="C712" s="3">
        <f>INDEX(Raw_Schedule!C:C,MATCH(A712,Raw_Schedule!A:A,0))</f>
        <v/>
      </c>
      <c r="D712" s="3">
        <f>INDEX(Raw_Schedule!D:D,MATCH(A712,Raw_Schedule!A:A,0))</f>
        <v/>
      </c>
      <c r="E712" s="3">
        <f>INDEX(Raw_Schedule!E:E,MATCH(A712,Raw_Schedule!A:A,0))</f>
        <v/>
      </c>
      <c r="F712" s="3">
        <f>INDEX(Raw_Schedule!F:F,MATCH(A712,Raw_Schedule!A:A,0))</f>
        <v/>
      </c>
      <c r="G712" s="4">
        <f>INDEX(Raw_Schedule!G:G,MATCH(A712,Raw_Schedule!A:A,0))</f>
        <v/>
      </c>
      <c r="H712" s="5">
        <f>INDEX(Raw_Schedule!H:H,MATCH(A712,Raw_Schedule!A:A,0))</f>
        <v/>
      </c>
      <c r="I712" s="5">
        <f>SUMIFS(Raw_Payments!E:E,Raw_Payments!B:B,A712)</f>
        <v/>
      </c>
      <c r="J712" s="5">
        <f>H712-I712</f>
        <v/>
      </c>
      <c r="K712" s="3">
        <f>IF(J712&lt;=0.005,"PAID",IF(I712&gt;0,"PARTIAL","OVERDUE"))</f>
        <v/>
      </c>
      <c r="L712" s="4">
        <f>IF(COUNTIFS(Raw_Payments!B:B,A712)=0,"",SUMPRODUCT(MAX((Raw_Payments!B$2:B$1079=A712)*Raw_Payments!D$2:D$1079)))</f>
        <v/>
      </c>
      <c r="M712" s="3">
        <f>IF(K712="PAID",MAX(0,L712-G712),Guide!$B$3-G712)</f>
        <v/>
      </c>
      <c r="N712" s="3">
        <f>IF(J712&lt;=0.005,"COLLECTED",IF(M712&lt;=30,"1-30",IF(M712&lt;=60,"31-60",IF(M712&lt;=90,"61-90","90+"))))</f>
        <v/>
      </c>
      <c r="O712" s="3">
        <f>IF(N712="90+","LOST",IF(N712="61-90","ESCALATE",IF(N712="31-60","WATCH",IF(N712="1-30","MILD","OK"))))</f>
        <v/>
      </c>
      <c r="P712" s="3">
        <f>IF(J712&gt;0.005,ROW()-1,"")</f>
        <v/>
      </c>
    </row>
    <row r="713">
      <c r="A713" s="3" t="inlineStr">
        <is>
          <t>D0712</t>
        </is>
      </c>
      <c r="B713" s="3">
        <f>INDEX(Raw_Schedule!B:B,MATCH(A713,Raw_Schedule!A:A,0))</f>
        <v/>
      </c>
      <c r="C713" s="3">
        <f>INDEX(Raw_Schedule!C:C,MATCH(A713,Raw_Schedule!A:A,0))</f>
        <v/>
      </c>
      <c r="D713" s="3">
        <f>INDEX(Raw_Schedule!D:D,MATCH(A713,Raw_Schedule!A:A,0))</f>
        <v/>
      </c>
      <c r="E713" s="3">
        <f>INDEX(Raw_Schedule!E:E,MATCH(A713,Raw_Schedule!A:A,0))</f>
        <v/>
      </c>
      <c r="F713" s="3">
        <f>INDEX(Raw_Schedule!F:F,MATCH(A713,Raw_Schedule!A:A,0))</f>
        <v/>
      </c>
      <c r="G713" s="4">
        <f>INDEX(Raw_Schedule!G:G,MATCH(A713,Raw_Schedule!A:A,0))</f>
        <v/>
      </c>
      <c r="H713" s="5">
        <f>INDEX(Raw_Schedule!H:H,MATCH(A713,Raw_Schedule!A:A,0))</f>
        <v/>
      </c>
      <c r="I713" s="5">
        <f>SUMIFS(Raw_Payments!E:E,Raw_Payments!B:B,A713)</f>
        <v/>
      </c>
      <c r="J713" s="5">
        <f>H713-I713</f>
        <v/>
      </c>
      <c r="K713" s="3">
        <f>IF(J713&lt;=0.005,"PAID",IF(I713&gt;0,"PARTIAL","OVERDUE"))</f>
        <v/>
      </c>
      <c r="L713" s="4">
        <f>IF(COUNTIFS(Raw_Payments!B:B,A713)=0,"",SUMPRODUCT(MAX((Raw_Payments!B$2:B$1079=A713)*Raw_Payments!D$2:D$1079)))</f>
        <v/>
      </c>
      <c r="M713" s="3">
        <f>IF(K713="PAID",MAX(0,L713-G713),Guide!$B$3-G713)</f>
        <v/>
      </c>
      <c r="N713" s="3">
        <f>IF(J713&lt;=0.005,"COLLECTED",IF(M713&lt;=30,"1-30",IF(M713&lt;=60,"31-60",IF(M713&lt;=90,"61-90","90+"))))</f>
        <v/>
      </c>
      <c r="O713" s="3">
        <f>IF(N713="90+","LOST",IF(N713="61-90","ESCALATE",IF(N713="31-60","WATCH",IF(N713="1-30","MILD","OK"))))</f>
        <v/>
      </c>
      <c r="P713" s="3">
        <f>IF(J713&gt;0.005,ROW()-1,"")</f>
        <v/>
      </c>
    </row>
    <row r="714">
      <c r="A714" s="3" t="inlineStr">
        <is>
          <t>D0713</t>
        </is>
      </c>
      <c r="B714" s="3">
        <f>INDEX(Raw_Schedule!B:B,MATCH(A714,Raw_Schedule!A:A,0))</f>
        <v/>
      </c>
      <c r="C714" s="3">
        <f>INDEX(Raw_Schedule!C:C,MATCH(A714,Raw_Schedule!A:A,0))</f>
        <v/>
      </c>
      <c r="D714" s="3">
        <f>INDEX(Raw_Schedule!D:D,MATCH(A714,Raw_Schedule!A:A,0))</f>
        <v/>
      </c>
      <c r="E714" s="3">
        <f>INDEX(Raw_Schedule!E:E,MATCH(A714,Raw_Schedule!A:A,0))</f>
        <v/>
      </c>
      <c r="F714" s="3">
        <f>INDEX(Raw_Schedule!F:F,MATCH(A714,Raw_Schedule!A:A,0))</f>
        <v/>
      </c>
      <c r="G714" s="4">
        <f>INDEX(Raw_Schedule!G:G,MATCH(A714,Raw_Schedule!A:A,0))</f>
        <v/>
      </c>
      <c r="H714" s="5">
        <f>INDEX(Raw_Schedule!H:H,MATCH(A714,Raw_Schedule!A:A,0))</f>
        <v/>
      </c>
      <c r="I714" s="5">
        <f>SUMIFS(Raw_Payments!E:E,Raw_Payments!B:B,A714)</f>
        <v/>
      </c>
      <c r="J714" s="5">
        <f>H714-I714</f>
        <v/>
      </c>
      <c r="K714" s="3">
        <f>IF(J714&lt;=0.005,"PAID",IF(I714&gt;0,"PARTIAL","OVERDUE"))</f>
        <v/>
      </c>
      <c r="L714" s="4">
        <f>IF(COUNTIFS(Raw_Payments!B:B,A714)=0,"",SUMPRODUCT(MAX((Raw_Payments!B$2:B$1079=A714)*Raw_Payments!D$2:D$1079)))</f>
        <v/>
      </c>
      <c r="M714" s="3">
        <f>IF(K714="PAID",MAX(0,L714-G714),Guide!$B$3-G714)</f>
        <v/>
      </c>
      <c r="N714" s="3">
        <f>IF(J714&lt;=0.005,"COLLECTED",IF(M714&lt;=30,"1-30",IF(M714&lt;=60,"31-60",IF(M714&lt;=90,"61-90","90+"))))</f>
        <v/>
      </c>
      <c r="O714" s="3">
        <f>IF(N714="90+","LOST",IF(N714="61-90","ESCALATE",IF(N714="31-60","WATCH",IF(N714="1-30","MILD","OK"))))</f>
        <v/>
      </c>
      <c r="P714" s="3">
        <f>IF(J714&gt;0.005,ROW()-1,"")</f>
        <v/>
      </c>
    </row>
    <row r="715">
      <c r="A715" s="3" t="inlineStr">
        <is>
          <t>D0714</t>
        </is>
      </c>
      <c r="B715" s="3">
        <f>INDEX(Raw_Schedule!B:B,MATCH(A715,Raw_Schedule!A:A,0))</f>
        <v/>
      </c>
      <c r="C715" s="3">
        <f>INDEX(Raw_Schedule!C:C,MATCH(A715,Raw_Schedule!A:A,0))</f>
        <v/>
      </c>
      <c r="D715" s="3">
        <f>INDEX(Raw_Schedule!D:D,MATCH(A715,Raw_Schedule!A:A,0))</f>
        <v/>
      </c>
      <c r="E715" s="3">
        <f>INDEX(Raw_Schedule!E:E,MATCH(A715,Raw_Schedule!A:A,0))</f>
        <v/>
      </c>
      <c r="F715" s="3">
        <f>INDEX(Raw_Schedule!F:F,MATCH(A715,Raw_Schedule!A:A,0))</f>
        <v/>
      </c>
      <c r="G715" s="4">
        <f>INDEX(Raw_Schedule!G:G,MATCH(A715,Raw_Schedule!A:A,0))</f>
        <v/>
      </c>
      <c r="H715" s="5">
        <f>INDEX(Raw_Schedule!H:H,MATCH(A715,Raw_Schedule!A:A,0))</f>
        <v/>
      </c>
      <c r="I715" s="5">
        <f>SUMIFS(Raw_Payments!E:E,Raw_Payments!B:B,A715)</f>
        <v/>
      </c>
      <c r="J715" s="5">
        <f>H715-I715</f>
        <v/>
      </c>
      <c r="K715" s="3">
        <f>IF(J715&lt;=0.005,"PAID",IF(I715&gt;0,"PARTIAL","OVERDUE"))</f>
        <v/>
      </c>
      <c r="L715" s="4">
        <f>IF(COUNTIFS(Raw_Payments!B:B,A715)=0,"",SUMPRODUCT(MAX((Raw_Payments!B$2:B$1079=A715)*Raw_Payments!D$2:D$1079)))</f>
        <v/>
      </c>
      <c r="M715" s="3">
        <f>IF(K715="PAID",MAX(0,L715-G715),Guide!$B$3-G715)</f>
        <v/>
      </c>
      <c r="N715" s="3">
        <f>IF(J715&lt;=0.005,"COLLECTED",IF(M715&lt;=30,"1-30",IF(M715&lt;=60,"31-60",IF(M715&lt;=90,"61-90","90+"))))</f>
        <v/>
      </c>
      <c r="O715" s="3">
        <f>IF(N715="90+","LOST",IF(N715="61-90","ESCALATE",IF(N715="31-60","WATCH",IF(N715="1-30","MILD","OK"))))</f>
        <v/>
      </c>
      <c r="P715" s="3">
        <f>IF(J715&gt;0.005,ROW()-1,"")</f>
        <v/>
      </c>
    </row>
    <row r="716">
      <c r="A716" s="3" t="inlineStr">
        <is>
          <t>D0715</t>
        </is>
      </c>
      <c r="B716" s="3">
        <f>INDEX(Raw_Schedule!B:B,MATCH(A716,Raw_Schedule!A:A,0))</f>
        <v/>
      </c>
      <c r="C716" s="3">
        <f>INDEX(Raw_Schedule!C:C,MATCH(A716,Raw_Schedule!A:A,0))</f>
        <v/>
      </c>
      <c r="D716" s="3">
        <f>INDEX(Raw_Schedule!D:D,MATCH(A716,Raw_Schedule!A:A,0))</f>
        <v/>
      </c>
      <c r="E716" s="3">
        <f>INDEX(Raw_Schedule!E:E,MATCH(A716,Raw_Schedule!A:A,0))</f>
        <v/>
      </c>
      <c r="F716" s="3">
        <f>INDEX(Raw_Schedule!F:F,MATCH(A716,Raw_Schedule!A:A,0))</f>
        <v/>
      </c>
      <c r="G716" s="4">
        <f>INDEX(Raw_Schedule!G:G,MATCH(A716,Raw_Schedule!A:A,0))</f>
        <v/>
      </c>
      <c r="H716" s="5">
        <f>INDEX(Raw_Schedule!H:H,MATCH(A716,Raw_Schedule!A:A,0))</f>
        <v/>
      </c>
      <c r="I716" s="5">
        <f>SUMIFS(Raw_Payments!E:E,Raw_Payments!B:B,A716)</f>
        <v/>
      </c>
      <c r="J716" s="5">
        <f>H716-I716</f>
        <v/>
      </c>
      <c r="K716" s="3">
        <f>IF(J716&lt;=0.005,"PAID",IF(I716&gt;0,"PARTIAL","OVERDUE"))</f>
        <v/>
      </c>
      <c r="L716" s="4">
        <f>IF(COUNTIFS(Raw_Payments!B:B,A716)=0,"",SUMPRODUCT(MAX((Raw_Payments!B$2:B$1079=A716)*Raw_Payments!D$2:D$1079)))</f>
        <v/>
      </c>
      <c r="M716" s="3">
        <f>IF(K716="PAID",MAX(0,L716-G716),Guide!$B$3-G716)</f>
        <v/>
      </c>
      <c r="N716" s="3">
        <f>IF(J716&lt;=0.005,"COLLECTED",IF(M716&lt;=30,"1-30",IF(M716&lt;=60,"31-60",IF(M716&lt;=90,"61-90","90+"))))</f>
        <v/>
      </c>
      <c r="O716" s="3">
        <f>IF(N716="90+","LOST",IF(N716="61-90","ESCALATE",IF(N716="31-60","WATCH",IF(N716="1-30","MILD","OK"))))</f>
        <v/>
      </c>
      <c r="P716" s="3">
        <f>IF(J716&gt;0.005,ROW()-1,"")</f>
        <v/>
      </c>
    </row>
    <row r="717">
      <c r="A717" s="3" t="inlineStr">
        <is>
          <t>D0716</t>
        </is>
      </c>
      <c r="B717" s="3">
        <f>INDEX(Raw_Schedule!B:B,MATCH(A717,Raw_Schedule!A:A,0))</f>
        <v/>
      </c>
      <c r="C717" s="3">
        <f>INDEX(Raw_Schedule!C:C,MATCH(A717,Raw_Schedule!A:A,0))</f>
        <v/>
      </c>
      <c r="D717" s="3">
        <f>INDEX(Raw_Schedule!D:D,MATCH(A717,Raw_Schedule!A:A,0))</f>
        <v/>
      </c>
      <c r="E717" s="3">
        <f>INDEX(Raw_Schedule!E:E,MATCH(A717,Raw_Schedule!A:A,0))</f>
        <v/>
      </c>
      <c r="F717" s="3">
        <f>INDEX(Raw_Schedule!F:F,MATCH(A717,Raw_Schedule!A:A,0))</f>
        <v/>
      </c>
      <c r="G717" s="4">
        <f>INDEX(Raw_Schedule!G:G,MATCH(A717,Raw_Schedule!A:A,0))</f>
        <v/>
      </c>
      <c r="H717" s="5">
        <f>INDEX(Raw_Schedule!H:H,MATCH(A717,Raw_Schedule!A:A,0))</f>
        <v/>
      </c>
      <c r="I717" s="5">
        <f>SUMIFS(Raw_Payments!E:E,Raw_Payments!B:B,A717)</f>
        <v/>
      </c>
      <c r="J717" s="5">
        <f>H717-I717</f>
        <v/>
      </c>
      <c r="K717" s="3">
        <f>IF(J717&lt;=0.005,"PAID",IF(I717&gt;0,"PARTIAL","OVERDUE"))</f>
        <v/>
      </c>
      <c r="L717" s="4">
        <f>IF(COUNTIFS(Raw_Payments!B:B,A717)=0,"",SUMPRODUCT(MAX((Raw_Payments!B$2:B$1079=A717)*Raw_Payments!D$2:D$1079)))</f>
        <v/>
      </c>
      <c r="M717" s="3">
        <f>IF(K717="PAID",MAX(0,L717-G717),Guide!$B$3-G717)</f>
        <v/>
      </c>
      <c r="N717" s="3">
        <f>IF(J717&lt;=0.005,"COLLECTED",IF(M717&lt;=30,"1-30",IF(M717&lt;=60,"31-60",IF(M717&lt;=90,"61-90","90+"))))</f>
        <v/>
      </c>
      <c r="O717" s="3">
        <f>IF(N717="90+","LOST",IF(N717="61-90","ESCALATE",IF(N717="31-60","WATCH",IF(N717="1-30","MILD","OK"))))</f>
        <v/>
      </c>
      <c r="P717" s="3">
        <f>IF(J717&gt;0.005,ROW()-1,"")</f>
        <v/>
      </c>
    </row>
    <row r="718">
      <c r="A718" s="3" t="inlineStr">
        <is>
          <t>D0717</t>
        </is>
      </c>
      <c r="B718" s="3">
        <f>INDEX(Raw_Schedule!B:B,MATCH(A718,Raw_Schedule!A:A,0))</f>
        <v/>
      </c>
      <c r="C718" s="3">
        <f>INDEX(Raw_Schedule!C:C,MATCH(A718,Raw_Schedule!A:A,0))</f>
        <v/>
      </c>
      <c r="D718" s="3">
        <f>INDEX(Raw_Schedule!D:D,MATCH(A718,Raw_Schedule!A:A,0))</f>
        <v/>
      </c>
      <c r="E718" s="3">
        <f>INDEX(Raw_Schedule!E:E,MATCH(A718,Raw_Schedule!A:A,0))</f>
        <v/>
      </c>
      <c r="F718" s="3">
        <f>INDEX(Raw_Schedule!F:F,MATCH(A718,Raw_Schedule!A:A,0))</f>
        <v/>
      </c>
      <c r="G718" s="4">
        <f>INDEX(Raw_Schedule!G:G,MATCH(A718,Raw_Schedule!A:A,0))</f>
        <v/>
      </c>
      <c r="H718" s="5">
        <f>INDEX(Raw_Schedule!H:H,MATCH(A718,Raw_Schedule!A:A,0))</f>
        <v/>
      </c>
      <c r="I718" s="5">
        <f>SUMIFS(Raw_Payments!E:E,Raw_Payments!B:B,A718)</f>
        <v/>
      </c>
      <c r="J718" s="5">
        <f>H718-I718</f>
        <v/>
      </c>
      <c r="K718" s="3">
        <f>IF(J718&lt;=0.005,"PAID",IF(I718&gt;0,"PARTIAL","OVERDUE"))</f>
        <v/>
      </c>
      <c r="L718" s="4">
        <f>IF(COUNTIFS(Raw_Payments!B:B,A718)=0,"",SUMPRODUCT(MAX((Raw_Payments!B$2:B$1079=A718)*Raw_Payments!D$2:D$1079)))</f>
        <v/>
      </c>
      <c r="M718" s="3">
        <f>IF(K718="PAID",MAX(0,L718-G718),Guide!$B$3-G718)</f>
        <v/>
      </c>
      <c r="N718" s="3">
        <f>IF(J718&lt;=0.005,"COLLECTED",IF(M718&lt;=30,"1-30",IF(M718&lt;=60,"31-60",IF(M718&lt;=90,"61-90","90+"))))</f>
        <v/>
      </c>
      <c r="O718" s="3">
        <f>IF(N718="90+","LOST",IF(N718="61-90","ESCALATE",IF(N718="31-60","WATCH",IF(N718="1-30","MILD","OK"))))</f>
        <v/>
      </c>
      <c r="P718" s="3">
        <f>IF(J718&gt;0.005,ROW()-1,"")</f>
        <v/>
      </c>
    </row>
    <row r="719">
      <c r="A719" s="3" t="inlineStr">
        <is>
          <t>D0718</t>
        </is>
      </c>
      <c r="B719" s="3">
        <f>INDEX(Raw_Schedule!B:B,MATCH(A719,Raw_Schedule!A:A,0))</f>
        <v/>
      </c>
      <c r="C719" s="3">
        <f>INDEX(Raw_Schedule!C:C,MATCH(A719,Raw_Schedule!A:A,0))</f>
        <v/>
      </c>
      <c r="D719" s="3">
        <f>INDEX(Raw_Schedule!D:D,MATCH(A719,Raw_Schedule!A:A,0))</f>
        <v/>
      </c>
      <c r="E719" s="3">
        <f>INDEX(Raw_Schedule!E:E,MATCH(A719,Raw_Schedule!A:A,0))</f>
        <v/>
      </c>
      <c r="F719" s="3">
        <f>INDEX(Raw_Schedule!F:F,MATCH(A719,Raw_Schedule!A:A,0))</f>
        <v/>
      </c>
      <c r="G719" s="4">
        <f>INDEX(Raw_Schedule!G:G,MATCH(A719,Raw_Schedule!A:A,0))</f>
        <v/>
      </c>
      <c r="H719" s="5">
        <f>INDEX(Raw_Schedule!H:H,MATCH(A719,Raw_Schedule!A:A,0))</f>
        <v/>
      </c>
      <c r="I719" s="5">
        <f>SUMIFS(Raw_Payments!E:E,Raw_Payments!B:B,A719)</f>
        <v/>
      </c>
      <c r="J719" s="5">
        <f>H719-I719</f>
        <v/>
      </c>
      <c r="K719" s="3">
        <f>IF(J719&lt;=0.005,"PAID",IF(I719&gt;0,"PARTIAL","OVERDUE"))</f>
        <v/>
      </c>
      <c r="L719" s="4">
        <f>IF(COUNTIFS(Raw_Payments!B:B,A719)=0,"",SUMPRODUCT(MAX((Raw_Payments!B$2:B$1079=A719)*Raw_Payments!D$2:D$1079)))</f>
        <v/>
      </c>
      <c r="M719" s="3">
        <f>IF(K719="PAID",MAX(0,L719-G719),Guide!$B$3-G719)</f>
        <v/>
      </c>
      <c r="N719" s="3">
        <f>IF(J719&lt;=0.005,"COLLECTED",IF(M719&lt;=30,"1-30",IF(M719&lt;=60,"31-60",IF(M719&lt;=90,"61-90","90+"))))</f>
        <v/>
      </c>
      <c r="O719" s="3">
        <f>IF(N719="90+","LOST",IF(N719="61-90","ESCALATE",IF(N719="31-60","WATCH",IF(N719="1-30","MILD","OK"))))</f>
        <v/>
      </c>
      <c r="P719" s="3">
        <f>IF(J719&gt;0.005,ROW()-1,"")</f>
        <v/>
      </c>
    </row>
    <row r="720">
      <c r="A720" s="3" t="inlineStr">
        <is>
          <t>D0719</t>
        </is>
      </c>
      <c r="B720" s="3">
        <f>INDEX(Raw_Schedule!B:B,MATCH(A720,Raw_Schedule!A:A,0))</f>
        <v/>
      </c>
      <c r="C720" s="3">
        <f>INDEX(Raw_Schedule!C:C,MATCH(A720,Raw_Schedule!A:A,0))</f>
        <v/>
      </c>
      <c r="D720" s="3">
        <f>INDEX(Raw_Schedule!D:D,MATCH(A720,Raw_Schedule!A:A,0))</f>
        <v/>
      </c>
      <c r="E720" s="3">
        <f>INDEX(Raw_Schedule!E:E,MATCH(A720,Raw_Schedule!A:A,0))</f>
        <v/>
      </c>
      <c r="F720" s="3">
        <f>INDEX(Raw_Schedule!F:F,MATCH(A720,Raw_Schedule!A:A,0))</f>
        <v/>
      </c>
      <c r="G720" s="4">
        <f>INDEX(Raw_Schedule!G:G,MATCH(A720,Raw_Schedule!A:A,0))</f>
        <v/>
      </c>
      <c r="H720" s="5">
        <f>INDEX(Raw_Schedule!H:H,MATCH(A720,Raw_Schedule!A:A,0))</f>
        <v/>
      </c>
      <c r="I720" s="5">
        <f>SUMIFS(Raw_Payments!E:E,Raw_Payments!B:B,A720)</f>
        <v/>
      </c>
      <c r="J720" s="5">
        <f>H720-I720</f>
        <v/>
      </c>
      <c r="K720" s="3">
        <f>IF(J720&lt;=0.005,"PAID",IF(I720&gt;0,"PARTIAL","OVERDUE"))</f>
        <v/>
      </c>
      <c r="L720" s="4">
        <f>IF(COUNTIFS(Raw_Payments!B:B,A720)=0,"",SUMPRODUCT(MAX((Raw_Payments!B$2:B$1079=A720)*Raw_Payments!D$2:D$1079)))</f>
        <v/>
      </c>
      <c r="M720" s="3">
        <f>IF(K720="PAID",MAX(0,L720-G720),Guide!$B$3-G720)</f>
        <v/>
      </c>
      <c r="N720" s="3">
        <f>IF(J720&lt;=0.005,"COLLECTED",IF(M720&lt;=30,"1-30",IF(M720&lt;=60,"31-60",IF(M720&lt;=90,"61-90","90+"))))</f>
        <v/>
      </c>
      <c r="O720" s="3">
        <f>IF(N720="90+","LOST",IF(N720="61-90","ESCALATE",IF(N720="31-60","WATCH",IF(N720="1-30","MILD","OK"))))</f>
        <v/>
      </c>
      <c r="P720" s="3">
        <f>IF(J720&gt;0.005,ROW()-1,"")</f>
        <v/>
      </c>
    </row>
    <row r="721">
      <c r="A721" s="3" t="inlineStr">
        <is>
          <t>D0720</t>
        </is>
      </c>
      <c r="B721" s="3">
        <f>INDEX(Raw_Schedule!B:B,MATCH(A721,Raw_Schedule!A:A,0))</f>
        <v/>
      </c>
      <c r="C721" s="3">
        <f>INDEX(Raw_Schedule!C:C,MATCH(A721,Raw_Schedule!A:A,0))</f>
        <v/>
      </c>
      <c r="D721" s="3">
        <f>INDEX(Raw_Schedule!D:D,MATCH(A721,Raw_Schedule!A:A,0))</f>
        <v/>
      </c>
      <c r="E721" s="3">
        <f>INDEX(Raw_Schedule!E:E,MATCH(A721,Raw_Schedule!A:A,0))</f>
        <v/>
      </c>
      <c r="F721" s="3">
        <f>INDEX(Raw_Schedule!F:F,MATCH(A721,Raw_Schedule!A:A,0))</f>
        <v/>
      </c>
      <c r="G721" s="4">
        <f>INDEX(Raw_Schedule!G:G,MATCH(A721,Raw_Schedule!A:A,0))</f>
        <v/>
      </c>
      <c r="H721" s="5">
        <f>INDEX(Raw_Schedule!H:H,MATCH(A721,Raw_Schedule!A:A,0))</f>
        <v/>
      </c>
      <c r="I721" s="5">
        <f>SUMIFS(Raw_Payments!E:E,Raw_Payments!B:B,A721)</f>
        <v/>
      </c>
      <c r="J721" s="5">
        <f>H721-I721</f>
        <v/>
      </c>
      <c r="K721" s="3">
        <f>IF(J721&lt;=0.005,"PAID",IF(I721&gt;0,"PARTIAL","OVERDUE"))</f>
        <v/>
      </c>
      <c r="L721" s="4">
        <f>IF(COUNTIFS(Raw_Payments!B:B,A721)=0,"",SUMPRODUCT(MAX((Raw_Payments!B$2:B$1079=A721)*Raw_Payments!D$2:D$1079)))</f>
        <v/>
      </c>
      <c r="M721" s="3">
        <f>IF(K721="PAID",MAX(0,L721-G721),Guide!$B$3-G721)</f>
        <v/>
      </c>
      <c r="N721" s="3">
        <f>IF(J721&lt;=0.005,"COLLECTED",IF(M721&lt;=30,"1-30",IF(M721&lt;=60,"31-60",IF(M721&lt;=90,"61-90","90+"))))</f>
        <v/>
      </c>
      <c r="O721" s="3">
        <f>IF(N721="90+","LOST",IF(N721="61-90","ESCALATE",IF(N721="31-60","WATCH",IF(N721="1-30","MILD","OK"))))</f>
        <v/>
      </c>
      <c r="P721" s="3">
        <f>IF(J721&gt;0.005,ROW()-1,"")</f>
        <v/>
      </c>
    </row>
    <row r="722">
      <c r="A722" s="3" t="inlineStr">
        <is>
          <t>D0721</t>
        </is>
      </c>
      <c r="B722" s="3">
        <f>INDEX(Raw_Schedule!B:B,MATCH(A722,Raw_Schedule!A:A,0))</f>
        <v/>
      </c>
      <c r="C722" s="3">
        <f>INDEX(Raw_Schedule!C:C,MATCH(A722,Raw_Schedule!A:A,0))</f>
        <v/>
      </c>
      <c r="D722" s="3">
        <f>INDEX(Raw_Schedule!D:D,MATCH(A722,Raw_Schedule!A:A,0))</f>
        <v/>
      </c>
      <c r="E722" s="3">
        <f>INDEX(Raw_Schedule!E:E,MATCH(A722,Raw_Schedule!A:A,0))</f>
        <v/>
      </c>
      <c r="F722" s="3">
        <f>INDEX(Raw_Schedule!F:F,MATCH(A722,Raw_Schedule!A:A,0))</f>
        <v/>
      </c>
      <c r="G722" s="4">
        <f>INDEX(Raw_Schedule!G:G,MATCH(A722,Raw_Schedule!A:A,0))</f>
        <v/>
      </c>
      <c r="H722" s="5">
        <f>INDEX(Raw_Schedule!H:H,MATCH(A722,Raw_Schedule!A:A,0))</f>
        <v/>
      </c>
      <c r="I722" s="5">
        <f>SUMIFS(Raw_Payments!E:E,Raw_Payments!B:B,A722)</f>
        <v/>
      </c>
      <c r="J722" s="5">
        <f>H722-I722</f>
        <v/>
      </c>
      <c r="K722" s="3">
        <f>IF(J722&lt;=0.005,"PAID",IF(I722&gt;0,"PARTIAL","OVERDUE"))</f>
        <v/>
      </c>
      <c r="L722" s="4">
        <f>IF(COUNTIFS(Raw_Payments!B:B,A722)=0,"",SUMPRODUCT(MAX((Raw_Payments!B$2:B$1079=A722)*Raw_Payments!D$2:D$1079)))</f>
        <v/>
      </c>
      <c r="M722" s="3">
        <f>IF(K722="PAID",MAX(0,L722-G722),Guide!$B$3-G722)</f>
        <v/>
      </c>
      <c r="N722" s="3">
        <f>IF(J722&lt;=0.005,"COLLECTED",IF(M722&lt;=30,"1-30",IF(M722&lt;=60,"31-60",IF(M722&lt;=90,"61-90","90+"))))</f>
        <v/>
      </c>
      <c r="O722" s="3">
        <f>IF(N722="90+","LOST",IF(N722="61-90","ESCALATE",IF(N722="31-60","WATCH",IF(N722="1-30","MILD","OK"))))</f>
        <v/>
      </c>
      <c r="P722" s="3">
        <f>IF(J722&gt;0.005,ROW()-1,"")</f>
        <v/>
      </c>
    </row>
    <row r="723">
      <c r="A723" s="3" t="inlineStr">
        <is>
          <t>D0722</t>
        </is>
      </c>
      <c r="B723" s="3">
        <f>INDEX(Raw_Schedule!B:B,MATCH(A723,Raw_Schedule!A:A,0))</f>
        <v/>
      </c>
      <c r="C723" s="3">
        <f>INDEX(Raw_Schedule!C:C,MATCH(A723,Raw_Schedule!A:A,0))</f>
        <v/>
      </c>
      <c r="D723" s="3">
        <f>INDEX(Raw_Schedule!D:D,MATCH(A723,Raw_Schedule!A:A,0))</f>
        <v/>
      </c>
      <c r="E723" s="3">
        <f>INDEX(Raw_Schedule!E:E,MATCH(A723,Raw_Schedule!A:A,0))</f>
        <v/>
      </c>
      <c r="F723" s="3">
        <f>INDEX(Raw_Schedule!F:F,MATCH(A723,Raw_Schedule!A:A,0))</f>
        <v/>
      </c>
      <c r="G723" s="4">
        <f>INDEX(Raw_Schedule!G:G,MATCH(A723,Raw_Schedule!A:A,0))</f>
        <v/>
      </c>
      <c r="H723" s="5">
        <f>INDEX(Raw_Schedule!H:H,MATCH(A723,Raw_Schedule!A:A,0))</f>
        <v/>
      </c>
      <c r="I723" s="5">
        <f>SUMIFS(Raw_Payments!E:E,Raw_Payments!B:B,A723)</f>
        <v/>
      </c>
      <c r="J723" s="5">
        <f>H723-I723</f>
        <v/>
      </c>
      <c r="K723" s="3">
        <f>IF(J723&lt;=0.005,"PAID",IF(I723&gt;0,"PARTIAL","OVERDUE"))</f>
        <v/>
      </c>
      <c r="L723" s="4">
        <f>IF(COUNTIFS(Raw_Payments!B:B,A723)=0,"",SUMPRODUCT(MAX((Raw_Payments!B$2:B$1079=A723)*Raw_Payments!D$2:D$1079)))</f>
        <v/>
      </c>
      <c r="M723" s="3">
        <f>IF(K723="PAID",MAX(0,L723-G723),Guide!$B$3-G723)</f>
        <v/>
      </c>
      <c r="N723" s="3">
        <f>IF(J723&lt;=0.005,"COLLECTED",IF(M723&lt;=30,"1-30",IF(M723&lt;=60,"31-60",IF(M723&lt;=90,"61-90","90+"))))</f>
        <v/>
      </c>
      <c r="O723" s="3">
        <f>IF(N723="90+","LOST",IF(N723="61-90","ESCALATE",IF(N723="31-60","WATCH",IF(N723="1-30","MILD","OK"))))</f>
        <v/>
      </c>
      <c r="P723" s="3">
        <f>IF(J723&gt;0.005,ROW()-1,"")</f>
        <v/>
      </c>
    </row>
    <row r="724">
      <c r="A724" s="3" t="inlineStr">
        <is>
          <t>D0723</t>
        </is>
      </c>
      <c r="B724" s="3">
        <f>INDEX(Raw_Schedule!B:B,MATCH(A724,Raw_Schedule!A:A,0))</f>
        <v/>
      </c>
      <c r="C724" s="3">
        <f>INDEX(Raw_Schedule!C:C,MATCH(A724,Raw_Schedule!A:A,0))</f>
        <v/>
      </c>
      <c r="D724" s="3">
        <f>INDEX(Raw_Schedule!D:D,MATCH(A724,Raw_Schedule!A:A,0))</f>
        <v/>
      </c>
      <c r="E724" s="3">
        <f>INDEX(Raw_Schedule!E:E,MATCH(A724,Raw_Schedule!A:A,0))</f>
        <v/>
      </c>
      <c r="F724" s="3">
        <f>INDEX(Raw_Schedule!F:F,MATCH(A724,Raw_Schedule!A:A,0))</f>
        <v/>
      </c>
      <c r="G724" s="4">
        <f>INDEX(Raw_Schedule!G:G,MATCH(A724,Raw_Schedule!A:A,0))</f>
        <v/>
      </c>
      <c r="H724" s="5">
        <f>INDEX(Raw_Schedule!H:H,MATCH(A724,Raw_Schedule!A:A,0))</f>
        <v/>
      </c>
      <c r="I724" s="5">
        <f>SUMIFS(Raw_Payments!E:E,Raw_Payments!B:B,A724)</f>
        <v/>
      </c>
      <c r="J724" s="5">
        <f>H724-I724</f>
        <v/>
      </c>
      <c r="K724" s="3">
        <f>IF(J724&lt;=0.005,"PAID",IF(I724&gt;0,"PARTIAL","OVERDUE"))</f>
        <v/>
      </c>
      <c r="L724" s="4">
        <f>IF(COUNTIFS(Raw_Payments!B:B,A724)=0,"",SUMPRODUCT(MAX((Raw_Payments!B$2:B$1079=A724)*Raw_Payments!D$2:D$1079)))</f>
        <v/>
      </c>
      <c r="M724" s="3">
        <f>IF(K724="PAID",MAX(0,L724-G724),Guide!$B$3-G724)</f>
        <v/>
      </c>
      <c r="N724" s="3">
        <f>IF(J724&lt;=0.005,"COLLECTED",IF(M724&lt;=30,"1-30",IF(M724&lt;=60,"31-60",IF(M724&lt;=90,"61-90","90+"))))</f>
        <v/>
      </c>
      <c r="O724" s="3">
        <f>IF(N724="90+","LOST",IF(N724="61-90","ESCALATE",IF(N724="31-60","WATCH",IF(N724="1-30","MILD","OK"))))</f>
        <v/>
      </c>
      <c r="P724" s="3">
        <f>IF(J724&gt;0.005,ROW()-1,"")</f>
        <v/>
      </c>
    </row>
    <row r="725">
      <c r="A725" s="3" t="inlineStr">
        <is>
          <t>D0724</t>
        </is>
      </c>
      <c r="B725" s="3">
        <f>INDEX(Raw_Schedule!B:B,MATCH(A725,Raw_Schedule!A:A,0))</f>
        <v/>
      </c>
      <c r="C725" s="3">
        <f>INDEX(Raw_Schedule!C:C,MATCH(A725,Raw_Schedule!A:A,0))</f>
        <v/>
      </c>
      <c r="D725" s="3">
        <f>INDEX(Raw_Schedule!D:D,MATCH(A725,Raw_Schedule!A:A,0))</f>
        <v/>
      </c>
      <c r="E725" s="3">
        <f>INDEX(Raw_Schedule!E:E,MATCH(A725,Raw_Schedule!A:A,0))</f>
        <v/>
      </c>
      <c r="F725" s="3">
        <f>INDEX(Raw_Schedule!F:F,MATCH(A725,Raw_Schedule!A:A,0))</f>
        <v/>
      </c>
      <c r="G725" s="4">
        <f>INDEX(Raw_Schedule!G:G,MATCH(A725,Raw_Schedule!A:A,0))</f>
        <v/>
      </c>
      <c r="H725" s="5">
        <f>INDEX(Raw_Schedule!H:H,MATCH(A725,Raw_Schedule!A:A,0))</f>
        <v/>
      </c>
      <c r="I725" s="5">
        <f>SUMIFS(Raw_Payments!E:E,Raw_Payments!B:B,A725)</f>
        <v/>
      </c>
      <c r="J725" s="5">
        <f>H725-I725</f>
        <v/>
      </c>
      <c r="K725" s="3">
        <f>IF(J725&lt;=0.005,"PAID",IF(I725&gt;0,"PARTIAL","OVERDUE"))</f>
        <v/>
      </c>
      <c r="L725" s="4">
        <f>IF(COUNTIFS(Raw_Payments!B:B,A725)=0,"",SUMPRODUCT(MAX((Raw_Payments!B$2:B$1079=A725)*Raw_Payments!D$2:D$1079)))</f>
        <v/>
      </c>
      <c r="M725" s="3">
        <f>IF(K725="PAID",MAX(0,L725-G725),Guide!$B$3-G725)</f>
        <v/>
      </c>
      <c r="N725" s="3">
        <f>IF(J725&lt;=0.005,"COLLECTED",IF(M725&lt;=30,"1-30",IF(M725&lt;=60,"31-60",IF(M725&lt;=90,"61-90","90+"))))</f>
        <v/>
      </c>
      <c r="O725" s="3">
        <f>IF(N725="90+","LOST",IF(N725="61-90","ESCALATE",IF(N725="31-60","WATCH",IF(N725="1-30","MILD","OK"))))</f>
        <v/>
      </c>
      <c r="P725" s="3">
        <f>IF(J725&gt;0.005,ROW()-1,"")</f>
        <v/>
      </c>
    </row>
    <row r="726">
      <c r="A726" s="3" t="inlineStr">
        <is>
          <t>D0725</t>
        </is>
      </c>
      <c r="B726" s="3">
        <f>INDEX(Raw_Schedule!B:B,MATCH(A726,Raw_Schedule!A:A,0))</f>
        <v/>
      </c>
      <c r="C726" s="3">
        <f>INDEX(Raw_Schedule!C:C,MATCH(A726,Raw_Schedule!A:A,0))</f>
        <v/>
      </c>
      <c r="D726" s="3">
        <f>INDEX(Raw_Schedule!D:D,MATCH(A726,Raw_Schedule!A:A,0))</f>
        <v/>
      </c>
      <c r="E726" s="3">
        <f>INDEX(Raw_Schedule!E:E,MATCH(A726,Raw_Schedule!A:A,0))</f>
        <v/>
      </c>
      <c r="F726" s="3">
        <f>INDEX(Raw_Schedule!F:F,MATCH(A726,Raw_Schedule!A:A,0))</f>
        <v/>
      </c>
      <c r="G726" s="4">
        <f>INDEX(Raw_Schedule!G:G,MATCH(A726,Raw_Schedule!A:A,0))</f>
        <v/>
      </c>
      <c r="H726" s="5">
        <f>INDEX(Raw_Schedule!H:H,MATCH(A726,Raw_Schedule!A:A,0))</f>
        <v/>
      </c>
      <c r="I726" s="5">
        <f>SUMIFS(Raw_Payments!E:E,Raw_Payments!B:B,A726)</f>
        <v/>
      </c>
      <c r="J726" s="5">
        <f>H726-I726</f>
        <v/>
      </c>
      <c r="K726" s="3">
        <f>IF(J726&lt;=0.005,"PAID",IF(I726&gt;0,"PARTIAL","OVERDUE"))</f>
        <v/>
      </c>
      <c r="L726" s="4">
        <f>IF(COUNTIFS(Raw_Payments!B:B,A726)=0,"",SUMPRODUCT(MAX((Raw_Payments!B$2:B$1079=A726)*Raw_Payments!D$2:D$1079)))</f>
        <v/>
      </c>
      <c r="M726" s="3">
        <f>IF(K726="PAID",MAX(0,L726-G726),Guide!$B$3-G726)</f>
        <v/>
      </c>
      <c r="N726" s="3">
        <f>IF(J726&lt;=0.005,"COLLECTED",IF(M726&lt;=30,"1-30",IF(M726&lt;=60,"31-60",IF(M726&lt;=90,"61-90","90+"))))</f>
        <v/>
      </c>
      <c r="O726" s="3">
        <f>IF(N726="90+","LOST",IF(N726="61-90","ESCALATE",IF(N726="31-60","WATCH",IF(N726="1-30","MILD","OK"))))</f>
        <v/>
      </c>
      <c r="P726" s="3">
        <f>IF(J726&gt;0.005,ROW()-1,"")</f>
        <v/>
      </c>
    </row>
    <row r="727">
      <c r="A727" s="3" t="inlineStr">
        <is>
          <t>D0726</t>
        </is>
      </c>
      <c r="B727" s="3">
        <f>INDEX(Raw_Schedule!B:B,MATCH(A727,Raw_Schedule!A:A,0))</f>
        <v/>
      </c>
      <c r="C727" s="3">
        <f>INDEX(Raw_Schedule!C:C,MATCH(A727,Raw_Schedule!A:A,0))</f>
        <v/>
      </c>
      <c r="D727" s="3">
        <f>INDEX(Raw_Schedule!D:D,MATCH(A727,Raw_Schedule!A:A,0))</f>
        <v/>
      </c>
      <c r="E727" s="3">
        <f>INDEX(Raw_Schedule!E:E,MATCH(A727,Raw_Schedule!A:A,0))</f>
        <v/>
      </c>
      <c r="F727" s="3">
        <f>INDEX(Raw_Schedule!F:F,MATCH(A727,Raw_Schedule!A:A,0))</f>
        <v/>
      </c>
      <c r="G727" s="4">
        <f>INDEX(Raw_Schedule!G:G,MATCH(A727,Raw_Schedule!A:A,0))</f>
        <v/>
      </c>
      <c r="H727" s="5">
        <f>INDEX(Raw_Schedule!H:H,MATCH(A727,Raw_Schedule!A:A,0))</f>
        <v/>
      </c>
      <c r="I727" s="5">
        <f>SUMIFS(Raw_Payments!E:E,Raw_Payments!B:B,A727)</f>
        <v/>
      </c>
      <c r="J727" s="5">
        <f>H727-I727</f>
        <v/>
      </c>
      <c r="K727" s="3">
        <f>IF(J727&lt;=0.005,"PAID",IF(I727&gt;0,"PARTIAL","OVERDUE"))</f>
        <v/>
      </c>
      <c r="L727" s="4">
        <f>IF(COUNTIFS(Raw_Payments!B:B,A727)=0,"",SUMPRODUCT(MAX((Raw_Payments!B$2:B$1079=A727)*Raw_Payments!D$2:D$1079)))</f>
        <v/>
      </c>
      <c r="M727" s="3">
        <f>IF(K727="PAID",MAX(0,L727-G727),Guide!$B$3-G727)</f>
        <v/>
      </c>
      <c r="N727" s="3">
        <f>IF(J727&lt;=0.005,"COLLECTED",IF(M727&lt;=30,"1-30",IF(M727&lt;=60,"31-60",IF(M727&lt;=90,"61-90","90+"))))</f>
        <v/>
      </c>
      <c r="O727" s="3">
        <f>IF(N727="90+","LOST",IF(N727="61-90","ESCALATE",IF(N727="31-60","WATCH",IF(N727="1-30","MILD","OK"))))</f>
        <v/>
      </c>
      <c r="P727" s="3">
        <f>IF(J727&gt;0.005,ROW()-1,"")</f>
        <v/>
      </c>
    </row>
    <row r="728">
      <c r="A728" s="3" t="inlineStr">
        <is>
          <t>D0727</t>
        </is>
      </c>
      <c r="B728" s="3">
        <f>INDEX(Raw_Schedule!B:B,MATCH(A728,Raw_Schedule!A:A,0))</f>
        <v/>
      </c>
      <c r="C728" s="3">
        <f>INDEX(Raw_Schedule!C:C,MATCH(A728,Raw_Schedule!A:A,0))</f>
        <v/>
      </c>
      <c r="D728" s="3">
        <f>INDEX(Raw_Schedule!D:D,MATCH(A728,Raw_Schedule!A:A,0))</f>
        <v/>
      </c>
      <c r="E728" s="3">
        <f>INDEX(Raw_Schedule!E:E,MATCH(A728,Raw_Schedule!A:A,0))</f>
        <v/>
      </c>
      <c r="F728" s="3">
        <f>INDEX(Raw_Schedule!F:F,MATCH(A728,Raw_Schedule!A:A,0))</f>
        <v/>
      </c>
      <c r="G728" s="4">
        <f>INDEX(Raw_Schedule!G:G,MATCH(A728,Raw_Schedule!A:A,0))</f>
        <v/>
      </c>
      <c r="H728" s="5">
        <f>INDEX(Raw_Schedule!H:H,MATCH(A728,Raw_Schedule!A:A,0))</f>
        <v/>
      </c>
      <c r="I728" s="5">
        <f>SUMIFS(Raw_Payments!E:E,Raw_Payments!B:B,A728)</f>
        <v/>
      </c>
      <c r="J728" s="5">
        <f>H728-I728</f>
        <v/>
      </c>
      <c r="K728" s="3">
        <f>IF(J728&lt;=0.005,"PAID",IF(I728&gt;0,"PARTIAL","OVERDUE"))</f>
        <v/>
      </c>
      <c r="L728" s="4">
        <f>IF(COUNTIFS(Raw_Payments!B:B,A728)=0,"",SUMPRODUCT(MAX((Raw_Payments!B$2:B$1079=A728)*Raw_Payments!D$2:D$1079)))</f>
        <v/>
      </c>
      <c r="M728" s="3">
        <f>IF(K728="PAID",MAX(0,L728-G728),Guide!$B$3-G728)</f>
        <v/>
      </c>
      <c r="N728" s="3">
        <f>IF(J728&lt;=0.005,"COLLECTED",IF(M728&lt;=30,"1-30",IF(M728&lt;=60,"31-60",IF(M728&lt;=90,"61-90","90+"))))</f>
        <v/>
      </c>
      <c r="O728" s="3">
        <f>IF(N728="90+","LOST",IF(N728="61-90","ESCALATE",IF(N728="31-60","WATCH",IF(N728="1-30","MILD","OK"))))</f>
        <v/>
      </c>
      <c r="P728" s="3">
        <f>IF(J728&gt;0.005,ROW()-1,"")</f>
        <v/>
      </c>
    </row>
    <row r="729">
      <c r="A729" s="3" t="inlineStr">
        <is>
          <t>D0728</t>
        </is>
      </c>
      <c r="B729" s="3">
        <f>INDEX(Raw_Schedule!B:B,MATCH(A729,Raw_Schedule!A:A,0))</f>
        <v/>
      </c>
      <c r="C729" s="3">
        <f>INDEX(Raw_Schedule!C:C,MATCH(A729,Raw_Schedule!A:A,0))</f>
        <v/>
      </c>
      <c r="D729" s="3">
        <f>INDEX(Raw_Schedule!D:D,MATCH(A729,Raw_Schedule!A:A,0))</f>
        <v/>
      </c>
      <c r="E729" s="3">
        <f>INDEX(Raw_Schedule!E:E,MATCH(A729,Raw_Schedule!A:A,0))</f>
        <v/>
      </c>
      <c r="F729" s="3">
        <f>INDEX(Raw_Schedule!F:F,MATCH(A729,Raw_Schedule!A:A,0))</f>
        <v/>
      </c>
      <c r="G729" s="4">
        <f>INDEX(Raw_Schedule!G:G,MATCH(A729,Raw_Schedule!A:A,0))</f>
        <v/>
      </c>
      <c r="H729" s="5">
        <f>INDEX(Raw_Schedule!H:H,MATCH(A729,Raw_Schedule!A:A,0))</f>
        <v/>
      </c>
      <c r="I729" s="5">
        <f>SUMIFS(Raw_Payments!E:E,Raw_Payments!B:B,A729)</f>
        <v/>
      </c>
      <c r="J729" s="5">
        <f>H729-I729</f>
        <v/>
      </c>
      <c r="K729" s="3">
        <f>IF(J729&lt;=0.005,"PAID",IF(I729&gt;0,"PARTIAL","OVERDUE"))</f>
        <v/>
      </c>
      <c r="L729" s="4">
        <f>IF(COUNTIFS(Raw_Payments!B:B,A729)=0,"",SUMPRODUCT(MAX((Raw_Payments!B$2:B$1079=A729)*Raw_Payments!D$2:D$1079)))</f>
        <v/>
      </c>
      <c r="M729" s="3">
        <f>IF(K729="PAID",MAX(0,L729-G729),Guide!$B$3-G729)</f>
        <v/>
      </c>
      <c r="N729" s="3">
        <f>IF(J729&lt;=0.005,"COLLECTED",IF(M729&lt;=30,"1-30",IF(M729&lt;=60,"31-60",IF(M729&lt;=90,"61-90","90+"))))</f>
        <v/>
      </c>
      <c r="O729" s="3">
        <f>IF(N729="90+","LOST",IF(N729="61-90","ESCALATE",IF(N729="31-60","WATCH",IF(N729="1-30","MILD","OK"))))</f>
        <v/>
      </c>
      <c r="P729" s="3">
        <f>IF(J729&gt;0.005,ROW()-1,"")</f>
        <v/>
      </c>
    </row>
    <row r="730">
      <c r="A730" s="3" t="inlineStr">
        <is>
          <t>D0729</t>
        </is>
      </c>
      <c r="B730" s="3">
        <f>INDEX(Raw_Schedule!B:B,MATCH(A730,Raw_Schedule!A:A,0))</f>
        <v/>
      </c>
      <c r="C730" s="3">
        <f>INDEX(Raw_Schedule!C:C,MATCH(A730,Raw_Schedule!A:A,0))</f>
        <v/>
      </c>
      <c r="D730" s="3">
        <f>INDEX(Raw_Schedule!D:D,MATCH(A730,Raw_Schedule!A:A,0))</f>
        <v/>
      </c>
      <c r="E730" s="3">
        <f>INDEX(Raw_Schedule!E:E,MATCH(A730,Raw_Schedule!A:A,0))</f>
        <v/>
      </c>
      <c r="F730" s="3">
        <f>INDEX(Raw_Schedule!F:F,MATCH(A730,Raw_Schedule!A:A,0))</f>
        <v/>
      </c>
      <c r="G730" s="4">
        <f>INDEX(Raw_Schedule!G:G,MATCH(A730,Raw_Schedule!A:A,0))</f>
        <v/>
      </c>
      <c r="H730" s="5">
        <f>INDEX(Raw_Schedule!H:H,MATCH(A730,Raw_Schedule!A:A,0))</f>
        <v/>
      </c>
      <c r="I730" s="5">
        <f>SUMIFS(Raw_Payments!E:E,Raw_Payments!B:B,A730)</f>
        <v/>
      </c>
      <c r="J730" s="5">
        <f>H730-I730</f>
        <v/>
      </c>
      <c r="K730" s="3">
        <f>IF(J730&lt;=0.005,"PAID",IF(I730&gt;0,"PARTIAL","OVERDUE"))</f>
        <v/>
      </c>
      <c r="L730" s="4">
        <f>IF(COUNTIFS(Raw_Payments!B:B,A730)=0,"",SUMPRODUCT(MAX((Raw_Payments!B$2:B$1079=A730)*Raw_Payments!D$2:D$1079)))</f>
        <v/>
      </c>
      <c r="M730" s="3">
        <f>IF(K730="PAID",MAX(0,L730-G730),Guide!$B$3-G730)</f>
        <v/>
      </c>
      <c r="N730" s="3">
        <f>IF(J730&lt;=0.005,"COLLECTED",IF(M730&lt;=30,"1-30",IF(M730&lt;=60,"31-60",IF(M730&lt;=90,"61-90","90+"))))</f>
        <v/>
      </c>
      <c r="O730" s="3">
        <f>IF(N730="90+","LOST",IF(N730="61-90","ESCALATE",IF(N730="31-60","WATCH",IF(N730="1-30","MILD","OK"))))</f>
        <v/>
      </c>
      <c r="P730" s="3">
        <f>IF(J730&gt;0.005,ROW()-1,"")</f>
        <v/>
      </c>
    </row>
    <row r="731">
      <c r="A731" s="3" t="inlineStr">
        <is>
          <t>D0730</t>
        </is>
      </c>
      <c r="B731" s="3">
        <f>INDEX(Raw_Schedule!B:B,MATCH(A731,Raw_Schedule!A:A,0))</f>
        <v/>
      </c>
      <c r="C731" s="3">
        <f>INDEX(Raw_Schedule!C:C,MATCH(A731,Raw_Schedule!A:A,0))</f>
        <v/>
      </c>
      <c r="D731" s="3">
        <f>INDEX(Raw_Schedule!D:D,MATCH(A731,Raw_Schedule!A:A,0))</f>
        <v/>
      </c>
      <c r="E731" s="3">
        <f>INDEX(Raw_Schedule!E:E,MATCH(A731,Raw_Schedule!A:A,0))</f>
        <v/>
      </c>
      <c r="F731" s="3">
        <f>INDEX(Raw_Schedule!F:F,MATCH(A731,Raw_Schedule!A:A,0))</f>
        <v/>
      </c>
      <c r="G731" s="4">
        <f>INDEX(Raw_Schedule!G:G,MATCH(A731,Raw_Schedule!A:A,0))</f>
        <v/>
      </c>
      <c r="H731" s="5">
        <f>INDEX(Raw_Schedule!H:H,MATCH(A731,Raw_Schedule!A:A,0))</f>
        <v/>
      </c>
      <c r="I731" s="5">
        <f>SUMIFS(Raw_Payments!E:E,Raw_Payments!B:B,A731)</f>
        <v/>
      </c>
      <c r="J731" s="5">
        <f>H731-I731</f>
        <v/>
      </c>
      <c r="K731" s="3">
        <f>IF(J731&lt;=0.005,"PAID",IF(I731&gt;0,"PARTIAL","OVERDUE"))</f>
        <v/>
      </c>
      <c r="L731" s="4">
        <f>IF(COUNTIFS(Raw_Payments!B:B,A731)=0,"",SUMPRODUCT(MAX((Raw_Payments!B$2:B$1079=A731)*Raw_Payments!D$2:D$1079)))</f>
        <v/>
      </c>
      <c r="M731" s="3">
        <f>IF(K731="PAID",MAX(0,L731-G731),Guide!$B$3-G731)</f>
        <v/>
      </c>
      <c r="N731" s="3">
        <f>IF(J731&lt;=0.005,"COLLECTED",IF(M731&lt;=30,"1-30",IF(M731&lt;=60,"31-60",IF(M731&lt;=90,"61-90","90+"))))</f>
        <v/>
      </c>
      <c r="O731" s="3">
        <f>IF(N731="90+","LOST",IF(N731="61-90","ESCALATE",IF(N731="31-60","WATCH",IF(N731="1-30","MILD","OK"))))</f>
        <v/>
      </c>
      <c r="P731" s="3">
        <f>IF(J731&gt;0.005,ROW()-1,"")</f>
        <v/>
      </c>
    </row>
    <row r="732">
      <c r="A732" s="3" t="inlineStr">
        <is>
          <t>D0731</t>
        </is>
      </c>
      <c r="B732" s="3">
        <f>INDEX(Raw_Schedule!B:B,MATCH(A732,Raw_Schedule!A:A,0))</f>
        <v/>
      </c>
      <c r="C732" s="3">
        <f>INDEX(Raw_Schedule!C:C,MATCH(A732,Raw_Schedule!A:A,0))</f>
        <v/>
      </c>
      <c r="D732" s="3">
        <f>INDEX(Raw_Schedule!D:D,MATCH(A732,Raw_Schedule!A:A,0))</f>
        <v/>
      </c>
      <c r="E732" s="3">
        <f>INDEX(Raw_Schedule!E:E,MATCH(A732,Raw_Schedule!A:A,0))</f>
        <v/>
      </c>
      <c r="F732" s="3">
        <f>INDEX(Raw_Schedule!F:F,MATCH(A732,Raw_Schedule!A:A,0))</f>
        <v/>
      </c>
      <c r="G732" s="4">
        <f>INDEX(Raw_Schedule!G:G,MATCH(A732,Raw_Schedule!A:A,0))</f>
        <v/>
      </c>
      <c r="H732" s="5">
        <f>INDEX(Raw_Schedule!H:H,MATCH(A732,Raw_Schedule!A:A,0))</f>
        <v/>
      </c>
      <c r="I732" s="5">
        <f>SUMIFS(Raw_Payments!E:E,Raw_Payments!B:B,A732)</f>
        <v/>
      </c>
      <c r="J732" s="5">
        <f>H732-I732</f>
        <v/>
      </c>
      <c r="K732" s="3">
        <f>IF(J732&lt;=0.005,"PAID",IF(I732&gt;0,"PARTIAL","OVERDUE"))</f>
        <v/>
      </c>
      <c r="L732" s="4">
        <f>IF(COUNTIFS(Raw_Payments!B:B,A732)=0,"",SUMPRODUCT(MAX((Raw_Payments!B$2:B$1079=A732)*Raw_Payments!D$2:D$1079)))</f>
        <v/>
      </c>
      <c r="M732" s="3">
        <f>IF(K732="PAID",MAX(0,L732-G732),Guide!$B$3-G732)</f>
        <v/>
      </c>
      <c r="N732" s="3">
        <f>IF(J732&lt;=0.005,"COLLECTED",IF(M732&lt;=30,"1-30",IF(M732&lt;=60,"31-60",IF(M732&lt;=90,"61-90","90+"))))</f>
        <v/>
      </c>
      <c r="O732" s="3">
        <f>IF(N732="90+","LOST",IF(N732="61-90","ESCALATE",IF(N732="31-60","WATCH",IF(N732="1-30","MILD","OK"))))</f>
        <v/>
      </c>
      <c r="P732" s="3">
        <f>IF(J732&gt;0.005,ROW()-1,"")</f>
        <v/>
      </c>
    </row>
    <row r="733">
      <c r="A733" s="3" t="inlineStr">
        <is>
          <t>D0732</t>
        </is>
      </c>
      <c r="B733" s="3">
        <f>INDEX(Raw_Schedule!B:B,MATCH(A733,Raw_Schedule!A:A,0))</f>
        <v/>
      </c>
      <c r="C733" s="3">
        <f>INDEX(Raw_Schedule!C:C,MATCH(A733,Raw_Schedule!A:A,0))</f>
        <v/>
      </c>
      <c r="D733" s="3">
        <f>INDEX(Raw_Schedule!D:D,MATCH(A733,Raw_Schedule!A:A,0))</f>
        <v/>
      </c>
      <c r="E733" s="3">
        <f>INDEX(Raw_Schedule!E:E,MATCH(A733,Raw_Schedule!A:A,0))</f>
        <v/>
      </c>
      <c r="F733" s="3">
        <f>INDEX(Raw_Schedule!F:F,MATCH(A733,Raw_Schedule!A:A,0))</f>
        <v/>
      </c>
      <c r="G733" s="4">
        <f>INDEX(Raw_Schedule!G:G,MATCH(A733,Raw_Schedule!A:A,0))</f>
        <v/>
      </c>
      <c r="H733" s="5">
        <f>INDEX(Raw_Schedule!H:H,MATCH(A733,Raw_Schedule!A:A,0))</f>
        <v/>
      </c>
      <c r="I733" s="5">
        <f>SUMIFS(Raw_Payments!E:E,Raw_Payments!B:B,A733)</f>
        <v/>
      </c>
      <c r="J733" s="5">
        <f>H733-I733</f>
        <v/>
      </c>
      <c r="K733" s="3">
        <f>IF(J733&lt;=0.005,"PAID",IF(I733&gt;0,"PARTIAL","OVERDUE"))</f>
        <v/>
      </c>
      <c r="L733" s="4">
        <f>IF(COUNTIFS(Raw_Payments!B:B,A733)=0,"",SUMPRODUCT(MAX((Raw_Payments!B$2:B$1079=A733)*Raw_Payments!D$2:D$1079)))</f>
        <v/>
      </c>
      <c r="M733" s="3">
        <f>IF(K733="PAID",MAX(0,L733-G733),Guide!$B$3-G733)</f>
        <v/>
      </c>
      <c r="N733" s="3">
        <f>IF(J733&lt;=0.005,"COLLECTED",IF(M733&lt;=30,"1-30",IF(M733&lt;=60,"31-60",IF(M733&lt;=90,"61-90","90+"))))</f>
        <v/>
      </c>
      <c r="O733" s="3">
        <f>IF(N733="90+","LOST",IF(N733="61-90","ESCALATE",IF(N733="31-60","WATCH",IF(N733="1-30","MILD","OK"))))</f>
        <v/>
      </c>
      <c r="P733" s="3">
        <f>IF(J733&gt;0.005,ROW()-1,"")</f>
        <v/>
      </c>
    </row>
    <row r="734">
      <c r="A734" s="3" t="inlineStr">
        <is>
          <t>D0733</t>
        </is>
      </c>
      <c r="B734" s="3">
        <f>INDEX(Raw_Schedule!B:B,MATCH(A734,Raw_Schedule!A:A,0))</f>
        <v/>
      </c>
      <c r="C734" s="3">
        <f>INDEX(Raw_Schedule!C:C,MATCH(A734,Raw_Schedule!A:A,0))</f>
        <v/>
      </c>
      <c r="D734" s="3">
        <f>INDEX(Raw_Schedule!D:D,MATCH(A734,Raw_Schedule!A:A,0))</f>
        <v/>
      </c>
      <c r="E734" s="3">
        <f>INDEX(Raw_Schedule!E:E,MATCH(A734,Raw_Schedule!A:A,0))</f>
        <v/>
      </c>
      <c r="F734" s="3">
        <f>INDEX(Raw_Schedule!F:F,MATCH(A734,Raw_Schedule!A:A,0))</f>
        <v/>
      </c>
      <c r="G734" s="4">
        <f>INDEX(Raw_Schedule!G:G,MATCH(A734,Raw_Schedule!A:A,0))</f>
        <v/>
      </c>
      <c r="H734" s="5">
        <f>INDEX(Raw_Schedule!H:H,MATCH(A734,Raw_Schedule!A:A,0))</f>
        <v/>
      </c>
      <c r="I734" s="5">
        <f>SUMIFS(Raw_Payments!E:E,Raw_Payments!B:B,A734)</f>
        <v/>
      </c>
      <c r="J734" s="5">
        <f>H734-I734</f>
        <v/>
      </c>
      <c r="K734" s="3">
        <f>IF(J734&lt;=0.005,"PAID",IF(I734&gt;0,"PARTIAL","OVERDUE"))</f>
        <v/>
      </c>
      <c r="L734" s="4">
        <f>IF(COUNTIFS(Raw_Payments!B:B,A734)=0,"",SUMPRODUCT(MAX((Raw_Payments!B$2:B$1079=A734)*Raw_Payments!D$2:D$1079)))</f>
        <v/>
      </c>
      <c r="M734" s="3">
        <f>IF(K734="PAID",MAX(0,L734-G734),Guide!$B$3-G734)</f>
        <v/>
      </c>
      <c r="N734" s="3">
        <f>IF(J734&lt;=0.005,"COLLECTED",IF(M734&lt;=30,"1-30",IF(M734&lt;=60,"31-60",IF(M734&lt;=90,"61-90","90+"))))</f>
        <v/>
      </c>
      <c r="O734" s="3">
        <f>IF(N734="90+","LOST",IF(N734="61-90","ESCALATE",IF(N734="31-60","WATCH",IF(N734="1-30","MILD","OK"))))</f>
        <v/>
      </c>
      <c r="P734" s="3">
        <f>IF(J734&gt;0.005,ROW()-1,"")</f>
        <v/>
      </c>
    </row>
    <row r="735">
      <c r="A735" s="3" t="inlineStr">
        <is>
          <t>D0734</t>
        </is>
      </c>
      <c r="B735" s="3">
        <f>INDEX(Raw_Schedule!B:B,MATCH(A735,Raw_Schedule!A:A,0))</f>
        <v/>
      </c>
      <c r="C735" s="3">
        <f>INDEX(Raw_Schedule!C:C,MATCH(A735,Raw_Schedule!A:A,0))</f>
        <v/>
      </c>
      <c r="D735" s="3">
        <f>INDEX(Raw_Schedule!D:D,MATCH(A735,Raw_Schedule!A:A,0))</f>
        <v/>
      </c>
      <c r="E735" s="3">
        <f>INDEX(Raw_Schedule!E:E,MATCH(A735,Raw_Schedule!A:A,0))</f>
        <v/>
      </c>
      <c r="F735" s="3">
        <f>INDEX(Raw_Schedule!F:F,MATCH(A735,Raw_Schedule!A:A,0))</f>
        <v/>
      </c>
      <c r="G735" s="4">
        <f>INDEX(Raw_Schedule!G:G,MATCH(A735,Raw_Schedule!A:A,0))</f>
        <v/>
      </c>
      <c r="H735" s="5">
        <f>INDEX(Raw_Schedule!H:H,MATCH(A735,Raw_Schedule!A:A,0))</f>
        <v/>
      </c>
      <c r="I735" s="5">
        <f>SUMIFS(Raw_Payments!E:E,Raw_Payments!B:B,A735)</f>
        <v/>
      </c>
      <c r="J735" s="5">
        <f>H735-I735</f>
        <v/>
      </c>
      <c r="K735" s="3">
        <f>IF(J735&lt;=0.005,"PAID",IF(I735&gt;0,"PARTIAL","OVERDUE"))</f>
        <v/>
      </c>
      <c r="L735" s="4">
        <f>IF(COUNTIFS(Raw_Payments!B:B,A735)=0,"",SUMPRODUCT(MAX((Raw_Payments!B$2:B$1079=A735)*Raw_Payments!D$2:D$1079)))</f>
        <v/>
      </c>
      <c r="M735" s="3">
        <f>IF(K735="PAID",MAX(0,L735-G735),Guide!$B$3-G735)</f>
        <v/>
      </c>
      <c r="N735" s="3">
        <f>IF(J735&lt;=0.005,"COLLECTED",IF(M735&lt;=30,"1-30",IF(M735&lt;=60,"31-60",IF(M735&lt;=90,"61-90","90+"))))</f>
        <v/>
      </c>
      <c r="O735" s="3">
        <f>IF(N735="90+","LOST",IF(N735="61-90","ESCALATE",IF(N735="31-60","WATCH",IF(N735="1-30","MILD","OK"))))</f>
        <v/>
      </c>
      <c r="P735" s="3">
        <f>IF(J735&gt;0.005,ROW()-1,"")</f>
        <v/>
      </c>
    </row>
    <row r="736">
      <c r="A736" s="3" t="inlineStr">
        <is>
          <t>D0735</t>
        </is>
      </c>
      <c r="B736" s="3">
        <f>INDEX(Raw_Schedule!B:B,MATCH(A736,Raw_Schedule!A:A,0))</f>
        <v/>
      </c>
      <c r="C736" s="3">
        <f>INDEX(Raw_Schedule!C:C,MATCH(A736,Raw_Schedule!A:A,0))</f>
        <v/>
      </c>
      <c r="D736" s="3">
        <f>INDEX(Raw_Schedule!D:D,MATCH(A736,Raw_Schedule!A:A,0))</f>
        <v/>
      </c>
      <c r="E736" s="3">
        <f>INDEX(Raw_Schedule!E:E,MATCH(A736,Raw_Schedule!A:A,0))</f>
        <v/>
      </c>
      <c r="F736" s="3">
        <f>INDEX(Raw_Schedule!F:F,MATCH(A736,Raw_Schedule!A:A,0))</f>
        <v/>
      </c>
      <c r="G736" s="4">
        <f>INDEX(Raw_Schedule!G:G,MATCH(A736,Raw_Schedule!A:A,0))</f>
        <v/>
      </c>
      <c r="H736" s="5">
        <f>INDEX(Raw_Schedule!H:H,MATCH(A736,Raw_Schedule!A:A,0))</f>
        <v/>
      </c>
      <c r="I736" s="5">
        <f>SUMIFS(Raw_Payments!E:E,Raw_Payments!B:B,A736)</f>
        <v/>
      </c>
      <c r="J736" s="5">
        <f>H736-I736</f>
        <v/>
      </c>
      <c r="K736" s="3">
        <f>IF(J736&lt;=0.005,"PAID",IF(I736&gt;0,"PARTIAL","OVERDUE"))</f>
        <v/>
      </c>
      <c r="L736" s="4">
        <f>IF(COUNTIFS(Raw_Payments!B:B,A736)=0,"",SUMPRODUCT(MAX((Raw_Payments!B$2:B$1079=A736)*Raw_Payments!D$2:D$1079)))</f>
        <v/>
      </c>
      <c r="M736" s="3">
        <f>IF(K736="PAID",MAX(0,L736-G736),Guide!$B$3-G736)</f>
        <v/>
      </c>
      <c r="N736" s="3">
        <f>IF(J736&lt;=0.005,"COLLECTED",IF(M736&lt;=30,"1-30",IF(M736&lt;=60,"31-60",IF(M736&lt;=90,"61-90","90+"))))</f>
        <v/>
      </c>
      <c r="O736" s="3">
        <f>IF(N736="90+","LOST",IF(N736="61-90","ESCALATE",IF(N736="31-60","WATCH",IF(N736="1-30","MILD","OK"))))</f>
        <v/>
      </c>
      <c r="P736" s="3">
        <f>IF(J736&gt;0.005,ROW()-1,"")</f>
        <v/>
      </c>
    </row>
    <row r="737">
      <c r="A737" s="3" t="inlineStr">
        <is>
          <t>D0736</t>
        </is>
      </c>
      <c r="B737" s="3">
        <f>INDEX(Raw_Schedule!B:B,MATCH(A737,Raw_Schedule!A:A,0))</f>
        <v/>
      </c>
      <c r="C737" s="3">
        <f>INDEX(Raw_Schedule!C:C,MATCH(A737,Raw_Schedule!A:A,0))</f>
        <v/>
      </c>
      <c r="D737" s="3">
        <f>INDEX(Raw_Schedule!D:D,MATCH(A737,Raw_Schedule!A:A,0))</f>
        <v/>
      </c>
      <c r="E737" s="3">
        <f>INDEX(Raw_Schedule!E:E,MATCH(A737,Raw_Schedule!A:A,0))</f>
        <v/>
      </c>
      <c r="F737" s="3">
        <f>INDEX(Raw_Schedule!F:F,MATCH(A737,Raw_Schedule!A:A,0))</f>
        <v/>
      </c>
      <c r="G737" s="4">
        <f>INDEX(Raw_Schedule!G:G,MATCH(A737,Raw_Schedule!A:A,0))</f>
        <v/>
      </c>
      <c r="H737" s="5">
        <f>INDEX(Raw_Schedule!H:H,MATCH(A737,Raw_Schedule!A:A,0))</f>
        <v/>
      </c>
      <c r="I737" s="5">
        <f>SUMIFS(Raw_Payments!E:E,Raw_Payments!B:B,A737)</f>
        <v/>
      </c>
      <c r="J737" s="5">
        <f>H737-I737</f>
        <v/>
      </c>
      <c r="K737" s="3">
        <f>IF(J737&lt;=0.005,"PAID",IF(I737&gt;0,"PARTIAL","OVERDUE"))</f>
        <v/>
      </c>
      <c r="L737" s="4">
        <f>IF(COUNTIFS(Raw_Payments!B:B,A737)=0,"",SUMPRODUCT(MAX((Raw_Payments!B$2:B$1079=A737)*Raw_Payments!D$2:D$1079)))</f>
        <v/>
      </c>
      <c r="M737" s="3">
        <f>IF(K737="PAID",MAX(0,L737-G737),Guide!$B$3-G737)</f>
        <v/>
      </c>
      <c r="N737" s="3">
        <f>IF(J737&lt;=0.005,"COLLECTED",IF(M737&lt;=30,"1-30",IF(M737&lt;=60,"31-60",IF(M737&lt;=90,"61-90","90+"))))</f>
        <v/>
      </c>
      <c r="O737" s="3">
        <f>IF(N737="90+","LOST",IF(N737="61-90","ESCALATE",IF(N737="31-60","WATCH",IF(N737="1-30","MILD","OK"))))</f>
        <v/>
      </c>
      <c r="P737" s="3">
        <f>IF(J737&gt;0.005,ROW()-1,"")</f>
        <v/>
      </c>
    </row>
    <row r="738">
      <c r="A738" s="3" t="inlineStr">
        <is>
          <t>D0737</t>
        </is>
      </c>
      <c r="B738" s="3">
        <f>INDEX(Raw_Schedule!B:B,MATCH(A738,Raw_Schedule!A:A,0))</f>
        <v/>
      </c>
      <c r="C738" s="3">
        <f>INDEX(Raw_Schedule!C:C,MATCH(A738,Raw_Schedule!A:A,0))</f>
        <v/>
      </c>
      <c r="D738" s="3">
        <f>INDEX(Raw_Schedule!D:D,MATCH(A738,Raw_Schedule!A:A,0))</f>
        <v/>
      </c>
      <c r="E738" s="3">
        <f>INDEX(Raw_Schedule!E:E,MATCH(A738,Raw_Schedule!A:A,0))</f>
        <v/>
      </c>
      <c r="F738" s="3">
        <f>INDEX(Raw_Schedule!F:F,MATCH(A738,Raw_Schedule!A:A,0))</f>
        <v/>
      </c>
      <c r="G738" s="4">
        <f>INDEX(Raw_Schedule!G:G,MATCH(A738,Raw_Schedule!A:A,0))</f>
        <v/>
      </c>
      <c r="H738" s="5">
        <f>INDEX(Raw_Schedule!H:H,MATCH(A738,Raw_Schedule!A:A,0))</f>
        <v/>
      </c>
      <c r="I738" s="5">
        <f>SUMIFS(Raw_Payments!E:E,Raw_Payments!B:B,A738)</f>
        <v/>
      </c>
      <c r="J738" s="5">
        <f>H738-I738</f>
        <v/>
      </c>
      <c r="K738" s="3">
        <f>IF(J738&lt;=0.005,"PAID",IF(I738&gt;0,"PARTIAL","OVERDUE"))</f>
        <v/>
      </c>
      <c r="L738" s="4">
        <f>IF(COUNTIFS(Raw_Payments!B:B,A738)=0,"",SUMPRODUCT(MAX((Raw_Payments!B$2:B$1079=A738)*Raw_Payments!D$2:D$1079)))</f>
        <v/>
      </c>
      <c r="M738" s="3">
        <f>IF(K738="PAID",MAX(0,L738-G738),Guide!$B$3-G738)</f>
        <v/>
      </c>
      <c r="N738" s="3">
        <f>IF(J738&lt;=0.005,"COLLECTED",IF(M738&lt;=30,"1-30",IF(M738&lt;=60,"31-60",IF(M738&lt;=90,"61-90","90+"))))</f>
        <v/>
      </c>
      <c r="O738" s="3">
        <f>IF(N738="90+","LOST",IF(N738="61-90","ESCALATE",IF(N738="31-60","WATCH",IF(N738="1-30","MILD","OK"))))</f>
        <v/>
      </c>
      <c r="P738" s="3">
        <f>IF(J738&gt;0.005,ROW()-1,"")</f>
        <v/>
      </c>
    </row>
    <row r="739">
      <c r="A739" s="3" t="inlineStr">
        <is>
          <t>D0738</t>
        </is>
      </c>
      <c r="B739" s="3">
        <f>INDEX(Raw_Schedule!B:B,MATCH(A739,Raw_Schedule!A:A,0))</f>
        <v/>
      </c>
      <c r="C739" s="3">
        <f>INDEX(Raw_Schedule!C:C,MATCH(A739,Raw_Schedule!A:A,0))</f>
        <v/>
      </c>
      <c r="D739" s="3">
        <f>INDEX(Raw_Schedule!D:D,MATCH(A739,Raw_Schedule!A:A,0))</f>
        <v/>
      </c>
      <c r="E739" s="3">
        <f>INDEX(Raw_Schedule!E:E,MATCH(A739,Raw_Schedule!A:A,0))</f>
        <v/>
      </c>
      <c r="F739" s="3">
        <f>INDEX(Raw_Schedule!F:F,MATCH(A739,Raw_Schedule!A:A,0))</f>
        <v/>
      </c>
      <c r="G739" s="4">
        <f>INDEX(Raw_Schedule!G:G,MATCH(A739,Raw_Schedule!A:A,0))</f>
        <v/>
      </c>
      <c r="H739" s="5">
        <f>INDEX(Raw_Schedule!H:H,MATCH(A739,Raw_Schedule!A:A,0))</f>
        <v/>
      </c>
      <c r="I739" s="5">
        <f>SUMIFS(Raw_Payments!E:E,Raw_Payments!B:B,A739)</f>
        <v/>
      </c>
      <c r="J739" s="5">
        <f>H739-I739</f>
        <v/>
      </c>
      <c r="K739" s="3">
        <f>IF(J739&lt;=0.005,"PAID",IF(I739&gt;0,"PARTIAL","OVERDUE"))</f>
        <v/>
      </c>
      <c r="L739" s="4">
        <f>IF(COUNTIFS(Raw_Payments!B:B,A739)=0,"",SUMPRODUCT(MAX((Raw_Payments!B$2:B$1079=A739)*Raw_Payments!D$2:D$1079)))</f>
        <v/>
      </c>
      <c r="M739" s="3">
        <f>IF(K739="PAID",MAX(0,L739-G739),Guide!$B$3-G739)</f>
        <v/>
      </c>
      <c r="N739" s="3">
        <f>IF(J739&lt;=0.005,"COLLECTED",IF(M739&lt;=30,"1-30",IF(M739&lt;=60,"31-60",IF(M739&lt;=90,"61-90","90+"))))</f>
        <v/>
      </c>
      <c r="O739" s="3">
        <f>IF(N739="90+","LOST",IF(N739="61-90","ESCALATE",IF(N739="31-60","WATCH",IF(N739="1-30","MILD","OK"))))</f>
        <v/>
      </c>
      <c r="P739" s="3">
        <f>IF(J739&gt;0.005,ROW()-1,"")</f>
        <v/>
      </c>
    </row>
    <row r="740">
      <c r="A740" s="3" t="inlineStr">
        <is>
          <t>D0739</t>
        </is>
      </c>
      <c r="B740" s="3">
        <f>INDEX(Raw_Schedule!B:B,MATCH(A740,Raw_Schedule!A:A,0))</f>
        <v/>
      </c>
      <c r="C740" s="3">
        <f>INDEX(Raw_Schedule!C:C,MATCH(A740,Raw_Schedule!A:A,0))</f>
        <v/>
      </c>
      <c r="D740" s="3">
        <f>INDEX(Raw_Schedule!D:D,MATCH(A740,Raw_Schedule!A:A,0))</f>
        <v/>
      </c>
      <c r="E740" s="3">
        <f>INDEX(Raw_Schedule!E:E,MATCH(A740,Raw_Schedule!A:A,0))</f>
        <v/>
      </c>
      <c r="F740" s="3">
        <f>INDEX(Raw_Schedule!F:F,MATCH(A740,Raw_Schedule!A:A,0))</f>
        <v/>
      </c>
      <c r="G740" s="4">
        <f>INDEX(Raw_Schedule!G:G,MATCH(A740,Raw_Schedule!A:A,0))</f>
        <v/>
      </c>
      <c r="H740" s="5">
        <f>INDEX(Raw_Schedule!H:H,MATCH(A740,Raw_Schedule!A:A,0))</f>
        <v/>
      </c>
      <c r="I740" s="5">
        <f>SUMIFS(Raw_Payments!E:E,Raw_Payments!B:B,A740)</f>
        <v/>
      </c>
      <c r="J740" s="5">
        <f>H740-I740</f>
        <v/>
      </c>
      <c r="K740" s="3">
        <f>IF(J740&lt;=0.005,"PAID",IF(I740&gt;0,"PARTIAL","OVERDUE"))</f>
        <v/>
      </c>
      <c r="L740" s="4">
        <f>IF(COUNTIFS(Raw_Payments!B:B,A740)=0,"",SUMPRODUCT(MAX((Raw_Payments!B$2:B$1079=A740)*Raw_Payments!D$2:D$1079)))</f>
        <v/>
      </c>
      <c r="M740" s="3">
        <f>IF(K740="PAID",MAX(0,L740-G740),Guide!$B$3-G740)</f>
        <v/>
      </c>
      <c r="N740" s="3">
        <f>IF(J740&lt;=0.005,"COLLECTED",IF(M740&lt;=30,"1-30",IF(M740&lt;=60,"31-60",IF(M740&lt;=90,"61-90","90+"))))</f>
        <v/>
      </c>
      <c r="O740" s="3">
        <f>IF(N740="90+","LOST",IF(N740="61-90","ESCALATE",IF(N740="31-60","WATCH",IF(N740="1-30","MILD","OK"))))</f>
        <v/>
      </c>
      <c r="P740" s="3">
        <f>IF(J740&gt;0.005,ROW()-1,"")</f>
        <v/>
      </c>
    </row>
    <row r="741">
      <c r="A741" s="3" t="inlineStr">
        <is>
          <t>D0740</t>
        </is>
      </c>
      <c r="B741" s="3">
        <f>INDEX(Raw_Schedule!B:B,MATCH(A741,Raw_Schedule!A:A,0))</f>
        <v/>
      </c>
      <c r="C741" s="3">
        <f>INDEX(Raw_Schedule!C:C,MATCH(A741,Raw_Schedule!A:A,0))</f>
        <v/>
      </c>
      <c r="D741" s="3">
        <f>INDEX(Raw_Schedule!D:D,MATCH(A741,Raw_Schedule!A:A,0))</f>
        <v/>
      </c>
      <c r="E741" s="3">
        <f>INDEX(Raw_Schedule!E:E,MATCH(A741,Raw_Schedule!A:A,0))</f>
        <v/>
      </c>
      <c r="F741" s="3">
        <f>INDEX(Raw_Schedule!F:F,MATCH(A741,Raw_Schedule!A:A,0))</f>
        <v/>
      </c>
      <c r="G741" s="4">
        <f>INDEX(Raw_Schedule!G:G,MATCH(A741,Raw_Schedule!A:A,0))</f>
        <v/>
      </c>
      <c r="H741" s="5">
        <f>INDEX(Raw_Schedule!H:H,MATCH(A741,Raw_Schedule!A:A,0))</f>
        <v/>
      </c>
      <c r="I741" s="5">
        <f>SUMIFS(Raw_Payments!E:E,Raw_Payments!B:B,A741)</f>
        <v/>
      </c>
      <c r="J741" s="5">
        <f>H741-I741</f>
        <v/>
      </c>
      <c r="K741" s="3">
        <f>IF(J741&lt;=0.005,"PAID",IF(I741&gt;0,"PARTIAL","OVERDUE"))</f>
        <v/>
      </c>
      <c r="L741" s="4">
        <f>IF(COUNTIFS(Raw_Payments!B:B,A741)=0,"",SUMPRODUCT(MAX((Raw_Payments!B$2:B$1079=A741)*Raw_Payments!D$2:D$1079)))</f>
        <v/>
      </c>
      <c r="M741" s="3">
        <f>IF(K741="PAID",MAX(0,L741-G741),Guide!$B$3-G741)</f>
        <v/>
      </c>
      <c r="N741" s="3">
        <f>IF(J741&lt;=0.005,"COLLECTED",IF(M741&lt;=30,"1-30",IF(M741&lt;=60,"31-60",IF(M741&lt;=90,"61-90","90+"))))</f>
        <v/>
      </c>
      <c r="O741" s="3">
        <f>IF(N741="90+","LOST",IF(N741="61-90","ESCALATE",IF(N741="31-60","WATCH",IF(N741="1-30","MILD","OK"))))</f>
        <v/>
      </c>
      <c r="P741" s="3">
        <f>IF(J741&gt;0.005,ROW()-1,"")</f>
        <v/>
      </c>
    </row>
    <row r="742">
      <c r="A742" s="3" t="inlineStr">
        <is>
          <t>D0741</t>
        </is>
      </c>
      <c r="B742" s="3">
        <f>INDEX(Raw_Schedule!B:B,MATCH(A742,Raw_Schedule!A:A,0))</f>
        <v/>
      </c>
      <c r="C742" s="3">
        <f>INDEX(Raw_Schedule!C:C,MATCH(A742,Raw_Schedule!A:A,0))</f>
        <v/>
      </c>
      <c r="D742" s="3">
        <f>INDEX(Raw_Schedule!D:D,MATCH(A742,Raw_Schedule!A:A,0))</f>
        <v/>
      </c>
      <c r="E742" s="3">
        <f>INDEX(Raw_Schedule!E:E,MATCH(A742,Raw_Schedule!A:A,0))</f>
        <v/>
      </c>
      <c r="F742" s="3">
        <f>INDEX(Raw_Schedule!F:F,MATCH(A742,Raw_Schedule!A:A,0))</f>
        <v/>
      </c>
      <c r="G742" s="4">
        <f>INDEX(Raw_Schedule!G:G,MATCH(A742,Raw_Schedule!A:A,0))</f>
        <v/>
      </c>
      <c r="H742" s="5">
        <f>INDEX(Raw_Schedule!H:H,MATCH(A742,Raw_Schedule!A:A,0))</f>
        <v/>
      </c>
      <c r="I742" s="5">
        <f>SUMIFS(Raw_Payments!E:E,Raw_Payments!B:B,A742)</f>
        <v/>
      </c>
      <c r="J742" s="5">
        <f>H742-I742</f>
        <v/>
      </c>
      <c r="K742" s="3">
        <f>IF(J742&lt;=0.005,"PAID",IF(I742&gt;0,"PARTIAL","OVERDUE"))</f>
        <v/>
      </c>
      <c r="L742" s="4">
        <f>IF(COUNTIFS(Raw_Payments!B:B,A742)=0,"",SUMPRODUCT(MAX((Raw_Payments!B$2:B$1079=A742)*Raw_Payments!D$2:D$1079)))</f>
        <v/>
      </c>
      <c r="M742" s="3">
        <f>IF(K742="PAID",MAX(0,L742-G742),Guide!$B$3-G742)</f>
        <v/>
      </c>
      <c r="N742" s="3">
        <f>IF(J742&lt;=0.005,"COLLECTED",IF(M742&lt;=30,"1-30",IF(M742&lt;=60,"31-60",IF(M742&lt;=90,"61-90","90+"))))</f>
        <v/>
      </c>
      <c r="O742" s="3">
        <f>IF(N742="90+","LOST",IF(N742="61-90","ESCALATE",IF(N742="31-60","WATCH",IF(N742="1-30","MILD","OK"))))</f>
        <v/>
      </c>
      <c r="P742" s="3">
        <f>IF(J742&gt;0.005,ROW()-1,"")</f>
        <v/>
      </c>
    </row>
    <row r="743">
      <c r="A743" s="3" t="inlineStr">
        <is>
          <t>D0742</t>
        </is>
      </c>
      <c r="B743" s="3">
        <f>INDEX(Raw_Schedule!B:B,MATCH(A743,Raw_Schedule!A:A,0))</f>
        <v/>
      </c>
      <c r="C743" s="3">
        <f>INDEX(Raw_Schedule!C:C,MATCH(A743,Raw_Schedule!A:A,0))</f>
        <v/>
      </c>
      <c r="D743" s="3">
        <f>INDEX(Raw_Schedule!D:D,MATCH(A743,Raw_Schedule!A:A,0))</f>
        <v/>
      </c>
      <c r="E743" s="3">
        <f>INDEX(Raw_Schedule!E:E,MATCH(A743,Raw_Schedule!A:A,0))</f>
        <v/>
      </c>
      <c r="F743" s="3">
        <f>INDEX(Raw_Schedule!F:F,MATCH(A743,Raw_Schedule!A:A,0))</f>
        <v/>
      </c>
      <c r="G743" s="4">
        <f>INDEX(Raw_Schedule!G:G,MATCH(A743,Raw_Schedule!A:A,0))</f>
        <v/>
      </c>
      <c r="H743" s="5">
        <f>INDEX(Raw_Schedule!H:H,MATCH(A743,Raw_Schedule!A:A,0))</f>
        <v/>
      </c>
      <c r="I743" s="5">
        <f>SUMIFS(Raw_Payments!E:E,Raw_Payments!B:B,A743)</f>
        <v/>
      </c>
      <c r="J743" s="5">
        <f>H743-I743</f>
        <v/>
      </c>
      <c r="K743" s="3">
        <f>IF(J743&lt;=0.005,"PAID",IF(I743&gt;0,"PARTIAL","OVERDUE"))</f>
        <v/>
      </c>
      <c r="L743" s="4">
        <f>IF(COUNTIFS(Raw_Payments!B:B,A743)=0,"",SUMPRODUCT(MAX((Raw_Payments!B$2:B$1079=A743)*Raw_Payments!D$2:D$1079)))</f>
        <v/>
      </c>
      <c r="M743" s="3">
        <f>IF(K743="PAID",MAX(0,L743-G743),Guide!$B$3-G743)</f>
        <v/>
      </c>
      <c r="N743" s="3">
        <f>IF(J743&lt;=0.005,"COLLECTED",IF(M743&lt;=30,"1-30",IF(M743&lt;=60,"31-60",IF(M743&lt;=90,"61-90","90+"))))</f>
        <v/>
      </c>
      <c r="O743" s="3">
        <f>IF(N743="90+","LOST",IF(N743="61-90","ESCALATE",IF(N743="31-60","WATCH",IF(N743="1-30","MILD","OK"))))</f>
        <v/>
      </c>
      <c r="P743" s="3">
        <f>IF(J743&gt;0.005,ROW()-1,"")</f>
        <v/>
      </c>
    </row>
    <row r="744">
      <c r="A744" s="3" t="inlineStr">
        <is>
          <t>D0743</t>
        </is>
      </c>
      <c r="B744" s="3">
        <f>INDEX(Raw_Schedule!B:B,MATCH(A744,Raw_Schedule!A:A,0))</f>
        <v/>
      </c>
      <c r="C744" s="3">
        <f>INDEX(Raw_Schedule!C:C,MATCH(A744,Raw_Schedule!A:A,0))</f>
        <v/>
      </c>
      <c r="D744" s="3">
        <f>INDEX(Raw_Schedule!D:D,MATCH(A744,Raw_Schedule!A:A,0))</f>
        <v/>
      </c>
      <c r="E744" s="3">
        <f>INDEX(Raw_Schedule!E:E,MATCH(A744,Raw_Schedule!A:A,0))</f>
        <v/>
      </c>
      <c r="F744" s="3">
        <f>INDEX(Raw_Schedule!F:F,MATCH(A744,Raw_Schedule!A:A,0))</f>
        <v/>
      </c>
      <c r="G744" s="4">
        <f>INDEX(Raw_Schedule!G:G,MATCH(A744,Raw_Schedule!A:A,0))</f>
        <v/>
      </c>
      <c r="H744" s="5">
        <f>INDEX(Raw_Schedule!H:H,MATCH(A744,Raw_Schedule!A:A,0))</f>
        <v/>
      </c>
      <c r="I744" s="5">
        <f>SUMIFS(Raw_Payments!E:E,Raw_Payments!B:B,A744)</f>
        <v/>
      </c>
      <c r="J744" s="5">
        <f>H744-I744</f>
        <v/>
      </c>
      <c r="K744" s="3">
        <f>IF(J744&lt;=0.005,"PAID",IF(I744&gt;0,"PARTIAL","OVERDUE"))</f>
        <v/>
      </c>
      <c r="L744" s="4">
        <f>IF(COUNTIFS(Raw_Payments!B:B,A744)=0,"",SUMPRODUCT(MAX((Raw_Payments!B$2:B$1079=A744)*Raw_Payments!D$2:D$1079)))</f>
        <v/>
      </c>
      <c r="M744" s="3">
        <f>IF(K744="PAID",MAX(0,L744-G744),Guide!$B$3-G744)</f>
        <v/>
      </c>
      <c r="N744" s="3">
        <f>IF(J744&lt;=0.005,"COLLECTED",IF(M744&lt;=30,"1-30",IF(M744&lt;=60,"31-60",IF(M744&lt;=90,"61-90","90+"))))</f>
        <v/>
      </c>
      <c r="O744" s="3">
        <f>IF(N744="90+","LOST",IF(N744="61-90","ESCALATE",IF(N744="31-60","WATCH",IF(N744="1-30","MILD","OK"))))</f>
        <v/>
      </c>
      <c r="P744" s="3">
        <f>IF(J744&gt;0.005,ROW()-1,"")</f>
        <v/>
      </c>
    </row>
    <row r="745">
      <c r="A745" s="3" t="inlineStr">
        <is>
          <t>D0744</t>
        </is>
      </c>
      <c r="B745" s="3">
        <f>INDEX(Raw_Schedule!B:B,MATCH(A745,Raw_Schedule!A:A,0))</f>
        <v/>
      </c>
      <c r="C745" s="3">
        <f>INDEX(Raw_Schedule!C:C,MATCH(A745,Raw_Schedule!A:A,0))</f>
        <v/>
      </c>
      <c r="D745" s="3">
        <f>INDEX(Raw_Schedule!D:D,MATCH(A745,Raw_Schedule!A:A,0))</f>
        <v/>
      </c>
      <c r="E745" s="3">
        <f>INDEX(Raw_Schedule!E:E,MATCH(A745,Raw_Schedule!A:A,0))</f>
        <v/>
      </c>
      <c r="F745" s="3">
        <f>INDEX(Raw_Schedule!F:F,MATCH(A745,Raw_Schedule!A:A,0))</f>
        <v/>
      </c>
      <c r="G745" s="4">
        <f>INDEX(Raw_Schedule!G:G,MATCH(A745,Raw_Schedule!A:A,0))</f>
        <v/>
      </c>
      <c r="H745" s="5">
        <f>INDEX(Raw_Schedule!H:H,MATCH(A745,Raw_Schedule!A:A,0))</f>
        <v/>
      </c>
      <c r="I745" s="5">
        <f>SUMIFS(Raw_Payments!E:E,Raw_Payments!B:B,A745)</f>
        <v/>
      </c>
      <c r="J745" s="5">
        <f>H745-I745</f>
        <v/>
      </c>
      <c r="K745" s="3">
        <f>IF(J745&lt;=0.005,"PAID",IF(I745&gt;0,"PARTIAL","OVERDUE"))</f>
        <v/>
      </c>
      <c r="L745" s="4">
        <f>IF(COUNTIFS(Raw_Payments!B:B,A745)=0,"",SUMPRODUCT(MAX((Raw_Payments!B$2:B$1079=A745)*Raw_Payments!D$2:D$1079)))</f>
        <v/>
      </c>
      <c r="M745" s="3">
        <f>IF(K745="PAID",MAX(0,L745-G745),Guide!$B$3-G745)</f>
        <v/>
      </c>
      <c r="N745" s="3">
        <f>IF(J745&lt;=0.005,"COLLECTED",IF(M745&lt;=30,"1-30",IF(M745&lt;=60,"31-60",IF(M745&lt;=90,"61-90","90+"))))</f>
        <v/>
      </c>
      <c r="O745" s="3">
        <f>IF(N745="90+","LOST",IF(N745="61-90","ESCALATE",IF(N745="31-60","WATCH",IF(N745="1-30","MILD","OK"))))</f>
        <v/>
      </c>
      <c r="P745" s="3">
        <f>IF(J745&gt;0.005,ROW()-1,"")</f>
        <v/>
      </c>
    </row>
    <row r="746">
      <c r="A746" s="3" t="inlineStr">
        <is>
          <t>D0745</t>
        </is>
      </c>
      <c r="B746" s="3">
        <f>INDEX(Raw_Schedule!B:B,MATCH(A746,Raw_Schedule!A:A,0))</f>
        <v/>
      </c>
      <c r="C746" s="3">
        <f>INDEX(Raw_Schedule!C:C,MATCH(A746,Raw_Schedule!A:A,0))</f>
        <v/>
      </c>
      <c r="D746" s="3">
        <f>INDEX(Raw_Schedule!D:D,MATCH(A746,Raw_Schedule!A:A,0))</f>
        <v/>
      </c>
      <c r="E746" s="3">
        <f>INDEX(Raw_Schedule!E:E,MATCH(A746,Raw_Schedule!A:A,0))</f>
        <v/>
      </c>
      <c r="F746" s="3">
        <f>INDEX(Raw_Schedule!F:F,MATCH(A746,Raw_Schedule!A:A,0))</f>
        <v/>
      </c>
      <c r="G746" s="4">
        <f>INDEX(Raw_Schedule!G:G,MATCH(A746,Raw_Schedule!A:A,0))</f>
        <v/>
      </c>
      <c r="H746" s="5">
        <f>INDEX(Raw_Schedule!H:H,MATCH(A746,Raw_Schedule!A:A,0))</f>
        <v/>
      </c>
      <c r="I746" s="5">
        <f>SUMIFS(Raw_Payments!E:E,Raw_Payments!B:B,A746)</f>
        <v/>
      </c>
      <c r="J746" s="5">
        <f>H746-I746</f>
        <v/>
      </c>
      <c r="K746" s="3">
        <f>IF(J746&lt;=0.005,"PAID",IF(I746&gt;0,"PARTIAL","OVERDUE"))</f>
        <v/>
      </c>
      <c r="L746" s="4">
        <f>IF(COUNTIFS(Raw_Payments!B:B,A746)=0,"",SUMPRODUCT(MAX((Raw_Payments!B$2:B$1079=A746)*Raw_Payments!D$2:D$1079)))</f>
        <v/>
      </c>
      <c r="M746" s="3">
        <f>IF(K746="PAID",MAX(0,L746-G746),Guide!$B$3-G746)</f>
        <v/>
      </c>
      <c r="N746" s="3">
        <f>IF(J746&lt;=0.005,"COLLECTED",IF(M746&lt;=30,"1-30",IF(M746&lt;=60,"31-60",IF(M746&lt;=90,"61-90","90+"))))</f>
        <v/>
      </c>
      <c r="O746" s="3">
        <f>IF(N746="90+","LOST",IF(N746="61-90","ESCALATE",IF(N746="31-60","WATCH",IF(N746="1-30","MILD","OK"))))</f>
        <v/>
      </c>
      <c r="P746" s="3">
        <f>IF(J746&gt;0.005,ROW()-1,"")</f>
        <v/>
      </c>
    </row>
    <row r="747">
      <c r="A747" s="3" t="inlineStr">
        <is>
          <t>D0746</t>
        </is>
      </c>
      <c r="B747" s="3">
        <f>INDEX(Raw_Schedule!B:B,MATCH(A747,Raw_Schedule!A:A,0))</f>
        <v/>
      </c>
      <c r="C747" s="3">
        <f>INDEX(Raw_Schedule!C:C,MATCH(A747,Raw_Schedule!A:A,0))</f>
        <v/>
      </c>
      <c r="D747" s="3">
        <f>INDEX(Raw_Schedule!D:D,MATCH(A747,Raw_Schedule!A:A,0))</f>
        <v/>
      </c>
      <c r="E747" s="3">
        <f>INDEX(Raw_Schedule!E:E,MATCH(A747,Raw_Schedule!A:A,0))</f>
        <v/>
      </c>
      <c r="F747" s="3">
        <f>INDEX(Raw_Schedule!F:F,MATCH(A747,Raw_Schedule!A:A,0))</f>
        <v/>
      </c>
      <c r="G747" s="4">
        <f>INDEX(Raw_Schedule!G:G,MATCH(A747,Raw_Schedule!A:A,0))</f>
        <v/>
      </c>
      <c r="H747" s="5">
        <f>INDEX(Raw_Schedule!H:H,MATCH(A747,Raw_Schedule!A:A,0))</f>
        <v/>
      </c>
      <c r="I747" s="5">
        <f>SUMIFS(Raw_Payments!E:E,Raw_Payments!B:B,A747)</f>
        <v/>
      </c>
      <c r="J747" s="5">
        <f>H747-I747</f>
        <v/>
      </c>
      <c r="K747" s="3">
        <f>IF(J747&lt;=0.005,"PAID",IF(I747&gt;0,"PARTIAL","OVERDUE"))</f>
        <v/>
      </c>
      <c r="L747" s="4">
        <f>IF(COUNTIFS(Raw_Payments!B:B,A747)=0,"",SUMPRODUCT(MAX((Raw_Payments!B$2:B$1079=A747)*Raw_Payments!D$2:D$1079)))</f>
        <v/>
      </c>
      <c r="M747" s="3">
        <f>IF(K747="PAID",MAX(0,L747-G747),Guide!$B$3-G747)</f>
        <v/>
      </c>
      <c r="N747" s="3">
        <f>IF(J747&lt;=0.005,"COLLECTED",IF(M747&lt;=30,"1-30",IF(M747&lt;=60,"31-60",IF(M747&lt;=90,"61-90","90+"))))</f>
        <v/>
      </c>
      <c r="O747" s="3">
        <f>IF(N747="90+","LOST",IF(N747="61-90","ESCALATE",IF(N747="31-60","WATCH",IF(N747="1-30","MILD","OK"))))</f>
        <v/>
      </c>
      <c r="P747" s="3">
        <f>IF(J747&gt;0.005,ROW()-1,"")</f>
        <v/>
      </c>
    </row>
    <row r="748">
      <c r="A748" s="3" t="inlineStr">
        <is>
          <t>D0747</t>
        </is>
      </c>
      <c r="B748" s="3">
        <f>INDEX(Raw_Schedule!B:B,MATCH(A748,Raw_Schedule!A:A,0))</f>
        <v/>
      </c>
      <c r="C748" s="3">
        <f>INDEX(Raw_Schedule!C:C,MATCH(A748,Raw_Schedule!A:A,0))</f>
        <v/>
      </c>
      <c r="D748" s="3">
        <f>INDEX(Raw_Schedule!D:D,MATCH(A748,Raw_Schedule!A:A,0))</f>
        <v/>
      </c>
      <c r="E748" s="3">
        <f>INDEX(Raw_Schedule!E:E,MATCH(A748,Raw_Schedule!A:A,0))</f>
        <v/>
      </c>
      <c r="F748" s="3">
        <f>INDEX(Raw_Schedule!F:F,MATCH(A748,Raw_Schedule!A:A,0))</f>
        <v/>
      </c>
      <c r="G748" s="4">
        <f>INDEX(Raw_Schedule!G:G,MATCH(A748,Raw_Schedule!A:A,0))</f>
        <v/>
      </c>
      <c r="H748" s="5">
        <f>INDEX(Raw_Schedule!H:H,MATCH(A748,Raw_Schedule!A:A,0))</f>
        <v/>
      </c>
      <c r="I748" s="5">
        <f>SUMIFS(Raw_Payments!E:E,Raw_Payments!B:B,A748)</f>
        <v/>
      </c>
      <c r="J748" s="5">
        <f>H748-I748</f>
        <v/>
      </c>
      <c r="K748" s="3">
        <f>IF(J748&lt;=0.005,"PAID",IF(I748&gt;0,"PARTIAL","OVERDUE"))</f>
        <v/>
      </c>
      <c r="L748" s="4">
        <f>IF(COUNTIFS(Raw_Payments!B:B,A748)=0,"",SUMPRODUCT(MAX((Raw_Payments!B$2:B$1079=A748)*Raw_Payments!D$2:D$1079)))</f>
        <v/>
      </c>
      <c r="M748" s="3">
        <f>IF(K748="PAID",MAX(0,L748-G748),Guide!$B$3-G748)</f>
        <v/>
      </c>
      <c r="N748" s="3">
        <f>IF(J748&lt;=0.005,"COLLECTED",IF(M748&lt;=30,"1-30",IF(M748&lt;=60,"31-60",IF(M748&lt;=90,"61-90","90+"))))</f>
        <v/>
      </c>
      <c r="O748" s="3">
        <f>IF(N748="90+","LOST",IF(N748="61-90","ESCALATE",IF(N748="31-60","WATCH",IF(N748="1-30","MILD","OK"))))</f>
        <v/>
      </c>
      <c r="P748" s="3">
        <f>IF(J748&gt;0.005,ROW()-1,"")</f>
        <v/>
      </c>
    </row>
    <row r="749">
      <c r="A749" s="3" t="inlineStr">
        <is>
          <t>D0748</t>
        </is>
      </c>
      <c r="B749" s="3">
        <f>INDEX(Raw_Schedule!B:B,MATCH(A749,Raw_Schedule!A:A,0))</f>
        <v/>
      </c>
      <c r="C749" s="3">
        <f>INDEX(Raw_Schedule!C:C,MATCH(A749,Raw_Schedule!A:A,0))</f>
        <v/>
      </c>
      <c r="D749" s="3">
        <f>INDEX(Raw_Schedule!D:D,MATCH(A749,Raw_Schedule!A:A,0))</f>
        <v/>
      </c>
      <c r="E749" s="3">
        <f>INDEX(Raw_Schedule!E:E,MATCH(A749,Raw_Schedule!A:A,0))</f>
        <v/>
      </c>
      <c r="F749" s="3">
        <f>INDEX(Raw_Schedule!F:F,MATCH(A749,Raw_Schedule!A:A,0))</f>
        <v/>
      </c>
      <c r="G749" s="4">
        <f>INDEX(Raw_Schedule!G:G,MATCH(A749,Raw_Schedule!A:A,0))</f>
        <v/>
      </c>
      <c r="H749" s="5">
        <f>INDEX(Raw_Schedule!H:H,MATCH(A749,Raw_Schedule!A:A,0))</f>
        <v/>
      </c>
      <c r="I749" s="5">
        <f>SUMIFS(Raw_Payments!E:E,Raw_Payments!B:B,A749)</f>
        <v/>
      </c>
      <c r="J749" s="5">
        <f>H749-I749</f>
        <v/>
      </c>
      <c r="K749" s="3">
        <f>IF(J749&lt;=0.005,"PAID",IF(I749&gt;0,"PARTIAL","OVERDUE"))</f>
        <v/>
      </c>
      <c r="L749" s="4">
        <f>IF(COUNTIFS(Raw_Payments!B:B,A749)=0,"",SUMPRODUCT(MAX((Raw_Payments!B$2:B$1079=A749)*Raw_Payments!D$2:D$1079)))</f>
        <v/>
      </c>
      <c r="M749" s="3">
        <f>IF(K749="PAID",MAX(0,L749-G749),Guide!$B$3-G749)</f>
        <v/>
      </c>
      <c r="N749" s="3">
        <f>IF(J749&lt;=0.005,"COLLECTED",IF(M749&lt;=30,"1-30",IF(M749&lt;=60,"31-60",IF(M749&lt;=90,"61-90","90+"))))</f>
        <v/>
      </c>
      <c r="O749" s="3">
        <f>IF(N749="90+","LOST",IF(N749="61-90","ESCALATE",IF(N749="31-60","WATCH",IF(N749="1-30","MILD","OK"))))</f>
        <v/>
      </c>
      <c r="P749" s="3">
        <f>IF(J749&gt;0.005,ROW()-1,"")</f>
        <v/>
      </c>
    </row>
    <row r="750">
      <c r="A750" s="3" t="inlineStr">
        <is>
          <t>D0749</t>
        </is>
      </c>
      <c r="B750" s="3">
        <f>INDEX(Raw_Schedule!B:B,MATCH(A750,Raw_Schedule!A:A,0))</f>
        <v/>
      </c>
      <c r="C750" s="3">
        <f>INDEX(Raw_Schedule!C:C,MATCH(A750,Raw_Schedule!A:A,0))</f>
        <v/>
      </c>
      <c r="D750" s="3">
        <f>INDEX(Raw_Schedule!D:D,MATCH(A750,Raw_Schedule!A:A,0))</f>
        <v/>
      </c>
      <c r="E750" s="3">
        <f>INDEX(Raw_Schedule!E:E,MATCH(A750,Raw_Schedule!A:A,0))</f>
        <v/>
      </c>
      <c r="F750" s="3">
        <f>INDEX(Raw_Schedule!F:F,MATCH(A750,Raw_Schedule!A:A,0))</f>
        <v/>
      </c>
      <c r="G750" s="4">
        <f>INDEX(Raw_Schedule!G:G,MATCH(A750,Raw_Schedule!A:A,0))</f>
        <v/>
      </c>
      <c r="H750" s="5">
        <f>INDEX(Raw_Schedule!H:H,MATCH(A750,Raw_Schedule!A:A,0))</f>
        <v/>
      </c>
      <c r="I750" s="5">
        <f>SUMIFS(Raw_Payments!E:E,Raw_Payments!B:B,A750)</f>
        <v/>
      </c>
      <c r="J750" s="5">
        <f>H750-I750</f>
        <v/>
      </c>
      <c r="K750" s="3">
        <f>IF(J750&lt;=0.005,"PAID",IF(I750&gt;0,"PARTIAL","OVERDUE"))</f>
        <v/>
      </c>
      <c r="L750" s="4">
        <f>IF(COUNTIFS(Raw_Payments!B:B,A750)=0,"",SUMPRODUCT(MAX((Raw_Payments!B$2:B$1079=A750)*Raw_Payments!D$2:D$1079)))</f>
        <v/>
      </c>
      <c r="M750" s="3">
        <f>IF(K750="PAID",MAX(0,L750-G750),Guide!$B$3-G750)</f>
        <v/>
      </c>
      <c r="N750" s="3">
        <f>IF(J750&lt;=0.005,"COLLECTED",IF(M750&lt;=30,"1-30",IF(M750&lt;=60,"31-60",IF(M750&lt;=90,"61-90","90+"))))</f>
        <v/>
      </c>
      <c r="O750" s="3">
        <f>IF(N750="90+","LOST",IF(N750="61-90","ESCALATE",IF(N750="31-60","WATCH",IF(N750="1-30","MILD","OK"))))</f>
        <v/>
      </c>
      <c r="P750" s="3">
        <f>IF(J750&gt;0.005,ROW()-1,"")</f>
        <v/>
      </c>
    </row>
    <row r="751">
      <c r="A751" s="3" t="inlineStr">
        <is>
          <t>D0750</t>
        </is>
      </c>
      <c r="B751" s="3">
        <f>INDEX(Raw_Schedule!B:B,MATCH(A751,Raw_Schedule!A:A,0))</f>
        <v/>
      </c>
      <c r="C751" s="3">
        <f>INDEX(Raw_Schedule!C:C,MATCH(A751,Raw_Schedule!A:A,0))</f>
        <v/>
      </c>
      <c r="D751" s="3">
        <f>INDEX(Raw_Schedule!D:D,MATCH(A751,Raw_Schedule!A:A,0))</f>
        <v/>
      </c>
      <c r="E751" s="3">
        <f>INDEX(Raw_Schedule!E:E,MATCH(A751,Raw_Schedule!A:A,0))</f>
        <v/>
      </c>
      <c r="F751" s="3">
        <f>INDEX(Raw_Schedule!F:F,MATCH(A751,Raw_Schedule!A:A,0))</f>
        <v/>
      </c>
      <c r="G751" s="4">
        <f>INDEX(Raw_Schedule!G:G,MATCH(A751,Raw_Schedule!A:A,0))</f>
        <v/>
      </c>
      <c r="H751" s="5">
        <f>INDEX(Raw_Schedule!H:H,MATCH(A751,Raw_Schedule!A:A,0))</f>
        <v/>
      </c>
      <c r="I751" s="5">
        <f>SUMIFS(Raw_Payments!E:E,Raw_Payments!B:B,A751)</f>
        <v/>
      </c>
      <c r="J751" s="5">
        <f>H751-I751</f>
        <v/>
      </c>
      <c r="K751" s="3">
        <f>IF(J751&lt;=0.005,"PAID",IF(I751&gt;0,"PARTIAL","OVERDUE"))</f>
        <v/>
      </c>
      <c r="L751" s="4">
        <f>IF(COUNTIFS(Raw_Payments!B:B,A751)=0,"",SUMPRODUCT(MAX((Raw_Payments!B$2:B$1079=A751)*Raw_Payments!D$2:D$1079)))</f>
        <v/>
      </c>
      <c r="M751" s="3">
        <f>IF(K751="PAID",MAX(0,L751-G751),Guide!$B$3-G751)</f>
        <v/>
      </c>
      <c r="N751" s="3">
        <f>IF(J751&lt;=0.005,"COLLECTED",IF(M751&lt;=30,"1-30",IF(M751&lt;=60,"31-60",IF(M751&lt;=90,"61-90","90+"))))</f>
        <v/>
      </c>
      <c r="O751" s="3">
        <f>IF(N751="90+","LOST",IF(N751="61-90","ESCALATE",IF(N751="31-60","WATCH",IF(N751="1-30","MILD","OK"))))</f>
        <v/>
      </c>
      <c r="P751" s="3">
        <f>IF(J751&gt;0.005,ROW()-1,"")</f>
        <v/>
      </c>
    </row>
    <row r="752">
      <c r="A752" s="3" t="inlineStr">
        <is>
          <t>D0751</t>
        </is>
      </c>
      <c r="B752" s="3">
        <f>INDEX(Raw_Schedule!B:B,MATCH(A752,Raw_Schedule!A:A,0))</f>
        <v/>
      </c>
      <c r="C752" s="3">
        <f>INDEX(Raw_Schedule!C:C,MATCH(A752,Raw_Schedule!A:A,0))</f>
        <v/>
      </c>
      <c r="D752" s="3">
        <f>INDEX(Raw_Schedule!D:D,MATCH(A752,Raw_Schedule!A:A,0))</f>
        <v/>
      </c>
      <c r="E752" s="3">
        <f>INDEX(Raw_Schedule!E:E,MATCH(A752,Raw_Schedule!A:A,0))</f>
        <v/>
      </c>
      <c r="F752" s="3">
        <f>INDEX(Raw_Schedule!F:F,MATCH(A752,Raw_Schedule!A:A,0))</f>
        <v/>
      </c>
      <c r="G752" s="4">
        <f>INDEX(Raw_Schedule!G:G,MATCH(A752,Raw_Schedule!A:A,0))</f>
        <v/>
      </c>
      <c r="H752" s="5">
        <f>INDEX(Raw_Schedule!H:H,MATCH(A752,Raw_Schedule!A:A,0))</f>
        <v/>
      </c>
      <c r="I752" s="5">
        <f>SUMIFS(Raw_Payments!E:E,Raw_Payments!B:B,A752)</f>
        <v/>
      </c>
      <c r="J752" s="5">
        <f>H752-I752</f>
        <v/>
      </c>
      <c r="K752" s="3">
        <f>IF(J752&lt;=0.005,"PAID",IF(I752&gt;0,"PARTIAL","OVERDUE"))</f>
        <v/>
      </c>
      <c r="L752" s="4">
        <f>IF(COUNTIFS(Raw_Payments!B:B,A752)=0,"",SUMPRODUCT(MAX((Raw_Payments!B$2:B$1079=A752)*Raw_Payments!D$2:D$1079)))</f>
        <v/>
      </c>
      <c r="M752" s="3">
        <f>IF(K752="PAID",MAX(0,L752-G752),Guide!$B$3-G752)</f>
        <v/>
      </c>
      <c r="N752" s="3">
        <f>IF(J752&lt;=0.005,"COLLECTED",IF(M752&lt;=30,"1-30",IF(M752&lt;=60,"31-60",IF(M752&lt;=90,"61-90","90+"))))</f>
        <v/>
      </c>
      <c r="O752" s="3">
        <f>IF(N752="90+","LOST",IF(N752="61-90","ESCALATE",IF(N752="31-60","WATCH",IF(N752="1-30","MILD","OK"))))</f>
        <v/>
      </c>
      <c r="P752" s="3">
        <f>IF(J752&gt;0.005,ROW()-1,"")</f>
        <v/>
      </c>
    </row>
    <row r="753">
      <c r="A753" s="3" t="inlineStr">
        <is>
          <t>D0752</t>
        </is>
      </c>
      <c r="B753" s="3">
        <f>INDEX(Raw_Schedule!B:B,MATCH(A753,Raw_Schedule!A:A,0))</f>
        <v/>
      </c>
      <c r="C753" s="3">
        <f>INDEX(Raw_Schedule!C:C,MATCH(A753,Raw_Schedule!A:A,0))</f>
        <v/>
      </c>
      <c r="D753" s="3">
        <f>INDEX(Raw_Schedule!D:D,MATCH(A753,Raw_Schedule!A:A,0))</f>
        <v/>
      </c>
      <c r="E753" s="3">
        <f>INDEX(Raw_Schedule!E:E,MATCH(A753,Raw_Schedule!A:A,0))</f>
        <v/>
      </c>
      <c r="F753" s="3">
        <f>INDEX(Raw_Schedule!F:F,MATCH(A753,Raw_Schedule!A:A,0))</f>
        <v/>
      </c>
      <c r="G753" s="4">
        <f>INDEX(Raw_Schedule!G:G,MATCH(A753,Raw_Schedule!A:A,0))</f>
        <v/>
      </c>
      <c r="H753" s="5">
        <f>INDEX(Raw_Schedule!H:H,MATCH(A753,Raw_Schedule!A:A,0))</f>
        <v/>
      </c>
      <c r="I753" s="5">
        <f>SUMIFS(Raw_Payments!E:E,Raw_Payments!B:B,A753)</f>
        <v/>
      </c>
      <c r="J753" s="5">
        <f>H753-I753</f>
        <v/>
      </c>
      <c r="K753" s="3">
        <f>IF(J753&lt;=0.005,"PAID",IF(I753&gt;0,"PARTIAL","OVERDUE"))</f>
        <v/>
      </c>
      <c r="L753" s="4">
        <f>IF(COUNTIFS(Raw_Payments!B:B,A753)=0,"",SUMPRODUCT(MAX((Raw_Payments!B$2:B$1079=A753)*Raw_Payments!D$2:D$1079)))</f>
        <v/>
      </c>
      <c r="M753" s="3">
        <f>IF(K753="PAID",MAX(0,L753-G753),Guide!$B$3-G753)</f>
        <v/>
      </c>
      <c r="N753" s="3">
        <f>IF(J753&lt;=0.005,"COLLECTED",IF(M753&lt;=30,"1-30",IF(M753&lt;=60,"31-60",IF(M753&lt;=90,"61-90","90+"))))</f>
        <v/>
      </c>
      <c r="O753" s="3">
        <f>IF(N753="90+","LOST",IF(N753="61-90","ESCALATE",IF(N753="31-60","WATCH",IF(N753="1-30","MILD","OK"))))</f>
        <v/>
      </c>
      <c r="P753" s="3">
        <f>IF(J753&gt;0.005,ROW()-1,"")</f>
        <v/>
      </c>
    </row>
    <row r="754">
      <c r="A754" s="3" t="inlineStr">
        <is>
          <t>D0753</t>
        </is>
      </c>
      <c r="B754" s="3">
        <f>INDEX(Raw_Schedule!B:B,MATCH(A754,Raw_Schedule!A:A,0))</f>
        <v/>
      </c>
      <c r="C754" s="3">
        <f>INDEX(Raw_Schedule!C:C,MATCH(A754,Raw_Schedule!A:A,0))</f>
        <v/>
      </c>
      <c r="D754" s="3">
        <f>INDEX(Raw_Schedule!D:D,MATCH(A754,Raw_Schedule!A:A,0))</f>
        <v/>
      </c>
      <c r="E754" s="3">
        <f>INDEX(Raw_Schedule!E:E,MATCH(A754,Raw_Schedule!A:A,0))</f>
        <v/>
      </c>
      <c r="F754" s="3">
        <f>INDEX(Raw_Schedule!F:F,MATCH(A754,Raw_Schedule!A:A,0))</f>
        <v/>
      </c>
      <c r="G754" s="4">
        <f>INDEX(Raw_Schedule!G:G,MATCH(A754,Raw_Schedule!A:A,0))</f>
        <v/>
      </c>
      <c r="H754" s="5">
        <f>INDEX(Raw_Schedule!H:H,MATCH(A754,Raw_Schedule!A:A,0))</f>
        <v/>
      </c>
      <c r="I754" s="5">
        <f>SUMIFS(Raw_Payments!E:E,Raw_Payments!B:B,A754)</f>
        <v/>
      </c>
      <c r="J754" s="5">
        <f>H754-I754</f>
        <v/>
      </c>
      <c r="K754" s="3">
        <f>IF(J754&lt;=0.005,"PAID",IF(I754&gt;0,"PARTIAL","OVERDUE"))</f>
        <v/>
      </c>
      <c r="L754" s="4">
        <f>IF(COUNTIFS(Raw_Payments!B:B,A754)=0,"",SUMPRODUCT(MAX((Raw_Payments!B$2:B$1079=A754)*Raw_Payments!D$2:D$1079)))</f>
        <v/>
      </c>
      <c r="M754" s="3">
        <f>IF(K754="PAID",MAX(0,L754-G754),Guide!$B$3-G754)</f>
        <v/>
      </c>
      <c r="N754" s="3">
        <f>IF(J754&lt;=0.005,"COLLECTED",IF(M754&lt;=30,"1-30",IF(M754&lt;=60,"31-60",IF(M754&lt;=90,"61-90","90+"))))</f>
        <v/>
      </c>
      <c r="O754" s="3">
        <f>IF(N754="90+","LOST",IF(N754="61-90","ESCALATE",IF(N754="31-60","WATCH",IF(N754="1-30","MILD","OK"))))</f>
        <v/>
      </c>
      <c r="P754" s="3">
        <f>IF(J754&gt;0.005,ROW()-1,"")</f>
        <v/>
      </c>
    </row>
    <row r="755">
      <c r="A755" s="3" t="inlineStr">
        <is>
          <t>D0754</t>
        </is>
      </c>
      <c r="B755" s="3">
        <f>INDEX(Raw_Schedule!B:B,MATCH(A755,Raw_Schedule!A:A,0))</f>
        <v/>
      </c>
      <c r="C755" s="3">
        <f>INDEX(Raw_Schedule!C:C,MATCH(A755,Raw_Schedule!A:A,0))</f>
        <v/>
      </c>
      <c r="D755" s="3">
        <f>INDEX(Raw_Schedule!D:D,MATCH(A755,Raw_Schedule!A:A,0))</f>
        <v/>
      </c>
      <c r="E755" s="3">
        <f>INDEX(Raw_Schedule!E:E,MATCH(A755,Raw_Schedule!A:A,0))</f>
        <v/>
      </c>
      <c r="F755" s="3">
        <f>INDEX(Raw_Schedule!F:F,MATCH(A755,Raw_Schedule!A:A,0))</f>
        <v/>
      </c>
      <c r="G755" s="4">
        <f>INDEX(Raw_Schedule!G:G,MATCH(A755,Raw_Schedule!A:A,0))</f>
        <v/>
      </c>
      <c r="H755" s="5">
        <f>INDEX(Raw_Schedule!H:H,MATCH(A755,Raw_Schedule!A:A,0))</f>
        <v/>
      </c>
      <c r="I755" s="5">
        <f>SUMIFS(Raw_Payments!E:E,Raw_Payments!B:B,A755)</f>
        <v/>
      </c>
      <c r="J755" s="5">
        <f>H755-I755</f>
        <v/>
      </c>
      <c r="K755" s="3">
        <f>IF(J755&lt;=0.005,"PAID",IF(I755&gt;0,"PARTIAL","OVERDUE"))</f>
        <v/>
      </c>
      <c r="L755" s="4">
        <f>IF(COUNTIFS(Raw_Payments!B:B,A755)=0,"",SUMPRODUCT(MAX((Raw_Payments!B$2:B$1079=A755)*Raw_Payments!D$2:D$1079)))</f>
        <v/>
      </c>
      <c r="M755" s="3">
        <f>IF(K755="PAID",MAX(0,L755-G755),Guide!$B$3-G755)</f>
        <v/>
      </c>
      <c r="N755" s="3">
        <f>IF(J755&lt;=0.005,"COLLECTED",IF(M755&lt;=30,"1-30",IF(M755&lt;=60,"31-60",IF(M755&lt;=90,"61-90","90+"))))</f>
        <v/>
      </c>
      <c r="O755" s="3">
        <f>IF(N755="90+","LOST",IF(N755="61-90","ESCALATE",IF(N755="31-60","WATCH",IF(N755="1-30","MILD","OK"))))</f>
        <v/>
      </c>
      <c r="P755" s="3">
        <f>IF(J755&gt;0.005,ROW()-1,"")</f>
        <v/>
      </c>
    </row>
    <row r="756">
      <c r="A756" s="3" t="inlineStr">
        <is>
          <t>D0755</t>
        </is>
      </c>
      <c r="B756" s="3">
        <f>INDEX(Raw_Schedule!B:B,MATCH(A756,Raw_Schedule!A:A,0))</f>
        <v/>
      </c>
      <c r="C756" s="3">
        <f>INDEX(Raw_Schedule!C:C,MATCH(A756,Raw_Schedule!A:A,0))</f>
        <v/>
      </c>
      <c r="D756" s="3">
        <f>INDEX(Raw_Schedule!D:D,MATCH(A756,Raw_Schedule!A:A,0))</f>
        <v/>
      </c>
      <c r="E756" s="3">
        <f>INDEX(Raw_Schedule!E:E,MATCH(A756,Raw_Schedule!A:A,0))</f>
        <v/>
      </c>
      <c r="F756" s="3">
        <f>INDEX(Raw_Schedule!F:F,MATCH(A756,Raw_Schedule!A:A,0))</f>
        <v/>
      </c>
      <c r="G756" s="4">
        <f>INDEX(Raw_Schedule!G:G,MATCH(A756,Raw_Schedule!A:A,0))</f>
        <v/>
      </c>
      <c r="H756" s="5">
        <f>INDEX(Raw_Schedule!H:H,MATCH(A756,Raw_Schedule!A:A,0))</f>
        <v/>
      </c>
      <c r="I756" s="5">
        <f>SUMIFS(Raw_Payments!E:E,Raw_Payments!B:B,A756)</f>
        <v/>
      </c>
      <c r="J756" s="5">
        <f>H756-I756</f>
        <v/>
      </c>
      <c r="K756" s="3">
        <f>IF(J756&lt;=0.005,"PAID",IF(I756&gt;0,"PARTIAL","OVERDUE"))</f>
        <v/>
      </c>
      <c r="L756" s="4">
        <f>IF(COUNTIFS(Raw_Payments!B:B,A756)=0,"",SUMPRODUCT(MAX((Raw_Payments!B$2:B$1079=A756)*Raw_Payments!D$2:D$1079)))</f>
        <v/>
      </c>
      <c r="M756" s="3">
        <f>IF(K756="PAID",MAX(0,L756-G756),Guide!$B$3-G756)</f>
        <v/>
      </c>
      <c r="N756" s="3">
        <f>IF(J756&lt;=0.005,"COLLECTED",IF(M756&lt;=30,"1-30",IF(M756&lt;=60,"31-60",IF(M756&lt;=90,"61-90","90+"))))</f>
        <v/>
      </c>
      <c r="O756" s="3">
        <f>IF(N756="90+","LOST",IF(N756="61-90","ESCALATE",IF(N756="31-60","WATCH",IF(N756="1-30","MILD","OK"))))</f>
        <v/>
      </c>
      <c r="P756" s="3">
        <f>IF(J756&gt;0.005,ROW()-1,"")</f>
        <v/>
      </c>
    </row>
    <row r="757">
      <c r="A757" s="3" t="inlineStr">
        <is>
          <t>D0756</t>
        </is>
      </c>
      <c r="B757" s="3">
        <f>INDEX(Raw_Schedule!B:B,MATCH(A757,Raw_Schedule!A:A,0))</f>
        <v/>
      </c>
      <c r="C757" s="3">
        <f>INDEX(Raw_Schedule!C:C,MATCH(A757,Raw_Schedule!A:A,0))</f>
        <v/>
      </c>
      <c r="D757" s="3">
        <f>INDEX(Raw_Schedule!D:D,MATCH(A757,Raw_Schedule!A:A,0))</f>
        <v/>
      </c>
      <c r="E757" s="3">
        <f>INDEX(Raw_Schedule!E:E,MATCH(A757,Raw_Schedule!A:A,0))</f>
        <v/>
      </c>
      <c r="F757" s="3">
        <f>INDEX(Raw_Schedule!F:F,MATCH(A757,Raw_Schedule!A:A,0))</f>
        <v/>
      </c>
      <c r="G757" s="4">
        <f>INDEX(Raw_Schedule!G:G,MATCH(A757,Raw_Schedule!A:A,0))</f>
        <v/>
      </c>
      <c r="H757" s="5">
        <f>INDEX(Raw_Schedule!H:H,MATCH(A757,Raw_Schedule!A:A,0))</f>
        <v/>
      </c>
      <c r="I757" s="5">
        <f>SUMIFS(Raw_Payments!E:E,Raw_Payments!B:B,A757)</f>
        <v/>
      </c>
      <c r="J757" s="5">
        <f>H757-I757</f>
        <v/>
      </c>
      <c r="K757" s="3">
        <f>IF(J757&lt;=0.005,"PAID",IF(I757&gt;0,"PARTIAL","OVERDUE"))</f>
        <v/>
      </c>
      <c r="L757" s="4">
        <f>IF(COUNTIFS(Raw_Payments!B:B,A757)=0,"",SUMPRODUCT(MAX((Raw_Payments!B$2:B$1079=A757)*Raw_Payments!D$2:D$1079)))</f>
        <v/>
      </c>
      <c r="M757" s="3">
        <f>IF(K757="PAID",MAX(0,L757-G757),Guide!$B$3-G757)</f>
        <v/>
      </c>
      <c r="N757" s="3">
        <f>IF(J757&lt;=0.005,"COLLECTED",IF(M757&lt;=30,"1-30",IF(M757&lt;=60,"31-60",IF(M757&lt;=90,"61-90","90+"))))</f>
        <v/>
      </c>
      <c r="O757" s="3">
        <f>IF(N757="90+","LOST",IF(N757="61-90","ESCALATE",IF(N757="31-60","WATCH",IF(N757="1-30","MILD","OK"))))</f>
        <v/>
      </c>
      <c r="P757" s="3">
        <f>IF(J757&gt;0.005,ROW()-1,"")</f>
        <v/>
      </c>
    </row>
    <row r="758">
      <c r="A758" s="3" t="inlineStr">
        <is>
          <t>D0757</t>
        </is>
      </c>
      <c r="B758" s="3">
        <f>INDEX(Raw_Schedule!B:B,MATCH(A758,Raw_Schedule!A:A,0))</f>
        <v/>
      </c>
      <c r="C758" s="3">
        <f>INDEX(Raw_Schedule!C:C,MATCH(A758,Raw_Schedule!A:A,0))</f>
        <v/>
      </c>
      <c r="D758" s="3">
        <f>INDEX(Raw_Schedule!D:D,MATCH(A758,Raw_Schedule!A:A,0))</f>
        <v/>
      </c>
      <c r="E758" s="3">
        <f>INDEX(Raw_Schedule!E:E,MATCH(A758,Raw_Schedule!A:A,0))</f>
        <v/>
      </c>
      <c r="F758" s="3">
        <f>INDEX(Raw_Schedule!F:F,MATCH(A758,Raw_Schedule!A:A,0))</f>
        <v/>
      </c>
      <c r="G758" s="4">
        <f>INDEX(Raw_Schedule!G:G,MATCH(A758,Raw_Schedule!A:A,0))</f>
        <v/>
      </c>
      <c r="H758" s="5">
        <f>INDEX(Raw_Schedule!H:H,MATCH(A758,Raw_Schedule!A:A,0))</f>
        <v/>
      </c>
      <c r="I758" s="5">
        <f>SUMIFS(Raw_Payments!E:E,Raw_Payments!B:B,A758)</f>
        <v/>
      </c>
      <c r="J758" s="5">
        <f>H758-I758</f>
        <v/>
      </c>
      <c r="K758" s="3">
        <f>IF(J758&lt;=0.005,"PAID",IF(I758&gt;0,"PARTIAL","OVERDUE"))</f>
        <v/>
      </c>
      <c r="L758" s="4">
        <f>IF(COUNTIFS(Raw_Payments!B:B,A758)=0,"",SUMPRODUCT(MAX((Raw_Payments!B$2:B$1079=A758)*Raw_Payments!D$2:D$1079)))</f>
        <v/>
      </c>
      <c r="M758" s="3">
        <f>IF(K758="PAID",MAX(0,L758-G758),Guide!$B$3-G758)</f>
        <v/>
      </c>
      <c r="N758" s="3">
        <f>IF(J758&lt;=0.005,"COLLECTED",IF(M758&lt;=30,"1-30",IF(M758&lt;=60,"31-60",IF(M758&lt;=90,"61-90","90+"))))</f>
        <v/>
      </c>
      <c r="O758" s="3">
        <f>IF(N758="90+","LOST",IF(N758="61-90","ESCALATE",IF(N758="31-60","WATCH",IF(N758="1-30","MILD","OK"))))</f>
        <v/>
      </c>
      <c r="P758" s="3">
        <f>IF(J758&gt;0.005,ROW()-1,"")</f>
        <v/>
      </c>
    </row>
    <row r="759">
      <c r="A759" s="3" t="inlineStr">
        <is>
          <t>D0758</t>
        </is>
      </c>
      <c r="B759" s="3">
        <f>INDEX(Raw_Schedule!B:B,MATCH(A759,Raw_Schedule!A:A,0))</f>
        <v/>
      </c>
      <c r="C759" s="3">
        <f>INDEX(Raw_Schedule!C:C,MATCH(A759,Raw_Schedule!A:A,0))</f>
        <v/>
      </c>
      <c r="D759" s="3">
        <f>INDEX(Raw_Schedule!D:D,MATCH(A759,Raw_Schedule!A:A,0))</f>
        <v/>
      </c>
      <c r="E759" s="3">
        <f>INDEX(Raw_Schedule!E:E,MATCH(A759,Raw_Schedule!A:A,0))</f>
        <v/>
      </c>
      <c r="F759" s="3">
        <f>INDEX(Raw_Schedule!F:F,MATCH(A759,Raw_Schedule!A:A,0))</f>
        <v/>
      </c>
      <c r="G759" s="4">
        <f>INDEX(Raw_Schedule!G:G,MATCH(A759,Raw_Schedule!A:A,0))</f>
        <v/>
      </c>
      <c r="H759" s="5">
        <f>INDEX(Raw_Schedule!H:H,MATCH(A759,Raw_Schedule!A:A,0))</f>
        <v/>
      </c>
      <c r="I759" s="5">
        <f>SUMIFS(Raw_Payments!E:E,Raw_Payments!B:B,A759)</f>
        <v/>
      </c>
      <c r="J759" s="5">
        <f>H759-I759</f>
        <v/>
      </c>
      <c r="K759" s="3">
        <f>IF(J759&lt;=0.005,"PAID",IF(I759&gt;0,"PARTIAL","OVERDUE"))</f>
        <v/>
      </c>
      <c r="L759" s="4">
        <f>IF(COUNTIFS(Raw_Payments!B:B,A759)=0,"",SUMPRODUCT(MAX((Raw_Payments!B$2:B$1079=A759)*Raw_Payments!D$2:D$1079)))</f>
        <v/>
      </c>
      <c r="M759" s="3">
        <f>IF(K759="PAID",MAX(0,L759-G759),Guide!$B$3-G759)</f>
        <v/>
      </c>
      <c r="N759" s="3">
        <f>IF(J759&lt;=0.005,"COLLECTED",IF(M759&lt;=30,"1-30",IF(M759&lt;=60,"31-60",IF(M759&lt;=90,"61-90","90+"))))</f>
        <v/>
      </c>
      <c r="O759" s="3">
        <f>IF(N759="90+","LOST",IF(N759="61-90","ESCALATE",IF(N759="31-60","WATCH",IF(N759="1-30","MILD","OK"))))</f>
        <v/>
      </c>
      <c r="P759" s="3">
        <f>IF(J759&gt;0.005,ROW()-1,"")</f>
        <v/>
      </c>
    </row>
    <row r="760">
      <c r="A760" s="3" t="inlineStr">
        <is>
          <t>D0759</t>
        </is>
      </c>
      <c r="B760" s="3">
        <f>INDEX(Raw_Schedule!B:B,MATCH(A760,Raw_Schedule!A:A,0))</f>
        <v/>
      </c>
      <c r="C760" s="3">
        <f>INDEX(Raw_Schedule!C:C,MATCH(A760,Raw_Schedule!A:A,0))</f>
        <v/>
      </c>
      <c r="D760" s="3">
        <f>INDEX(Raw_Schedule!D:D,MATCH(A760,Raw_Schedule!A:A,0))</f>
        <v/>
      </c>
      <c r="E760" s="3">
        <f>INDEX(Raw_Schedule!E:E,MATCH(A760,Raw_Schedule!A:A,0))</f>
        <v/>
      </c>
      <c r="F760" s="3">
        <f>INDEX(Raw_Schedule!F:F,MATCH(A760,Raw_Schedule!A:A,0))</f>
        <v/>
      </c>
      <c r="G760" s="4">
        <f>INDEX(Raw_Schedule!G:G,MATCH(A760,Raw_Schedule!A:A,0))</f>
        <v/>
      </c>
      <c r="H760" s="5">
        <f>INDEX(Raw_Schedule!H:H,MATCH(A760,Raw_Schedule!A:A,0))</f>
        <v/>
      </c>
      <c r="I760" s="5">
        <f>SUMIFS(Raw_Payments!E:E,Raw_Payments!B:B,A760)</f>
        <v/>
      </c>
      <c r="J760" s="5">
        <f>H760-I760</f>
        <v/>
      </c>
      <c r="K760" s="3">
        <f>IF(J760&lt;=0.005,"PAID",IF(I760&gt;0,"PARTIAL","OVERDUE"))</f>
        <v/>
      </c>
      <c r="L760" s="4">
        <f>IF(COUNTIFS(Raw_Payments!B:B,A760)=0,"",SUMPRODUCT(MAX((Raw_Payments!B$2:B$1079=A760)*Raw_Payments!D$2:D$1079)))</f>
        <v/>
      </c>
      <c r="M760" s="3">
        <f>IF(K760="PAID",MAX(0,L760-G760),Guide!$B$3-G760)</f>
        <v/>
      </c>
      <c r="N760" s="3">
        <f>IF(J760&lt;=0.005,"COLLECTED",IF(M760&lt;=30,"1-30",IF(M760&lt;=60,"31-60",IF(M760&lt;=90,"61-90","90+"))))</f>
        <v/>
      </c>
      <c r="O760" s="3">
        <f>IF(N760="90+","LOST",IF(N760="61-90","ESCALATE",IF(N760="31-60","WATCH",IF(N760="1-30","MILD","OK"))))</f>
        <v/>
      </c>
      <c r="P760" s="3">
        <f>IF(J760&gt;0.005,ROW()-1,"")</f>
        <v/>
      </c>
    </row>
    <row r="761">
      <c r="A761" s="3" t="inlineStr">
        <is>
          <t>D0760</t>
        </is>
      </c>
      <c r="B761" s="3">
        <f>INDEX(Raw_Schedule!B:B,MATCH(A761,Raw_Schedule!A:A,0))</f>
        <v/>
      </c>
      <c r="C761" s="3">
        <f>INDEX(Raw_Schedule!C:C,MATCH(A761,Raw_Schedule!A:A,0))</f>
        <v/>
      </c>
      <c r="D761" s="3">
        <f>INDEX(Raw_Schedule!D:D,MATCH(A761,Raw_Schedule!A:A,0))</f>
        <v/>
      </c>
      <c r="E761" s="3">
        <f>INDEX(Raw_Schedule!E:E,MATCH(A761,Raw_Schedule!A:A,0))</f>
        <v/>
      </c>
      <c r="F761" s="3">
        <f>INDEX(Raw_Schedule!F:F,MATCH(A761,Raw_Schedule!A:A,0))</f>
        <v/>
      </c>
      <c r="G761" s="4">
        <f>INDEX(Raw_Schedule!G:G,MATCH(A761,Raw_Schedule!A:A,0))</f>
        <v/>
      </c>
      <c r="H761" s="5">
        <f>INDEX(Raw_Schedule!H:H,MATCH(A761,Raw_Schedule!A:A,0))</f>
        <v/>
      </c>
      <c r="I761" s="5">
        <f>SUMIFS(Raw_Payments!E:E,Raw_Payments!B:B,A761)</f>
        <v/>
      </c>
      <c r="J761" s="5">
        <f>H761-I761</f>
        <v/>
      </c>
      <c r="K761" s="3">
        <f>IF(J761&lt;=0.005,"PAID",IF(I761&gt;0,"PARTIAL","OVERDUE"))</f>
        <v/>
      </c>
      <c r="L761" s="4">
        <f>IF(COUNTIFS(Raw_Payments!B:B,A761)=0,"",SUMPRODUCT(MAX((Raw_Payments!B$2:B$1079=A761)*Raw_Payments!D$2:D$1079)))</f>
        <v/>
      </c>
      <c r="M761" s="3">
        <f>IF(K761="PAID",MAX(0,L761-G761),Guide!$B$3-G761)</f>
        <v/>
      </c>
      <c r="N761" s="3">
        <f>IF(J761&lt;=0.005,"COLLECTED",IF(M761&lt;=30,"1-30",IF(M761&lt;=60,"31-60",IF(M761&lt;=90,"61-90","90+"))))</f>
        <v/>
      </c>
      <c r="O761" s="3">
        <f>IF(N761="90+","LOST",IF(N761="61-90","ESCALATE",IF(N761="31-60","WATCH",IF(N761="1-30","MILD","OK"))))</f>
        <v/>
      </c>
      <c r="P761" s="3">
        <f>IF(J761&gt;0.005,ROW()-1,"")</f>
        <v/>
      </c>
    </row>
    <row r="762">
      <c r="A762" s="3" t="inlineStr">
        <is>
          <t>D0761</t>
        </is>
      </c>
      <c r="B762" s="3">
        <f>INDEX(Raw_Schedule!B:B,MATCH(A762,Raw_Schedule!A:A,0))</f>
        <v/>
      </c>
      <c r="C762" s="3">
        <f>INDEX(Raw_Schedule!C:C,MATCH(A762,Raw_Schedule!A:A,0))</f>
        <v/>
      </c>
      <c r="D762" s="3">
        <f>INDEX(Raw_Schedule!D:D,MATCH(A762,Raw_Schedule!A:A,0))</f>
        <v/>
      </c>
      <c r="E762" s="3">
        <f>INDEX(Raw_Schedule!E:E,MATCH(A762,Raw_Schedule!A:A,0))</f>
        <v/>
      </c>
      <c r="F762" s="3">
        <f>INDEX(Raw_Schedule!F:F,MATCH(A762,Raw_Schedule!A:A,0))</f>
        <v/>
      </c>
      <c r="G762" s="4">
        <f>INDEX(Raw_Schedule!G:G,MATCH(A762,Raw_Schedule!A:A,0))</f>
        <v/>
      </c>
      <c r="H762" s="5">
        <f>INDEX(Raw_Schedule!H:H,MATCH(A762,Raw_Schedule!A:A,0))</f>
        <v/>
      </c>
      <c r="I762" s="5">
        <f>SUMIFS(Raw_Payments!E:E,Raw_Payments!B:B,A762)</f>
        <v/>
      </c>
      <c r="J762" s="5">
        <f>H762-I762</f>
        <v/>
      </c>
      <c r="K762" s="3">
        <f>IF(J762&lt;=0.005,"PAID",IF(I762&gt;0,"PARTIAL","OVERDUE"))</f>
        <v/>
      </c>
      <c r="L762" s="4">
        <f>IF(COUNTIFS(Raw_Payments!B:B,A762)=0,"",SUMPRODUCT(MAX((Raw_Payments!B$2:B$1079=A762)*Raw_Payments!D$2:D$1079)))</f>
        <v/>
      </c>
      <c r="M762" s="3">
        <f>IF(K762="PAID",MAX(0,L762-G762),Guide!$B$3-G762)</f>
        <v/>
      </c>
      <c r="N762" s="3">
        <f>IF(J762&lt;=0.005,"COLLECTED",IF(M762&lt;=30,"1-30",IF(M762&lt;=60,"31-60",IF(M762&lt;=90,"61-90","90+"))))</f>
        <v/>
      </c>
      <c r="O762" s="3">
        <f>IF(N762="90+","LOST",IF(N762="61-90","ESCALATE",IF(N762="31-60","WATCH",IF(N762="1-30","MILD","OK"))))</f>
        <v/>
      </c>
      <c r="P762" s="3">
        <f>IF(J762&gt;0.005,ROW()-1,"")</f>
        <v/>
      </c>
    </row>
    <row r="763">
      <c r="A763" s="3" t="inlineStr">
        <is>
          <t>D0762</t>
        </is>
      </c>
      <c r="B763" s="3">
        <f>INDEX(Raw_Schedule!B:B,MATCH(A763,Raw_Schedule!A:A,0))</f>
        <v/>
      </c>
      <c r="C763" s="3">
        <f>INDEX(Raw_Schedule!C:C,MATCH(A763,Raw_Schedule!A:A,0))</f>
        <v/>
      </c>
      <c r="D763" s="3">
        <f>INDEX(Raw_Schedule!D:D,MATCH(A763,Raw_Schedule!A:A,0))</f>
        <v/>
      </c>
      <c r="E763" s="3">
        <f>INDEX(Raw_Schedule!E:E,MATCH(A763,Raw_Schedule!A:A,0))</f>
        <v/>
      </c>
      <c r="F763" s="3">
        <f>INDEX(Raw_Schedule!F:F,MATCH(A763,Raw_Schedule!A:A,0))</f>
        <v/>
      </c>
      <c r="G763" s="4">
        <f>INDEX(Raw_Schedule!G:G,MATCH(A763,Raw_Schedule!A:A,0))</f>
        <v/>
      </c>
      <c r="H763" s="5">
        <f>INDEX(Raw_Schedule!H:H,MATCH(A763,Raw_Schedule!A:A,0))</f>
        <v/>
      </c>
      <c r="I763" s="5">
        <f>SUMIFS(Raw_Payments!E:E,Raw_Payments!B:B,A763)</f>
        <v/>
      </c>
      <c r="J763" s="5">
        <f>H763-I763</f>
        <v/>
      </c>
      <c r="K763" s="3">
        <f>IF(J763&lt;=0.005,"PAID",IF(I763&gt;0,"PARTIAL","OVERDUE"))</f>
        <v/>
      </c>
      <c r="L763" s="4">
        <f>IF(COUNTIFS(Raw_Payments!B:B,A763)=0,"",SUMPRODUCT(MAX((Raw_Payments!B$2:B$1079=A763)*Raw_Payments!D$2:D$1079)))</f>
        <v/>
      </c>
      <c r="M763" s="3">
        <f>IF(K763="PAID",MAX(0,L763-G763),Guide!$B$3-G763)</f>
        <v/>
      </c>
      <c r="N763" s="3">
        <f>IF(J763&lt;=0.005,"COLLECTED",IF(M763&lt;=30,"1-30",IF(M763&lt;=60,"31-60",IF(M763&lt;=90,"61-90","90+"))))</f>
        <v/>
      </c>
      <c r="O763" s="3">
        <f>IF(N763="90+","LOST",IF(N763="61-90","ESCALATE",IF(N763="31-60","WATCH",IF(N763="1-30","MILD","OK"))))</f>
        <v/>
      </c>
      <c r="P763" s="3">
        <f>IF(J763&gt;0.005,ROW()-1,"")</f>
        <v/>
      </c>
    </row>
    <row r="764">
      <c r="A764" s="3" t="inlineStr">
        <is>
          <t>D0763</t>
        </is>
      </c>
      <c r="B764" s="3">
        <f>INDEX(Raw_Schedule!B:B,MATCH(A764,Raw_Schedule!A:A,0))</f>
        <v/>
      </c>
      <c r="C764" s="3">
        <f>INDEX(Raw_Schedule!C:C,MATCH(A764,Raw_Schedule!A:A,0))</f>
        <v/>
      </c>
      <c r="D764" s="3">
        <f>INDEX(Raw_Schedule!D:D,MATCH(A764,Raw_Schedule!A:A,0))</f>
        <v/>
      </c>
      <c r="E764" s="3">
        <f>INDEX(Raw_Schedule!E:E,MATCH(A764,Raw_Schedule!A:A,0))</f>
        <v/>
      </c>
      <c r="F764" s="3">
        <f>INDEX(Raw_Schedule!F:F,MATCH(A764,Raw_Schedule!A:A,0))</f>
        <v/>
      </c>
      <c r="G764" s="4">
        <f>INDEX(Raw_Schedule!G:G,MATCH(A764,Raw_Schedule!A:A,0))</f>
        <v/>
      </c>
      <c r="H764" s="5">
        <f>INDEX(Raw_Schedule!H:H,MATCH(A764,Raw_Schedule!A:A,0))</f>
        <v/>
      </c>
      <c r="I764" s="5">
        <f>SUMIFS(Raw_Payments!E:E,Raw_Payments!B:B,A764)</f>
        <v/>
      </c>
      <c r="J764" s="5">
        <f>H764-I764</f>
        <v/>
      </c>
      <c r="K764" s="3">
        <f>IF(J764&lt;=0.005,"PAID",IF(I764&gt;0,"PARTIAL","OVERDUE"))</f>
        <v/>
      </c>
      <c r="L764" s="4">
        <f>IF(COUNTIFS(Raw_Payments!B:B,A764)=0,"",SUMPRODUCT(MAX((Raw_Payments!B$2:B$1079=A764)*Raw_Payments!D$2:D$1079)))</f>
        <v/>
      </c>
      <c r="M764" s="3">
        <f>IF(K764="PAID",MAX(0,L764-G764),Guide!$B$3-G764)</f>
        <v/>
      </c>
      <c r="N764" s="3">
        <f>IF(J764&lt;=0.005,"COLLECTED",IF(M764&lt;=30,"1-30",IF(M764&lt;=60,"31-60",IF(M764&lt;=90,"61-90","90+"))))</f>
        <v/>
      </c>
      <c r="O764" s="3">
        <f>IF(N764="90+","LOST",IF(N764="61-90","ESCALATE",IF(N764="31-60","WATCH",IF(N764="1-30","MILD","OK"))))</f>
        <v/>
      </c>
      <c r="P764" s="3">
        <f>IF(J764&gt;0.005,ROW()-1,"")</f>
        <v/>
      </c>
    </row>
    <row r="765">
      <c r="A765" s="3" t="inlineStr">
        <is>
          <t>D0764</t>
        </is>
      </c>
      <c r="B765" s="3">
        <f>INDEX(Raw_Schedule!B:B,MATCH(A765,Raw_Schedule!A:A,0))</f>
        <v/>
      </c>
      <c r="C765" s="3">
        <f>INDEX(Raw_Schedule!C:C,MATCH(A765,Raw_Schedule!A:A,0))</f>
        <v/>
      </c>
      <c r="D765" s="3">
        <f>INDEX(Raw_Schedule!D:D,MATCH(A765,Raw_Schedule!A:A,0))</f>
        <v/>
      </c>
      <c r="E765" s="3">
        <f>INDEX(Raw_Schedule!E:E,MATCH(A765,Raw_Schedule!A:A,0))</f>
        <v/>
      </c>
      <c r="F765" s="3">
        <f>INDEX(Raw_Schedule!F:F,MATCH(A765,Raw_Schedule!A:A,0))</f>
        <v/>
      </c>
      <c r="G765" s="4">
        <f>INDEX(Raw_Schedule!G:G,MATCH(A765,Raw_Schedule!A:A,0))</f>
        <v/>
      </c>
      <c r="H765" s="5">
        <f>INDEX(Raw_Schedule!H:H,MATCH(A765,Raw_Schedule!A:A,0))</f>
        <v/>
      </c>
      <c r="I765" s="5">
        <f>SUMIFS(Raw_Payments!E:E,Raw_Payments!B:B,A765)</f>
        <v/>
      </c>
      <c r="J765" s="5">
        <f>H765-I765</f>
        <v/>
      </c>
      <c r="K765" s="3">
        <f>IF(J765&lt;=0.005,"PAID",IF(I765&gt;0,"PARTIAL","OVERDUE"))</f>
        <v/>
      </c>
      <c r="L765" s="4">
        <f>IF(COUNTIFS(Raw_Payments!B:B,A765)=0,"",SUMPRODUCT(MAX((Raw_Payments!B$2:B$1079=A765)*Raw_Payments!D$2:D$1079)))</f>
        <v/>
      </c>
      <c r="M765" s="3">
        <f>IF(K765="PAID",MAX(0,L765-G765),Guide!$B$3-G765)</f>
        <v/>
      </c>
      <c r="N765" s="3">
        <f>IF(J765&lt;=0.005,"COLLECTED",IF(M765&lt;=30,"1-30",IF(M765&lt;=60,"31-60",IF(M765&lt;=90,"61-90","90+"))))</f>
        <v/>
      </c>
      <c r="O765" s="3">
        <f>IF(N765="90+","LOST",IF(N765="61-90","ESCALATE",IF(N765="31-60","WATCH",IF(N765="1-30","MILD","OK"))))</f>
        <v/>
      </c>
      <c r="P765" s="3">
        <f>IF(J765&gt;0.005,ROW()-1,"")</f>
        <v/>
      </c>
    </row>
    <row r="766">
      <c r="A766" s="3" t="inlineStr">
        <is>
          <t>D0765</t>
        </is>
      </c>
      <c r="B766" s="3">
        <f>INDEX(Raw_Schedule!B:B,MATCH(A766,Raw_Schedule!A:A,0))</f>
        <v/>
      </c>
      <c r="C766" s="3">
        <f>INDEX(Raw_Schedule!C:C,MATCH(A766,Raw_Schedule!A:A,0))</f>
        <v/>
      </c>
      <c r="D766" s="3">
        <f>INDEX(Raw_Schedule!D:D,MATCH(A766,Raw_Schedule!A:A,0))</f>
        <v/>
      </c>
      <c r="E766" s="3">
        <f>INDEX(Raw_Schedule!E:E,MATCH(A766,Raw_Schedule!A:A,0))</f>
        <v/>
      </c>
      <c r="F766" s="3">
        <f>INDEX(Raw_Schedule!F:F,MATCH(A766,Raw_Schedule!A:A,0))</f>
        <v/>
      </c>
      <c r="G766" s="4">
        <f>INDEX(Raw_Schedule!G:G,MATCH(A766,Raw_Schedule!A:A,0))</f>
        <v/>
      </c>
      <c r="H766" s="5">
        <f>INDEX(Raw_Schedule!H:H,MATCH(A766,Raw_Schedule!A:A,0))</f>
        <v/>
      </c>
      <c r="I766" s="5">
        <f>SUMIFS(Raw_Payments!E:E,Raw_Payments!B:B,A766)</f>
        <v/>
      </c>
      <c r="J766" s="5">
        <f>H766-I766</f>
        <v/>
      </c>
      <c r="K766" s="3">
        <f>IF(J766&lt;=0.005,"PAID",IF(I766&gt;0,"PARTIAL","OVERDUE"))</f>
        <v/>
      </c>
      <c r="L766" s="4">
        <f>IF(COUNTIFS(Raw_Payments!B:B,A766)=0,"",SUMPRODUCT(MAX((Raw_Payments!B$2:B$1079=A766)*Raw_Payments!D$2:D$1079)))</f>
        <v/>
      </c>
      <c r="M766" s="3">
        <f>IF(K766="PAID",MAX(0,L766-G766),Guide!$B$3-G766)</f>
        <v/>
      </c>
      <c r="N766" s="3">
        <f>IF(J766&lt;=0.005,"COLLECTED",IF(M766&lt;=30,"1-30",IF(M766&lt;=60,"31-60",IF(M766&lt;=90,"61-90","90+"))))</f>
        <v/>
      </c>
      <c r="O766" s="3">
        <f>IF(N766="90+","LOST",IF(N766="61-90","ESCALATE",IF(N766="31-60","WATCH",IF(N766="1-30","MILD","OK"))))</f>
        <v/>
      </c>
      <c r="P766" s="3">
        <f>IF(J766&gt;0.005,ROW()-1,"")</f>
        <v/>
      </c>
    </row>
    <row r="767">
      <c r="A767" s="3" t="inlineStr">
        <is>
          <t>D0766</t>
        </is>
      </c>
      <c r="B767" s="3">
        <f>INDEX(Raw_Schedule!B:B,MATCH(A767,Raw_Schedule!A:A,0))</f>
        <v/>
      </c>
      <c r="C767" s="3">
        <f>INDEX(Raw_Schedule!C:C,MATCH(A767,Raw_Schedule!A:A,0))</f>
        <v/>
      </c>
      <c r="D767" s="3">
        <f>INDEX(Raw_Schedule!D:D,MATCH(A767,Raw_Schedule!A:A,0))</f>
        <v/>
      </c>
      <c r="E767" s="3">
        <f>INDEX(Raw_Schedule!E:E,MATCH(A767,Raw_Schedule!A:A,0))</f>
        <v/>
      </c>
      <c r="F767" s="3">
        <f>INDEX(Raw_Schedule!F:F,MATCH(A767,Raw_Schedule!A:A,0))</f>
        <v/>
      </c>
      <c r="G767" s="4">
        <f>INDEX(Raw_Schedule!G:G,MATCH(A767,Raw_Schedule!A:A,0))</f>
        <v/>
      </c>
      <c r="H767" s="5">
        <f>INDEX(Raw_Schedule!H:H,MATCH(A767,Raw_Schedule!A:A,0))</f>
        <v/>
      </c>
      <c r="I767" s="5">
        <f>SUMIFS(Raw_Payments!E:E,Raw_Payments!B:B,A767)</f>
        <v/>
      </c>
      <c r="J767" s="5">
        <f>H767-I767</f>
        <v/>
      </c>
      <c r="K767" s="3">
        <f>IF(J767&lt;=0.005,"PAID",IF(I767&gt;0,"PARTIAL","OVERDUE"))</f>
        <v/>
      </c>
      <c r="L767" s="4">
        <f>IF(COUNTIFS(Raw_Payments!B:B,A767)=0,"",SUMPRODUCT(MAX((Raw_Payments!B$2:B$1079=A767)*Raw_Payments!D$2:D$1079)))</f>
        <v/>
      </c>
      <c r="M767" s="3">
        <f>IF(K767="PAID",MAX(0,L767-G767),Guide!$B$3-G767)</f>
        <v/>
      </c>
      <c r="N767" s="3">
        <f>IF(J767&lt;=0.005,"COLLECTED",IF(M767&lt;=30,"1-30",IF(M767&lt;=60,"31-60",IF(M767&lt;=90,"61-90","90+"))))</f>
        <v/>
      </c>
      <c r="O767" s="3">
        <f>IF(N767="90+","LOST",IF(N767="61-90","ESCALATE",IF(N767="31-60","WATCH",IF(N767="1-30","MILD","OK"))))</f>
        <v/>
      </c>
      <c r="P767" s="3">
        <f>IF(J767&gt;0.005,ROW()-1,"")</f>
        <v/>
      </c>
    </row>
    <row r="768">
      <c r="A768" s="3" t="inlineStr">
        <is>
          <t>D0767</t>
        </is>
      </c>
      <c r="B768" s="3">
        <f>INDEX(Raw_Schedule!B:B,MATCH(A768,Raw_Schedule!A:A,0))</f>
        <v/>
      </c>
      <c r="C768" s="3">
        <f>INDEX(Raw_Schedule!C:C,MATCH(A768,Raw_Schedule!A:A,0))</f>
        <v/>
      </c>
      <c r="D768" s="3">
        <f>INDEX(Raw_Schedule!D:D,MATCH(A768,Raw_Schedule!A:A,0))</f>
        <v/>
      </c>
      <c r="E768" s="3">
        <f>INDEX(Raw_Schedule!E:E,MATCH(A768,Raw_Schedule!A:A,0))</f>
        <v/>
      </c>
      <c r="F768" s="3">
        <f>INDEX(Raw_Schedule!F:F,MATCH(A768,Raw_Schedule!A:A,0))</f>
        <v/>
      </c>
      <c r="G768" s="4">
        <f>INDEX(Raw_Schedule!G:G,MATCH(A768,Raw_Schedule!A:A,0))</f>
        <v/>
      </c>
      <c r="H768" s="5">
        <f>INDEX(Raw_Schedule!H:H,MATCH(A768,Raw_Schedule!A:A,0))</f>
        <v/>
      </c>
      <c r="I768" s="5">
        <f>SUMIFS(Raw_Payments!E:E,Raw_Payments!B:B,A768)</f>
        <v/>
      </c>
      <c r="J768" s="5">
        <f>H768-I768</f>
        <v/>
      </c>
      <c r="K768" s="3">
        <f>IF(J768&lt;=0.005,"PAID",IF(I768&gt;0,"PARTIAL","OVERDUE"))</f>
        <v/>
      </c>
      <c r="L768" s="4">
        <f>IF(COUNTIFS(Raw_Payments!B:B,A768)=0,"",SUMPRODUCT(MAX((Raw_Payments!B$2:B$1079=A768)*Raw_Payments!D$2:D$1079)))</f>
        <v/>
      </c>
      <c r="M768" s="3">
        <f>IF(K768="PAID",MAX(0,L768-G768),Guide!$B$3-G768)</f>
        <v/>
      </c>
      <c r="N768" s="3">
        <f>IF(J768&lt;=0.005,"COLLECTED",IF(M768&lt;=30,"1-30",IF(M768&lt;=60,"31-60",IF(M768&lt;=90,"61-90","90+"))))</f>
        <v/>
      </c>
      <c r="O768" s="3">
        <f>IF(N768="90+","LOST",IF(N768="61-90","ESCALATE",IF(N768="31-60","WATCH",IF(N768="1-30","MILD","OK"))))</f>
        <v/>
      </c>
      <c r="P768" s="3">
        <f>IF(J768&gt;0.005,ROW()-1,"")</f>
        <v/>
      </c>
    </row>
    <row r="769">
      <c r="A769" s="3" t="inlineStr">
        <is>
          <t>D0768</t>
        </is>
      </c>
      <c r="B769" s="3">
        <f>INDEX(Raw_Schedule!B:B,MATCH(A769,Raw_Schedule!A:A,0))</f>
        <v/>
      </c>
      <c r="C769" s="3">
        <f>INDEX(Raw_Schedule!C:C,MATCH(A769,Raw_Schedule!A:A,0))</f>
        <v/>
      </c>
      <c r="D769" s="3">
        <f>INDEX(Raw_Schedule!D:D,MATCH(A769,Raw_Schedule!A:A,0))</f>
        <v/>
      </c>
      <c r="E769" s="3">
        <f>INDEX(Raw_Schedule!E:E,MATCH(A769,Raw_Schedule!A:A,0))</f>
        <v/>
      </c>
      <c r="F769" s="3">
        <f>INDEX(Raw_Schedule!F:F,MATCH(A769,Raw_Schedule!A:A,0))</f>
        <v/>
      </c>
      <c r="G769" s="4">
        <f>INDEX(Raw_Schedule!G:G,MATCH(A769,Raw_Schedule!A:A,0))</f>
        <v/>
      </c>
      <c r="H769" s="5">
        <f>INDEX(Raw_Schedule!H:H,MATCH(A769,Raw_Schedule!A:A,0))</f>
        <v/>
      </c>
      <c r="I769" s="5">
        <f>SUMIFS(Raw_Payments!E:E,Raw_Payments!B:B,A769)</f>
        <v/>
      </c>
      <c r="J769" s="5">
        <f>H769-I769</f>
        <v/>
      </c>
      <c r="K769" s="3">
        <f>IF(J769&lt;=0.005,"PAID",IF(I769&gt;0,"PARTIAL","OVERDUE"))</f>
        <v/>
      </c>
      <c r="L769" s="4">
        <f>IF(COUNTIFS(Raw_Payments!B:B,A769)=0,"",SUMPRODUCT(MAX((Raw_Payments!B$2:B$1079=A769)*Raw_Payments!D$2:D$1079)))</f>
        <v/>
      </c>
      <c r="M769" s="3">
        <f>IF(K769="PAID",MAX(0,L769-G769),Guide!$B$3-G769)</f>
        <v/>
      </c>
      <c r="N769" s="3">
        <f>IF(J769&lt;=0.005,"COLLECTED",IF(M769&lt;=30,"1-30",IF(M769&lt;=60,"31-60",IF(M769&lt;=90,"61-90","90+"))))</f>
        <v/>
      </c>
      <c r="O769" s="3">
        <f>IF(N769="90+","LOST",IF(N769="61-90","ESCALATE",IF(N769="31-60","WATCH",IF(N769="1-30","MILD","OK"))))</f>
        <v/>
      </c>
      <c r="P769" s="3">
        <f>IF(J769&gt;0.005,ROW()-1,"")</f>
        <v/>
      </c>
    </row>
    <row r="770">
      <c r="A770" s="3" t="inlineStr">
        <is>
          <t>D0769</t>
        </is>
      </c>
      <c r="B770" s="3">
        <f>INDEX(Raw_Schedule!B:B,MATCH(A770,Raw_Schedule!A:A,0))</f>
        <v/>
      </c>
      <c r="C770" s="3">
        <f>INDEX(Raw_Schedule!C:C,MATCH(A770,Raw_Schedule!A:A,0))</f>
        <v/>
      </c>
      <c r="D770" s="3">
        <f>INDEX(Raw_Schedule!D:D,MATCH(A770,Raw_Schedule!A:A,0))</f>
        <v/>
      </c>
      <c r="E770" s="3">
        <f>INDEX(Raw_Schedule!E:E,MATCH(A770,Raw_Schedule!A:A,0))</f>
        <v/>
      </c>
      <c r="F770" s="3">
        <f>INDEX(Raw_Schedule!F:F,MATCH(A770,Raw_Schedule!A:A,0))</f>
        <v/>
      </c>
      <c r="G770" s="4">
        <f>INDEX(Raw_Schedule!G:G,MATCH(A770,Raw_Schedule!A:A,0))</f>
        <v/>
      </c>
      <c r="H770" s="5">
        <f>INDEX(Raw_Schedule!H:H,MATCH(A770,Raw_Schedule!A:A,0))</f>
        <v/>
      </c>
      <c r="I770" s="5">
        <f>SUMIFS(Raw_Payments!E:E,Raw_Payments!B:B,A770)</f>
        <v/>
      </c>
      <c r="J770" s="5">
        <f>H770-I770</f>
        <v/>
      </c>
      <c r="K770" s="3">
        <f>IF(J770&lt;=0.005,"PAID",IF(I770&gt;0,"PARTIAL","OVERDUE"))</f>
        <v/>
      </c>
      <c r="L770" s="4">
        <f>IF(COUNTIFS(Raw_Payments!B:B,A770)=0,"",SUMPRODUCT(MAX((Raw_Payments!B$2:B$1079=A770)*Raw_Payments!D$2:D$1079)))</f>
        <v/>
      </c>
      <c r="M770" s="3">
        <f>IF(K770="PAID",MAX(0,L770-G770),Guide!$B$3-G770)</f>
        <v/>
      </c>
      <c r="N770" s="3">
        <f>IF(J770&lt;=0.005,"COLLECTED",IF(M770&lt;=30,"1-30",IF(M770&lt;=60,"31-60",IF(M770&lt;=90,"61-90","90+"))))</f>
        <v/>
      </c>
      <c r="O770" s="3">
        <f>IF(N770="90+","LOST",IF(N770="61-90","ESCALATE",IF(N770="31-60","WATCH",IF(N770="1-30","MILD","OK"))))</f>
        <v/>
      </c>
      <c r="P770" s="3">
        <f>IF(J770&gt;0.005,ROW()-1,"")</f>
        <v/>
      </c>
    </row>
    <row r="771">
      <c r="A771" s="3" t="inlineStr">
        <is>
          <t>D0770</t>
        </is>
      </c>
      <c r="B771" s="3">
        <f>INDEX(Raw_Schedule!B:B,MATCH(A771,Raw_Schedule!A:A,0))</f>
        <v/>
      </c>
      <c r="C771" s="3">
        <f>INDEX(Raw_Schedule!C:C,MATCH(A771,Raw_Schedule!A:A,0))</f>
        <v/>
      </c>
      <c r="D771" s="3">
        <f>INDEX(Raw_Schedule!D:D,MATCH(A771,Raw_Schedule!A:A,0))</f>
        <v/>
      </c>
      <c r="E771" s="3">
        <f>INDEX(Raw_Schedule!E:E,MATCH(A771,Raw_Schedule!A:A,0))</f>
        <v/>
      </c>
      <c r="F771" s="3">
        <f>INDEX(Raw_Schedule!F:F,MATCH(A771,Raw_Schedule!A:A,0))</f>
        <v/>
      </c>
      <c r="G771" s="4">
        <f>INDEX(Raw_Schedule!G:G,MATCH(A771,Raw_Schedule!A:A,0))</f>
        <v/>
      </c>
      <c r="H771" s="5">
        <f>INDEX(Raw_Schedule!H:H,MATCH(A771,Raw_Schedule!A:A,0))</f>
        <v/>
      </c>
      <c r="I771" s="5">
        <f>SUMIFS(Raw_Payments!E:E,Raw_Payments!B:B,A771)</f>
        <v/>
      </c>
      <c r="J771" s="5">
        <f>H771-I771</f>
        <v/>
      </c>
      <c r="K771" s="3">
        <f>IF(J771&lt;=0.005,"PAID",IF(I771&gt;0,"PARTIAL","OVERDUE"))</f>
        <v/>
      </c>
      <c r="L771" s="4">
        <f>IF(COUNTIFS(Raw_Payments!B:B,A771)=0,"",SUMPRODUCT(MAX((Raw_Payments!B$2:B$1079=A771)*Raw_Payments!D$2:D$1079)))</f>
        <v/>
      </c>
      <c r="M771" s="3">
        <f>IF(K771="PAID",MAX(0,L771-G771),Guide!$B$3-G771)</f>
        <v/>
      </c>
      <c r="N771" s="3">
        <f>IF(J771&lt;=0.005,"COLLECTED",IF(M771&lt;=30,"1-30",IF(M771&lt;=60,"31-60",IF(M771&lt;=90,"61-90","90+"))))</f>
        <v/>
      </c>
      <c r="O771" s="3">
        <f>IF(N771="90+","LOST",IF(N771="61-90","ESCALATE",IF(N771="31-60","WATCH",IF(N771="1-30","MILD","OK"))))</f>
        <v/>
      </c>
      <c r="P771" s="3">
        <f>IF(J771&gt;0.005,ROW()-1,"")</f>
        <v/>
      </c>
    </row>
    <row r="772">
      <c r="A772" s="3" t="inlineStr">
        <is>
          <t>D0771</t>
        </is>
      </c>
      <c r="B772" s="3">
        <f>INDEX(Raw_Schedule!B:B,MATCH(A772,Raw_Schedule!A:A,0))</f>
        <v/>
      </c>
      <c r="C772" s="3">
        <f>INDEX(Raw_Schedule!C:C,MATCH(A772,Raw_Schedule!A:A,0))</f>
        <v/>
      </c>
      <c r="D772" s="3">
        <f>INDEX(Raw_Schedule!D:D,MATCH(A772,Raw_Schedule!A:A,0))</f>
        <v/>
      </c>
      <c r="E772" s="3">
        <f>INDEX(Raw_Schedule!E:E,MATCH(A772,Raw_Schedule!A:A,0))</f>
        <v/>
      </c>
      <c r="F772" s="3">
        <f>INDEX(Raw_Schedule!F:F,MATCH(A772,Raw_Schedule!A:A,0))</f>
        <v/>
      </c>
      <c r="G772" s="4">
        <f>INDEX(Raw_Schedule!G:G,MATCH(A772,Raw_Schedule!A:A,0))</f>
        <v/>
      </c>
      <c r="H772" s="5">
        <f>INDEX(Raw_Schedule!H:H,MATCH(A772,Raw_Schedule!A:A,0))</f>
        <v/>
      </c>
      <c r="I772" s="5">
        <f>SUMIFS(Raw_Payments!E:E,Raw_Payments!B:B,A772)</f>
        <v/>
      </c>
      <c r="J772" s="5">
        <f>H772-I772</f>
        <v/>
      </c>
      <c r="K772" s="3">
        <f>IF(J772&lt;=0.005,"PAID",IF(I772&gt;0,"PARTIAL","OVERDUE"))</f>
        <v/>
      </c>
      <c r="L772" s="4">
        <f>IF(COUNTIFS(Raw_Payments!B:B,A772)=0,"",SUMPRODUCT(MAX((Raw_Payments!B$2:B$1079=A772)*Raw_Payments!D$2:D$1079)))</f>
        <v/>
      </c>
      <c r="M772" s="3">
        <f>IF(K772="PAID",MAX(0,L772-G772),Guide!$B$3-G772)</f>
        <v/>
      </c>
      <c r="N772" s="3">
        <f>IF(J772&lt;=0.005,"COLLECTED",IF(M772&lt;=30,"1-30",IF(M772&lt;=60,"31-60",IF(M772&lt;=90,"61-90","90+"))))</f>
        <v/>
      </c>
      <c r="O772" s="3">
        <f>IF(N772="90+","LOST",IF(N772="61-90","ESCALATE",IF(N772="31-60","WATCH",IF(N772="1-30","MILD","OK"))))</f>
        <v/>
      </c>
      <c r="P772" s="3">
        <f>IF(J772&gt;0.005,ROW()-1,"")</f>
        <v/>
      </c>
    </row>
    <row r="773">
      <c r="A773" s="3" t="inlineStr">
        <is>
          <t>D0772</t>
        </is>
      </c>
      <c r="B773" s="3">
        <f>INDEX(Raw_Schedule!B:B,MATCH(A773,Raw_Schedule!A:A,0))</f>
        <v/>
      </c>
      <c r="C773" s="3">
        <f>INDEX(Raw_Schedule!C:C,MATCH(A773,Raw_Schedule!A:A,0))</f>
        <v/>
      </c>
      <c r="D773" s="3">
        <f>INDEX(Raw_Schedule!D:D,MATCH(A773,Raw_Schedule!A:A,0))</f>
        <v/>
      </c>
      <c r="E773" s="3">
        <f>INDEX(Raw_Schedule!E:E,MATCH(A773,Raw_Schedule!A:A,0))</f>
        <v/>
      </c>
      <c r="F773" s="3">
        <f>INDEX(Raw_Schedule!F:F,MATCH(A773,Raw_Schedule!A:A,0))</f>
        <v/>
      </c>
      <c r="G773" s="4">
        <f>INDEX(Raw_Schedule!G:G,MATCH(A773,Raw_Schedule!A:A,0))</f>
        <v/>
      </c>
      <c r="H773" s="5">
        <f>INDEX(Raw_Schedule!H:H,MATCH(A773,Raw_Schedule!A:A,0))</f>
        <v/>
      </c>
      <c r="I773" s="5">
        <f>SUMIFS(Raw_Payments!E:E,Raw_Payments!B:B,A773)</f>
        <v/>
      </c>
      <c r="J773" s="5">
        <f>H773-I773</f>
        <v/>
      </c>
      <c r="K773" s="3">
        <f>IF(J773&lt;=0.005,"PAID",IF(I773&gt;0,"PARTIAL","OVERDUE"))</f>
        <v/>
      </c>
      <c r="L773" s="4">
        <f>IF(COUNTIFS(Raw_Payments!B:B,A773)=0,"",SUMPRODUCT(MAX((Raw_Payments!B$2:B$1079=A773)*Raw_Payments!D$2:D$1079)))</f>
        <v/>
      </c>
      <c r="M773" s="3">
        <f>IF(K773="PAID",MAX(0,L773-G773),Guide!$B$3-G773)</f>
        <v/>
      </c>
      <c r="N773" s="3">
        <f>IF(J773&lt;=0.005,"COLLECTED",IF(M773&lt;=30,"1-30",IF(M773&lt;=60,"31-60",IF(M773&lt;=90,"61-90","90+"))))</f>
        <v/>
      </c>
      <c r="O773" s="3">
        <f>IF(N773="90+","LOST",IF(N773="61-90","ESCALATE",IF(N773="31-60","WATCH",IF(N773="1-30","MILD","OK"))))</f>
        <v/>
      </c>
      <c r="P773" s="3">
        <f>IF(J773&gt;0.005,ROW()-1,"")</f>
        <v/>
      </c>
    </row>
    <row r="774">
      <c r="A774" s="3" t="inlineStr">
        <is>
          <t>D0773</t>
        </is>
      </c>
      <c r="B774" s="3">
        <f>INDEX(Raw_Schedule!B:B,MATCH(A774,Raw_Schedule!A:A,0))</f>
        <v/>
      </c>
      <c r="C774" s="3">
        <f>INDEX(Raw_Schedule!C:C,MATCH(A774,Raw_Schedule!A:A,0))</f>
        <v/>
      </c>
      <c r="D774" s="3">
        <f>INDEX(Raw_Schedule!D:D,MATCH(A774,Raw_Schedule!A:A,0))</f>
        <v/>
      </c>
      <c r="E774" s="3">
        <f>INDEX(Raw_Schedule!E:E,MATCH(A774,Raw_Schedule!A:A,0))</f>
        <v/>
      </c>
      <c r="F774" s="3">
        <f>INDEX(Raw_Schedule!F:F,MATCH(A774,Raw_Schedule!A:A,0))</f>
        <v/>
      </c>
      <c r="G774" s="4">
        <f>INDEX(Raw_Schedule!G:G,MATCH(A774,Raw_Schedule!A:A,0))</f>
        <v/>
      </c>
      <c r="H774" s="5">
        <f>INDEX(Raw_Schedule!H:H,MATCH(A774,Raw_Schedule!A:A,0))</f>
        <v/>
      </c>
      <c r="I774" s="5">
        <f>SUMIFS(Raw_Payments!E:E,Raw_Payments!B:B,A774)</f>
        <v/>
      </c>
      <c r="J774" s="5">
        <f>H774-I774</f>
        <v/>
      </c>
      <c r="K774" s="3">
        <f>IF(J774&lt;=0.005,"PAID",IF(I774&gt;0,"PARTIAL","OVERDUE"))</f>
        <v/>
      </c>
      <c r="L774" s="4">
        <f>IF(COUNTIFS(Raw_Payments!B:B,A774)=0,"",SUMPRODUCT(MAX((Raw_Payments!B$2:B$1079=A774)*Raw_Payments!D$2:D$1079)))</f>
        <v/>
      </c>
      <c r="M774" s="3">
        <f>IF(K774="PAID",MAX(0,L774-G774),Guide!$B$3-G774)</f>
        <v/>
      </c>
      <c r="N774" s="3">
        <f>IF(J774&lt;=0.005,"COLLECTED",IF(M774&lt;=30,"1-30",IF(M774&lt;=60,"31-60",IF(M774&lt;=90,"61-90","90+"))))</f>
        <v/>
      </c>
      <c r="O774" s="3">
        <f>IF(N774="90+","LOST",IF(N774="61-90","ESCALATE",IF(N774="31-60","WATCH",IF(N774="1-30","MILD","OK"))))</f>
        <v/>
      </c>
      <c r="P774" s="3">
        <f>IF(J774&gt;0.005,ROW()-1,"")</f>
        <v/>
      </c>
    </row>
    <row r="775">
      <c r="A775" s="3" t="inlineStr">
        <is>
          <t>D0774</t>
        </is>
      </c>
      <c r="B775" s="3">
        <f>INDEX(Raw_Schedule!B:B,MATCH(A775,Raw_Schedule!A:A,0))</f>
        <v/>
      </c>
      <c r="C775" s="3">
        <f>INDEX(Raw_Schedule!C:C,MATCH(A775,Raw_Schedule!A:A,0))</f>
        <v/>
      </c>
      <c r="D775" s="3">
        <f>INDEX(Raw_Schedule!D:D,MATCH(A775,Raw_Schedule!A:A,0))</f>
        <v/>
      </c>
      <c r="E775" s="3">
        <f>INDEX(Raw_Schedule!E:E,MATCH(A775,Raw_Schedule!A:A,0))</f>
        <v/>
      </c>
      <c r="F775" s="3">
        <f>INDEX(Raw_Schedule!F:F,MATCH(A775,Raw_Schedule!A:A,0))</f>
        <v/>
      </c>
      <c r="G775" s="4">
        <f>INDEX(Raw_Schedule!G:G,MATCH(A775,Raw_Schedule!A:A,0))</f>
        <v/>
      </c>
      <c r="H775" s="5">
        <f>INDEX(Raw_Schedule!H:H,MATCH(A775,Raw_Schedule!A:A,0))</f>
        <v/>
      </c>
      <c r="I775" s="5">
        <f>SUMIFS(Raw_Payments!E:E,Raw_Payments!B:B,A775)</f>
        <v/>
      </c>
      <c r="J775" s="5">
        <f>H775-I775</f>
        <v/>
      </c>
      <c r="K775" s="3">
        <f>IF(J775&lt;=0.005,"PAID",IF(I775&gt;0,"PARTIAL","OVERDUE"))</f>
        <v/>
      </c>
      <c r="L775" s="4">
        <f>IF(COUNTIFS(Raw_Payments!B:B,A775)=0,"",SUMPRODUCT(MAX((Raw_Payments!B$2:B$1079=A775)*Raw_Payments!D$2:D$1079)))</f>
        <v/>
      </c>
      <c r="M775" s="3">
        <f>IF(K775="PAID",MAX(0,L775-G775),Guide!$B$3-G775)</f>
        <v/>
      </c>
      <c r="N775" s="3">
        <f>IF(J775&lt;=0.005,"COLLECTED",IF(M775&lt;=30,"1-30",IF(M775&lt;=60,"31-60",IF(M775&lt;=90,"61-90","90+"))))</f>
        <v/>
      </c>
      <c r="O775" s="3">
        <f>IF(N775="90+","LOST",IF(N775="61-90","ESCALATE",IF(N775="31-60","WATCH",IF(N775="1-30","MILD","OK"))))</f>
        <v/>
      </c>
      <c r="P775" s="3">
        <f>IF(J775&gt;0.005,ROW()-1,"")</f>
        <v/>
      </c>
    </row>
    <row r="776">
      <c r="A776" s="3" t="inlineStr">
        <is>
          <t>D0775</t>
        </is>
      </c>
      <c r="B776" s="3">
        <f>INDEX(Raw_Schedule!B:B,MATCH(A776,Raw_Schedule!A:A,0))</f>
        <v/>
      </c>
      <c r="C776" s="3">
        <f>INDEX(Raw_Schedule!C:C,MATCH(A776,Raw_Schedule!A:A,0))</f>
        <v/>
      </c>
      <c r="D776" s="3">
        <f>INDEX(Raw_Schedule!D:D,MATCH(A776,Raw_Schedule!A:A,0))</f>
        <v/>
      </c>
      <c r="E776" s="3">
        <f>INDEX(Raw_Schedule!E:E,MATCH(A776,Raw_Schedule!A:A,0))</f>
        <v/>
      </c>
      <c r="F776" s="3">
        <f>INDEX(Raw_Schedule!F:F,MATCH(A776,Raw_Schedule!A:A,0))</f>
        <v/>
      </c>
      <c r="G776" s="4">
        <f>INDEX(Raw_Schedule!G:G,MATCH(A776,Raw_Schedule!A:A,0))</f>
        <v/>
      </c>
      <c r="H776" s="5">
        <f>INDEX(Raw_Schedule!H:H,MATCH(A776,Raw_Schedule!A:A,0))</f>
        <v/>
      </c>
      <c r="I776" s="5">
        <f>SUMIFS(Raw_Payments!E:E,Raw_Payments!B:B,A776)</f>
        <v/>
      </c>
      <c r="J776" s="5">
        <f>H776-I776</f>
        <v/>
      </c>
      <c r="K776" s="3">
        <f>IF(J776&lt;=0.005,"PAID",IF(I776&gt;0,"PARTIAL","OVERDUE"))</f>
        <v/>
      </c>
      <c r="L776" s="4">
        <f>IF(COUNTIFS(Raw_Payments!B:B,A776)=0,"",SUMPRODUCT(MAX((Raw_Payments!B$2:B$1079=A776)*Raw_Payments!D$2:D$1079)))</f>
        <v/>
      </c>
      <c r="M776" s="3">
        <f>IF(K776="PAID",MAX(0,L776-G776),Guide!$B$3-G776)</f>
        <v/>
      </c>
      <c r="N776" s="3">
        <f>IF(J776&lt;=0.005,"COLLECTED",IF(M776&lt;=30,"1-30",IF(M776&lt;=60,"31-60",IF(M776&lt;=90,"61-90","90+"))))</f>
        <v/>
      </c>
      <c r="O776" s="3">
        <f>IF(N776="90+","LOST",IF(N776="61-90","ESCALATE",IF(N776="31-60","WATCH",IF(N776="1-30","MILD","OK"))))</f>
        <v/>
      </c>
      <c r="P776" s="3">
        <f>IF(J776&gt;0.005,ROW()-1,"")</f>
        <v/>
      </c>
    </row>
    <row r="777">
      <c r="A777" s="3" t="inlineStr">
        <is>
          <t>D0776</t>
        </is>
      </c>
      <c r="B777" s="3">
        <f>INDEX(Raw_Schedule!B:B,MATCH(A777,Raw_Schedule!A:A,0))</f>
        <v/>
      </c>
      <c r="C777" s="3">
        <f>INDEX(Raw_Schedule!C:C,MATCH(A777,Raw_Schedule!A:A,0))</f>
        <v/>
      </c>
      <c r="D777" s="3">
        <f>INDEX(Raw_Schedule!D:D,MATCH(A777,Raw_Schedule!A:A,0))</f>
        <v/>
      </c>
      <c r="E777" s="3">
        <f>INDEX(Raw_Schedule!E:E,MATCH(A777,Raw_Schedule!A:A,0))</f>
        <v/>
      </c>
      <c r="F777" s="3">
        <f>INDEX(Raw_Schedule!F:F,MATCH(A777,Raw_Schedule!A:A,0))</f>
        <v/>
      </c>
      <c r="G777" s="4">
        <f>INDEX(Raw_Schedule!G:G,MATCH(A777,Raw_Schedule!A:A,0))</f>
        <v/>
      </c>
      <c r="H777" s="5">
        <f>INDEX(Raw_Schedule!H:H,MATCH(A777,Raw_Schedule!A:A,0))</f>
        <v/>
      </c>
      <c r="I777" s="5">
        <f>SUMIFS(Raw_Payments!E:E,Raw_Payments!B:B,A777)</f>
        <v/>
      </c>
      <c r="J777" s="5">
        <f>H777-I777</f>
        <v/>
      </c>
      <c r="K777" s="3">
        <f>IF(J777&lt;=0.005,"PAID",IF(I777&gt;0,"PARTIAL","OVERDUE"))</f>
        <v/>
      </c>
      <c r="L777" s="4">
        <f>IF(COUNTIFS(Raw_Payments!B:B,A777)=0,"",SUMPRODUCT(MAX((Raw_Payments!B$2:B$1079=A777)*Raw_Payments!D$2:D$1079)))</f>
        <v/>
      </c>
      <c r="M777" s="3">
        <f>IF(K777="PAID",MAX(0,L777-G777),Guide!$B$3-G777)</f>
        <v/>
      </c>
      <c r="N777" s="3">
        <f>IF(J777&lt;=0.005,"COLLECTED",IF(M777&lt;=30,"1-30",IF(M777&lt;=60,"31-60",IF(M777&lt;=90,"61-90","90+"))))</f>
        <v/>
      </c>
      <c r="O777" s="3">
        <f>IF(N777="90+","LOST",IF(N777="61-90","ESCALATE",IF(N777="31-60","WATCH",IF(N777="1-30","MILD","OK"))))</f>
        <v/>
      </c>
      <c r="P777" s="3">
        <f>IF(J777&gt;0.005,ROW()-1,"")</f>
        <v/>
      </c>
    </row>
    <row r="778">
      <c r="A778" s="3" t="inlineStr">
        <is>
          <t>D0777</t>
        </is>
      </c>
      <c r="B778" s="3">
        <f>INDEX(Raw_Schedule!B:B,MATCH(A778,Raw_Schedule!A:A,0))</f>
        <v/>
      </c>
      <c r="C778" s="3">
        <f>INDEX(Raw_Schedule!C:C,MATCH(A778,Raw_Schedule!A:A,0))</f>
        <v/>
      </c>
      <c r="D778" s="3">
        <f>INDEX(Raw_Schedule!D:D,MATCH(A778,Raw_Schedule!A:A,0))</f>
        <v/>
      </c>
      <c r="E778" s="3">
        <f>INDEX(Raw_Schedule!E:E,MATCH(A778,Raw_Schedule!A:A,0))</f>
        <v/>
      </c>
      <c r="F778" s="3">
        <f>INDEX(Raw_Schedule!F:F,MATCH(A778,Raw_Schedule!A:A,0))</f>
        <v/>
      </c>
      <c r="G778" s="4">
        <f>INDEX(Raw_Schedule!G:G,MATCH(A778,Raw_Schedule!A:A,0))</f>
        <v/>
      </c>
      <c r="H778" s="5">
        <f>INDEX(Raw_Schedule!H:H,MATCH(A778,Raw_Schedule!A:A,0))</f>
        <v/>
      </c>
      <c r="I778" s="5">
        <f>SUMIFS(Raw_Payments!E:E,Raw_Payments!B:B,A778)</f>
        <v/>
      </c>
      <c r="J778" s="5">
        <f>H778-I778</f>
        <v/>
      </c>
      <c r="K778" s="3">
        <f>IF(J778&lt;=0.005,"PAID",IF(I778&gt;0,"PARTIAL","OVERDUE"))</f>
        <v/>
      </c>
      <c r="L778" s="4">
        <f>IF(COUNTIFS(Raw_Payments!B:B,A778)=0,"",SUMPRODUCT(MAX((Raw_Payments!B$2:B$1079=A778)*Raw_Payments!D$2:D$1079)))</f>
        <v/>
      </c>
      <c r="M778" s="3">
        <f>IF(K778="PAID",MAX(0,L778-G778),Guide!$B$3-G778)</f>
        <v/>
      </c>
      <c r="N778" s="3">
        <f>IF(J778&lt;=0.005,"COLLECTED",IF(M778&lt;=30,"1-30",IF(M778&lt;=60,"31-60",IF(M778&lt;=90,"61-90","90+"))))</f>
        <v/>
      </c>
      <c r="O778" s="3">
        <f>IF(N778="90+","LOST",IF(N778="61-90","ESCALATE",IF(N778="31-60","WATCH",IF(N778="1-30","MILD","OK"))))</f>
        <v/>
      </c>
      <c r="P778" s="3">
        <f>IF(J778&gt;0.005,ROW()-1,"")</f>
        <v/>
      </c>
    </row>
    <row r="779">
      <c r="A779" s="3" t="inlineStr">
        <is>
          <t>D0778</t>
        </is>
      </c>
      <c r="B779" s="3">
        <f>INDEX(Raw_Schedule!B:B,MATCH(A779,Raw_Schedule!A:A,0))</f>
        <v/>
      </c>
      <c r="C779" s="3">
        <f>INDEX(Raw_Schedule!C:C,MATCH(A779,Raw_Schedule!A:A,0))</f>
        <v/>
      </c>
      <c r="D779" s="3">
        <f>INDEX(Raw_Schedule!D:D,MATCH(A779,Raw_Schedule!A:A,0))</f>
        <v/>
      </c>
      <c r="E779" s="3">
        <f>INDEX(Raw_Schedule!E:E,MATCH(A779,Raw_Schedule!A:A,0))</f>
        <v/>
      </c>
      <c r="F779" s="3">
        <f>INDEX(Raw_Schedule!F:F,MATCH(A779,Raw_Schedule!A:A,0))</f>
        <v/>
      </c>
      <c r="G779" s="4">
        <f>INDEX(Raw_Schedule!G:G,MATCH(A779,Raw_Schedule!A:A,0))</f>
        <v/>
      </c>
      <c r="H779" s="5">
        <f>INDEX(Raw_Schedule!H:H,MATCH(A779,Raw_Schedule!A:A,0))</f>
        <v/>
      </c>
      <c r="I779" s="5">
        <f>SUMIFS(Raw_Payments!E:E,Raw_Payments!B:B,A779)</f>
        <v/>
      </c>
      <c r="J779" s="5">
        <f>H779-I779</f>
        <v/>
      </c>
      <c r="K779" s="3">
        <f>IF(J779&lt;=0.005,"PAID",IF(I779&gt;0,"PARTIAL","OVERDUE"))</f>
        <v/>
      </c>
      <c r="L779" s="4">
        <f>IF(COUNTIFS(Raw_Payments!B:B,A779)=0,"",SUMPRODUCT(MAX((Raw_Payments!B$2:B$1079=A779)*Raw_Payments!D$2:D$1079)))</f>
        <v/>
      </c>
      <c r="M779" s="3">
        <f>IF(K779="PAID",MAX(0,L779-G779),Guide!$B$3-G779)</f>
        <v/>
      </c>
      <c r="N779" s="3">
        <f>IF(J779&lt;=0.005,"COLLECTED",IF(M779&lt;=30,"1-30",IF(M779&lt;=60,"31-60",IF(M779&lt;=90,"61-90","90+"))))</f>
        <v/>
      </c>
      <c r="O779" s="3">
        <f>IF(N779="90+","LOST",IF(N779="61-90","ESCALATE",IF(N779="31-60","WATCH",IF(N779="1-30","MILD","OK"))))</f>
        <v/>
      </c>
      <c r="P779" s="3">
        <f>IF(J779&gt;0.005,ROW()-1,"")</f>
        <v/>
      </c>
    </row>
    <row r="780">
      <c r="A780" s="3" t="inlineStr">
        <is>
          <t>D0779</t>
        </is>
      </c>
      <c r="B780" s="3">
        <f>INDEX(Raw_Schedule!B:B,MATCH(A780,Raw_Schedule!A:A,0))</f>
        <v/>
      </c>
      <c r="C780" s="3">
        <f>INDEX(Raw_Schedule!C:C,MATCH(A780,Raw_Schedule!A:A,0))</f>
        <v/>
      </c>
      <c r="D780" s="3">
        <f>INDEX(Raw_Schedule!D:D,MATCH(A780,Raw_Schedule!A:A,0))</f>
        <v/>
      </c>
      <c r="E780" s="3">
        <f>INDEX(Raw_Schedule!E:E,MATCH(A780,Raw_Schedule!A:A,0))</f>
        <v/>
      </c>
      <c r="F780" s="3">
        <f>INDEX(Raw_Schedule!F:F,MATCH(A780,Raw_Schedule!A:A,0))</f>
        <v/>
      </c>
      <c r="G780" s="4">
        <f>INDEX(Raw_Schedule!G:G,MATCH(A780,Raw_Schedule!A:A,0))</f>
        <v/>
      </c>
      <c r="H780" s="5">
        <f>INDEX(Raw_Schedule!H:H,MATCH(A780,Raw_Schedule!A:A,0))</f>
        <v/>
      </c>
      <c r="I780" s="5">
        <f>SUMIFS(Raw_Payments!E:E,Raw_Payments!B:B,A780)</f>
        <v/>
      </c>
      <c r="J780" s="5">
        <f>H780-I780</f>
        <v/>
      </c>
      <c r="K780" s="3">
        <f>IF(J780&lt;=0.005,"PAID",IF(I780&gt;0,"PARTIAL","OVERDUE"))</f>
        <v/>
      </c>
      <c r="L780" s="4">
        <f>IF(COUNTIFS(Raw_Payments!B:B,A780)=0,"",SUMPRODUCT(MAX((Raw_Payments!B$2:B$1079=A780)*Raw_Payments!D$2:D$1079)))</f>
        <v/>
      </c>
      <c r="M780" s="3">
        <f>IF(K780="PAID",MAX(0,L780-G780),Guide!$B$3-G780)</f>
        <v/>
      </c>
      <c r="N780" s="3">
        <f>IF(J780&lt;=0.005,"COLLECTED",IF(M780&lt;=30,"1-30",IF(M780&lt;=60,"31-60",IF(M780&lt;=90,"61-90","90+"))))</f>
        <v/>
      </c>
      <c r="O780" s="3">
        <f>IF(N780="90+","LOST",IF(N780="61-90","ESCALATE",IF(N780="31-60","WATCH",IF(N780="1-30","MILD","OK"))))</f>
        <v/>
      </c>
      <c r="P780" s="3">
        <f>IF(J780&gt;0.005,ROW()-1,"")</f>
        <v/>
      </c>
    </row>
    <row r="781">
      <c r="A781" s="3" t="inlineStr">
        <is>
          <t>D0780</t>
        </is>
      </c>
      <c r="B781" s="3">
        <f>INDEX(Raw_Schedule!B:B,MATCH(A781,Raw_Schedule!A:A,0))</f>
        <v/>
      </c>
      <c r="C781" s="3">
        <f>INDEX(Raw_Schedule!C:C,MATCH(A781,Raw_Schedule!A:A,0))</f>
        <v/>
      </c>
      <c r="D781" s="3">
        <f>INDEX(Raw_Schedule!D:D,MATCH(A781,Raw_Schedule!A:A,0))</f>
        <v/>
      </c>
      <c r="E781" s="3">
        <f>INDEX(Raw_Schedule!E:E,MATCH(A781,Raw_Schedule!A:A,0))</f>
        <v/>
      </c>
      <c r="F781" s="3">
        <f>INDEX(Raw_Schedule!F:F,MATCH(A781,Raw_Schedule!A:A,0))</f>
        <v/>
      </c>
      <c r="G781" s="4">
        <f>INDEX(Raw_Schedule!G:G,MATCH(A781,Raw_Schedule!A:A,0))</f>
        <v/>
      </c>
      <c r="H781" s="5">
        <f>INDEX(Raw_Schedule!H:H,MATCH(A781,Raw_Schedule!A:A,0))</f>
        <v/>
      </c>
      <c r="I781" s="5">
        <f>SUMIFS(Raw_Payments!E:E,Raw_Payments!B:B,A781)</f>
        <v/>
      </c>
      <c r="J781" s="5">
        <f>H781-I781</f>
        <v/>
      </c>
      <c r="K781" s="3">
        <f>IF(J781&lt;=0.005,"PAID",IF(I781&gt;0,"PARTIAL","OVERDUE"))</f>
        <v/>
      </c>
      <c r="L781" s="4">
        <f>IF(COUNTIFS(Raw_Payments!B:B,A781)=0,"",SUMPRODUCT(MAX((Raw_Payments!B$2:B$1079=A781)*Raw_Payments!D$2:D$1079)))</f>
        <v/>
      </c>
      <c r="M781" s="3">
        <f>IF(K781="PAID",MAX(0,L781-G781),Guide!$B$3-G781)</f>
        <v/>
      </c>
      <c r="N781" s="3">
        <f>IF(J781&lt;=0.005,"COLLECTED",IF(M781&lt;=30,"1-30",IF(M781&lt;=60,"31-60",IF(M781&lt;=90,"61-90","90+"))))</f>
        <v/>
      </c>
      <c r="O781" s="3">
        <f>IF(N781="90+","LOST",IF(N781="61-90","ESCALATE",IF(N781="31-60","WATCH",IF(N781="1-30","MILD","OK"))))</f>
        <v/>
      </c>
      <c r="P781" s="3">
        <f>IF(J781&gt;0.005,ROW()-1,"")</f>
        <v/>
      </c>
    </row>
    <row r="782">
      <c r="A782" s="3" t="inlineStr">
        <is>
          <t>D0781</t>
        </is>
      </c>
      <c r="B782" s="3">
        <f>INDEX(Raw_Schedule!B:B,MATCH(A782,Raw_Schedule!A:A,0))</f>
        <v/>
      </c>
      <c r="C782" s="3">
        <f>INDEX(Raw_Schedule!C:C,MATCH(A782,Raw_Schedule!A:A,0))</f>
        <v/>
      </c>
      <c r="D782" s="3">
        <f>INDEX(Raw_Schedule!D:D,MATCH(A782,Raw_Schedule!A:A,0))</f>
        <v/>
      </c>
      <c r="E782" s="3">
        <f>INDEX(Raw_Schedule!E:E,MATCH(A782,Raw_Schedule!A:A,0))</f>
        <v/>
      </c>
      <c r="F782" s="3">
        <f>INDEX(Raw_Schedule!F:F,MATCH(A782,Raw_Schedule!A:A,0))</f>
        <v/>
      </c>
      <c r="G782" s="4">
        <f>INDEX(Raw_Schedule!G:G,MATCH(A782,Raw_Schedule!A:A,0))</f>
        <v/>
      </c>
      <c r="H782" s="5">
        <f>INDEX(Raw_Schedule!H:H,MATCH(A782,Raw_Schedule!A:A,0))</f>
        <v/>
      </c>
      <c r="I782" s="5">
        <f>SUMIFS(Raw_Payments!E:E,Raw_Payments!B:B,A782)</f>
        <v/>
      </c>
      <c r="J782" s="5">
        <f>H782-I782</f>
        <v/>
      </c>
      <c r="K782" s="3">
        <f>IF(J782&lt;=0.005,"PAID",IF(I782&gt;0,"PARTIAL","OVERDUE"))</f>
        <v/>
      </c>
      <c r="L782" s="4">
        <f>IF(COUNTIFS(Raw_Payments!B:B,A782)=0,"",SUMPRODUCT(MAX((Raw_Payments!B$2:B$1079=A782)*Raw_Payments!D$2:D$1079)))</f>
        <v/>
      </c>
      <c r="M782" s="3">
        <f>IF(K782="PAID",MAX(0,L782-G782),Guide!$B$3-G782)</f>
        <v/>
      </c>
      <c r="N782" s="3">
        <f>IF(J782&lt;=0.005,"COLLECTED",IF(M782&lt;=30,"1-30",IF(M782&lt;=60,"31-60",IF(M782&lt;=90,"61-90","90+"))))</f>
        <v/>
      </c>
      <c r="O782" s="3">
        <f>IF(N782="90+","LOST",IF(N782="61-90","ESCALATE",IF(N782="31-60","WATCH",IF(N782="1-30","MILD","OK"))))</f>
        <v/>
      </c>
      <c r="P782" s="3">
        <f>IF(J782&gt;0.005,ROW()-1,"")</f>
        <v/>
      </c>
    </row>
    <row r="783">
      <c r="A783" s="3" t="inlineStr">
        <is>
          <t>D0782</t>
        </is>
      </c>
      <c r="B783" s="3">
        <f>INDEX(Raw_Schedule!B:B,MATCH(A783,Raw_Schedule!A:A,0))</f>
        <v/>
      </c>
      <c r="C783" s="3">
        <f>INDEX(Raw_Schedule!C:C,MATCH(A783,Raw_Schedule!A:A,0))</f>
        <v/>
      </c>
      <c r="D783" s="3">
        <f>INDEX(Raw_Schedule!D:D,MATCH(A783,Raw_Schedule!A:A,0))</f>
        <v/>
      </c>
      <c r="E783" s="3">
        <f>INDEX(Raw_Schedule!E:E,MATCH(A783,Raw_Schedule!A:A,0))</f>
        <v/>
      </c>
      <c r="F783" s="3">
        <f>INDEX(Raw_Schedule!F:F,MATCH(A783,Raw_Schedule!A:A,0))</f>
        <v/>
      </c>
      <c r="G783" s="4">
        <f>INDEX(Raw_Schedule!G:G,MATCH(A783,Raw_Schedule!A:A,0))</f>
        <v/>
      </c>
      <c r="H783" s="5">
        <f>INDEX(Raw_Schedule!H:H,MATCH(A783,Raw_Schedule!A:A,0))</f>
        <v/>
      </c>
      <c r="I783" s="5">
        <f>SUMIFS(Raw_Payments!E:E,Raw_Payments!B:B,A783)</f>
        <v/>
      </c>
      <c r="J783" s="5">
        <f>H783-I783</f>
        <v/>
      </c>
      <c r="K783" s="3">
        <f>IF(J783&lt;=0.005,"PAID",IF(I783&gt;0,"PARTIAL","OVERDUE"))</f>
        <v/>
      </c>
      <c r="L783" s="4">
        <f>IF(COUNTIFS(Raw_Payments!B:B,A783)=0,"",SUMPRODUCT(MAX((Raw_Payments!B$2:B$1079=A783)*Raw_Payments!D$2:D$1079)))</f>
        <v/>
      </c>
      <c r="M783" s="3">
        <f>IF(K783="PAID",MAX(0,L783-G783),Guide!$B$3-G783)</f>
        <v/>
      </c>
      <c r="N783" s="3">
        <f>IF(J783&lt;=0.005,"COLLECTED",IF(M783&lt;=30,"1-30",IF(M783&lt;=60,"31-60",IF(M783&lt;=90,"61-90","90+"))))</f>
        <v/>
      </c>
      <c r="O783" s="3">
        <f>IF(N783="90+","LOST",IF(N783="61-90","ESCALATE",IF(N783="31-60","WATCH",IF(N783="1-30","MILD","OK"))))</f>
        <v/>
      </c>
      <c r="P783" s="3">
        <f>IF(J783&gt;0.005,ROW()-1,"")</f>
        <v/>
      </c>
    </row>
    <row r="784">
      <c r="A784" s="3" t="inlineStr">
        <is>
          <t>D0783</t>
        </is>
      </c>
      <c r="B784" s="3">
        <f>INDEX(Raw_Schedule!B:B,MATCH(A784,Raw_Schedule!A:A,0))</f>
        <v/>
      </c>
      <c r="C784" s="3">
        <f>INDEX(Raw_Schedule!C:C,MATCH(A784,Raw_Schedule!A:A,0))</f>
        <v/>
      </c>
      <c r="D784" s="3">
        <f>INDEX(Raw_Schedule!D:D,MATCH(A784,Raw_Schedule!A:A,0))</f>
        <v/>
      </c>
      <c r="E784" s="3">
        <f>INDEX(Raw_Schedule!E:E,MATCH(A784,Raw_Schedule!A:A,0))</f>
        <v/>
      </c>
      <c r="F784" s="3">
        <f>INDEX(Raw_Schedule!F:F,MATCH(A784,Raw_Schedule!A:A,0))</f>
        <v/>
      </c>
      <c r="G784" s="4">
        <f>INDEX(Raw_Schedule!G:G,MATCH(A784,Raw_Schedule!A:A,0))</f>
        <v/>
      </c>
      <c r="H784" s="5">
        <f>INDEX(Raw_Schedule!H:H,MATCH(A784,Raw_Schedule!A:A,0))</f>
        <v/>
      </c>
      <c r="I784" s="5">
        <f>SUMIFS(Raw_Payments!E:E,Raw_Payments!B:B,A784)</f>
        <v/>
      </c>
      <c r="J784" s="5">
        <f>H784-I784</f>
        <v/>
      </c>
      <c r="K784" s="3">
        <f>IF(J784&lt;=0.005,"PAID",IF(I784&gt;0,"PARTIAL","OVERDUE"))</f>
        <v/>
      </c>
      <c r="L784" s="4">
        <f>IF(COUNTIFS(Raw_Payments!B:B,A784)=0,"",SUMPRODUCT(MAX((Raw_Payments!B$2:B$1079=A784)*Raw_Payments!D$2:D$1079)))</f>
        <v/>
      </c>
      <c r="M784" s="3">
        <f>IF(K784="PAID",MAX(0,L784-G784),Guide!$B$3-G784)</f>
        <v/>
      </c>
      <c r="N784" s="3">
        <f>IF(J784&lt;=0.005,"COLLECTED",IF(M784&lt;=30,"1-30",IF(M784&lt;=60,"31-60",IF(M784&lt;=90,"61-90","90+"))))</f>
        <v/>
      </c>
      <c r="O784" s="3">
        <f>IF(N784="90+","LOST",IF(N784="61-90","ESCALATE",IF(N784="31-60","WATCH",IF(N784="1-30","MILD","OK"))))</f>
        <v/>
      </c>
      <c r="P784" s="3">
        <f>IF(J784&gt;0.005,ROW()-1,"")</f>
        <v/>
      </c>
    </row>
    <row r="785">
      <c r="A785" s="3" t="inlineStr">
        <is>
          <t>D0784</t>
        </is>
      </c>
      <c r="B785" s="3">
        <f>INDEX(Raw_Schedule!B:B,MATCH(A785,Raw_Schedule!A:A,0))</f>
        <v/>
      </c>
      <c r="C785" s="3">
        <f>INDEX(Raw_Schedule!C:C,MATCH(A785,Raw_Schedule!A:A,0))</f>
        <v/>
      </c>
      <c r="D785" s="3">
        <f>INDEX(Raw_Schedule!D:D,MATCH(A785,Raw_Schedule!A:A,0))</f>
        <v/>
      </c>
      <c r="E785" s="3">
        <f>INDEX(Raw_Schedule!E:E,MATCH(A785,Raw_Schedule!A:A,0))</f>
        <v/>
      </c>
      <c r="F785" s="3">
        <f>INDEX(Raw_Schedule!F:F,MATCH(A785,Raw_Schedule!A:A,0))</f>
        <v/>
      </c>
      <c r="G785" s="4">
        <f>INDEX(Raw_Schedule!G:G,MATCH(A785,Raw_Schedule!A:A,0))</f>
        <v/>
      </c>
      <c r="H785" s="5">
        <f>INDEX(Raw_Schedule!H:H,MATCH(A785,Raw_Schedule!A:A,0))</f>
        <v/>
      </c>
      <c r="I785" s="5">
        <f>SUMIFS(Raw_Payments!E:E,Raw_Payments!B:B,A785)</f>
        <v/>
      </c>
      <c r="J785" s="5">
        <f>H785-I785</f>
        <v/>
      </c>
      <c r="K785" s="3">
        <f>IF(J785&lt;=0.005,"PAID",IF(I785&gt;0,"PARTIAL","OVERDUE"))</f>
        <v/>
      </c>
      <c r="L785" s="4">
        <f>IF(COUNTIFS(Raw_Payments!B:B,A785)=0,"",SUMPRODUCT(MAX((Raw_Payments!B$2:B$1079=A785)*Raw_Payments!D$2:D$1079)))</f>
        <v/>
      </c>
      <c r="M785" s="3">
        <f>IF(K785="PAID",MAX(0,L785-G785),Guide!$B$3-G785)</f>
        <v/>
      </c>
      <c r="N785" s="3">
        <f>IF(J785&lt;=0.005,"COLLECTED",IF(M785&lt;=30,"1-30",IF(M785&lt;=60,"31-60",IF(M785&lt;=90,"61-90","90+"))))</f>
        <v/>
      </c>
      <c r="O785" s="3">
        <f>IF(N785="90+","LOST",IF(N785="61-90","ESCALATE",IF(N785="31-60","WATCH",IF(N785="1-30","MILD","OK"))))</f>
        <v/>
      </c>
      <c r="P785" s="3">
        <f>IF(J785&gt;0.005,ROW()-1,"")</f>
        <v/>
      </c>
    </row>
    <row r="786">
      <c r="A786" s="3" t="inlineStr">
        <is>
          <t>D0785</t>
        </is>
      </c>
      <c r="B786" s="3">
        <f>INDEX(Raw_Schedule!B:B,MATCH(A786,Raw_Schedule!A:A,0))</f>
        <v/>
      </c>
      <c r="C786" s="3">
        <f>INDEX(Raw_Schedule!C:C,MATCH(A786,Raw_Schedule!A:A,0))</f>
        <v/>
      </c>
      <c r="D786" s="3">
        <f>INDEX(Raw_Schedule!D:D,MATCH(A786,Raw_Schedule!A:A,0))</f>
        <v/>
      </c>
      <c r="E786" s="3">
        <f>INDEX(Raw_Schedule!E:E,MATCH(A786,Raw_Schedule!A:A,0))</f>
        <v/>
      </c>
      <c r="F786" s="3">
        <f>INDEX(Raw_Schedule!F:F,MATCH(A786,Raw_Schedule!A:A,0))</f>
        <v/>
      </c>
      <c r="G786" s="4">
        <f>INDEX(Raw_Schedule!G:G,MATCH(A786,Raw_Schedule!A:A,0))</f>
        <v/>
      </c>
      <c r="H786" s="5">
        <f>INDEX(Raw_Schedule!H:H,MATCH(A786,Raw_Schedule!A:A,0))</f>
        <v/>
      </c>
      <c r="I786" s="5">
        <f>SUMIFS(Raw_Payments!E:E,Raw_Payments!B:B,A786)</f>
        <v/>
      </c>
      <c r="J786" s="5">
        <f>H786-I786</f>
        <v/>
      </c>
      <c r="K786" s="3">
        <f>IF(J786&lt;=0.005,"PAID",IF(I786&gt;0,"PARTIAL","OVERDUE"))</f>
        <v/>
      </c>
      <c r="L786" s="4">
        <f>IF(COUNTIFS(Raw_Payments!B:B,A786)=0,"",SUMPRODUCT(MAX((Raw_Payments!B$2:B$1079=A786)*Raw_Payments!D$2:D$1079)))</f>
        <v/>
      </c>
      <c r="M786" s="3">
        <f>IF(K786="PAID",MAX(0,L786-G786),Guide!$B$3-G786)</f>
        <v/>
      </c>
      <c r="N786" s="3">
        <f>IF(J786&lt;=0.005,"COLLECTED",IF(M786&lt;=30,"1-30",IF(M786&lt;=60,"31-60",IF(M786&lt;=90,"61-90","90+"))))</f>
        <v/>
      </c>
      <c r="O786" s="3">
        <f>IF(N786="90+","LOST",IF(N786="61-90","ESCALATE",IF(N786="31-60","WATCH",IF(N786="1-30","MILD","OK"))))</f>
        <v/>
      </c>
      <c r="P786" s="3">
        <f>IF(J786&gt;0.005,ROW()-1,"")</f>
        <v/>
      </c>
    </row>
    <row r="787">
      <c r="A787" s="3" t="inlineStr">
        <is>
          <t>D0786</t>
        </is>
      </c>
      <c r="B787" s="3">
        <f>INDEX(Raw_Schedule!B:B,MATCH(A787,Raw_Schedule!A:A,0))</f>
        <v/>
      </c>
      <c r="C787" s="3">
        <f>INDEX(Raw_Schedule!C:C,MATCH(A787,Raw_Schedule!A:A,0))</f>
        <v/>
      </c>
      <c r="D787" s="3">
        <f>INDEX(Raw_Schedule!D:D,MATCH(A787,Raw_Schedule!A:A,0))</f>
        <v/>
      </c>
      <c r="E787" s="3">
        <f>INDEX(Raw_Schedule!E:E,MATCH(A787,Raw_Schedule!A:A,0))</f>
        <v/>
      </c>
      <c r="F787" s="3">
        <f>INDEX(Raw_Schedule!F:F,MATCH(A787,Raw_Schedule!A:A,0))</f>
        <v/>
      </c>
      <c r="G787" s="4">
        <f>INDEX(Raw_Schedule!G:G,MATCH(A787,Raw_Schedule!A:A,0))</f>
        <v/>
      </c>
      <c r="H787" s="5">
        <f>INDEX(Raw_Schedule!H:H,MATCH(A787,Raw_Schedule!A:A,0))</f>
        <v/>
      </c>
      <c r="I787" s="5">
        <f>SUMIFS(Raw_Payments!E:E,Raw_Payments!B:B,A787)</f>
        <v/>
      </c>
      <c r="J787" s="5">
        <f>H787-I787</f>
        <v/>
      </c>
      <c r="K787" s="3">
        <f>IF(J787&lt;=0.005,"PAID",IF(I787&gt;0,"PARTIAL","OVERDUE"))</f>
        <v/>
      </c>
      <c r="L787" s="4">
        <f>IF(COUNTIFS(Raw_Payments!B:B,A787)=0,"",SUMPRODUCT(MAX((Raw_Payments!B$2:B$1079=A787)*Raw_Payments!D$2:D$1079)))</f>
        <v/>
      </c>
      <c r="M787" s="3">
        <f>IF(K787="PAID",MAX(0,L787-G787),Guide!$B$3-G787)</f>
        <v/>
      </c>
      <c r="N787" s="3">
        <f>IF(J787&lt;=0.005,"COLLECTED",IF(M787&lt;=30,"1-30",IF(M787&lt;=60,"31-60",IF(M787&lt;=90,"61-90","90+"))))</f>
        <v/>
      </c>
      <c r="O787" s="3">
        <f>IF(N787="90+","LOST",IF(N787="61-90","ESCALATE",IF(N787="31-60","WATCH",IF(N787="1-30","MILD","OK"))))</f>
        <v/>
      </c>
      <c r="P787" s="3">
        <f>IF(J787&gt;0.005,ROW()-1,"")</f>
        <v/>
      </c>
    </row>
    <row r="788">
      <c r="A788" s="3" t="inlineStr">
        <is>
          <t>D0787</t>
        </is>
      </c>
      <c r="B788" s="3">
        <f>INDEX(Raw_Schedule!B:B,MATCH(A788,Raw_Schedule!A:A,0))</f>
        <v/>
      </c>
      <c r="C788" s="3">
        <f>INDEX(Raw_Schedule!C:C,MATCH(A788,Raw_Schedule!A:A,0))</f>
        <v/>
      </c>
      <c r="D788" s="3">
        <f>INDEX(Raw_Schedule!D:D,MATCH(A788,Raw_Schedule!A:A,0))</f>
        <v/>
      </c>
      <c r="E788" s="3">
        <f>INDEX(Raw_Schedule!E:E,MATCH(A788,Raw_Schedule!A:A,0))</f>
        <v/>
      </c>
      <c r="F788" s="3">
        <f>INDEX(Raw_Schedule!F:F,MATCH(A788,Raw_Schedule!A:A,0))</f>
        <v/>
      </c>
      <c r="G788" s="4">
        <f>INDEX(Raw_Schedule!G:G,MATCH(A788,Raw_Schedule!A:A,0))</f>
        <v/>
      </c>
      <c r="H788" s="5">
        <f>INDEX(Raw_Schedule!H:H,MATCH(A788,Raw_Schedule!A:A,0))</f>
        <v/>
      </c>
      <c r="I788" s="5">
        <f>SUMIFS(Raw_Payments!E:E,Raw_Payments!B:B,A788)</f>
        <v/>
      </c>
      <c r="J788" s="5">
        <f>H788-I788</f>
        <v/>
      </c>
      <c r="K788" s="3">
        <f>IF(J788&lt;=0.005,"PAID",IF(I788&gt;0,"PARTIAL","OVERDUE"))</f>
        <v/>
      </c>
      <c r="L788" s="4">
        <f>IF(COUNTIFS(Raw_Payments!B:B,A788)=0,"",SUMPRODUCT(MAX((Raw_Payments!B$2:B$1079=A788)*Raw_Payments!D$2:D$1079)))</f>
        <v/>
      </c>
      <c r="M788" s="3">
        <f>IF(K788="PAID",MAX(0,L788-G788),Guide!$B$3-G788)</f>
        <v/>
      </c>
      <c r="N788" s="3">
        <f>IF(J788&lt;=0.005,"COLLECTED",IF(M788&lt;=30,"1-30",IF(M788&lt;=60,"31-60",IF(M788&lt;=90,"61-90","90+"))))</f>
        <v/>
      </c>
      <c r="O788" s="3">
        <f>IF(N788="90+","LOST",IF(N788="61-90","ESCALATE",IF(N788="31-60","WATCH",IF(N788="1-30","MILD","OK"))))</f>
        <v/>
      </c>
      <c r="P788" s="3">
        <f>IF(J788&gt;0.005,ROW()-1,"")</f>
        <v/>
      </c>
    </row>
    <row r="789">
      <c r="A789" s="3" t="inlineStr">
        <is>
          <t>D0788</t>
        </is>
      </c>
      <c r="B789" s="3">
        <f>INDEX(Raw_Schedule!B:B,MATCH(A789,Raw_Schedule!A:A,0))</f>
        <v/>
      </c>
      <c r="C789" s="3">
        <f>INDEX(Raw_Schedule!C:C,MATCH(A789,Raw_Schedule!A:A,0))</f>
        <v/>
      </c>
      <c r="D789" s="3">
        <f>INDEX(Raw_Schedule!D:D,MATCH(A789,Raw_Schedule!A:A,0))</f>
        <v/>
      </c>
      <c r="E789" s="3">
        <f>INDEX(Raw_Schedule!E:E,MATCH(A789,Raw_Schedule!A:A,0))</f>
        <v/>
      </c>
      <c r="F789" s="3">
        <f>INDEX(Raw_Schedule!F:F,MATCH(A789,Raw_Schedule!A:A,0))</f>
        <v/>
      </c>
      <c r="G789" s="4">
        <f>INDEX(Raw_Schedule!G:G,MATCH(A789,Raw_Schedule!A:A,0))</f>
        <v/>
      </c>
      <c r="H789" s="5">
        <f>INDEX(Raw_Schedule!H:H,MATCH(A789,Raw_Schedule!A:A,0))</f>
        <v/>
      </c>
      <c r="I789" s="5">
        <f>SUMIFS(Raw_Payments!E:E,Raw_Payments!B:B,A789)</f>
        <v/>
      </c>
      <c r="J789" s="5">
        <f>H789-I789</f>
        <v/>
      </c>
      <c r="K789" s="3">
        <f>IF(J789&lt;=0.005,"PAID",IF(I789&gt;0,"PARTIAL","OVERDUE"))</f>
        <v/>
      </c>
      <c r="L789" s="4">
        <f>IF(COUNTIFS(Raw_Payments!B:B,A789)=0,"",SUMPRODUCT(MAX((Raw_Payments!B$2:B$1079=A789)*Raw_Payments!D$2:D$1079)))</f>
        <v/>
      </c>
      <c r="M789" s="3">
        <f>IF(K789="PAID",MAX(0,L789-G789),Guide!$B$3-G789)</f>
        <v/>
      </c>
      <c r="N789" s="3">
        <f>IF(J789&lt;=0.005,"COLLECTED",IF(M789&lt;=30,"1-30",IF(M789&lt;=60,"31-60",IF(M789&lt;=90,"61-90","90+"))))</f>
        <v/>
      </c>
      <c r="O789" s="3">
        <f>IF(N789="90+","LOST",IF(N789="61-90","ESCALATE",IF(N789="31-60","WATCH",IF(N789="1-30","MILD","OK"))))</f>
        <v/>
      </c>
      <c r="P789" s="3">
        <f>IF(J789&gt;0.005,ROW()-1,"")</f>
        <v/>
      </c>
    </row>
    <row r="790">
      <c r="A790" s="3" t="inlineStr">
        <is>
          <t>D0789</t>
        </is>
      </c>
      <c r="B790" s="3">
        <f>INDEX(Raw_Schedule!B:B,MATCH(A790,Raw_Schedule!A:A,0))</f>
        <v/>
      </c>
      <c r="C790" s="3">
        <f>INDEX(Raw_Schedule!C:C,MATCH(A790,Raw_Schedule!A:A,0))</f>
        <v/>
      </c>
      <c r="D790" s="3">
        <f>INDEX(Raw_Schedule!D:D,MATCH(A790,Raw_Schedule!A:A,0))</f>
        <v/>
      </c>
      <c r="E790" s="3">
        <f>INDEX(Raw_Schedule!E:E,MATCH(A790,Raw_Schedule!A:A,0))</f>
        <v/>
      </c>
      <c r="F790" s="3">
        <f>INDEX(Raw_Schedule!F:F,MATCH(A790,Raw_Schedule!A:A,0))</f>
        <v/>
      </c>
      <c r="G790" s="4">
        <f>INDEX(Raw_Schedule!G:G,MATCH(A790,Raw_Schedule!A:A,0))</f>
        <v/>
      </c>
      <c r="H790" s="5">
        <f>INDEX(Raw_Schedule!H:H,MATCH(A790,Raw_Schedule!A:A,0))</f>
        <v/>
      </c>
      <c r="I790" s="5">
        <f>SUMIFS(Raw_Payments!E:E,Raw_Payments!B:B,A790)</f>
        <v/>
      </c>
      <c r="J790" s="5">
        <f>H790-I790</f>
        <v/>
      </c>
      <c r="K790" s="3">
        <f>IF(J790&lt;=0.005,"PAID",IF(I790&gt;0,"PARTIAL","OVERDUE"))</f>
        <v/>
      </c>
      <c r="L790" s="4">
        <f>IF(COUNTIFS(Raw_Payments!B:B,A790)=0,"",SUMPRODUCT(MAX((Raw_Payments!B$2:B$1079=A790)*Raw_Payments!D$2:D$1079)))</f>
        <v/>
      </c>
      <c r="M790" s="3">
        <f>IF(K790="PAID",MAX(0,L790-G790),Guide!$B$3-G790)</f>
        <v/>
      </c>
      <c r="N790" s="3">
        <f>IF(J790&lt;=0.005,"COLLECTED",IF(M790&lt;=30,"1-30",IF(M790&lt;=60,"31-60",IF(M790&lt;=90,"61-90","90+"))))</f>
        <v/>
      </c>
      <c r="O790" s="3">
        <f>IF(N790="90+","LOST",IF(N790="61-90","ESCALATE",IF(N790="31-60","WATCH",IF(N790="1-30","MILD","OK"))))</f>
        <v/>
      </c>
      <c r="P790" s="3">
        <f>IF(J790&gt;0.005,ROW()-1,"")</f>
        <v/>
      </c>
    </row>
    <row r="791">
      <c r="A791" s="3" t="inlineStr">
        <is>
          <t>D0790</t>
        </is>
      </c>
      <c r="B791" s="3">
        <f>INDEX(Raw_Schedule!B:B,MATCH(A791,Raw_Schedule!A:A,0))</f>
        <v/>
      </c>
      <c r="C791" s="3">
        <f>INDEX(Raw_Schedule!C:C,MATCH(A791,Raw_Schedule!A:A,0))</f>
        <v/>
      </c>
      <c r="D791" s="3">
        <f>INDEX(Raw_Schedule!D:D,MATCH(A791,Raw_Schedule!A:A,0))</f>
        <v/>
      </c>
      <c r="E791" s="3">
        <f>INDEX(Raw_Schedule!E:E,MATCH(A791,Raw_Schedule!A:A,0))</f>
        <v/>
      </c>
      <c r="F791" s="3">
        <f>INDEX(Raw_Schedule!F:F,MATCH(A791,Raw_Schedule!A:A,0))</f>
        <v/>
      </c>
      <c r="G791" s="4">
        <f>INDEX(Raw_Schedule!G:G,MATCH(A791,Raw_Schedule!A:A,0))</f>
        <v/>
      </c>
      <c r="H791" s="5">
        <f>INDEX(Raw_Schedule!H:H,MATCH(A791,Raw_Schedule!A:A,0))</f>
        <v/>
      </c>
      <c r="I791" s="5">
        <f>SUMIFS(Raw_Payments!E:E,Raw_Payments!B:B,A791)</f>
        <v/>
      </c>
      <c r="J791" s="5">
        <f>H791-I791</f>
        <v/>
      </c>
      <c r="K791" s="3">
        <f>IF(J791&lt;=0.005,"PAID",IF(I791&gt;0,"PARTIAL","OVERDUE"))</f>
        <v/>
      </c>
      <c r="L791" s="4">
        <f>IF(COUNTIFS(Raw_Payments!B:B,A791)=0,"",SUMPRODUCT(MAX((Raw_Payments!B$2:B$1079=A791)*Raw_Payments!D$2:D$1079)))</f>
        <v/>
      </c>
      <c r="M791" s="3">
        <f>IF(K791="PAID",MAX(0,L791-G791),Guide!$B$3-G791)</f>
        <v/>
      </c>
      <c r="N791" s="3">
        <f>IF(J791&lt;=0.005,"COLLECTED",IF(M791&lt;=30,"1-30",IF(M791&lt;=60,"31-60",IF(M791&lt;=90,"61-90","90+"))))</f>
        <v/>
      </c>
      <c r="O791" s="3">
        <f>IF(N791="90+","LOST",IF(N791="61-90","ESCALATE",IF(N791="31-60","WATCH",IF(N791="1-30","MILD","OK"))))</f>
        <v/>
      </c>
      <c r="P791" s="3">
        <f>IF(J791&gt;0.005,ROW()-1,"")</f>
        <v/>
      </c>
    </row>
    <row r="792">
      <c r="A792" s="3" t="inlineStr">
        <is>
          <t>D0791</t>
        </is>
      </c>
      <c r="B792" s="3">
        <f>INDEX(Raw_Schedule!B:B,MATCH(A792,Raw_Schedule!A:A,0))</f>
        <v/>
      </c>
      <c r="C792" s="3">
        <f>INDEX(Raw_Schedule!C:C,MATCH(A792,Raw_Schedule!A:A,0))</f>
        <v/>
      </c>
      <c r="D792" s="3">
        <f>INDEX(Raw_Schedule!D:D,MATCH(A792,Raw_Schedule!A:A,0))</f>
        <v/>
      </c>
      <c r="E792" s="3">
        <f>INDEX(Raw_Schedule!E:E,MATCH(A792,Raw_Schedule!A:A,0))</f>
        <v/>
      </c>
      <c r="F792" s="3">
        <f>INDEX(Raw_Schedule!F:F,MATCH(A792,Raw_Schedule!A:A,0))</f>
        <v/>
      </c>
      <c r="G792" s="4">
        <f>INDEX(Raw_Schedule!G:G,MATCH(A792,Raw_Schedule!A:A,0))</f>
        <v/>
      </c>
      <c r="H792" s="5">
        <f>INDEX(Raw_Schedule!H:H,MATCH(A792,Raw_Schedule!A:A,0))</f>
        <v/>
      </c>
      <c r="I792" s="5">
        <f>SUMIFS(Raw_Payments!E:E,Raw_Payments!B:B,A792)</f>
        <v/>
      </c>
      <c r="J792" s="5">
        <f>H792-I792</f>
        <v/>
      </c>
      <c r="K792" s="3">
        <f>IF(J792&lt;=0.005,"PAID",IF(I792&gt;0,"PARTIAL","OVERDUE"))</f>
        <v/>
      </c>
      <c r="L792" s="4">
        <f>IF(COUNTIFS(Raw_Payments!B:B,A792)=0,"",SUMPRODUCT(MAX((Raw_Payments!B$2:B$1079=A792)*Raw_Payments!D$2:D$1079)))</f>
        <v/>
      </c>
      <c r="M792" s="3">
        <f>IF(K792="PAID",MAX(0,L792-G792),Guide!$B$3-G792)</f>
        <v/>
      </c>
      <c r="N792" s="3">
        <f>IF(J792&lt;=0.005,"COLLECTED",IF(M792&lt;=30,"1-30",IF(M792&lt;=60,"31-60",IF(M792&lt;=90,"61-90","90+"))))</f>
        <v/>
      </c>
      <c r="O792" s="3">
        <f>IF(N792="90+","LOST",IF(N792="61-90","ESCALATE",IF(N792="31-60","WATCH",IF(N792="1-30","MILD","OK"))))</f>
        <v/>
      </c>
      <c r="P792" s="3">
        <f>IF(J792&gt;0.005,ROW()-1,"")</f>
        <v/>
      </c>
    </row>
    <row r="793">
      <c r="A793" s="3" t="inlineStr">
        <is>
          <t>D0792</t>
        </is>
      </c>
      <c r="B793" s="3">
        <f>INDEX(Raw_Schedule!B:B,MATCH(A793,Raw_Schedule!A:A,0))</f>
        <v/>
      </c>
      <c r="C793" s="3">
        <f>INDEX(Raw_Schedule!C:C,MATCH(A793,Raw_Schedule!A:A,0))</f>
        <v/>
      </c>
      <c r="D793" s="3">
        <f>INDEX(Raw_Schedule!D:D,MATCH(A793,Raw_Schedule!A:A,0))</f>
        <v/>
      </c>
      <c r="E793" s="3">
        <f>INDEX(Raw_Schedule!E:E,MATCH(A793,Raw_Schedule!A:A,0))</f>
        <v/>
      </c>
      <c r="F793" s="3">
        <f>INDEX(Raw_Schedule!F:F,MATCH(A793,Raw_Schedule!A:A,0))</f>
        <v/>
      </c>
      <c r="G793" s="4">
        <f>INDEX(Raw_Schedule!G:G,MATCH(A793,Raw_Schedule!A:A,0))</f>
        <v/>
      </c>
      <c r="H793" s="5">
        <f>INDEX(Raw_Schedule!H:H,MATCH(A793,Raw_Schedule!A:A,0))</f>
        <v/>
      </c>
      <c r="I793" s="5">
        <f>SUMIFS(Raw_Payments!E:E,Raw_Payments!B:B,A793)</f>
        <v/>
      </c>
      <c r="J793" s="5">
        <f>H793-I793</f>
        <v/>
      </c>
      <c r="K793" s="3">
        <f>IF(J793&lt;=0.005,"PAID",IF(I793&gt;0,"PARTIAL","OVERDUE"))</f>
        <v/>
      </c>
      <c r="L793" s="4">
        <f>IF(COUNTIFS(Raw_Payments!B:B,A793)=0,"",SUMPRODUCT(MAX((Raw_Payments!B$2:B$1079=A793)*Raw_Payments!D$2:D$1079)))</f>
        <v/>
      </c>
      <c r="M793" s="3">
        <f>IF(K793="PAID",MAX(0,L793-G793),Guide!$B$3-G793)</f>
        <v/>
      </c>
      <c r="N793" s="3">
        <f>IF(J793&lt;=0.005,"COLLECTED",IF(M793&lt;=30,"1-30",IF(M793&lt;=60,"31-60",IF(M793&lt;=90,"61-90","90+"))))</f>
        <v/>
      </c>
      <c r="O793" s="3">
        <f>IF(N793="90+","LOST",IF(N793="61-90","ESCALATE",IF(N793="31-60","WATCH",IF(N793="1-30","MILD","OK"))))</f>
        <v/>
      </c>
      <c r="P793" s="3">
        <f>IF(J793&gt;0.005,ROW()-1,"")</f>
        <v/>
      </c>
    </row>
    <row r="794">
      <c r="A794" s="3" t="inlineStr">
        <is>
          <t>D0793</t>
        </is>
      </c>
      <c r="B794" s="3">
        <f>INDEX(Raw_Schedule!B:B,MATCH(A794,Raw_Schedule!A:A,0))</f>
        <v/>
      </c>
      <c r="C794" s="3">
        <f>INDEX(Raw_Schedule!C:C,MATCH(A794,Raw_Schedule!A:A,0))</f>
        <v/>
      </c>
      <c r="D794" s="3">
        <f>INDEX(Raw_Schedule!D:D,MATCH(A794,Raw_Schedule!A:A,0))</f>
        <v/>
      </c>
      <c r="E794" s="3">
        <f>INDEX(Raw_Schedule!E:E,MATCH(A794,Raw_Schedule!A:A,0))</f>
        <v/>
      </c>
      <c r="F794" s="3">
        <f>INDEX(Raw_Schedule!F:F,MATCH(A794,Raw_Schedule!A:A,0))</f>
        <v/>
      </c>
      <c r="G794" s="4">
        <f>INDEX(Raw_Schedule!G:G,MATCH(A794,Raw_Schedule!A:A,0))</f>
        <v/>
      </c>
      <c r="H794" s="5">
        <f>INDEX(Raw_Schedule!H:H,MATCH(A794,Raw_Schedule!A:A,0))</f>
        <v/>
      </c>
      <c r="I794" s="5">
        <f>SUMIFS(Raw_Payments!E:E,Raw_Payments!B:B,A794)</f>
        <v/>
      </c>
      <c r="J794" s="5">
        <f>H794-I794</f>
        <v/>
      </c>
      <c r="K794" s="3">
        <f>IF(J794&lt;=0.005,"PAID",IF(I794&gt;0,"PARTIAL","OVERDUE"))</f>
        <v/>
      </c>
      <c r="L794" s="4">
        <f>IF(COUNTIFS(Raw_Payments!B:B,A794)=0,"",SUMPRODUCT(MAX((Raw_Payments!B$2:B$1079=A794)*Raw_Payments!D$2:D$1079)))</f>
        <v/>
      </c>
      <c r="M794" s="3">
        <f>IF(K794="PAID",MAX(0,L794-G794),Guide!$B$3-G794)</f>
        <v/>
      </c>
      <c r="N794" s="3">
        <f>IF(J794&lt;=0.005,"COLLECTED",IF(M794&lt;=30,"1-30",IF(M794&lt;=60,"31-60",IF(M794&lt;=90,"61-90","90+"))))</f>
        <v/>
      </c>
      <c r="O794" s="3">
        <f>IF(N794="90+","LOST",IF(N794="61-90","ESCALATE",IF(N794="31-60","WATCH",IF(N794="1-30","MILD","OK"))))</f>
        <v/>
      </c>
      <c r="P794" s="3">
        <f>IF(J794&gt;0.005,ROW()-1,"")</f>
        <v/>
      </c>
    </row>
    <row r="795">
      <c r="A795" s="3" t="inlineStr">
        <is>
          <t>D0794</t>
        </is>
      </c>
      <c r="B795" s="3">
        <f>INDEX(Raw_Schedule!B:B,MATCH(A795,Raw_Schedule!A:A,0))</f>
        <v/>
      </c>
      <c r="C795" s="3">
        <f>INDEX(Raw_Schedule!C:C,MATCH(A795,Raw_Schedule!A:A,0))</f>
        <v/>
      </c>
      <c r="D795" s="3">
        <f>INDEX(Raw_Schedule!D:D,MATCH(A795,Raw_Schedule!A:A,0))</f>
        <v/>
      </c>
      <c r="E795" s="3">
        <f>INDEX(Raw_Schedule!E:E,MATCH(A795,Raw_Schedule!A:A,0))</f>
        <v/>
      </c>
      <c r="F795" s="3">
        <f>INDEX(Raw_Schedule!F:F,MATCH(A795,Raw_Schedule!A:A,0))</f>
        <v/>
      </c>
      <c r="G795" s="4">
        <f>INDEX(Raw_Schedule!G:G,MATCH(A795,Raw_Schedule!A:A,0))</f>
        <v/>
      </c>
      <c r="H795" s="5">
        <f>INDEX(Raw_Schedule!H:H,MATCH(A795,Raw_Schedule!A:A,0))</f>
        <v/>
      </c>
      <c r="I795" s="5">
        <f>SUMIFS(Raw_Payments!E:E,Raw_Payments!B:B,A795)</f>
        <v/>
      </c>
      <c r="J795" s="5">
        <f>H795-I795</f>
        <v/>
      </c>
      <c r="K795" s="3">
        <f>IF(J795&lt;=0.005,"PAID",IF(I795&gt;0,"PARTIAL","OVERDUE"))</f>
        <v/>
      </c>
      <c r="L795" s="4">
        <f>IF(COUNTIFS(Raw_Payments!B:B,A795)=0,"",SUMPRODUCT(MAX((Raw_Payments!B$2:B$1079=A795)*Raw_Payments!D$2:D$1079)))</f>
        <v/>
      </c>
      <c r="M795" s="3">
        <f>IF(K795="PAID",MAX(0,L795-G795),Guide!$B$3-G795)</f>
        <v/>
      </c>
      <c r="N795" s="3">
        <f>IF(J795&lt;=0.005,"COLLECTED",IF(M795&lt;=30,"1-30",IF(M795&lt;=60,"31-60",IF(M795&lt;=90,"61-90","90+"))))</f>
        <v/>
      </c>
      <c r="O795" s="3">
        <f>IF(N795="90+","LOST",IF(N795="61-90","ESCALATE",IF(N795="31-60","WATCH",IF(N795="1-30","MILD","OK"))))</f>
        <v/>
      </c>
      <c r="P795" s="3">
        <f>IF(J795&gt;0.005,ROW()-1,"")</f>
        <v/>
      </c>
    </row>
    <row r="796">
      <c r="A796" s="3" t="inlineStr">
        <is>
          <t>D0795</t>
        </is>
      </c>
      <c r="B796" s="3">
        <f>INDEX(Raw_Schedule!B:B,MATCH(A796,Raw_Schedule!A:A,0))</f>
        <v/>
      </c>
      <c r="C796" s="3">
        <f>INDEX(Raw_Schedule!C:C,MATCH(A796,Raw_Schedule!A:A,0))</f>
        <v/>
      </c>
      <c r="D796" s="3">
        <f>INDEX(Raw_Schedule!D:D,MATCH(A796,Raw_Schedule!A:A,0))</f>
        <v/>
      </c>
      <c r="E796" s="3">
        <f>INDEX(Raw_Schedule!E:E,MATCH(A796,Raw_Schedule!A:A,0))</f>
        <v/>
      </c>
      <c r="F796" s="3">
        <f>INDEX(Raw_Schedule!F:F,MATCH(A796,Raw_Schedule!A:A,0))</f>
        <v/>
      </c>
      <c r="G796" s="4">
        <f>INDEX(Raw_Schedule!G:G,MATCH(A796,Raw_Schedule!A:A,0))</f>
        <v/>
      </c>
      <c r="H796" s="5">
        <f>INDEX(Raw_Schedule!H:H,MATCH(A796,Raw_Schedule!A:A,0))</f>
        <v/>
      </c>
      <c r="I796" s="5">
        <f>SUMIFS(Raw_Payments!E:E,Raw_Payments!B:B,A796)</f>
        <v/>
      </c>
      <c r="J796" s="5">
        <f>H796-I796</f>
        <v/>
      </c>
      <c r="K796" s="3">
        <f>IF(J796&lt;=0.005,"PAID",IF(I796&gt;0,"PARTIAL","OVERDUE"))</f>
        <v/>
      </c>
      <c r="L796" s="4">
        <f>IF(COUNTIFS(Raw_Payments!B:B,A796)=0,"",SUMPRODUCT(MAX((Raw_Payments!B$2:B$1079=A796)*Raw_Payments!D$2:D$1079)))</f>
        <v/>
      </c>
      <c r="M796" s="3">
        <f>IF(K796="PAID",MAX(0,L796-G796),Guide!$B$3-G796)</f>
        <v/>
      </c>
      <c r="N796" s="3">
        <f>IF(J796&lt;=0.005,"COLLECTED",IF(M796&lt;=30,"1-30",IF(M796&lt;=60,"31-60",IF(M796&lt;=90,"61-90","90+"))))</f>
        <v/>
      </c>
      <c r="O796" s="3">
        <f>IF(N796="90+","LOST",IF(N796="61-90","ESCALATE",IF(N796="31-60","WATCH",IF(N796="1-30","MILD","OK"))))</f>
        <v/>
      </c>
      <c r="P796" s="3">
        <f>IF(J796&gt;0.005,ROW()-1,"")</f>
        <v/>
      </c>
    </row>
    <row r="797">
      <c r="A797" s="3" t="inlineStr">
        <is>
          <t>D0796</t>
        </is>
      </c>
      <c r="B797" s="3">
        <f>INDEX(Raw_Schedule!B:B,MATCH(A797,Raw_Schedule!A:A,0))</f>
        <v/>
      </c>
      <c r="C797" s="3">
        <f>INDEX(Raw_Schedule!C:C,MATCH(A797,Raw_Schedule!A:A,0))</f>
        <v/>
      </c>
      <c r="D797" s="3">
        <f>INDEX(Raw_Schedule!D:D,MATCH(A797,Raw_Schedule!A:A,0))</f>
        <v/>
      </c>
      <c r="E797" s="3">
        <f>INDEX(Raw_Schedule!E:E,MATCH(A797,Raw_Schedule!A:A,0))</f>
        <v/>
      </c>
      <c r="F797" s="3">
        <f>INDEX(Raw_Schedule!F:F,MATCH(A797,Raw_Schedule!A:A,0))</f>
        <v/>
      </c>
      <c r="G797" s="4">
        <f>INDEX(Raw_Schedule!G:G,MATCH(A797,Raw_Schedule!A:A,0))</f>
        <v/>
      </c>
      <c r="H797" s="5">
        <f>INDEX(Raw_Schedule!H:H,MATCH(A797,Raw_Schedule!A:A,0))</f>
        <v/>
      </c>
      <c r="I797" s="5">
        <f>SUMIFS(Raw_Payments!E:E,Raw_Payments!B:B,A797)</f>
        <v/>
      </c>
      <c r="J797" s="5">
        <f>H797-I797</f>
        <v/>
      </c>
      <c r="K797" s="3">
        <f>IF(J797&lt;=0.005,"PAID",IF(I797&gt;0,"PARTIAL","OVERDUE"))</f>
        <v/>
      </c>
      <c r="L797" s="4">
        <f>IF(COUNTIFS(Raw_Payments!B:B,A797)=0,"",SUMPRODUCT(MAX((Raw_Payments!B$2:B$1079=A797)*Raw_Payments!D$2:D$1079)))</f>
        <v/>
      </c>
      <c r="M797" s="3">
        <f>IF(K797="PAID",MAX(0,L797-G797),Guide!$B$3-G797)</f>
        <v/>
      </c>
      <c r="N797" s="3">
        <f>IF(J797&lt;=0.005,"COLLECTED",IF(M797&lt;=30,"1-30",IF(M797&lt;=60,"31-60",IF(M797&lt;=90,"61-90","90+"))))</f>
        <v/>
      </c>
      <c r="O797" s="3">
        <f>IF(N797="90+","LOST",IF(N797="61-90","ESCALATE",IF(N797="31-60","WATCH",IF(N797="1-30","MILD","OK"))))</f>
        <v/>
      </c>
      <c r="P797" s="3">
        <f>IF(J797&gt;0.005,ROW()-1,"")</f>
        <v/>
      </c>
    </row>
    <row r="798">
      <c r="A798" s="3" t="inlineStr">
        <is>
          <t>D0797</t>
        </is>
      </c>
      <c r="B798" s="3">
        <f>INDEX(Raw_Schedule!B:B,MATCH(A798,Raw_Schedule!A:A,0))</f>
        <v/>
      </c>
      <c r="C798" s="3">
        <f>INDEX(Raw_Schedule!C:C,MATCH(A798,Raw_Schedule!A:A,0))</f>
        <v/>
      </c>
      <c r="D798" s="3">
        <f>INDEX(Raw_Schedule!D:D,MATCH(A798,Raw_Schedule!A:A,0))</f>
        <v/>
      </c>
      <c r="E798" s="3">
        <f>INDEX(Raw_Schedule!E:E,MATCH(A798,Raw_Schedule!A:A,0))</f>
        <v/>
      </c>
      <c r="F798" s="3">
        <f>INDEX(Raw_Schedule!F:F,MATCH(A798,Raw_Schedule!A:A,0))</f>
        <v/>
      </c>
      <c r="G798" s="4">
        <f>INDEX(Raw_Schedule!G:G,MATCH(A798,Raw_Schedule!A:A,0))</f>
        <v/>
      </c>
      <c r="H798" s="5">
        <f>INDEX(Raw_Schedule!H:H,MATCH(A798,Raw_Schedule!A:A,0))</f>
        <v/>
      </c>
      <c r="I798" s="5">
        <f>SUMIFS(Raw_Payments!E:E,Raw_Payments!B:B,A798)</f>
        <v/>
      </c>
      <c r="J798" s="5">
        <f>H798-I798</f>
        <v/>
      </c>
      <c r="K798" s="3">
        <f>IF(J798&lt;=0.005,"PAID",IF(I798&gt;0,"PARTIAL","OVERDUE"))</f>
        <v/>
      </c>
      <c r="L798" s="4">
        <f>IF(COUNTIFS(Raw_Payments!B:B,A798)=0,"",SUMPRODUCT(MAX((Raw_Payments!B$2:B$1079=A798)*Raw_Payments!D$2:D$1079)))</f>
        <v/>
      </c>
      <c r="M798" s="3">
        <f>IF(K798="PAID",MAX(0,L798-G798),Guide!$B$3-G798)</f>
        <v/>
      </c>
      <c r="N798" s="3">
        <f>IF(J798&lt;=0.005,"COLLECTED",IF(M798&lt;=30,"1-30",IF(M798&lt;=60,"31-60",IF(M798&lt;=90,"61-90","90+"))))</f>
        <v/>
      </c>
      <c r="O798" s="3">
        <f>IF(N798="90+","LOST",IF(N798="61-90","ESCALATE",IF(N798="31-60","WATCH",IF(N798="1-30","MILD","OK"))))</f>
        <v/>
      </c>
      <c r="P798" s="3">
        <f>IF(J798&gt;0.005,ROW()-1,"")</f>
        <v/>
      </c>
    </row>
    <row r="799">
      <c r="A799" s="3" t="inlineStr">
        <is>
          <t>D0798</t>
        </is>
      </c>
      <c r="B799" s="3">
        <f>INDEX(Raw_Schedule!B:B,MATCH(A799,Raw_Schedule!A:A,0))</f>
        <v/>
      </c>
      <c r="C799" s="3">
        <f>INDEX(Raw_Schedule!C:C,MATCH(A799,Raw_Schedule!A:A,0))</f>
        <v/>
      </c>
      <c r="D799" s="3">
        <f>INDEX(Raw_Schedule!D:D,MATCH(A799,Raw_Schedule!A:A,0))</f>
        <v/>
      </c>
      <c r="E799" s="3">
        <f>INDEX(Raw_Schedule!E:E,MATCH(A799,Raw_Schedule!A:A,0))</f>
        <v/>
      </c>
      <c r="F799" s="3">
        <f>INDEX(Raw_Schedule!F:F,MATCH(A799,Raw_Schedule!A:A,0))</f>
        <v/>
      </c>
      <c r="G799" s="4">
        <f>INDEX(Raw_Schedule!G:G,MATCH(A799,Raw_Schedule!A:A,0))</f>
        <v/>
      </c>
      <c r="H799" s="5">
        <f>INDEX(Raw_Schedule!H:H,MATCH(A799,Raw_Schedule!A:A,0))</f>
        <v/>
      </c>
      <c r="I799" s="5">
        <f>SUMIFS(Raw_Payments!E:E,Raw_Payments!B:B,A799)</f>
        <v/>
      </c>
      <c r="J799" s="5">
        <f>H799-I799</f>
        <v/>
      </c>
      <c r="K799" s="3">
        <f>IF(J799&lt;=0.005,"PAID",IF(I799&gt;0,"PARTIAL","OVERDUE"))</f>
        <v/>
      </c>
      <c r="L799" s="4">
        <f>IF(COUNTIFS(Raw_Payments!B:B,A799)=0,"",SUMPRODUCT(MAX((Raw_Payments!B$2:B$1079=A799)*Raw_Payments!D$2:D$1079)))</f>
        <v/>
      </c>
      <c r="M799" s="3">
        <f>IF(K799="PAID",MAX(0,L799-G799),Guide!$B$3-G799)</f>
        <v/>
      </c>
      <c r="N799" s="3">
        <f>IF(J799&lt;=0.005,"COLLECTED",IF(M799&lt;=30,"1-30",IF(M799&lt;=60,"31-60",IF(M799&lt;=90,"61-90","90+"))))</f>
        <v/>
      </c>
      <c r="O799" s="3">
        <f>IF(N799="90+","LOST",IF(N799="61-90","ESCALATE",IF(N799="31-60","WATCH",IF(N799="1-30","MILD","OK"))))</f>
        <v/>
      </c>
      <c r="P799" s="3">
        <f>IF(J799&gt;0.005,ROW()-1,"")</f>
        <v/>
      </c>
    </row>
    <row r="800">
      <c r="A800" s="3" t="inlineStr">
        <is>
          <t>D0799</t>
        </is>
      </c>
      <c r="B800" s="3">
        <f>INDEX(Raw_Schedule!B:B,MATCH(A800,Raw_Schedule!A:A,0))</f>
        <v/>
      </c>
      <c r="C800" s="3">
        <f>INDEX(Raw_Schedule!C:C,MATCH(A800,Raw_Schedule!A:A,0))</f>
        <v/>
      </c>
      <c r="D800" s="3">
        <f>INDEX(Raw_Schedule!D:D,MATCH(A800,Raw_Schedule!A:A,0))</f>
        <v/>
      </c>
      <c r="E800" s="3">
        <f>INDEX(Raw_Schedule!E:E,MATCH(A800,Raw_Schedule!A:A,0))</f>
        <v/>
      </c>
      <c r="F800" s="3">
        <f>INDEX(Raw_Schedule!F:F,MATCH(A800,Raw_Schedule!A:A,0))</f>
        <v/>
      </c>
      <c r="G800" s="4">
        <f>INDEX(Raw_Schedule!G:G,MATCH(A800,Raw_Schedule!A:A,0))</f>
        <v/>
      </c>
      <c r="H800" s="5">
        <f>INDEX(Raw_Schedule!H:H,MATCH(A800,Raw_Schedule!A:A,0))</f>
        <v/>
      </c>
      <c r="I800" s="5">
        <f>SUMIFS(Raw_Payments!E:E,Raw_Payments!B:B,A800)</f>
        <v/>
      </c>
      <c r="J800" s="5">
        <f>H800-I800</f>
        <v/>
      </c>
      <c r="K800" s="3">
        <f>IF(J800&lt;=0.005,"PAID",IF(I800&gt;0,"PARTIAL","OVERDUE"))</f>
        <v/>
      </c>
      <c r="L800" s="4">
        <f>IF(COUNTIFS(Raw_Payments!B:B,A800)=0,"",SUMPRODUCT(MAX((Raw_Payments!B$2:B$1079=A800)*Raw_Payments!D$2:D$1079)))</f>
        <v/>
      </c>
      <c r="M800" s="3">
        <f>IF(K800="PAID",MAX(0,L800-G800),Guide!$B$3-G800)</f>
        <v/>
      </c>
      <c r="N800" s="3">
        <f>IF(J800&lt;=0.005,"COLLECTED",IF(M800&lt;=30,"1-30",IF(M800&lt;=60,"31-60",IF(M800&lt;=90,"61-90","90+"))))</f>
        <v/>
      </c>
      <c r="O800" s="3">
        <f>IF(N800="90+","LOST",IF(N800="61-90","ESCALATE",IF(N800="31-60","WATCH",IF(N800="1-30","MILD","OK"))))</f>
        <v/>
      </c>
      <c r="P800" s="3">
        <f>IF(J800&gt;0.005,ROW()-1,"")</f>
        <v/>
      </c>
    </row>
    <row r="801">
      <c r="A801" s="3" t="inlineStr">
        <is>
          <t>D0800</t>
        </is>
      </c>
      <c r="B801" s="3">
        <f>INDEX(Raw_Schedule!B:B,MATCH(A801,Raw_Schedule!A:A,0))</f>
        <v/>
      </c>
      <c r="C801" s="3">
        <f>INDEX(Raw_Schedule!C:C,MATCH(A801,Raw_Schedule!A:A,0))</f>
        <v/>
      </c>
      <c r="D801" s="3">
        <f>INDEX(Raw_Schedule!D:D,MATCH(A801,Raw_Schedule!A:A,0))</f>
        <v/>
      </c>
      <c r="E801" s="3">
        <f>INDEX(Raw_Schedule!E:E,MATCH(A801,Raw_Schedule!A:A,0))</f>
        <v/>
      </c>
      <c r="F801" s="3">
        <f>INDEX(Raw_Schedule!F:F,MATCH(A801,Raw_Schedule!A:A,0))</f>
        <v/>
      </c>
      <c r="G801" s="4">
        <f>INDEX(Raw_Schedule!G:G,MATCH(A801,Raw_Schedule!A:A,0))</f>
        <v/>
      </c>
      <c r="H801" s="5">
        <f>INDEX(Raw_Schedule!H:H,MATCH(A801,Raw_Schedule!A:A,0))</f>
        <v/>
      </c>
      <c r="I801" s="5">
        <f>SUMIFS(Raw_Payments!E:E,Raw_Payments!B:B,A801)</f>
        <v/>
      </c>
      <c r="J801" s="5">
        <f>H801-I801</f>
        <v/>
      </c>
      <c r="K801" s="3">
        <f>IF(J801&lt;=0.005,"PAID",IF(I801&gt;0,"PARTIAL","OVERDUE"))</f>
        <v/>
      </c>
      <c r="L801" s="4">
        <f>IF(COUNTIFS(Raw_Payments!B:B,A801)=0,"",SUMPRODUCT(MAX((Raw_Payments!B$2:B$1079=A801)*Raw_Payments!D$2:D$1079)))</f>
        <v/>
      </c>
      <c r="M801" s="3">
        <f>IF(K801="PAID",MAX(0,L801-G801),Guide!$B$3-G801)</f>
        <v/>
      </c>
      <c r="N801" s="3">
        <f>IF(J801&lt;=0.005,"COLLECTED",IF(M801&lt;=30,"1-30",IF(M801&lt;=60,"31-60",IF(M801&lt;=90,"61-90","90+"))))</f>
        <v/>
      </c>
      <c r="O801" s="3">
        <f>IF(N801="90+","LOST",IF(N801="61-90","ESCALATE",IF(N801="31-60","WATCH",IF(N801="1-30","MILD","OK"))))</f>
        <v/>
      </c>
      <c r="P801" s="3">
        <f>IF(J801&gt;0.005,ROW()-1,"")</f>
        <v/>
      </c>
    </row>
    <row r="802">
      <c r="A802" s="3" t="inlineStr">
        <is>
          <t>D0801</t>
        </is>
      </c>
      <c r="B802" s="3">
        <f>INDEX(Raw_Schedule!B:B,MATCH(A802,Raw_Schedule!A:A,0))</f>
        <v/>
      </c>
      <c r="C802" s="3">
        <f>INDEX(Raw_Schedule!C:C,MATCH(A802,Raw_Schedule!A:A,0))</f>
        <v/>
      </c>
      <c r="D802" s="3">
        <f>INDEX(Raw_Schedule!D:D,MATCH(A802,Raw_Schedule!A:A,0))</f>
        <v/>
      </c>
      <c r="E802" s="3">
        <f>INDEX(Raw_Schedule!E:E,MATCH(A802,Raw_Schedule!A:A,0))</f>
        <v/>
      </c>
      <c r="F802" s="3">
        <f>INDEX(Raw_Schedule!F:F,MATCH(A802,Raw_Schedule!A:A,0))</f>
        <v/>
      </c>
      <c r="G802" s="4">
        <f>INDEX(Raw_Schedule!G:G,MATCH(A802,Raw_Schedule!A:A,0))</f>
        <v/>
      </c>
      <c r="H802" s="5">
        <f>INDEX(Raw_Schedule!H:H,MATCH(A802,Raw_Schedule!A:A,0))</f>
        <v/>
      </c>
      <c r="I802" s="5">
        <f>SUMIFS(Raw_Payments!E:E,Raw_Payments!B:B,A802)</f>
        <v/>
      </c>
      <c r="J802" s="5">
        <f>H802-I802</f>
        <v/>
      </c>
      <c r="K802" s="3">
        <f>IF(J802&lt;=0.005,"PAID",IF(I802&gt;0,"PARTIAL","OVERDUE"))</f>
        <v/>
      </c>
      <c r="L802" s="4">
        <f>IF(COUNTIFS(Raw_Payments!B:B,A802)=0,"",SUMPRODUCT(MAX((Raw_Payments!B$2:B$1079=A802)*Raw_Payments!D$2:D$1079)))</f>
        <v/>
      </c>
      <c r="M802" s="3">
        <f>IF(K802="PAID",MAX(0,L802-G802),Guide!$B$3-G802)</f>
        <v/>
      </c>
      <c r="N802" s="3">
        <f>IF(J802&lt;=0.005,"COLLECTED",IF(M802&lt;=30,"1-30",IF(M802&lt;=60,"31-60",IF(M802&lt;=90,"61-90","90+"))))</f>
        <v/>
      </c>
      <c r="O802" s="3">
        <f>IF(N802="90+","LOST",IF(N802="61-90","ESCALATE",IF(N802="31-60","WATCH",IF(N802="1-30","MILD","OK"))))</f>
        <v/>
      </c>
      <c r="P802" s="3">
        <f>IF(J802&gt;0.005,ROW()-1,"")</f>
        <v/>
      </c>
    </row>
    <row r="803">
      <c r="A803" s="3" t="inlineStr">
        <is>
          <t>D0802</t>
        </is>
      </c>
      <c r="B803" s="3">
        <f>INDEX(Raw_Schedule!B:B,MATCH(A803,Raw_Schedule!A:A,0))</f>
        <v/>
      </c>
      <c r="C803" s="3">
        <f>INDEX(Raw_Schedule!C:C,MATCH(A803,Raw_Schedule!A:A,0))</f>
        <v/>
      </c>
      <c r="D803" s="3">
        <f>INDEX(Raw_Schedule!D:D,MATCH(A803,Raw_Schedule!A:A,0))</f>
        <v/>
      </c>
      <c r="E803" s="3">
        <f>INDEX(Raw_Schedule!E:E,MATCH(A803,Raw_Schedule!A:A,0))</f>
        <v/>
      </c>
      <c r="F803" s="3">
        <f>INDEX(Raw_Schedule!F:F,MATCH(A803,Raw_Schedule!A:A,0))</f>
        <v/>
      </c>
      <c r="G803" s="4">
        <f>INDEX(Raw_Schedule!G:G,MATCH(A803,Raw_Schedule!A:A,0))</f>
        <v/>
      </c>
      <c r="H803" s="5">
        <f>INDEX(Raw_Schedule!H:H,MATCH(A803,Raw_Schedule!A:A,0))</f>
        <v/>
      </c>
      <c r="I803" s="5">
        <f>SUMIFS(Raw_Payments!E:E,Raw_Payments!B:B,A803)</f>
        <v/>
      </c>
      <c r="J803" s="5">
        <f>H803-I803</f>
        <v/>
      </c>
      <c r="K803" s="3">
        <f>IF(J803&lt;=0.005,"PAID",IF(I803&gt;0,"PARTIAL","OVERDUE"))</f>
        <v/>
      </c>
      <c r="L803" s="4">
        <f>IF(COUNTIFS(Raw_Payments!B:B,A803)=0,"",SUMPRODUCT(MAX((Raw_Payments!B$2:B$1079=A803)*Raw_Payments!D$2:D$1079)))</f>
        <v/>
      </c>
      <c r="M803" s="3">
        <f>IF(K803="PAID",MAX(0,L803-G803),Guide!$B$3-G803)</f>
        <v/>
      </c>
      <c r="N803" s="3">
        <f>IF(J803&lt;=0.005,"COLLECTED",IF(M803&lt;=30,"1-30",IF(M803&lt;=60,"31-60",IF(M803&lt;=90,"61-90","90+"))))</f>
        <v/>
      </c>
      <c r="O803" s="3">
        <f>IF(N803="90+","LOST",IF(N803="61-90","ESCALATE",IF(N803="31-60","WATCH",IF(N803="1-30","MILD","OK"))))</f>
        <v/>
      </c>
      <c r="P803" s="3">
        <f>IF(J803&gt;0.005,ROW()-1,"")</f>
        <v/>
      </c>
    </row>
    <row r="804">
      <c r="A804" s="3" t="inlineStr">
        <is>
          <t>D0803</t>
        </is>
      </c>
      <c r="B804" s="3">
        <f>INDEX(Raw_Schedule!B:B,MATCH(A804,Raw_Schedule!A:A,0))</f>
        <v/>
      </c>
      <c r="C804" s="3">
        <f>INDEX(Raw_Schedule!C:C,MATCH(A804,Raw_Schedule!A:A,0))</f>
        <v/>
      </c>
      <c r="D804" s="3">
        <f>INDEX(Raw_Schedule!D:D,MATCH(A804,Raw_Schedule!A:A,0))</f>
        <v/>
      </c>
      <c r="E804" s="3">
        <f>INDEX(Raw_Schedule!E:E,MATCH(A804,Raw_Schedule!A:A,0))</f>
        <v/>
      </c>
      <c r="F804" s="3">
        <f>INDEX(Raw_Schedule!F:F,MATCH(A804,Raw_Schedule!A:A,0))</f>
        <v/>
      </c>
      <c r="G804" s="4">
        <f>INDEX(Raw_Schedule!G:G,MATCH(A804,Raw_Schedule!A:A,0))</f>
        <v/>
      </c>
      <c r="H804" s="5">
        <f>INDEX(Raw_Schedule!H:H,MATCH(A804,Raw_Schedule!A:A,0))</f>
        <v/>
      </c>
      <c r="I804" s="5">
        <f>SUMIFS(Raw_Payments!E:E,Raw_Payments!B:B,A804)</f>
        <v/>
      </c>
      <c r="J804" s="5">
        <f>H804-I804</f>
        <v/>
      </c>
      <c r="K804" s="3">
        <f>IF(J804&lt;=0.005,"PAID",IF(I804&gt;0,"PARTIAL","OVERDUE"))</f>
        <v/>
      </c>
      <c r="L804" s="4">
        <f>IF(COUNTIFS(Raw_Payments!B:B,A804)=0,"",SUMPRODUCT(MAX((Raw_Payments!B$2:B$1079=A804)*Raw_Payments!D$2:D$1079)))</f>
        <v/>
      </c>
      <c r="M804" s="3">
        <f>IF(K804="PAID",MAX(0,L804-G804),Guide!$B$3-G804)</f>
        <v/>
      </c>
      <c r="N804" s="3">
        <f>IF(J804&lt;=0.005,"COLLECTED",IF(M804&lt;=30,"1-30",IF(M804&lt;=60,"31-60",IF(M804&lt;=90,"61-90","90+"))))</f>
        <v/>
      </c>
      <c r="O804" s="3">
        <f>IF(N804="90+","LOST",IF(N804="61-90","ESCALATE",IF(N804="31-60","WATCH",IF(N804="1-30","MILD","OK"))))</f>
        <v/>
      </c>
      <c r="P804" s="3">
        <f>IF(J804&gt;0.005,ROW()-1,"")</f>
        <v/>
      </c>
    </row>
    <row r="805">
      <c r="A805" s="3" t="inlineStr">
        <is>
          <t>D0804</t>
        </is>
      </c>
      <c r="B805" s="3">
        <f>INDEX(Raw_Schedule!B:B,MATCH(A805,Raw_Schedule!A:A,0))</f>
        <v/>
      </c>
      <c r="C805" s="3">
        <f>INDEX(Raw_Schedule!C:C,MATCH(A805,Raw_Schedule!A:A,0))</f>
        <v/>
      </c>
      <c r="D805" s="3">
        <f>INDEX(Raw_Schedule!D:D,MATCH(A805,Raw_Schedule!A:A,0))</f>
        <v/>
      </c>
      <c r="E805" s="3">
        <f>INDEX(Raw_Schedule!E:E,MATCH(A805,Raw_Schedule!A:A,0))</f>
        <v/>
      </c>
      <c r="F805" s="3">
        <f>INDEX(Raw_Schedule!F:F,MATCH(A805,Raw_Schedule!A:A,0))</f>
        <v/>
      </c>
      <c r="G805" s="4">
        <f>INDEX(Raw_Schedule!G:G,MATCH(A805,Raw_Schedule!A:A,0))</f>
        <v/>
      </c>
      <c r="H805" s="5">
        <f>INDEX(Raw_Schedule!H:H,MATCH(A805,Raw_Schedule!A:A,0))</f>
        <v/>
      </c>
      <c r="I805" s="5">
        <f>SUMIFS(Raw_Payments!E:E,Raw_Payments!B:B,A805)</f>
        <v/>
      </c>
      <c r="J805" s="5">
        <f>H805-I805</f>
        <v/>
      </c>
      <c r="K805" s="3">
        <f>IF(J805&lt;=0.005,"PAID",IF(I805&gt;0,"PARTIAL","OVERDUE"))</f>
        <v/>
      </c>
      <c r="L805" s="4">
        <f>IF(COUNTIFS(Raw_Payments!B:B,A805)=0,"",SUMPRODUCT(MAX((Raw_Payments!B$2:B$1079=A805)*Raw_Payments!D$2:D$1079)))</f>
        <v/>
      </c>
      <c r="M805" s="3">
        <f>IF(K805="PAID",MAX(0,L805-G805),Guide!$B$3-G805)</f>
        <v/>
      </c>
      <c r="N805" s="3">
        <f>IF(J805&lt;=0.005,"COLLECTED",IF(M805&lt;=30,"1-30",IF(M805&lt;=60,"31-60",IF(M805&lt;=90,"61-90","90+"))))</f>
        <v/>
      </c>
      <c r="O805" s="3">
        <f>IF(N805="90+","LOST",IF(N805="61-90","ESCALATE",IF(N805="31-60","WATCH",IF(N805="1-30","MILD","OK"))))</f>
        <v/>
      </c>
      <c r="P805" s="3">
        <f>IF(J805&gt;0.005,ROW()-1,"")</f>
        <v/>
      </c>
    </row>
    <row r="806">
      <c r="A806" s="3" t="inlineStr">
        <is>
          <t>D0805</t>
        </is>
      </c>
      <c r="B806" s="3">
        <f>INDEX(Raw_Schedule!B:B,MATCH(A806,Raw_Schedule!A:A,0))</f>
        <v/>
      </c>
      <c r="C806" s="3">
        <f>INDEX(Raw_Schedule!C:C,MATCH(A806,Raw_Schedule!A:A,0))</f>
        <v/>
      </c>
      <c r="D806" s="3">
        <f>INDEX(Raw_Schedule!D:D,MATCH(A806,Raw_Schedule!A:A,0))</f>
        <v/>
      </c>
      <c r="E806" s="3">
        <f>INDEX(Raw_Schedule!E:E,MATCH(A806,Raw_Schedule!A:A,0))</f>
        <v/>
      </c>
      <c r="F806" s="3">
        <f>INDEX(Raw_Schedule!F:F,MATCH(A806,Raw_Schedule!A:A,0))</f>
        <v/>
      </c>
      <c r="G806" s="4">
        <f>INDEX(Raw_Schedule!G:G,MATCH(A806,Raw_Schedule!A:A,0))</f>
        <v/>
      </c>
      <c r="H806" s="5">
        <f>INDEX(Raw_Schedule!H:H,MATCH(A806,Raw_Schedule!A:A,0))</f>
        <v/>
      </c>
      <c r="I806" s="5">
        <f>SUMIFS(Raw_Payments!E:E,Raw_Payments!B:B,A806)</f>
        <v/>
      </c>
      <c r="J806" s="5">
        <f>H806-I806</f>
        <v/>
      </c>
      <c r="K806" s="3">
        <f>IF(J806&lt;=0.005,"PAID",IF(I806&gt;0,"PARTIAL","OVERDUE"))</f>
        <v/>
      </c>
      <c r="L806" s="4">
        <f>IF(COUNTIFS(Raw_Payments!B:B,A806)=0,"",SUMPRODUCT(MAX((Raw_Payments!B$2:B$1079=A806)*Raw_Payments!D$2:D$1079)))</f>
        <v/>
      </c>
      <c r="M806" s="3">
        <f>IF(K806="PAID",MAX(0,L806-G806),Guide!$B$3-G806)</f>
        <v/>
      </c>
      <c r="N806" s="3">
        <f>IF(J806&lt;=0.005,"COLLECTED",IF(M806&lt;=30,"1-30",IF(M806&lt;=60,"31-60",IF(M806&lt;=90,"61-90","90+"))))</f>
        <v/>
      </c>
      <c r="O806" s="3">
        <f>IF(N806="90+","LOST",IF(N806="61-90","ESCALATE",IF(N806="31-60","WATCH",IF(N806="1-30","MILD","OK"))))</f>
        <v/>
      </c>
      <c r="P806" s="3">
        <f>IF(J806&gt;0.005,ROW()-1,"")</f>
        <v/>
      </c>
    </row>
    <row r="807">
      <c r="A807" s="3" t="inlineStr">
        <is>
          <t>D0806</t>
        </is>
      </c>
      <c r="B807" s="3">
        <f>INDEX(Raw_Schedule!B:B,MATCH(A807,Raw_Schedule!A:A,0))</f>
        <v/>
      </c>
      <c r="C807" s="3">
        <f>INDEX(Raw_Schedule!C:C,MATCH(A807,Raw_Schedule!A:A,0))</f>
        <v/>
      </c>
      <c r="D807" s="3">
        <f>INDEX(Raw_Schedule!D:D,MATCH(A807,Raw_Schedule!A:A,0))</f>
        <v/>
      </c>
      <c r="E807" s="3">
        <f>INDEX(Raw_Schedule!E:E,MATCH(A807,Raw_Schedule!A:A,0))</f>
        <v/>
      </c>
      <c r="F807" s="3">
        <f>INDEX(Raw_Schedule!F:F,MATCH(A807,Raw_Schedule!A:A,0))</f>
        <v/>
      </c>
      <c r="G807" s="4">
        <f>INDEX(Raw_Schedule!G:G,MATCH(A807,Raw_Schedule!A:A,0))</f>
        <v/>
      </c>
      <c r="H807" s="5">
        <f>INDEX(Raw_Schedule!H:H,MATCH(A807,Raw_Schedule!A:A,0))</f>
        <v/>
      </c>
      <c r="I807" s="5">
        <f>SUMIFS(Raw_Payments!E:E,Raw_Payments!B:B,A807)</f>
        <v/>
      </c>
      <c r="J807" s="5">
        <f>H807-I807</f>
        <v/>
      </c>
      <c r="K807" s="3">
        <f>IF(J807&lt;=0.005,"PAID",IF(I807&gt;0,"PARTIAL","OVERDUE"))</f>
        <v/>
      </c>
      <c r="L807" s="4">
        <f>IF(COUNTIFS(Raw_Payments!B:B,A807)=0,"",SUMPRODUCT(MAX((Raw_Payments!B$2:B$1079=A807)*Raw_Payments!D$2:D$1079)))</f>
        <v/>
      </c>
      <c r="M807" s="3">
        <f>IF(K807="PAID",MAX(0,L807-G807),Guide!$B$3-G807)</f>
        <v/>
      </c>
      <c r="N807" s="3">
        <f>IF(J807&lt;=0.005,"COLLECTED",IF(M807&lt;=30,"1-30",IF(M807&lt;=60,"31-60",IF(M807&lt;=90,"61-90","90+"))))</f>
        <v/>
      </c>
      <c r="O807" s="3">
        <f>IF(N807="90+","LOST",IF(N807="61-90","ESCALATE",IF(N807="31-60","WATCH",IF(N807="1-30","MILD","OK"))))</f>
        <v/>
      </c>
      <c r="P807" s="3">
        <f>IF(J807&gt;0.005,ROW()-1,"")</f>
        <v/>
      </c>
    </row>
    <row r="808">
      <c r="A808" s="3" t="inlineStr">
        <is>
          <t>D0807</t>
        </is>
      </c>
      <c r="B808" s="3">
        <f>INDEX(Raw_Schedule!B:B,MATCH(A808,Raw_Schedule!A:A,0))</f>
        <v/>
      </c>
      <c r="C808" s="3">
        <f>INDEX(Raw_Schedule!C:C,MATCH(A808,Raw_Schedule!A:A,0))</f>
        <v/>
      </c>
      <c r="D808" s="3">
        <f>INDEX(Raw_Schedule!D:D,MATCH(A808,Raw_Schedule!A:A,0))</f>
        <v/>
      </c>
      <c r="E808" s="3">
        <f>INDEX(Raw_Schedule!E:E,MATCH(A808,Raw_Schedule!A:A,0))</f>
        <v/>
      </c>
      <c r="F808" s="3">
        <f>INDEX(Raw_Schedule!F:F,MATCH(A808,Raw_Schedule!A:A,0))</f>
        <v/>
      </c>
      <c r="G808" s="4">
        <f>INDEX(Raw_Schedule!G:G,MATCH(A808,Raw_Schedule!A:A,0))</f>
        <v/>
      </c>
      <c r="H808" s="5">
        <f>INDEX(Raw_Schedule!H:H,MATCH(A808,Raw_Schedule!A:A,0))</f>
        <v/>
      </c>
      <c r="I808" s="5">
        <f>SUMIFS(Raw_Payments!E:E,Raw_Payments!B:B,A808)</f>
        <v/>
      </c>
      <c r="J808" s="5">
        <f>H808-I808</f>
        <v/>
      </c>
      <c r="K808" s="3">
        <f>IF(J808&lt;=0.005,"PAID",IF(I808&gt;0,"PARTIAL","OVERDUE"))</f>
        <v/>
      </c>
      <c r="L808" s="4">
        <f>IF(COUNTIFS(Raw_Payments!B:B,A808)=0,"",SUMPRODUCT(MAX((Raw_Payments!B$2:B$1079=A808)*Raw_Payments!D$2:D$1079)))</f>
        <v/>
      </c>
      <c r="M808" s="3">
        <f>IF(K808="PAID",MAX(0,L808-G808),Guide!$B$3-G808)</f>
        <v/>
      </c>
      <c r="N808" s="3">
        <f>IF(J808&lt;=0.005,"COLLECTED",IF(M808&lt;=30,"1-30",IF(M808&lt;=60,"31-60",IF(M808&lt;=90,"61-90","90+"))))</f>
        <v/>
      </c>
      <c r="O808" s="3">
        <f>IF(N808="90+","LOST",IF(N808="61-90","ESCALATE",IF(N808="31-60","WATCH",IF(N808="1-30","MILD","OK"))))</f>
        <v/>
      </c>
      <c r="P808" s="3">
        <f>IF(J808&gt;0.005,ROW()-1,"")</f>
        <v/>
      </c>
    </row>
    <row r="809">
      <c r="A809" s="3" t="inlineStr">
        <is>
          <t>D0808</t>
        </is>
      </c>
      <c r="B809" s="3">
        <f>INDEX(Raw_Schedule!B:B,MATCH(A809,Raw_Schedule!A:A,0))</f>
        <v/>
      </c>
      <c r="C809" s="3">
        <f>INDEX(Raw_Schedule!C:C,MATCH(A809,Raw_Schedule!A:A,0))</f>
        <v/>
      </c>
      <c r="D809" s="3">
        <f>INDEX(Raw_Schedule!D:D,MATCH(A809,Raw_Schedule!A:A,0))</f>
        <v/>
      </c>
      <c r="E809" s="3">
        <f>INDEX(Raw_Schedule!E:E,MATCH(A809,Raw_Schedule!A:A,0))</f>
        <v/>
      </c>
      <c r="F809" s="3">
        <f>INDEX(Raw_Schedule!F:F,MATCH(A809,Raw_Schedule!A:A,0))</f>
        <v/>
      </c>
      <c r="G809" s="4">
        <f>INDEX(Raw_Schedule!G:G,MATCH(A809,Raw_Schedule!A:A,0))</f>
        <v/>
      </c>
      <c r="H809" s="5">
        <f>INDEX(Raw_Schedule!H:H,MATCH(A809,Raw_Schedule!A:A,0))</f>
        <v/>
      </c>
      <c r="I809" s="5">
        <f>SUMIFS(Raw_Payments!E:E,Raw_Payments!B:B,A809)</f>
        <v/>
      </c>
      <c r="J809" s="5">
        <f>H809-I809</f>
        <v/>
      </c>
      <c r="K809" s="3">
        <f>IF(J809&lt;=0.005,"PAID",IF(I809&gt;0,"PARTIAL","OVERDUE"))</f>
        <v/>
      </c>
      <c r="L809" s="4">
        <f>IF(COUNTIFS(Raw_Payments!B:B,A809)=0,"",SUMPRODUCT(MAX((Raw_Payments!B$2:B$1079=A809)*Raw_Payments!D$2:D$1079)))</f>
        <v/>
      </c>
      <c r="M809" s="3">
        <f>IF(K809="PAID",MAX(0,L809-G809),Guide!$B$3-G809)</f>
        <v/>
      </c>
      <c r="N809" s="3">
        <f>IF(J809&lt;=0.005,"COLLECTED",IF(M809&lt;=30,"1-30",IF(M809&lt;=60,"31-60",IF(M809&lt;=90,"61-90","90+"))))</f>
        <v/>
      </c>
      <c r="O809" s="3">
        <f>IF(N809="90+","LOST",IF(N809="61-90","ESCALATE",IF(N809="31-60","WATCH",IF(N809="1-30","MILD","OK"))))</f>
        <v/>
      </c>
      <c r="P809" s="3">
        <f>IF(J809&gt;0.005,ROW()-1,"")</f>
        <v/>
      </c>
    </row>
    <row r="810">
      <c r="A810" s="3" t="inlineStr">
        <is>
          <t>D0809</t>
        </is>
      </c>
      <c r="B810" s="3">
        <f>INDEX(Raw_Schedule!B:B,MATCH(A810,Raw_Schedule!A:A,0))</f>
        <v/>
      </c>
      <c r="C810" s="3">
        <f>INDEX(Raw_Schedule!C:C,MATCH(A810,Raw_Schedule!A:A,0))</f>
        <v/>
      </c>
      <c r="D810" s="3">
        <f>INDEX(Raw_Schedule!D:D,MATCH(A810,Raw_Schedule!A:A,0))</f>
        <v/>
      </c>
      <c r="E810" s="3">
        <f>INDEX(Raw_Schedule!E:E,MATCH(A810,Raw_Schedule!A:A,0))</f>
        <v/>
      </c>
      <c r="F810" s="3">
        <f>INDEX(Raw_Schedule!F:F,MATCH(A810,Raw_Schedule!A:A,0))</f>
        <v/>
      </c>
      <c r="G810" s="4">
        <f>INDEX(Raw_Schedule!G:G,MATCH(A810,Raw_Schedule!A:A,0))</f>
        <v/>
      </c>
      <c r="H810" s="5">
        <f>INDEX(Raw_Schedule!H:H,MATCH(A810,Raw_Schedule!A:A,0))</f>
        <v/>
      </c>
      <c r="I810" s="5">
        <f>SUMIFS(Raw_Payments!E:E,Raw_Payments!B:B,A810)</f>
        <v/>
      </c>
      <c r="J810" s="5">
        <f>H810-I810</f>
        <v/>
      </c>
      <c r="K810" s="3">
        <f>IF(J810&lt;=0.005,"PAID",IF(I810&gt;0,"PARTIAL","OVERDUE"))</f>
        <v/>
      </c>
      <c r="L810" s="4">
        <f>IF(COUNTIFS(Raw_Payments!B:B,A810)=0,"",SUMPRODUCT(MAX((Raw_Payments!B$2:B$1079=A810)*Raw_Payments!D$2:D$1079)))</f>
        <v/>
      </c>
      <c r="M810" s="3">
        <f>IF(K810="PAID",MAX(0,L810-G810),Guide!$B$3-G810)</f>
        <v/>
      </c>
      <c r="N810" s="3">
        <f>IF(J810&lt;=0.005,"COLLECTED",IF(M810&lt;=30,"1-30",IF(M810&lt;=60,"31-60",IF(M810&lt;=90,"61-90","90+"))))</f>
        <v/>
      </c>
      <c r="O810" s="3">
        <f>IF(N810="90+","LOST",IF(N810="61-90","ESCALATE",IF(N810="31-60","WATCH",IF(N810="1-30","MILD","OK"))))</f>
        <v/>
      </c>
      <c r="P810" s="3">
        <f>IF(J810&gt;0.005,ROW()-1,"")</f>
        <v/>
      </c>
    </row>
    <row r="811">
      <c r="A811" s="3" t="inlineStr">
        <is>
          <t>D0810</t>
        </is>
      </c>
      <c r="B811" s="3">
        <f>INDEX(Raw_Schedule!B:B,MATCH(A811,Raw_Schedule!A:A,0))</f>
        <v/>
      </c>
      <c r="C811" s="3">
        <f>INDEX(Raw_Schedule!C:C,MATCH(A811,Raw_Schedule!A:A,0))</f>
        <v/>
      </c>
      <c r="D811" s="3">
        <f>INDEX(Raw_Schedule!D:D,MATCH(A811,Raw_Schedule!A:A,0))</f>
        <v/>
      </c>
      <c r="E811" s="3">
        <f>INDEX(Raw_Schedule!E:E,MATCH(A811,Raw_Schedule!A:A,0))</f>
        <v/>
      </c>
      <c r="F811" s="3">
        <f>INDEX(Raw_Schedule!F:F,MATCH(A811,Raw_Schedule!A:A,0))</f>
        <v/>
      </c>
      <c r="G811" s="4">
        <f>INDEX(Raw_Schedule!G:G,MATCH(A811,Raw_Schedule!A:A,0))</f>
        <v/>
      </c>
      <c r="H811" s="5">
        <f>INDEX(Raw_Schedule!H:H,MATCH(A811,Raw_Schedule!A:A,0))</f>
        <v/>
      </c>
      <c r="I811" s="5">
        <f>SUMIFS(Raw_Payments!E:E,Raw_Payments!B:B,A811)</f>
        <v/>
      </c>
      <c r="J811" s="5">
        <f>H811-I811</f>
        <v/>
      </c>
      <c r="K811" s="3">
        <f>IF(J811&lt;=0.005,"PAID",IF(I811&gt;0,"PARTIAL","OVERDUE"))</f>
        <v/>
      </c>
      <c r="L811" s="4">
        <f>IF(COUNTIFS(Raw_Payments!B:B,A811)=0,"",SUMPRODUCT(MAX((Raw_Payments!B$2:B$1079=A811)*Raw_Payments!D$2:D$1079)))</f>
        <v/>
      </c>
      <c r="M811" s="3">
        <f>IF(K811="PAID",MAX(0,L811-G811),Guide!$B$3-G811)</f>
        <v/>
      </c>
      <c r="N811" s="3">
        <f>IF(J811&lt;=0.005,"COLLECTED",IF(M811&lt;=30,"1-30",IF(M811&lt;=60,"31-60",IF(M811&lt;=90,"61-90","90+"))))</f>
        <v/>
      </c>
      <c r="O811" s="3">
        <f>IF(N811="90+","LOST",IF(N811="61-90","ESCALATE",IF(N811="31-60","WATCH",IF(N811="1-30","MILD","OK"))))</f>
        <v/>
      </c>
      <c r="P811" s="3">
        <f>IF(J811&gt;0.005,ROW()-1,"")</f>
        <v/>
      </c>
    </row>
    <row r="812">
      <c r="A812" s="3" t="inlineStr">
        <is>
          <t>D0811</t>
        </is>
      </c>
      <c r="B812" s="3">
        <f>INDEX(Raw_Schedule!B:B,MATCH(A812,Raw_Schedule!A:A,0))</f>
        <v/>
      </c>
      <c r="C812" s="3">
        <f>INDEX(Raw_Schedule!C:C,MATCH(A812,Raw_Schedule!A:A,0))</f>
        <v/>
      </c>
      <c r="D812" s="3">
        <f>INDEX(Raw_Schedule!D:D,MATCH(A812,Raw_Schedule!A:A,0))</f>
        <v/>
      </c>
      <c r="E812" s="3">
        <f>INDEX(Raw_Schedule!E:E,MATCH(A812,Raw_Schedule!A:A,0))</f>
        <v/>
      </c>
      <c r="F812" s="3">
        <f>INDEX(Raw_Schedule!F:F,MATCH(A812,Raw_Schedule!A:A,0))</f>
        <v/>
      </c>
      <c r="G812" s="4">
        <f>INDEX(Raw_Schedule!G:G,MATCH(A812,Raw_Schedule!A:A,0))</f>
        <v/>
      </c>
      <c r="H812" s="5">
        <f>INDEX(Raw_Schedule!H:H,MATCH(A812,Raw_Schedule!A:A,0))</f>
        <v/>
      </c>
      <c r="I812" s="5">
        <f>SUMIFS(Raw_Payments!E:E,Raw_Payments!B:B,A812)</f>
        <v/>
      </c>
      <c r="J812" s="5">
        <f>H812-I812</f>
        <v/>
      </c>
      <c r="K812" s="3">
        <f>IF(J812&lt;=0.005,"PAID",IF(I812&gt;0,"PARTIAL","OVERDUE"))</f>
        <v/>
      </c>
      <c r="L812" s="4">
        <f>IF(COUNTIFS(Raw_Payments!B:B,A812)=0,"",SUMPRODUCT(MAX((Raw_Payments!B$2:B$1079=A812)*Raw_Payments!D$2:D$1079)))</f>
        <v/>
      </c>
      <c r="M812" s="3">
        <f>IF(K812="PAID",MAX(0,L812-G812),Guide!$B$3-G812)</f>
        <v/>
      </c>
      <c r="N812" s="3">
        <f>IF(J812&lt;=0.005,"COLLECTED",IF(M812&lt;=30,"1-30",IF(M812&lt;=60,"31-60",IF(M812&lt;=90,"61-90","90+"))))</f>
        <v/>
      </c>
      <c r="O812" s="3">
        <f>IF(N812="90+","LOST",IF(N812="61-90","ESCALATE",IF(N812="31-60","WATCH",IF(N812="1-30","MILD","OK"))))</f>
        <v/>
      </c>
      <c r="P812" s="3">
        <f>IF(J812&gt;0.005,ROW()-1,"")</f>
        <v/>
      </c>
    </row>
    <row r="813">
      <c r="A813" s="3" t="inlineStr">
        <is>
          <t>D0812</t>
        </is>
      </c>
      <c r="B813" s="3">
        <f>INDEX(Raw_Schedule!B:B,MATCH(A813,Raw_Schedule!A:A,0))</f>
        <v/>
      </c>
      <c r="C813" s="3">
        <f>INDEX(Raw_Schedule!C:C,MATCH(A813,Raw_Schedule!A:A,0))</f>
        <v/>
      </c>
      <c r="D813" s="3">
        <f>INDEX(Raw_Schedule!D:D,MATCH(A813,Raw_Schedule!A:A,0))</f>
        <v/>
      </c>
      <c r="E813" s="3">
        <f>INDEX(Raw_Schedule!E:E,MATCH(A813,Raw_Schedule!A:A,0))</f>
        <v/>
      </c>
      <c r="F813" s="3">
        <f>INDEX(Raw_Schedule!F:F,MATCH(A813,Raw_Schedule!A:A,0))</f>
        <v/>
      </c>
      <c r="G813" s="4">
        <f>INDEX(Raw_Schedule!G:G,MATCH(A813,Raw_Schedule!A:A,0))</f>
        <v/>
      </c>
      <c r="H813" s="5">
        <f>INDEX(Raw_Schedule!H:H,MATCH(A813,Raw_Schedule!A:A,0))</f>
        <v/>
      </c>
      <c r="I813" s="5">
        <f>SUMIFS(Raw_Payments!E:E,Raw_Payments!B:B,A813)</f>
        <v/>
      </c>
      <c r="J813" s="5">
        <f>H813-I813</f>
        <v/>
      </c>
      <c r="K813" s="3">
        <f>IF(J813&lt;=0.005,"PAID",IF(I813&gt;0,"PARTIAL","OVERDUE"))</f>
        <v/>
      </c>
      <c r="L813" s="4">
        <f>IF(COUNTIFS(Raw_Payments!B:B,A813)=0,"",SUMPRODUCT(MAX((Raw_Payments!B$2:B$1079=A813)*Raw_Payments!D$2:D$1079)))</f>
        <v/>
      </c>
      <c r="M813" s="3">
        <f>IF(K813="PAID",MAX(0,L813-G813),Guide!$B$3-G813)</f>
        <v/>
      </c>
      <c r="N813" s="3">
        <f>IF(J813&lt;=0.005,"COLLECTED",IF(M813&lt;=30,"1-30",IF(M813&lt;=60,"31-60",IF(M813&lt;=90,"61-90","90+"))))</f>
        <v/>
      </c>
      <c r="O813" s="3">
        <f>IF(N813="90+","LOST",IF(N813="61-90","ESCALATE",IF(N813="31-60","WATCH",IF(N813="1-30","MILD","OK"))))</f>
        <v/>
      </c>
      <c r="P813" s="3">
        <f>IF(J813&gt;0.005,ROW()-1,"")</f>
        <v/>
      </c>
    </row>
    <row r="814">
      <c r="A814" s="3" t="inlineStr">
        <is>
          <t>D0813</t>
        </is>
      </c>
      <c r="B814" s="3">
        <f>INDEX(Raw_Schedule!B:B,MATCH(A814,Raw_Schedule!A:A,0))</f>
        <v/>
      </c>
      <c r="C814" s="3">
        <f>INDEX(Raw_Schedule!C:C,MATCH(A814,Raw_Schedule!A:A,0))</f>
        <v/>
      </c>
      <c r="D814" s="3">
        <f>INDEX(Raw_Schedule!D:D,MATCH(A814,Raw_Schedule!A:A,0))</f>
        <v/>
      </c>
      <c r="E814" s="3">
        <f>INDEX(Raw_Schedule!E:E,MATCH(A814,Raw_Schedule!A:A,0))</f>
        <v/>
      </c>
      <c r="F814" s="3">
        <f>INDEX(Raw_Schedule!F:F,MATCH(A814,Raw_Schedule!A:A,0))</f>
        <v/>
      </c>
      <c r="G814" s="4">
        <f>INDEX(Raw_Schedule!G:G,MATCH(A814,Raw_Schedule!A:A,0))</f>
        <v/>
      </c>
      <c r="H814" s="5">
        <f>INDEX(Raw_Schedule!H:H,MATCH(A814,Raw_Schedule!A:A,0))</f>
        <v/>
      </c>
      <c r="I814" s="5">
        <f>SUMIFS(Raw_Payments!E:E,Raw_Payments!B:B,A814)</f>
        <v/>
      </c>
      <c r="J814" s="5">
        <f>H814-I814</f>
        <v/>
      </c>
      <c r="K814" s="3">
        <f>IF(J814&lt;=0.005,"PAID",IF(I814&gt;0,"PARTIAL","OVERDUE"))</f>
        <v/>
      </c>
      <c r="L814" s="4">
        <f>IF(COUNTIFS(Raw_Payments!B:B,A814)=0,"",SUMPRODUCT(MAX((Raw_Payments!B$2:B$1079=A814)*Raw_Payments!D$2:D$1079)))</f>
        <v/>
      </c>
      <c r="M814" s="3">
        <f>IF(K814="PAID",MAX(0,L814-G814),Guide!$B$3-G814)</f>
        <v/>
      </c>
      <c r="N814" s="3">
        <f>IF(J814&lt;=0.005,"COLLECTED",IF(M814&lt;=30,"1-30",IF(M814&lt;=60,"31-60",IF(M814&lt;=90,"61-90","90+"))))</f>
        <v/>
      </c>
      <c r="O814" s="3">
        <f>IF(N814="90+","LOST",IF(N814="61-90","ESCALATE",IF(N814="31-60","WATCH",IF(N814="1-30","MILD","OK"))))</f>
        <v/>
      </c>
      <c r="P814" s="3">
        <f>IF(J814&gt;0.005,ROW()-1,"")</f>
        <v/>
      </c>
    </row>
    <row r="815">
      <c r="A815" s="3" t="inlineStr">
        <is>
          <t>D0814</t>
        </is>
      </c>
      <c r="B815" s="3">
        <f>INDEX(Raw_Schedule!B:B,MATCH(A815,Raw_Schedule!A:A,0))</f>
        <v/>
      </c>
      <c r="C815" s="3">
        <f>INDEX(Raw_Schedule!C:C,MATCH(A815,Raw_Schedule!A:A,0))</f>
        <v/>
      </c>
      <c r="D815" s="3">
        <f>INDEX(Raw_Schedule!D:D,MATCH(A815,Raw_Schedule!A:A,0))</f>
        <v/>
      </c>
      <c r="E815" s="3">
        <f>INDEX(Raw_Schedule!E:E,MATCH(A815,Raw_Schedule!A:A,0))</f>
        <v/>
      </c>
      <c r="F815" s="3">
        <f>INDEX(Raw_Schedule!F:F,MATCH(A815,Raw_Schedule!A:A,0))</f>
        <v/>
      </c>
      <c r="G815" s="4">
        <f>INDEX(Raw_Schedule!G:G,MATCH(A815,Raw_Schedule!A:A,0))</f>
        <v/>
      </c>
      <c r="H815" s="5">
        <f>INDEX(Raw_Schedule!H:H,MATCH(A815,Raw_Schedule!A:A,0))</f>
        <v/>
      </c>
      <c r="I815" s="5">
        <f>SUMIFS(Raw_Payments!E:E,Raw_Payments!B:B,A815)</f>
        <v/>
      </c>
      <c r="J815" s="5">
        <f>H815-I815</f>
        <v/>
      </c>
      <c r="K815" s="3">
        <f>IF(J815&lt;=0.005,"PAID",IF(I815&gt;0,"PARTIAL","OVERDUE"))</f>
        <v/>
      </c>
      <c r="L815" s="4">
        <f>IF(COUNTIFS(Raw_Payments!B:B,A815)=0,"",SUMPRODUCT(MAX((Raw_Payments!B$2:B$1079=A815)*Raw_Payments!D$2:D$1079)))</f>
        <v/>
      </c>
      <c r="M815" s="3">
        <f>IF(K815="PAID",MAX(0,L815-G815),Guide!$B$3-G815)</f>
        <v/>
      </c>
      <c r="N815" s="3">
        <f>IF(J815&lt;=0.005,"COLLECTED",IF(M815&lt;=30,"1-30",IF(M815&lt;=60,"31-60",IF(M815&lt;=90,"61-90","90+"))))</f>
        <v/>
      </c>
      <c r="O815" s="3">
        <f>IF(N815="90+","LOST",IF(N815="61-90","ESCALATE",IF(N815="31-60","WATCH",IF(N815="1-30","MILD","OK"))))</f>
        <v/>
      </c>
      <c r="P815" s="3">
        <f>IF(J815&gt;0.005,ROW()-1,"")</f>
        <v/>
      </c>
    </row>
    <row r="816">
      <c r="A816" s="3" t="inlineStr">
        <is>
          <t>D0815</t>
        </is>
      </c>
      <c r="B816" s="3">
        <f>INDEX(Raw_Schedule!B:B,MATCH(A816,Raw_Schedule!A:A,0))</f>
        <v/>
      </c>
      <c r="C816" s="3">
        <f>INDEX(Raw_Schedule!C:C,MATCH(A816,Raw_Schedule!A:A,0))</f>
        <v/>
      </c>
      <c r="D816" s="3">
        <f>INDEX(Raw_Schedule!D:D,MATCH(A816,Raw_Schedule!A:A,0))</f>
        <v/>
      </c>
      <c r="E816" s="3">
        <f>INDEX(Raw_Schedule!E:E,MATCH(A816,Raw_Schedule!A:A,0))</f>
        <v/>
      </c>
      <c r="F816" s="3">
        <f>INDEX(Raw_Schedule!F:F,MATCH(A816,Raw_Schedule!A:A,0))</f>
        <v/>
      </c>
      <c r="G816" s="4">
        <f>INDEX(Raw_Schedule!G:G,MATCH(A816,Raw_Schedule!A:A,0))</f>
        <v/>
      </c>
      <c r="H816" s="5">
        <f>INDEX(Raw_Schedule!H:H,MATCH(A816,Raw_Schedule!A:A,0))</f>
        <v/>
      </c>
      <c r="I816" s="5">
        <f>SUMIFS(Raw_Payments!E:E,Raw_Payments!B:B,A816)</f>
        <v/>
      </c>
      <c r="J816" s="5">
        <f>H816-I816</f>
        <v/>
      </c>
      <c r="K816" s="3">
        <f>IF(J816&lt;=0.005,"PAID",IF(I816&gt;0,"PARTIAL","OVERDUE"))</f>
        <v/>
      </c>
      <c r="L816" s="4">
        <f>IF(COUNTIFS(Raw_Payments!B:B,A816)=0,"",SUMPRODUCT(MAX((Raw_Payments!B$2:B$1079=A816)*Raw_Payments!D$2:D$1079)))</f>
        <v/>
      </c>
      <c r="M816" s="3">
        <f>IF(K816="PAID",MAX(0,L816-G816),Guide!$B$3-G816)</f>
        <v/>
      </c>
      <c r="N816" s="3">
        <f>IF(J816&lt;=0.005,"COLLECTED",IF(M816&lt;=30,"1-30",IF(M816&lt;=60,"31-60",IF(M816&lt;=90,"61-90","90+"))))</f>
        <v/>
      </c>
      <c r="O816" s="3">
        <f>IF(N816="90+","LOST",IF(N816="61-90","ESCALATE",IF(N816="31-60","WATCH",IF(N816="1-30","MILD","OK"))))</f>
        <v/>
      </c>
      <c r="P816" s="3">
        <f>IF(J816&gt;0.005,ROW()-1,"")</f>
        <v/>
      </c>
    </row>
    <row r="817">
      <c r="A817" s="3" t="inlineStr">
        <is>
          <t>D0816</t>
        </is>
      </c>
      <c r="B817" s="3">
        <f>INDEX(Raw_Schedule!B:B,MATCH(A817,Raw_Schedule!A:A,0))</f>
        <v/>
      </c>
      <c r="C817" s="3">
        <f>INDEX(Raw_Schedule!C:C,MATCH(A817,Raw_Schedule!A:A,0))</f>
        <v/>
      </c>
      <c r="D817" s="3">
        <f>INDEX(Raw_Schedule!D:D,MATCH(A817,Raw_Schedule!A:A,0))</f>
        <v/>
      </c>
      <c r="E817" s="3">
        <f>INDEX(Raw_Schedule!E:E,MATCH(A817,Raw_Schedule!A:A,0))</f>
        <v/>
      </c>
      <c r="F817" s="3">
        <f>INDEX(Raw_Schedule!F:F,MATCH(A817,Raw_Schedule!A:A,0))</f>
        <v/>
      </c>
      <c r="G817" s="4">
        <f>INDEX(Raw_Schedule!G:G,MATCH(A817,Raw_Schedule!A:A,0))</f>
        <v/>
      </c>
      <c r="H817" s="5">
        <f>INDEX(Raw_Schedule!H:H,MATCH(A817,Raw_Schedule!A:A,0))</f>
        <v/>
      </c>
      <c r="I817" s="5">
        <f>SUMIFS(Raw_Payments!E:E,Raw_Payments!B:B,A817)</f>
        <v/>
      </c>
      <c r="J817" s="5">
        <f>H817-I817</f>
        <v/>
      </c>
      <c r="K817" s="3">
        <f>IF(J817&lt;=0.005,"PAID",IF(I817&gt;0,"PARTIAL","OVERDUE"))</f>
        <v/>
      </c>
      <c r="L817" s="4">
        <f>IF(COUNTIFS(Raw_Payments!B:B,A817)=0,"",SUMPRODUCT(MAX((Raw_Payments!B$2:B$1079=A817)*Raw_Payments!D$2:D$1079)))</f>
        <v/>
      </c>
      <c r="M817" s="3">
        <f>IF(K817="PAID",MAX(0,L817-G817),Guide!$B$3-G817)</f>
        <v/>
      </c>
      <c r="N817" s="3">
        <f>IF(J817&lt;=0.005,"COLLECTED",IF(M817&lt;=30,"1-30",IF(M817&lt;=60,"31-60",IF(M817&lt;=90,"61-90","90+"))))</f>
        <v/>
      </c>
      <c r="O817" s="3">
        <f>IF(N817="90+","LOST",IF(N817="61-90","ESCALATE",IF(N817="31-60","WATCH",IF(N817="1-30","MILD","OK"))))</f>
        <v/>
      </c>
      <c r="P817" s="3">
        <f>IF(J817&gt;0.005,ROW()-1,"")</f>
        <v/>
      </c>
    </row>
    <row r="818">
      <c r="A818" s="3" t="inlineStr">
        <is>
          <t>D0817</t>
        </is>
      </c>
      <c r="B818" s="3">
        <f>INDEX(Raw_Schedule!B:B,MATCH(A818,Raw_Schedule!A:A,0))</f>
        <v/>
      </c>
      <c r="C818" s="3">
        <f>INDEX(Raw_Schedule!C:C,MATCH(A818,Raw_Schedule!A:A,0))</f>
        <v/>
      </c>
      <c r="D818" s="3">
        <f>INDEX(Raw_Schedule!D:D,MATCH(A818,Raw_Schedule!A:A,0))</f>
        <v/>
      </c>
      <c r="E818" s="3">
        <f>INDEX(Raw_Schedule!E:E,MATCH(A818,Raw_Schedule!A:A,0))</f>
        <v/>
      </c>
      <c r="F818" s="3">
        <f>INDEX(Raw_Schedule!F:F,MATCH(A818,Raw_Schedule!A:A,0))</f>
        <v/>
      </c>
      <c r="G818" s="4">
        <f>INDEX(Raw_Schedule!G:G,MATCH(A818,Raw_Schedule!A:A,0))</f>
        <v/>
      </c>
      <c r="H818" s="5">
        <f>INDEX(Raw_Schedule!H:H,MATCH(A818,Raw_Schedule!A:A,0))</f>
        <v/>
      </c>
      <c r="I818" s="5">
        <f>SUMIFS(Raw_Payments!E:E,Raw_Payments!B:B,A818)</f>
        <v/>
      </c>
      <c r="J818" s="5">
        <f>H818-I818</f>
        <v/>
      </c>
      <c r="K818" s="3">
        <f>IF(J818&lt;=0.005,"PAID",IF(I818&gt;0,"PARTIAL","OVERDUE"))</f>
        <v/>
      </c>
      <c r="L818" s="4">
        <f>IF(COUNTIFS(Raw_Payments!B:B,A818)=0,"",SUMPRODUCT(MAX((Raw_Payments!B$2:B$1079=A818)*Raw_Payments!D$2:D$1079)))</f>
        <v/>
      </c>
      <c r="M818" s="3">
        <f>IF(K818="PAID",MAX(0,L818-G818),Guide!$B$3-G818)</f>
        <v/>
      </c>
      <c r="N818" s="3">
        <f>IF(J818&lt;=0.005,"COLLECTED",IF(M818&lt;=30,"1-30",IF(M818&lt;=60,"31-60",IF(M818&lt;=90,"61-90","90+"))))</f>
        <v/>
      </c>
      <c r="O818" s="3">
        <f>IF(N818="90+","LOST",IF(N818="61-90","ESCALATE",IF(N818="31-60","WATCH",IF(N818="1-30","MILD","OK"))))</f>
        <v/>
      </c>
      <c r="P818" s="3">
        <f>IF(J818&gt;0.005,ROW()-1,"")</f>
        <v/>
      </c>
    </row>
    <row r="819">
      <c r="A819" s="3" t="inlineStr">
        <is>
          <t>D0818</t>
        </is>
      </c>
      <c r="B819" s="3">
        <f>INDEX(Raw_Schedule!B:B,MATCH(A819,Raw_Schedule!A:A,0))</f>
        <v/>
      </c>
      <c r="C819" s="3">
        <f>INDEX(Raw_Schedule!C:C,MATCH(A819,Raw_Schedule!A:A,0))</f>
        <v/>
      </c>
      <c r="D819" s="3">
        <f>INDEX(Raw_Schedule!D:D,MATCH(A819,Raw_Schedule!A:A,0))</f>
        <v/>
      </c>
      <c r="E819" s="3">
        <f>INDEX(Raw_Schedule!E:E,MATCH(A819,Raw_Schedule!A:A,0))</f>
        <v/>
      </c>
      <c r="F819" s="3">
        <f>INDEX(Raw_Schedule!F:F,MATCH(A819,Raw_Schedule!A:A,0))</f>
        <v/>
      </c>
      <c r="G819" s="4">
        <f>INDEX(Raw_Schedule!G:G,MATCH(A819,Raw_Schedule!A:A,0))</f>
        <v/>
      </c>
      <c r="H819" s="5">
        <f>INDEX(Raw_Schedule!H:H,MATCH(A819,Raw_Schedule!A:A,0))</f>
        <v/>
      </c>
      <c r="I819" s="5">
        <f>SUMIFS(Raw_Payments!E:E,Raw_Payments!B:B,A819)</f>
        <v/>
      </c>
      <c r="J819" s="5">
        <f>H819-I819</f>
        <v/>
      </c>
      <c r="K819" s="3">
        <f>IF(J819&lt;=0.005,"PAID",IF(I819&gt;0,"PARTIAL","OVERDUE"))</f>
        <v/>
      </c>
      <c r="L819" s="4">
        <f>IF(COUNTIFS(Raw_Payments!B:B,A819)=0,"",SUMPRODUCT(MAX((Raw_Payments!B$2:B$1079=A819)*Raw_Payments!D$2:D$1079)))</f>
        <v/>
      </c>
      <c r="M819" s="3">
        <f>IF(K819="PAID",MAX(0,L819-G819),Guide!$B$3-G819)</f>
        <v/>
      </c>
      <c r="N819" s="3">
        <f>IF(J819&lt;=0.005,"COLLECTED",IF(M819&lt;=30,"1-30",IF(M819&lt;=60,"31-60",IF(M819&lt;=90,"61-90","90+"))))</f>
        <v/>
      </c>
      <c r="O819" s="3">
        <f>IF(N819="90+","LOST",IF(N819="61-90","ESCALATE",IF(N819="31-60","WATCH",IF(N819="1-30","MILD","OK"))))</f>
        <v/>
      </c>
      <c r="P819" s="3">
        <f>IF(J819&gt;0.005,ROW()-1,"")</f>
        <v/>
      </c>
    </row>
    <row r="820">
      <c r="A820" s="3" t="inlineStr">
        <is>
          <t>D0819</t>
        </is>
      </c>
      <c r="B820" s="3">
        <f>INDEX(Raw_Schedule!B:B,MATCH(A820,Raw_Schedule!A:A,0))</f>
        <v/>
      </c>
      <c r="C820" s="3">
        <f>INDEX(Raw_Schedule!C:C,MATCH(A820,Raw_Schedule!A:A,0))</f>
        <v/>
      </c>
      <c r="D820" s="3">
        <f>INDEX(Raw_Schedule!D:D,MATCH(A820,Raw_Schedule!A:A,0))</f>
        <v/>
      </c>
      <c r="E820" s="3">
        <f>INDEX(Raw_Schedule!E:E,MATCH(A820,Raw_Schedule!A:A,0))</f>
        <v/>
      </c>
      <c r="F820" s="3">
        <f>INDEX(Raw_Schedule!F:F,MATCH(A820,Raw_Schedule!A:A,0))</f>
        <v/>
      </c>
      <c r="G820" s="4">
        <f>INDEX(Raw_Schedule!G:G,MATCH(A820,Raw_Schedule!A:A,0))</f>
        <v/>
      </c>
      <c r="H820" s="5">
        <f>INDEX(Raw_Schedule!H:H,MATCH(A820,Raw_Schedule!A:A,0))</f>
        <v/>
      </c>
      <c r="I820" s="5">
        <f>SUMIFS(Raw_Payments!E:E,Raw_Payments!B:B,A820)</f>
        <v/>
      </c>
      <c r="J820" s="5">
        <f>H820-I820</f>
        <v/>
      </c>
      <c r="K820" s="3">
        <f>IF(J820&lt;=0.005,"PAID",IF(I820&gt;0,"PARTIAL","OVERDUE"))</f>
        <v/>
      </c>
      <c r="L820" s="4">
        <f>IF(COUNTIFS(Raw_Payments!B:B,A820)=0,"",SUMPRODUCT(MAX((Raw_Payments!B$2:B$1079=A820)*Raw_Payments!D$2:D$1079)))</f>
        <v/>
      </c>
      <c r="M820" s="3">
        <f>IF(K820="PAID",MAX(0,L820-G820),Guide!$B$3-G820)</f>
        <v/>
      </c>
      <c r="N820" s="3">
        <f>IF(J820&lt;=0.005,"COLLECTED",IF(M820&lt;=30,"1-30",IF(M820&lt;=60,"31-60",IF(M820&lt;=90,"61-90","90+"))))</f>
        <v/>
      </c>
      <c r="O820" s="3">
        <f>IF(N820="90+","LOST",IF(N820="61-90","ESCALATE",IF(N820="31-60","WATCH",IF(N820="1-30","MILD","OK"))))</f>
        <v/>
      </c>
      <c r="P820" s="3">
        <f>IF(J820&gt;0.005,ROW()-1,"")</f>
        <v/>
      </c>
    </row>
    <row r="821">
      <c r="A821" s="3" t="inlineStr">
        <is>
          <t>D0820</t>
        </is>
      </c>
      <c r="B821" s="3">
        <f>INDEX(Raw_Schedule!B:B,MATCH(A821,Raw_Schedule!A:A,0))</f>
        <v/>
      </c>
      <c r="C821" s="3">
        <f>INDEX(Raw_Schedule!C:C,MATCH(A821,Raw_Schedule!A:A,0))</f>
        <v/>
      </c>
      <c r="D821" s="3">
        <f>INDEX(Raw_Schedule!D:D,MATCH(A821,Raw_Schedule!A:A,0))</f>
        <v/>
      </c>
      <c r="E821" s="3">
        <f>INDEX(Raw_Schedule!E:E,MATCH(A821,Raw_Schedule!A:A,0))</f>
        <v/>
      </c>
      <c r="F821" s="3">
        <f>INDEX(Raw_Schedule!F:F,MATCH(A821,Raw_Schedule!A:A,0))</f>
        <v/>
      </c>
      <c r="G821" s="4">
        <f>INDEX(Raw_Schedule!G:G,MATCH(A821,Raw_Schedule!A:A,0))</f>
        <v/>
      </c>
      <c r="H821" s="5">
        <f>INDEX(Raw_Schedule!H:H,MATCH(A821,Raw_Schedule!A:A,0))</f>
        <v/>
      </c>
      <c r="I821" s="5">
        <f>SUMIFS(Raw_Payments!E:E,Raw_Payments!B:B,A821)</f>
        <v/>
      </c>
      <c r="J821" s="5">
        <f>H821-I821</f>
        <v/>
      </c>
      <c r="K821" s="3">
        <f>IF(J821&lt;=0.005,"PAID",IF(I821&gt;0,"PARTIAL","OVERDUE"))</f>
        <v/>
      </c>
      <c r="L821" s="4">
        <f>IF(COUNTIFS(Raw_Payments!B:B,A821)=0,"",SUMPRODUCT(MAX((Raw_Payments!B$2:B$1079=A821)*Raw_Payments!D$2:D$1079)))</f>
        <v/>
      </c>
      <c r="M821" s="3">
        <f>IF(K821="PAID",MAX(0,L821-G821),Guide!$B$3-G821)</f>
        <v/>
      </c>
      <c r="N821" s="3">
        <f>IF(J821&lt;=0.005,"COLLECTED",IF(M821&lt;=30,"1-30",IF(M821&lt;=60,"31-60",IF(M821&lt;=90,"61-90","90+"))))</f>
        <v/>
      </c>
      <c r="O821" s="3">
        <f>IF(N821="90+","LOST",IF(N821="61-90","ESCALATE",IF(N821="31-60","WATCH",IF(N821="1-30","MILD","OK"))))</f>
        <v/>
      </c>
      <c r="P821" s="3">
        <f>IF(J821&gt;0.005,ROW()-1,"")</f>
        <v/>
      </c>
    </row>
    <row r="822">
      <c r="A822" s="3" t="inlineStr">
        <is>
          <t>D0821</t>
        </is>
      </c>
      <c r="B822" s="3">
        <f>INDEX(Raw_Schedule!B:B,MATCH(A822,Raw_Schedule!A:A,0))</f>
        <v/>
      </c>
      <c r="C822" s="3">
        <f>INDEX(Raw_Schedule!C:C,MATCH(A822,Raw_Schedule!A:A,0))</f>
        <v/>
      </c>
      <c r="D822" s="3">
        <f>INDEX(Raw_Schedule!D:D,MATCH(A822,Raw_Schedule!A:A,0))</f>
        <v/>
      </c>
      <c r="E822" s="3">
        <f>INDEX(Raw_Schedule!E:E,MATCH(A822,Raw_Schedule!A:A,0))</f>
        <v/>
      </c>
      <c r="F822" s="3">
        <f>INDEX(Raw_Schedule!F:F,MATCH(A822,Raw_Schedule!A:A,0))</f>
        <v/>
      </c>
      <c r="G822" s="4">
        <f>INDEX(Raw_Schedule!G:G,MATCH(A822,Raw_Schedule!A:A,0))</f>
        <v/>
      </c>
      <c r="H822" s="5">
        <f>INDEX(Raw_Schedule!H:H,MATCH(A822,Raw_Schedule!A:A,0))</f>
        <v/>
      </c>
      <c r="I822" s="5">
        <f>SUMIFS(Raw_Payments!E:E,Raw_Payments!B:B,A822)</f>
        <v/>
      </c>
      <c r="J822" s="5">
        <f>H822-I822</f>
        <v/>
      </c>
      <c r="K822" s="3">
        <f>IF(J822&lt;=0.005,"PAID",IF(I822&gt;0,"PARTIAL","OVERDUE"))</f>
        <v/>
      </c>
      <c r="L822" s="4">
        <f>IF(COUNTIFS(Raw_Payments!B:B,A822)=0,"",SUMPRODUCT(MAX((Raw_Payments!B$2:B$1079=A822)*Raw_Payments!D$2:D$1079)))</f>
        <v/>
      </c>
      <c r="M822" s="3">
        <f>IF(K822="PAID",MAX(0,L822-G822),Guide!$B$3-G822)</f>
        <v/>
      </c>
      <c r="N822" s="3">
        <f>IF(J822&lt;=0.005,"COLLECTED",IF(M822&lt;=30,"1-30",IF(M822&lt;=60,"31-60",IF(M822&lt;=90,"61-90","90+"))))</f>
        <v/>
      </c>
      <c r="O822" s="3">
        <f>IF(N822="90+","LOST",IF(N822="61-90","ESCALATE",IF(N822="31-60","WATCH",IF(N822="1-30","MILD","OK"))))</f>
        <v/>
      </c>
      <c r="P822" s="3">
        <f>IF(J822&gt;0.005,ROW()-1,"")</f>
        <v/>
      </c>
    </row>
    <row r="823">
      <c r="A823" s="3" t="inlineStr">
        <is>
          <t>D0822</t>
        </is>
      </c>
      <c r="B823" s="3">
        <f>INDEX(Raw_Schedule!B:B,MATCH(A823,Raw_Schedule!A:A,0))</f>
        <v/>
      </c>
      <c r="C823" s="3">
        <f>INDEX(Raw_Schedule!C:C,MATCH(A823,Raw_Schedule!A:A,0))</f>
        <v/>
      </c>
      <c r="D823" s="3">
        <f>INDEX(Raw_Schedule!D:D,MATCH(A823,Raw_Schedule!A:A,0))</f>
        <v/>
      </c>
      <c r="E823" s="3">
        <f>INDEX(Raw_Schedule!E:E,MATCH(A823,Raw_Schedule!A:A,0))</f>
        <v/>
      </c>
      <c r="F823" s="3">
        <f>INDEX(Raw_Schedule!F:F,MATCH(A823,Raw_Schedule!A:A,0))</f>
        <v/>
      </c>
      <c r="G823" s="4">
        <f>INDEX(Raw_Schedule!G:G,MATCH(A823,Raw_Schedule!A:A,0))</f>
        <v/>
      </c>
      <c r="H823" s="5">
        <f>INDEX(Raw_Schedule!H:H,MATCH(A823,Raw_Schedule!A:A,0))</f>
        <v/>
      </c>
      <c r="I823" s="5">
        <f>SUMIFS(Raw_Payments!E:E,Raw_Payments!B:B,A823)</f>
        <v/>
      </c>
      <c r="J823" s="5">
        <f>H823-I823</f>
        <v/>
      </c>
      <c r="K823" s="3">
        <f>IF(J823&lt;=0.005,"PAID",IF(I823&gt;0,"PARTIAL","OVERDUE"))</f>
        <v/>
      </c>
      <c r="L823" s="4">
        <f>IF(COUNTIFS(Raw_Payments!B:B,A823)=0,"",SUMPRODUCT(MAX((Raw_Payments!B$2:B$1079=A823)*Raw_Payments!D$2:D$1079)))</f>
        <v/>
      </c>
      <c r="M823" s="3">
        <f>IF(K823="PAID",MAX(0,L823-G823),Guide!$B$3-G823)</f>
        <v/>
      </c>
      <c r="N823" s="3">
        <f>IF(J823&lt;=0.005,"COLLECTED",IF(M823&lt;=30,"1-30",IF(M823&lt;=60,"31-60",IF(M823&lt;=90,"61-90","90+"))))</f>
        <v/>
      </c>
      <c r="O823" s="3">
        <f>IF(N823="90+","LOST",IF(N823="61-90","ESCALATE",IF(N823="31-60","WATCH",IF(N823="1-30","MILD","OK"))))</f>
        <v/>
      </c>
      <c r="P823" s="3">
        <f>IF(J823&gt;0.005,ROW()-1,"")</f>
        <v/>
      </c>
    </row>
    <row r="824">
      <c r="A824" s="3" t="inlineStr">
        <is>
          <t>D0823</t>
        </is>
      </c>
      <c r="B824" s="3">
        <f>INDEX(Raw_Schedule!B:B,MATCH(A824,Raw_Schedule!A:A,0))</f>
        <v/>
      </c>
      <c r="C824" s="3">
        <f>INDEX(Raw_Schedule!C:C,MATCH(A824,Raw_Schedule!A:A,0))</f>
        <v/>
      </c>
      <c r="D824" s="3">
        <f>INDEX(Raw_Schedule!D:D,MATCH(A824,Raw_Schedule!A:A,0))</f>
        <v/>
      </c>
      <c r="E824" s="3">
        <f>INDEX(Raw_Schedule!E:E,MATCH(A824,Raw_Schedule!A:A,0))</f>
        <v/>
      </c>
      <c r="F824" s="3">
        <f>INDEX(Raw_Schedule!F:F,MATCH(A824,Raw_Schedule!A:A,0))</f>
        <v/>
      </c>
      <c r="G824" s="4">
        <f>INDEX(Raw_Schedule!G:G,MATCH(A824,Raw_Schedule!A:A,0))</f>
        <v/>
      </c>
      <c r="H824" s="5">
        <f>INDEX(Raw_Schedule!H:H,MATCH(A824,Raw_Schedule!A:A,0))</f>
        <v/>
      </c>
      <c r="I824" s="5">
        <f>SUMIFS(Raw_Payments!E:E,Raw_Payments!B:B,A824)</f>
        <v/>
      </c>
      <c r="J824" s="5">
        <f>H824-I824</f>
        <v/>
      </c>
      <c r="K824" s="3">
        <f>IF(J824&lt;=0.005,"PAID",IF(I824&gt;0,"PARTIAL","OVERDUE"))</f>
        <v/>
      </c>
      <c r="L824" s="4">
        <f>IF(COUNTIFS(Raw_Payments!B:B,A824)=0,"",SUMPRODUCT(MAX((Raw_Payments!B$2:B$1079=A824)*Raw_Payments!D$2:D$1079)))</f>
        <v/>
      </c>
      <c r="M824" s="3">
        <f>IF(K824="PAID",MAX(0,L824-G824),Guide!$B$3-G824)</f>
        <v/>
      </c>
      <c r="N824" s="3">
        <f>IF(J824&lt;=0.005,"COLLECTED",IF(M824&lt;=30,"1-30",IF(M824&lt;=60,"31-60",IF(M824&lt;=90,"61-90","90+"))))</f>
        <v/>
      </c>
      <c r="O824" s="3">
        <f>IF(N824="90+","LOST",IF(N824="61-90","ESCALATE",IF(N824="31-60","WATCH",IF(N824="1-30","MILD","OK"))))</f>
        <v/>
      </c>
      <c r="P824" s="3">
        <f>IF(J824&gt;0.005,ROW()-1,"")</f>
        <v/>
      </c>
    </row>
    <row r="825">
      <c r="A825" s="3" t="inlineStr">
        <is>
          <t>D0824</t>
        </is>
      </c>
      <c r="B825" s="3">
        <f>INDEX(Raw_Schedule!B:B,MATCH(A825,Raw_Schedule!A:A,0))</f>
        <v/>
      </c>
      <c r="C825" s="3">
        <f>INDEX(Raw_Schedule!C:C,MATCH(A825,Raw_Schedule!A:A,0))</f>
        <v/>
      </c>
      <c r="D825" s="3">
        <f>INDEX(Raw_Schedule!D:D,MATCH(A825,Raw_Schedule!A:A,0))</f>
        <v/>
      </c>
      <c r="E825" s="3">
        <f>INDEX(Raw_Schedule!E:E,MATCH(A825,Raw_Schedule!A:A,0))</f>
        <v/>
      </c>
      <c r="F825" s="3">
        <f>INDEX(Raw_Schedule!F:F,MATCH(A825,Raw_Schedule!A:A,0))</f>
        <v/>
      </c>
      <c r="G825" s="4">
        <f>INDEX(Raw_Schedule!G:G,MATCH(A825,Raw_Schedule!A:A,0))</f>
        <v/>
      </c>
      <c r="H825" s="5">
        <f>INDEX(Raw_Schedule!H:H,MATCH(A825,Raw_Schedule!A:A,0))</f>
        <v/>
      </c>
      <c r="I825" s="5">
        <f>SUMIFS(Raw_Payments!E:E,Raw_Payments!B:B,A825)</f>
        <v/>
      </c>
      <c r="J825" s="5">
        <f>H825-I825</f>
        <v/>
      </c>
      <c r="K825" s="3">
        <f>IF(J825&lt;=0.005,"PAID",IF(I825&gt;0,"PARTIAL","OVERDUE"))</f>
        <v/>
      </c>
      <c r="L825" s="4">
        <f>IF(COUNTIFS(Raw_Payments!B:B,A825)=0,"",SUMPRODUCT(MAX((Raw_Payments!B$2:B$1079=A825)*Raw_Payments!D$2:D$1079)))</f>
        <v/>
      </c>
      <c r="M825" s="3">
        <f>IF(K825="PAID",MAX(0,L825-G825),Guide!$B$3-G825)</f>
        <v/>
      </c>
      <c r="N825" s="3">
        <f>IF(J825&lt;=0.005,"COLLECTED",IF(M825&lt;=30,"1-30",IF(M825&lt;=60,"31-60",IF(M825&lt;=90,"61-90","90+"))))</f>
        <v/>
      </c>
      <c r="O825" s="3">
        <f>IF(N825="90+","LOST",IF(N825="61-90","ESCALATE",IF(N825="31-60","WATCH",IF(N825="1-30","MILD","OK"))))</f>
        <v/>
      </c>
      <c r="P825" s="3">
        <f>IF(J825&gt;0.005,ROW()-1,"")</f>
        <v/>
      </c>
    </row>
    <row r="826">
      <c r="A826" s="3" t="inlineStr">
        <is>
          <t>D0825</t>
        </is>
      </c>
      <c r="B826" s="3">
        <f>INDEX(Raw_Schedule!B:B,MATCH(A826,Raw_Schedule!A:A,0))</f>
        <v/>
      </c>
      <c r="C826" s="3">
        <f>INDEX(Raw_Schedule!C:C,MATCH(A826,Raw_Schedule!A:A,0))</f>
        <v/>
      </c>
      <c r="D826" s="3">
        <f>INDEX(Raw_Schedule!D:D,MATCH(A826,Raw_Schedule!A:A,0))</f>
        <v/>
      </c>
      <c r="E826" s="3">
        <f>INDEX(Raw_Schedule!E:E,MATCH(A826,Raw_Schedule!A:A,0))</f>
        <v/>
      </c>
      <c r="F826" s="3">
        <f>INDEX(Raw_Schedule!F:F,MATCH(A826,Raw_Schedule!A:A,0))</f>
        <v/>
      </c>
      <c r="G826" s="4">
        <f>INDEX(Raw_Schedule!G:G,MATCH(A826,Raw_Schedule!A:A,0))</f>
        <v/>
      </c>
      <c r="H826" s="5">
        <f>INDEX(Raw_Schedule!H:H,MATCH(A826,Raw_Schedule!A:A,0))</f>
        <v/>
      </c>
      <c r="I826" s="5">
        <f>SUMIFS(Raw_Payments!E:E,Raw_Payments!B:B,A826)</f>
        <v/>
      </c>
      <c r="J826" s="5">
        <f>H826-I826</f>
        <v/>
      </c>
      <c r="K826" s="3">
        <f>IF(J826&lt;=0.005,"PAID",IF(I826&gt;0,"PARTIAL","OVERDUE"))</f>
        <v/>
      </c>
      <c r="L826" s="4">
        <f>IF(COUNTIFS(Raw_Payments!B:B,A826)=0,"",SUMPRODUCT(MAX((Raw_Payments!B$2:B$1079=A826)*Raw_Payments!D$2:D$1079)))</f>
        <v/>
      </c>
      <c r="M826" s="3">
        <f>IF(K826="PAID",MAX(0,L826-G826),Guide!$B$3-G826)</f>
        <v/>
      </c>
      <c r="N826" s="3">
        <f>IF(J826&lt;=0.005,"COLLECTED",IF(M826&lt;=30,"1-30",IF(M826&lt;=60,"31-60",IF(M826&lt;=90,"61-90","90+"))))</f>
        <v/>
      </c>
      <c r="O826" s="3">
        <f>IF(N826="90+","LOST",IF(N826="61-90","ESCALATE",IF(N826="31-60","WATCH",IF(N826="1-30","MILD","OK"))))</f>
        <v/>
      </c>
      <c r="P826" s="3">
        <f>IF(J826&gt;0.005,ROW()-1,"")</f>
        <v/>
      </c>
    </row>
    <row r="827">
      <c r="A827" s="3" t="inlineStr">
        <is>
          <t>D0826</t>
        </is>
      </c>
      <c r="B827" s="3">
        <f>INDEX(Raw_Schedule!B:B,MATCH(A827,Raw_Schedule!A:A,0))</f>
        <v/>
      </c>
      <c r="C827" s="3">
        <f>INDEX(Raw_Schedule!C:C,MATCH(A827,Raw_Schedule!A:A,0))</f>
        <v/>
      </c>
      <c r="D827" s="3">
        <f>INDEX(Raw_Schedule!D:D,MATCH(A827,Raw_Schedule!A:A,0))</f>
        <v/>
      </c>
      <c r="E827" s="3">
        <f>INDEX(Raw_Schedule!E:E,MATCH(A827,Raw_Schedule!A:A,0))</f>
        <v/>
      </c>
      <c r="F827" s="3">
        <f>INDEX(Raw_Schedule!F:F,MATCH(A827,Raw_Schedule!A:A,0))</f>
        <v/>
      </c>
      <c r="G827" s="4">
        <f>INDEX(Raw_Schedule!G:G,MATCH(A827,Raw_Schedule!A:A,0))</f>
        <v/>
      </c>
      <c r="H827" s="5">
        <f>INDEX(Raw_Schedule!H:H,MATCH(A827,Raw_Schedule!A:A,0))</f>
        <v/>
      </c>
      <c r="I827" s="5">
        <f>SUMIFS(Raw_Payments!E:E,Raw_Payments!B:B,A827)</f>
        <v/>
      </c>
      <c r="J827" s="5">
        <f>H827-I827</f>
        <v/>
      </c>
      <c r="K827" s="3">
        <f>IF(J827&lt;=0.005,"PAID",IF(I827&gt;0,"PARTIAL","OVERDUE"))</f>
        <v/>
      </c>
      <c r="L827" s="4">
        <f>IF(COUNTIFS(Raw_Payments!B:B,A827)=0,"",SUMPRODUCT(MAX((Raw_Payments!B$2:B$1079=A827)*Raw_Payments!D$2:D$1079)))</f>
        <v/>
      </c>
      <c r="M827" s="3">
        <f>IF(K827="PAID",MAX(0,L827-G827),Guide!$B$3-G827)</f>
        <v/>
      </c>
      <c r="N827" s="3">
        <f>IF(J827&lt;=0.005,"COLLECTED",IF(M827&lt;=30,"1-30",IF(M827&lt;=60,"31-60",IF(M827&lt;=90,"61-90","90+"))))</f>
        <v/>
      </c>
      <c r="O827" s="3">
        <f>IF(N827="90+","LOST",IF(N827="61-90","ESCALATE",IF(N827="31-60","WATCH",IF(N827="1-30","MILD","OK"))))</f>
        <v/>
      </c>
      <c r="P827" s="3">
        <f>IF(J827&gt;0.005,ROW()-1,"")</f>
        <v/>
      </c>
    </row>
    <row r="828">
      <c r="A828" s="3" t="inlineStr">
        <is>
          <t>D0827</t>
        </is>
      </c>
      <c r="B828" s="3">
        <f>INDEX(Raw_Schedule!B:B,MATCH(A828,Raw_Schedule!A:A,0))</f>
        <v/>
      </c>
      <c r="C828" s="3">
        <f>INDEX(Raw_Schedule!C:C,MATCH(A828,Raw_Schedule!A:A,0))</f>
        <v/>
      </c>
      <c r="D828" s="3">
        <f>INDEX(Raw_Schedule!D:D,MATCH(A828,Raw_Schedule!A:A,0))</f>
        <v/>
      </c>
      <c r="E828" s="3">
        <f>INDEX(Raw_Schedule!E:E,MATCH(A828,Raw_Schedule!A:A,0))</f>
        <v/>
      </c>
      <c r="F828" s="3">
        <f>INDEX(Raw_Schedule!F:F,MATCH(A828,Raw_Schedule!A:A,0))</f>
        <v/>
      </c>
      <c r="G828" s="4">
        <f>INDEX(Raw_Schedule!G:G,MATCH(A828,Raw_Schedule!A:A,0))</f>
        <v/>
      </c>
      <c r="H828" s="5">
        <f>INDEX(Raw_Schedule!H:H,MATCH(A828,Raw_Schedule!A:A,0))</f>
        <v/>
      </c>
      <c r="I828" s="5">
        <f>SUMIFS(Raw_Payments!E:E,Raw_Payments!B:B,A828)</f>
        <v/>
      </c>
      <c r="J828" s="5">
        <f>H828-I828</f>
        <v/>
      </c>
      <c r="K828" s="3">
        <f>IF(J828&lt;=0.005,"PAID",IF(I828&gt;0,"PARTIAL","OVERDUE"))</f>
        <v/>
      </c>
      <c r="L828" s="4">
        <f>IF(COUNTIFS(Raw_Payments!B:B,A828)=0,"",SUMPRODUCT(MAX((Raw_Payments!B$2:B$1079=A828)*Raw_Payments!D$2:D$1079)))</f>
        <v/>
      </c>
      <c r="M828" s="3">
        <f>IF(K828="PAID",MAX(0,L828-G828),Guide!$B$3-G828)</f>
        <v/>
      </c>
      <c r="N828" s="3">
        <f>IF(J828&lt;=0.005,"COLLECTED",IF(M828&lt;=30,"1-30",IF(M828&lt;=60,"31-60",IF(M828&lt;=90,"61-90","90+"))))</f>
        <v/>
      </c>
      <c r="O828" s="3">
        <f>IF(N828="90+","LOST",IF(N828="61-90","ESCALATE",IF(N828="31-60","WATCH",IF(N828="1-30","MILD","OK"))))</f>
        <v/>
      </c>
      <c r="P828" s="3">
        <f>IF(J828&gt;0.005,ROW()-1,"")</f>
        <v/>
      </c>
    </row>
    <row r="829">
      <c r="A829" s="3" t="inlineStr">
        <is>
          <t>D0828</t>
        </is>
      </c>
      <c r="B829" s="3">
        <f>INDEX(Raw_Schedule!B:B,MATCH(A829,Raw_Schedule!A:A,0))</f>
        <v/>
      </c>
      <c r="C829" s="3">
        <f>INDEX(Raw_Schedule!C:C,MATCH(A829,Raw_Schedule!A:A,0))</f>
        <v/>
      </c>
      <c r="D829" s="3">
        <f>INDEX(Raw_Schedule!D:D,MATCH(A829,Raw_Schedule!A:A,0))</f>
        <v/>
      </c>
      <c r="E829" s="3">
        <f>INDEX(Raw_Schedule!E:E,MATCH(A829,Raw_Schedule!A:A,0))</f>
        <v/>
      </c>
      <c r="F829" s="3">
        <f>INDEX(Raw_Schedule!F:F,MATCH(A829,Raw_Schedule!A:A,0))</f>
        <v/>
      </c>
      <c r="G829" s="4">
        <f>INDEX(Raw_Schedule!G:G,MATCH(A829,Raw_Schedule!A:A,0))</f>
        <v/>
      </c>
      <c r="H829" s="5">
        <f>INDEX(Raw_Schedule!H:H,MATCH(A829,Raw_Schedule!A:A,0))</f>
        <v/>
      </c>
      <c r="I829" s="5">
        <f>SUMIFS(Raw_Payments!E:E,Raw_Payments!B:B,A829)</f>
        <v/>
      </c>
      <c r="J829" s="5">
        <f>H829-I829</f>
        <v/>
      </c>
      <c r="K829" s="3">
        <f>IF(J829&lt;=0.005,"PAID",IF(I829&gt;0,"PARTIAL","OVERDUE"))</f>
        <v/>
      </c>
      <c r="L829" s="4">
        <f>IF(COUNTIFS(Raw_Payments!B:B,A829)=0,"",SUMPRODUCT(MAX((Raw_Payments!B$2:B$1079=A829)*Raw_Payments!D$2:D$1079)))</f>
        <v/>
      </c>
      <c r="M829" s="3">
        <f>IF(K829="PAID",MAX(0,L829-G829),Guide!$B$3-G829)</f>
        <v/>
      </c>
      <c r="N829" s="3">
        <f>IF(J829&lt;=0.005,"COLLECTED",IF(M829&lt;=30,"1-30",IF(M829&lt;=60,"31-60",IF(M829&lt;=90,"61-90","90+"))))</f>
        <v/>
      </c>
      <c r="O829" s="3">
        <f>IF(N829="90+","LOST",IF(N829="61-90","ESCALATE",IF(N829="31-60","WATCH",IF(N829="1-30","MILD","OK"))))</f>
        <v/>
      </c>
      <c r="P829" s="3">
        <f>IF(J829&gt;0.005,ROW()-1,"")</f>
        <v/>
      </c>
    </row>
    <row r="830">
      <c r="A830" s="3" t="inlineStr">
        <is>
          <t>D0829</t>
        </is>
      </c>
      <c r="B830" s="3">
        <f>INDEX(Raw_Schedule!B:B,MATCH(A830,Raw_Schedule!A:A,0))</f>
        <v/>
      </c>
      <c r="C830" s="3">
        <f>INDEX(Raw_Schedule!C:C,MATCH(A830,Raw_Schedule!A:A,0))</f>
        <v/>
      </c>
      <c r="D830" s="3">
        <f>INDEX(Raw_Schedule!D:D,MATCH(A830,Raw_Schedule!A:A,0))</f>
        <v/>
      </c>
      <c r="E830" s="3">
        <f>INDEX(Raw_Schedule!E:E,MATCH(A830,Raw_Schedule!A:A,0))</f>
        <v/>
      </c>
      <c r="F830" s="3">
        <f>INDEX(Raw_Schedule!F:F,MATCH(A830,Raw_Schedule!A:A,0))</f>
        <v/>
      </c>
      <c r="G830" s="4">
        <f>INDEX(Raw_Schedule!G:G,MATCH(A830,Raw_Schedule!A:A,0))</f>
        <v/>
      </c>
      <c r="H830" s="5">
        <f>INDEX(Raw_Schedule!H:H,MATCH(A830,Raw_Schedule!A:A,0))</f>
        <v/>
      </c>
      <c r="I830" s="5">
        <f>SUMIFS(Raw_Payments!E:E,Raw_Payments!B:B,A830)</f>
        <v/>
      </c>
      <c r="J830" s="5">
        <f>H830-I830</f>
        <v/>
      </c>
      <c r="K830" s="3">
        <f>IF(J830&lt;=0.005,"PAID",IF(I830&gt;0,"PARTIAL","OVERDUE"))</f>
        <v/>
      </c>
      <c r="L830" s="4">
        <f>IF(COUNTIFS(Raw_Payments!B:B,A830)=0,"",SUMPRODUCT(MAX((Raw_Payments!B$2:B$1079=A830)*Raw_Payments!D$2:D$1079)))</f>
        <v/>
      </c>
      <c r="M830" s="3">
        <f>IF(K830="PAID",MAX(0,L830-G830),Guide!$B$3-G830)</f>
        <v/>
      </c>
      <c r="N830" s="3">
        <f>IF(J830&lt;=0.005,"COLLECTED",IF(M830&lt;=30,"1-30",IF(M830&lt;=60,"31-60",IF(M830&lt;=90,"61-90","90+"))))</f>
        <v/>
      </c>
      <c r="O830" s="3">
        <f>IF(N830="90+","LOST",IF(N830="61-90","ESCALATE",IF(N830="31-60","WATCH",IF(N830="1-30","MILD","OK"))))</f>
        <v/>
      </c>
      <c r="P830" s="3">
        <f>IF(J830&gt;0.005,ROW()-1,"")</f>
        <v/>
      </c>
    </row>
    <row r="831">
      <c r="A831" s="3" t="inlineStr">
        <is>
          <t>D0830</t>
        </is>
      </c>
      <c r="B831" s="3">
        <f>INDEX(Raw_Schedule!B:B,MATCH(A831,Raw_Schedule!A:A,0))</f>
        <v/>
      </c>
      <c r="C831" s="3">
        <f>INDEX(Raw_Schedule!C:C,MATCH(A831,Raw_Schedule!A:A,0))</f>
        <v/>
      </c>
      <c r="D831" s="3">
        <f>INDEX(Raw_Schedule!D:D,MATCH(A831,Raw_Schedule!A:A,0))</f>
        <v/>
      </c>
      <c r="E831" s="3">
        <f>INDEX(Raw_Schedule!E:E,MATCH(A831,Raw_Schedule!A:A,0))</f>
        <v/>
      </c>
      <c r="F831" s="3">
        <f>INDEX(Raw_Schedule!F:F,MATCH(A831,Raw_Schedule!A:A,0))</f>
        <v/>
      </c>
      <c r="G831" s="4">
        <f>INDEX(Raw_Schedule!G:G,MATCH(A831,Raw_Schedule!A:A,0))</f>
        <v/>
      </c>
      <c r="H831" s="5">
        <f>INDEX(Raw_Schedule!H:H,MATCH(A831,Raw_Schedule!A:A,0))</f>
        <v/>
      </c>
      <c r="I831" s="5">
        <f>SUMIFS(Raw_Payments!E:E,Raw_Payments!B:B,A831)</f>
        <v/>
      </c>
      <c r="J831" s="5">
        <f>H831-I831</f>
        <v/>
      </c>
      <c r="K831" s="3">
        <f>IF(J831&lt;=0.005,"PAID",IF(I831&gt;0,"PARTIAL","OVERDUE"))</f>
        <v/>
      </c>
      <c r="L831" s="4">
        <f>IF(COUNTIFS(Raw_Payments!B:B,A831)=0,"",SUMPRODUCT(MAX((Raw_Payments!B$2:B$1079=A831)*Raw_Payments!D$2:D$1079)))</f>
        <v/>
      </c>
      <c r="M831" s="3">
        <f>IF(K831="PAID",MAX(0,L831-G831),Guide!$B$3-G831)</f>
        <v/>
      </c>
      <c r="N831" s="3">
        <f>IF(J831&lt;=0.005,"COLLECTED",IF(M831&lt;=30,"1-30",IF(M831&lt;=60,"31-60",IF(M831&lt;=90,"61-90","90+"))))</f>
        <v/>
      </c>
      <c r="O831" s="3">
        <f>IF(N831="90+","LOST",IF(N831="61-90","ESCALATE",IF(N831="31-60","WATCH",IF(N831="1-30","MILD","OK"))))</f>
        <v/>
      </c>
      <c r="P831" s="3">
        <f>IF(J831&gt;0.005,ROW()-1,"")</f>
        <v/>
      </c>
    </row>
    <row r="832">
      <c r="A832" s="3" t="inlineStr">
        <is>
          <t>D0831</t>
        </is>
      </c>
      <c r="B832" s="3">
        <f>INDEX(Raw_Schedule!B:B,MATCH(A832,Raw_Schedule!A:A,0))</f>
        <v/>
      </c>
      <c r="C832" s="3">
        <f>INDEX(Raw_Schedule!C:C,MATCH(A832,Raw_Schedule!A:A,0))</f>
        <v/>
      </c>
      <c r="D832" s="3">
        <f>INDEX(Raw_Schedule!D:D,MATCH(A832,Raw_Schedule!A:A,0))</f>
        <v/>
      </c>
      <c r="E832" s="3">
        <f>INDEX(Raw_Schedule!E:E,MATCH(A832,Raw_Schedule!A:A,0))</f>
        <v/>
      </c>
      <c r="F832" s="3">
        <f>INDEX(Raw_Schedule!F:F,MATCH(A832,Raw_Schedule!A:A,0))</f>
        <v/>
      </c>
      <c r="G832" s="4">
        <f>INDEX(Raw_Schedule!G:G,MATCH(A832,Raw_Schedule!A:A,0))</f>
        <v/>
      </c>
      <c r="H832" s="5">
        <f>INDEX(Raw_Schedule!H:H,MATCH(A832,Raw_Schedule!A:A,0))</f>
        <v/>
      </c>
      <c r="I832" s="5">
        <f>SUMIFS(Raw_Payments!E:E,Raw_Payments!B:B,A832)</f>
        <v/>
      </c>
      <c r="J832" s="5">
        <f>H832-I832</f>
        <v/>
      </c>
      <c r="K832" s="3">
        <f>IF(J832&lt;=0.005,"PAID",IF(I832&gt;0,"PARTIAL","OVERDUE"))</f>
        <v/>
      </c>
      <c r="L832" s="4">
        <f>IF(COUNTIFS(Raw_Payments!B:B,A832)=0,"",SUMPRODUCT(MAX((Raw_Payments!B$2:B$1079=A832)*Raw_Payments!D$2:D$1079)))</f>
        <v/>
      </c>
      <c r="M832" s="3">
        <f>IF(K832="PAID",MAX(0,L832-G832),Guide!$B$3-G832)</f>
        <v/>
      </c>
      <c r="N832" s="3">
        <f>IF(J832&lt;=0.005,"COLLECTED",IF(M832&lt;=30,"1-30",IF(M832&lt;=60,"31-60",IF(M832&lt;=90,"61-90","90+"))))</f>
        <v/>
      </c>
      <c r="O832" s="3">
        <f>IF(N832="90+","LOST",IF(N832="61-90","ESCALATE",IF(N832="31-60","WATCH",IF(N832="1-30","MILD","OK"))))</f>
        <v/>
      </c>
      <c r="P832" s="3">
        <f>IF(J832&gt;0.005,ROW()-1,"")</f>
        <v/>
      </c>
    </row>
    <row r="833">
      <c r="A833" s="3" t="inlineStr">
        <is>
          <t>D0832</t>
        </is>
      </c>
      <c r="B833" s="3">
        <f>INDEX(Raw_Schedule!B:B,MATCH(A833,Raw_Schedule!A:A,0))</f>
        <v/>
      </c>
      <c r="C833" s="3">
        <f>INDEX(Raw_Schedule!C:C,MATCH(A833,Raw_Schedule!A:A,0))</f>
        <v/>
      </c>
      <c r="D833" s="3">
        <f>INDEX(Raw_Schedule!D:D,MATCH(A833,Raw_Schedule!A:A,0))</f>
        <v/>
      </c>
      <c r="E833" s="3">
        <f>INDEX(Raw_Schedule!E:E,MATCH(A833,Raw_Schedule!A:A,0))</f>
        <v/>
      </c>
      <c r="F833" s="3">
        <f>INDEX(Raw_Schedule!F:F,MATCH(A833,Raw_Schedule!A:A,0))</f>
        <v/>
      </c>
      <c r="G833" s="4">
        <f>INDEX(Raw_Schedule!G:G,MATCH(A833,Raw_Schedule!A:A,0))</f>
        <v/>
      </c>
      <c r="H833" s="5">
        <f>INDEX(Raw_Schedule!H:H,MATCH(A833,Raw_Schedule!A:A,0))</f>
        <v/>
      </c>
      <c r="I833" s="5">
        <f>SUMIFS(Raw_Payments!E:E,Raw_Payments!B:B,A833)</f>
        <v/>
      </c>
      <c r="J833" s="5">
        <f>H833-I833</f>
        <v/>
      </c>
      <c r="K833" s="3">
        <f>IF(J833&lt;=0.005,"PAID",IF(I833&gt;0,"PARTIAL","OVERDUE"))</f>
        <v/>
      </c>
      <c r="L833" s="4">
        <f>IF(COUNTIFS(Raw_Payments!B:B,A833)=0,"",SUMPRODUCT(MAX((Raw_Payments!B$2:B$1079=A833)*Raw_Payments!D$2:D$1079)))</f>
        <v/>
      </c>
      <c r="M833" s="3">
        <f>IF(K833="PAID",MAX(0,L833-G833),Guide!$B$3-G833)</f>
        <v/>
      </c>
      <c r="N833" s="3">
        <f>IF(J833&lt;=0.005,"COLLECTED",IF(M833&lt;=30,"1-30",IF(M833&lt;=60,"31-60",IF(M833&lt;=90,"61-90","90+"))))</f>
        <v/>
      </c>
      <c r="O833" s="3">
        <f>IF(N833="90+","LOST",IF(N833="61-90","ESCALATE",IF(N833="31-60","WATCH",IF(N833="1-30","MILD","OK"))))</f>
        <v/>
      </c>
      <c r="P833" s="3">
        <f>IF(J833&gt;0.005,ROW()-1,"")</f>
        <v/>
      </c>
    </row>
    <row r="834">
      <c r="A834" s="3" t="inlineStr">
        <is>
          <t>D0833</t>
        </is>
      </c>
      <c r="B834" s="3">
        <f>INDEX(Raw_Schedule!B:B,MATCH(A834,Raw_Schedule!A:A,0))</f>
        <v/>
      </c>
      <c r="C834" s="3">
        <f>INDEX(Raw_Schedule!C:C,MATCH(A834,Raw_Schedule!A:A,0))</f>
        <v/>
      </c>
      <c r="D834" s="3">
        <f>INDEX(Raw_Schedule!D:D,MATCH(A834,Raw_Schedule!A:A,0))</f>
        <v/>
      </c>
      <c r="E834" s="3">
        <f>INDEX(Raw_Schedule!E:E,MATCH(A834,Raw_Schedule!A:A,0))</f>
        <v/>
      </c>
      <c r="F834" s="3">
        <f>INDEX(Raw_Schedule!F:F,MATCH(A834,Raw_Schedule!A:A,0))</f>
        <v/>
      </c>
      <c r="G834" s="4">
        <f>INDEX(Raw_Schedule!G:G,MATCH(A834,Raw_Schedule!A:A,0))</f>
        <v/>
      </c>
      <c r="H834" s="5">
        <f>INDEX(Raw_Schedule!H:H,MATCH(A834,Raw_Schedule!A:A,0))</f>
        <v/>
      </c>
      <c r="I834" s="5">
        <f>SUMIFS(Raw_Payments!E:E,Raw_Payments!B:B,A834)</f>
        <v/>
      </c>
      <c r="J834" s="5">
        <f>H834-I834</f>
        <v/>
      </c>
      <c r="K834" s="3">
        <f>IF(J834&lt;=0.005,"PAID",IF(I834&gt;0,"PARTIAL","OVERDUE"))</f>
        <v/>
      </c>
      <c r="L834" s="4">
        <f>IF(COUNTIFS(Raw_Payments!B:B,A834)=0,"",SUMPRODUCT(MAX((Raw_Payments!B$2:B$1079=A834)*Raw_Payments!D$2:D$1079)))</f>
        <v/>
      </c>
      <c r="M834" s="3">
        <f>IF(K834="PAID",MAX(0,L834-G834),Guide!$B$3-G834)</f>
        <v/>
      </c>
      <c r="N834" s="3">
        <f>IF(J834&lt;=0.005,"COLLECTED",IF(M834&lt;=30,"1-30",IF(M834&lt;=60,"31-60",IF(M834&lt;=90,"61-90","90+"))))</f>
        <v/>
      </c>
      <c r="O834" s="3">
        <f>IF(N834="90+","LOST",IF(N834="61-90","ESCALATE",IF(N834="31-60","WATCH",IF(N834="1-30","MILD","OK"))))</f>
        <v/>
      </c>
      <c r="P834" s="3">
        <f>IF(J834&gt;0.005,ROW()-1,"")</f>
        <v/>
      </c>
    </row>
    <row r="835">
      <c r="A835" s="3" t="inlineStr">
        <is>
          <t>D0834</t>
        </is>
      </c>
      <c r="B835" s="3">
        <f>INDEX(Raw_Schedule!B:B,MATCH(A835,Raw_Schedule!A:A,0))</f>
        <v/>
      </c>
      <c r="C835" s="3">
        <f>INDEX(Raw_Schedule!C:C,MATCH(A835,Raw_Schedule!A:A,0))</f>
        <v/>
      </c>
      <c r="D835" s="3">
        <f>INDEX(Raw_Schedule!D:D,MATCH(A835,Raw_Schedule!A:A,0))</f>
        <v/>
      </c>
      <c r="E835" s="3">
        <f>INDEX(Raw_Schedule!E:E,MATCH(A835,Raw_Schedule!A:A,0))</f>
        <v/>
      </c>
      <c r="F835" s="3">
        <f>INDEX(Raw_Schedule!F:F,MATCH(A835,Raw_Schedule!A:A,0))</f>
        <v/>
      </c>
      <c r="G835" s="4">
        <f>INDEX(Raw_Schedule!G:G,MATCH(A835,Raw_Schedule!A:A,0))</f>
        <v/>
      </c>
      <c r="H835" s="5">
        <f>INDEX(Raw_Schedule!H:H,MATCH(A835,Raw_Schedule!A:A,0))</f>
        <v/>
      </c>
      <c r="I835" s="5">
        <f>SUMIFS(Raw_Payments!E:E,Raw_Payments!B:B,A835)</f>
        <v/>
      </c>
      <c r="J835" s="5">
        <f>H835-I835</f>
        <v/>
      </c>
      <c r="K835" s="3">
        <f>IF(J835&lt;=0.005,"PAID",IF(I835&gt;0,"PARTIAL","OVERDUE"))</f>
        <v/>
      </c>
      <c r="L835" s="4">
        <f>IF(COUNTIFS(Raw_Payments!B:B,A835)=0,"",SUMPRODUCT(MAX((Raw_Payments!B$2:B$1079=A835)*Raw_Payments!D$2:D$1079)))</f>
        <v/>
      </c>
      <c r="M835" s="3">
        <f>IF(K835="PAID",MAX(0,L835-G835),Guide!$B$3-G835)</f>
        <v/>
      </c>
      <c r="N835" s="3">
        <f>IF(J835&lt;=0.005,"COLLECTED",IF(M835&lt;=30,"1-30",IF(M835&lt;=60,"31-60",IF(M835&lt;=90,"61-90","90+"))))</f>
        <v/>
      </c>
      <c r="O835" s="3">
        <f>IF(N835="90+","LOST",IF(N835="61-90","ESCALATE",IF(N835="31-60","WATCH",IF(N835="1-30","MILD","OK"))))</f>
        <v/>
      </c>
      <c r="P835" s="3">
        <f>IF(J835&gt;0.005,ROW()-1,"")</f>
        <v/>
      </c>
    </row>
    <row r="836">
      <c r="A836" s="3" t="inlineStr">
        <is>
          <t>D0835</t>
        </is>
      </c>
      <c r="B836" s="3">
        <f>INDEX(Raw_Schedule!B:B,MATCH(A836,Raw_Schedule!A:A,0))</f>
        <v/>
      </c>
      <c r="C836" s="3">
        <f>INDEX(Raw_Schedule!C:C,MATCH(A836,Raw_Schedule!A:A,0))</f>
        <v/>
      </c>
      <c r="D836" s="3">
        <f>INDEX(Raw_Schedule!D:D,MATCH(A836,Raw_Schedule!A:A,0))</f>
        <v/>
      </c>
      <c r="E836" s="3">
        <f>INDEX(Raw_Schedule!E:E,MATCH(A836,Raw_Schedule!A:A,0))</f>
        <v/>
      </c>
      <c r="F836" s="3">
        <f>INDEX(Raw_Schedule!F:F,MATCH(A836,Raw_Schedule!A:A,0))</f>
        <v/>
      </c>
      <c r="G836" s="4">
        <f>INDEX(Raw_Schedule!G:G,MATCH(A836,Raw_Schedule!A:A,0))</f>
        <v/>
      </c>
      <c r="H836" s="5">
        <f>INDEX(Raw_Schedule!H:H,MATCH(A836,Raw_Schedule!A:A,0))</f>
        <v/>
      </c>
      <c r="I836" s="5">
        <f>SUMIFS(Raw_Payments!E:E,Raw_Payments!B:B,A836)</f>
        <v/>
      </c>
      <c r="J836" s="5">
        <f>H836-I836</f>
        <v/>
      </c>
      <c r="K836" s="3">
        <f>IF(J836&lt;=0.005,"PAID",IF(I836&gt;0,"PARTIAL","OVERDUE"))</f>
        <v/>
      </c>
      <c r="L836" s="4">
        <f>IF(COUNTIFS(Raw_Payments!B:B,A836)=0,"",SUMPRODUCT(MAX((Raw_Payments!B$2:B$1079=A836)*Raw_Payments!D$2:D$1079)))</f>
        <v/>
      </c>
      <c r="M836" s="3">
        <f>IF(K836="PAID",MAX(0,L836-G836),Guide!$B$3-G836)</f>
        <v/>
      </c>
      <c r="N836" s="3">
        <f>IF(J836&lt;=0.005,"COLLECTED",IF(M836&lt;=30,"1-30",IF(M836&lt;=60,"31-60",IF(M836&lt;=90,"61-90","90+"))))</f>
        <v/>
      </c>
      <c r="O836" s="3">
        <f>IF(N836="90+","LOST",IF(N836="61-90","ESCALATE",IF(N836="31-60","WATCH",IF(N836="1-30","MILD","OK"))))</f>
        <v/>
      </c>
      <c r="P836" s="3">
        <f>IF(J836&gt;0.005,ROW()-1,"")</f>
        <v/>
      </c>
    </row>
    <row r="837">
      <c r="A837" s="3" t="inlineStr">
        <is>
          <t>D0836</t>
        </is>
      </c>
      <c r="B837" s="3">
        <f>INDEX(Raw_Schedule!B:B,MATCH(A837,Raw_Schedule!A:A,0))</f>
        <v/>
      </c>
      <c r="C837" s="3">
        <f>INDEX(Raw_Schedule!C:C,MATCH(A837,Raw_Schedule!A:A,0))</f>
        <v/>
      </c>
      <c r="D837" s="3">
        <f>INDEX(Raw_Schedule!D:D,MATCH(A837,Raw_Schedule!A:A,0))</f>
        <v/>
      </c>
      <c r="E837" s="3">
        <f>INDEX(Raw_Schedule!E:E,MATCH(A837,Raw_Schedule!A:A,0))</f>
        <v/>
      </c>
      <c r="F837" s="3">
        <f>INDEX(Raw_Schedule!F:F,MATCH(A837,Raw_Schedule!A:A,0))</f>
        <v/>
      </c>
      <c r="G837" s="4">
        <f>INDEX(Raw_Schedule!G:G,MATCH(A837,Raw_Schedule!A:A,0))</f>
        <v/>
      </c>
      <c r="H837" s="5">
        <f>INDEX(Raw_Schedule!H:H,MATCH(A837,Raw_Schedule!A:A,0))</f>
        <v/>
      </c>
      <c r="I837" s="5">
        <f>SUMIFS(Raw_Payments!E:E,Raw_Payments!B:B,A837)</f>
        <v/>
      </c>
      <c r="J837" s="5">
        <f>H837-I837</f>
        <v/>
      </c>
      <c r="K837" s="3">
        <f>IF(J837&lt;=0.005,"PAID",IF(I837&gt;0,"PARTIAL","OVERDUE"))</f>
        <v/>
      </c>
      <c r="L837" s="4">
        <f>IF(COUNTIFS(Raw_Payments!B:B,A837)=0,"",SUMPRODUCT(MAX((Raw_Payments!B$2:B$1079=A837)*Raw_Payments!D$2:D$1079)))</f>
        <v/>
      </c>
      <c r="M837" s="3">
        <f>IF(K837="PAID",MAX(0,L837-G837),Guide!$B$3-G837)</f>
        <v/>
      </c>
      <c r="N837" s="3">
        <f>IF(J837&lt;=0.005,"COLLECTED",IF(M837&lt;=30,"1-30",IF(M837&lt;=60,"31-60",IF(M837&lt;=90,"61-90","90+"))))</f>
        <v/>
      </c>
      <c r="O837" s="3">
        <f>IF(N837="90+","LOST",IF(N837="61-90","ESCALATE",IF(N837="31-60","WATCH",IF(N837="1-30","MILD","OK"))))</f>
        <v/>
      </c>
      <c r="P837" s="3">
        <f>IF(J837&gt;0.005,ROW()-1,"")</f>
        <v/>
      </c>
    </row>
    <row r="838">
      <c r="A838" s="3" t="inlineStr">
        <is>
          <t>D0837</t>
        </is>
      </c>
      <c r="B838" s="3">
        <f>INDEX(Raw_Schedule!B:B,MATCH(A838,Raw_Schedule!A:A,0))</f>
        <v/>
      </c>
      <c r="C838" s="3">
        <f>INDEX(Raw_Schedule!C:C,MATCH(A838,Raw_Schedule!A:A,0))</f>
        <v/>
      </c>
      <c r="D838" s="3">
        <f>INDEX(Raw_Schedule!D:D,MATCH(A838,Raw_Schedule!A:A,0))</f>
        <v/>
      </c>
      <c r="E838" s="3">
        <f>INDEX(Raw_Schedule!E:E,MATCH(A838,Raw_Schedule!A:A,0))</f>
        <v/>
      </c>
      <c r="F838" s="3">
        <f>INDEX(Raw_Schedule!F:F,MATCH(A838,Raw_Schedule!A:A,0))</f>
        <v/>
      </c>
      <c r="G838" s="4">
        <f>INDEX(Raw_Schedule!G:G,MATCH(A838,Raw_Schedule!A:A,0))</f>
        <v/>
      </c>
      <c r="H838" s="5">
        <f>INDEX(Raw_Schedule!H:H,MATCH(A838,Raw_Schedule!A:A,0))</f>
        <v/>
      </c>
      <c r="I838" s="5">
        <f>SUMIFS(Raw_Payments!E:E,Raw_Payments!B:B,A838)</f>
        <v/>
      </c>
      <c r="J838" s="5">
        <f>H838-I838</f>
        <v/>
      </c>
      <c r="K838" s="3">
        <f>IF(J838&lt;=0.005,"PAID",IF(I838&gt;0,"PARTIAL","OVERDUE"))</f>
        <v/>
      </c>
      <c r="L838" s="4">
        <f>IF(COUNTIFS(Raw_Payments!B:B,A838)=0,"",SUMPRODUCT(MAX((Raw_Payments!B$2:B$1079=A838)*Raw_Payments!D$2:D$1079)))</f>
        <v/>
      </c>
      <c r="M838" s="3">
        <f>IF(K838="PAID",MAX(0,L838-G838),Guide!$B$3-G838)</f>
        <v/>
      </c>
      <c r="N838" s="3">
        <f>IF(J838&lt;=0.005,"COLLECTED",IF(M838&lt;=30,"1-30",IF(M838&lt;=60,"31-60",IF(M838&lt;=90,"61-90","90+"))))</f>
        <v/>
      </c>
      <c r="O838" s="3">
        <f>IF(N838="90+","LOST",IF(N838="61-90","ESCALATE",IF(N838="31-60","WATCH",IF(N838="1-30","MILD","OK"))))</f>
        <v/>
      </c>
      <c r="P838" s="3">
        <f>IF(J838&gt;0.005,ROW()-1,"")</f>
        <v/>
      </c>
    </row>
    <row r="839">
      <c r="A839" s="3" t="inlineStr">
        <is>
          <t>D0838</t>
        </is>
      </c>
      <c r="B839" s="3">
        <f>INDEX(Raw_Schedule!B:B,MATCH(A839,Raw_Schedule!A:A,0))</f>
        <v/>
      </c>
      <c r="C839" s="3">
        <f>INDEX(Raw_Schedule!C:C,MATCH(A839,Raw_Schedule!A:A,0))</f>
        <v/>
      </c>
      <c r="D839" s="3">
        <f>INDEX(Raw_Schedule!D:D,MATCH(A839,Raw_Schedule!A:A,0))</f>
        <v/>
      </c>
      <c r="E839" s="3">
        <f>INDEX(Raw_Schedule!E:E,MATCH(A839,Raw_Schedule!A:A,0))</f>
        <v/>
      </c>
      <c r="F839" s="3">
        <f>INDEX(Raw_Schedule!F:F,MATCH(A839,Raw_Schedule!A:A,0))</f>
        <v/>
      </c>
      <c r="G839" s="4">
        <f>INDEX(Raw_Schedule!G:G,MATCH(A839,Raw_Schedule!A:A,0))</f>
        <v/>
      </c>
      <c r="H839" s="5">
        <f>INDEX(Raw_Schedule!H:H,MATCH(A839,Raw_Schedule!A:A,0))</f>
        <v/>
      </c>
      <c r="I839" s="5">
        <f>SUMIFS(Raw_Payments!E:E,Raw_Payments!B:B,A839)</f>
        <v/>
      </c>
      <c r="J839" s="5">
        <f>H839-I839</f>
        <v/>
      </c>
      <c r="K839" s="3">
        <f>IF(J839&lt;=0.005,"PAID",IF(I839&gt;0,"PARTIAL","OVERDUE"))</f>
        <v/>
      </c>
      <c r="L839" s="4">
        <f>IF(COUNTIFS(Raw_Payments!B:B,A839)=0,"",SUMPRODUCT(MAX((Raw_Payments!B$2:B$1079=A839)*Raw_Payments!D$2:D$1079)))</f>
        <v/>
      </c>
      <c r="M839" s="3">
        <f>IF(K839="PAID",MAX(0,L839-G839),Guide!$B$3-G839)</f>
        <v/>
      </c>
      <c r="N839" s="3">
        <f>IF(J839&lt;=0.005,"COLLECTED",IF(M839&lt;=30,"1-30",IF(M839&lt;=60,"31-60",IF(M839&lt;=90,"61-90","90+"))))</f>
        <v/>
      </c>
      <c r="O839" s="3">
        <f>IF(N839="90+","LOST",IF(N839="61-90","ESCALATE",IF(N839="31-60","WATCH",IF(N839="1-30","MILD","OK"))))</f>
        <v/>
      </c>
      <c r="P839" s="3">
        <f>IF(J839&gt;0.005,ROW()-1,"")</f>
        <v/>
      </c>
    </row>
    <row r="840">
      <c r="A840" s="3" t="inlineStr">
        <is>
          <t>D0839</t>
        </is>
      </c>
      <c r="B840" s="3">
        <f>INDEX(Raw_Schedule!B:B,MATCH(A840,Raw_Schedule!A:A,0))</f>
        <v/>
      </c>
      <c r="C840" s="3">
        <f>INDEX(Raw_Schedule!C:C,MATCH(A840,Raw_Schedule!A:A,0))</f>
        <v/>
      </c>
      <c r="D840" s="3">
        <f>INDEX(Raw_Schedule!D:D,MATCH(A840,Raw_Schedule!A:A,0))</f>
        <v/>
      </c>
      <c r="E840" s="3">
        <f>INDEX(Raw_Schedule!E:E,MATCH(A840,Raw_Schedule!A:A,0))</f>
        <v/>
      </c>
      <c r="F840" s="3">
        <f>INDEX(Raw_Schedule!F:F,MATCH(A840,Raw_Schedule!A:A,0))</f>
        <v/>
      </c>
      <c r="G840" s="4">
        <f>INDEX(Raw_Schedule!G:G,MATCH(A840,Raw_Schedule!A:A,0))</f>
        <v/>
      </c>
      <c r="H840" s="5">
        <f>INDEX(Raw_Schedule!H:H,MATCH(A840,Raw_Schedule!A:A,0))</f>
        <v/>
      </c>
      <c r="I840" s="5">
        <f>SUMIFS(Raw_Payments!E:E,Raw_Payments!B:B,A840)</f>
        <v/>
      </c>
      <c r="J840" s="5">
        <f>H840-I840</f>
        <v/>
      </c>
      <c r="K840" s="3">
        <f>IF(J840&lt;=0.005,"PAID",IF(I840&gt;0,"PARTIAL","OVERDUE"))</f>
        <v/>
      </c>
      <c r="L840" s="4">
        <f>IF(COUNTIFS(Raw_Payments!B:B,A840)=0,"",SUMPRODUCT(MAX((Raw_Payments!B$2:B$1079=A840)*Raw_Payments!D$2:D$1079)))</f>
        <v/>
      </c>
      <c r="M840" s="3">
        <f>IF(K840="PAID",MAX(0,L840-G840),Guide!$B$3-G840)</f>
        <v/>
      </c>
      <c r="N840" s="3">
        <f>IF(J840&lt;=0.005,"COLLECTED",IF(M840&lt;=30,"1-30",IF(M840&lt;=60,"31-60",IF(M840&lt;=90,"61-90","90+"))))</f>
        <v/>
      </c>
      <c r="O840" s="3">
        <f>IF(N840="90+","LOST",IF(N840="61-90","ESCALATE",IF(N840="31-60","WATCH",IF(N840="1-30","MILD","OK"))))</f>
        <v/>
      </c>
      <c r="P840" s="3">
        <f>IF(J840&gt;0.005,ROW()-1,"")</f>
        <v/>
      </c>
    </row>
    <row r="841">
      <c r="A841" s="3" t="inlineStr">
        <is>
          <t>D0840</t>
        </is>
      </c>
      <c r="B841" s="3">
        <f>INDEX(Raw_Schedule!B:B,MATCH(A841,Raw_Schedule!A:A,0))</f>
        <v/>
      </c>
      <c r="C841" s="3">
        <f>INDEX(Raw_Schedule!C:C,MATCH(A841,Raw_Schedule!A:A,0))</f>
        <v/>
      </c>
      <c r="D841" s="3">
        <f>INDEX(Raw_Schedule!D:D,MATCH(A841,Raw_Schedule!A:A,0))</f>
        <v/>
      </c>
      <c r="E841" s="3">
        <f>INDEX(Raw_Schedule!E:E,MATCH(A841,Raw_Schedule!A:A,0))</f>
        <v/>
      </c>
      <c r="F841" s="3">
        <f>INDEX(Raw_Schedule!F:F,MATCH(A841,Raw_Schedule!A:A,0))</f>
        <v/>
      </c>
      <c r="G841" s="4">
        <f>INDEX(Raw_Schedule!G:G,MATCH(A841,Raw_Schedule!A:A,0))</f>
        <v/>
      </c>
      <c r="H841" s="5">
        <f>INDEX(Raw_Schedule!H:H,MATCH(A841,Raw_Schedule!A:A,0))</f>
        <v/>
      </c>
      <c r="I841" s="5">
        <f>SUMIFS(Raw_Payments!E:E,Raw_Payments!B:B,A841)</f>
        <v/>
      </c>
      <c r="J841" s="5">
        <f>H841-I841</f>
        <v/>
      </c>
      <c r="K841" s="3">
        <f>IF(J841&lt;=0.005,"PAID",IF(I841&gt;0,"PARTIAL","OVERDUE"))</f>
        <v/>
      </c>
      <c r="L841" s="4">
        <f>IF(COUNTIFS(Raw_Payments!B:B,A841)=0,"",SUMPRODUCT(MAX((Raw_Payments!B$2:B$1079=A841)*Raw_Payments!D$2:D$1079)))</f>
        <v/>
      </c>
      <c r="M841" s="3">
        <f>IF(K841="PAID",MAX(0,L841-G841),Guide!$B$3-G841)</f>
        <v/>
      </c>
      <c r="N841" s="3">
        <f>IF(J841&lt;=0.005,"COLLECTED",IF(M841&lt;=30,"1-30",IF(M841&lt;=60,"31-60",IF(M841&lt;=90,"61-90","90+"))))</f>
        <v/>
      </c>
      <c r="O841" s="3">
        <f>IF(N841="90+","LOST",IF(N841="61-90","ESCALATE",IF(N841="31-60","WATCH",IF(N841="1-30","MILD","OK"))))</f>
        <v/>
      </c>
      <c r="P841" s="3">
        <f>IF(J841&gt;0.005,ROW()-1,"")</f>
        <v/>
      </c>
    </row>
    <row r="842">
      <c r="A842" s="3" t="inlineStr">
        <is>
          <t>D0841</t>
        </is>
      </c>
      <c r="B842" s="3">
        <f>INDEX(Raw_Schedule!B:B,MATCH(A842,Raw_Schedule!A:A,0))</f>
        <v/>
      </c>
      <c r="C842" s="3">
        <f>INDEX(Raw_Schedule!C:C,MATCH(A842,Raw_Schedule!A:A,0))</f>
        <v/>
      </c>
      <c r="D842" s="3">
        <f>INDEX(Raw_Schedule!D:D,MATCH(A842,Raw_Schedule!A:A,0))</f>
        <v/>
      </c>
      <c r="E842" s="3">
        <f>INDEX(Raw_Schedule!E:E,MATCH(A842,Raw_Schedule!A:A,0))</f>
        <v/>
      </c>
      <c r="F842" s="3">
        <f>INDEX(Raw_Schedule!F:F,MATCH(A842,Raw_Schedule!A:A,0))</f>
        <v/>
      </c>
      <c r="G842" s="4">
        <f>INDEX(Raw_Schedule!G:G,MATCH(A842,Raw_Schedule!A:A,0))</f>
        <v/>
      </c>
      <c r="H842" s="5">
        <f>INDEX(Raw_Schedule!H:H,MATCH(A842,Raw_Schedule!A:A,0))</f>
        <v/>
      </c>
      <c r="I842" s="5">
        <f>SUMIFS(Raw_Payments!E:E,Raw_Payments!B:B,A842)</f>
        <v/>
      </c>
      <c r="J842" s="5">
        <f>H842-I842</f>
        <v/>
      </c>
      <c r="K842" s="3">
        <f>IF(J842&lt;=0.005,"PAID",IF(I842&gt;0,"PARTIAL","OVERDUE"))</f>
        <v/>
      </c>
      <c r="L842" s="4">
        <f>IF(COUNTIFS(Raw_Payments!B:B,A842)=0,"",SUMPRODUCT(MAX((Raw_Payments!B$2:B$1079=A842)*Raw_Payments!D$2:D$1079)))</f>
        <v/>
      </c>
      <c r="M842" s="3">
        <f>IF(K842="PAID",MAX(0,L842-G842),Guide!$B$3-G842)</f>
        <v/>
      </c>
      <c r="N842" s="3">
        <f>IF(J842&lt;=0.005,"COLLECTED",IF(M842&lt;=30,"1-30",IF(M842&lt;=60,"31-60",IF(M842&lt;=90,"61-90","90+"))))</f>
        <v/>
      </c>
      <c r="O842" s="3">
        <f>IF(N842="90+","LOST",IF(N842="61-90","ESCALATE",IF(N842="31-60","WATCH",IF(N842="1-30","MILD","OK"))))</f>
        <v/>
      </c>
      <c r="P842" s="3">
        <f>IF(J842&gt;0.005,ROW()-1,"")</f>
        <v/>
      </c>
    </row>
    <row r="843">
      <c r="A843" s="3" t="inlineStr">
        <is>
          <t>D0842</t>
        </is>
      </c>
      <c r="B843" s="3">
        <f>INDEX(Raw_Schedule!B:B,MATCH(A843,Raw_Schedule!A:A,0))</f>
        <v/>
      </c>
      <c r="C843" s="3">
        <f>INDEX(Raw_Schedule!C:C,MATCH(A843,Raw_Schedule!A:A,0))</f>
        <v/>
      </c>
      <c r="D843" s="3">
        <f>INDEX(Raw_Schedule!D:D,MATCH(A843,Raw_Schedule!A:A,0))</f>
        <v/>
      </c>
      <c r="E843" s="3">
        <f>INDEX(Raw_Schedule!E:E,MATCH(A843,Raw_Schedule!A:A,0))</f>
        <v/>
      </c>
      <c r="F843" s="3">
        <f>INDEX(Raw_Schedule!F:F,MATCH(A843,Raw_Schedule!A:A,0))</f>
        <v/>
      </c>
      <c r="G843" s="4">
        <f>INDEX(Raw_Schedule!G:G,MATCH(A843,Raw_Schedule!A:A,0))</f>
        <v/>
      </c>
      <c r="H843" s="5">
        <f>INDEX(Raw_Schedule!H:H,MATCH(A843,Raw_Schedule!A:A,0))</f>
        <v/>
      </c>
      <c r="I843" s="5">
        <f>SUMIFS(Raw_Payments!E:E,Raw_Payments!B:B,A843)</f>
        <v/>
      </c>
      <c r="J843" s="5">
        <f>H843-I843</f>
        <v/>
      </c>
      <c r="K843" s="3">
        <f>IF(J843&lt;=0.005,"PAID",IF(I843&gt;0,"PARTIAL","OVERDUE"))</f>
        <v/>
      </c>
      <c r="L843" s="4">
        <f>IF(COUNTIFS(Raw_Payments!B:B,A843)=0,"",SUMPRODUCT(MAX((Raw_Payments!B$2:B$1079=A843)*Raw_Payments!D$2:D$1079)))</f>
        <v/>
      </c>
      <c r="M843" s="3">
        <f>IF(K843="PAID",MAX(0,L843-G843),Guide!$B$3-G843)</f>
        <v/>
      </c>
      <c r="N843" s="3">
        <f>IF(J843&lt;=0.005,"COLLECTED",IF(M843&lt;=30,"1-30",IF(M843&lt;=60,"31-60",IF(M843&lt;=90,"61-90","90+"))))</f>
        <v/>
      </c>
      <c r="O843" s="3">
        <f>IF(N843="90+","LOST",IF(N843="61-90","ESCALATE",IF(N843="31-60","WATCH",IF(N843="1-30","MILD","OK"))))</f>
        <v/>
      </c>
      <c r="P843" s="3">
        <f>IF(J843&gt;0.005,ROW()-1,"")</f>
        <v/>
      </c>
    </row>
    <row r="844">
      <c r="A844" s="3" t="inlineStr">
        <is>
          <t>D0843</t>
        </is>
      </c>
      <c r="B844" s="3">
        <f>INDEX(Raw_Schedule!B:B,MATCH(A844,Raw_Schedule!A:A,0))</f>
        <v/>
      </c>
      <c r="C844" s="3">
        <f>INDEX(Raw_Schedule!C:C,MATCH(A844,Raw_Schedule!A:A,0))</f>
        <v/>
      </c>
      <c r="D844" s="3">
        <f>INDEX(Raw_Schedule!D:D,MATCH(A844,Raw_Schedule!A:A,0))</f>
        <v/>
      </c>
      <c r="E844" s="3">
        <f>INDEX(Raw_Schedule!E:E,MATCH(A844,Raw_Schedule!A:A,0))</f>
        <v/>
      </c>
      <c r="F844" s="3">
        <f>INDEX(Raw_Schedule!F:F,MATCH(A844,Raw_Schedule!A:A,0))</f>
        <v/>
      </c>
      <c r="G844" s="4">
        <f>INDEX(Raw_Schedule!G:G,MATCH(A844,Raw_Schedule!A:A,0))</f>
        <v/>
      </c>
      <c r="H844" s="5">
        <f>INDEX(Raw_Schedule!H:H,MATCH(A844,Raw_Schedule!A:A,0))</f>
        <v/>
      </c>
      <c r="I844" s="5">
        <f>SUMIFS(Raw_Payments!E:E,Raw_Payments!B:B,A844)</f>
        <v/>
      </c>
      <c r="J844" s="5">
        <f>H844-I844</f>
        <v/>
      </c>
      <c r="K844" s="3">
        <f>IF(J844&lt;=0.005,"PAID",IF(I844&gt;0,"PARTIAL","OVERDUE"))</f>
        <v/>
      </c>
      <c r="L844" s="4">
        <f>IF(COUNTIFS(Raw_Payments!B:B,A844)=0,"",SUMPRODUCT(MAX((Raw_Payments!B$2:B$1079=A844)*Raw_Payments!D$2:D$1079)))</f>
        <v/>
      </c>
      <c r="M844" s="3">
        <f>IF(K844="PAID",MAX(0,L844-G844),Guide!$B$3-G844)</f>
        <v/>
      </c>
      <c r="N844" s="3">
        <f>IF(J844&lt;=0.005,"COLLECTED",IF(M844&lt;=30,"1-30",IF(M844&lt;=60,"31-60",IF(M844&lt;=90,"61-90","90+"))))</f>
        <v/>
      </c>
      <c r="O844" s="3">
        <f>IF(N844="90+","LOST",IF(N844="61-90","ESCALATE",IF(N844="31-60","WATCH",IF(N844="1-30","MILD","OK"))))</f>
        <v/>
      </c>
      <c r="P844" s="3">
        <f>IF(J844&gt;0.005,ROW()-1,"")</f>
        <v/>
      </c>
    </row>
    <row r="845">
      <c r="A845" s="3" t="inlineStr">
        <is>
          <t>D0844</t>
        </is>
      </c>
      <c r="B845" s="3">
        <f>INDEX(Raw_Schedule!B:B,MATCH(A845,Raw_Schedule!A:A,0))</f>
        <v/>
      </c>
      <c r="C845" s="3">
        <f>INDEX(Raw_Schedule!C:C,MATCH(A845,Raw_Schedule!A:A,0))</f>
        <v/>
      </c>
      <c r="D845" s="3">
        <f>INDEX(Raw_Schedule!D:D,MATCH(A845,Raw_Schedule!A:A,0))</f>
        <v/>
      </c>
      <c r="E845" s="3">
        <f>INDEX(Raw_Schedule!E:E,MATCH(A845,Raw_Schedule!A:A,0))</f>
        <v/>
      </c>
      <c r="F845" s="3">
        <f>INDEX(Raw_Schedule!F:F,MATCH(A845,Raw_Schedule!A:A,0))</f>
        <v/>
      </c>
      <c r="G845" s="4">
        <f>INDEX(Raw_Schedule!G:G,MATCH(A845,Raw_Schedule!A:A,0))</f>
        <v/>
      </c>
      <c r="H845" s="5">
        <f>INDEX(Raw_Schedule!H:H,MATCH(A845,Raw_Schedule!A:A,0))</f>
        <v/>
      </c>
      <c r="I845" s="5">
        <f>SUMIFS(Raw_Payments!E:E,Raw_Payments!B:B,A845)</f>
        <v/>
      </c>
      <c r="J845" s="5">
        <f>H845-I845</f>
        <v/>
      </c>
      <c r="K845" s="3">
        <f>IF(J845&lt;=0.005,"PAID",IF(I845&gt;0,"PARTIAL","OVERDUE"))</f>
        <v/>
      </c>
      <c r="L845" s="4">
        <f>IF(COUNTIFS(Raw_Payments!B:B,A845)=0,"",SUMPRODUCT(MAX((Raw_Payments!B$2:B$1079=A845)*Raw_Payments!D$2:D$1079)))</f>
        <v/>
      </c>
      <c r="M845" s="3">
        <f>IF(K845="PAID",MAX(0,L845-G845),Guide!$B$3-G845)</f>
        <v/>
      </c>
      <c r="N845" s="3">
        <f>IF(J845&lt;=0.005,"COLLECTED",IF(M845&lt;=30,"1-30",IF(M845&lt;=60,"31-60",IF(M845&lt;=90,"61-90","90+"))))</f>
        <v/>
      </c>
      <c r="O845" s="3">
        <f>IF(N845="90+","LOST",IF(N845="61-90","ESCALATE",IF(N845="31-60","WATCH",IF(N845="1-30","MILD","OK"))))</f>
        <v/>
      </c>
      <c r="P845" s="3">
        <f>IF(J845&gt;0.005,ROW()-1,"")</f>
        <v/>
      </c>
    </row>
    <row r="846">
      <c r="A846" s="3" t="inlineStr">
        <is>
          <t>D0845</t>
        </is>
      </c>
      <c r="B846" s="3">
        <f>INDEX(Raw_Schedule!B:B,MATCH(A846,Raw_Schedule!A:A,0))</f>
        <v/>
      </c>
      <c r="C846" s="3">
        <f>INDEX(Raw_Schedule!C:C,MATCH(A846,Raw_Schedule!A:A,0))</f>
        <v/>
      </c>
      <c r="D846" s="3">
        <f>INDEX(Raw_Schedule!D:D,MATCH(A846,Raw_Schedule!A:A,0))</f>
        <v/>
      </c>
      <c r="E846" s="3">
        <f>INDEX(Raw_Schedule!E:E,MATCH(A846,Raw_Schedule!A:A,0))</f>
        <v/>
      </c>
      <c r="F846" s="3">
        <f>INDEX(Raw_Schedule!F:F,MATCH(A846,Raw_Schedule!A:A,0))</f>
        <v/>
      </c>
      <c r="G846" s="4">
        <f>INDEX(Raw_Schedule!G:G,MATCH(A846,Raw_Schedule!A:A,0))</f>
        <v/>
      </c>
      <c r="H846" s="5">
        <f>INDEX(Raw_Schedule!H:H,MATCH(A846,Raw_Schedule!A:A,0))</f>
        <v/>
      </c>
      <c r="I846" s="5">
        <f>SUMIFS(Raw_Payments!E:E,Raw_Payments!B:B,A846)</f>
        <v/>
      </c>
      <c r="J846" s="5">
        <f>H846-I846</f>
        <v/>
      </c>
      <c r="K846" s="3">
        <f>IF(J846&lt;=0.005,"PAID",IF(I846&gt;0,"PARTIAL","OVERDUE"))</f>
        <v/>
      </c>
      <c r="L846" s="4">
        <f>IF(COUNTIFS(Raw_Payments!B:B,A846)=0,"",SUMPRODUCT(MAX((Raw_Payments!B$2:B$1079=A846)*Raw_Payments!D$2:D$1079)))</f>
        <v/>
      </c>
      <c r="M846" s="3">
        <f>IF(K846="PAID",MAX(0,L846-G846),Guide!$B$3-G846)</f>
        <v/>
      </c>
      <c r="N846" s="3">
        <f>IF(J846&lt;=0.005,"COLLECTED",IF(M846&lt;=30,"1-30",IF(M846&lt;=60,"31-60",IF(M846&lt;=90,"61-90","90+"))))</f>
        <v/>
      </c>
      <c r="O846" s="3">
        <f>IF(N846="90+","LOST",IF(N846="61-90","ESCALATE",IF(N846="31-60","WATCH",IF(N846="1-30","MILD","OK"))))</f>
        <v/>
      </c>
      <c r="P846" s="3">
        <f>IF(J846&gt;0.005,ROW()-1,"")</f>
        <v/>
      </c>
    </row>
    <row r="847">
      <c r="A847" s="3" t="inlineStr">
        <is>
          <t>D0846</t>
        </is>
      </c>
      <c r="B847" s="3">
        <f>INDEX(Raw_Schedule!B:B,MATCH(A847,Raw_Schedule!A:A,0))</f>
        <v/>
      </c>
      <c r="C847" s="3">
        <f>INDEX(Raw_Schedule!C:C,MATCH(A847,Raw_Schedule!A:A,0))</f>
        <v/>
      </c>
      <c r="D847" s="3">
        <f>INDEX(Raw_Schedule!D:D,MATCH(A847,Raw_Schedule!A:A,0))</f>
        <v/>
      </c>
      <c r="E847" s="3">
        <f>INDEX(Raw_Schedule!E:E,MATCH(A847,Raw_Schedule!A:A,0))</f>
        <v/>
      </c>
      <c r="F847" s="3">
        <f>INDEX(Raw_Schedule!F:F,MATCH(A847,Raw_Schedule!A:A,0))</f>
        <v/>
      </c>
      <c r="G847" s="4">
        <f>INDEX(Raw_Schedule!G:G,MATCH(A847,Raw_Schedule!A:A,0))</f>
        <v/>
      </c>
      <c r="H847" s="5">
        <f>INDEX(Raw_Schedule!H:H,MATCH(A847,Raw_Schedule!A:A,0))</f>
        <v/>
      </c>
      <c r="I847" s="5">
        <f>SUMIFS(Raw_Payments!E:E,Raw_Payments!B:B,A847)</f>
        <v/>
      </c>
      <c r="J847" s="5">
        <f>H847-I847</f>
        <v/>
      </c>
      <c r="K847" s="3">
        <f>IF(J847&lt;=0.005,"PAID",IF(I847&gt;0,"PARTIAL","OVERDUE"))</f>
        <v/>
      </c>
      <c r="L847" s="4">
        <f>IF(COUNTIFS(Raw_Payments!B:B,A847)=0,"",SUMPRODUCT(MAX((Raw_Payments!B$2:B$1079=A847)*Raw_Payments!D$2:D$1079)))</f>
        <v/>
      </c>
      <c r="M847" s="3">
        <f>IF(K847="PAID",MAX(0,L847-G847),Guide!$B$3-G847)</f>
        <v/>
      </c>
      <c r="N847" s="3">
        <f>IF(J847&lt;=0.005,"COLLECTED",IF(M847&lt;=30,"1-30",IF(M847&lt;=60,"31-60",IF(M847&lt;=90,"61-90","90+"))))</f>
        <v/>
      </c>
      <c r="O847" s="3">
        <f>IF(N847="90+","LOST",IF(N847="61-90","ESCALATE",IF(N847="31-60","WATCH",IF(N847="1-30","MILD","OK"))))</f>
        <v/>
      </c>
      <c r="P847" s="3">
        <f>IF(J847&gt;0.005,ROW()-1,"")</f>
        <v/>
      </c>
    </row>
    <row r="848">
      <c r="A848" s="3" t="inlineStr">
        <is>
          <t>D0847</t>
        </is>
      </c>
      <c r="B848" s="3">
        <f>INDEX(Raw_Schedule!B:B,MATCH(A848,Raw_Schedule!A:A,0))</f>
        <v/>
      </c>
      <c r="C848" s="3">
        <f>INDEX(Raw_Schedule!C:C,MATCH(A848,Raw_Schedule!A:A,0))</f>
        <v/>
      </c>
      <c r="D848" s="3">
        <f>INDEX(Raw_Schedule!D:D,MATCH(A848,Raw_Schedule!A:A,0))</f>
        <v/>
      </c>
      <c r="E848" s="3">
        <f>INDEX(Raw_Schedule!E:E,MATCH(A848,Raw_Schedule!A:A,0))</f>
        <v/>
      </c>
      <c r="F848" s="3">
        <f>INDEX(Raw_Schedule!F:F,MATCH(A848,Raw_Schedule!A:A,0))</f>
        <v/>
      </c>
      <c r="G848" s="4">
        <f>INDEX(Raw_Schedule!G:G,MATCH(A848,Raw_Schedule!A:A,0))</f>
        <v/>
      </c>
      <c r="H848" s="5">
        <f>INDEX(Raw_Schedule!H:H,MATCH(A848,Raw_Schedule!A:A,0))</f>
        <v/>
      </c>
      <c r="I848" s="5">
        <f>SUMIFS(Raw_Payments!E:E,Raw_Payments!B:B,A848)</f>
        <v/>
      </c>
      <c r="J848" s="5">
        <f>H848-I848</f>
        <v/>
      </c>
      <c r="K848" s="3">
        <f>IF(J848&lt;=0.005,"PAID",IF(I848&gt;0,"PARTIAL","OVERDUE"))</f>
        <v/>
      </c>
      <c r="L848" s="4">
        <f>IF(COUNTIFS(Raw_Payments!B:B,A848)=0,"",SUMPRODUCT(MAX((Raw_Payments!B$2:B$1079=A848)*Raw_Payments!D$2:D$1079)))</f>
        <v/>
      </c>
      <c r="M848" s="3">
        <f>IF(K848="PAID",MAX(0,L848-G848),Guide!$B$3-G848)</f>
        <v/>
      </c>
      <c r="N848" s="3">
        <f>IF(J848&lt;=0.005,"COLLECTED",IF(M848&lt;=30,"1-30",IF(M848&lt;=60,"31-60",IF(M848&lt;=90,"61-90","90+"))))</f>
        <v/>
      </c>
      <c r="O848" s="3">
        <f>IF(N848="90+","LOST",IF(N848="61-90","ESCALATE",IF(N848="31-60","WATCH",IF(N848="1-30","MILD","OK"))))</f>
        <v/>
      </c>
      <c r="P848" s="3">
        <f>IF(J848&gt;0.005,ROW()-1,"")</f>
        <v/>
      </c>
    </row>
    <row r="849">
      <c r="A849" s="3" t="inlineStr">
        <is>
          <t>D0848</t>
        </is>
      </c>
      <c r="B849" s="3">
        <f>INDEX(Raw_Schedule!B:B,MATCH(A849,Raw_Schedule!A:A,0))</f>
        <v/>
      </c>
      <c r="C849" s="3">
        <f>INDEX(Raw_Schedule!C:C,MATCH(A849,Raw_Schedule!A:A,0))</f>
        <v/>
      </c>
      <c r="D849" s="3">
        <f>INDEX(Raw_Schedule!D:D,MATCH(A849,Raw_Schedule!A:A,0))</f>
        <v/>
      </c>
      <c r="E849" s="3">
        <f>INDEX(Raw_Schedule!E:E,MATCH(A849,Raw_Schedule!A:A,0))</f>
        <v/>
      </c>
      <c r="F849" s="3">
        <f>INDEX(Raw_Schedule!F:F,MATCH(A849,Raw_Schedule!A:A,0))</f>
        <v/>
      </c>
      <c r="G849" s="4">
        <f>INDEX(Raw_Schedule!G:G,MATCH(A849,Raw_Schedule!A:A,0))</f>
        <v/>
      </c>
      <c r="H849" s="5">
        <f>INDEX(Raw_Schedule!H:H,MATCH(A849,Raw_Schedule!A:A,0))</f>
        <v/>
      </c>
      <c r="I849" s="5">
        <f>SUMIFS(Raw_Payments!E:E,Raw_Payments!B:B,A849)</f>
        <v/>
      </c>
      <c r="J849" s="5">
        <f>H849-I849</f>
        <v/>
      </c>
      <c r="K849" s="3">
        <f>IF(J849&lt;=0.005,"PAID",IF(I849&gt;0,"PARTIAL","OVERDUE"))</f>
        <v/>
      </c>
      <c r="L849" s="4">
        <f>IF(COUNTIFS(Raw_Payments!B:B,A849)=0,"",SUMPRODUCT(MAX((Raw_Payments!B$2:B$1079=A849)*Raw_Payments!D$2:D$1079)))</f>
        <v/>
      </c>
      <c r="M849" s="3">
        <f>IF(K849="PAID",MAX(0,L849-G849),Guide!$B$3-G849)</f>
        <v/>
      </c>
      <c r="N849" s="3">
        <f>IF(J849&lt;=0.005,"COLLECTED",IF(M849&lt;=30,"1-30",IF(M849&lt;=60,"31-60",IF(M849&lt;=90,"61-90","90+"))))</f>
        <v/>
      </c>
      <c r="O849" s="3">
        <f>IF(N849="90+","LOST",IF(N849="61-90","ESCALATE",IF(N849="31-60","WATCH",IF(N849="1-30","MILD","OK"))))</f>
        <v/>
      </c>
      <c r="P849" s="3">
        <f>IF(J849&gt;0.005,ROW()-1,"")</f>
        <v/>
      </c>
    </row>
    <row r="850">
      <c r="A850" s="3" t="inlineStr">
        <is>
          <t>D0849</t>
        </is>
      </c>
      <c r="B850" s="3">
        <f>INDEX(Raw_Schedule!B:B,MATCH(A850,Raw_Schedule!A:A,0))</f>
        <v/>
      </c>
      <c r="C850" s="3">
        <f>INDEX(Raw_Schedule!C:C,MATCH(A850,Raw_Schedule!A:A,0))</f>
        <v/>
      </c>
      <c r="D850" s="3">
        <f>INDEX(Raw_Schedule!D:D,MATCH(A850,Raw_Schedule!A:A,0))</f>
        <v/>
      </c>
      <c r="E850" s="3">
        <f>INDEX(Raw_Schedule!E:E,MATCH(A850,Raw_Schedule!A:A,0))</f>
        <v/>
      </c>
      <c r="F850" s="3">
        <f>INDEX(Raw_Schedule!F:F,MATCH(A850,Raw_Schedule!A:A,0))</f>
        <v/>
      </c>
      <c r="G850" s="4">
        <f>INDEX(Raw_Schedule!G:G,MATCH(A850,Raw_Schedule!A:A,0))</f>
        <v/>
      </c>
      <c r="H850" s="5">
        <f>INDEX(Raw_Schedule!H:H,MATCH(A850,Raw_Schedule!A:A,0))</f>
        <v/>
      </c>
      <c r="I850" s="5">
        <f>SUMIFS(Raw_Payments!E:E,Raw_Payments!B:B,A850)</f>
        <v/>
      </c>
      <c r="J850" s="5">
        <f>H850-I850</f>
        <v/>
      </c>
      <c r="K850" s="3">
        <f>IF(J850&lt;=0.005,"PAID",IF(I850&gt;0,"PARTIAL","OVERDUE"))</f>
        <v/>
      </c>
      <c r="L850" s="4">
        <f>IF(COUNTIFS(Raw_Payments!B:B,A850)=0,"",SUMPRODUCT(MAX((Raw_Payments!B$2:B$1079=A850)*Raw_Payments!D$2:D$1079)))</f>
        <v/>
      </c>
      <c r="M850" s="3">
        <f>IF(K850="PAID",MAX(0,L850-G850),Guide!$B$3-G850)</f>
        <v/>
      </c>
      <c r="N850" s="3">
        <f>IF(J850&lt;=0.005,"COLLECTED",IF(M850&lt;=30,"1-30",IF(M850&lt;=60,"31-60",IF(M850&lt;=90,"61-90","90+"))))</f>
        <v/>
      </c>
      <c r="O850" s="3">
        <f>IF(N850="90+","LOST",IF(N850="61-90","ESCALATE",IF(N850="31-60","WATCH",IF(N850="1-30","MILD","OK"))))</f>
        <v/>
      </c>
      <c r="P850" s="3">
        <f>IF(J850&gt;0.005,ROW()-1,"")</f>
        <v/>
      </c>
    </row>
    <row r="851">
      <c r="A851" s="3" t="inlineStr">
        <is>
          <t>D0850</t>
        </is>
      </c>
      <c r="B851" s="3">
        <f>INDEX(Raw_Schedule!B:B,MATCH(A851,Raw_Schedule!A:A,0))</f>
        <v/>
      </c>
      <c r="C851" s="3">
        <f>INDEX(Raw_Schedule!C:C,MATCH(A851,Raw_Schedule!A:A,0))</f>
        <v/>
      </c>
      <c r="D851" s="3">
        <f>INDEX(Raw_Schedule!D:D,MATCH(A851,Raw_Schedule!A:A,0))</f>
        <v/>
      </c>
      <c r="E851" s="3">
        <f>INDEX(Raw_Schedule!E:E,MATCH(A851,Raw_Schedule!A:A,0))</f>
        <v/>
      </c>
      <c r="F851" s="3">
        <f>INDEX(Raw_Schedule!F:F,MATCH(A851,Raw_Schedule!A:A,0))</f>
        <v/>
      </c>
      <c r="G851" s="4">
        <f>INDEX(Raw_Schedule!G:G,MATCH(A851,Raw_Schedule!A:A,0))</f>
        <v/>
      </c>
      <c r="H851" s="5">
        <f>INDEX(Raw_Schedule!H:H,MATCH(A851,Raw_Schedule!A:A,0))</f>
        <v/>
      </c>
      <c r="I851" s="5">
        <f>SUMIFS(Raw_Payments!E:E,Raw_Payments!B:B,A851)</f>
        <v/>
      </c>
      <c r="J851" s="5">
        <f>H851-I851</f>
        <v/>
      </c>
      <c r="K851" s="3">
        <f>IF(J851&lt;=0.005,"PAID",IF(I851&gt;0,"PARTIAL","OVERDUE"))</f>
        <v/>
      </c>
      <c r="L851" s="4">
        <f>IF(COUNTIFS(Raw_Payments!B:B,A851)=0,"",SUMPRODUCT(MAX((Raw_Payments!B$2:B$1079=A851)*Raw_Payments!D$2:D$1079)))</f>
        <v/>
      </c>
      <c r="M851" s="3">
        <f>IF(K851="PAID",MAX(0,L851-G851),Guide!$B$3-G851)</f>
        <v/>
      </c>
      <c r="N851" s="3">
        <f>IF(J851&lt;=0.005,"COLLECTED",IF(M851&lt;=30,"1-30",IF(M851&lt;=60,"31-60",IF(M851&lt;=90,"61-90","90+"))))</f>
        <v/>
      </c>
      <c r="O851" s="3">
        <f>IF(N851="90+","LOST",IF(N851="61-90","ESCALATE",IF(N851="31-60","WATCH",IF(N851="1-30","MILD","OK"))))</f>
        <v/>
      </c>
      <c r="P851" s="3">
        <f>IF(J851&gt;0.005,ROW()-1,"")</f>
        <v/>
      </c>
    </row>
    <row r="852">
      <c r="A852" s="3" t="inlineStr">
        <is>
          <t>D0851</t>
        </is>
      </c>
      <c r="B852" s="3">
        <f>INDEX(Raw_Schedule!B:B,MATCH(A852,Raw_Schedule!A:A,0))</f>
        <v/>
      </c>
      <c r="C852" s="3">
        <f>INDEX(Raw_Schedule!C:C,MATCH(A852,Raw_Schedule!A:A,0))</f>
        <v/>
      </c>
      <c r="D852" s="3">
        <f>INDEX(Raw_Schedule!D:D,MATCH(A852,Raw_Schedule!A:A,0))</f>
        <v/>
      </c>
      <c r="E852" s="3">
        <f>INDEX(Raw_Schedule!E:E,MATCH(A852,Raw_Schedule!A:A,0))</f>
        <v/>
      </c>
      <c r="F852" s="3">
        <f>INDEX(Raw_Schedule!F:F,MATCH(A852,Raw_Schedule!A:A,0))</f>
        <v/>
      </c>
      <c r="G852" s="4">
        <f>INDEX(Raw_Schedule!G:G,MATCH(A852,Raw_Schedule!A:A,0))</f>
        <v/>
      </c>
      <c r="H852" s="5">
        <f>INDEX(Raw_Schedule!H:H,MATCH(A852,Raw_Schedule!A:A,0))</f>
        <v/>
      </c>
      <c r="I852" s="5">
        <f>SUMIFS(Raw_Payments!E:E,Raw_Payments!B:B,A852)</f>
        <v/>
      </c>
      <c r="J852" s="5">
        <f>H852-I852</f>
        <v/>
      </c>
      <c r="K852" s="3">
        <f>IF(J852&lt;=0.005,"PAID",IF(I852&gt;0,"PARTIAL","OVERDUE"))</f>
        <v/>
      </c>
      <c r="L852" s="4">
        <f>IF(COUNTIFS(Raw_Payments!B:B,A852)=0,"",SUMPRODUCT(MAX((Raw_Payments!B$2:B$1079=A852)*Raw_Payments!D$2:D$1079)))</f>
        <v/>
      </c>
      <c r="M852" s="3">
        <f>IF(K852="PAID",MAX(0,L852-G852),Guide!$B$3-G852)</f>
        <v/>
      </c>
      <c r="N852" s="3">
        <f>IF(J852&lt;=0.005,"COLLECTED",IF(M852&lt;=30,"1-30",IF(M852&lt;=60,"31-60",IF(M852&lt;=90,"61-90","90+"))))</f>
        <v/>
      </c>
      <c r="O852" s="3">
        <f>IF(N852="90+","LOST",IF(N852="61-90","ESCALATE",IF(N852="31-60","WATCH",IF(N852="1-30","MILD","OK"))))</f>
        <v/>
      </c>
      <c r="P852" s="3">
        <f>IF(J852&gt;0.005,ROW()-1,"")</f>
        <v/>
      </c>
    </row>
    <row r="853">
      <c r="A853" s="3" t="inlineStr">
        <is>
          <t>D0852</t>
        </is>
      </c>
      <c r="B853" s="3">
        <f>INDEX(Raw_Schedule!B:B,MATCH(A853,Raw_Schedule!A:A,0))</f>
        <v/>
      </c>
      <c r="C853" s="3">
        <f>INDEX(Raw_Schedule!C:C,MATCH(A853,Raw_Schedule!A:A,0))</f>
        <v/>
      </c>
      <c r="D853" s="3">
        <f>INDEX(Raw_Schedule!D:D,MATCH(A853,Raw_Schedule!A:A,0))</f>
        <v/>
      </c>
      <c r="E853" s="3">
        <f>INDEX(Raw_Schedule!E:E,MATCH(A853,Raw_Schedule!A:A,0))</f>
        <v/>
      </c>
      <c r="F853" s="3">
        <f>INDEX(Raw_Schedule!F:F,MATCH(A853,Raw_Schedule!A:A,0))</f>
        <v/>
      </c>
      <c r="G853" s="4">
        <f>INDEX(Raw_Schedule!G:G,MATCH(A853,Raw_Schedule!A:A,0))</f>
        <v/>
      </c>
      <c r="H853" s="5">
        <f>INDEX(Raw_Schedule!H:H,MATCH(A853,Raw_Schedule!A:A,0))</f>
        <v/>
      </c>
      <c r="I853" s="5">
        <f>SUMIFS(Raw_Payments!E:E,Raw_Payments!B:B,A853)</f>
        <v/>
      </c>
      <c r="J853" s="5">
        <f>H853-I853</f>
        <v/>
      </c>
      <c r="K853" s="3">
        <f>IF(J853&lt;=0.005,"PAID",IF(I853&gt;0,"PARTIAL","OVERDUE"))</f>
        <v/>
      </c>
      <c r="L853" s="4">
        <f>IF(COUNTIFS(Raw_Payments!B:B,A853)=0,"",SUMPRODUCT(MAX((Raw_Payments!B$2:B$1079=A853)*Raw_Payments!D$2:D$1079)))</f>
        <v/>
      </c>
      <c r="M853" s="3">
        <f>IF(K853="PAID",MAX(0,L853-G853),Guide!$B$3-G853)</f>
        <v/>
      </c>
      <c r="N853" s="3">
        <f>IF(J853&lt;=0.005,"COLLECTED",IF(M853&lt;=30,"1-30",IF(M853&lt;=60,"31-60",IF(M853&lt;=90,"61-90","90+"))))</f>
        <v/>
      </c>
      <c r="O853" s="3">
        <f>IF(N853="90+","LOST",IF(N853="61-90","ESCALATE",IF(N853="31-60","WATCH",IF(N853="1-30","MILD","OK"))))</f>
        <v/>
      </c>
      <c r="P853" s="3">
        <f>IF(J853&gt;0.005,ROW()-1,"")</f>
        <v/>
      </c>
    </row>
    <row r="854">
      <c r="A854" s="3" t="inlineStr">
        <is>
          <t>D0853</t>
        </is>
      </c>
      <c r="B854" s="3">
        <f>INDEX(Raw_Schedule!B:B,MATCH(A854,Raw_Schedule!A:A,0))</f>
        <v/>
      </c>
      <c r="C854" s="3">
        <f>INDEX(Raw_Schedule!C:C,MATCH(A854,Raw_Schedule!A:A,0))</f>
        <v/>
      </c>
      <c r="D854" s="3">
        <f>INDEX(Raw_Schedule!D:D,MATCH(A854,Raw_Schedule!A:A,0))</f>
        <v/>
      </c>
      <c r="E854" s="3">
        <f>INDEX(Raw_Schedule!E:E,MATCH(A854,Raw_Schedule!A:A,0))</f>
        <v/>
      </c>
      <c r="F854" s="3">
        <f>INDEX(Raw_Schedule!F:F,MATCH(A854,Raw_Schedule!A:A,0))</f>
        <v/>
      </c>
      <c r="G854" s="4">
        <f>INDEX(Raw_Schedule!G:G,MATCH(A854,Raw_Schedule!A:A,0))</f>
        <v/>
      </c>
      <c r="H854" s="5">
        <f>INDEX(Raw_Schedule!H:H,MATCH(A854,Raw_Schedule!A:A,0))</f>
        <v/>
      </c>
      <c r="I854" s="5">
        <f>SUMIFS(Raw_Payments!E:E,Raw_Payments!B:B,A854)</f>
        <v/>
      </c>
      <c r="J854" s="5">
        <f>H854-I854</f>
        <v/>
      </c>
      <c r="K854" s="3">
        <f>IF(J854&lt;=0.005,"PAID",IF(I854&gt;0,"PARTIAL","OVERDUE"))</f>
        <v/>
      </c>
      <c r="L854" s="4">
        <f>IF(COUNTIFS(Raw_Payments!B:B,A854)=0,"",SUMPRODUCT(MAX((Raw_Payments!B$2:B$1079=A854)*Raw_Payments!D$2:D$1079)))</f>
        <v/>
      </c>
      <c r="M854" s="3">
        <f>IF(K854="PAID",MAX(0,L854-G854),Guide!$B$3-G854)</f>
        <v/>
      </c>
      <c r="N854" s="3">
        <f>IF(J854&lt;=0.005,"COLLECTED",IF(M854&lt;=30,"1-30",IF(M854&lt;=60,"31-60",IF(M854&lt;=90,"61-90","90+"))))</f>
        <v/>
      </c>
      <c r="O854" s="3">
        <f>IF(N854="90+","LOST",IF(N854="61-90","ESCALATE",IF(N854="31-60","WATCH",IF(N854="1-30","MILD","OK"))))</f>
        <v/>
      </c>
      <c r="P854" s="3">
        <f>IF(J854&gt;0.005,ROW()-1,"")</f>
        <v/>
      </c>
    </row>
    <row r="855">
      <c r="A855" s="3" t="inlineStr">
        <is>
          <t>D0854</t>
        </is>
      </c>
      <c r="B855" s="3">
        <f>INDEX(Raw_Schedule!B:B,MATCH(A855,Raw_Schedule!A:A,0))</f>
        <v/>
      </c>
      <c r="C855" s="3">
        <f>INDEX(Raw_Schedule!C:C,MATCH(A855,Raw_Schedule!A:A,0))</f>
        <v/>
      </c>
      <c r="D855" s="3">
        <f>INDEX(Raw_Schedule!D:D,MATCH(A855,Raw_Schedule!A:A,0))</f>
        <v/>
      </c>
      <c r="E855" s="3">
        <f>INDEX(Raw_Schedule!E:E,MATCH(A855,Raw_Schedule!A:A,0))</f>
        <v/>
      </c>
      <c r="F855" s="3">
        <f>INDEX(Raw_Schedule!F:F,MATCH(A855,Raw_Schedule!A:A,0))</f>
        <v/>
      </c>
      <c r="G855" s="4">
        <f>INDEX(Raw_Schedule!G:G,MATCH(A855,Raw_Schedule!A:A,0))</f>
        <v/>
      </c>
      <c r="H855" s="5">
        <f>INDEX(Raw_Schedule!H:H,MATCH(A855,Raw_Schedule!A:A,0))</f>
        <v/>
      </c>
      <c r="I855" s="5">
        <f>SUMIFS(Raw_Payments!E:E,Raw_Payments!B:B,A855)</f>
        <v/>
      </c>
      <c r="J855" s="5">
        <f>H855-I855</f>
        <v/>
      </c>
      <c r="K855" s="3">
        <f>IF(J855&lt;=0.005,"PAID",IF(I855&gt;0,"PARTIAL","OVERDUE"))</f>
        <v/>
      </c>
      <c r="L855" s="4">
        <f>IF(COUNTIFS(Raw_Payments!B:B,A855)=0,"",SUMPRODUCT(MAX((Raw_Payments!B$2:B$1079=A855)*Raw_Payments!D$2:D$1079)))</f>
        <v/>
      </c>
      <c r="M855" s="3">
        <f>IF(K855="PAID",MAX(0,L855-G855),Guide!$B$3-G855)</f>
        <v/>
      </c>
      <c r="N855" s="3">
        <f>IF(J855&lt;=0.005,"COLLECTED",IF(M855&lt;=30,"1-30",IF(M855&lt;=60,"31-60",IF(M855&lt;=90,"61-90","90+"))))</f>
        <v/>
      </c>
      <c r="O855" s="3">
        <f>IF(N855="90+","LOST",IF(N855="61-90","ESCALATE",IF(N855="31-60","WATCH",IF(N855="1-30","MILD","OK"))))</f>
        <v/>
      </c>
      <c r="P855" s="3">
        <f>IF(J855&gt;0.005,ROW()-1,"")</f>
        <v/>
      </c>
    </row>
    <row r="856">
      <c r="A856" s="3" t="inlineStr">
        <is>
          <t>D0855</t>
        </is>
      </c>
      <c r="B856" s="3">
        <f>INDEX(Raw_Schedule!B:B,MATCH(A856,Raw_Schedule!A:A,0))</f>
        <v/>
      </c>
      <c r="C856" s="3">
        <f>INDEX(Raw_Schedule!C:C,MATCH(A856,Raw_Schedule!A:A,0))</f>
        <v/>
      </c>
      <c r="D856" s="3">
        <f>INDEX(Raw_Schedule!D:D,MATCH(A856,Raw_Schedule!A:A,0))</f>
        <v/>
      </c>
      <c r="E856" s="3">
        <f>INDEX(Raw_Schedule!E:E,MATCH(A856,Raw_Schedule!A:A,0))</f>
        <v/>
      </c>
      <c r="F856" s="3">
        <f>INDEX(Raw_Schedule!F:F,MATCH(A856,Raw_Schedule!A:A,0))</f>
        <v/>
      </c>
      <c r="G856" s="4">
        <f>INDEX(Raw_Schedule!G:G,MATCH(A856,Raw_Schedule!A:A,0))</f>
        <v/>
      </c>
      <c r="H856" s="5">
        <f>INDEX(Raw_Schedule!H:H,MATCH(A856,Raw_Schedule!A:A,0))</f>
        <v/>
      </c>
      <c r="I856" s="5">
        <f>SUMIFS(Raw_Payments!E:E,Raw_Payments!B:B,A856)</f>
        <v/>
      </c>
      <c r="J856" s="5">
        <f>H856-I856</f>
        <v/>
      </c>
      <c r="K856" s="3">
        <f>IF(J856&lt;=0.005,"PAID",IF(I856&gt;0,"PARTIAL","OVERDUE"))</f>
        <v/>
      </c>
      <c r="L856" s="4">
        <f>IF(COUNTIFS(Raw_Payments!B:B,A856)=0,"",SUMPRODUCT(MAX((Raw_Payments!B$2:B$1079=A856)*Raw_Payments!D$2:D$1079)))</f>
        <v/>
      </c>
      <c r="M856" s="3">
        <f>IF(K856="PAID",MAX(0,L856-G856),Guide!$B$3-G856)</f>
        <v/>
      </c>
      <c r="N856" s="3">
        <f>IF(J856&lt;=0.005,"COLLECTED",IF(M856&lt;=30,"1-30",IF(M856&lt;=60,"31-60",IF(M856&lt;=90,"61-90","90+"))))</f>
        <v/>
      </c>
      <c r="O856" s="3">
        <f>IF(N856="90+","LOST",IF(N856="61-90","ESCALATE",IF(N856="31-60","WATCH",IF(N856="1-30","MILD","OK"))))</f>
        <v/>
      </c>
      <c r="P856" s="3">
        <f>IF(J856&gt;0.005,ROW()-1,"")</f>
        <v/>
      </c>
    </row>
    <row r="857">
      <c r="A857" s="3" t="inlineStr">
        <is>
          <t>D0856</t>
        </is>
      </c>
      <c r="B857" s="3">
        <f>INDEX(Raw_Schedule!B:B,MATCH(A857,Raw_Schedule!A:A,0))</f>
        <v/>
      </c>
      <c r="C857" s="3">
        <f>INDEX(Raw_Schedule!C:C,MATCH(A857,Raw_Schedule!A:A,0))</f>
        <v/>
      </c>
      <c r="D857" s="3">
        <f>INDEX(Raw_Schedule!D:D,MATCH(A857,Raw_Schedule!A:A,0))</f>
        <v/>
      </c>
      <c r="E857" s="3">
        <f>INDEX(Raw_Schedule!E:E,MATCH(A857,Raw_Schedule!A:A,0))</f>
        <v/>
      </c>
      <c r="F857" s="3">
        <f>INDEX(Raw_Schedule!F:F,MATCH(A857,Raw_Schedule!A:A,0))</f>
        <v/>
      </c>
      <c r="G857" s="4">
        <f>INDEX(Raw_Schedule!G:G,MATCH(A857,Raw_Schedule!A:A,0))</f>
        <v/>
      </c>
      <c r="H857" s="5">
        <f>INDEX(Raw_Schedule!H:H,MATCH(A857,Raw_Schedule!A:A,0))</f>
        <v/>
      </c>
      <c r="I857" s="5">
        <f>SUMIFS(Raw_Payments!E:E,Raw_Payments!B:B,A857)</f>
        <v/>
      </c>
      <c r="J857" s="5">
        <f>H857-I857</f>
        <v/>
      </c>
      <c r="K857" s="3">
        <f>IF(J857&lt;=0.005,"PAID",IF(I857&gt;0,"PARTIAL","OVERDUE"))</f>
        <v/>
      </c>
      <c r="L857" s="4">
        <f>IF(COUNTIFS(Raw_Payments!B:B,A857)=0,"",SUMPRODUCT(MAX((Raw_Payments!B$2:B$1079=A857)*Raw_Payments!D$2:D$1079)))</f>
        <v/>
      </c>
      <c r="M857" s="3">
        <f>IF(K857="PAID",MAX(0,L857-G857),Guide!$B$3-G857)</f>
        <v/>
      </c>
      <c r="N857" s="3">
        <f>IF(J857&lt;=0.005,"COLLECTED",IF(M857&lt;=30,"1-30",IF(M857&lt;=60,"31-60",IF(M857&lt;=90,"61-90","90+"))))</f>
        <v/>
      </c>
      <c r="O857" s="3">
        <f>IF(N857="90+","LOST",IF(N857="61-90","ESCALATE",IF(N857="31-60","WATCH",IF(N857="1-30","MILD","OK"))))</f>
        <v/>
      </c>
      <c r="P857" s="3">
        <f>IF(J857&gt;0.005,ROW()-1,"")</f>
        <v/>
      </c>
    </row>
    <row r="858">
      <c r="A858" s="3" t="inlineStr">
        <is>
          <t>D0857</t>
        </is>
      </c>
      <c r="B858" s="3">
        <f>INDEX(Raw_Schedule!B:B,MATCH(A858,Raw_Schedule!A:A,0))</f>
        <v/>
      </c>
      <c r="C858" s="3">
        <f>INDEX(Raw_Schedule!C:C,MATCH(A858,Raw_Schedule!A:A,0))</f>
        <v/>
      </c>
      <c r="D858" s="3">
        <f>INDEX(Raw_Schedule!D:D,MATCH(A858,Raw_Schedule!A:A,0))</f>
        <v/>
      </c>
      <c r="E858" s="3">
        <f>INDEX(Raw_Schedule!E:E,MATCH(A858,Raw_Schedule!A:A,0))</f>
        <v/>
      </c>
      <c r="F858" s="3">
        <f>INDEX(Raw_Schedule!F:F,MATCH(A858,Raw_Schedule!A:A,0))</f>
        <v/>
      </c>
      <c r="G858" s="4">
        <f>INDEX(Raw_Schedule!G:G,MATCH(A858,Raw_Schedule!A:A,0))</f>
        <v/>
      </c>
      <c r="H858" s="5">
        <f>INDEX(Raw_Schedule!H:H,MATCH(A858,Raw_Schedule!A:A,0))</f>
        <v/>
      </c>
      <c r="I858" s="5">
        <f>SUMIFS(Raw_Payments!E:E,Raw_Payments!B:B,A858)</f>
        <v/>
      </c>
      <c r="J858" s="5">
        <f>H858-I858</f>
        <v/>
      </c>
      <c r="K858" s="3">
        <f>IF(J858&lt;=0.005,"PAID",IF(I858&gt;0,"PARTIAL","OVERDUE"))</f>
        <v/>
      </c>
      <c r="L858" s="4">
        <f>IF(COUNTIFS(Raw_Payments!B:B,A858)=0,"",SUMPRODUCT(MAX((Raw_Payments!B$2:B$1079=A858)*Raw_Payments!D$2:D$1079)))</f>
        <v/>
      </c>
      <c r="M858" s="3">
        <f>IF(K858="PAID",MAX(0,L858-G858),Guide!$B$3-G858)</f>
        <v/>
      </c>
      <c r="N858" s="3">
        <f>IF(J858&lt;=0.005,"COLLECTED",IF(M858&lt;=30,"1-30",IF(M858&lt;=60,"31-60",IF(M858&lt;=90,"61-90","90+"))))</f>
        <v/>
      </c>
      <c r="O858" s="3">
        <f>IF(N858="90+","LOST",IF(N858="61-90","ESCALATE",IF(N858="31-60","WATCH",IF(N858="1-30","MILD","OK"))))</f>
        <v/>
      </c>
      <c r="P858" s="3">
        <f>IF(J858&gt;0.005,ROW()-1,"")</f>
        <v/>
      </c>
    </row>
    <row r="859">
      <c r="A859" s="3" t="inlineStr">
        <is>
          <t>D0858</t>
        </is>
      </c>
      <c r="B859" s="3">
        <f>INDEX(Raw_Schedule!B:B,MATCH(A859,Raw_Schedule!A:A,0))</f>
        <v/>
      </c>
      <c r="C859" s="3">
        <f>INDEX(Raw_Schedule!C:C,MATCH(A859,Raw_Schedule!A:A,0))</f>
        <v/>
      </c>
      <c r="D859" s="3">
        <f>INDEX(Raw_Schedule!D:D,MATCH(A859,Raw_Schedule!A:A,0))</f>
        <v/>
      </c>
      <c r="E859" s="3">
        <f>INDEX(Raw_Schedule!E:E,MATCH(A859,Raw_Schedule!A:A,0))</f>
        <v/>
      </c>
      <c r="F859" s="3">
        <f>INDEX(Raw_Schedule!F:F,MATCH(A859,Raw_Schedule!A:A,0))</f>
        <v/>
      </c>
      <c r="G859" s="4">
        <f>INDEX(Raw_Schedule!G:G,MATCH(A859,Raw_Schedule!A:A,0))</f>
        <v/>
      </c>
      <c r="H859" s="5">
        <f>INDEX(Raw_Schedule!H:H,MATCH(A859,Raw_Schedule!A:A,0))</f>
        <v/>
      </c>
      <c r="I859" s="5">
        <f>SUMIFS(Raw_Payments!E:E,Raw_Payments!B:B,A859)</f>
        <v/>
      </c>
      <c r="J859" s="5">
        <f>H859-I859</f>
        <v/>
      </c>
      <c r="K859" s="3">
        <f>IF(J859&lt;=0.005,"PAID",IF(I859&gt;0,"PARTIAL","OVERDUE"))</f>
        <v/>
      </c>
      <c r="L859" s="4">
        <f>IF(COUNTIFS(Raw_Payments!B:B,A859)=0,"",SUMPRODUCT(MAX((Raw_Payments!B$2:B$1079=A859)*Raw_Payments!D$2:D$1079)))</f>
        <v/>
      </c>
      <c r="M859" s="3">
        <f>IF(K859="PAID",MAX(0,L859-G859),Guide!$B$3-G859)</f>
        <v/>
      </c>
      <c r="N859" s="3">
        <f>IF(J859&lt;=0.005,"COLLECTED",IF(M859&lt;=30,"1-30",IF(M859&lt;=60,"31-60",IF(M859&lt;=90,"61-90","90+"))))</f>
        <v/>
      </c>
      <c r="O859" s="3">
        <f>IF(N859="90+","LOST",IF(N859="61-90","ESCALATE",IF(N859="31-60","WATCH",IF(N859="1-30","MILD","OK"))))</f>
        <v/>
      </c>
      <c r="P859" s="3">
        <f>IF(J859&gt;0.005,ROW()-1,"")</f>
        <v/>
      </c>
    </row>
    <row r="860">
      <c r="A860" s="3" t="inlineStr">
        <is>
          <t>D0859</t>
        </is>
      </c>
      <c r="B860" s="3">
        <f>INDEX(Raw_Schedule!B:B,MATCH(A860,Raw_Schedule!A:A,0))</f>
        <v/>
      </c>
      <c r="C860" s="3">
        <f>INDEX(Raw_Schedule!C:C,MATCH(A860,Raw_Schedule!A:A,0))</f>
        <v/>
      </c>
      <c r="D860" s="3">
        <f>INDEX(Raw_Schedule!D:D,MATCH(A860,Raw_Schedule!A:A,0))</f>
        <v/>
      </c>
      <c r="E860" s="3">
        <f>INDEX(Raw_Schedule!E:E,MATCH(A860,Raw_Schedule!A:A,0))</f>
        <v/>
      </c>
      <c r="F860" s="3">
        <f>INDEX(Raw_Schedule!F:F,MATCH(A860,Raw_Schedule!A:A,0))</f>
        <v/>
      </c>
      <c r="G860" s="4">
        <f>INDEX(Raw_Schedule!G:G,MATCH(A860,Raw_Schedule!A:A,0))</f>
        <v/>
      </c>
      <c r="H860" s="5">
        <f>INDEX(Raw_Schedule!H:H,MATCH(A860,Raw_Schedule!A:A,0))</f>
        <v/>
      </c>
      <c r="I860" s="5">
        <f>SUMIFS(Raw_Payments!E:E,Raw_Payments!B:B,A860)</f>
        <v/>
      </c>
      <c r="J860" s="5">
        <f>H860-I860</f>
        <v/>
      </c>
      <c r="K860" s="3">
        <f>IF(J860&lt;=0.005,"PAID",IF(I860&gt;0,"PARTIAL","OVERDUE"))</f>
        <v/>
      </c>
      <c r="L860" s="4">
        <f>IF(COUNTIFS(Raw_Payments!B:B,A860)=0,"",SUMPRODUCT(MAX((Raw_Payments!B$2:B$1079=A860)*Raw_Payments!D$2:D$1079)))</f>
        <v/>
      </c>
      <c r="M860" s="3">
        <f>IF(K860="PAID",MAX(0,L860-G860),Guide!$B$3-G860)</f>
        <v/>
      </c>
      <c r="N860" s="3">
        <f>IF(J860&lt;=0.005,"COLLECTED",IF(M860&lt;=30,"1-30",IF(M860&lt;=60,"31-60",IF(M860&lt;=90,"61-90","90+"))))</f>
        <v/>
      </c>
      <c r="O860" s="3">
        <f>IF(N860="90+","LOST",IF(N860="61-90","ESCALATE",IF(N860="31-60","WATCH",IF(N860="1-30","MILD","OK"))))</f>
        <v/>
      </c>
      <c r="P860" s="3">
        <f>IF(J860&gt;0.005,ROW()-1,"")</f>
        <v/>
      </c>
    </row>
    <row r="861">
      <c r="A861" s="3" t="inlineStr">
        <is>
          <t>D0860</t>
        </is>
      </c>
      <c r="B861" s="3">
        <f>INDEX(Raw_Schedule!B:B,MATCH(A861,Raw_Schedule!A:A,0))</f>
        <v/>
      </c>
      <c r="C861" s="3">
        <f>INDEX(Raw_Schedule!C:C,MATCH(A861,Raw_Schedule!A:A,0))</f>
        <v/>
      </c>
      <c r="D861" s="3">
        <f>INDEX(Raw_Schedule!D:D,MATCH(A861,Raw_Schedule!A:A,0))</f>
        <v/>
      </c>
      <c r="E861" s="3">
        <f>INDEX(Raw_Schedule!E:E,MATCH(A861,Raw_Schedule!A:A,0))</f>
        <v/>
      </c>
      <c r="F861" s="3">
        <f>INDEX(Raw_Schedule!F:F,MATCH(A861,Raw_Schedule!A:A,0))</f>
        <v/>
      </c>
      <c r="G861" s="4">
        <f>INDEX(Raw_Schedule!G:G,MATCH(A861,Raw_Schedule!A:A,0))</f>
        <v/>
      </c>
      <c r="H861" s="5">
        <f>INDEX(Raw_Schedule!H:H,MATCH(A861,Raw_Schedule!A:A,0))</f>
        <v/>
      </c>
      <c r="I861" s="5">
        <f>SUMIFS(Raw_Payments!E:E,Raw_Payments!B:B,A861)</f>
        <v/>
      </c>
      <c r="J861" s="5">
        <f>H861-I861</f>
        <v/>
      </c>
      <c r="K861" s="3">
        <f>IF(J861&lt;=0.005,"PAID",IF(I861&gt;0,"PARTIAL","OVERDUE"))</f>
        <v/>
      </c>
      <c r="L861" s="4">
        <f>IF(COUNTIFS(Raw_Payments!B:B,A861)=0,"",SUMPRODUCT(MAX((Raw_Payments!B$2:B$1079=A861)*Raw_Payments!D$2:D$1079)))</f>
        <v/>
      </c>
      <c r="M861" s="3">
        <f>IF(K861="PAID",MAX(0,L861-G861),Guide!$B$3-G861)</f>
        <v/>
      </c>
      <c r="N861" s="3">
        <f>IF(J861&lt;=0.005,"COLLECTED",IF(M861&lt;=30,"1-30",IF(M861&lt;=60,"31-60",IF(M861&lt;=90,"61-90","90+"))))</f>
        <v/>
      </c>
      <c r="O861" s="3">
        <f>IF(N861="90+","LOST",IF(N861="61-90","ESCALATE",IF(N861="31-60","WATCH",IF(N861="1-30","MILD","OK"))))</f>
        <v/>
      </c>
      <c r="P861" s="3">
        <f>IF(J861&gt;0.005,ROW()-1,"")</f>
        <v/>
      </c>
    </row>
    <row r="862">
      <c r="A862" s="3" t="inlineStr">
        <is>
          <t>D0861</t>
        </is>
      </c>
      <c r="B862" s="3">
        <f>INDEX(Raw_Schedule!B:B,MATCH(A862,Raw_Schedule!A:A,0))</f>
        <v/>
      </c>
      <c r="C862" s="3">
        <f>INDEX(Raw_Schedule!C:C,MATCH(A862,Raw_Schedule!A:A,0))</f>
        <v/>
      </c>
      <c r="D862" s="3">
        <f>INDEX(Raw_Schedule!D:D,MATCH(A862,Raw_Schedule!A:A,0))</f>
        <v/>
      </c>
      <c r="E862" s="3">
        <f>INDEX(Raw_Schedule!E:E,MATCH(A862,Raw_Schedule!A:A,0))</f>
        <v/>
      </c>
      <c r="F862" s="3">
        <f>INDEX(Raw_Schedule!F:F,MATCH(A862,Raw_Schedule!A:A,0))</f>
        <v/>
      </c>
      <c r="G862" s="4">
        <f>INDEX(Raw_Schedule!G:G,MATCH(A862,Raw_Schedule!A:A,0))</f>
        <v/>
      </c>
      <c r="H862" s="5">
        <f>INDEX(Raw_Schedule!H:H,MATCH(A862,Raw_Schedule!A:A,0))</f>
        <v/>
      </c>
      <c r="I862" s="5">
        <f>SUMIFS(Raw_Payments!E:E,Raw_Payments!B:B,A862)</f>
        <v/>
      </c>
      <c r="J862" s="5">
        <f>H862-I862</f>
        <v/>
      </c>
      <c r="K862" s="3">
        <f>IF(J862&lt;=0.005,"PAID",IF(I862&gt;0,"PARTIAL","OVERDUE"))</f>
        <v/>
      </c>
      <c r="L862" s="4">
        <f>IF(COUNTIFS(Raw_Payments!B:B,A862)=0,"",SUMPRODUCT(MAX((Raw_Payments!B$2:B$1079=A862)*Raw_Payments!D$2:D$1079)))</f>
        <v/>
      </c>
      <c r="M862" s="3">
        <f>IF(K862="PAID",MAX(0,L862-G862),Guide!$B$3-G862)</f>
        <v/>
      </c>
      <c r="N862" s="3">
        <f>IF(J862&lt;=0.005,"COLLECTED",IF(M862&lt;=30,"1-30",IF(M862&lt;=60,"31-60",IF(M862&lt;=90,"61-90","90+"))))</f>
        <v/>
      </c>
      <c r="O862" s="3">
        <f>IF(N862="90+","LOST",IF(N862="61-90","ESCALATE",IF(N862="31-60","WATCH",IF(N862="1-30","MILD","OK"))))</f>
        <v/>
      </c>
      <c r="P862" s="3">
        <f>IF(J862&gt;0.005,ROW()-1,"")</f>
        <v/>
      </c>
    </row>
    <row r="863">
      <c r="A863" s="3" t="inlineStr">
        <is>
          <t>D0862</t>
        </is>
      </c>
      <c r="B863" s="3">
        <f>INDEX(Raw_Schedule!B:B,MATCH(A863,Raw_Schedule!A:A,0))</f>
        <v/>
      </c>
      <c r="C863" s="3">
        <f>INDEX(Raw_Schedule!C:C,MATCH(A863,Raw_Schedule!A:A,0))</f>
        <v/>
      </c>
      <c r="D863" s="3">
        <f>INDEX(Raw_Schedule!D:D,MATCH(A863,Raw_Schedule!A:A,0))</f>
        <v/>
      </c>
      <c r="E863" s="3">
        <f>INDEX(Raw_Schedule!E:E,MATCH(A863,Raw_Schedule!A:A,0))</f>
        <v/>
      </c>
      <c r="F863" s="3">
        <f>INDEX(Raw_Schedule!F:F,MATCH(A863,Raw_Schedule!A:A,0))</f>
        <v/>
      </c>
      <c r="G863" s="4">
        <f>INDEX(Raw_Schedule!G:G,MATCH(A863,Raw_Schedule!A:A,0))</f>
        <v/>
      </c>
      <c r="H863" s="5">
        <f>INDEX(Raw_Schedule!H:H,MATCH(A863,Raw_Schedule!A:A,0))</f>
        <v/>
      </c>
      <c r="I863" s="5">
        <f>SUMIFS(Raw_Payments!E:E,Raw_Payments!B:B,A863)</f>
        <v/>
      </c>
      <c r="J863" s="5">
        <f>H863-I863</f>
        <v/>
      </c>
      <c r="K863" s="3">
        <f>IF(J863&lt;=0.005,"PAID",IF(I863&gt;0,"PARTIAL","OVERDUE"))</f>
        <v/>
      </c>
      <c r="L863" s="4">
        <f>IF(COUNTIFS(Raw_Payments!B:B,A863)=0,"",SUMPRODUCT(MAX((Raw_Payments!B$2:B$1079=A863)*Raw_Payments!D$2:D$1079)))</f>
        <v/>
      </c>
      <c r="M863" s="3">
        <f>IF(K863="PAID",MAX(0,L863-G863),Guide!$B$3-G863)</f>
        <v/>
      </c>
      <c r="N863" s="3">
        <f>IF(J863&lt;=0.005,"COLLECTED",IF(M863&lt;=30,"1-30",IF(M863&lt;=60,"31-60",IF(M863&lt;=90,"61-90","90+"))))</f>
        <v/>
      </c>
      <c r="O863" s="3">
        <f>IF(N863="90+","LOST",IF(N863="61-90","ESCALATE",IF(N863="31-60","WATCH",IF(N863="1-30","MILD","OK"))))</f>
        <v/>
      </c>
      <c r="P863" s="3">
        <f>IF(J863&gt;0.005,ROW()-1,"")</f>
        <v/>
      </c>
    </row>
    <row r="864">
      <c r="A864" s="3" t="inlineStr">
        <is>
          <t>D0863</t>
        </is>
      </c>
      <c r="B864" s="3">
        <f>INDEX(Raw_Schedule!B:B,MATCH(A864,Raw_Schedule!A:A,0))</f>
        <v/>
      </c>
      <c r="C864" s="3">
        <f>INDEX(Raw_Schedule!C:C,MATCH(A864,Raw_Schedule!A:A,0))</f>
        <v/>
      </c>
      <c r="D864" s="3">
        <f>INDEX(Raw_Schedule!D:D,MATCH(A864,Raw_Schedule!A:A,0))</f>
        <v/>
      </c>
      <c r="E864" s="3">
        <f>INDEX(Raw_Schedule!E:E,MATCH(A864,Raw_Schedule!A:A,0))</f>
        <v/>
      </c>
      <c r="F864" s="3">
        <f>INDEX(Raw_Schedule!F:F,MATCH(A864,Raw_Schedule!A:A,0))</f>
        <v/>
      </c>
      <c r="G864" s="4">
        <f>INDEX(Raw_Schedule!G:G,MATCH(A864,Raw_Schedule!A:A,0))</f>
        <v/>
      </c>
      <c r="H864" s="5">
        <f>INDEX(Raw_Schedule!H:H,MATCH(A864,Raw_Schedule!A:A,0))</f>
        <v/>
      </c>
      <c r="I864" s="5">
        <f>SUMIFS(Raw_Payments!E:E,Raw_Payments!B:B,A864)</f>
        <v/>
      </c>
      <c r="J864" s="5">
        <f>H864-I864</f>
        <v/>
      </c>
      <c r="K864" s="3">
        <f>IF(J864&lt;=0.005,"PAID",IF(I864&gt;0,"PARTIAL","OVERDUE"))</f>
        <v/>
      </c>
      <c r="L864" s="4">
        <f>IF(COUNTIFS(Raw_Payments!B:B,A864)=0,"",SUMPRODUCT(MAX((Raw_Payments!B$2:B$1079=A864)*Raw_Payments!D$2:D$1079)))</f>
        <v/>
      </c>
      <c r="M864" s="3">
        <f>IF(K864="PAID",MAX(0,L864-G864),Guide!$B$3-G864)</f>
        <v/>
      </c>
      <c r="N864" s="3">
        <f>IF(J864&lt;=0.005,"COLLECTED",IF(M864&lt;=30,"1-30",IF(M864&lt;=60,"31-60",IF(M864&lt;=90,"61-90","90+"))))</f>
        <v/>
      </c>
      <c r="O864" s="3">
        <f>IF(N864="90+","LOST",IF(N864="61-90","ESCALATE",IF(N864="31-60","WATCH",IF(N864="1-30","MILD","OK"))))</f>
        <v/>
      </c>
      <c r="P864" s="3">
        <f>IF(J864&gt;0.005,ROW()-1,"")</f>
        <v/>
      </c>
    </row>
    <row r="865">
      <c r="A865" s="3" t="inlineStr">
        <is>
          <t>D0864</t>
        </is>
      </c>
      <c r="B865" s="3">
        <f>INDEX(Raw_Schedule!B:B,MATCH(A865,Raw_Schedule!A:A,0))</f>
        <v/>
      </c>
      <c r="C865" s="3">
        <f>INDEX(Raw_Schedule!C:C,MATCH(A865,Raw_Schedule!A:A,0))</f>
        <v/>
      </c>
      <c r="D865" s="3">
        <f>INDEX(Raw_Schedule!D:D,MATCH(A865,Raw_Schedule!A:A,0))</f>
        <v/>
      </c>
      <c r="E865" s="3">
        <f>INDEX(Raw_Schedule!E:E,MATCH(A865,Raw_Schedule!A:A,0))</f>
        <v/>
      </c>
      <c r="F865" s="3">
        <f>INDEX(Raw_Schedule!F:F,MATCH(A865,Raw_Schedule!A:A,0))</f>
        <v/>
      </c>
      <c r="G865" s="4">
        <f>INDEX(Raw_Schedule!G:G,MATCH(A865,Raw_Schedule!A:A,0))</f>
        <v/>
      </c>
      <c r="H865" s="5">
        <f>INDEX(Raw_Schedule!H:H,MATCH(A865,Raw_Schedule!A:A,0))</f>
        <v/>
      </c>
      <c r="I865" s="5">
        <f>SUMIFS(Raw_Payments!E:E,Raw_Payments!B:B,A865)</f>
        <v/>
      </c>
      <c r="J865" s="5">
        <f>H865-I865</f>
        <v/>
      </c>
      <c r="K865" s="3">
        <f>IF(J865&lt;=0.005,"PAID",IF(I865&gt;0,"PARTIAL","OVERDUE"))</f>
        <v/>
      </c>
      <c r="L865" s="4">
        <f>IF(COUNTIFS(Raw_Payments!B:B,A865)=0,"",SUMPRODUCT(MAX((Raw_Payments!B$2:B$1079=A865)*Raw_Payments!D$2:D$1079)))</f>
        <v/>
      </c>
      <c r="M865" s="3">
        <f>IF(K865="PAID",MAX(0,L865-G865),Guide!$B$3-G865)</f>
        <v/>
      </c>
      <c r="N865" s="3">
        <f>IF(J865&lt;=0.005,"COLLECTED",IF(M865&lt;=30,"1-30",IF(M865&lt;=60,"31-60",IF(M865&lt;=90,"61-90","90+"))))</f>
        <v/>
      </c>
      <c r="O865" s="3">
        <f>IF(N865="90+","LOST",IF(N865="61-90","ESCALATE",IF(N865="31-60","WATCH",IF(N865="1-30","MILD","OK"))))</f>
        <v/>
      </c>
      <c r="P865" s="3">
        <f>IF(J865&gt;0.005,ROW()-1,"")</f>
        <v/>
      </c>
    </row>
    <row r="866">
      <c r="A866" s="3" t="inlineStr">
        <is>
          <t>D0865</t>
        </is>
      </c>
      <c r="B866" s="3">
        <f>INDEX(Raw_Schedule!B:B,MATCH(A866,Raw_Schedule!A:A,0))</f>
        <v/>
      </c>
      <c r="C866" s="3">
        <f>INDEX(Raw_Schedule!C:C,MATCH(A866,Raw_Schedule!A:A,0))</f>
        <v/>
      </c>
      <c r="D866" s="3">
        <f>INDEX(Raw_Schedule!D:D,MATCH(A866,Raw_Schedule!A:A,0))</f>
        <v/>
      </c>
      <c r="E866" s="3">
        <f>INDEX(Raw_Schedule!E:E,MATCH(A866,Raw_Schedule!A:A,0))</f>
        <v/>
      </c>
      <c r="F866" s="3">
        <f>INDEX(Raw_Schedule!F:F,MATCH(A866,Raw_Schedule!A:A,0))</f>
        <v/>
      </c>
      <c r="G866" s="4">
        <f>INDEX(Raw_Schedule!G:G,MATCH(A866,Raw_Schedule!A:A,0))</f>
        <v/>
      </c>
      <c r="H866" s="5">
        <f>INDEX(Raw_Schedule!H:H,MATCH(A866,Raw_Schedule!A:A,0))</f>
        <v/>
      </c>
      <c r="I866" s="5">
        <f>SUMIFS(Raw_Payments!E:E,Raw_Payments!B:B,A866)</f>
        <v/>
      </c>
      <c r="J866" s="5">
        <f>H866-I866</f>
        <v/>
      </c>
      <c r="K866" s="3">
        <f>IF(J866&lt;=0.005,"PAID",IF(I866&gt;0,"PARTIAL","OVERDUE"))</f>
        <v/>
      </c>
      <c r="L866" s="4">
        <f>IF(COUNTIFS(Raw_Payments!B:B,A866)=0,"",SUMPRODUCT(MAX((Raw_Payments!B$2:B$1079=A866)*Raw_Payments!D$2:D$1079)))</f>
        <v/>
      </c>
      <c r="M866" s="3">
        <f>IF(K866="PAID",MAX(0,L866-G866),Guide!$B$3-G866)</f>
        <v/>
      </c>
      <c r="N866" s="3">
        <f>IF(J866&lt;=0.005,"COLLECTED",IF(M866&lt;=30,"1-30",IF(M866&lt;=60,"31-60",IF(M866&lt;=90,"61-90","90+"))))</f>
        <v/>
      </c>
      <c r="O866" s="3">
        <f>IF(N866="90+","LOST",IF(N866="61-90","ESCALATE",IF(N866="31-60","WATCH",IF(N866="1-30","MILD","OK"))))</f>
        <v/>
      </c>
      <c r="P866" s="3">
        <f>IF(J866&gt;0.005,ROW()-1,"")</f>
        <v/>
      </c>
    </row>
    <row r="867">
      <c r="A867" s="3" t="inlineStr">
        <is>
          <t>D0866</t>
        </is>
      </c>
      <c r="B867" s="3">
        <f>INDEX(Raw_Schedule!B:B,MATCH(A867,Raw_Schedule!A:A,0))</f>
        <v/>
      </c>
      <c r="C867" s="3">
        <f>INDEX(Raw_Schedule!C:C,MATCH(A867,Raw_Schedule!A:A,0))</f>
        <v/>
      </c>
      <c r="D867" s="3">
        <f>INDEX(Raw_Schedule!D:D,MATCH(A867,Raw_Schedule!A:A,0))</f>
        <v/>
      </c>
      <c r="E867" s="3">
        <f>INDEX(Raw_Schedule!E:E,MATCH(A867,Raw_Schedule!A:A,0))</f>
        <v/>
      </c>
      <c r="F867" s="3">
        <f>INDEX(Raw_Schedule!F:F,MATCH(A867,Raw_Schedule!A:A,0))</f>
        <v/>
      </c>
      <c r="G867" s="4">
        <f>INDEX(Raw_Schedule!G:G,MATCH(A867,Raw_Schedule!A:A,0))</f>
        <v/>
      </c>
      <c r="H867" s="5">
        <f>INDEX(Raw_Schedule!H:H,MATCH(A867,Raw_Schedule!A:A,0))</f>
        <v/>
      </c>
      <c r="I867" s="5">
        <f>SUMIFS(Raw_Payments!E:E,Raw_Payments!B:B,A867)</f>
        <v/>
      </c>
      <c r="J867" s="5">
        <f>H867-I867</f>
        <v/>
      </c>
      <c r="K867" s="3">
        <f>IF(J867&lt;=0.005,"PAID",IF(I867&gt;0,"PARTIAL","OVERDUE"))</f>
        <v/>
      </c>
      <c r="L867" s="4">
        <f>IF(COUNTIFS(Raw_Payments!B:B,A867)=0,"",SUMPRODUCT(MAX((Raw_Payments!B$2:B$1079=A867)*Raw_Payments!D$2:D$1079)))</f>
        <v/>
      </c>
      <c r="M867" s="3">
        <f>IF(K867="PAID",MAX(0,L867-G867),Guide!$B$3-G867)</f>
        <v/>
      </c>
      <c r="N867" s="3">
        <f>IF(J867&lt;=0.005,"COLLECTED",IF(M867&lt;=30,"1-30",IF(M867&lt;=60,"31-60",IF(M867&lt;=90,"61-90","90+"))))</f>
        <v/>
      </c>
      <c r="O867" s="3">
        <f>IF(N867="90+","LOST",IF(N867="61-90","ESCALATE",IF(N867="31-60","WATCH",IF(N867="1-30","MILD","OK"))))</f>
        <v/>
      </c>
      <c r="P867" s="3">
        <f>IF(J867&gt;0.005,ROW()-1,"")</f>
        <v/>
      </c>
    </row>
    <row r="868">
      <c r="A868" s="3" t="inlineStr">
        <is>
          <t>D0867</t>
        </is>
      </c>
      <c r="B868" s="3">
        <f>INDEX(Raw_Schedule!B:B,MATCH(A868,Raw_Schedule!A:A,0))</f>
        <v/>
      </c>
      <c r="C868" s="3">
        <f>INDEX(Raw_Schedule!C:C,MATCH(A868,Raw_Schedule!A:A,0))</f>
        <v/>
      </c>
      <c r="D868" s="3">
        <f>INDEX(Raw_Schedule!D:D,MATCH(A868,Raw_Schedule!A:A,0))</f>
        <v/>
      </c>
      <c r="E868" s="3">
        <f>INDEX(Raw_Schedule!E:E,MATCH(A868,Raw_Schedule!A:A,0))</f>
        <v/>
      </c>
      <c r="F868" s="3">
        <f>INDEX(Raw_Schedule!F:F,MATCH(A868,Raw_Schedule!A:A,0))</f>
        <v/>
      </c>
      <c r="G868" s="4">
        <f>INDEX(Raw_Schedule!G:G,MATCH(A868,Raw_Schedule!A:A,0))</f>
        <v/>
      </c>
      <c r="H868" s="5">
        <f>INDEX(Raw_Schedule!H:H,MATCH(A868,Raw_Schedule!A:A,0))</f>
        <v/>
      </c>
      <c r="I868" s="5">
        <f>SUMIFS(Raw_Payments!E:E,Raw_Payments!B:B,A868)</f>
        <v/>
      </c>
      <c r="J868" s="5">
        <f>H868-I868</f>
        <v/>
      </c>
      <c r="K868" s="3">
        <f>IF(J868&lt;=0.005,"PAID",IF(I868&gt;0,"PARTIAL","OVERDUE"))</f>
        <v/>
      </c>
      <c r="L868" s="4">
        <f>IF(COUNTIFS(Raw_Payments!B:B,A868)=0,"",SUMPRODUCT(MAX((Raw_Payments!B$2:B$1079=A868)*Raw_Payments!D$2:D$1079)))</f>
        <v/>
      </c>
      <c r="M868" s="3">
        <f>IF(K868="PAID",MAX(0,L868-G868),Guide!$B$3-G868)</f>
        <v/>
      </c>
      <c r="N868" s="3">
        <f>IF(J868&lt;=0.005,"COLLECTED",IF(M868&lt;=30,"1-30",IF(M868&lt;=60,"31-60",IF(M868&lt;=90,"61-90","90+"))))</f>
        <v/>
      </c>
      <c r="O868" s="3">
        <f>IF(N868="90+","LOST",IF(N868="61-90","ESCALATE",IF(N868="31-60","WATCH",IF(N868="1-30","MILD","OK"))))</f>
        <v/>
      </c>
      <c r="P868" s="3">
        <f>IF(J868&gt;0.005,ROW()-1,"")</f>
        <v/>
      </c>
    </row>
    <row r="869">
      <c r="A869" s="3" t="inlineStr">
        <is>
          <t>D0868</t>
        </is>
      </c>
      <c r="B869" s="3">
        <f>INDEX(Raw_Schedule!B:B,MATCH(A869,Raw_Schedule!A:A,0))</f>
        <v/>
      </c>
      <c r="C869" s="3">
        <f>INDEX(Raw_Schedule!C:C,MATCH(A869,Raw_Schedule!A:A,0))</f>
        <v/>
      </c>
      <c r="D869" s="3">
        <f>INDEX(Raw_Schedule!D:D,MATCH(A869,Raw_Schedule!A:A,0))</f>
        <v/>
      </c>
      <c r="E869" s="3">
        <f>INDEX(Raw_Schedule!E:E,MATCH(A869,Raw_Schedule!A:A,0))</f>
        <v/>
      </c>
      <c r="F869" s="3">
        <f>INDEX(Raw_Schedule!F:F,MATCH(A869,Raw_Schedule!A:A,0))</f>
        <v/>
      </c>
      <c r="G869" s="4">
        <f>INDEX(Raw_Schedule!G:G,MATCH(A869,Raw_Schedule!A:A,0))</f>
        <v/>
      </c>
      <c r="H869" s="5">
        <f>INDEX(Raw_Schedule!H:H,MATCH(A869,Raw_Schedule!A:A,0))</f>
        <v/>
      </c>
      <c r="I869" s="5">
        <f>SUMIFS(Raw_Payments!E:E,Raw_Payments!B:B,A869)</f>
        <v/>
      </c>
      <c r="J869" s="5">
        <f>H869-I869</f>
        <v/>
      </c>
      <c r="K869" s="3">
        <f>IF(J869&lt;=0.005,"PAID",IF(I869&gt;0,"PARTIAL","OVERDUE"))</f>
        <v/>
      </c>
      <c r="L869" s="4">
        <f>IF(COUNTIFS(Raw_Payments!B:B,A869)=0,"",SUMPRODUCT(MAX((Raw_Payments!B$2:B$1079=A869)*Raw_Payments!D$2:D$1079)))</f>
        <v/>
      </c>
      <c r="M869" s="3">
        <f>IF(K869="PAID",MAX(0,L869-G869),Guide!$B$3-G869)</f>
        <v/>
      </c>
      <c r="N869" s="3">
        <f>IF(J869&lt;=0.005,"COLLECTED",IF(M869&lt;=30,"1-30",IF(M869&lt;=60,"31-60",IF(M869&lt;=90,"61-90","90+"))))</f>
        <v/>
      </c>
      <c r="O869" s="3">
        <f>IF(N869="90+","LOST",IF(N869="61-90","ESCALATE",IF(N869="31-60","WATCH",IF(N869="1-30","MILD","OK"))))</f>
        <v/>
      </c>
      <c r="P869" s="3">
        <f>IF(J869&gt;0.005,ROW()-1,"")</f>
        <v/>
      </c>
    </row>
    <row r="870">
      <c r="A870" s="3" t="inlineStr">
        <is>
          <t>D0869</t>
        </is>
      </c>
      <c r="B870" s="3">
        <f>INDEX(Raw_Schedule!B:B,MATCH(A870,Raw_Schedule!A:A,0))</f>
        <v/>
      </c>
      <c r="C870" s="3">
        <f>INDEX(Raw_Schedule!C:C,MATCH(A870,Raw_Schedule!A:A,0))</f>
        <v/>
      </c>
      <c r="D870" s="3">
        <f>INDEX(Raw_Schedule!D:D,MATCH(A870,Raw_Schedule!A:A,0))</f>
        <v/>
      </c>
      <c r="E870" s="3">
        <f>INDEX(Raw_Schedule!E:E,MATCH(A870,Raw_Schedule!A:A,0))</f>
        <v/>
      </c>
      <c r="F870" s="3">
        <f>INDEX(Raw_Schedule!F:F,MATCH(A870,Raw_Schedule!A:A,0))</f>
        <v/>
      </c>
      <c r="G870" s="4">
        <f>INDEX(Raw_Schedule!G:G,MATCH(A870,Raw_Schedule!A:A,0))</f>
        <v/>
      </c>
      <c r="H870" s="5">
        <f>INDEX(Raw_Schedule!H:H,MATCH(A870,Raw_Schedule!A:A,0))</f>
        <v/>
      </c>
      <c r="I870" s="5">
        <f>SUMIFS(Raw_Payments!E:E,Raw_Payments!B:B,A870)</f>
        <v/>
      </c>
      <c r="J870" s="5">
        <f>H870-I870</f>
        <v/>
      </c>
      <c r="K870" s="3">
        <f>IF(J870&lt;=0.005,"PAID",IF(I870&gt;0,"PARTIAL","OVERDUE"))</f>
        <v/>
      </c>
      <c r="L870" s="4">
        <f>IF(COUNTIFS(Raw_Payments!B:B,A870)=0,"",SUMPRODUCT(MAX((Raw_Payments!B$2:B$1079=A870)*Raw_Payments!D$2:D$1079)))</f>
        <v/>
      </c>
      <c r="M870" s="3">
        <f>IF(K870="PAID",MAX(0,L870-G870),Guide!$B$3-G870)</f>
        <v/>
      </c>
      <c r="N870" s="3">
        <f>IF(J870&lt;=0.005,"COLLECTED",IF(M870&lt;=30,"1-30",IF(M870&lt;=60,"31-60",IF(M870&lt;=90,"61-90","90+"))))</f>
        <v/>
      </c>
      <c r="O870" s="3">
        <f>IF(N870="90+","LOST",IF(N870="61-90","ESCALATE",IF(N870="31-60","WATCH",IF(N870="1-30","MILD","OK"))))</f>
        <v/>
      </c>
      <c r="P870" s="3">
        <f>IF(J870&gt;0.005,ROW()-1,"")</f>
        <v/>
      </c>
    </row>
    <row r="871">
      <c r="A871" s="3" t="inlineStr">
        <is>
          <t>D0870</t>
        </is>
      </c>
      <c r="B871" s="3">
        <f>INDEX(Raw_Schedule!B:B,MATCH(A871,Raw_Schedule!A:A,0))</f>
        <v/>
      </c>
      <c r="C871" s="3">
        <f>INDEX(Raw_Schedule!C:C,MATCH(A871,Raw_Schedule!A:A,0))</f>
        <v/>
      </c>
      <c r="D871" s="3">
        <f>INDEX(Raw_Schedule!D:D,MATCH(A871,Raw_Schedule!A:A,0))</f>
        <v/>
      </c>
      <c r="E871" s="3">
        <f>INDEX(Raw_Schedule!E:E,MATCH(A871,Raw_Schedule!A:A,0))</f>
        <v/>
      </c>
      <c r="F871" s="3">
        <f>INDEX(Raw_Schedule!F:F,MATCH(A871,Raw_Schedule!A:A,0))</f>
        <v/>
      </c>
      <c r="G871" s="4">
        <f>INDEX(Raw_Schedule!G:G,MATCH(A871,Raw_Schedule!A:A,0))</f>
        <v/>
      </c>
      <c r="H871" s="5">
        <f>INDEX(Raw_Schedule!H:H,MATCH(A871,Raw_Schedule!A:A,0))</f>
        <v/>
      </c>
      <c r="I871" s="5">
        <f>SUMIFS(Raw_Payments!E:E,Raw_Payments!B:B,A871)</f>
        <v/>
      </c>
      <c r="J871" s="5">
        <f>H871-I871</f>
        <v/>
      </c>
      <c r="K871" s="3">
        <f>IF(J871&lt;=0.005,"PAID",IF(I871&gt;0,"PARTIAL","OVERDUE"))</f>
        <v/>
      </c>
      <c r="L871" s="4">
        <f>IF(COUNTIFS(Raw_Payments!B:B,A871)=0,"",SUMPRODUCT(MAX((Raw_Payments!B$2:B$1079=A871)*Raw_Payments!D$2:D$1079)))</f>
        <v/>
      </c>
      <c r="M871" s="3">
        <f>IF(K871="PAID",MAX(0,L871-G871),Guide!$B$3-G871)</f>
        <v/>
      </c>
      <c r="N871" s="3">
        <f>IF(J871&lt;=0.005,"COLLECTED",IF(M871&lt;=30,"1-30",IF(M871&lt;=60,"31-60",IF(M871&lt;=90,"61-90","90+"))))</f>
        <v/>
      </c>
      <c r="O871" s="3">
        <f>IF(N871="90+","LOST",IF(N871="61-90","ESCALATE",IF(N871="31-60","WATCH",IF(N871="1-30","MILD","OK"))))</f>
        <v/>
      </c>
      <c r="P871" s="3">
        <f>IF(J871&gt;0.005,ROW()-1,"")</f>
        <v/>
      </c>
    </row>
    <row r="872">
      <c r="A872" s="3" t="inlineStr">
        <is>
          <t>D0871</t>
        </is>
      </c>
      <c r="B872" s="3">
        <f>INDEX(Raw_Schedule!B:B,MATCH(A872,Raw_Schedule!A:A,0))</f>
        <v/>
      </c>
      <c r="C872" s="3">
        <f>INDEX(Raw_Schedule!C:C,MATCH(A872,Raw_Schedule!A:A,0))</f>
        <v/>
      </c>
      <c r="D872" s="3">
        <f>INDEX(Raw_Schedule!D:D,MATCH(A872,Raw_Schedule!A:A,0))</f>
        <v/>
      </c>
      <c r="E872" s="3">
        <f>INDEX(Raw_Schedule!E:E,MATCH(A872,Raw_Schedule!A:A,0))</f>
        <v/>
      </c>
      <c r="F872" s="3">
        <f>INDEX(Raw_Schedule!F:F,MATCH(A872,Raw_Schedule!A:A,0))</f>
        <v/>
      </c>
      <c r="G872" s="4">
        <f>INDEX(Raw_Schedule!G:G,MATCH(A872,Raw_Schedule!A:A,0))</f>
        <v/>
      </c>
      <c r="H872" s="5">
        <f>INDEX(Raw_Schedule!H:H,MATCH(A872,Raw_Schedule!A:A,0))</f>
        <v/>
      </c>
      <c r="I872" s="5">
        <f>SUMIFS(Raw_Payments!E:E,Raw_Payments!B:B,A872)</f>
        <v/>
      </c>
      <c r="J872" s="5">
        <f>H872-I872</f>
        <v/>
      </c>
      <c r="K872" s="3">
        <f>IF(J872&lt;=0.005,"PAID",IF(I872&gt;0,"PARTIAL","OVERDUE"))</f>
        <v/>
      </c>
      <c r="L872" s="4">
        <f>IF(COUNTIFS(Raw_Payments!B:B,A872)=0,"",SUMPRODUCT(MAX((Raw_Payments!B$2:B$1079=A872)*Raw_Payments!D$2:D$1079)))</f>
        <v/>
      </c>
      <c r="M872" s="3">
        <f>IF(K872="PAID",MAX(0,L872-G872),Guide!$B$3-G872)</f>
        <v/>
      </c>
      <c r="N872" s="3">
        <f>IF(J872&lt;=0.005,"COLLECTED",IF(M872&lt;=30,"1-30",IF(M872&lt;=60,"31-60",IF(M872&lt;=90,"61-90","90+"))))</f>
        <v/>
      </c>
      <c r="O872" s="3">
        <f>IF(N872="90+","LOST",IF(N872="61-90","ESCALATE",IF(N872="31-60","WATCH",IF(N872="1-30","MILD","OK"))))</f>
        <v/>
      </c>
      <c r="P872" s="3">
        <f>IF(J872&gt;0.005,ROW()-1,"")</f>
        <v/>
      </c>
    </row>
    <row r="873">
      <c r="A873" s="3" t="inlineStr">
        <is>
          <t>D0872</t>
        </is>
      </c>
      <c r="B873" s="3">
        <f>INDEX(Raw_Schedule!B:B,MATCH(A873,Raw_Schedule!A:A,0))</f>
        <v/>
      </c>
      <c r="C873" s="3">
        <f>INDEX(Raw_Schedule!C:C,MATCH(A873,Raw_Schedule!A:A,0))</f>
        <v/>
      </c>
      <c r="D873" s="3">
        <f>INDEX(Raw_Schedule!D:D,MATCH(A873,Raw_Schedule!A:A,0))</f>
        <v/>
      </c>
      <c r="E873" s="3">
        <f>INDEX(Raw_Schedule!E:E,MATCH(A873,Raw_Schedule!A:A,0))</f>
        <v/>
      </c>
      <c r="F873" s="3">
        <f>INDEX(Raw_Schedule!F:F,MATCH(A873,Raw_Schedule!A:A,0))</f>
        <v/>
      </c>
      <c r="G873" s="4">
        <f>INDEX(Raw_Schedule!G:G,MATCH(A873,Raw_Schedule!A:A,0))</f>
        <v/>
      </c>
      <c r="H873" s="5">
        <f>INDEX(Raw_Schedule!H:H,MATCH(A873,Raw_Schedule!A:A,0))</f>
        <v/>
      </c>
      <c r="I873" s="5">
        <f>SUMIFS(Raw_Payments!E:E,Raw_Payments!B:B,A873)</f>
        <v/>
      </c>
      <c r="J873" s="5">
        <f>H873-I873</f>
        <v/>
      </c>
      <c r="K873" s="3">
        <f>IF(J873&lt;=0.005,"PAID",IF(I873&gt;0,"PARTIAL","OVERDUE"))</f>
        <v/>
      </c>
      <c r="L873" s="4">
        <f>IF(COUNTIFS(Raw_Payments!B:B,A873)=0,"",SUMPRODUCT(MAX((Raw_Payments!B$2:B$1079=A873)*Raw_Payments!D$2:D$1079)))</f>
        <v/>
      </c>
      <c r="M873" s="3">
        <f>IF(K873="PAID",MAX(0,L873-G873),Guide!$B$3-G873)</f>
        <v/>
      </c>
      <c r="N873" s="3">
        <f>IF(J873&lt;=0.005,"COLLECTED",IF(M873&lt;=30,"1-30",IF(M873&lt;=60,"31-60",IF(M873&lt;=90,"61-90","90+"))))</f>
        <v/>
      </c>
      <c r="O873" s="3">
        <f>IF(N873="90+","LOST",IF(N873="61-90","ESCALATE",IF(N873="31-60","WATCH",IF(N873="1-30","MILD","OK"))))</f>
        <v/>
      </c>
      <c r="P873" s="3">
        <f>IF(J873&gt;0.005,ROW()-1,"")</f>
        <v/>
      </c>
    </row>
    <row r="874">
      <c r="A874" s="3" t="inlineStr">
        <is>
          <t>D0873</t>
        </is>
      </c>
      <c r="B874" s="3">
        <f>INDEX(Raw_Schedule!B:B,MATCH(A874,Raw_Schedule!A:A,0))</f>
        <v/>
      </c>
      <c r="C874" s="3">
        <f>INDEX(Raw_Schedule!C:C,MATCH(A874,Raw_Schedule!A:A,0))</f>
        <v/>
      </c>
      <c r="D874" s="3">
        <f>INDEX(Raw_Schedule!D:D,MATCH(A874,Raw_Schedule!A:A,0))</f>
        <v/>
      </c>
      <c r="E874" s="3">
        <f>INDEX(Raw_Schedule!E:E,MATCH(A874,Raw_Schedule!A:A,0))</f>
        <v/>
      </c>
      <c r="F874" s="3">
        <f>INDEX(Raw_Schedule!F:F,MATCH(A874,Raw_Schedule!A:A,0))</f>
        <v/>
      </c>
      <c r="G874" s="4">
        <f>INDEX(Raw_Schedule!G:G,MATCH(A874,Raw_Schedule!A:A,0))</f>
        <v/>
      </c>
      <c r="H874" s="5">
        <f>INDEX(Raw_Schedule!H:H,MATCH(A874,Raw_Schedule!A:A,0))</f>
        <v/>
      </c>
      <c r="I874" s="5">
        <f>SUMIFS(Raw_Payments!E:E,Raw_Payments!B:B,A874)</f>
        <v/>
      </c>
      <c r="J874" s="5">
        <f>H874-I874</f>
        <v/>
      </c>
      <c r="K874" s="3">
        <f>IF(J874&lt;=0.005,"PAID",IF(I874&gt;0,"PARTIAL","OVERDUE"))</f>
        <v/>
      </c>
      <c r="L874" s="4">
        <f>IF(COUNTIFS(Raw_Payments!B:B,A874)=0,"",SUMPRODUCT(MAX((Raw_Payments!B$2:B$1079=A874)*Raw_Payments!D$2:D$1079)))</f>
        <v/>
      </c>
      <c r="M874" s="3">
        <f>IF(K874="PAID",MAX(0,L874-G874),Guide!$B$3-G874)</f>
        <v/>
      </c>
      <c r="N874" s="3">
        <f>IF(J874&lt;=0.005,"COLLECTED",IF(M874&lt;=30,"1-30",IF(M874&lt;=60,"31-60",IF(M874&lt;=90,"61-90","90+"))))</f>
        <v/>
      </c>
      <c r="O874" s="3">
        <f>IF(N874="90+","LOST",IF(N874="61-90","ESCALATE",IF(N874="31-60","WATCH",IF(N874="1-30","MILD","OK"))))</f>
        <v/>
      </c>
      <c r="P874" s="3">
        <f>IF(J874&gt;0.005,ROW()-1,"")</f>
        <v/>
      </c>
    </row>
    <row r="875">
      <c r="A875" s="3" t="inlineStr">
        <is>
          <t>D0874</t>
        </is>
      </c>
      <c r="B875" s="3">
        <f>INDEX(Raw_Schedule!B:B,MATCH(A875,Raw_Schedule!A:A,0))</f>
        <v/>
      </c>
      <c r="C875" s="3">
        <f>INDEX(Raw_Schedule!C:C,MATCH(A875,Raw_Schedule!A:A,0))</f>
        <v/>
      </c>
      <c r="D875" s="3">
        <f>INDEX(Raw_Schedule!D:D,MATCH(A875,Raw_Schedule!A:A,0))</f>
        <v/>
      </c>
      <c r="E875" s="3">
        <f>INDEX(Raw_Schedule!E:E,MATCH(A875,Raw_Schedule!A:A,0))</f>
        <v/>
      </c>
      <c r="F875" s="3">
        <f>INDEX(Raw_Schedule!F:F,MATCH(A875,Raw_Schedule!A:A,0))</f>
        <v/>
      </c>
      <c r="G875" s="4">
        <f>INDEX(Raw_Schedule!G:G,MATCH(A875,Raw_Schedule!A:A,0))</f>
        <v/>
      </c>
      <c r="H875" s="5">
        <f>INDEX(Raw_Schedule!H:H,MATCH(A875,Raw_Schedule!A:A,0))</f>
        <v/>
      </c>
      <c r="I875" s="5">
        <f>SUMIFS(Raw_Payments!E:E,Raw_Payments!B:B,A875)</f>
        <v/>
      </c>
      <c r="J875" s="5">
        <f>H875-I875</f>
        <v/>
      </c>
      <c r="K875" s="3">
        <f>IF(J875&lt;=0.005,"PAID",IF(I875&gt;0,"PARTIAL","OVERDUE"))</f>
        <v/>
      </c>
      <c r="L875" s="4">
        <f>IF(COUNTIFS(Raw_Payments!B:B,A875)=0,"",SUMPRODUCT(MAX((Raw_Payments!B$2:B$1079=A875)*Raw_Payments!D$2:D$1079)))</f>
        <v/>
      </c>
      <c r="M875" s="3">
        <f>IF(K875="PAID",MAX(0,L875-G875),Guide!$B$3-G875)</f>
        <v/>
      </c>
      <c r="N875" s="3">
        <f>IF(J875&lt;=0.005,"COLLECTED",IF(M875&lt;=30,"1-30",IF(M875&lt;=60,"31-60",IF(M875&lt;=90,"61-90","90+"))))</f>
        <v/>
      </c>
      <c r="O875" s="3">
        <f>IF(N875="90+","LOST",IF(N875="61-90","ESCALATE",IF(N875="31-60","WATCH",IF(N875="1-30","MILD","OK"))))</f>
        <v/>
      </c>
      <c r="P875" s="3">
        <f>IF(J875&gt;0.005,ROW()-1,"")</f>
        <v/>
      </c>
    </row>
    <row r="876">
      <c r="A876" s="3" t="inlineStr">
        <is>
          <t>D0875</t>
        </is>
      </c>
      <c r="B876" s="3">
        <f>INDEX(Raw_Schedule!B:B,MATCH(A876,Raw_Schedule!A:A,0))</f>
        <v/>
      </c>
      <c r="C876" s="3">
        <f>INDEX(Raw_Schedule!C:C,MATCH(A876,Raw_Schedule!A:A,0))</f>
        <v/>
      </c>
      <c r="D876" s="3">
        <f>INDEX(Raw_Schedule!D:D,MATCH(A876,Raw_Schedule!A:A,0))</f>
        <v/>
      </c>
      <c r="E876" s="3">
        <f>INDEX(Raw_Schedule!E:E,MATCH(A876,Raw_Schedule!A:A,0))</f>
        <v/>
      </c>
      <c r="F876" s="3">
        <f>INDEX(Raw_Schedule!F:F,MATCH(A876,Raw_Schedule!A:A,0))</f>
        <v/>
      </c>
      <c r="G876" s="4">
        <f>INDEX(Raw_Schedule!G:G,MATCH(A876,Raw_Schedule!A:A,0))</f>
        <v/>
      </c>
      <c r="H876" s="5">
        <f>INDEX(Raw_Schedule!H:H,MATCH(A876,Raw_Schedule!A:A,0))</f>
        <v/>
      </c>
      <c r="I876" s="5">
        <f>SUMIFS(Raw_Payments!E:E,Raw_Payments!B:B,A876)</f>
        <v/>
      </c>
      <c r="J876" s="5">
        <f>H876-I876</f>
        <v/>
      </c>
      <c r="K876" s="3">
        <f>IF(J876&lt;=0.005,"PAID",IF(I876&gt;0,"PARTIAL","OVERDUE"))</f>
        <v/>
      </c>
      <c r="L876" s="4">
        <f>IF(COUNTIFS(Raw_Payments!B:B,A876)=0,"",SUMPRODUCT(MAX((Raw_Payments!B$2:B$1079=A876)*Raw_Payments!D$2:D$1079)))</f>
        <v/>
      </c>
      <c r="M876" s="3">
        <f>IF(K876="PAID",MAX(0,L876-G876),Guide!$B$3-G876)</f>
        <v/>
      </c>
      <c r="N876" s="3">
        <f>IF(J876&lt;=0.005,"COLLECTED",IF(M876&lt;=30,"1-30",IF(M876&lt;=60,"31-60",IF(M876&lt;=90,"61-90","90+"))))</f>
        <v/>
      </c>
      <c r="O876" s="3">
        <f>IF(N876="90+","LOST",IF(N876="61-90","ESCALATE",IF(N876="31-60","WATCH",IF(N876="1-30","MILD","OK"))))</f>
        <v/>
      </c>
      <c r="P876" s="3">
        <f>IF(J876&gt;0.005,ROW()-1,"")</f>
        <v/>
      </c>
    </row>
    <row r="877">
      <c r="A877" s="3" t="inlineStr">
        <is>
          <t>D0876</t>
        </is>
      </c>
      <c r="B877" s="3">
        <f>INDEX(Raw_Schedule!B:B,MATCH(A877,Raw_Schedule!A:A,0))</f>
        <v/>
      </c>
      <c r="C877" s="3">
        <f>INDEX(Raw_Schedule!C:C,MATCH(A877,Raw_Schedule!A:A,0))</f>
        <v/>
      </c>
      <c r="D877" s="3">
        <f>INDEX(Raw_Schedule!D:D,MATCH(A877,Raw_Schedule!A:A,0))</f>
        <v/>
      </c>
      <c r="E877" s="3">
        <f>INDEX(Raw_Schedule!E:E,MATCH(A877,Raw_Schedule!A:A,0))</f>
        <v/>
      </c>
      <c r="F877" s="3">
        <f>INDEX(Raw_Schedule!F:F,MATCH(A877,Raw_Schedule!A:A,0))</f>
        <v/>
      </c>
      <c r="G877" s="4">
        <f>INDEX(Raw_Schedule!G:G,MATCH(A877,Raw_Schedule!A:A,0))</f>
        <v/>
      </c>
      <c r="H877" s="5">
        <f>INDEX(Raw_Schedule!H:H,MATCH(A877,Raw_Schedule!A:A,0))</f>
        <v/>
      </c>
      <c r="I877" s="5">
        <f>SUMIFS(Raw_Payments!E:E,Raw_Payments!B:B,A877)</f>
        <v/>
      </c>
      <c r="J877" s="5">
        <f>H877-I877</f>
        <v/>
      </c>
      <c r="K877" s="3">
        <f>IF(J877&lt;=0.005,"PAID",IF(I877&gt;0,"PARTIAL","OVERDUE"))</f>
        <v/>
      </c>
      <c r="L877" s="4">
        <f>IF(COUNTIFS(Raw_Payments!B:B,A877)=0,"",SUMPRODUCT(MAX((Raw_Payments!B$2:B$1079=A877)*Raw_Payments!D$2:D$1079)))</f>
        <v/>
      </c>
      <c r="M877" s="3">
        <f>IF(K877="PAID",MAX(0,L877-G877),Guide!$B$3-G877)</f>
        <v/>
      </c>
      <c r="N877" s="3">
        <f>IF(J877&lt;=0.005,"COLLECTED",IF(M877&lt;=30,"1-30",IF(M877&lt;=60,"31-60",IF(M877&lt;=90,"61-90","90+"))))</f>
        <v/>
      </c>
      <c r="O877" s="3">
        <f>IF(N877="90+","LOST",IF(N877="61-90","ESCALATE",IF(N877="31-60","WATCH",IF(N877="1-30","MILD","OK"))))</f>
        <v/>
      </c>
      <c r="P877" s="3">
        <f>IF(J877&gt;0.005,ROW()-1,"")</f>
        <v/>
      </c>
    </row>
    <row r="878">
      <c r="A878" s="3" t="inlineStr">
        <is>
          <t>D0877</t>
        </is>
      </c>
      <c r="B878" s="3">
        <f>INDEX(Raw_Schedule!B:B,MATCH(A878,Raw_Schedule!A:A,0))</f>
        <v/>
      </c>
      <c r="C878" s="3">
        <f>INDEX(Raw_Schedule!C:C,MATCH(A878,Raw_Schedule!A:A,0))</f>
        <v/>
      </c>
      <c r="D878" s="3">
        <f>INDEX(Raw_Schedule!D:D,MATCH(A878,Raw_Schedule!A:A,0))</f>
        <v/>
      </c>
      <c r="E878" s="3">
        <f>INDEX(Raw_Schedule!E:E,MATCH(A878,Raw_Schedule!A:A,0))</f>
        <v/>
      </c>
      <c r="F878" s="3">
        <f>INDEX(Raw_Schedule!F:F,MATCH(A878,Raw_Schedule!A:A,0))</f>
        <v/>
      </c>
      <c r="G878" s="4">
        <f>INDEX(Raw_Schedule!G:G,MATCH(A878,Raw_Schedule!A:A,0))</f>
        <v/>
      </c>
      <c r="H878" s="5">
        <f>INDEX(Raw_Schedule!H:H,MATCH(A878,Raw_Schedule!A:A,0))</f>
        <v/>
      </c>
      <c r="I878" s="5">
        <f>SUMIFS(Raw_Payments!E:E,Raw_Payments!B:B,A878)</f>
        <v/>
      </c>
      <c r="J878" s="5">
        <f>H878-I878</f>
        <v/>
      </c>
      <c r="K878" s="3">
        <f>IF(J878&lt;=0.005,"PAID",IF(I878&gt;0,"PARTIAL","OVERDUE"))</f>
        <v/>
      </c>
      <c r="L878" s="4">
        <f>IF(COUNTIFS(Raw_Payments!B:B,A878)=0,"",SUMPRODUCT(MAX((Raw_Payments!B$2:B$1079=A878)*Raw_Payments!D$2:D$1079)))</f>
        <v/>
      </c>
      <c r="M878" s="3">
        <f>IF(K878="PAID",MAX(0,L878-G878),Guide!$B$3-G878)</f>
        <v/>
      </c>
      <c r="N878" s="3">
        <f>IF(J878&lt;=0.005,"COLLECTED",IF(M878&lt;=30,"1-30",IF(M878&lt;=60,"31-60",IF(M878&lt;=90,"61-90","90+"))))</f>
        <v/>
      </c>
      <c r="O878" s="3">
        <f>IF(N878="90+","LOST",IF(N878="61-90","ESCALATE",IF(N878="31-60","WATCH",IF(N878="1-30","MILD","OK"))))</f>
        <v/>
      </c>
      <c r="P878" s="3">
        <f>IF(J878&gt;0.005,ROW()-1,"")</f>
        <v/>
      </c>
    </row>
    <row r="879">
      <c r="A879" s="3" t="inlineStr">
        <is>
          <t>D0878</t>
        </is>
      </c>
      <c r="B879" s="3">
        <f>INDEX(Raw_Schedule!B:B,MATCH(A879,Raw_Schedule!A:A,0))</f>
        <v/>
      </c>
      <c r="C879" s="3">
        <f>INDEX(Raw_Schedule!C:C,MATCH(A879,Raw_Schedule!A:A,0))</f>
        <v/>
      </c>
      <c r="D879" s="3">
        <f>INDEX(Raw_Schedule!D:D,MATCH(A879,Raw_Schedule!A:A,0))</f>
        <v/>
      </c>
      <c r="E879" s="3">
        <f>INDEX(Raw_Schedule!E:E,MATCH(A879,Raw_Schedule!A:A,0))</f>
        <v/>
      </c>
      <c r="F879" s="3">
        <f>INDEX(Raw_Schedule!F:F,MATCH(A879,Raw_Schedule!A:A,0))</f>
        <v/>
      </c>
      <c r="G879" s="4">
        <f>INDEX(Raw_Schedule!G:G,MATCH(A879,Raw_Schedule!A:A,0))</f>
        <v/>
      </c>
      <c r="H879" s="5">
        <f>INDEX(Raw_Schedule!H:H,MATCH(A879,Raw_Schedule!A:A,0))</f>
        <v/>
      </c>
      <c r="I879" s="5">
        <f>SUMIFS(Raw_Payments!E:E,Raw_Payments!B:B,A879)</f>
        <v/>
      </c>
      <c r="J879" s="5">
        <f>H879-I879</f>
        <v/>
      </c>
      <c r="K879" s="3">
        <f>IF(J879&lt;=0.005,"PAID",IF(I879&gt;0,"PARTIAL","OVERDUE"))</f>
        <v/>
      </c>
      <c r="L879" s="4">
        <f>IF(COUNTIFS(Raw_Payments!B:B,A879)=0,"",SUMPRODUCT(MAX((Raw_Payments!B$2:B$1079=A879)*Raw_Payments!D$2:D$1079)))</f>
        <v/>
      </c>
      <c r="M879" s="3">
        <f>IF(K879="PAID",MAX(0,L879-G879),Guide!$B$3-G879)</f>
        <v/>
      </c>
      <c r="N879" s="3">
        <f>IF(J879&lt;=0.005,"COLLECTED",IF(M879&lt;=30,"1-30",IF(M879&lt;=60,"31-60",IF(M879&lt;=90,"61-90","90+"))))</f>
        <v/>
      </c>
      <c r="O879" s="3">
        <f>IF(N879="90+","LOST",IF(N879="61-90","ESCALATE",IF(N879="31-60","WATCH",IF(N879="1-30","MILD","OK"))))</f>
        <v/>
      </c>
      <c r="P879" s="3">
        <f>IF(J879&gt;0.005,ROW()-1,"")</f>
        <v/>
      </c>
    </row>
    <row r="880">
      <c r="A880" s="3" t="inlineStr">
        <is>
          <t>D0879</t>
        </is>
      </c>
      <c r="B880" s="3">
        <f>INDEX(Raw_Schedule!B:B,MATCH(A880,Raw_Schedule!A:A,0))</f>
        <v/>
      </c>
      <c r="C880" s="3">
        <f>INDEX(Raw_Schedule!C:C,MATCH(A880,Raw_Schedule!A:A,0))</f>
        <v/>
      </c>
      <c r="D880" s="3">
        <f>INDEX(Raw_Schedule!D:D,MATCH(A880,Raw_Schedule!A:A,0))</f>
        <v/>
      </c>
      <c r="E880" s="3">
        <f>INDEX(Raw_Schedule!E:E,MATCH(A880,Raw_Schedule!A:A,0))</f>
        <v/>
      </c>
      <c r="F880" s="3">
        <f>INDEX(Raw_Schedule!F:F,MATCH(A880,Raw_Schedule!A:A,0))</f>
        <v/>
      </c>
      <c r="G880" s="4">
        <f>INDEX(Raw_Schedule!G:G,MATCH(A880,Raw_Schedule!A:A,0))</f>
        <v/>
      </c>
      <c r="H880" s="5">
        <f>INDEX(Raw_Schedule!H:H,MATCH(A880,Raw_Schedule!A:A,0))</f>
        <v/>
      </c>
      <c r="I880" s="5">
        <f>SUMIFS(Raw_Payments!E:E,Raw_Payments!B:B,A880)</f>
        <v/>
      </c>
      <c r="J880" s="5">
        <f>H880-I880</f>
        <v/>
      </c>
      <c r="K880" s="3">
        <f>IF(J880&lt;=0.005,"PAID",IF(I880&gt;0,"PARTIAL","OVERDUE"))</f>
        <v/>
      </c>
      <c r="L880" s="4">
        <f>IF(COUNTIFS(Raw_Payments!B:B,A880)=0,"",SUMPRODUCT(MAX((Raw_Payments!B$2:B$1079=A880)*Raw_Payments!D$2:D$1079)))</f>
        <v/>
      </c>
      <c r="M880" s="3">
        <f>IF(K880="PAID",MAX(0,L880-G880),Guide!$B$3-G880)</f>
        <v/>
      </c>
      <c r="N880" s="3">
        <f>IF(J880&lt;=0.005,"COLLECTED",IF(M880&lt;=30,"1-30",IF(M880&lt;=60,"31-60",IF(M880&lt;=90,"61-90","90+"))))</f>
        <v/>
      </c>
      <c r="O880" s="3">
        <f>IF(N880="90+","LOST",IF(N880="61-90","ESCALATE",IF(N880="31-60","WATCH",IF(N880="1-30","MILD","OK"))))</f>
        <v/>
      </c>
      <c r="P880" s="3">
        <f>IF(J880&gt;0.005,ROW()-1,"")</f>
        <v/>
      </c>
    </row>
    <row r="881">
      <c r="A881" s="3" t="inlineStr">
        <is>
          <t>D0880</t>
        </is>
      </c>
      <c r="B881" s="3">
        <f>INDEX(Raw_Schedule!B:B,MATCH(A881,Raw_Schedule!A:A,0))</f>
        <v/>
      </c>
      <c r="C881" s="3">
        <f>INDEX(Raw_Schedule!C:C,MATCH(A881,Raw_Schedule!A:A,0))</f>
        <v/>
      </c>
      <c r="D881" s="3">
        <f>INDEX(Raw_Schedule!D:D,MATCH(A881,Raw_Schedule!A:A,0))</f>
        <v/>
      </c>
      <c r="E881" s="3">
        <f>INDEX(Raw_Schedule!E:E,MATCH(A881,Raw_Schedule!A:A,0))</f>
        <v/>
      </c>
      <c r="F881" s="3">
        <f>INDEX(Raw_Schedule!F:F,MATCH(A881,Raw_Schedule!A:A,0))</f>
        <v/>
      </c>
      <c r="G881" s="4">
        <f>INDEX(Raw_Schedule!G:G,MATCH(A881,Raw_Schedule!A:A,0))</f>
        <v/>
      </c>
      <c r="H881" s="5">
        <f>INDEX(Raw_Schedule!H:H,MATCH(A881,Raw_Schedule!A:A,0))</f>
        <v/>
      </c>
      <c r="I881" s="5">
        <f>SUMIFS(Raw_Payments!E:E,Raw_Payments!B:B,A881)</f>
        <v/>
      </c>
      <c r="J881" s="5">
        <f>H881-I881</f>
        <v/>
      </c>
      <c r="K881" s="3">
        <f>IF(J881&lt;=0.005,"PAID",IF(I881&gt;0,"PARTIAL","OVERDUE"))</f>
        <v/>
      </c>
      <c r="L881" s="4">
        <f>IF(COUNTIFS(Raw_Payments!B:B,A881)=0,"",SUMPRODUCT(MAX((Raw_Payments!B$2:B$1079=A881)*Raw_Payments!D$2:D$1079)))</f>
        <v/>
      </c>
      <c r="M881" s="3">
        <f>IF(K881="PAID",MAX(0,L881-G881),Guide!$B$3-G881)</f>
        <v/>
      </c>
      <c r="N881" s="3">
        <f>IF(J881&lt;=0.005,"COLLECTED",IF(M881&lt;=30,"1-30",IF(M881&lt;=60,"31-60",IF(M881&lt;=90,"61-90","90+"))))</f>
        <v/>
      </c>
      <c r="O881" s="3">
        <f>IF(N881="90+","LOST",IF(N881="61-90","ESCALATE",IF(N881="31-60","WATCH",IF(N881="1-30","MILD","OK"))))</f>
        <v/>
      </c>
      <c r="P881" s="3">
        <f>IF(J881&gt;0.005,ROW()-1,"")</f>
        <v/>
      </c>
    </row>
    <row r="882">
      <c r="A882" s="3" t="inlineStr">
        <is>
          <t>D0881</t>
        </is>
      </c>
      <c r="B882" s="3">
        <f>INDEX(Raw_Schedule!B:B,MATCH(A882,Raw_Schedule!A:A,0))</f>
        <v/>
      </c>
      <c r="C882" s="3">
        <f>INDEX(Raw_Schedule!C:C,MATCH(A882,Raw_Schedule!A:A,0))</f>
        <v/>
      </c>
      <c r="D882" s="3">
        <f>INDEX(Raw_Schedule!D:D,MATCH(A882,Raw_Schedule!A:A,0))</f>
        <v/>
      </c>
      <c r="E882" s="3">
        <f>INDEX(Raw_Schedule!E:E,MATCH(A882,Raw_Schedule!A:A,0))</f>
        <v/>
      </c>
      <c r="F882" s="3">
        <f>INDEX(Raw_Schedule!F:F,MATCH(A882,Raw_Schedule!A:A,0))</f>
        <v/>
      </c>
      <c r="G882" s="4">
        <f>INDEX(Raw_Schedule!G:G,MATCH(A882,Raw_Schedule!A:A,0))</f>
        <v/>
      </c>
      <c r="H882" s="5">
        <f>INDEX(Raw_Schedule!H:H,MATCH(A882,Raw_Schedule!A:A,0))</f>
        <v/>
      </c>
      <c r="I882" s="5">
        <f>SUMIFS(Raw_Payments!E:E,Raw_Payments!B:B,A882)</f>
        <v/>
      </c>
      <c r="J882" s="5">
        <f>H882-I882</f>
        <v/>
      </c>
      <c r="K882" s="3">
        <f>IF(J882&lt;=0.005,"PAID",IF(I882&gt;0,"PARTIAL","OVERDUE"))</f>
        <v/>
      </c>
      <c r="L882" s="4">
        <f>IF(COUNTIFS(Raw_Payments!B:B,A882)=0,"",SUMPRODUCT(MAX((Raw_Payments!B$2:B$1079=A882)*Raw_Payments!D$2:D$1079)))</f>
        <v/>
      </c>
      <c r="M882" s="3">
        <f>IF(K882="PAID",MAX(0,L882-G882),Guide!$B$3-G882)</f>
        <v/>
      </c>
      <c r="N882" s="3">
        <f>IF(J882&lt;=0.005,"COLLECTED",IF(M882&lt;=30,"1-30",IF(M882&lt;=60,"31-60",IF(M882&lt;=90,"61-90","90+"))))</f>
        <v/>
      </c>
      <c r="O882" s="3">
        <f>IF(N882="90+","LOST",IF(N882="61-90","ESCALATE",IF(N882="31-60","WATCH",IF(N882="1-30","MILD","OK"))))</f>
        <v/>
      </c>
      <c r="P882" s="3">
        <f>IF(J882&gt;0.005,ROW()-1,"")</f>
        <v/>
      </c>
    </row>
    <row r="883">
      <c r="A883" s="3" t="inlineStr">
        <is>
          <t>D0882</t>
        </is>
      </c>
      <c r="B883" s="3">
        <f>INDEX(Raw_Schedule!B:B,MATCH(A883,Raw_Schedule!A:A,0))</f>
        <v/>
      </c>
      <c r="C883" s="3">
        <f>INDEX(Raw_Schedule!C:C,MATCH(A883,Raw_Schedule!A:A,0))</f>
        <v/>
      </c>
      <c r="D883" s="3">
        <f>INDEX(Raw_Schedule!D:D,MATCH(A883,Raw_Schedule!A:A,0))</f>
        <v/>
      </c>
      <c r="E883" s="3">
        <f>INDEX(Raw_Schedule!E:E,MATCH(A883,Raw_Schedule!A:A,0))</f>
        <v/>
      </c>
      <c r="F883" s="3">
        <f>INDEX(Raw_Schedule!F:F,MATCH(A883,Raw_Schedule!A:A,0))</f>
        <v/>
      </c>
      <c r="G883" s="4">
        <f>INDEX(Raw_Schedule!G:G,MATCH(A883,Raw_Schedule!A:A,0))</f>
        <v/>
      </c>
      <c r="H883" s="5">
        <f>INDEX(Raw_Schedule!H:H,MATCH(A883,Raw_Schedule!A:A,0))</f>
        <v/>
      </c>
      <c r="I883" s="5">
        <f>SUMIFS(Raw_Payments!E:E,Raw_Payments!B:B,A883)</f>
        <v/>
      </c>
      <c r="J883" s="5">
        <f>H883-I883</f>
        <v/>
      </c>
      <c r="K883" s="3">
        <f>IF(J883&lt;=0.005,"PAID",IF(I883&gt;0,"PARTIAL","OVERDUE"))</f>
        <v/>
      </c>
      <c r="L883" s="4">
        <f>IF(COUNTIFS(Raw_Payments!B:B,A883)=0,"",SUMPRODUCT(MAX((Raw_Payments!B$2:B$1079=A883)*Raw_Payments!D$2:D$1079)))</f>
        <v/>
      </c>
      <c r="M883" s="3">
        <f>IF(K883="PAID",MAX(0,L883-G883),Guide!$B$3-G883)</f>
        <v/>
      </c>
      <c r="N883" s="3">
        <f>IF(J883&lt;=0.005,"COLLECTED",IF(M883&lt;=30,"1-30",IF(M883&lt;=60,"31-60",IF(M883&lt;=90,"61-90","90+"))))</f>
        <v/>
      </c>
      <c r="O883" s="3">
        <f>IF(N883="90+","LOST",IF(N883="61-90","ESCALATE",IF(N883="31-60","WATCH",IF(N883="1-30","MILD","OK"))))</f>
        <v/>
      </c>
      <c r="P883" s="3">
        <f>IF(J883&gt;0.005,ROW()-1,"")</f>
        <v/>
      </c>
    </row>
    <row r="884">
      <c r="A884" s="3" t="inlineStr">
        <is>
          <t>D0883</t>
        </is>
      </c>
      <c r="B884" s="3">
        <f>INDEX(Raw_Schedule!B:B,MATCH(A884,Raw_Schedule!A:A,0))</f>
        <v/>
      </c>
      <c r="C884" s="3">
        <f>INDEX(Raw_Schedule!C:C,MATCH(A884,Raw_Schedule!A:A,0))</f>
        <v/>
      </c>
      <c r="D884" s="3">
        <f>INDEX(Raw_Schedule!D:D,MATCH(A884,Raw_Schedule!A:A,0))</f>
        <v/>
      </c>
      <c r="E884" s="3">
        <f>INDEX(Raw_Schedule!E:E,MATCH(A884,Raw_Schedule!A:A,0))</f>
        <v/>
      </c>
      <c r="F884" s="3">
        <f>INDEX(Raw_Schedule!F:F,MATCH(A884,Raw_Schedule!A:A,0))</f>
        <v/>
      </c>
      <c r="G884" s="4">
        <f>INDEX(Raw_Schedule!G:G,MATCH(A884,Raw_Schedule!A:A,0))</f>
        <v/>
      </c>
      <c r="H884" s="5">
        <f>INDEX(Raw_Schedule!H:H,MATCH(A884,Raw_Schedule!A:A,0))</f>
        <v/>
      </c>
      <c r="I884" s="5">
        <f>SUMIFS(Raw_Payments!E:E,Raw_Payments!B:B,A884)</f>
        <v/>
      </c>
      <c r="J884" s="5">
        <f>H884-I884</f>
        <v/>
      </c>
      <c r="K884" s="3">
        <f>IF(J884&lt;=0.005,"PAID",IF(I884&gt;0,"PARTIAL","OVERDUE"))</f>
        <v/>
      </c>
      <c r="L884" s="4">
        <f>IF(COUNTIFS(Raw_Payments!B:B,A884)=0,"",SUMPRODUCT(MAX((Raw_Payments!B$2:B$1079=A884)*Raw_Payments!D$2:D$1079)))</f>
        <v/>
      </c>
      <c r="M884" s="3">
        <f>IF(K884="PAID",MAX(0,L884-G884),Guide!$B$3-G884)</f>
        <v/>
      </c>
      <c r="N884" s="3">
        <f>IF(J884&lt;=0.005,"COLLECTED",IF(M884&lt;=30,"1-30",IF(M884&lt;=60,"31-60",IF(M884&lt;=90,"61-90","90+"))))</f>
        <v/>
      </c>
      <c r="O884" s="3">
        <f>IF(N884="90+","LOST",IF(N884="61-90","ESCALATE",IF(N884="31-60","WATCH",IF(N884="1-30","MILD","OK"))))</f>
        <v/>
      </c>
      <c r="P884" s="3">
        <f>IF(J884&gt;0.005,ROW()-1,"")</f>
        <v/>
      </c>
    </row>
    <row r="885">
      <c r="A885" s="3" t="inlineStr">
        <is>
          <t>D0884</t>
        </is>
      </c>
      <c r="B885" s="3">
        <f>INDEX(Raw_Schedule!B:B,MATCH(A885,Raw_Schedule!A:A,0))</f>
        <v/>
      </c>
      <c r="C885" s="3">
        <f>INDEX(Raw_Schedule!C:C,MATCH(A885,Raw_Schedule!A:A,0))</f>
        <v/>
      </c>
      <c r="D885" s="3">
        <f>INDEX(Raw_Schedule!D:D,MATCH(A885,Raw_Schedule!A:A,0))</f>
        <v/>
      </c>
      <c r="E885" s="3">
        <f>INDEX(Raw_Schedule!E:E,MATCH(A885,Raw_Schedule!A:A,0))</f>
        <v/>
      </c>
      <c r="F885" s="3">
        <f>INDEX(Raw_Schedule!F:F,MATCH(A885,Raw_Schedule!A:A,0))</f>
        <v/>
      </c>
      <c r="G885" s="4">
        <f>INDEX(Raw_Schedule!G:G,MATCH(A885,Raw_Schedule!A:A,0))</f>
        <v/>
      </c>
      <c r="H885" s="5">
        <f>INDEX(Raw_Schedule!H:H,MATCH(A885,Raw_Schedule!A:A,0))</f>
        <v/>
      </c>
      <c r="I885" s="5">
        <f>SUMIFS(Raw_Payments!E:E,Raw_Payments!B:B,A885)</f>
        <v/>
      </c>
      <c r="J885" s="5">
        <f>H885-I885</f>
        <v/>
      </c>
      <c r="K885" s="3">
        <f>IF(J885&lt;=0.005,"PAID",IF(I885&gt;0,"PARTIAL","OVERDUE"))</f>
        <v/>
      </c>
      <c r="L885" s="4">
        <f>IF(COUNTIFS(Raw_Payments!B:B,A885)=0,"",SUMPRODUCT(MAX((Raw_Payments!B$2:B$1079=A885)*Raw_Payments!D$2:D$1079)))</f>
        <v/>
      </c>
      <c r="M885" s="3">
        <f>IF(K885="PAID",MAX(0,L885-G885),Guide!$B$3-G885)</f>
        <v/>
      </c>
      <c r="N885" s="3">
        <f>IF(J885&lt;=0.005,"COLLECTED",IF(M885&lt;=30,"1-30",IF(M885&lt;=60,"31-60",IF(M885&lt;=90,"61-90","90+"))))</f>
        <v/>
      </c>
      <c r="O885" s="3">
        <f>IF(N885="90+","LOST",IF(N885="61-90","ESCALATE",IF(N885="31-60","WATCH",IF(N885="1-30","MILD","OK"))))</f>
        <v/>
      </c>
      <c r="P885" s="3">
        <f>IF(J885&gt;0.005,ROW()-1,"")</f>
        <v/>
      </c>
    </row>
    <row r="886">
      <c r="A886" s="3" t="inlineStr">
        <is>
          <t>D0885</t>
        </is>
      </c>
      <c r="B886" s="3">
        <f>INDEX(Raw_Schedule!B:B,MATCH(A886,Raw_Schedule!A:A,0))</f>
        <v/>
      </c>
      <c r="C886" s="3">
        <f>INDEX(Raw_Schedule!C:C,MATCH(A886,Raw_Schedule!A:A,0))</f>
        <v/>
      </c>
      <c r="D886" s="3">
        <f>INDEX(Raw_Schedule!D:D,MATCH(A886,Raw_Schedule!A:A,0))</f>
        <v/>
      </c>
      <c r="E886" s="3">
        <f>INDEX(Raw_Schedule!E:E,MATCH(A886,Raw_Schedule!A:A,0))</f>
        <v/>
      </c>
      <c r="F886" s="3">
        <f>INDEX(Raw_Schedule!F:F,MATCH(A886,Raw_Schedule!A:A,0))</f>
        <v/>
      </c>
      <c r="G886" s="4">
        <f>INDEX(Raw_Schedule!G:G,MATCH(A886,Raw_Schedule!A:A,0))</f>
        <v/>
      </c>
      <c r="H886" s="5">
        <f>INDEX(Raw_Schedule!H:H,MATCH(A886,Raw_Schedule!A:A,0))</f>
        <v/>
      </c>
      <c r="I886" s="5">
        <f>SUMIFS(Raw_Payments!E:E,Raw_Payments!B:B,A886)</f>
        <v/>
      </c>
      <c r="J886" s="5">
        <f>H886-I886</f>
        <v/>
      </c>
      <c r="K886" s="3">
        <f>IF(J886&lt;=0.005,"PAID",IF(I886&gt;0,"PARTIAL","OVERDUE"))</f>
        <v/>
      </c>
      <c r="L886" s="4">
        <f>IF(COUNTIFS(Raw_Payments!B:B,A886)=0,"",SUMPRODUCT(MAX((Raw_Payments!B$2:B$1079=A886)*Raw_Payments!D$2:D$1079)))</f>
        <v/>
      </c>
      <c r="M886" s="3">
        <f>IF(K886="PAID",MAX(0,L886-G886),Guide!$B$3-G886)</f>
        <v/>
      </c>
      <c r="N886" s="3">
        <f>IF(J886&lt;=0.005,"COLLECTED",IF(M886&lt;=30,"1-30",IF(M886&lt;=60,"31-60",IF(M886&lt;=90,"61-90","90+"))))</f>
        <v/>
      </c>
      <c r="O886" s="3">
        <f>IF(N886="90+","LOST",IF(N886="61-90","ESCALATE",IF(N886="31-60","WATCH",IF(N886="1-30","MILD","OK"))))</f>
        <v/>
      </c>
      <c r="P886" s="3">
        <f>IF(J886&gt;0.005,ROW()-1,"")</f>
        <v/>
      </c>
    </row>
    <row r="887">
      <c r="A887" s="3" t="inlineStr">
        <is>
          <t>D0886</t>
        </is>
      </c>
      <c r="B887" s="3">
        <f>INDEX(Raw_Schedule!B:B,MATCH(A887,Raw_Schedule!A:A,0))</f>
        <v/>
      </c>
      <c r="C887" s="3">
        <f>INDEX(Raw_Schedule!C:C,MATCH(A887,Raw_Schedule!A:A,0))</f>
        <v/>
      </c>
      <c r="D887" s="3">
        <f>INDEX(Raw_Schedule!D:D,MATCH(A887,Raw_Schedule!A:A,0))</f>
        <v/>
      </c>
      <c r="E887" s="3">
        <f>INDEX(Raw_Schedule!E:E,MATCH(A887,Raw_Schedule!A:A,0))</f>
        <v/>
      </c>
      <c r="F887" s="3">
        <f>INDEX(Raw_Schedule!F:F,MATCH(A887,Raw_Schedule!A:A,0))</f>
        <v/>
      </c>
      <c r="G887" s="4">
        <f>INDEX(Raw_Schedule!G:G,MATCH(A887,Raw_Schedule!A:A,0))</f>
        <v/>
      </c>
      <c r="H887" s="5">
        <f>INDEX(Raw_Schedule!H:H,MATCH(A887,Raw_Schedule!A:A,0))</f>
        <v/>
      </c>
      <c r="I887" s="5">
        <f>SUMIFS(Raw_Payments!E:E,Raw_Payments!B:B,A887)</f>
        <v/>
      </c>
      <c r="J887" s="5">
        <f>H887-I887</f>
        <v/>
      </c>
      <c r="K887" s="3">
        <f>IF(J887&lt;=0.005,"PAID",IF(I887&gt;0,"PARTIAL","OVERDUE"))</f>
        <v/>
      </c>
      <c r="L887" s="4">
        <f>IF(COUNTIFS(Raw_Payments!B:B,A887)=0,"",SUMPRODUCT(MAX((Raw_Payments!B$2:B$1079=A887)*Raw_Payments!D$2:D$1079)))</f>
        <v/>
      </c>
      <c r="M887" s="3">
        <f>IF(K887="PAID",MAX(0,L887-G887),Guide!$B$3-G887)</f>
        <v/>
      </c>
      <c r="N887" s="3">
        <f>IF(J887&lt;=0.005,"COLLECTED",IF(M887&lt;=30,"1-30",IF(M887&lt;=60,"31-60",IF(M887&lt;=90,"61-90","90+"))))</f>
        <v/>
      </c>
      <c r="O887" s="3">
        <f>IF(N887="90+","LOST",IF(N887="61-90","ESCALATE",IF(N887="31-60","WATCH",IF(N887="1-30","MILD","OK"))))</f>
        <v/>
      </c>
      <c r="P887" s="3">
        <f>IF(J887&gt;0.005,ROW()-1,"")</f>
        <v/>
      </c>
    </row>
    <row r="888">
      <c r="A888" s="3" t="inlineStr">
        <is>
          <t>D0887</t>
        </is>
      </c>
      <c r="B888" s="3">
        <f>INDEX(Raw_Schedule!B:B,MATCH(A888,Raw_Schedule!A:A,0))</f>
        <v/>
      </c>
      <c r="C888" s="3">
        <f>INDEX(Raw_Schedule!C:C,MATCH(A888,Raw_Schedule!A:A,0))</f>
        <v/>
      </c>
      <c r="D888" s="3">
        <f>INDEX(Raw_Schedule!D:D,MATCH(A888,Raw_Schedule!A:A,0))</f>
        <v/>
      </c>
      <c r="E888" s="3">
        <f>INDEX(Raw_Schedule!E:E,MATCH(A888,Raw_Schedule!A:A,0))</f>
        <v/>
      </c>
      <c r="F888" s="3">
        <f>INDEX(Raw_Schedule!F:F,MATCH(A888,Raw_Schedule!A:A,0))</f>
        <v/>
      </c>
      <c r="G888" s="4">
        <f>INDEX(Raw_Schedule!G:G,MATCH(A888,Raw_Schedule!A:A,0))</f>
        <v/>
      </c>
      <c r="H888" s="5">
        <f>INDEX(Raw_Schedule!H:H,MATCH(A888,Raw_Schedule!A:A,0))</f>
        <v/>
      </c>
      <c r="I888" s="5">
        <f>SUMIFS(Raw_Payments!E:E,Raw_Payments!B:B,A888)</f>
        <v/>
      </c>
      <c r="J888" s="5">
        <f>H888-I888</f>
        <v/>
      </c>
      <c r="K888" s="3">
        <f>IF(J888&lt;=0.005,"PAID",IF(I888&gt;0,"PARTIAL","OVERDUE"))</f>
        <v/>
      </c>
      <c r="L888" s="4">
        <f>IF(COUNTIFS(Raw_Payments!B:B,A888)=0,"",SUMPRODUCT(MAX((Raw_Payments!B$2:B$1079=A888)*Raw_Payments!D$2:D$1079)))</f>
        <v/>
      </c>
      <c r="M888" s="3">
        <f>IF(K888="PAID",MAX(0,L888-G888),Guide!$B$3-G888)</f>
        <v/>
      </c>
      <c r="N888" s="3">
        <f>IF(J888&lt;=0.005,"COLLECTED",IF(M888&lt;=30,"1-30",IF(M888&lt;=60,"31-60",IF(M888&lt;=90,"61-90","90+"))))</f>
        <v/>
      </c>
      <c r="O888" s="3">
        <f>IF(N888="90+","LOST",IF(N888="61-90","ESCALATE",IF(N888="31-60","WATCH",IF(N888="1-30","MILD","OK"))))</f>
        <v/>
      </c>
      <c r="P888" s="3">
        <f>IF(J888&gt;0.005,ROW()-1,"")</f>
        <v/>
      </c>
    </row>
    <row r="889">
      <c r="A889" s="3" t="inlineStr">
        <is>
          <t>D0888</t>
        </is>
      </c>
      <c r="B889" s="3">
        <f>INDEX(Raw_Schedule!B:B,MATCH(A889,Raw_Schedule!A:A,0))</f>
        <v/>
      </c>
      <c r="C889" s="3">
        <f>INDEX(Raw_Schedule!C:C,MATCH(A889,Raw_Schedule!A:A,0))</f>
        <v/>
      </c>
      <c r="D889" s="3">
        <f>INDEX(Raw_Schedule!D:D,MATCH(A889,Raw_Schedule!A:A,0))</f>
        <v/>
      </c>
      <c r="E889" s="3">
        <f>INDEX(Raw_Schedule!E:E,MATCH(A889,Raw_Schedule!A:A,0))</f>
        <v/>
      </c>
      <c r="F889" s="3">
        <f>INDEX(Raw_Schedule!F:F,MATCH(A889,Raw_Schedule!A:A,0))</f>
        <v/>
      </c>
      <c r="G889" s="4">
        <f>INDEX(Raw_Schedule!G:G,MATCH(A889,Raw_Schedule!A:A,0))</f>
        <v/>
      </c>
      <c r="H889" s="5">
        <f>INDEX(Raw_Schedule!H:H,MATCH(A889,Raw_Schedule!A:A,0))</f>
        <v/>
      </c>
      <c r="I889" s="5">
        <f>SUMIFS(Raw_Payments!E:E,Raw_Payments!B:B,A889)</f>
        <v/>
      </c>
      <c r="J889" s="5">
        <f>H889-I889</f>
        <v/>
      </c>
      <c r="K889" s="3">
        <f>IF(J889&lt;=0.005,"PAID",IF(I889&gt;0,"PARTIAL","OVERDUE"))</f>
        <v/>
      </c>
      <c r="L889" s="4">
        <f>IF(COUNTIFS(Raw_Payments!B:B,A889)=0,"",SUMPRODUCT(MAX((Raw_Payments!B$2:B$1079=A889)*Raw_Payments!D$2:D$1079)))</f>
        <v/>
      </c>
      <c r="M889" s="3">
        <f>IF(K889="PAID",MAX(0,L889-G889),Guide!$B$3-G889)</f>
        <v/>
      </c>
      <c r="N889" s="3">
        <f>IF(J889&lt;=0.005,"COLLECTED",IF(M889&lt;=30,"1-30",IF(M889&lt;=60,"31-60",IF(M889&lt;=90,"61-90","90+"))))</f>
        <v/>
      </c>
      <c r="O889" s="3">
        <f>IF(N889="90+","LOST",IF(N889="61-90","ESCALATE",IF(N889="31-60","WATCH",IF(N889="1-30","MILD","OK"))))</f>
        <v/>
      </c>
      <c r="P889" s="3">
        <f>IF(J889&gt;0.005,ROW()-1,"")</f>
        <v/>
      </c>
    </row>
    <row r="890">
      <c r="A890" s="3" t="inlineStr">
        <is>
          <t>D0889</t>
        </is>
      </c>
      <c r="B890" s="3">
        <f>INDEX(Raw_Schedule!B:B,MATCH(A890,Raw_Schedule!A:A,0))</f>
        <v/>
      </c>
      <c r="C890" s="3">
        <f>INDEX(Raw_Schedule!C:C,MATCH(A890,Raw_Schedule!A:A,0))</f>
        <v/>
      </c>
      <c r="D890" s="3">
        <f>INDEX(Raw_Schedule!D:D,MATCH(A890,Raw_Schedule!A:A,0))</f>
        <v/>
      </c>
      <c r="E890" s="3">
        <f>INDEX(Raw_Schedule!E:E,MATCH(A890,Raw_Schedule!A:A,0))</f>
        <v/>
      </c>
      <c r="F890" s="3">
        <f>INDEX(Raw_Schedule!F:F,MATCH(A890,Raw_Schedule!A:A,0))</f>
        <v/>
      </c>
      <c r="G890" s="4">
        <f>INDEX(Raw_Schedule!G:G,MATCH(A890,Raw_Schedule!A:A,0))</f>
        <v/>
      </c>
      <c r="H890" s="5">
        <f>INDEX(Raw_Schedule!H:H,MATCH(A890,Raw_Schedule!A:A,0))</f>
        <v/>
      </c>
      <c r="I890" s="5">
        <f>SUMIFS(Raw_Payments!E:E,Raw_Payments!B:B,A890)</f>
        <v/>
      </c>
      <c r="J890" s="5">
        <f>H890-I890</f>
        <v/>
      </c>
      <c r="K890" s="3">
        <f>IF(J890&lt;=0.005,"PAID",IF(I890&gt;0,"PARTIAL","OVERDUE"))</f>
        <v/>
      </c>
      <c r="L890" s="4">
        <f>IF(COUNTIFS(Raw_Payments!B:B,A890)=0,"",SUMPRODUCT(MAX((Raw_Payments!B$2:B$1079=A890)*Raw_Payments!D$2:D$1079)))</f>
        <v/>
      </c>
      <c r="M890" s="3">
        <f>IF(K890="PAID",MAX(0,L890-G890),Guide!$B$3-G890)</f>
        <v/>
      </c>
      <c r="N890" s="3">
        <f>IF(J890&lt;=0.005,"COLLECTED",IF(M890&lt;=30,"1-30",IF(M890&lt;=60,"31-60",IF(M890&lt;=90,"61-90","90+"))))</f>
        <v/>
      </c>
      <c r="O890" s="3">
        <f>IF(N890="90+","LOST",IF(N890="61-90","ESCALATE",IF(N890="31-60","WATCH",IF(N890="1-30","MILD","OK"))))</f>
        <v/>
      </c>
      <c r="P890" s="3">
        <f>IF(J890&gt;0.005,ROW()-1,"")</f>
        <v/>
      </c>
    </row>
    <row r="891">
      <c r="A891" s="3" t="inlineStr">
        <is>
          <t>D0890</t>
        </is>
      </c>
      <c r="B891" s="3">
        <f>INDEX(Raw_Schedule!B:B,MATCH(A891,Raw_Schedule!A:A,0))</f>
        <v/>
      </c>
      <c r="C891" s="3">
        <f>INDEX(Raw_Schedule!C:C,MATCH(A891,Raw_Schedule!A:A,0))</f>
        <v/>
      </c>
      <c r="D891" s="3">
        <f>INDEX(Raw_Schedule!D:D,MATCH(A891,Raw_Schedule!A:A,0))</f>
        <v/>
      </c>
      <c r="E891" s="3">
        <f>INDEX(Raw_Schedule!E:E,MATCH(A891,Raw_Schedule!A:A,0))</f>
        <v/>
      </c>
      <c r="F891" s="3">
        <f>INDEX(Raw_Schedule!F:F,MATCH(A891,Raw_Schedule!A:A,0))</f>
        <v/>
      </c>
      <c r="G891" s="4">
        <f>INDEX(Raw_Schedule!G:G,MATCH(A891,Raw_Schedule!A:A,0))</f>
        <v/>
      </c>
      <c r="H891" s="5">
        <f>INDEX(Raw_Schedule!H:H,MATCH(A891,Raw_Schedule!A:A,0))</f>
        <v/>
      </c>
      <c r="I891" s="5">
        <f>SUMIFS(Raw_Payments!E:E,Raw_Payments!B:B,A891)</f>
        <v/>
      </c>
      <c r="J891" s="5">
        <f>H891-I891</f>
        <v/>
      </c>
      <c r="K891" s="3">
        <f>IF(J891&lt;=0.005,"PAID",IF(I891&gt;0,"PARTIAL","OVERDUE"))</f>
        <v/>
      </c>
      <c r="L891" s="4">
        <f>IF(COUNTIFS(Raw_Payments!B:B,A891)=0,"",SUMPRODUCT(MAX((Raw_Payments!B$2:B$1079=A891)*Raw_Payments!D$2:D$1079)))</f>
        <v/>
      </c>
      <c r="M891" s="3">
        <f>IF(K891="PAID",MAX(0,L891-G891),Guide!$B$3-G891)</f>
        <v/>
      </c>
      <c r="N891" s="3">
        <f>IF(J891&lt;=0.005,"COLLECTED",IF(M891&lt;=30,"1-30",IF(M891&lt;=60,"31-60",IF(M891&lt;=90,"61-90","90+"))))</f>
        <v/>
      </c>
      <c r="O891" s="3">
        <f>IF(N891="90+","LOST",IF(N891="61-90","ESCALATE",IF(N891="31-60","WATCH",IF(N891="1-30","MILD","OK"))))</f>
        <v/>
      </c>
      <c r="P891" s="3">
        <f>IF(J891&gt;0.005,ROW()-1,"")</f>
        <v/>
      </c>
    </row>
    <row r="892">
      <c r="A892" s="3" t="inlineStr">
        <is>
          <t>D0891</t>
        </is>
      </c>
      <c r="B892" s="3">
        <f>INDEX(Raw_Schedule!B:B,MATCH(A892,Raw_Schedule!A:A,0))</f>
        <v/>
      </c>
      <c r="C892" s="3">
        <f>INDEX(Raw_Schedule!C:C,MATCH(A892,Raw_Schedule!A:A,0))</f>
        <v/>
      </c>
      <c r="D892" s="3">
        <f>INDEX(Raw_Schedule!D:D,MATCH(A892,Raw_Schedule!A:A,0))</f>
        <v/>
      </c>
      <c r="E892" s="3">
        <f>INDEX(Raw_Schedule!E:E,MATCH(A892,Raw_Schedule!A:A,0))</f>
        <v/>
      </c>
      <c r="F892" s="3">
        <f>INDEX(Raw_Schedule!F:F,MATCH(A892,Raw_Schedule!A:A,0))</f>
        <v/>
      </c>
      <c r="G892" s="4">
        <f>INDEX(Raw_Schedule!G:G,MATCH(A892,Raw_Schedule!A:A,0))</f>
        <v/>
      </c>
      <c r="H892" s="5">
        <f>INDEX(Raw_Schedule!H:H,MATCH(A892,Raw_Schedule!A:A,0))</f>
        <v/>
      </c>
      <c r="I892" s="5">
        <f>SUMIFS(Raw_Payments!E:E,Raw_Payments!B:B,A892)</f>
        <v/>
      </c>
      <c r="J892" s="5">
        <f>H892-I892</f>
        <v/>
      </c>
      <c r="K892" s="3">
        <f>IF(J892&lt;=0.005,"PAID",IF(I892&gt;0,"PARTIAL","OVERDUE"))</f>
        <v/>
      </c>
      <c r="L892" s="4">
        <f>IF(COUNTIFS(Raw_Payments!B:B,A892)=0,"",SUMPRODUCT(MAX((Raw_Payments!B$2:B$1079=A892)*Raw_Payments!D$2:D$1079)))</f>
        <v/>
      </c>
      <c r="M892" s="3">
        <f>IF(K892="PAID",MAX(0,L892-G892),Guide!$B$3-G892)</f>
        <v/>
      </c>
      <c r="N892" s="3">
        <f>IF(J892&lt;=0.005,"COLLECTED",IF(M892&lt;=30,"1-30",IF(M892&lt;=60,"31-60",IF(M892&lt;=90,"61-90","90+"))))</f>
        <v/>
      </c>
      <c r="O892" s="3">
        <f>IF(N892="90+","LOST",IF(N892="61-90","ESCALATE",IF(N892="31-60","WATCH",IF(N892="1-30","MILD","OK"))))</f>
        <v/>
      </c>
      <c r="P892" s="3">
        <f>IF(J892&gt;0.005,ROW()-1,"")</f>
        <v/>
      </c>
    </row>
    <row r="893">
      <c r="A893" s="3" t="inlineStr">
        <is>
          <t>D0892</t>
        </is>
      </c>
      <c r="B893" s="3">
        <f>INDEX(Raw_Schedule!B:B,MATCH(A893,Raw_Schedule!A:A,0))</f>
        <v/>
      </c>
      <c r="C893" s="3">
        <f>INDEX(Raw_Schedule!C:C,MATCH(A893,Raw_Schedule!A:A,0))</f>
        <v/>
      </c>
      <c r="D893" s="3">
        <f>INDEX(Raw_Schedule!D:D,MATCH(A893,Raw_Schedule!A:A,0))</f>
        <v/>
      </c>
      <c r="E893" s="3">
        <f>INDEX(Raw_Schedule!E:E,MATCH(A893,Raw_Schedule!A:A,0))</f>
        <v/>
      </c>
      <c r="F893" s="3">
        <f>INDEX(Raw_Schedule!F:F,MATCH(A893,Raw_Schedule!A:A,0))</f>
        <v/>
      </c>
      <c r="G893" s="4">
        <f>INDEX(Raw_Schedule!G:G,MATCH(A893,Raw_Schedule!A:A,0))</f>
        <v/>
      </c>
      <c r="H893" s="5">
        <f>INDEX(Raw_Schedule!H:H,MATCH(A893,Raw_Schedule!A:A,0))</f>
        <v/>
      </c>
      <c r="I893" s="5">
        <f>SUMIFS(Raw_Payments!E:E,Raw_Payments!B:B,A893)</f>
        <v/>
      </c>
      <c r="J893" s="5">
        <f>H893-I893</f>
        <v/>
      </c>
      <c r="K893" s="3">
        <f>IF(J893&lt;=0.005,"PAID",IF(I893&gt;0,"PARTIAL","OVERDUE"))</f>
        <v/>
      </c>
      <c r="L893" s="4">
        <f>IF(COUNTIFS(Raw_Payments!B:B,A893)=0,"",SUMPRODUCT(MAX((Raw_Payments!B$2:B$1079=A893)*Raw_Payments!D$2:D$1079)))</f>
        <v/>
      </c>
      <c r="M893" s="3">
        <f>IF(K893="PAID",MAX(0,L893-G893),Guide!$B$3-G893)</f>
        <v/>
      </c>
      <c r="N893" s="3">
        <f>IF(J893&lt;=0.005,"COLLECTED",IF(M893&lt;=30,"1-30",IF(M893&lt;=60,"31-60",IF(M893&lt;=90,"61-90","90+"))))</f>
        <v/>
      </c>
      <c r="O893" s="3">
        <f>IF(N893="90+","LOST",IF(N893="61-90","ESCALATE",IF(N893="31-60","WATCH",IF(N893="1-30","MILD","OK"))))</f>
        <v/>
      </c>
      <c r="P893" s="3">
        <f>IF(J893&gt;0.005,ROW()-1,"")</f>
        <v/>
      </c>
    </row>
    <row r="894">
      <c r="A894" s="3" t="inlineStr">
        <is>
          <t>D0893</t>
        </is>
      </c>
      <c r="B894" s="3">
        <f>INDEX(Raw_Schedule!B:B,MATCH(A894,Raw_Schedule!A:A,0))</f>
        <v/>
      </c>
      <c r="C894" s="3">
        <f>INDEX(Raw_Schedule!C:C,MATCH(A894,Raw_Schedule!A:A,0))</f>
        <v/>
      </c>
      <c r="D894" s="3">
        <f>INDEX(Raw_Schedule!D:D,MATCH(A894,Raw_Schedule!A:A,0))</f>
        <v/>
      </c>
      <c r="E894" s="3">
        <f>INDEX(Raw_Schedule!E:E,MATCH(A894,Raw_Schedule!A:A,0))</f>
        <v/>
      </c>
      <c r="F894" s="3">
        <f>INDEX(Raw_Schedule!F:F,MATCH(A894,Raw_Schedule!A:A,0))</f>
        <v/>
      </c>
      <c r="G894" s="4">
        <f>INDEX(Raw_Schedule!G:G,MATCH(A894,Raw_Schedule!A:A,0))</f>
        <v/>
      </c>
      <c r="H894" s="5">
        <f>INDEX(Raw_Schedule!H:H,MATCH(A894,Raw_Schedule!A:A,0))</f>
        <v/>
      </c>
      <c r="I894" s="5">
        <f>SUMIFS(Raw_Payments!E:E,Raw_Payments!B:B,A894)</f>
        <v/>
      </c>
      <c r="J894" s="5">
        <f>H894-I894</f>
        <v/>
      </c>
      <c r="K894" s="3">
        <f>IF(J894&lt;=0.005,"PAID",IF(I894&gt;0,"PARTIAL","OVERDUE"))</f>
        <v/>
      </c>
      <c r="L894" s="4">
        <f>IF(COUNTIFS(Raw_Payments!B:B,A894)=0,"",SUMPRODUCT(MAX((Raw_Payments!B$2:B$1079=A894)*Raw_Payments!D$2:D$1079)))</f>
        <v/>
      </c>
      <c r="M894" s="3">
        <f>IF(K894="PAID",MAX(0,L894-G894),Guide!$B$3-G894)</f>
        <v/>
      </c>
      <c r="N894" s="3">
        <f>IF(J894&lt;=0.005,"COLLECTED",IF(M894&lt;=30,"1-30",IF(M894&lt;=60,"31-60",IF(M894&lt;=90,"61-90","90+"))))</f>
        <v/>
      </c>
      <c r="O894" s="3">
        <f>IF(N894="90+","LOST",IF(N894="61-90","ESCALATE",IF(N894="31-60","WATCH",IF(N894="1-30","MILD","OK"))))</f>
        <v/>
      </c>
      <c r="P894" s="3">
        <f>IF(J894&gt;0.005,ROW()-1,"")</f>
        <v/>
      </c>
    </row>
    <row r="895">
      <c r="A895" s="3" t="inlineStr">
        <is>
          <t>D0894</t>
        </is>
      </c>
      <c r="B895" s="3">
        <f>INDEX(Raw_Schedule!B:B,MATCH(A895,Raw_Schedule!A:A,0))</f>
        <v/>
      </c>
      <c r="C895" s="3">
        <f>INDEX(Raw_Schedule!C:C,MATCH(A895,Raw_Schedule!A:A,0))</f>
        <v/>
      </c>
      <c r="D895" s="3">
        <f>INDEX(Raw_Schedule!D:D,MATCH(A895,Raw_Schedule!A:A,0))</f>
        <v/>
      </c>
      <c r="E895" s="3">
        <f>INDEX(Raw_Schedule!E:E,MATCH(A895,Raw_Schedule!A:A,0))</f>
        <v/>
      </c>
      <c r="F895" s="3">
        <f>INDEX(Raw_Schedule!F:F,MATCH(A895,Raw_Schedule!A:A,0))</f>
        <v/>
      </c>
      <c r="G895" s="4">
        <f>INDEX(Raw_Schedule!G:G,MATCH(A895,Raw_Schedule!A:A,0))</f>
        <v/>
      </c>
      <c r="H895" s="5">
        <f>INDEX(Raw_Schedule!H:H,MATCH(A895,Raw_Schedule!A:A,0))</f>
        <v/>
      </c>
      <c r="I895" s="5">
        <f>SUMIFS(Raw_Payments!E:E,Raw_Payments!B:B,A895)</f>
        <v/>
      </c>
      <c r="J895" s="5">
        <f>H895-I895</f>
        <v/>
      </c>
      <c r="K895" s="3">
        <f>IF(J895&lt;=0.005,"PAID",IF(I895&gt;0,"PARTIAL","OVERDUE"))</f>
        <v/>
      </c>
      <c r="L895" s="4">
        <f>IF(COUNTIFS(Raw_Payments!B:B,A895)=0,"",SUMPRODUCT(MAX((Raw_Payments!B$2:B$1079=A895)*Raw_Payments!D$2:D$1079)))</f>
        <v/>
      </c>
      <c r="M895" s="3">
        <f>IF(K895="PAID",MAX(0,L895-G895),Guide!$B$3-G895)</f>
        <v/>
      </c>
      <c r="N895" s="3">
        <f>IF(J895&lt;=0.005,"COLLECTED",IF(M895&lt;=30,"1-30",IF(M895&lt;=60,"31-60",IF(M895&lt;=90,"61-90","90+"))))</f>
        <v/>
      </c>
      <c r="O895" s="3">
        <f>IF(N895="90+","LOST",IF(N895="61-90","ESCALATE",IF(N895="31-60","WATCH",IF(N895="1-30","MILD","OK"))))</f>
        <v/>
      </c>
      <c r="P895" s="3">
        <f>IF(J895&gt;0.005,ROW()-1,"")</f>
        <v/>
      </c>
    </row>
    <row r="896">
      <c r="A896" s="3" t="inlineStr">
        <is>
          <t>D0895</t>
        </is>
      </c>
      <c r="B896" s="3">
        <f>INDEX(Raw_Schedule!B:B,MATCH(A896,Raw_Schedule!A:A,0))</f>
        <v/>
      </c>
      <c r="C896" s="3">
        <f>INDEX(Raw_Schedule!C:C,MATCH(A896,Raw_Schedule!A:A,0))</f>
        <v/>
      </c>
      <c r="D896" s="3">
        <f>INDEX(Raw_Schedule!D:D,MATCH(A896,Raw_Schedule!A:A,0))</f>
        <v/>
      </c>
      <c r="E896" s="3">
        <f>INDEX(Raw_Schedule!E:E,MATCH(A896,Raw_Schedule!A:A,0))</f>
        <v/>
      </c>
      <c r="F896" s="3">
        <f>INDEX(Raw_Schedule!F:F,MATCH(A896,Raw_Schedule!A:A,0))</f>
        <v/>
      </c>
      <c r="G896" s="4">
        <f>INDEX(Raw_Schedule!G:G,MATCH(A896,Raw_Schedule!A:A,0))</f>
        <v/>
      </c>
      <c r="H896" s="5">
        <f>INDEX(Raw_Schedule!H:H,MATCH(A896,Raw_Schedule!A:A,0))</f>
        <v/>
      </c>
      <c r="I896" s="5">
        <f>SUMIFS(Raw_Payments!E:E,Raw_Payments!B:B,A896)</f>
        <v/>
      </c>
      <c r="J896" s="5">
        <f>H896-I896</f>
        <v/>
      </c>
      <c r="K896" s="3">
        <f>IF(J896&lt;=0.005,"PAID",IF(I896&gt;0,"PARTIAL","OVERDUE"))</f>
        <v/>
      </c>
      <c r="L896" s="4">
        <f>IF(COUNTIFS(Raw_Payments!B:B,A896)=0,"",SUMPRODUCT(MAX((Raw_Payments!B$2:B$1079=A896)*Raw_Payments!D$2:D$1079)))</f>
        <v/>
      </c>
      <c r="M896" s="3">
        <f>IF(K896="PAID",MAX(0,L896-G896),Guide!$B$3-G896)</f>
        <v/>
      </c>
      <c r="N896" s="3">
        <f>IF(J896&lt;=0.005,"COLLECTED",IF(M896&lt;=30,"1-30",IF(M896&lt;=60,"31-60",IF(M896&lt;=90,"61-90","90+"))))</f>
        <v/>
      </c>
      <c r="O896" s="3">
        <f>IF(N896="90+","LOST",IF(N896="61-90","ESCALATE",IF(N896="31-60","WATCH",IF(N896="1-30","MILD","OK"))))</f>
        <v/>
      </c>
      <c r="P896" s="3">
        <f>IF(J896&gt;0.005,ROW()-1,"")</f>
        <v/>
      </c>
    </row>
    <row r="897">
      <c r="A897" s="3" t="inlineStr">
        <is>
          <t>D0896</t>
        </is>
      </c>
      <c r="B897" s="3">
        <f>INDEX(Raw_Schedule!B:B,MATCH(A897,Raw_Schedule!A:A,0))</f>
        <v/>
      </c>
      <c r="C897" s="3">
        <f>INDEX(Raw_Schedule!C:C,MATCH(A897,Raw_Schedule!A:A,0))</f>
        <v/>
      </c>
      <c r="D897" s="3">
        <f>INDEX(Raw_Schedule!D:D,MATCH(A897,Raw_Schedule!A:A,0))</f>
        <v/>
      </c>
      <c r="E897" s="3">
        <f>INDEX(Raw_Schedule!E:E,MATCH(A897,Raw_Schedule!A:A,0))</f>
        <v/>
      </c>
      <c r="F897" s="3">
        <f>INDEX(Raw_Schedule!F:F,MATCH(A897,Raw_Schedule!A:A,0))</f>
        <v/>
      </c>
      <c r="G897" s="4">
        <f>INDEX(Raw_Schedule!G:G,MATCH(A897,Raw_Schedule!A:A,0))</f>
        <v/>
      </c>
      <c r="H897" s="5">
        <f>INDEX(Raw_Schedule!H:H,MATCH(A897,Raw_Schedule!A:A,0))</f>
        <v/>
      </c>
      <c r="I897" s="5">
        <f>SUMIFS(Raw_Payments!E:E,Raw_Payments!B:B,A897)</f>
        <v/>
      </c>
      <c r="J897" s="5">
        <f>H897-I897</f>
        <v/>
      </c>
      <c r="K897" s="3">
        <f>IF(J897&lt;=0.005,"PAID",IF(I897&gt;0,"PARTIAL","OVERDUE"))</f>
        <v/>
      </c>
      <c r="L897" s="4">
        <f>IF(COUNTIFS(Raw_Payments!B:B,A897)=0,"",SUMPRODUCT(MAX((Raw_Payments!B$2:B$1079=A897)*Raw_Payments!D$2:D$1079)))</f>
        <v/>
      </c>
      <c r="M897" s="3">
        <f>IF(K897="PAID",MAX(0,L897-G897),Guide!$B$3-G897)</f>
        <v/>
      </c>
      <c r="N897" s="3">
        <f>IF(J897&lt;=0.005,"COLLECTED",IF(M897&lt;=30,"1-30",IF(M897&lt;=60,"31-60",IF(M897&lt;=90,"61-90","90+"))))</f>
        <v/>
      </c>
      <c r="O897" s="3">
        <f>IF(N897="90+","LOST",IF(N897="61-90","ESCALATE",IF(N897="31-60","WATCH",IF(N897="1-30","MILD","OK"))))</f>
        <v/>
      </c>
      <c r="P897" s="3">
        <f>IF(J897&gt;0.005,ROW()-1,"")</f>
        <v/>
      </c>
    </row>
    <row r="898">
      <c r="A898" s="3" t="inlineStr">
        <is>
          <t>D0897</t>
        </is>
      </c>
      <c r="B898" s="3">
        <f>INDEX(Raw_Schedule!B:B,MATCH(A898,Raw_Schedule!A:A,0))</f>
        <v/>
      </c>
      <c r="C898" s="3">
        <f>INDEX(Raw_Schedule!C:C,MATCH(A898,Raw_Schedule!A:A,0))</f>
        <v/>
      </c>
      <c r="D898" s="3">
        <f>INDEX(Raw_Schedule!D:D,MATCH(A898,Raw_Schedule!A:A,0))</f>
        <v/>
      </c>
      <c r="E898" s="3">
        <f>INDEX(Raw_Schedule!E:E,MATCH(A898,Raw_Schedule!A:A,0))</f>
        <v/>
      </c>
      <c r="F898" s="3">
        <f>INDEX(Raw_Schedule!F:F,MATCH(A898,Raw_Schedule!A:A,0))</f>
        <v/>
      </c>
      <c r="G898" s="4">
        <f>INDEX(Raw_Schedule!G:G,MATCH(A898,Raw_Schedule!A:A,0))</f>
        <v/>
      </c>
      <c r="H898" s="5">
        <f>INDEX(Raw_Schedule!H:H,MATCH(A898,Raw_Schedule!A:A,0))</f>
        <v/>
      </c>
      <c r="I898" s="5">
        <f>SUMIFS(Raw_Payments!E:E,Raw_Payments!B:B,A898)</f>
        <v/>
      </c>
      <c r="J898" s="5">
        <f>H898-I898</f>
        <v/>
      </c>
      <c r="K898" s="3">
        <f>IF(J898&lt;=0.005,"PAID",IF(I898&gt;0,"PARTIAL","OVERDUE"))</f>
        <v/>
      </c>
      <c r="L898" s="4">
        <f>IF(COUNTIFS(Raw_Payments!B:B,A898)=0,"",SUMPRODUCT(MAX((Raw_Payments!B$2:B$1079=A898)*Raw_Payments!D$2:D$1079)))</f>
        <v/>
      </c>
      <c r="M898" s="3">
        <f>IF(K898="PAID",MAX(0,L898-G898),Guide!$B$3-G898)</f>
        <v/>
      </c>
      <c r="N898" s="3">
        <f>IF(J898&lt;=0.005,"COLLECTED",IF(M898&lt;=30,"1-30",IF(M898&lt;=60,"31-60",IF(M898&lt;=90,"61-90","90+"))))</f>
        <v/>
      </c>
      <c r="O898" s="3">
        <f>IF(N898="90+","LOST",IF(N898="61-90","ESCALATE",IF(N898="31-60","WATCH",IF(N898="1-30","MILD","OK"))))</f>
        <v/>
      </c>
      <c r="P898" s="3">
        <f>IF(J898&gt;0.005,ROW()-1,"")</f>
        <v/>
      </c>
    </row>
    <row r="899">
      <c r="A899" s="3" t="inlineStr">
        <is>
          <t>D0898</t>
        </is>
      </c>
      <c r="B899" s="3">
        <f>INDEX(Raw_Schedule!B:B,MATCH(A899,Raw_Schedule!A:A,0))</f>
        <v/>
      </c>
      <c r="C899" s="3">
        <f>INDEX(Raw_Schedule!C:C,MATCH(A899,Raw_Schedule!A:A,0))</f>
        <v/>
      </c>
      <c r="D899" s="3">
        <f>INDEX(Raw_Schedule!D:D,MATCH(A899,Raw_Schedule!A:A,0))</f>
        <v/>
      </c>
      <c r="E899" s="3">
        <f>INDEX(Raw_Schedule!E:E,MATCH(A899,Raw_Schedule!A:A,0))</f>
        <v/>
      </c>
      <c r="F899" s="3">
        <f>INDEX(Raw_Schedule!F:F,MATCH(A899,Raw_Schedule!A:A,0))</f>
        <v/>
      </c>
      <c r="G899" s="4">
        <f>INDEX(Raw_Schedule!G:G,MATCH(A899,Raw_Schedule!A:A,0))</f>
        <v/>
      </c>
      <c r="H899" s="5">
        <f>INDEX(Raw_Schedule!H:H,MATCH(A899,Raw_Schedule!A:A,0))</f>
        <v/>
      </c>
      <c r="I899" s="5">
        <f>SUMIFS(Raw_Payments!E:E,Raw_Payments!B:B,A899)</f>
        <v/>
      </c>
      <c r="J899" s="5">
        <f>H899-I899</f>
        <v/>
      </c>
      <c r="K899" s="3">
        <f>IF(J899&lt;=0.005,"PAID",IF(I899&gt;0,"PARTIAL","OVERDUE"))</f>
        <v/>
      </c>
      <c r="L899" s="4">
        <f>IF(COUNTIFS(Raw_Payments!B:B,A899)=0,"",SUMPRODUCT(MAX((Raw_Payments!B$2:B$1079=A899)*Raw_Payments!D$2:D$1079)))</f>
        <v/>
      </c>
      <c r="M899" s="3">
        <f>IF(K899="PAID",MAX(0,L899-G899),Guide!$B$3-G899)</f>
        <v/>
      </c>
      <c r="N899" s="3">
        <f>IF(J899&lt;=0.005,"COLLECTED",IF(M899&lt;=30,"1-30",IF(M899&lt;=60,"31-60",IF(M899&lt;=90,"61-90","90+"))))</f>
        <v/>
      </c>
      <c r="O899" s="3">
        <f>IF(N899="90+","LOST",IF(N899="61-90","ESCALATE",IF(N899="31-60","WATCH",IF(N899="1-30","MILD","OK"))))</f>
        <v/>
      </c>
      <c r="P899" s="3">
        <f>IF(J899&gt;0.005,ROW()-1,"")</f>
        <v/>
      </c>
    </row>
    <row r="900">
      <c r="A900" s="3" t="inlineStr">
        <is>
          <t>D0899</t>
        </is>
      </c>
      <c r="B900" s="3">
        <f>INDEX(Raw_Schedule!B:B,MATCH(A900,Raw_Schedule!A:A,0))</f>
        <v/>
      </c>
      <c r="C900" s="3">
        <f>INDEX(Raw_Schedule!C:C,MATCH(A900,Raw_Schedule!A:A,0))</f>
        <v/>
      </c>
      <c r="D900" s="3">
        <f>INDEX(Raw_Schedule!D:D,MATCH(A900,Raw_Schedule!A:A,0))</f>
        <v/>
      </c>
      <c r="E900" s="3">
        <f>INDEX(Raw_Schedule!E:E,MATCH(A900,Raw_Schedule!A:A,0))</f>
        <v/>
      </c>
      <c r="F900" s="3">
        <f>INDEX(Raw_Schedule!F:F,MATCH(A900,Raw_Schedule!A:A,0))</f>
        <v/>
      </c>
      <c r="G900" s="4">
        <f>INDEX(Raw_Schedule!G:G,MATCH(A900,Raw_Schedule!A:A,0))</f>
        <v/>
      </c>
      <c r="H900" s="5">
        <f>INDEX(Raw_Schedule!H:H,MATCH(A900,Raw_Schedule!A:A,0))</f>
        <v/>
      </c>
      <c r="I900" s="5">
        <f>SUMIFS(Raw_Payments!E:E,Raw_Payments!B:B,A900)</f>
        <v/>
      </c>
      <c r="J900" s="5">
        <f>H900-I900</f>
        <v/>
      </c>
      <c r="K900" s="3">
        <f>IF(J900&lt;=0.005,"PAID",IF(I900&gt;0,"PARTIAL","OVERDUE"))</f>
        <v/>
      </c>
      <c r="L900" s="4">
        <f>IF(COUNTIFS(Raw_Payments!B:B,A900)=0,"",SUMPRODUCT(MAX((Raw_Payments!B$2:B$1079=A900)*Raw_Payments!D$2:D$1079)))</f>
        <v/>
      </c>
      <c r="M900" s="3">
        <f>IF(K900="PAID",MAX(0,L900-G900),Guide!$B$3-G900)</f>
        <v/>
      </c>
      <c r="N900" s="3">
        <f>IF(J900&lt;=0.005,"COLLECTED",IF(M900&lt;=30,"1-30",IF(M900&lt;=60,"31-60",IF(M900&lt;=90,"61-90","90+"))))</f>
        <v/>
      </c>
      <c r="O900" s="3">
        <f>IF(N900="90+","LOST",IF(N900="61-90","ESCALATE",IF(N900="31-60","WATCH",IF(N900="1-30","MILD","OK"))))</f>
        <v/>
      </c>
      <c r="P900" s="3">
        <f>IF(J900&gt;0.005,ROW()-1,"")</f>
        <v/>
      </c>
    </row>
    <row r="901">
      <c r="A901" s="3" t="inlineStr">
        <is>
          <t>D0900</t>
        </is>
      </c>
      <c r="B901" s="3">
        <f>INDEX(Raw_Schedule!B:B,MATCH(A901,Raw_Schedule!A:A,0))</f>
        <v/>
      </c>
      <c r="C901" s="3">
        <f>INDEX(Raw_Schedule!C:C,MATCH(A901,Raw_Schedule!A:A,0))</f>
        <v/>
      </c>
      <c r="D901" s="3">
        <f>INDEX(Raw_Schedule!D:D,MATCH(A901,Raw_Schedule!A:A,0))</f>
        <v/>
      </c>
      <c r="E901" s="3">
        <f>INDEX(Raw_Schedule!E:E,MATCH(A901,Raw_Schedule!A:A,0))</f>
        <v/>
      </c>
      <c r="F901" s="3">
        <f>INDEX(Raw_Schedule!F:F,MATCH(A901,Raw_Schedule!A:A,0))</f>
        <v/>
      </c>
      <c r="G901" s="4">
        <f>INDEX(Raw_Schedule!G:G,MATCH(A901,Raw_Schedule!A:A,0))</f>
        <v/>
      </c>
      <c r="H901" s="5">
        <f>INDEX(Raw_Schedule!H:H,MATCH(A901,Raw_Schedule!A:A,0))</f>
        <v/>
      </c>
      <c r="I901" s="5">
        <f>SUMIFS(Raw_Payments!E:E,Raw_Payments!B:B,A901)</f>
        <v/>
      </c>
      <c r="J901" s="5">
        <f>H901-I901</f>
        <v/>
      </c>
      <c r="K901" s="3">
        <f>IF(J901&lt;=0.005,"PAID",IF(I901&gt;0,"PARTIAL","OVERDUE"))</f>
        <v/>
      </c>
      <c r="L901" s="4">
        <f>IF(COUNTIFS(Raw_Payments!B:B,A901)=0,"",SUMPRODUCT(MAX((Raw_Payments!B$2:B$1079=A901)*Raw_Payments!D$2:D$1079)))</f>
        <v/>
      </c>
      <c r="M901" s="3">
        <f>IF(K901="PAID",MAX(0,L901-G901),Guide!$B$3-G901)</f>
        <v/>
      </c>
      <c r="N901" s="3">
        <f>IF(J901&lt;=0.005,"COLLECTED",IF(M901&lt;=30,"1-30",IF(M901&lt;=60,"31-60",IF(M901&lt;=90,"61-90","90+"))))</f>
        <v/>
      </c>
      <c r="O901" s="3">
        <f>IF(N901="90+","LOST",IF(N901="61-90","ESCALATE",IF(N901="31-60","WATCH",IF(N901="1-30","MILD","OK"))))</f>
        <v/>
      </c>
      <c r="P901" s="3">
        <f>IF(J901&gt;0.005,ROW()-1,"")</f>
        <v/>
      </c>
    </row>
    <row r="902">
      <c r="A902" s="3" t="inlineStr">
        <is>
          <t>D0901</t>
        </is>
      </c>
      <c r="B902" s="3">
        <f>INDEX(Raw_Schedule!B:B,MATCH(A902,Raw_Schedule!A:A,0))</f>
        <v/>
      </c>
      <c r="C902" s="3">
        <f>INDEX(Raw_Schedule!C:C,MATCH(A902,Raw_Schedule!A:A,0))</f>
        <v/>
      </c>
      <c r="D902" s="3">
        <f>INDEX(Raw_Schedule!D:D,MATCH(A902,Raw_Schedule!A:A,0))</f>
        <v/>
      </c>
      <c r="E902" s="3">
        <f>INDEX(Raw_Schedule!E:E,MATCH(A902,Raw_Schedule!A:A,0))</f>
        <v/>
      </c>
      <c r="F902" s="3">
        <f>INDEX(Raw_Schedule!F:F,MATCH(A902,Raw_Schedule!A:A,0))</f>
        <v/>
      </c>
      <c r="G902" s="4">
        <f>INDEX(Raw_Schedule!G:G,MATCH(A902,Raw_Schedule!A:A,0))</f>
        <v/>
      </c>
      <c r="H902" s="5">
        <f>INDEX(Raw_Schedule!H:H,MATCH(A902,Raw_Schedule!A:A,0))</f>
        <v/>
      </c>
      <c r="I902" s="5">
        <f>SUMIFS(Raw_Payments!E:E,Raw_Payments!B:B,A902)</f>
        <v/>
      </c>
      <c r="J902" s="5">
        <f>H902-I902</f>
        <v/>
      </c>
      <c r="K902" s="3">
        <f>IF(J902&lt;=0.005,"PAID",IF(I902&gt;0,"PARTIAL","OVERDUE"))</f>
        <v/>
      </c>
      <c r="L902" s="4">
        <f>IF(COUNTIFS(Raw_Payments!B:B,A902)=0,"",SUMPRODUCT(MAX((Raw_Payments!B$2:B$1079=A902)*Raw_Payments!D$2:D$1079)))</f>
        <v/>
      </c>
      <c r="M902" s="3">
        <f>IF(K902="PAID",MAX(0,L902-G902),Guide!$B$3-G902)</f>
        <v/>
      </c>
      <c r="N902" s="3">
        <f>IF(J902&lt;=0.005,"COLLECTED",IF(M902&lt;=30,"1-30",IF(M902&lt;=60,"31-60",IF(M902&lt;=90,"61-90","90+"))))</f>
        <v/>
      </c>
      <c r="O902" s="3">
        <f>IF(N902="90+","LOST",IF(N902="61-90","ESCALATE",IF(N902="31-60","WATCH",IF(N902="1-30","MILD","OK"))))</f>
        <v/>
      </c>
      <c r="P902" s="3">
        <f>IF(J902&gt;0.005,ROW()-1,"")</f>
        <v/>
      </c>
    </row>
    <row r="903">
      <c r="A903" s="3" t="inlineStr">
        <is>
          <t>D0902</t>
        </is>
      </c>
      <c r="B903" s="3">
        <f>INDEX(Raw_Schedule!B:B,MATCH(A903,Raw_Schedule!A:A,0))</f>
        <v/>
      </c>
      <c r="C903" s="3">
        <f>INDEX(Raw_Schedule!C:C,MATCH(A903,Raw_Schedule!A:A,0))</f>
        <v/>
      </c>
      <c r="D903" s="3">
        <f>INDEX(Raw_Schedule!D:D,MATCH(A903,Raw_Schedule!A:A,0))</f>
        <v/>
      </c>
      <c r="E903" s="3">
        <f>INDEX(Raw_Schedule!E:E,MATCH(A903,Raw_Schedule!A:A,0))</f>
        <v/>
      </c>
      <c r="F903" s="3">
        <f>INDEX(Raw_Schedule!F:F,MATCH(A903,Raw_Schedule!A:A,0))</f>
        <v/>
      </c>
      <c r="G903" s="4">
        <f>INDEX(Raw_Schedule!G:G,MATCH(A903,Raw_Schedule!A:A,0))</f>
        <v/>
      </c>
      <c r="H903" s="5">
        <f>INDEX(Raw_Schedule!H:H,MATCH(A903,Raw_Schedule!A:A,0))</f>
        <v/>
      </c>
      <c r="I903" s="5">
        <f>SUMIFS(Raw_Payments!E:E,Raw_Payments!B:B,A903)</f>
        <v/>
      </c>
      <c r="J903" s="5">
        <f>H903-I903</f>
        <v/>
      </c>
      <c r="K903" s="3">
        <f>IF(J903&lt;=0.005,"PAID",IF(I903&gt;0,"PARTIAL","OVERDUE"))</f>
        <v/>
      </c>
      <c r="L903" s="4">
        <f>IF(COUNTIFS(Raw_Payments!B:B,A903)=0,"",SUMPRODUCT(MAX((Raw_Payments!B$2:B$1079=A903)*Raw_Payments!D$2:D$1079)))</f>
        <v/>
      </c>
      <c r="M903" s="3">
        <f>IF(K903="PAID",MAX(0,L903-G903),Guide!$B$3-G903)</f>
        <v/>
      </c>
      <c r="N903" s="3">
        <f>IF(J903&lt;=0.005,"COLLECTED",IF(M903&lt;=30,"1-30",IF(M903&lt;=60,"31-60",IF(M903&lt;=90,"61-90","90+"))))</f>
        <v/>
      </c>
      <c r="O903" s="3">
        <f>IF(N903="90+","LOST",IF(N903="61-90","ESCALATE",IF(N903="31-60","WATCH",IF(N903="1-30","MILD","OK"))))</f>
        <v/>
      </c>
      <c r="P903" s="3">
        <f>IF(J903&gt;0.005,ROW()-1,"")</f>
        <v/>
      </c>
    </row>
    <row r="904">
      <c r="A904" s="3" t="inlineStr">
        <is>
          <t>D0903</t>
        </is>
      </c>
      <c r="B904" s="3">
        <f>INDEX(Raw_Schedule!B:B,MATCH(A904,Raw_Schedule!A:A,0))</f>
        <v/>
      </c>
      <c r="C904" s="3">
        <f>INDEX(Raw_Schedule!C:C,MATCH(A904,Raw_Schedule!A:A,0))</f>
        <v/>
      </c>
      <c r="D904" s="3">
        <f>INDEX(Raw_Schedule!D:D,MATCH(A904,Raw_Schedule!A:A,0))</f>
        <v/>
      </c>
      <c r="E904" s="3">
        <f>INDEX(Raw_Schedule!E:E,MATCH(A904,Raw_Schedule!A:A,0))</f>
        <v/>
      </c>
      <c r="F904" s="3">
        <f>INDEX(Raw_Schedule!F:F,MATCH(A904,Raw_Schedule!A:A,0))</f>
        <v/>
      </c>
      <c r="G904" s="4">
        <f>INDEX(Raw_Schedule!G:G,MATCH(A904,Raw_Schedule!A:A,0))</f>
        <v/>
      </c>
      <c r="H904" s="5">
        <f>INDEX(Raw_Schedule!H:H,MATCH(A904,Raw_Schedule!A:A,0))</f>
        <v/>
      </c>
      <c r="I904" s="5">
        <f>SUMIFS(Raw_Payments!E:E,Raw_Payments!B:B,A904)</f>
        <v/>
      </c>
      <c r="J904" s="5">
        <f>H904-I904</f>
        <v/>
      </c>
      <c r="K904" s="3">
        <f>IF(J904&lt;=0.005,"PAID",IF(I904&gt;0,"PARTIAL","OVERDUE"))</f>
        <v/>
      </c>
      <c r="L904" s="4">
        <f>IF(COUNTIFS(Raw_Payments!B:B,A904)=0,"",SUMPRODUCT(MAX((Raw_Payments!B$2:B$1079=A904)*Raw_Payments!D$2:D$1079)))</f>
        <v/>
      </c>
      <c r="M904" s="3">
        <f>IF(K904="PAID",MAX(0,L904-G904),Guide!$B$3-G904)</f>
        <v/>
      </c>
      <c r="N904" s="3">
        <f>IF(J904&lt;=0.005,"COLLECTED",IF(M904&lt;=30,"1-30",IF(M904&lt;=60,"31-60",IF(M904&lt;=90,"61-90","90+"))))</f>
        <v/>
      </c>
      <c r="O904" s="3">
        <f>IF(N904="90+","LOST",IF(N904="61-90","ESCALATE",IF(N904="31-60","WATCH",IF(N904="1-30","MILD","OK"))))</f>
        <v/>
      </c>
      <c r="P904" s="3">
        <f>IF(J904&gt;0.005,ROW()-1,"")</f>
        <v/>
      </c>
    </row>
    <row r="905">
      <c r="A905" s="3" t="inlineStr">
        <is>
          <t>D0904</t>
        </is>
      </c>
      <c r="B905" s="3">
        <f>INDEX(Raw_Schedule!B:B,MATCH(A905,Raw_Schedule!A:A,0))</f>
        <v/>
      </c>
      <c r="C905" s="3">
        <f>INDEX(Raw_Schedule!C:C,MATCH(A905,Raw_Schedule!A:A,0))</f>
        <v/>
      </c>
      <c r="D905" s="3">
        <f>INDEX(Raw_Schedule!D:D,MATCH(A905,Raw_Schedule!A:A,0))</f>
        <v/>
      </c>
      <c r="E905" s="3">
        <f>INDEX(Raw_Schedule!E:E,MATCH(A905,Raw_Schedule!A:A,0))</f>
        <v/>
      </c>
      <c r="F905" s="3">
        <f>INDEX(Raw_Schedule!F:F,MATCH(A905,Raw_Schedule!A:A,0))</f>
        <v/>
      </c>
      <c r="G905" s="4">
        <f>INDEX(Raw_Schedule!G:G,MATCH(A905,Raw_Schedule!A:A,0))</f>
        <v/>
      </c>
      <c r="H905" s="5">
        <f>INDEX(Raw_Schedule!H:H,MATCH(A905,Raw_Schedule!A:A,0))</f>
        <v/>
      </c>
      <c r="I905" s="5">
        <f>SUMIFS(Raw_Payments!E:E,Raw_Payments!B:B,A905)</f>
        <v/>
      </c>
      <c r="J905" s="5">
        <f>H905-I905</f>
        <v/>
      </c>
      <c r="K905" s="3">
        <f>IF(J905&lt;=0.005,"PAID",IF(I905&gt;0,"PARTIAL","OVERDUE"))</f>
        <v/>
      </c>
      <c r="L905" s="4">
        <f>IF(COUNTIFS(Raw_Payments!B:B,A905)=0,"",SUMPRODUCT(MAX((Raw_Payments!B$2:B$1079=A905)*Raw_Payments!D$2:D$1079)))</f>
        <v/>
      </c>
      <c r="M905" s="3">
        <f>IF(K905="PAID",MAX(0,L905-G905),Guide!$B$3-G905)</f>
        <v/>
      </c>
      <c r="N905" s="3">
        <f>IF(J905&lt;=0.005,"COLLECTED",IF(M905&lt;=30,"1-30",IF(M905&lt;=60,"31-60",IF(M905&lt;=90,"61-90","90+"))))</f>
        <v/>
      </c>
      <c r="O905" s="3">
        <f>IF(N905="90+","LOST",IF(N905="61-90","ESCALATE",IF(N905="31-60","WATCH",IF(N905="1-30","MILD","OK"))))</f>
        <v/>
      </c>
      <c r="P905" s="3">
        <f>IF(J905&gt;0.005,ROW()-1,"")</f>
        <v/>
      </c>
    </row>
    <row r="906">
      <c r="A906" s="3" t="inlineStr">
        <is>
          <t>D0905</t>
        </is>
      </c>
      <c r="B906" s="3">
        <f>INDEX(Raw_Schedule!B:B,MATCH(A906,Raw_Schedule!A:A,0))</f>
        <v/>
      </c>
      <c r="C906" s="3">
        <f>INDEX(Raw_Schedule!C:C,MATCH(A906,Raw_Schedule!A:A,0))</f>
        <v/>
      </c>
      <c r="D906" s="3">
        <f>INDEX(Raw_Schedule!D:D,MATCH(A906,Raw_Schedule!A:A,0))</f>
        <v/>
      </c>
      <c r="E906" s="3">
        <f>INDEX(Raw_Schedule!E:E,MATCH(A906,Raw_Schedule!A:A,0))</f>
        <v/>
      </c>
      <c r="F906" s="3">
        <f>INDEX(Raw_Schedule!F:F,MATCH(A906,Raw_Schedule!A:A,0))</f>
        <v/>
      </c>
      <c r="G906" s="4">
        <f>INDEX(Raw_Schedule!G:G,MATCH(A906,Raw_Schedule!A:A,0))</f>
        <v/>
      </c>
      <c r="H906" s="5">
        <f>INDEX(Raw_Schedule!H:H,MATCH(A906,Raw_Schedule!A:A,0))</f>
        <v/>
      </c>
      <c r="I906" s="5">
        <f>SUMIFS(Raw_Payments!E:E,Raw_Payments!B:B,A906)</f>
        <v/>
      </c>
      <c r="J906" s="5">
        <f>H906-I906</f>
        <v/>
      </c>
      <c r="K906" s="3">
        <f>IF(J906&lt;=0.005,"PAID",IF(I906&gt;0,"PARTIAL","OVERDUE"))</f>
        <v/>
      </c>
      <c r="L906" s="4">
        <f>IF(COUNTIFS(Raw_Payments!B:B,A906)=0,"",SUMPRODUCT(MAX((Raw_Payments!B$2:B$1079=A906)*Raw_Payments!D$2:D$1079)))</f>
        <v/>
      </c>
      <c r="M906" s="3">
        <f>IF(K906="PAID",MAX(0,L906-G906),Guide!$B$3-G906)</f>
        <v/>
      </c>
      <c r="N906" s="3">
        <f>IF(J906&lt;=0.005,"COLLECTED",IF(M906&lt;=30,"1-30",IF(M906&lt;=60,"31-60",IF(M906&lt;=90,"61-90","90+"))))</f>
        <v/>
      </c>
      <c r="O906" s="3">
        <f>IF(N906="90+","LOST",IF(N906="61-90","ESCALATE",IF(N906="31-60","WATCH",IF(N906="1-30","MILD","OK"))))</f>
        <v/>
      </c>
      <c r="P906" s="3">
        <f>IF(J906&gt;0.005,ROW()-1,"")</f>
        <v/>
      </c>
    </row>
    <row r="907">
      <c r="A907" s="3" t="inlineStr">
        <is>
          <t>D0906</t>
        </is>
      </c>
      <c r="B907" s="3">
        <f>INDEX(Raw_Schedule!B:B,MATCH(A907,Raw_Schedule!A:A,0))</f>
        <v/>
      </c>
      <c r="C907" s="3">
        <f>INDEX(Raw_Schedule!C:C,MATCH(A907,Raw_Schedule!A:A,0))</f>
        <v/>
      </c>
      <c r="D907" s="3">
        <f>INDEX(Raw_Schedule!D:D,MATCH(A907,Raw_Schedule!A:A,0))</f>
        <v/>
      </c>
      <c r="E907" s="3">
        <f>INDEX(Raw_Schedule!E:E,MATCH(A907,Raw_Schedule!A:A,0))</f>
        <v/>
      </c>
      <c r="F907" s="3">
        <f>INDEX(Raw_Schedule!F:F,MATCH(A907,Raw_Schedule!A:A,0))</f>
        <v/>
      </c>
      <c r="G907" s="4">
        <f>INDEX(Raw_Schedule!G:G,MATCH(A907,Raw_Schedule!A:A,0))</f>
        <v/>
      </c>
      <c r="H907" s="5">
        <f>INDEX(Raw_Schedule!H:H,MATCH(A907,Raw_Schedule!A:A,0))</f>
        <v/>
      </c>
      <c r="I907" s="5">
        <f>SUMIFS(Raw_Payments!E:E,Raw_Payments!B:B,A907)</f>
        <v/>
      </c>
      <c r="J907" s="5">
        <f>H907-I907</f>
        <v/>
      </c>
      <c r="K907" s="3">
        <f>IF(J907&lt;=0.005,"PAID",IF(I907&gt;0,"PARTIAL","OVERDUE"))</f>
        <v/>
      </c>
      <c r="L907" s="4">
        <f>IF(COUNTIFS(Raw_Payments!B:B,A907)=0,"",SUMPRODUCT(MAX((Raw_Payments!B$2:B$1079=A907)*Raw_Payments!D$2:D$1079)))</f>
        <v/>
      </c>
      <c r="M907" s="3">
        <f>IF(K907="PAID",MAX(0,L907-G907),Guide!$B$3-G907)</f>
        <v/>
      </c>
      <c r="N907" s="3">
        <f>IF(J907&lt;=0.005,"COLLECTED",IF(M907&lt;=30,"1-30",IF(M907&lt;=60,"31-60",IF(M907&lt;=90,"61-90","90+"))))</f>
        <v/>
      </c>
      <c r="O907" s="3">
        <f>IF(N907="90+","LOST",IF(N907="61-90","ESCALATE",IF(N907="31-60","WATCH",IF(N907="1-30","MILD","OK"))))</f>
        <v/>
      </c>
      <c r="P907" s="3">
        <f>IF(J907&gt;0.005,ROW()-1,"")</f>
        <v/>
      </c>
    </row>
    <row r="908">
      <c r="A908" s="3" t="inlineStr">
        <is>
          <t>D0907</t>
        </is>
      </c>
      <c r="B908" s="3">
        <f>INDEX(Raw_Schedule!B:B,MATCH(A908,Raw_Schedule!A:A,0))</f>
        <v/>
      </c>
      <c r="C908" s="3">
        <f>INDEX(Raw_Schedule!C:C,MATCH(A908,Raw_Schedule!A:A,0))</f>
        <v/>
      </c>
      <c r="D908" s="3">
        <f>INDEX(Raw_Schedule!D:D,MATCH(A908,Raw_Schedule!A:A,0))</f>
        <v/>
      </c>
      <c r="E908" s="3">
        <f>INDEX(Raw_Schedule!E:E,MATCH(A908,Raw_Schedule!A:A,0))</f>
        <v/>
      </c>
      <c r="F908" s="3">
        <f>INDEX(Raw_Schedule!F:F,MATCH(A908,Raw_Schedule!A:A,0))</f>
        <v/>
      </c>
      <c r="G908" s="4">
        <f>INDEX(Raw_Schedule!G:G,MATCH(A908,Raw_Schedule!A:A,0))</f>
        <v/>
      </c>
      <c r="H908" s="5">
        <f>INDEX(Raw_Schedule!H:H,MATCH(A908,Raw_Schedule!A:A,0))</f>
        <v/>
      </c>
      <c r="I908" s="5">
        <f>SUMIFS(Raw_Payments!E:E,Raw_Payments!B:B,A908)</f>
        <v/>
      </c>
      <c r="J908" s="5">
        <f>H908-I908</f>
        <v/>
      </c>
      <c r="K908" s="3">
        <f>IF(J908&lt;=0.005,"PAID",IF(I908&gt;0,"PARTIAL","OVERDUE"))</f>
        <v/>
      </c>
      <c r="L908" s="4">
        <f>IF(COUNTIFS(Raw_Payments!B:B,A908)=0,"",SUMPRODUCT(MAX((Raw_Payments!B$2:B$1079=A908)*Raw_Payments!D$2:D$1079)))</f>
        <v/>
      </c>
      <c r="M908" s="3">
        <f>IF(K908="PAID",MAX(0,L908-G908),Guide!$B$3-G908)</f>
        <v/>
      </c>
      <c r="N908" s="3">
        <f>IF(J908&lt;=0.005,"COLLECTED",IF(M908&lt;=30,"1-30",IF(M908&lt;=60,"31-60",IF(M908&lt;=90,"61-90","90+"))))</f>
        <v/>
      </c>
      <c r="O908" s="3">
        <f>IF(N908="90+","LOST",IF(N908="61-90","ESCALATE",IF(N908="31-60","WATCH",IF(N908="1-30","MILD","OK"))))</f>
        <v/>
      </c>
      <c r="P908" s="3">
        <f>IF(J908&gt;0.005,ROW()-1,"")</f>
        <v/>
      </c>
    </row>
    <row r="909">
      <c r="A909" s="3" t="inlineStr">
        <is>
          <t>D0908</t>
        </is>
      </c>
      <c r="B909" s="3">
        <f>INDEX(Raw_Schedule!B:B,MATCH(A909,Raw_Schedule!A:A,0))</f>
        <v/>
      </c>
      <c r="C909" s="3">
        <f>INDEX(Raw_Schedule!C:C,MATCH(A909,Raw_Schedule!A:A,0))</f>
        <v/>
      </c>
      <c r="D909" s="3">
        <f>INDEX(Raw_Schedule!D:D,MATCH(A909,Raw_Schedule!A:A,0))</f>
        <v/>
      </c>
      <c r="E909" s="3">
        <f>INDEX(Raw_Schedule!E:E,MATCH(A909,Raw_Schedule!A:A,0))</f>
        <v/>
      </c>
      <c r="F909" s="3">
        <f>INDEX(Raw_Schedule!F:F,MATCH(A909,Raw_Schedule!A:A,0))</f>
        <v/>
      </c>
      <c r="G909" s="4">
        <f>INDEX(Raw_Schedule!G:G,MATCH(A909,Raw_Schedule!A:A,0))</f>
        <v/>
      </c>
      <c r="H909" s="5">
        <f>INDEX(Raw_Schedule!H:H,MATCH(A909,Raw_Schedule!A:A,0))</f>
        <v/>
      </c>
      <c r="I909" s="5">
        <f>SUMIFS(Raw_Payments!E:E,Raw_Payments!B:B,A909)</f>
        <v/>
      </c>
      <c r="J909" s="5">
        <f>H909-I909</f>
        <v/>
      </c>
      <c r="K909" s="3">
        <f>IF(J909&lt;=0.005,"PAID",IF(I909&gt;0,"PARTIAL","OVERDUE"))</f>
        <v/>
      </c>
      <c r="L909" s="4">
        <f>IF(COUNTIFS(Raw_Payments!B:B,A909)=0,"",SUMPRODUCT(MAX((Raw_Payments!B$2:B$1079=A909)*Raw_Payments!D$2:D$1079)))</f>
        <v/>
      </c>
      <c r="M909" s="3">
        <f>IF(K909="PAID",MAX(0,L909-G909),Guide!$B$3-G909)</f>
        <v/>
      </c>
      <c r="N909" s="3">
        <f>IF(J909&lt;=0.005,"COLLECTED",IF(M909&lt;=30,"1-30",IF(M909&lt;=60,"31-60",IF(M909&lt;=90,"61-90","90+"))))</f>
        <v/>
      </c>
      <c r="O909" s="3">
        <f>IF(N909="90+","LOST",IF(N909="61-90","ESCALATE",IF(N909="31-60","WATCH",IF(N909="1-30","MILD","OK"))))</f>
        <v/>
      </c>
      <c r="P909" s="3">
        <f>IF(J909&gt;0.005,ROW()-1,"")</f>
        <v/>
      </c>
    </row>
    <row r="910">
      <c r="A910" s="3" t="inlineStr">
        <is>
          <t>D0909</t>
        </is>
      </c>
      <c r="B910" s="3">
        <f>INDEX(Raw_Schedule!B:B,MATCH(A910,Raw_Schedule!A:A,0))</f>
        <v/>
      </c>
      <c r="C910" s="3">
        <f>INDEX(Raw_Schedule!C:C,MATCH(A910,Raw_Schedule!A:A,0))</f>
        <v/>
      </c>
      <c r="D910" s="3">
        <f>INDEX(Raw_Schedule!D:D,MATCH(A910,Raw_Schedule!A:A,0))</f>
        <v/>
      </c>
      <c r="E910" s="3">
        <f>INDEX(Raw_Schedule!E:E,MATCH(A910,Raw_Schedule!A:A,0))</f>
        <v/>
      </c>
      <c r="F910" s="3">
        <f>INDEX(Raw_Schedule!F:F,MATCH(A910,Raw_Schedule!A:A,0))</f>
        <v/>
      </c>
      <c r="G910" s="4">
        <f>INDEX(Raw_Schedule!G:G,MATCH(A910,Raw_Schedule!A:A,0))</f>
        <v/>
      </c>
      <c r="H910" s="5">
        <f>INDEX(Raw_Schedule!H:H,MATCH(A910,Raw_Schedule!A:A,0))</f>
        <v/>
      </c>
      <c r="I910" s="5">
        <f>SUMIFS(Raw_Payments!E:E,Raw_Payments!B:B,A910)</f>
        <v/>
      </c>
      <c r="J910" s="5">
        <f>H910-I910</f>
        <v/>
      </c>
      <c r="K910" s="3">
        <f>IF(J910&lt;=0.005,"PAID",IF(I910&gt;0,"PARTIAL","OVERDUE"))</f>
        <v/>
      </c>
      <c r="L910" s="4">
        <f>IF(COUNTIFS(Raw_Payments!B:B,A910)=0,"",SUMPRODUCT(MAX((Raw_Payments!B$2:B$1079=A910)*Raw_Payments!D$2:D$1079)))</f>
        <v/>
      </c>
      <c r="M910" s="3">
        <f>IF(K910="PAID",MAX(0,L910-G910),Guide!$B$3-G910)</f>
        <v/>
      </c>
      <c r="N910" s="3">
        <f>IF(J910&lt;=0.005,"COLLECTED",IF(M910&lt;=30,"1-30",IF(M910&lt;=60,"31-60",IF(M910&lt;=90,"61-90","90+"))))</f>
        <v/>
      </c>
      <c r="O910" s="3">
        <f>IF(N910="90+","LOST",IF(N910="61-90","ESCALATE",IF(N910="31-60","WATCH",IF(N910="1-30","MILD","OK"))))</f>
        <v/>
      </c>
      <c r="P910" s="3">
        <f>IF(J910&gt;0.005,ROW()-1,"")</f>
        <v/>
      </c>
    </row>
    <row r="911">
      <c r="A911" s="3" t="inlineStr">
        <is>
          <t>D0910</t>
        </is>
      </c>
      <c r="B911" s="3">
        <f>INDEX(Raw_Schedule!B:B,MATCH(A911,Raw_Schedule!A:A,0))</f>
        <v/>
      </c>
      <c r="C911" s="3">
        <f>INDEX(Raw_Schedule!C:C,MATCH(A911,Raw_Schedule!A:A,0))</f>
        <v/>
      </c>
      <c r="D911" s="3">
        <f>INDEX(Raw_Schedule!D:D,MATCH(A911,Raw_Schedule!A:A,0))</f>
        <v/>
      </c>
      <c r="E911" s="3">
        <f>INDEX(Raw_Schedule!E:E,MATCH(A911,Raw_Schedule!A:A,0))</f>
        <v/>
      </c>
      <c r="F911" s="3">
        <f>INDEX(Raw_Schedule!F:F,MATCH(A911,Raw_Schedule!A:A,0))</f>
        <v/>
      </c>
      <c r="G911" s="4">
        <f>INDEX(Raw_Schedule!G:G,MATCH(A911,Raw_Schedule!A:A,0))</f>
        <v/>
      </c>
      <c r="H911" s="5">
        <f>INDEX(Raw_Schedule!H:H,MATCH(A911,Raw_Schedule!A:A,0))</f>
        <v/>
      </c>
      <c r="I911" s="5">
        <f>SUMIFS(Raw_Payments!E:E,Raw_Payments!B:B,A911)</f>
        <v/>
      </c>
      <c r="J911" s="5">
        <f>H911-I911</f>
        <v/>
      </c>
      <c r="K911" s="3">
        <f>IF(J911&lt;=0.005,"PAID",IF(I911&gt;0,"PARTIAL","OVERDUE"))</f>
        <v/>
      </c>
      <c r="L911" s="4">
        <f>IF(COUNTIFS(Raw_Payments!B:B,A911)=0,"",SUMPRODUCT(MAX((Raw_Payments!B$2:B$1079=A911)*Raw_Payments!D$2:D$1079)))</f>
        <v/>
      </c>
      <c r="M911" s="3">
        <f>IF(K911="PAID",MAX(0,L911-G911),Guide!$B$3-G911)</f>
        <v/>
      </c>
      <c r="N911" s="3">
        <f>IF(J911&lt;=0.005,"COLLECTED",IF(M911&lt;=30,"1-30",IF(M911&lt;=60,"31-60",IF(M911&lt;=90,"61-90","90+"))))</f>
        <v/>
      </c>
      <c r="O911" s="3">
        <f>IF(N911="90+","LOST",IF(N911="61-90","ESCALATE",IF(N911="31-60","WATCH",IF(N911="1-30","MILD","OK"))))</f>
        <v/>
      </c>
      <c r="P911" s="3">
        <f>IF(J911&gt;0.005,ROW()-1,"")</f>
        <v/>
      </c>
    </row>
    <row r="912">
      <c r="A912" s="3" t="inlineStr">
        <is>
          <t>D0911</t>
        </is>
      </c>
      <c r="B912" s="3">
        <f>INDEX(Raw_Schedule!B:B,MATCH(A912,Raw_Schedule!A:A,0))</f>
        <v/>
      </c>
      <c r="C912" s="3">
        <f>INDEX(Raw_Schedule!C:C,MATCH(A912,Raw_Schedule!A:A,0))</f>
        <v/>
      </c>
      <c r="D912" s="3">
        <f>INDEX(Raw_Schedule!D:D,MATCH(A912,Raw_Schedule!A:A,0))</f>
        <v/>
      </c>
      <c r="E912" s="3">
        <f>INDEX(Raw_Schedule!E:E,MATCH(A912,Raw_Schedule!A:A,0))</f>
        <v/>
      </c>
      <c r="F912" s="3">
        <f>INDEX(Raw_Schedule!F:F,MATCH(A912,Raw_Schedule!A:A,0))</f>
        <v/>
      </c>
      <c r="G912" s="4">
        <f>INDEX(Raw_Schedule!G:G,MATCH(A912,Raw_Schedule!A:A,0))</f>
        <v/>
      </c>
      <c r="H912" s="5">
        <f>INDEX(Raw_Schedule!H:H,MATCH(A912,Raw_Schedule!A:A,0))</f>
        <v/>
      </c>
      <c r="I912" s="5">
        <f>SUMIFS(Raw_Payments!E:E,Raw_Payments!B:B,A912)</f>
        <v/>
      </c>
      <c r="J912" s="5">
        <f>H912-I912</f>
        <v/>
      </c>
      <c r="K912" s="3">
        <f>IF(J912&lt;=0.005,"PAID",IF(I912&gt;0,"PARTIAL","OVERDUE"))</f>
        <v/>
      </c>
      <c r="L912" s="4">
        <f>IF(COUNTIFS(Raw_Payments!B:B,A912)=0,"",SUMPRODUCT(MAX((Raw_Payments!B$2:B$1079=A912)*Raw_Payments!D$2:D$1079)))</f>
        <v/>
      </c>
      <c r="M912" s="3">
        <f>IF(K912="PAID",MAX(0,L912-G912),Guide!$B$3-G912)</f>
        <v/>
      </c>
      <c r="N912" s="3">
        <f>IF(J912&lt;=0.005,"COLLECTED",IF(M912&lt;=30,"1-30",IF(M912&lt;=60,"31-60",IF(M912&lt;=90,"61-90","90+"))))</f>
        <v/>
      </c>
      <c r="O912" s="3">
        <f>IF(N912="90+","LOST",IF(N912="61-90","ESCALATE",IF(N912="31-60","WATCH",IF(N912="1-30","MILD","OK"))))</f>
        <v/>
      </c>
      <c r="P912" s="3">
        <f>IF(J912&gt;0.005,ROW()-1,"")</f>
        <v/>
      </c>
    </row>
    <row r="913">
      <c r="A913" s="3" t="inlineStr">
        <is>
          <t>D0912</t>
        </is>
      </c>
      <c r="B913" s="3">
        <f>INDEX(Raw_Schedule!B:B,MATCH(A913,Raw_Schedule!A:A,0))</f>
        <v/>
      </c>
      <c r="C913" s="3">
        <f>INDEX(Raw_Schedule!C:C,MATCH(A913,Raw_Schedule!A:A,0))</f>
        <v/>
      </c>
      <c r="D913" s="3">
        <f>INDEX(Raw_Schedule!D:D,MATCH(A913,Raw_Schedule!A:A,0))</f>
        <v/>
      </c>
      <c r="E913" s="3">
        <f>INDEX(Raw_Schedule!E:E,MATCH(A913,Raw_Schedule!A:A,0))</f>
        <v/>
      </c>
      <c r="F913" s="3">
        <f>INDEX(Raw_Schedule!F:F,MATCH(A913,Raw_Schedule!A:A,0))</f>
        <v/>
      </c>
      <c r="G913" s="4">
        <f>INDEX(Raw_Schedule!G:G,MATCH(A913,Raw_Schedule!A:A,0))</f>
        <v/>
      </c>
      <c r="H913" s="5">
        <f>INDEX(Raw_Schedule!H:H,MATCH(A913,Raw_Schedule!A:A,0))</f>
        <v/>
      </c>
      <c r="I913" s="5">
        <f>SUMIFS(Raw_Payments!E:E,Raw_Payments!B:B,A913)</f>
        <v/>
      </c>
      <c r="J913" s="5">
        <f>H913-I913</f>
        <v/>
      </c>
      <c r="K913" s="3">
        <f>IF(J913&lt;=0.005,"PAID",IF(I913&gt;0,"PARTIAL","OVERDUE"))</f>
        <v/>
      </c>
      <c r="L913" s="4">
        <f>IF(COUNTIFS(Raw_Payments!B:B,A913)=0,"",SUMPRODUCT(MAX((Raw_Payments!B$2:B$1079=A913)*Raw_Payments!D$2:D$1079)))</f>
        <v/>
      </c>
      <c r="M913" s="3">
        <f>IF(K913="PAID",MAX(0,L913-G913),Guide!$B$3-G913)</f>
        <v/>
      </c>
      <c r="N913" s="3">
        <f>IF(J913&lt;=0.005,"COLLECTED",IF(M913&lt;=30,"1-30",IF(M913&lt;=60,"31-60",IF(M913&lt;=90,"61-90","90+"))))</f>
        <v/>
      </c>
      <c r="O913" s="3">
        <f>IF(N913="90+","LOST",IF(N913="61-90","ESCALATE",IF(N913="31-60","WATCH",IF(N913="1-30","MILD","OK"))))</f>
        <v/>
      </c>
      <c r="P913" s="3">
        <f>IF(J913&gt;0.005,ROW()-1,"")</f>
        <v/>
      </c>
    </row>
    <row r="914">
      <c r="A914" s="3" t="inlineStr">
        <is>
          <t>D0913</t>
        </is>
      </c>
      <c r="B914" s="3">
        <f>INDEX(Raw_Schedule!B:B,MATCH(A914,Raw_Schedule!A:A,0))</f>
        <v/>
      </c>
      <c r="C914" s="3">
        <f>INDEX(Raw_Schedule!C:C,MATCH(A914,Raw_Schedule!A:A,0))</f>
        <v/>
      </c>
      <c r="D914" s="3">
        <f>INDEX(Raw_Schedule!D:D,MATCH(A914,Raw_Schedule!A:A,0))</f>
        <v/>
      </c>
      <c r="E914" s="3">
        <f>INDEX(Raw_Schedule!E:E,MATCH(A914,Raw_Schedule!A:A,0))</f>
        <v/>
      </c>
      <c r="F914" s="3">
        <f>INDEX(Raw_Schedule!F:F,MATCH(A914,Raw_Schedule!A:A,0))</f>
        <v/>
      </c>
      <c r="G914" s="4">
        <f>INDEX(Raw_Schedule!G:G,MATCH(A914,Raw_Schedule!A:A,0))</f>
        <v/>
      </c>
      <c r="H914" s="5">
        <f>INDEX(Raw_Schedule!H:H,MATCH(A914,Raw_Schedule!A:A,0))</f>
        <v/>
      </c>
      <c r="I914" s="5">
        <f>SUMIFS(Raw_Payments!E:E,Raw_Payments!B:B,A914)</f>
        <v/>
      </c>
      <c r="J914" s="5">
        <f>H914-I914</f>
        <v/>
      </c>
      <c r="K914" s="3">
        <f>IF(J914&lt;=0.005,"PAID",IF(I914&gt;0,"PARTIAL","OVERDUE"))</f>
        <v/>
      </c>
      <c r="L914" s="4">
        <f>IF(COUNTIFS(Raw_Payments!B:B,A914)=0,"",SUMPRODUCT(MAX((Raw_Payments!B$2:B$1079=A914)*Raw_Payments!D$2:D$1079)))</f>
        <v/>
      </c>
      <c r="M914" s="3">
        <f>IF(K914="PAID",MAX(0,L914-G914),Guide!$B$3-G914)</f>
        <v/>
      </c>
      <c r="N914" s="3">
        <f>IF(J914&lt;=0.005,"COLLECTED",IF(M914&lt;=30,"1-30",IF(M914&lt;=60,"31-60",IF(M914&lt;=90,"61-90","90+"))))</f>
        <v/>
      </c>
      <c r="O914" s="3">
        <f>IF(N914="90+","LOST",IF(N914="61-90","ESCALATE",IF(N914="31-60","WATCH",IF(N914="1-30","MILD","OK"))))</f>
        <v/>
      </c>
      <c r="P914" s="3">
        <f>IF(J914&gt;0.005,ROW()-1,"")</f>
        <v/>
      </c>
    </row>
    <row r="915">
      <c r="A915" s="3" t="inlineStr">
        <is>
          <t>D0914</t>
        </is>
      </c>
      <c r="B915" s="3">
        <f>INDEX(Raw_Schedule!B:B,MATCH(A915,Raw_Schedule!A:A,0))</f>
        <v/>
      </c>
      <c r="C915" s="3">
        <f>INDEX(Raw_Schedule!C:C,MATCH(A915,Raw_Schedule!A:A,0))</f>
        <v/>
      </c>
      <c r="D915" s="3">
        <f>INDEX(Raw_Schedule!D:D,MATCH(A915,Raw_Schedule!A:A,0))</f>
        <v/>
      </c>
      <c r="E915" s="3">
        <f>INDEX(Raw_Schedule!E:E,MATCH(A915,Raw_Schedule!A:A,0))</f>
        <v/>
      </c>
      <c r="F915" s="3">
        <f>INDEX(Raw_Schedule!F:F,MATCH(A915,Raw_Schedule!A:A,0))</f>
        <v/>
      </c>
      <c r="G915" s="4">
        <f>INDEX(Raw_Schedule!G:G,MATCH(A915,Raw_Schedule!A:A,0))</f>
        <v/>
      </c>
      <c r="H915" s="5">
        <f>INDEX(Raw_Schedule!H:H,MATCH(A915,Raw_Schedule!A:A,0))</f>
        <v/>
      </c>
      <c r="I915" s="5">
        <f>SUMIFS(Raw_Payments!E:E,Raw_Payments!B:B,A915)</f>
        <v/>
      </c>
      <c r="J915" s="5">
        <f>H915-I915</f>
        <v/>
      </c>
      <c r="K915" s="3">
        <f>IF(J915&lt;=0.005,"PAID",IF(I915&gt;0,"PARTIAL","OVERDUE"))</f>
        <v/>
      </c>
      <c r="L915" s="4">
        <f>IF(COUNTIFS(Raw_Payments!B:B,A915)=0,"",SUMPRODUCT(MAX((Raw_Payments!B$2:B$1079=A915)*Raw_Payments!D$2:D$1079)))</f>
        <v/>
      </c>
      <c r="M915" s="3">
        <f>IF(K915="PAID",MAX(0,L915-G915),Guide!$B$3-G915)</f>
        <v/>
      </c>
      <c r="N915" s="3">
        <f>IF(J915&lt;=0.005,"COLLECTED",IF(M915&lt;=30,"1-30",IF(M915&lt;=60,"31-60",IF(M915&lt;=90,"61-90","90+"))))</f>
        <v/>
      </c>
      <c r="O915" s="3">
        <f>IF(N915="90+","LOST",IF(N915="61-90","ESCALATE",IF(N915="31-60","WATCH",IF(N915="1-30","MILD","OK"))))</f>
        <v/>
      </c>
      <c r="P915" s="3">
        <f>IF(J915&gt;0.005,ROW()-1,"")</f>
        <v/>
      </c>
    </row>
    <row r="916">
      <c r="A916" s="3" t="inlineStr">
        <is>
          <t>D0915</t>
        </is>
      </c>
      <c r="B916" s="3">
        <f>INDEX(Raw_Schedule!B:B,MATCH(A916,Raw_Schedule!A:A,0))</f>
        <v/>
      </c>
      <c r="C916" s="3">
        <f>INDEX(Raw_Schedule!C:C,MATCH(A916,Raw_Schedule!A:A,0))</f>
        <v/>
      </c>
      <c r="D916" s="3">
        <f>INDEX(Raw_Schedule!D:D,MATCH(A916,Raw_Schedule!A:A,0))</f>
        <v/>
      </c>
      <c r="E916" s="3">
        <f>INDEX(Raw_Schedule!E:E,MATCH(A916,Raw_Schedule!A:A,0))</f>
        <v/>
      </c>
      <c r="F916" s="3">
        <f>INDEX(Raw_Schedule!F:F,MATCH(A916,Raw_Schedule!A:A,0))</f>
        <v/>
      </c>
      <c r="G916" s="4">
        <f>INDEX(Raw_Schedule!G:G,MATCH(A916,Raw_Schedule!A:A,0))</f>
        <v/>
      </c>
      <c r="H916" s="5">
        <f>INDEX(Raw_Schedule!H:H,MATCH(A916,Raw_Schedule!A:A,0))</f>
        <v/>
      </c>
      <c r="I916" s="5">
        <f>SUMIFS(Raw_Payments!E:E,Raw_Payments!B:B,A916)</f>
        <v/>
      </c>
      <c r="J916" s="5">
        <f>H916-I916</f>
        <v/>
      </c>
      <c r="K916" s="3">
        <f>IF(J916&lt;=0.005,"PAID",IF(I916&gt;0,"PARTIAL","OVERDUE"))</f>
        <v/>
      </c>
      <c r="L916" s="4">
        <f>IF(COUNTIFS(Raw_Payments!B:B,A916)=0,"",SUMPRODUCT(MAX((Raw_Payments!B$2:B$1079=A916)*Raw_Payments!D$2:D$1079)))</f>
        <v/>
      </c>
      <c r="M916" s="3">
        <f>IF(K916="PAID",MAX(0,L916-G916),Guide!$B$3-G916)</f>
        <v/>
      </c>
      <c r="N916" s="3">
        <f>IF(J916&lt;=0.005,"COLLECTED",IF(M916&lt;=30,"1-30",IF(M916&lt;=60,"31-60",IF(M916&lt;=90,"61-90","90+"))))</f>
        <v/>
      </c>
      <c r="O916" s="3">
        <f>IF(N916="90+","LOST",IF(N916="61-90","ESCALATE",IF(N916="31-60","WATCH",IF(N916="1-30","MILD","OK"))))</f>
        <v/>
      </c>
      <c r="P916" s="3">
        <f>IF(J916&gt;0.005,ROW()-1,"")</f>
        <v/>
      </c>
    </row>
    <row r="917">
      <c r="A917" s="3" t="inlineStr">
        <is>
          <t>D0916</t>
        </is>
      </c>
      <c r="B917" s="3">
        <f>INDEX(Raw_Schedule!B:B,MATCH(A917,Raw_Schedule!A:A,0))</f>
        <v/>
      </c>
      <c r="C917" s="3">
        <f>INDEX(Raw_Schedule!C:C,MATCH(A917,Raw_Schedule!A:A,0))</f>
        <v/>
      </c>
      <c r="D917" s="3">
        <f>INDEX(Raw_Schedule!D:D,MATCH(A917,Raw_Schedule!A:A,0))</f>
        <v/>
      </c>
      <c r="E917" s="3">
        <f>INDEX(Raw_Schedule!E:E,MATCH(A917,Raw_Schedule!A:A,0))</f>
        <v/>
      </c>
      <c r="F917" s="3">
        <f>INDEX(Raw_Schedule!F:F,MATCH(A917,Raw_Schedule!A:A,0))</f>
        <v/>
      </c>
      <c r="G917" s="4">
        <f>INDEX(Raw_Schedule!G:G,MATCH(A917,Raw_Schedule!A:A,0))</f>
        <v/>
      </c>
      <c r="H917" s="5">
        <f>INDEX(Raw_Schedule!H:H,MATCH(A917,Raw_Schedule!A:A,0))</f>
        <v/>
      </c>
      <c r="I917" s="5">
        <f>SUMIFS(Raw_Payments!E:E,Raw_Payments!B:B,A917)</f>
        <v/>
      </c>
      <c r="J917" s="5">
        <f>H917-I917</f>
        <v/>
      </c>
      <c r="K917" s="3">
        <f>IF(J917&lt;=0.005,"PAID",IF(I917&gt;0,"PARTIAL","OVERDUE"))</f>
        <v/>
      </c>
      <c r="L917" s="4">
        <f>IF(COUNTIFS(Raw_Payments!B:B,A917)=0,"",SUMPRODUCT(MAX((Raw_Payments!B$2:B$1079=A917)*Raw_Payments!D$2:D$1079)))</f>
        <v/>
      </c>
      <c r="M917" s="3">
        <f>IF(K917="PAID",MAX(0,L917-G917),Guide!$B$3-G917)</f>
        <v/>
      </c>
      <c r="N917" s="3">
        <f>IF(J917&lt;=0.005,"COLLECTED",IF(M917&lt;=30,"1-30",IF(M917&lt;=60,"31-60",IF(M917&lt;=90,"61-90","90+"))))</f>
        <v/>
      </c>
      <c r="O917" s="3">
        <f>IF(N917="90+","LOST",IF(N917="61-90","ESCALATE",IF(N917="31-60","WATCH",IF(N917="1-30","MILD","OK"))))</f>
        <v/>
      </c>
      <c r="P917" s="3">
        <f>IF(J917&gt;0.005,ROW()-1,"")</f>
        <v/>
      </c>
    </row>
    <row r="918">
      <c r="A918" s="3" t="inlineStr">
        <is>
          <t>D0917</t>
        </is>
      </c>
      <c r="B918" s="3">
        <f>INDEX(Raw_Schedule!B:B,MATCH(A918,Raw_Schedule!A:A,0))</f>
        <v/>
      </c>
      <c r="C918" s="3">
        <f>INDEX(Raw_Schedule!C:C,MATCH(A918,Raw_Schedule!A:A,0))</f>
        <v/>
      </c>
      <c r="D918" s="3">
        <f>INDEX(Raw_Schedule!D:D,MATCH(A918,Raw_Schedule!A:A,0))</f>
        <v/>
      </c>
      <c r="E918" s="3">
        <f>INDEX(Raw_Schedule!E:E,MATCH(A918,Raw_Schedule!A:A,0))</f>
        <v/>
      </c>
      <c r="F918" s="3">
        <f>INDEX(Raw_Schedule!F:F,MATCH(A918,Raw_Schedule!A:A,0))</f>
        <v/>
      </c>
      <c r="G918" s="4">
        <f>INDEX(Raw_Schedule!G:G,MATCH(A918,Raw_Schedule!A:A,0))</f>
        <v/>
      </c>
      <c r="H918" s="5">
        <f>INDEX(Raw_Schedule!H:H,MATCH(A918,Raw_Schedule!A:A,0))</f>
        <v/>
      </c>
      <c r="I918" s="5">
        <f>SUMIFS(Raw_Payments!E:E,Raw_Payments!B:B,A918)</f>
        <v/>
      </c>
      <c r="J918" s="5">
        <f>H918-I918</f>
        <v/>
      </c>
      <c r="K918" s="3">
        <f>IF(J918&lt;=0.005,"PAID",IF(I918&gt;0,"PARTIAL","OVERDUE"))</f>
        <v/>
      </c>
      <c r="L918" s="4">
        <f>IF(COUNTIFS(Raw_Payments!B:B,A918)=0,"",SUMPRODUCT(MAX((Raw_Payments!B$2:B$1079=A918)*Raw_Payments!D$2:D$1079)))</f>
        <v/>
      </c>
      <c r="M918" s="3">
        <f>IF(K918="PAID",MAX(0,L918-G918),Guide!$B$3-G918)</f>
        <v/>
      </c>
      <c r="N918" s="3">
        <f>IF(J918&lt;=0.005,"COLLECTED",IF(M918&lt;=30,"1-30",IF(M918&lt;=60,"31-60",IF(M918&lt;=90,"61-90","90+"))))</f>
        <v/>
      </c>
      <c r="O918" s="3">
        <f>IF(N918="90+","LOST",IF(N918="61-90","ESCALATE",IF(N918="31-60","WATCH",IF(N918="1-30","MILD","OK"))))</f>
        <v/>
      </c>
      <c r="P918" s="3">
        <f>IF(J918&gt;0.005,ROW()-1,"")</f>
        <v/>
      </c>
    </row>
    <row r="919">
      <c r="A919" s="3" t="inlineStr">
        <is>
          <t>D0918</t>
        </is>
      </c>
      <c r="B919" s="3">
        <f>INDEX(Raw_Schedule!B:B,MATCH(A919,Raw_Schedule!A:A,0))</f>
        <v/>
      </c>
      <c r="C919" s="3">
        <f>INDEX(Raw_Schedule!C:C,MATCH(A919,Raw_Schedule!A:A,0))</f>
        <v/>
      </c>
      <c r="D919" s="3">
        <f>INDEX(Raw_Schedule!D:D,MATCH(A919,Raw_Schedule!A:A,0))</f>
        <v/>
      </c>
      <c r="E919" s="3">
        <f>INDEX(Raw_Schedule!E:E,MATCH(A919,Raw_Schedule!A:A,0))</f>
        <v/>
      </c>
      <c r="F919" s="3">
        <f>INDEX(Raw_Schedule!F:F,MATCH(A919,Raw_Schedule!A:A,0))</f>
        <v/>
      </c>
      <c r="G919" s="4">
        <f>INDEX(Raw_Schedule!G:G,MATCH(A919,Raw_Schedule!A:A,0))</f>
        <v/>
      </c>
      <c r="H919" s="5">
        <f>INDEX(Raw_Schedule!H:H,MATCH(A919,Raw_Schedule!A:A,0))</f>
        <v/>
      </c>
      <c r="I919" s="5">
        <f>SUMIFS(Raw_Payments!E:E,Raw_Payments!B:B,A919)</f>
        <v/>
      </c>
      <c r="J919" s="5">
        <f>H919-I919</f>
        <v/>
      </c>
      <c r="K919" s="3">
        <f>IF(J919&lt;=0.005,"PAID",IF(I919&gt;0,"PARTIAL","OVERDUE"))</f>
        <v/>
      </c>
      <c r="L919" s="4">
        <f>IF(COUNTIFS(Raw_Payments!B:B,A919)=0,"",SUMPRODUCT(MAX((Raw_Payments!B$2:B$1079=A919)*Raw_Payments!D$2:D$1079)))</f>
        <v/>
      </c>
      <c r="M919" s="3">
        <f>IF(K919="PAID",MAX(0,L919-G919),Guide!$B$3-G919)</f>
        <v/>
      </c>
      <c r="N919" s="3">
        <f>IF(J919&lt;=0.005,"COLLECTED",IF(M919&lt;=30,"1-30",IF(M919&lt;=60,"31-60",IF(M919&lt;=90,"61-90","90+"))))</f>
        <v/>
      </c>
      <c r="O919" s="3">
        <f>IF(N919="90+","LOST",IF(N919="61-90","ESCALATE",IF(N919="31-60","WATCH",IF(N919="1-30","MILD","OK"))))</f>
        <v/>
      </c>
      <c r="P919" s="3">
        <f>IF(J919&gt;0.005,ROW()-1,"")</f>
        <v/>
      </c>
    </row>
    <row r="920">
      <c r="A920" s="3" t="inlineStr">
        <is>
          <t>D0919</t>
        </is>
      </c>
      <c r="B920" s="3">
        <f>INDEX(Raw_Schedule!B:B,MATCH(A920,Raw_Schedule!A:A,0))</f>
        <v/>
      </c>
      <c r="C920" s="3">
        <f>INDEX(Raw_Schedule!C:C,MATCH(A920,Raw_Schedule!A:A,0))</f>
        <v/>
      </c>
      <c r="D920" s="3">
        <f>INDEX(Raw_Schedule!D:D,MATCH(A920,Raw_Schedule!A:A,0))</f>
        <v/>
      </c>
      <c r="E920" s="3">
        <f>INDEX(Raw_Schedule!E:E,MATCH(A920,Raw_Schedule!A:A,0))</f>
        <v/>
      </c>
      <c r="F920" s="3">
        <f>INDEX(Raw_Schedule!F:F,MATCH(A920,Raw_Schedule!A:A,0))</f>
        <v/>
      </c>
      <c r="G920" s="4">
        <f>INDEX(Raw_Schedule!G:G,MATCH(A920,Raw_Schedule!A:A,0))</f>
        <v/>
      </c>
      <c r="H920" s="5">
        <f>INDEX(Raw_Schedule!H:H,MATCH(A920,Raw_Schedule!A:A,0))</f>
        <v/>
      </c>
      <c r="I920" s="5">
        <f>SUMIFS(Raw_Payments!E:E,Raw_Payments!B:B,A920)</f>
        <v/>
      </c>
      <c r="J920" s="5">
        <f>H920-I920</f>
        <v/>
      </c>
      <c r="K920" s="3">
        <f>IF(J920&lt;=0.005,"PAID",IF(I920&gt;0,"PARTIAL","OVERDUE"))</f>
        <v/>
      </c>
      <c r="L920" s="4">
        <f>IF(COUNTIFS(Raw_Payments!B:B,A920)=0,"",SUMPRODUCT(MAX((Raw_Payments!B$2:B$1079=A920)*Raw_Payments!D$2:D$1079)))</f>
        <v/>
      </c>
      <c r="M920" s="3">
        <f>IF(K920="PAID",MAX(0,L920-G920),Guide!$B$3-G920)</f>
        <v/>
      </c>
      <c r="N920" s="3">
        <f>IF(J920&lt;=0.005,"COLLECTED",IF(M920&lt;=30,"1-30",IF(M920&lt;=60,"31-60",IF(M920&lt;=90,"61-90","90+"))))</f>
        <v/>
      </c>
      <c r="O920" s="3">
        <f>IF(N920="90+","LOST",IF(N920="61-90","ESCALATE",IF(N920="31-60","WATCH",IF(N920="1-30","MILD","OK"))))</f>
        <v/>
      </c>
      <c r="P920" s="3">
        <f>IF(J920&gt;0.005,ROW()-1,"")</f>
        <v/>
      </c>
    </row>
    <row r="921">
      <c r="A921" s="3" t="inlineStr">
        <is>
          <t>D0920</t>
        </is>
      </c>
      <c r="B921" s="3">
        <f>INDEX(Raw_Schedule!B:B,MATCH(A921,Raw_Schedule!A:A,0))</f>
        <v/>
      </c>
      <c r="C921" s="3">
        <f>INDEX(Raw_Schedule!C:C,MATCH(A921,Raw_Schedule!A:A,0))</f>
        <v/>
      </c>
      <c r="D921" s="3">
        <f>INDEX(Raw_Schedule!D:D,MATCH(A921,Raw_Schedule!A:A,0))</f>
        <v/>
      </c>
      <c r="E921" s="3">
        <f>INDEX(Raw_Schedule!E:E,MATCH(A921,Raw_Schedule!A:A,0))</f>
        <v/>
      </c>
      <c r="F921" s="3">
        <f>INDEX(Raw_Schedule!F:F,MATCH(A921,Raw_Schedule!A:A,0))</f>
        <v/>
      </c>
      <c r="G921" s="4">
        <f>INDEX(Raw_Schedule!G:G,MATCH(A921,Raw_Schedule!A:A,0))</f>
        <v/>
      </c>
      <c r="H921" s="5">
        <f>INDEX(Raw_Schedule!H:H,MATCH(A921,Raw_Schedule!A:A,0))</f>
        <v/>
      </c>
      <c r="I921" s="5">
        <f>SUMIFS(Raw_Payments!E:E,Raw_Payments!B:B,A921)</f>
        <v/>
      </c>
      <c r="J921" s="5">
        <f>H921-I921</f>
        <v/>
      </c>
      <c r="K921" s="3">
        <f>IF(J921&lt;=0.005,"PAID",IF(I921&gt;0,"PARTIAL","OVERDUE"))</f>
        <v/>
      </c>
      <c r="L921" s="4">
        <f>IF(COUNTIFS(Raw_Payments!B:B,A921)=0,"",SUMPRODUCT(MAX((Raw_Payments!B$2:B$1079=A921)*Raw_Payments!D$2:D$1079)))</f>
        <v/>
      </c>
      <c r="M921" s="3">
        <f>IF(K921="PAID",MAX(0,L921-G921),Guide!$B$3-G921)</f>
        <v/>
      </c>
      <c r="N921" s="3">
        <f>IF(J921&lt;=0.005,"COLLECTED",IF(M921&lt;=30,"1-30",IF(M921&lt;=60,"31-60",IF(M921&lt;=90,"61-90","90+"))))</f>
        <v/>
      </c>
      <c r="O921" s="3">
        <f>IF(N921="90+","LOST",IF(N921="61-90","ESCALATE",IF(N921="31-60","WATCH",IF(N921="1-30","MILD","OK"))))</f>
        <v/>
      </c>
      <c r="P921" s="3">
        <f>IF(J921&gt;0.005,ROW()-1,"")</f>
        <v/>
      </c>
    </row>
    <row r="922">
      <c r="A922" s="3" t="inlineStr">
        <is>
          <t>D0921</t>
        </is>
      </c>
      <c r="B922" s="3">
        <f>INDEX(Raw_Schedule!B:B,MATCH(A922,Raw_Schedule!A:A,0))</f>
        <v/>
      </c>
      <c r="C922" s="3">
        <f>INDEX(Raw_Schedule!C:C,MATCH(A922,Raw_Schedule!A:A,0))</f>
        <v/>
      </c>
      <c r="D922" s="3">
        <f>INDEX(Raw_Schedule!D:D,MATCH(A922,Raw_Schedule!A:A,0))</f>
        <v/>
      </c>
      <c r="E922" s="3">
        <f>INDEX(Raw_Schedule!E:E,MATCH(A922,Raw_Schedule!A:A,0))</f>
        <v/>
      </c>
      <c r="F922" s="3">
        <f>INDEX(Raw_Schedule!F:F,MATCH(A922,Raw_Schedule!A:A,0))</f>
        <v/>
      </c>
      <c r="G922" s="4">
        <f>INDEX(Raw_Schedule!G:G,MATCH(A922,Raw_Schedule!A:A,0))</f>
        <v/>
      </c>
      <c r="H922" s="5">
        <f>INDEX(Raw_Schedule!H:H,MATCH(A922,Raw_Schedule!A:A,0))</f>
        <v/>
      </c>
      <c r="I922" s="5">
        <f>SUMIFS(Raw_Payments!E:E,Raw_Payments!B:B,A922)</f>
        <v/>
      </c>
      <c r="J922" s="5">
        <f>H922-I922</f>
        <v/>
      </c>
      <c r="K922" s="3">
        <f>IF(J922&lt;=0.005,"PAID",IF(I922&gt;0,"PARTIAL","OVERDUE"))</f>
        <v/>
      </c>
      <c r="L922" s="4">
        <f>IF(COUNTIFS(Raw_Payments!B:B,A922)=0,"",SUMPRODUCT(MAX((Raw_Payments!B$2:B$1079=A922)*Raw_Payments!D$2:D$1079)))</f>
        <v/>
      </c>
      <c r="M922" s="3">
        <f>IF(K922="PAID",MAX(0,L922-G922),Guide!$B$3-G922)</f>
        <v/>
      </c>
      <c r="N922" s="3">
        <f>IF(J922&lt;=0.005,"COLLECTED",IF(M922&lt;=30,"1-30",IF(M922&lt;=60,"31-60",IF(M922&lt;=90,"61-90","90+"))))</f>
        <v/>
      </c>
      <c r="O922" s="3">
        <f>IF(N922="90+","LOST",IF(N922="61-90","ESCALATE",IF(N922="31-60","WATCH",IF(N922="1-30","MILD","OK"))))</f>
        <v/>
      </c>
      <c r="P922" s="3">
        <f>IF(J922&gt;0.005,ROW()-1,"")</f>
        <v/>
      </c>
    </row>
    <row r="923">
      <c r="A923" s="3" t="inlineStr">
        <is>
          <t>D0922</t>
        </is>
      </c>
      <c r="B923" s="3">
        <f>INDEX(Raw_Schedule!B:B,MATCH(A923,Raw_Schedule!A:A,0))</f>
        <v/>
      </c>
      <c r="C923" s="3">
        <f>INDEX(Raw_Schedule!C:C,MATCH(A923,Raw_Schedule!A:A,0))</f>
        <v/>
      </c>
      <c r="D923" s="3">
        <f>INDEX(Raw_Schedule!D:D,MATCH(A923,Raw_Schedule!A:A,0))</f>
        <v/>
      </c>
      <c r="E923" s="3">
        <f>INDEX(Raw_Schedule!E:E,MATCH(A923,Raw_Schedule!A:A,0))</f>
        <v/>
      </c>
      <c r="F923" s="3">
        <f>INDEX(Raw_Schedule!F:F,MATCH(A923,Raw_Schedule!A:A,0))</f>
        <v/>
      </c>
      <c r="G923" s="4">
        <f>INDEX(Raw_Schedule!G:G,MATCH(A923,Raw_Schedule!A:A,0))</f>
        <v/>
      </c>
      <c r="H923" s="5">
        <f>INDEX(Raw_Schedule!H:H,MATCH(A923,Raw_Schedule!A:A,0))</f>
        <v/>
      </c>
      <c r="I923" s="5">
        <f>SUMIFS(Raw_Payments!E:E,Raw_Payments!B:B,A923)</f>
        <v/>
      </c>
      <c r="J923" s="5">
        <f>H923-I923</f>
        <v/>
      </c>
      <c r="K923" s="3">
        <f>IF(J923&lt;=0.005,"PAID",IF(I923&gt;0,"PARTIAL","OVERDUE"))</f>
        <v/>
      </c>
      <c r="L923" s="4">
        <f>IF(COUNTIFS(Raw_Payments!B:B,A923)=0,"",SUMPRODUCT(MAX((Raw_Payments!B$2:B$1079=A923)*Raw_Payments!D$2:D$1079)))</f>
        <v/>
      </c>
      <c r="M923" s="3">
        <f>IF(K923="PAID",MAX(0,L923-G923),Guide!$B$3-G923)</f>
        <v/>
      </c>
      <c r="N923" s="3">
        <f>IF(J923&lt;=0.005,"COLLECTED",IF(M923&lt;=30,"1-30",IF(M923&lt;=60,"31-60",IF(M923&lt;=90,"61-90","90+"))))</f>
        <v/>
      </c>
      <c r="O923" s="3">
        <f>IF(N923="90+","LOST",IF(N923="61-90","ESCALATE",IF(N923="31-60","WATCH",IF(N923="1-30","MILD","OK"))))</f>
        <v/>
      </c>
      <c r="P923" s="3">
        <f>IF(J923&gt;0.005,ROW()-1,"")</f>
        <v/>
      </c>
    </row>
    <row r="924">
      <c r="A924" s="3" t="inlineStr">
        <is>
          <t>D0923</t>
        </is>
      </c>
      <c r="B924" s="3">
        <f>INDEX(Raw_Schedule!B:B,MATCH(A924,Raw_Schedule!A:A,0))</f>
        <v/>
      </c>
      <c r="C924" s="3">
        <f>INDEX(Raw_Schedule!C:C,MATCH(A924,Raw_Schedule!A:A,0))</f>
        <v/>
      </c>
      <c r="D924" s="3">
        <f>INDEX(Raw_Schedule!D:D,MATCH(A924,Raw_Schedule!A:A,0))</f>
        <v/>
      </c>
      <c r="E924" s="3">
        <f>INDEX(Raw_Schedule!E:E,MATCH(A924,Raw_Schedule!A:A,0))</f>
        <v/>
      </c>
      <c r="F924" s="3">
        <f>INDEX(Raw_Schedule!F:F,MATCH(A924,Raw_Schedule!A:A,0))</f>
        <v/>
      </c>
      <c r="G924" s="4">
        <f>INDEX(Raw_Schedule!G:G,MATCH(A924,Raw_Schedule!A:A,0))</f>
        <v/>
      </c>
      <c r="H924" s="5">
        <f>INDEX(Raw_Schedule!H:H,MATCH(A924,Raw_Schedule!A:A,0))</f>
        <v/>
      </c>
      <c r="I924" s="5">
        <f>SUMIFS(Raw_Payments!E:E,Raw_Payments!B:B,A924)</f>
        <v/>
      </c>
      <c r="J924" s="5">
        <f>H924-I924</f>
        <v/>
      </c>
      <c r="K924" s="3">
        <f>IF(J924&lt;=0.005,"PAID",IF(I924&gt;0,"PARTIAL","OVERDUE"))</f>
        <v/>
      </c>
      <c r="L924" s="4">
        <f>IF(COUNTIFS(Raw_Payments!B:B,A924)=0,"",SUMPRODUCT(MAX((Raw_Payments!B$2:B$1079=A924)*Raw_Payments!D$2:D$1079)))</f>
        <v/>
      </c>
      <c r="M924" s="3">
        <f>IF(K924="PAID",MAX(0,L924-G924),Guide!$B$3-G924)</f>
        <v/>
      </c>
      <c r="N924" s="3">
        <f>IF(J924&lt;=0.005,"COLLECTED",IF(M924&lt;=30,"1-30",IF(M924&lt;=60,"31-60",IF(M924&lt;=90,"61-90","90+"))))</f>
        <v/>
      </c>
      <c r="O924" s="3">
        <f>IF(N924="90+","LOST",IF(N924="61-90","ESCALATE",IF(N924="31-60","WATCH",IF(N924="1-30","MILD","OK"))))</f>
        <v/>
      </c>
      <c r="P924" s="3">
        <f>IF(J924&gt;0.005,ROW()-1,"")</f>
        <v/>
      </c>
    </row>
    <row r="925">
      <c r="A925" s="3" t="inlineStr">
        <is>
          <t>D0924</t>
        </is>
      </c>
      <c r="B925" s="3">
        <f>INDEX(Raw_Schedule!B:B,MATCH(A925,Raw_Schedule!A:A,0))</f>
        <v/>
      </c>
      <c r="C925" s="3">
        <f>INDEX(Raw_Schedule!C:C,MATCH(A925,Raw_Schedule!A:A,0))</f>
        <v/>
      </c>
      <c r="D925" s="3">
        <f>INDEX(Raw_Schedule!D:D,MATCH(A925,Raw_Schedule!A:A,0))</f>
        <v/>
      </c>
      <c r="E925" s="3">
        <f>INDEX(Raw_Schedule!E:E,MATCH(A925,Raw_Schedule!A:A,0))</f>
        <v/>
      </c>
      <c r="F925" s="3">
        <f>INDEX(Raw_Schedule!F:F,MATCH(A925,Raw_Schedule!A:A,0))</f>
        <v/>
      </c>
      <c r="G925" s="4">
        <f>INDEX(Raw_Schedule!G:G,MATCH(A925,Raw_Schedule!A:A,0))</f>
        <v/>
      </c>
      <c r="H925" s="5">
        <f>INDEX(Raw_Schedule!H:H,MATCH(A925,Raw_Schedule!A:A,0))</f>
        <v/>
      </c>
      <c r="I925" s="5">
        <f>SUMIFS(Raw_Payments!E:E,Raw_Payments!B:B,A925)</f>
        <v/>
      </c>
      <c r="J925" s="5">
        <f>H925-I925</f>
        <v/>
      </c>
      <c r="K925" s="3">
        <f>IF(J925&lt;=0.005,"PAID",IF(I925&gt;0,"PARTIAL","OVERDUE"))</f>
        <v/>
      </c>
      <c r="L925" s="4">
        <f>IF(COUNTIFS(Raw_Payments!B:B,A925)=0,"",SUMPRODUCT(MAX((Raw_Payments!B$2:B$1079=A925)*Raw_Payments!D$2:D$1079)))</f>
        <v/>
      </c>
      <c r="M925" s="3">
        <f>IF(K925="PAID",MAX(0,L925-G925),Guide!$B$3-G925)</f>
        <v/>
      </c>
      <c r="N925" s="3">
        <f>IF(J925&lt;=0.005,"COLLECTED",IF(M925&lt;=30,"1-30",IF(M925&lt;=60,"31-60",IF(M925&lt;=90,"61-90","90+"))))</f>
        <v/>
      </c>
      <c r="O925" s="3">
        <f>IF(N925="90+","LOST",IF(N925="61-90","ESCALATE",IF(N925="31-60","WATCH",IF(N925="1-30","MILD","OK"))))</f>
        <v/>
      </c>
      <c r="P925" s="3">
        <f>IF(J925&gt;0.005,ROW()-1,"")</f>
        <v/>
      </c>
    </row>
    <row r="926">
      <c r="A926" s="3" t="inlineStr">
        <is>
          <t>D0925</t>
        </is>
      </c>
      <c r="B926" s="3">
        <f>INDEX(Raw_Schedule!B:B,MATCH(A926,Raw_Schedule!A:A,0))</f>
        <v/>
      </c>
      <c r="C926" s="3">
        <f>INDEX(Raw_Schedule!C:C,MATCH(A926,Raw_Schedule!A:A,0))</f>
        <v/>
      </c>
      <c r="D926" s="3">
        <f>INDEX(Raw_Schedule!D:D,MATCH(A926,Raw_Schedule!A:A,0))</f>
        <v/>
      </c>
      <c r="E926" s="3">
        <f>INDEX(Raw_Schedule!E:E,MATCH(A926,Raw_Schedule!A:A,0))</f>
        <v/>
      </c>
      <c r="F926" s="3">
        <f>INDEX(Raw_Schedule!F:F,MATCH(A926,Raw_Schedule!A:A,0))</f>
        <v/>
      </c>
      <c r="G926" s="4">
        <f>INDEX(Raw_Schedule!G:G,MATCH(A926,Raw_Schedule!A:A,0))</f>
        <v/>
      </c>
      <c r="H926" s="5">
        <f>INDEX(Raw_Schedule!H:H,MATCH(A926,Raw_Schedule!A:A,0))</f>
        <v/>
      </c>
      <c r="I926" s="5">
        <f>SUMIFS(Raw_Payments!E:E,Raw_Payments!B:B,A926)</f>
        <v/>
      </c>
      <c r="J926" s="5">
        <f>H926-I926</f>
        <v/>
      </c>
      <c r="K926" s="3">
        <f>IF(J926&lt;=0.005,"PAID",IF(I926&gt;0,"PARTIAL","OVERDUE"))</f>
        <v/>
      </c>
      <c r="L926" s="4">
        <f>IF(COUNTIFS(Raw_Payments!B:B,A926)=0,"",SUMPRODUCT(MAX((Raw_Payments!B$2:B$1079=A926)*Raw_Payments!D$2:D$1079)))</f>
        <v/>
      </c>
      <c r="M926" s="3">
        <f>IF(K926="PAID",MAX(0,L926-G926),Guide!$B$3-G926)</f>
        <v/>
      </c>
      <c r="N926" s="3">
        <f>IF(J926&lt;=0.005,"COLLECTED",IF(M926&lt;=30,"1-30",IF(M926&lt;=60,"31-60",IF(M926&lt;=90,"61-90","90+"))))</f>
        <v/>
      </c>
      <c r="O926" s="3">
        <f>IF(N926="90+","LOST",IF(N926="61-90","ESCALATE",IF(N926="31-60","WATCH",IF(N926="1-30","MILD","OK"))))</f>
        <v/>
      </c>
      <c r="P926" s="3">
        <f>IF(J926&gt;0.005,ROW()-1,"")</f>
        <v/>
      </c>
    </row>
    <row r="927">
      <c r="A927" s="3" t="inlineStr">
        <is>
          <t>D0926</t>
        </is>
      </c>
      <c r="B927" s="3">
        <f>INDEX(Raw_Schedule!B:B,MATCH(A927,Raw_Schedule!A:A,0))</f>
        <v/>
      </c>
      <c r="C927" s="3">
        <f>INDEX(Raw_Schedule!C:C,MATCH(A927,Raw_Schedule!A:A,0))</f>
        <v/>
      </c>
      <c r="D927" s="3">
        <f>INDEX(Raw_Schedule!D:D,MATCH(A927,Raw_Schedule!A:A,0))</f>
        <v/>
      </c>
      <c r="E927" s="3">
        <f>INDEX(Raw_Schedule!E:E,MATCH(A927,Raw_Schedule!A:A,0))</f>
        <v/>
      </c>
      <c r="F927" s="3">
        <f>INDEX(Raw_Schedule!F:F,MATCH(A927,Raw_Schedule!A:A,0))</f>
        <v/>
      </c>
      <c r="G927" s="4">
        <f>INDEX(Raw_Schedule!G:G,MATCH(A927,Raw_Schedule!A:A,0))</f>
        <v/>
      </c>
      <c r="H927" s="5">
        <f>INDEX(Raw_Schedule!H:H,MATCH(A927,Raw_Schedule!A:A,0))</f>
        <v/>
      </c>
      <c r="I927" s="5">
        <f>SUMIFS(Raw_Payments!E:E,Raw_Payments!B:B,A927)</f>
        <v/>
      </c>
      <c r="J927" s="5">
        <f>H927-I927</f>
        <v/>
      </c>
      <c r="K927" s="3">
        <f>IF(J927&lt;=0.005,"PAID",IF(I927&gt;0,"PARTIAL","OVERDUE"))</f>
        <v/>
      </c>
      <c r="L927" s="4">
        <f>IF(COUNTIFS(Raw_Payments!B:B,A927)=0,"",SUMPRODUCT(MAX((Raw_Payments!B$2:B$1079=A927)*Raw_Payments!D$2:D$1079)))</f>
        <v/>
      </c>
      <c r="M927" s="3">
        <f>IF(K927="PAID",MAX(0,L927-G927),Guide!$B$3-G927)</f>
        <v/>
      </c>
      <c r="N927" s="3">
        <f>IF(J927&lt;=0.005,"COLLECTED",IF(M927&lt;=30,"1-30",IF(M927&lt;=60,"31-60",IF(M927&lt;=90,"61-90","90+"))))</f>
        <v/>
      </c>
      <c r="O927" s="3">
        <f>IF(N927="90+","LOST",IF(N927="61-90","ESCALATE",IF(N927="31-60","WATCH",IF(N927="1-30","MILD","OK"))))</f>
        <v/>
      </c>
      <c r="P927" s="3">
        <f>IF(J927&gt;0.005,ROW()-1,"")</f>
        <v/>
      </c>
    </row>
    <row r="928">
      <c r="A928" s="3" t="inlineStr">
        <is>
          <t>D0927</t>
        </is>
      </c>
      <c r="B928" s="3">
        <f>INDEX(Raw_Schedule!B:B,MATCH(A928,Raw_Schedule!A:A,0))</f>
        <v/>
      </c>
      <c r="C928" s="3">
        <f>INDEX(Raw_Schedule!C:C,MATCH(A928,Raw_Schedule!A:A,0))</f>
        <v/>
      </c>
      <c r="D928" s="3">
        <f>INDEX(Raw_Schedule!D:D,MATCH(A928,Raw_Schedule!A:A,0))</f>
        <v/>
      </c>
      <c r="E928" s="3">
        <f>INDEX(Raw_Schedule!E:E,MATCH(A928,Raw_Schedule!A:A,0))</f>
        <v/>
      </c>
      <c r="F928" s="3">
        <f>INDEX(Raw_Schedule!F:F,MATCH(A928,Raw_Schedule!A:A,0))</f>
        <v/>
      </c>
      <c r="G928" s="4">
        <f>INDEX(Raw_Schedule!G:G,MATCH(A928,Raw_Schedule!A:A,0))</f>
        <v/>
      </c>
      <c r="H928" s="5">
        <f>INDEX(Raw_Schedule!H:H,MATCH(A928,Raw_Schedule!A:A,0))</f>
        <v/>
      </c>
      <c r="I928" s="5">
        <f>SUMIFS(Raw_Payments!E:E,Raw_Payments!B:B,A928)</f>
        <v/>
      </c>
      <c r="J928" s="5">
        <f>H928-I928</f>
        <v/>
      </c>
      <c r="K928" s="3">
        <f>IF(J928&lt;=0.005,"PAID",IF(I928&gt;0,"PARTIAL","OVERDUE"))</f>
        <v/>
      </c>
      <c r="L928" s="4">
        <f>IF(COUNTIFS(Raw_Payments!B:B,A928)=0,"",SUMPRODUCT(MAX((Raw_Payments!B$2:B$1079=A928)*Raw_Payments!D$2:D$1079)))</f>
        <v/>
      </c>
      <c r="M928" s="3">
        <f>IF(K928="PAID",MAX(0,L928-G928),Guide!$B$3-G928)</f>
        <v/>
      </c>
      <c r="N928" s="3">
        <f>IF(J928&lt;=0.005,"COLLECTED",IF(M928&lt;=30,"1-30",IF(M928&lt;=60,"31-60",IF(M928&lt;=90,"61-90","90+"))))</f>
        <v/>
      </c>
      <c r="O928" s="3">
        <f>IF(N928="90+","LOST",IF(N928="61-90","ESCALATE",IF(N928="31-60","WATCH",IF(N928="1-30","MILD","OK"))))</f>
        <v/>
      </c>
      <c r="P928" s="3">
        <f>IF(J928&gt;0.005,ROW()-1,"")</f>
        <v/>
      </c>
    </row>
    <row r="929">
      <c r="A929" s="3" t="inlineStr">
        <is>
          <t>D0928</t>
        </is>
      </c>
      <c r="B929" s="3">
        <f>INDEX(Raw_Schedule!B:B,MATCH(A929,Raw_Schedule!A:A,0))</f>
        <v/>
      </c>
      <c r="C929" s="3">
        <f>INDEX(Raw_Schedule!C:C,MATCH(A929,Raw_Schedule!A:A,0))</f>
        <v/>
      </c>
      <c r="D929" s="3">
        <f>INDEX(Raw_Schedule!D:D,MATCH(A929,Raw_Schedule!A:A,0))</f>
        <v/>
      </c>
      <c r="E929" s="3">
        <f>INDEX(Raw_Schedule!E:E,MATCH(A929,Raw_Schedule!A:A,0))</f>
        <v/>
      </c>
      <c r="F929" s="3">
        <f>INDEX(Raw_Schedule!F:F,MATCH(A929,Raw_Schedule!A:A,0))</f>
        <v/>
      </c>
      <c r="G929" s="4">
        <f>INDEX(Raw_Schedule!G:G,MATCH(A929,Raw_Schedule!A:A,0))</f>
        <v/>
      </c>
      <c r="H929" s="5">
        <f>INDEX(Raw_Schedule!H:H,MATCH(A929,Raw_Schedule!A:A,0))</f>
        <v/>
      </c>
      <c r="I929" s="5">
        <f>SUMIFS(Raw_Payments!E:E,Raw_Payments!B:B,A929)</f>
        <v/>
      </c>
      <c r="J929" s="5">
        <f>H929-I929</f>
        <v/>
      </c>
      <c r="K929" s="3">
        <f>IF(J929&lt;=0.005,"PAID",IF(I929&gt;0,"PARTIAL","OVERDUE"))</f>
        <v/>
      </c>
      <c r="L929" s="4">
        <f>IF(COUNTIFS(Raw_Payments!B:B,A929)=0,"",SUMPRODUCT(MAX((Raw_Payments!B$2:B$1079=A929)*Raw_Payments!D$2:D$1079)))</f>
        <v/>
      </c>
      <c r="M929" s="3">
        <f>IF(K929="PAID",MAX(0,L929-G929),Guide!$B$3-G929)</f>
        <v/>
      </c>
      <c r="N929" s="3">
        <f>IF(J929&lt;=0.005,"COLLECTED",IF(M929&lt;=30,"1-30",IF(M929&lt;=60,"31-60",IF(M929&lt;=90,"61-90","90+"))))</f>
        <v/>
      </c>
      <c r="O929" s="3">
        <f>IF(N929="90+","LOST",IF(N929="61-90","ESCALATE",IF(N929="31-60","WATCH",IF(N929="1-30","MILD","OK"))))</f>
        <v/>
      </c>
      <c r="P929" s="3">
        <f>IF(J929&gt;0.005,ROW()-1,"")</f>
        <v/>
      </c>
    </row>
    <row r="930">
      <c r="A930" s="3" t="inlineStr">
        <is>
          <t>D0929</t>
        </is>
      </c>
      <c r="B930" s="3">
        <f>INDEX(Raw_Schedule!B:B,MATCH(A930,Raw_Schedule!A:A,0))</f>
        <v/>
      </c>
      <c r="C930" s="3">
        <f>INDEX(Raw_Schedule!C:C,MATCH(A930,Raw_Schedule!A:A,0))</f>
        <v/>
      </c>
      <c r="D930" s="3">
        <f>INDEX(Raw_Schedule!D:D,MATCH(A930,Raw_Schedule!A:A,0))</f>
        <v/>
      </c>
      <c r="E930" s="3">
        <f>INDEX(Raw_Schedule!E:E,MATCH(A930,Raw_Schedule!A:A,0))</f>
        <v/>
      </c>
      <c r="F930" s="3">
        <f>INDEX(Raw_Schedule!F:F,MATCH(A930,Raw_Schedule!A:A,0))</f>
        <v/>
      </c>
      <c r="G930" s="4">
        <f>INDEX(Raw_Schedule!G:G,MATCH(A930,Raw_Schedule!A:A,0))</f>
        <v/>
      </c>
      <c r="H930" s="5">
        <f>INDEX(Raw_Schedule!H:H,MATCH(A930,Raw_Schedule!A:A,0))</f>
        <v/>
      </c>
      <c r="I930" s="5">
        <f>SUMIFS(Raw_Payments!E:E,Raw_Payments!B:B,A930)</f>
        <v/>
      </c>
      <c r="J930" s="5">
        <f>H930-I930</f>
        <v/>
      </c>
      <c r="K930" s="3">
        <f>IF(J930&lt;=0.005,"PAID",IF(I930&gt;0,"PARTIAL","OVERDUE"))</f>
        <v/>
      </c>
      <c r="L930" s="4">
        <f>IF(COUNTIFS(Raw_Payments!B:B,A930)=0,"",SUMPRODUCT(MAX((Raw_Payments!B$2:B$1079=A930)*Raw_Payments!D$2:D$1079)))</f>
        <v/>
      </c>
      <c r="M930" s="3">
        <f>IF(K930="PAID",MAX(0,L930-G930),Guide!$B$3-G930)</f>
        <v/>
      </c>
      <c r="N930" s="3">
        <f>IF(J930&lt;=0.005,"COLLECTED",IF(M930&lt;=30,"1-30",IF(M930&lt;=60,"31-60",IF(M930&lt;=90,"61-90","90+"))))</f>
        <v/>
      </c>
      <c r="O930" s="3">
        <f>IF(N930="90+","LOST",IF(N930="61-90","ESCALATE",IF(N930="31-60","WATCH",IF(N930="1-30","MILD","OK"))))</f>
        <v/>
      </c>
      <c r="P930" s="3">
        <f>IF(J930&gt;0.005,ROW()-1,"")</f>
        <v/>
      </c>
    </row>
    <row r="931">
      <c r="A931" s="3" t="inlineStr">
        <is>
          <t>D0930</t>
        </is>
      </c>
      <c r="B931" s="3">
        <f>INDEX(Raw_Schedule!B:B,MATCH(A931,Raw_Schedule!A:A,0))</f>
        <v/>
      </c>
      <c r="C931" s="3">
        <f>INDEX(Raw_Schedule!C:C,MATCH(A931,Raw_Schedule!A:A,0))</f>
        <v/>
      </c>
      <c r="D931" s="3">
        <f>INDEX(Raw_Schedule!D:D,MATCH(A931,Raw_Schedule!A:A,0))</f>
        <v/>
      </c>
      <c r="E931" s="3">
        <f>INDEX(Raw_Schedule!E:E,MATCH(A931,Raw_Schedule!A:A,0))</f>
        <v/>
      </c>
      <c r="F931" s="3">
        <f>INDEX(Raw_Schedule!F:F,MATCH(A931,Raw_Schedule!A:A,0))</f>
        <v/>
      </c>
      <c r="G931" s="4">
        <f>INDEX(Raw_Schedule!G:G,MATCH(A931,Raw_Schedule!A:A,0))</f>
        <v/>
      </c>
      <c r="H931" s="5">
        <f>INDEX(Raw_Schedule!H:H,MATCH(A931,Raw_Schedule!A:A,0))</f>
        <v/>
      </c>
      <c r="I931" s="5">
        <f>SUMIFS(Raw_Payments!E:E,Raw_Payments!B:B,A931)</f>
        <v/>
      </c>
      <c r="J931" s="5">
        <f>H931-I931</f>
        <v/>
      </c>
      <c r="K931" s="3">
        <f>IF(J931&lt;=0.005,"PAID",IF(I931&gt;0,"PARTIAL","OVERDUE"))</f>
        <v/>
      </c>
      <c r="L931" s="4">
        <f>IF(COUNTIFS(Raw_Payments!B:B,A931)=0,"",SUMPRODUCT(MAX((Raw_Payments!B$2:B$1079=A931)*Raw_Payments!D$2:D$1079)))</f>
        <v/>
      </c>
      <c r="M931" s="3">
        <f>IF(K931="PAID",MAX(0,L931-G931),Guide!$B$3-G931)</f>
        <v/>
      </c>
      <c r="N931" s="3">
        <f>IF(J931&lt;=0.005,"COLLECTED",IF(M931&lt;=30,"1-30",IF(M931&lt;=60,"31-60",IF(M931&lt;=90,"61-90","90+"))))</f>
        <v/>
      </c>
      <c r="O931" s="3">
        <f>IF(N931="90+","LOST",IF(N931="61-90","ESCALATE",IF(N931="31-60","WATCH",IF(N931="1-30","MILD","OK"))))</f>
        <v/>
      </c>
      <c r="P931" s="3">
        <f>IF(J931&gt;0.005,ROW()-1,"")</f>
        <v/>
      </c>
    </row>
    <row r="932">
      <c r="A932" s="3" t="inlineStr">
        <is>
          <t>D0931</t>
        </is>
      </c>
      <c r="B932" s="3">
        <f>INDEX(Raw_Schedule!B:B,MATCH(A932,Raw_Schedule!A:A,0))</f>
        <v/>
      </c>
      <c r="C932" s="3">
        <f>INDEX(Raw_Schedule!C:C,MATCH(A932,Raw_Schedule!A:A,0))</f>
        <v/>
      </c>
      <c r="D932" s="3">
        <f>INDEX(Raw_Schedule!D:D,MATCH(A932,Raw_Schedule!A:A,0))</f>
        <v/>
      </c>
      <c r="E932" s="3">
        <f>INDEX(Raw_Schedule!E:E,MATCH(A932,Raw_Schedule!A:A,0))</f>
        <v/>
      </c>
      <c r="F932" s="3">
        <f>INDEX(Raw_Schedule!F:F,MATCH(A932,Raw_Schedule!A:A,0))</f>
        <v/>
      </c>
      <c r="G932" s="4">
        <f>INDEX(Raw_Schedule!G:G,MATCH(A932,Raw_Schedule!A:A,0))</f>
        <v/>
      </c>
      <c r="H932" s="5">
        <f>INDEX(Raw_Schedule!H:H,MATCH(A932,Raw_Schedule!A:A,0))</f>
        <v/>
      </c>
      <c r="I932" s="5">
        <f>SUMIFS(Raw_Payments!E:E,Raw_Payments!B:B,A932)</f>
        <v/>
      </c>
      <c r="J932" s="5">
        <f>H932-I932</f>
        <v/>
      </c>
      <c r="K932" s="3">
        <f>IF(J932&lt;=0.005,"PAID",IF(I932&gt;0,"PARTIAL","OVERDUE"))</f>
        <v/>
      </c>
      <c r="L932" s="4">
        <f>IF(COUNTIFS(Raw_Payments!B:B,A932)=0,"",SUMPRODUCT(MAX((Raw_Payments!B$2:B$1079=A932)*Raw_Payments!D$2:D$1079)))</f>
        <v/>
      </c>
      <c r="M932" s="3">
        <f>IF(K932="PAID",MAX(0,L932-G932),Guide!$B$3-G932)</f>
        <v/>
      </c>
      <c r="N932" s="3">
        <f>IF(J932&lt;=0.005,"COLLECTED",IF(M932&lt;=30,"1-30",IF(M932&lt;=60,"31-60",IF(M932&lt;=90,"61-90","90+"))))</f>
        <v/>
      </c>
      <c r="O932" s="3">
        <f>IF(N932="90+","LOST",IF(N932="61-90","ESCALATE",IF(N932="31-60","WATCH",IF(N932="1-30","MILD","OK"))))</f>
        <v/>
      </c>
      <c r="P932" s="3">
        <f>IF(J932&gt;0.005,ROW()-1,"")</f>
        <v/>
      </c>
    </row>
    <row r="933">
      <c r="A933" s="3" t="inlineStr">
        <is>
          <t>D0932</t>
        </is>
      </c>
      <c r="B933" s="3">
        <f>INDEX(Raw_Schedule!B:B,MATCH(A933,Raw_Schedule!A:A,0))</f>
        <v/>
      </c>
      <c r="C933" s="3">
        <f>INDEX(Raw_Schedule!C:C,MATCH(A933,Raw_Schedule!A:A,0))</f>
        <v/>
      </c>
      <c r="D933" s="3">
        <f>INDEX(Raw_Schedule!D:D,MATCH(A933,Raw_Schedule!A:A,0))</f>
        <v/>
      </c>
      <c r="E933" s="3">
        <f>INDEX(Raw_Schedule!E:E,MATCH(A933,Raw_Schedule!A:A,0))</f>
        <v/>
      </c>
      <c r="F933" s="3">
        <f>INDEX(Raw_Schedule!F:F,MATCH(A933,Raw_Schedule!A:A,0))</f>
        <v/>
      </c>
      <c r="G933" s="4">
        <f>INDEX(Raw_Schedule!G:G,MATCH(A933,Raw_Schedule!A:A,0))</f>
        <v/>
      </c>
      <c r="H933" s="5">
        <f>INDEX(Raw_Schedule!H:H,MATCH(A933,Raw_Schedule!A:A,0))</f>
        <v/>
      </c>
      <c r="I933" s="5">
        <f>SUMIFS(Raw_Payments!E:E,Raw_Payments!B:B,A933)</f>
        <v/>
      </c>
      <c r="J933" s="5">
        <f>H933-I933</f>
        <v/>
      </c>
      <c r="K933" s="3">
        <f>IF(J933&lt;=0.005,"PAID",IF(I933&gt;0,"PARTIAL","OVERDUE"))</f>
        <v/>
      </c>
      <c r="L933" s="4">
        <f>IF(COUNTIFS(Raw_Payments!B:B,A933)=0,"",SUMPRODUCT(MAX((Raw_Payments!B$2:B$1079=A933)*Raw_Payments!D$2:D$1079)))</f>
        <v/>
      </c>
      <c r="M933" s="3">
        <f>IF(K933="PAID",MAX(0,L933-G933),Guide!$B$3-G933)</f>
        <v/>
      </c>
      <c r="N933" s="3">
        <f>IF(J933&lt;=0.005,"COLLECTED",IF(M933&lt;=30,"1-30",IF(M933&lt;=60,"31-60",IF(M933&lt;=90,"61-90","90+"))))</f>
        <v/>
      </c>
      <c r="O933" s="3">
        <f>IF(N933="90+","LOST",IF(N933="61-90","ESCALATE",IF(N933="31-60","WATCH",IF(N933="1-30","MILD","OK"))))</f>
        <v/>
      </c>
      <c r="P933" s="3">
        <f>IF(J933&gt;0.005,ROW()-1,"")</f>
        <v/>
      </c>
    </row>
    <row r="934">
      <c r="A934" s="3" t="inlineStr">
        <is>
          <t>D0933</t>
        </is>
      </c>
      <c r="B934" s="3">
        <f>INDEX(Raw_Schedule!B:B,MATCH(A934,Raw_Schedule!A:A,0))</f>
        <v/>
      </c>
      <c r="C934" s="3">
        <f>INDEX(Raw_Schedule!C:C,MATCH(A934,Raw_Schedule!A:A,0))</f>
        <v/>
      </c>
      <c r="D934" s="3">
        <f>INDEX(Raw_Schedule!D:D,MATCH(A934,Raw_Schedule!A:A,0))</f>
        <v/>
      </c>
      <c r="E934" s="3">
        <f>INDEX(Raw_Schedule!E:E,MATCH(A934,Raw_Schedule!A:A,0))</f>
        <v/>
      </c>
      <c r="F934" s="3">
        <f>INDEX(Raw_Schedule!F:F,MATCH(A934,Raw_Schedule!A:A,0))</f>
        <v/>
      </c>
      <c r="G934" s="4">
        <f>INDEX(Raw_Schedule!G:G,MATCH(A934,Raw_Schedule!A:A,0))</f>
        <v/>
      </c>
      <c r="H934" s="5">
        <f>INDEX(Raw_Schedule!H:H,MATCH(A934,Raw_Schedule!A:A,0))</f>
        <v/>
      </c>
      <c r="I934" s="5">
        <f>SUMIFS(Raw_Payments!E:E,Raw_Payments!B:B,A934)</f>
        <v/>
      </c>
      <c r="J934" s="5">
        <f>H934-I934</f>
        <v/>
      </c>
      <c r="K934" s="3">
        <f>IF(J934&lt;=0.005,"PAID",IF(I934&gt;0,"PARTIAL","OVERDUE"))</f>
        <v/>
      </c>
      <c r="L934" s="4">
        <f>IF(COUNTIFS(Raw_Payments!B:B,A934)=0,"",SUMPRODUCT(MAX((Raw_Payments!B$2:B$1079=A934)*Raw_Payments!D$2:D$1079)))</f>
        <v/>
      </c>
      <c r="M934" s="3">
        <f>IF(K934="PAID",MAX(0,L934-G934),Guide!$B$3-G934)</f>
        <v/>
      </c>
      <c r="N934" s="3">
        <f>IF(J934&lt;=0.005,"COLLECTED",IF(M934&lt;=30,"1-30",IF(M934&lt;=60,"31-60",IF(M934&lt;=90,"61-90","90+"))))</f>
        <v/>
      </c>
      <c r="O934" s="3">
        <f>IF(N934="90+","LOST",IF(N934="61-90","ESCALATE",IF(N934="31-60","WATCH",IF(N934="1-30","MILD","OK"))))</f>
        <v/>
      </c>
      <c r="P934" s="3">
        <f>IF(J934&gt;0.005,ROW()-1,"")</f>
        <v/>
      </c>
    </row>
    <row r="935">
      <c r="A935" s="3" t="inlineStr">
        <is>
          <t>D0934</t>
        </is>
      </c>
      <c r="B935" s="3">
        <f>INDEX(Raw_Schedule!B:B,MATCH(A935,Raw_Schedule!A:A,0))</f>
        <v/>
      </c>
      <c r="C935" s="3">
        <f>INDEX(Raw_Schedule!C:C,MATCH(A935,Raw_Schedule!A:A,0))</f>
        <v/>
      </c>
      <c r="D935" s="3">
        <f>INDEX(Raw_Schedule!D:D,MATCH(A935,Raw_Schedule!A:A,0))</f>
        <v/>
      </c>
      <c r="E935" s="3">
        <f>INDEX(Raw_Schedule!E:E,MATCH(A935,Raw_Schedule!A:A,0))</f>
        <v/>
      </c>
      <c r="F935" s="3">
        <f>INDEX(Raw_Schedule!F:F,MATCH(A935,Raw_Schedule!A:A,0))</f>
        <v/>
      </c>
      <c r="G935" s="4">
        <f>INDEX(Raw_Schedule!G:G,MATCH(A935,Raw_Schedule!A:A,0))</f>
        <v/>
      </c>
      <c r="H935" s="5">
        <f>INDEX(Raw_Schedule!H:H,MATCH(A935,Raw_Schedule!A:A,0))</f>
        <v/>
      </c>
      <c r="I935" s="5">
        <f>SUMIFS(Raw_Payments!E:E,Raw_Payments!B:B,A935)</f>
        <v/>
      </c>
      <c r="J935" s="5">
        <f>H935-I935</f>
        <v/>
      </c>
      <c r="K935" s="3">
        <f>IF(J935&lt;=0.005,"PAID",IF(I935&gt;0,"PARTIAL","OVERDUE"))</f>
        <v/>
      </c>
      <c r="L935" s="4">
        <f>IF(COUNTIFS(Raw_Payments!B:B,A935)=0,"",SUMPRODUCT(MAX((Raw_Payments!B$2:B$1079=A935)*Raw_Payments!D$2:D$1079)))</f>
        <v/>
      </c>
      <c r="M935" s="3">
        <f>IF(K935="PAID",MAX(0,L935-G935),Guide!$B$3-G935)</f>
        <v/>
      </c>
      <c r="N935" s="3">
        <f>IF(J935&lt;=0.005,"COLLECTED",IF(M935&lt;=30,"1-30",IF(M935&lt;=60,"31-60",IF(M935&lt;=90,"61-90","90+"))))</f>
        <v/>
      </c>
      <c r="O935" s="3">
        <f>IF(N935="90+","LOST",IF(N935="61-90","ESCALATE",IF(N935="31-60","WATCH",IF(N935="1-30","MILD","OK"))))</f>
        <v/>
      </c>
      <c r="P935" s="3">
        <f>IF(J935&gt;0.005,ROW()-1,"")</f>
        <v/>
      </c>
    </row>
    <row r="936">
      <c r="A936" s="3" t="inlineStr">
        <is>
          <t>D0935</t>
        </is>
      </c>
      <c r="B936" s="3">
        <f>INDEX(Raw_Schedule!B:B,MATCH(A936,Raw_Schedule!A:A,0))</f>
        <v/>
      </c>
      <c r="C936" s="3">
        <f>INDEX(Raw_Schedule!C:C,MATCH(A936,Raw_Schedule!A:A,0))</f>
        <v/>
      </c>
      <c r="D936" s="3">
        <f>INDEX(Raw_Schedule!D:D,MATCH(A936,Raw_Schedule!A:A,0))</f>
        <v/>
      </c>
      <c r="E936" s="3">
        <f>INDEX(Raw_Schedule!E:E,MATCH(A936,Raw_Schedule!A:A,0))</f>
        <v/>
      </c>
      <c r="F936" s="3">
        <f>INDEX(Raw_Schedule!F:F,MATCH(A936,Raw_Schedule!A:A,0))</f>
        <v/>
      </c>
      <c r="G936" s="4">
        <f>INDEX(Raw_Schedule!G:G,MATCH(A936,Raw_Schedule!A:A,0))</f>
        <v/>
      </c>
      <c r="H936" s="5">
        <f>INDEX(Raw_Schedule!H:H,MATCH(A936,Raw_Schedule!A:A,0))</f>
        <v/>
      </c>
      <c r="I936" s="5">
        <f>SUMIFS(Raw_Payments!E:E,Raw_Payments!B:B,A936)</f>
        <v/>
      </c>
      <c r="J936" s="5">
        <f>H936-I936</f>
        <v/>
      </c>
      <c r="K936" s="3">
        <f>IF(J936&lt;=0.005,"PAID",IF(I936&gt;0,"PARTIAL","OVERDUE"))</f>
        <v/>
      </c>
      <c r="L936" s="4">
        <f>IF(COUNTIFS(Raw_Payments!B:B,A936)=0,"",SUMPRODUCT(MAX((Raw_Payments!B$2:B$1079=A936)*Raw_Payments!D$2:D$1079)))</f>
        <v/>
      </c>
      <c r="M936" s="3">
        <f>IF(K936="PAID",MAX(0,L936-G936),Guide!$B$3-G936)</f>
        <v/>
      </c>
      <c r="N936" s="3">
        <f>IF(J936&lt;=0.005,"COLLECTED",IF(M936&lt;=30,"1-30",IF(M936&lt;=60,"31-60",IF(M936&lt;=90,"61-90","90+"))))</f>
        <v/>
      </c>
      <c r="O936" s="3">
        <f>IF(N936="90+","LOST",IF(N936="61-90","ESCALATE",IF(N936="31-60","WATCH",IF(N936="1-30","MILD","OK"))))</f>
        <v/>
      </c>
      <c r="P936" s="3">
        <f>IF(J936&gt;0.005,ROW()-1,"")</f>
        <v/>
      </c>
    </row>
    <row r="937">
      <c r="A937" s="3" t="inlineStr">
        <is>
          <t>D0936</t>
        </is>
      </c>
      <c r="B937" s="3">
        <f>INDEX(Raw_Schedule!B:B,MATCH(A937,Raw_Schedule!A:A,0))</f>
        <v/>
      </c>
      <c r="C937" s="3">
        <f>INDEX(Raw_Schedule!C:C,MATCH(A937,Raw_Schedule!A:A,0))</f>
        <v/>
      </c>
      <c r="D937" s="3">
        <f>INDEX(Raw_Schedule!D:D,MATCH(A937,Raw_Schedule!A:A,0))</f>
        <v/>
      </c>
      <c r="E937" s="3">
        <f>INDEX(Raw_Schedule!E:E,MATCH(A937,Raw_Schedule!A:A,0))</f>
        <v/>
      </c>
      <c r="F937" s="3">
        <f>INDEX(Raw_Schedule!F:F,MATCH(A937,Raw_Schedule!A:A,0))</f>
        <v/>
      </c>
      <c r="G937" s="4">
        <f>INDEX(Raw_Schedule!G:G,MATCH(A937,Raw_Schedule!A:A,0))</f>
        <v/>
      </c>
      <c r="H937" s="5">
        <f>INDEX(Raw_Schedule!H:H,MATCH(A937,Raw_Schedule!A:A,0))</f>
        <v/>
      </c>
      <c r="I937" s="5">
        <f>SUMIFS(Raw_Payments!E:E,Raw_Payments!B:B,A937)</f>
        <v/>
      </c>
      <c r="J937" s="5">
        <f>H937-I937</f>
        <v/>
      </c>
      <c r="K937" s="3">
        <f>IF(J937&lt;=0.005,"PAID",IF(I937&gt;0,"PARTIAL","OVERDUE"))</f>
        <v/>
      </c>
      <c r="L937" s="4">
        <f>IF(COUNTIFS(Raw_Payments!B:B,A937)=0,"",SUMPRODUCT(MAX((Raw_Payments!B$2:B$1079=A937)*Raw_Payments!D$2:D$1079)))</f>
        <v/>
      </c>
      <c r="M937" s="3">
        <f>IF(K937="PAID",MAX(0,L937-G937),Guide!$B$3-G937)</f>
        <v/>
      </c>
      <c r="N937" s="3">
        <f>IF(J937&lt;=0.005,"COLLECTED",IF(M937&lt;=30,"1-30",IF(M937&lt;=60,"31-60",IF(M937&lt;=90,"61-90","90+"))))</f>
        <v/>
      </c>
      <c r="O937" s="3">
        <f>IF(N937="90+","LOST",IF(N937="61-90","ESCALATE",IF(N937="31-60","WATCH",IF(N937="1-30","MILD","OK"))))</f>
        <v/>
      </c>
      <c r="P937" s="3">
        <f>IF(J937&gt;0.005,ROW()-1,"")</f>
        <v/>
      </c>
    </row>
    <row r="938">
      <c r="A938" s="3" t="inlineStr">
        <is>
          <t>D0937</t>
        </is>
      </c>
      <c r="B938" s="3">
        <f>INDEX(Raw_Schedule!B:B,MATCH(A938,Raw_Schedule!A:A,0))</f>
        <v/>
      </c>
      <c r="C938" s="3">
        <f>INDEX(Raw_Schedule!C:C,MATCH(A938,Raw_Schedule!A:A,0))</f>
        <v/>
      </c>
      <c r="D938" s="3">
        <f>INDEX(Raw_Schedule!D:D,MATCH(A938,Raw_Schedule!A:A,0))</f>
        <v/>
      </c>
      <c r="E938" s="3">
        <f>INDEX(Raw_Schedule!E:E,MATCH(A938,Raw_Schedule!A:A,0))</f>
        <v/>
      </c>
      <c r="F938" s="3">
        <f>INDEX(Raw_Schedule!F:F,MATCH(A938,Raw_Schedule!A:A,0))</f>
        <v/>
      </c>
      <c r="G938" s="4">
        <f>INDEX(Raw_Schedule!G:G,MATCH(A938,Raw_Schedule!A:A,0))</f>
        <v/>
      </c>
      <c r="H938" s="5">
        <f>INDEX(Raw_Schedule!H:H,MATCH(A938,Raw_Schedule!A:A,0))</f>
        <v/>
      </c>
      <c r="I938" s="5">
        <f>SUMIFS(Raw_Payments!E:E,Raw_Payments!B:B,A938)</f>
        <v/>
      </c>
      <c r="J938" s="5">
        <f>H938-I938</f>
        <v/>
      </c>
      <c r="K938" s="3">
        <f>IF(J938&lt;=0.005,"PAID",IF(I938&gt;0,"PARTIAL","OVERDUE"))</f>
        <v/>
      </c>
      <c r="L938" s="4">
        <f>IF(COUNTIFS(Raw_Payments!B:B,A938)=0,"",SUMPRODUCT(MAX((Raw_Payments!B$2:B$1079=A938)*Raw_Payments!D$2:D$1079)))</f>
        <v/>
      </c>
      <c r="M938" s="3">
        <f>IF(K938="PAID",MAX(0,L938-G938),Guide!$B$3-G938)</f>
        <v/>
      </c>
      <c r="N938" s="3">
        <f>IF(J938&lt;=0.005,"COLLECTED",IF(M938&lt;=30,"1-30",IF(M938&lt;=60,"31-60",IF(M938&lt;=90,"61-90","90+"))))</f>
        <v/>
      </c>
      <c r="O938" s="3">
        <f>IF(N938="90+","LOST",IF(N938="61-90","ESCALATE",IF(N938="31-60","WATCH",IF(N938="1-30","MILD","OK"))))</f>
        <v/>
      </c>
      <c r="P938" s="3">
        <f>IF(J938&gt;0.005,ROW()-1,"")</f>
        <v/>
      </c>
    </row>
    <row r="939">
      <c r="A939" s="3" t="inlineStr">
        <is>
          <t>D0938</t>
        </is>
      </c>
      <c r="B939" s="3">
        <f>INDEX(Raw_Schedule!B:B,MATCH(A939,Raw_Schedule!A:A,0))</f>
        <v/>
      </c>
      <c r="C939" s="3">
        <f>INDEX(Raw_Schedule!C:C,MATCH(A939,Raw_Schedule!A:A,0))</f>
        <v/>
      </c>
      <c r="D939" s="3">
        <f>INDEX(Raw_Schedule!D:D,MATCH(A939,Raw_Schedule!A:A,0))</f>
        <v/>
      </c>
      <c r="E939" s="3">
        <f>INDEX(Raw_Schedule!E:E,MATCH(A939,Raw_Schedule!A:A,0))</f>
        <v/>
      </c>
      <c r="F939" s="3">
        <f>INDEX(Raw_Schedule!F:F,MATCH(A939,Raw_Schedule!A:A,0))</f>
        <v/>
      </c>
      <c r="G939" s="4">
        <f>INDEX(Raw_Schedule!G:G,MATCH(A939,Raw_Schedule!A:A,0))</f>
        <v/>
      </c>
      <c r="H939" s="5">
        <f>INDEX(Raw_Schedule!H:H,MATCH(A939,Raw_Schedule!A:A,0))</f>
        <v/>
      </c>
      <c r="I939" s="5">
        <f>SUMIFS(Raw_Payments!E:E,Raw_Payments!B:B,A939)</f>
        <v/>
      </c>
      <c r="J939" s="5">
        <f>H939-I939</f>
        <v/>
      </c>
      <c r="K939" s="3">
        <f>IF(J939&lt;=0.005,"PAID",IF(I939&gt;0,"PARTIAL","OVERDUE"))</f>
        <v/>
      </c>
      <c r="L939" s="4">
        <f>IF(COUNTIFS(Raw_Payments!B:B,A939)=0,"",SUMPRODUCT(MAX((Raw_Payments!B$2:B$1079=A939)*Raw_Payments!D$2:D$1079)))</f>
        <v/>
      </c>
      <c r="M939" s="3">
        <f>IF(K939="PAID",MAX(0,L939-G939),Guide!$B$3-G939)</f>
        <v/>
      </c>
      <c r="N939" s="3">
        <f>IF(J939&lt;=0.005,"COLLECTED",IF(M939&lt;=30,"1-30",IF(M939&lt;=60,"31-60",IF(M939&lt;=90,"61-90","90+"))))</f>
        <v/>
      </c>
      <c r="O939" s="3">
        <f>IF(N939="90+","LOST",IF(N939="61-90","ESCALATE",IF(N939="31-60","WATCH",IF(N939="1-30","MILD","OK"))))</f>
        <v/>
      </c>
      <c r="P939" s="3">
        <f>IF(J939&gt;0.005,ROW()-1,"")</f>
        <v/>
      </c>
    </row>
    <row r="940">
      <c r="A940" s="3" t="inlineStr">
        <is>
          <t>D0939</t>
        </is>
      </c>
      <c r="B940" s="3">
        <f>INDEX(Raw_Schedule!B:B,MATCH(A940,Raw_Schedule!A:A,0))</f>
        <v/>
      </c>
      <c r="C940" s="3">
        <f>INDEX(Raw_Schedule!C:C,MATCH(A940,Raw_Schedule!A:A,0))</f>
        <v/>
      </c>
      <c r="D940" s="3">
        <f>INDEX(Raw_Schedule!D:D,MATCH(A940,Raw_Schedule!A:A,0))</f>
        <v/>
      </c>
      <c r="E940" s="3">
        <f>INDEX(Raw_Schedule!E:E,MATCH(A940,Raw_Schedule!A:A,0))</f>
        <v/>
      </c>
      <c r="F940" s="3">
        <f>INDEX(Raw_Schedule!F:F,MATCH(A940,Raw_Schedule!A:A,0))</f>
        <v/>
      </c>
      <c r="G940" s="4">
        <f>INDEX(Raw_Schedule!G:G,MATCH(A940,Raw_Schedule!A:A,0))</f>
        <v/>
      </c>
      <c r="H940" s="5">
        <f>INDEX(Raw_Schedule!H:H,MATCH(A940,Raw_Schedule!A:A,0))</f>
        <v/>
      </c>
      <c r="I940" s="5">
        <f>SUMIFS(Raw_Payments!E:E,Raw_Payments!B:B,A940)</f>
        <v/>
      </c>
      <c r="J940" s="5">
        <f>H940-I940</f>
        <v/>
      </c>
      <c r="K940" s="3">
        <f>IF(J940&lt;=0.005,"PAID",IF(I940&gt;0,"PARTIAL","OVERDUE"))</f>
        <v/>
      </c>
      <c r="L940" s="4">
        <f>IF(COUNTIFS(Raw_Payments!B:B,A940)=0,"",SUMPRODUCT(MAX((Raw_Payments!B$2:B$1079=A940)*Raw_Payments!D$2:D$1079)))</f>
        <v/>
      </c>
      <c r="M940" s="3">
        <f>IF(K940="PAID",MAX(0,L940-G940),Guide!$B$3-G940)</f>
        <v/>
      </c>
      <c r="N940" s="3">
        <f>IF(J940&lt;=0.005,"COLLECTED",IF(M940&lt;=30,"1-30",IF(M940&lt;=60,"31-60",IF(M940&lt;=90,"61-90","90+"))))</f>
        <v/>
      </c>
      <c r="O940" s="3">
        <f>IF(N940="90+","LOST",IF(N940="61-90","ESCALATE",IF(N940="31-60","WATCH",IF(N940="1-30","MILD","OK"))))</f>
        <v/>
      </c>
      <c r="P940" s="3">
        <f>IF(J940&gt;0.005,ROW()-1,"")</f>
        <v/>
      </c>
    </row>
    <row r="941">
      <c r="A941" s="3" t="inlineStr">
        <is>
          <t>D0940</t>
        </is>
      </c>
      <c r="B941" s="3">
        <f>INDEX(Raw_Schedule!B:B,MATCH(A941,Raw_Schedule!A:A,0))</f>
        <v/>
      </c>
      <c r="C941" s="3">
        <f>INDEX(Raw_Schedule!C:C,MATCH(A941,Raw_Schedule!A:A,0))</f>
        <v/>
      </c>
      <c r="D941" s="3">
        <f>INDEX(Raw_Schedule!D:D,MATCH(A941,Raw_Schedule!A:A,0))</f>
        <v/>
      </c>
      <c r="E941" s="3">
        <f>INDEX(Raw_Schedule!E:E,MATCH(A941,Raw_Schedule!A:A,0))</f>
        <v/>
      </c>
      <c r="F941" s="3">
        <f>INDEX(Raw_Schedule!F:F,MATCH(A941,Raw_Schedule!A:A,0))</f>
        <v/>
      </c>
      <c r="G941" s="4">
        <f>INDEX(Raw_Schedule!G:G,MATCH(A941,Raw_Schedule!A:A,0))</f>
        <v/>
      </c>
      <c r="H941" s="5">
        <f>INDEX(Raw_Schedule!H:H,MATCH(A941,Raw_Schedule!A:A,0))</f>
        <v/>
      </c>
      <c r="I941" s="5">
        <f>SUMIFS(Raw_Payments!E:E,Raw_Payments!B:B,A941)</f>
        <v/>
      </c>
      <c r="J941" s="5">
        <f>H941-I941</f>
        <v/>
      </c>
      <c r="K941" s="3">
        <f>IF(J941&lt;=0.005,"PAID",IF(I941&gt;0,"PARTIAL","OVERDUE"))</f>
        <v/>
      </c>
      <c r="L941" s="4">
        <f>IF(COUNTIFS(Raw_Payments!B:B,A941)=0,"",SUMPRODUCT(MAX((Raw_Payments!B$2:B$1079=A941)*Raw_Payments!D$2:D$1079)))</f>
        <v/>
      </c>
      <c r="M941" s="3">
        <f>IF(K941="PAID",MAX(0,L941-G941),Guide!$B$3-G941)</f>
        <v/>
      </c>
      <c r="N941" s="3">
        <f>IF(J941&lt;=0.005,"COLLECTED",IF(M941&lt;=30,"1-30",IF(M941&lt;=60,"31-60",IF(M941&lt;=90,"61-90","90+"))))</f>
        <v/>
      </c>
      <c r="O941" s="3">
        <f>IF(N941="90+","LOST",IF(N941="61-90","ESCALATE",IF(N941="31-60","WATCH",IF(N941="1-30","MILD","OK"))))</f>
        <v/>
      </c>
      <c r="P941" s="3">
        <f>IF(J941&gt;0.005,ROW()-1,"")</f>
        <v/>
      </c>
    </row>
    <row r="942">
      <c r="A942" s="3" t="inlineStr">
        <is>
          <t>D0941</t>
        </is>
      </c>
      <c r="B942" s="3">
        <f>INDEX(Raw_Schedule!B:B,MATCH(A942,Raw_Schedule!A:A,0))</f>
        <v/>
      </c>
      <c r="C942" s="3">
        <f>INDEX(Raw_Schedule!C:C,MATCH(A942,Raw_Schedule!A:A,0))</f>
        <v/>
      </c>
      <c r="D942" s="3">
        <f>INDEX(Raw_Schedule!D:D,MATCH(A942,Raw_Schedule!A:A,0))</f>
        <v/>
      </c>
      <c r="E942" s="3">
        <f>INDEX(Raw_Schedule!E:E,MATCH(A942,Raw_Schedule!A:A,0))</f>
        <v/>
      </c>
      <c r="F942" s="3">
        <f>INDEX(Raw_Schedule!F:F,MATCH(A942,Raw_Schedule!A:A,0))</f>
        <v/>
      </c>
      <c r="G942" s="4">
        <f>INDEX(Raw_Schedule!G:G,MATCH(A942,Raw_Schedule!A:A,0))</f>
        <v/>
      </c>
      <c r="H942" s="5">
        <f>INDEX(Raw_Schedule!H:H,MATCH(A942,Raw_Schedule!A:A,0))</f>
        <v/>
      </c>
      <c r="I942" s="5">
        <f>SUMIFS(Raw_Payments!E:E,Raw_Payments!B:B,A942)</f>
        <v/>
      </c>
      <c r="J942" s="5">
        <f>H942-I942</f>
        <v/>
      </c>
      <c r="K942" s="3">
        <f>IF(J942&lt;=0.005,"PAID",IF(I942&gt;0,"PARTIAL","OVERDUE"))</f>
        <v/>
      </c>
      <c r="L942" s="4">
        <f>IF(COUNTIFS(Raw_Payments!B:B,A942)=0,"",SUMPRODUCT(MAX((Raw_Payments!B$2:B$1079=A942)*Raw_Payments!D$2:D$1079)))</f>
        <v/>
      </c>
      <c r="M942" s="3">
        <f>IF(K942="PAID",MAX(0,L942-G942),Guide!$B$3-G942)</f>
        <v/>
      </c>
      <c r="N942" s="3">
        <f>IF(J942&lt;=0.005,"COLLECTED",IF(M942&lt;=30,"1-30",IF(M942&lt;=60,"31-60",IF(M942&lt;=90,"61-90","90+"))))</f>
        <v/>
      </c>
      <c r="O942" s="3">
        <f>IF(N942="90+","LOST",IF(N942="61-90","ESCALATE",IF(N942="31-60","WATCH",IF(N942="1-30","MILD","OK"))))</f>
        <v/>
      </c>
      <c r="P942" s="3">
        <f>IF(J942&gt;0.005,ROW()-1,"")</f>
        <v/>
      </c>
    </row>
    <row r="943">
      <c r="A943" s="3" t="inlineStr">
        <is>
          <t>D0942</t>
        </is>
      </c>
      <c r="B943" s="3">
        <f>INDEX(Raw_Schedule!B:B,MATCH(A943,Raw_Schedule!A:A,0))</f>
        <v/>
      </c>
      <c r="C943" s="3">
        <f>INDEX(Raw_Schedule!C:C,MATCH(A943,Raw_Schedule!A:A,0))</f>
        <v/>
      </c>
      <c r="D943" s="3">
        <f>INDEX(Raw_Schedule!D:D,MATCH(A943,Raw_Schedule!A:A,0))</f>
        <v/>
      </c>
      <c r="E943" s="3">
        <f>INDEX(Raw_Schedule!E:E,MATCH(A943,Raw_Schedule!A:A,0))</f>
        <v/>
      </c>
      <c r="F943" s="3">
        <f>INDEX(Raw_Schedule!F:F,MATCH(A943,Raw_Schedule!A:A,0))</f>
        <v/>
      </c>
      <c r="G943" s="4">
        <f>INDEX(Raw_Schedule!G:G,MATCH(A943,Raw_Schedule!A:A,0))</f>
        <v/>
      </c>
      <c r="H943" s="5">
        <f>INDEX(Raw_Schedule!H:H,MATCH(A943,Raw_Schedule!A:A,0))</f>
        <v/>
      </c>
      <c r="I943" s="5">
        <f>SUMIFS(Raw_Payments!E:E,Raw_Payments!B:B,A943)</f>
        <v/>
      </c>
      <c r="J943" s="5">
        <f>H943-I943</f>
        <v/>
      </c>
      <c r="K943" s="3">
        <f>IF(J943&lt;=0.005,"PAID",IF(I943&gt;0,"PARTIAL","OVERDUE"))</f>
        <v/>
      </c>
      <c r="L943" s="4">
        <f>IF(COUNTIFS(Raw_Payments!B:B,A943)=0,"",SUMPRODUCT(MAX((Raw_Payments!B$2:B$1079=A943)*Raw_Payments!D$2:D$1079)))</f>
        <v/>
      </c>
      <c r="M943" s="3">
        <f>IF(K943="PAID",MAX(0,L943-G943),Guide!$B$3-G943)</f>
        <v/>
      </c>
      <c r="N943" s="3">
        <f>IF(J943&lt;=0.005,"COLLECTED",IF(M943&lt;=30,"1-30",IF(M943&lt;=60,"31-60",IF(M943&lt;=90,"61-90","90+"))))</f>
        <v/>
      </c>
      <c r="O943" s="3">
        <f>IF(N943="90+","LOST",IF(N943="61-90","ESCALATE",IF(N943="31-60","WATCH",IF(N943="1-30","MILD","OK"))))</f>
        <v/>
      </c>
      <c r="P943" s="3">
        <f>IF(J943&gt;0.005,ROW()-1,"")</f>
        <v/>
      </c>
    </row>
    <row r="944">
      <c r="A944" s="3" t="inlineStr">
        <is>
          <t>D0943</t>
        </is>
      </c>
      <c r="B944" s="3">
        <f>INDEX(Raw_Schedule!B:B,MATCH(A944,Raw_Schedule!A:A,0))</f>
        <v/>
      </c>
      <c r="C944" s="3">
        <f>INDEX(Raw_Schedule!C:C,MATCH(A944,Raw_Schedule!A:A,0))</f>
        <v/>
      </c>
      <c r="D944" s="3">
        <f>INDEX(Raw_Schedule!D:D,MATCH(A944,Raw_Schedule!A:A,0))</f>
        <v/>
      </c>
      <c r="E944" s="3">
        <f>INDEX(Raw_Schedule!E:E,MATCH(A944,Raw_Schedule!A:A,0))</f>
        <v/>
      </c>
      <c r="F944" s="3">
        <f>INDEX(Raw_Schedule!F:F,MATCH(A944,Raw_Schedule!A:A,0))</f>
        <v/>
      </c>
      <c r="G944" s="4">
        <f>INDEX(Raw_Schedule!G:G,MATCH(A944,Raw_Schedule!A:A,0))</f>
        <v/>
      </c>
      <c r="H944" s="5">
        <f>INDEX(Raw_Schedule!H:H,MATCH(A944,Raw_Schedule!A:A,0))</f>
        <v/>
      </c>
      <c r="I944" s="5">
        <f>SUMIFS(Raw_Payments!E:E,Raw_Payments!B:B,A944)</f>
        <v/>
      </c>
      <c r="J944" s="5">
        <f>H944-I944</f>
        <v/>
      </c>
      <c r="K944" s="3">
        <f>IF(J944&lt;=0.005,"PAID",IF(I944&gt;0,"PARTIAL","OVERDUE"))</f>
        <v/>
      </c>
      <c r="L944" s="4">
        <f>IF(COUNTIFS(Raw_Payments!B:B,A944)=0,"",SUMPRODUCT(MAX((Raw_Payments!B$2:B$1079=A944)*Raw_Payments!D$2:D$1079)))</f>
        <v/>
      </c>
      <c r="M944" s="3">
        <f>IF(K944="PAID",MAX(0,L944-G944),Guide!$B$3-G944)</f>
        <v/>
      </c>
      <c r="N944" s="3">
        <f>IF(J944&lt;=0.005,"COLLECTED",IF(M944&lt;=30,"1-30",IF(M944&lt;=60,"31-60",IF(M944&lt;=90,"61-90","90+"))))</f>
        <v/>
      </c>
      <c r="O944" s="3">
        <f>IF(N944="90+","LOST",IF(N944="61-90","ESCALATE",IF(N944="31-60","WATCH",IF(N944="1-30","MILD","OK"))))</f>
        <v/>
      </c>
      <c r="P944" s="3">
        <f>IF(J944&gt;0.005,ROW()-1,"")</f>
        <v/>
      </c>
    </row>
    <row r="945">
      <c r="A945" s="3" t="inlineStr">
        <is>
          <t>D0944</t>
        </is>
      </c>
      <c r="B945" s="3">
        <f>INDEX(Raw_Schedule!B:B,MATCH(A945,Raw_Schedule!A:A,0))</f>
        <v/>
      </c>
      <c r="C945" s="3">
        <f>INDEX(Raw_Schedule!C:C,MATCH(A945,Raw_Schedule!A:A,0))</f>
        <v/>
      </c>
      <c r="D945" s="3">
        <f>INDEX(Raw_Schedule!D:D,MATCH(A945,Raw_Schedule!A:A,0))</f>
        <v/>
      </c>
      <c r="E945" s="3">
        <f>INDEX(Raw_Schedule!E:E,MATCH(A945,Raw_Schedule!A:A,0))</f>
        <v/>
      </c>
      <c r="F945" s="3">
        <f>INDEX(Raw_Schedule!F:F,MATCH(A945,Raw_Schedule!A:A,0))</f>
        <v/>
      </c>
      <c r="G945" s="4">
        <f>INDEX(Raw_Schedule!G:G,MATCH(A945,Raw_Schedule!A:A,0))</f>
        <v/>
      </c>
      <c r="H945" s="5">
        <f>INDEX(Raw_Schedule!H:H,MATCH(A945,Raw_Schedule!A:A,0))</f>
        <v/>
      </c>
      <c r="I945" s="5">
        <f>SUMIFS(Raw_Payments!E:E,Raw_Payments!B:B,A945)</f>
        <v/>
      </c>
      <c r="J945" s="5">
        <f>H945-I945</f>
        <v/>
      </c>
      <c r="K945" s="3">
        <f>IF(J945&lt;=0.005,"PAID",IF(I945&gt;0,"PARTIAL","OVERDUE"))</f>
        <v/>
      </c>
      <c r="L945" s="4">
        <f>IF(COUNTIFS(Raw_Payments!B:B,A945)=0,"",SUMPRODUCT(MAX((Raw_Payments!B$2:B$1079=A945)*Raw_Payments!D$2:D$1079)))</f>
        <v/>
      </c>
      <c r="M945" s="3">
        <f>IF(K945="PAID",MAX(0,L945-G945),Guide!$B$3-G945)</f>
        <v/>
      </c>
      <c r="N945" s="3">
        <f>IF(J945&lt;=0.005,"COLLECTED",IF(M945&lt;=30,"1-30",IF(M945&lt;=60,"31-60",IF(M945&lt;=90,"61-90","90+"))))</f>
        <v/>
      </c>
      <c r="O945" s="3">
        <f>IF(N945="90+","LOST",IF(N945="61-90","ESCALATE",IF(N945="31-60","WATCH",IF(N945="1-30","MILD","OK"))))</f>
        <v/>
      </c>
      <c r="P945" s="3">
        <f>IF(J945&gt;0.005,ROW()-1,"")</f>
        <v/>
      </c>
    </row>
    <row r="946">
      <c r="A946" s="3" t="inlineStr">
        <is>
          <t>D0945</t>
        </is>
      </c>
      <c r="B946" s="3">
        <f>INDEX(Raw_Schedule!B:B,MATCH(A946,Raw_Schedule!A:A,0))</f>
        <v/>
      </c>
      <c r="C946" s="3">
        <f>INDEX(Raw_Schedule!C:C,MATCH(A946,Raw_Schedule!A:A,0))</f>
        <v/>
      </c>
      <c r="D946" s="3">
        <f>INDEX(Raw_Schedule!D:D,MATCH(A946,Raw_Schedule!A:A,0))</f>
        <v/>
      </c>
      <c r="E946" s="3">
        <f>INDEX(Raw_Schedule!E:E,MATCH(A946,Raw_Schedule!A:A,0))</f>
        <v/>
      </c>
      <c r="F946" s="3">
        <f>INDEX(Raw_Schedule!F:F,MATCH(A946,Raw_Schedule!A:A,0))</f>
        <v/>
      </c>
      <c r="G946" s="4">
        <f>INDEX(Raw_Schedule!G:G,MATCH(A946,Raw_Schedule!A:A,0))</f>
        <v/>
      </c>
      <c r="H946" s="5">
        <f>INDEX(Raw_Schedule!H:H,MATCH(A946,Raw_Schedule!A:A,0))</f>
        <v/>
      </c>
      <c r="I946" s="5">
        <f>SUMIFS(Raw_Payments!E:E,Raw_Payments!B:B,A946)</f>
        <v/>
      </c>
      <c r="J946" s="5">
        <f>H946-I946</f>
        <v/>
      </c>
      <c r="K946" s="3">
        <f>IF(J946&lt;=0.005,"PAID",IF(I946&gt;0,"PARTIAL","OVERDUE"))</f>
        <v/>
      </c>
      <c r="L946" s="4">
        <f>IF(COUNTIFS(Raw_Payments!B:B,A946)=0,"",SUMPRODUCT(MAX((Raw_Payments!B$2:B$1079=A946)*Raw_Payments!D$2:D$1079)))</f>
        <v/>
      </c>
      <c r="M946" s="3">
        <f>IF(K946="PAID",MAX(0,L946-G946),Guide!$B$3-G946)</f>
        <v/>
      </c>
      <c r="N946" s="3">
        <f>IF(J946&lt;=0.005,"COLLECTED",IF(M946&lt;=30,"1-30",IF(M946&lt;=60,"31-60",IF(M946&lt;=90,"61-90","90+"))))</f>
        <v/>
      </c>
      <c r="O946" s="3">
        <f>IF(N946="90+","LOST",IF(N946="61-90","ESCALATE",IF(N946="31-60","WATCH",IF(N946="1-30","MILD","OK"))))</f>
        <v/>
      </c>
      <c r="P946" s="3">
        <f>IF(J946&gt;0.005,ROW()-1,"")</f>
        <v/>
      </c>
    </row>
    <row r="947">
      <c r="A947" s="3" t="inlineStr">
        <is>
          <t>D0946</t>
        </is>
      </c>
      <c r="B947" s="3">
        <f>INDEX(Raw_Schedule!B:B,MATCH(A947,Raw_Schedule!A:A,0))</f>
        <v/>
      </c>
      <c r="C947" s="3">
        <f>INDEX(Raw_Schedule!C:C,MATCH(A947,Raw_Schedule!A:A,0))</f>
        <v/>
      </c>
      <c r="D947" s="3">
        <f>INDEX(Raw_Schedule!D:D,MATCH(A947,Raw_Schedule!A:A,0))</f>
        <v/>
      </c>
      <c r="E947" s="3">
        <f>INDEX(Raw_Schedule!E:E,MATCH(A947,Raw_Schedule!A:A,0))</f>
        <v/>
      </c>
      <c r="F947" s="3">
        <f>INDEX(Raw_Schedule!F:F,MATCH(A947,Raw_Schedule!A:A,0))</f>
        <v/>
      </c>
      <c r="G947" s="4">
        <f>INDEX(Raw_Schedule!G:G,MATCH(A947,Raw_Schedule!A:A,0))</f>
        <v/>
      </c>
      <c r="H947" s="5">
        <f>INDEX(Raw_Schedule!H:H,MATCH(A947,Raw_Schedule!A:A,0))</f>
        <v/>
      </c>
      <c r="I947" s="5">
        <f>SUMIFS(Raw_Payments!E:E,Raw_Payments!B:B,A947)</f>
        <v/>
      </c>
      <c r="J947" s="5">
        <f>H947-I947</f>
        <v/>
      </c>
      <c r="K947" s="3">
        <f>IF(J947&lt;=0.005,"PAID",IF(I947&gt;0,"PARTIAL","OVERDUE"))</f>
        <v/>
      </c>
      <c r="L947" s="4">
        <f>IF(COUNTIFS(Raw_Payments!B:B,A947)=0,"",SUMPRODUCT(MAX((Raw_Payments!B$2:B$1079=A947)*Raw_Payments!D$2:D$1079)))</f>
        <v/>
      </c>
      <c r="M947" s="3">
        <f>IF(K947="PAID",MAX(0,L947-G947),Guide!$B$3-G947)</f>
        <v/>
      </c>
      <c r="N947" s="3">
        <f>IF(J947&lt;=0.005,"COLLECTED",IF(M947&lt;=30,"1-30",IF(M947&lt;=60,"31-60",IF(M947&lt;=90,"61-90","90+"))))</f>
        <v/>
      </c>
      <c r="O947" s="3">
        <f>IF(N947="90+","LOST",IF(N947="61-90","ESCALATE",IF(N947="31-60","WATCH",IF(N947="1-30","MILD","OK"))))</f>
        <v/>
      </c>
      <c r="P947" s="3">
        <f>IF(J947&gt;0.005,ROW()-1,"")</f>
        <v/>
      </c>
    </row>
    <row r="948">
      <c r="A948" s="3" t="inlineStr">
        <is>
          <t>D0947</t>
        </is>
      </c>
      <c r="B948" s="3">
        <f>INDEX(Raw_Schedule!B:B,MATCH(A948,Raw_Schedule!A:A,0))</f>
        <v/>
      </c>
      <c r="C948" s="3">
        <f>INDEX(Raw_Schedule!C:C,MATCH(A948,Raw_Schedule!A:A,0))</f>
        <v/>
      </c>
      <c r="D948" s="3">
        <f>INDEX(Raw_Schedule!D:D,MATCH(A948,Raw_Schedule!A:A,0))</f>
        <v/>
      </c>
      <c r="E948" s="3">
        <f>INDEX(Raw_Schedule!E:E,MATCH(A948,Raw_Schedule!A:A,0))</f>
        <v/>
      </c>
      <c r="F948" s="3">
        <f>INDEX(Raw_Schedule!F:F,MATCH(A948,Raw_Schedule!A:A,0))</f>
        <v/>
      </c>
      <c r="G948" s="4">
        <f>INDEX(Raw_Schedule!G:G,MATCH(A948,Raw_Schedule!A:A,0))</f>
        <v/>
      </c>
      <c r="H948" s="5">
        <f>INDEX(Raw_Schedule!H:H,MATCH(A948,Raw_Schedule!A:A,0))</f>
        <v/>
      </c>
      <c r="I948" s="5">
        <f>SUMIFS(Raw_Payments!E:E,Raw_Payments!B:B,A948)</f>
        <v/>
      </c>
      <c r="J948" s="5">
        <f>H948-I948</f>
        <v/>
      </c>
      <c r="K948" s="3">
        <f>IF(J948&lt;=0.005,"PAID",IF(I948&gt;0,"PARTIAL","OVERDUE"))</f>
        <v/>
      </c>
      <c r="L948" s="4">
        <f>IF(COUNTIFS(Raw_Payments!B:B,A948)=0,"",SUMPRODUCT(MAX((Raw_Payments!B$2:B$1079=A948)*Raw_Payments!D$2:D$1079)))</f>
        <v/>
      </c>
      <c r="M948" s="3">
        <f>IF(K948="PAID",MAX(0,L948-G948),Guide!$B$3-G948)</f>
        <v/>
      </c>
      <c r="N948" s="3">
        <f>IF(J948&lt;=0.005,"COLLECTED",IF(M948&lt;=30,"1-30",IF(M948&lt;=60,"31-60",IF(M948&lt;=90,"61-90","90+"))))</f>
        <v/>
      </c>
      <c r="O948" s="3">
        <f>IF(N948="90+","LOST",IF(N948="61-90","ESCALATE",IF(N948="31-60","WATCH",IF(N948="1-30","MILD","OK"))))</f>
        <v/>
      </c>
      <c r="P948" s="3">
        <f>IF(J948&gt;0.005,ROW()-1,"")</f>
        <v/>
      </c>
    </row>
    <row r="949">
      <c r="A949" s="3" t="inlineStr">
        <is>
          <t>D0948</t>
        </is>
      </c>
      <c r="B949" s="3">
        <f>INDEX(Raw_Schedule!B:B,MATCH(A949,Raw_Schedule!A:A,0))</f>
        <v/>
      </c>
      <c r="C949" s="3">
        <f>INDEX(Raw_Schedule!C:C,MATCH(A949,Raw_Schedule!A:A,0))</f>
        <v/>
      </c>
      <c r="D949" s="3">
        <f>INDEX(Raw_Schedule!D:D,MATCH(A949,Raw_Schedule!A:A,0))</f>
        <v/>
      </c>
      <c r="E949" s="3">
        <f>INDEX(Raw_Schedule!E:E,MATCH(A949,Raw_Schedule!A:A,0))</f>
        <v/>
      </c>
      <c r="F949" s="3">
        <f>INDEX(Raw_Schedule!F:F,MATCH(A949,Raw_Schedule!A:A,0))</f>
        <v/>
      </c>
      <c r="G949" s="4">
        <f>INDEX(Raw_Schedule!G:G,MATCH(A949,Raw_Schedule!A:A,0))</f>
        <v/>
      </c>
      <c r="H949" s="5">
        <f>INDEX(Raw_Schedule!H:H,MATCH(A949,Raw_Schedule!A:A,0))</f>
        <v/>
      </c>
      <c r="I949" s="5">
        <f>SUMIFS(Raw_Payments!E:E,Raw_Payments!B:B,A949)</f>
        <v/>
      </c>
      <c r="J949" s="5">
        <f>H949-I949</f>
        <v/>
      </c>
      <c r="K949" s="3">
        <f>IF(J949&lt;=0.005,"PAID",IF(I949&gt;0,"PARTIAL","OVERDUE"))</f>
        <v/>
      </c>
      <c r="L949" s="4">
        <f>IF(COUNTIFS(Raw_Payments!B:B,A949)=0,"",SUMPRODUCT(MAX((Raw_Payments!B$2:B$1079=A949)*Raw_Payments!D$2:D$1079)))</f>
        <v/>
      </c>
      <c r="M949" s="3">
        <f>IF(K949="PAID",MAX(0,L949-G949),Guide!$B$3-G949)</f>
        <v/>
      </c>
      <c r="N949" s="3">
        <f>IF(J949&lt;=0.005,"COLLECTED",IF(M949&lt;=30,"1-30",IF(M949&lt;=60,"31-60",IF(M949&lt;=90,"61-90","90+"))))</f>
        <v/>
      </c>
      <c r="O949" s="3">
        <f>IF(N949="90+","LOST",IF(N949="61-90","ESCALATE",IF(N949="31-60","WATCH",IF(N949="1-30","MILD","OK"))))</f>
        <v/>
      </c>
      <c r="P949" s="3">
        <f>IF(J949&gt;0.005,ROW()-1,"")</f>
        <v/>
      </c>
    </row>
    <row r="950">
      <c r="A950" s="3" t="inlineStr">
        <is>
          <t>D0949</t>
        </is>
      </c>
      <c r="B950" s="3">
        <f>INDEX(Raw_Schedule!B:B,MATCH(A950,Raw_Schedule!A:A,0))</f>
        <v/>
      </c>
      <c r="C950" s="3">
        <f>INDEX(Raw_Schedule!C:C,MATCH(A950,Raw_Schedule!A:A,0))</f>
        <v/>
      </c>
      <c r="D950" s="3">
        <f>INDEX(Raw_Schedule!D:D,MATCH(A950,Raw_Schedule!A:A,0))</f>
        <v/>
      </c>
      <c r="E950" s="3">
        <f>INDEX(Raw_Schedule!E:E,MATCH(A950,Raw_Schedule!A:A,0))</f>
        <v/>
      </c>
      <c r="F950" s="3">
        <f>INDEX(Raw_Schedule!F:F,MATCH(A950,Raw_Schedule!A:A,0))</f>
        <v/>
      </c>
      <c r="G950" s="4">
        <f>INDEX(Raw_Schedule!G:G,MATCH(A950,Raw_Schedule!A:A,0))</f>
        <v/>
      </c>
      <c r="H950" s="5">
        <f>INDEX(Raw_Schedule!H:H,MATCH(A950,Raw_Schedule!A:A,0))</f>
        <v/>
      </c>
      <c r="I950" s="5">
        <f>SUMIFS(Raw_Payments!E:E,Raw_Payments!B:B,A950)</f>
        <v/>
      </c>
      <c r="J950" s="5">
        <f>H950-I950</f>
        <v/>
      </c>
      <c r="K950" s="3">
        <f>IF(J950&lt;=0.005,"PAID",IF(I950&gt;0,"PARTIAL","OVERDUE"))</f>
        <v/>
      </c>
      <c r="L950" s="4">
        <f>IF(COUNTIFS(Raw_Payments!B:B,A950)=0,"",SUMPRODUCT(MAX((Raw_Payments!B$2:B$1079=A950)*Raw_Payments!D$2:D$1079)))</f>
        <v/>
      </c>
      <c r="M950" s="3">
        <f>IF(K950="PAID",MAX(0,L950-G950),Guide!$B$3-G950)</f>
        <v/>
      </c>
      <c r="N950" s="3">
        <f>IF(J950&lt;=0.005,"COLLECTED",IF(M950&lt;=30,"1-30",IF(M950&lt;=60,"31-60",IF(M950&lt;=90,"61-90","90+"))))</f>
        <v/>
      </c>
      <c r="O950" s="3">
        <f>IF(N950="90+","LOST",IF(N950="61-90","ESCALATE",IF(N950="31-60","WATCH",IF(N950="1-30","MILD","OK"))))</f>
        <v/>
      </c>
      <c r="P950" s="3">
        <f>IF(J950&gt;0.005,ROW()-1,"")</f>
        <v/>
      </c>
    </row>
    <row r="951">
      <c r="A951" s="3" t="inlineStr">
        <is>
          <t>D0950</t>
        </is>
      </c>
      <c r="B951" s="3">
        <f>INDEX(Raw_Schedule!B:B,MATCH(A951,Raw_Schedule!A:A,0))</f>
        <v/>
      </c>
      <c r="C951" s="3">
        <f>INDEX(Raw_Schedule!C:C,MATCH(A951,Raw_Schedule!A:A,0))</f>
        <v/>
      </c>
      <c r="D951" s="3">
        <f>INDEX(Raw_Schedule!D:D,MATCH(A951,Raw_Schedule!A:A,0))</f>
        <v/>
      </c>
      <c r="E951" s="3">
        <f>INDEX(Raw_Schedule!E:E,MATCH(A951,Raw_Schedule!A:A,0))</f>
        <v/>
      </c>
      <c r="F951" s="3">
        <f>INDEX(Raw_Schedule!F:F,MATCH(A951,Raw_Schedule!A:A,0))</f>
        <v/>
      </c>
      <c r="G951" s="4">
        <f>INDEX(Raw_Schedule!G:G,MATCH(A951,Raw_Schedule!A:A,0))</f>
        <v/>
      </c>
      <c r="H951" s="5">
        <f>INDEX(Raw_Schedule!H:H,MATCH(A951,Raw_Schedule!A:A,0))</f>
        <v/>
      </c>
      <c r="I951" s="5">
        <f>SUMIFS(Raw_Payments!E:E,Raw_Payments!B:B,A951)</f>
        <v/>
      </c>
      <c r="J951" s="5">
        <f>H951-I951</f>
        <v/>
      </c>
      <c r="K951" s="3">
        <f>IF(J951&lt;=0.005,"PAID",IF(I951&gt;0,"PARTIAL","OVERDUE"))</f>
        <v/>
      </c>
      <c r="L951" s="4">
        <f>IF(COUNTIFS(Raw_Payments!B:B,A951)=0,"",SUMPRODUCT(MAX((Raw_Payments!B$2:B$1079=A951)*Raw_Payments!D$2:D$1079)))</f>
        <v/>
      </c>
      <c r="M951" s="3">
        <f>IF(K951="PAID",MAX(0,L951-G951),Guide!$B$3-G951)</f>
        <v/>
      </c>
      <c r="N951" s="3">
        <f>IF(J951&lt;=0.005,"COLLECTED",IF(M951&lt;=30,"1-30",IF(M951&lt;=60,"31-60",IF(M951&lt;=90,"61-90","90+"))))</f>
        <v/>
      </c>
      <c r="O951" s="3">
        <f>IF(N951="90+","LOST",IF(N951="61-90","ESCALATE",IF(N951="31-60","WATCH",IF(N951="1-30","MILD","OK"))))</f>
        <v/>
      </c>
      <c r="P951" s="3">
        <f>IF(J951&gt;0.005,ROW()-1,"")</f>
        <v/>
      </c>
    </row>
    <row r="952">
      <c r="A952" s="3" t="inlineStr">
        <is>
          <t>D0951</t>
        </is>
      </c>
      <c r="B952" s="3">
        <f>INDEX(Raw_Schedule!B:B,MATCH(A952,Raw_Schedule!A:A,0))</f>
        <v/>
      </c>
      <c r="C952" s="3">
        <f>INDEX(Raw_Schedule!C:C,MATCH(A952,Raw_Schedule!A:A,0))</f>
        <v/>
      </c>
      <c r="D952" s="3">
        <f>INDEX(Raw_Schedule!D:D,MATCH(A952,Raw_Schedule!A:A,0))</f>
        <v/>
      </c>
      <c r="E952" s="3">
        <f>INDEX(Raw_Schedule!E:E,MATCH(A952,Raw_Schedule!A:A,0))</f>
        <v/>
      </c>
      <c r="F952" s="3">
        <f>INDEX(Raw_Schedule!F:F,MATCH(A952,Raw_Schedule!A:A,0))</f>
        <v/>
      </c>
      <c r="G952" s="4">
        <f>INDEX(Raw_Schedule!G:G,MATCH(A952,Raw_Schedule!A:A,0))</f>
        <v/>
      </c>
      <c r="H952" s="5">
        <f>INDEX(Raw_Schedule!H:H,MATCH(A952,Raw_Schedule!A:A,0))</f>
        <v/>
      </c>
      <c r="I952" s="5">
        <f>SUMIFS(Raw_Payments!E:E,Raw_Payments!B:B,A952)</f>
        <v/>
      </c>
      <c r="J952" s="5">
        <f>H952-I952</f>
        <v/>
      </c>
      <c r="K952" s="3">
        <f>IF(J952&lt;=0.005,"PAID",IF(I952&gt;0,"PARTIAL","OVERDUE"))</f>
        <v/>
      </c>
      <c r="L952" s="4">
        <f>IF(COUNTIFS(Raw_Payments!B:B,A952)=0,"",SUMPRODUCT(MAX((Raw_Payments!B$2:B$1079=A952)*Raw_Payments!D$2:D$1079)))</f>
        <v/>
      </c>
      <c r="M952" s="3">
        <f>IF(K952="PAID",MAX(0,L952-G952),Guide!$B$3-G952)</f>
        <v/>
      </c>
      <c r="N952" s="3">
        <f>IF(J952&lt;=0.005,"COLLECTED",IF(M952&lt;=30,"1-30",IF(M952&lt;=60,"31-60",IF(M952&lt;=90,"61-90","90+"))))</f>
        <v/>
      </c>
      <c r="O952" s="3">
        <f>IF(N952="90+","LOST",IF(N952="61-90","ESCALATE",IF(N952="31-60","WATCH",IF(N952="1-30","MILD","OK"))))</f>
        <v/>
      </c>
      <c r="P952" s="3">
        <f>IF(J952&gt;0.005,ROW()-1,"")</f>
        <v/>
      </c>
    </row>
    <row r="953">
      <c r="A953" s="3" t="inlineStr">
        <is>
          <t>D0952</t>
        </is>
      </c>
      <c r="B953" s="3">
        <f>INDEX(Raw_Schedule!B:B,MATCH(A953,Raw_Schedule!A:A,0))</f>
        <v/>
      </c>
      <c r="C953" s="3">
        <f>INDEX(Raw_Schedule!C:C,MATCH(A953,Raw_Schedule!A:A,0))</f>
        <v/>
      </c>
      <c r="D953" s="3">
        <f>INDEX(Raw_Schedule!D:D,MATCH(A953,Raw_Schedule!A:A,0))</f>
        <v/>
      </c>
      <c r="E953" s="3">
        <f>INDEX(Raw_Schedule!E:E,MATCH(A953,Raw_Schedule!A:A,0))</f>
        <v/>
      </c>
      <c r="F953" s="3">
        <f>INDEX(Raw_Schedule!F:F,MATCH(A953,Raw_Schedule!A:A,0))</f>
        <v/>
      </c>
      <c r="G953" s="4">
        <f>INDEX(Raw_Schedule!G:G,MATCH(A953,Raw_Schedule!A:A,0))</f>
        <v/>
      </c>
      <c r="H953" s="5">
        <f>INDEX(Raw_Schedule!H:H,MATCH(A953,Raw_Schedule!A:A,0))</f>
        <v/>
      </c>
      <c r="I953" s="5">
        <f>SUMIFS(Raw_Payments!E:E,Raw_Payments!B:B,A953)</f>
        <v/>
      </c>
      <c r="J953" s="5">
        <f>H953-I953</f>
        <v/>
      </c>
      <c r="K953" s="3">
        <f>IF(J953&lt;=0.005,"PAID",IF(I953&gt;0,"PARTIAL","OVERDUE"))</f>
        <v/>
      </c>
      <c r="L953" s="4">
        <f>IF(COUNTIFS(Raw_Payments!B:B,A953)=0,"",SUMPRODUCT(MAX((Raw_Payments!B$2:B$1079=A953)*Raw_Payments!D$2:D$1079)))</f>
        <v/>
      </c>
      <c r="M953" s="3">
        <f>IF(K953="PAID",MAX(0,L953-G953),Guide!$B$3-G953)</f>
        <v/>
      </c>
      <c r="N953" s="3">
        <f>IF(J953&lt;=0.005,"COLLECTED",IF(M953&lt;=30,"1-30",IF(M953&lt;=60,"31-60",IF(M953&lt;=90,"61-90","90+"))))</f>
        <v/>
      </c>
      <c r="O953" s="3">
        <f>IF(N953="90+","LOST",IF(N953="61-90","ESCALATE",IF(N953="31-60","WATCH",IF(N953="1-30","MILD","OK"))))</f>
        <v/>
      </c>
      <c r="P953" s="3">
        <f>IF(J953&gt;0.005,ROW()-1,"")</f>
        <v/>
      </c>
    </row>
    <row r="954">
      <c r="A954" s="3" t="inlineStr">
        <is>
          <t>D0953</t>
        </is>
      </c>
      <c r="B954" s="3">
        <f>INDEX(Raw_Schedule!B:B,MATCH(A954,Raw_Schedule!A:A,0))</f>
        <v/>
      </c>
      <c r="C954" s="3">
        <f>INDEX(Raw_Schedule!C:C,MATCH(A954,Raw_Schedule!A:A,0))</f>
        <v/>
      </c>
      <c r="D954" s="3">
        <f>INDEX(Raw_Schedule!D:D,MATCH(A954,Raw_Schedule!A:A,0))</f>
        <v/>
      </c>
      <c r="E954" s="3">
        <f>INDEX(Raw_Schedule!E:E,MATCH(A954,Raw_Schedule!A:A,0))</f>
        <v/>
      </c>
      <c r="F954" s="3">
        <f>INDEX(Raw_Schedule!F:F,MATCH(A954,Raw_Schedule!A:A,0))</f>
        <v/>
      </c>
      <c r="G954" s="4">
        <f>INDEX(Raw_Schedule!G:G,MATCH(A954,Raw_Schedule!A:A,0))</f>
        <v/>
      </c>
      <c r="H954" s="5">
        <f>INDEX(Raw_Schedule!H:H,MATCH(A954,Raw_Schedule!A:A,0))</f>
        <v/>
      </c>
      <c r="I954" s="5">
        <f>SUMIFS(Raw_Payments!E:E,Raw_Payments!B:B,A954)</f>
        <v/>
      </c>
      <c r="J954" s="5">
        <f>H954-I954</f>
        <v/>
      </c>
      <c r="K954" s="3">
        <f>IF(J954&lt;=0.005,"PAID",IF(I954&gt;0,"PARTIAL","OVERDUE"))</f>
        <v/>
      </c>
      <c r="L954" s="4">
        <f>IF(COUNTIFS(Raw_Payments!B:B,A954)=0,"",SUMPRODUCT(MAX((Raw_Payments!B$2:B$1079=A954)*Raw_Payments!D$2:D$1079)))</f>
        <v/>
      </c>
      <c r="M954" s="3">
        <f>IF(K954="PAID",MAX(0,L954-G954),Guide!$B$3-G954)</f>
        <v/>
      </c>
      <c r="N954" s="3">
        <f>IF(J954&lt;=0.005,"COLLECTED",IF(M954&lt;=30,"1-30",IF(M954&lt;=60,"31-60",IF(M954&lt;=90,"61-90","90+"))))</f>
        <v/>
      </c>
      <c r="O954" s="3">
        <f>IF(N954="90+","LOST",IF(N954="61-90","ESCALATE",IF(N954="31-60","WATCH",IF(N954="1-30","MILD","OK"))))</f>
        <v/>
      </c>
      <c r="P954" s="3">
        <f>IF(J954&gt;0.005,ROW()-1,"")</f>
        <v/>
      </c>
    </row>
    <row r="955">
      <c r="A955" s="3" t="inlineStr">
        <is>
          <t>D0954</t>
        </is>
      </c>
      <c r="B955" s="3">
        <f>INDEX(Raw_Schedule!B:B,MATCH(A955,Raw_Schedule!A:A,0))</f>
        <v/>
      </c>
      <c r="C955" s="3">
        <f>INDEX(Raw_Schedule!C:C,MATCH(A955,Raw_Schedule!A:A,0))</f>
        <v/>
      </c>
      <c r="D955" s="3">
        <f>INDEX(Raw_Schedule!D:D,MATCH(A955,Raw_Schedule!A:A,0))</f>
        <v/>
      </c>
      <c r="E955" s="3">
        <f>INDEX(Raw_Schedule!E:E,MATCH(A955,Raw_Schedule!A:A,0))</f>
        <v/>
      </c>
      <c r="F955" s="3">
        <f>INDEX(Raw_Schedule!F:F,MATCH(A955,Raw_Schedule!A:A,0))</f>
        <v/>
      </c>
      <c r="G955" s="4">
        <f>INDEX(Raw_Schedule!G:G,MATCH(A955,Raw_Schedule!A:A,0))</f>
        <v/>
      </c>
      <c r="H955" s="5">
        <f>INDEX(Raw_Schedule!H:H,MATCH(A955,Raw_Schedule!A:A,0))</f>
        <v/>
      </c>
      <c r="I955" s="5">
        <f>SUMIFS(Raw_Payments!E:E,Raw_Payments!B:B,A955)</f>
        <v/>
      </c>
      <c r="J955" s="5">
        <f>H955-I955</f>
        <v/>
      </c>
      <c r="K955" s="3">
        <f>IF(J955&lt;=0.005,"PAID",IF(I955&gt;0,"PARTIAL","OVERDUE"))</f>
        <v/>
      </c>
      <c r="L955" s="4">
        <f>IF(COUNTIFS(Raw_Payments!B:B,A955)=0,"",SUMPRODUCT(MAX((Raw_Payments!B$2:B$1079=A955)*Raw_Payments!D$2:D$1079)))</f>
        <v/>
      </c>
      <c r="M955" s="3">
        <f>IF(K955="PAID",MAX(0,L955-G955),Guide!$B$3-G955)</f>
        <v/>
      </c>
      <c r="N955" s="3">
        <f>IF(J955&lt;=0.005,"COLLECTED",IF(M955&lt;=30,"1-30",IF(M955&lt;=60,"31-60",IF(M955&lt;=90,"61-90","90+"))))</f>
        <v/>
      </c>
      <c r="O955" s="3">
        <f>IF(N955="90+","LOST",IF(N955="61-90","ESCALATE",IF(N955="31-60","WATCH",IF(N955="1-30","MILD","OK"))))</f>
        <v/>
      </c>
      <c r="P955" s="3">
        <f>IF(J955&gt;0.005,ROW()-1,"")</f>
        <v/>
      </c>
    </row>
    <row r="956">
      <c r="A956" s="3" t="inlineStr">
        <is>
          <t>D0955</t>
        </is>
      </c>
      <c r="B956" s="3">
        <f>INDEX(Raw_Schedule!B:B,MATCH(A956,Raw_Schedule!A:A,0))</f>
        <v/>
      </c>
      <c r="C956" s="3">
        <f>INDEX(Raw_Schedule!C:C,MATCH(A956,Raw_Schedule!A:A,0))</f>
        <v/>
      </c>
      <c r="D956" s="3">
        <f>INDEX(Raw_Schedule!D:D,MATCH(A956,Raw_Schedule!A:A,0))</f>
        <v/>
      </c>
      <c r="E956" s="3">
        <f>INDEX(Raw_Schedule!E:E,MATCH(A956,Raw_Schedule!A:A,0))</f>
        <v/>
      </c>
      <c r="F956" s="3">
        <f>INDEX(Raw_Schedule!F:F,MATCH(A956,Raw_Schedule!A:A,0))</f>
        <v/>
      </c>
      <c r="G956" s="4">
        <f>INDEX(Raw_Schedule!G:G,MATCH(A956,Raw_Schedule!A:A,0))</f>
        <v/>
      </c>
      <c r="H956" s="5">
        <f>INDEX(Raw_Schedule!H:H,MATCH(A956,Raw_Schedule!A:A,0))</f>
        <v/>
      </c>
      <c r="I956" s="5">
        <f>SUMIFS(Raw_Payments!E:E,Raw_Payments!B:B,A956)</f>
        <v/>
      </c>
      <c r="J956" s="5">
        <f>H956-I956</f>
        <v/>
      </c>
      <c r="K956" s="3">
        <f>IF(J956&lt;=0.005,"PAID",IF(I956&gt;0,"PARTIAL","OVERDUE"))</f>
        <v/>
      </c>
      <c r="L956" s="4">
        <f>IF(COUNTIFS(Raw_Payments!B:B,A956)=0,"",SUMPRODUCT(MAX((Raw_Payments!B$2:B$1079=A956)*Raw_Payments!D$2:D$1079)))</f>
        <v/>
      </c>
      <c r="M956" s="3">
        <f>IF(K956="PAID",MAX(0,L956-G956),Guide!$B$3-G956)</f>
        <v/>
      </c>
      <c r="N956" s="3">
        <f>IF(J956&lt;=0.005,"COLLECTED",IF(M956&lt;=30,"1-30",IF(M956&lt;=60,"31-60",IF(M956&lt;=90,"61-90","90+"))))</f>
        <v/>
      </c>
      <c r="O956" s="3">
        <f>IF(N956="90+","LOST",IF(N956="61-90","ESCALATE",IF(N956="31-60","WATCH",IF(N956="1-30","MILD","OK"))))</f>
        <v/>
      </c>
      <c r="P956" s="3">
        <f>IF(J956&gt;0.005,ROW()-1,"")</f>
        <v/>
      </c>
    </row>
    <row r="957">
      <c r="A957" s="3" t="inlineStr">
        <is>
          <t>D0956</t>
        </is>
      </c>
      <c r="B957" s="3">
        <f>INDEX(Raw_Schedule!B:B,MATCH(A957,Raw_Schedule!A:A,0))</f>
        <v/>
      </c>
      <c r="C957" s="3">
        <f>INDEX(Raw_Schedule!C:C,MATCH(A957,Raw_Schedule!A:A,0))</f>
        <v/>
      </c>
      <c r="D957" s="3">
        <f>INDEX(Raw_Schedule!D:D,MATCH(A957,Raw_Schedule!A:A,0))</f>
        <v/>
      </c>
      <c r="E957" s="3">
        <f>INDEX(Raw_Schedule!E:E,MATCH(A957,Raw_Schedule!A:A,0))</f>
        <v/>
      </c>
      <c r="F957" s="3">
        <f>INDEX(Raw_Schedule!F:F,MATCH(A957,Raw_Schedule!A:A,0))</f>
        <v/>
      </c>
      <c r="G957" s="4">
        <f>INDEX(Raw_Schedule!G:G,MATCH(A957,Raw_Schedule!A:A,0))</f>
        <v/>
      </c>
      <c r="H957" s="5">
        <f>INDEX(Raw_Schedule!H:H,MATCH(A957,Raw_Schedule!A:A,0))</f>
        <v/>
      </c>
      <c r="I957" s="5">
        <f>SUMIFS(Raw_Payments!E:E,Raw_Payments!B:B,A957)</f>
        <v/>
      </c>
      <c r="J957" s="5">
        <f>H957-I957</f>
        <v/>
      </c>
      <c r="K957" s="3">
        <f>IF(J957&lt;=0.005,"PAID",IF(I957&gt;0,"PARTIAL","OVERDUE"))</f>
        <v/>
      </c>
      <c r="L957" s="4">
        <f>IF(COUNTIFS(Raw_Payments!B:B,A957)=0,"",SUMPRODUCT(MAX((Raw_Payments!B$2:B$1079=A957)*Raw_Payments!D$2:D$1079)))</f>
        <v/>
      </c>
      <c r="M957" s="3">
        <f>IF(K957="PAID",MAX(0,L957-G957),Guide!$B$3-G957)</f>
        <v/>
      </c>
      <c r="N957" s="3">
        <f>IF(J957&lt;=0.005,"COLLECTED",IF(M957&lt;=30,"1-30",IF(M957&lt;=60,"31-60",IF(M957&lt;=90,"61-90","90+"))))</f>
        <v/>
      </c>
      <c r="O957" s="3">
        <f>IF(N957="90+","LOST",IF(N957="61-90","ESCALATE",IF(N957="31-60","WATCH",IF(N957="1-30","MILD","OK"))))</f>
        <v/>
      </c>
      <c r="P957" s="3">
        <f>IF(J957&gt;0.005,ROW()-1,"")</f>
        <v/>
      </c>
    </row>
    <row r="958">
      <c r="A958" s="3" t="inlineStr">
        <is>
          <t>D0957</t>
        </is>
      </c>
      <c r="B958" s="3">
        <f>INDEX(Raw_Schedule!B:B,MATCH(A958,Raw_Schedule!A:A,0))</f>
        <v/>
      </c>
      <c r="C958" s="3">
        <f>INDEX(Raw_Schedule!C:C,MATCH(A958,Raw_Schedule!A:A,0))</f>
        <v/>
      </c>
      <c r="D958" s="3">
        <f>INDEX(Raw_Schedule!D:D,MATCH(A958,Raw_Schedule!A:A,0))</f>
        <v/>
      </c>
      <c r="E958" s="3">
        <f>INDEX(Raw_Schedule!E:E,MATCH(A958,Raw_Schedule!A:A,0))</f>
        <v/>
      </c>
      <c r="F958" s="3">
        <f>INDEX(Raw_Schedule!F:F,MATCH(A958,Raw_Schedule!A:A,0))</f>
        <v/>
      </c>
      <c r="G958" s="4">
        <f>INDEX(Raw_Schedule!G:G,MATCH(A958,Raw_Schedule!A:A,0))</f>
        <v/>
      </c>
      <c r="H958" s="5">
        <f>INDEX(Raw_Schedule!H:H,MATCH(A958,Raw_Schedule!A:A,0))</f>
        <v/>
      </c>
      <c r="I958" s="5">
        <f>SUMIFS(Raw_Payments!E:E,Raw_Payments!B:B,A958)</f>
        <v/>
      </c>
      <c r="J958" s="5">
        <f>H958-I958</f>
        <v/>
      </c>
      <c r="K958" s="3">
        <f>IF(J958&lt;=0.005,"PAID",IF(I958&gt;0,"PARTIAL","OVERDUE"))</f>
        <v/>
      </c>
      <c r="L958" s="4">
        <f>IF(COUNTIFS(Raw_Payments!B:B,A958)=0,"",SUMPRODUCT(MAX((Raw_Payments!B$2:B$1079=A958)*Raw_Payments!D$2:D$1079)))</f>
        <v/>
      </c>
      <c r="M958" s="3">
        <f>IF(K958="PAID",MAX(0,L958-G958),Guide!$B$3-G958)</f>
        <v/>
      </c>
      <c r="N958" s="3">
        <f>IF(J958&lt;=0.005,"COLLECTED",IF(M958&lt;=30,"1-30",IF(M958&lt;=60,"31-60",IF(M958&lt;=90,"61-90","90+"))))</f>
        <v/>
      </c>
      <c r="O958" s="3">
        <f>IF(N958="90+","LOST",IF(N958="61-90","ESCALATE",IF(N958="31-60","WATCH",IF(N958="1-30","MILD","OK"))))</f>
        <v/>
      </c>
      <c r="P958" s="3">
        <f>IF(J958&gt;0.005,ROW()-1,"")</f>
        <v/>
      </c>
    </row>
    <row r="959">
      <c r="A959" s="3" t="inlineStr">
        <is>
          <t>D0958</t>
        </is>
      </c>
      <c r="B959" s="3">
        <f>INDEX(Raw_Schedule!B:B,MATCH(A959,Raw_Schedule!A:A,0))</f>
        <v/>
      </c>
      <c r="C959" s="3">
        <f>INDEX(Raw_Schedule!C:C,MATCH(A959,Raw_Schedule!A:A,0))</f>
        <v/>
      </c>
      <c r="D959" s="3">
        <f>INDEX(Raw_Schedule!D:D,MATCH(A959,Raw_Schedule!A:A,0))</f>
        <v/>
      </c>
      <c r="E959" s="3">
        <f>INDEX(Raw_Schedule!E:E,MATCH(A959,Raw_Schedule!A:A,0))</f>
        <v/>
      </c>
      <c r="F959" s="3">
        <f>INDEX(Raw_Schedule!F:F,MATCH(A959,Raw_Schedule!A:A,0))</f>
        <v/>
      </c>
      <c r="G959" s="4">
        <f>INDEX(Raw_Schedule!G:G,MATCH(A959,Raw_Schedule!A:A,0))</f>
        <v/>
      </c>
      <c r="H959" s="5">
        <f>INDEX(Raw_Schedule!H:H,MATCH(A959,Raw_Schedule!A:A,0))</f>
        <v/>
      </c>
      <c r="I959" s="5">
        <f>SUMIFS(Raw_Payments!E:E,Raw_Payments!B:B,A959)</f>
        <v/>
      </c>
      <c r="J959" s="5">
        <f>H959-I959</f>
        <v/>
      </c>
      <c r="K959" s="3">
        <f>IF(J959&lt;=0.005,"PAID",IF(I959&gt;0,"PARTIAL","OVERDUE"))</f>
        <v/>
      </c>
      <c r="L959" s="4">
        <f>IF(COUNTIFS(Raw_Payments!B:B,A959)=0,"",SUMPRODUCT(MAX((Raw_Payments!B$2:B$1079=A959)*Raw_Payments!D$2:D$1079)))</f>
        <v/>
      </c>
      <c r="M959" s="3">
        <f>IF(K959="PAID",MAX(0,L959-G959),Guide!$B$3-G959)</f>
        <v/>
      </c>
      <c r="N959" s="3">
        <f>IF(J959&lt;=0.005,"COLLECTED",IF(M959&lt;=30,"1-30",IF(M959&lt;=60,"31-60",IF(M959&lt;=90,"61-90","90+"))))</f>
        <v/>
      </c>
      <c r="O959" s="3">
        <f>IF(N959="90+","LOST",IF(N959="61-90","ESCALATE",IF(N959="31-60","WATCH",IF(N959="1-30","MILD","OK"))))</f>
        <v/>
      </c>
      <c r="P959" s="3">
        <f>IF(J959&gt;0.005,ROW()-1,"")</f>
        <v/>
      </c>
    </row>
    <row r="960">
      <c r="A960" s="3" t="inlineStr">
        <is>
          <t>D0959</t>
        </is>
      </c>
      <c r="B960" s="3">
        <f>INDEX(Raw_Schedule!B:B,MATCH(A960,Raw_Schedule!A:A,0))</f>
        <v/>
      </c>
      <c r="C960" s="3">
        <f>INDEX(Raw_Schedule!C:C,MATCH(A960,Raw_Schedule!A:A,0))</f>
        <v/>
      </c>
      <c r="D960" s="3">
        <f>INDEX(Raw_Schedule!D:D,MATCH(A960,Raw_Schedule!A:A,0))</f>
        <v/>
      </c>
      <c r="E960" s="3">
        <f>INDEX(Raw_Schedule!E:E,MATCH(A960,Raw_Schedule!A:A,0))</f>
        <v/>
      </c>
      <c r="F960" s="3">
        <f>INDEX(Raw_Schedule!F:F,MATCH(A960,Raw_Schedule!A:A,0))</f>
        <v/>
      </c>
      <c r="G960" s="4">
        <f>INDEX(Raw_Schedule!G:G,MATCH(A960,Raw_Schedule!A:A,0))</f>
        <v/>
      </c>
      <c r="H960" s="5">
        <f>INDEX(Raw_Schedule!H:H,MATCH(A960,Raw_Schedule!A:A,0))</f>
        <v/>
      </c>
      <c r="I960" s="5">
        <f>SUMIFS(Raw_Payments!E:E,Raw_Payments!B:B,A960)</f>
        <v/>
      </c>
      <c r="J960" s="5">
        <f>H960-I960</f>
        <v/>
      </c>
      <c r="K960" s="3">
        <f>IF(J960&lt;=0.005,"PAID",IF(I960&gt;0,"PARTIAL","OVERDUE"))</f>
        <v/>
      </c>
      <c r="L960" s="4">
        <f>IF(COUNTIFS(Raw_Payments!B:B,A960)=0,"",SUMPRODUCT(MAX((Raw_Payments!B$2:B$1079=A960)*Raw_Payments!D$2:D$1079)))</f>
        <v/>
      </c>
      <c r="M960" s="3">
        <f>IF(K960="PAID",MAX(0,L960-G960),Guide!$B$3-G960)</f>
        <v/>
      </c>
      <c r="N960" s="3">
        <f>IF(J960&lt;=0.005,"COLLECTED",IF(M960&lt;=30,"1-30",IF(M960&lt;=60,"31-60",IF(M960&lt;=90,"61-90","90+"))))</f>
        <v/>
      </c>
      <c r="O960" s="3">
        <f>IF(N960="90+","LOST",IF(N960="61-90","ESCALATE",IF(N960="31-60","WATCH",IF(N960="1-30","MILD","OK"))))</f>
        <v/>
      </c>
      <c r="P960" s="3">
        <f>IF(J960&gt;0.005,ROW()-1,"")</f>
        <v/>
      </c>
    </row>
    <row r="961">
      <c r="A961" s="3" t="inlineStr">
        <is>
          <t>D0960</t>
        </is>
      </c>
      <c r="B961" s="3">
        <f>INDEX(Raw_Schedule!B:B,MATCH(A961,Raw_Schedule!A:A,0))</f>
        <v/>
      </c>
      <c r="C961" s="3">
        <f>INDEX(Raw_Schedule!C:C,MATCH(A961,Raw_Schedule!A:A,0))</f>
        <v/>
      </c>
      <c r="D961" s="3">
        <f>INDEX(Raw_Schedule!D:D,MATCH(A961,Raw_Schedule!A:A,0))</f>
        <v/>
      </c>
      <c r="E961" s="3">
        <f>INDEX(Raw_Schedule!E:E,MATCH(A961,Raw_Schedule!A:A,0))</f>
        <v/>
      </c>
      <c r="F961" s="3">
        <f>INDEX(Raw_Schedule!F:F,MATCH(A961,Raw_Schedule!A:A,0))</f>
        <v/>
      </c>
      <c r="G961" s="4">
        <f>INDEX(Raw_Schedule!G:G,MATCH(A961,Raw_Schedule!A:A,0))</f>
        <v/>
      </c>
      <c r="H961" s="5">
        <f>INDEX(Raw_Schedule!H:H,MATCH(A961,Raw_Schedule!A:A,0))</f>
        <v/>
      </c>
      <c r="I961" s="5">
        <f>SUMIFS(Raw_Payments!E:E,Raw_Payments!B:B,A961)</f>
        <v/>
      </c>
      <c r="J961" s="5">
        <f>H961-I961</f>
        <v/>
      </c>
      <c r="K961" s="3">
        <f>IF(J961&lt;=0.005,"PAID",IF(I961&gt;0,"PARTIAL","OVERDUE"))</f>
        <v/>
      </c>
      <c r="L961" s="4">
        <f>IF(COUNTIFS(Raw_Payments!B:B,A961)=0,"",SUMPRODUCT(MAX((Raw_Payments!B$2:B$1079=A961)*Raw_Payments!D$2:D$1079)))</f>
        <v/>
      </c>
      <c r="M961" s="3">
        <f>IF(K961="PAID",MAX(0,L961-G961),Guide!$B$3-G961)</f>
        <v/>
      </c>
      <c r="N961" s="3">
        <f>IF(J961&lt;=0.005,"COLLECTED",IF(M961&lt;=30,"1-30",IF(M961&lt;=60,"31-60",IF(M961&lt;=90,"61-90","90+"))))</f>
        <v/>
      </c>
      <c r="O961" s="3">
        <f>IF(N961="90+","LOST",IF(N961="61-90","ESCALATE",IF(N961="31-60","WATCH",IF(N961="1-30","MILD","OK"))))</f>
        <v/>
      </c>
      <c r="P961" s="3">
        <f>IF(J961&gt;0.005,ROW()-1,"")</f>
        <v/>
      </c>
    </row>
    <row r="962">
      <c r="A962" s="3" t="inlineStr">
        <is>
          <t>D0961</t>
        </is>
      </c>
      <c r="B962" s="3">
        <f>INDEX(Raw_Schedule!B:B,MATCH(A962,Raw_Schedule!A:A,0))</f>
        <v/>
      </c>
      <c r="C962" s="3">
        <f>INDEX(Raw_Schedule!C:C,MATCH(A962,Raw_Schedule!A:A,0))</f>
        <v/>
      </c>
      <c r="D962" s="3">
        <f>INDEX(Raw_Schedule!D:D,MATCH(A962,Raw_Schedule!A:A,0))</f>
        <v/>
      </c>
      <c r="E962" s="3">
        <f>INDEX(Raw_Schedule!E:E,MATCH(A962,Raw_Schedule!A:A,0))</f>
        <v/>
      </c>
      <c r="F962" s="3">
        <f>INDEX(Raw_Schedule!F:F,MATCH(A962,Raw_Schedule!A:A,0))</f>
        <v/>
      </c>
      <c r="G962" s="4">
        <f>INDEX(Raw_Schedule!G:G,MATCH(A962,Raw_Schedule!A:A,0))</f>
        <v/>
      </c>
      <c r="H962" s="5">
        <f>INDEX(Raw_Schedule!H:H,MATCH(A962,Raw_Schedule!A:A,0))</f>
        <v/>
      </c>
      <c r="I962" s="5">
        <f>SUMIFS(Raw_Payments!E:E,Raw_Payments!B:B,A962)</f>
        <v/>
      </c>
      <c r="J962" s="5">
        <f>H962-I962</f>
        <v/>
      </c>
      <c r="K962" s="3">
        <f>IF(J962&lt;=0.005,"PAID",IF(I962&gt;0,"PARTIAL","OVERDUE"))</f>
        <v/>
      </c>
      <c r="L962" s="4">
        <f>IF(COUNTIFS(Raw_Payments!B:B,A962)=0,"",SUMPRODUCT(MAX((Raw_Payments!B$2:B$1079=A962)*Raw_Payments!D$2:D$1079)))</f>
        <v/>
      </c>
      <c r="M962" s="3">
        <f>IF(K962="PAID",MAX(0,L962-G962),Guide!$B$3-G962)</f>
        <v/>
      </c>
      <c r="N962" s="3">
        <f>IF(J962&lt;=0.005,"COLLECTED",IF(M962&lt;=30,"1-30",IF(M962&lt;=60,"31-60",IF(M962&lt;=90,"61-90","90+"))))</f>
        <v/>
      </c>
      <c r="O962" s="3">
        <f>IF(N962="90+","LOST",IF(N962="61-90","ESCALATE",IF(N962="31-60","WATCH",IF(N962="1-30","MILD","OK"))))</f>
        <v/>
      </c>
      <c r="P962" s="3">
        <f>IF(J962&gt;0.005,ROW()-1,"")</f>
        <v/>
      </c>
    </row>
    <row r="963">
      <c r="A963" s="3" t="inlineStr">
        <is>
          <t>D0962</t>
        </is>
      </c>
      <c r="B963" s="3">
        <f>INDEX(Raw_Schedule!B:B,MATCH(A963,Raw_Schedule!A:A,0))</f>
        <v/>
      </c>
      <c r="C963" s="3">
        <f>INDEX(Raw_Schedule!C:C,MATCH(A963,Raw_Schedule!A:A,0))</f>
        <v/>
      </c>
      <c r="D963" s="3">
        <f>INDEX(Raw_Schedule!D:D,MATCH(A963,Raw_Schedule!A:A,0))</f>
        <v/>
      </c>
      <c r="E963" s="3">
        <f>INDEX(Raw_Schedule!E:E,MATCH(A963,Raw_Schedule!A:A,0))</f>
        <v/>
      </c>
      <c r="F963" s="3">
        <f>INDEX(Raw_Schedule!F:F,MATCH(A963,Raw_Schedule!A:A,0))</f>
        <v/>
      </c>
      <c r="G963" s="4">
        <f>INDEX(Raw_Schedule!G:G,MATCH(A963,Raw_Schedule!A:A,0))</f>
        <v/>
      </c>
      <c r="H963" s="5">
        <f>INDEX(Raw_Schedule!H:H,MATCH(A963,Raw_Schedule!A:A,0))</f>
        <v/>
      </c>
      <c r="I963" s="5">
        <f>SUMIFS(Raw_Payments!E:E,Raw_Payments!B:B,A963)</f>
        <v/>
      </c>
      <c r="J963" s="5">
        <f>H963-I963</f>
        <v/>
      </c>
      <c r="K963" s="3">
        <f>IF(J963&lt;=0.005,"PAID",IF(I963&gt;0,"PARTIAL","OVERDUE"))</f>
        <v/>
      </c>
      <c r="L963" s="4">
        <f>IF(COUNTIFS(Raw_Payments!B:B,A963)=0,"",SUMPRODUCT(MAX((Raw_Payments!B$2:B$1079=A963)*Raw_Payments!D$2:D$1079)))</f>
        <v/>
      </c>
      <c r="M963" s="3">
        <f>IF(K963="PAID",MAX(0,L963-G963),Guide!$B$3-G963)</f>
        <v/>
      </c>
      <c r="N963" s="3">
        <f>IF(J963&lt;=0.005,"COLLECTED",IF(M963&lt;=30,"1-30",IF(M963&lt;=60,"31-60",IF(M963&lt;=90,"61-90","90+"))))</f>
        <v/>
      </c>
      <c r="O963" s="3">
        <f>IF(N963="90+","LOST",IF(N963="61-90","ESCALATE",IF(N963="31-60","WATCH",IF(N963="1-30","MILD","OK"))))</f>
        <v/>
      </c>
      <c r="P963" s="3">
        <f>IF(J963&gt;0.005,ROW()-1,"")</f>
        <v/>
      </c>
    </row>
    <row r="964">
      <c r="A964" s="3" t="inlineStr">
        <is>
          <t>D0963</t>
        </is>
      </c>
      <c r="B964" s="3">
        <f>INDEX(Raw_Schedule!B:B,MATCH(A964,Raw_Schedule!A:A,0))</f>
        <v/>
      </c>
      <c r="C964" s="3">
        <f>INDEX(Raw_Schedule!C:C,MATCH(A964,Raw_Schedule!A:A,0))</f>
        <v/>
      </c>
      <c r="D964" s="3">
        <f>INDEX(Raw_Schedule!D:D,MATCH(A964,Raw_Schedule!A:A,0))</f>
        <v/>
      </c>
      <c r="E964" s="3">
        <f>INDEX(Raw_Schedule!E:E,MATCH(A964,Raw_Schedule!A:A,0))</f>
        <v/>
      </c>
      <c r="F964" s="3">
        <f>INDEX(Raw_Schedule!F:F,MATCH(A964,Raw_Schedule!A:A,0))</f>
        <v/>
      </c>
      <c r="G964" s="4">
        <f>INDEX(Raw_Schedule!G:G,MATCH(A964,Raw_Schedule!A:A,0))</f>
        <v/>
      </c>
      <c r="H964" s="5">
        <f>INDEX(Raw_Schedule!H:H,MATCH(A964,Raw_Schedule!A:A,0))</f>
        <v/>
      </c>
      <c r="I964" s="5">
        <f>SUMIFS(Raw_Payments!E:E,Raw_Payments!B:B,A964)</f>
        <v/>
      </c>
      <c r="J964" s="5">
        <f>H964-I964</f>
        <v/>
      </c>
      <c r="K964" s="3">
        <f>IF(J964&lt;=0.005,"PAID",IF(I964&gt;0,"PARTIAL","OVERDUE"))</f>
        <v/>
      </c>
      <c r="L964" s="4">
        <f>IF(COUNTIFS(Raw_Payments!B:B,A964)=0,"",SUMPRODUCT(MAX((Raw_Payments!B$2:B$1079=A964)*Raw_Payments!D$2:D$1079)))</f>
        <v/>
      </c>
      <c r="M964" s="3">
        <f>IF(K964="PAID",MAX(0,L964-G964),Guide!$B$3-G964)</f>
        <v/>
      </c>
      <c r="N964" s="3">
        <f>IF(J964&lt;=0.005,"COLLECTED",IF(M964&lt;=30,"1-30",IF(M964&lt;=60,"31-60",IF(M964&lt;=90,"61-90","90+"))))</f>
        <v/>
      </c>
      <c r="O964" s="3">
        <f>IF(N964="90+","LOST",IF(N964="61-90","ESCALATE",IF(N964="31-60","WATCH",IF(N964="1-30","MILD","OK"))))</f>
        <v/>
      </c>
      <c r="P964" s="3">
        <f>IF(J964&gt;0.005,ROW()-1,"")</f>
        <v/>
      </c>
    </row>
    <row r="965">
      <c r="A965" s="3" t="inlineStr">
        <is>
          <t>D0964</t>
        </is>
      </c>
      <c r="B965" s="3">
        <f>INDEX(Raw_Schedule!B:B,MATCH(A965,Raw_Schedule!A:A,0))</f>
        <v/>
      </c>
      <c r="C965" s="3">
        <f>INDEX(Raw_Schedule!C:C,MATCH(A965,Raw_Schedule!A:A,0))</f>
        <v/>
      </c>
      <c r="D965" s="3">
        <f>INDEX(Raw_Schedule!D:D,MATCH(A965,Raw_Schedule!A:A,0))</f>
        <v/>
      </c>
      <c r="E965" s="3">
        <f>INDEX(Raw_Schedule!E:E,MATCH(A965,Raw_Schedule!A:A,0))</f>
        <v/>
      </c>
      <c r="F965" s="3">
        <f>INDEX(Raw_Schedule!F:F,MATCH(A965,Raw_Schedule!A:A,0))</f>
        <v/>
      </c>
      <c r="G965" s="4">
        <f>INDEX(Raw_Schedule!G:G,MATCH(A965,Raw_Schedule!A:A,0))</f>
        <v/>
      </c>
      <c r="H965" s="5">
        <f>INDEX(Raw_Schedule!H:H,MATCH(A965,Raw_Schedule!A:A,0))</f>
        <v/>
      </c>
      <c r="I965" s="5">
        <f>SUMIFS(Raw_Payments!E:E,Raw_Payments!B:B,A965)</f>
        <v/>
      </c>
      <c r="J965" s="5">
        <f>H965-I965</f>
        <v/>
      </c>
      <c r="K965" s="3">
        <f>IF(J965&lt;=0.005,"PAID",IF(I965&gt;0,"PARTIAL","OVERDUE"))</f>
        <v/>
      </c>
      <c r="L965" s="4">
        <f>IF(COUNTIFS(Raw_Payments!B:B,A965)=0,"",SUMPRODUCT(MAX((Raw_Payments!B$2:B$1079=A965)*Raw_Payments!D$2:D$1079)))</f>
        <v/>
      </c>
      <c r="M965" s="3">
        <f>IF(K965="PAID",MAX(0,L965-G965),Guide!$B$3-G965)</f>
        <v/>
      </c>
      <c r="N965" s="3">
        <f>IF(J965&lt;=0.005,"COLLECTED",IF(M965&lt;=30,"1-30",IF(M965&lt;=60,"31-60",IF(M965&lt;=90,"61-90","90+"))))</f>
        <v/>
      </c>
      <c r="O965" s="3">
        <f>IF(N965="90+","LOST",IF(N965="61-90","ESCALATE",IF(N965="31-60","WATCH",IF(N965="1-30","MILD","OK"))))</f>
        <v/>
      </c>
      <c r="P965" s="3">
        <f>IF(J965&gt;0.005,ROW()-1,"")</f>
        <v/>
      </c>
    </row>
    <row r="966">
      <c r="A966" s="3" t="inlineStr">
        <is>
          <t>D0965</t>
        </is>
      </c>
      <c r="B966" s="3">
        <f>INDEX(Raw_Schedule!B:B,MATCH(A966,Raw_Schedule!A:A,0))</f>
        <v/>
      </c>
      <c r="C966" s="3">
        <f>INDEX(Raw_Schedule!C:C,MATCH(A966,Raw_Schedule!A:A,0))</f>
        <v/>
      </c>
      <c r="D966" s="3">
        <f>INDEX(Raw_Schedule!D:D,MATCH(A966,Raw_Schedule!A:A,0))</f>
        <v/>
      </c>
      <c r="E966" s="3">
        <f>INDEX(Raw_Schedule!E:E,MATCH(A966,Raw_Schedule!A:A,0))</f>
        <v/>
      </c>
      <c r="F966" s="3">
        <f>INDEX(Raw_Schedule!F:F,MATCH(A966,Raw_Schedule!A:A,0))</f>
        <v/>
      </c>
      <c r="G966" s="4">
        <f>INDEX(Raw_Schedule!G:G,MATCH(A966,Raw_Schedule!A:A,0))</f>
        <v/>
      </c>
      <c r="H966" s="5">
        <f>INDEX(Raw_Schedule!H:H,MATCH(A966,Raw_Schedule!A:A,0))</f>
        <v/>
      </c>
      <c r="I966" s="5">
        <f>SUMIFS(Raw_Payments!E:E,Raw_Payments!B:B,A966)</f>
        <v/>
      </c>
      <c r="J966" s="5">
        <f>H966-I966</f>
        <v/>
      </c>
      <c r="K966" s="3">
        <f>IF(J966&lt;=0.005,"PAID",IF(I966&gt;0,"PARTIAL","OVERDUE"))</f>
        <v/>
      </c>
      <c r="L966" s="4">
        <f>IF(COUNTIFS(Raw_Payments!B:B,A966)=0,"",SUMPRODUCT(MAX((Raw_Payments!B$2:B$1079=A966)*Raw_Payments!D$2:D$1079)))</f>
        <v/>
      </c>
      <c r="M966" s="3">
        <f>IF(K966="PAID",MAX(0,L966-G966),Guide!$B$3-G966)</f>
        <v/>
      </c>
      <c r="N966" s="3">
        <f>IF(J966&lt;=0.005,"COLLECTED",IF(M966&lt;=30,"1-30",IF(M966&lt;=60,"31-60",IF(M966&lt;=90,"61-90","90+"))))</f>
        <v/>
      </c>
      <c r="O966" s="3">
        <f>IF(N966="90+","LOST",IF(N966="61-90","ESCALATE",IF(N966="31-60","WATCH",IF(N966="1-30","MILD","OK"))))</f>
        <v/>
      </c>
      <c r="P966" s="3">
        <f>IF(J966&gt;0.005,ROW()-1,"")</f>
        <v/>
      </c>
    </row>
    <row r="967">
      <c r="A967" s="3" t="inlineStr">
        <is>
          <t>D0966</t>
        </is>
      </c>
      <c r="B967" s="3">
        <f>INDEX(Raw_Schedule!B:B,MATCH(A967,Raw_Schedule!A:A,0))</f>
        <v/>
      </c>
      <c r="C967" s="3">
        <f>INDEX(Raw_Schedule!C:C,MATCH(A967,Raw_Schedule!A:A,0))</f>
        <v/>
      </c>
      <c r="D967" s="3">
        <f>INDEX(Raw_Schedule!D:D,MATCH(A967,Raw_Schedule!A:A,0))</f>
        <v/>
      </c>
      <c r="E967" s="3">
        <f>INDEX(Raw_Schedule!E:E,MATCH(A967,Raw_Schedule!A:A,0))</f>
        <v/>
      </c>
      <c r="F967" s="3">
        <f>INDEX(Raw_Schedule!F:F,MATCH(A967,Raw_Schedule!A:A,0))</f>
        <v/>
      </c>
      <c r="G967" s="4">
        <f>INDEX(Raw_Schedule!G:G,MATCH(A967,Raw_Schedule!A:A,0))</f>
        <v/>
      </c>
      <c r="H967" s="5">
        <f>INDEX(Raw_Schedule!H:H,MATCH(A967,Raw_Schedule!A:A,0))</f>
        <v/>
      </c>
      <c r="I967" s="5">
        <f>SUMIFS(Raw_Payments!E:E,Raw_Payments!B:B,A967)</f>
        <v/>
      </c>
      <c r="J967" s="5">
        <f>H967-I967</f>
        <v/>
      </c>
      <c r="K967" s="3">
        <f>IF(J967&lt;=0.005,"PAID",IF(I967&gt;0,"PARTIAL","OVERDUE"))</f>
        <v/>
      </c>
      <c r="L967" s="4">
        <f>IF(COUNTIFS(Raw_Payments!B:B,A967)=0,"",SUMPRODUCT(MAX((Raw_Payments!B$2:B$1079=A967)*Raw_Payments!D$2:D$1079)))</f>
        <v/>
      </c>
      <c r="M967" s="3">
        <f>IF(K967="PAID",MAX(0,L967-G967),Guide!$B$3-G967)</f>
        <v/>
      </c>
      <c r="N967" s="3">
        <f>IF(J967&lt;=0.005,"COLLECTED",IF(M967&lt;=30,"1-30",IF(M967&lt;=60,"31-60",IF(M967&lt;=90,"61-90","90+"))))</f>
        <v/>
      </c>
      <c r="O967" s="3">
        <f>IF(N967="90+","LOST",IF(N967="61-90","ESCALATE",IF(N967="31-60","WATCH",IF(N967="1-30","MILD","OK"))))</f>
        <v/>
      </c>
      <c r="P967" s="3">
        <f>IF(J967&gt;0.005,ROW()-1,"")</f>
        <v/>
      </c>
    </row>
    <row r="968">
      <c r="A968" s="3" t="inlineStr">
        <is>
          <t>D0967</t>
        </is>
      </c>
      <c r="B968" s="3">
        <f>INDEX(Raw_Schedule!B:B,MATCH(A968,Raw_Schedule!A:A,0))</f>
        <v/>
      </c>
      <c r="C968" s="3">
        <f>INDEX(Raw_Schedule!C:C,MATCH(A968,Raw_Schedule!A:A,0))</f>
        <v/>
      </c>
      <c r="D968" s="3">
        <f>INDEX(Raw_Schedule!D:D,MATCH(A968,Raw_Schedule!A:A,0))</f>
        <v/>
      </c>
      <c r="E968" s="3">
        <f>INDEX(Raw_Schedule!E:E,MATCH(A968,Raw_Schedule!A:A,0))</f>
        <v/>
      </c>
      <c r="F968" s="3">
        <f>INDEX(Raw_Schedule!F:F,MATCH(A968,Raw_Schedule!A:A,0))</f>
        <v/>
      </c>
      <c r="G968" s="4">
        <f>INDEX(Raw_Schedule!G:G,MATCH(A968,Raw_Schedule!A:A,0))</f>
        <v/>
      </c>
      <c r="H968" s="5">
        <f>INDEX(Raw_Schedule!H:H,MATCH(A968,Raw_Schedule!A:A,0))</f>
        <v/>
      </c>
      <c r="I968" s="5">
        <f>SUMIFS(Raw_Payments!E:E,Raw_Payments!B:B,A968)</f>
        <v/>
      </c>
      <c r="J968" s="5">
        <f>H968-I968</f>
        <v/>
      </c>
      <c r="K968" s="3">
        <f>IF(J968&lt;=0.005,"PAID",IF(I968&gt;0,"PARTIAL","OVERDUE"))</f>
        <v/>
      </c>
      <c r="L968" s="4">
        <f>IF(COUNTIFS(Raw_Payments!B:B,A968)=0,"",SUMPRODUCT(MAX((Raw_Payments!B$2:B$1079=A968)*Raw_Payments!D$2:D$1079)))</f>
        <v/>
      </c>
      <c r="M968" s="3">
        <f>IF(K968="PAID",MAX(0,L968-G968),Guide!$B$3-G968)</f>
        <v/>
      </c>
      <c r="N968" s="3">
        <f>IF(J968&lt;=0.005,"COLLECTED",IF(M968&lt;=30,"1-30",IF(M968&lt;=60,"31-60",IF(M968&lt;=90,"61-90","90+"))))</f>
        <v/>
      </c>
      <c r="O968" s="3">
        <f>IF(N968="90+","LOST",IF(N968="61-90","ESCALATE",IF(N968="31-60","WATCH",IF(N968="1-30","MILD","OK"))))</f>
        <v/>
      </c>
      <c r="P968" s="3">
        <f>IF(J968&gt;0.005,ROW()-1,"")</f>
        <v/>
      </c>
    </row>
    <row r="969">
      <c r="A969" s="3" t="inlineStr">
        <is>
          <t>D0968</t>
        </is>
      </c>
      <c r="B969" s="3">
        <f>INDEX(Raw_Schedule!B:B,MATCH(A969,Raw_Schedule!A:A,0))</f>
        <v/>
      </c>
      <c r="C969" s="3">
        <f>INDEX(Raw_Schedule!C:C,MATCH(A969,Raw_Schedule!A:A,0))</f>
        <v/>
      </c>
      <c r="D969" s="3">
        <f>INDEX(Raw_Schedule!D:D,MATCH(A969,Raw_Schedule!A:A,0))</f>
        <v/>
      </c>
      <c r="E969" s="3">
        <f>INDEX(Raw_Schedule!E:E,MATCH(A969,Raw_Schedule!A:A,0))</f>
        <v/>
      </c>
      <c r="F969" s="3">
        <f>INDEX(Raw_Schedule!F:F,MATCH(A969,Raw_Schedule!A:A,0))</f>
        <v/>
      </c>
      <c r="G969" s="4">
        <f>INDEX(Raw_Schedule!G:G,MATCH(A969,Raw_Schedule!A:A,0))</f>
        <v/>
      </c>
      <c r="H969" s="5">
        <f>INDEX(Raw_Schedule!H:H,MATCH(A969,Raw_Schedule!A:A,0))</f>
        <v/>
      </c>
      <c r="I969" s="5">
        <f>SUMIFS(Raw_Payments!E:E,Raw_Payments!B:B,A969)</f>
        <v/>
      </c>
      <c r="J969" s="5">
        <f>H969-I969</f>
        <v/>
      </c>
      <c r="K969" s="3">
        <f>IF(J969&lt;=0.005,"PAID",IF(I969&gt;0,"PARTIAL","OVERDUE"))</f>
        <v/>
      </c>
      <c r="L969" s="4">
        <f>IF(COUNTIFS(Raw_Payments!B:B,A969)=0,"",SUMPRODUCT(MAX((Raw_Payments!B$2:B$1079=A969)*Raw_Payments!D$2:D$1079)))</f>
        <v/>
      </c>
      <c r="M969" s="3">
        <f>IF(K969="PAID",MAX(0,L969-G969),Guide!$B$3-G969)</f>
        <v/>
      </c>
      <c r="N969" s="3">
        <f>IF(J969&lt;=0.005,"COLLECTED",IF(M969&lt;=30,"1-30",IF(M969&lt;=60,"31-60",IF(M969&lt;=90,"61-90","90+"))))</f>
        <v/>
      </c>
      <c r="O969" s="3">
        <f>IF(N969="90+","LOST",IF(N969="61-90","ESCALATE",IF(N969="31-60","WATCH",IF(N969="1-30","MILD","OK"))))</f>
        <v/>
      </c>
      <c r="P969" s="3">
        <f>IF(J969&gt;0.005,ROW()-1,"")</f>
        <v/>
      </c>
    </row>
    <row r="970">
      <c r="A970" s="3" t="inlineStr">
        <is>
          <t>D0969</t>
        </is>
      </c>
      <c r="B970" s="3">
        <f>INDEX(Raw_Schedule!B:B,MATCH(A970,Raw_Schedule!A:A,0))</f>
        <v/>
      </c>
      <c r="C970" s="3">
        <f>INDEX(Raw_Schedule!C:C,MATCH(A970,Raw_Schedule!A:A,0))</f>
        <v/>
      </c>
      <c r="D970" s="3">
        <f>INDEX(Raw_Schedule!D:D,MATCH(A970,Raw_Schedule!A:A,0))</f>
        <v/>
      </c>
      <c r="E970" s="3">
        <f>INDEX(Raw_Schedule!E:E,MATCH(A970,Raw_Schedule!A:A,0))</f>
        <v/>
      </c>
      <c r="F970" s="3">
        <f>INDEX(Raw_Schedule!F:F,MATCH(A970,Raw_Schedule!A:A,0))</f>
        <v/>
      </c>
      <c r="G970" s="4">
        <f>INDEX(Raw_Schedule!G:G,MATCH(A970,Raw_Schedule!A:A,0))</f>
        <v/>
      </c>
      <c r="H970" s="5">
        <f>INDEX(Raw_Schedule!H:H,MATCH(A970,Raw_Schedule!A:A,0))</f>
        <v/>
      </c>
      <c r="I970" s="5">
        <f>SUMIFS(Raw_Payments!E:E,Raw_Payments!B:B,A970)</f>
        <v/>
      </c>
      <c r="J970" s="5">
        <f>H970-I970</f>
        <v/>
      </c>
      <c r="K970" s="3">
        <f>IF(J970&lt;=0.005,"PAID",IF(I970&gt;0,"PARTIAL","OVERDUE"))</f>
        <v/>
      </c>
      <c r="L970" s="4">
        <f>IF(COUNTIFS(Raw_Payments!B:B,A970)=0,"",SUMPRODUCT(MAX((Raw_Payments!B$2:B$1079=A970)*Raw_Payments!D$2:D$1079)))</f>
        <v/>
      </c>
      <c r="M970" s="3">
        <f>IF(K970="PAID",MAX(0,L970-G970),Guide!$B$3-G970)</f>
        <v/>
      </c>
      <c r="N970" s="3">
        <f>IF(J970&lt;=0.005,"COLLECTED",IF(M970&lt;=30,"1-30",IF(M970&lt;=60,"31-60",IF(M970&lt;=90,"61-90","90+"))))</f>
        <v/>
      </c>
      <c r="O970" s="3">
        <f>IF(N970="90+","LOST",IF(N970="61-90","ESCALATE",IF(N970="31-60","WATCH",IF(N970="1-30","MILD","OK"))))</f>
        <v/>
      </c>
      <c r="P970" s="3">
        <f>IF(J970&gt;0.005,ROW()-1,"")</f>
        <v/>
      </c>
    </row>
    <row r="971">
      <c r="A971" s="3" t="inlineStr">
        <is>
          <t>D0970</t>
        </is>
      </c>
      <c r="B971" s="3">
        <f>INDEX(Raw_Schedule!B:B,MATCH(A971,Raw_Schedule!A:A,0))</f>
        <v/>
      </c>
      <c r="C971" s="3">
        <f>INDEX(Raw_Schedule!C:C,MATCH(A971,Raw_Schedule!A:A,0))</f>
        <v/>
      </c>
      <c r="D971" s="3">
        <f>INDEX(Raw_Schedule!D:D,MATCH(A971,Raw_Schedule!A:A,0))</f>
        <v/>
      </c>
      <c r="E971" s="3">
        <f>INDEX(Raw_Schedule!E:E,MATCH(A971,Raw_Schedule!A:A,0))</f>
        <v/>
      </c>
      <c r="F971" s="3">
        <f>INDEX(Raw_Schedule!F:F,MATCH(A971,Raw_Schedule!A:A,0))</f>
        <v/>
      </c>
      <c r="G971" s="4">
        <f>INDEX(Raw_Schedule!G:G,MATCH(A971,Raw_Schedule!A:A,0))</f>
        <v/>
      </c>
      <c r="H971" s="5">
        <f>INDEX(Raw_Schedule!H:H,MATCH(A971,Raw_Schedule!A:A,0))</f>
        <v/>
      </c>
      <c r="I971" s="5">
        <f>SUMIFS(Raw_Payments!E:E,Raw_Payments!B:B,A971)</f>
        <v/>
      </c>
      <c r="J971" s="5">
        <f>H971-I971</f>
        <v/>
      </c>
      <c r="K971" s="3">
        <f>IF(J971&lt;=0.005,"PAID",IF(I971&gt;0,"PARTIAL","OVERDUE"))</f>
        <v/>
      </c>
      <c r="L971" s="4">
        <f>IF(COUNTIFS(Raw_Payments!B:B,A971)=0,"",SUMPRODUCT(MAX((Raw_Payments!B$2:B$1079=A971)*Raw_Payments!D$2:D$1079)))</f>
        <v/>
      </c>
      <c r="M971" s="3">
        <f>IF(K971="PAID",MAX(0,L971-G971),Guide!$B$3-G971)</f>
        <v/>
      </c>
      <c r="N971" s="3">
        <f>IF(J971&lt;=0.005,"COLLECTED",IF(M971&lt;=30,"1-30",IF(M971&lt;=60,"31-60",IF(M971&lt;=90,"61-90","90+"))))</f>
        <v/>
      </c>
      <c r="O971" s="3">
        <f>IF(N971="90+","LOST",IF(N971="61-90","ESCALATE",IF(N971="31-60","WATCH",IF(N971="1-30","MILD","OK"))))</f>
        <v/>
      </c>
      <c r="P971" s="3">
        <f>IF(J971&gt;0.005,ROW()-1,"")</f>
        <v/>
      </c>
    </row>
    <row r="972">
      <c r="A972" s="3" t="inlineStr">
        <is>
          <t>D0971</t>
        </is>
      </c>
      <c r="B972" s="3">
        <f>INDEX(Raw_Schedule!B:B,MATCH(A972,Raw_Schedule!A:A,0))</f>
        <v/>
      </c>
      <c r="C972" s="3">
        <f>INDEX(Raw_Schedule!C:C,MATCH(A972,Raw_Schedule!A:A,0))</f>
        <v/>
      </c>
      <c r="D972" s="3">
        <f>INDEX(Raw_Schedule!D:D,MATCH(A972,Raw_Schedule!A:A,0))</f>
        <v/>
      </c>
      <c r="E972" s="3">
        <f>INDEX(Raw_Schedule!E:E,MATCH(A972,Raw_Schedule!A:A,0))</f>
        <v/>
      </c>
      <c r="F972" s="3">
        <f>INDEX(Raw_Schedule!F:F,MATCH(A972,Raw_Schedule!A:A,0))</f>
        <v/>
      </c>
      <c r="G972" s="4">
        <f>INDEX(Raw_Schedule!G:G,MATCH(A972,Raw_Schedule!A:A,0))</f>
        <v/>
      </c>
      <c r="H972" s="5">
        <f>INDEX(Raw_Schedule!H:H,MATCH(A972,Raw_Schedule!A:A,0))</f>
        <v/>
      </c>
      <c r="I972" s="5">
        <f>SUMIFS(Raw_Payments!E:E,Raw_Payments!B:B,A972)</f>
        <v/>
      </c>
      <c r="J972" s="5">
        <f>H972-I972</f>
        <v/>
      </c>
      <c r="K972" s="3">
        <f>IF(J972&lt;=0.005,"PAID",IF(I972&gt;0,"PARTIAL","OVERDUE"))</f>
        <v/>
      </c>
      <c r="L972" s="4">
        <f>IF(COUNTIFS(Raw_Payments!B:B,A972)=0,"",SUMPRODUCT(MAX((Raw_Payments!B$2:B$1079=A972)*Raw_Payments!D$2:D$1079)))</f>
        <v/>
      </c>
      <c r="M972" s="3">
        <f>IF(K972="PAID",MAX(0,L972-G972),Guide!$B$3-G972)</f>
        <v/>
      </c>
      <c r="N972" s="3">
        <f>IF(J972&lt;=0.005,"COLLECTED",IF(M972&lt;=30,"1-30",IF(M972&lt;=60,"31-60",IF(M972&lt;=90,"61-90","90+"))))</f>
        <v/>
      </c>
      <c r="O972" s="3">
        <f>IF(N972="90+","LOST",IF(N972="61-90","ESCALATE",IF(N972="31-60","WATCH",IF(N972="1-30","MILD","OK"))))</f>
        <v/>
      </c>
      <c r="P972" s="3">
        <f>IF(J972&gt;0.005,ROW()-1,"")</f>
        <v/>
      </c>
    </row>
    <row r="973">
      <c r="A973" s="3" t="inlineStr">
        <is>
          <t>D0972</t>
        </is>
      </c>
      <c r="B973" s="3">
        <f>INDEX(Raw_Schedule!B:B,MATCH(A973,Raw_Schedule!A:A,0))</f>
        <v/>
      </c>
      <c r="C973" s="3">
        <f>INDEX(Raw_Schedule!C:C,MATCH(A973,Raw_Schedule!A:A,0))</f>
        <v/>
      </c>
      <c r="D973" s="3">
        <f>INDEX(Raw_Schedule!D:D,MATCH(A973,Raw_Schedule!A:A,0))</f>
        <v/>
      </c>
      <c r="E973" s="3">
        <f>INDEX(Raw_Schedule!E:E,MATCH(A973,Raw_Schedule!A:A,0))</f>
        <v/>
      </c>
      <c r="F973" s="3">
        <f>INDEX(Raw_Schedule!F:F,MATCH(A973,Raw_Schedule!A:A,0))</f>
        <v/>
      </c>
      <c r="G973" s="4">
        <f>INDEX(Raw_Schedule!G:G,MATCH(A973,Raw_Schedule!A:A,0))</f>
        <v/>
      </c>
      <c r="H973" s="5">
        <f>INDEX(Raw_Schedule!H:H,MATCH(A973,Raw_Schedule!A:A,0))</f>
        <v/>
      </c>
      <c r="I973" s="5">
        <f>SUMIFS(Raw_Payments!E:E,Raw_Payments!B:B,A973)</f>
        <v/>
      </c>
      <c r="J973" s="5">
        <f>H973-I973</f>
        <v/>
      </c>
      <c r="K973" s="3">
        <f>IF(J973&lt;=0.005,"PAID",IF(I973&gt;0,"PARTIAL","OVERDUE"))</f>
        <v/>
      </c>
      <c r="L973" s="4">
        <f>IF(COUNTIFS(Raw_Payments!B:B,A973)=0,"",SUMPRODUCT(MAX((Raw_Payments!B$2:B$1079=A973)*Raw_Payments!D$2:D$1079)))</f>
        <v/>
      </c>
      <c r="M973" s="3">
        <f>IF(K973="PAID",MAX(0,L973-G973),Guide!$B$3-G973)</f>
        <v/>
      </c>
      <c r="N973" s="3">
        <f>IF(J973&lt;=0.005,"COLLECTED",IF(M973&lt;=30,"1-30",IF(M973&lt;=60,"31-60",IF(M973&lt;=90,"61-90","90+"))))</f>
        <v/>
      </c>
      <c r="O973" s="3">
        <f>IF(N973="90+","LOST",IF(N973="61-90","ESCALATE",IF(N973="31-60","WATCH",IF(N973="1-30","MILD","OK"))))</f>
        <v/>
      </c>
      <c r="P973" s="3">
        <f>IF(J973&gt;0.005,ROW()-1,"")</f>
        <v/>
      </c>
    </row>
    <row r="974">
      <c r="A974" s="3" t="inlineStr">
        <is>
          <t>D0973</t>
        </is>
      </c>
      <c r="B974" s="3">
        <f>INDEX(Raw_Schedule!B:B,MATCH(A974,Raw_Schedule!A:A,0))</f>
        <v/>
      </c>
      <c r="C974" s="3">
        <f>INDEX(Raw_Schedule!C:C,MATCH(A974,Raw_Schedule!A:A,0))</f>
        <v/>
      </c>
      <c r="D974" s="3">
        <f>INDEX(Raw_Schedule!D:D,MATCH(A974,Raw_Schedule!A:A,0))</f>
        <v/>
      </c>
      <c r="E974" s="3">
        <f>INDEX(Raw_Schedule!E:E,MATCH(A974,Raw_Schedule!A:A,0))</f>
        <v/>
      </c>
      <c r="F974" s="3">
        <f>INDEX(Raw_Schedule!F:F,MATCH(A974,Raw_Schedule!A:A,0))</f>
        <v/>
      </c>
      <c r="G974" s="4">
        <f>INDEX(Raw_Schedule!G:G,MATCH(A974,Raw_Schedule!A:A,0))</f>
        <v/>
      </c>
      <c r="H974" s="5">
        <f>INDEX(Raw_Schedule!H:H,MATCH(A974,Raw_Schedule!A:A,0))</f>
        <v/>
      </c>
      <c r="I974" s="5">
        <f>SUMIFS(Raw_Payments!E:E,Raw_Payments!B:B,A974)</f>
        <v/>
      </c>
      <c r="J974" s="5">
        <f>H974-I974</f>
        <v/>
      </c>
      <c r="K974" s="3">
        <f>IF(J974&lt;=0.005,"PAID",IF(I974&gt;0,"PARTIAL","OVERDUE"))</f>
        <v/>
      </c>
      <c r="L974" s="4">
        <f>IF(COUNTIFS(Raw_Payments!B:B,A974)=0,"",SUMPRODUCT(MAX((Raw_Payments!B$2:B$1079=A974)*Raw_Payments!D$2:D$1079)))</f>
        <v/>
      </c>
      <c r="M974" s="3">
        <f>IF(K974="PAID",MAX(0,L974-G974),Guide!$B$3-G974)</f>
        <v/>
      </c>
      <c r="N974" s="3">
        <f>IF(J974&lt;=0.005,"COLLECTED",IF(M974&lt;=30,"1-30",IF(M974&lt;=60,"31-60",IF(M974&lt;=90,"61-90","90+"))))</f>
        <v/>
      </c>
      <c r="O974" s="3">
        <f>IF(N974="90+","LOST",IF(N974="61-90","ESCALATE",IF(N974="31-60","WATCH",IF(N974="1-30","MILD","OK"))))</f>
        <v/>
      </c>
      <c r="P974" s="3">
        <f>IF(J974&gt;0.005,ROW()-1,"")</f>
        <v/>
      </c>
    </row>
    <row r="975">
      <c r="A975" s="3" t="inlineStr">
        <is>
          <t>D0974</t>
        </is>
      </c>
      <c r="B975" s="3">
        <f>INDEX(Raw_Schedule!B:B,MATCH(A975,Raw_Schedule!A:A,0))</f>
        <v/>
      </c>
      <c r="C975" s="3">
        <f>INDEX(Raw_Schedule!C:C,MATCH(A975,Raw_Schedule!A:A,0))</f>
        <v/>
      </c>
      <c r="D975" s="3">
        <f>INDEX(Raw_Schedule!D:D,MATCH(A975,Raw_Schedule!A:A,0))</f>
        <v/>
      </c>
      <c r="E975" s="3">
        <f>INDEX(Raw_Schedule!E:E,MATCH(A975,Raw_Schedule!A:A,0))</f>
        <v/>
      </c>
      <c r="F975" s="3">
        <f>INDEX(Raw_Schedule!F:F,MATCH(A975,Raw_Schedule!A:A,0))</f>
        <v/>
      </c>
      <c r="G975" s="4">
        <f>INDEX(Raw_Schedule!G:G,MATCH(A975,Raw_Schedule!A:A,0))</f>
        <v/>
      </c>
      <c r="H975" s="5">
        <f>INDEX(Raw_Schedule!H:H,MATCH(A975,Raw_Schedule!A:A,0))</f>
        <v/>
      </c>
      <c r="I975" s="5">
        <f>SUMIFS(Raw_Payments!E:E,Raw_Payments!B:B,A975)</f>
        <v/>
      </c>
      <c r="J975" s="5">
        <f>H975-I975</f>
        <v/>
      </c>
      <c r="K975" s="3">
        <f>IF(J975&lt;=0.005,"PAID",IF(I975&gt;0,"PARTIAL","OVERDUE"))</f>
        <v/>
      </c>
      <c r="L975" s="4">
        <f>IF(COUNTIFS(Raw_Payments!B:B,A975)=0,"",SUMPRODUCT(MAX((Raw_Payments!B$2:B$1079=A975)*Raw_Payments!D$2:D$1079)))</f>
        <v/>
      </c>
      <c r="M975" s="3">
        <f>IF(K975="PAID",MAX(0,L975-G975),Guide!$B$3-G975)</f>
        <v/>
      </c>
      <c r="N975" s="3">
        <f>IF(J975&lt;=0.005,"COLLECTED",IF(M975&lt;=30,"1-30",IF(M975&lt;=60,"31-60",IF(M975&lt;=90,"61-90","90+"))))</f>
        <v/>
      </c>
      <c r="O975" s="3">
        <f>IF(N975="90+","LOST",IF(N975="61-90","ESCALATE",IF(N975="31-60","WATCH",IF(N975="1-30","MILD","OK"))))</f>
        <v/>
      </c>
      <c r="P975" s="3">
        <f>IF(J975&gt;0.005,ROW()-1,"")</f>
        <v/>
      </c>
    </row>
    <row r="976">
      <c r="A976" s="3" t="inlineStr">
        <is>
          <t>D0975</t>
        </is>
      </c>
      <c r="B976" s="3">
        <f>INDEX(Raw_Schedule!B:B,MATCH(A976,Raw_Schedule!A:A,0))</f>
        <v/>
      </c>
      <c r="C976" s="3">
        <f>INDEX(Raw_Schedule!C:C,MATCH(A976,Raw_Schedule!A:A,0))</f>
        <v/>
      </c>
      <c r="D976" s="3">
        <f>INDEX(Raw_Schedule!D:D,MATCH(A976,Raw_Schedule!A:A,0))</f>
        <v/>
      </c>
      <c r="E976" s="3">
        <f>INDEX(Raw_Schedule!E:E,MATCH(A976,Raw_Schedule!A:A,0))</f>
        <v/>
      </c>
      <c r="F976" s="3">
        <f>INDEX(Raw_Schedule!F:F,MATCH(A976,Raw_Schedule!A:A,0))</f>
        <v/>
      </c>
      <c r="G976" s="4">
        <f>INDEX(Raw_Schedule!G:G,MATCH(A976,Raw_Schedule!A:A,0))</f>
        <v/>
      </c>
      <c r="H976" s="5">
        <f>INDEX(Raw_Schedule!H:H,MATCH(A976,Raw_Schedule!A:A,0))</f>
        <v/>
      </c>
      <c r="I976" s="5">
        <f>SUMIFS(Raw_Payments!E:E,Raw_Payments!B:B,A976)</f>
        <v/>
      </c>
      <c r="J976" s="5">
        <f>H976-I976</f>
        <v/>
      </c>
      <c r="K976" s="3">
        <f>IF(J976&lt;=0.005,"PAID",IF(I976&gt;0,"PARTIAL","OVERDUE"))</f>
        <v/>
      </c>
      <c r="L976" s="4">
        <f>IF(COUNTIFS(Raw_Payments!B:B,A976)=0,"",SUMPRODUCT(MAX((Raw_Payments!B$2:B$1079=A976)*Raw_Payments!D$2:D$1079)))</f>
        <v/>
      </c>
      <c r="M976" s="3">
        <f>IF(K976="PAID",MAX(0,L976-G976),Guide!$B$3-G976)</f>
        <v/>
      </c>
      <c r="N976" s="3">
        <f>IF(J976&lt;=0.005,"COLLECTED",IF(M976&lt;=30,"1-30",IF(M976&lt;=60,"31-60",IF(M976&lt;=90,"61-90","90+"))))</f>
        <v/>
      </c>
      <c r="O976" s="3">
        <f>IF(N976="90+","LOST",IF(N976="61-90","ESCALATE",IF(N976="31-60","WATCH",IF(N976="1-30","MILD","OK"))))</f>
        <v/>
      </c>
      <c r="P976" s="3">
        <f>IF(J976&gt;0.005,ROW()-1,"")</f>
        <v/>
      </c>
    </row>
    <row r="977">
      <c r="A977" s="3" t="inlineStr">
        <is>
          <t>D0976</t>
        </is>
      </c>
      <c r="B977" s="3">
        <f>INDEX(Raw_Schedule!B:B,MATCH(A977,Raw_Schedule!A:A,0))</f>
        <v/>
      </c>
      <c r="C977" s="3">
        <f>INDEX(Raw_Schedule!C:C,MATCH(A977,Raw_Schedule!A:A,0))</f>
        <v/>
      </c>
      <c r="D977" s="3">
        <f>INDEX(Raw_Schedule!D:D,MATCH(A977,Raw_Schedule!A:A,0))</f>
        <v/>
      </c>
      <c r="E977" s="3">
        <f>INDEX(Raw_Schedule!E:E,MATCH(A977,Raw_Schedule!A:A,0))</f>
        <v/>
      </c>
      <c r="F977" s="3">
        <f>INDEX(Raw_Schedule!F:F,MATCH(A977,Raw_Schedule!A:A,0))</f>
        <v/>
      </c>
      <c r="G977" s="4">
        <f>INDEX(Raw_Schedule!G:G,MATCH(A977,Raw_Schedule!A:A,0))</f>
        <v/>
      </c>
      <c r="H977" s="5">
        <f>INDEX(Raw_Schedule!H:H,MATCH(A977,Raw_Schedule!A:A,0))</f>
        <v/>
      </c>
      <c r="I977" s="5">
        <f>SUMIFS(Raw_Payments!E:E,Raw_Payments!B:B,A977)</f>
        <v/>
      </c>
      <c r="J977" s="5">
        <f>H977-I977</f>
        <v/>
      </c>
      <c r="K977" s="3">
        <f>IF(J977&lt;=0.005,"PAID",IF(I977&gt;0,"PARTIAL","OVERDUE"))</f>
        <v/>
      </c>
      <c r="L977" s="4">
        <f>IF(COUNTIFS(Raw_Payments!B:B,A977)=0,"",SUMPRODUCT(MAX((Raw_Payments!B$2:B$1079=A977)*Raw_Payments!D$2:D$1079)))</f>
        <v/>
      </c>
      <c r="M977" s="3">
        <f>IF(K977="PAID",MAX(0,L977-G977),Guide!$B$3-G977)</f>
        <v/>
      </c>
      <c r="N977" s="3">
        <f>IF(J977&lt;=0.005,"COLLECTED",IF(M977&lt;=30,"1-30",IF(M977&lt;=60,"31-60",IF(M977&lt;=90,"61-90","90+"))))</f>
        <v/>
      </c>
      <c r="O977" s="3">
        <f>IF(N977="90+","LOST",IF(N977="61-90","ESCALATE",IF(N977="31-60","WATCH",IF(N977="1-30","MILD","OK"))))</f>
        <v/>
      </c>
      <c r="P977" s="3">
        <f>IF(J977&gt;0.005,ROW()-1,"")</f>
        <v/>
      </c>
    </row>
    <row r="978">
      <c r="A978" s="3" t="inlineStr">
        <is>
          <t>D0977</t>
        </is>
      </c>
      <c r="B978" s="3">
        <f>INDEX(Raw_Schedule!B:B,MATCH(A978,Raw_Schedule!A:A,0))</f>
        <v/>
      </c>
      <c r="C978" s="3">
        <f>INDEX(Raw_Schedule!C:C,MATCH(A978,Raw_Schedule!A:A,0))</f>
        <v/>
      </c>
      <c r="D978" s="3">
        <f>INDEX(Raw_Schedule!D:D,MATCH(A978,Raw_Schedule!A:A,0))</f>
        <v/>
      </c>
      <c r="E978" s="3">
        <f>INDEX(Raw_Schedule!E:E,MATCH(A978,Raw_Schedule!A:A,0))</f>
        <v/>
      </c>
      <c r="F978" s="3">
        <f>INDEX(Raw_Schedule!F:F,MATCH(A978,Raw_Schedule!A:A,0))</f>
        <v/>
      </c>
      <c r="G978" s="4">
        <f>INDEX(Raw_Schedule!G:G,MATCH(A978,Raw_Schedule!A:A,0))</f>
        <v/>
      </c>
      <c r="H978" s="5">
        <f>INDEX(Raw_Schedule!H:H,MATCH(A978,Raw_Schedule!A:A,0))</f>
        <v/>
      </c>
      <c r="I978" s="5">
        <f>SUMIFS(Raw_Payments!E:E,Raw_Payments!B:B,A978)</f>
        <v/>
      </c>
      <c r="J978" s="5">
        <f>H978-I978</f>
        <v/>
      </c>
      <c r="K978" s="3">
        <f>IF(J978&lt;=0.005,"PAID",IF(I978&gt;0,"PARTIAL","OVERDUE"))</f>
        <v/>
      </c>
      <c r="L978" s="4">
        <f>IF(COUNTIFS(Raw_Payments!B:B,A978)=0,"",SUMPRODUCT(MAX((Raw_Payments!B$2:B$1079=A978)*Raw_Payments!D$2:D$1079)))</f>
        <v/>
      </c>
      <c r="M978" s="3">
        <f>IF(K978="PAID",MAX(0,L978-G978),Guide!$B$3-G978)</f>
        <v/>
      </c>
      <c r="N978" s="3">
        <f>IF(J978&lt;=0.005,"COLLECTED",IF(M978&lt;=30,"1-30",IF(M978&lt;=60,"31-60",IF(M978&lt;=90,"61-90","90+"))))</f>
        <v/>
      </c>
      <c r="O978" s="3">
        <f>IF(N978="90+","LOST",IF(N978="61-90","ESCALATE",IF(N978="31-60","WATCH",IF(N978="1-30","MILD","OK"))))</f>
        <v/>
      </c>
      <c r="P978" s="3">
        <f>IF(J978&gt;0.005,ROW()-1,"")</f>
        <v/>
      </c>
    </row>
    <row r="979">
      <c r="A979" s="3" t="inlineStr">
        <is>
          <t>D0978</t>
        </is>
      </c>
      <c r="B979" s="3">
        <f>INDEX(Raw_Schedule!B:B,MATCH(A979,Raw_Schedule!A:A,0))</f>
        <v/>
      </c>
      <c r="C979" s="3">
        <f>INDEX(Raw_Schedule!C:C,MATCH(A979,Raw_Schedule!A:A,0))</f>
        <v/>
      </c>
      <c r="D979" s="3">
        <f>INDEX(Raw_Schedule!D:D,MATCH(A979,Raw_Schedule!A:A,0))</f>
        <v/>
      </c>
      <c r="E979" s="3">
        <f>INDEX(Raw_Schedule!E:E,MATCH(A979,Raw_Schedule!A:A,0))</f>
        <v/>
      </c>
      <c r="F979" s="3">
        <f>INDEX(Raw_Schedule!F:F,MATCH(A979,Raw_Schedule!A:A,0))</f>
        <v/>
      </c>
      <c r="G979" s="4">
        <f>INDEX(Raw_Schedule!G:G,MATCH(A979,Raw_Schedule!A:A,0))</f>
        <v/>
      </c>
      <c r="H979" s="5">
        <f>INDEX(Raw_Schedule!H:H,MATCH(A979,Raw_Schedule!A:A,0))</f>
        <v/>
      </c>
      <c r="I979" s="5">
        <f>SUMIFS(Raw_Payments!E:E,Raw_Payments!B:B,A979)</f>
        <v/>
      </c>
      <c r="J979" s="5">
        <f>H979-I979</f>
        <v/>
      </c>
      <c r="K979" s="3">
        <f>IF(J979&lt;=0.005,"PAID",IF(I979&gt;0,"PARTIAL","OVERDUE"))</f>
        <v/>
      </c>
      <c r="L979" s="4">
        <f>IF(COUNTIFS(Raw_Payments!B:B,A979)=0,"",SUMPRODUCT(MAX((Raw_Payments!B$2:B$1079=A979)*Raw_Payments!D$2:D$1079)))</f>
        <v/>
      </c>
      <c r="M979" s="3">
        <f>IF(K979="PAID",MAX(0,L979-G979),Guide!$B$3-G979)</f>
        <v/>
      </c>
      <c r="N979" s="3">
        <f>IF(J979&lt;=0.005,"COLLECTED",IF(M979&lt;=30,"1-30",IF(M979&lt;=60,"31-60",IF(M979&lt;=90,"61-90","90+"))))</f>
        <v/>
      </c>
      <c r="O979" s="3">
        <f>IF(N979="90+","LOST",IF(N979="61-90","ESCALATE",IF(N979="31-60","WATCH",IF(N979="1-30","MILD","OK"))))</f>
        <v/>
      </c>
      <c r="P979" s="3">
        <f>IF(J979&gt;0.005,ROW()-1,"")</f>
        <v/>
      </c>
    </row>
    <row r="980">
      <c r="A980" s="3" t="inlineStr">
        <is>
          <t>D0979</t>
        </is>
      </c>
      <c r="B980" s="3">
        <f>INDEX(Raw_Schedule!B:B,MATCH(A980,Raw_Schedule!A:A,0))</f>
        <v/>
      </c>
      <c r="C980" s="3">
        <f>INDEX(Raw_Schedule!C:C,MATCH(A980,Raw_Schedule!A:A,0))</f>
        <v/>
      </c>
      <c r="D980" s="3">
        <f>INDEX(Raw_Schedule!D:D,MATCH(A980,Raw_Schedule!A:A,0))</f>
        <v/>
      </c>
      <c r="E980" s="3">
        <f>INDEX(Raw_Schedule!E:E,MATCH(A980,Raw_Schedule!A:A,0))</f>
        <v/>
      </c>
      <c r="F980" s="3">
        <f>INDEX(Raw_Schedule!F:F,MATCH(A980,Raw_Schedule!A:A,0))</f>
        <v/>
      </c>
      <c r="G980" s="4">
        <f>INDEX(Raw_Schedule!G:G,MATCH(A980,Raw_Schedule!A:A,0))</f>
        <v/>
      </c>
      <c r="H980" s="5">
        <f>INDEX(Raw_Schedule!H:H,MATCH(A980,Raw_Schedule!A:A,0))</f>
        <v/>
      </c>
      <c r="I980" s="5">
        <f>SUMIFS(Raw_Payments!E:E,Raw_Payments!B:B,A980)</f>
        <v/>
      </c>
      <c r="J980" s="5">
        <f>H980-I980</f>
        <v/>
      </c>
      <c r="K980" s="3">
        <f>IF(J980&lt;=0.005,"PAID",IF(I980&gt;0,"PARTIAL","OVERDUE"))</f>
        <v/>
      </c>
      <c r="L980" s="4">
        <f>IF(COUNTIFS(Raw_Payments!B:B,A980)=0,"",SUMPRODUCT(MAX((Raw_Payments!B$2:B$1079=A980)*Raw_Payments!D$2:D$1079)))</f>
        <v/>
      </c>
      <c r="M980" s="3">
        <f>IF(K980="PAID",MAX(0,L980-G980),Guide!$B$3-G980)</f>
        <v/>
      </c>
      <c r="N980" s="3">
        <f>IF(J980&lt;=0.005,"COLLECTED",IF(M980&lt;=30,"1-30",IF(M980&lt;=60,"31-60",IF(M980&lt;=90,"61-90","90+"))))</f>
        <v/>
      </c>
      <c r="O980" s="3">
        <f>IF(N980="90+","LOST",IF(N980="61-90","ESCALATE",IF(N980="31-60","WATCH",IF(N980="1-30","MILD","OK"))))</f>
        <v/>
      </c>
      <c r="P980" s="3">
        <f>IF(J980&gt;0.005,ROW()-1,"")</f>
        <v/>
      </c>
    </row>
    <row r="981">
      <c r="A981" s="3" t="inlineStr">
        <is>
          <t>D0980</t>
        </is>
      </c>
      <c r="B981" s="3">
        <f>INDEX(Raw_Schedule!B:B,MATCH(A981,Raw_Schedule!A:A,0))</f>
        <v/>
      </c>
      <c r="C981" s="3">
        <f>INDEX(Raw_Schedule!C:C,MATCH(A981,Raw_Schedule!A:A,0))</f>
        <v/>
      </c>
      <c r="D981" s="3">
        <f>INDEX(Raw_Schedule!D:D,MATCH(A981,Raw_Schedule!A:A,0))</f>
        <v/>
      </c>
      <c r="E981" s="3">
        <f>INDEX(Raw_Schedule!E:E,MATCH(A981,Raw_Schedule!A:A,0))</f>
        <v/>
      </c>
      <c r="F981" s="3">
        <f>INDEX(Raw_Schedule!F:F,MATCH(A981,Raw_Schedule!A:A,0))</f>
        <v/>
      </c>
      <c r="G981" s="4">
        <f>INDEX(Raw_Schedule!G:G,MATCH(A981,Raw_Schedule!A:A,0))</f>
        <v/>
      </c>
      <c r="H981" s="5">
        <f>INDEX(Raw_Schedule!H:H,MATCH(A981,Raw_Schedule!A:A,0))</f>
        <v/>
      </c>
      <c r="I981" s="5">
        <f>SUMIFS(Raw_Payments!E:E,Raw_Payments!B:B,A981)</f>
        <v/>
      </c>
      <c r="J981" s="5">
        <f>H981-I981</f>
        <v/>
      </c>
      <c r="K981" s="3">
        <f>IF(J981&lt;=0.005,"PAID",IF(I981&gt;0,"PARTIAL","OVERDUE"))</f>
        <v/>
      </c>
      <c r="L981" s="4">
        <f>IF(COUNTIFS(Raw_Payments!B:B,A981)=0,"",SUMPRODUCT(MAX((Raw_Payments!B$2:B$1079=A981)*Raw_Payments!D$2:D$1079)))</f>
        <v/>
      </c>
      <c r="M981" s="3">
        <f>IF(K981="PAID",MAX(0,L981-G981),Guide!$B$3-G981)</f>
        <v/>
      </c>
      <c r="N981" s="3">
        <f>IF(J981&lt;=0.005,"COLLECTED",IF(M981&lt;=30,"1-30",IF(M981&lt;=60,"31-60",IF(M981&lt;=90,"61-90","90+"))))</f>
        <v/>
      </c>
      <c r="O981" s="3">
        <f>IF(N981="90+","LOST",IF(N981="61-90","ESCALATE",IF(N981="31-60","WATCH",IF(N981="1-30","MILD","OK"))))</f>
        <v/>
      </c>
      <c r="P981" s="3">
        <f>IF(J981&gt;0.005,ROW()-1,"")</f>
        <v/>
      </c>
    </row>
    <row r="982">
      <c r="A982" s="3" t="inlineStr">
        <is>
          <t>D0981</t>
        </is>
      </c>
      <c r="B982" s="3">
        <f>INDEX(Raw_Schedule!B:B,MATCH(A982,Raw_Schedule!A:A,0))</f>
        <v/>
      </c>
      <c r="C982" s="3">
        <f>INDEX(Raw_Schedule!C:C,MATCH(A982,Raw_Schedule!A:A,0))</f>
        <v/>
      </c>
      <c r="D982" s="3">
        <f>INDEX(Raw_Schedule!D:D,MATCH(A982,Raw_Schedule!A:A,0))</f>
        <v/>
      </c>
      <c r="E982" s="3">
        <f>INDEX(Raw_Schedule!E:E,MATCH(A982,Raw_Schedule!A:A,0))</f>
        <v/>
      </c>
      <c r="F982" s="3">
        <f>INDEX(Raw_Schedule!F:F,MATCH(A982,Raw_Schedule!A:A,0))</f>
        <v/>
      </c>
      <c r="G982" s="4">
        <f>INDEX(Raw_Schedule!G:G,MATCH(A982,Raw_Schedule!A:A,0))</f>
        <v/>
      </c>
      <c r="H982" s="5">
        <f>INDEX(Raw_Schedule!H:H,MATCH(A982,Raw_Schedule!A:A,0))</f>
        <v/>
      </c>
      <c r="I982" s="5">
        <f>SUMIFS(Raw_Payments!E:E,Raw_Payments!B:B,A982)</f>
        <v/>
      </c>
      <c r="J982" s="5">
        <f>H982-I982</f>
        <v/>
      </c>
      <c r="K982" s="3">
        <f>IF(J982&lt;=0.005,"PAID",IF(I982&gt;0,"PARTIAL","OVERDUE"))</f>
        <v/>
      </c>
      <c r="L982" s="4">
        <f>IF(COUNTIFS(Raw_Payments!B:B,A982)=0,"",SUMPRODUCT(MAX((Raw_Payments!B$2:B$1079=A982)*Raw_Payments!D$2:D$1079)))</f>
        <v/>
      </c>
      <c r="M982" s="3">
        <f>IF(K982="PAID",MAX(0,L982-G982),Guide!$B$3-G982)</f>
        <v/>
      </c>
      <c r="N982" s="3">
        <f>IF(J982&lt;=0.005,"COLLECTED",IF(M982&lt;=30,"1-30",IF(M982&lt;=60,"31-60",IF(M982&lt;=90,"61-90","90+"))))</f>
        <v/>
      </c>
      <c r="O982" s="3">
        <f>IF(N982="90+","LOST",IF(N982="61-90","ESCALATE",IF(N982="31-60","WATCH",IF(N982="1-30","MILD","OK"))))</f>
        <v/>
      </c>
      <c r="P982" s="3">
        <f>IF(J982&gt;0.005,ROW()-1,"")</f>
        <v/>
      </c>
    </row>
    <row r="983">
      <c r="A983" s="3" t="inlineStr">
        <is>
          <t>D0982</t>
        </is>
      </c>
      <c r="B983" s="3">
        <f>INDEX(Raw_Schedule!B:B,MATCH(A983,Raw_Schedule!A:A,0))</f>
        <v/>
      </c>
      <c r="C983" s="3">
        <f>INDEX(Raw_Schedule!C:C,MATCH(A983,Raw_Schedule!A:A,0))</f>
        <v/>
      </c>
      <c r="D983" s="3">
        <f>INDEX(Raw_Schedule!D:D,MATCH(A983,Raw_Schedule!A:A,0))</f>
        <v/>
      </c>
      <c r="E983" s="3">
        <f>INDEX(Raw_Schedule!E:E,MATCH(A983,Raw_Schedule!A:A,0))</f>
        <v/>
      </c>
      <c r="F983" s="3">
        <f>INDEX(Raw_Schedule!F:F,MATCH(A983,Raw_Schedule!A:A,0))</f>
        <v/>
      </c>
      <c r="G983" s="4">
        <f>INDEX(Raw_Schedule!G:G,MATCH(A983,Raw_Schedule!A:A,0))</f>
        <v/>
      </c>
      <c r="H983" s="5">
        <f>INDEX(Raw_Schedule!H:H,MATCH(A983,Raw_Schedule!A:A,0))</f>
        <v/>
      </c>
      <c r="I983" s="5">
        <f>SUMIFS(Raw_Payments!E:E,Raw_Payments!B:B,A983)</f>
        <v/>
      </c>
      <c r="J983" s="5">
        <f>H983-I983</f>
        <v/>
      </c>
      <c r="K983" s="3">
        <f>IF(J983&lt;=0.005,"PAID",IF(I983&gt;0,"PARTIAL","OVERDUE"))</f>
        <v/>
      </c>
      <c r="L983" s="4">
        <f>IF(COUNTIFS(Raw_Payments!B:B,A983)=0,"",SUMPRODUCT(MAX((Raw_Payments!B$2:B$1079=A983)*Raw_Payments!D$2:D$1079)))</f>
        <v/>
      </c>
      <c r="M983" s="3">
        <f>IF(K983="PAID",MAX(0,L983-G983),Guide!$B$3-G983)</f>
        <v/>
      </c>
      <c r="N983" s="3">
        <f>IF(J983&lt;=0.005,"COLLECTED",IF(M983&lt;=30,"1-30",IF(M983&lt;=60,"31-60",IF(M983&lt;=90,"61-90","90+"))))</f>
        <v/>
      </c>
      <c r="O983" s="3">
        <f>IF(N983="90+","LOST",IF(N983="61-90","ESCALATE",IF(N983="31-60","WATCH",IF(N983="1-30","MILD","OK"))))</f>
        <v/>
      </c>
      <c r="P983" s="3">
        <f>IF(J983&gt;0.005,ROW()-1,"")</f>
        <v/>
      </c>
    </row>
    <row r="984">
      <c r="A984" s="3" t="inlineStr">
        <is>
          <t>D0983</t>
        </is>
      </c>
      <c r="B984" s="3">
        <f>INDEX(Raw_Schedule!B:B,MATCH(A984,Raw_Schedule!A:A,0))</f>
        <v/>
      </c>
      <c r="C984" s="3">
        <f>INDEX(Raw_Schedule!C:C,MATCH(A984,Raw_Schedule!A:A,0))</f>
        <v/>
      </c>
      <c r="D984" s="3">
        <f>INDEX(Raw_Schedule!D:D,MATCH(A984,Raw_Schedule!A:A,0))</f>
        <v/>
      </c>
      <c r="E984" s="3">
        <f>INDEX(Raw_Schedule!E:E,MATCH(A984,Raw_Schedule!A:A,0))</f>
        <v/>
      </c>
      <c r="F984" s="3">
        <f>INDEX(Raw_Schedule!F:F,MATCH(A984,Raw_Schedule!A:A,0))</f>
        <v/>
      </c>
      <c r="G984" s="4">
        <f>INDEX(Raw_Schedule!G:G,MATCH(A984,Raw_Schedule!A:A,0))</f>
        <v/>
      </c>
      <c r="H984" s="5">
        <f>INDEX(Raw_Schedule!H:H,MATCH(A984,Raw_Schedule!A:A,0))</f>
        <v/>
      </c>
      <c r="I984" s="5">
        <f>SUMIFS(Raw_Payments!E:E,Raw_Payments!B:B,A984)</f>
        <v/>
      </c>
      <c r="J984" s="5">
        <f>H984-I984</f>
        <v/>
      </c>
      <c r="K984" s="3">
        <f>IF(J984&lt;=0.005,"PAID",IF(I984&gt;0,"PARTIAL","OVERDUE"))</f>
        <v/>
      </c>
      <c r="L984" s="4">
        <f>IF(COUNTIFS(Raw_Payments!B:B,A984)=0,"",SUMPRODUCT(MAX((Raw_Payments!B$2:B$1079=A984)*Raw_Payments!D$2:D$1079)))</f>
        <v/>
      </c>
      <c r="M984" s="3">
        <f>IF(K984="PAID",MAX(0,L984-G984),Guide!$B$3-G984)</f>
        <v/>
      </c>
      <c r="N984" s="3">
        <f>IF(J984&lt;=0.005,"COLLECTED",IF(M984&lt;=30,"1-30",IF(M984&lt;=60,"31-60",IF(M984&lt;=90,"61-90","90+"))))</f>
        <v/>
      </c>
      <c r="O984" s="3">
        <f>IF(N984="90+","LOST",IF(N984="61-90","ESCALATE",IF(N984="31-60","WATCH",IF(N984="1-30","MILD","OK"))))</f>
        <v/>
      </c>
      <c r="P984" s="3">
        <f>IF(J984&gt;0.005,ROW()-1,"")</f>
        <v/>
      </c>
    </row>
    <row r="985">
      <c r="A985" s="3" t="inlineStr">
        <is>
          <t>D0984</t>
        </is>
      </c>
      <c r="B985" s="3">
        <f>INDEX(Raw_Schedule!B:B,MATCH(A985,Raw_Schedule!A:A,0))</f>
        <v/>
      </c>
      <c r="C985" s="3">
        <f>INDEX(Raw_Schedule!C:C,MATCH(A985,Raw_Schedule!A:A,0))</f>
        <v/>
      </c>
      <c r="D985" s="3">
        <f>INDEX(Raw_Schedule!D:D,MATCH(A985,Raw_Schedule!A:A,0))</f>
        <v/>
      </c>
      <c r="E985" s="3">
        <f>INDEX(Raw_Schedule!E:E,MATCH(A985,Raw_Schedule!A:A,0))</f>
        <v/>
      </c>
      <c r="F985" s="3">
        <f>INDEX(Raw_Schedule!F:F,MATCH(A985,Raw_Schedule!A:A,0))</f>
        <v/>
      </c>
      <c r="G985" s="4">
        <f>INDEX(Raw_Schedule!G:G,MATCH(A985,Raw_Schedule!A:A,0))</f>
        <v/>
      </c>
      <c r="H985" s="5">
        <f>INDEX(Raw_Schedule!H:H,MATCH(A985,Raw_Schedule!A:A,0))</f>
        <v/>
      </c>
      <c r="I985" s="5">
        <f>SUMIFS(Raw_Payments!E:E,Raw_Payments!B:B,A985)</f>
        <v/>
      </c>
      <c r="J985" s="5">
        <f>H985-I985</f>
        <v/>
      </c>
      <c r="K985" s="3">
        <f>IF(J985&lt;=0.005,"PAID",IF(I985&gt;0,"PARTIAL","OVERDUE"))</f>
        <v/>
      </c>
      <c r="L985" s="4">
        <f>IF(COUNTIFS(Raw_Payments!B:B,A985)=0,"",SUMPRODUCT(MAX((Raw_Payments!B$2:B$1079=A985)*Raw_Payments!D$2:D$1079)))</f>
        <v/>
      </c>
      <c r="M985" s="3">
        <f>IF(K985="PAID",MAX(0,L985-G985),Guide!$B$3-G985)</f>
        <v/>
      </c>
      <c r="N985" s="3">
        <f>IF(J985&lt;=0.005,"COLLECTED",IF(M985&lt;=30,"1-30",IF(M985&lt;=60,"31-60",IF(M985&lt;=90,"61-90","90+"))))</f>
        <v/>
      </c>
      <c r="O985" s="3">
        <f>IF(N985="90+","LOST",IF(N985="61-90","ESCALATE",IF(N985="31-60","WATCH",IF(N985="1-30","MILD","OK"))))</f>
        <v/>
      </c>
      <c r="P985" s="3">
        <f>IF(J985&gt;0.005,ROW()-1,"")</f>
        <v/>
      </c>
    </row>
    <row r="986">
      <c r="A986" s="3" t="inlineStr">
        <is>
          <t>D0985</t>
        </is>
      </c>
      <c r="B986" s="3">
        <f>INDEX(Raw_Schedule!B:B,MATCH(A986,Raw_Schedule!A:A,0))</f>
        <v/>
      </c>
      <c r="C986" s="3">
        <f>INDEX(Raw_Schedule!C:C,MATCH(A986,Raw_Schedule!A:A,0))</f>
        <v/>
      </c>
      <c r="D986" s="3">
        <f>INDEX(Raw_Schedule!D:D,MATCH(A986,Raw_Schedule!A:A,0))</f>
        <v/>
      </c>
      <c r="E986" s="3">
        <f>INDEX(Raw_Schedule!E:E,MATCH(A986,Raw_Schedule!A:A,0))</f>
        <v/>
      </c>
      <c r="F986" s="3">
        <f>INDEX(Raw_Schedule!F:F,MATCH(A986,Raw_Schedule!A:A,0))</f>
        <v/>
      </c>
      <c r="G986" s="4">
        <f>INDEX(Raw_Schedule!G:G,MATCH(A986,Raw_Schedule!A:A,0))</f>
        <v/>
      </c>
      <c r="H986" s="5">
        <f>INDEX(Raw_Schedule!H:H,MATCH(A986,Raw_Schedule!A:A,0))</f>
        <v/>
      </c>
      <c r="I986" s="5">
        <f>SUMIFS(Raw_Payments!E:E,Raw_Payments!B:B,A986)</f>
        <v/>
      </c>
      <c r="J986" s="5">
        <f>H986-I986</f>
        <v/>
      </c>
      <c r="K986" s="3">
        <f>IF(J986&lt;=0.005,"PAID",IF(I986&gt;0,"PARTIAL","OVERDUE"))</f>
        <v/>
      </c>
      <c r="L986" s="4">
        <f>IF(COUNTIFS(Raw_Payments!B:B,A986)=0,"",SUMPRODUCT(MAX((Raw_Payments!B$2:B$1079=A986)*Raw_Payments!D$2:D$1079)))</f>
        <v/>
      </c>
      <c r="M986" s="3">
        <f>IF(K986="PAID",MAX(0,L986-G986),Guide!$B$3-G986)</f>
        <v/>
      </c>
      <c r="N986" s="3">
        <f>IF(J986&lt;=0.005,"COLLECTED",IF(M986&lt;=30,"1-30",IF(M986&lt;=60,"31-60",IF(M986&lt;=90,"61-90","90+"))))</f>
        <v/>
      </c>
      <c r="O986" s="3">
        <f>IF(N986="90+","LOST",IF(N986="61-90","ESCALATE",IF(N986="31-60","WATCH",IF(N986="1-30","MILD","OK"))))</f>
        <v/>
      </c>
      <c r="P986" s="3">
        <f>IF(J986&gt;0.005,ROW()-1,"")</f>
        <v/>
      </c>
    </row>
    <row r="987">
      <c r="A987" s="3" t="inlineStr">
        <is>
          <t>D0986</t>
        </is>
      </c>
      <c r="B987" s="3">
        <f>INDEX(Raw_Schedule!B:B,MATCH(A987,Raw_Schedule!A:A,0))</f>
        <v/>
      </c>
      <c r="C987" s="3">
        <f>INDEX(Raw_Schedule!C:C,MATCH(A987,Raw_Schedule!A:A,0))</f>
        <v/>
      </c>
      <c r="D987" s="3">
        <f>INDEX(Raw_Schedule!D:D,MATCH(A987,Raw_Schedule!A:A,0))</f>
        <v/>
      </c>
      <c r="E987" s="3">
        <f>INDEX(Raw_Schedule!E:E,MATCH(A987,Raw_Schedule!A:A,0))</f>
        <v/>
      </c>
      <c r="F987" s="3">
        <f>INDEX(Raw_Schedule!F:F,MATCH(A987,Raw_Schedule!A:A,0))</f>
        <v/>
      </c>
      <c r="G987" s="4">
        <f>INDEX(Raw_Schedule!G:G,MATCH(A987,Raw_Schedule!A:A,0))</f>
        <v/>
      </c>
      <c r="H987" s="5">
        <f>INDEX(Raw_Schedule!H:H,MATCH(A987,Raw_Schedule!A:A,0))</f>
        <v/>
      </c>
      <c r="I987" s="5">
        <f>SUMIFS(Raw_Payments!E:E,Raw_Payments!B:B,A987)</f>
        <v/>
      </c>
      <c r="J987" s="5">
        <f>H987-I987</f>
        <v/>
      </c>
      <c r="K987" s="3">
        <f>IF(J987&lt;=0.005,"PAID",IF(I987&gt;0,"PARTIAL","OVERDUE"))</f>
        <v/>
      </c>
      <c r="L987" s="4">
        <f>IF(COUNTIFS(Raw_Payments!B:B,A987)=0,"",SUMPRODUCT(MAX((Raw_Payments!B$2:B$1079=A987)*Raw_Payments!D$2:D$1079)))</f>
        <v/>
      </c>
      <c r="M987" s="3">
        <f>IF(K987="PAID",MAX(0,L987-G987),Guide!$B$3-G987)</f>
        <v/>
      </c>
      <c r="N987" s="3">
        <f>IF(J987&lt;=0.005,"COLLECTED",IF(M987&lt;=30,"1-30",IF(M987&lt;=60,"31-60",IF(M987&lt;=90,"61-90","90+"))))</f>
        <v/>
      </c>
      <c r="O987" s="3">
        <f>IF(N987="90+","LOST",IF(N987="61-90","ESCALATE",IF(N987="31-60","WATCH",IF(N987="1-30","MILD","OK"))))</f>
        <v/>
      </c>
      <c r="P987" s="3">
        <f>IF(J987&gt;0.005,ROW()-1,"")</f>
        <v/>
      </c>
    </row>
    <row r="988">
      <c r="A988" s="3" t="inlineStr">
        <is>
          <t>D0987</t>
        </is>
      </c>
      <c r="B988" s="3">
        <f>INDEX(Raw_Schedule!B:B,MATCH(A988,Raw_Schedule!A:A,0))</f>
        <v/>
      </c>
      <c r="C988" s="3">
        <f>INDEX(Raw_Schedule!C:C,MATCH(A988,Raw_Schedule!A:A,0))</f>
        <v/>
      </c>
      <c r="D988" s="3">
        <f>INDEX(Raw_Schedule!D:D,MATCH(A988,Raw_Schedule!A:A,0))</f>
        <v/>
      </c>
      <c r="E988" s="3">
        <f>INDEX(Raw_Schedule!E:E,MATCH(A988,Raw_Schedule!A:A,0))</f>
        <v/>
      </c>
      <c r="F988" s="3">
        <f>INDEX(Raw_Schedule!F:F,MATCH(A988,Raw_Schedule!A:A,0))</f>
        <v/>
      </c>
      <c r="G988" s="4">
        <f>INDEX(Raw_Schedule!G:G,MATCH(A988,Raw_Schedule!A:A,0))</f>
        <v/>
      </c>
      <c r="H988" s="5">
        <f>INDEX(Raw_Schedule!H:H,MATCH(A988,Raw_Schedule!A:A,0))</f>
        <v/>
      </c>
      <c r="I988" s="5">
        <f>SUMIFS(Raw_Payments!E:E,Raw_Payments!B:B,A988)</f>
        <v/>
      </c>
      <c r="J988" s="5">
        <f>H988-I988</f>
        <v/>
      </c>
      <c r="K988" s="3">
        <f>IF(J988&lt;=0.005,"PAID",IF(I988&gt;0,"PARTIAL","OVERDUE"))</f>
        <v/>
      </c>
      <c r="L988" s="4">
        <f>IF(COUNTIFS(Raw_Payments!B:B,A988)=0,"",SUMPRODUCT(MAX((Raw_Payments!B$2:B$1079=A988)*Raw_Payments!D$2:D$1079)))</f>
        <v/>
      </c>
      <c r="M988" s="3">
        <f>IF(K988="PAID",MAX(0,L988-G988),Guide!$B$3-G988)</f>
        <v/>
      </c>
      <c r="N988" s="3">
        <f>IF(J988&lt;=0.005,"COLLECTED",IF(M988&lt;=30,"1-30",IF(M988&lt;=60,"31-60",IF(M988&lt;=90,"61-90","90+"))))</f>
        <v/>
      </c>
      <c r="O988" s="3">
        <f>IF(N988="90+","LOST",IF(N988="61-90","ESCALATE",IF(N988="31-60","WATCH",IF(N988="1-30","MILD","OK"))))</f>
        <v/>
      </c>
      <c r="P988" s="3">
        <f>IF(J988&gt;0.005,ROW()-1,"")</f>
        <v/>
      </c>
    </row>
    <row r="989">
      <c r="A989" s="3" t="inlineStr">
        <is>
          <t>D0988</t>
        </is>
      </c>
      <c r="B989" s="3">
        <f>INDEX(Raw_Schedule!B:B,MATCH(A989,Raw_Schedule!A:A,0))</f>
        <v/>
      </c>
      <c r="C989" s="3">
        <f>INDEX(Raw_Schedule!C:C,MATCH(A989,Raw_Schedule!A:A,0))</f>
        <v/>
      </c>
      <c r="D989" s="3">
        <f>INDEX(Raw_Schedule!D:D,MATCH(A989,Raw_Schedule!A:A,0))</f>
        <v/>
      </c>
      <c r="E989" s="3">
        <f>INDEX(Raw_Schedule!E:E,MATCH(A989,Raw_Schedule!A:A,0))</f>
        <v/>
      </c>
      <c r="F989" s="3">
        <f>INDEX(Raw_Schedule!F:F,MATCH(A989,Raw_Schedule!A:A,0))</f>
        <v/>
      </c>
      <c r="G989" s="4">
        <f>INDEX(Raw_Schedule!G:G,MATCH(A989,Raw_Schedule!A:A,0))</f>
        <v/>
      </c>
      <c r="H989" s="5">
        <f>INDEX(Raw_Schedule!H:H,MATCH(A989,Raw_Schedule!A:A,0))</f>
        <v/>
      </c>
      <c r="I989" s="5">
        <f>SUMIFS(Raw_Payments!E:E,Raw_Payments!B:B,A989)</f>
        <v/>
      </c>
      <c r="J989" s="5">
        <f>H989-I989</f>
        <v/>
      </c>
      <c r="K989" s="3">
        <f>IF(J989&lt;=0.005,"PAID",IF(I989&gt;0,"PARTIAL","OVERDUE"))</f>
        <v/>
      </c>
      <c r="L989" s="4">
        <f>IF(COUNTIFS(Raw_Payments!B:B,A989)=0,"",SUMPRODUCT(MAX((Raw_Payments!B$2:B$1079=A989)*Raw_Payments!D$2:D$1079)))</f>
        <v/>
      </c>
      <c r="M989" s="3">
        <f>IF(K989="PAID",MAX(0,L989-G989),Guide!$B$3-G989)</f>
        <v/>
      </c>
      <c r="N989" s="3">
        <f>IF(J989&lt;=0.005,"COLLECTED",IF(M989&lt;=30,"1-30",IF(M989&lt;=60,"31-60",IF(M989&lt;=90,"61-90","90+"))))</f>
        <v/>
      </c>
      <c r="O989" s="3">
        <f>IF(N989="90+","LOST",IF(N989="61-90","ESCALATE",IF(N989="31-60","WATCH",IF(N989="1-30","MILD","OK"))))</f>
        <v/>
      </c>
      <c r="P989" s="3">
        <f>IF(J989&gt;0.005,ROW()-1,"")</f>
        <v/>
      </c>
    </row>
    <row r="990">
      <c r="A990" s="3" t="inlineStr">
        <is>
          <t>D0989</t>
        </is>
      </c>
      <c r="B990" s="3">
        <f>INDEX(Raw_Schedule!B:B,MATCH(A990,Raw_Schedule!A:A,0))</f>
        <v/>
      </c>
      <c r="C990" s="3">
        <f>INDEX(Raw_Schedule!C:C,MATCH(A990,Raw_Schedule!A:A,0))</f>
        <v/>
      </c>
      <c r="D990" s="3">
        <f>INDEX(Raw_Schedule!D:D,MATCH(A990,Raw_Schedule!A:A,0))</f>
        <v/>
      </c>
      <c r="E990" s="3">
        <f>INDEX(Raw_Schedule!E:E,MATCH(A990,Raw_Schedule!A:A,0))</f>
        <v/>
      </c>
      <c r="F990" s="3">
        <f>INDEX(Raw_Schedule!F:F,MATCH(A990,Raw_Schedule!A:A,0))</f>
        <v/>
      </c>
      <c r="G990" s="4">
        <f>INDEX(Raw_Schedule!G:G,MATCH(A990,Raw_Schedule!A:A,0))</f>
        <v/>
      </c>
      <c r="H990" s="5">
        <f>INDEX(Raw_Schedule!H:H,MATCH(A990,Raw_Schedule!A:A,0))</f>
        <v/>
      </c>
      <c r="I990" s="5">
        <f>SUMIFS(Raw_Payments!E:E,Raw_Payments!B:B,A990)</f>
        <v/>
      </c>
      <c r="J990" s="5">
        <f>H990-I990</f>
        <v/>
      </c>
      <c r="K990" s="3">
        <f>IF(J990&lt;=0.005,"PAID",IF(I990&gt;0,"PARTIAL","OVERDUE"))</f>
        <v/>
      </c>
      <c r="L990" s="4">
        <f>IF(COUNTIFS(Raw_Payments!B:B,A990)=0,"",SUMPRODUCT(MAX((Raw_Payments!B$2:B$1079=A990)*Raw_Payments!D$2:D$1079)))</f>
        <v/>
      </c>
      <c r="M990" s="3">
        <f>IF(K990="PAID",MAX(0,L990-G990),Guide!$B$3-G990)</f>
        <v/>
      </c>
      <c r="N990" s="3">
        <f>IF(J990&lt;=0.005,"COLLECTED",IF(M990&lt;=30,"1-30",IF(M990&lt;=60,"31-60",IF(M990&lt;=90,"61-90","90+"))))</f>
        <v/>
      </c>
      <c r="O990" s="3">
        <f>IF(N990="90+","LOST",IF(N990="61-90","ESCALATE",IF(N990="31-60","WATCH",IF(N990="1-30","MILD","OK"))))</f>
        <v/>
      </c>
      <c r="P990" s="3">
        <f>IF(J990&gt;0.005,ROW()-1,"")</f>
        <v/>
      </c>
    </row>
    <row r="991">
      <c r="A991" s="3" t="inlineStr">
        <is>
          <t>D0990</t>
        </is>
      </c>
      <c r="B991" s="3">
        <f>INDEX(Raw_Schedule!B:B,MATCH(A991,Raw_Schedule!A:A,0))</f>
        <v/>
      </c>
      <c r="C991" s="3">
        <f>INDEX(Raw_Schedule!C:C,MATCH(A991,Raw_Schedule!A:A,0))</f>
        <v/>
      </c>
      <c r="D991" s="3">
        <f>INDEX(Raw_Schedule!D:D,MATCH(A991,Raw_Schedule!A:A,0))</f>
        <v/>
      </c>
      <c r="E991" s="3">
        <f>INDEX(Raw_Schedule!E:E,MATCH(A991,Raw_Schedule!A:A,0))</f>
        <v/>
      </c>
      <c r="F991" s="3">
        <f>INDEX(Raw_Schedule!F:F,MATCH(A991,Raw_Schedule!A:A,0))</f>
        <v/>
      </c>
      <c r="G991" s="4">
        <f>INDEX(Raw_Schedule!G:G,MATCH(A991,Raw_Schedule!A:A,0))</f>
        <v/>
      </c>
      <c r="H991" s="5">
        <f>INDEX(Raw_Schedule!H:H,MATCH(A991,Raw_Schedule!A:A,0))</f>
        <v/>
      </c>
      <c r="I991" s="5">
        <f>SUMIFS(Raw_Payments!E:E,Raw_Payments!B:B,A991)</f>
        <v/>
      </c>
      <c r="J991" s="5">
        <f>H991-I991</f>
        <v/>
      </c>
      <c r="K991" s="3">
        <f>IF(J991&lt;=0.005,"PAID",IF(I991&gt;0,"PARTIAL","OVERDUE"))</f>
        <v/>
      </c>
      <c r="L991" s="4">
        <f>IF(COUNTIFS(Raw_Payments!B:B,A991)=0,"",SUMPRODUCT(MAX((Raw_Payments!B$2:B$1079=A991)*Raw_Payments!D$2:D$1079)))</f>
        <v/>
      </c>
      <c r="M991" s="3">
        <f>IF(K991="PAID",MAX(0,L991-G991),Guide!$B$3-G991)</f>
        <v/>
      </c>
      <c r="N991" s="3">
        <f>IF(J991&lt;=0.005,"COLLECTED",IF(M991&lt;=30,"1-30",IF(M991&lt;=60,"31-60",IF(M991&lt;=90,"61-90","90+"))))</f>
        <v/>
      </c>
      <c r="O991" s="3">
        <f>IF(N991="90+","LOST",IF(N991="61-90","ESCALATE",IF(N991="31-60","WATCH",IF(N991="1-30","MILD","OK"))))</f>
        <v/>
      </c>
      <c r="P991" s="3">
        <f>IF(J991&gt;0.005,ROW()-1,"")</f>
        <v/>
      </c>
    </row>
    <row r="992">
      <c r="A992" s="3" t="inlineStr">
        <is>
          <t>D0991</t>
        </is>
      </c>
      <c r="B992" s="3">
        <f>INDEX(Raw_Schedule!B:B,MATCH(A992,Raw_Schedule!A:A,0))</f>
        <v/>
      </c>
      <c r="C992" s="3">
        <f>INDEX(Raw_Schedule!C:C,MATCH(A992,Raw_Schedule!A:A,0))</f>
        <v/>
      </c>
      <c r="D992" s="3">
        <f>INDEX(Raw_Schedule!D:D,MATCH(A992,Raw_Schedule!A:A,0))</f>
        <v/>
      </c>
      <c r="E992" s="3">
        <f>INDEX(Raw_Schedule!E:E,MATCH(A992,Raw_Schedule!A:A,0))</f>
        <v/>
      </c>
      <c r="F992" s="3">
        <f>INDEX(Raw_Schedule!F:F,MATCH(A992,Raw_Schedule!A:A,0))</f>
        <v/>
      </c>
      <c r="G992" s="4">
        <f>INDEX(Raw_Schedule!G:G,MATCH(A992,Raw_Schedule!A:A,0))</f>
        <v/>
      </c>
      <c r="H992" s="5">
        <f>INDEX(Raw_Schedule!H:H,MATCH(A992,Raw_Schedule!A:A,0))</f>
        <v/>
      </c>
      <c r="I992" s="5">
        <f>SUMIFS(Raw_Payments!E:E,Raw_Payments!B:B,A992)</f>
        <v/>
      </c>
      <c r="J992" s="5">
        <f>H992-I992</f>
        <v/>
      </c>
      <c r="K992" s="3">
        <f>IF(J992&lt;=0.005,"PAID",IF(I992&gt;0,"PARTIAL","OVERDUE"))</f>
        <v/>
      </c>
      <c r="L992" s="4">
        <f>IF(COUNTIFS(Raw_Payments!B:B,A992)=0,"",SUMPRODUCT(MAX((Raw_Payments!B$2:B$1079=A992)*Raw_Payments!D$2:D$1079)))</f>
        <v/>
      </c>
      <c r="M992" s="3">
        <f>IF(K992="PAID",MAX(0,L992-G992),Guide!$B$3-G992)</f>
        <v/>
      </c>
      <c r="N992" s="3">
        <f>IF(J992&lt;=0.005,"COLLECTED",IF(M992&lt;=30,"1-30",IF(M992&lt;=60,"31-60",IF(M992&lt;=90,"61-90","90+"))))</f>
        <v/>
      </c>
      <c r="O992" s="3">
        <f>IF(N992="90+","LOST",IF(N992="61-90","ESCALATE",IF(N992="31-60","WATCH",IF(N992="1-30","MILD","OK"))))</f>
        <v/>
      </c>
      <c r="P992" s="3">
        <f>IF(J992&gt;0.005,ROW()-1,"")</f>
        <v/>
      </c>
    </row>
    <row r="993">
      <c r="A993" s="3" t="inlineStr">
        <is>
          <t>D0992</t>
        </is>
      </c>
      <c r="B993" s="3">
        <f>INDEX(Raw_Schedule!B:B,MATCH(A993,Raw_Schedule!A:A,0))</f>
        <v/>
      </c>
      <c r="C993" s="3">
        <f>INDEX(Raw_Schedule!C:C,MATCH(A993,Raw_Schedule!A:A,0))</f>
        <v/>
      </c>
      <c r="D993" s="3">
        <f>INDEX(Raw_Schedule!D:D,MATCH(A993,Raw_Schedule!A:A,0))</f>
        <v/>
      </c>
      <c r="E993" s="3">
        <f>INDEX(Raw_Schedule!E:E,MATCH(A993,Raw_Schedule!A:A,0))</f>
        <v/>
      </c>
      <c r="F993" s="3">
        <f>INDEX(Raw_Schedule!F:F,MATCH(A993,Raw_Schedule!A:A,0))</f>
        <v/>
      </c>
      <c r="G993" s="4">
        <f>INDEX(Raw_Schedule!G:G,MATCH(A993,Raw_Schedule!A:A,0))</f>
        <v/>
      </c>
      <c r="H993" s="5">
        <f>INDEX(Raw_Schedule!H:H,MATCH(A993,Raw_Schedule!A:A,0))</f>
        <v/>
      </c>
      <c r="I993" s="5">
        <f>SUMIFS(Raw_Payments!E:E,Raw_Payments!B:B,A993)</f>
        <v/>
      </c>
      <c r="J993" s="5">
        <f>H993-I993</f>
        <v/>
      </c>
      <c r="K993" s="3">
        <f>IF(J993&lt;=0.005,"PAID",IF(I993&gt;0,"PARTIAL","OVERDUE"))</f>
        <v/>
      </c>
      <c r="L993" s="4">
        <f>IF(COUNTIFS(Raw_Payments!B:B,A993)=0,"",SUMPRODUCT(MAX((Raw_Payments!B$2:B$1079=A993)*Raw_Payments!D$2:D$1079)))</f>
        <v/>
      </c>
      <c r="M993" s="3">
        <f>IF(K993="PAID",MAX(0,L993-G993),Guide!$B$3-G993)</f>
        <v/>
      </c>
      <c r="N993" s="3">
        <f>IF(J993&lt;=0.005,"COLLECTED",IF(M993&lt;=30,"1-30",IF(M993&lt;=60,"31-60",IF(M993&lt;=90,"61-90","90+"))))</f>
        <v/>
      </c>
      <c r="O993" s="3">
        <f>IF(N993="90+","LOST",IF(N993="61-90","ESCALATE",IF(N993="31-60","WATCH",IF(N993="1-30","MILD","OK"))))</f>
        <v/>
      </c>
      <c r="P993" s="3">
        <f>IF(J993&gt;0.005,ROW()-1,"")</f>
        <v/>
      </c>
    </row>
    <row r="994">
      <c r="A994" s="3" t="inlineStr">
        <is>
          <t>D0993</t>
        </is>
      </c>
      <c r="B994" s="3">
        <f>INDEX(Raw_Schedule!B:B,MATCH(A994,Raw_Schedule!A:A,0))</f>
        <v/>
      </c>
      <c r="C994" s="3">
        <f>INDEX(Raw_Schedule!C:C,MATCH(A994,Raw_Schedule!A:A,0))</f>
        <v/>
      </c>
      <c r="D994" s="3">
        <f>INDEX(Raw_Schedule!D:D,MATCH(A994,Raw_Schedule!A:A,0))</f>
        <v/>
      </c>
      <c r="E994" s="3">
        <f>INDEX(Raw_Schedule!E:E,MATCH(A994,Raw_Schedule!A:A,0))</f>
        <v/>
      </c>
      <c r="F994" s="3">
        <f>INDEX(Raw_Schedule!F:F,MATCH(A994,Raw_Schedule!A:A,0))</f>
        <v/>
      </c>
      <c r="G994" s="4">
        <f>INDEX(Raw_Schedule!G:G,MATCH(A994,Raw_Schedule!A:A,0))</f>
        <v/>
      </c>
      <c r="H994" s="5">
        <f>INDEX(Raw_Schedule!H:H,MATCH(A994,Raw_Schedule!A:A,0))</f>
        <v/>
      </c>
      <c r="I994" s="5">
        <f>SUMIFS(Raw_Payments!E:E,Raw_Payments!B:B,A994)</f>
        <v/>
      </c>
      <c r="J994" s="5">
        <f>H994-I994</f>
        <v/>
      </c>
      <c r="K994" s="3">
        <f>IF(J994&lt;=0.005,"PAID",IF(I994&gt;0,"PARTIAL","OVERDUE"))</f>
        <v/>
      </c>
      <c r="L994" s="4">
        <f>IF(COUNTIFS(Raw_Payments!B:B,A994)=0,"",SUMPRODUCT(MAX((Raw_Payments!B$2:B$1079=A994)*Raw_Payments!D$2:D$1079)))</f>
        <v/>
      </c>
      <c r="M994" s="3">
        <f>IF(K994="PAID",MAX(0,L994-G994),Guide!$B$3-G994)</f>
        <v/>
      </c>
      <c r="N994" s="3">
        <f>IF(J994&lt;=0.005,"COLLECTED",IF(M994&lt;=30,"1-30",IF(M994&lt;=60,"31-60",IF(M994&lt;=90,"61-90","90+"))))</f>
        <v/>
      </c>
      <c r="O994" s="3">
        <f>IF(N994="90+","LOST",IF(N994="61-90","ESCALATE",IF(N994="31-60","WATCH",IF(N994="1-30","MILD","OK"))))</f>
        <v/>
      </c>
      <c r="P994" s="3">
        <f>IF(J994&gt;0.005,ROW()-1,"")</f>
        <v/>
      </c>
    </row>
    <row r="995">
      <c r="A995" s="3" t="inlineStr">
        <is>
          <t>D0994</t>
        </is>
      </c>
      <c r="B995" s="3">
        <f>INDEX(Raw_Schedule!B:B,MATCH(A995,Raw_Schedule!A:A,0))</f>
        <v/>
      </c>
      <c r="C995" s="3">
        <f>INDEX(Raw_Schedule!C:C,MATCH(A995,Raw_Schedule!A:A,0))</f>
        <v/>
      </c>
      <c r="D995" s="3">
        <f>INDEX(Raw_Schedule!D:D,MATCH(A995,Raw_Schedule!A:A,0))</f>
        <v/>
      </c>
      <c r="E995" s="3">
        <f>INDEX(Raw_Schedule!E:E,MATCH(A995,Raw_Schedule!A:A,0))</f>
        <v/>
      </c>
      <c r="F995" s="3">
        <f>INDEX(Raw_Schedule!F:F,MATCH(A995,Raw_Schedule!A:A,0))</f>
        <v/>
      </c>
      <c r="G995" s="4">
        <f>INDEX(Raw_Schedule!G:G,MATCH(A995,Raw_Schedule!A:A,0))</f>
        <v/>
      </c>
      <c r="H995" s="5">
        <f>INDEX(Raw_Schedule!H:H,MATCH(A995,Raw_Schedule!A:A,0))</f>
        <v/>
      </c>
      <c r="I995" s="5">
        <f>SUMIFS(Raw_Payments!E:E,Raw_Payments!B:B,A995)</f>
        <v/>
      </c>
      <c r="J995" s="5">
        <f>H995-I995</f>
        <v/>
      </c>
      <c r="K995" s="3">
        <f>IF(J995&lt;=0.005,"PAID",IF(I995&gt;0,"PARTIAL","OVERDUE"))</f>
        <v/>
      </c>
      <c r="L995" s="4">
        <f>IF(COUNTIFS(Raw_Payments!B:B,A995)=0,"",SUMPRODUCT(MAX((Raw_Payments!B$2:B$1079=A995)*Raw_Payments!D$2:D$1079)))</f>
        <v/>
      </c>
      <c r="M995" s="3">
        <f>IF(K995="PAID",MAX(0,L995-G995),Guide!$B$3-G995)</f>
        <v/>
      </c>
      <c r="N995" s="3">
        <f>IF(J995&lt;=0.005,"COLLECTED",IF(M995&lt;=30,"1-30",IF(M995&lt;=60,"31-60",IF(M995&lt;=90,"61-90","90+"))))</f>
        <v/>
      </c>
      <c r="O995" s="3">
        <f>IF(N995="90+","LOST",IF(N995="61-90","ESCALATE",IF(N995="31-60","WATCH",IF(N995="1-30","MILD","OK"))))</f>
        <v/>
      </c>
      <c r="P995" s="3">
        <f>IF(J995&gt;0.005,ROW()-1,"")</f>
        <v/>
      </c>
    </row>
    <row r="996">
      <c r="A996" s="3" t="inlineStr">
        <is>
          <t>D0995</t>
        </is>
      </c>
      <c r="B996" s="3">
        <f>INDEX(Raw_Schedule!B:B,MATCH(A996,Raw_Schedule!A:A,0))</f>
        <v/>
      </c>
      <c r="C996" s="3">
        <f>INDEX(Raw_Schedule!C:C,MATCH(A996,Raw_Schedule!A:A,0))</f>
        <v/>
      </c>
      <c r="D996" s="3">
        <f>INDEX(Raw_Schedule!D:D,MATCH(A996,Raw_Schedule!A:A,0))</f>
        <v/>
      </c>
      <c r="E996" s="3">
        <f>INDEX(Raw_Schedule!E:E,MATCH(A996,Raw_Schedule!A:A,0))</f>
        <v/>
      </c>
      <c r="F996" s="3">
        <f>INDEX(Raw_Schedule!F:F,MATCH(A996,Raw_Schedule!A:A,0))</f>
        <v/>
      </c>
      <c r="G996" s="4">
        <f>INDEX(Raw_Schedule!G:G,MATCH(A996,Raw_Schedule!A:A,0))</f>
        <v/>
      </c>
      <c r="H996" s="5">
        <f>INDEX(Raw_Schedule!H:H,MATCH(A996,Raw_Schedule!A:A,0))</f>
        <v/>
      </c>
      <c r="I996" s="5">
        <f>SUMIFS(Raw_Payments!E:E,Raw_Payments!B:B,A996)</f>
        <v/>
      </c>
      <c r="J996" s="5">
        <f>H996-I996</f>
        <v/>
      </c>
      <c r="K996" s="3">
        <f>IF(J996&lt;=0.005,"PAID",IF(I996&gt;0,"PARTIAL","OVERDUE"))</f>
        <v/>
      </c>
      <c r="L996" s="4">
        <f>IF(COUNTIFS(Raw_Payments!B:B,A996)=0,"",SUMPRODUCT(MAX((Raw_Payments!B$2:B$1079=A996)*Raw_Payments!D$2:D$1079)))</f>
        <v/>
      </c>
      <c r="M996" s="3">
        <f>IF(K996="PAID",MAX(0,L996-G996),Guide!$B$3-G996)</f>
        <v/>
      </c>
      <c r="N996" s="3">
        <f>IF(J996&lt;=0.005,"COLLECTED",IF(M996&lt;=30,"1-30",IF(M996&lt;=60,"31-60",IF(M996&lt;=90,"61-90","90+"))))</f>
        <v/>
      </c>
      <c r="O996" s="3">
        <f>IF(N996="90+","LOST",IF(N996="61-90","ESCALATE",IF(N996="31-60","WATCH",IF(N996="1-30","MILD","OK"))))</f>
        <v/>
      </c>
      <c r="P996" s="3">
        <f>IF(J996&gt;0.005,ROW()-1,"")</f>
        <v/>
      </c>
    </row>
    <row r="997">
      <c r="A997" s="3" t="inlineStr">
        <is>
          <t>D0996</t>
        </is>
      </c>
      <c r="B997" s="3">
        <f>INDEX(Raw_Schedule!B:B,MATCH(A997,Raw_Schedule!A:A,0))</f>
        <v/>
      </c>
      <c r="C997" s="3">
        <f>INDEX(Raw_Schedule!C:C,MATCH(A997,Raw_Schedule!A:A,0))</f>
        <v/>
      </c>
      <c r="D997" s="3">
        <f>INDEX(Raw_Schedule!D:D,MATCH(A997,Raw_Schedule!A:A,0))</f>
        <v/>
      </c>
      <c r="E997" s="3">
        <f>INDEX(Raw_Schedule!E:E,MATCH(A997,Raw_Schedule!A:A,0))</f>
        <v/>
      </c>
      <c r="F997" s="3">
        <f>INDEX(Raw_Schedule!F:F,MATCH(A997,Raw_Schedule!A:A,0))</f>
        <v/>
      </c>
      <c r="G997" s="4">
        <f>INDEX(Raw_Schedule!G:G,MATCH(A997,Raw_Schedule!A:A,0))</f>
        <v/>
      </c>
      <c r="H997" s="5">
        <f>INDEX(Raw_Schedule!H:H,MATCH(A997,Raw_Schedule!A:A,0))</f>
        <v/>
      </c>
      <c r="I997" s="5">
        <f>SUMIFS(Raw_Payments!E:E,Raw_Payments!B:B,A997)</f>
        <v/>
      </c>
      <c r="J997" s="5">
        <f>H997-I997</f>
        <v/>
      </c>
      <c r="K997" s="3">
        <f>IF(J997&lt;=0.005,"PAID",IF(I997&gt;0,"PARTIAL","OVERDUE"))</f>
        <v/>
      </c>
      <c r="L997" s="4">
        <f>IF(COUNTIFS(Raw_Payments!B:B,A997)=0,"",SUMPRODUCT(MAX((Raw_Payments!B$2:B$1079=A997)*Raw_Payments!D$2:D$1079)))</f>
        <v/>
      </c>
      <c r="M997" s="3">
        <f>IF(K997="PAID",MAX(0,L997-G997),Guide!$B$3-G997)</f>
        <v/>
      </c>
      <c r="N997" s="3">
        <f>IF(J997&lt;=0.005,"COLLECTED",IF(M997&lt;=30,"1-30",IF(M997&lt;=60,"31-60",IF(M997&lt;=90,"61-90","90+"))))</f>
        <v/>
      </c>
      <c r="O997" s="3">
        <f>IF(N997="90+","LOST",IF(N997="61-90","ESCALATE",IF(N997="31-60","WATCH",IF(N997="1-30","MILD","OK"))))</f>
        <v/>
      </c>
      <c r="P997" s="3">
        <f>IF(J997&gt;0.005,ROW()-1,"")</f>
        <v/>
      </c>
    </row>
    <row r="998">
      <c r="A998" s="3" t="inlineStr">
        <is>
          <t>D0997</t>
        </is>
      </c>
      <c r="B998" s="3">
        <f>INDEX(Raw_Schedule!B:B,MATCH(A998,Raw_Schedule!A:A,0))</f>
        <v/>
      </c>
      <c r="C998" s="3">
        <f>INDEX(Raw_Schedule!C:C,MATCH(A998,Raw_Schedule!A:A,0))</f>
        <v/>
      </c>
      <c r="D998" s="3">
        <f>INDEX(Raw_Schedule!D:D,MATCH(A998,Raw_Schedule!A:A,0))</f>
        <v/>
      </c>
      <c r="E998" s="3">
        <f>INDEX(Raw_Schedule!E:E,MATCH(A998,Raw_Schedule!A:A,0))</f>
        <v/>
      </c>
      <c r="F998" s="3">
        <f>INDEX(Raw_Schedule!F:F,MATCH(A998,Raw_Schedule!A:A,0))</f>
        <v/>
      </c>
      <c r="G998" s="4">
        <f>INDEX(Raw_Schedule!G:G,MATCH(A998,Raw_Schedule!A:A,0))</f>
        <v/>
      </c>
      <c r="H998" s="5">
        <f>INDEX(Raw_Schedule!H:H,MATCH(A998,Raw_Schedule!A:A,0))</f>
        <v/>
      </c>
      <c r="I998" s="5">
        <f>SUMIFS(Raw_Payments!E:E,Raw_Payments!B:B,A998)</f>
        <v/>
      </c>
      <c r="J998" s="5">
        <f>H998-I998</f>
        <v/>
      </c>
      <c r="K998" s="3">
        <f>IF(J998&lt;=0.005,"PAID",IF(I998&gt;0,"PARTIAL","OVERDUE"))</f>
        <v/>
      </c>
      <c r="L998" s="4">
        <f>IF(COUNTIFS(Raw_Payments!B:B,A998)=0,"",SUMPRODUCT(MAX((Raw_Payments!B$2:B$1079=A998)*Raw_Payments!D$2:D$1079)))</f>
        <v/>
      </c>
      <c r="M998" s="3">
        <f>IF(K998="PAID",MAX(0,L998-G998),Guide!$B$3-G998)</f>
        <v/>
      </c>
      <c r="N998" s="3">
        <f>IF(J998&lt;=0.005,"COLLECTED",IF(M998&lt;=30,"1-30",IF(M998&lt;=60,"31-60",IF(M998&lt;=90,"61-90","90+"))))</f>
        <v/>
      </c>
      <c r="O998" s="3">
        <f>IF(N998="90+","LOST",IF(N998="61-90","ESCALATE",IF(N998="31-60","WATCH",IF(N998="1-30","MILD","OK"))))</f>
        <v/>
      </c>
      <c r="P998" s="3">
        <f>IF(J998&gt;0.005,ROW()-1,"")</f>
        <v/>
      </c>
    </row>
    <row r="999">
      <c r="A999" s="3" t="inlineStr">
        <is>
          <t>D0998</t>
        </is>
      </c>
      <c r="B999" s="3">
        <f>INDEX(Raw_Schedule!B:B,MATCH(A999,Raw_Schedule!A:A,0))</f>
        <v/>
      </c>
      <c r="C999" s="3">
        <f>INDEX(Raw_Schedule!C:C,MATCH(A999,Raw_Schedule!A:A,0))</f>
        <v/>
      </c>
      <c r="D999" s="3">
        <f>INDEX(Raw_Schedule!D:D,MATCH(A999,Raw_Schedule!A:A,0))</f>
        <v/>
      </c>
      <c r="E999" s="3">
        <f>INDEX(Raw_Schedule!E:E,MATCH(A999,Raw_Schedule!A:A,0))</f>
        <v/>
      </c>
      <c r="F999" s="3">
        <f>INDEX(Raw_Schedule!F:F,MATCH(A999,Raw_Schedule!A:A,0))</f>
        <v/>
      </c>
      <c r="G999" s="4">
        <f>INDEX(Raw_Schedule!G:G,MATCH(A999,Raw_Schedule!A:A,0))</f>
        <v/>
      </c>
      <c r="H999" s="5">
        <f>INDEX(Raw_Schedule!H:H,MATCH(A999,Raw_Schedule!A:A,0))</f>
        <v/>
      </c>
      <c r="I999" s="5">
        <f>SUMIFS(Raw_Payments!E:E,Raw_Payments!B:B,A999)</f>
        <v/>
      </c>
      <c r="J999" s="5">
        <f>H999-I999</f>
        <v/>
      </c>
      <c r="K999" s="3">
        <f>IF(J999&lt;=0.005,"PAID",IF(I999&gt;0,"PARTIAL","OVERDUE"))</f>
        <v/>
      </c>
      <c r="L999" s="4">
        <f>IF(COUNTIFS(Raw_Payments!B:B,A999)=0,"",SUMPRODUCT(MAX((Raw_Payments!B$2:B$1079=A999)*Raw_Payments!D$2:D$1079)))</f>
        <v/>
      </c>
      <c r="M999" s="3">
        <f>IF(K999="PAID",MAX(0,L999-G999),Guide!$B$3-G999)</f>
        <v/>
      </c>
      <c r="N999" s="3">
        <f>IF(J999&lt;=0.005,"COLLECTED",IF(M999&lt;=30,"1-30",IF(M999&lt;=60,"31-60",IF(M999&lt;=90,"61-90","90+"))))</f>
        <v/>
      </c>
      <c r="O999" s="3">
        <f>IF(N999="90+","LOST",IF(N999="61-90","ESCALATE",IF(N999="31-60","WATCH",IF(N999="1-30","MILD","OK"))))</f>
        <v/>
      </c>
      <c r="P999" s="3">
        <f>IF(J999&gt;0.005,ROW()-1,"")</f>
        <v/>
      </c>
    </row>
    <row r="1000">
      <c r="A1000" s="3" t="inlineStr">
        <is>
          <t>D0999</t>
        </is>
      </c>
      <c r="B1000" s="3">
        <f>INDEX(Raw_Schedule!B:B,MATCH(A1000,Raw_Schedule!A:A,0))</f>
        <v/>
      </c>
      <c r="C1000" s="3">
        <f>INDEX(Raw_Schedule!C:C,MATCH(A1000,Raw_Schedule!A:A,0))</f>
        <v/>
      </c>
      <c r="D1000" s="3">
        <f>INDEX(Raw_Schedule!D:D,MATCH(A1000,Raw_Schedule!A:A,0))</f>
        <v/>
      </c>
      <c r="E1000" s="3">
        <f>INDEX(Raw_Schedule!E:E,MATCH(A1000,Raw_Schedule!A:A,0))</f>
        <v/>
      </c>
      <c r="F1000" s="3">
        <f>INDEX(Raw_Schedule!F:F,MATCH(A1000,Raw_Schedule!A:A,0))</f>
        <v/>
      </c>
      <c r="G1000" s="4">
        <f>INDEX(Raw_Schedule!G:G,MATCH(A1000,Raw_Schedule!A:A,0))</f>
        <v/>
      </c>
      <c r="H1000" s="5">
        <f>INDEX(Raw_Schedule!H:H,MATCH(A1000,Raw_Schedule!A:A,0))</f>
        <v/>
      </c>
      <c r="I1000" s="5">
        <f>SUMIFS(Raw_Payments!E:E,Raw_Payments!B:B,A1000)</f>
        <v/>
      </c>
      <c r="J1000" s="5">
        <f>H1000-I1000</f>
        <v/>
      </c>
      <c r="K1000" s="3">
        <f>IF(J1000&lt;=0.005,"PAID",IF(I1000&gt;0,"PARTIAL","OVERDUE"))</f>
        <v/>
      </c>
      <c r="L1000" s="4">
        <f>IF(COUNTIFS(Raw_Payments!B:B,A1000)=0,"",SUMPRODUCT(MAX((Raw_Payments!B$2:B$1079=A1000)*Raw_Payments!D$2:D$1079)))</f>
        <v/>
      </c>
      <c r="M1000" s="3">
        <f>IF(K1000="PAID",MAX(0,L1000-G1000),Guide!$B$3-G1000)</f>
        <v/>
      </c>
      <c r="N1000" s="3">
        <f>IF(J1000&lt;=0.005,"COLLECTED",IF(M1000&lt;=30,"1-30",IF(M1000&lt;=60,"31-60",IF(M1000&lt;=90,"61-90","90+"))))</f>
        <v/>
      </c>
      <c r="O1000" s="3">
        <f>IF(N1000="90+","LOST",IF(N1000="61-90","ESCALATE",IF(N1000="31-60","WATCH",IF(N1000="1-30","MILD","OK"))))</f>
        <v/>
      </c>
      <c r="P1000" s="3">
        <f>IF(J1000&gt;0.005,ROW()-1,"")</f>
        <v/>
      </c>
    </row>
    <row r="1001">
      <c r="A1001" s="3" t="inlineStr">
        <is>
          <t>D1000</t>
        </is>
      </c>
      <c r="B1001" s="3">
        <f>INDEX(Raw_Schedule!B:B,MATCH(A1001,Raw_Schedule!A:A,0))</f>
        <v/>
      </c>
      <c r="C1001" s="3">
        <f>INDEX(Raw_Schedule!C:C,MATCH(A1001,Raw_Schedule!A:A,0))</f>
        <v/>
      </c>
      <c r="D1001" s="3">
        <f>INDEX(Raw_Schedule!D:D,MATCH(A1001,Raw_Schedule!A:A,0))</f>
        <v/>
      </c>
      <c r="E1001" s="3">
        <f>INDEX(Raw_Schedule!E:E,MATCH(A1001,Raw_Schedule!A:A,0))</f>
        <v/>
      </c>
      <c r="F1001" s="3">
        <f>INDEX(Raw_Schedule!F:F,MATCH(A1001,Raw_Schedule!A:A,0))</f>
        <v/>
      </c>
      <c r="G1001" s="4">
        <f>INDEX(Raw_Schedule!G:G,MATCH(A1001,Raw_Schedule!A:A,0))</f>
        <v/>
      </c>
      <c r="H1001" s="5">
        <f>INDEX(Raw_Schedule!H:H,MATCH(A1001,Raw_Schedule!A:A,0))</f>
        <v/>
      </c>
      <c r="I1001" s="5">
        <f>SUMIFS(Raw_Payments!E:E,Raw_Payments!B:B,A1001)</f>
        <v/>
      </c>
      <c r="J1001" s="5">
        <f>H1001-I1001</f>
        <v/>
      </c>
      <c r="K1001" s="3">
        <f>IF(J1001&lt;=0.005,"PAID",IF(I1001&gt;0,"PARTIAL","OVERDUE"))</f>
        <v/>
      </c>
      <c r="L1001" s="4">
        <f>IF(COUNTIFS(Raw_Payments!B:B,A1001)=0,"",SUMPRODUCT(MAX((Raw_Payments!B$2:B$1079=A1001)*Raw_Payments!D$2:D$1079)))</f>
        <v/>
      </c>
      <c r="M1001" s="3">
        <f>IF(K1001="PAID",MAX(0,L1001-G1001),Guide!$B$3-G1001)</f>
        <v/>
      </c>
      <c r="N1001" s="3">
        <f>IF(J1001&lt;=0.005,"COLLECTED",IF(M1001&lt;=30,"1-30",IF(M1001&lt;=60,"31-60",IF(M1001&lt;=90,"61-90","90+"))))</f>
        <v/>
      </c>
      <c r="O1001" s="3">
        <f>IF(N1001="90+","LOST",IF(N1001="61-90","ESCALATE",IF(N1001="31-60","WATCH",IF(N1001="1-30","MILD","OK"))))</f>
        <v/>
      </c>
      <c r="P1001" s="3">
        <f>IF(J1001&gt;0.005,ROW()-1,"")</f>
        <v/>
      </c>
    </row>
    <row r="1002">
      <c r="A1002" s="3" t="inlineStr">
        <is>
          <t>D1001</t>
        </is>
      </c>
      <c r="B1002" s="3">
        <f>INDEX(Raw_Schedule!B:B,MATCH(A1002,Raw_Schedule!A:A,0))</f>
        <v/>
      </c>
      <c r="C1002" s="3">
        <f>INDEX(Raw_Schedule!C:C,MATCH(A1002,Raw_Schedule!A:A,0))</f>
        <v/>
      </c>
      <c r="D1002" s="3">
        <f>INDEX(Raw_Schedule!D:D,MATCH(A1002,Raw_Schedule!A:A,0))</f>
        <v/>
      </c>
      <c r="E1002" s="3">
        <f>INDEX(Raw_Schedule!E:E,MATCH(A1002,Raw_Schedule!A:A,0))</f>
        <v/>
      </c>
      <c r="F1002" s="3">
        <f>INDEX(Raw_Schedule!F:F,MATCH(A1002,Raw_Schedule!A:A,0))</f>
        <v/>
      </c>
      <c r="G1002" s="4">
        <f>INDEX(Raw_Schedule!G:G,MATCH(A1002,Raw_Schedule!A:A,0))</f>
        <v/>
      </c>
      <c r="H1002" s="5">
        <f>INDEX(Raw_Schedule!H:H,MATCH(A1002,Raw_Schedule!A:A,0))</f>
        <v/>
      </c>
      <c r="I1002" s="5">
        <f>SUMIFS(Raw_Payments!E:E,Raw_Payments!B:B,A1002)</f>
        <v/>
      </c>
      <c r="J1002" s="5">
        <f>H1002-I1002</f>
        <v/>
      </c>
      <c r="K1002" s="3">
        <f>IF(J1002&lt;=0.005,"PAID",IF(I1002&gt;0,"PARTIAL","OVERDUE"))</f>
        <v/>
      </c>
      <c r="L1002" s="4">
        <f>IF(COUNTIFS(Raw_Payments!B:B,A1002)=0,"",SUMPRODUCT(MAX((Raw_Payments!B$2:B$1079=A1002)*Raw_Payments!D$2:D$1079)))</f>
        <v/>
      </c>
      <c r="M1002" s="3">
        <f>IF(K1002="PAID",MAX(0,L1002-G1002),Guide!$B$3-G1002)</f>
        <v/>
      </c>
      <c r="N1002" s="3">
        <f>IF(J1002&lt;=0.005,"COLLECTED",IF(M1002&lt;=30,"1-30",IF(M1002&lt;=60,"31-60",IF(M1002&lt;=90,"61-90","90+"))))</f>
        <v/>
      </c>
      <c r="O1002" s="3">
        <f>IF(N1002="90+","LOST",IF(N1002="61-90","ESCALATE",IF(N1002="31-60","WATCH",IF(N1002="1-30","MILD","OK"))))</f>
        <v/>
      </c>
      <c r="P1002" s="3">
        <f>IF(J1002&gt;0.005,ROW()-1,"")</f>
        <v/>
      </c>
    </row>
    <row r="1003">
      <c r="A1003" s="3" t="inlineStr">
        <is>
          <t>D1002</t>
        </is>
      </c>
      <c r="B1003" s="3">
        <f>INDEX(Raw_Schedule!B:B,MATCH(A1003,Raw_Schedule!A:A,0))</f>
        <v/>
      </c>
      <c r="C1003" s="3">
        <f>INDEX(Raw_Schedule!C:C,MATCH(A1003,Raw_Schedule!A:A,0))</f>
        <v/>
      </c>
      <c r="D1003" s="3">
        <f>INDEX(Raw_Schedule!D:D,MATCH(A1003,Raw_Schedule!A:A,0))</f>
        <v/>
      </c>
      <c r="E1003" s="3">
        <f>INDEX(Raw_Schedule!E:E,MATCH(A1003,Raw_Schedule!A:A,0))</f>
        <v/>
      </c>
      <c r="F1003" s="3">
        <f>INDEX(Raw_Schedule!F:F,MATCH(A1003,Raw_Schedule!A:A,0))</f>
        <v/>
      </c>
      <c r="G1003" s="4">
        <f>INDEX(Raw_Schedule!G:G,MATCH(A1003,Raw_Schedule!A:A,0))</f>
        <v/>
      </c>
      <c r="H1003" s="5">
        <f>INDEX(Raw_Schedule!H:H,MATCH(A1003,Raw_Schedule!A:A,0))</f>
        <v/>
      </c>
      <c r="I1003" s="5">
        <f>SUMIFS(Raw_Payments!E:E,Raw_Payments!B:B,A1003)</f>
        <v/>
      </c>
      <c r="J1003" s="5">
        <f>H1003-I1003</f>
        <v/>
      </c>
      <c r="K1003" s="3">
        <f>IF(J1003&lt;=0.005,"PAID",IF(I1003&gt;0,"PARTIAL","OVERDUE"))</f>
        <v/>
      </c>
      <c r="L1003" s="4">
        <f>IF(COUNTIFS(Raw_Payments!B:B,A1003)=0,"",SUMPRODUCT(MAX((Raw_Payments!B$2:B$1079=A1003)*Raw_Payments!D$2:D$1079)))</f>
        <v/>
      </c>
      <c r="M1003" s="3">
        <f>IF(K1003="PAID",MAX(0,L1003-G1003),Guide!$B$3-G1003)</f>
        <v/>
      </c>
      <c r="N1003" s="3">
        <f>IF(J1003&lt;=0.005,"COLLECTED",IF(M1003&lt;=30,"1-30",IF(M1003&lt;=60,"31-60",IF(M1003&lt;=90,"61-90","90+"))))</f>
        <v/>
      </c>
      <c r="O1003" s="3">
        <f>IF(N1003="90+","LOST",IF(N1003="61-90","ESCALATE",IF(N1003="31-60","WATCH",IF(N1003="1-30","MILD","OK"))))</f>
        <v/>
      </c>
      <c r="P1003" s="3">
        <f>IF(J1003&gt;0.005,ROW()-1,"")</f>
        <v/>
      </c>
    </row>
    <row r="1004">
      <c r="A1004" s="3" t="inlineStr">
        <is>
          <t>D1003</t>
        </is>
      </c>
      <c r="B1004" s="3">
        <f>INDEX(Raw_Schedule!B:B,MATCH(A1004,Raw_Schedule!A:A,0))</f>
        <v/>
      </c>
      <c r="C1004" s="3">
        <f>INDEX(Raw_Schedule!C:C,MATCH(A1004,Raw_Schedule!A:A,0))</f>
        <v/>
      </c>
      <c r="D1004" s="3">
        <f>INDEX(Raw_Schedule!D:D,MATCH(A1004,Raw_Schedule!A:A,0))</f>
        <v/>
      </c>
      <c r="E1004" s="3">
        <f>INDEX(Raw_Schedule!E:E,MATCH(A1004,Raw_Schedule!A:A,0))</f>
        <v/>
      </c>
      <c r="F1004" s="3">
        <f>INDEX(Raw_Schedule!F:F,MATCH(A1004,Raw_Schedule!A:A,0))</f>
        <v/>
      </c>
      <c r="G1004" s="4">
        <f>INDEX(Raw_Schedule!G:G,MATCH(A1004,Raw_Schedule!A:A,0))</f>
        <v/>
      </c>
      <c r="H1004" s="5">
        <f>INDEX(Raw_Schedule!H:H,MATCH(A1004,Raw_Schedule!A:A,0))</f>
        <v/>
      </c>
      <c r="I1004" s="5">
        <f>SUMIFS(Raw_Payments!E:E,Raw_Payments!B:B,A1004)</f>
        <v/>
      </c>
      <c r="J1004" s="5">
        <f>H1004-I1004</f>
        <v/>
      </c>
      <c r="K1004" s="3">
        <f>IF(J1004&lt;=0.005,"PAID",IF(I1004&gt;0,"PARTIAL","OVERDUE"))</f>
        <v/>
      </c>
      <c r="L1004" s="4">
        <f>IF(COUNTIFS(Raw_Payments!B:B,A1004)=0,"",SUMPRODUCT(MAX((Raw_Payments!B$2:B$1079=A1004)*Raw_Payments!D$2:D$1079)))</f>
        <v/>
      </c>
      <c r="M1004" s="3">
        <f>IF(K1004="PAID",MAX(0,L1004-G1004),Guide!$B$3-G1004)</f>
        <v/>
      </c>
      <c r="N1004" s="3">
        <f>IF(J1004&lt;=0.005,"COLLECTED",IF(M1004&lt;=30,"1-30",IF(M1004&lt;=60,"31-60",IF(M1004&lt;=90,"61-90","90+"))))</f>
        <v/>
      </c>
      <c r="O1004" s="3">
        <f>IF(N1004="90+","LOST",IF(N1004="61-90","ESCALATE",IF(N1004="31-60","WATCH",IF(N1004="1-30","MILD","OK"))))</f>
        <v/>
      </c>
      <c r="P1004" s="3">
        <f>IF(J1004&gt;0.005,ROW()-1,"")</f>
        <v/>
      </c>
    </row>
    <row r="1005">
      <c r="A1005" s="3" t="inlineStr">
        <is>
          <t>D1004</t>
        </is>
      </c>
      <c r="B1005" s="3">
        <f>INDEX(Raw_Schedule!B:B,MATCH(A1005,Raw_Schedule!A:A,0))</f>
        <v/>
      </c>
      <c r="C1005" s="3">
        <f>INDEX(Raw_Schedule!C:C,MATCH(A1005,Raw_Schedule!A:A,0))</f>
        <v/>
      </c>
      <c r="D1005" s="3">
        <f>INDEX(Raw_Schedule!D:D,MATCH(A1005,Raw_Schedule!A:A,0))</f>
        <v/>
      </c>
      <c r="E1005" s="3">
        <f>INDEX(Raw_Schedule!E:E,MATCH(A1005,Raw_Schedule!A:A,0))</f>
        <v/>
      </c>
      <c r="F1005" s="3">
        <f>INDEX(Raw_Schedule!F:F,MATCH(A1005,Raw_Schedule!A:A,0))</f>
        <v/>
      </c>
      <c r="G1005" s="4">
        <f>INDEX(Raw_Schedule!G:G,MATCH(A1005,Raw_Schedule!A:A,0))</f>
        <v/>
      </c>
      <c r="H1005" s="5">
        <f>INDEX(Raw_Schedule!H:H,MATCH(A1005,Raw_Schedule!A:A,0))</f>
        <v/>
      </c>
      <c r="I1005" s="5">
        <f>SUMIFS(Raw_Payments!E:E,Raw_Payments!B:B,A1005)</f>
        <v/>
      </c>
      <c r="J1005" s="5">
        <f>H1005-I1005</f>
        <v/>
      </c>
      <c r="K1005" s="3">
        <f>IF(J1005&lt;=0.005,"PAID",IF(I1005&gt;0,"PARTIAL","OVERDUE"))</f>
        <v/>
      </c>
      <c r="L1005" s="4">
        <f>IF(COUNTIFS(Raw_Payments!B:B,A1005)=0,"",SUMPRODUCT(MAX((Raw_Payments!B$2:B$1079=A1005)*Raw_Payments!D$2:D$1079)))</f>
        <v/>
      </c>
      <c r="M1005" s="3">
        <f>IF(K1005="PAID",MAX(0,L1005-G1005),Guide!$B$3-G1005)</f>
        <v/>
      </c>
      <c r="N1005" s="3">
        <f>IF(J1005&lt;=0.005,"COLLECTED",IF(M1005&lt;=30,"1-30",IF(M1005&lt;=60,"31-60",IF(M1005&lt;=90,"61-90","90+"))))</f>
        <v/>
      </c>
      <c r="O1005" s="3">
        <f>IF(N1005="90+","LOST",IF(N1005="61-90","ESCALATE",IF(N1005="31-60","WATCH",IF(N1005="1-30","MILD","OK"))))</f>
        <v/>
      </c>
      <c r="P1005" s="3">
        <f>IF(J1005&gt;0.005,ROW()-1,"")</f>
        <v/>
      </c>
    </row>
    <row r="1006">
      <c r="A1006" s="3" t="inlineStr">
        <is>
          <t>D1005</t>
        </is>
      </c>
      <c r="B1006" s="3">
        <f>INDEX(Raw_Schedule!B:B,MATCH(A1006,Raw_Schedule!A:A,0))</f>
        <v/>
      </c>
      <c r="C1006" s="3">
        <f>INDEX(Raw_Schedule!C:C,MATCH(A1006,Raw_Schedule!A:A,0))</f>
        <v/>
      </c>
      <c r="D1006" s="3">
        <f>INDEX(Raw_Schedule!D:D,MATCH(A1006,Raw_Schedule!A:A,0))</f>
        <v/>
      </c>
      <c r="E1006" s="3">
        <f>INDEX(Raw_Schedule!E:E,MATCH(A1006,Raw_Schedule!A:A,0))</f>
        <v/>
      </c>
      <c r="F1006" s="3">
        <f>INDEX(Raw_Schedule!F:F,MATCH(A1006,Raw_Schedule!A:A,0))</f>
        <v/>
      </c>
      <c r="G1006" s="4">
        <f>INDEX(Raw_Schedule!G:G,MATCH(A1006,Raw_Schedule!A:A,0))</f>
        <v/>
      </c>
      <c r="H1006" s="5">
        <f>INDEX(Raw_Schedule!H:H,MATCH(A1006,Raw_Schedule!A:A,0))</f>
        <v/>
      </c>
      <c r="I1006" s="5">
        <f>SUMIFS(Raw_Payments!E:E,Raw_Payments!B:B,A1006)</f>
        <v/>
      </c>
      <c r="J1006" s="5">
        <f>H1006-I1006</f>
        <v/>
      </c>
      <c r="K1006" s="3">
        <f>IF(J1006&lt;=0.005,"PAID",IF(I1006&gt;0,"PARTIAL","OVERDUE"))</f>
        <v/>
      </c>
      <c r="L1006" s="4">
        <f>IF(COUNTIFS(Raw_Payments!B:B,A1006)=0,"",SUMPRODUCT(MAX((Raw_Payments!B$2:B$1079=A1006)*Raw_Payments!D$2:D$1079)))</f>
        <v/>
      </c>
      <c r="M1006" s="3">
        <f>IF(K1006="PAID",MAX(0,L1006-G1006),Guide!$B$3-G1006)</f>
        <v/>
      </c>
      <c r="N1006" s="3">
        <f>IF(J1006&lt;=0.005,"COLLECTED",IF(M1006&lt;=30,"1-30",IF(M1006&lt;=60,"31-60",IF(M1006&lt;=90,"61-90","90+"))))</f>
        <v/>
      </c>
      <c r="O1006" s="3">
        <f>IF(N1006="90+","LOST",IF(N1006="61-90","ESCALATE",IF(N1006="31-60","WATCH",IF(N1006="1-30","MILD","OK"))))</f>
        <v/>
      </c>
      <c r="P1006" s="3">
        <f>IF(J1006&gt;0.005,ROW()-1,"")</f>
        <v/>
      </c>
    </row>
    <row r="1007">
      <c r="A1007" s="3" t="inlineStr">
        <is>
          <t>D1006</t>
        </is>
      </c>
      <c r="B1007" s="3">
        <f>INDEX(Raw_Schedule!B:B,MATCH(A1007,Raw_Schedule!A:A,0))</f>
        <v/>
      </c>
      <c r="C1007" s="3">
        <f>INDEX(Raw_Schedule!C:C,MATCH(A1007,Raw_Schedule!A:A,0))</f>
        <v/>
      </c>
      <c r="D1007" s="3">
        <f>INDEX(Raw_Schedule!D:D,MATCH(A1007,Raw_Schedule!A:A,0))</f>
        <v/>
      </c>
      <c r="E1007" s="3">
        <f>INDEX(Raw_Schedule!E:E,MATCH(A1007,Raw_Schedule!A:A,0))</f>
        <v/>
      </c>
      <c r="F1007" s="3">
        <f>INDEX(Raw_Schedule!F:F,MATCH(A1007,Raw_Schedule!A:A,0))</f>
        <v/>
      </c>
      <c r="G1007" s="4">
        <f>INDEX(Raw_Schedule!G:G,MATCH(A1007,Raw_Schedule!A:A,0))</f>
        <v/>
      </c>
      <c r="H1007" s="5">
        <f>INDEX(Raw_Schedule!H:H,MATCH(A1007,Raw_Schedule!A:A,0))</f>
        <v/>
      </c>
      <c r="I1007" s="5">
        <f>SUMIFS(Raw_Payments!E:E,Raw_Payments!B:B,A1007)</f>
        <v/>
      </c>
      <c r="J1007" s="5">
        <f>H1007-I1007</f>
        <v/>
      </c>
      <c r="K1007" s="3">
        <f>IF(J1007&lt;=0.005,"PAID",IF(I1007&gt;0,"PARTIAL","OVERDUE"))</f>
        <v/>
      </c>
      <c r="L1007" s="4">
        <f>IF(COUNTIFS(Raw_Payments!B:B,A1007)=0,"",SUMPRODUCT(MAX((Raw_Payments!B$2:B$1079=A1007)*Raw_Payments!D$2:D$1079)))</f>
        <v/>
      </c>
      <c r="M1007" s="3">
        <f>IF(K1007="PAID",MAX(0,L1007-G1007),Guide!$B$3-G1007)</f>
        <v/>
      </c>
      <c r="N1007" s="3">
        <f>IF(J1007&lt;=0.005,"COLLECTED",IF(M1007&lt;=30,"1-30",IF(M1007&lt;=60,"31-60",IF(M1007&lt;=90,"61-90","90+"))))</f>
        <v/>
      </c>
      <c r="O1007" s="3">
        <f>IF(N1007="90+","LOST",IF(N1007="61-90","ESCALATE",IF(N1007="31-60","WATCH",IF(N1007="1-30","MILD","OK"))))</f>
        <v/>
      </c>
      <c r="P1007" s="3">
        <f>IF(J1007&gt;0.005,ROW()-1,"")</f>
        <v/>
      </c>
    </row>
    <row r="1008">
      <c r="A1008" s="3" t="inlineStr">
        <is>
          <t>D1007</t>
        </is>
      </c>
      <c r="B1008" s="3">
        <f>INDEX(Raw_Schedule!B:B,MATCH(A1008,Raw_Schedule!A:A,0))</f>
        <v/>
      </c>
      <c r="C1008" s="3">
        <f>INDEX(Raw_Schedule!C:C,MATCH(A1008,Raw_Schedule!A:A,0))</f>
        <v/>
      </c>
      <c r="D1008" s="3">
        <f>INDEX(Raw_Schedule!D:D,MATCH(A1008,Raw_Schedule!A:A,0))</f>
        <v/>
      </c>
      <c r="E1008" s="3">
        <f>INDEX(Raw_Schedule!E:E,MATCH(A1008,Raw_Schedule!A:A,0))</f>
        <v/>
      </c>
      <c r="F1008" s="3">
        <f>INDEX(Raw_Schedule!F:F,MATCH(A1008,Raw_Schedule!A:A,0))</f>
        <v/>
      </c>
      <c r="G1008" s="4">
        <f>INDEX(Raw_Schedule!G:G,MATCH(A1008,Raw_Schedule!A:A,0))</f>
        <v/>
      </c>
      <c r="H1008" s="5">
        <f>INDEX(Raw_Schedule!H:H,MATCH(A1008,Raw_Schedule!A:A,0))</f>
        <v/>
      </c>
      <c r="I1008" s="5">
        <f>SUMIFS(Raw_Payments!E:E,Raw_Payments!B:B,A1008)</f>
        <v/>
      </c>
      <c r="J1008" s="5">
        <f>H1008-I1008</f>
        <v/>
      </c>
      <c r="K1008" s="3">
        <f>IF(J1008&lt;=0.005,"PAID",IF(I1008&gt;0,"PARTIAL","OVERDUE"))</f>
        <v/>
      </c>
      <c r="L1008" s="4">
        <f>IF(COUNTIFS(Raw_Payments!B:B,A1008)=0,"",SUMPRODUCT(MAX((Raw_Payments!B$2:B$1079=A1008)*Raw_Payments!D$2:D$1079)))</f>
        <v/>
      </c>
      <c r="M1008" s="3">
        <f>IF(K1008="PAID",MAX(0,L1008-G1008),Guide!$B$3-G1008)</f>
        <v/>
      </c>
      <c r="N1008" s="3">
        <f>IF(J1008&lt;=0.005,"COLLECTED",IF(M1008&lt;=30,"1-30",IF(M1008&lt;=60,"31-60",IF(M1008&lt;=90,"61-90","90+"))))</f>
        <v/>
      </c>
      <c r="O1008" s="3">
        <f>IF(N1008="90+","LOST",IF(N1008="61-90","ESCALATE",IF(N1008="31-60","WATCH",IF(N1008="1-30","MILD","OK"))))</f>
        <v/>
      </c>
      <c r="P1008" s="3">
        <f>IF(J1008&gt;0.005,ROW()-1,"")</f>
        <v/>
      </c>
    </row>
    <row r="1009">
      <c r="A1009" s="3" t="inlineStr">
        <is>
          <t>D1008</t>
        </is>
      </c>
      <c r="B1009" s="3">
        <f>INDEX(Raw_Schedule!B:B,MATCH(A1009,Raw_Schedule!A:A,0))</f>
        <v/>
      </c>
      <c r="C1009" s="3">
        <f>INDEX(Raw_Schedule!C:C,MATCH(A1009,Raw_Schedule!A:A,0))</f>
        <v/>
      </c>
      <c r="D1009" s="3">
        <f>INDEX(Raw_Schedule!D:D,MATCH(A1009,Raw_Schedule!A:A,0))</f>
        <v/>
      </c>
      <c r="E1009" s="3">
        <f>INDEX(Raw_Schedule!E:E,MATCH(A1009,Raw_Schedule!A:A,0))</f>
        <v/>
      </c>
      <c r="F1009" s="3">
        <f>INDEX(Raw_Schedule!F:F,MATCH(A1009,Raw_Schedule!A:A,0))</f>
        <v/>
      </c>
      <c r="G1009" s="4">
        <f>INDEX(Raw_Schedule!G:G,MATCH(A1009,Raw_Schedule!A:A,0))</f>
        <v/>
      </c>
      <c r="H1009" s="5">
        <f>INDEX(Raw_Schedule!H:H,MATCH(A1009,Raw_Schedule!A:A,0))</f>
        <v/>
      </c>
      <c r="I1009" s="5">
        <f>SUMIFS(Raw_Payments!E:E,Raw_Payments!B:B,A1009)</f>
        <v/>
      </c>
      <c r="J1009" s="5">
        <f>H1009-I1009</f>
        <v/>
      </c>
      <c r="K1009" s="3">
        <f>IF(J1009&lt;=0.005,"PAID",IF(I1009&gt;0,"PARTIAL","OVERDUE"))</f>
        <v/>
      </c>
      <c r="L1009" s="4">
        <f>IF(COUNTIFS(Raw_Payments!B:B,A1009)=0,"",SUMPRODUCT(MAX((Raw_Payments!B$2:B$1079=A1009)*Raw_Payments!D$2:D$1079)))</f>
        <v/>
      </c>
      <c r="M1009" s="3">
        <f>IF(K1009="PAID",MAX(0,L1009-G1009),Guide!$B$3-G1009)</f>
        <v/>
      </c>
      <c r="N1009" s="3">
        <f>IF(J1009&lt;=0.005,"COLLECTED",IF(M1009&lt;=30,"1-30",IF(M1009&lt;=60,"31-60",IF(M1009&lt;=90,"61-90","90+"))))</f>
        <v/>
      </c>
      <c r="O1009" s="3">
        <f>IF(N1009="90+","LOST",IF(N1009="61-90","ESCALATE",IF(N1009="31-60","WATCH",IF(N1009="1-30","MILD","OK"))))</f>
        <v/>
      </c>
      <c r="P1009" s="3">
        <f>IF(J1009&gt;0.005,ROW()-1,"")</f>
        <v/>
      </c>
    </row>
    <row r="1010">
      <c r="A1010" s="3" t="inlineStr">
        <is>
          <t>D1009</t>
        </is>
      </c>
      <c r="B1010" s="3">
        <f>INDEX(Raw_Schedule!B:B,MATCH(A1010,Raw_Schedule!A:A,0))</f>
        <v/>
      </c>
      <c r="C1010" s="3">
        <f>INDEX(Raw_Schedule!C:C,MATCH(A1010,Raw_Schedule!A:A,0))</f>
        <v/>
      </c>
      <c r="D1010" s="3">
        <f>INDEX(Raw_Schedule!D:D,MATCH(A1010,Raw_Schedule!A:A,0))</f>
        <v/>
      </c>
      <c r="E1010" s="3">
        <f>INDEX(Raw_Schedule!E:E,MATCH(A1010,Raw_Schedule!A:A,0))</f>
        <v/>
      </c>
      <c r="F1010" s="3">
        <f>INDEX(Raw_Schedule!F:F,MATCH(A1010,Raw_Schedule!A:A,0))</f>
        <v/>
      </c>
      <c r="G1010" s="4">
        <f>INDEX(Raw_Schedule!G:G,MATCH(A1010,Raw_Schedule!A:A,0))</f>
        <v/>
      </c>
      <c r="H1010" s="5">
        <f>INDEX(Raw_Schedule!H:H,MATCH(A1010,Raw_Schedule!A:A,0))</f>
        <v/>
      </c>
      <c r="I1010" s="5">
        <f>SUMIFS(Raw_Payments!E:E,Raw_Payments!B:B,A1010)</f>
        <v/>
      </c>
      <c r="J1010" s="5">
        <f>H1010-I1010</f>
        <v/>
      </c>
      <c r="K1010" s="3">
        <f>IF(J1010&lt;=0.005,"PAID",IF(I1010&gt;0,"PARTIAL","OVERDUE"))</f>
        <v/>
      </c>
      <c r="L1010" s="4">
        <f>IF(COUNTIFS(Raw_Payments!B:B,A1010)=0,"",SUMPRODUCT(MAX((Raw_Payments!B$2:B$1079=A1010)*Raw_Payments!D$2:D$1079)))</f>
        <v/>
      </c>
      <c r="M1010" s="3">
        <f>IF(K1010="PAID",MAX(0,L1010-G1010),Guide!$B$3-G1010)</f>
        <v/>
      </c>
      <c r="N1010" s="3">
        <f>IF(J1010&lt;=0.005,"COLLECTED",IF(M1010&lt;=30,"1-30",IF(M1010&lt;=60,"31-60",IF(M1010&lt;=90,"61-90","90+"))))</f>
        <v/>
      </c>
      <c r="O1010" s="3">
        <f>IF(N1010="90+","LOST",IF(N1010="61-90","ESCALATE",IF(N1010="31-60","WATCH",IF(N1010="1-30","MILD","OK"))))</f>
        <v/>
      </c>
      <c r="P1010" s="3">
        <f>IF(J1010&gt;0.005,ROW()-1,"")</f>
        <v/>
      </c>
    </row>
    <row r="1011">
      <c r="A1011" s="3" t="inlineStr">
        <is>
          <t>D1010</t>
        </is>
      </c>
      <c r="B1011" s="3">
        <f>INDEX(Raw_Schedule!B:B,MATCH(A1011,Raw_Schedule!A:A,0))</f>
        <v/>
      </c>
      <c r="C1011" s="3">
        <f>INDEX(Raw_Schedule!C:C,MATCH(A1011,Raw_Schedule!A:A,0))</f>
        <v/>
      </c>
      <c r="D1011" s="3">
        <f>INDEX(Raw_Schedule!D:D,MATCH(A1011,Raw_Schedule!A:A,0))</f>
        <v/>
      </c>
      <c r="E1011" s="3">
        <f>INDEX(Raw_Schedule!E:E,MATCH(A1011,Raw_Schedule!A:A,0))</f>
        <v/>
      </c>
      <c r="F1011" s="3">
        <f>INDEX(Raw_Schedule!F:F,MATCH(A1011,Raw_Schedule!A:A,0))</f>
        <v/>
      </c>
      <c r="G1011" s="4">
        <f>INDEX(Raw_Schedule!G:G,MATCH(A1011,Raw_Schedule!A:A,0))</f>
        <v/>
      </c>
      <c r="H1011" s="5">
        <f>INDEX(Raw_Schedule!H:H,MATCH(A1011,Raw_Schedule!A:A,0))</f>
        <v/>
      </c>
      <c r="I1011" s="5">
        <f>SUMIFS(Raw_Payments!E:E,Raw_Payments!B:B,A1011)</f>
        <v/>
      </c>
      <c r="J1011" s="5">
        <f>H1011-I1011</f>
        <v/>
      </c>
      <c r="K1011" s="3">
        <f>IF(J1011&lt;=0.005,"PAID",IF(I1011&gt;0,"PARTIAL","OVERDUE"))</f>
        <v/>
      </c>
      <c r="L1011" s="4">
        <f>IF(COUNTIFS(Raw_Payments!B:B,A1011)=0,"",SUMPRODUCT(MAX((Raw_Payments!B$2:B$1079=A1011)*Raw_Payments!D$2:D$1079)))</f>
        <v/>
      </c>
      <c r="M1011" s="3">
        <f>IF(K1011="PAID",MAX(0,L1011-G1011),Guide!$B$3-G1011)</f>
        <v/>
      </c>
      <c r="N1011" s="3">
        <f>IF(J1011&lt;=0.005,"COLLECTED",IF(M1011&lt;=30,"1-30",IF(M1011&lt;=60,"31-60",IF(M1011&lt;=90,"61-90","90+"))))</f>
        <v/>
      </c>
      <c r="O1011" s="3">
        <f>IF(N1011="90+","LOST",IF(N1011="61-90","ESCALATE",IF(N1011="31-60","WATCH",IF(N1011="1-30","MILD","OK"))))</f>
        <v/>
      </c>
      <c r="P1011" s="3">
        <f>IF(J1011&gt;0.005,ROW()-1,"")</f>
        <v/>
      </c>
    </row>
    <row r="1012">
      <c r="A1012" s="3" t="inlineStr">
        <is>
          <t>D1011</t>
        </is>
      </c>
      <c r="B1012" s="3">
        <f>INDEX(Raw_Schedule!B:B,MATCH(A1012,Raw_Schedule!A:A,0))</f>
        <v/>
      </c>
      <c r="C1012" s="3">
        <f>INDEX(Raw_Schedule!C:C,MATCH(A1012,Raw_Schedule!A:A,0))</f>
        <v/>
      </c>
      <c r="D1012" s="3">
        <f>INDEX(Raw_Schedule!D:D,MATCH(A1012,Raw_Schedule!A:A,0))</f>
        <v/>
      </c>
      <c r="E1012" s="3">
        <f>INDEX(Raw_Schedule!E:E,MATCH(A1012,Raw_Schedule!A:A,0))</f>
        <v/>
      </c>
      <c r="F1012" s="3">
        <f>INDEX(Raw_Schedule!F:F,MATCH(A1012,Raw_Schedule!A:A,0))</f>
        <v/>
      </c>
      <c r="G1012" s="4">
        <f>INDEX(Raw_Schedule!G:G,MATCH(A1012,Raw_Schedule!A:A,0))</f>
        <v/>
      </c>
      <c r="H1012" s="5">
        <f>INDEX(Raw_Schedule!H:H,MATCH(A1012,Raw_Schedule!A:A,0))</f>
        <v/>
      </c>
      <c r="I1012" s="5">
        <f>SUMIFS(Raw_Payments!E:E,Raw_Payments!B:B,A1012)</f>
        <v/>
      </c>
      <c r="J1012" s="5">
        <f>H1012-I1012</f>
        <v/>
      </c>
      <c r="K1012" s="3">
        <f>IF(J1012&lt;=0.005,"PAID",IF(I1012&gt;0,"PARTIAL","OVERDUE"))</f>
        <v/>
      </c>
      <c r="L1012" s="4">
        <f>IF(COUNTIFS(Raw_Payments!B:B,A1012)=0,"",SUMPRODUCT(MAX((Raw_Payments!B$2:B$1079=A1012)*Raw_Payments!D$2:D$1079)))</f>
        <v/>
      </c>
      <c r="M1012" s="3">
        <f>IF(K1012="PAID",MAX(0,L1012-G1012),Guide!$B$3-G1012)</f>
        <v/>
      </c>
      <c r="N1012" s="3">
        <f>IF(J1012&lt;=0.005,"COLLECTED",IF(M1012&lt;=30,"1-30",IF(M1012&lt;=60,"31-60",IF(M1012&lt;=90,"61-90","90+"))))</f>
        <v/>
      </c>
      <c r="O1012" s="3">
        <f>IF(N1012="90+","LOST",IF(N1012="61-90","ESCALATE",IF(N1012="31-60","WATCH",IF(N1012="1-30","MILD","OK"))))</f>
        <v/>
      </c>
      <c r="P1012" s="3">
        <f>IF(J1012&gt;0.005,ROW()-1,"")</f>
        <v/>
      </c>
    </row>
    <row r="1013">
      <c r="A1013" s="3" t="inlineStr">
        <is>
          <t>D1012</t>
        </is>
      </c>
      <c r="B1013" s="3">
        <f>INDEX(Raw_Schedule!B:B,MATCH(A1013,Raw_Schedule!A:A,0))</f>
        <v/>
      </c>
      <c r="C1013" s="3">
        <f>INDEX(Raw_Schedule!C:C,MATCH(A1013,Raw_Schedule!A:A,0))</f>
        <v/>
      </c>
      <c r="D1013" s="3">
        <f>INDEX(Raw_Schedule!D:D,MATCH(A1013,Raw_Schedule!A:A,0))</f>
        <v/>
      </c>
      <c r="E1013" s="3">
        <f>INDEX(Raw_Schedule!E:E,MATCH(A1013,Raw_Schedule!A:A,0))</f>
        <v/>
      </c>
      <c r="F1013" s="3">
        <f>INDEX(Raw_Schedule!F:F,MATCH(A1013,Raw_Schedule!A:A,0))</f>
        <v/>
      </c>
      <c r="G1013" s="4">
        <f>INDEX(Raw_Schedule!G:G,MATCH(A1013,Raw_Schedule!A:A,0))</f>
        <v/>
      </c>
      <c r="H1013" s="5">
        <f>INDEX(Raw_Schedule!H:H,MATCH(A1013,Raw_Schedule!A:A,0))</f>
        <v/>
      </c>
      <c r="I1013" s="5">
        <f>SUMIFS(Raw_Payments!E:E,Raw_Payments!B:B,A1013)</f>
        <v/>
      </c>
      <c r="J1013" s="5">
        <f>H1013-I1013</f>
        <v/>
      </c>
      <c r="K1013" s="3">
        <f>IF(J1013&lt;=0.005,"PAID",IF(I1013&gt;0,"PARTIAL","OVERDUE"))</f>
        <v/>
      </c>
      <c r="L1013" s="4">
        <f>IF(COUNTIFS(Raw_Payments!B:B,A1013)=0,"",SUMPRODUCT(MAX((Raw_Payments!B$2:B$1079=A1013)*Raw_Payments!D$2:D$1079)))</f>
        <v/>
      </c>
      <c r="M1013" s="3">
        <f>IF(K1013="PAID",MAX(0,L1013-G1013),Guide!$B$3-G1013)</f>
        <v/>
      </c>
      <c r="N1013" s="3">
        <f>IF(J1013&lt;=0.005,"COLLECTED",IF(M1013&lt;=30,"1-30",IF(M1013&lt;=60,"31-60",IF(M1013&lt;=90,"61-90","90+"))))</f>
        <v/>
      </c>
      <c r="O1013" s="3">
        <f>IF(N1013="90+","LOST",IF(N1013="61-90","ESCALATE",IF(N1013="31-60","WATCH",IF(N1013="1-30","MILD","OK"))))</f>
        <v/>
      </c>
      <c r="P1013" s="3">
        <f>IF(J1013&gt;0.005,ROW()-1,"")</f>
        <v/>
      </c>
    </row>
    <row r="1014">
      <c r="A1014" s="3" t="inlineStr">
        <is>
          <t>D1013</t>
        </is>
      </c>
      <c r="B1014" s="3">
        <f>INDEX(Raw_Schedule!B:B,MATCH(A1014,Raw_Schedule!A:A,0))</f>
        <v/>
      </c>
      <c r="C1014" s="3">
        <f>INDEX(Raw_Schedule!C:C,MATCH(A1014,Raw_Schedule!A:A,0))</f>
        <v/>
      </c>
      <c r="D1014" s="3">
        <f>INDEX(Raw_Schedule!D:D,MATCH(A1014,Raw_Schedule!A:A,0))</f>
        <v/>
      </c>
      <c r="E1014" s="3">
        <f>INDEX(Raw_Schedule!E:E,MATCH(A1014,Raw_Schedule!A:A,0))</f>
        <v/>
      </c>
      <c r="F1014" s="3">
        <f>INDEX(Raw_Schedule!F:F,MATCH(A1014,Raw_Schedule!A:A,0))</f>
        <v/>
      </c>
      <c r="G1014" s="4">
        <f>INDEX(Raw_Schedule!G:G,MATCH(A1014,Raw_Schedule!A:A,0))</f>
        <v/>
      </c>
      <c r="H1014" s="5">
        <f>INDEX(Raw_Schedule!H:H,MATCH(A1014,Raw_Schedule!A:A,0))</f>
        <v/>
      </c>
      <c r="I1014" s="5">
        <f>SUMIFS(Raw_Payments!E:E,Raw_Payments!B:B,A1014)</f>
        <v/>
      </c>
      <c r="J1014" s="5">
        <f>H1014-I1014</f>
        <v/>
      </c>
      <c r="K1014" s="3">
        <f>IF(J1014&lt;=0.005,"PAID",IF(I1014&gt;0,"PARTIAL","OVERDUE"))</f>
        <v/>
      </c>
      <c r="L1014" s="4">
        <f>IF(COUNTIFS(Raw_Payments!B:B,A1014)=0,"",SUMPRODUCT(MAX((Raw_Payments!B$2:B$1079=A1014)*Raw_Payments!D$2:D$1079)))</f>
        <v/>
      </c>
      <c r="M1014" s="3">
        <f>IF(K1014="PAID",MAX(0,L1014-G1014),Guide!$B$3-G1014)</f>
        <v/>
      </c>
      <c r="N1014" s="3">
        <f>IF(J1014&lt;=0.005,"COLLECTED",IF(M1014&lt;=30,"1-30",IF(M1014&lt;=60,"31-60",IF(M1014&lt;=90,"61-90","90+"))))</f>
        <v/>
      </c>
      <c r="O1014" s="3">
        <f>IF(N1014="90+","LOST",IF(N1014="61-90","ESCALATE",IF(N1014="31-60","WATCH",IF(N1014="1-30","MILD","OK"))))</f>
        <v/>
      </c>
      <c r="P1014" s="3">
        <f>IF(J1014&gt;0.005,ROW()-1,"")</f>
        <v/>
      </c>
    </row>
    <row r="1015">
      <c r="A1015" s="3" t="inlineStr">
        <is>
          <t>D1014</t>
        </is>
      </c>
      <c r="B1015" s="3">
        <f>INDEX(Raw_Schedule!B:B,MATCH(A1015,Raw_Schedule!A:A,0))</f>
        <v/>
      </c>
      <c r="C1015" s="3">
        <f>INDEX(Raw_Schedule!C:C,MATCH(A1015,Raw_Schedule!A:A,0))</f>
        <v/>
      </c>
      <c r="D1015" s="3">
        <f>INDEX(Raw_Schedule!D:D,MATCH(A1015,Raw_Schedule!A:A,0))</f>
        <v/>
      </c>
      <c r="E1015" s="3">
        <f>INDEX(Raw_Schedule!E:E,MATCH(A1015,Raw_Schedule!A:A,0))</f>
        <v/>
      </c>
      <c r="F1015" s="3">
        <f>INDEX(Raw_Schedule!F:F,MATCH(A1015,Raw_Schedule!A:A,0))</f>
        <v/>
      </c>
      <c r="G1015" s="4">
        <f>INDEX(Raw_Schedule!G:G,MATCH(A1015,Raw_Schedule!A:A,0))</f>
        <v/>
      </c>
      <c r="H1015" s="5">
        <f>INDEX(Raw_Schedule!H:H,MATCH(A1015,Raw_Schedule!A:A,0))</f>
        <v/>
      </c>
      <c r="I1015" s="5">
        <f>SUMIFS(Raw_Payments!E:E,Raw_Payments!B:B,A1015)</f>
        <v/>
      </c>
      <c r="J1015" s="5">
        <f>H1015-I1015</f>
        <v/>
      </c>
      <c r="K1015" s="3">
        <f>IF(J1015&lt;=0.005,"PAID",IF(I1015&gt;0,"PARTIAL","OVERDUE"))</f>
        <v/>
      </c>
      <c r="L1015" s="4">
        <f>IF(COUNTIFS(Raw_Payments!B:B,A1015)=0,"",SUMPRODUCT(MAX((Raw_Payments!B$2:B$1079=A1015)*Raw_Payments!D$2:D$1079)))</f>
        <v/>
      </c>
      <c r="M1015" s="3">
        <f>IF(K1015="PAID",MAX(0,L1015-G1015),Guide!$B$3-G1015)</f>
        <v/>
      </c>
      <c r="N1015" s="3">
        <f>IF(J1015&lt;=0.005,"COLLECTED",IF(M1015&lt;=30,"1-30",IF(M1015&lt;=60,"31-60",IF(M1015&lt;=90,"61-90","90+"))))</f>
        <v/>
      </c>
      <c r="O1015" s="3">
        <f>IF(N1015="90+","LOST",IF(N1015="61-90","ESCALATE",IF(N1015="31-60","WATCH",IF(N1015="1-30","MILD","OK"))))</f>
        <v/>
      </c>
      <c r="P1015" s="3">
        <f>IF(J1015&gt;0.005,ROW()-1,"")</f>
        <v/>
      </c>
    </row>
    <row r="1016">
      <c r="A1016" s="3" t="inlineStr">
        <is>
          <t>D1015</t>
        </is>
      </c>
      <c r="B1016" s="3">
        <f>INDEX(Raw_Schedule!B:B,MATCH(A1016,Raw_Schedule!A:A,0))</f>
        <v/>
      </c>
      <c r="C1016" s="3">
        <f>INDEX(Raw_Schedule!C:C,MATCH(A1016,Raw_Schedule!A:A,0))</f>
        <v/>
      </c>
      <c r="D1016" s="3">
        <f>INDEX(Raw_Schedule!D:D,MATCH(A1016,Raw_Schedule!A:A,0))</f>
        <v/>
      </c>
      <c r="E1016" s="3">
        <f>INDEX(Raw_Schedule!E:E,MATCH(A1016,Raw_Schedule!A:A,0))</f>
        <v/>
      </c>
      <c r="F1016" s="3">
        <f>INDEX(Raw_Schedule!F:F,MATCH(A1016,Raw_Schedule!A:A,0))</f>
        <v/>
      </c>
      <c r="G1016" s="4">
        <f>INDEX(Raw_Schedule!G:G,MATCH(A1016,Raw_Schedule!A:A,0))</f>
        <v/>
      </c>
      <c r="H1016" s="5">
        <f>INDEX(Raw_Schedule!H:H,MATCH(A1016,Raw_Schedule!A:A,0))</f>
        <v/>
      </c>
      <c r="I1016" s="5">
        <f>SUMIFS(Raw_Payments!E:E,Raw_Payments!B:B,A1016)</f>
        <v/>
      </c>
      <c r="J1016" s="5">
        <f>H1016-I1016</f>
        <v/>
      </c>
      <c r="K1016" s="3">
        <f>IF(J1016&lt;=0.005,"PAID",IF(I1016&gt;0,"PARTIAL","OVERDUE"))</f>
        <v/>
      </c>
      <c r="L1016" s="4">
        <f>IF(COUNTIFS(Raw_Payments!B:B,A1016)=0,"",SUMPRODUCT(MAX((Raw_Payments!B$2:B$1079=A1016)*Raw_Payments!D$2:D$1079)))</f>
        <v/>
      </c>
      <c r="M1016" s="3">
        <f>IF(K1016="PAID",MAX(0,L1016-G1016),Guide!$B$3-G1016)</f>
        <v/>
      </c>
      <c r="N1016" s="3">
        <f>IF(J1016&lt;=0.005,"COLLECTED",IF(M1016&lt;=30,"1-30",IF(M1016&lt;=60,"31-60",IF(M1016&lt;=90,"61-90","90+"))))</f>
        <v/>
      </c>
      <c r="O1016" s="3">
        <f>IF(N1016="90+","LOST",IF(N1016="61-90","ESCALATE",IF(N1016="31-60","WATCH",IF(N1016="1-30","MILD","OK"))))</f>
        <v/>
      </c>
      <c r="P1016" s="3">
        <f>IF(J1016&gt;0.005,ROW()-1,"")</f>
        <v/>
      </c>
    </row>
    <row r="1017">
      <c r="A1017" s="3" t="inlineStr">
        <is>
          <t>D1016</t>
        </is>
      </c>
      <c r="B1017" s="3">
        <f>INDEX(Raw_Schedule!B:B,MATCH(A1017,Raw_Schedule!A:A,0))</f>
        <v/>
      </c>
      <c r="C1017" s="3">
        <f>INDEX(Raw_Schedule!C:C,MATCH(A1017,Raw_Schedule!A:A,0))</f>
        <v/>
      </c>
      <c r="D1017" s="3">
        <f>INDEX(Raw_Schedule!D:D,MATCH(A1017,Raw_Schedule!A:A,0))</f>
        <v/>
      </c>
      <c r="E1017" s="3">
        <f>INDEX(Raw_Schedule!E:E,MATCH(A1017,Raw_Schedule!A:A,0))</f>
        <v/>
      </c>
      <c r="F1017" s="3">
        <f>INDEX(Raw_Schedule!F:F,MATCH(A1017,Raw_Schedule!A:A,0))</f>
        <v/>
      </c>
      <c r="G1017" s="4">
        <f>INDEX(Raw_Schedule!G:G,MATCH(A1017,Raw_Schedule!A:A,0))</f>
        <v/>
      </c>
      <c r="H1017" s="5">
        <f>INDEX(Raw_Schedule!H:H,MATCH(A1017,Raw_Schedule!A:A,0))</f>
        <v/>
      </c>
      <c r="I1017" s="5">
        <f>SUMIFS(Raw_Payments!E:E,Raw_Payments!B:B,A1017)</f>
        <v/>
      </c>
      <c r="J1017" s="5">
        <f>H1017-I1017</f>
        <v/>
      </c>
      <c r="K1017" s="3">
        <f>IF(J1017&lt;=0.005,"PAID",IF(I1017&gt;0,"PARTIAL","OVERDUE"))</f>
        <v/>
      </c>
      <c r="L1017" s="4">
        <f>IF(COUNTIFS(Raw_Payments!B:B,A1017)=0,"",SUMPRODUCT(MAX((Raw_Payments!B$2:B$1079=A1017)*Raw_Payments!D$2:D$1079)))</f>
        <v/>
      </c>
      <c r="M1017" s="3">
        <f>IF(K1017="PAID",MAX(0,L1017-G1017),Guide!$B$3-G1017)</f>
        <v/>
      </c>
      <c r="N1017" s="3">
        <f>IF(J1017&lt;=0.005,"COLLECTED",IF(M1017&lt;=30,"1-30",IF(M1017&lt;=60,"31-60",IF(M1017&lt;=90,"61-90","90+"))))</f>
        <v/>
      </c>
      <c r="O1017" s="3">
        <f>IF(N1017="90+","LOST",IF(N1017="61-90","ESCALATE",IF(N1017="31-60","WATCH",IF(N1017="1-30","MILD","OK"))))</f>
        <v/>
      </c>
      <c r="P1017" s="3">
        <f>IF(J1017&gt;0.005,ROW()-1,"")</f>
        <v/>
      </c>
    </row>
    <row r="1018">
      <c r="A1018" s="3" t="inlineStr">
        <is>
          <t>D1017</t>
        </is>
      </c>
      <c r="B1018" s="3">
        <f>INDEX(Raw_Schedule!B:B,MATCH(A1018,Raw_Schedule!A:A,0))</f>
        <v/>
      </c>
      <c r="C1018" s="3">
        <f>INDEX(Raw_Schedule!C:C,MATCH(A1018,Raw_Schedule!A:A,0))</f>
        <v/>
      </c>
      <c r="D1018" s="3">
        <f>INDEX(Raw_Schedule!D:D,MATCH(A1018,Raw_Schedule!A:A,0))</f>
        <v/>
      </c>
      <c r="E1018" s="3">
        <f>INDEX(Raw_Schedule!E:E,MATCH(A1018,Raw_Schedule!A:A,0))</f>
        <v/>
      </c>
      <c r="F1018" s="3">
        <f>INDEX(Raw_Schedule!F:F,MATCH(A1018,Raw_Schedule!A:A,0))</f>
        <v/>
      </c>
      <c r="G1018" s="4">
        <f>INDEX(Raw_Schedule!G:G,MATCH(A1018,Raw_Schedule!A:A,0))</f>
        <v/>
      </c>
      <c r="H1018" s="5">
        <f>INDEX(Raw_Schedule!H:H,MATCH(A1018,Raw_Schedule!A:A,0))</f>
        <v/>
      </c>
      <c r="I1018" s="5">
        <f>SUMIFS(Raw_Payments!E:E,Raw_Payments!B:B,A1018)</f>
        <v/>
      </c>
      <c r="J1018" s="5">
        <f>H1018-I1018</f>
        <v/>
      </c>
      <c r="K1018" s="3">
        <f>IF(J1018&lt;=0.005,"PAID",IF(I1018&gt;0,"PARTIAL","OVERDUE"))</f>
        <v/>
      </c>
      <c r="L1018" s="4">
        <f>IF(COUNTIFS(Raw_Payments!B:B,A1018)=0,"",SUMPRODUCT(MAX((Raw_Payments!B$2:B$1079=A1018)*Raw_Payments!D$2:D$1079)))</f>
        <v/>
      </c>
      <c r="M1018" s="3">
        <f>IF(K1018="PAID",MAX(0,L1018-G1018),Guide!$B$3-G1018)</f>
        <v/>
      </c>
      <c r="N1018" s="3">
        <f>IF(J1018&lt;=0.005,"COLLECTED",IF(M1018&lt;=30,"1-30",IF(M1018&lt;=60,"31-60",IF(M1018&lt;=90,"61-90","90+"))))</f>
        <v/>
      </c>
      <c r="O1018" s="3">
        <f>IF(N1018="90+","LOST",IF(N1018="61-90","ESCALATE",IF(N1018="31-60","WATCH",IF(N1018="1-30","MILD","OK"))))</f>
        <v/>
      </c>
      <c r="P1018" s="3">
        <f>IF(J1018&gt;0.005,ROW()-1,"")</f>
        <v/>
      </c>
    </row>
    <row r="1019">
      <c r="A1019" s="3" t="inlineStr">
        <is>
          <t>D1018</t>
        </is>
      </c>
      <c r="B1019" s="3">
        <f>INDEX(Raw_Schedule!B:B,MATCH(A1019,Raw_Schedule!A:A,0))</f>
        <v/>
      </c>
      <c r="C1019" s="3">
        <f>INDEX(Raw_Schedule!C:C,MATCH(A1019,Raw_Schedule!A:A,0))</f>
        <v/>
      </c>
      <c r="D1019" s="3">
        <f>INDEX(Raw_Schedule!D:D,MATCH(A1019,Raw_Schedule!A:A,0))</f>
        <v/>
      </c>
      <c r="E1019" s="3">
        <f>INDEX(Raw_Schedule!E:E,MATCH(A1019,Raw_Schedule!A:A,0))</f>
        <v/>
      </c>
      <c r="F1019" s="3">
        <f>INDEX(Raw_Schedule!F:F,MATCH(A1019,Raw_Schedule!A:A,0))</f>
        <v/>
      </c>
      <c r="G1019" s="4">
        <f>INDEX(Raw_Schedule!G:G,MATCH(A1019,Raw_Schedule!A:A,0))</f>
        <v/>
      </c>
      <c r="H1019" s="5">
        <f>INDEX(Raw_Schedule!H:H,MATCH(A1019,Raw_Schedule!A:A,0))</f>
        <v/>
      </c>
      <c r="I1019" s="5">
        <f>SUMIFS(Raw_Payments!E:E,Raw_Payments!B:B,A1019)</f>
        <v/>
      </c>
      <c r="J1019" s="5">
        <f>H1019-I1019</f>
        <v/>
      </c>
      <c r="K1019" s="3">
        <f>IF(J1019&lt;=0.005,"PAID",IF(I1019&gt;0,"PARTIAL","OVERDUE"))</f>
        <v/>
      </c>
      <c r="L1019" s="4">
        <f>IF(COUNTIFS(Raw_Payments!B:B,A1019)=0,"",SUMPRODUCT(MAX((Raw_Payments!B$2:B$1079=A1019)*Raw_Payments!D$2:D$1079)))</f>
        <v/>
      </c>
      <c r="M1019" s="3">
        <f>IF(K1019="PAID",MAX(0,L1019-G1019),Guide!$B$3-G1019)</f>
        <v/>
      </c>
      <c r="N1019" s="3">
        <f>IF(J1019&lt;=0.005,"COLLECTED",IF(M1019&lt;=30,"1-30",IF(M1019&lt;=60,"31-60",IF(M1019&lt;=90,"61-90","90+"))))</f>
        <v/>
      </c>
      <c r="O1019" s="3">
        <f>IF(N1019="90+","LOST",IF(N1019="61-90","ESCALATE",IF(N1019="31-60","WATCH",IF(N1019="1-30","MILD","OK"))))</f>
        <v/>
      </c>
      <c r="P1019" s="3">
        <f>IF(J1019&gt;0.005,ROW()-1,"")</f>
        <v/>
      </c>
    </row>
    <row r="1020">
      <c r="A1020" s="3" t="inlineStr">
        <is>
          <t>D1019</t>
        </is>
      </c>
      <c r="B1020" s="3">
        <f>INDEX(Raw_Schedule!B:B,MATCH(A1020,Raw_Schedule!A:A,0))</f>
        <v/>
      </c>
      <c r="C1020" s="3">
        <f>INDEX(Raw_Schedule!C:C,MATCH(A1020,Raw_Schedule!A:A,0))</f>
        <v/>
      </c>
      <c r="D1020" s="3">
        <f>INDEX(Raw_Schedule!D:D,MATCH(A1020,Raw_Schedule!A:A,0))</f>
        <v/>
      </c>
      <c r="E1020" s="3">
        <f>INDEX(Raw_Schedule!E:E,MATCH(A1020,Raw_Schedule!A:A,0))</f>
        <v/>
      </c>
      <c r="F1020" s="3">
        <f>INDEX(Raw_Schedule!F:F,MATCH(A1020,Raw_Schedule!A:A,0))</f>
        <v/>
      </c>
      <c r="G1020" s="4">
        <f>INDEX(Raw_Schedule!G:G,MATCH(A1020,Raw_Schedule!A:A,0))</f>
        <v/>
      </c>
      <c r="H1020" s="5">
        <f>INDEX(Raw_Schedule!H:H,MATCH(A1020,Raw_Schedule!A:A,0))</f>
        <v/>
      </c>
      <c r="I1020" s="5">
        <f>SUMIFS(Raw_Payments!E:E,Raw_Payments!B:B,A1020)</f>
        <v/>
      </c>
      <c r="J1020" s="5">
        <f>H1020-I1020</f>
        <v/>
      </c>
      <c r="K1020" s="3">
        <f>IF(J1020&lt;=0.005,"PAID",IF(I1020&gt;0,"PARTIAL","OVERDUE"))</f>
        <v/>
      </c>
      <c r="L1020" s="4">
        <f>IF(COUNTIFS(Raw_Payments!B:B,A1020)=0,"",SUMPRODUCT(MAX((Raw_Payments!B$2:B$1079=A1020)*Raw_Payments!D$2:D$1079)))</f>
        <v/>
      </c>
      <c r="M1020" s="3">
        <f>IF(K1020="PAID",MAX(0,L1020-G1020),Guide!$B$3-G1020)</f>
        <v/>
      </c>
      <c r="N1020" s="3">
        <f>IF(J1020&lt;=0.005,"COLLECTED",IF(M1020&lt;=30,"1-30",IF(M1020&lt;=60,"31-60",IF(M1020&lt;=90,"61-90","90+"))))</f>
        <v/>
      </c>
      <c r="O1020" s="3">
        <f>IF(N1020="90+","LOST",IF(N1020="61-90","ESCALATE",IF(N1020="31-60","WATCH",IF(N1020="1-30","MILD","OK"))))</f>
        <v/>
      </c>
      <c r="P1020" s="3">
        <f>IF(J1020&gt;0.005,ROW()-1,"")</f>
        <v/>
      </c>
    </row>
    <row r="1021">
      <c r="A1021" s="3" t="inlineStr">
        <is>
          <t>D1020</t>
        </is>
      </c>
      <c r="B1021" s="3">
        <f>INDEX(Raw_Schedule!B:B,MATCH(A1021,Raw_Schedule!A:A,0))</f>
        <v/>
      </c>
      <c r="C1021" s="3">
        <f>INDEX(Raw_Schedule!C:C,MATCH(A1021,Raw_Schedule!A:A,0))</f>
        <v/>
      </c>
      <c r="D1021" s="3">
        <f>INDEX(Raw_Schedule!D:D,MATCH(A1021,Raw_Schedule!A:A,0))</f>
        <v/>
      </c>
      <c r="E1021" s="3">
        <f>INDEX(Raw_Schedule!E:E,MATCH(A1021,Raw_Schedule!A:A,0))</f>
        <v/>
      </c>
      <c r="F1021" s="3">
        <f>INDEX(Raw_Schedule!F:F,MATCH(A1021,Raw_Schedule!A:A,0))</f>
        <v/>
      </c>
      <c r="G1021" s="4">
        <f>INDEX(Raw_Schedule!G:G,MATCH(A1021,Raw_Schedule!A:A,0))</f>
        <v/>
      </c>
      <c r="H1021" s="5">
        <f>INDEX(Raw_Schedule!H:H,MATCH(A1021,Raw_Schedule!A:A,0))</f>
        <v/>
      </c>
      <c r="I1021" s="5">
        <f>SUMIFS(Raw_Payments!E:E,Raw_Payments!B:B,A1021)</f>
        <v/>
      </c>
      <c r="J1021" s="5">
        <f>H1021-I1021</f>
        <v/>
      </c>
      <c r="K1021" s="3">
        <f>IF(J1021&lt;=0.005,"PAID",IF(I1021&gt;0,"PARTIAL","OVERDUE"))</f>
        <v/>
      </c>
      <c r="L1021" s="4">
        <f>IF(COUNTIFS(Raw_Payments!B:B,A1021)=0,"",SUMPRODUCT(MAX((Raw_Payments!B$2:B$1079=A1021)*Raw_Payments!D$2:D$1079)))</f>
        <v/>
      </c>
      <c r="M1021" s="3">
        <f>IF(K1021="PAID",MAX(0,L1021-G1021),Guide!$B$3-G1021)</f>
        <v/>
      </c>
      <c r="N1021" s="3">
        <f>IF(J1021&lt;=0.005,"COLLECTED",IF(M1021&lt;=30,"1-30",IF(M1021&lt;=60,"31-60",IF(M1021&lt;=90,"61-90","90+"))))</f>
        <v/>
      </c>
      <c r="O1021" s="3">
        <f>IF(N1021="90+","LOST",IF(N1021="61-90","ESCALATE",IF(N1021="31-60","WATCH",IF(N1021="1-30","MILD","OK"))))</f>
        <v/>
      </c>
      <c r="P1021" s="3">
        <f>IF(J1021&gt;0.005,ROW()-1,"")</f>
        <v/>
      </c>
    </row>
    <row r="1022">
      <c r="A1022" s="3" t="inlineStr">
        <is>
          <t>D1021</t>
        </is>
      </c>
      <c r="B1022" s="3">
        <f>INDEX(Raw_Schedule!B:B,MATCH(A1022,Raw_Schedule!A:A,0))</f>
        <v/>
      </c>
      <c r="C1022" s="3">
        <f>INDEX(Raw_Schedule!C:C,MATCH(A1022,Raw_Schedule!A:A,0))</f>
        <v/>
      </c>
      <c r="D1022" s="3">
        <f>INDEX(Raw_Schedule!D:D,MATCH(A1022,Raw_Schedule!A:A,0))</f>
        <v/>
      </c>
      <c r="E1022" s="3">
        <f>INDEX(Raw_Schedule!E:E,MATCH(A1022,Raw_Schedule!A:A,0))</f>
        <v/>
      </c>
      <c r="F1022" s="3">
        <f>INDEX(Raw_Schedule!F:F,MATCH(A1022,Raw_Schedule!A:A,0))</f>
        <v/>
      </c>
      <c r="G1022" s="4">
        <f>INDEX(Raw_Schedule!G:G,MATCH(A1022,Raw_Schedule!A:A,0))</f>
        <v/>
      </c>
      <c r="H1022" s="5">
        <f>INDEX(Raw_Schedule!H:H,MATCH(A1022,Raw_Schedule!A:A,0))</f>
        <v/>
      </c>
      <c r="I1022" s="5">
        <f>SUMIFS(Raw_Payments!E:E,Raw_Payments!B:B,A1022)</f>
        <v/>
      </c>
      <c r="J1022" s="5">
        <f>H1022-I1022</f>
        <v/>
      </c>
      <c r="K1022" s="3">
        <f>IF(J1022&lt;=0.005,"PAID",IF(I1022&gt;0,"PARTIAL","OVERDUE"))</f>
        <v/>
      </c>
      <c r="L1022" s="4">
        <f>IF(COUNTIFS(Raw_Payments!B:B,A1022)=0,"",SUMPRODUCT(MAX((Raw_Payments!B$2:B$1079=A1022)*Raw_Payments!D$2:D$1079)))</f>
        <v/>
      </c>
      <c r="M1022" s="3">
        <f>IF(K1022="PAID",MAX(0,L1022-G1022),Guide!$B$3-G1022)</f>
        <v/>
      </c>
      <c r="N1022" s="3">
        <f>IF(J1022&lt;=0.005,"COLLECTED",IF(M1022&lt;=30,"1-30",IF(M1022&lt;=60,"31-60",IF(M1022&lt;=90,"61-90","90+"))))</f>
        <v/>
      </c>
      <c r="O1022" s="3">
        <f>IF(N1022="90+","LOST",IF(N1022="61-90","ESCALATE",IF(N1022="31-60","WATCH",IF(N1022="1-30","MILD","OK"))))</f>
        <v/>
      </c>
      <c r="P1022" s="3">
        <f>IF(J1022&gt;0.005,ROW()-1,"")</f>
        <v/>
      </c>
    </row>
    <row r="1023">
      <c r="A1023" s="3" t="inlineStr">
        <is>
          <t>D1022</t>
        </is>
      </c>
      <c r="B1023" s="3">
        <f>INDEX(Raw_Schedule!B:B,MATCH(A1023,Raw_Schedule!A:A,0))</f>
        <v/>
      </c>
      <c r="C1023" s="3">
        <f>INDEX(Raw_Schedule!C:C,MATCH(A1023,Raw_Schedule!A:A,0))</f>
        <v/>
      </c>
      <c r="D1023" s="3">
        <f>INDEX(Raw_Schedule!D:D,MATCH(A1023,Raw_Schedule!A:A,0))</f>
        <v/>
      </c>
      <c r="E1023" s="3">
        <f>INDEX(Raw_Schedule!E:E,MATCH(A1023,Raw_Schedule!A:A,0))</f>
        <v/>
      </c>
      <c r="F1023" s="3">
        <f>INDEX(Raw_Schedule!F:F,MATCH(A1023,Raw_Schedule!A:A,0))</f>
        <v/>
      </c>
      <c r="G1023" s="4">
        <f>INDEX(Raw_Schedule!G:G,MATCH(A1023,Raw_Schedule!A:A,0))</f>
        <v/>
      </c>
      <c r="H1023" s="5">
        <f>INDEX(Raw_Schedule!H:H,MATCH(A1023,Raw_Schedule!A:A,0))</f>
        <v/>
      </c>
      <c r="I1023" s="5">
        <f>SUMIFS(Raw_Payments!E:E,Raw_Payments!B:B,A1023)</f>
        <v/>
      </c>
      <c r="J1023" s="5">
        <f>H1023-I1023</f>
        <v/>
      </c>
      <c r="K1023" s="3">
        <f>IF(J1023&lt;=0.005,"PAID",IF(I1023&gt;0,"PARTIAL","OVERDUE"))</f>
        <v/>
      </c>
      <c r="L1023" s="4">
        <f>IF(COUNTIFS(Raw_Payments!B:B,A1023)=0,"",SUMPRODUCT(MAX((Raw_Payments!B$2:B$1079=A1023)*Raw_Payments!D$2:D$1079)))</f>
        <v/>
      </c>
      <c r="M1023" s="3">
        <f>IF(K1023="PAID",MAX(0,L1023-G1023),Guide!$B$3-G1023)</f>
        <v/>
      </c>
      <c r="N1023" s="3">
        <f>IF(J1023&lt;=0.005,"COLLECTED",IF(M1023&lt;=30,"1-30",IF(M1023&lt;=60,"31-60",IF(M1023&lt;=90,"61-90","90+"))))</f>
        <v/>
      </c>
      <c r="O1023" s="3">
        <f>IF(N1023="90+","LOST",IF(N1023="61-90","ESCALATE",IF(N1023="31-60","WATCH",IF(N1023="1-30","MILD","OK"))))</f>
        <v/>
      </c>
      <c r="P1023" s="3">
        <f>IF(J1023&gt;0.005,ROW()-1,"")</f>
        <v/>
      </c>
    </row>
    <row r="1024">
      <c r="A1024" s="3" t="inlineStr">
        <is>
          <t>D1023</t>
        </is>
      </c>
      <c r="B1024" s="3">
        <f>INDEX(Raw_Schedule!B:B,MATCH(A1024,Raw_Schedule!A:A,0))</f>
        <v/>
      </c>
      <c r="C1024" s="3">
        <f>INDEX(Raw_Schedule!C:C,MATCH(A1024,Raw_Schedule!A:A,0))</f>
        <v/>
      </c>
      <c r="D1024" s="3">
        <f>INDEX(Raw_Schedule!D:D,MATCH(A1024,Raw_Schedule!A:A,0))</f>
        <v/>
      </c>
      <c r="E1024" s="3">
        <f>INDEX(Raw_Schedule!E:E,MATCH(A1024,Raw_Schedule!A:A,0))</f>
        <v/>
      </c>
      <c r="F1024" s="3">
        <f>INDEX(Raw_Schedule!F:F,MATCH(A1024,Raw_Schedule!A:A,0))</f>
        <v/>
      </c>
      <c r="G1024" s="4">
        <f>INDEX(Raw_Schedule!G:G,MATCH(A1024,Raw_Schedule!A:A,0))</f>
        <v/>
      </c>
      <c r="H1024" s="5">
        <f>INDEX(Raw_Schedule!H:H,MATCH(A1024,Raw_Schedule!A:A,0))</f>
        <v/>
      </c>
      <c r="I1024" s="5">
        <f>SUMIFS(Raw_Payments!E:E,Raw_Payments!B:B,A1024)</f>
        <v/>
      </c>
      <c r="J1024" s="5">
        <f>H1024-I1024</f>
        <v/>
      </c>
      <c r="K1024" s="3">
        <f>IF(J1024&lt;=0.005,"PAID",IF(I1024&gt;0,"PARTIAL","OVERDUE"))</f>
        <v/>
      </c>
      <c r="L1024" s="4">
        <f>IF(COUNTIFS(Raw_Payments!B:B,A1024)=0,"",SUMPRODUCT(MAX((Raw_Payments!B$2:B$1079=A1024)*Raw_Payments!D$2:D$1079)))</f>
        <v/>
      </c>
      <c r="M1024" s="3">
        <f>IF(K1024="PAID",MAX(0,L1024-G1024),Guide!$B$3-G1024)</f>
        <v/>
      </c>
      <c r="N1024" s="3">
        <f>IF(J1024&lt;=0.005,"COLLECTED",IF(M1024&lt;=30,"1-30",IF(M1024&lt;=60,"31-60",IF(M1024&lt;=90,"61-90","90+"))))</f>
        <v/>
      </c>
      <c r="O1024" s="3">
        <f>IF(N1024="90+","LOST",IF(N1024="61-90","ESCALATE",IF(N1024="31-60","WATCH",IF(N1024="1-30","MILD","OK"))))</f>
        <v/>
      </c>
      <c r="P1024" s="3">
        <f>IF(J1024&gt;0.005,ROW()-1,"")</f>
        <v/>
      </c>
    </row>
    <row r="1025">
      <c r="A1025" s="3" t="inlineStr">
        <is>
          <t>D1024</t>
        </is>
      </c>
      <c r="B1025" s="3">
        <f>INDEX(Raw_Schedule!B:B,MATCH(A1025,Raw_Schedule!A:A,0))</f>
        <v/>
      </c>
      <c r="C1025" s="3">
        <f>INDEX(Raw_Schedule!C:C,MATCH(A1025,Raw_Schedule!A:A,0))</f>
        <v/>
      </c>
      <c r="D1025" s="3">
        <f>INDEX(Raw_Schedule!D:D,MATCH(A1025,Raw_Schedule!A:A,0))</f>
        <v/>
      </c>
      <c r="E1025" s="3">
        <f>INDEX(Raw_Schedule!E:E,MATCH(A1025,Raw_Schedule!A:A,0))</f>
        <v/>
      </c>
      <c r="F1025" s="3">
        <f>INDEX(Raw_Schedule!F:F,MATCH(A1025,Raw_Schedule!A:A,0))</f>
        <v/>
      </c>
      <c r="G1025" s="4">
        <f>INDEX(Raw_Schedule!G:G,MATCH(A1025,Raw_Schedule!A:A,0))</f>
        <v/>
      </c>
      <c r="H1025" s="5">
        <f>INDEX(Raw_Schedule!H:H,MATCH(A1025,Raw_Schedule!A:A,0))</f>
        <v/>
      </c>
      <c r="I1025" s="5">
        <f>SUMIFS(Raw_Payments!E:E,Raw_Payments!B:B,A1025)</f>
        <v/>
      </c>
      <c r="J1025" s="5">
        <f>H1025-I1025</f>
        <v/>
      </c>
      <c r="K1025" s="3">
        <f>IF(J1025&lt;=0.005,"PAID",IF(I1025&gt;0,"PARTIAL","OVERDUE"))</f>
        <v/>
      </c>
      <c r="L1025" s="4">
        <f>IF(COUNTIFS(Raw_Payments!B:B,A1025)=0,"",SUMPRODUCT(MAX((Raw_Payments!B$2:B$1079=A1025)*Raw_Payments!D$2:D$1079)))</f>
        <v/>
      </c>
      <c r="M1025" s="3">
        <f>IF(K1025="PAID",MAX(0,L1025-G1025),Guide!$B$3-G1025)</f>
        <v/>
      </c>
      <c r="N1025" s="3">
        <f>IF(J1025&lt;=0.005,"COLLECTED",IF(M1025&lt;=30,"1-30",IF(M1025&lt;=60,"31-60",IF(M1025&lt;=90,"61-90","90+"))))</f>
        <v/>
      </c>
      <c r="O1025" s="3">
        <f>IF(N1025="90+","LOST",IF(N1025="61-90","ESCALATE",IF(N1025="31-60","WATCH",IF(N1025="1-30","MILD","OK"))))</f>
        <v/>
      </c>
      <c r="P1025" s="3">
        <f>IF(J1025&gt;0.005,ROW()-1,"")</f>
        <v/>
      </c>
    </row>
    <row r="1026">
      <c r="A1026" s="3" t="inlineStr">
        <is>
          <t>D1025</t>
        </is>
      </c>
      <c r="B1026" s="3">
        <f>INDEX(Raw_Schedule!B:B,MATCH(A1026,Raw_Schedule!A:A,0))</f>
        <v/>
      </c>
      <c r="C1026" s="3">
        <f>INDEX(Raw_Schedule!C:C,MATCH(A1026,Raw_Schedule!A:A,0))</f>
        <v/>
      </c>
      <c r="D1026" s="3">
        <f>INDEX(Raw_Schedule!D:D,MATCH(A1026,Raw_Schedule!A:A,0))</f>
        <v/>
      </c>
      <c r="E1026" s="3">
        <f>INDEX(Raw_Schedule!E:E,MATCH(A1026,Raw_Schedule!A:A,0))</f>
        <v/>
      </c>
      <c r="F1026" s="3">
        <f>INDEX(Raw_Schedule!F:F,MATCH(A1026,Raw_Schedule!A:A,0))</f>
        <v/>
      </c>
      <c r="G1026" s="4">
        <f>INDEX(Raw_Schedule!G:G,MATCH(A1026,Raw_Schedule!A:A,0))</f>
        <v/>
      </c>
      <c r="H1026" s="5">
        <f>INDEX(Raw_Schedule!H:H,MATCH(A1026,Raw_Schedule!A:A,0))</f>
        <v/>
      </c>
      <c r="I1026" s="5">
        <f>SUMIFS(Raw_Payments!E:E,Raw_Payments!B:B,A1026)</f>
        <v/>
      </c>
      <c r="J1026" s="5">
        <f>H1026-I1026</f>
        <v/>
      </c>
      <c r="K1026" s="3">
        <f>IF(J1026&lt;=0.005,"PAID",IF(I1026&gt;0,"PARTIAL","OVERDUE"))</f>
        <v/>
      </c>
      <c r="L1026" s="4">
        <f>IF(COUNTIFS(Raw_Payments!B:B,A1026)=0,"",SUMPRODUCT(MAX((Raw_Payments!B$2:B$1079=A1026)*Raw_Payments!D$2:D$1079)))</f>
        <v/>
      </c>
      <c r="M1026" s="3">
        <f>IF(K1026="PAID",MAX(0,L1026-G1026),Guide!$B$3-G1026)</f>
        <v/>
      </c>
      <c r="N1026" s="3">
        <f>IF(J1026&lt;=0.005,"COLLECTED",IF(M1026&lt;=30,"1-30",IF(M1026&lt;=60,"31-60",IF(M1026&lt;=90,"61-90","90+"))))</f>
        <v/>
      </c>
      <c r="O1026" s="3">
        <f>IF(N1026="90+","LOST",IF(N1026="61-90","ESCALATE",IF(N1026="31-60","WATCH",IF(N1026="1-30","MILD","OK"))))</f>
        <v/>
      </c>
      <c r="P1026" s="3">
        <f>IF(J1026&gt;0.005,ROW()-1,"")</f>
        <v/>
      </c>
    </row>
    <row r="1027">
      <c r="A1027" s="3" t="inlineStr">
        <is>
          <t>D1026</t>
        </is>
      </c>
      <c r="B1027" s="3">
        <f>INDEX(Raw_Schedule!B:B,MATCH(A1027,Raw_Schedule!A:A,0))</f>
        <v/>
      </c>
      <c r="C1027" s="3">
        <f>INDEX(Raw_Schedule!C:C,MATCH(A1027,Raw_Schedule!A:A,0))</f>
        <v/>
      </c>
      <c r="D1027" s="3">
        <f>INDEX(Raw_Schedule!D:D,MATCH(A1027,Raw_Schedule!A:A,0))</f>
        <v/>
      </c>
      <c r="E1027" s="3">
        <f>INDEX(Raw_Schedule!E:E,MATCH(A1027,Raw_Schedule!A:A,0))</f>
        <v/>
      </c>
      <c r="F1027" s="3">
        <f>INDEX(Raw_Schedule!F:F,MATCH(A1027,Raw_Schedule!A:A,0))</f>
        <v/>
      </c>
      <c r="G1027" s="4">
        <f>INDEX(Raw_Schedule!G:G,MATCH(A1027,Raw_Schedule!A:A,0))</f>
        <v/>
      </c>
      <c r="H1027" s="5">
        <f>INDEX(Raw_Schedule!H:H,MATCH(A1027,Raw_Schedule!A:A,0))</f>
        <v/>
      </c>
      <c r="I1027" s="5">
        <f>SUMIFS(Raw_Payments!E:E,Raw_Payments!B:B,A1027)</f>
        <v/>
      </c>
      <c r="J1027" s="5">
        <f>H1027-I1027</f>
        <v/>
      </c>
      <c r="K1027" s="3">
        <f>IF(J1027&lt;=0.005,"PAID",IF(I1027&gt;0,"PARTIAL","OVERDUE"))</f>
        <v/>
      </c>
      <c r="L1027" s="4">
        <f>IF(COUNTIFS(Raw_Payments!B:B,A1027)=0,"",SUMPRODUCT(MAX((Raw_Payments!B$2:B$1079=A1027)*Raw_Payments!D$2:D$1079)))</f>
        <v/>
      </c>
      <c r="M1027" s="3">
        <f>IF(K1027="PAID",MAX(0,L1027-G1027),Guide!$B$3-G1027)</f>
        <v/>
      </c>
      <c r="N1027" s="3">
        <f>IF(J1027&lt;=0.005,"COLLECTED",IF(M1027&lt;=30,"1-30",IF(M1027&lt;=60,"31-60",IF(M1027&lt;=90,"61-90","90+"))))</f>
        <v/>
      </c>
      <c r="O1027" s="3">
        <f>IF(N1027="90+","LOST",IF(N1027="61-90","ESCALATE",IF(N1027="31-60","WATCH",IF(N1027="1-30","MILD","OK"))))</f>
        <v/>
      </c>
      <c r="P1027" s="3">
        <f>IF(J1027&gt;0.005,ROW()-1,"")</f>
        <v/>
      </c>
    </row>
    <row r="1028">
      <c r="A1028" s="3" t="inlineStr">
        <is>
          <t>D1027</t>
        </is>
      </c>
      <c r="B1028" s="3">
        <f>INDEX(Raw_Schedule!B:B,MATCH(A1028,Raw_Schedule!A:A,0))</f>
        <v/>
      </c>
      <c r="C1028" s="3">
        <f>INDEX(Raw_Schedule!C:C,MATCH(A1028,Raw_Schedule!A:A,0))</f>
        <v/>
      </c>
      <c r="D1028" s="3">
        <f>INDEX(Raw_Schedule!D:D,MATCH(A1028,Raw_Schedule!A:A,0))</f>
        <v/>
      </c>
      <c r="E1028" s="3">
        <f>INDEX(Raw_Schedule!E:E,MATCH(A1028,Raw_Schedule!A:A,0))</f>
        <v/>
      </c>
      <c r="F1028" s="3">
        <f>INDEX(Raw_Schedule!F:F,MATCH(A1028,Raw_Schedule!A:A,0))</f>
        <v/>
      </c>
      <c r="G1028" s="4">
        <f>INDEX(Raw_Schedule!G:G,MATCH(A1028,Raw_Schedule!A:A,0))</f>
        <v/>
      </c>
      <c r="H1028" s="5">
        <f>INDEX(Raw_Schedule!H:H,MATCH(A1028,Raw_Schedule!A:A,0))</f>
        <v/>
      </c>
      <c r="I1028" s="5">
        <f>SUMIFS(Raw_Payments!E:E,Raw_Payments!B:B,A1028)</f>
        <v/>
      </c>
      <c r="J1028" s="5">
        <f>H1028-I1028</f>
        <v/>
      </c>
      <c r="K1028" s="3">
        <f>IF(J1028&lt;=0.005,"PAID",IF(I1028&gt;0,"PARTIAL","OVERDUE"))</f>
        <v/>
      </c>
      <c r="L1028" s="4">
        <f>IF(COUNTIFS(Raw_Payments!B:B,A1028)=0,"",SUMPRODUCT(MAX((Raw_Payments!B$2:B$1079=A1028)*Raw_Payments!D$2:D$1079)))</f>
        <v/>
      </c>
      <c r="M1028" s="3">
        <f>IF(K1028="PAID",MAX(0,L1028-G1028),Guide!$B$3-G1028)</f>
        <v/>
      </c>
      <c r="N1028" s="3">
        <f>IF(J1028&lt;=0.005,"COLLECTED",IF(M1028&lt;=30,"1-30",IF(M1028&lt;=60,"31-60",IF(M1028&lt;=90,"61-90","90+"))))</f>
        <v/>
      </c>
      <c r="O1028" s="3">
        <f>IF(N1028="90+","LOST",IF(N1028="61-90","ESCALATE",IF(N1028="31-60","WATCH",IF(N1028="1-30","MILD","OK"))))</f>
        <v/>
      </c>
      <c r="P1028" s="3">
        <f>IF(J1028&gt;0.005,ROW()-1,"")</f>
        <v/>
      </c>
    </row>
    <row r="1029">
      <c r="A1029" s="3" t="inlineStr">
        <is>
          <t>D1028</t>
        </is>
      </c>
      <c r="B1029" s="3">
        <f>INDEX(Raw_Schedule!B:B,MATCH(A1029,Raw_Schedule!A:A,0))</f>
        <v/>
      </c>
      <c r="C1029" s="3">
        <f>INDEX(Raw_Schedule!C:C,MATCH(A1029,Raw_Schedule!A:A,0))</f>
        <v/>
      </c>
      <c r="D1029" s="3">
        <f>INDEX(Raw_Schedule!D:D,MATCH(A1029,Raw_Schedule!A:A,0))</f>
        <v/>
      </c>
      <c r="E1029" s="3">
        <f>INDEX(Raw_Schedule!E:E,MATCH(A1029,Raw_Schedule!A:A,0))</f>
        <v/>
      </c>
      <c r="F1029" s="3">
        <f>INDEX(Raw_Schedule!F:F,MATCH(A1029,Raw_Schedule!A:A,0))</f>
        <v/>
      </c>
      <c r="G1029" s="4">
        <f>INDEX(Raw_Schedule!G:G,MATCH(A1029,Raw_Schedule!A:A,0))</f>
        <v/>
      </c>
      <c r="H1029" s="5">
        <f>INDEX(Raw_Schedule!H:H,MATCH(A1029,Raw_Schedule!A:A,0))</f>
        <v/>
      </c>
      <c r="I1029" s="5">
        <f>SUMIFS(Raw_Payments!E:E,Raw_Payments!B:B,A1029)</f>
        <v/>
      </c>
      <c r="J1029" s="5">
        <f>H1029-I1029</f>
        <v/>
      </c>
      <c r="K1029" s="3">
        <f>IF(J1029&lt;=0.005,"PAID",IF(I1029&gt;0,"PARTIAL","OVERDUE"))</f>
        <v/>
      </c>
      <c r="L1029" s="4">
        <f>IF(COUNTIFS(Raw_Payments!B:B,A1029)=0,"",SUMPRODUCT(MAX((Raw_Payments!B$2:B$1079=A1029)*Raw_Payments!D$2:D$1079)))</f>
        <v/>
      </c>
      <c r="M1029" s="3">
        <f>IF(K1029="PAID",MAX(0,L1029-G1029),Guide!$B$3-G1029)</f>
        <v/>
      </c>
      <c r="N1029" s="3">
        <f>IF(J1029&lt;=0.005,"COLLECTED",IF(M1029&lt;=30,"1-30",IF(M1029&lt;=60,"31-60",IF(M1029&lt;=90,"61-90","90+"))))</f>
        <v/>
      </c>
      <c r="O1029" s="3">
        <f>IF(N1029="90+","LOST",IF(N1029="61-90","ESCALATE",IF(N1029="31-60","WATCH",IF(N1029="1-30","MILD","OK"))))</f>
        <v/>
      </c>
      <c r="P1029" s="3">
        <f>IF(J1029&gt;0.005,ROW()-1,"")</f>
        <v/>
      </c>
    </row>
    <row r="1030">
      <c r="A1030" s="3" t="inlineStr">
        <is>
          <t>D1029</t>
        </is>
      </c>
      <c r="B1030" s="3">
        <f>INDEX(Raw_Schedule!B:B,MATCH(A1030,Raw_Schedule!A:A,0))</f>
        <v/>
      </c>
      <c r="C1030" s="3">
        <f>INDEX(Raw_Schedule!C:C,MATCH(A1030,Raw_Schedule!A:A,0))</f>
        <v/>
      </c>
      <c r="D1030" s="3">
        <f>INDEX(Raw_Schedule!D:D,MATCH(A1030,Raw_Schedule!A:A,0))</f>
        <v/>
      </c>
      <c r="E1030" s="3">
        <f>INDEX(Raw_Schedule!E:E,MATCH(A1030,Raw_Schedule!A:A,0))</f>
        <v/>
      </c>
      <c r="F1030" s="3">
        <f>INDEX(Raw_Schedule!F:F,MATCH(A1030,Raw_Schedule!A:A,0))</f>
        <v/>
      </c>
      <c r="G1030" s="4">
        <f>INDEX(Raw_Schedule!G:G,MATCH(A1030,Raw_Schedule!A:A,0))</f>
        <v/>
      </c>
      <c r="H1030" s="5">
        <f>INDEX(Raw_Schedule!H:H,MATCH(A1030,Raw_Schedule!A:A,0))</f>
        <v/>
      </c>
      <c r="I1030" s="5">
        <f>SUMIFS(Raw_Payments!E:E,Raw_Payments!B:B,A1030)</f>
        <v/>
      </c>
      <c r="J1030" s="5">
        <f>H1030-I1030</f>
        <v/>
      </c>
      <c r="K1030" s="3">
        <f>IF(J1030&lt;=0.005,"PAID",IF(I1030&gt;0,"PARTIAL","OVERDUE"))</f>
        <v/>
      </c>
      <c r="L1030" s="4">
        <f>IF(COUNTIFS(Raw_Payments!B:B,A1030)=0,"",SUMPRODUCT(MAX((Raw_Payments!B$2:B$1079=A1030)*Raw_Payments!D$2:D$1079)))</f>
        <v/>
      </c>
      <c r="M1030" s="3">
        <f>IF(K1030="PAID",MAX(0,L1030-G1030),Guide!$B$3-G1030)</f>
        <v/>
      </c>
      <c r="N1030" s="3">
        <f>IF(J1030&lt;=0.005,"COLLECTED",IF(M1030&lt;=30,"1-30",IF(M1030&lt;=60,"31-60",IF(M1030&lt;=90,"61-90","90+"))))</f>
        <v/>
      </c>
      <c r="O1030" s="3">
        <f>IF(N1030="90+","LOST",IF(N1030="61-90","ESCALATE",IF(N1030="31-60","WATCH",IF(N1030="1-30","MILD","OK"))))</f>
        <v/>
      </c>
      <c r="P1030" s="3">
        <f>IF(J1030&gt;0.005,ROW()-1,"")</f>
        <v/>
      </c>
    </row>
    <row r="1031">
      <c r="A1031" s="3" t="inlineStr">
        <is>
          <t>D1030</t>
        </is>
      </c>
      <c r="B1031" s="3">
        <f>INDEX(Raw_Schedule!B:B,MATCH(A1031,Raw_Schedule!A:A,0))</f>
        <v/>
      </c>
      <c r="C1031" s="3">
        <f>INDEX(Raw_Schedule!C:C,MATCH(A1031,Raw_Schedule!A:A,0))</f>
        <v/>
      </c>
      <c r="D1031" s="3">
        <f>INDEX(Raw_Schedule!D:D,MATCH(A1031,Raw_Schedule!A:A,0))</f>
        <v/>
      </c>
      <c r="E1031" s="3">
        <f>INDEX(Raw_Schedule!E:E,MATCH(A1031,Raw_Schedule!A:A,0))</f>
        <v/>
      </c>
      <c r="F1031" s="3">
        <f>INDEX(Raw_Schedule!F:F,MATCH(A1031,Raw_Schedule!A:A,0))</f>
        <v/>
      </c>
      <c r="G1031" s="4">
        <f>INDEX(Raw_Schedule!G:G,MATCH(A1031,Raw_Schedule!A:A,0))</f>
        <v/>
      </c>
      <c r="H1031" s="5">
        <f>INDEX(Raw_Schedule!H:H,MATCH(A1031,Raw_Schedule!A:A,0))</f>
        <v/>
      </c>
      <c r="I1031" s="5">
        <f>SUMIFS(Raw_Payments!E:E,Raw_Payments!B:B,A1031)</f>
        <v/>
      </c>
      <c r="J1031" s="5">
        <f>H1031-I1031</f>
        <v/>
      </c>
      <c r="K1031" s="3">
        <f>IF(J1031&lt;=0.005,"PAID",IF(I1031&gt;0,"PARTIAL","OVERDUE"))</f>
        <v/>
      </c>
      <c r="L1031" s="4">
        <f>IF(COUNTIFS(Raw_Payments!B:B,A1031)=0,"",SUMPRODUCT(MAX((Raw_Payments!B$2:B$1079=A1031)*Raw_Payments!D$2:D$1079)))</f>
        <v/>
      </c>
      <c r="M1031" s="3">
        <f>IF(K1031="PAID",MAX(0,L1031-G1031),Guide!$B$3-G1031)</f>
        <v/>
      </c>
      <c r="N1031" s="3">
        <f>IF(J1031&lt;=0.005,"COLLECTED",IF(M1031&lt;=30,"1-30",IF(M1031&lt;=60,"31-60",IF(M1031&lt;=90,"61-90","90+"))))</f>
        <v/>
      </c>
      <c r="O1031" s="3">
        <f>IF(N1031="90+","LOST",IF(N1031="61-90","ESCALATE",IF(N1031="31-60","WATCH",IF(N1031="1-30","MILD","OK"))))</f>
        <v/>
      </c>
      <c r="P1031" s="3">
        <f>IF(J1031&gt;0.005,ROW()-1,"")</f>
        <v/>
      </c>
    </row>
    <row r="1032">
      <c r="A1032" s="3" t="inlineStr">
        <is>
          <t>D1031</t>
        </is>
      </c>
      <c r="B1032" s="3">
        <f>INDEX(Raw_Schedule!B:B,MATCH(A1032,Raw_Schedule!A:A,0))</f>
        <v/>
      </c>
      <c r="C1032" s="3">
        <f>INDEX(Raw_Schedule!C:C,MATCH(A1032,Raw_Schedule!A:A,0))</f>
        <v/>
      </c>
      <c r="D1032" s="3">
        <f>INDEX(Raw_Schedule!D:D,MATCH(A1032,Raw_Schedule!A:A,0))</f>
        <v/>
      </c>
      <c r="E1032" s="3">
        <f>INDEX(Raw_Schedule!E:E,MATCH(A1032,Raw_Schedule!A:A,0))</f>
        <v/>
      </c>
      <c r="F1032" s="3">
        <f>INDEX(Raw_Schedule!F:F,MATCH(A1032,Raw_Schedule!A:A,0))</f>
        <v/>
      </c>
      <c r="G1032" s="4">
        <f>INDEX(Raw_Schedule!G:G,MATCH(A1032,Raw_Schedule!A:A,0))</f>
        <v/>
      </c>
      <c r="H1032" s="5">
        <f>INDEX(Raw_Schedule!H:H,MATCH(A1032,Raw_Schedule!A:A,0))</f>
        <v/>
      </c>
      <c r="I1032" s="5">
        <f>SUMIFS(Raw_Payments!E:E,Raw_Payments!B:B,A1032)</f>
        <v/>
      </c>
      <c r="J1032" s="5">
        <f>H1032-I1032</f>
        <v/>
      </c>
      <c r="K1032" s="3">
        <f>IF(J1032&lt;=0.005,"PAID",IF(I1032&gt;0,"PARTIAL","OVERDUE"))</f>
        <v/>
      </c>
      <c r="L1032" s="4">
        <f>IF(COUNTIFS(Raw_Payments!B:B,A1032)=0,"",SUMPRODUCT(MAX((Raw_Payments!B$2:B$1079=A1032)*Raw_Payments!D$2:D$1079)))</f>
        <v/>
      </c>
      <c r="M1032" s="3">
        <f>IF(K1032="PAID",MAX(0,L1032-G1032),Guide!$B$3-G1032)</f>
        <v/>
      </c>
      <c r="N1032" s="3">
        <f>IF(J1032&lt;=0.005,"COLLECTED",IF(M1032&lt;=30,"1-30",IF(M1032&lt;=60,"31-60",IF(M1032&lt;=90,"61-90","90+"))))</f>
        <v/>
      </c>
      <c r="O1032" s="3">
        <f>IF(N1032="90+","LOST",IF(N1032="61-90","ESCALATE",IF(N1032="31-60","WATCH",IF(N1032="1-30","MILD","OK"))))</f>
        <v/>
      </c>
      <c r="P1032" s="3">
        <f>IF(J1032&gt;0.005,ROW()-1,"")</f>
        <v/>
      </c>
    </row>
    <row r="1033">
      <c r="A1033" s="3" t="inlineStr">
        <is>
          <t>D1032</t>
        </is>
      </c>
      <c r="B1033" s="3">
        <f>INDEX(Raw_Schedule!B:B,MATCH(A1033,Raw_Schedule!A:A,0))</f>
        <v/>
      </c>
      <c r="C1033" s="3">
        <f>INDEX(Raw_Schedule!C:C,MATCH(A1033,Raw_Schedule!A:A,0))</f>
        <v/>
      </c>
      <c r="D1033" s="3">
        <f>INDEX(Raw_Schedule!D:D,MATCH(A1033,Raw_Schedule!A:A,0))</f>
        <v/>
      </c>
      <c r="E1033" s="3">
        <f>INDEX(Raw_Schedule!E:E,MATCH(A1033,Raw_Schedule!A:A,0))</f>
        <v/>
      </c>
      <c r="F1033" s="3">
        <f>INDEX(Raw_Schedule!F:F,MATCH(A1033,Raw_Schedule!A:A,0))</f>
        <v/>
      </c>
      <c r="G1033" s="4">
        <f>INDEX(Raw_Schedule!G:G,MATCH(A1033,Raw_Schedule!A:A,0))</f>
        <v/>
      </c>
      <c r="H1033" s="5">
        <f>INDEX(Raw_Schedule!H:H,MATCH(A1033,Raw_Schedule!A:A,0))</f>
        <v/>
      </c>
      <c r="I1033" s="5">
        <f>SUMIFS(Raw_Payments!E:E,Raw_Payments!B:B,A1033)</f>
        <v/>
      </c>
      <c r="J1033" s="5">
        <f>H1033-I1033</f>
        <v/>
      </c>
      <c r="K1033" s="3">
        <f>IF(J1033&lt;=0.005,"PAID",IF(I1033&gt;0,"PARTIAL","OVERDUE"))</f>
        <v/>
      </c>
      <c r="L1033" s="4">
        <f>IF(COUNTIFS(Raw_Payments!B:B,A1033)=0,"",SUMPRODUCT(MAX((Raw_Payments!B$2:B$1079=A1033)*Raw_Payments!D$2:D$1079)))</f>
        <v/>
      </c>
      <c r="M1033" s="3">
        <f>IF(K1033="PAID",MAX(0,L1033-G1033),Guide!$B$3-G1033)</f>
        <v/>
      </c>
      <c r="N1033" s="3">
        <f>IF(J1033&lt;=0.005,"COLLECTED",IF(M1033&lt;=30,"1-30",IF(M1033&lt;=60,"31-60",IF(M1033&lt;=90,"61-90","90+"))))</f>
        <v/>
      </c>
      <c r="O1033" s="3">
        <f>IF(N1033="90+","LOST",IF(N1033="61-90","ESCALATE",IF(N1033="31-60","WATCH",IF(N1033="1-30","MILD","OK"))))</f>
        <v/>
      </c>
      <c r="P1033" s="3">
        <f>IF(J1033&gt;0.005,ROW()-1,"")</f>
        <v/>
      </c>
    </row>
    <row r="1034">
      <c r="A1034" s="3" t="inlineStr">
        <is>
          <t>D1033</t>
        </is>
      </c>
      <c r="B1034" s="3">
        <f>INDEX(Raw_Schedule!B:B,MATCH(A1034,Raw_Schedule!A:A,0))</f>
        <v/>
      </c>
      <c r="C1034" s="3">
        <f>INDEX(Raw_Schedule!C:C,MATCH(A1034,Raw_Schedule!A:A,0))</f>
        <v/>
      </c>
      <c r="D1034" s="3">
        <f>INDEX(Raw_Schedule!D:D,MATCH(A1034,Raw_Schedule!A:A,0))</f>
        <v/>
      </c>
      <c r="E1034" s="3">
        <f>INDEX(Raw_Schedule!E:E,MATCH(A1034,Raw_Schedule!A:A,0))</f>
        <v/>
      </c>
      <c r="F1034" s="3">
        <f>INDEX(Raw_Schedule!F:F,MATCH(A1034,Raw_Schedule!A:A,0))</f>
        <v/>
      </c>
      <c r="G1034" s="4">
        <f>INDEX(Raw_Schedule!G:G,MATCH(A1034,Raw_Schedule!A:A,0))</f>
        <v/>
      </c>
      <c r="H1034" s="5">
        <f>INDEX(Raw_Schedule!H:H,MATCH(A1034,Raw_Schedule!A:A,0))</f>
        <v/>
      </c>
      <c r="I1034" s="5">
        <f>SUMIFS(Raw_Payments!E:E,Raw_Payments!B:B,A1034)</f>
        <v/>
      </c>
      <c r="J1034" s="5">
        <f>H1034-I1034</f>
        <v/>
      </c>
      <c r="K1034" s="3">
        <f>IF(J1034&lt;=0.005,"PAID",IF(I1034&gt;0,"PARTIAL","OVERDUE"))</f>
        <v/>
      </c>
      <c r="L1034" s="4">
        <f>IF(COUNTIFS(Raw_Payments!B:B,A1034)=0,"",SUMPRODUCT(MAX((Raw_Payments!B$2:B$1079=A1034)*Raw_Payments!D$2:D$1079)))</f>
        <v/>
      </c>
      <c r="M1034" s="3">
        <f>IF(K1034="PAID",MAX(0,L1034-G1034),Guide!$B$3-G1034)</f>
        <v/>
      </c>
      <c r="N1034" s="3">
        <f>IF(J1034&lt;=0.005,"COLLECTED",IF(M1034&lt;=30,"1-30",IF(M1034&lt;=60,"31-60",IF(M1034&lt;=90,"61-90","90+"))))</f>
        <v/>
      </c>
      <c r="O1034" s="3">
        <f>IF(N1034="90+","LOST",IF(N1034="61-90","ESCALATE",IF(N1034="31-60","WATCH",IF(N1034="1-30","MILD","OK"))))</f>
        <v/>
      </c>
      <c r="P1034" s="3">
        <f>IF(J1034&gt;0.005,ROW()-1,"")</f>
        <v/>
      </c>
    </row>
    <row r="1035">
      <c r="A1035" s="3" t="inlineStr">
        <is>
          <t>D1034</t>
        </is>
      </c>
      <c r="B1035" s="3">
        <f>INDEX(Raw_Schedule!B:B,MATCH(A1035,Raw_Schedule!A:A,0))</f>
        <v/>
      </c>
      <c r="C1035" s="3">
        <f>INDEX(Raw_Schedule!C:C,MATCH(A1035,Raw_Schedule!A:A,0))</f>
        <v/>
      </c>
      <c r="D1035" s="3">
        <f>INDEX(Raw_Schedule!D:D,MATCH(A1035,Raw_Schedule!A:A,0))</f>
        <v/>
      </c>
      <c r="E1035" s="3">
        <f>INDEX(Raw_Schedule!E:E,MATCH(A1035,Raw_Schedule!A:A,0))</f>
        <v/>
      </c>
      <c r="F1035" s="3">
        <f>INDEX(Raw_Schedule!F:F,MATCH(A1035,Raw_Schedule!A:A,0))</f>
        <v/>
      </c>
      <c r="G1035" s="4">
        <f>INDEX(Raw_Schedule!G:G,MATCH(A1035,Raw_Schedule!A:A,0))</f>
        <v/>
      </c>
      <c r="H1035" s="5">
        <f>INDEX(Raw_Schedule!H:H,MATCH(A1035,Raw_Schedule!A:A,0))</f>
        <v/>
      </c>
      <c r="I1035" s="5">
        <f>SUMIFS(Raw_Payments!E:E,Raw_Payments!B:B,A1035)</f>
        <v/>
      </c>
      <c r="J1035" s="5">
        <f>H1035-I1035</f>
        <v/>
      </c>
      <c r="K1035" s="3">
        <f>IF(J1035&lt;=0.005,"PAID",IF(I1035&gt;0,"PARTIAL","OVERDUE"))</f>
        <v/>
      </c>
      <c r="L1035" s="4">
        <f>IF(COUNTIFS(Raw_Payments!B:B,A1035)=0,"",SUMPRODUCT(MAX((Raw_Payments!B$2:B$1079=A1035)*Raw_Payments!D$2:D$1079)))</f>
        <v/>
      </c>
      <c r="M1035" s="3">
        <f>IF(K1035="PAID",MAX(0,L1035-G1035),Guide!$B$3-G1035)</f>
        <v/>
      </c>
      <c r="N1035" s="3">
        <f>IF(J1035&lt;=0.005,"COLLECTED",IF(M1035&lt;=30,"1-30",IF(M1035&lt;=60,"31-60",IF(M1035&lt;=90,"61-90","90+"))))</f>
        <v/>
      </c>
      <c r="O1035" s="3">
        <f>IF(N1035="90+","LOST",IF(N1035="61-90","ESCALATE",IF(N1035="31-60","WATCH",IF(N1035="1-30","MILD","OK"))))</f>
        <v/>
      </c>
      <c r="P1035" s="3">
        <f>IF(J1035&gt;0.005,ROW()-1,"")</f>
        <v/>
      </c>
    </row>
    <row r="1036">
      <c r="A1036" s="3" t="inlineStr">
        <is>
          <t>D1035</t>
        </is>
      </c>
      <c r="B1036" s="3">
        <f>INDEX(Raw_Schedule!B:B,MATCH(A1036,Raw_Schedule!A:A,0))</f>
        <v/>
      </c>
      <c r="C1036" s="3">
        <f>INDEX(Raw_Schedule!C:C,MATCH(A1036,Raw_Schedule!A:A,0))</f>
        <v/>
      </c>
      <c r="D1036" s="3">
        <f>INDEX(Raw_Schedule!D:D,MATCH(A1036,Raw_Schedule!A:A,0))</f>
        <v/>
      </c>
      <c r="E1036" s="3">
        <f>INDEX(Raw_Schedule!E:E,MATCH(A1036,Raw_Schedule!A:A,0))</f>
        <v/>
      </c>
      <c r="F1036" s="3">
        <f>INDEX(Raw_Schedule!F:F,MATCH(A1036,Raw_Schedule!A:A,0))</f>
        <v/>
      </c>
      <c r="G1036" s="4">
        <f>INDEX(Raw_Schedule!G:G,MATCH(A1036,Raw_Schedule!A:A,0))</f>
        <v/>
      </c>
      <c r="H1036" s="5">
        <f>INDEX(Raw_Schedule!H:H,MATCH(A1036,Raw_Schedule!A:A,0))</f>
        <v/>
      </c>
      <c r="I1036" s="5">
        <f>SUMIFS(Raw_Payments!E:E,Raw_Payments!B:B,A1036)</f>
        <v/>
      </c>
      <c r="J1036" s="5">
        <f>H1036-I1036</f>
        <v/>
      </c>
      <c r="K1036" s="3">
        <f>IF(J1036&lt;=0.005,"PAID",IF(I1036&gt;0,"PARTIAL","OVERDUE"))</f>
        <v/>
      </c>
      <c r="L1036" s="4">
        <f>IF(COUNTIFS(Raw_Payments!B:B,A1036)=0,"",SUMPRODUCT(MAX((Raw_Payments!B$2:B$1079=A1036)*Raw_Payments!D$2:D$1079)))</f>
        <v/>
      </c>
      <c r="M1036" s="3">
        <f>IF(K1036="PAID",MAX(0,L1036-G1036),Guide!$B$3-G1036)</f>
        <v/>
      </c>
      <c r="N1036" s="3">
        <f>IF(J1036&lt;=0.005,"COLLECTED",IF(M1036&lt;=30,"1-30",IF(M1036&lt;=60,"31-60",IF(M1036&lt;=90,"61-90","90+"))))</f>
        <v/>
      </c>
      <c r="O1036" s="3">
        <f>IF(N1036="90+","LOST",IF(N1036="61-90","ESCALATE",IF(N1036="31-60","WATCH",IF(N1036="1-30","MILD","OK"))))</f>
        <v/>
      </c>
      <c r="P1036" s="3">
        <f>IF(J1036&gt;0.005,ROW()-1,"")</f>
        <v/>
      </c>
    </row>
    <row r="1037">
      <c r="A1037" s="3" t="inlineStr">
        <is>
          <t>D1036</t>
        </is>
      </c>
      <c r="B1037" s="3">
        <f>INDEX(Raw_Schedule!B:B,MATCH(A1037,Raw_Schedule!A:A,0))</f>
        <v/>
      </c>
      <c r="C1037" s="3">
        <f>INDEX(Raw_Schedule!C:C,MATCH(A1037,Raw_Schedule!A:A,0))</f>
        <v/>
      </c>
      <c r="D1037" s="3">
        <f>INDEX(Raw_Schedule!D:D,MATCH(A1037,Raw_Schedule!A:A,0))</f>
        <v/>
      </c>
      <c r="E1037" s="3">
        <f>INDEX(Raw_Schedule!E:E,MATCH(A1037,Raw_Schedule!A:A,0))</f>
        <v/>
      </c>
      <c r="F1037" s="3">
        <f>INDEX(Raw_Schedule!F:F,MATCH(A1037,Raw_Schedule!A:A,0))</f>
        <v/>
      </c>
      <c r="G1037" s="4">
        <f>INDEX(Raw_Schedule!G:G,MATCH(A1037,Raw_Schedule!A:A,0))</f>
        <v/>
      </c>
      <c r="H1037" s="5">
        <f>INDEX(Raw_Schedule!H:H,MATCH(A1037,Raw_Schedule!A:A,0))</f>
        <v/>
      </c>
      <c r="I1037" s="5">
        <f>SUMIFS(Raw_Payments!E:E,Raw_Payments!B:B,A1037)</f>
        <v/>
      </c>
      <c r="J1037" s="5">
        <f>H1037-I1037</f>
        <v/>
      </c>
      <c r="K1037" s="3">
        <f>IF(J1037&lt;=0.005,"PAID",IF(I1037&gt;0,"PARTIAL","OVERDUE"))</f>
        <v/>
      </c>
      <c r="L1037" s="4">
        <f>IF(COUNTIFS(Raw_Payments!B:B,A1037)=0,"",SUMPRODUCT(MAX((Raw_Payments!B$2:B$1079=A1037)*Raw_Payments!D$2:D$1079)))</f>
        <v/>
      </c>
      <c r="M1037" s="3">
        <f>IF(K1037="PAID",MAX(0,L1037-G1037),Guide!$B$3-G1037)</f>
        <v/>
      </c>
      <c r="N1037" s="3">
        <f>IF(J1037&lt;=0.005,"COLLECTED",IF(M1037&lt;=30,"1-30",IF(M1037&lt;=60,"31-60",IF(M1037&lt;=90,"61-90","90+"))))</f>
        <v/>
      </c>
      <c r="O1037" s="3">
        <f>IF(N1037="90+","LOST",IF(N1037="61-90","ESCALATE",IF(N1037="31-60","WATCH",IF(N1037="1-30","MILD","OK"))))</f>
        <v/>
      </c>
      <c r="P1037" s="3">
        <f>IF(J1037&gt;0.005,ROW()-1,"")</f>
        <v/>
      </c>
    </row>
    <row r="1038">
      <c r="A1038" s="3" t="inlineStr">
        <is>
          <t>D1037</t>
        </is>
      </c>
      <c r="B1038" s="3">
        <f>INDEX(Raw_Schedule!B:B,MATCH(A1038,Raw_Schedule!A:A,0))</f>
        <v/>
      </c>
      <c r="C1038" s="3">
        <f>INDEX(Raw_Schedule!C:C,MATCH(A1038,Raw_Schedule!A:A,0))</f>
        <v/>
      </c>
      <c r="D1038" s="3">
        <f>INDEX(Raw_Schedule!D:D,MATCH(A1038,Raw_Schedule!A:A,0))</f>
        <v/>
      </c>
      <c r="E1038" s="3">
        <f>INDEX(Raw_Schedule!E:E,MATCH(A1038,Raw_Schedule!A:A,0))</f>
        <v/>
      </c>
      <c r="F1038" s="3">
        <f>INDEX(Raw_Schedule!F:F,MATCH(A1038,Raw_Schedule!A:A,0))</f>
        <v/>
      </c>
      <c r="G1038" s="4">
        <f>INDEX(Raw_Schedule!G:G,MATCH(A1038,Raw_Schedule!A:A,0))</f>
        <v/>
      </c>
      <c r="H1038" s="5">
        <f>INDEX(Raw_Schedule!H:H,MATCH(A1038,Raw_Schedule!A:A,0))</f>
        <v/>
      </c>
      <c r="I1038" s="5">
        <f>SUMIFS(Raw_Payments!E:E,Raw_Payments!B:B,A1038)</f>
        <v/>
      </c>
      <c r="J1038" s="5">
        <f>H1038-I1038</f>
        <v/>
      </c>
      <c r="K1038" s="3">
        <f>IF(J1038&lt;=0.005,"PAID",IF(I1038&gt;0,"PARTIAL","OVERDUE"))</f>
        <v/>
      </c>
      <c r="L1038" s="4">
        <f>IF(COUNTIFS(Raw_Payments!B:B,A1038)=0,"",SUMPRODUCT(MAX((Raw_Payments!B$2:B$1079=A1038)*Raw_Payments!D$2:D$1079)))</f>
        <v/>
      </c>
      <c r="M1038" s="3">
        <f>IF(K1038="PAID",MAX(0,L1038-G1038),Guide!$B$3-G1038)</f>
        <v/>
      </c>
      <c r="N1038" s="3">
        <f>IF(J1038&lt;=0.005,"COLLECTED",IF(M1038&lt;=30,"1-30",IF(M1038&lt;=60,"31-60",IF(M1038&lt;=90,"61-90","90+"))))</f>
        <v/>
      </c>
      <c r="O1038" s="3">
        <f>IF(N1038="90+","LOST",IF(N1038="61-90","ESCALATE",IF(N1038="31-60","WATCH",IF(N1038="1-30","MILD","OK"))))</f>
        <v/>
      </c>
      <c r="P1038" s="3">
        <f>IF(J1038&gt;0.005,ROW()-1,"")</f>
        <v/>
      </c>
    </row>
    <row r="1039">
      <c r="A1039" s="3" t="inlineStr">
        <is>
          <t>D1038</t>
        </is>
      </c>
      <c r="B1039" s="3">
        <f>INDEX(Raw_Schedule!B:B,MATCH(A1039,Raw_Schedule!A:A,0))</f>
        <v/>
      </c>
      <c r="C1039" s="3">
        <f>INDEX(Raw_Schedule!C:C,MATCH(A1039,Raw_Schedule!A:A,0))</f>
        <v/>
      </c>
      <c r="D1039" s="3">
        <f>INDEX(Raw_Schedule!D:D,MATCH(A1039,Raw_Schedule!A:A,0))</f>
        <v/>
      </c>
      <c r="E1039" s="3">
        <f>INDEX(Raw_Schedule!E:E,MATCH(A1039,Raw_Schedule!A:A,0))</f>
        <v/>
      </c>
      <c r="F1039" s="3">
        <f>INDEX(Raw_Schedule!F:F,MATCH(A1039,Raw_Schedule!A:A,0))</f>
        <v/>
      </c>
      <c r="G1039" s="4">
        <f>INDEX(Raw_Schedule!G:G,MATCH(A1039,Raw_Schedule!A:A,0))</f>
        <v/>
      </c>
      <c r="H1039" s="5">
        <f>INDEX(Raw_Schedule!H:H,MATCH(A1039,Raw_Schedule!A:A,0))</f>
        <v/>
      </c>
      <c r="I1039" s="5">
        <f>SUMIFS(Raw_Payments!E:E,Raw_Payments!B:B,A1039)</f>
        <v/>
      </c>
      <c r="J1039" s="5">
        <f>H1039-I1039</f>
        <v/>
      </c>
      <c r="K1039" s="3">
        <f>IF(J1039&lt;=0.005,"PAID",IF(I1039&gt;0,"PARTIAL","OVERDUE"))</f>
        <v/>
      </c>
      <c r="L1039" s="4">
        <f>IF(COUNTIFS(Raw_Payments!B:B,A1039)=0,"",SUMPRODUCT(MAX((Raw_Payments!B$2:B$1079=A1039)*Raw_Payments!D$2:D$1079)))</f>
        <v/>
      </c>
      <c r="M1039" s="3">
        <f>IF(K1039="PAID",MAX(0,L1039-G1039),Guide!$B$3-G1039)</f>
        <v/>
      </c>
      <c r="N1039" s="3">
        <f>IF(J1039&lt;=0.005,"COLLECTED",IF(M1039&lt;=30,"1-30",IF(M1039&lt;=60,"31-60",IF(M1039&lt;=90,"61-90","90+"))))</f>
        <v/>
      </c>
      <c r="O1039" s="3">
        <f>IF(N1039="90+","LOST",IF(N1039="61-90","ESCALATE",IF(N1039="31-60","WATCH",IF(N1039="1-30","MILD","OK"))))</f>
        <v/>
      </c>
      <c r="P1039" s="3">
        <f>IF(J1039&gt;0.005,ROW()-1,"")</f>
        <v/>
      </c>
    </row>
    <row r="1040">
      <c r="A1040" s="3" t="inlineStr">
        <is>
          <t>D1039</t>
        </is>
      </c>
      <c r="B1040" s="3">
        <f>INDEX(Raw_Schedule!B:B,MATCH(A1040,Raw_Schedule!A:A,0))</f>
        <v/>
      </c>
      <c r="C1040" s="3">
        <f>INDEX(Raw_Schedule!C:C,MATCH(A1040,Raw_Schedule!A:A,0))</f>
        <v/>
      </c>
      <c r="D1040" s="3">
        <f>INDEX(Raw_Schedule!D:D,MATCH(A1040,Raw_Schedule!A:A,0))</f>
        <v/>
      </c>
      <c r="E1040" s="3">
        <f>INDEX(Raw_Schedule!E:E,MATCH(A1040,Raw_Schedule!A:A,0))</f>
        <v/>
      </c>
      <c r="F1040" s="3">
        <f>INDEX(Raw_Schedule!F:F,MATCH(A1040,Raw_Schedule!A:A,0))</f>
        <v/>
      </c>
      <c r="G1040" s="4">
        <f>INDEX(Raw_Schedule!G:G,MATCH(A1040,Raw_Schedule!A:A,0))</f>
        <v/>
      </c>
      <c r="H1040" s="5">
        <f>INDEX(Raw_Schedule!H:H,MATCH(A1040,Raw_Schedule!A:A,0))</f>
        <v/>
      </c>
      <c r="I1040" s="5">
        <f>SUMIFS(Raw_Payments!E:E,Raw_Payments!B:B,A1040)</f>
        <v/>
      </c>
      <c r="J1040" s="5">
        <f>H1040-I1040</f>
        <v/>
      </c>
      <c r="K1040" s="3">
        <f>IF(J1040&lt;=0.005,"PAID",IF(I1040&gt;0,"PARTIAL","OVERDUE"))</f>
        <v/>
      </c>
      <c r="L1040" s="4">
        <f>IF(COUNTIFS(Raw_Payments!B:B,A1040)=0,"",SUMPRODUCT(MAX((Raw_Payments!B$2:B$1079=A1040)*Raw_Payments!D$2:D$1079)))</f>
        <v/>
      </c>
      <c r="M1040" s="3">
        <f>IF(K1040="PAID",MAX(0,L1040-G1040),Guide!$B$3-G1040)</f>
        <v/>
      </c>
      <c r="N1040" s="3">
        <f>IF(J1040&lt;=0.005,"COLLECTED",IF(M1040&lt;=30,"1-30",IF(M1040&lt;=60,"31-60",IF(M1040&lt;=90,"61-90","90+"))))</f>
        <v/>
      </c>
      <c r="O1040" s="3">
        <f>IF(N1040="90+","LOST",IF(N1040="61-90","ESCALATE",IF(N1040="31-60","WATCH",IF(N1040="1-30","MILD","OK"))))</f>
        <v/>
      </c>
      <c r="P1040" s="3">
        <f>IF(J1040&gt;0.005,ROW()-1,"")</f>
        <v/>
      </c>
    </row>
    <row r="1041">
      <c r="A1041" s="3" t="inlineStr">
        <is>
          <t>D1040</t>
        </is>
      </c>
      <c r="B1041" s="3">
        <f>INDEX(Raw_Schedule!B:B,MATCH(A1041,Raw_Schedule!A:A,0))</f>
        <v/>
      </c>
      <c r="C1041" s="3">
        <f>INDEX(Raw_Schedule!C:C,MATCH(A1041,Raw_Schedule!A:A,0))</f>
        <v/>
      </c>
      <c r="D1041" s="3">
        <f>INDEX(Raw_Schedule!D:D,MATCH(A1041,Raw_Schedule!A:A,0))</f>
        <v/>
      </c>
      <c r="E1041" s="3">
        <f>INDEX(Raw_Schedule!E:E,MATCH(A1041,Raw_Schedule!A:A,0))</f>
        <v/>
      </c>
      <c r="F1041" s="3">
        <f>INDEX(Raw_Schedule!F:F,MATCH(A1041,Raw_Schedule!A:A,0))</f>
        <v/>
      </c>
      <c r="G1041" s="4">
        <f>INDEX(Raw_Schedule!G:G,MATCH(A1041,Raw_Schedule!A:A,0))</f>
        <v/>
      </c>
      <c r="H1041" s="5">
        <f>INDEX(Raw_Schedule!H:H,MATCH(A1041,Raw_Schedule!A:A,0))</f>
        <v/>
      </c>
      <c r="I1041" s="5">
        <f>SUMIFS(Raw_Payments!E:E,Raw_Payments!B:B,A1041)</f>
        <v/>
      </c>
      <c r="J1041" s="5">
        <f>H1041-I1041</f>
        <v/>
      </c>
      <c r="K1041" s="3">
        <f>IF(J1041&lt;=0.005,"PAID",IF(I1041&gt;0,"PARTIAL","OVERDUE"))</f>
        <v/>
      </c>
      <c r="L1041" s="4">
        <f>IF(COUNTIFS(Raw_Payments!B:B,A1041)=0,"",SUMPRODUCT(MAX((Raw_Payments!B$2:B$1079=A1041)*Raw_Payments!D$2:D$1079)))</f>
        <v/>
      </c>
      <c r="M1041" s="3">
        <f>IF(K1041="PAID",MAX(0,L1041-G1041),Guide!$B$3-G1041)</f>
        <v/>
      </c>
      <c r="N1041" s="3">
        <f>IF(J1041&lt;=0.005,"COLLECTED",IF(M1041&lt;=30,"1-30",IF(M1041&lt;=60,"31-60",IF(M1041&lt;=90,"61-90","90+"))))</f>
        <v/>
      </c>
      <c r="O1041" s="3">
        <f>IF(N1041="90+","LOST",IF(N1041="61-90","ESCALATE",IF(N1041="31-60","WATCH",IF(N1041="1-30","MILD","OK"))))</f>
        <v/>
      </c>
      <c r="P1041" s="3">
        <f>IF(J1041&gt;0.005,ROW()-1,"")</f>
        <v/>
      </c>
    </row>
    <row r="1042">
      <c r="A1042" s="3" t="inlineStr">
        <is>
          <t>D1041</t>
        </is>
      </c>
      <c r="B1042" s="3">
        <f>INDEX(Raw_Schedule!B:B,MATCH(A1042,Raw_Schedule!A:A,0))</f>
        <v/>
      </c>
      <c r="C1042" s="3">
        <f>INDEX(Raw_Schedule!C:C,MATCH(A1042,Raw_Schedule!A:A,0))</f>
        <v/>
      </c>
      <c r="D1042" s="3">
        <f>INDEX(Raw_Schedule!D:D,MATCH(A1042,Raw_Schedule!A:A,0))</f>
        <v/>
      </c>
      <c r="E1042" s="3">
        <f>INDEX(Raw_Schedule!E:E,MATCH(A1042,Raw_Schedule!A:A,0))</f>
        <v/>
      </c>
      <c r="F1042" s="3">
        <f>INDEX(Raw_Schedule!F:F,MATCH(A1042,Raw_Schedule!A:A,0))</f>
        <v/>
      </c>
      <c r="G1042" s="4">
        <f>INDEX(Raw_Schedule!G:G,MATCH(A1042,Raw_Schedule!A:A,0))</f>
        <v/>
      </c>
      <c r="H1042" s="5">
        <f>INDEX(Raw_Schedule!H:H,MATCH(A1042,Raw_Schedule!A:A,0))</f>
        <v/>
      </c>
      <c r="I1042" s="5">
        <f>SUMIFS(Raw_Payments!E:E,Raw_Payments!B:B,A1042)</f>
        <v/>
      </c>
      <c r="J1042" s="5">
        <f>H1042-I1042</f>
        <v/>
      </c>
      <c r="K1042" s="3">
        <f>IF(J1042&lt;=0.005,"PAID",IF(I1042&gt;0,"PARTIAL","OVERDUE"))</f>
        <v/>
      </c>
      <c r="L1042" s="4">
        <f>IF(COUNTIFS(Raw_Payments!B:B,A1042)=0,"",SUMPRODUCT(MAX((Raw_Payments!B$2:B$1079=A1042)*Raw_Payments!D$2:D$1079)))</f>
        <v/>
      </c>
      <c r="M1042" s="3">
        <f>IF(K1042="PAID",MAX(0,L1042-G1042),Guide!$B$3-G1042)</f>
        <v/>
      </c>
      <c r="N1042" s="3">
        <f>IF(J1042&lt;=0.005,"COLLECTED",IF(M1042&lt;=30,"1-30",IF(M1042&lt;=60,"31-60",IF(M1042&lt;=90,"61-90","90+"))))</f>
        <v/>
      </c>
      <c r="O1042" s="3">
        <f>IF(N1042="90+","LOST",IF(N1042="61-90","ESCALATE",IF(N1042="31-60","WATCH",IF(N1042="1-30","MILD","OK"))))</f>
        <v/>
      </c>
      <c r="P1042" s="3">
        <f>IF(J1042&gt;0.005,ROW()-1,"")</f>
        <v/>
      </c>
    </row>
    <row r="1043">
      <c r="A1043" s="3" t="inlineStr">
        <is>
          <t>D1042</t>
        </is>
      </c>
      <c r="B1043" s="3">
        <f>INDEX(Raw_Schedule!B:B,MATCH(A1043,Raw_Schedule!A:A,0))</f>
        <v/>
      </c>
      <c r="C1043" s="3">
        <f>INDEX(Raw_Schedule!C:C,MATCH(A1043,Raw_Schedule!A:A,0))</f>
        <v/>
      </c>
      <c r="D1043" s="3">
        <f>INDEX(Raw_Schedule!D:D,MATCH(A1043,Raw_Schedule!A:A,0))</f>
        <v/>
      </c>
      <c r="E1043" s="3">
        <f>INDEX(Raw_Schedule!E:E,MATCH(A1043,Raw_Schedule!A:A,0))</f>
        <v/>
      </c>
      <c r="F1043" s="3">
        <f>INDEX(Raw_Schedule!F:F,MATCH(A1043,Raw_Schedule!A:A,0))</f>
        <v/>
      </c>
      <c r="G1043" s="4">
        <f>INDEX(Raw_Schedule!G:G,MATCH(A1043,Raw_Schedule!A:A,0))</f>
        <v/>
      </c>
      <c r="H1043" s="5">
        <f>INDEX(Raw_Schedule!H:H,MATCH(A1043,Raw_Schedule!A:A,0))</f>
        <v/>
      </c>
      <c r="I1043" s="5">
        <f>SUMIFS(Raw_Payments!E:E,Raw_Payments!B:B,A1043)</f>
        <v/>
      </c>
      <c r="J1043" s="5">
        <f>H1043-I1043</f>
        <v/>
      </c>
      <c r="K1043" s="3">
        <f>IF(J1043&lt;=0.005,"PAID",IF(I1043&gt;0,"PARTIAL","OVERDUE"))</f>
        <v/>
      </c>
      <c r="L1043" s="4">
        <f>IF(COUNTIFS(Raw_Payments!B:B,A1043)=0,"",SUMPRODUCT(MAX((Raw_Payments!B$2:B$1079=A1043)*Raw_Payments!D$2:D$1079)))</f>
        <v/>
      </c>
      <c r="M1043" s="3">
        <f>IF(K1043="PAID",MAX(0,L1043-G1043),Guide!$B$3-G1043)</f>
        <v/>
      </c>
      <c r="N1043" s="3">
        <f>IF(J1043&lt;=0.005,"COLLECTED",IF(M1043&lt;=30,"1-30",IF(M1043&lt;=60,"31-60",IF(M1043&lt;=90,"61-90","90+"))))</f>
        <v/>
      </c>
      <c r="O1043" s="3">
        <f>IF(N1043="90+","LOST",IF(N1043="61-90","ESCALATE",IF(N1043="31-60","WATCH",IF(N1043="1-30","MILD","OK"))))</f>
        <v/>
      </c>
      <c r="P1043" s="3">
        <f>IF(J1043&gt;0.005,ROW()-1,"")</f>
        <v/>
      </c>
    </row>
    <row r="1044">
      <c r="A1044" s="3" t="inlineStr">
        <is>
          <t>D1043</t>
        </is>
      </c>
      <c r="B1044" s="3">
        <f>INDEX(Raw_Schedule!B:B,MATCH(A1044,Raw_Schedule!A:A,0))</f>
        <v/>
      </c>
      <c r="C1044" s="3">
        <f>INDEX(Raw_Schedule!C:C,MATCH(A1044,Raw_Schedule!A:A,0))</f>
        <v/>
      </c>
      <c r="D1044" s="3">
        <f>INDEX(Raw_Schedule!D:D,MATCH(A1044,Raw_Schedule!A:A,0))</f>
        <v/>
      </c>
      <c r="E1044" s="3">
        <f>INDEX(Raw_Schedule!E:E,MATCH(A1044,Raw_Schedule!A:A,0))</f>
        <v/>
      </c>
      <c r="F1044" s="3">
        <f>INDEX(Raw_Schedule!F:F,MATCH(A1044,Raw_Schedule!A:A,0))</f>
        <v/>
      </c>
      <c r="G1044" s="4">
        <f>INDEX(Raw_Schedule!G:G,MATCH(A1044,Raw_Schedule!A:A,0))</f>
        <v/>
      </c>
      <c r="H1044" s="5">
        <f>INDEX(Raw_Schedule!H:H,MATCH(A1044,Raw_Schedule!A:A,0))</f>
        <v/>
      </c>
      <c r="I1044" s="5">
        <f>SUMIFS(Raw_Payments!E:E,Raw_Payments!B:B,A1044)</f>
        <v/>
      </c>
      <c r="J1044" s="5">
        <f>H1044-I1044</f>
        <v/>
      </c>
      <c r="K1044" s="3">
        <f>IF(J1044&lt;=0.005,"PAID",IF(I1044&gt;0,"PARTIAL","OVERDUE"))</f>
        <v/>
      </c>
      <c r="L1044" s="4">
        <f>IF(COUNTIFS(Raw_Payments!B:B,A1044)=0,"",SUMPRODUCT(MAX((Raw_Payments!B$2:B$1079=A1044)*Raw_Payments!D$2:D$1079)))</f>
        <v/>
      </c>
      <c r="M1044" s="3">
        <f>IF(K1044="PAID",MAX(0,L1044-G1044),Guide!$B$3-G1044)</f>
        <v/>
      </c>
      <c r="N1044" s="3">
        <f>IF(J1044&lt;=0.005,"COLLECTED",IF(M1044&lt;=30,"1-30",IF(M1044&lt;=60,"31-60",IF(M1044&lt;=90,"61-90","90+"))))</f>
        <v/>
      </c>
      <c r="O1044" s="3">
        <f>IF(N1044="90+","LOST",IF(N1044="61-90","ESCALATE",IF(N1044="31-60","WATCH",IF(N1044="1-30","MILD","OK"))))</f>
        <v/>
      </c>
      <c r="P1044" s="3">
        <f>IF(J1044&gt;0.005,ROW()-1,"")</f>
        <v/>
      </c>
    </row>
    <row r="1045">
      <c r="A1045" s="3" t="inlineStr">
        <is>
          <t>D1044</t>
        </is>
      </c>
      <c r="B1045" s="3">
        <f>INDEX(Raw_Schedule!B:B,MATCH(A1045,Raw_Schedule!A:A,0))</f>
        <v/>
      </c>
      <c r="C1045" s="3">
        <f>INDEX(Raw_Schedule!C:C,MATCH(A1045,Raw_Schedule!A:A,0))</f>
        <v/>
      </c>
      <c r="D1045" s="3">
        <f>INDEX(Raw_Schedule!D:D,MATCH(A1045,Raw_Schedule!A:A,0))</f>
        <v/>
      </c>
      <c r="E1045" s="3">
        <f>INDEX(Raw_Schedule!E:E,MATCH(A1045,Raw_Schedule!A:A,0))</f>
        <v/>
      </c>
      <c r="F1045" s="3">
        <f>INDEX(Raw_Schedule!F:F,MATCH(A1045,Raw_Schedule!A:A,0))</f>
        <v/>
      </c>
      <c r="G1045" s="4">
        <f>INDEX(Raw_Schedule!G:G,MATCH(A1045,Raw_Schedule!A:A,0))</f>
        <v/>
      </c>
      <c r="H1045" s="5">
        <f>INDEX(Raw_Schedule!H:H,MATCH(A1045,Raw_Schedule!A:A,0))</f>
        <v/>
      </c>
      <c r="I1045" s="5">
        <f>SUMIFS(Raw_Payments!E:E,Raw_Payments!B:B,A1045)</f>
        <v/>
      </c>
      <c r="J1045" s="5">
        <f>H1045-I1045</f>
        <v/>
      </c>
      <c r="K1045" s="3">
        <f>IF(J1045&lt;=0.005,"PAID",IF(I1045&gt;0,"PARTIAL","OVERDUE"))</f>
        <v/>
      </c>
      <c r="L1045" s="4">
        <f>IF(COUNTIFS(Raw_Payments!B:B,A1045)=0,"",SUMPRODUCT(MAX((Raw_Payments!B$2:B$1079=A1045)*Raw_Payments!D$2:D$1079)))</f>
        <v/>
      </c>
      <c r="M1045" s="3">
        <f>IF(K1045="PAID",MAX(0,L1045-G1045),Guide!$B$3-G1045)</f>
        <v/>
      </c>
      <c r="N1045" s="3">
        <f>IF(J1045&lt;=0.005,"COLLECTED",IF(M1045&lt;=30,"1-30",IF(M1045&lt;=60,"31-60",IF(M1045&lt;=90,"61-90","90+"))))</f>
        <v/>
      </c>
      <c r="O1045" s="3">
        <f>IF(N1045="90+","LOST",IF(N1045="61-90","ESCALATE",IF(N1045="31-60","WATCH",IF(N1045="1-30","MILD","OK"))))</f>
        <v/>
      </c>
      <c r="P1045" s="3">
        <f>IF(J1045&gt;0.005,ROW()-1,"")</f>
        <v/>
      </c>
    </row>
    <row r="1046">
      <c r="A1046" s="3" t="inlineStr">
        <is>
          <t>D1045</t>
        </is>
      </c>
      <c r="B1046" s="3">
        <f>INDEX(Raw_Schedule!B:B,MATCH(A1046,Raw_Schedule!A:A,0))</f>
        <v/>
      </c>
      <c r="C1046" s="3">
        <f>INDEX(Raw_Schedule!C:C,MATCH(A1046,Raw_Schedule!A:A,0))</f>
        <v/>
      </c>
      <c r="D1046" s="3">
        <f>INDEX(Raw_Schedule!D:D,MATCH(A1046,Raw_Schedule!A:A,0))</f>
        <v/>
      </c>
      <c r="E1046" s="3">
        <f>INDEX(Raw_Schedule!E:E,MATCH(A1046,Raw_Schedule!A:A,0))</f>
        <v/>
      </c>
      <c r="F1046" s="3">
        <f>INDEX(Raw_Schedule!F:F,MATCH(A1046,Raw_Schedule!A:A,0))</f>
        <v/>
      </c>
      <c r="G1046" s="4">
        <f>INDEX(Raw_Schedule!G:G,MATCH(A1046,Raw_Schedule!A:A,0))</f>
        <v/>
      </c>
      <c r="H1046" s="5">
        <f>INDEX(Raw_Schedule!H:H,MATCH(A1046,Raw_Schedule!A:A,0))</f>
        <v/>
      </c>
      <c r="I1046" s="5">
        <f>SUMIFS(Raw_Payments!E:E,Raw_Payments!B:B,A1046)</f>
        <v/>
      </c>
      <c r="J1046" s="5">
        <f>H1046-I1046</f>
        <v/>
      </c>
      <c r="K1046" s="3">
        <f>IF(J1046&lt;=0.005,"PAID",IF(I1046&gt;0,"PARTIAL","OVERDUE"))</f>
        <v/>
      </c>
      <c r="L1046" s="4">
        <f>IF(COUNTIFS(Raw_Payments!B:B,A1046)=0,"",SUMPRODUCT(MAX((Raw_Payments!B$2:B$1079=A1046)*Raw_Payments!D$2:D$1079)))</f>
        <v/>
      </c>
      <c r="M1046" s="3">
        <f>IF(K1046="PAID",MAX(0,L1046-G1046),Guide!$B$3-G1046)</f>
        <v/>
      </c>
      <c r="N1046" s="3">
        <f>IF(J1046&lt;=0.005,"COLLECTED",IF(M1046&lt;=30,"1-30",IF(M1046&lt;=60,"31-60",IF(M1046&lt;=90,"61-90","90+"))))</f>
        <v/>
      </c>
      <c r="O1046" s="3">
        <f>IF(N1046="90+","LOST",IF(N1046="61-90","ESCALATE",IF(N1046="31-60","WATCH",IF(N1046="1-30","MILD","OK"))))</f>
        <v/>
      </c>
      <c r="P1046" s="3">
        <f>IF(J1046&gt;0.005,ROW()-1,"")</f>
        <v/>
      </c>
    </row>
    <row r="1047">
      <c r="A1047" s="3" t="inlineStr">
        <is>
          <t>D1046</t>
        </is>
      </c>
      <c r="B1047" s="3">
        <f>INDEX(Raw_Schedule!B:B,MATCH(A1047,Raw_Schedule!A:A,0))</f>
        <v/>
      </c>
      <c r="C1047" s="3">
        <f>INDEX(Raw_Schedule!C:C,MATCH(A1047,Raw_Schedule!A:A,0))</f>
        <v/>
      </c>
      <c r="D1047" s="3">
        <f>INDEX(Raw_Schedule!D:D,MATCH(A1047,Raw_Schedule!A:A,0))</f>
        <v/>
      </c>
      <c r="E1047" s="3">
        <f>INDEX(Raw_Schedule!E:E,MATCH(A1047,Raw_Schedule!A:A,0))</f>
        <v/>
      </c>
      <c r="F1047" s="3">
        <f>INDEX(Raw_Schedule!F:F,MATCH(A1047,Raw_Schedule!A:A,0))</f>
        <v/>
      </c>
      <c r="G1047" s="4">
        <f>INDEX(Raw_Schedule!G:G,MATCH(A1047,Raw_Schedule!A:A,0))</f>
        <v/>
      </c>
      <c r="H1047" s="5">
        <f>INDEX(Raw_Schedule!H:H,MATCH(A1047,Raw_Schedule!A:A,0))</f>
        <v/>
      </c>
      <c r="I1047" s="5">
        <f>SUMIFS(Raw_Payments!E:E,Raw_Payments!B:B,A1047)</f>
        <v/>
      </c>
      <c r="J1047" s="5">
        <f>H1047-I1047</f>
        <v/>
      </c>
      <c r="K1047" s="3">
        <f>IF(J1047&lt;=0.005,"PAID",IF(I1047&gt;0,"PARTIAL","OVERDUE"))</f>
        <v/>
      </c>
      <c r="L1047" s="4">
        <f>IF(COUNTIFS(Raw_Payments!B:B,A1047)=0,"",SUMPRODUCT(MAX((Raw_Payments!B$2:B$1079=A1047)*Raw_Payments!D$2:D$1079)))</f>
        <v/>
      </c>
      <c r="M1047" s="3">
        <f>IF(K1047="PAID",MAX(0,L1047-G1047),Guide!$B$3-G1047)</f>
        <v/>
      </c>
      <c r="N1047" s="3">
        <f>IF(J1047&lt;=0.005,"COLLECTED",IF(M1047&lt;=30,"1-30",IF(M1047&lt;=60,"31-60",IF(M1047&lt;=90,"61-90","90+"))))</f>
        <v/>
      </c>
      <c r="O1047" s="3">
        <f>IF(N1047="90+","LOST",IF(N1047="61-90","ESCALATE",IF(N1047="31-60","WATCH",IF(N1047="1-30","MILD","OK"))))</f>
        <v/>
      </c>
      <c r="P1047" s="3">
        <f>IF(J1047&gt;0.005,ROW()-1,"")</f>
        <v/>
      </c>
    </row>
    <row r="1048">
      <c r="A1048" s="3" t="inlineStr">
        <is>
          <t>D1047</t>
        </is>
      </c>
      <c r="B1048" s="3">
        <f>INDEX(Raw_Schedule!B:B,MATCH(A1048,Raw_Schedule!A:A,0))</f>
        <v/>
      </c>
      <c r="C1048" s="3">
        <f>INDEX(Raw_Schedule!C:C,MATCH(A1048,Raw_Schedule!A:A,0))</f>
        <v/>
      </c>
      <c r="D1048" s="3">
        <f>INDEX(Raw_Schedule!D:D,MATCH(A1048,Raw_Schedule!A:A,0))</f>
        <v/>
      </c>
      <c r="E1048" s="3">
        <f>INDEX(Raw_Schedule!E:E,MATCH(A1048,Raw_Schedule!A:A,0))</f>
        <v/>
      </c>
      <c r="F1048" s="3">
        <f>INDEX(Raw_Schedule!F:F,MATCH(A1048,Raw_Schedule!A:A,0))</f>
        <v/>
      </c>
      <c r="G1048" s="4">
        <f>INDEX(Raw_Schedule!G:G,MATCH(A1048,Raw_Schedule!A:A,0))</f>
        <v/>
      </c>
      <c r="H1048" s="5">
        <f>INDEX(Raw_Schedule!H:H,MATCH(A1048,Raw_Schedule!A:A,0))</f>
        <v/>
      </c>
      <c r="I1048" s="5">
        <f>SUMIFS(Raw_Payments!E:E,Raw_Payments!B:B,A1048)</f>
        <v/>
      </c>
      <c r="J1048" s="5">
        <f>H1048-I1048</f>
        <v/>
      </c>
      <c r="K1048" s="3">
        <f>IF(J1048&lt;=0.005,"PAID",IF(I1048&gt;0,"PARTIAL","OVERDUE"))</f>
        <v/>
      </c>
      <c r="L1048" s="4">
        <f>IF(COUNTIFS(Raw_Payments!B:B,A1048)=0,"",SUMPRODUCT(MAX((Raw_Payments!B$2:B$1079=A1048)*Raw_Payments!D$2:D$1079)))</f>
        <v/>
      </c>
      <c r="M1048" s="3">
        <f>IF(K1048="PAID",MAX(0,L1048-G1048),Guide!$B$3-G1048)</f>
        <v/>
      </c>
      <c r="N1048" s="3">
        <f>IF(J1048&lt;=0.005,"COLLECTED",IF(M1048&lt;=30,"1-30",IF(M1048&lt;=60,"31-60",IF(M1048&lt;=90,"61-90","90+"))))</f>
        <v/>
      </c>
      <c r="O1048" s="3">
        <f>IF(N1048="90+","LOST",IF(N1048="61-90","ESCALATE",IF(N1048="31-60","WATCH",IF(N1048="1-30","MILD","OK"))))</f>
        <v/>
      </c>
      <c r="P1048" s="3">
        <f>IF(J1048&gt;0.005,ROW()-1,"")</f>
        <v/>
      </c>
    </row>
    <row r="1049">
      <c r="A1049" s="3" t="inlineStr">
        <is>
          <t>D1048</t>
        </is>
      </c>
      <c r="B1049" s="3">
        <f>INDEX(Raw_Schedule!B:B,MATCH(A1049,Raw_Schedule!A:A,0))</f>
        <v/>
      </c>
      <c r="C1049" s="3">
        <f>INDEX(Raw_Schedule!C:C,MATCH(A1049,Raw_Schedule!A:A,0))</f>
        <v/>
      </c>
      <c r="D1049" s="3">
        <f>INDEX(Raw_Schedule!D:D,MATCH(A1049,Raw_Schedule!A:A,0))</f>
        <v/>
      </c>
      <c r="E1049" s="3">
        <f>INDEX(Raw_Schedule!E:E,MATCH(A1049,Raw_Schedule!A:A,0))</f>
        <v/>
      </c>
      <c r="F1049" s="3">
        <f>INDEX(Raw_Schedule!F:F,MATCH(A1049,Raw_Schedule!A:A,0))</f>
        <v/>
      </c>
      <c r="G1049" s="4">
        <f>INDEX(Raw_Schedule!G:G,MATCH(A1049,Raw_Schedule!A:A,0))</f>
        <v/>
      </c>
      <c r="H1049" s="5">
        <f>INDEX(Raw_Schedule!H:H,MATCH(A1049,Raw_Schedule!A:A,0))</f>
        <v/>
      </c>
      <c r="I1049" s="5">
        <f>SUMIFS(Raw_Payments!E:E,Raw_Payments!B:B,A1049)</f>
        <v/>
      </c>
      <c r="J1049" s="5">
        <f>H1049-I1049</f>
        <v/>
      </c>
      <c r="K1049" s="3">
        <f>IF(J1049&lt;=0.005,"PAID",IF(I1049&gt;0,"PARTIAL","OVERDUE"))</f>
        <v/>
      </c>
      <c r="L1049" s="4">
        <f>IF(COUNTIFS(Raw_Payments!B:B,A1049)=0,"",SUMPRODUCT(MAX((Raw_Payments!B$2:B$1079=A1049)*Raw_Payments!D$2:D$1079)))</f>
        <v/>
      </c>
      <c r="M1049" s="3">
        <f>IF(K1049="PAID",MAX(0,L1049-G1049),Guide!$B$3-G1049)</f>
        <v/>
      </c>
      <c r="N1049" s="3">
        <f>IF(J1049&lt;=0.005,"COLLECTED",IF(M1049&lt;=30,"1-30",IF(M1049&lt;=60,"31-60",IF(M1049&lt;=90,"61-90","90+"))))</f>
        <v/>
      </c>
      <c r="O1049" s="3">
        <f>IF(N1049="90+","LOST",IF(N1049="61-90","ESCALATE",IF(N1049="31-60","WATCH",IF(N1049="1-30","MILD","OK"))))</f>
        <v/>
      </c>
      <c r="P1049" s="3">
        <f>IF(J1049&gt;0.005,ROW()-1,"")</f>
        <v/>
      </c>
    </row>
    <row r="1050">
      <c r="A1050" s="3" t="inlineStr">
        <is>
          <t>D1049</t>
        </is>
      </c>
      <c r="B1050" s="3">
        <f>INDEX(Raw_Schedule!B:B,MATCH(A1050,Raw_Schedule!A:A,0))</f>
        <v/>
      </c>
      <c r="C1050" s="3">
        <f>INDEX(Raw_Schedule!C:C,MATCH(A1050,Raw_Schedule!A:A,0))</f>
        <v/>
      </c>
      <c r="D1050" s="3">
        <f>INDEX(Raw_Schedule!D:D,MATCH(A1050,Raw_Schedule!A:A,0))</f>
        <v/>
      </c>
      <c r="E1050" s="3">
        <f>INDEX(Raw_Schedule!E:E,MATCH(A1050,Raw_Schedule!A:A,0))</f>
        <v/>
      </c>
      <c r="F1050" s="3">
        <f>INDEX(Raw_Schedule!F:F,MATCH(A1050,Raw_Schedule!A:A,0))</f>
        <v/>
      </c>
      <c r="G1050" s="4">
        <f>INDEX(Raw_Schedule!G:G,MATCH(A1050,Raw_Schedule!A:A,0))</f>
        <v/>
      </c>
      <c r="H1050" s="5">
        <f>INDEX(Raw_Schedule!H:H,MATCH(A1050,Raw_Schedule!A:A,0))</f>
        <v/>
      </c>
      <c r="I1050" s="5">
        <f>SUMIFS(Raw_Payments!E:E,Raw_Payments!B:B,A1050)</f>
        <v/>
      </c>
      <c r="J1050" s="5">
        <f>H1050-I1050</f>
        <v/>
      </c>
      <c r="K1050" s="3">
        <f>IF(J1050&lt;=0.005,"PAID",IF(I1050&gt;0,"PARTIAL","OVERDUE"))</f>
        <v/>
      </c>
      <c r="L1050" s="4">
        <f>IF(COUNTIFS(Raw_Payments!B:B,A1050)=0,"",SUMPRODUCT(MAX((Raw_Payments!B$2:B$1079=A1050)*Raw_Payments!D$2:D$1079)))</f>
        <v/>
      </c>
      <c r="M1050" s="3">
        <f>IF(K1050="PAID",MAX(0,L1050-G1050),Guide!$B$3-G1050)</f>
        <v/>
      </c>
      <c r="N1050" s="3">
        <f>IF(J1050&lt;=0.005,"COLLECTED",IF(M1050&lt;=30,"1-30",IF(M1050&lt;=60,"31-60",IF(M1050&lt;=90,"61-90","90+"))))</f>
        <v/>
      </c>
      <c r="O1050" s="3">
        <f>IF(N1050="90+","LOST",IF(N1050="61-90","ESCALATE",IF(N1050="31-60","WATCH",IF(N1050="1-30","MILD","OK"))))</f>
        <v/>
      </c>
      <c r="P1050" s="3">
        <f>IF(J1050&gt;0.005,ROW()-1,"")</f>
        <v/>
      </c>
    </row>
    <row r="1051">
      <c r="A1051" s="3" t="inlineStr">
        <is>
          <t>D1050</t>
        </is>
      </c>
      <c r="B1051" s="3">
        <f>INDEX(Raw_Schedule!B:B,MATCH(A1051,Raw_Schedule!A:A,0))</f>
        <v/>
      </c>
      <c r="C1051" s="3">
        <f>INDEX(Raw_Schedule!C:C,MATCH(A1051,Raw_Schedule!A:A,0))</f>
        <v/>
      </c>
      <c r="D1051" s="3">
        <f>INDEX(Raw_Schedule!D:D,MATCH(A1051,Raw_Schedule!A:A,0))</f>
        <v/>
      </c>
      <c r="E1051" s="3">
        <f>INDEX(Raw_Schedule!E:E,MATCH(A1051,Raw_Schedule!A:A,0))</f>
        <v/>
      </c>
      <c r="F1051" s="3">
        <f>INDEX(Raw_Schedule!F:F,MATCH(A1051,Raw_Schedule!A:A,0))</f>
        <v/>
      </c>
      <c r="G1051" s="4">
        <f>INDEX(Raw_Schedule!G:G,MATCH(A1051,Raw_Schedule!A:A,0))</f>
        <v/>
      </c>
      <c r="H1051" s="5">
        <f>INDEX(Raw_Schedule!H:H,MATCH(A1051,Raw_Schedule!A:A,0))</f>
        <v/>
      </c>
      <c r="I1051" s="5">
        <f>SUMIFS(Raw_Payments!E:E,Raw_Payments!B:B,A1051)</f>
        <v/>
      </c>
      <c r="J1051" s="5">
        <f>H1051-I1051</f>
        <v/>
      </c>
      <c r="K1051" s="3">
        <f>IF(J1051&lt;=0.005,"PAID",IF(I1051&gt;0,"PARTIAL","OVERDUE"))</f>
        <v/>
      </c>
      <c r="L1051" s="4">
        <f>IF(COUNTIFS(Raw_Payments!B:B,A1051)=0,"",SUMPRODUCT(MAX((Raw_Payments!B$2:B$1079=A1051)*Raw_Payments!D$2:D$1079)))</f>
        <v/>
      </c>
      <c r="M1051" s="3">
        <f>IF(K1051="PAID",MAX(0,L1051-G1051),Guide!$B$3-G1051)</f>
        <v/>
      </c>
      <c r="N1051" s="3">
        <f>IF(J1051&lt;=0.005,"COLLECTED",IF(M1051&lt;=30,"1-30",IF(M1051&lt;=60,"31-60",IF(M1051&lt;=90,"61-90","90+"))))</f>
        <v/>
      </c>
      <c r="O1051" s="3">
        <f>IF(N1051="90+","LOST",IF(N1051="61-90","ESCALATE",IF(N1051="31-60","WATCH",IF(N1051="1-30","MILD","OK"))))</f>
        <v/>
      </c>
      <c r="P1051" s="3">
        <f>IF(J1051&gt;0.005,ROW()-1,"")</f>
        <v/>
      </c>
    </row>
    <row r="1052">
      <c r="A1052" s="3" t="inlineStr">
        <is>
          <t>D1051</t>
        </is>
      </c>
      <c r="B1052" s="3">
        <f>INDEX(Raw_Schedule!B:B,MATCH(A1052,Raw_Schedule!A:A,0))</f>
        <v/>
      </c>
      <c r="C1052" s="3">
        <f>INDEX(Raw_Schedule!C:C,MATCH(A1052,Raw_Schedule!A:A,0))</f>
        <v/>
      </c>
      <c r="D1052" s="3">
        <f>INDEX(Raw_Schedule!D:D,MATCH(A1052,Raw_Schedule!A:A,0))</f>
        <v/>
      </c>
      <c r="E1052" s="3">
        <f>INDEX(Raw_Schedule!E:E,MATCH(A1052,Raw_Schedule!A:A,0))</f>
        <v/>
      </c>
      <c r="F1052" s="3">
        <f>INDEX(Raw_Schedule!F:F,MATCH(A1052,Raw_Schedule!A:A,0))</f>
        <v/>
      </c>
      <c r="G1052" s="4">
        <f>INDEX(Raw_Schedule!G:G,MATCH(A1052,Raw_Schedule!A:A,0))</f>
        <v/>
      </c>
      <c r="H1052" s="5">
        <f>INDEX(Raw_Schedule!H:H,MATCH(A1052,Raw_Schedule!A:A,0))</f>
        <v/>
      </c>
      <c r="I1052" s="5">
        <f>SUMIFS(Raw_Payments!E:E,Raw_Payments!B:B,A1052)</f>
        <v/>
      </c>
      <c r="J1052" s="5">
        <f>H1052-I1052</f>
        <v/>
      </c>
      <c r="K1052" s="3">
        <f>IF(J1052&lt;=0.005,"PAID",IF(I1052&gt;0,"PARTIAL","OVERDUE"))</f>
        <v/>
      </c>
      <c r="L1052" s="4">
        <f>IF(COUNTIFS(Raw_Payments!B:B,A1052)=0,"",SUMPRODUCT(MAX((Raw_Payments!B$2:B$1079=A1052)*Raw_Payments!D$2:D$1079)))</f>
        <v/>
      </c>
      <c r="M1052" s="3">
        <f>IF(K1052="PAID",MAX(0,L1052-G1052),Guide!$B$3-G1052)</f>
        <v/>
      </c>
      <c r="N1052" s="3">
        <f>IF(J1052&lt;=0.005,"COLLECTED",IF(M1052&lt;=30,"1-30",IF(M1052&lt;=60,"31-60",IF(M1052&lt;=90,"61-90","90+"))))</f>
        <v/>
      </c>
      <c r="O1052" s="3">
        <f>IF(N1052="90+","LOST",IF(N1052="61-90","ESCALATE",IF(N1052="31-60","WATCH",IF(N1052="1-30","MILD","OK"))))</f>
        <v/>
      </c>
      <c r="P1052" s="3">
        <f>IF(J1052&gt;0.005,ROW()-1,"")</f>
        <v/>
      </c>
    </row>
    <row r="1053">
      <c r="A1053" s="3" t="inlineStr">
        <is>
          <t>D1052</t>
        </is>
      </c>
      <c r="B1053" s="3">
        <f>INDEX(Raw_Schedule!B:B,MATCH(A1053,Raw_Schedule!A:A,0))</f>
        <v/>
      </c>
      <c r="C1053" s="3">
        <f>INDEX(Raw_Schedule!C:C,MATCH(A1053,Raw_Schedule!A:A,0))</f>
        <v/>
      </c>
      <c r="D1053" s="3">
        <f>INDEX(Raw_Schedule!D:D,MATCH(A1053,Raw_Schedule!A:A,0))</f>
        <v/>
      </c>
      <c r="E1053" s="3">
        <f>INDEX(Raw_Schedule!E:E,MATCH(A1053,Raw_Schedule!A:A,0))</f>
        <v/>
      </c>
      <c r="F1053" s="3">
        <f>INDEX(Raw_Schedule!F:F,MATCH(A1053,Raw_Schedule!A:A,0))</f>
        <v/>
      </c>
      <c r="G1053" s="4">
        <f>INDEX(Raw_Schedule!G:G,MATCH(A1053,Raw_Schedule!A:A,0))</f>
        <v/>
      </c>
      <c r="H1053" s="5">
        <f>INDEX(Raw_Schedule!H:H,MATCH(A1053,Raw_Schedule!A:A,0))</f>
        <v/>
      </c>
      <c r="I1053" s="5">
        <f>SUMIFS(Raw_Payments!E:E,Raw_Payments!B:B,A1053)</f>
        <v/>
      </c>
      <c r="J1053" s="5">
        <f>H1053-I1053</f>
        <v/>
      </c>
      <c r="K1053" s="3">
        <f>IF(J1053&lt;=0.005,"PAID",IF(I1053&gt;0,"PARTIAL","OVERDUE"))</f>
        <v/>
      </c>
      <c r="L1053" s="4">
        <f>IF(COUNTIFS(Raw_Payments!B:B,A1053)=0,"",SUMPRODUCT(MAX((Raw_Payments!B$2:B$1079=A1053)*Raw_Payments!D$2:D$1079)))</f>
        <v/>
      </c>
      <c r="M1053" s="3">
        <f>IF(K1053="PAID",MAX(0,L1053-G1053),Guide!$B$3-G1053)</f>
        <v/>
      </c>
      <c r="N1053" s="3">
        <f>IF(J1053&lt;=0.005,"COLLECTED",IF(M1053&lt;=30,"1-30",IF(M1053&lt;=60,"31-60",IF(M1053&lt;=90,"61-90","90+"))))</f>
        <v/>
      </c>
      <c r="O1053" s="3">
        <f>IF(N1053="90+","LOST",IF(N1053="61-90","ESCALATE",IF(N1053="31-60","WATCH",IF(N1053="1-30","MILD","OK"))))</f>
        <v/>
      </c>
      <c r="P1053" s="3">
        <f>IF(J1053&gt;0.005,ROW()-1,"")</f>
        <v/>
      </c>
    </row>
    <row r="1054">
      <c r="A1054" s="3" t="inlineStr">
        <is>
          <t>D1053</t>
        </is>
      </c>
      <c r="B1054" s="3">
        <f>INDEX(Raw_Schedule!B:B,MATCH(A1054,Raw_Schedule!A:A,0))</f>
        <v/>
      </c>
      <c r="C1054" s="3">
        <f>INDEX(Raw_Schedule!C:C,MATCH(A1054,Raw_Schedule!A:A,0))</f>
        <v/>
      </c>
      <c r="D1054" s="3">
        <f>INDEX(Raw_Schedule!D:D,MATCH(A1054,Raw_Schedule!A:A,0))</f>
        <v/>
      </c>
      <c r="E1054" s="3">
        <f>INDEX(Raw_Schedule!E:E,MATCH(A1054,Raw_Schedule!A:A,0))</f>
        <v/>
      </c>
      <c r="F1054" s="3">
        <f>INDEX(Raw_Schedule!F:F,MATCH(A1054,Raw_Schedule!A:A,0))</f>
        <v/>
      </c>
      <c r="G1054" s="4">
        <f>INDEX(Raw_Schedule!G:G,MATCH(A1054,Raw_Schedule!A:A,0))</f>
        <v/>
      </c>
      <c r="H1054" s="5">
        <f>INDEX(Raw_Schedule!H:H,MATCH(A1054,Raw_Schedule!A:A,0))</f>
        <v/>
      </c>
      <c r="I1054" s="5">
        <f>SUMIFS(Raw_Payments!E:E,Raw_Payments!B:B,A1054)</f>
        <v/>
      </c>
      <c r="J1054" s="5">
        <f>H1054-I1054</f>
        <v/>
      </c>
      <c r="K1054" s="3">
        <f>IF(J1054&lt;=0.005,"PAID",IF(I1054&gt;0,"PARTIAL","OVERDUE"))</f>
        <v/>
      </c>
      <c r="L1054" s="4">
        <f>IF(COUNTIFS(Raw_Payments!B:B,A1054)=0,"",SUMPRODUCT(MAX((Raw_Payments!B$2:B$1079=A1054)*Raw_Payments!D$2:D$1079)))</f>
        <v/>
      </c>
      <c r="M1054" s="3">
        <f>IF(K1054="PAID",MAX(0,L1054-G1054),Guide!$B$3-G1054)</f>
        <v/>
      </c>
      <c r="N1054" s="3">
        <f>IF(J1054&lt;=0.005,"COLLECTED",IF(M1054&lt;=30,"1-30",IF(M1054&lt;=60,"31-60",IF(M1054&lt;=90,"61-90","90+"))))</f>
        <v/>
      </c>
      <c r="O1054" s="3">
        <f>IF(N1054="90+","LOST",IF(N1054="61-90","ESCALATE",IF(N1054="31-60","WATCH",IF(N1054="1-30","MILD","OK"))))</f>
        <v/>
      </c>
      <c r="P1054" s="3">
        <f>IF(J1054&gt;0.005,ROW()-1,"")</f>
        <v/>
      </c>
    </row>
    <row r="1055">
      <c r="A1055" s="3" t="inlineStr">
        <is>
          <t>D1054</t>
        </is>
      </c>
      <c r="B1055" s="3">
        <f>INDEX(Raw_Schedule!B:B,MATCH(A1055,Raw_Schedule!A:A,0))</f>
        <v/>
      </c>
      <c r="C1055" s="3">
        <f>INDEX(Raw_Schedule!C:C,MATCH(A1055,Raw_Schedule!A:A,0))</f>
        <v/>
      </c>
      <c r="D1055" s="3">
        <f>INDEX(Raw_Schedule!D:D,MATCH(A1055,Raw_Schedule!A:A,0))</f>
        <v/>
      </c>
      <c r="E1055" s="3">
        <f>INDEX(Raw_Schedule!E:E,MATCH(A1055,Raw_Schedule!A:A,0))</f>
        <v/>
      </c>
      <c r="F1055" s="3">
        <f>INDEX(Raw_Schedule!F:F,MATCH(A1055,Raw_Schedule!A:A,0))</f>
        <v/>
      </c>
      <c r="G1055" s="4">
        <f>INDEX(Raw_Schedule!G:G,MATCH(A1055,Raw_Schedule!A:A,0))</f>
        <v/>
      </c>
      <c r="H1055" s="5">
        <f>INDEX(Raw_Schedule!H:H,MATCH(A1055,Raw_Schedule!A:A,0))</f>
        <v/>
      </c>
      <c r="I1055" s="5">
        <f>SUMIFS(Raw_Payments!E:E,Raw_Payments!B:B,A1055)</f>
        <v/>
      </c>
      <c r="J1055" s="5">
        <f>H1055-I1055</f>
        <v/>
      </c>
      <c r="K1055" s="3">
        <f>IF(J1055&lt;=0.005,"PAID",IF(I1055&gt;0,"PARTIAL","OVERDUE"))</f>
        <v/>
      </c>
      <c r="L1055" s="4">
        <f>IF(COUNTIFS(Raw_Payments!B:B,A1055)=0,"",SUMPRODUCT(MAX((Raw_Payments!B$2:B$1079=A1055)*Raw_Payments!D$2:D$1079)))</f>
        <v/>
      </c>
      <c r="M1055" s="3">
        <f>IF(K1055="PAID",MAX(0,L1055-G1055),Guide!$B$3-G1055)</f>
        <v/>
      </c>
      <c r="N1055" s="3">
        <f>IF(J1055&lt;=0.005,"COLLECTED",IF(M1055&lt;=30,"1-30",IF(M1055&lt;=60,"31-60",IF(M1055&lt;=90,"61-90","90+"))))</f>
        <v/>
      </c>
      <c r="O1055" s="3">
        <f>IF(N1055="90+","LOST",IF(N1055="61-90","ESCALATE",IF(N1055="31-60","WATCH",IF(N1055="1-30","MILD","OK"))))</f>
        <v/>
      </c>
      <c r="P1055" s="3">
        <f>IF(J1055&gt;0.005,ROW()-1,"")</f>
        <v/>
      </c>
    </row>
    <row r="1056">
      <c r="A1056" s="3" t="inlineStr">
        <is>
          <t>D1055</t>
        </is>
      </c>
      <c r="B1056" s="3">
        <f>INDEX(Raw_Schedule!B:B,MATCH(A1056,Raw_Schedule!A:A,0))</f>
        <v/>
      </c>
      <c r="C1056" s="3">
        <f>INDEX(Raw_Schedule!C:C,MATCH(A1056,Raw_Schedule!A:A,0))</f>
        <v/>
      </c>
      <c r="D1056" s="3">
        <f>INDEX(Raw_Schedule!D:D,MATCH(A1056,Raw_Schedule!A:A,0))</f>
        <v/>
      </c>
      <c r="E1056" s="3">
        <f>INDEX(Raw_Schedule!E:E,MATCH(A1056,Raw_Schedule!A:A,0))</f>
        <v/>
      </c>
      <c r="F1056" s="3">
        <f>INDEX(Raw_Schedule!F:F,MATCH(A1056,Raw_Schedule!A:A,0))</f>
        <v/>
      </c>
      <c r="G1056" s="4">
        <f>INDEX(Raw_Schedule!G:G,MATCH(A1056,Raw_Schedule!A:A,0))</f>
        <v/>
      </c>
      <c r="H1056" s="5">
        <f>INDEX(Raw_Schedule!H:H,MATCH(A1056,Raw_Schedule!A:A,0))</f>
        <v/>
      </c>
      <c r="I1056" s="5">
        <f>SUMIFS(Raw_Payments!E:E,Raw_Payments!B:B,A1056)</f>
        <v/>
      </c>
      <c r="J1056" s="5">
        <f>H1056-I1056</f>
        <v/>
      </c>
      <c r="K1056" s="3">
        <f>IF(J1056&lt;=0.005,"PAID",IF(I1056&gt;0,"PARTIAL","OVERDUE"))</f>
        <v/>
      </c>
      <c r="L1056" s="4">
        <f>IF(COUNTIFS(Raw_Payments!B:B,A1056)=0,"",SUMPRODUCT(MAX((Raw_Payments!B$2:B$1079=A1056)*Raw_Payments!D$2:D$1079)))</f>
        <v/>
      </c>
      <c r="M1056" s="3">
        <f>IF(K1056="PAID",MAX(0,L1056-G1056),Guide!$B$3-G1056)</f>
        <v/>
      </c>
      <c r="N1056" s="3">
        <f>IF(J1056&lt;=0.005,"COLLECTED",IF(M1056&lt;=30,"1-30",IF(M1056&lt;=60,"31-60",IF(M1056&lt;=90,"61-90","90+"))))</f>
        <v/>
      </c>
      <c r="O1056" s="3">
        <f>IF(N1056="90+","LOST",IF(N1056="61-90","ESCALATE",IF(N1056="31-60","WATCH",IF(N1056="1-30","MILD","OK"))))</f>
        <v/>
      </c>
      <c r="P1056" s="3">
        <f>IF(J1056&gt;0.005,ROW()-1,"")</f>
        <v/>
      </c>
    </row>
    <row r="1057">
      <c r="A1057" s="3" t="inlineStr">
        <is>
          <t>D1056</t>
        </is>
      </c>
      <c r="B1057" s="3">
        <f>INDEX(Raw_Schedule!B:B,MATCH(A1057,Raw_Schedule!A:A,0))</f>
        <v/>
      </c>
      <c r="C1057" s="3">
        <f>INDEX(Raw_Schedule!C:C,MATCH(A1057,Raw_Schedule!A:A,0))</f>
        <v/>
      </c>
      <c r="D1057" s="3">
        <f>INDEX(Raw_Schedule!D:D,MATCH(A1057,Raw_Schedule!A:A,0))</f>
        <v/>
      </c>
      <c r="E1057" s="3">
        <f>INDEX(Raw_Schedule!E:E,MATCH(A1057,Raw_Schedule!A:A,0))</f>
        <v/>
      </c>
      <c r="F1057" s="3">
        <f>INDEX(Raw_Schedule!F:F,MATCH(A1057,Raw_Schedule!A:A,0))</f>
        <v/>
      </c>
      <c r="G1057" s="4">
        <f>INDEX(Raw_Schedule!G:G,MATCH(A1057,Raw_Schedule!A:A,0))</f>
        <v/>
      </c>
      <c r="H1057" s="5">
        <f>INDEX(Raw_Schedule!H:H,MATCH(A1057,Raw_Schedule!A:A,0))</f>
        <v/>
      </c>
      <c r="I1057" s="5">
        <f>SUMIFS(Raw_Payments!E:E,Raw_Payments!B:B,A1057)</f>
        <v/>
      </c>
      <c r="J1057" s="5">
        <f>H1057-I1057</f>
        <v/>
      </c>
      <c r="K1057" s="3">
        <f>IF(J1057&lt;=0.005,"PAID",IF(I1057&gt;0,"PARTIAL","OVERDUE"))</f>
        <v/>
      </c>
      <c r="L1057" s="4">
        <f>IF(COUNTIFS(Raw_Payments!B:B,A1057)=0,"",SUMPRODUCT(MAX((Raw_Payments!B$2:B$1079=A1057)*Raw_Payments!D$2:D$1079)))</f>
        <v/>
      </c>
      <c r="M1057" s="3">
        <f>IF(K1057="PAID",MAX(0,L1057-G1057),Guide!$B$3-G1057)</f>
        <v/>
      </c>
      <c r="N1057" s="3">
        <f>IF(J1057&lt;=0.005,"COLLECTED",IF(M1057&lt;=30,"1-30",IF(M1057&lt;=60,"31-60",IF(M1057&lt;=90,"61-90","90+"))))</f>
        <v/>
      </c>
      <c r="O1057" s="3">
        <f>IF(N1057="90+","LOST",IF(N1057="61-90","ESCALATE",IF(N1057="31-60","WATCH",IF(N1057="1-30","MILD","OK"))))</f>
        <v/>
      </c>
      <c r="P1057" s="3">
        <f>IF(J1057&gt;0.005,ROW()-1,"")</f>
        <v/>
      </c>
    </row>
    <row r="1058">
      <c r="A1058" s="3" t="inlineStr">
        <is>
          <t>D1057</t>
        </is>
      </c>
      <c r="B1058" s="3">
        <f>INDEX(Raw_Schedule!B:B,MATCH(A1058,Raw_Schedule!A:A,0))</f>
        <v/>
      </c>
      <c r="C1058" s="3">
        <f>INDEX(Raw_Schedule!C:C,MATCH(A1058,Raw_Schedule!A:A,0))</f>
        <v/>
      </c>
      <c r="D1058" s="3">
        <f>INDEX(Raw_Schedule!D:D,MATCH(A1058,Raw_Schedule!A:A,0))</f>
        <v/>
      </c>
      <c r="E1058" s="3">
        <f>INDEX(Raw_Schedule!E:E,MATCH(A1058,Raw_Schedule!A:A,0))</f>
        <v/>
      </c>
      <c r="F1058" s="3">
        <f>INDEX(Raw_Schedule!F:F,MATCH(A1058,Raw_Schedule!A:A,0))</f>
        <v/>
      </c>
      <c r="G1058" s="4">
        <f>INDEX(Raw_Schedule!G:G,MATCH(A1058,Raw_Schedule!A:A,0))</f>
        <v/>
      </c>
      <c r="H1058" s="5">
        <f>INDEX(Raw_Schedule!H:H,MATCH(A1058,Raw_Schedule!A:A,0))</f>
        <v/>
      </c>
      <c r="I1058" s="5">
        <f>SUMIFS(Raw_Payments!E:E,Raw_Payments!B:B,A1058)</f>
        <v/>
      </c>
      <c r="J1058" s="5">
        <f>H1058-I1058</f>
        <v/>
      </c>
      <c r="K1058" s="3">
        <f>IF(J1058&lt;=0.005,"PAID",IF(I1058&gt;0,"PARTIAL","OVERDUE"))</f>
        <v/>
      </c>
      <c r="L1058" s="4">
        <f>IF(COUNTIFS(Raw_Payments!B:B,A1058)=0,"",SUMPRODUCT(MAX((Raw_Payments!B$2:B$1079=A1058)*Raw_Payments!D$2:D$1079)))</f>
        <v/>
      </c>
      <c r="M1058" s="3">
        <f>IF(K1058="PAID",MAX(0,L1058-G1058),Guide!$B$3-G1058)</f>
        <v/>
      </c>
      <c r="N1058" s="3">
        <f>IF(J1058&lt;=0.005,"COLLECTED",IF(M1058&lt;=30,"1-30",IF(M1058&lt;=60,"31-60",IF(M1058&lt;=90,"61-90","90+"))))</f>
        <v/>
      </c>
      <c r="O1058" s="3">
        <f>IF(N1058="90+","LOST",IF(N1058="61-90","ESCALATE",IF(N1058="31-60","WATCH",IF(N1058="1-30","MILD","OK"))))</f>
        <v/>
      </c>
      <c r="P1058" s="3">
        <f>IF(J1058&gt;0.005,ROW()-1,"")</f>
        <v/>
      </c>
    </row>
    <row r="1059">
      <c r="A1059" s="3" t="inlineStr">
        <is>
          <t>D1058</t>
        </is>
      </c>
      <c r="B1059" s="3">
        <f>INDEX(Raw_Schedule!B:B,MATCH(A1059,Raw_Schedule!A:A,0))</f>
        <v/>
      </c>
      <c r="C1059" s="3">
        <f>INDEX(Raw_Schedule!C:C,MATCH(A1059,Raw_Schedule!A:A,0))</f>
        <v/>
      </c>
      <c r="D1059" s="3">
        <f>INDEX(Raw_Schedule!D:D,MATCH(A1059,Raw_Schedule!A:A,0))</f>
        <v/>
      </c>
      <c r="E1059" s="3">
        <f>INDEX(Raw_Schedule!E:E,MATCH(A1059,Raw_Schedule!A:A,0))</f>
        <v/>
      </c>
      <c r="F1059" s="3">
        <f>INDEX(Raw_Schedule!F:F,MATCH(A1059,Raw_Schedule!A:A,0))</f>
        <v/>
      </c>
      <c r="G1059" s="4">
        <f>INDEX(Raw_Schedule!G:G,MATCH(A1059,Raw_Schedule!A:A,0))</f>
        <v/>
      </c>
      <c r="H1059" s="5">
        <f>INDEX(Raw_Schedule!H:H,MATCH(A1059,Raw_Schedule!A:A,0))</f>
        <v/>
      </c>
      <c r="I1059" s="5">
        <f>SUMIFS(Raw_Payments!E:E,Raw_Payments!B:B,A1059)</f>
        <v/>
      </c>
      <c r="J1059" s="5">
        <f>H1059-I1059</f>
        <v/>
      </c>
      <c r="K1059" s="3">
        <f>IF(J1059&lt;=0.005,"PAID",IF(I1059&gt;0,"PARTIAL","OVERDUE"))</f>
        <v/>
      </c>
      <c r="L1059" s="4">
        <f>IF(COUNTIFS(Raw_Payments!B:B,A1059)=0,"",SUMPRODUCT(MAX((Raw_Payments!B$2:B$1079=A1059)*Raw_Payments!D$2:D$1079)))</f>
        <v/>
      </c>
      <c r="M1059" s="3">
        <f>IF(K1059="PAID",MAX(0,L1059-G1059),Guide!$B$3-G1059)</f>
        <v/>
      </c>
      <c r="N1059" s="3">
        <f>IF(J1059&lt;=0.005,"COLLECTED",IF(M1059&lt;=30,"1-30",IF(M1059&lt;=60,"31-60",IF(M1059&lt;=90,"61-90","90+"))))</f>
        <v/>
      </c>
      <c r="O1059" s="3">
        <f>IF(N1059="90+","LOST",IF(N1059="61-90","ESCALATE",IF(N1059="31-60","WATCH",IF(N1059="1-30","MILD","OK"))))</f>
        <v/>
      </c>
      <c r="P1059" s="3">
        <f>IF(J1059&gt;0.005,ROW()-1,"")</f>
        <v/>
      </c>
    </row>
    <row r="1060">
      <c r="A1060" s="3" t="inlineStr">
        <is>
          <t>D1059</t>
        </is>
      </c>
      <c r="B1060" s="3">
        <f>INDEX(Raw_Schedule!B:B,MATCH(A1060,Raw_Schedule!A:A,0))</f>
        <v/>
      </c>
      <c r="C1060" s="3">
        <f>INDEX(Raw_Schedule!C:C,MATCH(A1060,Raw_Schedule!A:A,0))</f>
        <v/>
      </c>
      <c r="D1060" s="3">
        <f>INDEX(Raw_Schedule!D:D,MATCH(A1060,Raw_Schedule!A:A,0))</f>
        <v/>
      </c>
      <c r="E1060" s="3">
        <f>INDEX(Raw_Schedule!E:E,MATCH(A1060,Raw_Schedule!A:A,0))</f>
        <v/>
      </c>
      <c r="F1060" s="3">
        <f>INDEX(Raw_Schedule!F:F,MATCH(A1060,Raw_Schedule!A:A,0))</f>
        <v/>
      </c>
      <c r="G1060" s="4">
        <f>INDEX(Raw_Schedule!G:G,MATCH(A1060,Raw_Schedule!A:A,0))</f>
        <v/>
      </c>
      <c r="H1060" s="5">
        <f>INDEX(Raw_Schedule!H:H,MATCH(A1060,Raw_Schedule!A:A,0))</f>
        <v/>
      </c>
      <c r="I1060" s="5">
        <f>SUMIFS(Raw_Payments!E:E,Raw_Payments!B:B,A1060)</f>
        <v/>
      </c>
      <c r="J1060" s="5">
        <f>H1060-I1060</f>
        <v/>
      </c>
      <c r="K1060" s="3">
        <f>IF(J1060&lt;=0.005,"PAID",IF(I1060&gt;0,"PARTIAL","OVERDUE"))</f>
        <v/>
      </c>
      <c r="L1060" s="4">
        <f>IF(COUNTIFS(Raw_Payments!B:B,A1060)=0,"",SUMPRODUCT(MAX((Raw_Payments!B$2:B$1079=A1060)*Raw_Payments!D$2:D$1079)))</f>
        <v/>
      </c>
      <c r="M1060" s="3">
        <f>IF(K1060="PAID",MAX(0,L1060-G1060),Guide!$B$3-G1060)</f>
        <v/>
      </c>
      <c r="N1060" s="3">
        <f>IF(J1060&lt;=0.005,"COLLECTED",IF(M1060&lt;=30,"1-30",IF(M1060&lt;=60,"31-60",IF(M1060&lt;=90,"61-90","90+"))))</f>
        <v/>
      </c>
      <c r="O1060" s="3">
        <f>IF(N1060="90+","LOST",IF(N1060="61-90","ESCALATE",IF(N1060="31-60","WATCH",IF(N1060="1-30","MILD","OK"))))</f>
        <v/>
      </c>
      <c r="P1060" s="3">
        <f>IF(J1060&gt;0.005,ROW()-1,"")</f>
        <v/>
      </c>
    </row>
    <row r="1061">
      <c r="A1061" s="3" t="inlineStr">
        <is>
          <t>D1060</t>
        </is>
      </c>
      <c r="B1061" s="3">
        <f>INDEX(Raw_Schedule!B:B,MATCH(A1061,Raw_Schedule!A:A,0))</f>
        <v/>
      </c>
      <c r="C1061" s="3">
        <f>INDEX(Raw_Schedule!C:C,MATCH(A1061,Raw_Schedule!A:A,0))</f>
        <v/>
      </c>
      <c r="D1061" s="3">
        <f>INDEX(Raw_Schedule!D:D,MATCH(A1061,Raw_Schedule!A:A,0))</f>
        <v/>
      </c>
      <c r="E1061" s="3">
        <f>INDEX(Raw_Schedule!E:E,MATCH(A1061,Raw_Schedule!A:A,0))</f>
        <v/>
      </c>
      <c r="F1061" s="3">
        <f>INDEX(Raw_Schedule!F:F,MATCH(A1061,Raw_Schedule!A:A,0))</f>
        <v/>
      </c>
      <c r="G1061" s="4">
        <f>INDEX(Raw_Schedule!G:G,MATCH(A1061,Raw_Schedule!A:A,0))</f>
        <v/>
      </c>
      <c r="H1061" s="5">
        <f>INDEX(Raw_Schedule!H:H,MATCH(A1061,Raw_Schedule!A:A,0))</f>
        <v/>
      </c>
      <c r="I1061" s="5">
        <f>SUMIFS(Raw_Payments!E:E,Raw_Payments!B:B,A1061)</f>
        <v/>
      </c>
      <c r="J1061" s="5">
        <f>H1061-I1061</f>
        <v/>
      </c>
      <c r="K1061" s="3">
        <f>IF(J1061&lt;=0.005,"PAID",IF(I1061&gt;0,"PARTIAL","OVERDUE"))</f>
        <v/>
      </c>
      <c r="L1061" s="4">
        <f>IF(COUNTIFS(Raw_Payments!B:B,A1061)=0,"",SUMPRODUCT(MAX((Raw_Payments!B$2:B$1079=A1061)*Raw_Payments!D$2:D$1079)))</f>
        <v/>
      </c>
      <c r="M1061" s="3">
        <f>IF(K1061="PAID",MAX(0,L1061-G1061),Guide!$B$3-G1061)</f>
        <v/>
      </c>
      <c r="N1061" s="3">
        <f>IF(J1061&lt;=0.005,"COLLECTED",IF(M1061&lt;=30,"1-30",IF(M1061&lt;=60,"31-60",IF(M1061&lt;=90,"61-90","90+"))))</f>
        <v/>
      </c>
      <c r="O1061" s="3">
        <f>IF(N1061="90+","LOST",IF(N1061="61-90","ESCALATE",IF(N1061="31-60","WATCH",IF(N1061="1-30","MILD","OK"))))</f>
        <v/>
      </c>
      <c r="P1061" s="3">
        <f>IF(J1061&gt;0.005,ROW()-1,"")</f>
        <v/>
      </c>
    </row>
    <row r="1062">
      <c r="A1062" s="3" t="inlineStr">
        <is>
          <t>D1061</t>
        </is>
      </c>
      <c r="B1062" s="3">
        <f>INDEX(Raw_Schedule!B:B,MATCH(A1062,Raw_Schedule!A:A,0))</f>
        <v/>
      </c>
      <c r="C1062" s="3">
        <f>INDEX(Raw_Schedule!C:C,MATCH(A1062,Raw_Schedule!A:A,0))</f>
        <v/>
      </c>
      <c r="D1062" s="3">
        <f>INDEX(Raw_Schedule!D:D,MATCH(A1062,Raw_Schedule!A:A,0))</f>
        <v/>
      </c>
      <c r="E1062" s="3">
        <f>INDEX(Raw_Schedule!E:E,MATCH(A1062,Raw_Schedule!A:A,0))</f>
        <v/>
      </c>
      <c r="F1062" s="3">
        <f>INDEX(Raw_Schedule!F:F,MATCH(A1062,Raw_Schedule!A:A,0))</f>
        <v/>
      </c>
      <c r="G1062" s="4">
        <f>INDEX(Raw_Schedule!G:G,MATCH(A1062,Raw_Schedule!A:A,0))</f>
        <v/>
      </c>
      <c r="H1062" s="5">
        <f>INDEX(Raw_Schedule!H:H,MATCH(A1062,Raw_Schedule!A:A,0))</f>
        <v/>
      </c>
      <c r="I1062" s="5">
        <f>SUMIFS(Raw_Payments!E:E,Raw_Payments!B:B,A1062)</f>
        <v/>
      </c>
      <c r="J1062" s="5">
        <f>H1062-I1062</f>
        <v/>
      </c>
      <c r="K1062" s="3">
        <f>IF(J1062&lt;=0.005,"PAID",IF(I1062&gt;0,"PARTIAL","OVERDUE"))</f>
        <v/>
      </c>
      <c r="L1062" s="4">
        <f>IF(COUNTIFS(Raw_Payments!B:B,A1062)=0,"",SUMPRODUCT(MAX((Raw_Payments!B$2:B$1079=A1062)*Raw_Payments!D$2:D$1079)))</f>
        <v/>
      </c>
      <c r="M1062" s="3">
        <f>IF(K1062="PAID",MAX(0,L1062-G1062),Guide!$B$3-G1062)</f>
        <v/>
      </c>
      <c r="N1062" s="3">
        <f>IF(J1062&lt;=0.005,"COLLECTED",IF(M1062&lt;=30,"1-30",IF(M1062&lt;=60,"31-60",IF(M1062&lt;=90,"61-90","90+"))))</f>
        <v/>
      </c>
      <c r="O1062" s="3">
        <f>IF(N1062="90+","LOST",IF(N1062="61-90","ESCALATE",IF(N1062="31-60","WATCH",IF(N1062="1-30","MILD","OK"))))</f>
        <v/>
      </c>
      <c r="P1062" s="3">
        <f>IF(J1062&gt;0.005,ROW()-1,"")</f>
        <v/>
      </c>
    </row>
    <row r="1063">
      <c r="A1063" s="3" t="inlineStr">
        <is>
          <t>D1062</t>
        </is>
      </c>
      <c r="B1063" s="3">
        <f>INDEX(Raw_Schedule!B:B,MATCH(A1063,Raw_Schedule!A:A,0))</f>
        <v/>
      </c>
      <c r="C1063" s="3">
        <f>INDEX(Raw_Schedule!C:C,MATCH(A1063,Raw_Schedule!A:A,0))</f>
        <v/>
      </c>
      <c r="D1063" s="3">
        <f>INDEX(Raw_Schedule!D:D,MATCH(A1063,Raw_Schedule!A:A,0))</f>
        <v/>
      </c>
      <c r="E1063" s="3">
        <f>INDEX(Raw_Schedule!E:E,MATCH(A1063,Raw_Schedule!A:A,0))</f>
        <v/>
      </c>
      <c r="F1063" s="3">
        <f>INDEX(Raw_Schedule!F:F,MATCH(A1063,Raw_Schedule!A:A,0))</f>
        <v/>
      </c>
      <c r="G1063" s="4">
        <f>INDEX(Raw_Schedule!G:G,MATCH(A1063,Raw_Schedule!A:A,0))</f>
        <v/>
      </c>
      <c r="H1063" s="5">
        <f>INDEX(Raw_Schedule!H:H,MATCH(A1063,Raw_Schedule!A:A,0))</f>
        <v/>
      </c>
      <c r="I1063" s="5">
        <f>SUMIFS(Raw_Payments!E:E,Raw_Payments!B:B,A1063)</f>
        <v/>
      </c>
      <c r="J1063" s="5">
        <f>H1063-I1063</f>
        <v/>
      </c>
      <c r="K1063" s="3">
        <f>IF(J1063&lt;=0.005,"PAID",IF(I1063&gt;0,"PARTIAL","OVERDUE"))</f>
        <v/>
      </c>
      <c r="L1063" s="4">
        <f>IF(COUNTIFS(Raw_Payments!B:B,A1063)=0,"",SUMPRODUCT(MAX((Raw_Payments!B$2:B$1079=A1063)*Raw_Payments!D$2:D$1079)))</f>
        <v/>
      </c>
      <c r="M1063" s="3">
        <f>IF(K1063="PAID",MAX(0,L1063-G1063),Guide!$B$3-G1063)</f>
        <v/>
      </c>
      <c r="N1063" s="3">
        <f>IF(J1063&lt;=0.005,"COLLECTED",IF(M1063&lt;=30,"1-30",IF(M1063&lt;=60,"31-60",IF(M1063&lt;=90,"61-90","90+"))))</f>
        <v/>
      </c>
      <c r="O1063" s="3">
        <f>IF(N1063="90+","LOST",IF(N1063="61-90","ESCALATE",IF(N1063="31-60","WATCH",IF(N1063="1-30","MILD","OK"))))</f>
        <v/>
      </c>
      <c r="P1063" s="3">
        <f>IF(J1063&gt;0.005,ROW()-1,"")</f>
        <v/>
      </c>
    </row>
    <row r="1064">
      <c r="A1064" s="3" t="inlineStr">
        <is>
          <t>D1063</t>
        </is>
      </c>
      <c r="B1064" s="3">
        <f>INDEX(Raw_Schedule!B:B,MATCH(A1064,Raw_Schedule!A:A,0))</f>
        <v/>
      </c>
      <c r="C1064" s="3">
        <f>INDEX(Raw_Schedule!C:C,MATCH(A1064,Raw_Schedule!A:A,0))</f>
        <v/>
      </c>
      <c r="D1064" s="3">
        <f>INDEX(Raw_Schedule!D:D,MATCH(A1064,Raw_Schedule!A:A,0))</f>
        <v/>
      </c>
      <c r="E1064" s="3">
        <f>INDEX(Raw_Schedule!E:E,MATCH(A1064,Raw_Schedule!A:A,0))</f>
        <v/>
      </c>
      <c r="F1064" s="3">
        <f>INDEX(Raw_Schedule!F:F,MATCH(A1064,Raw_Schedule!A:A,0))</f>
        <v/>
      </c>
      <c r="G1064" s="4">
        <f>INDEX(Raw_Schedule!G:G,MATCH(A1064,Raw_Schedule!A:A,0))</f>
        <v/>
      </c>
      <c r="H1064" s="5">
        <f>INDEX(Raw_Schedule!H:H,MATCH(A1064,Raw_Schedule!A:A,0))</f>
        <v/>
      </c>
      <c r="I1064" s="5">
        <f>SUMIFS(Raw_Payments!E:E,Raw_Payments!B:B,A1064)</f>
        <v/>
      </c>
      <c r="J1064" s="5">
        <f>H1064-I1064</f>
        <v/>
      </c>
      <c r="K1064" s="3">
        <f>IF(J1064&lt;=0.005,"PAID",IF(I1064&gt;0,"PARTIAL","OVERDUE"))</f>
        <v/>
      </c>
      <c r="L1064" s="4">
        <f>IF(COUNTIFS(Raw_Payments!B:B,A1064)=0,"",SUMPRODUCT(MAX((Raw_Payments!B$2:B$1079=A1064)*Raw_Payments!D$2:D$1079)))</f>
        <v/>
      </c>
      <c r="M1064" s="3">
        <f>IF(K1064="PAID",MAX(0,L1064-G1064),Guide!$B$3-G1064)</f>
        <v/>
      </c>
      <c r="N1064" s="3">
        <f>IF(J1064&lt;=0.005,"COLLECTED",IF(M1064&lt;=30,"1-30",IF(M1064&lt;=60,"31-60",IF(M1064&lt;=90,"61-90","90+"))))</f>
        <v/>
      </c>
      <c r="O1064" s="3">
        <f>IF(N1064="90+","LOST",IF(N1064="61-90","ESCALATE",IF(N1064="31-60","WATCH",IF(N1064="1-30","MILD","OK"))))</f>
        <v/>
      </c>
      <c r="P1064" s="3">
        <f>IF(J1064&gt;0.005,ROW()-1,"")</f>
        <v/>
      </c>
    </row>
    <row r="1065">
      <c r="A1065" s="3" t="inlineStr">
        <is>
          <t>D1064</t>
        </is>
      </c>
      <c r="B1065" s="3">
        <f>INDEX(Raw_Schedule!B:B,MATCH(A1065,Raw_Schedule!A:A,0))</f>
        <v/>
      </c>
      <c r="C1065" s="3">
        <f>INDEX(Raw_Schedule!C:C,MATCH(A1065,Raw_Schedule!A:A,0))</f>
        <v/>
      </c>
      <c r="D1065" s="3">
        <f>INDEX(Raw_Schedule!D:D,MATCH(A1065,Raw_Schedule!A:A,0))</f>
        <v/>
      </c>
      <c r="E1065" s="3">
        <f>INDEX(Raw_Schedule!E:E,MATCH(A1065,Raw_Schedule!A:A,0))</f>
        <v/>
      </c>
      <c r="F1065" s="3">
        <f>INDEX(Raw_Schedule!F:F,MATCH(A1065,Raw_Schedule!A:A,0))</f>
        <v/>
      </c>
      <c r="G1065" s="4">
        <f>INDEX(Raw_Schedule!G:G,MATCH(A1065,Raw_Schedule!A:A,0))</f>
        <v/>
      </c>
      <c r="H1065" s="5">
        <f>INDEX(Raw_Schedule!H:H,MATCH(A1065,Raw_Schedule!A:A,0))</f>
        <v/>
      </c>
      <c r="I1065" s="5">
        <f>SUMIFS(Raw_Payments!E:E,Raw_Payments!B:B,A1065)</f>
        <v/>
      </c>
      <c r="J1065" s="5">
        <f>H1065-I1065</f>
        <v/>
      </c>
      <c r="K1065" s="3">
        <f>IF(J1065&lt;=0.005,"PAID",IF(I1065&gt;0,"PARTIAL","OVERDUE"))</f>
        <v/>
      </c>
      <c r="L1065" s="4">
        <f>IF(COUNTIFS(Raw_Payments!B:B,A1065)=0,"",SUMPRODUCT(MAX((Raw_Payments!B$2:B$1079=A1065)*Raw_Payments!D$2:D$1079)))</f>
        <v/>
      </c>
      <c r="M1065" s="3">
        <f>IF(K1065="PAID",MAX(0,L1065-G1065),Guide!$B$3-G1065)</f>
        <v/>
      </c>
      <c r="N1065" s="3">
        <f>IF(J1065&lt;=0.005,"COLLECTED",IF(M1065&lt;=30,"1-30",IF(M1065&lt;=60,"31-60",IF(M1065&lt;=90,"61-90","90+"))))</f>
        <v/>
      </c>
      <c r="O1065" s="3">
        <f>IF(N1065="90+","LOST",IF(N1065="61-90","ESCALATE",IF(N1065="31-60","WATCH",IF(N1065="1-30","MILD","OK"))))</f>
        <v/>
      </c>
      <c r="P1065" s="3">
        <f>IF(J1065&gt;0.005,ROW()-1,"")</f>
        <v/>
      </c>
    </row>
    <row r="1066">
      <c r="A1066" s="3" t="inlineStr">
        <is>
          <t>D1065</t>
        </is>
      </c>
      <c r="B1066" s="3">
        <f>INDEX(Raw_Schedule!B:B,MATCH(A1066,Raw_Schedule!A:A,0))</f>
        <v/>
      </c>
      <c r="C1066" s="3">
        <f>INDEX(Raw_Schedule!C:C,MATCH(A1066,Raw_Schedule!A:A,0))</f>
        <v/>
      </c>
      <c r="D1066" s="3">
        <f>INDEX(Raw_Schedule!D:D,MATCH(A1066,Raw_Schedule!A:A,0))</f>
        <v/>
      </c>
      <c r="E1066" s="3">
        <f>INDEX(Raw_Schedule!E:E,MATCH(A1066,Raw_Schedule!A:A,0))</f>
        <v/>
      </c>
      <c r="F1066" s="3">
        <f>INDEX(Raw_Schedule!F:F,MATCH(A1066,Raw_Schedule!A:A,0))</f>
        <v/>
      </c>
      <c r="G1066" s="4">
        <f>INDEX(Raw_Schedule!G:G,MATCH(A1066,Raw_Schedule!A:A,0))</f>
        <v/>
      </c>
      <c r="H1066" s="5">
        <f>INDEX(Raw_Schedule!H:H,MATCH(A1066,Raw_Schedule!A:A,0))</f>
        <v/>
      </c>
      <c r="I1066" s="5">
        <f>SUMIFS(Raw_Payments!E:E,Raw_Payments!B:B,A1066)</f>
        <v/>
      </c>
      <c r="J1066" s="5">
        <f>H1066-I1066</f>
        <v/>
      </c>
      <c r="K1066" s="3">
        <f>IF(J1066&lt;=0.005,"PAID",IF(I1066&gt;0,"PARTIAL","OVERDUE"))</f>
        <v/>
      </c>
      <c r="L1066" s="4">
        <f>IF(COUNTIFS(Raw_Payments!B:B,A1066)=0,"",SUMPRODUCT(MAX((Raw_Payments!B$2:B$1079=A1066)*Raw_Payments!D$2:D$1079)))</f>
        <v/>
      </c>
      <c r="M1066" s="3">
        <f>IF(K1066="PAID",MAX(0,L1066-G1066),Guide!$B$3-G1066)</f>
        <v/>
      </c>
      <c r="N1066" s="3">
        <f>IF(J1066&lt;=0.005,"COLLECTED",IF(M1066&lt;=30,"1-30",IF(M1066&lt;=60,"31-60",IF(M1066&lt;=90,"61-90","90+"))))</f>
        <v/>
      </c>
      <c r="O1066" s="3">
        <f>IF(N1066="90+","LOST",IF(N1066="61-90","ESCALATE",IF(N1066="31-60","WATCH",IF(N1066="1-30","MILD","OK"))))</f>
        <v/>
      </c>
      <c r="P1066" s="3">
        <f>IF(J1066&gt;0.005,ROW()-1,"")</f>
        <v/>
      </c>
    </row>
    <row r="1067">
      <c r="A1067" s="3" t="inlineStr">
        <is>
          <t>D1066</t>
        </is>
      </c>
      <c r="B1067" s="3">
        <f>INDEX(Raw_Schedule!B:B,MATCH(A1067,Raw_Schedule!A:A,0))</f>
        <v/>
      </c>
      <c r="C1067" s="3">
        <f>INDEX(Raw_Schedule!C:C,MATCH(A1067,Raw_Schedule!A:A,0))</f>
        <v/>
      </c>
      <c r="D1067" s="3">
        <f>INDEX(Raw_Schedule!D:D,MATCH(A1067,Raw_Schedule!A:A,0))</f>
        <v/>
      </c>
      <c r="E1067" s="3">
        <f>INDEX(Raw_Schedule!E:E,MATCH(A1067,Raw_Schedule!A:A,0))</f>
        <v/>
      </c>
      <c r="F1067" s="3">
        <f>INDEX(Raw_Schedule!F:F,MATCH(A1067,Raw_Schedule!A:A,0))</f>
        <v/>
      </c>
      <c r="G1067" s="4">
        <f>INDEX(Raw_Schedule!G:G,MATCH(A1067,Raw_Schedule!A:A,0))</f>
        <v/>
      </c>
      <c r="H1067" s="5">
        <f>INDEX(Raw_Schedule!H:H,MATCH(A1067,Raw_Schedule!A:A,0))</f>
        <v/>
      </c>
      <c r="I1067" s="5">
        <f>SUMIFS(Raw_Payments!E:E,Raw_Payments!B:B,A1067)</f>
        <v/>
      </c>
      <c r="J1067" s="5">
        <f>H1067-I1067</f>
        <v/>
      </c>
      <c r="K1067" s="3">
        <f>IF(J1067&lt;=0.005,"PAID",IF(I1067&gt;0,"PARTIAL","OVERDUE"))</f>
        <v/>
      </c>
      <c r="L1067" s="4">
        <f>IF(COUNTIFS(Raw_Payments!B:B,A1067)=0,"",SUMPRODUCT(MAX((Raw_Payments!B$2:B$1079=A1067)*Raw_Payments!D$2:D$1079)))</f>
        <v/>
      </c>
      <c r="M1067" s="3">
        <f>IF(K1067="PAID",MAX(0,L1067-G1067),Guide!$B$3-G1067)</f>
        <v/>
      </c>
      <c r="N1067" s="3">
        <f>IF(J1067&lt;=0.005,"COLLECTED",IF(M1067&lt;=30,"1-30",IF(M1067&lt;=60,"31-60",IF(M1067&lt;=90,"61-90","90+"))))</f>
        <v/>
      </c>
      <c r="O1067" s="3">
        <f>IF(N1067="90+","LOST",IF(N1067="61-90","ESCALATE",IF(N1067="31-60","WATCH",IF(N1067="1-30","MILD","OK"))))</f>
        <v/>
      </c>
      <c r="P1067" s="3">
        <f>IF(J1067&gt;0.005,ROW()-1,"")</f>
        <v/>
      </c>
    </row>
    <row r="1068">
      <c r="A1068" s="3" t="inlineStr">
        <is>
          <t>D1067</t>
        </is>
      </c>
      <c r="B1068" s="3">
        <f>INDEX(Raw_Schedule!B:B,MATCH(A1068,Raw_Schedule!A:A,0))</f>
        <v/>
      </c>
      <c r="C1068" s="3">
        <f>INDEX(Raw_Schedule!C:C,MATCH(A1068,Raw_Schedule!A:A,0))</f>
        <v/>
      </c>
      <c r="D1068" s="3">
        <f>INDEX(Raw_Schedule!D:D,MATCH(A1068,Raw_Schedule!A:A,0))</f>
        <v/>
      </c>
      <c r="E1068" s="3">
        <f>INDEX(Raw_Schedule!E:E,MATCH(A1068,Raw_Schedule!A:A,0))</f>
        <v/>
      </c>
      <c r="F1068" s="3">
        <f>INDEX(Raw_Schedule!F:F,MATCH(A1068,Raw_Schedule!A:A,0))</f>
        <v/>
      </c>
      <c r="G1068" s="4">
        <f>INDEX(Raw_Schedule!G:G,MATCH(A1068,Raw_Schedule!A:A,0))</f>
        <v/>
      </c>
      <c r="H1068" s="5">
        <f>INDEX(Raw_Schedule!H:H,MATCH(A1068,Raw_Schedule!A:A,0))</f>
        <v/>
      </c>
      <c r="I1068" s="5">
        <f>SUMIFS(Raw_Payments!E:E,Raw_Payments!B:B,A1068)</f>
        <v/>
      </c>
      <c r="J1068" s="5">
        <f>H1068-I1068</f>
        <v/>
      </c>
      <c r="K1068" s="3">
        <f>IF(J1068&lt;=0.005,"PAID",IF(I1068&gt;0,"PARTIAL","OVERDUE"))</f>
        <v/>
      </c>
      <c r="L1068" s="4">
        <f>IF(COUNTIFS(Raw_Payments!B:B,A1068)=0,"",SUMPRODUCT(MAX((Raw_Payments!B$2:B$1079=A1068)*Raw_Payments!D$2:D$1079)))</f>
        <v/>
      </c>
      <c r="M1068" s="3">
        <f>IF(K1068="PAID",MAX(0,L1068-G1068),Guide!$B$3-G1068)</f>
        <v/>
      </c>
      <c r="N1068" s="3">
        <f>IF(J1068&lt;=0.005,"COLLECTED",IF(M1068&lt;=30,"1-30",IF(M1068&lt;=60,"31-60",IF(M1068&lt;=90,"61-90","90+"))))</f>
        <v/>
      </c>
      <c r="O1068" s="3">
        <f>IF(N1068="90+","LOST",IF(N1068="61-90","ESCALATE",IF(N1068="31-60","WATCH",IF(N1068="1-30","MILD","OK"))))</f>
        <v/>
      </c>
      <c r="P1068" s="3">
        <f>IF(J1068&gt;0.005,ROW()-1,"")</f>
        <v/>
      </c>
    </row>
    <row r="1069">
      <c r="A1069" s="3" t="inlineStr">
        <is>
          <t>D1068</t>
        </is>
      </c>
      <c r="B1069" s="3">
        <f>INDEX(Raw_Schedule!B:B,MATCH(A1069,Raw_Schedule!A:A,0))</f>
        <v/>
      </c>
      <c r="C1069" s="3">
        <f>INDEX(Raw_Schedule!C:C,MATCH(A1069,Raw_Schedule!A:A,0))</f>
        <v/>
      </c>
      <c r="D1069" s="3">
        <f>INDEX(Raw_Schedule!D:D,MATCH(A1069,Raw_Schedule!A:A,0))</f>
        <v/>
      </c>
      <c r="E1069" s="3">
        <f>INDEX(Raw_Schedule!E:E,MATCH(A1069,Raw_Schedule!A:A,0))</f>
        <v/>
      </c>
      <c r="F1069" s="3">
        <f>INDEX(Raw_Schedule!F:F,MATCH(A1069,Raw_Schedule!A:A,0))</f>
        <v/>
      </c>
      <c r="G1069" s="4">
        <f>INDEX(Raw_Schedule!G:G,MATCH(A1069,Raw_Schedule!A:A,0))</f>
        <v/>
      </c>
      <c r="H1069" s="5">
        <f>INDEX(Raw_Schedule!H:H,MATCH(A1069,Raw_Schedule!A:A,0))</f>
        <v/>
      </c>
      <c r="I1069" s="5">
        <f>SUMIFS(Raw_Payments!E:E,Raw_Payments!B:B,A1069)</f>
        <v/>
      </c>
      <c r="J1069" s="5">
        <f>H1069-I1069</f>
        <v/>
      </c>
      <c r="K1069" s="3">
        <f>IF(J1069&lt;=0.005,"PAID",IF(I1069&gt;0,"PARTIAL","OVERDUE"))</f>
        <v/>
      </c>
      <c r="L1069" s="4">
        <f>IF(COUNTIFS(Raw_Payments!B:B,A1069)=0,"",SUMPRODUCT(MAX((Raw_Payments!B$2:B$1079=A1069)*Raw_Payments!D$2:D$1079)))</f>
        <v/>
      </c>
      <c r="M1069" s="3">
        <f>IF(K1069="PAID",MAX(0,L1069-G1069),Guide!$B$3-G1069)</f>
        <v/>
      </c>
      <c r="N1069" s="3">
        <f>IF(J1069&lt;=0.005,"COLLECTED",IF(M1069&lt;=30,"1-30",IF(M1069&lt;=60,"31-60",IF(M1069&lt;=90,"61-90","90+"))))</f>
        <v/>
      </c>
      <c r="O1069" s="3">
        <f>IF(N1069="90+","LOST",IF(N1069="61-90","ESCALATE",IF(N1069="31-60","WATCH",IF(N1069="1-30","MILD","OK"))))</f>
        <v/>
      </c>
      <c r="P1069" s="3">
        <f>IF(J1069&gt;0.005,ROW()-1,"")</f>
        <v/>
      </c>
    </row>
    <row r="1070">
      <c r="A1070" s="3" t="inlineStr">
        <is>
          <t>D1069</t>
        </is>
      </c>
      <c r="B1070" s="3">
        <f>INDEX(Raw_Schedule!B:B,MATCH(A1070,Raw_Schedule!A:A,0))</f>
        <v/>
      </c>
      <c r="C1070" s="3">
        <f>INDEX(Raw_Schedule!C:C,MATCH(A1070,Raw_Schedule!A:A,0))</f>
        <v/>
      </c>
      <c r="D1070" s="3">
        <f>INDEX(Raw_Schedule!D:D,MATCH(A1070,Raw_Schedule!A:A,0))</f>
        <v/>
      </c>
      <c r="E1070" s="3">
        <f>INDEX(Raw_Schedule!E:E,MATCH(A1070,Raw_Schedule!A:A,0))</f>
        <v/>
      </c>
      <c r="F1070" s="3">
        <f>INDEX(Raw_Schedule!F:F,MATCH(A1070,Raw_Schedule!A:A,0))</f>
        <v/>
      </c>
      <c r="G1070" s="4">
        <f>INDEX(Raw_Schedule!G:G,MATCH(A1070,Raw_Schedule!A:A,0))</f>
        <v/>
      </c>
      <c r="H1070" s="5">
        <f>INDEX(Raw_Schedule!H:H,MATCH(A1070,Raw_Schedule!A:A,0))</f>
        <v/>
      </c>
      <c r="I1070" s="5">
        <f>SUMIFS(Raw_Payments!E:E,Raw_Payments!B:B,A1070)</f>
        <v/>
      </c>
      <c r="J1070" s="5">
        <f>H1070-I1070</f>
        <v/>
      </c>
      <c r="K1070" s="3">
        <f>IF(J1070&lt;=0.005,"PAID",IF(I1070&gt;0,"PARTIAL","OVERDUE"))</f>
        <v/>
      </c>
      <c r="L1070" s="4">
        <f>IF(COUNTIFS(Raw_Payments!B:B,A1070)=0,"",SUMPRODUCT(MAX((Raw_Payments!B$2:B$1079=A1070)*Raw_Payments!D$2:D$1079)))</f>
        <v/>
      </c>
      <c r="M1070" s="3">
        <f>IF(K1070="PAID",MAX(0,L1070-G1070),Guide!$B$3-G1070)</f>
        <v/>
      </c>
      <c r="N1070" s="3">
        <f>IF(J1070&lt;=0.005,"COLLECTED",IF(M1070&lt;=30,"1-30",IF(M1070&lt;=60,"31-60",IF(M1070&lt;=90,"61-90","90+"))))</f>
        <v/>
      </c>
      <c r="O1070" s="3">
        <f>IF(N1070="90+","LOST",IF(N1070="61-90","ESCALATE",IF(N1070="31-60","WATCH",IF(N1070="1-30","MILD","OK"))))</f>
        <v/>
      </c>
      <c r="P1070" s="3">
        <f>IF(J1070&gt;0.005,ROW()-1,"")</f>
        <v/>
      </c>
    </row>
    <row r="1071">
      <c r="A1071" s="3" t="inlineStr">
        <is>
          <t>D1070</t>
        </is>
      </c>
      <c r="B1071" s="3">
        <f>INDEX(Raw_Schedule!B:B,MATCH(A1071,Raw_Schedule!A:A,0))</f>
        <v/>
      </c>
      <c r="C1071" s="3">
        <f>INDEX(Raw_Schedule!C:C,MATCH(A1071,Raw_Schedule!A:A,0))</f>
        <v/>
      </c>
      <c r="D1071" s="3">
        <f>INDEX(Raw_Schedule!D:D,MATCH(A1071,Raw_Schedule!A:A,0))</f>
        <v/>
      </c>
      <c r="E1071" s="3">
        <f>INDEX(Raw_Schedule!E:E,MATCH(A1071,Raw_Schedule!A:A,0))</f>
        <v/>
      </c>
      <c r="F1071" s="3">
        <f>INDEX(Raw_Schedule!F:F,MATCH(A1071,Raw_Schedule!A:A,0))</f>
        <v/>
      </c>
      <c r="G1071" s="4">
        <f>INDEX(Raw_Schedule!G:G,MATCH(A1071,Raw_Schedule!A:A,0))</f>
        <v/>
      </c>
      <c r="H1071" s="5">
        <f>INDEX(Raw_Schedule!H:H,MATCH(A1071,Raw_Schedule!A:A,0))</f>
        <v/>
      </c>
      <c r="I1071" s="5">
        <f>SUMIFS(Raw_Payments!E:E,Raw_Payments!B:B,A1071)</f>
        <v/>
      </c>
      <c r="J1071" s="5">
        <f>H1071-I1071</f>
        <v/>
      </c>
      <c r="K1071" s="3">
        <f>IF(J1071&lt;=0.005,"PAID",IF(I1071&gt;0,"PARTIAL","OVERDUE"))</f>
        <v/>
      </c>
      <c r="L1071" s="4">
        <f>IF(COUNTIFS(Raw_Payments!B:B,A1071)=0,"",SUMPRODUCT(MAX((Raw_Payments!B$2:B$1079=A1071)*Raw_Payments!D$2:D$1079)))</f>
        <v/>
      </c>
      <c r="M1071" s="3">
        <f>IF(K1071="PAID",MAX(0,L1071-G1071),Guide!$B$3-G1071)</f>
        <v/>
      </c>
      <c r="N1071" s="3">
        <f>IF(J1071&lt;=0.005,"COLLECTED",IF(M1071&lt;=30,"1-30",IF(M1071&lt;=60,"31-60",IF(M1071&lt;=90,"61-90","90+"))))</f>
        <v/>
      </c>
      <c r="O1071" s="3">
        <f>IF(N1071="90+","LOST",IF(N1071="61-90","ESCALATE",IF(N1071="31-60","WATCH",IF(N1071="1-30","MILD","OK"))))</f>
        <v/>
      </c>
      <c r="P1071" s="3">
        <f>IF(J1071&gt;0.005,ROW()-1,"")</f>
        <v/>
      </c>
    </row>
    <row r="1072">
      <c r="A1072" s="3" t="inlineStr">
        <is>
          <t>D1071</t>
        </is>
      </c>
      <c r="B1072" s="3">
        <f>INDEX(Raw_Schedule!B:B,MATCH(A1072,Raw_Schedule!A:A,0))</f>
        <v/>
      </c>
      <c r="C1072" s="3">
        <f>INDEX(Raw_Schedule!C:C,MATCH(A1072,Raw_Schedule!A:A,0))</f>
        <v/>
      </c>
      <c r="D1072" s="3">
        <f>INDEX(Raw_Schedule!D:D,MATCH(A1072,Raw_Schedule!A:A,0))</f>
        <v/>
      </c>
      <c r="E1072" s="3">
        <f>INDEX(Raw_Schedule!E:E,MATCH(A1072,Raw_Schedule!A:A,0))</f>
        <v/>
      </c>
      <c r="F1072" s="3">
        <f>INDEX(Raw_Schedule!F:F,MATCH(A1072,Raw_Schedule!A:A,0))</f>
        <v/>
      </c>
      <c r="G1072" s="4">
        <f>INDEX(Raw_Schedule!G:G,MATCH(A1072,Raw_Schedule!A:A,0))</f>
        <v/>
      </c>
      <c r="H1072" s="5">
        <f>INDEX(Raw_Schedule!H:H,MATCH(A1072,Raw_Schedule!A:A,0))</f>
        <v/>
      </c>
      <c r="I1072" s="5">
        <f>SUMIFS(Raw_Payments!E:E,Raw_Payments!B:B,A1072)</f>
        <v/>
      </c>
      <c r="J1072" s="5">
        <f>H1072-I1072</f>
        <v/>
      </c>
      <c r="K1072" s="3">
        <f>IF(J1072&lt;=0.005,"PAID",IF(I1072&gt;0,"PARTIAL","OVERDUE"))</f>
        <v/>
      </c>
      <c r="L1072" s="4">
        <f>IF(COUNTIFS(Raw_Payments!B:B,A1072)=0,"",SUMPRODUCT(MAX((Raw_Payments!B$2:B$1079=A1072)*Raw_Payments!D$2:D$1079)))</f>
        <v/>
      </c>
      <c r="M1072" s="3">
        <f>IF(K1072="PAID",MAX(0,L1072-G1072),Guide!$B$3-G1072)</f>
        <v/>
      </c>
      <c r="N1072" s="3">
        <f>IF(J1072&lt;=0.005,"COLLECTED",IF(M1072&lt;=30,"1-30",IF(M1072&lt;=60,"31-60",IF(M1072&lt;=90,"61-90","90+"))))</f>
        <v/>
      </c>
      <c r="O1072" s="3">
        <f>IF(N1072="90+","LOST",IF(N1072="61-90","ESCALATE",IF(N1072="31-60","WATCH",IF(N1072="1-30","MILD","OK"))))</f>
        <v/>
      </c>
      <c r="P1072" s="3">
        <f>IF(J1072&gt;0.005,ROW()-1,"")</f>
        <v/>
      </c>
    </row>
    <row r="1073">
      <c r="A1073" s="3" t="inlineStr">
        <is>
          <t>D1072</t>
        </is>
      </c>
      <c r="B1073" s="3">
        <f>INDEX(Raw_Schedule!B:B,MATCH(A1073,Raw_Schedule!A:A,0))</f>
        <v/>
      </c>
      <c r="C1073" s="3">
        <f>INDEX(Raw_Schedule!C:C,MATCH(A1073,Raw_Schedule!A:A,0))</f>
        <v/>
      </c>
      <c r="D1073" s="3">
        <f>INDEX(Raw_Schedule!D:D,MATCH(A1073,Raw_Schedule!A:A,0))</f>
        <v/>
      </c>
      <c r="E1073" s="3">
        <f>INDEX(Raw_Schedule!E:E,MATCH(A1073,Raw_Schedule!A:A,0))</f>
        <v/>
      </c>
      <c r="F1073" s="3">
        <f>INDEX(Raw_Schedule!F:F,MATCH(A1073,Raw_Schedule!A:A,0))</f>
        <v/>
      </c>
      <c r="G1073" s="4">
        <f>INDEX(Raw_Schedule!G:G,MATCH(A1073,Raw_Schedule!A:A,0))</f>
        <v/>
      </c>
      <c r="H1073" s="5">
        <f>INDEX(Raw_Schedule!H:H,MATCH(A1073,Raw_Schedule!A:A,0))</f>
        <v/>
      </c>
      <c r="I1073" s="5">
        <f>SUMIFS(Raw_Payments!E:E,Raw_Payments!B:B,A1073)</f>
        <v/>
      </c>
      <c r="J1073" s="5">
        <f>H1073-I1073</f>
        <v/>
      </c>
      <c r="K1073" s="3">
        <f>IF(J1073&lt;=0.005,"PAID",IF(I1073&gt;0,"PARTIAL","OVERDUE"))</f>
        <v/>
      </c>
      <c r="L1073" s="4">
        <f>IF(COUNTIFS(Raw_Payments!B:B,A1073)=0,"",SUMPRODUCT(MAX((Raw_Payments!B$2:B$1079=A1073)*Raw_Payments!D$2:D$1079)))</f>
        <v/>
      </c>
      <c r="M1073" s="3">
        <f>IF(K1073="PAID",MAX(0,L1073-G1073),Guide!$B$3-G1073)</f>
        <v/>
      </c>
      <c r="N1073" s="3">
        <f>IF(J1073&lt;=0.005,"COLLECTED",IF(M1073&lt;=30,"1-30",IF(M1073&lt;=60,"31-60",IF(M1073&lt;=90,"61-90","90+"))))</f>
        <v/>
      </c>
      <c r="O1073" s="3">
        <f>IF(N1073="90+","LOST",IF(N1073="61-90","ESCALATE",IF(N1073="31-60","WATCH",IF(N1073="1-30","MILD","OK"))))</f>
        <v/>
      </c>
      <c r="P1073" s="3">
        <f>IF(J1073&gt;0.005,ROW()-1,"")</f>
        <v/>
      </c>
    </row>
    <row r="1074">
      <c r="A1074" s="3" t="inlineStr">
        <is>
          <t>D1073</t>
        </is>
      </c>
      <c r="B1074" s="3">
        <f>INDEX(Raw_Schedule!B:B,MATCH(A1074,Raw_Schedule!A:A,0))</f>
        <v/>
      </c>
      <c r="C1074" s="3">
        <f>INDEX(Raw_Schedule!C:C,MATCH(A1074,Raw_Schedule!A:A,0))</f>
        <v/>
      </c>
      <c r="D1074" s="3">
        <f>INDEX(Raw_Schedule!D:D,MATCH(A1074,Raw_Schedule!A:A,0))</f>
        <v/>
      </c>
      <c r="E1074" s="3">
        <f>INDEX(Raw_Schedule!E:E,MATCH(A1074,Raw_Schedule!A:A,0))</f>
        <v/>
      </c>
      <c r="F1074" s="3">
        <f>INDEX(Raw_Schedule!F:F,MATCH(A1074,Raw_Schedule!A:A,0))</f>
        <v/>
      </c>
      <c r="G1074" s="4">
        <f>INDEX(Raw_Schedule!G:G,MATCH(A1074,Raw_Schedule!A:A,0))</f>
        <v/>
      </c>
      <c r="H1074" s="5">
        <f>INDEX(Raw_Schedule!H:H,MATCH(A1074,Raw_Schedule!A:A,0))</f>
        <v/>
      </c>
      <c r="I1074" s="5">
        <f>SUMIFS(Raw_Payments!E:E,Raw_Payments!B:B,A1074)</f>
        <v/>
      </c>
      <c r="J1074" s="5">
        <f>H1074-I1074</f>
        <v/>
      </c>
      <c r="K1074" s="3">
        <f>IF(J1074&lt;=0.005,"PAID",IF(I1074&gt;0,"PARTIAL","OVERDUE"))</f>
        <v/>
      </c>
      <c r="L1074" s="4">
        <f>IF(COUNTIFS(Raw_Payments!B:B,A1074)=0,"",SUMPRODUCT(MAX((Raw_Payments!B$2:B$1079=A1074)*Raw_Payments!D$2:D$1079)))</f>
        <v/>
      </c>
      <c r="M1074" s="3">
        <f>IF(K1074="PAID",MAX(0,L1074-G1074),Guide!$B$3-G1074)</f>
        <v/>
      </c>
      <c r="N1074" s="3">
        <f>IF(J1074&lt;=0.005,"COLLECTED",IF(M1074&lt;=30,"1-30",IF(M1074&lt;=60,"31-60",IF(M1074&lt;=90,"61-90","90+"))))</f>
        <v/>
      </c>
      <c r="O1074" s="3">
        <f>IF(N1074="90+","LOST",IF(N1074="61-90","ESCALATE",IF(N1074="31-60","WATCH",IF(N1074="1-30","MILD","OK"))))</f>
        <v/>
      </c>
      <c r="P1074" s="3">
        <f>IF(J1074&gt;0.005,ROW()-1,"")</f>
        <v/>
      </c>
    </row>
    <row r="1075">
      <c r="A1075" s="3" t="inlineStr">
        <is>
          <t>D1074</t>
        </is>
      </c>
      <c r="B1075" s="3">
        <f>INDEX(Raw_Schedule!B:B,MATCH(A1075,Raw_Schedule!A:A,0))</f>
        <v/>
      </c>
      <c r="C1075" s="3">
        <f>INDEX(Raw_Schedule!C:C,MATCH(A1075,Raw_Schedule!A:A,0))</f>
        <v/>
      </c>
      <c r="D1075" s="3">
        <f>INDEX(Raw_Schedule!D:D,MATCH(A1075,Raw_Schedule!A:A,0))</f>
        <v/>
      </c>
      <c r="E1075" s="3">
        <f>INDEX(Raw_Schedule!E:E,MATCH(A1075,Raw_Schedule!A:A,0))</f>
        <v/>
      </c>
      <c r="F1075" s="3">
        <f>INDEX(Raw_Schedule!F:F,MATCH(A1075,Raw_Schedule!A:A,0))</f>
        <v/>
      </c>
      <c r="G1075" s="4">
        <f>INDEX(Raw_Schedule!G:G,MATCH(A1075,Raw_Schedule!A:A,0))</f>
        <v/>
      </c>
      <c r="H1075" s="5">
        <f>INDEX(Raw_Schedule!H:H,MATCH(A1075,Raw_Schedule!A:A,0))</f>
        <v/>
      </c>
      <c r="I1075" s="5">
        <f>SUMIFS(Raw_Payments!E:E,Raw_Payments!B:B,A1075)</f>
        <v/>
      </c>
      <c r="J1075" s="5">
        <f>H1075-I1075</f>
        <v/>
      </c>
      <c r="K1075" s="3">
        <f>IF(J1075&lt;=0.005,"PAID",IF(I1075&gt;0,"PARTIAL","OVERDUE"))</f>
        <v/>
      </c>
      <c r="L1075" s="4">
        <f>IF(COUNTIFS(Raw_Payments!B:B,A1075)=0,"",SUMPRODUCT(MAX((Raw_Payments!B$2:B$1079=A1075)*Raw_Payments!D$2:D$1079)))</f>
        <v/>
      </c>
      <c r="M1075" s="3">
        <f>IF(K1075="PAID",MAX(0,L1075-G1075),Guide!$B$3-G1075)</f>
        <v/>
      </c>
      <c r="N1075" s="3">
        <f>IF(J1075&lt;=0.005,"COLLECTED",IF(M1075&lt;=30,"1-30",IF(M1075&lt;=60,"31-60",IF(M1075&lt;=90,"61-90","90+"))))</f>
        <v/>
      </c>
      <c r="O1075" s="3">
        <f>IF(N1075="90+","LOST",IF(N1075="61-90","ESCALATE",IF(N1075="31-60","WATCH",IF(N1075="1-30","MILD","OK"))))</f>
        <v/>
      </c>
      <c r="P1075" s="3">
        <f>IF(J1075&gt;0.005,ROW()-1,"")</f>
        <v/>
      </c>
    </row>
    <row r="1076">
      <c r="A1076" s="3" t="inlineStr">
        <is>
          <t>D1075</t>
        </is>
      </c>
      <c r="B1076" s="3">
        <f>INDEX(Raw_Schedule!B:B,MATCH(A1076,Raw_Schedule!A:A,0))</f>
        <v/>
      </c>
      <c r="C1076" s="3">
        <f>INDEX(Raw_Schedule!C:C,MATCH(A1076,Raw_Schedule!A:A,0))</f>
        <v/>
      </c>
      <c r="D1076" s="3">
        <f>INDEX(Raw_Schedule!D:D,MATCH(A1076,Raw_Schedule!A:A,0))</f>
        <v/>
      </c>
      <c r="E1076" s="3">
        <f>INDEX(Raw_Schedule!E:E,MATCH(A1076,Raw_Schedule!A:A,0))</f>
        <v/>
      </c>
      <c r="F1076" s="3">
        <f>INDEX(Raw_Schedule!F:F,MATCH(A1076,Raw_Schedule!A:A,0))</f>
        <v/>
      </c>
      <c r="G1076" s="4">
        <f>INDEX(Raw_Schedule!G:G,MATCH(A1076,Raw_Schedule!A:A,0))</f>
        <v/>
      </c>
      <c r="H1076" s="5">
        <f>INDEX(Raw_Schedule!H:H,MATCH(A1076,Raw_Schedule!A:A,0))</f>
        <v/>
      </c>
      <c r="I1076" s="5">
        <f>SUMIFS(Raw_Payments!E:E,Raw_Payments!B:B,A1076)</f>
        <v/>
      </c>
      <c r="J1076" s="5">
        <f>H1076-I1076</f>
        <v/>
      </c>
      <c r="K1076" s="3">
        <f>IF(J1076&lt;=0.005,"PAID",IF(I1076&gt;0,"PARTIAL","OVERDUE"))</f>
        <v/>
      </c>
      <c r="L1076" s="4">
        <f>IF(COUNTIFS(Raw_Payments!B:B,A1076)=0,"",SUMPRODUCT(MAX((Raw_Payments!B$2:B$1079=A1076)*Raw_Payments!D$2:D$1079)))</f>
        <v/>
      </c>
      <c r="M1076" s="3">
        <f>IF(K1076="PAID",MAX(0,L1076-G1076),Guide!$B$3-G1076)</f>
        <v/>
      </c>
      <c r="N1076" s="3">
        <f>IF(J1076&lt;=0.005,"COLLECTED",IF(M1076&lt;=30,"1-30",IF(M1076&lt;=60,"31-60",IF(M1076&lt;=90,"61-90","90+"))))</f>
        <v/>
      </c>
      <c r="O1076" s="3">
        <f>IF(N1076="90+","LOST",IF(N1076="61-90","ESCALATE",IF(N1076="31-60","WATCH",IF(N1076="1-30","MILD","OK"))))</f>
        <v/>
      </c>
      <c r="P1076" s="3">
        <f>IF(J1076&gt;0.005,ROW()-1,"")</f>
        <v/>
      </c>
    </row>
    <row r="1077">
      <c r="A1077" s="3" t="inlineStr">
        <is>
          <t>D1076</t>
        </is>
      </c>
      <c r="B1077" s="3">
        <f>INDEX(Raw_Schedule!B:B,MATCH(A1077,Raw_Schedule!A:A,0))</f>
        <v/>
      </c>
      <c r="C1077" s="3">
        <f>INDEX(Raw_Schedule!C:C,MATCH(A1077,Raw_Schedule!A:A,0))</f>
        <v/>
      </c>
      <c r="D1077" s="3">
        <f>INDEX(Raw_Schedule!D:D,MATCH(A1077,Raw_Schedule!A:A,0))</f>
        <v/>
      </c>
      <c r="E1077" s="3">
        <f>INDEX(Raw_Schedule!E:E,MATCH(A1077,Raw_Schedule!A:A,0))</f>
        <v/>
      </c>
      <c r="F1077" s="3">
        <f>INDEX(Raw_Schedule!F:F,MATCH(A1077,Raw_Schedule!A:A,0))</f>
        <v/>
      </c>
      <c r="G1077" s="4">
        <f>INDEX(Raw_Schedule!G:G,MATCH(A1077,Raw_Schedule!A:A,0))</f>
        <v/>
      </c>
      <c r="H1077" s="5">
        <f>INDEX(Raw_Schedule!H:H,MATCH(A1077,Raw_Schedule!A:A,0))</f>
        <v/>
      </c>
      <c r="I1077" s="5">
        <f>SUMIFS(Raw_Payments!E:E,Raw_Payments!B:B,A1077)</f>
        <v/>
      </c>
      <c r="J1077" s="5">
        <f>H1077-I1077</f>
        <v/>
      </c>
      <c r="K1077" s="3">
        <f>IF(J1077&lt;=0.005,"PAID",IF(I1077&gt;0,"PARTIAL","OVERDUE"))</f>
        <v/>
      </c>
      <c r="L1077" s="4">
        <f>IF(COUNTIFS(Raw_Payments!B:B,A1077)=0,"",SUMPRODUCT(MAX((Raw_Payments!B$2:B$1079=A1077)*Raw_Payments!D$2:D$1079)))</f>
        <v/>
      </c>
      <c r="M1077" s="3">
        <f>IF(K1077="PAID",MAX(0,L1077-G1077),Guide!$B$3-G1077)</f>
        <v/>
      </c>
      <c r="N1077" s="3">
        <f>IF(J1077&lt;=0.005,"COLLECTED",IF(M1077&lt;=30,"1-30",IF(M1077&lt;=60,"31-60",IF(M1077&lt;=90,"61-90","90+"))))</f>
        <v/>
      </c>
      <c r="O1077" s="3">
        <f>IF(N1077="90+","LOST",IF(N1077="61-90","ESCALATE",IF(N1077="31-60","WATCH",IF(N1077="1-30","MILD","OK"))))</f>
        <v/>
      </c>
      <c r="P1077" s="3">
        <f>IF(J1077&gt;0.005,ROW()-1,"")</f>
        <v/>
      </c>
    </row>
    <row r="1078">
      <c r="A1078" s="3" t="inlineStr">
        <is>
          <t>D1077</t>
        </is>
      </c>
      <c r="B1078" s="3">
        <f>INDEX(Raw_Schedule!B:B,MATCH(A1078,Raw_Schedule!A:A,0))</f>
        <v/>
      </c>
      <c r="C1078" s="3">
        <f>INDEX(Raw_Schedule!C:C,MATCH(A1078,Raw_Schedule!A:A,0))</f>
        <v/>
      </c>
      <c r="D1078" s="3">
        <f>INDEX(Raw_Schedule!D:D,MATCH(A1078,Raw_Schedule!A:A,0))</f>
        <v/>
      </c>
      <c r="E1078" s="3">
        <f>INDEX(Raw_Schedule!E:E,MATCH(A1078,Raw_Schedule!A:A,0))</f>
        <v/>
      </c>
      <c r="F1078" s="3">
        <f>INDEX(Raw_Schedule!F:F,MATCH(A1078,Raw_Schedule!A:A,0))</f>
        <v/>
      </c>
      <c r="G1078" s="4">
        <f>INDEX(Raw_Schedule!G:G,MATCH(A1078,Raw_Schedule!A:A,0))</f>
        <v/>
      </c>
      <c r="H1078" s="5">
        <f>INDEX(Raw_Schedule!H:H,MATCH(A1078,Raw_Schedule!A:A,0))</f>
        <v/>
      </c>
      <c r="I1078" s="5">
        <f>SUMIFS(Raw_Payments!E:E,Raw_Payments!B:B,A1078)</f>
        <v/>
      </c>
      <c r="J1078" s="5">
        <f>H1078-I1078</f>
        <v/>
      </c>
      <c r="K1078" s="3">
        <f>IF(J1078&lt;=0.005,"PAID",IF(I1078&gt;0,"PARTIAL","OVERDUE"))</f>
        <v/>
      </c>
      <c r="L1078" s="4">
        <f>IF(COUNTIFS(Raw_Payments!B:B,A1078)=0,"",SUMPRODUCT(MAX((Raw_Payments!B$2:B$1079=A1078)*Raw_Payments!D$2:D$1079)))</f>
        <v/>
      </c>
      <c r="M1078" s="3">
        <f>IF(K1078="PAID",MAX(0,L1078-G1078),Guide!$B$3-G1078)</f>
        <v/>
      </c>
      <c r="N1078" s="3">
        <f>IF(J1078&lt;=0.005,"COLLECTED",IF(M1078&lt;=30,"1-30",IF(M1078&lt;=60,"31-60",IF(M1078&lt;=90,"61-90","90+"))))</f>
        <v/>
      </c>
      <c r="O1078" s="3">
        <f>IF(N1078="90+","LOST",IF(N1078="61-90","ESCALATE",IF(N1078="31-60","WATCH",IF(N1078="1-30","MILD","OK"))))</f>
        <v/>
      </c>
      <c r="P1078" s="3">
        <f>IF(J1078&gt;0.005,ROW()-1,"")</f>
        <v/>
      </c>
    </row>
    <row r="1079">
      <c r="A1079" s="3" t="inlineStr">
        <is>
          <t>D1078</t>
        </is>
      </c>
      <c r="B1079" s="3">
        <f>INDEX(Raw_Schedule!B:B,MATCH(A1079,Raw_Schedule!A:A,0))</f>
        <v/>
      </c>
      <c r="C1079" s="3">
        <f>INDEX(Raw_Schedule!C:C,MATCH(A1079,Raw_Schedule!A:A,0))</f>
        <v/>
      </c>
      <c r="D1079" s="3">
        <f>INDEX(Raw_Schedule!D:D,MATCH(A1079,Raw_Schedule!A:A,0))</f>
        <v/>
      </c>
      <c r="E1079" s="3">
        <f>INDEX(Raw_Schedule!E:E,MATCH(A1079,Raw_Schedule!A:A,0))</f>
        <v/>
      </c>
      <c r="F1079" s="3">
        <f>INDEX(Raw_Schedule!F:F,MATCH(A1079,Raw_Schedule!A:A,0))</f>
        <v/>
      </c>
      <c r="G1079" s="4">
        <f>INDEX(Raw_Schedule!G:G,MATCH(A1079,Raw_Schedule!A:A,0))</f>
        <v/>
      </c>
      <c r="H1079" s="5">
        <f>INDEX(Raw_Schedule!H:H,MATCH(A1079,Raw_Schedule!A:A,0))</f>
        <v/>
      </c>
      <c r="I1079" s="5">
        <f>SUMIFS(Raw_Payments!E:E,Raw_Payments!B:B,A1079)</f>
        <v/>
      </c>
      <c r="J1079" s="5">
        <f>H1079-I1079</f>
        <v/>
      </c>
      <c r="K1079" s="3">
        <f>IF(J1079&lt;=0.005,"PAID",IF(I1079&gt;0,"PARTIAL","OVERDUE"))</f>
        <v/>
      </c>
      <c r="L1079" s="4">
        <f>IF(COUNTIFS(Raw_Payments!B:B,A1079)=0,"",SUMPRODUCT(MAX((Raw_Payments!B$2:B$1079=A1079)*Raw_Payments!D$2:D$1079)))</f>
        <v/>
      </c>
      <c r="M1079" s="3">
        <f>IF(K1079="PAID",MAX(0,L1079-G1079),Guide!$B$3-G1079)</f>
        <v/>
      </c>
      <c r="N1079" s="3">
        <f>IF(J1079&lt;=0.005,"COLLECTED",IF(M1079&lt;=30,"1-30",IF(M1079&lt;=60,"31-60",IF(M1079&lt;=90,"61-90","90+"))))</f>
        <v/>
      </c>
      <c r="O1079" s="3">
        <f>IF(N1079="90+","LOST",IF(N1079="61-90","ESCALATE",IF(N1079="31-60","WATCH",IF(N1079="1-30","MILD","OK"))))</f>
        <v/>
      </c>
      <c r="P1079" s="3">
        <f>IF(J1079&gt;0.005,ROW()-1,"")</f>
        <v/>
      </c>
    </row>
    <row r="1080">
      <c r="A1080" s="3" t="inlineStr">
        <is>
          <t>D1079</t>
        </is>
      </c>
      <c r="B1080" s="3">
        <f>INDEX(Raw_Schedule!B:B,MATCH(A1080,Raw_Schedule!A:A,0))</f>
        <v/>
      </c>
      <c r="C1080" s="3">
        <f>INDEX(Raw_Schedule!C:C,MATCH(A1080,Raw_Schedule!A:A,0))</f>
        <v/>
      </c>
      <c r="D1080" s="3">
        <f>INDEX(Raw_Schedule!D:D,MATCH(A1080,Raw_Schedule!A:A,0))</f>
        <v/>
      </c>
      <c r="E1080" s="3">
        <f>INDEX(Raw_Schedule!E:E,MATCH(A1080,Raw_Schedule!A:A,0))</f>
        <v/>
      </c>
      <c r="F1080" s="3">
        <f>INDEX(Raw_Schedule!F:F,MATCH(A1080,Raw_Schedule!A:A,0))</f>
        <v/>
      </c>
      <c r="G1080" s="4">
        <f>INDEX(Raw_Schedule!G:G,MATCH(A1080,Raw_Schedule!A:A,0))</f>
        <v/>
      </c>
      <c r="H1080" s="5">
        <f>INDEX(Raw_Schedule!H:H,MATCH(A1080,Raw_Schedule!A:A,0))</f>
        <v/>
      </c>
      <c r="I1080" s="5">
        <f>SUMIFS(Raw_Payments!E:E,Raw_Payments!B:B,A1080)</f>
        <v/>
      </c>
      <c r="J1080" s="5">
        <f>H1080-I1080</f>
        <v/>
      </c>
      <c r="K1080" s="3">
        <f>IF(J1080&lt;=0.005,"PAID",IF(I1080&gt;0,"PARTIAL","OVERDUE"))</f>
        <v/>
      </c>
      <c r="L1080" s="4">
        <f>IF(COUNTIFS(Raw_Payments!B:B,A1080)=0,"",SUMPRODUCT(MAX((Raw_Payments!B$2:B$1079=A1080)*Raw_Payments!D$2:D$1079)))</f>
        <v/>
      </c>
      <c r="M1080" s="3">
        <f>IF(K1080="PAID",MAX(0,L1080-G1080),Guide!$B$3-G1080)</f>
        <v/>
      </c>
      <c r="N1080" s="3">
        <f>IF(J1080&lt;=0.005,"COLLECTED",IF(M1080&lt;=30,"1-30",IF(M1080&lt;=60,"31-60",IF(M1080&lt;=90,"61-90","90+"))))</f>
        <v/>
      </c>
      <c r="O1080" s="3">
        <f>IF(N1080="90+","LOST",IF(N1080="61-90","ESCALATE",IF(N1080="31-60","WATCH",IF(N1080="1-30","MILD","OK"))))</f>
        <v/>
      </c>
      <c r="P1080" s="3">
        <f>IF(J1080&gt;0.005,ROW()-1,"")</f>
        <v/>
      </c>
    </row>
    <row r="1081">
      <c r="A1081" s="3" t="inlineStr">
        <is>
          <t>D1080</t>
        </is>
      </c>
      <c r="B1081" s="3">
        <f>INDEX(Raw_Schedule!B:B,MATCH(A1081,Raw_Schedule!A:A,0))</f>
        <v/>
      </c>
      <c r="C1081" s="3">
        <f>INDEX(Raw_Schedule!C:C,MATCH(A1081,Raw_Schedule!A:A,0))</f>
        <v/>
      </c>
      <c r="D1081" s="3">
        <f>INDEX(Raw_Schedule!D:D,MATCH(A1081,Raw_Schedule!A:A,0))</f>
        <v/>
      </c>
      <c r="E1081" s="3">
        <f>INDEX(Raw_Schedule!E:E,MATCH(A1081,Raw_Schedule!A:A,0))</f>
        <v/>
      </c>
      <c r="F1081" s="3">
        <f>INDEX(Raw_Schedule!F:F,MATCH(A1081,Raw_Schedule!A:A,0))</f>
        <v/>
      </c>
      <c r="G1081" s="4">
        <f>INDEX(Raw_Schedule!G:G,MATCH(A1081,Raw_Schedule!A:A,0))</f>
        <v/>
      </c>
      <c r="H1081" s="5">
        <f>INDEX(Raw_Schedule!H:H,MATCH(A1081,Raw_Schedule!A:A,0))</f>
        <v/>
      </c>
      <c r="I1081" s="5">
        <f>SUMIFS(Raw_Payments!E:E,Raw_Payments!B:B,A1081)</f>
        <v/>
      </c>
      <c r="J1081" s="5">
        <f>H1081-I1081</f>
        <v/>
      </c>
      <c r="K1081" s="3">
        <f>IF(J1081&lt;=0.005,"PAID",IF(I1081&gt;0,"PARTIAL","OVERDUE"))</f>
        <v/>
      </c>
      <c r="L1081" s="4">
        <f>IF(COUNTIFS(Raw_Payments!B:B,A1081)=0,"",SUMPRODUCT(MAX((Raw_Payments!B$2:B$1079=A1081)*Raw_Payments!D$2:D$1079)))</f>
        <v/>
      </c>
      <c r="M1081" s="3">
        <f>IF(K1081="PAID",MAX(0,L1081-G1081),Guide!$B$3-G1081)</f>
        <v/>
      </c>
      <c r="N1081" s="3">
        <f>IF(J1081&lt;=0.005,"COLLECTED",IF(M1081&lt;=30,"1-30",IF(M1081&lt;=60,"31-60",IF(M1081&lt;=90,"61-90","90+"))))</f>
        <v/>
      </c>
      <c r="O1081" s="3">
        <f>IF(N1081="90+","LOST",IF(N1081="61-90","ESCALATE",IF(N1081="31-60","WATCH",IF(N1081="1-30","MILD","OK"))))</f>
        <v/>
      </c>
      <c r="P1081" s="3">
        <f>IF(J1081&gt;0.005,ROW()-1,"")</f>
        <v/>
      </c>
    </row>
    <row r="1082">
      <c r="A1082" s="3" t="inlineStr">
        <is>
          <t>D1081</t>
        </is>
      </c>
      <c r="B1082" s="3">
        <f>INDEX(Raw_Schedule!B:B,MATCH(A1082,Raw_Schedule!A:A,0))</f>
        <v/>
      </c>
      <c r="C1082" s="3">
        <f>INDEX(Raw_Schedule!C:C,MATCH(A1082,Raw_Schedule!A:A,0))</f>
        <v/>
      </c>
      <c r="D1082" s="3">
        <f>INDEX(Raw_Schedule!D:D,MATCH(A1082,Raw_Schedule!A:A,0))</f>
        <v/>
      </c>
      <c r="E1082" s="3">
        <f>INDEX(Raw_Schedule!E:E,MATCH(A1082,Raw_Schedule!A:A,0))</f>
        <v/>
      </c>
      <c r="F1082" s="3">
        <f>INDEX(Raw_Schedule!F:F,MATCH(A1082,Raw_Schedule!A:A,0))</f>
        <v/>
      </c>
      <c r="G1082" s="4">
        <f>INDEX(Raw_Schedule!G:G,MATCH(A1082,Raw_Schedule!A:A,0))</f>
        <v/>
      </c>
      <c r="H1082" s="5">
        <f>INDEX(Raw_Schedule!H:H,MATCH(A1082,Raw_Schedule!A:A,0))</f>
        <v/>
      </c>
      <c r="I1082" s="5">
        <f>SUMIFS(Raw_Payments!E:E,Raw_Payments!B:B,A1082)</f>
        <v/>
      </c>
      <c r="J1082" s="5">
        <f>H1082-I1082</f>
        <v/>
      </c>
      <c r="K1082" s="3">
        <f>IF(J1082&lt;=0.005,"PAID",IF(I1082&gt;0,"PARTIAL","OVERDUE"))</f>
        <v/>
      </c>
      <c r="L1082" s="4">
        <f>IF(COUNTIFS(Raw_Payments!B:B,A1082)=0,"",SUMPRODUCT(MAX((Raw_Payments!B$2:B$1079=A1082)*Raw_Payments!D$2:D$1079)))</f>
        <v/>
      </c>
      <c r="M1082" s="3">
        <f>IF(K1082="PAID",MAX(0,L1082-G1082),Guide!$B$3-G1082)</f>
        <v/>
      </c>
      <c r="N1082" s="3">
        <f>IF(J1082&lt;=0.005,"COLLECTED",IF(M1082&lt;=30,"1-30",IF(M1082&lt;=60,"31-60",IF(M1082&lt;=90,"61-90","90+"))))</f>
        <v/>
      </c>
      <c r="O1082" s="3">
        <f>IF(N1082="90+","LOST",IF(N1082="61-90","ESCALATE",IF(N1082="31-60","WATCH",IF(N1082="1-30","MILD","OK"))))</f>
        <v/>
      </c>
      <c r="P1082" s="3">
        <f>IF(J1082&gt;0.005,ROW()-1,"")</f>
        <v/>
      </c>
    </row>
    <row r="1083">
      <c r="A1083" s="3" t="inlineStr">
        <is>
          <t>D1082</t>
        </is>
      </c>
      <c r="B1083" s="3">
        <f>INDEX(Raw_Schedule!B:B,MATCH(A1083,Raw_Schedule!A:A,0))</f>
        <v/>
      </c>
      <c r="C1083" s="3">
        <f>INDEX(Raw_Schedule!C:C,MATCH(A1083,Raw_Schedule!A:A,0))</f>
        <v/>
      </c>
      <c r="D1083" s="3">
        <f>INDEX(Raw_Schedule!D:D,MATCH(A1083,Raw_Schedule!A:A,0))</f>
        <v/>
      </c>
      <c r="E1083" s="3">
        <f>INDEX(Raw_Schedule!E:E,MATCH(A1083,Raw_Schedule!A:A,0))</f>
        <v/>
      </c>
      <c r="F1083" s="3">
        <f>INDEX(Raw_Schedule!F:F,MATCH(A1083,Raw_Schedule!A:A,0))</f>
        <v/>
      </c>
      <c r="G1083" s="4">
        <f>INDEX(Raw_Schedule!G:G,MATCH(A1083,Raw_Schedule!A:A,0))</f>
        <v/>
      </c>
      <c r="H1083" s="5">
        <f>INDEX(Raw_Schedule!H:H,MATCH(A1083,Raw_Schedule!A:A,0))</f>
        <v/>
      </c>
      <c r="I1083" s="5">
        <f>SUMIFS(Raw_Payments!E:E,Raw_Payments!B:B,A1083)</f>
        <v/>
      </c>
      <c r="J1083" s="5">
        <f>H1083-I1083</f>
        <v/>
      </c>
      <c r="K1083" s="3">
        <f>IF(J1083&lt;=0.005,"PAID",IF(I1083&gt;0,"PARTIAL","OVERDUE"))</f>
        <v/>
      </c>
      <c r="L1083" s="4">
        <f>IF(COUNTIFS(Raw_Payments!B:B,A1083)=0,"",SUMPRODUCT(MAX((Raw_Payments!B$2:B$1079=A1083)*Raw_Payments!D$2:D$1079)))</f>
        <v/>
      </c>
      <c r="M1083" s="3">
        <f>IF(K1083="PAID",MAX(0,L1083-G1083),Guide!$B$3-G1083)</f>
        <v/>
      </c>
      <c r="N1083" s="3">
        <f>IF(J1083&lt;=0.005,"COLLECTED",IF(M1083&lt;=30,"1-30",IF(M1083&lt;=60,"31-60",IF(M1083&lt;=90,"61-90","90+"))))</f>
        <v/>
      </c>
      <c r="O1083" s="3">
        <f>IF(N1083="90+","LOST",IF(N1083="61-90","ESCALATE",IF(N1083="31-60","WATCH",IF(N1083="1-30","MILD","OK"))))</f>
        <v/>
      </c>
      <c r="P1083" s="3">
        <f>IF(J1083&gt;0.005,ROW()-1,"")</f>
        <v/>
      </c>
    </row>
    <row r="1084">
      <c r="A1084" s="3" t="inlineStr">
        <is>
          <t>D1083</t>
        </is>
      </c>
      <c r="B1084" s="3">
        <f>INDEX(Raw_Schedule!B:B,MATCH(A1084,Raw_Schedule!A:A,0))</f>
        <v/>
      </c>
      <c r="C1084" s="3">
        <f>INDEX(Raw_Schedule!C:C,MATCH(A1084,Raw_Schedule!A:A,0))</f>
        <v/>
      </c>
      <c r="D1084" s="3">
        <f>INDEX(Raw_Schedule!D:D,MATCH(A1084,Raw_Schedule!A:A,0))</f>
        <v/>
      </c>
      <c r="E1084" s="3">
        <f>INDEX(Raw_Schedule!E:E,MATCH(A1084,Raw_Schedule!A:A,0))</f>
        <v/>
      </c>
      <c r="F1084" s="3">
        <f>INDEX(Raw_Schedule!F:F,MATCH(A1084,Raw_Schedule!A:A,0))</f>
        <v/>
      </c>
      <c r="G1084" s="4">
        <f>INDEX(Raw_Schedule!G:G,MATCH(A1084,Raw_Schedule!A:A,0))</f>
        <v/>
      </c>
      <c r="H1084" s="5">
        <f>INDEX(Raw_Schedule!H:H,MATCH(A1084,Raw_Schedule!A:A,0))</f>
        <v/>
      </c>
      <c r="I1084" s="5">
        <f>SUMIFS(Raw_Payments!E:E,Raw_Payments!B:B,A1084)</f>
        <v/>
      </c>
      <c r="J1084" s="5">
        <f>H1084-I1084</f>
        <v/>
      </c>
      <c r="K1084" s="3">
        <f>IF(J1084&lt;=0.005,"PAID",IF(I1084&gt;0,"PARTIAL","OVERDUE"))</f>
        <v/>
      </c>
      <c r="L1084" s="4">
        <f>IF(COUNTIFS(Raw_Payments!B:B,A1084)=0,"",SUMPRODUCT(MAX((Raw_Payments!B$2:B$1079=A1084)*Raw_Payments!D$2:D$1079)))</f>
        <v/>
      </c>
      <c r="M1084" s="3">
        <f>IF(K1084="PAID",MAX(0,L1084-G1084),Guide!$B$3-G1084)</f>
        <v/>
      </c>
      <c r="N1084" s="3">
        <f>IF(J1084&lt;=0.005,"COLLECTED",IF(M1084&lt;=30,"1-30",IF(M1084&lt;=60,"31-60",IF(M1084&lt;=90,"61-90","90+"))))</f>
        <v/>
      </c>
      <c r="O1084" s="3">
        <f>IF(N1084="90+","LOST",IF(N1084="61-90","ESCALATE",IF(N1084="31-60","WATCH",IF(N1084="1-30","MILD","OK"))))</f>
        <v/>
      </c>
      <c r="P1084" s="3">
        <f>IF(J1084&gt;0.005,ROW()-1,"")</f>
        <v/>
      </c>
    </row>
    <row r="1085">
      <c r="A1085" s="3" t="inlineStr">
        <is>
          <t>D1084</t>
        </is>
      </c>
      <c r="B1085" s="3">
        <f>INDEX(Raw_Schedule!B:B,MATCH(A1085,Raw_Schedule!A:A,0))</f>
        <v/>
      </c>
      <c r="C1085" s="3">
        <f>INDEX(Raw_Schedule!C:C,MATCH(A1085,Raw_Schedule!A:A,0))</f>
        <v/>
      </c>
      <c r="D1085" s="3">
        <f>INDEX(Raw_Schedule!D:D,MATCH(A1085,Raw_Schedule!A:A,0))</f>
        <v/>
      </c>
      <c r="E1085" s="3">
        <f>INDEX(Raw_Schedule!E:E,MATCH(A1085,Raw_Schedule!A:A,0))</f>
        <v/>
      </c>
      <c r="F1085" s="3">
        <f>INDEX(Raw_Schedule!F:F,MATCH(A1085,Raw_Schedule!A:A,0))</f>
        <v/>
      </c>
      <c r="G1085" s="4">
        <f>INDEX(Raw_Schedule!G:G,MATCH(A1085,Raw_Schedule!A:A,0))</f>
        <v/>
      </c>
      <c r="H1085" s="5">
        <f>INDEX(Raw_Schedule!H:H,MATCH(A1085,Raw_Schedule!A:A,0))</f>
        <v/>
      </c>
      <c r="I1085" s="5">
        <f>SUMIFS(Raw_Payments!E:E,Raw_Payments!B:B,A1085)</f>
        <v/>
      </c>
      <c r="J1085" s="5">
        <f>H1085-I1085</f>
        <v/>
      </c>
      <c r="K1085" s="3">
        <f>IF(J1085&lt;=0.005,"PAID",IF(I1085&gt;0,"PARTIAL","OVERDUE"))</f>
        <v/>
      </c>
      <c r="L1085" s="4">
        <f>IF(COUNTIFS(Raw_Payments!B:B,A1085)=0,"",SUMPRODUCT(MAX((Raw_Payments!B$2:B$1079=A1085)*Raw_Payments!D$2:D$1079)))</f>
        <v/>
      </c>
      <c r="M1085" s="3">
        <f>IF(K1085="PAID",MAX(0,L1085-G1085),Guide!$B$3-G1085)</f>
        <v/>
      </c>
      <c r="N1085" s="3">
        <f>IF(J1085&lt;=0.005,"COLLECTED",IF(M1085&lt;=30,"1-30",IF(M1085&lt;=60,"31-60",IF(M1085&lt;=90,"61-90","90+"))))</f>
        <v/>
      </c>
      <c r="O1085" s="3">
        <f>IF(N1085="90+","LOST",IF(N1085="61-90","ESCALATE",IF(N1085="31-60","WATCH",IF(N1085="1-30","MILD","OK"))))</f>
        <v/>
      </c>
      <c r="P1085" s="3">
        <f>IF(J1085&gt;0.005,ROW()-1,"")</f>
        <v/>
      </c>
    </row>
    <row r="1086">
      <c r="A1086" s="3" t="inlineStr">
        <is>
          <t>D1085</t>
        </is>
      </c>
      <c r="B1086" s="3">
        <f>INDEX(Raw_Schedule!B:B,MATCH(A1086,Raw_Schedule!A:A,0))</f>
        <v/>
      </c>
      <c r="C1086" s="3">
        <f>INDEX(Raw_Schedule!C:C,MATCH(A1086,Raw_Schedule!A:A,0))</f>
        <v/>
      </c>
      <c r="D1086" s="3">
        <f>INDEX(Raw_Schedule!D:D,MATCH(A1086,Raw_Schedule!A:A,0))</f>
        <v/>
      </c>
      <c r="E1086" s="3">
        <f>INDEX(Raw_Schedule!E:E,MATCH(A1086,Raw_Schedule!A:A,0))</f>
        <v/>
      </c>
      <c r="F1086" s="3">
        <f>INDEX(Raw_Schedule!F:F,MATCH(A1086,Raw_Schedule!A:A,0))</f>
        <v/>
      </c>
      <c r="G1086" s="4">
        <f>INDEX(Raw_Schedule!G:G,MATCH(A1086,Raw_Schedule!A:A,0))</f>
        <v/>
      </c>
      <c r="H1086" s="5">
        <f>INDEX(Raw_Schedule!H:H,MATCH(A1086,Raw_Schedule!A:A,0))</f>
        <v/>
      </c>
      <c r="I1086" s="5">
        <f>SUMIFS(Raw_Payments!E:E,Raw_Payments!B:B,A1086)</f>
        <v/>
      </c>
      <c r="J1086" s="5">
        <f>H1086-I1086</f>
        <v/>
      </c>
      <c r="K1086" s="3">
        <f>IF(J1086&lt;=0.005,"PAID",IF(I1086&gt;0,"PARTIAL","OVERDUE"))</f>
        <v/>
      </c>
      <c r="L1086" s="4">
        <f>IF(COUNTIFS(Raw_Payments!B:B,A1086)=0,"",SUMPRODUCT(MAX((Raw_Payments!B$2:B$1079=A1086)*Raw_Payments!D$2:D$1079)))</f>
        <v/>
      </c>
      <c r="M1086" s="3">
        <f>IF(K1086="PAID",MAX(0,L1086-G1086),Guide!$B$3-G1086)</f>
        <v/>
      </c>
      <c r="N1086" s="3">
        <f>IF(J1086&lt;=0.005,"COLLECTED",IF(M1086&lt;=30,"1-30",IF(M1086&lt;=60,"31-60",IF(M1086&lt;=90,"61-90","90+"))))</f>
        <v/>
      </c>
      <c r="O1086" s="3">
        <f>IF(N1086="90+","LOST",IF(N1086="61-90","ESCALATE",IF(N1086="31-60","WATCH",IF(N1086="1-30","MILD","OK"))))</f>
        <v/>
      </c>
      <c r="P1086" s="3">
        <f>IF(J1086&gt;0.005,ROW()-1,"")</f>
        <v/>
      </c>
    </row>
    <row r="1087">
      <c r="A1087" s="3" t="inlineStr">
        <is>
          <t>D1086</t>
        </is>
      </c>
      <c r="B1087" s="3">
        <f>INDEX(Raw_Schedule!B:B,MATCH(A1087,Raw_Schedule!A:A,0))</f>
        <v/>
      </c>
      <c r="C1087" s="3">
        <f>INDEX(Raw_Schedule!C:C,MATCH(A1087,Raw_Schedule!A:A,0))</f>
        <v/>
      </c>
      <c r="D1087" s="3">
        <f>INDEX(Raw_Schedule!D:D,MATCH(A1087,Raw_Schedule!A:A,0))</f>
        <v/>
      </c>
      <c r="E1087" s="3">
        <f>INDEX(Raw_Schedule!E:E,MATCH(A1087,Raw_Schedule!A:A,0))</f>
        <v/>
      </c>
      <c r="F1087" s="3">
        <f>INDEX(Raw_Schedule!F:F,MATCH(A1087,Raw_Schedule!A:A,0))</f>
        <v/>
      </c>
      <c r="G1087" s="4">
        <f>INDEX(Raw_Schedule!G:G,MATCH(A1087,Raw_Schedule!A:A,0))</f>
        <v/>
      </c>
      <c r="H1087" s="5">
        <f>INDEX(Raw_Schedule!H:H,MATCH(A1087,Raw_Schedule!A:A,0))</f>
        <v/>
      </c>
      <c r="I1087" s="5">
        <f>SUMIFS(Raw_Payments!E:E,Raw_Payments!B:B,A1087)</f>
        <v/>
      </c>
      <c r="J1087" s="5">
        <f>H1087-I1087</f>
        <v/>
      </c>
      <c r="K1087" s="3">
        <f>IF(J1087&lt;=0.005,"PAID",IF(I1087&gt;0,"PARTIAL","OVERDUE"))</f>
        <v/>
      </c>
      <c r="L1087" s="4">
        <f>IF(COUNTIFS(Raw_Payments!B:B,A1087)=0,"",SUMPRODUCT(MAX((Raw_Payments!B$2:B$1079=A1087)*Raw_Payments!D$2:D$1079)))</f>
        <v/>
      </c>
      <c r="M1087" s="3">
        <f>IF(K1087="PAID",MAX(0,L1087-G1087),Guide!$B$3-G1087)</f>
        <v/>
      </c>
      <c r="N1087" s="3">
        <f>IF(J1087&lt;=0.005,"COLLECTED",IF(M1087&lt;=30,"1-30",IF(M1087&lt;=60,"31-60",IF(M1087&lt;=90,"61-90","90+"))))</f>
        <v/>
      </c>
      <c r="O1087" s="3">
        <f>IF(N1087="90+","LOST",IF(N1087="61-90","ESCALATE",IF(N1087="31-60","WATCH",IF(N1087="1-30","MILD","OK"))))</f>
        <v/>
      </c>
      <c r="P1087" s="3">
        <f>IF(J1087&gt;0.005,ROW()-1,"")</f>
        <v/>
      </c>
    </row>
    <row r="1088">
      <c r="A1088" s="3" t="inlineStr">
        <is>
          <t>D1087</t>
        </is>
      </c>
      <c r="B1088" s="3">
        <f>INDEX(Raw_Schedule!B:B,MATCH(A1088,Raw_Schedule!A:A,0))</f>
        <v/>
      </c>
      <c r="C1088" s="3">
        <f>INDEX(Raw_Schedule!C:C,MATCH(A1088,Raw_Schedule!A:A,0))</f>
        <v/>
      </c>
      <c r="D1088" s="3">
        <f>INDEX(Raw_Schedule!D:D,MATCH(A1088,Raw_Schedule!A:A,0))</f>
        <v/>
      </c>
      <c r="E1088" s="3">
        <f>INDEX(Raw_Schedule!E:E,MATCH(A1088,Raw_Schedule!A:A,0))</f>
        <v/>
      </c>
      <c r="F1088" s="3">
        <f>INDEX(Raw_Schedule!F:F,MATCH(A1088,Raw_Schedule!A:A,0))</f>
        <v/>
      </c>
      <c r="G1088" s="4">
        <f>INDEX(Raw_Schedule!G:G,MATCH(A1088,Raw_Schedule!A:A,0))</f>
        <v/>
      </c>
      <c r="H1088" s="5">
        <f>INDEX(Raw_Schedule!H:H,MATCH(A1088,Raw_Schedule!A:A,0))</f>
        <v/>
      </c>
      <c r="I1088" s="5">
        <f>SUMIFS(Raw_Payments!E:E,Raw_Payments!B:B,A1088)</f>
        <v/>
      </c>
      <c r="J1088" s="5">
        <f>H1088-I1088</f>
        <v/>
      </c>
      <c r="K1088" s="3">
        <f>IF(J1088&lt;=0.005,"PAID",IF(I1088&gt;0,"PARTIAL","OVERDUE"))</f>
        <v/>
      </c>
      <c r="L1088" s="4">
        <f>IF(COUNTIFS(Raw_Payments!B:B,A1088)=0,"",SUMPRODUCT(MAX((Raw_Payments!B$2:B$1079=A1088)*Raw_Payments!D$2:D$1079)))</f>
        <v/>
      </c>
      <c r="M1088" s="3">
        <f>IF(K1088="PAID",MAX(0,L1088-G1088),Guide!$B$3-G1088)</f>
        <v/>
      </c>
      <c r="N1088" s="3">
        <f>IF(J1088&lt;=0.005,"COLLECTED",IF(M1088&lt;=30,"1-30",IF(M1088&lt;=60,"31-60",IF(M1088&lt;=90,"61-90","90+"))))</f>
        <v/>
      </c>
      <c r="O1088" s="3">
        <f>IF(N1088="90+","LOST",IF(N1088="61-90","ESCALATE",IF(N1088="31-60","WATCH",IF(N1088="1-30","MILD","OK"))))</f>
        <v/>
      </c>
      <c r="P1088" s="3">
        <f>IF(J1088&gt;0.005,ROW()-1,"")</f>
        <v/>
      </c>
    </row>
    <row r="1089">
      <c r="A1089" s="3" t="inlineStr">
        <is>
          <t>D1088</t>
        </is>
      </c>
      <c r="B1089" s="3">
        <f>INDEX(Raw_Schedule!B:B,MATCH(A1089,Raw_Schedule!A:A,0))</f>
        <v/>
      </c>
      <c r="C1089" s="3">
        <f>INDEX(Raw_Schedule!C:C,MATCH(A1089,Raw_Schedule!A:A,0))</f>
        <v/>
      </c>
      <c r="D1089" s="3">
        <f>INDEX(Raw_Schedule!D:D,MATCH(A1089,Raw_Schedule!A:A,0))</f>
        <v/>
      </c>
      <c r="E1089" s="3">
        <f>INDEX(Raw_Schedule!E:E,MATCH(A1089,Raw_Schedule!A:A,0))</f>
        <v/>
      </c>
      <c r="F1089" s="3">
        <f>INDEX(Raw_Schedule!F:F,MATCH(A1089,Raw_Schedule!A:A,0))</f>
        <v/>
      </c>
      <c r="G1089" s="4">
        <f>INDEX(Raw_Schedule!G:G,MATCH(A1089,Raw_Schedule!A:A,0))</f>
        <v/>
      </c>
      <c r="H1089" s="5">
        <f>INDEX(Raw_Schedule!H:H,MATCH(A1089,Raw_Schedule!A:A,0))</f>
        <v/>
      </c>
      <c r="I1089" s="5">
        <f>SUMIFS(Raw_Payments!E:E,Raw_Payments!B:B,A1089)</f>
        <v/>
      </c>
      <c r="J1089" s="5">
        <f>H1089-I1089</f>
        <v/>
      </c>
      <c r="K1089" s="3">
        <f>IF(J1089&lt;=0.005,"PAID",IF(I1089&gt;0,"PARTIAL","OVERDUE"))</f>
        <v/>
      </c>
      <c r="L1089" s="4">
        <f>IF(COUNTIFS(Raw_Payments!B:B,A1089)=0,"",SUMPRODUCT(MAX((Raw_Payments!B$2:B$1079=A1089)*Raw_Payments!D$2:D$1079)))</f>
        <v/>
      </c>
      <c r="M1089" s="3">
        <f>IF(K1089="PAID",MAX(0,L1089-G1089),Guide!$B$3-G1089)</f>
        <v/>
      </c>
      <c r="N1089" s="3">
        <f>IF(J1089&lt;=0.005,"COLLECTED",IF(M1089&lt;=30,"1-30",IF(M1089&lt;=60,"31-60",IF(M1089&lt;=90,"61-90","90+"))))</f>
        <v/>
      </c>
      <c r="O1089" s="3">
        <f>IF(N1089="90+","LOST",IF(N1089="61-90","ESCALATE",IF(N1089="31-60","WATCH",IF(N1089="1-30","MILD","OK"))))</f>
        <v/>
      </c>
      <c r="P1089" s="3">
        <f>IF(J1089&gt;0.005,ROW()-1,"")</f>
        <v/>
      </c>
    </row>
    <row r="1090">
      <c r="A1090" s="3" t="inlineStr">
        <is>
          <t>D1089</t>
        </is>
      </c>
      <c r="B1090" s="3">
        <f>INDEX(Raw_Schedule!B:B,MATCH(A1090,Raw_Schedule!A:A,0))</f>
        <v/>
      </c>
      <c r="C1090" s="3">
        <f>INDEX(Raw_Schedule!C:C,MATCH(A1090,Raw_Schedule!A:A,0))</f>
        <v/>
      </c>
      <c r="D1090" s="3">
        <f>INDEX(Raw_Schedule!D:D,MATCH(A1090,Raw_Schedule!A:A,0))</f>
        <v/>
      </c>
      <c r="E1090" s="3">
        <f>INDEX(Raw_Schedule!E:E,MATCH(A1090,Raw_Schedule!A:A,0))</f>
        <v/>
      </c>
      <c r="F1090" s="3">
        <f>INDEX(Raw_Schedule!F:F,MATCH(A1090,Raw_Schedule!A:A,0))</f>
        <v/>
      </c>
      <c r="G1090" s="4">
        <f>INDEX(Raw_Schedule!G:G,MATCH(A1090,Raw_Schedule!A:A,0))</f>
        <v/>
      </c>
      <c r="H1090" s="5">
        <f>INDEX(Raw_Schedule!H:H,MATCH(A1090,Raw_Schedule!A:A,0))</f>
        <v/>
      </c>
      <c r="I1090" s="5">
        <f>SUMIFS(Raw_Payments!E:E,Raw_Payments!B:B,A1090)</f>
        <v/>
      </c>
      <c r="J1090" s="5">
        <f>H1090-I1090</f>
        <v/>
      </c>
      <c r="K1090" s="3">
        <f>IF(J1090&lt;=0.005,"PAID",IF(I1090&gt;0,"PARTIAL","OVERDUE"))</f>
        <v/>
      </c>
      <c r="L1090" s="4">
        <f>IF(COUNTIFS(Raw_Payments!B:B,A1090)=0,"",SUMPRODUCT(MAX((Raw_Payments!B$2:B$1079=A1090)*Raw_Payments!D$2:D$1079)))</f>
        <v/>
      </c>
      <c r="M1090" s="3">
        <f>IF(K1090="PAID",MAX(0,L1090-G1090),Guide!$B$3-G1090)</f>
        <v/>
      </c>
      <c r="N1090" s="3">
        <f>IF(J1090&lt;=0.005,"COLLECTED",IF(M1090&lt;=30,"1-30",IF(M1090&lt;=60,"31-60",IF(M1090&lt;=90,"61-90","90+"))))</f>
        <v/>
      </c>
      <c r="O1090" s="3">
        <f>IF(N1090="90+","LOST",IF(N1090="61-90","ESCALATE",IF(N1090="31-60","WATCH",IF(N1090="1-30","MILD","OK"))))</f>
        <v/>
      </c>
      <c r="P1090" s="3">
        <f>IF(J1090&gt;0.005,ROW()-1,"")</f>
        <v/>
      </c>
    </row>
    <row r="1091">
      <c r="A1091" s="3" t="inlineStr">
        <is>
          <t>D1090</t>
        </is>
      </c>
      <c r="B1091" s="3">
        <f>INDEX(Raw_Schedule!B:B,MATCH(A1091,Raw_Schedule!A:A,0))</f>
        <v/>
      </c>
      <c r="C1091" s="3">
        <f>INDEX(Raw_Schedule!C:C,MATCH(A1091,Raw_Schedule!A:A,0))</f>
        <v/>
      </c>
      <c r="D1091" s="3">
        <f>INDEX(Raw_Schedule!D:D,MATCH(A1091,Raw_Schedule!A:A,0))</f>
        <v/>
      </c>
      <c r="E1091" s="3">
        <f>INDEX(Raw_Schedule!E:E,MATCH(A1091,Raw_Schedule!A:A,0))</f>
        <v/>
      </c>
      <c r="F1091" s="3">
        <f>INDEX(Raw_Schedule!F:F,MATCH(A1091,Raw_Schedule!A:A,0))</f>
        <v/>
      </c>
      <c r="G1091" s="4">
        <f>INDEX(Raw_Schedule!G:G,MATCH(A1091,Raw_Schedule!A:A,0))</f>
        <v/>
      </c>
      <c r="H1091" s="5">
        <f>INDEX(Raw_Schedule!H:H,MATCH(A1091,Raw_Schedule!A:A,0))</f>
        <v/>
      </c>
      <c r="I1091" s="5">
        <f>SUMIFS(Raw_Payments!E:E,Raw_Payments!B:B,A1091)</f>
        <v/>
      </c>
      <c r="J1091" s="5">
        <f>H1091-I1091</f>
        <v/>
      </c>
      <c r="K1091" s="3">
        <f>IF(J1091&lt;=0.005,"PAID",IF(I1091&gt;0,"PARTIAL","OVERDUE"))</f>
        <v/>
      </c>
      <c r="L1091" s="4">
        <f>IF(COUNTIFS(Raw_Payments!B:B,A1091)=0,"",SUMPRODUCT(MAX((Raw_Payments!B$2:B$1079=A1091)*Raw_Payments!D$2:D$1079)))</f>
        <v/>
      </c>
      <c r="M1091" s="3">
        <f>IF(K1091="PAID",MAX(0,L1091-G1091),Guide!$B$3-G1091)</f>
        <v/>
      </c>
      <c r="N1091" s="3">
        <f>IF(J1091&lt;=0.005,"COLLECTED",IF(M1091&lt;=30,"1-30",IF(M1091&lt;=60,"31-60",IF(M1091&lt;=90,"61-90","90+"))))</f>
        <v/>
      </c>
      <c r="O1091" s="3">
        <f>IF(N1091="90+","LOST",IF(N1091="61-90","ESCALATE",IF(N1091="31-60","WATCH",IF(N1091="1-30","MILD","OK"))))</f>
        <v/>
      </c>
      <c r="P1091" s="3">
        <f>IF(J1091&gt;0.005,ROW()-1,"")</f>
        <v/>
      </c>
    </row>
    <row r="1092">
      <c r="A1092" s="3" t="inlineStr">
        <is>
          <t>D1091</t>
        </is>
      </c>
      <c r="B1092" s="3">
        <f>INDEX(Raw_Schedule!B:B,MATCH(A1092,Raw_Schedule!A:A,0))</f>
        <v/>
      </c>
      <c r="C1092" s="3">
        <f>INDEX(Raw_Schedule!C:C,MATCH(A1092,Raw_Schedule!A:A,0))</f>
        <v/>
      </c>
      <c r="D1092" s="3">
        <f>INDEX(Raw_Schedule!D:D,MATCH(A1092,Raw_Schedule!A:A,0))</f>
        <v/>
      </c>
      <c r="E1092" s="3">
        <f>INDEX(Raw_Schedule!E:E,MATCH(A1092,Raw_Schedule!A:A,0))</f>
        <v/>
      </c>
      <c r="F1092" s="3">
        <f>INDEX(Raw_Schedule!F:F,MATCH(A1092,Raw_Schedule!A:A,0))</f>
        <v/>
      </c>
      <c r="G1092" s="4">
        <f>INDEX(Raw_Schedule!G:G,MATCH(A1092,Raw_Schedule!A:A,0))</f>
        <v/>
      </c>
      <c r="H1092" s="5">
        <f>INDEX(Raw_Schedule!H:H,MATCH(A1092,Raw_Schedule!A:A,0))</f>
        <v/>
      </c>
      <c r="I1092" s="5">
        <f>SUMIFS(Raw_Payments!E:E,Raw_Payments!B:B,A1092)</f>
        <v/>
      </c>
      <c r="J1092" s="5">
        <f>H1092-I1092</f>
        <v/>
      </c>
      <c r="K1092" s="3">
        <f>IF(J1092&lt;=0.005,"PAID",IF(I1092&gt;0,"PARTIAL","OVERDUE"))</f>
        <v/>
      </c>
      <c r="L1092" s="4">
        <f>IF(COUNTIFS(Raw_Payments!B:B,A1092)=0,"",SUMPRODUCT(MAX((Raw_Payments!B$2:B$1079=A1092)*Raw_Payments!D$2:D$1079)))</f>
        <v/>
      </c>
      <c r="M1092" s="3">
        <f>IF(K1092="PAID",MAX(0,L1092-G1092),Guide!$B$3-G1092)</f>
        <v/>
      </c>
      <c r="N1092" s="3">
        <f>IF(J1092&lt;=0.005,"COLLECTED",IF(M1092&lt;=30,"1-30",IF(M1092&lt;=60,"31-60",IF(M1092&lt;=90,"61-90","90+"))))</f>
        <v/>
      </c>
      <c r="O1092" s="3">
        <f>IF(N1092="90+","LOST",IF(N1092="61-90","ESCALATE",IF(N1092="31-60","WATCH",IF(N1092="1-30","MILD","OK"))))</f>
        <v/>
      </c>
      <c r="P1092" s="3">
        <f>IF(J1092&gt;0.005,ROW()-1,"")</f>
        <v/>
      </c>
    </row>
    <row r="1093">
      <c r="A1093" s="3" t="inlineStr">
        <is>
          <t>D1092</t>
        </is>
      </c>
      <c r="B1093" s="3">
        <f>INDEX(Raw_Schedule!B:B,MATCH(A1093,Raw_Schedule!A:A,0))</f>
        <v/>
      </c>
      <c r="C1093" s="3">
        <f>INDEX(Raw_Schedule!C:C,MATCH(A1093,Raw_Schedule!A:A,0))</f>
        <v/>
      </c>
      <c r="D1093" s="3">
        <f>INDEX(Raw_Schedule!D:D,MATCH(A1093,Raw_Schedule!A:A,0))</f>
        <v/>
      </c>
      <c r="E1093" s="3">
        <f>INDEX(Raw_Schedule!E:E,MATCH(A1093,Raw_Schedule!A:A,0))</f>
        <v/>
      </c>
      <c r="F1093" s="3">
        <f>INDEX(Raw_Schedule!F:F,MATCH(A1093,Raw_Schedule!A:A,0))</f>
        <v/>
      </c>
      <c r="G1093" s="4">
        <f>INDEX(Raw_Schedule!G:G,MATCH(A1093,Raw_Schedule!A:A,0))</f>
        <v/>
      </c>
      <c r="H1093" s="5">
        <f>INDEX(Raw_Schedule!H:H,MATCH(A1093,Raw_Schedule!A:A,0))</f>
        <v/>
      </c>
      <c r="I1093" s="5">
        <f>SUMIFS(Raw_Payments!E:E,Raw_Payments!B:B,A1093)</f>
        <v/>
      </c>
      <c r="J1093" s="5">
        <f>H1093-I1093</f>
        <v/>
      </c>
      <c r="K1093" s="3">
        <f>IF(J1093&lt;=0.005,"PAID",IF(I1093&gt;0,"PARTIAL","OVERDUE"))</f>
        <v/>
      </c>
      <c r="L1093" s="4">
        <f>IF(COUNTIFS(Raw_Payments!B:B,A1093)=0,"",SUMPRODUCT(MAX((Raw_Payments!B$2:B$1079=A1093)*Raw_Payments!D$2:D$1079)))</f>
        <v/>
      </c>
      <c r="M1093" s="3">
        <f>IF(K1093="PAID",MAX(0,L1093-G1093),Guide!$B$3-G1093)</f>
        <v/>
      </c>
      <c r="N1093" s="3">
        <f>IF(J1093&lt;=0.005,"COLLECTED",IF(M1093&lt;=30,"1-30",IF(M1093&lt;=60,"31-60",IF(M1093&lt;=90,"61-90","90+"))))</f>
        <v/>
      </c>
      <c r="O1093" s="3">
        <f>IF(N1093="90+","LOST",IF(N1093="61-90","ESCALATE",IF(N1093="31-60","WATCH",IF(N1093="1-30","MILD","OK"))))</f>
        <v/>
      </c>
      <c r="P1093" s="3">
        <f>IF(J1093&gt;0.005,ROW()-1,"")</f>
        <v/>
      </c>
    </row>
    <row r="1094">
      <c r="A1094" s="3" t="inlineStr">
        <is>
          <t>D1093</t>
        </is>
      </c>
      <c r="B1094" s="3">
        <f>INDEX(Raw_Schedule!B:B,MATCH(A1094,Raw_Schedule!A:A,0))</f>
        <v/>
      </c>
      <c r="C1094" s="3">
        <f>INDEX(Raw_Schedule!C:C,MATCH(A1094,Raw_Schedule!A:A,0))</f>
        <v/>
      </c>
      <c r="D1094" s="3">
        <f>INDEX(Raw_Schedule!D:D,MATCH(A1094,Raw_Schedule!A:A,0))</f>
        <v/>
      </c>
      <c r="E1094" s="3">
        <f>INDEX(Raw_Schedule!E:E,MATCH(A1094,Raw_Schedule!A:A,0))</f>
        <v/>
      </c>
      <c r="F1094" s="3">
        <f>INDEX(Raw_Schedule!F:F,MATCH(A1094,Raw_Schedule!A:A,0))</f>
        <v/>
      </c>
      <c r="G1094" s="4">
        <f>INDEX(Raw_Schedule!G:G,MATCH(A1094,Raw_Schedule!A:A,0))</f>
        <v/>
      </c>
      <c r="H1094" s="5">
        <f>INDEX(Raw_Schedule!H:H,MATCH(A1094,Raw_Schedule!A:A,0))</f>
        <v/>
      </c>
      <c r="I1094" s="5">
        <f>SUMIFS(Raw_Payments!E:E,Raw_Payments!B:B,A1094)</f>
        <v/>
      </c>
      <c r="J1094" s="5">
        <f>H1094-I1094</f>
        <v/>
      </c>
      <c r="K1094" s="3">
        <f>IF(J1094&lt;=0.005,"PAID",IF(I1094&gt;0,"PARTIAL","OVERDUE"))</f>
        <v/>
      </c>
      <c r="L1094" s="4">
        <f>IF(COUNTIFS(Raw_Payments!B:B,A1094)=0,"",SUMPRODUCT(MAX((Raw_Payments!B$2:B$1079=A1094)*Raw_Payments!D$2:D$1079)))</f>
        <v/>
      </c>
      <c r="M1094" s="3">
        <f>IF(K1094="PAID",MAX(0,L1094-G1094),Guide!$B$3-G1094)</f>
        <v/>
      </c>
      <c r="N1094" s="3">
        <f>IF(J1094&lt;=0.005,"COLLECTED",IF(M1094&lt;=30,"1-30",IF(M1094&lt;=60,"31-60",IF(M1094&lt;=90,"61-90","90+"))))</f>
        <v/>
      </c>
      <c r="O1094" s="3">
        <f>IF(N1094="90+","LOST",IF(N1094="61-90","ESCALATE",IF(N1094="31-60","WATCH",IF(N1094="1-30","MILD","OK"))))</f>
        <v/>
      </c>
      <c r="P1094" s="3">
        <f>IF(J1094&gt;0.005,ROW()-1,"")</f>
        <v/>
      </c>
    </row>
    <row r="1095">
      <c r="A1095" s="3" t="inlineStr">
        <is>
          <t>D1094</t>
        </is>
      </c>
      <c r="B1095" s="3">
        <f>INDEX(Raw_Schedule!B:B,MATCH(A1095,Raw_Schedule!A:A,0))</f>
        <v/>
      </c>
      <c r="C1095" s="3">
        <f>INDEX(Raw_Schedule!C:C,MATCH(A1095,Raw_Schedule!A:A,0))</f>
        <v/>
      </c>
      <c r="D1095" s="3">
        <f>INDEX(Raw_Schedule!D:D,MATCH(A1095,Raw_Schedule!A:A,0))</f>
        <v/>
      </c>
      <c r="E1095" s="3">
        <f>INDEX(Raw_Schedule!E:E,MATCH(A1095,Raw_Schedule!A:A,0))</f>
        <v/>
      </c>
      <c r="F1095" s="3">
        <f>INDEX(Raw_Schedule!F:F,MATCH(A1095,Raw_Schedule!A:A,0))</f>
        <v/>
      </c>
      <c r="G1095" s="4">
        <f>INDEX(Raw_Schedule!G:G,MATCH(A1095,Raw_Schedule!A:A,0))</f>
        <v/>
      </c>
      <c r="H1095" s="5">
        <f>INDEX(Raw_Schedule!H:H,MATCH(A1095,Raw_Schedule!A:A,0))</f>
        <v/>
      </c>
      <c r="I1095" s="5">
        <f>SUMIFS(Raw_Payments!E:E,Raw_Payments!B:B,A1095)</f>
        <v/>
      </c>
      <c r="J1095" s="5">
        <f>H1095-I1095</f>
        <v/>
      </c>
      <c r="K1095" s="3">
        <f>IF(J1095&lt;=0.005,"PAID",IF(I1095&gt;0,"PARTIAL","OVERDUE"))</f>
        <v/>
      </c>
      <c r="L1095" s="4">
        <f>IF(COUNTIFS(Raw_Payments!B:B,A1095)=0,"",SUMPRODUCT(MAX((Raw_Payments!B$2:B$1079=A1095)*Raw_Payments!D$2:D$1079)))</f>
        <v/>
      </c>
      <c r="M1095" s="3">
        <f>IF(K1095="PAID",MAX(0,L1095-G1095),Guide!$B$3-G1095)</f>
        <v/>
      </c>
      <c r="N1095" s="3">
        <f>IF(J1095&lt;=0.005,"COLLECTED",IF(M1095&lt;=30,"1-30",IF(M1095&lt;=60,"31-60",IF(M1095&lt;=90,"61-90","90+"))))</f>
        <v/>
      </c>
      <c r="O1095" s="3">
        <f>IF(N1095="90+","LOST",IF(N1095="61-90","ESCALATE",IF(N1095="31-60","WATCH",IF(N1095="1-30","MILD","OK"))))</f>
        <v/>
      </c>
      <c r="P1095" s="3">
        <f>IF(J1095&gt;0.005,ROW()-1,"")</f>
        <v/>
      </c>
    </row>
    <row r="1096">
      <c r="A1096" s="3" t="inlineStr">
        <is>
          <t>D1095</t>
        </is>
      </c>
      <c r="B1096" s="3">
        <f>INDEX(Raw_Schedule!B:B,MATCH(A1096,Raw_Schedule!A:A,0))</f>
        <v/>
      </c>
      <c r="C1096" s="3">
        <f>INDEX(Raw_Schedule!C:C,MATCH(A1096,Raw_Schedule!A:A,0))</f>
        <v/>
      </c>
      <c r="D1096" s="3">
        <f>INDEX(Raw_Schedule!D:D,MATCH(A1096,Raw_Schedule!A:A,0))</f>
        <v/>
      </c>
      <c r="E1096" s="3">
        <f>INDEX(Raw_Schedule!E:E,MATCH(A1096,Raw_Schedule!A:A,0))</f>
        <v/>
      </c>
      <c r="F1096" s="3">
        <f>INDEX(Raw_Schedule!F:F,MATCH(A1096,Raw_Schedule!A:A,0))</f>
        <v/>
      </c>
      <c r="G1096" s="4">
        <f>INDEX(Raw_Schedule!G:G,MATCH(A1096,Raw_Schedule!A:A,0))</f>
        <v/>
      </c>
      <c r="H1096" s="5">
        <f>INDEX(Raw_Schedule!H:H,MATCH(A1096,Raw_Schedule!A:A,0))</f>
        <v/>
      </c>
      <c r="I1096" s="5">
        <f>SUMIFS(Raw_Payments!E:E,Raw_Payments!B:B,A1096)</f>
        <v/>
      </c>
      <c r="J1096" s="5">
        <f>H1096-I1096</f>
        <v/>
      </c>
      <c r="K1096" s="3">
        <f>IF(J1096&lt;=0.005,"PAID",IF(I1096&gt;0,"PARTIAL","OVERDUE"))</f>
        <v/>
      </c>
      <c r="L1096" s="4">
        <f>IF(COUNTIFS(Raw_Payments!B:B,A1096)=0,"",SUMPRODUCT(MAX((Raw_Payments!B$2:B$1079=A1096)*Raw_Payments!D$2:D$1079)))</f>
        <v/>
      </c>
      <c r="M1096" s="3">
        <f>IF(K1096="PAID",MAX(0,L1096-G1096),Guide!$B$3-G1096)</f>
        <v/>
      </c>
      <c r="N1096" s="3">
        <f>IF(J1096&lt;=0.005,"COLLECTED",IF(M1096&lt;=30,"1-30",IF(M1096&lt;=60,"31-60",IF(M1096&lt;=90,"61-90","90+"))))</f>
        <v/>
      </c>
      <c r="O1096" s="3">
        <f>IF(N1096="90+","LOST",IF(N1096="61-90","ESCALATE",IF(N1096="31-60","WATCH",IF(N1096="1-30","MILD","OK"))))</f>
        <v/>
      </c>
      <c r="P1096" s="3">
        <f>IF(J1096&gt;0.005,ROW()-1,"")</f>
        <v/>
      </c>
    </row>
    <row r="1097">
      <c r="A1097" s="3" t="inlineStr">
        <is>
          <t>D1096</t>
        </is>
      </c>
      <c r="B1097" s="3">
        <f>INDEX(Raw_Schedule!B:B,MATCH(A1097,Raw_Schedule!A:A,0))</f>
        <v/>
      </c>
      <c r="C1097" s="3">
        <f>INDEX(Raw_Schedule!C:C,MATCH(A1097,Raw_Schedule!A:A,0))</f>
        <v/>
      </c>
      <c r="D1097" s="3">
        <f>INDEX(Raw_Schedule!D:D,MATCH(A1097,Raw_Schedule!A:A,0))</f>
        <v/>
      </c>
      <c r="E1097" s="3">
        <f>INDEX(Raw_Schedule!E:E,MATCH(A1097,Raw_Schedule!A:A,0))</f>
        <v/>
      </c>
      <c r="F1097" s="3">
        <f>INDEX(Raw_Schedule!F:F,MATCH(A1097,Raw_Schedule!A:A,0))</f>
        <v/>
      </c>
      <c r="G1097" s="4">
        <f>INDEX(Raw_Schedule!G:G,MATCH(A1097,Raw_Schedule!A:A,0))</f>
        <v/>
      </c>
      <c r="H1097" s="5">
        <f>INDEX(Raw_Schedule!H:H,MATCH(A1097,Raw_Schedule!A:A,0))</f>
        <v/>
      </c>
      <c r="I1097" s="5">
        <f>SUMIFS(Raw_Payments!E:E,Raw_Payments!B:B,A1097)</f>
        <v/>
      </c>
      <c r="J1097" s="5">
        <f>H1097-I1097</f>
        <v/>
      </c>
      <c r="K1097" s="3">
        <f>IF(J1097&lt;=0.005,"PAID",IF(I1097&gt;0,"PARTIAL","OVERDUE"))</f>
        <v/>
      </c>
      <c r="L1097" s="4">
        <f>IF(COUNTIFS(Raw_Payments!B:B,A1097)=0,"",SUMPRODUCT(MAX((Raw_Payments!B$2:B$1079=A1097)*Raw_Payments!D$2:D$1079)))</f>
        <v/>
      </c>
      <c r="M1097" s="3">
        <f>IF(K1097="PAID",MAX(0,L1097-G1097),Guide!$B$3-G1097)</f>
        <v/>
      </c>
      <c r="N1097" s="3">
        <f>IF(J1097&lt;=0.005,"COLLECTED",IF(M1097&lt;=30,"1-30",IF(M1097&lt;=60,"31-60",IF(M1097&lt;=90,"61-90","90+"))))</f>
        <v/>
      </c>
      <c r="O1097" s="3">
        <f>IF(N1097="90+","LOST",IF(N1097="61-90","ESCALATE",IF(N1097="31-60","WATCH",IF(N1097="1-30","MILD","OK"))))</f>
        <v/>
      </c>
      <c r="P1097" s="3">
        <f>IF(J1097&gt;0.005,ROW()-1,"")</f>
        <v/>
      </c>
    </row>
    <row r="1098">
      <c r="A1098" s="3" t="inlineStr">
        <is>
          <t>D1097</t>
        </is>
      </c>
      <c r="B1098" s="3">
        <f>INDEX(Raw_Schedule!B:B,MATCH(A1098,Raw_Schedule!A:A,0))</f>
        <v/>
      </c>
      <c r="C1098" s="3">
        <f>INDEX(Raw_Schedule!C:C,MATCH(A1098,Raw_Schedule!A:A,0))</f>
        <v/>
      </c>
      <c r="D1098" s="3">
        <f>INDEX(Raw_Schedule!D:D,MATCH(A1098,Raw_Schedule!A:A,0))</f>
        <v/>
      </c>
      <c r="E1098" s="3">
        <f>INDEX(Raw_Schedule!E:E,MATCH(A1098,Raw_Schedule!A:A,0))</f>
        <v/>
      </c>
      <c r="F1098" s="3">
        <f>INDEX(Raw_Schedule!F:F,MATCH(A1098,Raw_Schedule!A:A,0))</f>
        <v/>
      </c>
      <c r="G1098" s="4">
        <f>INDEX(Raw_Schedule!G:G,MATCH(A1098,Raw_Schedule!A:A,0))</f>
        <v/>
      </c>
      <c r="H1098" s="5">
        <f>INDEX(Raw_Schedule!H:H,MATCH(A1098,Raw_Schedule!A:A,0))</f>
        <v/>
      </c>
      <c r="I1098" s="5">
        <f>SUMIFS(Raw_Payments!E:E,Raw_Payments!B:B,A1098)</f>
        <v/>
      </c>
      <c r="J1098" s="5">
        <f>H1098-I1098</f>
        <v/>
      </c>
      <c r="K1098" s="3">
        <f>IF(J1098&lt;=0.005,"PAID",IF(I1098&gt;0,"PARTIAL","OVERDUE"))</f>
        <v/>
      </c>
      <c r="L1098" s="4">
        <f>IF(COUNTIFS(Raw_Payments!B:B,A1098)=0,"",SUMPRODUCT(MAX((Raw_Payments!B$2:B$1079=A1098)*Raw_Payments!D$2:D$1079)))</f>
        <v/>
      </c>
      <c r="M1098" s="3">
        <f>IF(K1098="PAID",MAX(0,L1098-G1098),Guide!$B$3-G1098)</f>
        <v/>
      </c>
      <c r="N1098" s="3">
        <f>IF(J1098&lt;=0.005,"COLLECTED",IF(M1098&lt;=30,"1-30",IF(M1098&lt;=60,"31-60",IF(M1098&lt;=90,"61-90","90+"))))</f>
        <v/>
      </c>
      <c r="O1098" s="3">
        <f>IF(N1098="90+","LOST",IF(N1098="61-90","ESCALATE",IF(N1098="31-60","WATCH",IF(N1098="1-30","MILD","OK"))))</f>
        <v/>
      </c>
      <c r="P1098" s="3">
        <f>IF(J1098&gt;0.005,ROW()-1,"")</f>
        <v/>
      </c>
    </row>
    <row r="1099">
      <c r="A1099" s="3" t="inlineStr">
        <is>
          <t>D1098</t>
        </is>
      </c>
      <c r="B1099" s="3">
        <f>INDEX(Raw_Schedule!B:B,MATCH(A1099,Raw_Schedule!A:A,0))</f>
        <v/>
      </c>
      <c r="C1099" s="3">
        <f>INDEX(Raw_Schedule!C:C,MATCH(A1099,Raw_Schedule!A:A,0))</f>
        <v/>
      </c>
      <c r="D1099" s="3">
        <f>INDEX(Raw_Schedule!D:D,MATCH(A1099,Raw_Schedule!A:A,0))</f>
        <v/>
      </c>
      <c r="E1099" s="3">
        <f>INDEX(Raw_Schedule!E:E,MATCH(A1099,Raw_Schedule!A:A,0))</f>
        <v/>
      </c>
      <c r="F1099" s="3">
        <f>INDEX(Raw_Schedule!F:F,MATCH(A1099,Raw_Schedule!A:A,0))</f>
        <v/>
      </c>
      <c r="G1099" s="4">
        <f>INDEX(Raw_Schedule!G:G,MATCH(A1099,Raw_Schedule!A:A,0))</f>
        <v/>
      </c>
      <c r="H1099" s="5">
        <f>INDEX(Raw_Schedule!H:H,MATCH(A1099,Raw_Schedule!A:A,0))</f>
        <v/>
      </c>
      <c r="I1099" s="5">
        <f>SUMIFS(Raw_Payments!E:E,Raw_Payments!B:B,A1099)</f>
        <v/>
      </c>
      <c r="J1099" s="5">
        <f>H1099-I1099</f>
        <v/>
      </c>
      <c r="K1099" s="3">
        <f>IF(J1099&lt;=0.005,"PAID",IF(I1099&gt;0,"PARTIAL","OVERDUE"))</f>
        <v/>
      </c>
      <c r="L1099" s="4">
        <f>IF(COUNTIFS(Raw_Payments!B:B,A1099)=0,"",SUMPRODUCT(MAX((Raw_Payments!B$2:B$1079=A1099)*Raw_Payments!D$2:D$1079)))</f>
        <v/>
      </c>
      <c r="M1099" s="3">
        <f>IF(K1099="PAID",MAX(0,L1099-G1099),Guide!$B$3-G1099)</f>
        <v/>
      </c>
      <c r="N1099" s="3">
        <f>IF(J1099&lt;=0.005,"COLLECTED",IF(M1099&lt;=30,"1-30",IF(M1099&lt;=60,"31-60",IF(M1099&lt;=90,"61-90","90+"))))</f>
        <v/>
      </c>
      <c r="O1099" s="3">
        <f>IF(N1099="90+","LOST",IF(N1099="61-90","ESCALATE",IF(N1099="31-60","WATCH",IF(N1099="1-30","MILD","OK"))))</f>
        <v/>
      </c>
      <c r="P1099" s="3">
        <f>IF(J1099&gt;0.005,ROW()-1,"")</f>
        <v/>
      </c>
    </row>
    <row r="1100">
      <c r="A1100" s="3" t="inlineStr">
        <is>
          <t>D1099</t>
        </is>
      </c>
      <c r="B1100" s="3">
        <f>INDEX(Raw_Schedule!B:B,MATCH(A1100,Raw_Schedule!A:A,0))</f>
        <v/>
      </c>
      <c r="C1100" s="3">
        <f>INDEX(Raw_Schedule!C:C,MATCH(A1100,Raw_Schedule!A:A,0))</f>
        <v/>
      </c>
      <c r="D1100" s="3">
        <f>INDEX(Raw_Schedule!D:D,MATCH(A1100,Raw_Schedule!A:A,0))</f>
        <v/>
      </c>
      <c r="E1100" s="3">
        <f>INDEX(Raw_Schedule!E:E,MATCH(A1100,Raw_Schedule!A:A,0))</f>
        <v/>
      </c>
      <c r="F1100" s="3">
        <f>INDEX(Raw_Schedule!F:F,MATCH(A1100,Raw_Schedule!A:A,0))</f>
        <v/>
      </c>
      <c r="G1100" s="4">
        <f>INDEX(Raw_Schedule!G:G,MATCH(A1100,Raw_Schedule!A:A,0))</f>
        <v/>
      </c>
      <c r="H1100" s="5">
        <f>INDEX(Raw_Schedule!H:H,MATCH(A1100,Raw_Schedule!A:A,0))</f>
        <v/>
      </c>
      <c r="I1100" s="5">
        <f>SUMIFS(Raw_Payments!E:E,Raw_Payments!B:B,A1100)</f>
        <v/>
      </c>
      <c r="J1100" s="5">
        <f>H1100-I1100</f>
        <v/>
      </c>
      <c r="K1100" s="3">
        <f>IF(J1100&lt;=0.005,"PAID",IF(I1100&gt;0,"PARTIAL","OVERDUE"))</f>
        <v/>
      </c>
      <c r="L1100" s="4">
        <f>IF(COUNTIFS(Raw_Payments!B:B,A1100)=0,"",SUMPRODUCT(MAX((Raw_Payments!B$2:B$1079=A1100)*Raw_Payments!D$2:D$1079)))</f>
        <v/>
      </c>
      <c r="M1100" s="3">
        <f>IF(K1100="PAID",MAX(0,L1100-G1100),Guide!$B$3-G1100)</f>
        <v/>
      </c>
      <c r="N1100" s="3">
        <f>IF(J1100&lt;=0.005,"COLLECTED",IF(M1100&lt;=30,"1-30",IF(M1100&lt;=60,"31-60",IF(M1100&lt;=90,"61-90","90+"))))</f>
        <v/>
      </c>
      <c r="O1100" s="3">
        <f>IF(N1100="90+","LOST",IF(N1100="61-90","ESCALATE",IF(N1100="31-60","WATCH",IF(N1100="1-30","MILD","OK"))))</f>
        <v/>
      </c>
      <c r="P1100" s="3">
        <f>IF(J1100&gt;0.005,ROW()-1,"")</f>
        <v/>
      </c>
    </row>
    <row r="1101">
      <c r="A1101" s="3" t="inlineStr">
        <is>
          <t>D1100</t>
        </is>
      </c>
      <c r="B1101" s="3">
        <f>INDEX(Raw_Schedule!B:B,MATCH(A1101,Raw_Schedule!A:A,0))</f>
        <v/>
      </c>
      <c r="C1101" s="3">
        <f>INDEX(Raw_Schedule!C:C,MATCH(A1101,Raw_Schedule!A:A,0))</f>
        <v/>
      </c>
      <c r="D1101" s="3">
        <f>INDEX(Raw_Schedule!D:D,MATCH(A1101,Raw_Schedule!A:A,0))</f>
        <v/>
      </c>
      <c r="E1101" s="3">
        <f>INDEX(Raw_Schedule!E:E,MATCH(A1101,Raw_Schedule!A:A,0))</f>
        <v/>
      </c>
      <c r="F1101" s="3">
        <f>INDEX(Raw_Schedule!F:F,MATCH(A1101,Raw_Schedule!A:A,0))</f>
        <v/>
      </c>
      <c r="G1101" s="4">
        <f>INDEX(Raw_Schedule!G:G,MATCH(A1101,Raw_Schedule!A:A,0))</f>
        <v/>
      </c>
      <c r="H1101" s="5">
        <f>INDEX(Raw_Schedule!H:H,MATCH(A1101,Raw_Schedule!A:A,0))</f>
        <v/>
      </c>
      <c r="I1101" s="5">
        <f>SUMIFS(Raw_Payments!E:E,Raw_Payments!B:B,A1101)</f>
        <v/>
      </c>
      <c r="J1101" s="5">
        <f>H1101-I1101</f>
        <v/>
      </c>
      <c r="K1101" s="3">
        <f>IF(J1101&lt;=0.005,"PAID",IF(I1101&gt;0,"PARTIAL","OVERDUE"))</f>
        <v/>
      </c>
      <c r="L1101" s="4">
        <f>IF(COUNTIFS(Raw_Payments!B:B,A1101)=0,"",SUMPRODUCT(MAX((Raw_Payments!B$2:B$1079=A1101)*Raw_Payments!D$2:D$1079)))</f>
        <v/>
      </c>
      <c r="M1101" s="3">
        <f>IF(K1101="PAID",MAX(0,L1101-G1101),Guide!$B$3-G1101)</f>
        <v/>
      </c>
      <c r="N1101" s="3">
        <f>IF(J1101&lt;=0.005,"COLLECTED",IF(M1101&lt;=30,"1-30",IF(M1101&lt;=60,"31-60",IF(M1101&lt;=90,"61-90","90+"))))</f>
        <v/>
      </c>
      <c r="O1101" s="3">
        <f>IF(N1101="90+","LOST",IF(N1101="61-90","ESCALATE",IF(N1101="31-60","WATCH",IF(N1101="1-30","MILD","OK"))))</f>
        <v/>
      </c>
      <c r="P1101" s="3">
        <f>IF(J1101&gt;0.005,ROW()-1,"")</f>
        <v/>
      </c>
    </row>
    <row r="1102">
      <c r="A1102" s="3" t="inlineStr">
        <is>
          <t>D1101</t>
        </is>
      </c>
      <c r="B1102" s="3">
        <f>INDEX(Raw_Schedule!B:B,MATCH(A1102,Raw_Schedule!A:A,0))</f>
        <v/>
      </c>
      <c r="C1102" s="3">
        <f>INDEX(Raw_Schedule!C:C,MATCH(A1102,Raw_Schedule!A:A,0))</f>
        <v/>
      </c>
      <c r="D1102" s="3">
        <f>INDEX(Raw_Schedule!D:D,MATCH(A1102,Raw_Schedule!A:A,0))</f>
        <v/>
      </c>
      <c r="E1102" s="3">
        <f>INDEX(Raw_Schedule!E:E,MATCH(A1102,Raw_Schedule!A:A,0))</f>
        <v/>
      </c>
      <c r="F1102" s="3">
        <f>INDEX(Raw_Schedule!F:F,MATCH(A1102,Raw_Schedule!A:A,0))</f>
        <v/>
      </c>
      <c r="G1102" s="4">
        <f>INDEX(Raw_Schedule!G:G,MATCH(A1102,Raw_Schedule!A:A,0))</f>
        <v/>
      </c>
      <c r="H1102" s="5">
        <f>INDEX(Raw_Schedule!H:H,MATCH(A1102,Raw_Schedule!A:A,0))</f>
        <v/>
      </c>
      <c r="I1102" s="5">
        <f>SUMIFS(Raw_Payments!E:E,Raw_Payments!B:B,A1102)</f>
        <v/>
      </c>
      <c r="J1102" s="5">
        <f>H1102-I1102</f>
        <v/>
      </c>
      <c r="K1102" s="3">
        <f>IF(J1102&lt;=0.005,"PAID",IF(I1102&gt;0,"PARTIAL","OVERDUE"))</f>
        <v/>
      </c>
      <c r="L1102" s="4">
        <f>IF(COUNTIFS(Raw_Payments!B:B,A1102)=0,"",SUMPRODUCT(MAX((Raw_Payments!B$2:B$1079=A1102)*Raw_Payments!D$2:D$1079)))</f>
        <v/>
      </c>
      <c r="M1102" s="3">
        <f>IF(K1102="PAID",MAX(0,L1102-G1102),Guide!$B$3-G1102)</f>
        <v/>
      </c>
      <c r="N1102" s="3">
        <f>IF(J1102&lt;=0.005,"COLLECTED",IF(M1102&lt;=30,"1-30",IF(M1102&lt;=60,"31-60",IF(M1102&lt;=90,"61-90","90+"))))</f>
        <v/>
      </c>
      <c r="O1102" s="3">
        <f>IF(N1102="90+","LOST",IF(N1102="61-90","ESCALATE",IF(N1102="31-60","WATCH",IF(N1102="1-30","MILD","OK"))))</f>
        <v/>
      </c>
      <c r="P1102" s="3">
        <f>IF(J1102&gt;0.005,ROW()-1,"")</f>
        <v/>
      </c>
    </row>
    <row r="1103">
      <c r="A1103" s="3" t="inlineStr">
        <is>
          <t>D1102</t>
        </is>
      </c>
      <c r="B1103" s="3">
        <f>INDEX(Raw_Schedule!B:B,MATCH(A1103,Raw_Schedule!A:A,0))</f>
        <v/>
      </c>
      <c r="C1103" s="3">
        <f>INDEX(Raw_Schedule!C:C,MATCH(A1103,Raw_Schedule!A:A,0))</f>
        <v/>
      </c>
      <c r="D1103" s="3">
        <f>INDEX(Raw_Schedule!D:D,MATCH(A1103,Raw_Schedule!A:A,0))</f>
        <v/>
      </c>
      <c r="E1103" s="3">
        <f>INDEX(Raw_Schedule!E:E,MATCH(A1103,Raw_Schedule!A:A,0))</f>
        <v/>
      </c>
      <c r="F1103" s="3">
        <f>INDEX(Raw_Schedule!F:F,MATCH(A1103,Raw_Schedule!A:A,0))</f>
        <v/>
      </c>
      <c r="G1103" s="4">
        <f>INDEX(Raw_Schedule!G:G,MATCH(A1103,Raw_Schedule!A:A,0))</f>
        <v/>
      </c>
      <c r="H1103" s="5">
        <f>INDEX(Raw_Schedule!H:H,MATCH(A1103,Raw_Schedule!A:A,0))</f>
        <v/>
      </c>
      <c r="I1103" s="5">
        <f>SUMIFS(Raw_Payments!E:E,Raw_Payments!B:B,A1103)</f>
        <v/>
      </c>
      <c r="J1103" s="5">
        <f>H1103-I1103</f>
        <v/>
      </c>
      <c r="K1103" s="3">
        <f>IF(J1103&lt;=0.005,"PAID",IF(I1103&gt;0,"PARTIAL","OVERDUE"))</f>
        <v/>
      </c>
      <c r="L1103" s="4">
        <f>IF(COUNTIFS(Raw_Payments!B:B,A1103)=0,"",SUMPRODUCT(MAX((Raw_Payments!B$2:B$1079=A1103)*Raw_Payments!D$2:D$1079)))</f>
        <v/>
      </c>
      <c r="M1103" s="3">
        <f>IF(K1103="PAID",MAX(0,L1103-G1103),Guide!$B$3-G1103)</f>
        <v/>
      </c>
      <c r="N1103" s="3">
        <f>IF(J1103&lt;=0.005,"COLLECTED",IF(M1103&lt;=30,"1-30",IF(M1103&lt;=60,"31-60",IF(M1103&lt;=90,"61-90","90+"))))</f>
        <v/>
      </c>
      <c r="O1103" s="3">
        <f>IF(N1103="90+","LOST",IF(N1103="61-90","ESCALATE",IF(N1103="31-60","WATCH",IF(N1103="1-30","MILD","OK"))))</f>
        <v/>
      </c>
      <c r="P1103" s="3">
        <f>IF(J1103&gt;0.005,ROW()-1,"")</f>
        <v/>
      </c>
    </row>
    <row r="1104">
      <c r="A1104" s="3" t="inlineStr">
        <is>
          <t>D1103</t>
        </is>
      </c>
      <c r="B1104" s="3">
        <f>INDEX(Raw_Schedule!B:B,MATCH(A1104,Raw_Schedule!A:A,0))</f>
        <v/>
      </c>
      <c r="C1104" s="3">
        <f>INDEX(Raw_Schedule!C:C,MATCH(A1104,Raw_Schedule!A:A,0))</f>
        <v/>
      </c>
      <c r="D1104" s="3">
        <f>INDEX(Raw_Schedule!D:D,MATCH(A1104,Raw_Schedule!A:A,0))</f>
        <v/>
      </c>
      <c r="E1104" s="3">
        <f>INDEX(Raw_Schedule!E:E,MATCH(A1104,Raw_Schedule!A:A,0))</f>
        <v/>
      </c>
      <c r="F1104" s="3">
        <f>INDEX(Raw_Schedule!F:F,MATCH(A1104,Raw_Schedule!A:A,0))</f>
        <v/>
      </c>
      <c r="G1104" s="4">
        <f>INDEX(Raw_Schedule!G:G,MATCH(A1104,Raw_Schedule!A:A,0))</f>
        <v/>
      </c>
      <c r="H1104" s="5">
        <f>INDEX(Raw_Schedule!H:H,MATCH(A1104,Raw_Schedule!A:A,0))</f>
        <v/>
      </c>
      <c r="I1104" s="5">
        <f>SUMIFS(Raw_Payments!E:E,Raw_Payments!B:B,A1104)</f>
        <v/>
      </c>
      <c r="J1104" s="5">
        <f>H1104-I1104</f>
        <v/>
      </c>
      <c r="K1104" s="3">
        <f>IF(J1104&lt;=0.005,"PAID",IF(I1104&gt;0,"PARTIAL","OVERDUE"))</f>
        <v/>
      </c>
      <c r="L1104" s="4">
        <f>IF(COUNTIFS(Raw_Payments!B:B,A1104)=0,"",SUMPRODUCT(MAX((Raw_Payments!B$2:B$1079=A1104)*Raw_Payments!D$2:D$1079)))</f>
        <v/>
      </c>
      <c r="M1104" s="3">
        <f>IF(K1104="PAID",MAX(0,L1104-G1104),Guide!$B$3-G1104)</f>
        <v/>
      </c>
      <c r="N1104" s="3">
        <f>IF(J1104&lt;=0.005,"COLLECTED",IF(M1104&lt;=30,"1-30",IF(M1104&lt;=60,"31-60",IF(M1104&lt;=90,"61-90","90+"))))</f>
        <v/>
      </c>
      <c r="O1104" s="3">
        <f>IF(N1104="90+","LOST",IF(N1104="61-90","ESCALATE",IF(N1104="31-60","WATCH",IF(N1104="1-30","MILD","OK"))))</f>
        <v/>
      </c>
      <c r="P1104" s="3">
        <f>IF(J1104&gt;0.005,ROW()-1,"")</f>
        <v/>
      </c>
    </row>
    <row r="1105">
      <c r="A1105" s="3" t="inlineStr">
        <is>
          <t>D1104</t>
        </is>
      </c>
      <c r="B1105" s="3">
        <f>INDEX(Raw_Schedule!B:B,MATCH(A1105,Raw_Schedule!A:A,0))</f>
        <v/>
      </c>
      <c r="C1105" s="3">
        <f>INDEX(Raw_Schedule!C:C,MATCH(A1105,Raw_Schedule!A:A,0))</f>
        <v/>
      </c>
      <c r="D1105" s="3">
        <f>INDEX(Raw_Schedule!D:D,MATCH(A1105,Raw_Schedule!A:A,0))</f>
        <v/>
      </c>
      <c r="E1105" s="3">
        <f>INDEX(Raw_Schedule!E:E,MATCH(A1105,Raw_Schedule!A:A,0))</f>
        <v/>
      </c>
      <c r="F1105" s="3">
        <f>INDEX(Raw_Schedule!F:F,MATCH(A1105,Raw_Schedule!A:A,0))</f>
        <v/>
      </c>
      <c r="G1105" s="4">
        <f>INDEX(Raw_Schedule!G:G,MATCH(A1105,Raw_Schedule!A:A,0))</f>
        <v/>
      </c>
      <c r="H1105" s="5">
        <f>INDEX(Raw_Schedule!H:H,MATCH(A1105,Raw_Schedule!A:A,0))</f>
        <v/>
      </c>
      <c r="I1105" s="5">
        <f>SUMIFS(Raw_Payments!E:E,Raw_Payments!B:B,A1105)</f>
        <v/>
      </c>
      <c r="J1105" s="5">
        <f>H1105-I1105</f>
        <v/>
      </c>
      <c r="K1105" s="3">
        <f>IF(J1105&lt;=0.005,"PAID",IF(I1105&gt;0,"PARTIAL","OVERDUE"))</f>
        <v/>
      </c>
      <c r="L1105" s="4">
        <f>IF(COUNTIFS(Raw_Payments!B:B,A1105)=0,"",SUMPRODUCT(MAX((Raw_Payments!B$2:B$1079=A1105)*Raw_Payments!D$2:D$1079)))</f>
        <v/>
      </c>
      <c r="M1105" s="3">
        <f>IF(K1105="PAID",MAX(0,L1105-G1105),Guide!$B$3-G1105)</f>
        <v/>
      </c>
      <c r="N1105" s="3">
        <f>IF(J1105&lt;=0.005,"COLLECTED",IF(M1105&lt;=30,"1-30",IF(M1105&lt;=60,"31-60",IF(M1105&lt;=90,"61-90","90+"))))</f>
        <v/>
      </c>
      <c r="O1105" s="3">
        <f>IF(N1105="90+","LOST",IF(N1105="61-90","ESCALATE",IF(N1105="31-60","WATCH",IF(N1105="1-30","MILD","OK"))))</f>
        <v/>
      </c>
      <c r="P1105" s="3">
        <f>IF(J1105&gt;0.005,ROW()-1,"")</f>
        <v/>
      </c>
    </row>
    <row r="1106">
      <c r="A1106" s="3" t="inlineStr">
        <is>
          <t>D1105</t>
        </is>
      </c>
      <c r="B1106" s="3">
        <f>INDEX(Raw_Schedule!B:B,MATCH(A1106,Raw_Schedule!A:A,0))</f>
        <v/>
      </c>
      <c r="C1106" s="3">
        <f>INDEX(Raw_Schedule!C:C,MATCH(A1106,Raw_Schedule!A:A,0))</f>
        <v/>
      </c>
      <c r="D1106" s="3">
        <f>INDEX(Raw_Schedule!D:D,MATCH(A1106,Raw_Schedule!A:A,0))</f>
        <v/>
      </c>
      <c r="E1106" s="3">
        <f>INDEX(Raw_Schedule!E:E,MATCH(A1106,Raw_Schedule!A:A,0))</f>
        <v/>
      </c>
      <c r="F1106" s="3">
        <f>INDEX(Raw_Schedule!F:F,MATCH(A1106,Raw_Schedule!A:A,0))</f>
        <v/>
      </c>
      <c r="G1106" s="4">
        <f>INDEX(Raw_Schedule!G:G,MATCH(A1106,Raw_Schedule!A:A,0))</f>
        <v/>
      </c>
      <c r="H1106" s="5">
        <f>INDEX(Raw_Schedule!H:H,MATCH(A1106,Raw_Schedule!A:A,0))</f>
        <v/>
      </c>
      <c r="I1106" s="5">
        <f>SUMIFS(Raw_Payments!E:E,Raw_Payments!B:B,A1106)</f>
        <v/>
      </c>
      <c r="J1106" s="5">
        <f>H1106-I1106</f>
        <v/>
      </c>
      <c r="K1106" s="3">
        <f>IF(J1106&lt;=0.005,"PAID",IF(I1106&gt;0,"PARTIAL","OVERDUE"))</f>
        <v/>
      </c>
      <c r="L1106" s="4">
        <f>IF(COUNTIFS(Raw_Payments!B:B,A1106)=0,"",SUMPRODUCT(MAX((Raw_Payments!B$2:B$1079=A1106)*Raw_Payments!D$2:D$1079)))</f>
        <v/>
      </c>
      <c r="M1106" s="3">
        <f>IF(K1106="PAID",MAX(0,L1106-G1106),Guide!$B$3-G1106)</f>
        <v/>
      </c>
      <c r="N1106" s="3">
        <f>IF(J1106&lt;=0.005,"COLLECTED",IF(M1106&lt;=30,"1-30",IF(M1106&lt;=60,"31-60",IF(M1106&lt;=90,"61-90","90+"))))</f>
        <v/>
      </c>
      <c r="O1106" s="3">
        <f>IF(N1106="90+","LOST",IF(N1106="61-90","ESCALATE",IF(N1106="31-60","WATCH",IF(N1106="1-30","MILD","OK"))))</f>
        <v/>
      </c>
      <c r="P1106" s="3">
        <f>IF(J1106&gt;0.005,ROW()-1,"")</f>
        <v/>
      </c>
    </row>
    <row r="1107">
      <c r="A1107" s="3" t="inlineStr">
        <is>
          <t>D1106</t>
        </is>
      </c>
      <c r="B1107" s="3">
        <f>INDEX(Raw_Schedule!B:B,MATCH(A1107,Raw_Schedule!A:A,0))</f>
        <v/>
      </c>
      <c r="C1107" s="3">
        <f>INDEX(Raw_Schedule!C:C,MATCH(A1107,Raw_Schedule!A:A,0))</f>
        <v/>
      </c>
      <c r="D1107" s="3">
        <f>INDEX(Raw_Schedule!D:D,MATCH(A1107,Raw_Schedule!A:A,0))</f>
        <v/>
      </c>
      <c r="E1107" s="3">
        <f>INDEX(Raw_Schedule!E:E,MATCH(A1107,Raw_Schedule!A:A,0))</f>
        <v/>
      </c>
      <c r="F1107" s="3">
        <f>INDEX(Raw_Schedule!F:F,MATCH(A1107,Raw_Schedule!A:A,0))</f>
        <v/>
      </c>
      <c r="G1107" s="4">
        <f>INDEX(Raw_Schedule!G:G,MATCH(A1107,Raw_Schedule!A:A,0))</f>
        <v/>
      </c>
      <c r="H1107" s="5">
        <f>INDEX(Raw_Schedule!H:H,MATCH(A1107,Raw_Schedule!A:A,0))</f>
        <v/>
      </c>
      <c r="I1107" s="5">
        <f>SUMIFS(Raw_Payments!E:E,Raw_Payments!B:B,A1107)</f>
        <v/>
      </c>
      <c r="J1107" s="5">
        <f>H1107-I1107</f>
        <v/>
      </c>
      <c r="K1107" s="3">
        <f>IF(J1107&lt;=0.005,"PAID",IF(I1107&gt;0,"PARTIAL","OVERDUE"))</f>
        <v/>
      </c>
      <c r="L1107" s="4">
        <f>IF(COUNTIFS(Raw_Payments!B:B,A1107)=0,"",SUMPRODUCT(MAX((Raw_Payments!B$2:B$1079=A1107)*Raw_Payments!D$2:D$1079)))</f>
        <v/>
      </c>
      <c r="M1107" s="3">
        <f>IF(K1107="PAID",MAX(0,L1107-G1107),Guide!$B$3-G1107)</f>
        <v/>
      </c>
      <c r="N1107" s="3">
        <f>IF(J1107&lt;=0.005,"COLLECTED",IF(M1107&lt;=30,"1-30",IF(M1107&lt;=60,"31-60",IF(M1107&lt;=90,"61-90","90+"))))</f>
        <v/>
      </c>
      <c r="O1107" s="3">
        <f>IF(N1107="90+","LOST",IF(N1107="61-90","ESCALATE",IF(N1107="31-60","WATCH",IF(N1107="1-30","MILD","OK"))))</f>
        <v/>
      </c>
      <c r="P1107" s="3">
        <f>IF(J1107&gt;0.005,ROW()-1,"")</f>
        <v/>
      </c>
    </row>
    <row r="1108">
      <c r="A1108" s="3" t="inlineStr">
        <is>
          <t>D1107</t>
        </is>
      </c>
      <c r="B1108" s="3">
        <f>INDEX(Raw_Schedule!B:B,MATCH(A1108,Raw_Schedule!A:A,0))</f>
        <v/>
      </c>
      <c r="C1108" s="3">
        <f>INDEX(Raw_Schedule!C:C,MATCH(A1108,Raw_Schedule!A:A,0))</f>
        <v/>
      </c>
      <c r="D1108" s="3">
        <f>INDEX(Raw_Schedule!D:D,MATCH(A1108,Raw_Schedule!A:A,0))</f>
        <v/>
      </c>
      <c r="E1108" s="3">
        <f>INDEX(Raw_Schedule!E:E,MATCH(A1108,Raw_Schedule!A:A,0))</f>
        <v/>
      </c>
      <c r="F1108" s="3">
        <f>INDEX(Raw_Schedule!F:F,MATCH(A1108,Raw_Schedule!A:A,0))</f>
        <v/>
      </c>
      <c r="G1108" s="4">
        <f>INDEX(Raw_Schedule!G:G,MATCH(A1108,Raw_Schedule!A:A,0))</f>
        <v/>
      </c>
      <c r="H1108" s="5">
        <f>INDEX(Raw_Schedule!H:H,MATCH(A1108,Raw_Schedule!A:A,0))</f>
        <v/>
      </c>
      <c r="I1108" s="5">
        <f>SUMIFS(Raw_Payments!E:E,Raw_Payments!B:B,A1108)</f>
        <v/>
      </c>
      <c r="J1108" s="5">
        <f>H1108-I1108</f>
        <v/>
      </c>
      <c r="K1108" s="3">
        <f>IF(J1108&lt;=0.005,"PAID",IF(I1108&gt;0,"PARTIAL","OVERDUE"))</f>
        <v/>
      </c>
      <c r="L1108" s="4">
        <f>IF(COUNTIFS(Raw_Payments!B:B,A1108)=0,"",SUMPRODUCT(MAX((Raw_Payments!B$2:B$1079=A1108)*Raw_Payments!D$2:D$1079)))</f>
        <v/>
      </c>
      <c r="M1108" s="3">
        <f>IF(K1108="PAID",MAX(0,L1108-G1108),Guide!$B$3-G1108)</f>
        <v/>
      </c>
      <c r="N1108" s="3">
        <f>IF(J1108&lt;=0.005,"COLLECTED",IF(M1108&lt;=30,"1-30",IF(M1108&lt;=60,"31-60",IF(M1108&lt;=90,"61-90","90+"))))</f>
        <v/>
      </c>
      <c r="O1108" s="3">
        <f>IF(N1108="90+","LOST",IF(N1108="61-90","ESCALATE",IF(N1108="31-60","WATCH",IF(N1108="1-30","MILD","OK"))))</f>
        <v/>
      </c>
      <c r="P1108" s="3">
        <f>IF(J1108&gt;0.005,ROW()-1,"")</f>
        <v/>
      </c>
    </row>
    <row r="1109">
      <c r="A1109" s="3" t="inlineStr">
        <is>
          <t>D1108</t>
        </is>
      </c>
      <c r="B1109" s="3">
        <f>INDEX(Raw_Schedule!B:B,MATCH(A1109,Raw_Schedule!A:A,0))</f>
        <v/>
      </c>
      <c r="C1109" s="3">
        <f>INDEX(Raw_Schedule!C:C,MATCH(A1109,Raw_Schedule!A:A,0))</f>
        <v/>
      </c>
      <c r="D1109" s="3">
        <f>INDEX(Raw_Schedule!D:D,MATCH(A1109,Raw_Schedule!A:A,0))</f>
        <v/>
      </c>
      <c r="E1109" s="3">
        <f>INDEX(Raw_Schedule!E:E,MATCH(A1109,Raw_Schedule!A:A,0))</f>
        <v/>
      </c>
      <c r="F1109" s="3">
        <f>INDEX(Raw_Schedule!F:F,MATCH(A1109,Raw_Schedule!A:A,0))</f>
        <v/>
      </c>
      <c r="G1109" s="4">
        <f>INDEX(Raw_Schedule!G:G,MATCH(A1109,Raw_Schedule!A:A,0))</f>
        <v/>
      </c>
      <c r="H1109" s="5">
        <f>INDEX(Raw_Schedule!H:H,MATCH(A1109,Raw_Schedule!A:A,0))</f>
        <v/>
      </c>
      <c r="I1109" s="5">
        <f>SUMIFS(Raw_Payments!E:E,Raw_Payments!B:B,A1109)</f>
        <v/>
      </c>
      <c r="J1109" s="5">
        <f>H1109-I1109</f>
        <v/>
      </c>
      <c r="K1109" s="3">
        <f>IF(J1109&lt;=0.005,"PAID",IF(I1109&gt;0,"PARTIAL","OVERDUE"))</f>
        <v/>
      </c>
      <c r="L1109" s="4">
        <f>IF(COUNTIFS(Raw_Payments!B:B,A1109)=0,"",SUMPRODUCT(MAX((Raw_Payments!B$2:B$1079=A1109)*Raw_Payments!D$2:D$1079)))</f>
        <v/>
      </c>
      <c r="M1109" s="3">
        <f>IF(K1109="PAID",MAX(0,L1109-G1109),Guide!$B$3-G1109)</f>
        <v/>
      </c>
      <c r="N1109" s="3">
        <f>IF(J1109&lt;=0.005,"COLLECTED",IF(M1109&lt;=30,"1-30",IF(M1109&lt;=60,"31-60",IF(M1109&lt;=90,"61-90","90+"))))</f>
        <v/>
      </c>
      <c r="O1109" s="3">
        <f>IF(N1109="90+","LOST",IF(N1109="61-90","ESCALATE",IF(N1109="31-60","WATCH",IF(N1109="1-30","MILD","OK"))))</f>
        <v/>
      </c>
      <c r="P1109" s="3">
        <f>IF(J1109&gt;0.005,ROW()-1,"")</f>
        <v/>
      </c>
    </row>
    <row r="1110">
      <c r="A1110" s="3" t="inlineStr">
        <is>
          <t>D1109</t>
        </is>
      </c>
      <c r="B1110" s="3">
        <f>INDEX(Raw_Schedule!B:B,MATCH(A1110,Raw_Schedule!A:A,0))</f>
        <v/>
      </c>
      <c r="C1110" s="3">
        <f>INDEX(Raw_Schedule!C:C,MATCH(A1110,Raw_Schedule!A:A,0))</f>
        <v/>
      </c>
      <c r="D1110" s="3">
        <f>INDEX(Raw_Schedule!D:D,MATCH(A1110,Raw_Schedule!A:A,0))</f>
        <v/>
      </c>
      <c r="E1110" s="3">
        <f>INDEX(Raw_Schedule!E:E,MATCH(A1110,Raw_Schedule!A:A,0))</f>
        <v/>
      </c>
      <c r="F1110" s="3">
        <f>INDEX(Raw_Schedule!F:F,MATCH(A1110,Raw_Schedule!A:A,0))</f>
        <v/>
      </c>
      <c r="G1110" s="4">
        <f>INDEX(Raw_Schedule!G:G,MATCH(A1110,Raw_Schedule!A:A,0))</f>
        <v/>
      </c>
      <c r="H1110" s="5">
        <f>INDEX(Raw_Schedule!H:H,MATCH(A1110,Raw_Schedule!A:A,0))</f>
        <v/>
      </c>
      <c r="I1110" s="5">
        <f>SUMIFS(Raw_Payments!E:E,Raw_Payments!B:B,A1110)</f>
        <v/>
      </c>
      <c r="J1110" s="5">
        <f>H1110-I1110</f>
        <v/>
      </c>
      <c r="K1110" s="3">
        <f>IF(J1110&lt;=0.005,"PAID",IF(I1110&gt;0,"PARTIAL","OVERDUE"))</f>
        <v/>
      </c>
      <c r="L1110" s="4">
        <f>IF(COUNTIFS(Raw_Payments!B:B,A1110)=0,"",SUMPRODUCT(MAX((Raw_Payments!B$2:B$1079=A1110)*Raw_Payments!D$2:D$1079)))</f>
        <v/>
      </c>
      <c r="M1110" s="3">
        <f>IF(K1110="PAID",MAX(0,L1110-G1110),Guide!$B$3-G1110)</f>
        <v/>
      </c>
      <c r="N1110" s="3">
        <f>IF(J1110&lt;=0.005,"COLLECTED",IF(M1110&lt;=30,"1-30",IF(M1110&lt;=60,"31-60",IF(M1110&lt;=90,"61-90","90+"))))</f>
        <v/>
      </c>
      <c r="O1110" s="3">
        <f>IF(N1110="90+","LOST",IF(N1110="61-90","ESCALATE",IF(N1110="31-60","WATCH",IF(N1110="1-30","MILD","OK"))))</f>
        <v/>
      </c>
      <c r="P1110" s="3">
        <f>IF(J1110&gt;0.005,ROW()-1,"")</f>
        <v/>
      </c>
    </row>
    <row r="1111">
      <c r="A1111" s="3" t="inlineStr">
        <is>
          <t>D1110</t>
        </is>
      </c>
      <c r="B1111" s="3">
        <f>INDEX(Raw_Schedule!B:B,MATCH(A1111,Raw_Schedule!A:A,0))</f>
        <v/>
      </c>
      <c r="C1111" s="3">
        <f>INDEX(Raw_Schedule!C:C,MATCH(A1111,Raw_Schedule!A:A,0))</f>
        <v/>
      </c>
      <c r="D1111" s="3">
        <f>INDEX(Raw_Schedule!D:D,MATCH(A1111,Raw_Schedule!A:A,0))</f>
        <v/>
      </c>
      <c r="E1111" s="3">
        <f>INDEX(Raw_Schedule!E:E,MATCH(A1111,Raw_Schedule!A:A,0))</f>
        <v/>
      </c>
      <c r="F1111" s="3">
        <f>INDEX(Raw_Schedule!F:F,MATCH(A1111,Raw_Schedule!A:A,0))</f>
        <v/>
      </c>
      <c r="G1111" s="4">
        <f>INDEX(Raw_Schedule!G:G,MATCH(A1111,Raw_Schedule!A:A,0))</f>
        <v/>
      </c>
      <c r="H1111" s="5">
        <f>INDEX(Raw_Schedule!H:H,MATCH(A1111,Raw_Schedule!A:A,0))</f>
        <v/>
      </c>
      <c r="I1111" s="5">
        <f>SUMIFS(Raw_Payments!E:E,Raw_Payments!B:B,A1111)</f>
        <v/>
      </c>
      <c r="J1111" s="5">
        <f>H1111-I1111</f>
        <v/>
      </c>
      <c r="K1111" s="3">
        <f>IF(J1111&lt;=0.005,"PAID",IF(I1111&gt;0,"PARTIAL","OVERDUE"))</f>
        <v/>
      </c>
      <c r="L1111" s="4">
        <f>IF(COUNTIFS(Raw_Payments!B:B,A1111)=0,"",SUMPRODUCT(MAX((Raw_Payments!B$2:B$1079=A1111)*Raw_Payments!D$2:D$1079)))</f>
        <v/>
      </c>
      <c r="M1111" s="3">
        <f>IF(K1111="PAID",MAX(0,L1111-G1111),Guide!$B$3-G1111)</f>
        <v/>
      </c>
      <c r="N1111" s="3">
        <f>IF(J1111&lt;=0.005,"COLLECTED",IF(M1111&lt;=30,"1-30",IF(M1111&lt;=60,"31-60",IF(M1111&lt;=90,"61-90","90+"))))</f>
        <v/>
      </c>
      <c r="O1111" s="3">
        <f>IF(N1111="90+","LOST",IF(N1111="61-90","ESCALATE",IF(N1111="31-60","WATCH",IF(N1111="1-30","MILD","OK"))))</f>
        <v/>
      </c>
      <c r="P1111" s="3">
        <f>IF(J1111&gt;0.005,ROW()-1,"")</f>
        <v/>
      </c>
    </row>
    <row r="1112">
      <c r="A1112" s="3" t="inlineStr">
        <is>
          <t>D1111</t>
        </is>
      </c>
      <c r="B1112" s="3">
        <f>INDEX(Raw_Schedule!B:B,MATCH(A1112,Raw_Schedule!A:A,0))</f>
        <v/>
      </c>
      <c r="C1112" s="3">
        <f>INDEX(Raw_Schedule!C:C,MATCH(A1112,Raw_Schedule!A:A,0))</f>
        <v/>
      </c>
      <c r="D1112" s="3">
        <f>INDEX(Raw_Schedule!D:D,MATCH(A1112,Raw_Schedule!A:A,0))</f>
        <v/>
      </c>
      <c r="E1112" s="3">
        <f>INDEX(Raw_Schedule!E:E,MATCH(A1112,Raw_Schedule!A:A,0))</f>
        <v/>
      </c>
      <c r="F1112" s="3">
        <f>INDEX(Raw_Schedule!F:F,MATCH(A1112,Raw_Schedule!A:A,0))</f>
        <v/>
      </c>
      <c r="G1112" s="4">
        <f>INDEX(Raw_Schedule!G:G,MATCH(A1112,Raw_Schedule!A:A,0))</f>
        <v/>
      </c>
      <c r="H1112" s="5">
        <f>INDEX(Raw_Schedule!H:H,MATCH(A1112,Raw_Schedule!A:A,0))</f>
        <v/>
      </c>
      <c r="I1112" s="5">
        <f>SUMIFS(Raw_Payments!E:E,Raw_Payments!B:B,A1112)</f>
        <v/>
      </c>
      <c r="J1112" s="5">
        <f>H1112-I1112</f>
        <v/>
      </c>
      <c r="K1112" s="3">
        <f>IF(J1112&lt;=0.005,"PAID",IF(I1112&gt;0,"PARTIAL","OVERDUE"))</f>
        <v/>
      </c>
      <c r="L1112" s="4">
        <f>IF(COUNTIFS(Raw_Payments!B:B,A1112)=0,"",SUMPRODUCT(MAX((Raw_Payments!B$2:B$1079=A1112)*Raw_Payments!D$2:D$1079)))</f>
        <v/>
      </c>
      <c r="M1112" s="3">
        <f>IF(K1112="PAID",MAX(0,L1112-G1112),Guide!$B$3-G1112)</f>
        <v/>
      </c>
      <c r="N1112" s="3">
        <f>IF(J1112&lt;=0.005,"COLLECTED",IF(M1112&lt;=30,"1-30",IF(M1112&lt;=60,"31-60",IF(M1112&lt;=90,"61-90","90+"))))</f>
        <v/>
      </c>
      <c r="O1112" s="3">
        <f>IF(N1112="90+","LOST",IF(N1112="61-90","ESCALATE",IF(N1112="31-60","WATCH",IF(N1112="1-30","MILD","OK"))))</f>
        <v/>
      </c>
      <c r="P1112" s="3">
        <f>IF(J1112&gt;0.005,ROW()-1,"")</f>
        <v/>
      </c>
    </row>
    <row r="1113">
      <c r="A1113" s="3" t="inlineStr">
        <is>
          <t>D1112</t>
        </is>
      </c>
      <c r="B1113" s="3">
        <f>INDEX(Raw_Schedule!B:B,MATCH(A1113,Raw_Schedule!A:A,0))</f>
        <v/>
      </c>
      <c r="C1113" s="3">
        <f>INDEX(Raw_Schedule!C:C,MATCH(A1113,Raw_Schedule!A:A,0))</f>
        <v/>
      </c>
      <c r="D1113" s="3">
        <f>INDEX(Raw_Schedule!D:D,MATCH(A1113,Raw_Schedule!A:A,0))</f>
        <v/>
      </c>
      <c r="E1113" s="3">
        <f>INDEX(Raw_Schedule!E:E,MATCH(A1113,Raw_Schedule!A:A,0))</f>
        <v/>
      </c>
      <c r="F1113" s="3">
        <f>INDEX(Raw_Schedule!F:F,MATCH(A1113,Raw_Schedule!A:A,0))</f>
        <v/>
      </c>
      <c r="G1113" s="4">
        <f>INDEX(Raw_Schedule!G:G,MATCH(A1113,Raw_Schedule!A:A,0))</f>
        <v/>
      </c>
      <c r="H1113" s="5">
        <f>INDEX(Raw_Schedule!H:H,MATCH(A1113,Raw_Schedule!A:A,0))</f>
        <v/>
      </c>
      <c r="I1113" s="5">
        <f>SUMIFS(Raw_Payments!E:E,Raw_Payments!B:B,A1113)</f>
        <v/>
      </c>
      <c r="J1113" s="5">
        <f>H1113-I1113</f>
        <v/>
      </c>
      <c r="K1113" s="3">
        <f>IF(J1113&lt;=0.005,"PAID",IF(I1113&gt;0,"PARTIAL","OVERDUE"))</f>
        <v/>
      </c>
      <c r="L1113" s="4">
        <f>IF(COUNTIFS(Raw_Payments!B:B,A1113)=0,"",SUMPRODUCT(MAX((Raw_Payments!B$2:B$1079=A1113)*Raw_Payments!D$2:D$1079)))</f>
        <v/>
      </c>
      <c r="M1113" s="3">
        <f>IF(K1113="PAID",MAX(0,L1113-G1113),Guide!$B$3-G1113)</f>
        <v/>
      </c>
      <c r="N1113" s="3">
        <f>IF(J1113&lt;=0.005,"COLLECTED",IF(M1113&lt;=30,"1-30",IF(M1113&lt;=60,"31-60",IF(M1113&lt;=90,"61-90","90+"))))</f>
        <v/>
      </c>
      <c r="O1113" s="3">
        <f>IF(N1113="90+","LOST",IF(N1113="61-90","ESCALATE",IF(N1113="31-60","WATCH",IF(N1113="1-30","MILD","OK"))))</f>
        <v/>
      </c>
      <c r="P1113" s="3">
        <f>IF(J1113&gt;0.005,ROW()-1,"")</f>
        <v/>
      </c>
    </row>
    <row r="1114">
      <c r="A1114" s="3" t="inlineStr">
        <is>
          <t>D1113</t>
        </is>
      </c>
      <c r="B1114" s="3">
        <f>INDEX(Raw_Schedule!B:B,MATCH(A1114,Raw_Schedule!A:A,0))</f>
        <v/>
      </c>
      <c r="C1114" s="3">
        <f>INDEX(Raw_Schedule!C:C,MATCH(A1114,Raw_Schedule!A:A,0))</f>
        <v/>
      </c>
      <c r="D1114" s="3">
        <f>INDEX(Raw_Schedule!D:D,MATCH(A1114,Raw_Schedule!A:A,0))</f>
        <v/>
      </c>
      <c r="E1114" s="3">
        <f>INDEX(Raw_Schedule!E:E,MATCH(A1114,Raw_Schedule!A:A,0))</f>
        <v/>
      </c>
      <c r="F1114" s="3">
        <f>INDEX(Raw_Schedule!F:F,MATCH(A1114,Raw_Schedule!A:A,0))</f>
        <v/>
      </c>
      <c r="G1114" s="4">
        <f>INDEX(Raw_Schedule!G:G,MATCH(A1114,Raw_Schedule!A:A,0))</f>
        <v/>
      </c>
      <c r="H1114" s="5">
        <f>INDEX(Raw_Schedule!H:H,MATCH(A1114,Raw_Schedule!A:A,0))</f>
        <v/>
      </c>
      <c r="I1114" s="5">
        <f>SUMIFS(Raw_Payments!E:E,Raw_Payments!B:B,A1114)</f>
        <v/>
      </c>
      <c r="J1114" s="5">
        <f>H1114-I1114</f>
        <v/>
      </c>
      <c r="K1114" s="3">
        <f>IF(J1114&lt;=0.005,"PAID",IF(I1114&gt;0,"PARTIAL","OVERDUE"))</f>
        <v/>
      </c>
      <c r="L1114" s="4">
        <f>IF(COUNTIFS(Raw_Payments!B:B,A1114)=0,"",SUMPRODUCT(MAX((Raw_Payments!B$2:B$1079=A1114)*Raw_Payments!D$2:D$1079)))</f>
        <v/>
      </c>
      <c r="M1114" s="3">
        <f>IF(K1114="PAID",MAX(0,L1114-G1114),Guide!$B$3-G1114)</f>
        <v/>
      </c>
      <c r="N1114" s="3">
        <f>IF(J1114&lt;=0.005,"COLLECTED",IF(M1114&lt;=30,"1-30",IF(M1114&lt;=60,"31-60",IF(M1114&lt;=90,"61-90","90+"))))</f>
        <v/>
      </c>
      <c r="O1114" s="3">
        <f>IF(N1114="90+","LOST",IF(N1114="61-90","ESCALATE",IF(N1114="31-60","WATCH",IF(N1114="1-30","MILD","OK"))))</f>
        <v/>
      </c>
      <c r="P1114" s="3">
        <f>IF(J1114&gt;0.005,ROW()-1,"")</f>
        <v/>
      </c>
    </row>
    <row r="1115">
      <c r="A1115" s="3" t="inlineStr">
        <is>
          <t>D1114</t>
        </is>
      </c>
      <c r="B1115" s="3">
        <f>INDEX(Raw_Schedule!B:B,MATCH(A1115,Raw_Schedule!A:A,0))</f>
        <v/>
      </c>
      <c r="C1115" s="3">
        <f>INDEX(Raw_Schedule!C:C,MATCH(A1115,Raw_Schedule!A:A,0))</f>
        <v/>
      </c>
      <c r="D1115" s="3">
        <f>INDEX(Raw_Schedule!D:D,MATCH(A1115,Raw_Schedule!A:A,0))</f>
        <v/>
      </c>
      <c r="E1115" s="3">
        <f>INDEX(Raw_Schedule!E:E,MATCH(A1115,Raw_Schedule!A:A,0))</f>
        <v/>
      </c>
      <c r="F1115" s="3">
        <f>INDEX(Raw_Schedule!F:F,MATCH(A1115,Raw_Schedule!A:A,0))</f>
        <v/>
      </c>
      <c r="G1115" s="4">
        <f>INDEX(Raw_Schedule!G:G,MATCH(A1115,Raw_Schedule!A:A,0))</f>
        <v/>
      </c>
      <c r="H1115" s="5">
        <f>INDEX(Raw_Schedule!H:H,MATCH(A1115,Raw_Schedule!A:A,0))</f>
        <v/>
      </c>
      <c r="I1115" s="5">
        <f>SUMIFS(Raw_Payments!E:E,Raw_Payments!B:B,A1115)</f>
        <v/>
      </c>
      <c r="J1115" s="5">
        <f>H1115-I1115</f>
        <v/>
      </c>
      <c r="K1115" s="3">
        <f>IF(J1115&lt;=0.005,"PAID",IF(I1115&gt;0,"PARTIAL","OVERDUE"))</f>
        <v/>
      </c>
      <c r="L1115" s="4">
        <f>IF(COUNTIFS(Raw_Payments!B:B,A1115)=0,"",SUMPRODUCT(MAX((Raw_Payments!B$2:B$1079=A1115)*Raw_Payments!D$2:D$1079)))</f>
        <v/>
      </c>
      <c r="M1115" s="3">
        <f>IF(K1115="PAID",MAX(0,L1115-G1115),Guide!$B$3-G1115)</f>
        <v/>
      </c>
      <c r="N1115" s="3">
        <f>IF(J1115&lt;=0.005,"COLLECTED",IF(M1115&lt;=30,"1-30",IF(M1115&lt;=60,"31-60",IF(M1115&lt;=90,"61-90","90+"))))</f>
        <v/>
      </c>
      <c r="O1115" s="3">
        <f>IF(N1115="90+","LOST",IF(N1115="61-90","ESCALATE",IF(N1115="31-60","WATCH",IF(N1115="1-30","MILD","OK"))))</f>
        <v/>
      </c>
      <c r="P1115" s="3">
        <f>IF(J1115&gt;0.005,ROW()-1,"")</f>
        <v/>
      </c>
    </row>
    <row r="1116">
      <c r="A1116" s="3" t="inlineStr">
        <is>
          <t>D1115</t>
        </is>
      </c>
      <c r="B1116" s="3">
        <f>INDEX(Raw_Schedule!B:B,MATCH(A1116,Raw_Schedule!A:A,0))</f>
        <v/>
      </c>
      <c r="C1116" s="3">
        <f>INDEX(Raw_Schedule!C:C,MATCH(A1116,Raw_Schedule!A:A,0))</f>
        <v/>
      </c>
      <c r="D1116" s="3">
        <f>INDEX(Raw_Schedule!D:D,MATCH(A1116,Raw_Schedule!A:A,0))</f>
        <v/>
      </c>
      <c r="E1116" s="3">
        <f>INDEX(Raw_Schedule!E:E,MATCH(A1116,Raw_Schedule!A:A,0))</f>
        <v/>
      </c>
      <c r="F1116" s="3">
        <f>INDEX(Raw_Schedule!F:F,MATCH(A1116,Raw_Schedule!A:A,0))</f>
        <v/>
      </c>
      <c r="G1116" s="4">
        <f>INDEX(Raw_Schedule!G:G,MATCH(A1116,Raw_Schedule!A:A,0))</f>
        <v/>
      </c>
      <c r="H1116" s="5">
        <f>INDEX(Raw_Schedule!H:H,MATCH(A1116,Raw_Schedule!A:A,0))</f>
        <v/>
      </c>
      <c r="I1116" s="5">
        <f>SUMIFS(Raw_Payments!E:E,Raw_Payments!B:B,A1116)</f>
        <v/>
      </c>
      <c r="J1116" s="5">
        <f>H1116-I1116</f>
        <v/>
      </c>
      <c r="K1116" s="3">
        <f>IF(J1116&lt;=0.005,"PAID",IF(I1116&gt;0,"PARTIAL","OVERDUE"))</f>
        <v/>
      </c>
      <c r="L1116" s="4">
        <f>IF(COUNTIFS(Raw_Payments!B:B,A1116)=0,"",SUMPRODUCT(MAX((Raw_Payments!B$2:B$1079=A1116)*Raw_Payments!D$2:D$1079)))</f>
        <v/>
      </c>
      <c r="M1116" s="3">
        <f>IF(K1116="PAID",MAX(0,L1116-G1116),Guide!$B$3-G1116)</f>
        <v/>
      </c>
      <c r="N1116" s="3">
        <f>IF(J1116&lt;=0.005,"COLLECTED",IF(M1116&lt;=30,"1-30",IF(M1116&lt;=60,"31-60",IF(M1116&lt;=90,"61-90","90+"))))</f>
        <v/>
      </c>
      <c r="O1116" s="3">
        <f>IF(N1116="90+","LOST",IF(N1116="61-90","ESCALATE",IF(N1116="31-60","WATCH",IF(N1116="1-30","MILD","OK"))))</f>
        <v/>
      </c>
      <c r="P1116" s="3">
        <f>IF(J1116&gt;0.005,ROW()-1,"")</f>
        <v/>
      </c>
    </row>
    <row r="1117">
      <c r="A1117" s="3" t="inlineStr">
        <is>
          <t>D1116</t>
        </is>
      </c>
      <c r="B1117" s="3">
        <f>INDEX(Raw_Schedule!B:B,MATCH(A1117,Raw_Schedule!A:A,0))</f>
        <v/>
      </c>
      <c r="C1117" s="3">
        <f>INDEX(Raw_Schedule!C:C,MATCH(A1117,Raw_Schedule!A:A,0))</f>
        <v/>
      </c>
      <c r="D1117" s="3">
        <f>INDEX(Raw_Schedule!D:D,MATCH(A1117,Raw_Schedule!A:A,0))</f>
        <v/>
      </c>
      <c r="E1117" s="3">
        <f>INDEX(Raw_Schedule!E:E,MATCH(A1117,Raw_Schedule!A:A,0))</f>
        <v/>
      </c>
      <c r="F1117" s="3">
        <f>INDEX(Raw_Schedule!F:F,MATCH(A1117,Raw_Schedule!A:A,0))</f>
        <v/>
      </c>
      <c r="G1117" s="4">
        <f>INDEX(Raw_Schedule!G:G,MATCH(A1117,Raw_Schedule!A:A,0))</f>
        <v/>
      </c>
      <c r="H1117" s="5">
        <f>INDEX(Raw_Schedule!H:H,MATCH(A1117,Raw_Schedule!A:A,0))</f>
        <v/>
      </c>
      <c r="I1117" s="5">
        <f>SUMIFS(Raw_Payments!E:E,Raw_Payments!B:B,A1117)</f>
        <v/>
      </c>
      <c r="J1117" s="5">
        <f>H1117-I1117</f>
        <v/>
      </c>
      <c r="K1117" s="3">
        <f>IF(J1117&lt;=0.005,"PAID",IF(I1117&gt;0,"PARTIAL","OVERDUE"))</f>
        <v/>
      </c>
      <c r="L1117" s="4">
        <f>IF(COUNTIFS(Raw_Payments!B:B,A1117)=0,"",SUMPRODUCT(MAX((Raw_Payments!B$2:B$1079=A1117)*Raw_Payments!D$2:D$1079)))</f>
        <v/>
      </c>
      <c r="M1117" s="3">
        <f>IF(K1117="PAID",MAX(0,L1117-G1117),Guide!$B$3-G1117)</f>
        <v/>
      </c>
      <c r="N1117" s="3">
        <f>IF(J1117&lt;=0.005,"COLLECTED",IF(M1117&lt;=30,"1-30",IF(M1117&lt;=60,"31-60",IF(M1117&lt;=90,"61-90","90+"))))</f>
        <v/>
      </c>
      <c r="O1117" s="3">
        <f>IF(N1117="90+","LOST",IF(N1117="61-90","ESCALATE",IF(N1117="31-60","WATCH",IF(N1117="1-30","MILD","OK"))))</f>
        <v/>
      </c>
      <c r="P1117" s="3">
        <f>IF(J1117&gt;0.005,ROW()-1,"")</f>
        <v/>
      </c>
    </row>
    <row r="1118">
      <c r="A1118" s="3" t="inlineStr">
        <is>
          <t>D1117</t>
        </is>
      </c>
      <c r="B1118" s="3">
        <f>INDEX(Raw_Schedule!B:B,MATCH(A1118,Raw_Schedule!A:A,0))</f>
        <v/>
      </c>
      <c r="C1118" s="3">
        <f>INDEX(Raw_Schedule!C:C,MATCH(A1118,Raw_Schedule!A:A,0))</f>
        <v/>
      </c>
      <c r="D1118" s="3">
        <f>INDEX(Raw_Schedule!D:D,MATCH(A1118,Raw_Schedule!A:A,0))</f>
        <v/>
      </c>
      <c r="E1118" s="3">
        <f>INDEX(Raw_Schedule!E:E,MATCH(A1118,Raw_Schedule!A:A,0))</f>
        <v/>
      </c>
      <c r="F1118" s="3">
        <f>INDEX(Raw_Schedule!F:F,MATCH(A1118,Raw_Schedule!A:A,0))</f>
        <v/>
      </c>
      <c r="G1118" s="4">
        <f>INDEX(Raw_Schedule!G:G,MATCH(A1118,Raw_Schedule!A:A,0))</f>
        <v/>
      </c>
      <c r="H1118" s="5">
        <f>INDEX(Raw_Schedule!H:H,MATCH(A1118,Raw_Schedule!A:A,0))</f>
        <v/>
      </c>
      <c r="I1118" s="5">
        <f>SUMIFS(Raw_Payments!E:E,Raw_Payments!B:B,A1118)</f>
        <v/>
      </c>
      <c r="J1118" s="5">
        <f>H1118-I1118</f>
        <v/>
      </c>
      <c r="K1118" s="3">
        <f>IF(J1118&lt;=0.005,"PAID",IF(I1118&gt;0,"PARTIAL","OVERDUE"))</f>
        <v/>
      </c>
      <c r="L1118" s="4">
        <f>IF(COUNTIFS(Raw_Payments!B:B,A1118)=0,"",SUMPRODUCT(MAX((Raw_Payments!B$2:B$1079=A1118)*Raw_Payments!D$2:D$1079)))</f>
        <v/>
      </c>
      <c r="M1118" s="3">
        <f>IF(K1118="PAID",MAX(0,L1118-G1118),Guide!$B$3-G1118)</f>
        <v/>
      </c>
      <c r="N1118" s="3">
        <f>IF(J1118&lt;=0.005,"COLLECTED",IF(M1118&lt;=30,"1-30",IF(M1118&lt;=60,"31-60",IF(M1118&lt;=90,"61-90","90+"))))</f>
        <v/>
      </c>
      <c r="O1118" s="3">
        <f>IF(N1118="90+","LOST",IF(N1118="61-90","ESCALATE",IF(N1118="31-60","WATCH",IF(N1118="1-30","MILD","OK"))))</f>
        <v/>
      </c>
      <c r="P1118" s="3">
        <f>IF(J1118&gt;0.005,ROW()-1,"")</f>
        <v/>
      </c>
    </row>
    <row r="1119">
      <c r="A1119" s="3" t="inlineStr">
        <is>
          <t>D1118</t>
        </is>
      </c>
      <c r="B1119" s="3">
        <f>INDEX(Raw_Schedule!B:B,MATCH(A1119,Raw_Schedule!A:A,0))</f>
        <v/>
      </c>
      <c r="C1119" s="3">
        <f>INDEX(Raw_Schedule!C:C,MATCH(A1119,Raw_Schedule!A:A,0))</f>
        <v/>
      </c>
      <c r="D1119" s="3">
        <f>INDEX(Raw_Schedule!D:D,MATCH(A1119,Raw_Schedule!A:A,0))</f>
        <v/>
      </c>
      <c r="E1119" s="3">
        <f>INDEX(Raw_Schedule!E:E,MATCH(A1119,Raw_Schedule!A:A,0))</f>
        <v/>
      </c>
      <c r="F1119" s="3">
        <f>INDEX(Raw_Schedule!F:F,MATCH(A1119,Raw_Schedule!A:A,0))</f>
        <v/>
      </c>
      <c r="G1119" s="4">
        <f>INDEX(Raw_Schedule!G:G,MATCH(A1119,Raw_Schedule!A:A,0))</f>
        <v/>
      </c>
      <c r="H1119" s="5">
        <f>INDEX(Raw_Schedule!H:H,MATCH(A1119,Raw_Schedule!A:A,0))</f>
        <v/>
      </c>
      <c r="I1119" s="5">
        <f>SUMIFS(Raw_Payments!E:E,Raw_Payments!B:B,A1119)</f>
        <v/>
      </c>
      <c r="J1119" s="5">
        <f>H1119-I1119</f>
        <v/>
      </c>
      <c r="K1119" s="3">
        <f>IF(J1119&lt;=0.005,"PAID",IF(I1119&gt;0,"PARTIAL","OVERDUE"))</f>
        <v/>
      </c>
      <c r="L1119" s="4">
        <f>IF(COUNTIFS(Raw_Payments!B:B,A1119)=0,"",SUMPRODUCT(MAX((Raw_Payments!B$2:B$1079=A1119)*Raw_Payments!D$2:D$1079)))</f>
        <v/>
      </c>
      <c r="M1119" s="3">
        <f>IF(K1119="PAID",MAX(0,L1119-G1119),Guide!$B$3-G1119)</f>
        <v/>
      </c>
      <c r="N1119" s="3">
        <f>IF(J1119&lt;=0.005,"COLLECTED",IF(M1119&lt;=30,"1-30",IF(M1119&lt;=60,"31-60",IF(M1119&lt;=90,"61-90","90+"))))</f>
        <v/>
      </c>
      <c r="O1119" s="3">
        <f>IF(N1119="90+","LOST",IF(N1119="61-90","ESCALATE",IF(N1119="31-60","WATCH",IF(N1119="1-30","MILD","OK"))))</f>
        <v/>
      </c>
      <c r="P1119" s="3">
        <f>IF(J1119&gt;0.005,ROW()-1,"")</f>
        <v/>
      </c>
    </row>
    <row r="1120">
      <c r="A1120" s="3" t="inlineStr">
        <is>
          <t>D1119</t>
        </is>
      </c>
      <c r="B1120" s="3">
        <f>INDEX(Raw_Schedule!B:B,MATCH(A1120,Raw_Schedule!A:A,0))</f>
        <v/>
      </c>
      <c r="C1120" s="3">
        <f>INDEX(Raw_Schedule!C:C,MATCH(A1120,Raw_Schedule!A:A,0))</f>
        <v/>
      </c>
      <c r="D1120" s="3">
        <f>INDEX(Raw_Schedule!D:D,MATCH(A1120,Raw_Schedule!A:A,0))</f>
        <v/>
      </c>
      <c r="E1120" s="3">
        <f>INDEX(Raw_Schedule!E:E,MATCH(A1120,Raw_Schedule!A:A,0))</f>
        <v/>
      </c>
      <c r="F1120" s="3">
        <f>INDEX(Raw_Schedule!F:F,MATCH(A1120,Raw_Schedule!A:A,0))</f>
        <v/>
      </c>
      <c r="G1120" s="4">
        <f>INDEX(Raw_Schedule!G:G,MATCH(A1120,Raw_Schedule!A:A,0))</f>
        <v/>
      </c>
      <c r="H1120" s="5">
        <f>INDEX(Raw_Schedule!H:H,MATCH(A1120,Raw_Schedule!A:A,0))</f>
        <v/>
      </c>
      <c r="I1120" s="5">
        <f>SUMIFS(Raw_Payments!E:E,Raw_Payments!B:B,A1120)</f>
        <v/>
      </c>
      <c r="J1120" s="5">
        <f>H1120-I1120</f>
        <v/>
      </c>
      <c r="K1120" s="3">
        <f>IF(J1120&lt;=0.005,"PAID",IF(I1120&gt;0,"PARTIAL","OVERDUE"))</f>
        <v/>
      </c>
      <c r="L1120" s="4">
        <f>IF(COUNTIFS(Raw_Payments!B:B,A1120)=0,"",SUMPRODUCT(MAX((Raw_Payments!B$2:B$1079=A1120)*Raw_Payments!D$2:D$1079)))</f>
        <v/>
      </c>
      <c r="M1120" s="3">
        <f>IF(K1120="PAID",MAX(0,L1120-G1120),Guide!$B$3-G1120)</f>
        <v/>
      </c>
      <c r="N1120" s="3">
        <f>IF(J1120&lt;=0.005,"COLLECTED",IF(M1120&lt;=30,"1-30",IF(M1120&lt;=60,"31-60",IF(M1120&lt;=90,"61-90","90+"))))</f>
        <v/>
      </c>
      <c r="O1120" s="3">
        <f>IF(N1120="90+","LOST",IF(N1120="61-90","ESCALATE",IF(N1120="31-60","WATCH",IF(N1120="1-30","MILD","OK"))))</f>
        <v/>
      </c>
      <c r="P1120" s="3">
        <f>IF(J1120&gt;0.005,ROW()-1,"")</f>
        <v/>
      </c>
    </row>
    <row r="1121">
      <c r="A1121" s="3" t="inlineStr">
        <is>
          <t>D1120</t>
        </is>
      </c>
      <c r="B1121" s="3">
        <f>INDEX(Raw_Schedule!B:B,MATCH(A1121,Raw_Schedule!A:A,0))</f>
        <v/>
      </c>
      <c r="C1121" s="3">
        <f>INDEX(Raw_Schedule!C:C,MATCH(A1121,Raw_Schedule!A:A,0))</f>
        <v/>
      </c>
      <c r="D1121" s="3">
        <f>INDEX(Raw_Schedule!D:D,MATCH(A1121,Raw_Schedule!A:A,0))</f>
        <v/>
      </c>
      <c r="E1121" s="3">
        <f>INDEX(Raw_Schedule!E:E,MATCH(A1121,Raw_Schedule!A:A,0))</f>
        <v/>
      </c>
      <c r="F1121" s="3">
        <f>INDEX(Raw_Schedule!F:F,MATCH(A1121,Raw_Schedule!A:A,0))</f>
        <v/>
      </c>
      <c r="G1121" s="4">
        <f>INDEX(Raw_Schedule!G:G,MATCH(A1121,Raw_Schedule!A:A,0))</f>
        <v/>
      </c>
      <c r="H1121" s="5">
        <f>INDEX(Raw_Schedule!H:H,MATCH(A1121,Raw_Schedule!A:A,0))</f>
        <v/>
      </c>
      <c r="I1121" s="5">
        <f>SUMIFS(Raw_Payments!E:E,Raw_Payments!B:B,A1121)</f>
        <v/>
      </c>
      <c r="J1121" s="5">
        <f>H1121-I1121</f>
        <v/>
      </c>
      <c r="K1121" s="3">
        <f>IF(J1121&lt;=0.005,"PAID",IF(I1121&gt;0,"PARTIAL","OVERDUE"))</f>
        <v/>
      </c>
      <c r="L1121" s="4">
        <f>IF(COUNTIFS(Raw_Payments!B:B,A1121)=0,"",SUMPRODUCT(MAX((Raw_Payments!B$2:B$1079=A1121)*Raw_Payments!D$2:D$1079)))</f>
        <v/>
      </c>
      <c r="M1121" s="3">
        <f>IF(K1121="PAID",MAX(0,L1121-G1121),Guide!$B$3-G1121)</f>
        <v/>
      </c>
      <c r="N1121" s="3">
        <f>IF(J1121&lt;=0.005,"COLLECTED",IF(M1121&lt;=30,"1-30",IF(M1121&lt;=60,"31-60",IF(M1121&lt;=90,"61-90","90+"))))</f>
        <v/>
      </c>
      <c r="O1121" s="3">
        <f>IF(N1121="90+","LOST",IF(N1121="61-90","ESCALATE",IF(N1121="31-60","WATCH",IF(N1121="1-30","MILD","OK"))))</f>
        <v/>
      </c>
      <c r="P1121" s="3">
        <f>IF(J1121&gt;0.005,ROW()-1,"")</f>
        <v/>
      </c>
    </row>
    <row r="1122">
      <c r="A1122" s="3" t="inlineStr">
        <is>
          <t>D1121</t>
        </is>
      </c>
      <c r="B1122" s="3">
        <f>INDEX(Raw_Schedule!B:B,MATCH(A1122,Raw_Schedule!A:A,0))</f>
        <v/>
      </c>
      <c r="C1122" s="3">
        <f>INDEX(Raw_Schedule!C:C,MATCH(A1122,Raw_Schedule!A:A,0))</f>
        <v/>
      </c>
      <c r="D1122" s="3">
        <f>INDEX(Raw_Schedule!D:D,MATCH(A1122,Raw_Schedule!A:A,0))</f>
        <v/>
      </c>
      <c r="E1122" s="3">
        <f>INDEX(Raw_Schedule!E:E,MATCH(A1122,Raw_Schedule!A:A,0))</f>
        <v/>
      </c>
      <c r="F1122" s="3">
        <f>INDEX(Raw_Schedule!F:F,MATCH(A1122,Raw_Schedule!A:A,0))</f>
        <v/>
      </c>
      <c r="G1122" s="4">
        <f>INDEX(Raw_Schedule!G:G,MATCH(A1122,Raw_Schedule!A:A,0))</f>
        <v/>
      </c>
      <c r="H1122" s="5">
        <f>INDEX(Raw_Schedule!H:H,MATCH(A1122,Raw_Schedule!A:A,0))</f>
        <v/>
      </c>
      <c r="I1122" s="5">
        <f>SUMIFS(Raw_Payments!E:E,Raw_Payments!B:B,A1122)</f>
        <v/>
      </c>
      <c r="J1122" s="5">
        <f>H1122-I1122</f>
        <v/>
      </c>
      <c r="K1122" s="3">
        <f>IF(J1122&lt;=0.005,"PAID",IF(I1122&gt;0,"PARTIAL","OVERDUE"))</f>
        <v/>
      </c>
      <c r="L1122" s="4">
        <f>IF(COUNTIFS(Raw_Payments!B:B,A1122)=0,"",SUMPRODUCT(MAX((Raw_Payments!B$2:B$1079=A1122)*Raw_Payments!D$2:D$1079)))</f>
        <v/>
      </c>
      <c r="M1122" s="3">
        <f>IF(K1122="PAID",MAX(0,L1122-G1122),Guide!$B$3-G1122)</f>
        <v/>
      </c>
      <c r="N1122" s="3">
        <f>IF(J1122&lt;=0.005,"COLLECTED",IF(M1122&lt;=30,"1-30",IF(M1122&lt;=60,"31-60",IF(M1122&lt;=90,"61-90","90+"))))</f>
        <v/>
      </c>
      <c r="O1122" s="3">
        <f>IF(N1122="90+","LOST",IF(N1122="61-90","ESCALATE",IF(N1122="31-60","WATCH",IF(N1122="1-30","MILD","OK"))))</f>
        <v/>
      </c>
      <c r="P1122" s="3">
        <f>IF(J1122&gt;0.005,ROW()-1,"")</f>
        <v/>
      </c>
    </row>
    <row r="1123">
      <c r="A1123" s="3" t="inlineStr">
        <is>
          <t>D1122</t>
        </is>
      </c>
      <c r="B1123" s="3">
        <f>INDEX(Raw_Schedule!B:B,MATCH(A1123,Raw_Schedule!A:A,0))</f>
        <v/>
      </c>
      <c r="C1123" s="3">
        <f>INDEX(Raw_Schedule!C:C,MATCH(A1123,Raw_Schedule!A:A,0))</f>
        <v/>
      </c>
      <c r="D1123" s="3">
        <f>INDEX(Raw_Schedule!D:D,MATCH(A1123,Raw_Schedule!A:A,0))</f>
        <v/>
      </c>
      <c r="E1123" s="3">
        <f>INDEX(Raw_Schedule!E:E,MATCH(A1123,Raw_Schedule!A:A,0))</f>
        <v/>
      </c>
      <c r="F1123" s="3">
        <f>INDEX(Raw_Schedule!F:F,MATCH(A1123,Raw_Schedule!A:A,0))</f>
        <v/>
      </c>
      <c r="G1123" s="4">
        <f>INDEX(Raw_Schedule!G:G,MATCH(A1123,Raw_Schedule!A:A,0))</f>
        <v/>
      </c>
      <c r="H1123" s="5">
        <f>INDEX(Raw_Schedule!H:H,MATCH(A1123,Raw_Schedule!A:A,0))</f>
        <v/>
      </c>
      <c r="I1123" s="5">
        <f>SUMIFS(Raw_Payments!E:E,Raw_Payments!B:B,A1123)</f>
        <v/>
      </c>
      <c r="J1123" s="5">
        <f>H1123-I1123</f>
        <v/>
      </c>
      <c r="K1123" s="3">
        <f>IF(J1123&lt;=0.005,"PAID",IF(I1123&gt;0,"PARTIAL","OVERDUE"))</f>
        <v/>
      </c>
      <c r="L1123" s="4">
        <f>IF(COUNTIFS(Raw_Payments!B:B,A1123)=0,"",SUMPRODUCT(MAX((Raw_Payments!B$2:B$1079=A1123)*Raw_Payments!D$2:D$1079)))</f>
        <v/>
      </c>
      <c r="M1123" s="3">
        <f>IF(K1123="PAID",MAX(0,L1123-G1123),Guide!$B$3-G1123)</f>
        <v/>
      </c>
      <c r="N1123" s="3">
        <f>IF(J1123&lt;=0.005,"COLLECTED",IF(M1123&lt;=30,"1-30",IF(M1123&lt;=60,"31-60",IF(M1123&lt;=90,"61-90","90+"))))</f>
        <v/>
      </c>
      <c r="O1123" s="3">
        <f>IF(N1123="90+","LOST",IF(N1123="61-90","ESCALATE",IF(N1123="31-60","WATCH",IF(N1123="1-30","MILD","OK"))))</f>
        <v/>
      </c>
      <c r="P1123" s="3">
        <f>IF(J1123&gt;0.005,ROW()-1,"")</f>
        <v/>
      </c>
    </row>
    <row r="1124">
      <c r="A1124" s="3" t="inlineStr">
        <is>
          <t>D1123</t>
        </is>
      </c>
      <c r="B1124" s="3">
        <f>INDEX(Raw_Schedule!B:B,MATCH(A1124,Raw_Schedule!A:A,0))</f>
        <v/>
      </c>
      <c r="C1124" s="3">
        <f>INDEX(Raw_Schedule!C:C,MATCH(A1124,Raw_Schedule!A:A,0))</f>
        <v/>
      </c>
      <c r="D1124" s="3">
        <f>INDEX(Raw_Schedule!D:D,MATCH(A1124,Raw_Schedule!A:A,0))</f>
        <v/>
      </c>
      <c r="E1124" s="3">
        <f>INDEX(Raw_Schedule!E:E,MATCH(A1124,Raw_Schedule!A:A,0))</f>
        <v/>
      </c>
      <c r="F1124" s="3">
        <f>INDEX(Raw_Schedule!F:F,MATCH(A1124,Raw_Schedule!A:A,0))</f>
        <v/>
      </c>
      <c r="G1124" s="4">
        <f>INDEX(Raw_Schedule!G:G,MATCH(A1124,Raw_Schedule!A:A,0))</f>
        <v/>
      </c>
      <c r="H1124" s="5">
        <f>INDEX(Raw_Schedule!H:H,MATCH(A1124,Raw_Schedule!A:A,0))</f>
        <v/>
      </c>
      <c r="I1124" s="5">
        <f>SUMIFS(Raw_Payments!E:E,Raw_Payments!B:B,A1124)</f>
        <v/>
      </c>
      <c r="J1124" s="5">
        <f>H1124-I1124</f>
        <v/>
      </c>
      <c r="K1124" s="3">
        <f>IF(J1124&lt;=0.005,"PAID",IF(I1124&gt;0,"PARTIAL","OVERDUE"))</f>
        <v/>
      </c>
      <c r="L1124" s="4">
        <f>IF(COUNTIFS(Raw_Payments!B:B,A1124)=0,"",SUMPRODUCT(MAX((Raw_Payments!B$2:B$1079=A1124)*Raw_Payments!D$2:D$1079)))</f>
        <v/>
      </c>
      <c r="M1124" s="3">
        <f>IF(K1124="PAID",MAX(0,L1124-G1124),Guide!$B$3-G1124)</f>
        <v/>
      </c>
      <c r="N1124" s="3">
        <f>IF(J1124&lt;=0.005,"COLLECTED",IF(M1124&lt;=30,"1-30",IF(M1124&lt;=60,"31-60",IF(M1124&lt;=90,"61-90","90+"))))</f>
        <v/>
      </c>
      <c r="O1124" s="3">
        <f>IF(N1124="90+","LOST",IF(N1124="61-90","ESCALATE",IF(N1124="31-60","WATCH",IF(N1124="1-30","MILD","OK"))))</f>
        <v/>
      </c>
      <c r="P1124" s="3">
        <f>IF(J1124&gt;0.005,ROW()-1,"")</f>
        <v/>
      </c>
    </row>
    <row r="1125">
      <c r="A1125" s="3" t="inlineStr">
        <is>
          <t>D1124</t>
        </is>
      </c>
      <c r="B1125" s="3">
        <f>INDEX(Raw_Schedule!B:B,MATCH(A1125,Raw_Schedule!A:A,0))</f>
        <v/>
      </c>
      <c r="C1125" s="3">
        <f>INDEX(Raw_Schedule!C:C,MATCH(A1125,Raw_Schedule!A:A,0))</f>
        <v/>
      </c>
      <c r="D1125" s="3">
        <f>INDEX(Raw_Schedule!D:D,MATCH(A1125,Raw_Schedule!A:A,0))</f>
        <v/>
      </c>
      <c r="E1125" s="3">
        <f>INDEX(Raw_Schedule!E:E,MATCH(A1125,Raw_Schedule!A:A,0))</f>
        <v/>
      </c>
      <c r="F1125" s="3">
        <f>INDEX(Raw_Schedule!F:F,MATCH(A1125,Raw_Schedule!A:A,0))</f>
        <v/>
      </c>
      <c r="G1125" s="4">
        <f>INDEX(Raw_Schedule!G:G,MATCH(A1125,Raw_Schedule!A:A,0))</f>
        <v/>
      </c>
      <c r="H1125" s="5">
        <f>INDEX(Raw_Schedule!H:H,MATCH(A1125,Raw_Schedule!A:A,0))</f>
        <v/>
      </c>
      <c r="I1125" s="5">
        <f>SUMIFS(Raw_Payments!E:E,Raw_Payments!B:B,A1125)</f>
        <v/>
      </c>
      <c r="J1125" s="5">
        <f>H1125-I1125</f>
        <v/>
      </c>
      <c r="K1125" s="3">
        <f>IF(J1125&lt;=0.005,"PAID",IF(I1125&gt;0,"PARTIAL","OVERDUE"))</f>
        <v/>
      </c>
      <c r="L1125" s="4">
        <f>IF(COUNTIFS(Raw_Payments!B:B,A1125)=0,"",SUMPRODUCT(MAX((Raw_Payments!B$2:B$1079=A1125)*Raw_Payments!D$2:D$1079)))</f>
        <v/>
      </c>
      <c r="M1125" s="3">
        <f>IF(K1125="PAID",MAX(0,L1125-G1125),Guide!$B$3-G1125)</f>
        <v/>
      </c>
      <c r="N1125" s="3">
        <f>IF(J1125&lt;=0.005,"COLLECTED",IF(M1125&lt;=30,"1-30",IF(M1125&lt;=60,"31-60",IF(M1125&lt;=90,"61-90","90+"))))</f>
        <v/>
      </c>
      <c r="O1125" s="3">
        <f>IF(N1125="90+","LOST",IF(N1125="61-90","ESCALATE",IF(N1125="31-60","WATCH",IF(N1125="1-30","MILD","OK"))))</f>
        <v/>
      </c>
      <c r="P1125" s="3">
        <f>IF(J1125&gt;0.005,ROW()-1,"")</f>
        <v/>
      </c>
    </row>
    <row r="1126">
      <c r="A1126" s="3" t="inlineStr">
        <is>
          <t>D1125</t>
        </is>
      </c>
      <c r="B1126" s="3">
        <f>INDEX(Raw_Schedule!B:B,MATCH(A1126,Raw_Schedule!A:A,0))</f>
        <v/>
      </c>
      <c r="C1126" s="3">
        <f>INDEX(Raw_Schedule!C:C,MATCH(A1126,Raw_Schedule!A:A,0))</f>
        <v/>
      </c>
      <c r="D1126" s="3">
        <f>INDEX(Raw_Schedule!D:D,MATCH(A1126,Raw_Schedule!A:A,0))</f>
        <v/>
      </c>
      <c r="E1126" s="3">
        <f>INDEX(Raw_Schedule!E:E,MATCH(A1126,Raw_Schedule!A:A,0))</f>
        <v/>
      </c>
      <c r="F1126" s="3">
        <f>INDEX(Raw_Schedule!F:F,MATCH(A1126,Raw_Schedule!A:A,0))</f>
        <v/>
      </c>
      <c r="G1126" s="4">
        <f>INDEX(Raw_Schedule!G:G,MATCH(A1126,Raw_Schedule!A:A,0))</f>
        <v/>
      </c>
      <c r="H1126" s="5">
        <f>INDEX(Raw_Schedule!H:H,MATCH(A1126,Raw_Schedule!A:A,0))</f>
        <v/>
      </c>
      <c r="I1126" s="5">
        <f>SUMIFS(Raw_Payments!E:E,Raw_Payments!B:B,A1126)</f>
        <v/>
      </c>
      <c r="J1126" s="5">
        <f>H1126-I1126</f>
        <v/>
      </c>
      <c r="K1126" s="3">
        <f>IF(J1126&lt;=0.005,"PAID",IF(I1126&gt;0,"PARTIAL","OVERDUE"))</f>
        <v/>
      </c>
      <c r="L1126" s="4">
        <f>IF(COUNTIFS(Raw_Payments!B:B,A1126)=0,"",SUMPRODUCT(MAX((Raw_Payments!B$2:B$1079=A1126)*Raw_Payments!D$2:D$1079)))</f>
        <v/>
      </c>
      <c r="M1126" s="3">
        <f>IF(K1126="PAID",MAX(0,L1126-G1126),Guide!$B$3-G1126)</f>
        <v/>
      </c>
      <c r="N1126" s="3">
        <f>IF(J1126&lt;=0.005,"COLLECTED",IF(M1126&lt;=30,"1-30",IF(M1126&lt;=60,"31-60",IF(M1126&lt;=90,"61-90","90+"))))</f>
        <v/>
      </c>
      <c r="O1126" s="3">
        <f>IF(N1126="90+","LOST",IF(N1126="61-90","ESCALATE",IF(N1126="31-60","WATCH",IF(N1126="1-30","MILD","OK"))))</f>
        <v/>
      </c>
      <c r="P1126" s="3">
        <f>IF(J1126&gt;0.005,ROW()-1,"")</f>
        <v/>
      </c>
    </row>
    <row r="1127">
      <c r="A1127" s="3" t="inlineStr">
        <is>
          <t>D1126</t>
        </is>
      </c>
      <c r="B1127" s="3">
        <f>INDEX(Raw_Schedule!B:B,MATCH(A1127,Raw_Schedule!A:A,0))</f>
        <v/>
      </c>
      <c r="C1127" s="3">
        <f>INDEX(Raw_Schedule!C:C,MATCH(A1127,Raw_Schedule!A:A,0))</f>
        <v/>
      </c>
      <c r="D1127" s="3">
        <f>INDEX(Raw_Schedule!D:D,MATCH(A1127,Raw_Schedule!A:A,0))</f>
        <v/>
      </c>
      <c r="E1127" s="3">
        <f>INDEX(Raw_Schedule!E:E,MATCH(A1127,Raw_Schedule!A:A,0))</f>
        <v/>
      </c>
      <c r="F1127" s="3">
        <f>INDEX(Raw_Schedule!F:F,MATCH(A1127,Raw_Schedule!A:A,0))</f>
        <v/>
      </c>
      <c r="G1127" s="4">
        <f>INDEX(Raw_Schedule!G:G,MATCH(A1127,Raw_Schedule!A:A,0))</f>
        <v/>
      </c>
      <c r="H1127" s="5">
        <f>INDEX(Raw_Schedule!H:H,MATCH(A1127,Raw_Schedule!A:A,0))</f>
        <v/>
      </c>
      <c r="I1127" s="5">
        <f>SUMIFS(Raw_Payments!E:E,Raw_Payments!B:B,A1127)</f>
        <v/>
      </c>
      <c r="J1127" s="5">
        <f>H1127-I1127</f>
        <v/>
      </c>
      <c r="K1127" s="3">
        <f>IF(J1127&lt;=0.005,"PAID",IF(I1127&gt;0,"PARTIAL","OVERDUE"))</f>
        <v/>
      </c>
      <c r="L1127" s="4">
        <f>IF(COUNTIFS(Raw_Payments!B:B,A1127)=0,"",SUMPRODUCT(MAX((Raw_Payments!B$2:B$1079=A1127)*Raw_Payments!D$2:D$1079)))</f>
        <v/>
      </c>
      <c r="M1127" s="3">
        <f>IF(K1127="PAID",MAX(0,L1127-G1127),Guide!$B$3-G1127)</f>
        <v/>
      </c>
      <c r="N1127" s="3">
        <f>IF(J1127&lt;=0.005,"COLLECTED",IF(M1127&lt;=30,"1-30",IF(M1127&lt;=60,"31-60",IF(M1127&lt;=90,"61-90","90+"))))</f>
        <v/>
      </c>
      <c r="O1127" s="3">
        <f>IF(N1127="90+","LOST",IF(N1127="61-90","ESCALATE",IF(N1127="31-60","WATCH",IF(N1127="1-30","MILD","OK"))))</f>
        <v/>
      </c>
      <c r="P1127" s="3">
        <f>IF(J1127&gt;0.005,ROW()-1,"")</f>
        <v/>
      </c>
    </row>
    <row r="1128">
      <c r="A1128" s="3" t="inlineStr">
        <is>
          <t>D1127</t>
        </is>
      </c>
      <c r="B1128" s="3">
        <f>INDEX(Raw_Schedule!B:B,MATCH(A1128,Raw_Schedule!A:A,0))</f>
        <v/>
      </c>
      <c r="C1128" s="3">
        <f>INDEX(Raw_Schedule!C:C,MATCH(A1128,Raw_Schedule!A:A,0))</f>
        <v/>
      </c>
      <c r="D1128" s="3">
        <f>INDEX(Raw_Schedule!D:D,MATCH(A1128,Raw_Schedule!A:A,0))</f>
        <v/>
      </c>
      <c r="E1128" s="3">
        <f>INDEX(Raw_Schedule!E:E,MATCH(A1128,Raw_Schedule!A:A,0))</f>
        <v/>
      </c>
      <c r="F1128" s="3">
        <f>INDEX(Raw_Schedule!F:F,MATCH(A1128,Raw_Schedule!A:A,0))</f>
        <v/>
      </c>
      <c r="G1128" s="4">
        <f>INDEX(Raw_Schedule!G:G,MATCH(A1128,Raw_Schedule!A:A,0))</f>
        <v/>
      </c>
      <c r="H1128" s="5">
        <f>INDEX(Raw_Schedule!H:H,MATCH(A1128,Raw_Schedule!A:A,0))</f>
        <v/>
      </c>
      <c r="I1128" s="5">
        <f>SUMIFS(Raw_Payments!E:E,Raw_Payments!B:B,A1128)</f>
        <v/>
      </c>
      <c r="J1128" s="5">
        <f>H1128-I1128</f>
        <v/>
      </c>
      <c r="K1128" s="3">
        <f>IF(J1128&lt;=0.005,"PAID",IF(I1128&gt;0,"PARTIAL","OVERDUE"))</f>
        <v/>
      </c>
      <c r="L1128" s="4">
        <f>IF(COUNTIFS(Raw_Payments!B:B,A1128)=0,"",SUMPRODUCT(MAX((Raw_Payments!B$2:B$1079=A1128)*Raw_Payments!D$2:D$1079)))</f>
        <v/>
      </c>
      <c r="M1128" s="3">
        <f>IF(K1128="PAID",MAX(0,L1128-G1128),Guide!$B$3-G1128)</f>
        <v/>
      </c>
      <c r="N1128" s="3">
        <f>IF(J1128&lt;=0.005,"COLLECTED",IF(M1128&lt;=30,"1-30",IF(M1128&lt;=60,"31-60",IF(M1128&lt;=90,"61-90","90+"))))</f>
        <v/>
      </c>
      <c r="O1128" s="3">
        <f>IF(N1128="90+","LOST",IF(N1128="61-90","ESCALATE",IF(N1128="31-60","WATCH",IF(N1128="1-30","MILD","OK"))))</f>
        <v/>
      </c>
      <c r="P1128" s="3">
        <f>IF(J1128&gt;0.005,ROW()-1,"")</f>
        <v/>
      </c>
    </row>
    <row r="1129">
      <c r="A1129" s="3" t="inlineStr">
        <is>
          <t>D1128</t>
        </is>
      </c>
      <c r="B1129" s="3">
        <f>INDEX(Raw_Schedule!B:B,MATCH(A1129,Raw_Schedule!A:A,0))</f>
        <v/>
      </c>
      <c r="C1129" s="3">
        <f>INDEX(Raw_Schedule!C:C,MATCH(A1129,Raw_Schedule!A:A,0))</f>
        <v/>
      </c>
      <c r="D1129" s="3">
        <f>INDEX(Raw_Schedule!D:D,MATCH(A1129,Raw_Schedule!A:A,0))</f>
        <v/>
      </c>
      <c r="E1129" s="3">
        <f>INDEX(Raw_Schedule!E:E,MATCH(A1129,Raw_Schedule!A:A,0))</f>
        <v/>
      </c>
      <c r="F1129" s="3">
        <f>INDEX(Raw_Schedule!F:F,MATCH(A1129,Raw_Schedule!A:A,0))</f>
        <v/>
      </c>
      <c r="G1129" s="4">
        <f>INDEX(Raw_Schedule!G:G,MATCH(A1129,Raw_Schedule!A:A,0))</f>
        <v/>
      </c>
      <c r="H1129" s="5">
        <f>INDEX(Raw_Schedule!H:H,MATCH(A1129,Raw_Schedule!A:A,0))</f>
        <v/>
      </c>
      <c r="I1129" s="5">
        <f>SUMIFS(Raw_Payments!E:E,Raw_Payments!B:B,A1129)</f>
        <v/>
      </c>
      <c r="J1129" s="5">
        <f>H1129-I1129</f>
        <v/>
      </c>
      <c r="K1129" s="3">
        <f>IF(J1129&lt;=0.005,"PAID",IF(I1129&gt;0,"PARTIAL","OVERDUE"))</f>
        <v/>
      </c>
      <c r="L1129" s="4">
        <f>IF(COUNTIFS(Raw_Payments!B:B,A1129)=0,"",SUMPRODUCT(MAX((Raw_Payments!B$2:B$1079=A1129)*Raw_Payments!D$2:D$1079)))</f>
        <v/>
      </c>
      <c r="M1129" s="3">
        <f>IF(K1129="PAID",MAX(0,L1129-G1129),Guide!$B$3-G1129)</f>
        <v/>
      </c>
      <c r="N1129" s="3">
        <f>IF(J1129&lt;=0.005,"COLLECTED",IF(M1129&lt;=30,"1-30",IF(M1129&lt;=60,"31-60",IF(M1129&lt;=90,"61-90","90+"))))</f>
        <v/>
      </c>
      <c r="O1129" s="3">
        <f>IF(N1129="90+","LOST",IF(N1129="61-90","ESCALATE",IF(N1129="31-60","WATCH",IF(N1129="1-30","MILD","OK"))))</f>
        <v/>
      </c>
      <c r="P1129" s="3">
        <f>IF(J1129&gt;0.005,ROW()-1,"")</f>
        <v/>
      </c>
    </row>
    <row r="1130">
      <c r="A1130" s="3" t="inlineStr">
        <is>
          <t>D1129</t>
        </is>
      </c>
      <c r="B1130" s="3">
        <f>INDEX(Raw_Schedule!B:B,MATCH(A1130,Raw_Schedule!A:A,0))</f>
        <v/>
      </c>
      <c r="C1130" s="3">
        <f>INDEX(Raw_Schedule!C:C,MATCH(A1130,Raw_Schedule!A:A,0))</f>
        <v/>
      </c>
      <c r="D1130" s="3">
        <f>INDEX(Raw_Schedule!D:D,MATCH(A1130,Raw_Schedule!A:A,0))</f>
        <v/>
      </c>
      <c r="E1130" s="3">
        <f>INDEX(Raw_Schedule!E:E,MATCH(A1130,Raw_Schedule!A:A,0))</f>
        <v/>
      </c>
      <c r="F1130" s="3">
        <f>INDEX(Raw_Schedule!F:F,MATCH(A1130,Raw_Schedule!A:A,0))</f>
        <v/>
      </c>
      <c r="G1130" s="4">
        <f>INDEX(Raw_Schedule!G:G,MATCH(A1130,Raw_Schedule!A:A,0))</f>
        <v/>
      </c>
      <c r="H1130" s="5">
        <f>INDEX(Raw_Schedule!H:H,MATCH(A1130,Raw_Schedule!A:A,0))</f>
        <v/>
      </c>
      <c r="I1130" s="5">
        <f>SUMIFS(Raw_Payments!E:E,Raw_Payments!B:B,A1130)</f>
        <v/>
      </c>
      <c r="J1130" s="5">
        <f>H1130-I1130</f>
        <v/>
      </c>
      <c r="K1130" s="3">
        <f>IF(J1130&lt;=0.005,"PAID",IF(I1130&gt;0,"PARTIAL","OVERDUE"))</f>
        <v/>
      </c>
      <c r="L1130" s="4">
        <f>IF(COUNTIFS(Raw_Payments!B:B,A1130)=0,"",SUMPRODUCT(MAX((Raw_Payments!B$2:B$1079=A1130)*Raw_Payments!D$2:D$1079)))</f>
        <v/>
      </c>
      <c r="M1130" s="3">
        <f>IF(K1130="PAID",MAX(0,L1130-G1130),Guide!$B$3-G1130)</f>
        <v/>
      </c>
      <c r="N1130" s="3">
        <f>IF(J1130&lt;=0.005,"COLLECTED",IF(M1130&lt;=30,"1-30",IF(M1130&lt;=60,"31-60",IF(M1130&lt;=90,"61-90","90+"))))</f>
        <v/>
      </c>
      <c r="O1130" s="3">
        <f>IF(N1130="90+","LOST",IF(N1130="61-90","ESCALATE",IF(N1130="31-60","WATCH",IF(N1130="1-30","MILD","OK"))))</f>
        <v/>
      </c>
      <c r="P1130" s="3">
        <f>IF(J1130&gt;0.005,ROW()-1,"")</f>
        <v/>
      </c>
    </row>
    <row r="1131">
      <c r="A1131" s="3" t="inlineStr">
        <is>
          <t>D1130</t>
        </is>
      </c>
      <c r="B1131" s="3">
        <f>INDEX(Raw_Schedule!B:B,MATCH(A1131,Raw_Schedule!A:A,0))</f>
        <v/>
      </c>
      <c r="C1131" s="3">
        <f>INDEX(Raw_Schedule!C:C,MATCH(A1131,Raw_Schedule!A:A,0))</f>
        <v/>
      </c>
      <c r="D1131" s="3">
        <f>INDEX(Raw_Schedule!D:D,MATCH(A1131,Raw_Schedule!A:A,0))</f>
        <v/>
      </c>
      <c r="E1131" s="3">
        <f>INDEX(Raw_Schedule!E:E,MATCH(A1131,Raw_Schedule!A:A,0))</f>
        <v/>
      </c>
      <c r="F1131" s="3">
        <f>INDEX(Raw_Schedule!F:F,MATCH(A1131,Raw_Schedule!A:A,0))</f>
        <v/>
      </c>
      <c r="G1131" s="4">
        <f>INDEX(Raw_Schedule!G:G,MATCH(A1131,Raw_Schedule!A:A,0))</f>
        <v/>
      </c>
      <c r="H1131" s="5">
        <f>INDEX(Raw_Schedule!H:H,MATCH(A1131,Raw_Schedule!A:A,0))</f>
        <v/>
      </c>
      <c r="I1131" s="5">
        <f>SUMIFS(Raw_Payments!E:E,Raw_Payments!B:B,A1131)</f>
        <v/>
      </c>
      <c r="J1131" s="5">
        <f>H1131-I1131</f>
        <v/>
      </c>
      <c r="K1131" s="3">
        <f>IF(J1131&lt;=0.005,"PAID",IF(I1131&gt;0,"PARTIAL","OVERDUE"))</f>
        <v/>
      </c>
      <c r="L1131" s="4">
        <f>IF(COUNTIFS(Raw_Payments!B:B,A1131)=0,"",SUMPRODUCT(MAX((Raw_Payments!B$2:B$1079=A1131)*Raw_Payments!D$2:D$1079)))</f>
        <v/>
      </c>
      <c r="M1131" s="3">
        <f>IF(K1131="PAID",MAX(0,L1131-G1131),Guide!$B$3-G1131)</f>
        <v/>
      </c>
      <c r="N1131" s="3">
        <f>IF(J1131&lt;=0.005,"COLLECTED",IF(M1131&lt;=30,"1-30",IF(M1131&lt;=60,"31-60",IF(M1131&lt;=90,"61-90","90+"))))</f>
        <v/>
      </c>
      <c r="O1131" s="3">
        <f>IF(N1131="90+","LOST",IF(N1131="61-90","ESCALATE",IF(N1131="31-60","WATCH",IF(N1131="1-30","MILD","OK"))))</f>
        <v/>
      </c>
      <c r="P1131" s="3">
        <f>IF(J1131&gt;0.005,ROW()-1,"")</f>
        <v/>
      </c>
    </row>
    <row r="1132">
      <c r="A1132" s="3" t="inlineStr">
        <is>
          <t>D1131</t>
        </is>
      </c>
      <c r="B1132" s="3">
        <f>INDEX(Raw_Schedule!B:B,MATCH(A1132,Raw_Schedule!A:A,0))</f>
        <v/>
      </c>
      <c r="C1132" s="3">
        <f>INDEX(Raw_Schedule!C:C,MATCH(A1132,Raw_Schedule!A:A,0))</f>
        <v/>
      </c>
      <c r="D1132" s="3">
        <f>INDEX(Raw_Schedule!D:D,MATCH(A1132,Raw_Schedule!A:A,0))</f>
        <v/>
      </c>
      <c r="E1132" s="3">
        <f>INDEX(Raw_Schedule!E:E,MATCH(A1132,Raw_Schedule!A:A,0))</f>
        <v/>
      </c>
      <c r="F1132" s="3">
        <f>INDEX(Raw_Schedule!F:F,MATCH(A1132,Raw_Schedule!A:A,0))</f>
        <v/>
      </c>
      <c r="G1132" s="4">
        <f>INDEX(Raw_Schedule!G:G,MATCH(A1132,Raw_Schedule!A:A,0))</f>
        <v/>
      </c>
      <c r="H1132" s="5">
        <f>INDEX(Raw_Schedule!H:H,MATCH(A1132,Raw_Schedule!A:A,0))</f>
        <v/>
      </c>
      <c r="I1132" s="5">
        <f>SUMIFS(Raw_Payments!E:E,Raw_Payments!B:B,A1132)</f>
        <v/>
      </c>
      <c r="J1132" s="5">
        <f>H1132-I1132</f>
        <v/>
      </c>
      <c r="K1132" s="3">
        <f>IF(J1132&lt;=0.005,"PAID",IF(I1132&gt;0,"PARTIAL","OVERDUE"))</f>
        <v/>
      </c>
      <c r="L1132" s="4">
        <f>IF(COUNTIFS(Raw_Payments!B:B,A1132)=0,"",SUMPRODUCT(MAX((Raw_Payments!B$2:B$1079=A1132)*Raw_Payments!D$2:D$1079)))</f>
        <v/>
      </c>
      <c r="M1132" s="3">
        <f>IF(K1132="PAID",MAX(0,L1132-G1132),Guide!$B$3-G1132)</f>
        <v/>
      </c>
      <c r="N1132" s="3">
        <f>IF(J1132&lt;=0.005,"COLLECTED",IF(M1132&lt;=30,"1-30",IF(M1132&lt;=60,"31-60",IF(M1132&lt;=90,"61-90","90+"))))</f>
        <v/>
      </c>
      <c r="O1132" s="3">
        <f>IF(N1132="90+","LOST",IF(N1132="61-90","ESCALATE",IF(N1132="31-60","WATCH",IF(N1132="1-30","MILD","OK"))))</f>
        <v/>
      </c>
      <c r="P1132" s="3">
        <f>IF(J1132&gt;0.005,ROW()-1,"")</f>
        <v/>
      </c>
    </row>
    <row r="1133">
      <c r="A1133" s="3" t="inlineStr">
        <is>
          <t>D1132</t>
        </is>
      </c>
      <c r="B1133" s="3">
        <f>INDEX(Raw_Schedule!B:B,MATCH(A1133,Raw_Schedule!A:A,0))</f>
        <v/>
      </c>
      <c r="C1133" s="3">
        <f>INDEX(Raw_Schedule!C:C,MATCH(A1133,Raw_Schedule!A:A,0))</f>
        <v/>
      </c>
      <c r="D1133" s="3">
        <f>INDEX(Raw_Schedule!D:D,MATCH(A1133,Raw_Schedule!A:A,0))</f>
        <v/>
      </c>
      <c r="E1133" s="3">
        <f>INDEX(Raw_Schedule!E:E,MATCH(A1133,Raw_Schedule!A:A,0))</f>
        <v/>
      </c>
      <c r="F1133" s="3">
        <f>INDEX(Raw_Schedule!F:F,MATCH(A1133,Raw_Schedule!A:A,0))</f>
        <v/>
      </c>
      <c r="G1133" s="4">
        <f>INDEX(Raw_Schedule!G:G,MATCH(A1133,Raw_Schedule!A:A,0))</f>
        <v/>
      </c>
      <c r="H1133" s="5">
        <f>INDEX(Raw_Schedule!H:H,MATCH(A1133,Raw_Schedule!A:A,0))</f>
        <v/>
      </c>
      <c r="I1133" s="5">
        <f>SUMIFS(Raw_Payments!E:E,Raw_Payments!B:B,A1133)</f>
        <v/>
      </c>
      <c r="J1133" s="5">
        <f>H1133-I1133</f>
        <v/>
      </c>
      <c r="K1133" s="3">
        <f>IF(J1133&lt;=0.005,"PAID",IF(I1133&gt;0,"PARTIAL","OVERDUE"))</f>
        <v/>
      </c>
      <c r="L1133" s="4">
        <f>IF(COUNTIFS(Raw_Payments!B:B,A1133)=0,"",SUMPRODUCT(MAX((Raw_Payments!B$2:B$1079=A1133)*Raw_Payments!D$2:D$1079)))</f>
        <v/>
      </c>
      <c r="M1133" s="3">
        <f>IF(K1133="PAID",MAX(0,L1133-G1133),Guide!$B$3-G1133)</f>
        <v/>
      </c>
      <c r="N1133" s="3">
        <f>IF(J1133&lt;=0.005,"COLLECTED",IF(M1133&lt;=30,"1-30",IF(M1133&lt;=60,"31-60",IF(M1133&lt;=90,"61-90","90+"))))</f>
        <v/>
      </c>
      <c r="O1133" s="3">
        <f>IF(N1133="90+","LOST",IF(N1133="61-90","ESCALATE",IF(N1133="31-60","WATCH",IF(N1133="1-30","MILD","OK"))))</f>
        <v/>
      </c>
      <c r="P1133" s="3">
        <f>IF(J1133&gt;0.005,ROW()-1,"")</f>
        <v/>
      </c>
    </row>
    <row r="1134">
      <c r="A1134" s="3" t="inlineStr">
        <is>
          <t>D1133</t>
        </is>
      </c>
      <c r="B1134" s="3">
        <f>INDEX(Raw_Schedule!B:B,MATCH(A1134,Raw_Schedule!A:A,0))</f>
        <v/>
      </c>
      <c r="C1134" s="3">
        <f>INDEX(Raw_Schedule!C:C,MATCH(A1134,Raw_Schedule!A:A,0))</f>
        <v/>
      </c>
      <c r="D1134" s="3">
        <f>INDEX(Raw_Schedule!D:D,MATCH(A1134,Raw_Schedule!A:A,0))</f>
        <v/>
      </c>
      <c r="E1134" s="3">
        <f>INDEX(Raw_Schedule!E:E,MATCH(A1134,Raw_Schedule!A:A,0))</f>
        <v/>
      </c>
      <c r="F1134" s="3">
        <f>INDEX(Raw_Schedule!F:F,MATCH(A1134,Raw_Schedule!A:A,0))</f>
        <v/>
      </c>
      <c r="G1134" s="4">
        <f>INDEX(Raw_Schedule!G:G,MATCH(A1134,Raw_Schedule!A:A,0))</f>
        <v/>
      </c>
      <c r="H1134" s="5">
        <f>INDEX(Raw_Schedule!H:H,MATCH(A1134,Raw_Schedule!A:A,0))</f>
        <v/>
      </c>
      <c r="I1134" s="5">
        <f>SUMIFS(Raw_Payments!E:E,Raw_Payments!B:B,A1134)</f>
        <v/>
      </c>
      <c r="J1134" s="5">
        <f>H1134-I1134</f>
        <v/>
      </c>
      <c r="K1134" s="3">
        <f>IF(J1134&lt;=0.005,"PAID",IF(I1134&gt;0,"PARTIAL","OVERDUE"))</f>
        <v/>
      </c>
      <c r="L1134" s="4">
        <f>IF(COUNTIFS(Raw_Payments!B:B,A1134)=0,"",SUMPRODUCT(MAX((Raw_Payments!B$2:B$1079=A1134)*Raw_Payments!D$2:D$1079)))</f>
        <v/>
      </c>
      <c r="M1134" s="3">
        <f>IF(K1134="PAID",MAX(0,L1134-G1134),Guide!$B$3-G1134)</f>
        <v/>
      </c>
      <c r="N1134" s="3">
        <f>IF(J1134&lt;=0.005,"COLLECTED",IF(M1134&lt;=30,"1-30",IF(M1134&lt;=60,"31-60",IF(M1134&lt;=90,"61-90","90+"))))</f>
        <v/>
      </c>
      <c r="O1134" s="3">
        <f>IF(N1134="90+","LOST",IF(N1134="61-90","ESCALATE",IF(N1134="31-60","WATCH",IF(N1134="1-30","MILD","OK"))))</f>
        <v/>
      </c>
      <c r="P1134" s="3">
        <f>IF(J1134&gt;0.005,ROW()-1,"")</f>
        <v/>
      </c>
    </row>
    <row r="1135">
      <c r="A1135" s="3" t="inlineStr">
        <is>
          <t>D1134</t>
        </is>
      </c>
      <c r="B1135" s="3">
        <f>INDEX(Raw_Schedule!B:B,MATCH(A1135,Raw_Schedule!A:A,0))</f>
        <v/>
      </c>
      <c r="C1135" s="3">
        <f>INDEX(Raw_Schedule!C:C,MATCH(A1135,Raw_Schedule!A:A,0))</f>
        <v/>
      </c>
      <c r="D1135" s="3">
        <f>INDEX(Raw_Schedule!D:D,MATCH(A1135,Raw_Schedule!A:A,0))</f>
        <v/>
      </c>
      <c r="E1135" s="3">
        <f>INDEX(Raw_Schedule!E:E,MATCH(A1135,Raw_Schedule!A:A,0))</f>
        <v/>
      </c>
      <c r="F1135" s="3">
        <f>INDEX(Raw_Schedule!F:F,MATCH(A1135,Raw_Schedule!A:A,0))</f>
        <v/>
      </c>
      <c r="G1135" s="4">
        <f>INDEX(Raw_Schedule!G:G,MATCH(A1135,Raw_Schedule!A:A,0))</f>
        <v/>
      </c>
      <c r="H1135" s="5">
        <f>INDEX(Raw_Schedule!H:H,MATCH(A1135,Raw_Schedule!A:A,0))</f>
        <v/>
      </c>
      <c r="I1135" s="5">
        <f>SUMIFS(Raw_Payments!E:E,Raw_Payments!B:B,A1135)</f>
        <v/>
      </c>
      <c r="J1135" s="5">
        <f>H1135-I1135</f>
        <v/>
      </c>
      <c r="K1135" s="3">
        <f>IF(J1135&lt;=0.005,"PAID",IF(I1135&gt;0,"PARTIAL","OVERDUE"))</f>
        <v/>
      </c>
      <c r="L1135" s="4">
        <f>IF(COUNTIFS(Raw_Payments!B:B,A1135)=0,"",SUMPRODUCT(MAX((Raw_Payments!B$2:B$1079=A1135)*Raw_Payments!D$2:D$1079)))</f>
        <v/>
      </c>
      <c r="M1135" s="3">
        <f>IF(K1135="PAID",MAX(0,L1135-G1135),Guide!$B$3-G1135)</f>
        <v/>
      </c>
      <c r="N1135" s="3">
        <f>IF(J1135&lt;=0.005,"COLLECTED",IF(M1135&lt;=30,"1-30",IF(M1135&lt;=60,"31-60",IF(M1135&lt;=90,"61-90","90+"))))</f>
        <v/>
      </c>
      <c r="O1135" s="3">
        <f>IF(N1135="90+","LOST",IF(N1135="61-90","ESCALATE",IF(N1135="31-60","WATCH",IF(N1135="1-30","MILD","OK"))))</f>
        <v/>
      </c>
      <c r="P1135" s="3">
        <f>IF(J1135&gt;0.005,ROW()-1,"")</f>
        <v/>
      </c>
    </row>
    <row r="1136">
      <c r="A1136" s="3" t="inlineStr">
        <is>
          <t>D1135</t>
        </is>
      </c>
      <c r="B1136" s="3">
        <f>INDEX(Raw_Schedule!B:B,MATCH(A1136,Raw_Schedule!A:A,0))</f>
        <v/>
      </c>
      <c r="C1136" s="3">
        <f>INDEX(Raw_Schedule!C:C,MATCH(A1136,Raw_Schedule!A:A,0))</f>
        <v/>
      </c>
      <c r="D1136" s="3">
        <f>INDEX(Raw_Schedule!D:D,MATCH(A1136,Raw_Schedule!A:A,0))</f>
        <v/>
      </c>
      <c r="E1136" s="3">
        <f>INDEX(Raw_Schedule!E:E,MATCH(A1136,Raw_Schedule!A:A,0))</f>
        <v/>
      </c>
      <c r="F1136" s="3">
        <f>INDEX(Raw_Schedule!F:F,MATCH(A1136,Raw_Schedule!A:A,0))</f>
        <v/>
      </c>
      <c r="G1136" s="4">
        <f>INDEX(Raw_Schedule!G:G,MATCH(A1136,Raw_Schedule!A:A,0))</f>
        <v/>
      </c>
      <c r="H1136" s="5">
        <f>INDEX(Raw_Schedule!H:H,MATCH(A1136,Raw_Schedule!A:A,0))</f>
        <v/>
      </c>
      <c r="I1136" s="5">
        <f>SUMIFS(Raw_Payments!E:E,Raw_Payments!B:B,A1136)</f>
        <v/>
      </c>
      <c r="J1136" s="5">
        <f>H1136-I1136</f>
        <v/>
      </c>
      <c r="K1136" s="3">
        <f>IF(J1136&lt;=0.005,"PAID",IF(I1136&gt;0,"PARTIAL","OVERDUE"))</f>
        <v/>
      </c>
      <c r="L1136" s="4">
        <f>IF(COUNTIFS(Raw_Payments!B:B,A1136)=0,"",SUMPRODUCT(MAX((Raw_Payments!B$2:B$1079=A1136)*Raw_Payments!D$2:D$1079)))</f>
        <v/>
      </c>
      <c r="M1136" s="3">
        <f>IF(K1136="PAID",MAX(0,L1136-G1136),Guide!$B$3-G1136)</f>
        <v/>
      </c>
      <c r="N1136" s="3">
        <f>IF(J1136&lt;=0.005,"COLLECTED",IF(M1136&lt;=30,"1-30",IF(M1136&lt;=60,"31-60",IF(M1136&lt;=90,"61-90","90+"))))</f>
        <v/>
      </c>
      <c r="O1136" s="3">
        <f>IF(N1136="90+","LOST",IF(N1136="61-90","ESCALATE",IF(N1136="31-60","WATCH",IF(N1136="1-30","MILD","OK"))))</f>
        <v/>
      </c>
      <c r="P1136" s="3">
        <f>IF(J1136&gt;0.005,ROW()-1,"")</f>
        <v/>
      </c>
    </row>
    <row r="1137">
      <c r="A1137" s="3" t="inlineStr">
        <is>
          <t>D1136</t>
        </is>
      </c>
      <c r="B1137" s="3">
        <f>INDEX(Raw_Schedule!B:B,MATCH(A1137,Raw_Schedule!A:A,0))</f>
        <v/>
      </c>
      <c r="C1137" s="3">
        <f>INDEX(Raw_Schedule!C:C,MATCH(A1137,Raw_Schedule!A:A,0))</f>
        <v/>
      </c>
      <c r="D1137" s="3">
        <f>INDEX(Raw_Schedule!D:D,MATCH(A1137,Raw_Schedule!A:A,0))</f>
        <v/>
      </c>
      <c r="E1137" s="3">
        <f>INDEX(Raw_Schedule!E:E,MATCH(A1137,Raw_Schedule!A:A,0))</f>
        <v/>
      </c>
      <c r="F1137" s="3">
        <f>INDEX(Raw_Schedule!F:F,MATCH(A1137,Raw_Schedule!A:A,0))</f>
        <v/>
      </c>
      <c r="G1137" s="4">
        <f>INDEX(Raw_Schedule!G:G,MATCH(A1137,Raw_Schedule!A:A,0))</f>
        <v/>
      </c>
      <c r="H1137" s="5">
        <f>INDEX(Raw_Schedule!H:H,MATCH(A1137,Raw_Schedule!A:A,0))</f>
        <v/>
      </c>
      <c r="I1137" s="5">
        <f>SUMIFS(Raw_Payments!E:E,Raw_Payments!B:B,A1137)</f>
        <v/>
      </c>
      <c r="J1137" s="5">
        <f>H1137-I1137</f>
        <v/>
      </c>
      <c r="K1137" s="3">
        <f>IF(J1137&lt;=0.005,"PAID",IF(I1137&gt;0,"PARTIAL","OVERDUE"))</f>
        <v/>
      </c>
      <c r="L1137" s="4">
        <f>IF(COUNTIFS(Raw_Payments!B:B,A1137)=0,"",SUMPRODUCT(MAX((Raw_Payments!B$2:B$1079=A1137)*Raw_Payments!D$2:D$1079)))</f>
        <v/>
      </c>
      <c r="M1137" s="3">
        <f>IF(K1137="PAID",MAX(0,L1137-G1137),Guide!$B$3-G1137)</f>
        <v/>
      </c>
      <c r="N1137" s="3">
        <f>IF(J1137&lt;=0.005,"COLLECTED",IF(M1137&lt;=30,"1-30",IF(M1137&lt;=60,"31-60",IF(M1137&lt;=90,"61-90","90+"))))</f>
        <v/>
      </c>
      <c r="O1137" s="3">
        <f>IF(N1137="90+","LOST",IF(N1137="61-90","ESCALATE",IF(N1137="31-60","WATCH",IF(N1137="1-30","MILD","OK"))))</f>
        <v/>
      </c>
      <c r="P1137" s="3">
        <f>IF(J1137&gt;0.005,ROW()-1,"")</f>
        <v/>
      </c>
    </row>
    <row r="1138">
      <c r="A1138" s="3" t="inlineStr">
        <is>
          <t>D1137</t>
        </is>
      </c>
      <c r="B1138" s="3">
        <f>INDEX(Raw_Schedule!B:B,MATCH(A1138,Raw_Schedule!A:A,0))</f>
        <v/>
      </c>
      <c r="C1138" s="3">
        <f>INDEX(Raw_Schedule!C:C,MATCH(A1138,Raw_Schedule!A:A,0))</f>
        <v/>
      </c>
      <c r="D1138" s="3">
        <f>INDEX(Raw_Schedule!D:D,MATCH(A1138,Raw_Schedule!A:A,0))</f>
        <v/>
      </c>
      <c r="E1138" s="3">
        <f>INDEX(Raw_Schedule!E:E,MATCH(A1138,Raw_Schedule!A:A,0))</f>
        <v/>
      </c>
      <c r="F1138" s="3">
        <f>INDEX(Raw_Schedule!F:F,MATCH(A1138,Raw_Schedule!A:A,0))</f>
        <v/>
      </c>
      <c r="G1138" s="4">
        <f>INDEX(Raw_Schedule!G:G,MATCH(A1138,Raw_Schedule!A:A,0))</f>
        <v/>
      </c>
      <c r="H1138" s="5">
        <f>INDEX(Raw_Schedule!H:H,MATCH(A1138,Raw_Schedule!A:A,0))</f>
        <v/>
      </c>
      <c r="I1138" s="5">
        <f>SUMIFS(Raw_Payments!E:E,Raw_Payments!B:B,A1138)</f>
        <v/>
      </c>
      <c r="J1138" s="5">
        <f>H1138-I1138</f>
        <v/>
      </c>
      <c r="K1138" s="3">
        <f>IF(J1138&lt;=0.005,"PAID",IF(I1138&gt;0,"PARTIAL","OVERDUE"))</f>
        <v/>
      </c>
      <c r="L1138" s="4">
        <f>IF(COUNTIFS(Raw_Payments!B:B,A1138)=0,"",SUMPRODUCT(MAX((Raw_Payments!B$2:B$1079=A1138)*Raw_Payments!D$2:D$1079)))</f>
        <v/>
      </c>
      <c r="M1138" s="3">
        <f>IF(K1138="PAID",MAX(0,L1138-G1138),Guide!$B$3-G1138)</f>
        <v/>
      </c>
      <c r="N1138" s="3">
        <f>IF(J1138&lt;=0.005,"COLLECTED",IF(M1138&lt;=30,"1-30",IF(M1138&lt;=60,"31-60",IF(M1138&lt;=90,"61-90","90+"))))</f>
        <v/>
      </c>
      <c r="O1138" s="3">
        <f>IF(N1138="90+","LOST",IF(N1138="61-90","ESCALATE",IF(N1138="31-60","WATCH",IF(N1138="1-30","MILD","OK"))))</f>
        <v/>
      </c>
      <c r="P1138" s="3">
        <f>IF(J1138&gt;0.005,ROW()-1,"")</f>
        <v/>
      </c>
    </row>
    <row r="1139">
      <c r="A1139" s="3" t="inlineStr">
        <is>
          <t>D1138</t>
        </is>
      </c>
      <c r="B1139" s="3">
        <f>INDEX(Raw_Schedule!B:B,MATCH(A1139,Raw_Schedule!A:A,0))</f>
        <v/>
      </c>
      <c r="C1139" s="3">
        <f>INDEX(Raw_Schedule!C:C,MATCH(A1139,Raw_Schedule!A:A,0))</f>
        <v/>
      </c>
      <c r="D1139" s="3">
        <f>INDEX(Raw_Schedule!D:D,MATCH(A1139,Raw_Schedule!A:A,0))</f>
        <v/>
      </c>
      <c r="E1139" s="3">
        <f>INDEX(Raw_Schedule!E:E,MATCH(A1139,Raw_Schedule!A:A,0))</f>
        <v/>
      </c>
      <c r="F1139" s="3">
        <f>INDEX(Raw_Schedule!F:F,MATCH(A1139,Raw_Schedule!A:A,0))</f>
        <v/>
      </c>
      <c r="G1139" s="4">
        <f>INDEX(Raw_Schedule!G:G,MATCH(A1139,Raw_Schedule!A:A,0))</f>
        <v/>
      </c>
      <c r="H1139" s="5">
        <f>INDEX(Raw_Schedule!H:H,MATCH(A1139,Raw_Schedule!A:A,0))</f>
        <v/>
      </c>
      <c r="I1139" s="5">
        <f>SUMIFS(Raw_Payments!E:E,Raw_Payments!B:B,A1139)</f>
        <v/>
      </c>
      <c r="J1139" s="5">
        <f>H1139-I1139</f>
        <v/>
      </c>
      <c r="K1139" s="3">
        <f>IF(J1139&lt;=0.005,"PAID",IF(I1139&gt;0,"PARTIAL","OVERDUE"))</f>
        <v/>
      </c>
      <c r="L1139" s="4">
        <f>IF(COUNTIFS(Raw_Payments!B:B,A1139)=0,"",SUMPRODUCT(MAX((Raw_Payments!B$2:B$1079=A1139)*Raw_Payments!D$2:D$1079)))</f>
        <v/>
      </c>
      <c r="M1139" s="3">
        <f>IF(K1139="PAID",MAX(0,L1139-G1139),Guide!$B$3-G1139)</f>
        <v/>
      </c>
      <c r="N1139" s="3">
        <f>IF(J1139&lt;=0.005,"COLLECTED",IF(M1139&lt;=30,"1-30",IF(M1139&lt;=60,"31-60",IF(M1139&lt;=90,"61-90","90+"))))</f>
        <v/>
      </c>
      <c r="O1139" s="3">
        <f>IF(N1139="90+","LOST",IF(N1139="61-90","ESCALATE",IF(N1139="31-60","WATCH",IF(N1139="1-30","MILD","OK"))))</f>
        <v/>
      </c>
      <c r="P1139" s="3">
        <f>IF(J1139&gt;0.005,ROW()-1,"")</f>
        <v/>
      </c>
    </row>
    <row r="1140">
      <c r="A1140" s="3" t="inlineStr">
        <is>
          <t>D1139</t>
        </is>
      </c>
      <c r="B1140" s="3">
        <f>INDEX(Raw_Schedule!B:B,MATCH(A1140,Raw_Schedule!A:A,0))</f>
        <v/>
      </c>
      <c r="C1140" s="3">
        <f>INDEX(Raw_Schedule!C:C,MATCH(A1140,Raw_Schedule!A:A,0))</f>
        <v/>
      </c>
      <c r="D1140" s="3">
        <f>INDEX(Raw_Schedule!D:D,MATCH(A1140,Raw_Schedule!A:A,0))</f>
        <v/>
      </c>
      <c r="E1140" s="3">
        <f>INDEX(Raw_Schedule!E:E,MATCH(A1140,Raw_Schedule!A:A,0))</f>
        <v/>
      </c>
      <c r="F1140" s="3">
        <f>INDEX(Raw_Schedule!F:F,MATCH(A1140,Raw_Schedule!A:A,0))</f>
        <v/>
      </c>
      <c r="G1140" s="4">
        <f>INDEX(Raw_Schedule!G:G,MATCH(A1140,Raw_Schedule!A:A,0))</f>
        <v/>
      </c>
      <c r="H1140" s="5">
        <f>INDEX(Raw_Schedule!H:H,MATCH(A1140,Raw_Schedule!A:A,0))</f>
        <v/>
      </c>
      <c r="I1140" s="5">
        <f>SUMIFS(Raw_Payments!E:E,Raw_Payments!B:B,A1140)</f>
        <v/>
      </c>
      <c r="J1140" s="5">
        <f>H1140-I1140</f>
        <v/>
      </c>
      <c r="K1140" s="3">
        <f>IF(J1140&lt;=0.005,"PAID",IF(I1140&gt;0,"PARTIAL","OVERDUE"))</f>
        <v/>
      </c>
      <c r="L1140" s="4">
        <f>IF(COUNTIFS(Raw_Payments!B:B,A1140)=0,"",SUMPRODUCT(MAX((Raw_Payments!B$2:B$1079=A1140)*Raw_Payments!D$2:D$1079)))</f>
        <v/>
      </c>
      <c r="M1140" s="3">
        <f>IF(K1140="PAID",MAX(0,L1140-G1140),Guide!$B$3-G1140)</f>
        <v/>
      </c>
      <c r="N1140" s="3">
        <f>IF(J1140&lt;=0.005,"COLLECTED",IF(M1140&lt;=30,"1-30",IF(M1140&lt;=60,"31-60",IF(M1140&lt;=90,"61-90","90+"))))</f>
        <v/>
      </c>
      <c r="O1140" s="3">
        <f>IF(N1140="90+","LOST",IF(N1140="61-90","ESCALATE",IF(N1140="31-60","WATCH",IF(N1140="1-30","MILD","OK"))))</f>
        <v/>
      </c>
      <c r="P1140" s="3">
        <f>IF(J1140&gt;0.005,ROW()-1,"")</f>
        <v/>
      </c>
    </row>
    <row r="1141">
      <c r="A1141" s="3" t="inlineStr">
        <is>
          <t>D1140</t>
        </is>
      </c>
      <c r="B1141" s="3">
        <f>INDEX(Raw_Schedule!B:B,MATCH(A1141,Raw_Schedule!A:A,0))</f>
        <v/>
      </c>
      <c r="C1141" s="3">
        <f>INDEX(Raw_Schedule!C:C,MATCH(A1141,Raw_Schedule!A:A,0))</f>
        <v/>
      </c>
      <c r="D1141" s="3">
        <f>INDEX(Raw_Schedule!D:D,MATCH(A1141,Raw_Schedule!A:A,0))</f>
        <v/>
      </c>
      <c r="E1141" s="3">
        <f>INDEX(Raw_Schedule!E:E,MATCH(A1141,Raw_Schedule!A:A,0))</f>
        <v/>
      </c>
      <c r="F1141" s="3">
        <f>INDEX(Raw_Schedule!F:F,MATCH(A1141,Raw_Schedule!A:A,0))</f>
        <v/>
      </c>
      <c r="G1141" s="4">
        <f>INDEX(Raw_Schedule!G:G,MATCH(A1141,Raw_Schedule!A:A,0))</f>
        <v/>
      </c>
      <c r="H1141" s="5">
        <f>INDEX(Raw_Schedule!H:H,MATCH(A1141,Raw_Schedule!A:A,0))</f>
        <v/>
      </c>
      <c r="I1141" s="5">
        <f>SUMIFS(Raw_Payments!E:E,Raw_Payments!B:B,A1141)</f>
        <v/>
      </c>
      <c r="J1141" s="5">
        <f>H1141-I1141</f>
        <v/>
      </c>
      <c r="K1141" s="3">
        <f>IF(J1141&lt;=0.005,"PAID",IF(I1141&gt;0,"PARTIAL","OVERDUE"))</f>
        <v/>
      </c>
      <c r="L1141" s="4">
        <f>IF(COUNTIFS(Raw_Payments!B:B,A1141)=0,"",SUMPRODUCT(MAX((Raw_Payments!B$2:B$1079=A1141)*Raw_Payments!D$2:D$1079)))</f>
        <v/>
      </c>
      <c r="M1141" s="3">
        <f>IF(K1141="PAID",MAX(0,L1141-G1141),Guide!$B$3-G1141)</f>
        <v/>
      </c>
      <c r="N1141" s="3">
        <f>IF(J1141&lt;=0.005,"COLLECTED",IF(M1141&lt;=30,"1-30",IF(M1141&lt;=60,"31-60",IF(M1141&lt;=90,"61-90","90+"))))</f>
        <v/>
      </c>
      <c r="O1141" s="3">
        <f>IF(N1141="90+","LOST",IF(N1141="61-90","ESCALATE",IF(N1141="31-60","WATCH",IF(N1141="1-30","MILD","OK"))))</f>
        <v/>
      </c>
      <c r="P1141" s="3">
        <f>IF(J1141&gt;0.005,ROW()-1,"")</f>
        <v/>
      </c>
    </row>
    <row r="1142">
      <c r="A1142" s="3" t="inlineStr">
        <is>
          <t>D1141</t>
        </is>
      </c>
      <c r="B1142" s="3">
        <f>INDEX(Raw_Schedule!B:B,MATCH(A1142,Raw_Schedule!A:A,0))</f>
        <v/>
      </c>
      <c r="C1142" s="3">
        <f>INDEX(Raw_Schedule!C:C,MATCH(A1142,Raw_Schedule!A:A,0))</f>
        <v/>
      </c>
      <c r="D1142" s="3">
        <f>INDEX(Raw_Schedule!D:D,MATCH(A1142,Raw_Schedule!A:A,0))</f>
        <v/>
      </c>
      <c r="E1142" s="3">
        <f>INDEX(Raw_Schedule!E:E,MATCH(A1142,Raw_Schedule!A:A,0))</f>
        <v/>
      </c>
      <c r="F1142" s="3">
        <f>INDEX(Raw_Schedule!F:F,MATCH(A1142,Raw_Schedule!A:A,0))</f>
        <v/>
      </c>
      <c r="G1142" s="4">
        <f>INDEX(Raw_Schedule!G:G,MATCH(A1142,Raw_Schedule!A:A,0))</f>
        <v/>
      </c>
      <c r="H1142" s="5">
        <f>INDEX(Raw_Schedule!H:H,MATCH(A1142,Raw_Schedule!A:A,0))</f>
        <v/>
      </c>
      <c r="I1142" s="5">
        <f>SUMIFS(Raw_Payments!E:E,Raw_Payments!B:B,A1142)</f>
        <v/>
      </c>
      <c r="J1142" s="5">
        <f>H1142-I1142</f>
        <v/>
      </c>
      <c r="K1142" s="3">
        <f>IF(J1142&lt;=0.005,"PAID",IF(I1142&gt;0,"PARTIAL","OVERDUE"))</f>
        <v/>
      </c>
      <c r="L1142" s="4">
        <f>IF(COUNTIFS(Raw_Payments!B:B,A1142)=0,"",SUMPRODUCT(MAX((Raw_Payments!B$2:B$1079=A1142)*Raw_Payments!D$2:D$1079)))</f>
        <v/>
      </c>
      <c r="M1142" s="3">
        <f>IF(K1142="PAID",MAX(0,L1142-G1142),Guide!$B$3-G1142)</f>
        <v/>
      </c>
      <c r="N1142" s="3">
        <f>IF(J1142&lt;=0.005,"COLLECTED",IF(M1142&lt;=30,"1-30",IF(M1142&lt;=60,"31-60",IF(M1142&lt;=90,"61-90","90+"))))</f>
        <v/>
      </c>
      <c r="O1142" s="3">
        <f>IF(N1142="90+","LOST",IF(N1142="61-90","ESCALATE",IF(N1142="31-60","WATCH",IF(N1142="1-30","MILD","OK"))))</f>
        <v/>
      </c>
      <c r="P1142" s="3">
        <f>IF(J1142&gt;0.005,ROW()-1,"")</f>
        <v/>
      </c>
    </row>
    <row r="1143">
      <c r="A1143" s="3" t="inlineStr">
        <is>
          <t>D1142</t>
        </is>
      </c>
      <c r="B1143" s="3">
        <f>INDEX(Raw_Schedule!B:B,MATCH(A1143,Raw_Schedule!A:A,0))</f>
        <v/>
      </c>
      <c r="C1143" s="3">
        <f>INDEX(Raw_Schedule!C:C,MATCH(A1143,Raw_Schedule!A:A,0))</f>
        <v/>
      </c>
      <c r="D1143" s="3">
        <f>INDEX(Raw_Schedule!D:D,MATCH(A1143,Raw_Schedule!A:A,0))</f>
        <v/>
      </c>
      <c r="E1143" s="3">
        <f>INDEX(Raw_Schedule!E:E,MATCH(A1143,Raw_Schedule!A:A,0))</f>
        <v/>
      </c>
      <c r="F1143" s="3">
        <f>INDEX(Raw_Schedule!F:F,MATCH(A1143,Raw_Schedule!A:A,0))</f>
        <v/>
      </c>
      <c r="G1143" s="4">
        <f>INDEX(Raw_Schedule!G:G,MATCH(A1143,Raw_Schedule!A:A,0))</f>
        <v/>
      </c>
      <c r="H1143" s="5">
        <f>INDEX(Raw_Schedule!H:H,MATCH(A1143,Raw_Schedule!A:A,0))</f>
        <v/>
      </c>
      <c r="I1143" s="5">
        <f>SUMIFS(Raw_Payments!E:E,Raw_Payments!B:B,A1143)</f>
        <v/>
      </c>
      <c r="J1143" s="5">
        <f>H1143-I1143</f>
        <v/>
      </c>
      <c r="K1143" s="3">
        <f>IF(J1143&lt;=0.005,"PAID",IF(I1143&gt;0,"PARTIAL","OVERDUE"))</f>
        <v/>
      </c>
      <c r="L1143" s="4">
        <f>IF(COUNTIFS(Raw_Payments!B:B,A1143)=0,"",SUMPRODUCT(MAX((Raw_Payments!B$2:B$1079=A1143)*Raw_Payments!D$2:D$1079)))</f>
        <v/>
      </c>
      <c r="M1143" s="3">
        <f>IF(K1143="PAID",MAX(0,L1143-G1143),Guide!$B$3-G1143)</f>
        <v/>
      </c>
      <c r="N1143" s="3">
        <f>IF(J1143&lt;=0.005,"COLLECTED",IF(M1143&lt;=30,"1-30",IF(M1143&lt;=60,"31-60",IF(M1143&lt;=90,"61-90","90+"))))</f>
        <v/>
      </c>
      <c r="O1143" s="3">
        <f>IF(N1143="90+","LOST",IF(N1143="61-90","ESCALATE",IF(N1143="31-60","WATCH",IF(N1143="1-30","MILD","OK"))))</f>
        <v/>
      </c>
      <c r="P1143" s="3">
        <f>IF(J1143&gt;0.005,ROW()-1,"")</f>
        <v/>
      </c>
    </row>
    <row r="1144">
      <c r="A1144" s="3" t="inlineStr">
        <is>
          <t>D1143</t>
        </is>
      </c>
      <c r="B1144" s="3">
        <f>INDEX(Raw_Schedule!B:B,MATCH(A1144,Raw_Schedule!A:A,0))</f>
        <v/>
      </c>
      <c r="C1144" s="3">
        <f>INDEX(Raw_Schedule!C:C,MATCH(A1144,Raw_Schedule!A:A,0))</f>
        <v/>
      </c>
      <c r="D1144" s="3">
        <f>INDEX(Raw_Schedule!D:D,MATCH(A1144,Raw_Schedule!A:A,0))</f>
        <v/>
      </c>
      <c r="E1144" s="3">
        <f>INDEX(Raw_Schedule!E:E,MATCH(A1144,Raw_Schedule!A:A,0))</f>
        <v/>
      </c>
      <c r="F1144" s="3">
        <f>INDEX(Raw_Schedule!F:F,MATCH(A1144,Raw_Schedule!A:A,0))</f>
        <v/>
      </c>
      <c r="G1144" s="4">
        <f>INDEX(Raw_Schedule!G:G,MATCH(A1144,Raw_Schedule!A:A,0))</f>
        <v/>
      </c>
      <c r="H1144" s="5">
        <f>INDEX(Raw_Schedule!H:H,MATCH(A1144,Raw_Schedule!A:A,0))</f>
        <v/>
      </c>
      <c r="I1144" s="5">
        <f>SUMIFS(Raw_Payments!E:E,Raw_Payments!B:B,A1144)</f>
        <v/>
      </c>
      <c r="J1144" s="5">
        <f>H1144-I1144</f>
        <v/>
      </c>
      <c r="K1144" s="3">
        <f>IF(J1144&lt;=0.005,"PAID",IF(I1144&gt;0,"PARTIAL","OVERDUE"))</f>
        <v/>
      </c>
      <c r="L1144" s="4">
        <f>IF(COUNTIFS(Raw_Payments!B:B,A1144)=0,"",SUMPRODUCT(MAX((Raw_Payments!B$2:B$1079=A1144)*Raw_Payments!D$2:D$1079)))</f>
        <v/>
      </c>
      <c r="M1144" s="3">
        <f>IF(K1144="PAID",MAX(0,L1144-G1144),Guide!$B$3-G1144)</f>
        <v/>
      </c>
      <c r="N1144" s="3">
        <f>IF(J1144&lt;=0.005,"COLLECTED",IF(M1144&lt;=30,"1-30",IF(M1144&lt;=60,"31-60",IF(M1144&lt;=90,"61-90","90+"))))</f>
        <v/>
      </c>
      <c r="O1144" s="3">
        <f>IF(N1144="90+","LOST",IF(N1144="61-90","ESCALATE",IF(N1144="31-60","WATCH",IF(N1144="1-30","MILD","OK"))))</f>
        <v/>
      </c>
      <c r="P1144" s="3">
        <f>IF(J1144&gt;0.005,ROW()-1,"")</f>
        <v/>
      </c>
    </row>
    <row r="1145">
      <c r="A1145" s="3" t="inlineStr">
        <is>
          <t>D1144</t>
        </is>
      </c>
      <c r="B1145" s="3">
        <f>INDEX(Raw_Schedule!B:B,MATCH(A1145,Raw_Schedule!A:A,0))</f>
        <v/>
      </c>
      <c r="C1145" s="3">
        <f>INDEX(Raw_Schedule!C:C,MATCH(A1145,Raw_Schedule!A:A,0))</f>
        <v/>
      </c>
      <c r="D1145" s="3">
        <f>INDEX(Raw_Schedule!D:D,MATCH(A1145,Raw_Schedule!A:A,0))</f>
        <v/>
      </c>
      <c r="E1145" s="3">
        <f>INDEX(Raw_Schedule!E:E,MATCH(A1145,Raw_Schedule!A:A,0))</f>
        <v/>
      </c>
      <c r="F1145" s="3">
        <f>INDEX(Raw_Schedule!F:F,MATCH(A1145,Raw_Schedule!A:A,0))</f>
        <v/>
      </c>
      <c r="G1145" s="4">
        <f>INDEX(Raw_Schedule!G:G,MATCH(A1145,Raw_Schedule!A:A,0))</f>
        <v/>
      </c>
      <c r="H1145" s="5">
        <f>INDEX(Raw_Schedule!H:H,MATCH(A1145,Raw_Schedule!A:A,0))</f>
        <v/>
      </c>
      <c r="I1145" s="5">
        <f>SUMIFS(Raw_Payments!E:E,Raw_Payments!B:B,A1145)</f>
        <v/>
      </c>
      <c r="J1145" s="5">
        <f>H1145-I1145</f>
        <v/>
      </c>
      <c r="K1145" s="3">
        <f>IF(J1145&lt;=0.005,"PAID",IF(I1145&gt;0,"PARTIAL","OVERDUE"))</f>
        <v/>
      </c>
      <c r="L1145" s="4">
        <f>IF(COUNTIFS(Raw_Payments!B:B,A1145)=0,"",SUMPRODUCT(MAX((Raw_Payments!B$2:B$1079=A1145)*Raw_Payments!D$2:D$1079)))</f>
        <v/>
      </c>
      <c r="M1145" s="3">
        <f>IF(K1145="PAID",MAX(0,L1145-G1145),Guide!$B$3-G1145)</f>
        <v/>
      </c>
      <c r="N1145" s="3">
        <f>IF(J1145&lt;=0.005,"COLLECTED",IF(M1145&lt;=30,"1-30",IF(M1145&lt;=60,"31-60",IF(M1145&lt;=90,"61-90","90+"))))</f>
        <v/>
      </c>
      <c r="O1145" s="3">
        <f>IF(N1145="90+","LOST",IF(N1145="61-90","ESCALATE",IF(N1145="31-60","WATCH",IF(N1145="1-30","MILD","OK"))))</f>
        <v/>
      </c>
      <c r="P1145" s="3">
        <f>IF(J1145&gt;0.005,ROW()-1,"")</f>
        <v/>
      </c>
    </row>
    <row r="1146">
      <c r="A1146" s="3" t="inlineStr">
        <is>
          <t>D1145</t>
        </is>
      </c>
      <c r="B1146" s="3">
        <f>INDEX(Raw_Schedule!B:B,MATCH(A1146,Raw_Schedule!A:A,0))</f>
        <v/>
      </c>
      <c r="C1146" s="3">
        <f>INDEX(Raw_Schedule!C:C,MATCH(A1146,Raw_Schedule!A:A,0))</f>
        <v/>
      </c>
      <c r="D1146" s="3">
        <f>INDEX(Raw_Schedule!D:D,MATCH(A1146,Raw_Schedule!A:A,0))</f>
        <v/>
      </c>
      <c r="E1146" s="3">
        <f>INDEX(Raw_Schedule!E:E,MATCH(A1146,Raw_Schedule!A:A,0))</f>
        <v/>
      </c>
      <c r="F1146" s="3">
        <f>INDEX(Raw_Schedule!F:F,MATCH(A1146,Raw_Schedule!A:A,0))</f>
        <v/>
      </c>
      <c r="G1146" s="4">
        <f>INDEX(Raw_Schedule!G:G,MATCH(A1146,Raw_Schedule!A:A,0))</f>
        <v/>
      </c>
      <c r="H1146" s="5">
        <f>INDEX(Raw_Schedule!H:H,MATCH(A1146,Raw_Schedule!A:A,0))</f>
        <v/>
      </c>
      <c r="I1146" s="5">
        <f>SUMIFS(Raw_Payments!E:E,Raw_Payments!B:B,A1146)</f>
        <v/>
      </c>
      <c r="J1146" s="5">
        <f>H1146-I1146</f>
        <v/>
      </c>
      <c r="K1146" s="3">
        <f>IF(J1146&lt;=0.005,"PAID",IF(I1146&gt;0,"PARTIAL","OVERDUE"))</f>
        <v/>
      </c>
      <c r="L1146" s="4">
        <f>IF(COUNTIFS(Raw_Payments!B:B,A1146)=0,"",SUMPRODUCT(MAX((Raw_Payments!B$2:B$1079=A1146)*Raw_Payments!D$2:D$1079)))</f>
        <v/>
      </c>
      <c r="M1146" s="3">
        <f>IF(K1146="PAID",MAX(0,L1146-G1146),Guide!$B$3-G1146)</f>
        <v/>
      </c>
      <c r="N1146" s="3">
        <f>IF(J1146&lt;=0.005,"COLLECTED",IF(M1146&lt;=30,"1-30",IF(M1146&lt;=60,"31-60",IF(M1146&lt;=90,"61-90","90+"))))</f>
        <v/>
      </c>
      <c r="O1146" s="3">
        <f>IF(N1146="90+","LOST",IF(N1146="61-90","ESCALATE",IF(N1146="31-60","WATCH",IF(N1146="1-30","MILD","OK"))))</f>
        <v/>
      </c>
      <c r="P1146" s="3">
        <f>IF(J1146&gt;0.005,ROW()-1,"")</f>
        <v/>
      </c>
    </row>
    <row r="1147">
      <c r="A1147" s="3" t="inlineStr">
        <is>
          <t>D1146</t>
        </is>
      </c>
      <c r="B1147" s="3">
        <f>INDEX(Raw_Schedule!B:B,MATCH(A1147,Raw_Schedule!A:A,0))</f>
        <v/>
      </c>
      <c r="C1147" s="3">
        <f>INDEX(Raw_Schedule!C:C,MATCH(A1147,Raw_Schedule!A:A,0))</f>
        <v/>
      </c>
      <c r="D1147" s="3">
        <f>INDEX(Raw_Schedule!D:D,MATCH(A1147,Raw_Schedule!A:A,0))</f>
        <v/>
      </c>
      <c r="E1147" s="3">
        <f>INDEX(Raw_Schedule!E:E,MATCH(A1147,Raw_Schedule!A:A,0))</f>
        <v/>
      </c>
      <c r="F1147" s="3">
        <f>INDEX(Raw_Schedule!F:F,MATCH(A1147,Raw_Schedule!A:A,0))</f>
        <v/>
      </c>
      <c r="G1147" s="4">
        <f>INDEX(Raw_Schedule!G:G,MATCH(A1147,Raw_Schedule!A:A,0))</f>
        <v/>
      </c>
      <c r="H1147" s="5">
        <f>INDEX(Raw_Schedule!H:H,MATCH(A1147,Raw_Schedule!A:A,0))</f>
        <v/>
      </c>
      <c r="I1147" s="5">
        <f>SUMIFS(Raw_Payments!E:E,Raw_Payments!B:B,A1147)</f>
        <v/>
      </c>
      <c r="J1147" s="5">
        <f>H1147-I1147</f>
        <v/>
      </c>
      <c r="K1147" s="3">
        <f>IF(J1147&lt;=0.005,"PAID",IF(I1147&gt;0,"PARTIAL","OVERDUE"))</f>
        <v/>
      </c>
      <c r="L1147" s="4">
        <f>IF(COUNTIFS(Raw_Payments!B:B,A1147)=0,"",SUMPRODUCT(MAX((Raw_Payments!B$2:B$1079=A1147)*Raw_Payments!D$2:D$1079)))</f>
        <v/>
      </c>
      <c r="M1147" s="3">
        <f>IF(K1147="PAID",MAX(0,L1147-G1147),Guide!$B$3-G1147)</f>
        <v/>
      </c>
      <c r="N1147" s="3">
        <f>IF(J1147&lt;=0.005,"COLLECTED",IF(M1147&lt;=30,"1-30",IF(M1147&lt;=60,"31-60",IF(M1147&lt;=90,"61-90","90+"))))</f>
        <v/>
      </c>
      <c r="O1147" s="3">
        <f>IF(N1147="90+","LOST",IF(N1147="61-90","ESCALATE",IF(N1147="31-60","WATCH",IF(N1147="1-30","MILD","OK"))))</f>
        <v/>
      </c>
      <c r="P1147" s="3">
        <f>IF(J1147&gt;0.005,ROW()-1,"")</f>
        <v/>
      </c>
    </row>
    <row r="1148">
      <c r="A1148" s="3" t="inlineStr">
        <is>
          <t>D1147</t>
        </is>
      </c>
      <c r="B1148" s="3">
        <f>INDEX(Raw_Schedule!B:B,MATCH(A1148,Raw_Schedule!A:A,0))</f>
        <v/>
      </c>
      <c r="C1148" s="3">
        <f>INDEX(Raw_Schedule!C:C,MATCH(A1148,Raw_Schedule!A:A,0))</f>
        <v/>
      </c>
      <c r="D1148" s="3">
        <f>INDEX(Raw_Schedule!D:D,MATCH(A1148,Raw_Schedule!A:A,0))</f>
        <v/>
      </c>
      <c r="E1148" s="3">
        <f>INDEX(Raw_Schedule!E:E,MATCH(A1148,Raw_Schedule!A:A,0))</f>
        <v/>
      </c>
      <c r="F1148" s="3">
        <f>INDEX(Raw_Schedule!F:F,MATCH(A1148,Raw_Schedule!A:A,0))</f>
        <v/>
      </c>
      <c r="G1148" s="4">
        <f>INDEX(Raw_Schedule!G:G,MATCH(A1148,Raw_Schedule!A:A,0))</f>
        <v/>
      </c>
      <c r="H1148" s="5">
        <f>INDEX(Raw_Schedule!H:H,MATCH(A1148,Raw_Schedule!A:A,0))</f>
        <v/>
      </c>
      <c r="I1148" s="5">
        <f>SUMIFS(Raw_Payments!E:E,Raw_Payments!B:B,A1148)</f>
        <v/>
      </c>
      <c r="J1148" s="5">
        <f>H1148-I1148</f>
        <v/>
      </c>
      <c r="K1148" s="3">
        <f>IF(J1148&lt;=0.005,"PAID",IF(I1148&gt;0,"PARTIAL","OVERDUE"))</f>
        <v/>
      </c>
      <c r="L1148" s="4">
        <f>IF(COUNTIFS(Raw_Payments!B:B,A1148)=0,"",SUMPRODUCT(MAX((Raw_Payments!B$2:B$1079=A1148)*Raw_Payments!D$2:D$1079)))</f>
        <v/>
      </c>
      <c r="M1148" s="3">
        <f>IF(K1148="PAID",MAX(0,L1148-G1148),Guide!$B$3-G1148)</f>
        <v/>
      </c>
      <c r="N1148" s="3">
        <f>IF(J1148&lt;=0.005,"COLLECTED",IF(M1148&lt;=30,"1-30",IF(M1148&lt;=60,"31-60",IF(M1148&lt;=90,"61-90","90+"))))</f>
        <v/>
      </c>
      <c r="O1148" s="3">
        <f>IF(N1148="90+","LOST",IF(N1148="61-90","ESCALATE",IF(N1148="31-60","WATCH",IF(N1148="1-30","MILD","OK"))))</f>
        <v/>
      </c>
      <c r="P1148" s="3">
        <f>IF(J1148&gt;0.005,ROW()-1,"")</f>
        <v/>
      </c>
    </row>
    <row r="1149">
      <c r="A1149" s="3" t="inlineStr">
        <is>
          <t>D1148</t>
        </is>
      </c>
      <c r="B1149" s="3">
        <f>INDEX(Raw_Schedule!B:B,MATCH(A1149,Raw_Schedule!A:A,0))</f>
        <v/>
      </c>
      <c r="C1149" s="3">
        <f>INDEX(Raw_Schedule!C:C,MATCH(A1149,Raw_Schedule!A:A,0))</f>
        <v/>
      </c>
      <c r="D1149" s="3">
        <f>INDEX(Raw_Schedule!D:D,MATCH(A1149,Raw_Schedule!A:A,0))</f>
        <v/>
      </c>
      <c r="E1149" s="3">
        <f>INDEX(Raw_Schedule!E:E,MATCH(A1149,Raw_Schedule!A:A,0))</f>
        <v/>
      </c>
      <c r="F1149" s="3">
        <f>INDEX(Raw_Schedule!F:F,MATCH(A1149,Raw_Schedule!A:A,0))</f>
        <v/>
      </c>
      <c r="G1149" s="4">
        <f>INDEX(Raw_Schedule!G:G,MATCH(A1149,Raw_Schedule!A:A,0))</f>
        <v/>
      </c>
      <c r="H1149" s="5">
        <f>INDEX(Raw_Schedule!H:H,MATCH(A1149,Raw_Schedule!A:A,0))</f>
        <v/>
      </c>
      <c r="I1149" s="5">
        <f>SUMIFS(Raw_Payments!E:E,Raw_Payments!B:B,A1149)</f>
        <v/>
      </c>
      <c r="J1149" s="5">
        <f>H1149-I1149</f>
        <v/>
      </c>
      <c r="K1149" s="3">
        <f>IF(J1149&lt;=0.005,"PAID",IF(I1149&gt;0,"PARTIAL","OVERDUE"))</f>
        <v/>
      </c>
      <c r="L1149" s="4">
        <f>IF(COUNTIFS(Raw_Payments!B:B,A1149)=0,"",SUMPRODUCT(MAX((Raw_Payments!B$2:B$1079=A1149)*Raw_Payments!D$2:D$1079)))</f>
        <v/>
      </c>
      <c r="M1149" s="3">
        <f>IF(K1149="PAID",MAX(0,L1149-G1149),Guide!$B$3-G1149)</f>
        <v/>
      </c>
      <c r="N1149" s="3">
        <f>IF(J1149&lt;=0.005,"COLLECTED",IF(M1149&lt;=30,"1-30",IF(M1149&lt;=60,"31-60",IF(M1149&lt;=90,"61-90","90+"))))</f>
        <v/>
      </c>
      <c r="O1149" s="3">
        <f>IF(N1149="90+","LOST",IF(N1149="61-90","ESCALATE",IF(N1149="31-60","WATCH",IF(N1149="1-30","MILD","OK"))))</f>
        <v/>
      </c>
      <c r="P1149" s="3">
        <f>IF(J1149&gt;0.005,ROW()-1,"")</f>
        <v/>
      </c>
    </row>
    <row r="1150">
      <c r="A1150" s="3" t="inlineStr">
        <is>
          <t>D1149</t>
        </is>
      </c>
      <c r="B1150" s="3">
        <f>INDEX(Raw_Schedule!B:B,MATCH(A1150,Raw_Schedule!A:A,0))</f>
        <v/>
      </c>
      <c r="C1150" s="3">
        <f>INDEX(Raw_Schedule!C:C,MATCH(A1150,Raw_Schedule!A:A,0))</f>
        <v/>
      </c>
      <c r="D1150" s="3">
        <f>INDEX(Raw_Schedule!D:D,MATCH(A1150,Raw_Schedule!A:A,0))</f>
        <v/>
      </c>
      <c r="E1150" s="3">
        <f>INDEX(Raw_Schedule!E:E,MATCH(A1150,Raw_Schedule!A:A,0))</f>
        <v/>
      </c>
      <c r="F1150" s="3">
        <f>INDEX(Raw_Schedule!F:F,MATCH(A1150,Raw_Schedule!A:A,0))</f>
        <v/>
      </c>
      <c r="G1150" s="4">
        <f>INDEX(Raw_Schedule!G:G,MATCH(A1150,Raw_Schedule!A:A,0))</f>
        <v/>
      </c>
      <c r="H1150" s="5">
        <f>INDEX(Raw_Schedule!H:H,MATCH(A1150,Raw_Schedule!A:A,0))</f>
        <v/>
      </c>
      <c r="I1150" s="5">
        <f>SUMIFS(Raw_Payments!E:E,Raw_Payments!B:B,A1150)</f>
        <v/>
      </c>
      <c r="J1150" s="5">
        <f>H1150-I1150</f>
        <v/>
      </c>
      <c r="K1150" s="3">
        <f>IF(J1150&lt;=0.005,"PAID",IF(I1150&gt;0,"PARTIAL","OVERDUE"))</f>
        <v/>
      </c>
      <c r="L1150" s="4">
        <f>IF(COUNTIFS(Raw_Payments!B:B,A1150)=0,"",SUMPRODUCT(MAX((Raw_Payments!B$2:B$1079=A1150)*Raw_Payments!D$2:D$1079)))</f>
        <v/>
      </c>
      <c r="M1150" s="3">
        <f>IF(K1150="PAID",MAX(0,L1150-G1150),Guide!$B$3-G1150)</f>
        <v/>
      </c>
      <c r="N1150" s="3">
        <f>IF(J1150&lt;=0.005,"COLLECTED",IF(M1150&lt;=30,"1-30",IF(M1150&lt;=60,"31-60",IF(M1150&lt;=90,"61-90","90+"))))</f>
        <v/>
      </c>
      <c r="O1150" s="3">
        <f>IF(N1150="90+","LOST",IF(N1150="61-90","ESCALATE",IF(N1150="31-60","WATCH",IF(N1150="1-30","MILD","OK"))))</f>
        <v/>
      </c>
      <c r="P1150" s="3">
        <f>IF(J1150&gt;0.005,ROW()-1,"")</f>
        <v/>
      </c>
    </row>
    <row r="1151">
      <c r="A1151" s="3" t="inlineStr">
        <is>
          <t>D1150</t>
        </is>
      </c>
      <c r="B1151" s="3">
        <f>INDEX(Raw_Schedule!B:B,MATCH(A1151,Raw_Schedule!A:A,0))</f>
        <v/>
      </c>
      <c r="C1151" s="3">
        <f>INDEX(Raw_Schedule!C:C,MATCH(A1151,Raw_Schedule!A:A,0))</f>
        <v/>
      </c>
      <c r="D1151" s="3">
        <f>INDEX(Raw_Schedule!D:D,MATCH(A1151,Raw_Schedule!A:A,0))</f>
        <v/>
      </c>
      <c r="E1151" s="3">
        <f>INDEX(Raw_Schedule!E:E,MATCH(A1151,Raw_Schedule!A:A,0))</f>
        <v/>
      </c>
      <c r="F1151" s="3">
        <f>INDEX(Raw_Schedule!F:F,MATCH(A1151,Raw_Schedule!A:A,0))</f>
        <v/>
      </c>
      <c r="G1151" s="4">
        <f>INDEX(Raw_Schedule!G:G,MATCH(A1151,Raw_Schedule!A:A,0))</f>
        <v/>
      </c>
      <c r="H1151" s="5">
        <f>INDEX(Raw_Schedule!H:H,MATCH(A1151,Raw_Schedule!A:A,0))</f>
        <v/>
      </c>
      <c r="I1151" s="5">
        <f>SUMIFS(Raw_Payments!E:E,Raw_Payments!B:B,A1151)</f>
        <v/>
      </c>
      <c r="J1151" s="5">
        <f>H1151-I1151</f>
        <v/>
      </c>
      <c r="K1151" s="3">
        <f>IF(J1151&lt;=0.005,"PAID",IF(I1151&gt;0,"PARTIAL","OVERDUE"))</f>
        <v/>
      </c>
      <c r="L1151" s="4">
        <f>IF(COUNTIFS(Raw_Payments!B:B,A1151)=0,"",SUMPRODUCT(MAX((Raw_Payments!B$2:B$1079=A1151)*Raw_Payments!D$2:D$1079)))</f>
        <v/>
      </c>
      <c r="M1151" s="3">
        <f>IF(K1151="PAID",MAX(0,L1151-G1151),Guide!$B$3-G1151)</f>
        <v/>
      </c>
      <c r="N1151" s="3">
        <f>IF(J1151&lt;=0.005,"COLLECTED",IF(M1151&lt;=30,"1-30",IF(M1151&lt;=60,"31-60",IF(M1151&lt;=90,"61-90","90+"))))</f>
        <v/>
      </c>
      <c r="O1151" s="3">
        <f>IF(N1151="90+","LOST",IF(N1151="61-90","ESCALATE",IF(N1151="31-60","WATCH",IF(N1151="1-30","MILD","OK"))))</f>
        <v/>
      </c>
      <c r="P1151" s="3">
        <f>IF(J1151&gt;0.005,ROW()-1,"")</f>
        <v/>
      </c>
    </row>
    <row r="1152">
      <c r="A1152" s="3" t="inlineStr">
        <is>
          <t>D1151</t>
        </is>
      </c>
      <c r="B1152" s="3">
        <f>INDEX(Raw_Schedule!B:B,MATCH(A1152,Raw_Schedule!A:A,0))</f>
        <v/>
      </c>
      <c r="C1152" s="3">
        <f>INDEX(Raw_Schedule!C:C,MATCH(A1152,Raw_Schedule!A:A,0))</f>
        <v/>
      </c>
      <c r="D1152" s="3">
        <f>INDEX(Raw_Schedule!D:D,MATCH(A1152,Raw_Schedule!A:A,0))</f>
        <v/>
      </c>
      <c r="E1152" s="3">
        <f>INDEX(Raw_Schedule!E:E,MATCH(A1152,Raw_Schedule!A:A,0))</f>
        <v/>
      </c>
      <c r="F1152" s="3">
        <f>INDEX(Raw_Schedule!F:F,MATCH(A1152,Raw_Schedule!A:A,0))</f>
        <v/>
      </c>
      <c r="G1152" s="4">
        <f>INDEX(Raw_Schedule!G:G,MATCH(A1152,Raw_Schedule!A:A,0))</f>
        <v/>
      </c>
      <c r="H1152" s="5">
        <f>INDEX(Raw_Schedule!H:H,MATCH(A1152,Raw_Schedule!A:A,0))</f>
        <v/>
      </c>
      <c r="I1152" s="5">
        <f>SUMIFS(Raw_Payments!E:E,Raw_Payments!B:B,A1152)</f>
        <v/>
      </c>
      <c r="J1152" s="5">
        <f>H1152-I1152</f>
        <v/>
      </c>
      <c r="K1152" s="3">
        <f>IF(J1152&lt;=0.005,"PAID",IF(I1152&gt;0,"PARTIAL","OVERDUE"))</f>
        <v/>
      </c>
      <c r="L1152" s="4">
        <f>IF(COUNTIFS(Raw_Payments!B:B,A1152)=0,"",SUMPRODUCT(MAX((Raw_Payments!B$2:B$1079=A1152)*Raw_Payments!D$2:D$1079)))</f>
        <v/>
      </c>
      <c r="M1152" s="3">
        <f>IF(K1152="PAID",MAX(0,L1152-G1152),Guide!$B$3-G1152)</f>
        <v/>
      </c>
      <c r="N1152" s="3">
        <f>IF(J1152&lt;=0.005,"COLLECTED",IF(M1152&lt;=30,"1-30",IF(M1152&lt;=60,"31-60",IF(M1152&lt;=90,"61-90","90+"))))</f>
        <v/>
      </c>
      <c r="O1152" s="3">
        <f>IF(N1152="90+","LOST",IF(N1152="61-90","ESCALATE",IF(N1152="31-60","WATCH",IF(N1152="1-30","MILD","OK"))))</f>
        <v/>
      </c>
      <c r="P1152" s="3">
        <f>IF(J1152&gt;0.005,ROW()-1,"")</f>
        <v/>
      </c>
    </row>
    <row r="1153">
      <c r="A1153" s="3" t="inlineStr">
        <is>
          <t>D1152</t>
        </is>
      </c>
      <c r="B1153" s="3">
        <f>INDEX(Raw_Schedule!B:B,MATCH(A1153,Raw_Schedule!A:A,0))</f>
        <v/>
      </c>
      <c r="C1153" s="3">
        <f>INDEX(Raw_Schedule!C:C,MATCH(A1153,Raw_Schedule!A:A,0))</f>
        <v/>
      </c>
      <c r="D1153" s="3">
        <f>INDEX(Raw_Schedule!D:D,MATCH(A1153,Raw_Schedule!A:A,0))</f>
        <v/>
      </c>
      <c r="E1153" s="3">
        <f>INDEX(Raw_Schedule!E:E,MATCH(A1153,Raw_Schedule!A:A,0))</f>
        <v/>
      </c>
      <c r="F1153" s="3">
        <f>INDEX(Raw_Schedule!F:F,MATCH(A1153,Raw_Schedule!A:A,0))</f>
        <v/>
      </c>
      <c r="G1153" s="4">
        <f>INDEX(Raw_Schedule!G:G,MATCH(A1153,Raw_Schedule!A:A,0))</f>
        <v/>
      </c>
      <c r="H1153" s="5">
        <f>INDEX(Raw_Schedule!H:H,MATCH(A1153,Raw_Schedule!A:A,0))</f>
        <v/>
      </c>
      <c r="I1153" s="5">
        <f>SUMIFS(Raw_Payments!E:E,Raw_Payments!B:B,A1153)</f>
        <v/>
      </c>
      <c r="J1153" s="5">
        <f>H1153-I1153</f>
        <v/>
      </c>
      <c r="K1153" s="3">
        <f>IF(J1153&lt;=0.005,"PAID",IF(I1153&gt;0,"PARTIAL","OVERDUE"))</f>
        <v/>
      </c>
      <c r="L1153" s="4">
        <f>IF(COUNTIFS(Raw_Payments!B:B,A1153)=0,"",SUMPRODUCT(MAX((Raw_Payments!B$2:B$1079=A1153)*Raw_Payments!D$2:D$1079)))</f>
        <v/>
      </c>
      <c r="M1153" s="3">
        <f>IF(K1153="PAID",MAX(0,L1153-G1153),Guide!$B$3-G1153)</f>
        <v/>
      </c>
      <c r="N1153" s="3">
        <f>IF(J1153&lt;=0.005,"COLLECTED",IF(M1153&lt;=30,"1-30",IF(M1153&lt;=60,"31-60",IF(M1153&lt;=90,"61-90","90+"))))</f>
        <v/>
      </c>
      <c r="O1153" s="3">
        <f>IF(N1153="90+","LOST",IF(N1153="61-90","ESCALATE",IF(N1153="31-60","WATCH",IF(N1153="1-30","MILD","OK"))))</f>
        <v/>
      </c>
      <c r="P1153" s="3">
        <f>IF(J1153&gt;0.005,ROW()-1,"")</f>
        <v/>
      </c>
    </row>
    <row r="1154">
      <c r="A1154" s="3" t="inlineStr">
        <is>
          <t>D1153</t>
        </is>
      </c>
      <c r="B1154" s="3">
        <f>INDEX(Raw_Schedule!B:B,MATCH(A1154,Raw_Schedule!A:A,0))</f>
        <v/>
      </c>
      <c r="C1154" s="3">
        <f>INDEX(Raw_Schedule!C:C,MATCH(A1154,Raw_Schedule!A:A,0))</f>
        <v/>
      </c>
      <c r="D1154" s="3">
        <f>INDEX(Raw_Schedule!D:D,MATCH(A1154,Raw_Schedule!A:A,0))</f>
        <v/>
      </c>
      <c r="E1154" s="3">
        <f>INDEX(Raw_Schedule!E:E,MATCH(A1154,Raw_Schedule!A:A,0))</f>
        <v/>
      </c>
      <c r="F1154" s="3">
        <f>INDEX(Raw_Schedule!F:F,MATCH(A1154,Raw_Schedule!A:A,0))</f>
        <v/>
      </c>
      <c r="G1154" s="4">
        <f>INDEX(Raw_Schedule!G:G,MATCH(A1154,Raw_Schedule!A:A,0))</f>
        <v/>
      </c>
      <c r="H1154" s="5">
        <f>INDEX(Raw_Schedule!H:H,MATCH(A1154,Raw_Schedule!A:A,0))</f>
        <v/>
      </c>
      <c r="I1154" s="5">
        <f>SUMIFS(Raw_Payments!E:E,Raw_Payments!B:B,A1154)</f>
        <v/>
      </c>
      <c r="J1154" s="5">
        <f>H1154-I1154</f>
        <v/>
      </c>
      <c r="K1154" s="3">
        <f>IF(J1154&lt;=0.005,"PAID",IF(I1154&gt;0,"PARTIAL","OVERDUE"))</f>
        <v/>
      </c>
      <c r="L1154" s="4">
        <f>IF(COUNTIFS(Raw_Payments!B:B,A1154)=0,"",SUMPRODUCT(MAX((Raw_Payments!B$2:B$1079=A1154)*Raw_Payments!D$2:D$1079)))</f>
        <v/>
      </c>
      <c r="M1154" s="3">
        <f>IF(K1154="PAID",MAX(0,L1154-G1154),Guide!$B$3-G1154)</f>
        <v/>
      </c>
      <c r="N1154" s="3">
        <f>IF(J1154&lt;=0.005,"COLLECTED",IF(M1154&lt;=30,"1-30",IF(M1154&lt;=60,"31-60",IF(M1154&lt;=90,"61-90","90+"))))</f>
        <v/>
      </c>
      <c r="O1154" s="3">
        <f>IF(N1154="90+","LOST",IF(N1154="61-90","ESCALATE",IF(N1154="31-60","WATCH",IF(N1154="1-30","MILD","OK"))))</f>
        <v/>
      </c>
      <c r="P1154" s="3">
        <f>IF(J1154&gt;0.005,ROW()-1,"")</f>
        <v/>
      </c>
    </row>
    <row r="1155">
      <c r="A1155" s="3" t="inlineStr">
        <is>
          <t>D1154</t>
        </is>
      </c>
      <c r="B1155" s="3">
        <f>INDEX(Raw_Schedule!B:B,MATCH(A1155,Raw_Schedule!A:A,0))</f>
        <v/>
      </c>
      <c r="C1155" s="3">
        <f>INDEX(Raw_Schedule!C:C,MATCH(A1155,Raw_Schedule!A:A,0))</f>
        <v/>
      </c>
      <c r="D1155" s="3">
        <f>INDEX(Raw_Schedule!D:D,MATCH(A1155,Raw_Schedule!A:A,0))</f>
        <v/>
      </c>
      <c r="E1155" s="3">
        <f>INDEX(Raw_Schedule!E:E,MATCH(A1155,Raw_Schedule!A:A,0))</f>
        <v/>
      </c>
      <c r="F1155" s="3">
        <f>INDEX(Raw_Schedule!F:F,MATCH(A1155,Raw_Schedule!A:A,0))</f>
        <v/>
      </c>
      <c r="G1155" s="4">
        <f>INDEX(Raw_Schedule!G:G,MATCH(A1155,Raw_Schedule!A:A,0))</f>
        <v/>
      </c>
      <c r="H1155" s="5">
        <f>INDEX(Raw_Schedule!H:H,MATCH(A1155,Raw_Schedule!A:A,0))</f>
        <v/>
      </c>
      <c r="I1155" s="5">
        <f>SUMIFS(Raw_Payments!E:E,Raw_Payments!B:B,A1155)</f>
        <v/>
      </c>
      <c r="J1155" s="5">
        <f>H1155-I1155</f>
        <v/>
      </c>
      <c r="K1155" s="3">
        <f>IF(J1155&lt;=0.005,"PAID",IF(I1155&gt;0,"PARTIAL","OVERDUE"))</f>
        <v/>
      </c>
      <c r="L1155" s="4">
        <f>IF(COUNTIFS(Raw_Payments!B:B,A1155)=0,"",SUMPRODUCT(MAX((Raw_Payments!B$2:B$1079=A1155)*Raw_Payments!D$2:D$1079)))</f>
        <v/>
      </c>
      <c r="M1155" s="3">
        <f>IF(K1155="PAID",MAX(0,L1155-G1155),Guide!$B$3-G1155)</f>
        <v/>
      </c>
      <c r="N1155" s="3">
        <f>IF(J1155&lt;=0.005,"COLLECTED",IF(M1155&lt;=30,"1-30",IF(M1155&lt;=60,"31-60",IF(M1155&lt;=90,"61-90","90+"))))</f>
        <v/>
      </c>
      <c r="O1155" s="3">
        <f>IF(N1155="90+","LOST",IF(N1155="61-90","ESCALATE",IF(N1155="31-60","WATCH",IF(N1155="1-30","MILD","OK"))))</f>
        <v/>
      </c>
      <c r="P1155" s="3">
        <f>IF(J1155&gt;0.005,ROW()-1,"")</f>
        <v/>
      </c>
    </row>
    <row r="1156">
      <c r="A1156" s="3" t="inlineStr">
        <is>
          <t>D1155</t>
        </is>
      </c>
      <c r="B1156" s="3">
        <f>INDEX(Raw_Schedule!B:B,MATCH(A1156,Raw_Schedule!A:A,0))</f>
        <v/>
      </c>
      <c r="C1156" s="3">
        <f>INDEX(Raw_Schedule!C:C,MATCH(A1156,Raw_Schedule!A:A,0))</f>
        <v/>
      </c>
      <c r="D1156" s="3">
        <f>INDEX(Raw_Schedule!D:D,MATCH(A1156,Raw_Schedule!A:A,0))</f>
        <v/>
      </c>
      <c r="E1156" s="3">
        <f>INDEX(Raw_Schedule!E:E,MATCH(A1156,Raw_Schedule!A:A,0))</f>
        <v/>
      </c>
      <c r="F1156" s="3">
        <f>INDEX(Raw_Schedule!F:F,MATCH(A1156,Raw_Schedule!A:A,0))</f>
        <v/>
      </c>
      <c r="G1156" s="4">
        <f>INDEX(Raw_Schedule!G:G,MATCH(A1156,Raw_Schedule!A:A,0))</f>
        <v/>
      </c>
      <c r="H1156" s="5">
        <f>INDEX(Raw_Schedule!H:H,MATCH(A1156,Raw_Schedule!A:A,0))</f>
        <v/>
      </c>
      <c r="I1156" s="5">
        <f>SUMIFS(Raw_Payments!E:E,Raw_Payments!B:B,A1156)</f>
        <v/>
      </c>
      <c r="J1156" s="5">
        <f>H1156-I1156</f>
        <v/>
      </c>
      <c r="K1156" s="3">
        <f>IF(J1156&lt;=0.005,"PAID",IF(I1156&gt;0,"PARTIAL","OVERDUE"))</f>
        <v/>
      </c>
      <c r="L1156" s="4">
        <f>IF(COUNTIFS(Raw_Payments!B:B,A1156)=0,"",SUMPRODUCT(MAX((Raw_Payments!B$2:B$1079=A1156)*Raw_Payments!D$2:D$1079)))</f>
        <v/>
      </c>
      <c r="M1156" s="3">
        <f>IF(K1156="PAID",MAX(0,L1156-G1156),Guide!$B$3-G1156)</f>
        <v/>
      </c>
      <c r="N1156" s="3">
        <f>IF(J1156&lt;=0.005,"COLLECTED",IF(M1156&lt;=30,"1-30",IF(M1156&lt;=60,"31-60",IF(M1156&lt;=90,"61-90","90+"))))</f>
        <v/>
      </c>
      <c r="O1156" s="3">
        <f>IF(N1156="90+","LOST",IF(N1156="61-90","ESCALATE",IF(N1156="31-60","WATCH",IF(N1156="1-30","MILD","OK"))))</f>
        <v/>
      </c>
      <c r="P1156" s="3">
        <f>IF(J1156&gt;0.005,ROW()-1,"")</f>
        <v/>
      </c>
    </row>
    <row r="1157">
      <c r="A1157" s="3" t="inlineStr">
        <is>
          <t>D1156</t>
        </is>
      </c>
      <c r="B1157" s="3">
        <f>INDEX(Raw_Schedule!B:B,MATCH(A1157,Raw_Schedule!A:A,0))</f>
        <v/>
      </c>
      <c r="C1157" s="3">
        <f>INDEX(Raw_Schedule!C:C,MATCH(A1157,Raw_Schedule!A:A,0))</f>
        <v/>
      </c>
      <c r="D1157" s="3">
        <f>INDEX(Raw_Schedule!D:D,MATCH(A1157,Raw_Schedule!A:A,0))</f>
        <v/>
      </c>
      <c r="E1157" s="3">
        <f>INDEX(Raw_Schedule!E:E,MATCH(A1157,Raw_Schedule!A:A,0))</f>
        <v/>
      </c>
      <c r="F1157" s="3">
        <f>INDEX(Raw_Schedule!F:F,MATCH(A1157,Raw_Schedule!A:A,0))</f>
        <v/>
      </c>
      <c r="G1157" s="4">
        <f>INDEX(Raw_Schedule!G:G,MATCH(A1157,Raw_Schedule!A:A,0))</f>
        <v/>
      </c>
      <c r="H1157" s="5">
        <f>INDEX(Raw_Schedule!H:H,MATCH(A1157,Raw_Schedule!A:A,0))</f>
        <v/>
      </c>
      <c r="I1157" s="5">
        <f>SUMIFS(Raw_Payments!E:E,Raw_Payments!B:B,A1157)</f>
        <v/>
      </c>
      <c r="J1157" s="5">
        <f>H1157-I1157</f>
        <v/>
      </c>
      <c r="K1157" s="3">
        <f>IF(J1157&lt;=0.005,"PAID",IF(I1157&gt;0,"PARTIAL","OVERDUE"))</f>
        <v/>
      </c>
      <c r="L1157" s="4">
        <f>IF(COUNTIFS(Raw_Payments!B:B,A1157)=0,"",SUMPRODUCT(MAX((Raw_Payments!B$2:B$1079=A1157)*Raw_Payments!D$2:D$1079)))</f>
        <v/>
      </c>
      <c r="M1157" s="3">
        <f>IF(K1157="PAID",MAX(0,L1157-G1157),Guide!$B$3-G1157)</f>
        <v/>
      </c>
      <c r="N1157" s="3">
        <f>IF(J1157&lt;=0.005,"COLLECTED",IF(M1157&lt;=30,"1-30",IF(M1157&lt;=60,"31-60",IF(M1157&lt;=90,"61-90","90+"))))</f>
        <v/>
      </c>
      <c r="O1157" s="3">
        <f>IF(N1157="90+","LOST",IF(N1157="61-90","ESCALATE",IF(N1157="31-60","WATCH",IF(N1157="1-30","MILD","OK"))))</f>
        <v/>
      </c>
      <c r="P1157" s="3">
        <f>IF(J1157&gt;0.005,ROW()-1,"")</f>
        <v/>
      </c>
    </row>
    <row r="1158">
      <c r="A1158" s="3" t="inlineStr">
        <is>
          <t>D1157</t>
        </is>
      </c>
      <c r="B1158" s="3">
        <f>INDEX(Raw_Schedule!B:B,MATCH(A1158,Raw_Schedule!A:A,0))</f>
        <v/>
      </c>
      <c r="C1158" s="3">
        <f>INDEX(Raw_Schedule!C:C,MATCH(A1158,Raw_Schedule!A:A,0))</f>
        <v/>
      </c>
      <c r="D1158" s="3">
        <f>INDEX(Raw_Schedule!D:D,MATCH(A1158,Raw_Schedule!A:A,0))</f>
        <v/>
      </c>
      <c r="E1158" s="3">
        <f>INDEX(Raw_Schedule!E:E,MATCH(A1158,Raw_Schedule!A:A,0))</f>
        <v/>
      </c>
      <c r="F1158" s="3">
        <f>INDEX(Raw_Schedule!F:F,MATCH(A1158,Raw_Schedule!A:A,0))</f>
        <v/>
      </c>
      <c r="G1158" s="4">
        <f>INDEX(Raw_Schedule!G:G,MATCH(A1158,Raw_Schedule!A:A,0))</f>
        <v/>
      </c>
      <c r="H1158" s="5">
        <f>INDEX(Raw_Schedule!H:H,MATCH(A1158,Raw_Schedule!A:A,0))</f>
        <v/>
      </c>
      <c r="I1158" s="5">
        <f>SUMIFS(Raw_Payments!E:E,Raw_Payments!B:B,A1158)</f>
        <v/>
      </c>
      <c r="J1158" s="5">
        <f>H1158-I1158</f>
        <v/>
      </c>
      <c r="K1158" s="3">
        <f>IF(J1158&lt;=0.005,"PAID",IF(I1158&gt;0,"PARTIAL","OVERDUE"))</f>
        <v/>
      </c>
      <c r="L1158" s="4">
        <f>IF(COUNTIFS(Raw_Payments!B:B,A1158)=0,"",SUMPRODUCT(MAX((Raw_Payments!B$2:B$1079=A1158)*Raw_Payments!D$2:D$1079)))</f>
        <v/>
      </c>
      <c r="M1158" s="3">
        <f>IF(K1158="PAID",MAX(0,L1158-G1158),Guide!$B$3-G1158)</f>
        <v/>
      </c>
      <c r="N1158" s="3">
        <f>IF(J1158&lt;=0.005,"COLLECTED",IF(M1158&lt;=30,"1-30",IF(M1158&lt;=60,"31-60",IF(M1158&lt;=90,"61-90","90+"))))</f>
        <v/>
      </c>
      <c r="O1158" s="3">
        <f>IF(N1158="90+","LOST",IF(N1158="61-90","ESCALATE",IF(N1158="31-60","WATCH",IF(N1158="1-30","MILD","OK"))))</f>
        <v/>
      </c>
      <c r="P1158" s="3">
        <f>IF(J1158&gt;0.005,ROW()-1,"")</f>
        <v/>
      </c>
    </row>
    <row r="1159">
      <c r="A1159" s="3" t="inlineStr">
        <is>
          <t>D1158</t>
        </is>
      </c>
      <c r="B1159" s="3">
        <f>INDEX(Raw_Schedule!B:B,MATCH(A1159,Raw_Schedule!A:A,0))</f>
        <v/>
      </c>
      <c r="C1159" s="3">
        <f>INDEX(Raw_Schedule!C:C,MATCH(A1159,Raw_Schedule!A:A,0))</f>
        <v/>
      </c>
      <c r="D1159" s="3">
        <f>INDEX(Raw_Schedule!D:D,MATCH(A1159,Raw_Schedule!A:A,0))</f>
        <v/>
      </c>
      <c r="E1159" s="3">
        <f>INDEX(Raw_Schedule!E:E,MATCH(A1159,Raw_Schedule!A:A,0))</f>
        <v/>
      </c>
      <c r="F1159" s="3">
        <f>INDEX(Raw_Schedule!F:F,MATCH(A1159,Raw_Schedule!A:A,0))</f>
        <v/>
      </c>
      <c r="G1159" s="4">
        <f>INDEX(Raw_Schedule!G:G,MATCH(A1159,Raw_Schedule!A:A,0))</f>
        <v/>
      </c>
      <c r="H1159" s="5">
        <f>INDEX(Raw_Schedule!H:H,MATCH(A1159,Raw_Schedule!A:A,0))</f>
        <v/>
      </c>
      <c r="I1159" s="5">
        <f>SUMIFS(Raw_Payments!E:E,Raw_Payments!B:B,A1159)</f>
        <v/>
      </c>
      <c r="J1159" s="5">
        <f>H1159-I1159</f>
        <v/>
      </c>
      <c r="K1159" s="3">
        <f>IF(J1159&lt;=0.005,"PAID",IF(I1159&gt;0,"PARTIAL","OVERDUE"))</f>
        <v/>
      </c>
      <c r="L1159" s="4">
        <f>IF(COUNTIFS(Raw_Payments!B:B,A1159)=0,"",SUMPRODUCT(MAX((Raw_Payments!B$2:B$1079=A1159)*Raw_Payments!D$2:D$1079)))</f>
        <v/>
      </c>
      <c r="M1159" s="3">
        <f>IF(K1159="PAID",MAX(0,L1159-G1159),Guide!$B$3-G1159)</f>
        <v/>
      </c>
      <c r="N1159" s="3">
        <f>IF(J1159&lt;=0.005,"COLLECTED",IF(M1159&lt;=30,"1-30",IF(M1159&lt;=60,"31-60",IF(M1159&lt;=90,"61-90","90+"))))</f>
        <v/>
      </c>
      <c r="O1159" s="3">
        <f>IF(N1159="90+","LOST",IF(N1159="61-90","ESCALATE",IF(N1159="31-60","WATCH",IF(N1159="1-30","MILD","OK"))))</f>
        <v/>
      </c>
      <c r="P1159" s="3">
        <f>IF(J1159&gt;0.005,ROW()-1,"")</f>
        <v/>
      </c>
    </row>
    <row r="1160">
      <c r="A1160" s="3" t="inlineStr">
        <is>
          <t>D1159</t>
        </is>
      </c>
      <c r="B1160" s="3">
        <f>INDEX(Raw_Schedule!B:B,MATCH(A1160,Raw_Schedule!A:A,0))</f>
        <v/>
      </c>
      <c r="C1160" s="3">
        <f>INDEX(Raw_Schedule!C:C,MATCH(A1160,Raw_Schedule!A:A,0))</f>
        <v/>
      </c>
      <c r="D1160" s="3">
        <f>INDEX(Raw_Schedule!D:D,MATCH(A1160,Raw_Schedule!A:A,0))</f>
        <v/>
      </c>
      <c r="E1160" s="3">
        <f>INDEX(Raw_Schedule!E:E,MATCH(A1160,Raw_Schedule!A:A,0))</f>
        <v/>
      </c>
      <c r="F1160" s="3">
        <f>INDEX(Raw_Schedule!F:F,MATCH(A1160,Raw_Schedule!A:A,0))</f>
        <v/>
      </c>
      <c r="G1160" s="4">
        <f>INDEX(Raw_Schedule!G:G,MATCH(A1160,Raw_Schedule!A:A,0))</f>
        <v/>
      </c>
      <c r="H1160" s="5">
        <f>INDEX(Raw_Schedule!H:H,MATCH(A1160,Raw_Schedule!A:A,0))</f>
        <v/>
      </c>
      <c r="I1160" s="5">
        <f>SUMIFS(Raw_Payments!E:E,Raw_Payments!B:B,A1160)</f>
        <v/>
      </c>
      <c r="J1160" s="5">
        <f>H1160-I1160</f>
        <v/>
      </c>
      <c r="K1160" s="3">
        <f>IF(J1160&lt;=0.005,"PAID",IF(I1160&gt;0,"PARTIAL","OVERDUE"))</f>
        <v/>
      </c>
      <c r="L1160" s="4">
        <f>IF(COUNTIFS(Raw_Payments!B:B,A1160)=0,"",SUMPRODUCT(MAX((Raw_Payments!B$2:B$1079=A1160)*Raw_Payments!D$2:D$1079)))</f>
        <v/>
      </c>
      <c r="M1160" s="3">
        <f>IF(K1160="PAID",MAX(0,L1160-G1160),Guide!$B$3-G1160)</f>
        <v/>
      </c>
      <c r="N1160" s="3">
        <f>IF(J1160&lt;=0.005,"COLLECTED",IF(M1160&lt;=30,"1-30",IF(M1160&lt;=60,"31-60",IF(M1160&lt;=90,"61-90","90+"))))</f>
        <v/>
      </c>
      <c r="O1160" s="3">
        <f>IF(N1160="90+","LOST",IF(N1160="61-90","ESCALATE",IF(N1160="31-60","WATCH",IF(N1160="1-30","MILD","OK"))))</f>
        <v/>
      </c>
      <c r="P1160" s="3">
        <f>IF(J1160&gt;0.005,ROW()-1,"")</f>
        <v/>
      </c>
    </row>
    <row r="1161">
      <c r="A1161" s="3" t="inlineStr">
        <is>
          <t>D1160</t>
        </is>
      </c>
      <c r="B1161" s="3">
        <f>INDEX(Raw_Schedule!B:B,MATCH(A1161,Raw_Schedule!A:A,0))</f>
        <v/>
      </c>
      <c r="C1161" s="3">
        <f>INDEX(Raw_Schedule!C:C,MATCH(A1161,Raw_Schedule!A:A,0))</f>
        <v/>
      </c>
      <c r="D1161" s="3">
        <f>INDEX(Raw_Schedule!D:D,MATCH(A1161,Raw_Schedule!A:A,0))</f>
        <v/>
      </c>
      <c r="E1161" s="3">
        <f>INDEX(Raw_Schedule!E:E,MATCH(A1161,Raw_Schedule!A:A,0))</f>
        <v/>
      </c>
      <c r="F1161" s="3">
        <f>INDEX(Raw_Schedule!F:F,MATCH(A1161,Raw_Schedule!A:A,0))</f>
        <v/>
      </c>
      <c r="G1161" s="4">
        <f>INDEX(Raw_Schedule!G:G,MATCH(A1161,Raw_Schedule!A:A,0))</f>
        <v/>
      </c>
      <c r="H1161" s="5">
        <f>INDEX(Raw_Schedule!H:H,MATCH(A1161,Raw_Schedule!A:A,0))</f>
        <v/>
      </c>
      <c r="I1161" s="5">
        <f>SUMIFS(Raw_Payments!E:E,Raw_Payments!B:B,A1161)</f>
        <v/>
      </c>
      <c r="J1161" s="5">
        <f>H1161-I1161</f>
        <v/>
      </c>
      <c r="K1161" s="3">
        <f>IF(J1161&lt;=0.005,"PAID",IF(I1161&gt;0,"PARTIAL","OVERDUE"))</f>
        <v/>
      </c>
      <c r="L1161" s="4">
        <f>IF(COUNTIFS(Raw_Payments!B:B,A1161)=0,"",SUMPRODUCT(MAX((Raw_Payments!B$2:B$1079=A1161)*Raw_Payments!D$2:D$1079)))</f>
        <v/>
      </c>
      <c r="M1161" s="3">
        <f>IF(K1161="PAID",MAX(0,L1161-G1161),Guide!$B$3-G1161)</f>
        <v/>
      </c>
      <c r="N1161" s="3">
        <f>IF(J1161&lt;=0.005,"COLLECTED",IF(M1161&lt;=30,"1-30",IF(M1161&lt;=60,"31-60",IF(M1161&lt;=90,"61-90","90+"))))</f>
        <v/>
      </c>
      <c r="O1161" s="3">
        <f>IF(N1161="90+","LOST",IF(N1161="61-90","ESCALATE",IF(N1161="31-60","WATCH",IF(N1161="1-30","MILD","OK"))))</f>
        <v/>
      </c>
      <c r="P1161" s="3">
        <f>IF(J1161&gt;0.005,ROW()-1,"")</f>
        <v/>
      </c>
    </row>
    <row r="1162">
      <c r="A1162" s="3" t="inlineStr">
        <is>
          <t>D1161</t>
        </is>
      </c>
      <c r="B1162" s="3">
        <f>INDEX(Raw_Schedule!B:B,MATCH(A1162,Raw_Schedule!A:A,0))</f>
        <v/>
      </c>
      <c r="C1162" s="3">
        <f>INDEX(Raw_Schedule!C:C,MATCH(A1162,Raw_Schedule!A:A,0))</f>
        <v/>
      </c>
      <c r="D1162" s="3">
        <f>INDEX(Raw_Schedule!D:D,MATCH(A1162,Raw_Schedule!A:A,0))</f>
        <v/>
      </c>
      <c r="E1162" s="3">
        <f>INDEX(Raw_Schedule!E:E,MATCH(A1162,Raw_Schedule!A:A,0))</f>
        <v/>
      </c>
      <c r="F1162" s="3">
        <f>INDEX(Raw_Schedule!F:F,MATCH(A1162,Raw_Schedule!A:A,0))</f>
        <v/>
      </c>
      <c r="G1162" s="4">
        <f>INDEX(Raw_Schedule!G:G,MATCH(A1162,Raw_Schedule!A:A,0))</f>
        <v/>
      </c>
      <c r="H1162" s="5">
        <f>INDEX(Raw_Schedule!H:H,MATCH(A1162,Raw_Schedule!A:A,0))</f>
        <v/>
      </c>
      <c r="I1162" s="5">
        <f>SUMIFS(Raw_Payments!E:E,Raw_Payments!B:B,A1162)</f>
        <v/>
      </c>
      <c r="J1162" s="5">
        <f>H1162-I1162</f>
        <v/>
      </c>
      <c r="K1162" s="3">
        <f>IF(J1162&lt;=0.005,"PAID",IF(I1162&gt;0,"PARTIAL","OVERDUE"))</f>
        <v/>
      </c>
      <c r="L1162" s="4">
        <f>IF(COUNTIFS(Raw_Payments!B:B,A1162)=0,"",SUMPRODUCT(MAX((Raw_Payments!B$2:B$1079=A1162)*Raw_Payments!D$2:D$1079)))</f>
        <v/>
      </c>
      <c r="M1162" s="3">
        <f>IF(K1162="PAID",MAX(0,L1162-G1162),Guide!$B$3-G1162)</f>
        <v/>
      </c>
      <c r="N1162" s="3">
        <f>IF(J1162&lt;=0.005,"COLLECTED",IF(M1162&lt;=30,"1-30",IF(M1162&lt;=60,"31-60",IF(M1162&lt;=90,"61-90","90+"))))</f>
        <v/>
      </c>
      <c r="O1162" s="3">
        <f>IF(N1162="90+","LOST",IF(N1162="61-90","ESCALATE",IF(N1162="31-60","WATCH",IF(N1162="1-30","MILD","OK"))))</f>
        <v/>
      </c>
      <c r="P1162" s="3">
        <f>IF(J1162&gt;0.005,ROW()-1,"")</f>
        <v/>
      </c>
    </row>
    <row r="1163">
      <c r="A1163" s="3" t="inlineStr">
        <is>
          <t>D1162</t>
        </is>
      </c>
      <c r="B1163" s="3">
        <f>INDEX(Raw_Schedule!B:B,MATCH(A1163,Raw_Schedule!A:A,0))</f>
        <v/>
      </c>
      <c r="C1163" s="3">
        <f>INDEX(Raw_Schedule!C:C,MATCH(A1163,Raw_Schedule!A:A,0))</f>
        <v/>
      </c>
      <c r="D1163" s="3">
        <f>INDEX(Raw_Schedule!D:D,MATCH(A1163,Raw_Schedule!A:A,0))</f>
        <v/>
      </c>
      <c r="E1163" s="3">
        <f>INDEX(Raw_Schedule!E:E,MATCH(A1163,Raw_Schedule!A:A,0))</f>
        <v/>
      </c>
      <c r="F1163" s="3">
        <f>INDEX(Raw_Schedule!F:F,MATCH(A1163,Raw_Schedule!A:A,0))</f>
        <v/>
      </c>
      <c r="G1163" s="4">
        <f>INDEX(Raw_Schedule!G:G,MATCH(A1163,Raw_Schedule!A:A,0))</f>
        <v/>
      </c>
      <c r="H1163" s="5">
        <f>INDEX(Raw_Schedule!H:H,MATCH(A1163,Raw_Schedule!A:A,0))</f>
        <v/>
      </c>
      <c r="I1163" s="5">
        <f>SUMIFS(Raw_Payments!E:E,Raw_Payments!B:B,A1163)</f>
        <v/>
      </c>
      <c r="J1163" s="5">
        <f>H1163-I1163</f>
        <v/>
      </c>
      <c r="K1163" s="3">
        <f>IF(J1163&lt;=0.005,"PAID",IF(I1163&gt;0,"PARTIAL","OVERDUE"))</f>
        <v/>
      </c>
      <c r="L1163" s="4">
        <f>IF(COUNTIFS(Raw_Payments!B:B,A1163)=0,"",SUMPRODUCT(MAX((Raw_Payments!B$2:B$1079=A1163)*Raw_Payments!D$2:D$1079)))</f>
        <v/>
      </c>
      <c r="M1163" s="3">
        <f>IF(K1163="PAID",MAX(0,L1163-G1163),Guide!$B$3-G1163)</f>
        <v/>
      </c>
      <c r="N1163" s="3">
        <f>IF(J1163&lt;=0.005,"COLLECTED",IF(M1163&lt;=30,"1-30",IF(M1163&lt;=60,"31-60",IF(M1163&lt;=90,"61-90","90+"))))</f>
        <v/>
      </c>
      <c r="O1163" s="3">
        <f>IF(N1163="90+","LOST",IF(N1163="61-90","ESCALATE",IF(N1163="31-60","WATCH",IF(N1163="1-30","MILD","OK"))))</f>
        <v/>
      </c>
      <c r="P1163" s="3">
        <f>IF(J1163&gt;0.005,ROW()-1,"")</f>
        <v/>
      </c>
    </row>
    <row r="1164">
      <c r="A1164" s="3" t="inlineStr">
        <is>
          <t>D1163</t>
        </is>
      </c>
      <c r="B1164" s="3">
        <f>INDEX(Raw_Schedule!B:B,MATCH(A1164,Raw_Schedule!A:A,0))</f>
        <v/>
      </c>
      <c r="C1164" s="3">
        <f>INDEX(Raw_Schedule!C:C,MATCH(A1164,Raw_Schedule!A:A,0))</f>
        <v/>
      </c>
      <c r="D1164" s="3">
        <f>INDEX(Raw_Schedule!D:D,MATCH(A1164,Raw_Schedule!A:A,0))</f>
        <v/>
      </c>
      <c r="E1164" s="3">
        <f>INDEX(Raw_Schedule!E:E,MATCH(A1164,Raw_Schedule!A:A,0))</f>
        <v/>
      </c>
      <c r="F1164" s="3">
        <f>INDEX(Raw_Schedule!F:F,MATCH(A1164,Raw_Schedule!A:A,0))</f>
        <v/>
      </c>
      <c r="G1164" s="4">
        <f>INDEX(Raw_Schedule!G:G,MATCH(A1164,Raw_Schedule!A:A,0))</f>
        <v/>
      </c>
      <c r="H1164" s="5">
        <f>INDEX(Raw_Schedule!H:H,MATCH(A1164,Raw_Schedule!A:A,0))</f>
        <v/>
      </c>
      <c r="I1164" s="5">
        <f>SUMIFS(Raw_Payments!E:E,Raw_Payments!B:B,A1164)</f>
        <v/>
      </c>
      <c r="J1164" s="5">
        <f>H1164-I1164</f>
        <v/>
      </c>
      <c r="K1164" s="3">
        <f>IF(J1164&lt;=0.005,"PAID",IF(I1164&gt;0,"PARTIAL","OVERDUE"))</f>
        <v/>
      </c>
      <c r="L1164" s="4">
        <f>IF(COUNTIFS(Raw_Payments!B:B,A1164)=0,"",SUMPRODUCT(MAX((Raw_Payments!B$2:B$1079=A1164)*Raw_Payments!D$2:D$1079)))</f>
        <v/>
      </c>
      <c r="M1164" s="3">
        <f>IF(K1164="PAID",MAX(0,L1164-G1164),Guide!$B$3-G1164)</f>
        <v/>
      </c>
      <c r="N1164" s="3">
        <f>IF(J1164&lt;=0.005,"COLLECTED",IF(M1164&lt;=30,"1-30",IF(M1164&lt;=60,"31-60",IF(M1164&lt;=90,"61-90","90+"))))</f>
        <v/>
      </c>
      <c r="O1164" s="3">
        <f>IF(N1164="90+","LOST",IF(N1164="61-90","ESCALATE",IF(N1164="31-60","WATCH",IF(N1164="1-30","MILD","OK"))))</f>
        <v/>
      </c>
      <c r="P1164" s="3">
        <f>IF(J1164&gt;0.005,ROW()-1,"")</f>
        <v/>
      </c>
    </row>
    <row r="1165">
      <c r="A1165" s="3" t="inlineStr">
        <is>
          <t>D1164</t>
        </is>
      </c>
      <c r="B1165" s="3">
        <f>INDEX(Raw_Schedule!B:B,MATCH(A1165,Raw_Schedule!A:A,0))</f>
        <v/>
      </c>
      <c r="C1165" s="3">
        <f>INDEX(Raw_Schedule!C:C,MATCH(A1165,Raw_Schedule!A:A,0))</f>
        <v/>
      </c>
      <c r="D1165" s="3">
        <f>INDEX(Raw_Schedule!D:D,MATCH(A1165,Raw_Schedule!A:A,0))</f>
        <v/>
      </c>
      <c r="E1165" s="3">
        <f>INDEX(Raw_Schedule!E:E,MATCH(A1165,Raw_Schedule!A:A,0))</f>
        <v/>
      </c>
      <c r="F1165" s="3">
        <f>INDEX(Raw_Schedule!F:F,MATCH(A1165,Raw_Schedule!A:A,0))</f>
        <v/>
      </c>
      <c r="G1165" s="4">
        <f>INDEX(Raw_Schedule!G:G,MATCH(A1165,Raw_Schedule!A:A,0))</f>
        <v/>
      </c>
      <c r="H1165" s="5">
        <f>INDEX(Raw_Schedule!H:H,MATCH(A1165,Raw_Schedule!A:A,0))</f>
        <v/>
      </c>
      <c r="I1165" s="5">
        <f>SUMIFS(Raw_Payments!E:E,Raw_Payments!B:B,A1165)</f>
        <v/>
      </c>
      <c r="J1165" s="5">
        <f>H1165-I1165</f>
        <v/>
      </c>
      <c r="K1165" s="3">
        <f>IF(J1165&lt;=0.005,"PAID",IF(I1165&gt;0,"PARTIAL","OVERDUE"))</f>
        <v/>
      </c>
      <c r="L1165" s="4">
        <f>IF(COUNTIFS(Raw_Payments!B:B,A1165)=0,"",SUMPRODUCT(MAX((Raw_Payments!B$2:B$1079=A1165)*Raw_Payments!D$2:D$1079)))</f>
        <v/>
      </c>
      <c r="M1165" s="3">
        <f>IF(K1165="PAID",MAX(0,L1165-G1165),Guide!$B$3-G1165)</f>
        <v/>
      </c>
      <c r="N1165" s="3">
        <f>IF(J1165&lt;=0.005,"COLLECTED",IF(M1165&lt;=30,"1-30",IF(M1165&lt;=60,"31-60",IF(M1165&lt;=90,"61-90","90+"))))</f>
        <v/>
      </c>
      <c r="O1165" s="3">
        <f>IF(N1165="90+","LOST",IF(N1165="61-90","ESCALATE",IF(N1165="31-60","WATCH",IF(N1165="1-30","MILD","OK"))))</f>
        <v/>
      </c>
      <c r="P1165" s="3">
        <f>IF(J1165&gt;0.005,ROW()-1,"")</f>
        <v/>
      </c>
    </row>
    <row r="1166">
      <c r="A1166" s="3" t="inlineStr">
        <is>
          <t>D1165</t>
        </is>
      </c>
      <c r="B1166" s="3">
        <f>INDEX(Raw_Schedule!B:B,MATCH(A1166,Raw_Schedule!A:A,0))</f>
        <v/>
      </c>
      <c r="C1166" s="3">
        <f>INDEX(Raw_Schedule!C:C,MATCH(A1166,Raw_Schedule!A:A,0))</f>
        <v/>
      </c>
      <c r="D1166" s="3">
        <f>INDEX(Raw_Schedule!D:D,MATCH(A1166,Raw_Schedule!A:A,0))</f>
        <v/>
      </c>
      <c r="E1166" s="3">
        <f>INDEX(Raw_Schedule!E:E,MATCH(A1166,Raw_Schedule!A:A,0))</f>
        <v/>
      </c>
      <c r="F1166" s="3">
        <f>INDEX(Raw_Schedule!F:F,MATCH(A1166,Raw_Schedule!A:A,0))</f>
        <v/>
      </c>
      <c r="G1166" s="4">
        <f>INDEX(Raw_Schedule!G:G,MATCH(A1166,Raw_Schedule!A:A,0))</f>
        <v/>
      </c>
      <c r="H1166" s="5">
        <f>INDEX(Raw_Schedule!H:H,MATCH(A1166,Raw_Schedule!A:A,0))</f>
        <v/>
      </c>
      <c r="I1166" s="5">
        <f>SUMIFS(Raw_Payments!E:E,Raw_Payments!B:B,A1166)</f>
        <v/>
      </c>
      <c r="J1166" s="5">
        <f>H1166-I1166</f>
        <v/>
      </c>
      <c r="K1166" s="3">
        <f>IF(J1166&lt;=0.005,"PAID",IF(I1166&gt;0,"PARTIAL","OVERDUE"))</f>
        <v/>
      </c>
      <c r="L1166" s="4">
        <f>IF(COUNTIFS(Raw_Payments!B:B,A1166)=0,"",SUMPRODUCT(MAX((Raw_Payments!B$2:B$1079=A1166)*Raw_Payments!D$2:D$1079)))</f>
        <v/>
      </c>
      <c r="M1166" s="3">
        <f>IF(K1166="PAID",MAX(0,L1166-G1166),Guide!$B$3-G1166)</f>
        <v/>
      </c>
      <c r="N1166" s="3">
        <f>IF(J1166&lt;=0.005,"COLLECTED",IF(M1166&lt;=30,"1-30",IF(M1166&lt;=60,"31-60",IF(M1166&lt;=90,"61-90","90+"))))</f>
        <v/>
      </c>
      <c r="O1166" s="3">
        <f>IF(N1166="90+","LOST",IF(N1166="61-90","ESCALATE",IF(N1166="31-60","WATCH",IF(N1166="1-30","MILD","OK"))))</f>
        <v/>
      </c>
      <c r="P1166" s="3">
        <f>IF(J1166&gt;0.005,ROW()-1,"")</f>
        <v/>
      </c>
    </row>
    <row r="1167">
      <c r="A1167" s="3" t="inlineStr">
        <is>
          <t>D1166</t>
        </is>
      </c>
      <c r="B1167" s="3">
        <f>INDEX(Raw_Schedule!B:B,MATCH(A1167,Raw_Schedule!A:A,0))</f>
        <v/>
      </c>
      <c r="C1167" s="3">
        <f>INDEX(Raw_Schedule!C:C,MATCH(A1167,Raw_Schedule!A:A,0))</f>
        <v/>
      </c>
      <c r="D1167" s="3">
        <f>INDEX(Raw_Schedule!D:D,MATCH(A1167,Raw_Schedule!A:A,0))</f>
        <v/>
      </c>
      <c r="E1167" s="3">
        <f>INDEX(Raw_Schedule!E:E,MATCH(A1167,Raw_Schedule!A:A,0))</f>
        <v/>
      </c>
      <c r="F1167" s="3">
        <f>INDEX(Raw_Schedule!F:F,MATCH(A1167,Raw_Schedule!A:A,0))</f>
        <v/>
      </c>
      <c r="G1167" s="4">
        <f>INDEX(Raw_Schedule!G:G,MATCH(A1167,Raw_Schedule!A:A,0))</f>
        <v/>
      </c>
      <c r="H1167" s="5">
        <f>INDEX(Raw_Schedule!H:H,MATCH(A1167,Raw_Schedule!A:A,0))</f>
        <v/>
      </c>
      <c r="I1167" s="5">
        <f>SUMIFS(Raw_Payments!E:E,Raw_Payments!B:B,A1167)</f>
        <v/>
      </c>
      <c r="J1167" s="5">
        <f>H1167-I1167</f>
        <v/>
      </c>
      <c r="K1167" s="3">
        <f>IF(J1167&lt;=0.005,"PAID",IF(I1167&gt;0,"PARTIAL","OVERDUE"))</f>
        <v/>
      </c>
      <c r="L1167" s="4">
        <f>IF(COUNTIFS(Raw_Payments!B:B,A1167)=0,"",SUMPRODUCT(MAX((Raw_Payments!B$2:B$1079=A1167)*Raw_Payments!D$2:D$1079)))</f>
        <v/>
      </c>
      <c r="M1167" s="3">
        <f>IF(K1167="PAID",MAX(0,L1167-G1167),Guide!$B$3-G1167)</f>
        <v/>
      </c>
      <c r="N1167" s="3">
        <f>IF(J1167&lt;=0.005,"COLLECTED",IF(M1167&lt;=30,"1-30",IF(M1167&lt;=60,"31-60",IF(M1167&lt;=90,"61-90","90+"))))</f>
        <v/>
      </c>
      <c r="O1167" s="3">
        <f>IF(N1167="90+","LOST",IF(N1167="61-90","ESCALATE",IF(N1167="31-60","WATCH",IF(N1167="1-30","MILD","OK"))))</f>
        <v/>
      </c>
      <c r="P1167" s="3">
        <f>IF(J1167&gt;0.005,ROW()-1,"")</f>
        <v/>
      </c>
    </row>
    <row r="1168">
      <c r="A1168" s="3" t="inlineStr">
        <is>
          <t>D1167</t>
        </is>
      </c>
      <c r="B1168" s="3">
        <f>INDEX(Raw_Schedule!B:B,MATCH(A1168,Raw_Schedule!A:A,0))</f>
        <v/>
      </c>
      <c r="C1168" s="3">
        <f>INDEX(Raw_Schedule!C:C,MATCH(A1168,Raw_Schedule!A:A,0))</f>
        <v/>
      </c>
      <c r="D1168" s="3">
        <f>INDEX(Raw_Schedule!D:D,MATCH(A1168,Raw_Schedule!A:A,0))</f>
        <v/>
      </c>
      <c r="E1168" s="3">
        <f>INDEX(Raw_Schedule!E:E,MATCH(A1168,Raw_Schedule!A:A,0))</f>
        <v/>
      </c>
      <c r="F1168" s="3">
        <f>INDEX(Raw_Schedule!F:F,MATCH(A1168,Raw_Schedule!A:A,0))</f>
        <v/>
      </c>
      <c r="G1168" s="4">
        <f>INDEX(Raw_Schedule!G:G,MATCH(A1168,Raw_Schedule!A:A,0))</f>
        <v/>
      </c>
      <c r="H1168" s="5">
        <f>INDEX(Raw_Schedule!H:H,MATCH(A1168,Raw_Schedule!A:A,0))</f>
        <v/>
      </c>
      <c r="I1168" s="5">
        <f>SUMIFS(Raw_Payments!E:E,Raw_Payments!B:B,A1168)</f>
        <v/>
      </c>
      <c r="J1168" s="5">
        <f>H1168-I1168</f>
        <v/>
      </c>
      <c r="K1168" s="3">
        <f>IF(J1168&lt;=0.005,"PAID",IF(I1168&gt;0,"PARTIAL","OVERDUE"))</f>
        <v/>
      </c>
      <c r="L1168" s="4">
        <f>IF(COUNTIFS(Raw_Payments!B:B,A1168)=0,"",SUMPRODUCT(MAX((Raw_Payments!B$2:B$1079=A1168)*Raw_Payments!D$2:D$1079)))</f>
        <v/>
      </c>
      <c r="M1168" s="3">
        <f>IF(K1168="PAID",MAX(0,L1168-G1168),Guide!$B$3-G1168)</f>
        <v/>
      </c>
      <c r="N1168" s="3">
        <f>IF(J1168&lt;=0.005,"COLLECTED",IF(M1168&lt;=30,"1-30",IF(M1168&lt;=60,"31-60",IF(M1168&lt;=90,"61-90","90+"))))</f>
        <v/>
      </c>
      <c r="O1168" s="3">
        <f>IF(N1168="90+","LOST",IF(N1168="61-90","ESCALATE",IF(N1168="31-60","WATCH",IF(N1168="1-30","MILD","OK"))))</f>
        <v/>
      </c>
      <c r="P1168" s="3">
        <f>IF(J1168&gt;0.005,ROW()-1,"")</f>
        <v/>
      </c>
    </row>
    <row r="1169">
      <c r="A1169" s="3" t="inlineStr">
        <is>
          <t>D1168</t>
        </is>
      </c>
      <c r="B1169" s="3">
        <f>INDEX(Raw_Schedule!B:B,MATCH(A1169,Raw_Schedule!A:A,0))</f>
        <v/>
      </c>
      <c r="C1169" s="3">
        <f>INDEX(Raw_Schedule!C:C,MATCH(A1169,Raw_Schedule!A:A,0))</f>
        <v/>
      </c>
      <c r="D1169" s="3">
        <f>INDEX(Raw_Schedule!D:D,MATCH(A1169,Raw_Schedule!A:A,0))</f>
        <v/>
      </c>
      <c r="E1169" s="3">
        <f>INDEX(Raw_Schedule!E:E,MATCH(A1169,Raw_Schedule!A:A,0))</f>
        <v/>
      </c>
      <c r="F1169" s="3">
        <f>INDEX(Raw_Schedule!F:F,MATCH(A1169,Raw_Schedule!A:A,0))</f>
        <v/>
      </c>
      <c r="G1169" s="4">
        <f>INDEX(Raw_Schedule!G:G,MATCH(A1169,Raw_Schedule!A:A,0))</f>
        <v/>
      </c>
      <c r="H1169" s="5">
        <f>INDEX(Raw_Schedule!H:H,MATCH(A1169,Raw_Schedule!A:A,0))</f>
        <v/>
      </c>
      <c r="I1169" s="5">
        <f>SUMIFS(Raw_Payments!E:E,Raw_Payments!B:B,A1169)</f>
        <v/>
      </c>
      <c r="J1169" s="5">
        <f>H1169-I1169</f>
        <v/>
      </c>
      <c r="K1169" s="3">
        <f>IF(J1169&lt;=0.005,"PAID",IF(I1169&gt;0,"PARTIAL","OVERDUE"))</f>
        <v/>
      </c>
      <c r="L1169" s="4">
        <f>IF(COUNTIFS(Raw_Payments!B:B,A1169)=0,"",SUMPRODUCT(MAX((Raw_Payments!B$2:B$1079=A1169)*Raw_Payments!D$2:D$1079)))</f>
        <v/>
      </c>
      <c r="M1169" s="3">
        <f>IF(K1169="PAID",MAX(0,L1169-G1169),Guide!$B$3-G1169)</f>
        <v/>
      </c>
      <c r="N1169" s="3">
        <f>IF(J1169&lt;=0.005,"COLLECTED",IF(M1169&lt;=30,"1-30",IF(M1169&lt;=60,"31-60",IF(M1169&lt;=90,"61-90","90+"))))</f>
        <v/>
      </c>
      <c r="O1169" s="3">
        <f>IF(N1169="90+","LOST",IF(N1169="61-90","ESCALATE",IF(N1169="31-60","WATCH",IF(N1169="1-30","MILD","OK"))))</f>
        <v/>
      </c>
      <c r="P1169" s="3">
        <f>IF(J1169&gt;0.005,ROW()-1,"")</f>
        <v/>
      </c>
    </row>
    <row r="1170">
      <c r="A1170" s="3" t="inlineStr">
        <is>
          <t>D1169</t>
        </is>
      </c>
      <c r="B1170" s="3">
        <f>INDEX(Raw_Schedule!B:B,MATCH(A1170,Raw_Schedule!A:A,0))</f>
        <v/>
      </c>
      <c r="C1170" s="3">
        <f>INDEX(Raw_Schedule!C:C,MATCH(A1170,Raw_Schedule!A:A,0))</f>
        <v/>
      </c>
      <c r="D1170" s="3">
        <f>INDEX(Raw_Schedule!D:D,MATCH(A1170,Raw_Schedule!A:A,0))</f>
        <v/>
      </c>
      <c r="E1170" s="3">
        <f>INDEX(Raw_Schedule!E:E,MATCH(A1170,Raw_Schedule!A:A,0))</f>
        <v/>
      </c>
      <c r="F1170" s="3">
        <f>INDEX(Raw_Schedule!F:F,MATCH(A1170,Raw_Schedule!A:A,0))</f>
        <v/>
      </c>
      <c r="G1170" s="4">
        <f>INDEX(Raw_Schedule!G:G,MATCH(A1170,Raw_Schedule!A:A,0))</f>
        <v/>
      </c>
      <c r="H1170" s="5">
        <f>INDEX(Raw_Schedule!H:H,MATCH(A1170,Raw_Schedule!A:A,0))</f>
        <v/>
      </c>
      <c r="I1170" s="5">
        <f>SUMIFS(Raw_Payments!E:E,Raw_Payments!B:B,A1170)</f>
        <v/>
      </c>
      <c r="J1170" s="5">
        <f>H1170-I1170</f>
        <v/>
      </c>
      <c r="K1170" s="3">
        <f>IF(J1170&lt;=0.005,"PAID",IF(I1170&gt;0,"PARTIAL","OVERDUE"))</f>
        <v/>
      </c>
      <c r="L1170" s="4">
        <f>IF(COUNTIFS(Raw_Payments!B:B,A1170)=0,"",SUMPRODUCT(MAX((Raw_Payments!B$2:B$1079=A1170)*Raw_Payments!D$2:D$1079)))</f>
        <v/>
      </c>
      <c r="M1170" s="3">
        <f>IF(K1170="PAID",MAX(0,L1170-G1170),Guide!$B$3-G1170)</f>
        <v/>
      </c>
      <c r="N1170" s="3">
        <f>IF(J1170&lt;=0.005,"COLLECTED",IF(M1170&lt;=30,"1-30",IF(M1170&lt;=60,"31-60",IF(M1170&lt;=90,"61-90","90+"))))</f>
        <v/>
      </c>
      <c r="O1170" s="3">
        <f>IF(N1170="90+","LOST",IF(N1170="61-90","ESCALATE",IF(N1170="31-60","WATCH",IF(N1170="1-30","MILD","OK"))))</f>
        <v/>
      </c>
      <c r="P1170" s="3">
        <f>IF(J1170&gt;0.005,ROW()-1,"")</f>
        <v/>
      </c>
    </row>
    <row r="1171">
      <c r="A1171" s="3" t="inlineStr">
        <is>
          <t>D1170</t>
        </is>
      </c>
      <c r="B1171" s="3">
        <f>INDEX(Raw_Schedule!B:B,MATCH(A1171,Raw_Schedule!A:A,0))</f>
        <v/>
      </c>
      <c r="C1171" s="3">
        <f>INDEX(Raw_Schedule!C:C,MATCH(A1171,Raw_Schedule!A:A,0))</f>
        <v/>
      </c>
      <c r="D1171" s="3">
        <f>INDEX(Raw_Schedule!D:D,MATCH(A1171,Raw_Schedule!A:A,0))</f>
        <v/>
      </c>
      <c r="E1171" s="3">
        <f>INDEX(Raw_Schedule!E:E,MATCH(A1171,Raw_Schedule!A:A,0))</f>
        <v/>
      </c>
      <c r="F1171" s="3">
        <f>INDEX(Raw_Schedule!F:F,MATCH(A1171,Raw_Schedule!A:A,0))</f>
        <v/>
      </c>
      <c r="G1171" s="4">
        <f>INDEX(Raw_Schedule!G:G,MATCH(A1171,Raw_Schedule!A:A,0))</f>
        <v/>
      </c>
      <c r="H1171" s="5">
        <f>INDEX(Raw_Schedule!H:H,MATCH(A1171,Raw_Schedule!A:A,0))</f>
        <v/>
      </c>
      <c r="I1171" s="5">
        <f>SUMIFS(Raw_Payments!E:E,Raw_Payments!B:B,A1171)</f>
        <v/>
      </c>
      <c r="J1171" s="5">
        <f>H1171-I1171</f>
        <v/>
      </c>
      <c r="K1171" s="3">
        <f>IF(J1171&lt;=0.005,"PAID",IF(I1171&gt;0,"PARTIAL","OVERDUE"))</f>
        <v/>
      </c>
      <c r="L1171" s="4">
        <f>IF(COUNTIFS(Raw_Payments!B:B,A1171)=0,"",SUMPRODUCT(MAX((Raw_Payments!B$2:B$1079=A1171)*Raw_Payments!D$2:D$1079)))</f>
        <v/>
      </c>
      <c r="M1171" s="3">
        <f>IF(K1171="PAID",MAX(0,L1171-G1171),Guide!$B$3-G1171)</f>
        <v/>
      </c>
      <c r="N1171" s="3">
        <f>IF(J1171&lt;=0.005,"COLLECTED",IF(M1171&lt;=30,"1-30",IF(M1171&lt;=60,"31-60",IF(M1171&lt;=90,"61-90","90+"))))</f>
        <v/>
      </c>
      <c r="O1171" s="3">
        <f>IF(N1171="90+","LOST",IF(N1171="61-90","ESCALATE",IF(N1171="31-60","WATCH",IF(N1171="1-30","MILD","OK"))))</f>
        <v/>
      </c>
      <c r="P1171" s="3">
        <f>IF(J1171&gt;0.005,ROW()-1,"")</f>
        <v/>
      </c>
    </row>
    <row r="1172">
      <c r="A1172" s="3" t="inlineStr">
        <is>
          <t>D1171</t>
        </is>
      </c>
      <c r="B1172" s="3">
        <f>INDEX(Raw_Schedule!B:B,MATCH(A1172,Raw_Schedule!A:A,0))</f>
        <v/>
      </c>
      <c r="C1172" s="3">
        <f>INDEX(Raw_Schedule!C:C,MATCH(A1172,Raw_Schedule!A:A,0))</f>
        <v/>
      </c>
      <c r="D1172" s="3">
        <f>INDEX(Raw_Schedule!D:D,MATCH(A1172,Raw_Schedule!A:A,0))</f>
        <v/>
      </c>
      <c r="E1172" s="3">
        <f>INDEX(Raw_Schedule!E:E,MATCH(A1172,Raw_Schedule!A:A,0))</f>
        <v/>
      </c>
      <c r="F1172" s="3">
        <f>INDEX(Raw_Schedule!F:F,MATCH(A1172,Raw_Schedule!A:A,0))</f>
        <v/>
      </c>
      <c r="G1172" s="4">
        <f>INDEX(Raw_Schedule!G:G,MATCH(A1172,Raw_Schedule!A:A,0))</f>
        <v/>
      </c>
      <c r="H1172" s="5">
        <f>INDEX(Raw_Schedule!H:H,MATCH(A1172,Raw_Schedule!A:A,0))</f>
        <v/>
      </c>
      <c r="I1172" s="5">
        <f>SUMIFS(Raw_Payments!E:E,Raw_Payments!B:B,A1172)</f>
        <v/>
      </c>
      <c r="J1172" s="5">
        <f>H1172-I1172</f>
        <v/>
      </c>
      <c r="K1172" s="3">
        <f>IF(J1172&lt;=0.005,"PAID",IF(I1172&gt;0,"PARTIAL","OVERDUE"))</f>
        <v/>
      </c>
      <c r="L1172" s="4">
        <f>IF(COUNTIFS(Raw_Payments!B:B,A1172)=0,"",SUMPRODUCT(MAX((Raw_Payments!B$2:B$1079=A1172)*Raw_Payments!D$2:D$1079)))</f>
        <v/>
      </c>
      <c r="M1172" s="3">
        <f>IF(K1172="PAID",MAX(0,L1172-G1172),Guide!$B$3-G1172)</f>
        <v/>
      </c>
      <c r="N1172" s="3">
        <f>IF(J1172&lt;=0.005,"COLLECTED",IF(M1172&lt;=30,"1-30",IF(M1172&lt;=60,"31-60",IF(M1172&lt;=90,"61-90","90+"))))</f>
        <v/>
      </c>
      <c r="O1172" s="3">
        <f>IF(N1172="90+","LOST",IF(N1172="61-90","ESCALATE",IF(N1172="31-60","WATCH",IF(N1172="1-30","MILD","OK"))))</f>
        <v/>
      </c>
      <c r="P1172" s="3">
        <f>IF(J1172&gt;0.005,ROW()-1,"")</f>
        <v/>
      </c>
    </row>
    <row r="1173">
      <c r="A1173" s="3" t="inlineStr">
        <is>
          <t>D1172</t>
        </is>
      </c>
      <c r="B1173" s="3">
        <f>INDEX(Raw_Schedule!B:B,MATCH(A1173,Raw_Schedule!A:A,0))</f>
        <v/>
      </c>
      <c r="C1173" s="3">
        <f>INDEX(Raw_Schedule!C:C,MATCH(A1173,Raw_Schedule!A:A,0))</f>
        <v/>
      </c>
      <c r="D1173" s="3">
        <f>INDEX(Raw_Schedule!D:D,MATCH(A1173,Raw_Schedule!A:A,0))</f>
        <v/>
      </c>
      <c r="E1173" s="3">
        <f>INDEX(Raw_Schedule!E:E,MATCH(A1173,Raw_Schedule!A:A,0))</f>
        <v/>
      </c>
      <c r="F1173" s="3">
        <f>INDEX(Raw_Schedule!F:F,MATCH(A1173,Raw_Schedule!A:A,0))</f>
        <v/>
      </c>
      <c r="G1173" s="4">
        <f>INDEX(Raw_Schedule!G:G,MATCH(A1173,Raw_Schedule!A:A,0))</f>
        <v/>
      </c>
      <c r="H1173" s="5">
        <f>INDEX(Raw_Schedule!H:H,MATCH(A1173,Raw_Schedule!A:A,0))</f>
        <v/>
      </c>
      <c r="I1173" s="5">
        <f>SUMIFS(Raw_Payments!E:E,Raw_Payments!B:B,A1173)</f>
        <v/>
      </c>
      <c r="J1173" s="5">
        <f>H1173-I1173</f>
        <v/>
      </c>
      <c r="K1173" s="3">
        <f>IF(J1173&lt;=0.005,"PAID",IF(I1173&gt;0,"PARTIAL","OVERDUE"))</f>
        <v/>
      </c>
      <c r="L1173" s="4">
        <f>IF(COUNTIFS(Raw_Payments!B:B,A1173)=0,"",SUMPRODUCT(MAX((Raw_Payments!B$2:B$1079=A1173)*Raw_Payments!D$2:D$1079)))</f>
        <v/>
      </c>
      <c r="M1173" s="3">
        <f>IF(K1173="PAID",MAX(0,L1173-G1173),Guide!$B$3-G1173)</f>
        <v/>
      </c>
      <c r="N1173" s="3">
        <f>IF(J1173&lt;=0.005,"COLLECTED",IF(M1173&lt;=30,"1-30",IF(M1173&lt;=60,"31-60",IF(M1173&lt;=90,"61-90","90+"))))</f>
        <v/>
      </c>
      <c r="O1173" s="3">
        <f>IF(N1173="90+","LOST",IF(N1173="61-90","ESCALATE",IF(N1173="31-60","WATCH",IF(N1173="1-30","MILD","OK"))))</f>
        <v/>
      </c>
      <c r="P1173" s="3">
        <f>IF(J1173&gt;0.005,ROW()-1,"")</f>
        <v/>
      </c>
    </row>
    <row r="1174">
      <c r="A1174" s="3" t="inlineStr">
        <is>
          <t>D1173</t>
        </is>
      </c>
      <c r="B1174" s="3">
        <f>INDEX(Raw_Schedule!B:B,MATCH(A1174,Raw_Schedule!A:A,0))</f>
        <v/>
      </c>
      <c r="C1174" s="3">
        <f>INDEX(Raw_Schedule!C:C,MATCH(A1174,Raw_Schedule!A:A,0))</f>
        <v/>
      </c>
      <c r="D1174" s="3">
        <f>INDEX(Raw_Schedule!D:D,MATCH(A1174,Raw_Schedule!A:A,0))</f>
        <v/>
      </c>
      <c r="E1174" s="3">
        <f>INDEX(Raw_Schedule!E:E,MATCH(A1174,Raw_Schedule!A:A,0))</f>
        <v/>
      </c>
      <c r="F1174" s="3">
        <f>INDEX(Raw_Schedule!F:F,MATCH(A1174,Raw_Schedule!A:A,0))</f>
        <v/>
      </c>
      <c r="G1174" s="4">
        <f>INDEX(Raw_Schedule!G:G,MATCH(A1174,Raw_Schedule!A:A,0))</f>
        <v/>
      </c>
      <c r="H1174" s="5">
        <f>INDEX(Raw_Schedule!H:H,MATCH(A1174,Raw_Schedule!A:A,0))</f>
        <v/>
      </c>
      <c r="I1174" s="5">
        <f>SUMIFS(Raw_Payments!E:E,Raw_Payments!B:B,A1174)</f>
        <v/>
      </c>
      <c r="J1174" s="5">
        <f>H1174-I1174</f>
        <v/>
      </c>
      <c r="K1174" s="3">
        <f>IF(J1174&lt;=0.005,"PAID",IF(I1174&gt;0,"PARTIAL","OVERDUE"))</f>
        <v/>
      </c>
      <c r="L1174" s="4">
        <f>IF(COUNTIFS(Raw_Payments!B:B,A1174)=0,"",SUMPRODUCT(MAX((Raw_Payments!B$2:B$1079=A1174)*Raw_Payments!D$2:D$1079)))</f>
        <v/>
      </c>
      <c r="M1174" s="3">
        <f>IF(K1174="PAID",MAX(0,L1174-G1174),Guide!$B$3-G1174)</f>
        <v/>
      </c>
      <c r="N1174" s="3">
        <f>IF(J1174&lt;=0.005,"COLLECTED",IF(M1174&lt;=30,"1-30",IF(M1174&lt;=60,"31-60",IF(M1174&lt;=90,"61-90","90+"))))</f>
        <v/>
      </c>
      <c r="O1174" s="3">
        <f>IF(N1174="90+","LOST",IF(N1174="61-90","ESCALATE",IF(N1174="31-60","WATCH",IF(N1174="1-30","MILD","OK"))))</f>
        <v/>
      </c>
      <c r="P1174" s="3">
        <f>IF(J1174&gt;0.005,ROW()-1,"")</f>
        <v/>
      </c>
    </row>
    <row r="1175">
      <c r="A1175" s="3" t="inlineStr">
        <is>
          <t>D1174</t>
        </is>
      </c>
      <c r="B1175" s="3">
        <f>INDEX(Raw_Schedule!B:B,MATCH(A1175,Raw_Schedule!A:A,0))</f>
        <v/>
      </c>
      <c r="C1175" s="3">
        <f>INDEX(Raw_Schedule!C:C,MATCH(A1175,Raw_Schedule!A:A,0))</f>
        <v/>
      </c>
      <c r="D1175" s="3">
        <f>INDEX(Raw_Schedule!D:D,MATCH(A1175,Raw_Schedule!A:A,0))</f>
        <v/>
      </c>
      <c r="E1175" s="3">
        <f>INDEX(Raw_Schedule!E:E,MATCH(A1175,Raw_Schedule!A:A,0))</f>
        <v/>
      </c>
      <c r="F1175" s="3">
        <f>INDEX(Raw_Schedule!F:F,MATCH(A1175,Raw_Schedule!A:A,0))</f>
        <v/>
      </c>
      <c r="G1175" s="4">
        <f>INDEX(Raw_Schedule!G:G,MATCH(A1175,Raw_Schedule!A:A,0))</f>
        <v/>
      </c>
      <c r="H1175" s="5">
        <f>INDEX(Raw_Schedule!H:H,MATCH(A1175,Raw_Schedule!A:A,0))</f>
        <v/>
      </c>
      <c r="I1175" s="5">
        <f>SUMIFS(Raw_Payments!E:E,Raw_Payments!B:B,A1175)</f>
        <v/>
      </c>
      <c r="J1175" s="5">
        <f>H1175-I1175</f>
        <v/>
      </c>
      <c r="K1175" s="3">
        <f>IF(J1175&lt;=0.005,"PAID",IF(I1175&gt;0,"PARTIAL","OVERDUE"))</f>
        <v/>
      </c>
      <c r="L1175" s="4">
        <f>IF(COUNTIFS(Raw_Payments!B:B,A1175)=0,"",SUMPRODUCT(MAX((Raw_Payments!B$2:B$1079=A1175)*Raw_Payments!D$2:D$1079)))</f>
        <v/>
      </c>
      <c r="M1175" s="3">
        <f>IF(K1175="PAID",MAX(0,L1175-G1175),Guide!$B$3-G1175)</f>
        <v/>
      </c>
      <c r="N1175" s="3">
        <f>IF(J1175&lt;=0.005,"COLLECTED",IF(M1175&lt;=30,"1-30",IF(M1175&lt;=60,"31-60",IF(M1175&lt;=90,"61-90","90+"))))</f>
        <v/>
      </c>
      <c r="O1175" s="3">
        <f>IF(N1175="90+","LOST",IF(N1175="61-90","ESCALATE",IF(N1175="31-60","WATCH",IF(N1175="1-30","MILD","OK"))))</f>
        <v/>
      </c>
      <c r="P1175" s="3">
        <f>IF(J1175&gt;0.005,ROW()-1,"")</f>
        <v/>
      </c>
    </row>
    <row r="1176">
      <c r="A1176" s="3" t="inlineStr">
        <is>
          <t>D1175</t>
        </is>
      </c>
      <c r="B1176" s="3">
        <f>INDEX(Raw_Schedule!B:B,MATCH(A1176,Raw_Schedule!A:A,0))</f>
        <v/>
      </c>
      <c r="C1176" s="3">
        <f>INDEX(Raw_Schedule!C:C,MATCH(A1176,Raw_Schedule!A:A,0))</f>
        <v/>
      </c>
      <c r="D1176" s="3">
        <f>INDEX(Raw_Schedule!D:D,MATCH(A1176,Raw_Schedule!A:A,0))</f>
        <v/>
      </c>
      <c r="E1176" s="3">
        <f>INDEX(Raw_Schedule!E:E,MATCH(A1176,Raw_Schedule!A:A,0))</f>
        <v/>
      </c>
      <c r="F1176" s="3">
        <f>INDEX(Raw_Schedule!F:F,MATCH(A1176,Raw_Schedule!A:A,0))</f>
        <v/>
      </c>
      <c r="G1176" s="4">
        <f>INDEX(Raw_Schedule!G:G,MATCH(A1176,Raw_Schedule!A:A,0))</f>
        <v/>
      </c>
      <c r="H1176" s="5">
        <f>INDEX(Raw_Schedule!H:H,MATCH(A1176,Raw_Schedule!A:A,0))</f>
        <v/>
      </c>
      <c r="I1176" s="5">
        <f>SUMIFS(Raw_Payments!E:E,Raw_Payments!B:B,A1176)</f>
        <v/>
      </c>
      <c r="J1176" s="5">
        <f>H1176-I1176</f>
        <v/>
      </c>
      <c r="K1176" s="3">
        <f>IF(J1176&lt;=0.005,"PAID",IF(I1176&gt;0,"PARTIAL","OVERDUE"))</f>
        <v/>
      </c>
      <c r="L1176" s="4">
        <f>IF(COUNTIFS(Raw_Payments!B:B,A1176)=0,"",SUMPRODUCT(MAX((Raw_Payments!B$2:B$1079=A1176)*Raw_Payments!D$2:D$1079)))</f>
        <v/>
      </c>
      <c r="M1176" s="3">
        <f>IF(K1176="PAID",MAX(0,L1176-G1176),Guide!$B$3-G1176)</f>
        <v/>
      </c>
      <c r="N1176" s="3">
        <f>IF(J1176&lt;=0.005,"COLLECTED",IF(M1176&lt;=30,"1-30",IF(M1176&lt;=60,"31-60",IF(M1176&lt;=90,"61-90","90+"))))</f>
        <v/>
      </c>
      <c r="O1176" s="3">
        <f>IF(N1176="90+","LOST",IF(N1176="61-90","ESCALATE",IF(N1176="31-60","WATCH",IF(N1176="1-30","MILD","OK"))))</f>
        <v/>
      </c>
      <c r="P1176" s="3">
        <f>IF(J1176&gt;0.005,ROW()-1,"")</f>
        <v/>
      </c>
    </row>
    <row r="1177">
      <c r="A1177" s="3" t="inlineStr">
        <is>
          <t>D1176</t>
        </is>
      </c>
      <c r="B1177" s="3">
        <f>INDEX(Raw_Schedule!B:B,MATCH(A1177,Raw_Schedule!A:A,0))</f>
        <v/>
      </c>
      <c r="C1177" s="3">
        <f>INDEX(Raw_Schedule!C:C,MATCH(A1177,Raw_Schedule!A:A,0))</f>
        <v/>
      </c>
      <c r="D1177" s="3">
        <f>INDEX(Raw_Schedule!D:D,MATCH(A1177,Raw_Schedule!A:A,0))</f>
        <v/>
      </c>
      <c r="E1177" s="3">
        <f>INDEX(Raw_Schedule!E:E,MATCH(A1177,Raw_Schedule!A:A,0))</f>
        <v/>
      </c>
      <c r="F1177" s="3">
        <f>INDEX(Raw_Schedule!F:F,MATCH(A1177,Raw_Schedule!A:A,0))</f>
        <v/>
      </c>
      <c r="G1177" s="4">
        <f>INDEX(Raw_Schedule!G:G,MATCH(A1177,Raw_Schedule!A:A,0))</f>
        <v/>
      </c>
      <c r="H1177" s="5">
        <f>INDEX(Raw_Schedule!H:H,MATCH(A1177,Raw_Schedule!A:A,0))</f>
        <v/>
      </c>
      <c r="I1177" s="5">
        <f>SUMIFS(Raw_Payments!E:E,Raw_Payments!B:B,A1177)</f>
        <v/>
      </c>
      <c r="J1177" s="5">
        <f>H1177-I1177</f>
        <v/>
      </c>
      <c r="K1177" s="3">
        <f>IF(J1177&lt;=0.005,"PAID",IF(I1177&gt;0,"PARTIAL","OVERDUE"))</f>
        <v/>
      </c>
      <c r="L1177" s="4">
        <f>IF(COUNTIFS(Raw_Payments!B:B,A1177)=0,"",SUMPRODUCT(MAX((Raw_Payments!B$2:B$1079=A1177)*Raw_Payments!D$2:D$1079)))</f>
        <v/>
      </c>
      <c r="M1177" s="3">
        <f>IF(K1177="PAID",MAX(0,L1177-G1177),Guide!$B$3-G1177)</f>
        <v/>
      </c>
      <c r="N1177" s="3">
        <f>IF(J1177&lt;=0.005,"COLLECTED",IF(M1177&lt;=30,"1-30",IF(M1177&lt;=60,"31-60",IF(M1177&lt;=90,"61-90","90+"))))</f>
        <v/>
      </c>
      <c r="O1177" s="3">
        <f>IF(N1177="90+","LOST",IF(N1177="61-90","ESCALATE",IF(N1177="31-60","WATCH",IF(N1177="1-30","MILD","OK"))))</f>
        <v/>
      </c>
      <c r="P1177" s="3">
        <f>IF(J1177&gt;0.005,ROW()-1,"")</f>
        <v/>
      </c>
    </row>
    <row r="1178">
      <c r="A1178" s="3" t="inlineStr">
        <is>
          <t>D1177</t>
        </is>
      </c>
      <c r="B1178" s="3">
        <f>INDEX(Raw_Schedule!B:B,MATCH(A1178,Raw_Schedule!A:A,0))</f>
        <v/>
      </c>
      <c r="C1178" s="3">
        <f>INDEX(Raw_Schedule!C:C,MATCH(A1178,Raw_Schedule!A:A,0))</f>
        <v/>
      </c>
      <c r="D1178" s="3">
        <f>INDEX(Raw_Schedule!D:D,MATCH(A1178,Raw_Schedule!A:A,0))</f>
        <v/>
      </c>
      <c r="E1178" s="3">
        <f>INDEX(Raw_Schedule!E:E,MATCH(A1178,Raw_Schedule!A:A,0))</f>
        <v/>
      </c>
      <c r="F1178" s="3">
        <f>INDEX(Raw_Schedule!F:F,MATCH(A1178,Raw_Schedule!A:A,0))</f>
        <v/>
      </c>
      <c r="G1178" s="4">
        <f>INDEX(Raw_Schedule!G:G,MATCH(A1178,Raw_Schedule!A:A,0))</f>
        <v/>
      </c>
      <c r="H1178" s="5">
        <f>INDEX(Raw_Schedule!H:H,MATCH(A1178,Raw_Schedule!A:A,0))</f>
        <v/>
      </c>
      <c r="I1178" s="5">
        <f>SUMIFS(Raw_Payments!E:E,Raw_Payments!B:B,A1178)</f>
        <v/>
      </c>
      <c r="J1178" s="5">
        <f>H1178-I1178</f>
        <v/>
      </c>
      <c r="K1178" s="3">
        <f>IF(J1178&lt;=0.005,"PAID",IF(I1178&gt;0,"PARTIAL","OVERDUE"))</f>
        <v/>
      </c>
      <c r="L1178" s="4">
        <f>IF(COUNTIFS(Raw_Payments!B:B,A1178)=0,"",SUMPRODUCT(MAX((Raw_Payments!B$2:B$1079=A1178)*Raw_Payments!D$2:D$1079)))</f>
        <v/>
      </c>
      <c r="M1178" s="3">
        <f>IF(K1178="PAID",MAX(0,L1178-G1178),Guide!$B$3-G1178)</f>
        <v/>
      </c>
      <c r="N1178" s="3">
        <f>IF(J1178&lt;=0.005,"COLLECTED",IF(M1178&lt;=30,"1-30",IF(M1178&lt;=60,"31-60",IF(M1178&lt;=90,"61-90","90+"))))</f>
        <v/>
      </c>
      <c r="O1178" s="3">
        <f>IF(N1178="90+","LOST",IF(N1178="61-90","ESCALATE",IF(N1178="31-60","WATCH",IF(N1178="1-30","MILD","OK"))))</f>
        <v/>
      </c>
      <c r="P1178" s="3">
        <f>IF(J1178&gt;0.005,ROW()-1,"")</f>
        <v/>
      </c>
    </row>
    <row r="1179">
      <c r="A1179" s="3" t="inlineStr">
        <is>
          <t>D1178</t>
        </is>
      </c>
      <c r="B1179" s="3">
        <f>INDEX(Raw_Schedule!B:B,MATCH(A1179,Raw_Schedule!A:A,0))</f>
        <v/>
      </c>
      <c r="C1179" s="3">
        <f>INDEX(Raw_Schedule!C:C,MATCH(A1179,Raw_Schedule!A:A,0))</f>
        <v/>
      </c>
      <c r="D1179" s="3">
        <f>INDEX(Raw_Schedule!D:D,MATCH(A1179,Raw_Schedule!A:A,0))</f>
        <v/>
      </c>
      <c r="E1179" s="3">
        <f>INDEX(Raw_Schedule!E:E,MATCH(A1179,Raw_Schedule!A:A,0))</f>
        <v/>
      </c>
      <c r="F1179" s="3">
        <f>INDEX(Raw_Schedule!F:F,MATCH(A1179,Raw_Schedule!A:A,0))</f>
        <v/>
      </c>
      <c r="G1179" s="4">
        <f>INDEX(Raw_Schedule!G:G,MATCH(A1179,Raw_Schedule!A:A,0))</f>
        <v/>
      </c>
      <c r="H1179" s="5">
        <f>INDEX(Raw_Schedule!H:H,MATCH(A1179,Raw_Schedule!A:A,0))</f>
        <v/>
      </c>
      <c r="I1179" s="5">
        <f>SUMIFS(Raw_Payments!E:E,Raw_Payments!B:B,A1179)</f>
        <v/>
      </c>
      <c r="J1179" s="5">
        <f>H1179-I1179</f>
        <v/>
      </c>
      <c r="K1179" s="3">
        <f>IF(J1179&lt;=0.005,"PAID",IF(I1179&gt;0,"PARTIAL","OVERDUE"))</f>
        <v/>
      </c>
      <c r="L1179" s="4">
        <f>IF(COUNTIFS(Raw_Payments!B:B,A1179)=0,"",SUMPRODUCT(MAX((Raw_Payments!B$2:B$1079=A1179)*Raw_Payments!D$2:D$1079)))</f>
        <v/>
      </c>
      <c r="M1179" s="3">
        <f>IF(K1179="PAID",MAX(0,L1179-G1179),Guide!$B$3-G1179)</f>
        <v/>
      </c>
      <c r="N1179" s="3">
        <f>IF(J1179&lt;=0.005,"COLLECTED",IF(M1179&lt;=30,"1-30",IF(M1179&lt;=60,"31-60",IF(M1179&lt;=90,"61-90","90+"))))</f>
        <v/>
      </c>
      <c r="O1179" s="3">
        <f>IF(N1179="90+","LOST",IF(N1179="61-90","ESCALATE",IF(N1179="31-60","WATCH",IF(N1179="1-30","MILD","OK"))))</f>
        <v/>
      </c>
      <c r="P1179" s="3">
        <f>IF(J1179&gt;0.005,ROW()-1,"")</f>
        <v/>
      </c>
    </row>
    <row r="1180">
      <c r="A1180" s="3" t="inlineStr">
        <is>
          <t>D1179</t>
        </is>
      </c>
      <c r="B1180" s="3">
        <f>INDEX(Raw_Schedule!B:B,MATCH(A1180,Raw_Schedule!A:A,0))</f>
        <v/>
      </c>
      <c r="C1180" s="3">
        <f>INDEX(Raw_Schedule!C:C,MATCH(A1180,Raw_Schedule!A:A,0))</f>
        <v/>
      </c>
      <c r="D1180" s="3">
        <f>INDEX(Raw_Schedule!D:D,MATCH(A1180,Raw_Schedule!A:A,0))</f>
        <v/>
      </c>
      <c r="E1180" s="3">
        <f>INDEX(Raw_Schedule!E:E,MATCH(A1180,Raw_Schedule!A:A,0))</f>
        <v/>
      </c>
      <c r="F1180" s="3">
        <f>INDEX(Raw_Schedule!F:F,MATCH(A1180,Raw_Schedule!A:A,0))</f>
        <v/>
      </c>
      <c r="G1180" s="4">
        <f>INDEX(Raw_Schedule!G:G,MATCH(A1180,Raw_Schedule!A:A,0))</f>
        <v/>
      </c>
      <c r="H1180" s="5">
        <f>INDEX(Raw_Schedule!H:H,MATCH(A1180,Raw_Schedule!A:A,0))</f>
        <v/>
      </c>
      <c r="I1180" s="5">
        <f>SUMIFS(Raw_Payments!E:E,Raw_Payments!B:B,A1180)</f>
        <v/>
      </c>
      <c r="J1180" s="5">
        <f>H1180-I1180</f>
        <v/>
      </c>
      <c r="K1180" s="3">
        <f>IF(J1180&lt;=0.005,"PAID",IF(I1180&gt;0,"PARTIAL","OVERDUE"))</f>
        <v/>
      </c>
      <c r="L1180" s="4">
        <f>IF(COUNTIFS(Raw_Payments!B:B,A1180)=0,"",SUMPRODUCT(MAX((Raw_Payments!B$2:B$1079=A1180)*Raw_Payments!D$2:D$1079)))</f>
        <v/>
      </c>
      <c r="M1180" s="3">
        <f>IF(K1180="PAID",MAX(0,L1180-G1180),Guide!$B$3-G1180)</f>
        <v/>
      </c>
      <c r="N1180" s="3">
        <f>IF(J1180&lt;=0.005,"COLLECTED",IF(M1180&lt;=30,"1-30",IF(M1180&lt;=60,"31-60",IF(M1180&lt;=90,"61-90","90+"))))</f>
        <v/>
      </c>
      <c r="O1180" s="3">
        <f>IF(N1180="90+","LOST",IF(N1180="61-90","ESCALATE",IF(N1180="31-60","WATCH",IF(N1180="1-30","MILD","OK"))))</f>
        <v/>
      </c>
      <c r="P1180" s="3">
        <f>IF(J1180&gt;0.005,ROW()-1,"")</f>
        <v/>
      </c>
    </row>
    <row r="1181">
      <c r="A1181" s="3" t="inlineStr">
        <is>
          <t>D1180</t>
        </is>
      </c>
      <c r="B1181" s="3">
        <f>INDEX(Raw_Schedule!B:B,MATCH(A1181,Raw_Schedule!A:A,0))</f>
        <v/>
      </c>
      <c r="C1181" s="3">
        <f>INDEX(Raw_Schedule!C:C,MATCH(A1181,Raw_Schedule!A:A,0))</f>
        <v/>
      </c>
      <c r="D1181" s="3">
        <f>INDEX(Raw_Schedule!D:D,MATCH(A1181,Raw_Schedule!A:A,0))</f>
        <v/>
      </c>
      <c r="E1181" s="3">
        <f>INDEX(Raw_Schedule!E:E,MATCH(A1181,Raw_Schedule!A:A,0))</f>
        <v/>
      </c>
      <c r="F1181" s="3">
        <f>INDEX(Raw_Schedule!F:F,MATCH(A1181,Raw_Schedule!A:A,0))</f>
        <v/>
      </c>
      <c r="G1181" s="4">
        <f>INDEX(Raw_Schedule!G:G,MATCH(A1181,Raw_Schedule!A:A,0))</f>
        <v/>
      </c>
      <c r="H1181" s="5">
        <f>INDEX(Raw_Schedule!H:H,MATCH(A1181,Raw_Schedule!A:A,0))</f>
        <v/>
      </c>
      <c r="I1181" s="5">
        <f>SUMIFS(Raw_Payments!E:E,Raw_Payments!B:B,A1181)</f>
        <v/>
      </c>
      <c r="J1181" s="5">
        <f>H1181-I1181</f>
        <v/>
      </c>
      <c r="K1181" s="3">
        <f>IF(J1181&lt;=0.005,"PAID",IF(I1181&gt;0,"PARTIAL","OVERDUE"))</f>
        <v/>
      </c>
      <c r="L1181" s="4">
        <f>IF(COUNTIFS(Raw_Payments!B:B,A1181)=0,"",SUMPRODUCT(MAX((Raw_Payments!B$2:B$1079=A1181)*Raw_Payments!D$2:D$1079)))</f>
        <v/>
      </c>
      <c r="M1181" s="3">
        <f>IF(K1181="PAID",MAX(0,L1181-G1181),Guide!$B$3-G1181)</f>
        <v/>
      </c>
      <c r="N1181" s="3">
        <f>IF(J1181&lt;=0.005,"COLLECTED",IF(M1181&lt;=30,"1-30",IF(M1181&lt;=60,"31-60",IF(M1181&lt;=90,"61-90","90+"))))</f>
        <v/>
      </c>
      <c r="O1181" s="3">
        <f>IF(N1181="90+","LOST",IF(N1181="61-90","ESCALATE",IF(N1181="31-60","WATCH",IF(N1181="1-30","MILD","OK"))))</f>
        <v/>
      </c>
      <c r="P1181" s="3">
        <f>IF(J1181&gt;0.005,ROW()-1,"")</f>
        <v/>
      </c>
    </row>
    <row r="1182">
      <c r="A1182" s="3" t="inlineStr">
        <is>
          <t>D1181</t>
        </is>
      </c>
      <c r="B1182" s="3">
        <f>INDEX(Raw_Schedule!B:B,MATCH(A1182,Raw_Schedule!A:A,0))</f>
        <v/>
      </c>
      <c r="C1182" s="3">
        <f>INDEX(Raw_Schedule!C:C,MATCH(A1182,Raw_Schedule!A:A,0))</f>
        <v/>
      </c>
      <c r="D1182" s="3">
        <f>INDEX(Raw_Schedule!D:D,MATCH(A1182,Raw_Schedule!A:A,0))</f>
        <v/>
      </c>
      <c r="E1182" s="3">
        <f>INDEX(Raw_Schedule!E:E,MATCH(A1182,Raw_Schedule!A:A,0))</f>
        <v/>
      </c>
      <c r="F1182" s="3">
        <f>INDEX(Raw_Schedule!F:F,MATCH(A1182,Raw_Schedule!A:A,0))</f>
        <v/>
      </c>
      <c r="G1182" s="4">
        <f>INDEX(Raw_Schedule!G:G,MATCH(A1182,Raw_Schedule!A:A,0))</f>
        <v/>
      </c>
      <c r="H1182" s="5">
        <f>INDEX(Raw_Schedule!H:H,MATCH(A1182,Raw_Schedule!A:A,0))</f>
        <v/>
      </c>
      <c r="I1182" s="5">
        <f>SUMIFS(Raw_Payments!E:E,Raw_Payments!B:B,A1182)</f>
        <v/>
      </c>
      <c r="J1182" s="5">
        <f>H1182-I1182</f>
        <v/>
      </c>
      <c r="K1182" s="3">
        <f>IF(J1182&lt;=0.005,"PAID",IF(I1182&gt;0,"PARTIAL","OVERDUE"))</f>
        <v/>
      </c>
      <c r="L1182" s="4">
        <f>IF(COUNTIFS(Raw_Payments!B:B,A1182)=0,"",SUMPRODUCT(MAX((Raw_Payments!B$2:B$1079=A1182)*Raw_Payments!D$2:D$1079)))</f>
        <v/>
      </c>
      <c r="M1182" s="3">
        <f>IF(K1182="PAID",MAX(0,L1182-G1182),Guide!$B$3-G1182)</f>
        <v/>
      </c>
      <c r="N1182" s="3">
        <f>IF(J1182&lt;=0.005,"COLLECTED",IF(M1182&lt;=30,"1-30",IF(M1182&lt;=60,"31-60",IF(M1182&lt;=90,"61-90","90+"))))</f>
        <v/>
      </c>
      <c r="O1182" s="3">
        <f>IF(N1182="90+","LOST",IF(N1182="61-90","ESCALATE",IF(N1182="31-60","WATCH",IF(N1182="1-30","MILD","OK"))))</f>
        <v/>
      </c>
      <c r="P1182" s="3">
        <f>IF(J1182&gt;0.005,ROW()-1,"")</f>
        <v/>
      </c>
    </row>
    <row r="1183">
      <c r="A1183" s="3" t="inlineStr">
        <is>
          <t>D1182</t>
        </is>
      </c>
      <c r="B1183" s="3">
        <f>INDEX(Raw_Schedule!B:B,MATCH(A1183,Raw_Schedule!A:A,0))</f>
        <v/>
      </c>
      <c r="C1183" s="3">
        <f>INDEX(Raw_Schedule!C:C,MATCH(A1183,Raw_Schedule!A:A,0))</f>
        <v/>
      </c>
      <c r="D1183" s="3">
        <f>INDEX(Raw_Schedule!D:D,MATCH(A1183,Raw_Schedule!A:A,0))</f>
        <v/>
      </c>
      <c r="E1183" s="3">
        <f>INDEX(Raw_Schedule!E:E,MATCH(A1183,Raw_Schedule!A:A,0))</f>
        <v/>
      </c>
      <c r="F1183" s="3">
        <f>INDEX(Raw_Schedule!F:F,MATCH(A1183,Raw_Schedule!A:A,0))</f>
        <v/>
      </c>
      <c r="G1183" s="4">
        <f>INDEX(Raw_Schedule!G:G,MATCH(A1183,Raw_Schedule!A:A,0))</f>
        <v/>
      </c>
      <c r="H1183" s="5">
        <f>INDEX(Raw_Schedule!H:H,MATCH(A1183,Raw_Schedule!A:A,0))</f>
        <v/>
      </c>
      <c r="I1183" s="5">
        <f>SUMIFS(Raw_Payments!E:E,Raw_Payments!B:B,A1183)</f>
        <v/>
      </c>
      <c r="J1183" s="5">
        <f>H1183-I1183</f>
        <v/>
      </c>
      <c r="K1183" s="3">
        <f>IF(J1183&lt;=0.005,"PAID",IF(I1183&gt;0,"PARTIAL","OVERDUE"))</f>
        <v/>
      </c>
      <c r="L1183" s="4">
        <f>IF(COUNTIFS(Raw_Payments!B:B,A1183)=0,"",SUMPRODUCT(MAX((Raw_Payments!B$2:B$1079=A1183)*Raw_Payments!D$2:D$1079)))</f>
        <v/>
      </c>
      <c r="M1183" s="3">
        <f>IF(K1183="PAID",MAX(0,L1183-G1183),Guide!$B$3-G1183)</f>
        <v/>
      </c>
      <c r="N1183" s="3">
        <f>IF(J1183&lt;=0.005,"COLLECTED",IF(M1183&lt;=30,"1-30",IF(M1183&lt;=60,"31-60",IF(M1183&lt;=90,"61-90","90+"))))</f>
        <v/>
      </c>
      <c r="O1183" s="3">
        <f>IF(N1183="90+","LOST",IF(N1183="61-90","ESCALATE",IF(N1183="31-60","WATCH",IF(N1183="1-30","MILD","OK"))))</f>
        <v/>
      </c>
      <c r="P1183" s="3">
        <f>IF(J1183&gt;0.005,ROW()-1,"")</f>
        <v/>
      </c>
    </row>
    <row r="1184">
      <c r="A1184" s="3" t="inlineStr">
        <is>
          <t>D1183</t>
        </is>
      </c>
      <c r="B1184" s="3">
        <f>INDEX(Raw_Schedule!B:B,MATCH(A1184,Raw_Schedule!A:A,0))</f>
        <v/>
      </c>
      <c r="C1184" s="3">
        <f>INDEX(Raw_Schedule!C:C,MATCH(A1184,Raw_Schedule!A:A,0))</f>
        <v/>
      </c>
      <c r="D1184" s="3">
        <f>INDEX(Raw_Schedule!D:D,MATCH(A1184,Raw_Schedule!A:A,0))</f>
        <v/>
      </c>
      <c r="E1184" s="3">
        <f>INDEX(Raw_Schedule!E:E,MATCH(A1184,Raw_Schedule!A:A,0))</f>
        <v/>
      </c>
      <c r="F1184" s="3">
        <f>INDEX(Raw_Schedule!F:F,MATCH(A1184,Raw_Schedule!A:A,0))</f>
        <v/>
      </c>
      <c r="G1184" s="4">
        <f>INDEX(Raw_Schedule!G:G,MATCH(A1184,Raw_Schedule!A:A,0))</f>
        <v/>
      </c>
      <c r="H1184" s="5">
        <f>INDEX(Raw_Schedule!H:H,MATCH(A1184,Raw_Schedule!A:A,0))</f>
        <v/>
      </c>
      <c r="I1184" s="5">
        <f>SUMIFS(Raw_Payments!E:E,Raw_Payments!B:B,A1184)</f>
        <v/>
      </c>
      <c r="J1184" s="5">
        <f>H1184-I1184</f>
        <v/>
      </c>
      <c r="K1184" s="3">
        <f>IF(J1184&lt;=0.005,"PAID",IF(I1184&gt;0,"PARTIAL","OVERDUE"))</f>
        <v/>
      </c>
      <c r="L1184" s="4">
        <f>IF(COUNTIFS(Raw_Payments!B:B,A1184)=0,"",SUMPRODUCT(MAX((Raw_Payments!B$2:B$1079=A1184)*Raw_Payments!D$2:D$1079)))</f>
        <v/>
      </c>
      <c r="M1184" s="3">
        <f>IF(K1184="PAID",MAX(0,L1184-G1184),Guide!$B$3-G1184)</f>
        <v/>
      </c>
      <c r="N1184" s="3">
        <f>IF(J1184&lt;=0.005,"COLLECTED",IF(M1184&lt;=30,"1-30",IF(M1184&lt;=60,"31-60",IF(M1184&lt;=90,"61-90","90+"))))</f>
        <v/>
      </c>
      <c r="O1184" s="3">
        <f>IF(N1184="90+","LOST",IF(N1184="61-90","ESCALATE",IF(N1184="31-60","WATCH",IF(N1184="1-30","MILD","OK"))))</f>
        <v/>
      </c>
      <c r="P1184" s="3">
        <f>IF(J1184&gt;0.005,ROW()-1,"")</f>
        <v/>
      </c>
    </row>
    <row r="1185">
      <c r="A1185" s="3" t="inlineStr">
        <is>
          <t>D1184</t>
        </is>
      </c>
      <c r="B1185" s="3">
        <f>INDEX(Raw_Schedule!B:B,MATCH(A1185,Raw_Schedule!A:A,0))</f>
        <v/>
      </c>
      <c r="C1185" s="3">
        <f>INDEX(Raw_Schedule!C:C,MATCH(A1185,Raw_Schedule!A:A,0))</f>
        <v/>
      </c>
      <c r="D1185" s="3">
        <f>INDEX(Raw_Schedule!D:D,MATCH(A1185,Raw_Schedule!A:A,0))</f>
        <v/>
      </c>
      <c r="E1185" s="3">
        <f>INDEX(Raw_Schedule!E:E,MATCH(A1185,Raw_Schedule!A:A,0))</f>
        <v/>
      </c>
      <c r="F1185" s="3">
        <f>INDEX(Raw_Schedule!F:F,MATCH(A1185,Raw_Schedule!A:A,0))</f>
        <v/>
      </c>
      <c r="G1185" s="4">
        <f>INDEX(Raw_Schedule!G:G,MATCH(A1185,Raw_Schedule!A:A,0))</f>
        <v/>
      </c>
      <c r="H1185" s="5">
        <f>INDEX(Raw_Schedule!H:H,MATCH(A1185,Raw_Schedule!A:A,0))</f>
        <v/>
      </c>
      <c r="I1185" s="5">
        <f>SUMIFS(Raw_Payments!E:E,Raw_Payments!B:B,A1185)</f>
        <v/>
      </c>
      <c r="J1185" s="5">
        <f>H1185-I1185</f>
        <v/>
      </c>
      <c r="K1185" s="3">
        <f>IF(J1185&lt;=0.005,"PAID",IF(I1185&gt;0,"PARTIAL","OVERDUE"))</f>
        <v/>
      </c>
      <c r="L1185" s="4">
        <f>IF(COUNTIFS(Raw_Payments!B:B,A1185)=0,"",SUMPRODUCT(MAX((Raw_Payments!B$2:B$1079=A1185)*Raw_Payments!D$2:D$1079)))</f>
        <v/>
      </c>
      <c r="M1185" s="3">
        <f>IF(K1185="PAID",MAX(0,L1185-G1185),Guide!$B$3-G1185)</f>
        <v/>
      </c>
      <c r="N1185" s="3">
        <f>IF(J1185&lt;=0.005,"COLLECTED",IF(M1185&lt;=30,"1-30",IF(M1185&lt;=60,"31-60",IF(M1185&lt;=90,"61-90","90+"))))</f>
        <v/>
      </c>
      <c r="O1185" s="3">
        <f>IF(N1185="90+","LOST",IF(N1185="61-90","ESCALATE",IF(N1185="31-60","WATCH",IF(N1185="1-30","MILD","OK"))))</f>
        <v/>
      </c>
      <c r="P1185" s="3">
        <f>IF(J1185&gt;0.005,ROW()-1,"")</f>
        <v/>
      </c>
    </row>
    <row r="1186">
      <c r="A1186" s="3" t="inlineStr">
        <is>
          <t>D1185</t>
        </is>
      </c>
      <c r="B1186" s="3">
        <f>INDEX(Raw_Schedule!B:B,MATCH(A1186,Raw_Schedule!A:A,0))</f>
        <v/>
      </c>
      <c r="C1186" s="3">
        <f>INDEX(Raw_Schedule!C:C,MATCH(A1186,Raw_Schedule!A:A,0))</f>
        <v/>
      </c>
      <c r="D1186" s="3">
        <f>INDEX(Raw_Schedule!D:D,MATCH(A1186,Raw_Schedule!A:A,0))</f>
        <v/>
      </c>
      <c r="E1186" s="3">
        <f>INDEX(Raw_Schedule!E:E,MATCH(A1186,Raw_Schedule!A:A,0))</f>
        <v/>
      </c>
      <c r="F1186" s="3">
        <f>INDEX(Raw_Schedule!F:F,MATCH(A1186,Raw_Schedule!A:A,0))</f>
        <v/>
      </c>
      <c r="G1186" s="4">
        <f>INDEX(Raw_Schedule!G:G,MATCH(A1186,Raw_Schedule!A:A,0))</f>
        <v/>
      </c>
      <c r="H1186" s="5">
        <f>INDEX(Raw_Schedule!H:H,MATCH(A1186,Raw_Schedule!A:A,0))</f>
        <v/>
      </c>
      <c r="I1186" s="5">
        <f>SUMIFS(Raw_Payments!E:E,Raw_Payments!B:B,A1186)</f>
        <v/>
      </c>
      <c r="J1186" s="5">
        <f>H1186-I1186</f>
        <v/>
      </c>
      <c r="K1186" s="3">
        <f>IF(J1186&lt;=0.005,"PAID",IF(I1186&gt;0,"PARTIAL","OVERDUE"))</f>
        <v/>
      </c>
      <c r="L1186" s="4">
        <f>IF(COUNTIFS(Raw_Payments!B:B,A1186)=0,"",SUMPRODUCT(MAX((Raw_Payments!B$2:B$1079=A1186)*Raw_Payments!D$2:D$1079)))</f>
        <v/>
      </c>
      <c r="M1186" s="3">
        <f>IF(K1186="PAID",MAX(0,L1186-G1186),Guide!$B$3-G1186)</f>
        <v/>
      </c>
      <c r="N1186" s="3">
        <f>IF(J1186&lt;=0.005,"COLLECTED",IF(M1186&lt;=30,"1-30",IF(M1186&lt;=60,"31-60",IF(M1186&lt;=90,"61-90","90+"))))</f>
        <v/>
      </c>
      <c r="O1186" s="3">
        <f>IF(N1186="90+","LOST",IF(N1186="61-90","ESCALATE",IF(N1186="31-60","WATCH",IF(N1186="1-30","MILD","OK"))))</f>
        <v/>
      </c>
      <c r="P1186" s="3">
        <f>IF(J1186&gt;0.005,ROW()-1,"")</f>
        <v/>
      </c>
    </row>
    <row r="1187">
      <c r="A1187" s="3" t="inlineStr">
        <is>
          <t>D1186</t>
        </is>
      </c>
      <c r="B1187" s="3">
        <f>INDEX(Raw_Schedule!B:B,MATCH(A1187,Raw_Schedule!A:A,0))</f>
        <v/>
      </c>
      <c r="C1187" s="3">
        <f>INDEX(Raw_Schedule!C:C,MATCH(A1187,Raw_Schedule!A:A,0))</f>
        <v/>
      </c>
      <c r="D1187" s="3">
        <f>INDEX(Raw_Schedule!D:D,MATCH(A1187,Raw_Schedule!A:A,0))</f>
        <v/>
      </c>
      <c r="E1187" s="3">
        <f>INDEX(Raw_Schedule!E:E,MATCH(A1187,Raw_Schedule!A:A,0))</f>
        <v/>
      </c>
      <c r="F1187" s="3">
        <f>INDEX(Raw_Schedule!F:F,MATCH(A1187,Raw_Schedule!A:A,0))</f>
        <v/>
      </c>
      <c r="G1187" s="4">
        <f>INDEX(Raw_Schedule!G:G,MATCH(A1187,Raw_Schedule!A:A,0))</f>
        <v/>
      </c>
      <c r="H1187" s="5">
        <f>INDEX(Raw_Schedule!H:H,MATCH(A1187,Raw_Schedule!A:A,0))</f>
        <v/>
      </c>
      <c r="I1187" s="5">
        <f>SUMIFS(Raw_Payments!E:E,Raw_Payments!B:B,A1187)</f>
        <v/>
      </c>
      <c r="J1187" s="5">
        <f>H1187-I1187</f>
        <v/>
      </c>
      <c r="K1187" s="3">
        <f>IF(J1187&lt;=0.005,"PAID",IF(I1187&gt;0,"PARTIAL","OVERDUE"))</f>
        <v/>
      </c>
      <c r="L1187" s="4">
        <f>IF(COUNTIFS(Raw_Payments!B:B,A1187)=0,"",SUMPRODUCT(MAX((Raw_Payments!B$2:B$1079=A1187)*Raw_Payments!D$2:D$1079)))</f>
        <v/>
      </c>
      <c r="M1187" s="3">
        <f>IF(K1187="PAID",MAX(0,L1187-G1187),Guide!$B$3-G1187)</f>
        <v/>
      </c>
      <c r="N1187" s="3">
        <f>IF(J1187&lt;=0.005,"COLLECTED",IF(M1187&lt;=30,"1-30",IF(M1187&lt;=60,"31-60",IF(M1187&lt;=90,"61-90","90+"))))</f>
        <v/>
      </c>
      <c r="O1187" s="3">
        <f>IF(N1187="90+","LOST",IF(N1187="61-90","ESCALATE",IF(N1187="31-60","WATCH",IF(N1187="1-30","MILD","OK"))))</f>
        <v/>
      </c>
      <c r="P1187" s="3">
        <f>IF(J1187&gt;0.005,ROW()-1,"")</f>
        <v/>
      </c>
    </row>
    <row r="1188">
      <c r="A1188" s="3" t="inlineStr">
        <is>
          <t>D1187</t>
        </is>
      </c>
      <c r="B1188" s="3">
        <f>INDEX(Raw_Schedule!B:B,MATCH(A1188,Raw_Schedule!A:A,0))</f>
        <v/>
      </c>
      <c r="C1188" s="3">
        <f>INDEX(Raw_Schedule!C:C,MATCH(A1188,Raw_Schedule!A:A,0))</f>
        <v/>
      </c>
      <c r="D1188" s="3">
        <f>INDEX(Raw_Schedule!D:D,MATCH(A1188,Raw_Schedule!A:A,0))</f>
        <v/>
      </c>
      <c r="E1188" s="3">
        <f>INDEX(Raw_Schedule!E:E,MATCH(A1188,Raw_Schedule!A:A,0))</f>
        <v/>
      </c>
      <c r="F1188" s="3">
        <f>INDEX(Raw_Schedule!F:F,MATCH(A1188,Raw_Schedule!A:A,0))</f>
        <v/>
      </c>
      <c r="G1188" s="4">
        <f>INDEX(Raw_Schedule!G:G,MATCH(A1188,Raw_Schedule!A:A,0))</f>
        <v/>
      </c>
      <c r="H1188" s="5">
        <f>INDEX(Raw_Schedule!H:H,MATCH(A1188,Raw_Schedule!A:A,0))</f>
        <v/>
      </c>
      <c r="I1188" s="5">
        <f>SUMIFS(Raw_Payments!E:E,Raw_Payments!B:B,A1188)</f>
        <v/>
      </c>
      <c r="J1188" s="5">
        <f>H1188-I1188</f>
        <v/>
      </c>
      <c r="K1188" s="3">
        <f>IF(J1188&lt;=0.005,"PAID",IF(I1188&gt;0,"PARTIAL","OVERDUE"))</f>
        <v/>
      </c>
      <c r="L1188" s="4">
        <f>IF(COUNTIFS(Raw_Payments!B:B,A1188)=0,"",SUMPRODUCT(MAX((Raw_Payments!B$2:B$1079=A1188)*Raw_Payments!D$2:D$1079)))</f>
        <v/>
      </c>
      <c r="M1188" s="3">
        <f>IF(K1188="PAID",MAX(0,L1188-G1188),Guide!$B$3-G1188)</f>
        <v/>
      </c>
      <c r="N1188" s="3">
        <f>IF(J1188&lt;=0.005,"COLLECTED",IF(M1188&lt;=30,"1-30",IF(M1188&lt;=60,"31-60",IF(M1188&lt;=90,"61-90","90+"))))</f>
        <v/>
      </c>
      <c r="O1188" s="3">
        <f>IF(N1188="90+","LOST",IF(N1188="61-90","ESCALATE",IF(N1188="31-60","WATCH",IF(N1188="1-30","MILD","OK"))))</f>
        <v/>
      </c>
      <c r="P1188" s="3">
        <f>IF(J1188&gt;0.005,ROW()-1,"")</f>
        <v/>
      </c>
    </row>
    <row r="1189">
      <c r="A1189" s="3" t="inlineStr">
        <is>
          <t>D1188</t>
        </is>
      </c>
      <c r="B1189" s="3">
        <f>INDEX(Raw_Schedule!B:B,MATCH(A1189,Raw_Schedule!A:A,0))</f>
        <v/>
      </c>
      <c r="C1189" s="3">
        <f>INDEX(Raw_Schedule!C:C,MATCH(A1189,Raw_Schedule!A:A,0))</f>
        <v/>
      </c>
      <c r="D1189" s="3">
        <f>INDEX(Raw_Schedule!D:D,MATCH(A1189,Raw_Schedule!A:A,0))</f>
        <v/>
      </c>
      <c r="E1189" s="3">
        <f>INDEX(Raw_Schedule!E:E,MATCH(A1189,Raw_Schedule!A:A,0))</f>
        <v/>
      </c>
      <c r="F1189" s="3">
        <f>INDEX(Raw_Schedule!F:F,MATCH(A1189,Raw_Schedule!A:A,0))</f>
        <v/>
      </c>
      <c r="G1189" s="4">
        <f>INDEX(Raw_Schedule!G:G,MATCH(A1189,Raw_Schedule!A:A,0))</f>
        <v/>
      </c>
      <c r="H1189" s="5">
        <f>INDEX(Raw_Schedule!H:H,MATCH(A1189,Raw_Schedule!A:A,0))</f>
        <v/>
      </c>
      <c r="I1189" s="5">
        <f>SUMIFS(Raw_Payments!E:E,Raw_Payments!B:B,A1189)</f>
        <v/>
      </c>
      <c r="J1189" s="5">
        <f>H1189-I1189</f>
        <v/>
      </c>
      <c r="K1189" s="3">
        <f>IF(J1189&lt;=0.005,"PAID",IF(I1189&gt;0,"PARTIAL","OVERDUE"))</f>
        <v/>
      </c>
      <c r="L1189" s="4">
        <f>IF(COUNTIFS(Raw_Payments!B:B,A1189)=0,"",SUMPRODUCT(MAX((Raw_Payments!B$2:B$1079=A1189)*Raw_Payments!D$2:D$1079)))</f>
        <v/>
      </c>
      <c r="M1189" s="3">
        <f>IF(K1189="PAID",MAX(0,L1189-G1189),Guide!$B$3-G1189)</f>
        <v/>
      </c>
      <c r="N1189" s="3">
        <f>IF(J1189&lt;=0.005,"COLLECTED",IF(M1189&lt;=30,"1-30",IF(M1189&lt;=60,"31-60",IF(M1189&lt;=90,"61-90","90+"))))</f>
        <v/>
      </c>
      <c r="O1189" s="3">
        <f>IF(N1189="90+","LOST",IF(N1189="61-90","ESCALATE",IF(N1189="31-60","WATCH",IF(N1189="1-30","MILD","OK"))))</f>
        <v/>
      </c>
      <c r="P1189" s="3">
        <f>IF(J1189&gt;0.005,ROW()-1,"")</f>
        <v/>
      </c>
    </row>
    <row r="1190">
      <c r="A1190" s="3" t="inlineStr">
        <is>
          <t>D1189</t>
        </is>
      </c>
      <c r="B1190" s="3">
        <f>INDEX(Raw_Schedule!B:B,MATCH(A1190,Raw_Schedule!A:A,0))</f>
        <v/>
      </c>
      <c r="C1190" s="3">
        <f>INDEX(Raw_Schedule!C:C,MATCH(A1190,Raw_Schedule!A:A,0))</f>
        <v/>
      </c>
      <c r="D1190" s="3">
        <f>INDEX(Raw_Schedule!D:D,MATCH(A1190,Raw_Schedule!A:A,0))</f>
        <v/>
      </c>
      <c r="E1190" s="3">
        <f>INDEX(Raw_Schedule!E:E,MATCH(A1190,Raw_Schedule!A:A,0))</f>
        <v/>
      </c>
      <c r="F1190" s="3">
        <f>INDEX(Raw_Schedule!F:F,MATCH(A1190,Raw_Schedule!A:A,0))</f>
        <v/>
      </c>
      <c r="G1190" s="4">
        <f>INDEX(Raw_Schedule!G:G,MATCH(A1190,Raw_Schedule!A:A,0))</f>
        <v/>
      </c>
      <c r="H1190" s="5">
        <f>INDEX(Raw_Schedule!H:H,MATCH(A1190,Raw_Schedule!A:A,0))</f>
        <v/>
      </c>
      <c r="I1190" s="5">
        <f>SUMIFS(Raw_Payments!E:E,Raw_Payments!B:B,A1190)</f>
        <v/>
      </c>
      <c r="J1190" s="5">
        <f>H1190-I1190</f>
        <v/>
      </c>
      <c r="K1190" s="3">
        <f>IF(J1190&lt;=0.005,"PAID",IF(I1190&gt;0,"PARTIAL","OVERDUE"))</f>
        <v/>
      </c>
      <c r="L1190" s="4">
        <f>IF(COUNTIFS(Raw_Payments!B:B,A1190)=0,"",SUMPRODUCT(MAX((Raw_Payments!B$2:B$1079=A1190)*Raw_Payments!D$2:D$1079)))</f>
        <v/>
      </c>
      <c r="M1190" s="3">
        <f>IF(K1190="PAID",MAX(0,L1190-G1190),Guide!$B$3-G1190)</f>
        <v/>
      </c>
      <c r="N1190" s="3">
        <f>IF(J1190&lt;=0.005,"COLLECTED",IF(M1190&lt;=30,"1-30",IF(M1190&lt;=60,"31-60",IF(M1190&lt;=90,"61-90","90+"))))</f>
        <v/>
      </c>
      <c r="O1190" s="3">
        <f>IF(N1190="90+","LOST",IF(N1190="61-90","ESCALATE",IF(N1190="31-60","WATCH",IF(N1190="1-30","MILD","OK"))))</f>
        <v/>
      </c>
      <c r="P1190" s="3">
        <f>IF(J1190&gt;0.005,ROW()-1,"")</f>
        <v/>
      </c>
    </row>
    <row r="1191">
      <c r="A1191" s="3" t="inlineStr">
        <is>
          <t>D1190</t>
        </is>
      </c>
      <c r="B1191" s="3">
        <f>INDEX(Raw_Schedule!B:B,MATCH(A1191,Raw_Schedule!A:A,0))</f>
        <v/>
      </c>
      <c r="C1191" s="3">
        <f>INDEX(Raw_Schedule!C:C,MATCH(A1191,Raw_Schedule!A:A,0))</f>
        <v/>
      </c>
      <c r="D1191" s="3">
        <f>INDEX(Raw_Schedule!D:D,MATCH(A1191,Raw_Schedule!A:A,0))</f>
        <v/>
      </c>
      <c r="E1191" s="3">
        <f>INDEX(Raw_Schedule!E:E,MATCH(A1191,Raw_Schedule!A:A,0))</f>
        <v/>
      </c>
      <c r="F1191" s="3">
        <f>INDEX(Raw_Schedule!F:F,MATCH(A1191,Raw_Schedule!A:A,0))</f>
        <v/>
      </c>
      <c r="G1191" s="4">
        <f>INDEX(Raw_Schedule!G:G,MATCH(A1191,Raw_Schedule!A:A,0))</f>
        <v/>
      </c>
      <c r="H1191" s="5">
        <f>INDEX(Raw_Schedule!H:H,MATCH(A1191,Raw_Schedule!A:A,0))</f>
        <v/>
      </c>
      <c r="I1191" s="5">
        <f>SUMIFS(Raw_Payments!E:E,Raw_Payments!B:B,A1191)</f>
        <v/>
      </c>
      <c r="J1191" s="5">
        <f>H1191-I1191</f>
        <v/>
      </c>
      <c r="K1191" s="3">
        <f>IF(J1191&lt;=0.005,"PAID",IF(I1191&gt;0,"PARTIAL","OVERDUE"))</f>
        <v/>
      </c>
      <c r="L1191" s="4">
        <f>IF(COUNTIFS(Raw_Payments!B:B,A1191)=0,"",SUMPRODUCT(MAX((Raw_Payments!B$2:B$1079=A1191)*Raw_Payments!D$2:D$1079)))</f>
        <v/>
      </c>
      <c r="M1191" s="3">
        <f>IF(K1191="PAID",MAX(0,L1191-G1191),Guide!$B$3-G1191)</f>
        <v/>
      </c>
      <c r="N1191" s="3">
        <f>IF(J1191&lt;=0.005,"COLLECTED",IF(M1191&lt;=30,"1-30",IF(M1191&lt;=60,"31-60",IF(M1191&lt;=90,"61-90","90+"))))</f>
        <v/>
      </c>
      <c r="O1191" s="3">
        <f>IF(N1191="90+","LOST",IF(N1191="61-90","ESCALATE",IF(N1191="31-60","WATCH",IF(N1191="1-30","MILD","OK"))))</f>
        <v/>
      </c>
      <c r="P1191" s="3">
        <f>IF(J1191&gt;0.005,ROW()-1,"")</f>
        <v/>
      </c>
    </row>
    <row r="1192">
      <c r="A1192" s="3" t="inlineStr">
        <is>
          <t>D1191</t>
        </is>
      </c>
      <c r="B1192" s="3">
        <f>INDEX(Raw_Schedule!B:B,MATCH(A1192,Raw_Schedule!A:A,0))</f>
        <v/>
      </c>
      <c r="C1192" s="3">
        <f>INDEX(Raw_Schedule!C:C,MATCH(A1192,Raw_Schedule!A:A,0))</f>
        <v/>
      </c>
      <c r="D1192" s="3">
        <f>INDEX(Raw_Schedule!D:D,MATCH(A1192,Raw_Schedule!A:A,0))</f>
        <v/>
      </c>
      <c r="E1192" s="3">
        <f>INDEX(Raw_Schedule!E:E,MATCH(A1192,Raw_Schedule!A:A,0))</f>
        <v/>
      </c>
      <c r="F1192" s="3">
        <f>INDEX(Raw_Schedule!F:F,MATCH(A1192,Raw_Schedule!A:A,0))</f>
        <v/>
      </c>
      <c r="G1192" s="4">
        <f>INDEX(Raw_Schedule!G:G,MATCH(A1192,Raw_Schedule!A:A,0))</f>
        <v/>
      </c>
      <c r="H1192" s="5">
        <f>INDEX(Raw_Schedule!H:H,MATCH(A1192,Raw_Schedule!A:A,0))</f>
        <v/>
      </c>
      <c r="I1192" s="5">
        <f>SUMIFS(Raw_Payments!E:E,Raw_Payments!B:B,A1192)</f>
        <v/>
      </c>
      <c r="J1192" s="5">
        <f>H1192-I1192</f>
        <v/>
      </c>
      <c r="K1192" s="3">
        <f>IF(J1192&lt;=0.005,"PAID",IF(I1192&gt;0,"PARTIAL","OVERDUE"))</f>
        <v/>
      </c>
      <c r="L1192" s="4">
        <f>IF(COUNTIFS(Raw_Payments!B:B,A1192)=0,"",SUMPRODUCT(MAX((Raw_Payments!B$2:B$1079=A1192)*Raw_Payments!D$2:D$1079)))</f>
        <v/>
      </c>
      <c r="M1192" s="3">
        <f>IF(K1192="PAID",MAX(0,L1192-G1192),Guide!$B$3-G1192)</f>
        <v/>
      </c>
      <c r="N1192" s="3">
        <f>IF(J1192&lt;=0.005,"COLLECTED",IF(M1192&lt;=30,"1-30",IF(M1192&lt;=60,"31-60",IF(M1192&lt;=90,"61-90","90+"))))</f>
        <v/>
      </c>
      <c r="O1192" s="3">
        <f>IF(N1192="90+","LOST",IF(N1192="61-90","ESCALATE",IF(N1192="31-60","WATCH",IF(N1192="1-30","MILD","OK"))))</f>
        <v/>
      </c>
      <c r="P1192" s="3">
        <f>IF(J1192&gt;0.005,ROW()-1,"")</f>
        <v/>
      </c>
    </row>
    <row r="1193">
      <c r="A1193" s="3" t="inlineStr">
        <is>
          <t>D1192</t>
        </is>
      </c>
      <c r="B1193" s="3">
        <f>INDEX(Raw_Schedule!B:B,MATCH(A1193,Raw_Schedule!A:A,0))</f>
        <v/>
      </c>
      <c r="C1193" s="3">
        <f>INDEX(Raw_Schedule!C:C,MATCH(A1193,Raw_Schedule!A:A,0))</f>
        <v/>
      </c>
      <c r="D1193" s="3">
        <f>INDEX(Raw_Schedule!D:D,MATCH(A1193,Raw_Schedule!A:A,0))</f>
        <v/>
      </c>
      <c r="E1193" s="3">
        <f>INDEX(Raw_Schedule!E:E,MATCH(A1193,Raw_Schedule!A:A,0))</f>
        <v/>
      </c>
      <c r="F1193" s="3">
        <f>INDEX(Raw_Schedule!F:F,MATCH(A1193,Raw_Schedule!A:A,0))</f>
        <v/>
      </c>
      <c r="G1193" s="4">
        <f>INDEX(Raw_Schedule!G:G,MATCH(A1193,Raw_Schedule!A:A,0))</f>
        <v/>
      </c>
      <c r="H1193" s="5">
        <f>INDEX(Raw_Schedule!H:H,MATCH(A1193,Raw_Schedule!A:A,0))</f>
        <v/>
      </c>
      <c r="I1193" s="5">
        <f>SUMIFS(Raw_Payments!E:E,Raw_Payments!B:B,A1193)</f>
        <v/>
      </c>
      <c r="J1193" s="5">
        <f>H1193-I1193</f>
        <v/>
      </c>
      <c r="K1193" s="3">
        <f>IF(J1193&lt;=0.005,"PAID",IF(I1193&gt;0,"PARTIAL","OVERDUE"))</f>
        <v/>
      </c>
      <c r="L1193" s="4">
        <f>IF(COUNTIFS(Raw_Payments!B:B,A1193)=0,"",SUMPRODUCT(MAX((Raw_Payments!B$2:B$1079=A1193)*Raw_Payments!D$2:D$1079)))</f>
        <v/>
      </c>
      <c r="M1193" s="3">
        <f>IF(K1193="PAID",MAX(0,L1193-G1193),Guide!$B$3-G1193)</f>
        <v/>
      </c>
      <c r="N1193" s="3">
        <f>IF(J1193&lt;=0.005,"COLLECTED",IF(M1193&lt;=30,"1-30",IF(M1193&lt;=60,"31-60",IF(M1193&lt;=90,"61-90","90+"))))</f>
        <v/>
      </c>
      <c r="O1193" s="3">
        <f>IF(N1193="90+","LOST",IF(N1193="61-90","ESCALATE",IF(N1193="31-60","WATCH",IF(N1193="1-30","MILD","OK"))))</f>
        <v/>
      </c>
      <c r="P1193" s="3">
        <f>IF(J1193&gt;0.005,ROW()-1,"")</f>
        <v/>
      </c>
    </row>
    <row r="1194">
      <c r="A1194" s="3" t="inlineStr">
        <is>
          <t>D1193</t>
        </is>
      </c>
      <c r="B1194" s="3">
        <f>INDEX(Raw_Schedule!B:B,MATCH(A1194,Raw_Schedule!A:A,0))</f>
        <v/>
      </c>
      <c r="C1194" s="3">
        <f>INDEX(Raw_Schedule!C:C,MATCH(A1194,Raw_Schedule!A:A,0))</f>
        <v/>
      </c>
      <c r="D1194" s="3">
        <f>INDEX(Raw_Schedule!D:D,MATCH(A1194,Raw_Schedule!A:A,0))</f>
        <v/>
      </c>
      <c r="E1194" s="3">
        <f>INDEX(Raw_Schedule!E:E,MATCH(A1194,Raw_Schedule!A:A,0))</f>
        <v/>
      </c>
      <c r="F1194" s="3">
        <f>INDEX(Raw_Schedule!F:F,MATCH(A1194,Raw_Schedule!A:A,0))</f>
        <v/>
      </c>
      <c r="G1194" s="4">
        <f>INDEX(Raw_Schedule!G:G,MATCH(A1194,Raw_Schedule!A:A,0))</f>
        <v/>
      </c>
      <c r="H1194" s="5">
        <f>INDEX(Raw_Schedule!H:H,MATCH(A1194,Raw_Schedule!A:A,0))</f>
        <v/>
      </c>
      <c r="I1194" s="5">
        <f>SUMIFS(Raw_Payments!E:E,Raw_Payments!B:B,A1194)</f>
        <v/>
      </c>
      <c r="J1194" s="5">
        <f>H1194-I1194</f>
        <v/>
      </c>
      <c r="K1194" s="3">
        <f>IF(J1194&lt;=0.005,"PAID",IF(I1194&gt;0,"PARTIAL","OVERDUE"))</f>
        <v/>
      </c>
      <c r="L1194" s="4">
        <f>IF(COUNTIFS(Raw_Payments!B:B,A1194)=0,"",SUMPRODUCT(MAX((Raw_Payments!B$2:B$1079=A1194)*Raw_Payments!D$2:D$1079)))</f>
        <v/>
      </c>
      <c r="M1194" s="3">
        <f>IF(K1194="PAID",MAX(0,L1194-G1194),Guide!$B$3-G1194)</f>
        <v/>
      </c>
      <c r="N1194" s="3">
        <f>IF(J1194&lt;=0.005,"COLLECTED",IF(M1194&lt;=30,"1-30",IF(M1194&lt;=60,"31-60",IF(M1194&lt;=90,"61-90","90+"))))</f>
        <v/>
      </c>
      <c r="O1194" s="3">
        <f>IF(N1194="90+","LOST",IF(N1194="61-90","ESCALATE",IF(N1194="31-60","WATCH",IF(N1194="1-30","MILD","OK"))))</f>
        <v/>
      </c>
      <c r="P1194" s="3">
        <f>IF(J1194&gt;0.005,ROW()-1,"")</f>
        <v/>
      </c>
    </row>
    <row r="1195">
      <c r="A1195" s="3" t="inlineStr">
        <is>
          <t>D1194</t>
        </is>
      </c>
      <c r="B1195" s="3">
        <f>INDEX(Raw_Schedule!B:B,MATCH(A1195,Raw_Schedule!A:A,0))</f>
        <v/>
      </c>
      <c r="C1195" s="3">
        <f>INDEX(Raw_Schedule!C:C,MATCH(A1195,Raw_Schedule!A:A,0))</f>
        <v/>
      </c>
      <c r="D1195" s="3">
        <f>INDEX(Raw_Schedule!D:D,MATCH(A1195,Raw_Schedule!A:A,0))</f>
        <v/>
      </c>
      <c r="E1195" s="3">
        <f>INDEX(Raw_Schedule!E:E,MATCH(A1195,Raw_Schedule!A:A,0))</f>
        <v/>
      </c>
      <c r="F1195" s="3">
        <f>INDEX(Raw_Schedule!F:F,MATCH(A1195,Raw_Schedule!A:A,0))</f>
        <v/>
      </c>
      <c r="G1195" s="4">
        <f>INDEX(Raw_Schedule!G:G,MATCH(A1195,Raw_Schedule!A:A,0))</f>
        <v/>
      </c>
      <c r="H1195" s="5">
        <f>INDEX(Raw_Schedule!H:H,MATCH(A1195,Raw_Schedule!A:A,0))</f>
        <v/>
      </c>
      <c r="I1195" s="5">
        <f>SUMIFS(Raw_Payments!E:E,Raw_Payments!B:B,A1195)</f>
        <v/>
      </c>
      <c r="J1195" s="5">
        <f>H1195-I1195</f>
        <v/>
      </c>
      <c r="K1195" s="3">
        <f>IF(J1195&lt;=0.005,"PAID",IF(I1195&gt;0,"PARTIAL","OVERDUE"))</f>
        <v/>
      </c>
      <c r="L1195" s="4">
        <f>IF(COUNTIFS(Raw_Payments!B:B,A1195)=0,"",SUMPRODUCT(MAX((Raw_Payments!B$2:B$1079=A1195)*Raw_Payments!D$2:D$1079)))</f>
        <v/>
      </c>
      <c r="M1195" s="3">
        <f>IF(K1195="PAID",MAX(0,L1195-G1195),Guide!$B$3-G1195)</f>
        <v/>
      </c>
      <c r="N1195" s="3">
        <f>IF(J1195&lt;=0.005,"COLLECTED",IF(M1195&lt;=30,"1-30",IF(M1195&lt;=60,"31-60",IF(M1195&lt;=90,"61-90","90+"))))</f>
        <v/>
      </c>
      <c r="O1195" s="3">
        <f>IF(N1195="90+","LOST",IF(N1195="61-90","ESCALATE",IF(N1195="31-60","WATCH",IF(N1195="1-30","MILD","OK"))))</f>
        <v/>
      </c>
      <c r="P1195" s="3">
        <f>IF(J1195&gt;0.005,ROW()-1,"")</f>
        <v/>
      </c>
    </row>
    <row r="1196">
      <c r="A1196" s="3" t="inlineStr">
        <is>
          <t>D1195</t>
        </is>
      </c>
      <c r="B1196" s="3">
        <f>INDEX(Raw_Schedule!B:B,MATCH(A1196,Raw_Schedule!A:A,0))</f>
        <v/>
      </c>
      <c r="C1196" s="3">
        <f>INDEX(Raw_Schedule!C:C,MATCH(A1196,Raw_Schedule!A:A,0))</f>
        <v/>
      </c>
      <c r="D1196" s="3">
        <f>INDEX(Raw_Schedule!D:D,MATCH(A1196,Raw_Schedule!A:A,0))</f>
        <v/>
      </c>
      <c r="E1196" s="3">
        <f>INDEX(Raw_Schedule!E:E,MATCH(A1196,Raw_Schedule!A:A,0))</f>
        <v/>
      </c>
      <c r="F1196" s="3">
        <f>INDEX(Raw_Schedule!F:F,MATCH(A1196,Raw_Schedule!A:A,0))</f>
        <v/>
      </c>
      <c r="G1196" s="4">
        <f>INDEX(Raw_Schedule!G:G,MATCH(A1196,Raw_Schedule!A:A,0))</f>
        <v/>
      </c>
      <c r="H1196" s="5">
        <f>INDEX(Raw_Schedule!H:H,MATCH(A1196,Raw_Schedule!A:A,0))</f>
        <v/>
      </c>
      <c r="I1196" s="5">
        <f>SUMIFS(Raw_Payments!E:E,Raw_Payments!B:B,A1196)</f>
        <v/>
      </c>
      <c r="J1196" s="5">
        <f>H1196-I1196</f>
        <v/>
      </c>
      <c r="K1196" s="3">
        <f>IF(J1196&lt;=0.005,"PAID",IF(I1196&gt;0,"PARTIAL","OVERDUE"))</f>
        <v/>
      </c>
      <c r="L1196" s="4">
        <f>IF(COUNTIFS(Raw_Payments!B:B,A1196)=0,"",SUMPRODUCT(MAX((Raw_Payments!B$2:B$1079=A1196)*Raw_Payments!D$2:D$1079)))</f>
        <v/>
      </c>
      <c r="M1196" s="3">
        <f>IF(K1196="PAID",MAX(0,L1196-G1196),Guide!$B$3-G1196)</f>
        <v/>
      </c>
      <c r="N1196" s="3">
        <f>IF(J1196&lt;=0.005,"COLLECTED",IF(M1196&lt;=30,"1-30",IF(M1196&lt;=60,"31-60",IF(M1196&lt;=90,"61-90","90+"))))</f>
        <v/>
      </c>
      <c r="O1196" s="3">
        <f>IF(N1196="90+","LOST",IF(N1196="61-90","ESCALATE",IF(N1196="31-60","WATCH",IF(N1196="1-30","MILD","OK"))))</f>
        <v/>
      </c>
      <c r="P1196" s="3">
        <f>IF(J1196&gt;0.005,ROW()-1,"")</f>
        <v/>
      </c>
    </row>
    <row r="1197">
      <c r="A1197" s="3" t="inlineStr">
        <is>
          <t>D1196</t>
        </is>
      </c>
      <c r="B1197" s="3">
        <f>INDEX(Raw_Schedule!B:B,MATCH(A1197,Raw_Schedule!A:A,0))</f>
        <v/>
      </c>
      <c r="C1197" s="3">
        <f>INDEX(Raw_Schedule!C:C,MATCH(A1197,Raw_Schedule!A:A,0))</f>
        <v/>
      </c>
      <c r="D1197" s="3">
        <f>INDEX(Raw_Schedule!D:D,MATCH(A1197,Raw_Schedule!A:A,0))</f>
        <v/>
      </c>
      <c r="E1197" s="3">
        <f>INDEX(Raw_Schedule!E:E,MATCH(A1197,Raw_Schedule!A:A,0))</f>
        <v/>
      </c>
      <c r="F1197" s="3">
        <f>INDEX(Raw_Schedule!F:F,MATCH(A1197,Raw_Schedule!A:A,0))</f>
        <v/>
      </c>
      <c r="G1197" s="4">
        <f>INDEX(Raw_Schedule!G:G,MATCH(A1197,Raw_Schedule!A:A,0))</f>
        <v/>
      </c>
      <c r="H1197" s="5">
        <f>INDEX(Raw_Schedule!H:H,MATCH(A1197,Raw_Schedule!A:A,0))</f>
        <v/>
      </c>
      <c r="I1197" s="5">
        <f>SUMIFS(Raw_Payments!E:E,Raw_Payments!B:B,A1197)</f>
        <v/>
      </c>
      <c r="J1197" s="5">
        <f>H1197-I1197</f>
        <v/>
      </c>
      <c r="K1197" s="3">
        <f>IF(J1197&lt;=0.005,"PAID",IF(I1197&gt;0,"PARTIAL","OVERDUE"))</f>
        <v/>
      </c>
      <c r="L1197" s="4">
        <f>IF(COUNTIFS(Raw_Payments!B:B,A1197)=0,"",SUMPRODUCT(MAX((Raw_Payments!B$2:B$1079=A1197)*Raw_Payments!D$2:D$1079)))</f>
        <v/>
      </c>
      <c r="M1197" s="3">
        <f>IF(K1197="PAID",MAX(0,L1197-G1197),Guide!$B$3-G1197)</f>
        <v/>
      </c>
      <c r="N1197" s="3">
        <f>IF(J1197&lt;=0.005,"COLLECTED",IF(M1197&lt;=30,"1-30",IF(M1197&lt;=60,"31-60",IF(M1197&lt;=90,"61-90","90+"))))</f>
        <v/>
      </c>
      <c r="O1197" s="3">
        <f>IF(N1197="90+","LOST",IF(N1197="61-90","ESCALATE",IF(N1197="31-60","WATCH",IF(N1197="1-30","MILD","OK"))))</f>
        <v/>
      </c>
      <c r="P1197" s="3">
        <f>IF(J1197&gt;0.005,ROW()-1,"")</f>
        <v/>
      </c>
    </row>
    <row r="1198">
      <c r="A1198" s="3" t="inlineStr">
        <is>
          <t>D1197</t>
        </is>
      </c>
      <c r="B1198" s="3">
        <f>INDEX(Raw_Schedule!B:B,MATCH(A1198,Raw_Schedule!A:A,0))</f>
        <v/>
      </c>
      <c r="C1198" s="3">
        <f>INDEX(Raw_Schedule!C:C,MATCH(A1198,Raw_Schedule!A:A,0))</f>
        <v/>
      </c>
      <c r="D1198" s="3">
        <f>INDEX(Raw_Schedule!D:D,MATCH(A1198,Raw_Schedule!A:A,0))</f>
        <v/>
      </c>
      <c r="E1198" s="3">
        <f>INDEX(Raw_Schedule!E:E,MATCH(A1198,Raw_Schedule!A:A,0))</f>
        <v/>
      </c>
      <c r="F1198" s="3">
        <f>INDEX(Raw_Schedule!F:F,MATCH(A1198,Raw_Schedule!A:A,0))</f>
        <v/>
      </c>
      <c r="G1198" s="4">
        <f>INDEX(Raw_Schedule!G:G,MATCH(A1198,Raw_Schedule!A:A,0))</f>
        <v/>
      </c>
      <c r="H1198" s="5">
        <f>INDEX(Raw_Schedule!H:H,MATCH(A1198,Raw_Schedule!A:A,0))</f>
        <v/>
      </c>
      <c r="I1198" s="5">
        <f>SUMIFS(Raw_Payments!E:E,Raw_Payments!B:B,A1198)</f>
        <v/>
      </c>
      <c r="J1198" s="5">
        <f>H1198-I1198</f>
        <v/>
      </c>
      <c r="K1198" s="3">
        <f>IF(J1198&lt;=0.005,"PAID",IF(I1198&gt;0,"PARTIAL","OVERDUE"))</f>
        <v/>
      </c>
      <c r="L1198" s="4">
        <f>IF(COUNTIFS(Raw_Payments!B:B,A1198)=0,"",SUMPRODUCT(MAX((Raw_Payments!B$2:B$1079=A1198)*Raw_Payments!D$2:D$1079)))</f>
        <v/>
      </c>
      <c r="M1198" s="3">
        <f>IF(K1198="PAID",MAX(0,L1198-G1198),Guide!$B$3-G1198)</f>
        <v/>
      </c>
      <c r="N1198" s="3">
        <f>IF(J1198&lt;=0.005,"COLLECTED",IF(M1198&lt;=30,"1-30",IF(M1198&lt;=60,"31-60",IF(M1198&lt;=90,"61-90","90+"))))</f>
        <v/>
      </c>
      <c r="O1198" s="3">
        <f>IF(N1198="90+","LOST",IF(N1198="61-90","ESCALATE",IF(N1198="31-60","WATCH",IF(N1198="1-30","MILD","OK"))))</f>
        <v/>
      </c>
      <c r="P1198" s="3">
        <f>IF(J1198&gt;0.005,ROW()-1,"")</f>
        <v/>
      </c>
    </row>
    <row r="1199">
      <c r="A1199" s="3" t="inlineStr">
        <is>
          <t>D1198</t>
        </is>
      </c>
      <c r="B1199" s="3">
        <f>INDEX(Raw_Schedule!B:B,MATCH(A1199,Raw_Schedule!A:A,0))</f>
        <v/>
      </c>
      <c r="C1199" s="3">
        <f>INDEX(Raw_Schedule!C:C,MATCH(A1199,Raw_Schedule!A:A,0))</f>
        <v/>
      </c>
      <c r="D1199" s="3">
        <f>INDEX(Raw_Schedule!D:D,MATCH(A1199,Raw_Schedule!A:A,0))</f>
        <v/>
      </c>
      <c r="E1199" s="3">
        <f>INDEX(Raw_Schedule!E:E,MATCH(A1199,Raw_Schedule!A:A,0))</f>
        <v/>
      </c>
      <c r="F1199" s="3">
        <f>INDEX(Raw_Schedule!F:F,MATCH(A1199,Raw_Schedule!A:A,0))</f>
        <v/>
      </c>
      <c r="G1199" s="4">
        <f>INDEX(Raw_Schedule!G:G,MATCH(A1199,Raw_Schedule!A:A,0))</f>
        <v/>
      </c>
      <c r="H1199" s="5">
        <f>INDEX(Raw_Schedule!H:H,MATCH(A1199,Raw_Schedule!A:A,0))</f>
        <v/>
      </c>
      <c r="I1199" s="5">
        <f>SUMIFS(Raw_Payments!E:E,Raw_Payments!B:B,A1199)</f>
        <v/>
      </c>
      <c r="J1199" s="5">
        <f>H1199-I1199</f>
        <v/>
      </c>
      <c r="K1199" s="3">
        <f>IF(J1199&lt;=0.005,"PAID",IF(I1199&gt;0,"PARTIAL","OVERDUE"))</f>
        <v/>
      </c>
      <c r="L1199" s="4">
        <f>IF(COUNTIFS(Raw_Payments!B:B,A1199)=0,"",SUMPRODUCT(MAX((Raw_Payments!B$2:B$1079=A1199)*Raw_Payments!D$2:D$1079)))</f>
        <v/>
      </c>
      <c r="M1199" s="3">
        <f>IF(K1199="PAID",MAX(0,L1199-G1199),Guide!$B$3-G1199)</f>
        <v/>
      </c>
      <c r="N1199" s="3">
        <f>IF(J1199&lt;=0.005,"COLLECTED",IF(M1199&lt;=30,"1-30",IF(M1199&lt;=60,"31-60",IF(M1199&lt;=90,"61-90","90+"))))</f>
        <v/>
      </c>
      <c r="O1199" s="3">
        <f>IF(N1199="90+","LOST",IF(N1199="61-90","ESCALATE",IF(N1199="31-60","WATCH",IF(N1199="1-30","MILD","OK"))))</f>
        <v/>
      </c>
      <c r="P1199" s="3">
        <f>IF(J1199&gt;0.005,ROW()-1,"")</f>
        <v/>
      </c>
    </row>
    <row r="1200">
      <c r="A1200" s="3" t="inlineStr">
        <is>
          <t>D1199</t>
        </is>
      </c>
      <c r="B1200" s="3">
        <f>INDEX(Raw_Schedule!B:B,MATCH(A1200,Raw_Schedule!A:A,0))</f>
        <v/>
      </c>
      <c r="C1200" s="3">
        <f>INDEX(Raw_Schedule!C:C,MATCH(A1200,Raw_Schedule!A:A,0))</f>
        <v/>
      </c>
      <c r="D1200" s="3">
        <f>INDEX(Raw_Schedule!D:D,MATCH(A1200,Raw_Schedule!A:A,0))</f>
        <v/>
      </c>
      <c r="E1200" s="3">
        <f>INDEX(Raw_Schedule!E:E,MATCH(A1200,Raw_Schedule!A:A,0))</f>
        <v/>
      </c>
      <c r="F1200" s="3">
        <f>INDEX(Raw_Schedule!F:F,MATCH(A1200,Raw_Schedule!A:A,0))</f>
        <v/>
      </c>
      <c r="G1200" s="4">
        <f>INDEX(Raw_Schedule!G:G,MATCH(A1200,Raw_Schedule!A:A,0))</f>
        <v/>
      </c>
      <c r="H1200" s="5">
        <f>INDEX(Raw_Schedule!H:H,MATCH(A1200,Raw_Schedule!A:A,0))</f>
        <v/>
      </c>
      <c r="I1200" s="5">
        <f>SUMIFS(Raw_Payments!E:E,Raw_Payments!B:B,A1200)</f>
        <v/>
      </c>
      <c r="J1200" s="5">
        <f>H1200-I1200</f>
        <v/>
      </c>
      <c r="K1200" s="3">
        <f>IF(J1200&lt;=0.005,"PAID",IF(I1200&gt;0,"PARTIAL","OVERDUE"))</f>
        <v/>
      </c>
      <c r="L1200" s="4">
        <f>IF(COUNTIFS(Raw_Payments!B:B,A1200)=0,"",SUMPRODUCT(MAX((Raw_Payments!B$2:B$1079=A1200)*Raw_Payments!D$2:D$1079)))</f>
        <v/>
      </c>
      <c r="M1200" s="3">
        <f>IF(K1200="PAID",MAX(0,L1200-G1200),Guide!$B$3-G1200)</f>
        <v/>
      </c>
      <c r="N1200" s="3">
        <f>IF(J1200&lt;=0.005,"COLLECTED",IF(M1200&lt;=30,"1-30",IF(M1200&lt;=60,"31-60",IF(M1200&lt;=90,"61-90","90+"))))</f>
        <v/>
      </c>
      <c r="O1200" s="3">
        <f>IF(N1200="90+","LOST",IF(N1200="61-90","ESCALATE",IF(N1200="31-60","WATCH",IF(N1200="1-30","MILD","OK"))))</f>
        <v/>
      </c>
      <c r="P1200" s="3">
        <f>IF(J1200&gt;0.005,ROW()-1,"")</f>
        <v/>
      </c>
    </row>
    <row r="1201">
      <c r="A1201" s="3" t="inlineStr">
        <is>
          <t>D1200</t>
        </is>
      </c>
      <c r="B1201" s="3">
        <f>INDEX(Raw_Schedule!B:B,MATCH(A1201,Raw_Schedule!A:A,0))</f>
        <v/>
      </c>
      <c r="C1201" s="3">
        <f>INDEX(Raw_Schedule!C:C,MATCH(A1201,Raw_Schedule!A:A,0))</f>
        <v/>
      </c>
      <c r="D1201" s="3">
        <f>INDEX(Raw_Schedule!D:D,MATCH(A1201,Raw_Schedule!A:A,0))</f>
        <v/>
      </c>
      <c r="E1201" s="3">
        <f>INDEX(Raw_Schedule!E:E,MATCH(A1201,Raw_Schedule!A:A,0))</f>
        <v/>
      </c>
      <c r="F1201" s="3">
        <f>INDEX(Raw_Schedule!F:F,MATCH(A1201,Raw_Schedule!A:A,0))</f>
        <v/>
      </c>
      <c r="G1201" s="4">
        <f>INDEX(Raw_Schedule!G:G,MATCH(A1201,Raw_Schedule!A:A,0))</f>
        <v/>
      </c>
      <c r="H1201" s="5">
        <f>INDEX(Raw_Schedule!H:H,MATCH(A1201,Raw_Schedule!A:A,0))</f>
        <v/>
      </c>
      <c r="I1201" s="5">
        <f>SUMIFS(Raw_Payments!E:E,Raw_Payments!B:B,A1201)</f>
        <v/>
      </c>
      <c r="J1201" s="5">
        <f>H1201-I1201</f>
        <v/>
      </c>
      <c r="K1201" s="3">
        <f>IF(J1201&lt;=0.005,"PAID",IF(I1201&gt;0,"PARTIAL","OVERDUE"))</f>
        <v/>
      </c>
      <c r="L1201" s="4">
        <f>IF(COUNTIFS(Raw_Payments!B:B,A1201)=0,"",SUMPRODUCT(MAX((Raw_Payments!B$2:B$1079=A1201)*Raw_Payments!D$2:D$1079)))</f>
        <v/>
      </c>
      <c r="M1201" s="3">
        <f>IF(K1201="PAID",MAX(0,L1201-G1201),Guide!$B$3-G1201)</f>
        <v/>
      </c>
      <c r="N1201" s="3">
        <f>IF(J1201&lt;=0.005,"COLLECTED",IF(M1201&lt;=30,"1-30",IF(M1201&lt;=60,"31-60",IF(M1201&lt;=90,"61-90","90+"))))</f>
        <v/>
      </c>
      <c r="O1201" s="3">
        <f>IF(N1201="90+","LOST",IF(N1201="61-90","ESCALATE",IF(N1201="31-60","WATCH",IF(N1201="1-30","MILD","OK"))))</f>
        <v/>
      </c>
      <c r="P1201" s="3">
        <f>IF(J1201&gt;0.005,ROW()-1,"")</f>
        <v/>
      </c>
    </row>
  </sheetData>
  <autoFilter ref="A1:P1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5" customWidth="1" min="4" max="4"/>
    <col width="16" customWidth="1" min="5" max="5"/>
    <col width="12" customWidth="1" min="6" max="6"/>
  </cols>
  <sheetData>
    <row r="1">
      <c r="A1" s="1" t="inlineStr">
        <is>
          <t>Bucket</t>
        </is>
      </c>
      <c r="B1" s="1" t="inlineStr">
        <is>
          <t>Dues</t>
        </is>
      </c>
      <c r="C1" s="1" t="inlineStr">
        <is>
          <t>Due (Rs)</t>
        </is>
      </c>
      <c r="D1" s="1" t="inlineStr">
        <is>
          <t>Collected (Rs)</t>
        </is>
      </c>
      <c r="E1" s="1" t="inlineStr">
        <is>
          <t>Outstanding (Rs)</t>
        </is>
      </c>
      <c r="F1" s="1" t="inlineStr">
        <is>
          <t>Collection %</t>
        </is>
      </c>
    </row>
    <row r="2">
      <c r="A2" s="3" t="inlineStr">
        <is>
          <t>COLLECTED</t>
        </is>
      </c>
      <c r="B2" s="3">
        <f>COUNTIFS(Receivables_Ledger!N$2:N$1201,A2)</f>
        <v/>
      </c>
      <c r="C2" s="5">
        <f>SUMIFS(Receivables_Ledger!H$2:H$1201,Receivables_Ledger!N$2:N$1201,A2)</f>
        <v/>
      </c>
      <c r="D2" s="5">
        <f>SUMIFS(Receivables_Ledger!I$2:I$1201,Receivables_Ledger!N$2:N$1201,A2)</f>
        <v/>
      </c>
      <c r="E2" s="5">
        <f>SUMIFS(Receivables_Ledger!J$2:J$1201,Receivables_Ledger!N$2:N$1201,A2)</f>
        <v/>
      </c>
      <c r="F2" s="6">
        <f>IF(C2=0,0,D2/C2)</f>
        <v/>
      </c>
    </row>
    <row r="3">
      <c r="A3" s="3" t="inlineStr">
        <is>
          <t>1-30</t>
        </is>
      </c>
      <c r="B3" s="3">
        <f>COUNTIFS(Receivables_Ledger!N$2:N$1201,A3)</f>
        <v/>
      </c>
      <c r="C3" s="5">
        <f>SUMIFS(Receivables_Ledger!H$2:H$1201,Receivables_Ledger!N$2:N$1201,A3)</f>
        <v/>
      </c>
      <c r="D3" s="5">
        <f>SUMIFS(Receivables_Ledger!I$2:I$1201,Receivables_Ledger!N$2:N$1201,A3)</f>
        <v/>
      </c>
      <c r="E3" s="5">
        <f>SUMIFS(Receivables_Ledger!J$2:J$1201,Receivables_Ledger!N$2:N$1201,A3)</f>
        <v/>
      </c>
      <c r="F3" s="6">
        <f>IF(C3=0,0,D3/C3)</f>
        <v/>
      </c>
    </row>
    <row r="4">
      <c r="A4" s="3" t="inlineStr">
        <is>
          <t>31-60</t>
        </is>
      </c>
      <c r="B4" s="3">
        <f>COUNTIFS(Receivables_Ledger!N$2:N$1201,A4)</f>
        <v/>
      </c>
      <c r="C4" s="5">
        <f>SUMIFS(Receivables_Ledger!H$2:H$1201,Receivables_Ledger!N$2:N$1201,A4)</f>
        <v/>
      </c>
      <c r="D4" s="5">
        <f>SUMIFS(Receivables_Ledger!I$2:I$1201,Receivables_Ledger!N$2:N$1201,A4)</f>
        <v/>
      </c>
      <c r="E4" s="5">
        <f>SUMIFS(Receivables_Ledger!J$2:J$1201,Receivables_Ledger!N$2:N$1201,A4)</f>
        <v/>
      </c>
      <c r="F4" s="6">
        <f>IF(C4=0,0,D4/C4)</f>
        <v/>
      </c>
    </row>
    <row r="5">
      <c r="A5" s="3" t="inlineStr">
        <is>
          <t>61-90</t>
        </is>
      </c>
      <c r="B5" s="3">
        <f>COUNTIFS(Receivables_Ledger!N$2:N$1201,A5)</f>
        <v/>
      </c>
      <c r="C5" s="5">
        <f>SUMIFS(Receivables_Ledger!H$2:H$1201,Receivables_Ledger!N$2:N$1201,A5)</f>
        <v/>
      </c>
      <c r="D5" s="5">
        <f>SUMIFS(Receivables_Ledger!I$2:I$1201,Receivables_Ledger!N$2:N$1201,A5)</f>
        <v/>
      </c>
      <c r="E5" s="5">
        <f>SUMIFS(Receivables_Ledger!J$2:J$1201,Receivables_Ledger!N$2:N$1201,A5)</f>
        <v/>
      </c>
      <c r="F5" s="6">
        <f>IF(C5=0,0,D5/C5)</f>
        <v/>
      </c>
    </row>
    <row r="6">
      <c r="A6" s="3" t="inlineStr">
        <is>
          <t>90+</t>
        </is>
      </c>
      <c r="B6" s="3">
        <f>COUNTIFS(Receivables_Ledger!N$2:N$1201,A6)</f>
        <v/>
      </c>
      <c r="C6" s="5">
        <f>SUMIFS(Receivables_Ledger!H$2:H$1201,Receivables_Ledger!N$2:N$1201,A6)</f>
        <v/>
      </c>
      <c r="D6" s="5">
        <f>SUMIFS(Receivables_Ledger!I$2:I$1201,Receivables_Ledger!N$2:N$1201,A6)</f>
        <v/>
      </c>
      <c r="E6" s="5">
        <f>SUMIFS(Receivables_Ledger!J$2:J$1201,Receivables_Ledger!N$2:N$1201,A6)</f>
        <v/>
      </c>
      <c r="F6" s="6">
        <f>IF(C6=0,0,D6/C6)</f>
        <v/>
      </c>
    </row>
    <row r="7">
      <c r="A7" s="7" t="inlineStr">
        <is>
          <t>TOTAL</t>
        </is>
      </c>
      <c r="B7" s="7">
        <f>SUM(B2:B6)</f>
        <v/>
      </c>
      <c r="C7" s="8">
        <f>SUM(C2:C6)</f>
        <v/>
      </c>
      <c r="D7" s="8">
        <f>SUM(D2:D6)</f>
        <v/>
      </c>
      <c r="E7" s="8">
        <f>SUM(E2:E6)</f>
        <v/>
      </c>
      <c r="F7" s="9">
        <f>IF(C7=0,0,D7/C7)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15" customWidth="1" min="4" max="4"/>
    <col width="12" customWidth="1" min="5" max="5"/>
    <col width="14" customWidth="1" min="6" max="6"/>
    <col width="10" customWidth="1" min="7" max="7"/>
    <col width="7" customWidth="1" min="8" max="8"/>
  </cols>
  <sheetData>
    <row r="1">
      <c r="A1" s="1" t="inlineStr">
        <is>
          <t>Collector</t>
        </is>
      </c>
      <c r="B1" s="1" t="inlineStr">
        <is>
          <t>Dues</t>
        </is>
      </c>
      <c r="C1" s="1" t="inlineStr">
        <is>
          <t>Due (Rs)</t>
        </is>
      </c>
      <c r="D1" s="1" t="inlineStr">
        <is>
          <t>Collected (Rs)</t>
        </is>
      </c>
      <c r="E1" s="1" t="inlineStr">
        <is>
          <t>Efficiency %</t>
        </is>
      </c>
      <c r="F1" s="1" t="inlineStr">
        <is>
          <t>Overdue (Rs)</t>
        </is>
      </c>
      <c r="G1" s="1" t="inlineStr">
        <is>
          <t>Avg DPD</t>
        </is>
      </c>
      <c r="H1" s="1" t="inlineStr">
        <is>
          <t>Rank</t>
        </is>
      </c>
    </row>
    <row r="2">
      <c r="A2" s="3" t="inlineStr">
        <is>
          <t>A. Verma</t>
        </is>
      </c>
      <c r="B2" s="3">
        <f>COUNTIFS(Receivables_Ledger!E$2:E$1201,A2)</f>
        <v/>
      </c>
      <c r="C2" s="5">
        <f>SUMIFS(Receivables_Ledger!H$2:H$1201,Receivables_Ledger!E$2:E$1201,A2)</f>
        <v/>
      </c>
      <c r="D2" s="5">
        <f>SUMIFS(Receivables_Ledger!I$2:I$1201,Receivables_Ledger!E$2:E$1201,A2)</f>
        <v/>
      </c>
      <c r="E2" s="6">
        <f>IF(C2=0,0,D2/C2)</f>
        <v/>
      </c>
      <c r="F2" s="5">
        <f>SUMIFS(Receivables_Ledger!J$2:J$1201,Receivables_Ledger!E$2:E$1201,A2,Receivables_Ledger!J$2:J$1201,"&gt;0.005")</f>
        <v/>
      </c>
      <c r="G2" s="3">
        <f>IF(COUNTIFS(Receivables_Ledger!E$2:E$1201,A2,Receivables_Ledger!J$2:J$1201,"&gt;0.005")=0,0,AVERAGEIFS(Receivables_Ledger!M$2:M$1201,Receivables_Ledger!E$2:E$1201,A2,Receivables_Ledger!J$2:J$1201,"&gt;0.005"))</f>
        <v/>
      </c>
      <c r="H2" s="3">
        <f>RANK(E2,$E$2:$E$7)</f>
        <v/>
      </c>
    </row>
    <row r="3">
      <c r="A3" s="3" t="inlineStr">
        <is>
          <t>K. Sharma</t>
        </is>
      </c>
      <c r="B3" s="3">
        <f>COUNTIFS(Receivables_Ledger!E$2:E$1201,A3)</f>
        <v/>
      </c>
      <c r="C3" s="5">
        <f>SUMIFS(Receivables_Ledger!H$2:H$1201,Receivables_Ledger!E$2:E$1201,A3)</f>
        <v/>
      </c>
      <c r="D3" s="5">
        <f>SUMIFS(Receivables_Ledger!I$2:I$1201,Receivables_Ledger!E$2:E$1201,A3)</f>
        <v/>
      </c>
      <c r="E3" s="6">
        <f>IF(C3=0,0,D3/C3)</f>
        <v/>
      </c>
      <c r="F3" s="5">
        <f>SUMIFS(Receivables_Ledger!J$2:J$1201,Receivables_Ledger!E$2:E$1201,A3,Receivables_Ledger!J$2:J$1201,"&gt;0.005")</f>
        <v/>
      </c>
      <c r="G3" s="3">
        <f>IF(COUNTIFS(Receivables_Ledger!E$2:E$1201,A3,Receivables_Ledger!J$2:J$1201,"&gt;0.005")=0,0,AVERAGEIFS(Receivables_Ledger!M$2:M$1201,Receivables_Ledger!E$2:E$1201,A3,Receivables_Ledger!J$2:J$1201,"&gt;0.005"))</f>
        <v/>
      </c>
      <c r="H3" s="3">
        <f>RANK(E3,$E$2:$E$7)</f>
        <v/>
      </c>
    </row>
    <row r="4">
      <c r="A4" s="3" t="inlineStr">
        <is>
          <t>M. Mandal</t>
        </is>
      </c>
      <c r="B4" s="3">
        <f>COUNTIFS(Receivables_Ledger!E$2:E$1201,A4)</f>
        <v/>
      </c>
      <c r="C4" s="5">
        <f>SUMIFS(Receivables_Ledger!H$2:H$1201,Receivables_Ledger!E$2:E$1201,A4)</f>
        <v/>
      </c>
      <c r="D4" s="5">
        <f>SUMIFS(Receivables_Ledger!I$2:I$1201,Receivables_Ledger!E$2:E$1201,A4)</f>
        <v/>
      </c>
      <c r="E4" s="6">
        <f>IF(C4=0,0,D4/C4)</f>
        <v/>
      </c>
      <c r="F4" s="5">
        <f>SUMIFS(Receivables_Ledger!J$2:J$1201,Receivables_Ledger!E$2:E$1201,A4,Receivables_Ledger!J$2:J$1201,"&gt;0.005")</f>
        <v/>
      </c>
      <c r="G4" s="3">
        <f>IF(COUNTIFS(Receivables_Ledger!E$2:E$1201,A4,Receivables_Ledger!J$2:J$1201,"&gt;0.005")=0,0,AVERAGEIFS(Receivables_Ledger!M$2:M$1201,Receivables_Ledger!E$2:E$1201,A4,Receivables_Ledger!J$2:J$1201,"&gt;0.005"))</f>
        <v/>
      </c>
      <c r="H4" s="3">
        <f>RANK(E4,$E$2:$E$7)</f>
        <v/>
      </c>
    </row>
    <row r="5">
      <c r="A5" s="3" t="inlineStr">
        <is>
          <t>P. Yadav</t>
        </is>
      </c>
      <c r="B5" s="3">
        <f>COUNTIFS(Receivables_Ledger!E$2:E$1201,A5)</f>
        <v/>
      </c>
      <c r="C5" s="5">
        <f>SUMIFS(Receivables_Ledger!H$2:H$1201,Receivables_Ledger!E$2:E$1201,A5)</f>
        <v/>
      </c>
      <c r="D5" s="5">
        <f>SUMIFS(Receivables_Ledger!I$2:I$1201,Receivables_Ledger!E$2:E$1201,A5)</f>
        <v/>
      </c>
      <c r="E5" s="6">
        <f>IF(C5=0,0,D5/C5)</f>
        <v/>
      </c>
      <c r="F5" s="5">
        <f>SUMIFS(Receivables_Ledger!J$2:J$1201,Receivables_Ledger!E$2:E$1201,A5,Receivables_Ledger!J$2:J$1201,"&gt;0.005")</f>
        <v/>
      </c>
      <c r="G5" s="3">
        <f>IF(COUNTIFS(Receivables_Ledger!E$2:E$1201,A5,Receivables_Ledger!J$2:J$1201,"&gt;0.005")=0,0,AVERAGEIFS(Receivables_Ledger!M$2:M$1201,Receivables_Ledger!E$2:E$1201,A5,Receivables_Ledger!J$2:J$1201,"&gt;0.005"))</f>
        <v/>
      </c>
      <c r="H5" s="3">
        <f>RANK(E5,$E$2:$E$7)</f>
        <v/>
      </c>
    </row>
    <row r="6">
      <c r="A6" s="3" t="inlineStr">
        <is>
          <t>R. Singh</t>
        </is>
      </c>
      <c r="B6" s="3">
        <f>COUNTIFS(Receivables_Ledger!E$2:E$1201,A6)</f>
        <v/>
      </c>
      <c r="C6" s="5">
        <f>SUMIFS(Receivables_Ledger!H$2:H$1201,Receivables_Ledger!E$2:E$1201,A6)</f>
        <v/>
      </c>
      <c r="D6" s="5">
        <f>SUMIFS(Receivables_Ledger!I$2:I$1201,Receivables_Ledger!E$2:E$1201,A6)</f>
        <v/>
      </c>
      <c r="E6" s="6">
        <f>IF(C6=0,0,D6/C6)</f>
        <v/>
      </c>
      <c r="F6" s="5">
        <f>SUMIFS(Receivables_Ledger!J$2:J$1201,Receivables_Ledger!E$2:E$1201,A6,Receivables_Ledger!J$2:J$1201,"&gt;0.005")</f>
        <v/>
      </c>
      <c r="G6" s="3">
        <f>IF(COUNTIFS(Receivables_Ledger!E$2:E$1201,A6,Receivables_Ledger!J$2:J$1201,"&gt;0.005")=0,0,AVERAGEIFS(Receivables_Ledger!M$2:M$1201,Receivables_Ledger!E$2:E$1201,A6,Receivables_Ledger!J$2:J$1201,"&gt;0.005"))</f>
        <v/>
      </c>
      <c r="H6" s="3">
        <f>RANK(E6,$E$2:$E$7)</f>
        <v/>
      </c>
    </row>
    <row r="7">
      <c r="A7" s="3" t="inlineStr">
        <is>
          <t>S. Gupta</t>
        </is>
      </c>
      <c r="B7" s="3">
        <f>COUNTIFS(Receivables_Ledger!E$2:E$1201,A7)</f>
        <v/>
      </c>
      <c r="C7" s="5">
        <f>SUMIFS(Receivables_Ledger!H$2:H$1201,Receivables_Ledger!E$2:E$1201,A7)</f>
        <v/>
      </c>
      <c r="D7" s="5">
        <f>SUMIFS(Receivables_Ledger!I$2:I$1201,Receivables_Ledger!E$2:E$1201,A7)</f>
        <v/>
      </c>
      <c r="E7" s="6">
        <f>IF(C7=0,0,D7/C7)</f>
        <v/>
      </c>
      <c r="F7" s="5">
        <f>SUMIFS(Receivables_Ledger!J$2:J$1201,Receivables_Ledger!E$2:E$1201,A7,Receivables_Ledger!J$2:J$1201,"&gt;0.005")</f>
        <v/>
      </c>
      <c r="G7" s="3">
        <f>IF(COUNTIFS(Receivables_Ledger!E$2:E$1201,A7,Receivables_Ledger!J$2:J$1201,"&gt;0.005")=0,0,AVERAGEIFS(Receivables_Ledger!M$2:M$1201,Receivables_Ledger!E$2:E$1201,A7,Receivables_Ledger!J$2:J$1201,"&gt;0.005"))</f>
        <v/>
      </c>
      <c r="H7" s="3">
        <f>RANK(E7,$E$2:$E$7)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12" customWidth="1" min="4" max="4"/>
    <col width="12" customWidth="1" min="5" max="5"/>
    <col width="16" customWidth="1" min="6" max="6"/>
    <col width="10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DueID</t>
        </is>
      </c>
      <c r="C1" s="1" t="inlineStr">
        <is>
          <t>Borrower</t>
        </is>
      </c>
      <c r="D1" s="1" t="inlineStr">
        <is>
          <t>Collector</t>
        </is>
      </c>
      <c r="E1" s="1" t="inlineStr">
        <is>
          <t>Days Overdue</t>
        </is>
      </c>
      <c r="F1" s="1" t="inlineStr">
        <is>
          <t>Outstanding (Rs)</t>
        </is>
      </c>
      <c r="G1" s="1" t="inlineStr">
        <is>
          <t>Severity</t>
        </is>
      </c>
      <c r="H1" s="1" t="inlineStr">
        <is>
          <t>Next Action</t>
        </is>
      </c>
    </row>
    <row r="2">
      <c r="A2" s="3">
        <f>ROW()-1</f>
        <v/>
      </c>
      <c r="B2" s="3">
        <f>INDEX(Receivables_Ledger!A$2:A$1201,SMALL(Receivables_Ledger!P$2:P$1201,1))</f>
        <v/>
      </c>
      <c r="C2" s="3">
        <f>INDEX(Receivables_Ledger!C$2:C$1201,SMALL(Receivables_Ledger!P$2:P$1201,1))</f>
        <v/>
      </c>
      <c r="D2" s="3">
        <f>INDEX(Receivables_Ledger!E$2:E$1201,SMALL(Receivables_Ledger!P$2:P$1201,1))</f>
        <v/>
      </c>
      <c r="E2" s="3">
        <f>INDEX(Receivables_Ledger!M$2:M$1201,SMALL(Receivables_Ledger!P$2:P$1201,1))</f>
        <v/>
      </c>
      <c r="F2" s="5">
        <f>INDEX(Receivables_Ledger!J$2:J$1201,SMALL(Receivables_Ledger!P$2:P$1201,1))</f>
        <v/>
      </c>
      <c r="G2" s="3">
        <f>IF(E2&gt;90,"LOST",IF(E2&gt;60,"ESCALATE",IF(E2&gt;30,"WATCH","MILD")))</f>
        <v/>
      </c>
      <c r="H2" s="4">
        <f>Guide!$B$3+IF(G2="LOST",0,IF(G2="ESCALATE",1,IF(G2="WATCH",3,7)))</f>
        <v/>
      </c>
    </row>
    <row r="3">
      <c r="A3" s="3">
        <f>ROW()-1</f>
        <v/>
      </c>
      <c r="B3" s="3">
        <f>INDEX(Receivables_Ledger!A$2:A$1201,SMALL(Receivables_Ledger!P$2:P$1201,2))</f>
        <v/>
      </c>
      <c r="C3" s="3">
        <f>INDEX(Receivables_Ledger!C$2:C$1201,SMALL(Receivables_Ledger!P$2:P$1201,2))</f>
        <v/>
      </c>
      <c r="D3" s="3">
        <f>INDEX(Receivables_Ledger!E$2:E$1201,SMALL(Receivables_Ledger!P$2:P$1201,2))</f>
        <v/>
      </c>
      <c r="E3" s="3">
        <f>INDEX(Receivables_Ledger!M$2:M$1201,SMALL(Receivables_Ledger!P$2:P$1201,2))</f>
        <v/>
      </c>
      <c r="F3" s="5">
        <f>INDEX(Receivables_Ledger!J$2:J$1201,SMALL(Receivables_Ledger!P$2:P$1201,2))</f>
        <v/>
      </c>
      <c r="G3" s="3">
        <f>IF(E3&gt;90,"LOST",IF(E3&gt;60,"ESCALATE",IF(E3&gt;30,"WATCH","MILD")))</f>
        <v/>
      </c>
      <c r="H3" s="4">
        <f>Guide!$B$3+IF(G3="LOST",0,IF(G3="ESCALATE",1,IF(G3="WATCH",3,7)))</f>
        <v/>
      </c>
    </row>
    <row r="4">
      <c r="A4" s="3">
        <f>ROW()-1</f>
        <v/>
      </c>
      <c r="B4" s="3">
        <f>INDEX(Receivables_Ledger!A$2:A$1201,SMALL(Receivables_Ledger!P$2:P$1201,3))</f>
        <v/>
      </c>
      <c r="C4" s="3">
        <f>INDEX(Receivables_Ledger!C$2:C$1201,SMALL(Receivables_Ledger!P$2:P$1201,3))</f>
        <v/>
      </c>
      <c r="D4" s="3">
        <f>INDEX(Receivables_Ledger!E$2:E$1201,SMALL(Receivables_Ledger!P$2:P$1201,3))</f>
        <v/>
      </c>
      <c r="E4" s="3">
        <f>INDEX(Receivables_Ledger!M$2:M$1201,SMALL(Receivables_Ledger!P$2:P$1201,3))</f>
        <v/>
      </c>
      <c r="F4" s="5">
        <f>INDEX(Receivables_Ledger!J$2:J$1201,SMALL(Receivables_Ledger!P$2:P$1201,3))</f>
        <v/>
      </c>
      <c r="G4" s="3">
        <f>IF(E4&gt;90,"LOST",IF(E4&gt;60,"ESCALATE",IF(E4&gt;30,"WATCH","MILD")))</f>
        <v/>
      </c>
      <c r="H4" s="4">
        <f>Guide!$B$3+IF(G4="LOST",0,IF(G4="ESCALATE",1,IF(G4="WATCH",3,7)))</f>
        <v/>
      </c>
    </row>
    <row r="5">
      <c r="A5" s="3">
        <f>ROW()-1</f>
        <v/>
      </c>
      <c r="B5" s="3">
        <f>INDEX(Receivables_Ledger!A$2:A$1201,SMALL(Receivables_Ledger!P$2:P$1201,4))</f>
        <v/>
      </c>
      <c r="C5" s="3">
        <f>INDEX(Receivables_Ledger!C$2:C$1201,SMALL(Receivables_Ledger!P$2:P$1201,4))</f>
        <v/>
      </c>
      <c r="D5" s="3">
        <f>INDEX(Receivables_Ledger!E$2:E$1201,SMALL(Receivables_Ledger!P$2:P$1201,4))</f>
        <v/>
      </c>
      <c r="E5" s="3">
        <f>INDEX(Receivables_Ledger!M$2:M$1201,SMALL(Receivables_Ledger!P$2:P$1201,4))</f>
        <v/>
      </c>
      <c r="F5" s="5">
        <f>INDEX(Receivables_Ledger!J$2:J$1201,SMALL(Receivables_Ledger!P$2:P$1201,4))</f>
        <v/>
      </c>
      <c r="G5" s="3">
        <f>IF(E5&gt;90,"LOST",IF(E5&gt;60,"ESCALATE",IF(E5&gt;30,"WATCH","MILD")))</f>
        <v/>
      </c>
      <c r="H5" s="4">
        <f>Guide!$B$3+IF(G5="LOST",0,IF(G5="ESCALATE",1,IF(G5="WATCH",3,7)))</f>
        <v/>
      </c>
    </row>
    <row r="6">
      <c r="A6" s="3">
        <f>ROW()-1</f>
        <v/>
      </c>
      <c r="B6" s="3">
        <f>INDEX(Receivables_Ledger!A$2:A$1201,SMALL(Receivables_Ledger!P$2:P$1201,5))</f>
        <v/>
      </c>
      <c r="C6" s="3">
        <f>INDEX(Receivables_Ledger!C$2:C$1201,SMALL(Receivables_Ledger!P$2:P$1201,5))</f>
        <v/>
      </c>
      <c r="D6" s="3">
        <f>INDEX(Receivables_Ledger!E$2:E$1201,SMALL(Receivables_Ledger!P$2:P$1201,5))</f>
        <v/>
      </c>
      <c r="E6" s="3">
        <f>INDEX(Receivables_Ledger!M$2:M$1201,SMALL(Receivables_Ledger!P$2:P$1201,5))</f>
        <v/>
      </c>
      <c r="F6" s="5">
        <f>INDEX(Receivables_Ledger!J$2:J$1201,SMALL(Receivables_Ledger!P$2:P$1201,5))</f>
        <v/>
      </c>
      <c r="G6" s="3">
        <f>IF(E6&gt;90,"LOST",IF(E6&gt;60,"ESCALATE",IF(E6&gt;30,"WATCH","MILD")))</f>
        <v/>
      </c>
      <c r="H6" s="4">
        <f>Guide!$B$3+IF(G6="LOST",0,IF(G6="ESCALATE",1,IF(G6="WATCH",3,7)))</f>
        <v/>
      </c>
    </row>
    <row r="7">
      <c r="A7" s="3">
        <f>ROW()-1</f>
        <v/>
      </c>
      <c r="B7" s="3">
        <f>INDEX(Receivables_Ledger!A$2:A$1201,SMALL(Receivables_Ledger!P$2:P$1201,6))</f>
        <v/>
      </c>
      <c r="C7" s="3">
        <f>INDEX(Receivables_Ledger!C$2:C$1201,SMALL(Receivables_Ledger!P$2:P$1201,6))</f>
        <v/>
      </c>
      <c r="D7" s="3">
        <f>INDEX(Receivables_Ledger!E$2:E$1201,SMALL(Receivables_Ledger!P$2:P$1201,6))</f>
        <v/>
      </c>
      <c r="E7" s="3">
        <f>INDEX(Receivables_Ledger!M$2:M$1201,SMALL(Receivables_Ledger!P$2:P$1201,6))</f>
        <v/>
      </c>
      <c r="F7" s="5">
        <f>INDEX(Receivables_Ledger!J$2:J$1201,SMALL(Receivables_Ledger!P$2:P$1201,6))</f>
        <v/>
      </c>
      <c r="G7" s="3">
        <f>IF(E7&gt;90,"LOST",IF(E7&gt;60,"ESCALATE",IF(E7&gt;30,"WATCH","MILD")))</f>
        <v/>
      </c>
      <c r="H7" s="4">
        <f>Guide!$B$3+IF(G7="LOST",0,IF(G7="ESCALATE",1,IF(G7="WATCH",3,7)))</f>
        <v/>
      </c>
    </row>
    <row r="8">
      <c r="A8" s="3">
        <f>ROW()-1</f>
        <v/>
      </c>
      <c r="B8" s="3">
        <f>INDEX(Receivables_Ledger!A$2:A$1201,SMALL(Receivables_Ledger!P$2:P$1201,7))</f>
        <v/>
      </c>
      <c r="C8" s="3">
        <f>INDEX(Receivables_Ledger!C$2:C$1201,SMALL(Receivables_Ledger!P$2:P$1201,7))</f>
        <v/>
      </c>
      <c r="D8" s="3">
        <f>INDEX(Receivables_Ledger!E$2:E$1201,SMALL(Receivables_Ledger!P$2:P$1201,7))</f>
        <v/>
      </c>
      <c r="E8" s="3">
        <f>INDEX(Receivables_Ledger!M$2:M$1201,SMALL(Receivables_Ledger!P$2:P$1201,7))</f>
        <v/>
      </c>
      <c r="F8" s="5">
        <f>INDEX(Receivables_Ledger!J$2:J$1201,SMALL(Receivables_Ledger!P$2:P$1201,7))</f>
        <v/>
      </c>
      <c r="G8" s="3">
        <f>IF(E8&gt;90,"LOST",IF(E8&gt;60,"ESCALATE",IF(E8&gt;30,"WATCH","MILD")))</f>
        <v/>
      </c>
      <c r="H8" s="4">
        <f>Guide!$B$3+IF(G8="LOST",0,IF(G8="ESCALATE",1,IF(G8="WATCH",3,7)))</f>
        <v/>
      </c>
    </row>
    <row r="9">
      <c r="A9" s="3">
        <f>ROW()-1</f>
        <v/>
      </c>
      <c r="B9" s="3">
        <f>INDEX(Receivables_Ledger!A$2:A$1201,SMALL(Receivables_Ledger!P$2:P$1201,8))</f>
        <v/>
      </c>
      <c r="C9" s="3">
        <f>INDEX(Receivables_Ledger!C$2:C$1201,SMALL(Receivables_Ledger!P$2:P$1201,8))</f>
        <v/>
      </c>
      <c r="D9" s="3">
        <f>INDEX(Receivables_Ledger!E$2:E$1201,SMALL(Receivables_Ledger!P$2:P$1201,8))</f>
        <v/>
      </c>
      <c r="E9" s="3">
        <f>INDEX(Receivables_Ledger!M$2:M$1201,SMALL(Receivables_Ledger!P$2:P$1201,8))</f>
        <v/>
      </c>
      <c r="F9" s="5">
        <f>INDEX(Receivables_Ledger!J$2:J$1201,SMALL(Receivables_Ledger!P$2:P$1201,8))</f>
        <v/>
      </c>
      <c r="G9" s="3">
        <f>IF(E9&gt;90,"LOST",IF(E9&gt;60,"ESCALATE",IF(E9&gt;30,"WATCH","MILD")))</f>
        <v/>
      </c>
      <c r="H9" s="4">
        <f>Guide!$B$3+IF(G9="LOST",0,IF(G9="ESCALATE",1,IF(G9="WATCH",3,7)))</f>
        <v/>
      </c>
    </row>
    <row r="10">
      <c r="A10" s="3">
        <f>ROW()-1</f>
        <v/>
      </c>
      <c r="B10" s="3">
        <f>INDEX(Receivables_Ledger!A$2:A$1201,SMALL(Receivables_Ledger!P$2:P$1201,9))</f>
        <v/>
      </c>
      <c r="C10" s="3">
        <f>INDEX(Receivables_Ledger!C$2:C$1201,SMALL(Receivables_Ledger!P$2:P$1201,9))</f>
        <v/>
      </c>
      <c r="D10" s="3">
        <f>INDEX(Receivables_Ledger!E$2:E$1201,SMALL(Receivables_Ledger!P$2:P$1201,9))</f>
        <v/>
      </c>
      <c r="E10" s="3">
        <f>INDEX(Receivables_Ledger!M$2:M$1201,SMALL(Receivables_Ledger!P$2:P$1201,9))</f>
        <v/>
      </c>
      <c r="F10" s="5">
        <f>INDEX(Receivables_Ledger!J$2:J$1201,SMALL(Receivables_Ledger!P$2:P$1201,9))</f>
        <v/>
      </c>
      <c r="G10" s="3">
        <f>IF(E10&gt;90,"LOST",IF(E10&gt;60,"ESCALATE",IF(E10&gt;30,"WATCH","MILD")))</f>
        <v/>
      </c>
      <c r="H10" s="4">
        <f>Guide!$B$3+IF(G10="LOST",0,IF(G10="ESCALATE",1,IF(G10="WATCH",3,7)))</f>
        <v/>
      </c>
    </row>
    <row r="11">
      <c r="A11" s="3">
        <f>ROW()-1</f>
        <v/>
      </c>
      <c r="B11" s="3">
        <f>INDEX(Receivables_Ledger!A$2:A$1201,SMALL(Receivables_Ledger!P$2:P$1201,10))</f>
        <v/>
      </c>
      <c r="C11" s="3">
        <f>INDEX(Receivables_Ledger!C$2:C$1201,SMALL(Receivables_Ledger!P$2:P$1201,10))</f>
        <v/>
      </c>
      <c r="D11" s="3">
        <f>INDEX(Receivables_Ledger!E$2:E$1201,SMALL(Receivables_Ledger!P$2:P$1201,10))</f>
        <v/>
      </c>
      <c r="E11" s="3">
        <f>INDEX(Receivables_Ledger!M$2:M$1201,SMALL(Receivables_Ledger!P$2:P$1201,10))</f>
        <v/>
      </c>
      <c r="F11" s="5">
        <f>INDEX(Receivables_Ledger!J$2:J$1201,SMALL(Receivables_Ledger!P$2:P$1201,10))</f>
        <v/>
      </c>
      <c r="G11" s="3">
        <f>IF(E11&gt;90,"LOST",IF(E11&gt;60,"ESCALATE",IF(E11&gt;30,"WATCH","MILD")))</f>
        <v/>
      </c>
      <c r="H11" s="4">
        <f>Guide!$B$3+IF(G11="LOST",0,IF(G11="ESCALATE",1,IF(G11="WATCH",3,7)))</f>
        <v/>
      </c>
    </row>
    <row r="12">
      <c r="A12" s="3">
        <f>ROW()-1</f>
        <v/>
      </c>
      <c r="B12" s="3">
        <f>INDEX(Receivables_Ledger!A$2:A$1201,SMALL(Receivables_Ledger!P$2:P$1201,11))</f>
        <v/>
      </c>
      <c r="C12" s="3">
        <f>INDEX(Receivables_Ledger!C$2:C$1201,SMALL(Receivables_Ledger!P$2:P$1201,11))</f>
        <v/>
      </c>
      <c r="D12" s="3">
        <f>INDEX(Receivables_Ledger!E$2:E$1201,SMALL(Receivables_Ledger!P$2:P$1201,11))</f>
        <v/>
      </c>
      <c r="E12" s="3">
        <f>INDEX(Receivables_Ledger!M$2:M$1201,SMALL(Receivables_Ledger!P$2:P$1201,11))</f>
        <v/>
      </c>
      <c r="F12" s="5">
        <f>INDEX(Receivables_Ledger!J$2:J$1201,SMALL(Receivables_Ledger!P$2:P$1201,11))</f>
        <v/>
      </c>
      <c r="G12" s="3">
        <f>IF(E12&gt;90,"LOST",IF(E12&gt;60,"ESCALATE",IF(E12&gt;30,"WATCH","MILD")))</f>
        <v/>
      </c>
      <c r="H12" s="4">
        <f>Guide!$B$3+IF(G12="LOST",0,IF(G12="ESCALATE",1,IF(G12="WATCH",3,7)))</f>
        <v/>
      </c>
    </row>
    <row r="13">
      <c r="A13" s="3">
        <f>ROW()-1</f>
        <v/>
      </c>
      <c r="B13" s="3">
        <f>INDEX(Receivables_Ledger!A$2:A$1201,SMALL(Receivables_Ledger!P$2:P$1201,12))</f>
        <v/>
      </c>
      <c r="C13" s="3">
        <f>INDEX(Receivables_Ledger!C$2:C$1201,SMALL(Receivables_Ledger!P$2:P$1201,12))</f>
        <v/>
      </c>
      <c r="D13" s="3">
        <f>INDEX(Receivables_Ledger!E$2:E$1201,SMALL(Receivables_Ledger!P$2:P$1201,12))</f>
        <v/>
      </c>
      <c r="E13" s="3">
        <f>INDEX(Receivables_Ledger!M$2:M$1201,SMALL(Receivables_Ledger!P$2:P$1201,12))</f>
        <v/>
      </c>
      <c r="F13" s="5">
        <f>INDEX(Receivables_Ledger!J$2:J$1201,SMALL(Receivables_Ledger!P$2:P$1201,12))</f>
        <v/>
      </c>
      <c r="G13" s="3">
        <f>IF(E13&gt;90,"LOST",IF(E13&gt;60,"ESCALATE",IF(E13&gt;30,"WATCH","MILD")))</f>
        <v/>
      </c>
      <c r="H13" s="4">
        <f>Guide!$B$3+IF(G13="LOST",0,IF(G13="ESCALATE",1,IF(G13="WATCH",3,7)))</f>
        <v/>
      </c>
    </row>
    <row r="14">
      <c r="A14" s="3">
        <f>ROW()-1</f>
        <v/>
      </c>
      <c r="B14" s="3">
        <f>INDEX(Receivables_Ledger!A$2:A$1201,SMALL(Receivables_Ledger!P$2:P$1201,13))</f>
        <v/>
      </c>
      <c r="C14" s="3">
        <f>INDEX(Receivables_Ledger!C$2:C$1201,SMALL(Receivables_Ledger!P$2:P$1201,13))</f>
        <v/>
      </c>
      <c r="D14" s="3">
        <f>INDEX(Receivables_Ledger!E$2:E$1201,SMALL(Receivables_Ledger!P$2:P$1201,13))</f>
        <v/>
      </c>
      <c r="E14" s="3">
        <f>INDEX(Receivables_Ledger!M$2:M$1201,SMALL(Receivables_Ledger!P$2:P$1201,13))</f>
        <v/>
      </c>
      <c r="F14" s="5">
        <f>INDEX(Receivables_Ledger!J$2:J$1201,SMALL(Receivables_Ledger!P$2:P$1201,13))</f>
        <v/>
      </c>
      <c r="G14" s="3">
        <f>IF(E14&gt;90,"LOST",IF(E14&gt;60,"ESCALATE",IF(E14&gt;30,"WATCH","MILD")))</f>
        <v/>
      </c>
      <c r="H14" s="4">
        <f>Guide!$B$3+IF(G14="LOST",0,IF(G14="ESCALATE",1,IF(G14="WATCH",3,7)))</f>
        <v/>
      </c>
    </row>
    <row r="15">
      <c r="A15" s="3">
        <f>ROW()-1</f>
        <v/>
      </c>
      <c r="B15" s="3">
        <f>INDEX(Receivables_Ledger!A$2:A$1201,SMALL(Receivables_Ledger!P$2:P$1201,14))</f>
        <v/>
      </c>
      <c r="C15" s="3">
        <f>INDEX(Receivables_Ledger!C$2:C$1201,SMALL(Receivables_Ledger!P$2:P$1201,14))</f>
        <v/>
      </c>
      <c r="D15" s="3">
        <f>INDEX(Receivables_Ledger!E$2:E$1201,SMALL(Receivables_Ledger!P$2:P$1201,14))</f>
        <v/>
      </c>
      <c r="E15" s="3">
        <f>INDEX(Receivables_Ledger!M$2:M$1201,SMALL(Receivables_Ledger!P$2:P$1201,14))</f>
        <v/>
      </c>
      <c r="F15" s="5">
        <f>INDEX(Receivables_Ledger!J$2:J$1201,SMALL(Receivables_Ledger!P$2:P$1201,14))</f>
        <v/>
      </c>
      <c r="G15" s="3">
        <f>IF(E15&gt;90,"LOST",IF(E15&gt;60,"ESCALATE",IF(E15&gt;30,"WATCH","MILD")))</f>
        <v/>
      </c>
      <c r="H15" s="4">
        <f>Guide!$B$3+IF(G15="LOST",0,IF(G15="ESCALATE",1,IF(G15="WATCH",3,7)))</f>
        <v/>
      </c>
    </row>
    <row r="16">
      <c r="A16" s="3">
        <f>ROW()-1</f>
        <v/>
      </c>
      <c r="B16" s="3">
        <f>INDEX(Receivables_Ledger!A$2:A$1201,SMALL(Receivables_Ledger!P$2:P$1201,15))</f>
        <v/>
      </c>
      <c r="C16" s="3">
        <f>INDEX(Receivables_Ledger!C$2:C$1201,SMALL(Receivables_Ledger!P$2:P$1201,15))</f>
        <v/>
      </c>
      <c r="D16" s="3">
        <f>INDEX(Receivables_Ledger!E$2:E$1201,SMALL(Receivables_Ledger!P$2:P$1201,15))</f>
        <v/>
      </c>
      <c r="E16" s="3">
        <f>INDEX(Receivables_Ledger!M$2:M$1201,SMALL(Receivables_Ledger!P$2:P$1201,15))</f>
        <v/>
      </c>
      <c r="F16" s="5">
        <f>INDEX(Receivables_Ledger!J$2:J$1201,SMALL(Receivables_Ledger!P$2:P$1201,15))</f>
        <v/>
      </c>
      <c r="G16" s="3">
        <f>IF(E16&gt;90,"LOST",IF(E16&gt;60,"ESCALATE",IF(E16&gt;30,"WATCH","MILD")))</f>
        <v/>
      </c>
      <c r="H16" s="4">
        <f>Guide!$B$3+IF(G16="LOST",0,IF(G16="ESCALATE",1,IF(G16="WATCH",3,7)))</f>
        <v/>
      </c>
    </row>
    <row r="17">
      <c r="A17" s="3">
        <f>ROW()-1</f>
        <v/>
      </c>
      <c r="B17" s="3">
        <f>INDEX(Receivables_Ledger!A$2:A$1201,SMALL(Receivables_Ledger!P$2:P$1201,16))</f>
        <v/>
      </c>
      <c r="C17" s="3">
        <f>INDEX(Receivables_Ledger!C$2:C$1201,SMALL(Receivables_Ledger!P$2:P$1201,16))</f>
        <v/>
      </c>
      <c r="D17" s="3">
        <f>INDEX(Receivables_Ledger!E$2:E$1201,SMALL(Receivables_Ledger!P$2:P$1201,16))</f>
        <v/>
      </c>
      <c r="E17" s="3">
        <f>INDEX(Receivables_Ledger!M$2:M$1201,SMALL(Receivables_Ledger!P$2:P$1201,16))</f>
        <v/>
      </c>
      <c r="F17" s="5">
        <f>INDEX(Receivables_Ledger!J$2:J$1201,SMALL(Receivables_Ledger!P$2:P$1201,16))</f>
        <v/>
      </c>
      <c r="G17" s="3">
        <f>IF(E17&gt;90,"LOST",IF(E17&gt;60,"ESCALATE",IF(E17&gt;30,"WATCH","MILD")))</f>
        <v/>
      </c>
      <c r="H17" s="4">
        <f>Guide!$B$3+IF(G17="LOST",0,IF(G17="ESCALATE",1,IF(G17="WATCH",3,7)))</f>
        <v/>
      </c>
    </row>
    <row r="18">
      <c r="A18" s="3">
        <f>ROW()-1</f>
        <v/>
      </c>
      <c r="B18" s="3">
        <f>INDEX(Receivables_Ledger!A$2:A$1201,SMALL(Receivables_Ledger!P$2:P$1201,17))</f>
        <v/>
      </c>
      <c r="C18" s="3">
        <f>INDEX(Receivables_Ledger!C$2:C$1201,SMALL(Receivables_Ledger!P$2:P$1201,17))</f>
        <v/>
      </c>
      <c r="D18" s="3">
        <f>INDEX(Receivables_Ledger!E$2:E$1201,SMALL(Receivables_Ledger!P$2:P$1201,17))</f>
        <v/>
      </c>
      <c r="E18" s="3">
        <f>INDEX(Receivables_Ledger!M$2:M$1201,SMALL(Receivables_Ledger!P$2:P$1201,17))</f>
        <v/>
      </c>
      <c r="F18" s="5">
        <f>INDEX(Receivables_Ledger!J$2:J$1201,SMALL(Receivables_Ledger!P$2:P$1201,17))</f>
        <v/>
      </c>
      <c r="G18" s="3">
        <f>IF(E18&gt;90,"LOST",IF(E18&gt;60,"ESCALATE",IF(E18&gt;30,"WATCH","MILD")))</f>
        <v/>
      </c>
      <c r="H18" s="4">
        <f>Guide!$B$3+IF(G18="LOST",0,IF(G18="ESCALATE",1,IF(G18="WATCH",3,7)))</f>
        <v/>
      </c>
    </row>
    <row r="19">
      <c r="A19" s="3">
        <f>ROW()-1</f>
        <v/>
      </c>
      <c r="B19" s="3">
        <f>INDEX(Receivables_Ledger!A$2:A$1201,SMALL(Receivables_Ledger!P$2:P$1201,18))</f>
        <v/>
      </c>
      <c r="C19" s="3">
        <f>INDEX(Receivables_Ledger!C$2:C$1201,SMALL(Receivables_Ledger!P$2:P$1201,18))</f>
        <v/>
      </c>
      <c r="D19" s="3">
        <f>INDEX(Receivables_Ledger!E$2:E$1201,SMALL(Receivables_Ledger!P$2:P$1201,18))</f>
        <v/>
      </c>
      <c r="E19" s="3">
        <f>INDEX(Receivables_Ledger!M$2:M$1201,SMALL(Receivables_Ledger!P$2:P$1201,18))</f>
        <v/>
      </c>
      <c r="F19" s="5">
        <f>INDEX(Receivables_Ledger!J$2:J$1201,SMALL(Receivables_Ledger!P$2:P$1201,18))</f>
        <v/>
      </c>
      <c r="G19" s="3">
        <f>IF(E19&gt;90,"LOST",IF(E19&gt;60,"ESCALATE",IF(E19&gt;30,"WATCH","MILD")))</f>
        <v/>
      </c>
      <c r="H19" s="4">
        <f>Guide!$B$3+IF(G19="LOST",0,IF(G19="ESCALATE",1,IF(G19="WATCH",3,7)))</f>
        <v/>
      </c>
    </row>
    <row r="20">
      <c r="A20" s="3">
        <f>ROW()-1</f>
        <v/>
      </c>
      <c r="B20" s="3">
        <f>INDEX(Receivables_Ledger!A$2:A$1201,SMALL(Receivables_Ledger!P$2:P$1201,19))</f>
        <v/>
      </c>
      <c r="C20" s="3">
        <f>INDEX(Receivables_Ledger!C$2:C$1201,SMALL(Receivables_Ledger!P$2:P$1201,19))</f>
        <v/>
      </c>
      <c r="D20" s="3">
        <f>INDEX(Receivables_Ledger!E$2:E$1201,SMALL(Receivables_Ledger!P$2:P$1201,19))</f>
        <v/>
      </c>
      <c r="E20" s="3">
        <f>INDEX(Receivables_Ledger!M$2:M$1201,SMALL(Receivables_Ledger!P$2:P$1201,19))</f>
        <v/>
      </c>
      <c r="F20" s="5">
        <f>INDEX(Receivables_Ledger!J$2:J$1201,SMALL(Receivables_Ledger!P$2:P$1201,19))</f>
        <v/>
      </c>
      <c r="G20" s="3">
        <f>IF(E20&gt;90,"LOST",IF(E20&gt;60,"ESCALATE",IF(E20&gt;30,"WATCH","MILD")))</f>
        <v/>
      </c>
      <c r="H20" s="4">
        <f>Guide!$B$3+IF(G20="LOST",0,IF(G20="ESCALATE",1,IF(G20="WATCH",3,7)))</f>
        <v/>
      </c>
    </row>
    <row r="21">
      <c r="A21" s="3">
        <f>ROW()-1</f>
        <v/>
      </c>
      <c r="B21" s="3">
        <f>INDEX(Receivables_Ledger!A$2:A$1201,SMALL(Receivables_Ledger!P$2:P$1201,20))</f>
        <v/>
      </c>
      <c r="C21" s="3">
        <f>INDEX(Receivables_Ledger!C$2:C$1201,SMALL(Receivables_Ledger!P$2:P$1201,20))</f>
        <v/>
      </c>
      <c r="D21" s="3">
        <f>INDEX(Receivables_Ledger!E$2:E$1201,SMALL(Receivables_Ledger!P$2:P$1201,20))</f>
        <v/>
      </c>
      <c r="E21" s="3">
        <f>INDEX(Receivables_Ledger!M$2:M$1201,SMALL(Receivables_Ledger!P$2:P$1201,20))</f>
        <v/>
      </c>
      <c r="F21" s="5">
        <f>INDEX(Receivables_Ledger!J$2:J$1201,SMALL(Receivables_Ledger!P$2:P$1201,20))</f>
        <v/>
      </c>
      <c r="G21" s="3">
        <f>IF(E21&gt;90,"LOST",IF(E21&gt;60,"ESCALATE",IF(E21&gt;30,"WATCH","MILD")))</f>
        <v/>
      </c>
      <c r="H21" s="4">
        <f>Guide!$B$3+IF(G21="LOST",0,IF(G21="ESCALATE",1,IF(G21="WATCH",3,7)))</f>
        <v/>
      </c>
    </row>
    <row r="22">
      <c r="A22" s="3">
        <f>ROW()-1</f>
        <v/>
      </c>
      <c r="B22" s="3">
        <f>INDEX(Receivables_Ledger!A$2:A$1201,SMALL(Receivables_Ledger!P$2:P$1201,21))</f>
        <v/>
      </c>
      <c r="C22" s="3">
        <f>INDEX(Receivables_Ledger!C$2:C$1201,SMALL(Receivables_Ledger!P$2:P$1201,21))</f>
        <v/>
      </c>
      <c r="D22" s="3">
        <f>INDEX(Receivables_Ledger!E$2:E$1201,SMALL(Receivables_Ledger!P$2:P$1201,21))</f>
        <v/>
      </c>
      <c r="E22" s="3">
        <f>INDEX(Receivables_Ledger!M$2:M$1201,SMALL(Receivables_Ledger!P$2:P$1201,21))</f>
        <v/>
      </c>
      <c r="F22" s="5">
        <f>INDEX(Receivables_Ledger!J$2:J$1201,SMALL(Receivables_Ledger!P$2:P$1201,21))</f>
        <v/>
      </c>
      <c r="G22" s="3">
        <f>IF(E22&gt;90,"LOST",IF(E22&gt;60,"ESCALATE",IF(E22&gt;30,"WATCH","MILD")))</f>
        <v/>
      </c>
      <c r="H22" s="4">
        <f>Guide!$B$3+IF(G22="LOST",0,IF(G22="ESCALATE",1,IF(G22="WATCH",3,7)))</f>
        <v/>
      </c>
    </row>
    <row r="23">
      <c r="A23" s="3">
        <f>ROW()-1</f>
        <v/>
      </c>
      <c r="B23" s="3">
        <f>INDEX(Receivables_Ledger!A$2:A$1201,SMALL(Receivables_Ledger!P$2:P$1201,22))</f>
        <v/>
      </c>
      <c r="C23" s="3">
        <f>INDEX(Receivables_Ledger!C$2:C$1201,SMALL(Receivables_Ledger!P$2:P$1201,22))</f>
        <v/>
      </c>
      <c r="D23" s="3">
        <f>INDEX(Receivables_Ledger!E$2:E$1201,SMALL(Receivables_Ledger!P$2:P$1201,22))</f>
        <v/>
      </c>
      <c r="E23" s="3">
        <f>INDEX(Receivables_Ledger!M$2:M$1201,SMALL(Receivables_Ledger!P$2:P$1201,22))</f>
        <v/>
      </c>
      <c r="F23" s="5">
        <f>INDEX(Receivables_Ledger!J$2:J$1201,SMALL(Receivables_Ledger!P$2:P$1201,22))</f>
        <v/>
      </c>
      <c r="G23" s="3">
        <f>IF(E23&gt;90,"LOST",IF(E23&gt;60,"ESCALATE",IF(E23&gt;30,"WATCH","MILD")))</f>
        <v/>
      </c>
      <c r="H23" s="4">
        <f>Guide!$B$3+IF(G23="LOST",0,IF(G23="ESCALATE",1,IF(G23="WATCH",3,7)))</f>
        <v/>
      </c>
    </row>
    <row r="24">
      <c r="A24" s="3">
        <f>ROW()-1</f>
        <v/>
      </c>
      <c r="B24" s="3">
        <f>INDEX(Receivables_Ledger!A$2:A$1201,SMALL(Receivables_Ledger!P$2:P$1201,23))</f>
        <v/>
      </c>
      <c r="C24" s="3">
        <f>INDEX(Receivables_Ledger!C$2:C$1201,SMALL(Receivables_Ledger!P$2:P$1201,23))</f>
        <v/>
      </c>
      <c r="D24" s="3">
        <f>INDEX(Receivables_Ledger!E$2:E$1201,SMALL(Receivables_Ledger!P$2:P$1201,23))</f>
        <v/>
      </c>
      <c r="E24" s="3">
        <f>INDEX(Receivables_Ledger!M$2:M$1201,SMALL(Receivables_Ledger!P$2:P$1201,23))</f>
        <v/>
      </c>
      <c r="F24" s="5">
        <f>INDEX(Receivables_Ledger!J$2:J$1201,SMALL(Receivables_Ledger!P$2:P$1201,23))</f>
        <v/>
      </c>
      <c r="G24" s="3">
        <f>IF(E24&gt;90,"LOST",IF(E24&gt;60,"ESCALATE",IF(E24&gt;30,"WATCH","MILD")))</f>
        <v/>
      </c>
      <c r="H24" s="4">
        <f>Guide!$B$3+IF(G24="LOST",0,IF(G24="ESCALATE",1,IF(G24="WATCH",3,7)))</f>
        <v/>
      </c>
    </row>
    <row r="25">
      <c r="A25" s="3">
        <f>ROW()-1</f>
        <v/>
      </c>
      <c r="B25" s="3">
        <f>INDEX(Receivables_Ledger!A$2:A$1201,SMALL(Receivables_Ledger!P$2:P$1201,24))</f>
        <v/>
      </c>
      <c r="C25" s="3">
        <f>INDEX(Receivables_Ledger!C$2:C$1201,SMALL(Receivables_Ledger!P$2:P$1201,24))</f>
        <v/>
      </c>
      <c r="D25" s="3">
        <f>INDEX(Receivables_Ledger!E$2:E$1201,SMALL(Receivables_Ledger!P$2:P$1201,24))</f>
        <v/>
      </c>
      <c r="E25" s="3">
        <f>INDEX(Receivables_Ledger!M$2:M$1201,SMALL(Receivables_Ledger!P$2:P$1201,24))</f>
        <v/>
      </c>
      <c r="F25" s="5">
        <f>INDEX(Receivables_Ledger!J$2:J$1201,SMALL(Receivables_Ledger!P$2:P$1201,24))</f>
        <v/>
      </c>
      <c r="G25" s="3">
        <f>IF(E25&gt;90,"LOST",IF(E25&gt;60,"ESCALATE",IF(E25&gt;30,"WATCH","MILD")))</f>
        <v/>
      </c>
      <c r="H25" s="4">
        <f>Guide!$B$3+IF(G25="LOST",0,IF(G25="ESCALATE",1,IF(G25="WATCH",3,7)))</f>
        <v/>
      </c>
    </row>
    <row r="26">
      <c r="A26" s="3">
        <f>ROW()-1</f>
        <v/>
      </c>
      <c r="B26" s="3">
        <f>INDEX(Receivables_Ledger!A$2:A$1201,SMALL(Receivables_Ledger!P$2:P$1201,25))</f>
        <v/>
      </c>
      <c r="C26" s="3">
        <f>INDEX(Receivables_Ledger!C$2:C$1201,SMALL(Receivables_Ledger!P$2:P$1201,25))</f>
        <v/>
      </c>
      <c r="D26" s="3">
        <f>INDEX(Receivables_Ledger!E$2:E$1201,SMALL(Receivables_Ledger!P$2:P$1201,25))</f>
        <v/>
      </c>
      <c r="E26" s="3">
        <f>INDEX(Receivables_Ledger!M$2:M$1201,SMALL(Receivables_Ledger!P$2:P$1201,25))</f>
        <v/>
      </c>
      <c r="F26" s="5">
        <f>INDEX(Receivables_Ledger!J$2:J$1201,SMALL(Receivables_Ledger!P$2:P$1201,25))</f>
        <v/>
      </c>
      <c r="G26" s="3">
        <f>IF(E26&gt;90,"LOST",IF(E26&gt;60,"ESCALATE",IF(E26&gt;30,"WATCH","MILD")))</f>
        <v/>
      </c>
      <c r="H26" s="4">
        <f>Guide!$B$3+IF(G26="LOST",0,IF(G26="ESCALATE",1,IF(G26="WATCH",3,7)))</f>
        <v/>
      </c>
    </row>
    <row r="27">
      <c r="A27" s="3">
        <f>ROW()-1</f>
        <v/>
      </c>
      <c r="B27" s="3">
        <f>INDEX(Receivables_Ledger!A$2:A$1201,SMALL(Receivables_Ledger!P$2:P$1201,26))</f>
        <v/>
      </c>
      <c r="C27" s="3">
        <f>INDEX(Receivables_Ledger!C$2:C$1201,SMALL(Receivables_Ledger!P$2:P$1201,26))</f>
        <v/>
      </c>
      <c r="D27" s="3">
        <f>INDEX(Receivables_Ledger!E$2:E$1201,SMALL(Receivables_Ledger!P$2:P$1201,26))</f>
        <v/>
      </c>
      <c r="E27" s="3">
        <f>INDEX(Receivables_Ledger!M$2:M$1201,SMALL(Receivables_Ledger!P$2:P$1201,26))</f>
        <v/>
      </c>
      <c r="F27" s="5">
        <f>INDEX(Receivables_Ledger!J$2:J$1201,SMALL(Receivables_Ledger!P$2:P$1201,26))</f>
        <v/>
      </c>
      <c r="G27" s="3">
        <f>IF(E27&gt;90,"LOST",IF(E27&gt;60,"ESCALATE",IF(E27&gt;30,"WATCH","MILD")))</f>
        <v/>
      </c>
      <c r="H27" s="4">
        <f>Guide!$B$3+IF(G27="LOST",0,IF(G27="ESCALATE",1,IF(G27="WATCH",3,7)))</f>
        <v/>
      </c>
    </row>
    <row r="28">
      <c r="A28" s="3">
        <f>ROW()-1</f>
        <v/>
      </c>
      <c r="B28" s="3">
        <f>INDEX(Receivables_Ledger!A$2:A$1201,SMALL(Receivables_Ledger!P$2:P$1201,27))</f>
        <v/>
      </c>
      <c r="C28" s="3">
        <f>INDEX(Receivables_Ledger!C$2:C$1201,SMALL(Receivables_Ledger!P$2:P$1201,27))</f>
        <v/>
      </c>
      <c r="D28" s="3">
        <f>INDEX(Receivables_Ledger!E$2:E$1201,SMALL(Receivables_Ledger!P$2:P$1201,27))</f>
        <v/>
      </c>
      <c r="E28" s="3">
        <f>INDEX(Receivables_Ledger!M$2:M$1201,SMALL(Receivables_Ledger!P$2:P$1201,27))</f>
        <v/>
      </c>
      <c r="F28" s="5">
        <f>INDEX(Receivables_Ledger!J$2:J$1201,SMALL(Receivables_Ledger!P$2:P$1201,27))</f>
        <v/>
      </c>
      <c r="G28" s="3">
        <f>IF(E28&gt;90,"LOST",IF(E28&gt;60,"ESCALATE",IF(E28&gt;30,"WATCH","MILD")))</f>
        <v/>
      </c>
      <c r="H28" s="4">
        <f>Guide!$B$3+IF(G28="LOST",0,IF(G28="ESCALATE",1,IF(G28="WATCH",3,7)))</f>
        <v/>
      </c>
    </row>
    <row r="29">
      <c r="A29" s="3">
        <f>ROW()-1</f>
        <v/>
      </c>
      <c r="B29" s="3">
        <f>INDEX(Receivables_Ledger!A$2:A$1201,SMALL(Receivables_Ledger!P$2:P$1201,28))</f>
        <v/>
      </c>
      <c r="C29" s="3">
        <f>INDEX(Receivables_Ledger!C$2:C$1201,SMALL(Receivables_Ledger!P$2:P$1201,28))</f>
        <v/>
      </c>
      <c r="D29" s="3">
        <f>INDEX(Receivables_Ledger!E$2:E$1201,SMALL(Receivables_Ledger!P$2:P$1201,28))</f>
        <v/>
      </c>
      <c r="E29" s="3">
        <f>INDEX(Receivables_Ledger!M$2:M$1201,SMALL(Receivables_Ledger!P$2:P$1201,28))</f>
        <v/>
      </c>
      <c r="F29" s="5">
        <f>INDEX(Receivables_Ledger!J$2:J$1201,SMALL(Receivables_Ledger!P$2:P$1201,28))</f>
        <v/>
      </c>
      <c r="G29" s="3">
        <f>IF(E29&gt;90,"LOST",IF(E29&gt;60,"ESCALATE",IF(E29&gt;30,"WATCH","MILD")))</f>
        <v/>
      </c>
      <c r="H29" s="4">
        <f>Guide!$B$3+IF(G29="LOST",0,IF(G29="ESCALATE",1,IF(G29="WATCH",3,7)))</f>
        <v/>
      </c>
    </row>
    <row r="30">
      <c r="A30" s="3">
        <f>ROW()-1</f>
        <v/>
      </c>
      <c r="B30" s="3">
        <f>INDEX(Receivables_Ledger!A$2:A$1201,SMALL(Receivables_Ledger!P$2:P$1201,29))</f>
        <v/>
      </c>
      <c r="C30" s="3">
        <f>INDEX(Receivables_Ledger!C$2:C$1201,SMALL(Receivables_Ledger!P$2:P$1201,29))</f>
        <v/>
      </c>
      <c r="D30" s="3">
        <f>INDEX(Receivables_Ledger!E$2:E$1201,SMALL(Receivables_Ledger!P$2:P$1201,29))</f>
        <v/>
      </c>
      <c r="E30" s="3">
        <f>INDEX(Receivables_Ledger!M$2:M$1201,SMALL(Receivables_Ledger!P$2:P$1201,29))</f>
        <v/>
      </c>
      <c r="F30" s="5">
        <f>INDEX(Receivables_Ledger!J$2:J$1201,SMALL(Receivables_Ledger!P$2:P$1201,29))</f>
        <v/>
      </c>
      <c r="G30" s="3">
        <f>IF(E30&gt;90,"LOST",IF(E30&gt;60,"ESCALATE",IF(E30&gt;30,"WATCH","MILD")))</f>
        <v/>
      </c>
      <c r="H30" s="4">
        <f>Guide!$B$3+IF(G30="LOST",0,IF(G30="ESCALATE",1,IF(G30="WATCH",3,7)))</f>
        <v/>
      </c>
    </row>
    <row r="31">
      <c r="A31" s="3">
        <f>ROW()-1</f>
        <v/>
      </c>
      <c r="B31" s="3">
        <f>INDEX(Receivables_Ledger!A$2:A$1201,SMALL(Receivables_Ledger!P$2:P$1201,30))</f>
        <v/>
      </c>
      <c r="C31" s="3">
        <f>INDEX(Receivables_Ledger!C$2:C$1201,SMALL(Receivables_Ledger!P$2:P$1201,30))</f>
        <v/>
      </c>
      <c r="D31" s="3">
        <f>INDEX(Receivables_Ledger!E$2:E$1201,SMALL(Receivables_Ledger!P$2:P$1201,30))</f>
        <v/>
      </c>
      <c r="E31" s="3">
        <f>INDEX(Receivables_Ledger!M$2:M$1201,SMALL(Receivables_Ledger!P$2:P$1201,30))</f>
        <v/>
      </c>
      <c r="F31" s="5">
        <f>INDEX(Receivables_Ledger!J$2:J$1201,SMALL(Receivables_Ledger!P$2:P$1201,30))</f>
        <v/>
      </c>
      <c r="G31" s="3">
        <f>IF(E31&gt;90,"LOST",IF(E31&gt;60,"ESCALATE",IF(E31&gt;30,"WATCH","MILD")))</f>
        <v/>
      </c>
      <c r="H31" s="4">
        <f>Guide!$B$3+IF(G31="LOST",0,IF(G31="ESCALATE",1,IF(G31="WATCH",3,7)))</f>
        <v/>
      </c>
    </row>
    <row r="32">
      <c r="A32" s="3">
        <f>ROW()-1</f>
        <v/>
      </c>
      <c r="B32" s="3">
        <f>INDEX(Receivables_Ledger!A$2:A$1201,SMALL(Receivables_Ledger!P$2:P$1201,31))</f>
        <v/>
      </c>
      <c r="C32" s="3">
        <f>INDEX(Receivables_Ledger!C$2:C$1201,SMALL(Receivables_Ledger!P$2:P$1201,31))</f>
        <v/>
      </c>
      <c r="D32" s="3">
        <f>INDEX(Receivables_Ledger!E$2:E$1201,SMALL(Receivables_Ledger!P$2:P$1201,31))</f>
        <v/>
      </c>
      <c r="E32" s="3">
        <f>INDEX(Receivables_Ledger!M$2:M$1201,SMALL(Receivables_Ledger!P$2:P$1201,31))</f>
        <v/>
      </c>
      <c r="F32" s="5">
        <f>INDEX(Receivables_Ledger!J$2:J$1201,SMALL(Receivables_Ledger!P$2:P$1201,31))</f>
        <v/>
      </c>
      <c r="G32" s="3">
        <f>IF(E32&gt;90,"LOST",IF(E32&gt;60,"ESCALATE",IF(E32&gt;30,"WATCH","MILD")))</f>
        <v/>
      </c>
      <c r="H32" s="4">
        <f>Guide!$B$3+IF(G32="LOST",0,IF(G32="ESCALATE",1,IF(G32="WATCH",3,7)))</f>
        <v/>
      </c>
    </row>
    <row r="33">
      <c r="A33" s="3">
        <f>ROW()-1</f>
        <v/>
      </c>
      <c r="B33" s="3">
        <f>INDEX(Receivables_Ledger!A$2:A$1201,SMALL(Receivables_Ledger!P$2:P$1201,32))</f>
        <v/>
      </c>
      <c r="C33" s="3">
        <f>INDEX(Receivables_Ledger!C$2:C$1201,SMALL(Receivables_Ledger!P$2:P$1201,32))</f>
        <v/>
      </c>
      <c r="D33" s="3">
        <f>INDEX(Receivables_Ledger!E$2:E$1201,SMALL(Receivables_Ledger!P$2:P$1201,32))</f>
        <v/>
      </c>
      <c r="E33" s="3">
        <f>INDEX(Receivables_Ledger!M$2:M$1201,SMALL(Receivables_Ledger!P$2:P$1201,32))</f>
        <v/>
      </c>
      <c r="F33" s="5">
        <f>INDEX(Receivables_Ledger!J$2:J$1201,SMALL(Receivables_Ledger!P$2:P$1201,32))</f>
        <v/>
      </c>
      <c r="G33" s="3">
        <f>IF(E33&gt;90,"LOST",IF(E33&gt;60,"ESCALATE",IF(E33&gt;30,"WATCH","MILD")))</f>
        <v/>
      </c>
      <c r="H33" s="4">
        <f>Guide!$B$3+IF(G33="LOST",0,IF(G33="ESCALATE",1,IF(G33="WATCH",3,7)))</f>
        <v/>
      </c>
    </row>
    <row r="34">
      <c r="A34" s="3">
        <f>ROW()-1</f>
        <v/>
      </c>
      <c r="B34" s="3">
        <f>INDEX(Receivables_Ledger!A$2:A$1201,SMALL(Receivables_Ledger!P$2:P$1201,33))</f>
        <v/>
      </c>
      <c r="C34" s="3">
        <f>INDEX(Receivables_Ledger!C$2:C$1201,SMALL(Receivables_Ledger!P$2:P$1201,33))</f>
        <v/>
      </c>
      <c r="D34" s="3">
        <f>INDEX(Receivables_Ledger!E$2:E$1201,SMALL(Receivables_Ledger!P$2:P$1201,33))</f>
        <v/>
      </c>
      <c r="E34" s="3">
        <f>INDEX(Receivables_Ledger!M$2:M$1201,SMALL(Receivables_Ledger!P$2:P$1201,33))</f>
        <v/>
      </c>
      <c r="F34" s="5">
        <f>INDEX(Receivables_Ledger!J$2:J$1201,SMALL(Receivables_Ledger!P$2:P$1201,33))</f>
        <v/>
      </c>
      <c r="G34" s="3">
        <f>IF(E34&gt;90,"LOST",IF(E34&gt;60,"ESCALATE",IF(E34&gt;30,"WATCH","MILD")))</f>
        <v/>
      </c>
      <c r="H34" s="4">
        <f>Guide!$B$3+IF(G34="LOST",0,IF(G34="ESCALATE",1,IF(G34="WATCH",3,7)))</f>
        <v/>
      </c>
    </row>
    <row r="35">
      <c r="A35" s="3">
        <f>ROW()-1</f>
        <v/>
      </c>
      <c r="B35" s="3">
        <f>INDEX(Receivables_Ledger!A$2:A$1201,SMALL(Receivables_Ledger!P$2:P$1201,34))</f>
        <v/>
      </c>
      <c r="C35" s="3">
        <f>INDEX(Receivables_Ledger!C$2:C$1201,SMALL(Receivables_Ledger!P$2:P$1201,34))</f>
        <v/>
      </c>
      <c r="D35" s="3">
        <f>INDEX(Receivables_Ledger!E$2:E$1201,SMALL(Receivables_Ledger!P$2:P$1201,34))</f>
        <v/>
      </c>
      <c r="E35" s="3">
        <f>INDEX(Receivables_Ledger!M$2:M$1201,SMALL(Receivables_Ledger!P$2:P$1201,34))</f>
        <v/>
      </c>
      <c r="F35" s="5">
        <f>INDEX(Receivables_Ledger!J$2:J$1201,SMALL(Receivables_Ledger!P$2:P$1201,34))</f>
        <v/>
      </c>
      <c r="G35" s="3">
        <f>IF(E35&gt;90,"LOST",IF(E35&gt;60,"ESCALATE",IF(E35&gt;30,"WATCH","MILD")))</f>
        <v/>
      </c>
      <c r="H35" s="4">
        <f>Guide!$B$3+IF(G35="LOST",0,IF(G35="ESCALATE",1,IF(G35="WATCH",3,7)))</f>
        <v/>
      </c>
    </row>
    <row r="36">
      <c r="A36" s="3">
        <f>ROW()-1</f>
        <v/>
      </c>
      <c r="B36" s="3">
        <f>INDEX(Receivables_Ledger!A$2:A$1201,SMALL(Receivables_Ledger!P$2:P$1201,35))</f>
        <v/>
      </c>
      <c r="C36" s="3">
        <f>INDEX(Receivables_Ledger!C$2:C$1201,SMALL(Receivables_Ledger!P$2:P$1201,35))</f>
        <v/>
      </c>
      <c r="D36" s="3">
        <f>INDEX(Receivables_Ledger!E$2:E$1201,SMALL(Receivables_Ledger!P$2:P$1201,35))</f>
        <v/>
      </c>
      <c r="E36" s="3">
        <f>INDEX(Receivables_Ledger!M$2:M$1201,SMALL(Receivables_Ledger!P$2:P$1201,35))</f>
        <v/>
      </c>
      <c r="F36" s="5">
        <f>INDEX(Receivables_Ledger!J$2:J$1201,SMALL(Receivables_Ledger!P$2:P$1201,35))</f>
        <v/>
      </c>
      <c r="G36" s="3">
        <f>IF(E36&gt;90,"LOST",IF(E36&gt;60,"ESCALATE",IF(E36&gt;30,"WATCH","MILD")))</f>
        <v/>
      </c>
      <c r="H36" s="4">
        <f>Guide!$B$3+IF(G36="LOST",0,IF(G36="ESCALATE",1,IF(G36="WATCH",3,7)))</f>
        <v/>
      </c>
    </row>
    <row r="37">
      <c r="A37" s="3">
        <f>ROW()-1</f>
        <v/>
      </c>
      <c r="B37" s="3">
        <f>INDEX(Receivables_Ledger!A$2:A$1201,SMALL(Receivables_Ledger!P$2:P$1201,36))</f>
        <v/>
      </c>
      <c r="C37" s="3">
        <f>INDEX(Receivables_Ledger!C$2:C$1201,SMALL(Receivables_Ledger!P$2:P$1201,36))</f>
        <v/>
      </c>
      <c r="D37" s="3">
        <f>INDEX(Receivables_Ledger!E$2:E$1201,SMALL(Receivables_Ledger!P$2:P$1201,36))</f>
        <v/>
      </c>
      <c r="E37" s="3">
        <f>INDEX(Receivables_Ledger!M$2:M$1201,SMALL(Receivables_Ledger!P$2:P$1201,36))</f>
        <v/>
      </c>
      <c r="F37" s="5">
        <f>INDEX(Receivables_Ledger!J$2:J$1201,SMALL(Receivables_Ledger!P$2:P$1201,36))</f>
        <v/>
      </c>
      <c r="G37" s="3">
        <f>IF(E37&gt;90,"LOST",IF(E37&gt;60,"ESCALATE",IF(E37&gt;30,"WATCH","MILD")))</f>
        <v/>
      </c>
      <c r="H37" s="4">
        <f>Guide!$B$3+IF(G37="LOST",0,IF(G37="ESCALATE",1,IF(G37="WATCH",3,7)))</f>
        <v/>
      </c>
    </row>
    <row r="38">
      <c r="A38" s="3">
        <f>ROW()-1</f>
        <v/>
      </c>
      <c r="B38" s="3">
        <f>INDEX(Receivables_Ledger!A$2:A$1201,SMALL(Receivables_Ledger!P$2:P$1201,37))</f>
        <v/>
      </c>
      <c r="C38" s="3">
        <f>INDEX(Receivables_Ledger!C$2:C$1201,SMALL(Receivables_Ledger!P$2:P$1201,37))</f>
        <v/>
      </c>
      <c r="D38" s="3">
        <f>INDEX(Receivables_Ledger!E$2:E$1201,SMALL(Receivables_Ledger!P$2:P$1201,37))</f>
        <v/>
      </c>
      <c r="E38" s="3">
        <f>INDEX(Receivables_Ledger!M$2:M$1201,SMALL(Receivables_Ledger!P$2:P$1201,37))</f>
        <v/>
      </c>
      <c r="F38" s="5">
        <f>INDEX(Receivables_Ledger!J$2:J$1201,SMALL(Receivables_Ledger!P$2:P$1201,37))</f>
        <v/>
      </c>
      <c r="G38" s="3">
        <f>IF(E38&gt;90,"LOST",IF(E38&gt;60,"ESCALATE",IF(E38&gt;30,"WATCH","MILD")))</f>
        <v/>
      </c>
      <c r="H38" s="4">
        <f>Guide!$B$3+IF(G38="LOST",0,IF(G38="ESCALATE",1,IF(G38="WATCH",3,7)))</f>
        <v/>
      </c>
    </row>
    <row r="39">
      <c r="A39" s="3">
        <f>ROW()-1</f>
        <v/>
      </c>
      <c r="B39" s="3">
        <f>INDEX(Receivables_Ledger!A$2:A$1201,SMALL(Receivables_Ledger!P$2:P$1201,38))</f>
        <v/>
      </c>
      <c r="C39" s="3">
        <f>INDEX(Receivables_Ledger!C$2:C$1201,SMALL(Receivables_Ledger!P$2:P$1201,38))</f>
        <v/>
      </c>
      <c r="D39" s="3">
        <f>INDEX(Receivables_Ledger!E$2:E$1201,SMALL(Receivables_Ledger!P$2:P$1201,38))</f>
        <v/>
      </c>
      <c r="E39" s="3">
        <f>INDEX(Receivables_Ledger!M$2:M$1201,SMALL(Receivables_Ledger!P$2:P$1201,38))</f>
        <v/>
      </c>
      <c r="F39" s="5">
        <f>INDEX(Receivables_Ledger!J$2:J$1201,SMALL(Receivables_Ledger!P$2:P$1201,38))</f>
        <v/>
      </c>
      <c r="G39" s="3">
        <f>IF(E39&gt;90,"LOST",IF(E39&gt;60,"ESCALATE",IF(E39&gt;30,"WATCH","MILD")))</f>
        <v/>
      </c>
      <c r="H39" s="4">
        <f>Guide!$B$3+IF(G39="LOST",0,IF(G39="ESCALATE",1,IF(G39="WATCH",3,7)))</f>
        <v/>
      </c>
    </row>
    <row r="40">
      <c r="A40" s="3">
        <f>ROW()-1</f>
        <v/>
      </c>
      <c r="B40" s="3">
        <f>INDEX(Receivables_Ledger!A$2:A$1201,SMALL(Receivables_Ledger!P$2:P$1201,39))</f>
        <v/>
      </c>
      <c r="C40" s="3">
        <f>INDEX(Receivables_Ledger!C$2:C$1201,SMALL(Receivables_Ledger!P$2:P$1201,39))</f>
        <v/>
      </c>
      <c r="D40" s="3">
        <f>INDEX(Receivables_Ledger!E$2:E$1201,SMALL(Receivables_Ledger!P$2:P$1201,39))</f>
        <v/>
      </c>
      <c r="E40" s="3">
        <f>INDEX(Receivables_Ledger!M$2:M$1201,SMALL(Receivables_Ledger!P$2:P$1201,39))</f>
        <v/>
      </c>
      <c r="F40" s="5">
        <f>INDEX(Receivables_Ledger!J$2:J$1201,SMALL(Receivables_Ledger!P$2:P$1201,39))</f>
        <v/>
      </c>
      <c r="G40" s="3">
        <f>IF(E40&gt;90,"LOST",IF(E40&gt;60,"ESCALATE",IF(E40&gt;30,"WATCH","MILD")))</f>
        <v/>
      </c>
      <c r="H40" s="4">
        <f>Guide!$B$3+IF(G40="LOST",0,IF(G40="ESCALATE",1,IF(G40="WATCH",3,7)))</f>
        <v/>
      </c>
    </row>
    <row r="41">
      <c r="A41" s="3">
        <f>ROW()-1</f>
        <v/>
      </c>
      <c r="B41" s="3">
        <f>INDEX(Receivables_Ledger!A$2:A$1201,SMALL(Receivables_Ledger!P$2:P$1201,40))</f>
        <v/>
      </c>
      <c r="C41" s="3">
        <f>INDEX(Receivables_Ledger!C$2:C$1201,SMALL(Receivables_Ledger!P$2:P$1201,40))</f>
        <v/>
      </c>
      <c r="D41" s="3">
        <f>INDEX(Receivables_Ledger!E$2:E$1201,SMALL(Receivables_Ledger!P$2:P$1201,40))</f>
        <v/>
      </c>
      <c r="E41" s="3">
        <f>INDEX(Receivables_Ledger!M$2:M$1201,SMALL(Receivables_Ledger!P$2:P$1201,40))</f>
        <v/>
      </c>
      <c r="F41" s="5">
        <f>INDEX(Receivables_Ledger!J$2:J$1201,SMALL(Receivables_Ledger!P$2:P$1201,40))</f>
        <v/>
      </c>
      <c r="G41" s="3">
        <f>IF(E41&gt;90,"LOST",IF(E41&gt;60,"ESCALATE",IF(E41&gt;30,"WATCH","MILD")))</f>
        <v/>
      </c>
      <c r="H41" s="4">
        <f>Guide!$B$3+IF(G41="LOST",0,IF(G41="ESCALATE",1,IF(G41="WATCH",3,7)))</f>
        <v/>
      </c>
    </row>
    <row r="42">
      <c r="A42" s="3">
        <f>ROW()-1</f>
        <v/>
      </c>
      <c r="B42" s="3">
        <f>INDEX(Receivables_Ledger!A$2:A$1201,SMALL(Receivables_Ledger!P$2:P$1201,41))</f>
        <v/>
      </c>
      <c r="C42" s="3">
        <f>INDEX(Receivables_Ledger!C$2:C$1201,SMALL(Receivables_Ledger!P$2:P$1201,41))</f>
        <v/>
      </c>
      <c r="D42" s="3">
        <f>INDEX(Receivables_Ledger!E$2:E$1201,SMALL(Receivables_Ledger!P$2:P$1201,41))</f>
        <v/>
      </c>
      <c r="E42" s="3">
        <f>INDEX(Receivables_Ledger!M$2:M$1201,SMALL(Receivables_Ledger!P$2:P$1201,41))</f>
        <v/>
      </c>
      <c r="F42" s="5">
        <f>INDEX(Receivables_Ledger!J$2:J$1201,SMALL(Receivables_Ledger!P$2:P$1201,41))</f>
        <v/>
      </c>
      <c r="G42" s="3">
        <f>IF(E42&gt;90,"LOST",IF(E42&gt;60,"ESCALATE",IF(E42&gt;30,"WATCH","MILD")))</f>
        <v/>
      </c>
      <c r="H42" s="4">
        <f>Guide!$B$3+IF(G42="LOST",0,IF(G42="ESCALATE",1,IF(G42="WATCH",3,7)))</f>
        <v/>
      </c>
    </row>
    <row r="43">
      <c r="A43" s="3">
        <f>ROW()-1</f>
        <v/>
      </c>
      <c r="B43" s="3">
        <f>INDEX(Receivables_Ledger!A$2:A$1201,SMALL(Receivables_Ledger!P$2:P$1201,42))</f>
        <v/>
      </c>
      <c r="C43" s="3">
        <f>INDEX(Receivables_Ledger!C$2:C$1201,SMALL(Receivables_Ledger!P$2:P$1201,42))</f>
        <v/>
      </c>
      <c r="D43" s="3">
        <f>INDEX(Receivables_Ledger!E$2:E$1201,SMALL(Receivables_Ledger!P$2:P$1201,42))</f>
        <v/>
      </c>
      <c r="E43" s="3">
        <f>INDEX(Receivables_Ledger!M$2:M$1201,SMALL(Receivables_Ledger!P$2:P$1201,42))</f>
        <v/>
      </c>
      <c r="F43" s="5">
        <f>INDEX(Receivables_Ledger!J$2:J$1201,SMALL(Receivables_Ledger!P$2:P$1201,42))</f>
        <v/>
      </c>
      <c r="G43" s="3">
        <f>IF(E43&gt;90,"LOST",IF(E43&gt;60,"ESCALATE",IF(E43&gt;30,"WATCH","MILD")))</f>
        <v/>
      </c>
      <c r="H43" s="4">
        <f>Guide!$B$3+IF(G43="LOST",0,IF(G43="ESCALATE",1,IF(G43="WATCH",3,7)))</f>
        <v/>
      </c>
    </row>
    <row r="44">
      <c r="A44" s="3">
        <f>ROW()-1</f>
        <v/>
      </c>
      <c r="B44" s="3">
        <f>INDEX(Receivables_Ledger!A$2:A$1201,SMALL(Receivables_Ledger!P$2:P$1201,43))</f>
        <v/>
      </c>
      <c r="C44" s="3">
        <f>INDEX(Receivables_Ledger!C$2:C$1201,SMALL(Receivables_Ledger!P$2:P$1201,43))</f>
        <v/>
      </c>
      <c r="D44" s="3">
        <f>INDEX(Receivables_Ledger!E$2:E$1201,SMALL(Receivables_Ledger!P$2:P$1201,43))</f>
        <v/>
      </c>
      <c r="E44" s="3">
        <f>INDEX(Receivables_Ledger!M$2:M$1201,SMALL(Receivables_Ledger!P$2:P$1201,43))</f>
        <v/>
      </c>
      <c r="F44" s="5">
        <f>INDEX(Receivables_Ledger!J$2:J$1201,SMALL(Receivables_Ledger!P$2:P$1201,43))</f>
        <v/>
      </c>
      <c r="G44" s="3">
        <f>IF(E44&gt;90,"LOST",IF(E44&gt;60,"ESCALATE",IF(E44&gt;30,"WATCH","MILD")))</f>
        <v/>
      </c>
      <c r="H44" s="4">
        <f>Guide!$B$3+IF(G44="LOST",0,IF(G44="ESCALATE",1,IF(G44="WATCH",3,7)))</f>
        <v/>
      </c>
    </row>
    <row r="45">
      <c r="A45" s="3">
        <f>ROW()-1</f>
        <v/>
      </c>
      <c r="B45" s="3">
        <f>INDEX(Receivables_Ledger!A$2:A$1201,SMALL(Receivables_Ledger!P$2:P$1201,44))</f>
        <v/>
      </c>
      <c r="C45" s="3">
        <f>INDEX(Receivables_Ledger!C$2:C$1201,SMALL(Receivables_Ledger!P$2:P$1201,44))</f>
        <v/>
      </c>
      <c r="D45" s="3">
        <f>INDEX(Receivables_Ledger!E$2:E$1201,SMALL(Receivables_Ledger!P$2:P$1201,44))</f>
        <v/>
      </c>
      <c r="E45" s="3">
        <f>INDEX(Receivables_Ledger!M$2:M$1201,SMALL(Receivables_Ledger!P$2:P$1201,44))</f>
        <v/>
      </c>
      <c r="F45" s="5">
        <f>INDEX(Receivables_Ledger!J$2:J$1201,SMALL(Receivables_Ledger!P$2:P$1201,44))</f>
        <v/>
      </c>
      <c r="G45" s="3">
        <f>IF(E45&gt;90,"LOST",IF(E45&gt;60,"ESCALATE",IF(E45&gt;30,"WATCH","MILD")))</f>
        <v/>
      </c>
      <c r="H45" s="4">
        <f>Guide!$B$3+IF(G45="LOST",0,IF(G45="ESCALATE",1,IF(G45="WATCH",3,7)))</f>
        <v/>
      </c>
    </row>
    <row r="46">
      <c r="A46" s="3">
        <f>ROW()-1</f>
        <v/>
      </c>
      <c r="B46" s="3">
        <f>INDEX(Receivables_Ledger!A$2:A$1201,SMALL(Receivables_Ledger!P$2:P$1201,45))</f>
        <v/>
      </c>
      <c r="C46" s="3">
        <f>INDEX(Receivables_Ledger!C$2:C$1201,SMALL(Receivables_Ledger!P$2:P$1201,45))</f>
        <v/>
      </c>
      <c r="D46" s="3">
        <f>INDEX(Receivables_Ledger!E$2:E$1201,SMALL(Receivables_Ledger!P$2:P$1201,45))</f>
        <v/>
      </c>
      <c r="E46" s="3">
        <f>INDEX(Receivables_Ledger!M$2:M$1201,SMALL(Receivables_Ledger!P$2:P$1201,45))</f>
        <v/>
      </c>
      <c r="F46" s="5">
        <f>INDEX(Receivables_Ledger!J$2:J$1201,SMALL(Receivables_Ledger!P$2:P$1201,45))</f>
        <v/>
      </c>
      <c r="G46" s="3">
        <f>IF(E46&gt;90,"LOST",IF(E46&gt;60,"ESCALATE",IF(E46&gt;30,"WATCH","MILD")))</f>
        <v/>
      </c>
      <c r="H46" s="4">
        <f>Guide!$B$3+IF(G46="LOST",0,IF(G46="ESCALATE",1,IF(G46="WATCH",3,7)))</f>
        <v/>
      </c>
    </row>
    <row r="47">
      <c r="A47" s="3">
        <f>ROW()-1</f>
        <v/>
      </c>
      <c r="B47" s="3">
        <f>INDEX(Receivables_Ledger!A$2:A$1201,SMALL(Receivables_Ledger!P$2:P$1201,46))</f>
        <v/>
      </c>
      <c r="C47" s="3">
        <f>INDEX(Receivables_Ledger!C$2:C$1201,SMALL(Receivables_Ledger!P$2:P$1201,46))</f>
        <v/>
      </c>
      <c r="D47" s="3">
        <f>INDEX(Receivables_Ledger!E$2:E$1201,SMALL(Receivables_Ledger!P$2:P$1201,46))</f>
        <v/>
      </c>
      <c r="E47" s="3">
        <f>INDEX(Receivables_Ledger!M$2:M$1201,SMALL(Receivables_Ledger!P$2:P$1201,46))</f>
        <v/>
      </c>
      <c r="F47" s="5">
        <f>INDEX(Receivables_Ledger!J$2:J$1201,SMALL(Receivables_Ledger!P$2:P$1201,46))</f>
        <v/>
      </c>
      <c r="G47" s="3">
        <f>IF(E47&gt;90,"LOST",IF(E47&gt;60,"ESCALATE",IF(E47&gt;30,"WATCH","MILD")))</f>
        <v/>
      </c>
      <c r="H47" s="4">
        <f>Guide!$B$3+IF(G47="LOST",0,IF(G47="ESCALATE",1,IF(G47="WATCH",3,7)))</f>
        <v/>
      </c>
    </row>
    <row r="48">
      <c r="A48" s="3">
        <f>ROW()-1</f>
        <v/>
      </c>
      <c r="B48" s="3">
        <f>INDEX(Receivables_Ledger!A$2:A$1201,SMALL(Receivables_Ledger!P$2:P$1201,47))</f>
        <v/>
      </c>
      <c r="C48" s="3">
        <f>INDEX(Receivables_Ledger!C$2:C$1201,SMALL(Receivables_Ledger!P$2:P$1201,47))</f>
        <v/>
      </c>
      <c r="D48" s="3">
        <f>INDEX(Receivables_Ledger!E$2:E$1201,SMALL(Receivables_Ledger!P$2:P$1201,47))</f>
        <v/>
      </c>
      <c r="E48" s="3">
        <f>INDEX(Receivables_Ledger!M$2:M$1201,SMALL(Receivables_Ledger!P$2:P$1201,47))</f>
        <v/>
      </c>
      <c r="F48" s="5">
        <f>INDEX(Receivables_Ledger!J$2:J$1201,SMALL(Receivables_Ledger!P$2:P$1201,47))</f>
        <v/>
      </c>
      <c r="G48" s="3">
        <f>IF(E48&gt;90,"LOST",IF(E48&gt;60,"ESCALATE",IF(E48&gt;30,"WATCH","MILD")))</f>
        <v/>
      </c>
      <c r="H48" s="4">
        <f>Guide!$B$3+IF(G48="LOST",0,IF(G48="ESCALATE",1,IF(G48="WATCH",3,7)))</f>
        <v/>
      </c>
    </row>
    <row r="49">
      <c r="A49" s="3">
        <f>ROW()-1</f>
        <v/>
      </c>
      <c r="B49" s="3">
        <f>INDEX(Receivables_Ledger!A$2:A$1201,SMALL(Receivables_Ledger!P$2:P$1201,48))</f>
        <v/>
      </c>
      <c r="C49" s="3">
        <f>INDEX(Receivables_Ledger!C$2:C$1201,SMALL(Receivables_Ledger!P$2:P$1201,48))</f>
        <v/>
      </c>
      <c r="D49" s="3">
        <f>INDEX(Receivables_Ledger!E$2:E$1201,SMALL(Receivables_Ledger!P$2:P$1201,48))</f>
        <v/>
      </c>
      <c r="E49" s="3">
        <f>INDEX(Receivables_Ledger!M$2:M$1201,SMALL(Receivables_Ledger!P$2:P$1201,48))</f>
        <v/>
      </c>
      <c r="F49" s="5">
        <f>INDEX(Receivables_Ledger!J$2:J$1201,SMALL(Receivables_Ledger!P$2:P$1201,48))</f>
        <v/>
      </c>
      <c r="G49" s="3">
        <f>IF(E49&gt;90,"LOST",IF(E49&gt;60,"ESCALATE",IF(E49&gt;30,"WATCH","MILD")))</f>
        <v/>
      </c>
      <c r="H49" s="4">
        <f>Guide!$B$3+IF(G49="LOST",0,IF(G49="ESCALATE",1,IF(G49="WATCH",3,7)))</f>
        <v/>
      </c>
    </row>
    <row r="50">
      <c r="A50" s="3">
        <f>ROW()-1</f>
        <v/>
      </c>
      <c r="B50" s="3">
        <f>INDEX(Receivables_Ledger!A$2:A$1201,SMALL(Receivables_Ledger!P$2:P$1201,49))</f>
        <v/>
      </c>
      <c r="C50" s="3">
        <f>INDEX(Receivables_Ledger!C$2:C$1201,SMALL(Receivables_Ledger!P$2:P$1201,49))</f>
        <v/>
      </c>
      <c r="D50" s="3">
        <f>INDEX(Receivables_Ledger!E$2:E$1201,SMALL(Receivables_Ledger!P$2:P$1201,49))</f>
        <v/>
      </c>
      <c r="E50" s="3">
        <f>INDEX(Receivables_Ledger!M$2:M$1201,SMALL(Receivables_Ledger!P$2:P$1201,49))</f>
        <v/>
      </c>
      <c r="F50" s="5">
        <f>INDEX(Receivables_Ledger!J$2:J$1201,SMALL(Receivables_Ledger!P$2:P$1201,49))</f>
        <v/>
      </c>
      <c r="G50" s="3">
        <f>IF(E50&gt;90,"LOST",IF(E50&gt;60,"ESCALATE",IF(E50&gt;30,"WATCH","MILD")))</f>
        <v/>
      </c>
      <c r="H50" s="4">
        <f>Guide!$B$3+IF(G50="LOST",0,IF(G50="ESCALATE",1,IF(G50="WATCH",3,7)))</f>
        <v/>
      </c>
    </row>
    <row r="51">
      <c r="A51" s="3">
        <f>ROW()-1</f>
        <v/>
      </c>
      <c r="B51" s="3">
        <f>INDEX(Receivables_Ledger!A$2:A$1201,SMALL(Receivables_Ledger!P$2:P$1201,50))</f>
        <v/>
      </c>
      <c r="C51" s="3">
        <f>INDEX(Receivables_Ledger!C$2:C$1201,SMALL(Receivables_Ledger!P$2:P$1201,50))</f>
        <v/>
      </c>
      <c r="D51" s="3">
        <f>INDEX(Receivables_Ledger!E$2:E$1201,SMALL(Receivables_Ledger!P$2:P$1201,50))</f>
        <v/>
      </c>
      <c r="E51" s="3">
        <f>INDEX(Receivables_Ledger!M$2:M$1201,SMALL(Receivables_Ledger!P$2:P$1201,50))</f>
        <v/>
      </c>
      <c r="F51" s="5">
        <f>INDEX(Receivables_Ledger!J$2:J$1201,SMALL(Receivables_Ledger!P$2:P$1201,50))</f>
        <v/>
      </c>
      <c r="G51" s="3">
        <f>IF(E51&gt;90,"LOST",IF(E51&gt;60,"ESCALATE",IF(E51&gt;30,"WATCH","MILD")))</f>
        <v/>
      </c>
      <c r="H51" s="4">
        <f>Guide!$B$3+IF(G51="LOST",0,IF(G51="ESCALATE",1,IF(G51="WATCH",3,7)))</f>
        <v/>
      </c>
    </row>
    <row r="52">
      <c r="A52" s="3">
        <f>ROW()-1</f>
        <v/>
      </c>
      <c r="B52" s="3">
        <f>INDEX(Receivables_Ledger!A$2:A$1201,SMALL(Receivables_Ledger!P$2:P$1201,51))</f>
        <v/>
      </c>
      <c r="C52" s="3">
        <f>INDEX(Receivables_Ledger!C$2:C$1201,SMALL(Receivables_Ledger!P$2:P$1201,51))</f>
        <v/>
      </c>
      <c r="D52" s="3">
        <f>INDEX(Receivables_Ledger!E$2:E$1201,SMALL(Receivables_Ledger!P$2:P$1201,51))</f>
        <v/>
      </c>
      <c r="E52" s="3">
        <f>INDEX(Receivables_Ledger!M$2:M$1201,SMALL(Receivables_Ledger!P$2:P$1201,51))</f>
        <v/>
      </c>
      <c r="F52" s="5">
        <f>INDEX(Receivables_Ledger!J$2:J$1201,SMALL(Receivables_Ledger!P$2:P$1201,51))</f>
        <v/>
      </c>
      <c r="G52" s="3">
        <f>IF(E52&gt;90,"LOST",IF(E52&gt;60,"ESCALATE",IF(E52&gt;30,"WATCH","MILD")))</f>
        <v/>
      </c>
      <c r="H52" s="4">
        <f>Guide!$B$3+IF(G52="LOST",0,IF(G52="ESCALATE",1,IF(G52="WATCH",3,7)))</f>
        <v/>
      </c>
    </row>
    <row r="53">
      <c r="A53" s="3">
        <f>ROW()-1</f>
        <v/>
      </c>
      <c r="B53" s="3">
        <f>INDEX(Receivables_Ledger!A$2:A$1201,SMALL(Receivables_Ledger!P$2:P$1201,52))</f>
        <v/>
      </c>
      <c r="C53" s="3">
        <f>INDEX(Receivables_Ledger!C$2:C$1201,SMALL(Receivables_Ledger!P$2:P$1201,52))</f>
        <v/>
      </c>
      <c r="D53" s="3">
        <f>INDEX(Receivables_Ledger!E$2:E$1201,SMALL(Receivables_Ledger!P$2:P$1201,52))</f>
        <v/>
      </c>
      <c r="E53" s="3">
        <f>INDEX(Receivables_Ledger!M$2:M$1201,SMALL(Receivables_Ledger!P$2:P$1201,52))</f>
        <v/>
      </c>
      <c r="F53" s="5">
        <f>INDEX(Receivables_Ledger!J$2:J$1201,SMALL(Receivables_Ledger!P$2:P$1201,52))</f>
        <v/>
      </c>
      <c r="G53" s="3">
        <f>IF(E53&gt;90,"LOST",IF(E53&gt;60,"ESCALATE",IF(E53&gt;30,"WATCH","MILD")))</f>
        <v/>
      </c>
      <c r="H53" s="4">
        <f>Guide!$B$3+IF(G53="LOST",0,IF(G53="ESCALATE",1,IF(G53="WATCH",3,7)))</f>
        <v/>
      </c>
    </row>
    <row r="54">
      <c r="A54" s="3">
        <f>ROW()-1</f>
        <v/>
      </c>
      <c r="B54" s="3">
        <f>INDEX(Receivables_Ledger!A$2:A$1201,SMALL(Receivables_Ledger!P$2:P$1201,53))</f>
        <v/>
      </c>
      <c r="C54" s="3">
        <f>INDEX(Receivables_Ledger!C$2:C$1201,SMALL(Receivables_Ledger!P$2:P$1201,53))</f>
        <v/>
      </c>
      <c r="D54" s="3">
        <f>INDEX(Receivables_Ledger!E$2:E$1201,SMALL(Receivables_Ledger!P$2:P$1201,53))</f>
        <v/>
      </c>
      <c r="E54" s="3">
        <f>INDEX(Receivables_Ledger!M$2:M$1201,SMALL(Receivables_Ledger!P$2:P$1201,53))</f>
        <v/>
      </c>
      <c r="F54" s="5">
        <f>INDEX(Receivables_Ledger!J$2:J$1201,SMALL(Receivables_Ledger!P$2:P$1201,53))</f>
        <v/>
      </c>
      <c r="G54" s="3">
        <f>IF(E54&gt;90,"LOST",IF(E54&gt;60,"ESCALATE",IF(E54&gt;30,"WATCH","MILD")))</f>
        <v/>
      </c>
      <c r="H54" s="4">
        <f>Guide!$B$3+IF(G54="LOST",0,IF(G54="ESCALATE",1,IF(G54="WATCH",3,7)))</f>
        <v/>
      </c>
    </row>
    <row r="55">
      <c r="A55" s="3">
        <f>ROW()-1</f>
        <v/>
      </c>
      <c r="B55" s="3">
        <f>INDEX(Receivables_Ledger!A$2:A$1201,SMALL(Receivables_Ledger!P$2:P$1201,54))</f>
        <v/>
      </c>
      <c r="C55" s="3">
        <f>INDEX(Receivables_Ledger!C$2:C$1201,SMALL(Receivables_Ledger!P$2:P$1201,54))</f>
        <v/>
      </c>
      <c r="D55" s="3">
        <f>INDEX(Receivables_Ledger!E$2:E$1201,SMALL(Receivables_Ledger!P$2:P$1201,54))</f>
        <v/>
      </c>
      <c r="E55" s="3">
        <f>INDEX(Receivables_Ledger!M$2:M$1201,SMALL(Receivables_Ledger!P$2:P$1201,54))</f>
        <v/>
      </c>
      <c r="F55" s="5">
        <f>INDEX(Receivables_Ledger!J$2:J$1201,SMALL(Receivables_Ledger!P$2:P$1201,54))</f>
        <v/>
      </c>
      <c r="G55" s="3">
        <f>IF(E55&gt;90,"LOST",IF(E55&gt;60,"ESCALATE",IF(E55&gt;30,"WATCH","MILD")))</f>
        <v/>
      </c>
      <c r="H55" s="4">
        <f>Guide!$B$3+IF(G55="LOST",0,IF(G55="ESCALATE",1,IF(G55="WATCH",3,7)))</f>
        <v/>
      </c>
    </row>
    <row r="56">
      <c r="A56" s="3">
        <f>ROW()-1</f>
        <v/>
      </c>
      <c r="B56" s="3">
        <f>INDEX(Receivables_Ledger!A$2:A$1201,SMALL(Receivables_Ledger!P$2:P$1201,55))</f>
        <v/>
      </c>
      <c r="C56" s="3">
        <f>INDEX(Receivables_Ledger!C$2:C$1201,SMALL(Receivables_Ledger!P$2:P$1201,55))</f>
        <v/>
      </c>
      <c r="D56" s="3">
        <f>INDEX(Receivables_Ledger!E$2:E$1201,SMALL(Receivables_Ledger!P$2:P$1201,55))</f>
        <v/>
      </c>
      <c r="E56" s="3">
        <f>INDEX(Receivables_Ledger!M$2:M$1201,SMALL(Receivables_Ledger!P$2:P$1201,55))</f>
        <v/>
      </c>
      <c r="F56" s="5">
        <f>INDEX(Receivables_Ledger!J$2:J$1201,SMALL(Receivables_Ledger!P$2:P$1201,55))</f>
        <v/>
      </c>
      <c r="G56" s="3">
        <f>IF(E56&gt;90,"LOST",IF(E56&gt;60,"ESCALATE",IF(E56&gt;30,"WATCH","MILD")))</f>
        <v/>
      </c>
      <c r="H56" s="4">
        <f>Guide!$B$3+IF(G56="LOST",0,IF(G56="ESCALATE",1,IF(G56="WATCH",3,7)))</f>
        <v/>
      </c>
    </row>
    <row r="57">
      <c r="A57" s="3">
        <f>ROW()-1</f>
        <v/>
      </c>
      <c r="B57" s="3">
        <f>INDEX(Receivables_Ledger!A$2:A$1201,SMALL(Receivables_Ledger!P$2:P$1201,56))</f>
        <v/>
      </c>
      <c r="C57" s="3">
        <f>INDEX(Receivables_Ledger!C$2:C$1201,SMALL(Receivables_Ledger!P$2:P$1201,56))</f>
        <v/>
      </c>
      <c r="D57" s="3">
        <f>INDEX(Receivables_Ledger!E$2:E$1201,SMALL(Receivables_Ledger!P$2:P$1201,56))</f>
        <v/>
      </c>
      <c r="E57" s="3">
        <f>INDEX(Receivables_Ledger!M$2:M$1201,SMALL(Receivables_Ledger!P$2:P$1201,56))</f>
        <v/>
      </c>
      <c r="F57" s="5">
        <f>INDEX(Receivables_Ledger!J$2:J$1201,SMALL(Receivables_Ledger!P$2:P$1201,56))</f>
        <v/>
      </c>
      <c r="G57" s="3">
        <f>IF(E57&gt;90,"LOST",IF(E57&gt;60,"ESCALATE",IF(E57&gt;30,"WATCH","MILD")))</f>
        <v/>
      </c>
      <c r="H57" s="4">
        <f>Guide!$B$3+IF(G57="LOST",0,IF(G57="ESCALATE",1,IF(G57="WATCH",3,7)))</f>
        <v/>
      </c>
    </row>
    <row r="58">
      <c r="A58" s="3">
        <f>ROW()-1</f>
        <v/>
      </c>
      <c r="B58" s="3">
        <f>INDEX(Receivables_Ledger!A$2:A$1201,SMALL(Receivables_Ledger!P$2:P$1201,57))</f>
        <v/>
      </c>
      <c r="C58" s="3">
        <f>INDEX(Receivables_Ledger!C$2:C$1201,SMALL(Receivables_Ledger!P$2:P$1201,57))</f>
        <v/>
      </c>
      <c r="D58" s="3">
        <f>INDEX(Receivables_Ledger!E$2:E$1201,SMALL(Receivables_Ledger!P$2:P$1201,57))</f>
        <v/>
      </c>
      <c r="E58" s="3">
        <f>INDEX(Receivables_Ledger!M$2:M$1201,SMALL(Receivables_Ledger!P$2:P$1201,57))</f>
        <v/>
      </c>
      <c r="F58" s="5">
        <f>INDEX(Receivables_Ledger!J$2:J$1201,SMALL(Receivables_Ledger!P$2:P$1201,57))</f>
        <v/>
      </c>
      <c r="G58" s="3">
        <f>IF(E58&gt;90,"LOST",IF(E58&gt;60,"ESCALATE",IF(E58&gt;30,"WATCH","MILD")))</f>
        <v/>
      </c>
      <c r="H58" s="4">
        <f>Guide!$B$3+IF(G58="LOST",0,IF(G58="ESCALATE",1,IF(G58="WATCH",3,7)))</f>
        <v/>
      </c>
    </row>
    <row r="59">
      <c r="A59" s="3">
        <f>ROW()-1</f>
        <v/>
      </c>
      <c r="B59" s="3">
        <f>INDEX(Receivables_Ledger!A$2:A$1201,SMALL(Receivables_Ledger!P$2:P$1201,58))</f>
        <v/>
      </c>
      <c r="C59" s="3">
        <f>INDEX(Receivables_Ledger!C$2:C$1201,SMALL(Receivables_Ledger!P$2:P$1201,58))</f>
        <v/>
      </c>
      <c r="D59" s="3">
        <f>INDEX(Receivables_Ledger!E$2:E$1201,SMALL(Receivables_Ledger!P$2:P$1201,58))</f>
        <v/>
      </c>
      <c r="E59" s="3">
        <f>INDEX(Receivables_Ledger!M$2:M$1201,SMALL(Receivables_Ledger!P$2:P$1201,58))</f>
        <v/>
      </c>
      <c r="F59" s="5">
        <f>INDEX(Receivables_Ledger!J$2:J$1201,SMALL(Receivables_Ledger!P$2:P$1201,58))</f>
        <v/>
      </c>
      <c r="G59" s="3">
        <f>IF(E59&gt;90,"LOST",IF(E59&gt;60,"ESCALATE",IF(E59&gt;30,"WATCH","MILD")))</f>
        <v/>
      </c>
      <c r="H59" s="4">
        <f>Guide!$B$3+IF(G59="LOST",0,IF(G59="ESCALATE",1,IF(G59="WATCH",3,7)))</f>
        <v/>
      </c>
    </row>
    <row r="60">
      <c r="A60" s="3">
        <f>ROW()-1</f>
        <v/>
      </c>
      <c r="B60" s="3">
        <f>INDEX(Receivables_Ledger!A$2:A$1201,SMALL(Receivables_Ledger!P$2:P$1201,59))</f>
        <v/>
      </c>
      <c r="C60" s="3">
        <f>INDEX(Receivables_Ledger!C$2:C$1201,SMALL(Receivables_Ledger!P$2:P$1201,59))</f>
        <v/>
      </c>
      <c r="D60" s="3">
        <f>INDEX(Receivables_Ledger!E$2:E$1201,SMALL(Receivables_Ledger!P$2:P$1201,59))</f>
        <v/>
      </c>
      <c r="E60" s="3">
        <f>INDEX(Receivables_Ledger!M$2:M$1201,SMALL(Receivables_Ledger!P$2:P$1201,59))</f>
        <v/>
      </c>
      <c r="F60" s="5">
        <f>INDEX(Receivables_Ledger!J$2:J$1201,SMALL(Receivables_Ledger!P$2:P$1201,59))</f>
        <v/>
      </c>
      <c r="G60" s="3">
        <f>IF(E60&gt;90,"LOST",IF(E60&gt;60,"ESCALATE",IF(E60&gt;30,"WATCH","MILD")))</f>
        <v/>
      </c>
      <c r="H60" s="4">
        <f>Guide!$B$3+IF(G60="LOST",0,IF(G60="ESCALATE",1,IF(G60="WATCH",3,7)))</f>
        <v/>
      </c>
    </row>
    <row r="61">
      <c r="A61" s="3">
        <f>ROW()-1</f>
        <v/>
      </c>
      <c r="B61" s="3">
        <f>INDEX(Receivables_Ledger!A$2:A$1201,SMALL(Receivables_Ledger!P$2:P$1201,60))</f>
        <v/>
      </c>
      <c r="C61" s="3">
        <f>INDEX(Receivables_Ledger!C$2:C$1201,SMALL(Receivables_Ledger!P$2:P$1201,60))</f>
        <v/>
      </c>
      <c r="D61" s="3">
        <f>INDEX(Receivables_Ledger!E$2:E$1201,SMALL(Receivables_Ledger!P$2:P$1201,60))</f>
        <v/>
      </c>
      <c r="E61" s="3">
        <f>INDEX(Receivables_Ledger!M$2:M$1201,SMALL(Receivables_Ledger!P$2:P$1201,60))</f>
        <v/>
      </c>
      <c r="F61" s="5">
        <f>INDEX(Receivables_Ledger!J$2:J$1201,SMALL(Receivables_Ledger!P$2:P$1201,60))</f>
        <v/>
      </c>
      <c r="G61" s="3">
        <f>IF(E61&gt;90,"LOST",IF(E61&gt;60,"ESCALATE",IF(E61&gt;30,"WATCH","MILD")))</f>
        <v/>
      </c>
      <c r="H61" s="4">
        <f>Guide!$B$3+IF(G61="LOST",0,IF(G61="ESCALATE",1,IF(G61="WATCH",3,7)))</f>
        <v/>
      </c>
    </row>
    <row r="62">
      <c r="A62" s="3">
        <f>ROW()-1</f>
        <v/>
      </c>
      <c r="B62" s="3">
        <f>INDEX(Receivables_Ledger!A$2:A$1201,SMALL(Receivables_Ledger!P$2:P$1201,61))</f>
        <v/>
      </c>
      <c r="C62" s="3">
        <f>INDEX(Receivables_Ledger!C$2:C$1201,SMALL(Receivables_Ledger!P$2:P$1201,61))</f>
        <v/>
      </c>
      <c r="D62" s="3">
        <f>INDEX(Receivables_Ledger!E$2:E$1201,SMALL(Receivables_Ledger!P$2:P$1201,61))</f>
        <v/>
      </c>
      <c r="E62" s="3">
        <f>INDEX(Receivables_Ledger!M$2:M$1201,SMALL(Receivables_Ledger!P$2:P$1201,61))</f>
        <v/>
      </c>
      <c r="F62" s="5">
        <f>INDEX(Receivables_Ledger!J$2:J$1201,SMALL(Receivables_Ledger!P$2:P$1201,61))</f>
        <v/>
      </c>
      <c r="G62" s="3">
        <f>IF(E62&gt;90,"LOST",IF(E62&gt;60,"ESCALATE",IF(E62&gt;30,"WATCH","MILD")))</f>
        <v/>
      </c>
      <c r="H62" s="4">
        <f>Guide!$B$3+IF(G62="LOST",0,IF(G62="ESCALATE",1,IF(G62="WATCH",3,7)))</f>
        <v/>
      </c>
    </row>
    <row r="63">
      <c r="A63" s="3">
        <f>ROW()-1</f>
        <v/>
      </c>
      <c r="B63" s="3">
        <f>INDEX(Receivables_Ledger!A$2:A$1201,SMALL(Receivables_Ledger!P$2:P$1201,62))</f>
        <v/>
      </c>
      <c r="C63" s="3">
        <f>INDEX(Receivables_Ledger!C$2:C$1201,SMALL(Receivables_Ledger!P$2:P$1201,62))</f>
        <v/>
      </c>
      <c r="D63" s="3">
        <f>INDEX(Receivables_Ledger!E$2:E$1201,SMALL(Receivables_Ledger!P$2:P$1201,62))</f>
        <v/>
      </c>
      <c r="E63" s="3">
        <f>INDEX(Receivables_Ledger!M$2:M$1201,SMALL(Receivables_Ledger!P$2:P$1201,62))</f>
        <v/>
      </c>
      <c r="F63" s="5">
        <f>INDEX(Receivables_Ledger!J$2:J$1201,SMALL(Receivables_Ledger!P$2:P$1201,62))</f>
        <v/>
      </c>
      <c r="G63" s="3">
        <f>IF(E63&gt;90,"LOST",IF(E63&gt;60,"ESCALATE",IF(E63&gt;30,"WATCH","MILD")))</f>
        <v/>
      </c>
      <c r="H63" s="4">
        <f>Guide!$B$3+IF(G63="LOST",0,IF(G63="ESCALATE",1,IF(G63="WATCH",3,7)))</f>
        <v/>
      </c>
    </row>
    <row r="64">
      <c r="A64" s="3">
        <f>ROW()-1</f>
        <v/>
      </c>
      <c r="B64" s="3">
        <f>INDEX(Receivables_Ledger!A$2:A$1201,SMALL(Receivables_Ledger!P$2:P$1201,63))</f>
        <v/>
      </c>
      <c r="C64" s="3">
        <f>INDEX(Receivables_Ledger!C$2:C$1201,SMALL(Receivables_Ledger!P$2:P$1201,63))</f>
        <v/>
      </c>
      <c r="D64" s="3">
        <f>INDEX(Receivables_Ledger!E$2:E$1201,SMALL(Receivables_Ledger!P$2:P$1201,63))</f>
        <v/>
      </c>
      <c r="E64" s="3">
        <f>INDEX(Receivables_Ledger!M$2:M$1201,SMALL(Receivables_Ledger!P$2:P$1201,63))</f>
        <v/>
      </c>
      <c r="F64" s="5">
        <f>INDEX(Receivables_Ledger!J$2:J$1201,SMALL(Receivables_Ledger!P$2:P$1201,63))</f>
        <v/>
      </c>
      <c r="G64" s="3">
        <f>IF(E64&gt;90,"LOST",IF(E64&gt;60,"ESCALATE",IF(E64&gt;30,"WATCH","MILD")))</f>
        <v/>
      </c>
      <c r="H64" s="4">
        <f>Guide!$B$3+IF(G64="LOST",0,IF(G64="ESCALATE",1,IF(G64="WATCH",3,7)))</f>
        <v/>
      </c>
    </row>
    <row r="65">
      <c r="A65" s="3">
        <f>ROW()-1</f>
        <v/>
      </c>
      <c r="B65" s="3">
        <f>INDEX(Receivables_Ledger!A$2:A$1201,SMALL(Receivables_Ledger!P$2:P$1201,64))</f>
        <v/>
      </c>
      <c r="C65" s="3">
        <f>INDEX(Receivables_Ledger!C$2:C$1201,SMALL(Receivables_Ledger!P$2:P$1201,64))</f>
        <v/>
      </c>
      <c r="D65" s="3">
        <f>INDEX(Receivables_Ledger!E$2:E$1201,SMALL(Receivables_Ledger!P$2:P$1201,64))</f>
        <v/>
      </c>
      <c r="E65" s="3">
        <f>INDEX(Receivables_Ledger!M$2:M$1201,SMALL(Receivables_Ledger!P$2:P$1201,64))</f>
        <v/>
      </c>
      <c r="F65" s="5">
        <f>INDEX(Receivables_Ledger!J$2:J$1201,SMALL(Receivables_Ledger!P$2:P$1201,64))</f>
        <v/>
      </c>
      <c r="G65" s="3">
        <f>IF(E65&gt;90,"LOST",IF(E65&gt;60,"ESCALATE",IF(E65&gt;30,"WATCH","MILD")))</f>
        <v/>
      </c>
      <c r="H65" s="4">
        <f>Guide!$B$3+IF(G65="LOST",0,IF(G65="ESCALATE",1,IF(G65="WATCH",3,7)))</f>
        <v/>
      </c>
    </row>
    <row r="66">
      <c r="A66" s="3">
        <f>ROW()-1</f>
        <v/>
      </c>
      <c r="B66" s="3">
        <f>INDEX(Receivables_Ledger!A$2:A$1201,SMALL(Receivables_Ledger!P$2:P$1201,65))</f>
        <v/>
      </c>
      <c r="C66" s="3">
        <f>INDEX(Receivables_Ledger!C$2:C$1201,SMALL(Receivables_Ledger!P$2:P$1201,65))</f>
        <v/>
      </c>
      <c r="D66" s="3">
        <f>INDEX(Receivables_Ledger!E$2:E$1201,SMALL(Receivables_Ledger!P$2:P$1201,65))</f>
        <v/>
      </c>
      <c r="E66" s="3">
        <f>INDEX(Receivables_Ledger!M$2:M$1201,SMALL(Receivables_Ledger!P$2:P$1201,65))</f>
        <v/>
      </c>
      <c r="F66" s="5">
        <f>INDEX(Receivables_Ledger!J$2:J$1201,SMALL(Receivables_Ledger!P$2:P$1201,65))</f>
        <v/>
      </c>
      <c r="G66" s="3">
        <f>IF(E66&gt;90,"LOST",IF(E66&gt;60,"ESCALATE",IF(E66&gt;30,"WATCH","MILD")))</f>
        <v/>
      </c>
      <c r="H66" s="4">
        <f>Guide!$B$3+IF(G66="LOST",0,IF(G66="ESCALATE",1,IF(G66="WATCH",3,7)))</f>
        <v/>
      </c>
    </row>
    <row r="67">
      <c r="A67" s="3">
        <f>ROW()-1</f>
        <v/>
      </c>
      <c r="B67" s="3">
        <f>INDEX(Receivables_Ledger!A$2:A$1201,SMALL(Receivables_Ledger!P$2:P$1201,66))</f>
        <v/>
      </c>
      <c r="C67" s="3">
        <f>INDEX(Receivables_Ledger!C$2:C$1201,SMALL(Receivables_Ledger!P$2:P$1201,66))</f>
        <v/>
      </c>
      <c r="D67" s="3">
        <f>INDEX(Receivables_Ledger!E$2:E$1201,SMALL(Receivables_Ledger!P$2:P$1201,66))</f>
        <v/>
      </c>
      <c r="E67" s="3">
        <f>INDEX(Receivables_Ledger!M$2:M$1201,SMALL(Receivables_Ledger!P$2:P$1201,66))</f>
        <v/>
      </c>
      <c r="F67" s="5">
        <f>INDEX(Receivables_Ledger!J$2:J$1201,SMALL(Receivables_Ledger!P$2:P$1201,66))</f>
        <v/>
      </c>
      <c r="G67" s="3">
        <f>IF(E67&gt;90,"LOST",IF(E67&gt;60,"ESCALATE",IF(E67&gt;30,"WATCH","MILD")))</f>
        <v/>
      </c>
      <c r="H67" s="4">
        <f>Guide!$B$3+IF(G67="LOST",0,IF(G67="ESCALATE",1,IF(G67="WATCH",3,7)))</f>
        <v/>
      </c>
    </row>
    <row r="68">
      <c r="A68" s="3">
        <f>ROW()-1</f>
        <v/>
      </c>
      <c r="B68" s="3">
        <f>INDEX(Receivables_Ledger!A$2:A$1201,SMALL(Receivables_Ledger!P$2:P$1201,67))</f>
        <v/>
      </c>
      <c r="C68" s="3">
        <f>INDEX(Receivables_Ledger!C$2:C$1201,SMALL(Receivables_Ledger!P$2:P$1201,67))</f>
        <v/>
      </c>
      <c r="D68" s="3">
        <f>INDEX(Receivables_Ledger!E$2:E$1201,SMALL(Receivables_Ledger!P$2:P$1201,67))</f>
        <v/>
      </c>
      <c r="E68" s="3">
        <f>INDEX(Receivables_Ledger!M$2:M$1201,SMALL(Receivables_Ledger!P$2:P$1201,67))</f>
        <v/>
      </c>
      <c r="F68" s="5">
        <f>INDEX(Receivables_Ledger!J$2:J$1201,SMALL(Receivables_Ledger!P$2:P$1201,67))</f>
        <v/>
      </c>
      <c r="G68" s="3">
        <f>IF(E68&gt;90,"LOST",IF(E68&gt;60,"ESCALATE",IF(E68&gt;30,"WATCH","MILD")))</f>
        <v/>
      </c>
      <c r="H68" s="4">
        <f>Guide!$B$3+IF(G68="LOST",0,IF(G68="ESCALATE",1,IF(G68="WATCH",3,7)))</f>
        <v/>
      </c>
    </row>
    <row r="69">
      <c r="A69" s="3">
        <f>ROW()-1</f>
        <v/>
      </c>
      <c r="B69" s="3">
        <f>INDEX(Receivables_Ledger!A$2:A$1201,SMALL(Receivables_Ledger!P$2:P$1201,68))</f>
        <v/>
      </c>
      <c r="C69" s="3">
        <f>INDEX(Receivables_Ledger!C$2:C$1201,SMALL(Receivables_Ledger!P$2:P$1201,68))</f>
        <v/>
      </c>
      <c r="D69" s="3">
        <f>INDEX(Receivables_Ledger!E$2:E$1201,SMALL(Receivables_Ledger!P$2:P$1201,68))</f>
        <v/>
      </c>
      <c r="E69" s="3">
        <f>INDEX(Receivables_Ledger!M$2:M$1201,SMALL(Receivables_Ledger!P$2:P$1201,68))</f>
        <v/>
      </c>
      <c r="F69" s="5">
        <f>INDEX(Receivables_Ledger!J$2:J$1201,SMALL(Receivables_Ledger!P$2:P$1201,68))</f>
        <v/>
      </c>
      <c r="G69" s="3">
        <f>IF(E69&gt;90,"LOST",IF(E69&gt;60,"ESCALATE",IF(E69&gt;30,"WATCH","MILD")))</f>
        <v/>
      </c>
      <c r="H69" s="4">
        <f>Guide!$B$3+IF(G69="LOST",0,IF(G69="ESCALATE",1,IF(G69="WATCH",3,7)))</f>
        <v/>
      </c>
    </row>
    <row r="70">
      <c r="A70" s="3">
        <f>ROW()-1</f>
        <v/>
      </c>
      <c r="B70" s="3">
        <f>INDEX(Receivables_Ledger!A$2:A$1201,SMALL(Receivables_Ledger!P$2:P$1201,69))</f>
        <v/>
      </c>
      <c r="C70" s="3">
        <f>INDEX(Receivables_Ledger!C$2:C$1201,SMALL(Receivables_Ledger!P$2:P$1201,69))</f>
        <v/>
      </c>
      <c r="D70" s="3">
        <f>INDEX(Receivables_Ledger!E$2:E$1201,SMALL(Receivables_Ledger!P$2:P$1201,69))</f>
        <v/>
      </c>
      <c r="E70" s="3">
        <f>INDEX(Receivables_Ledger!M$2:M$1201,SMALL(Receivables_Ledger!P$2:P$1201,69))</f>
        <v/>
      </c>
      <c r="F70" s="5">
        <f>INDEX(Receivables_Ledger!J$2:J$1201,SMALL(Receivables_Ledger!P$2:P$1201,69))</f>
        <v/>
      </c>
      <c r="G70" s="3">
        <f>IF(E70&gt;90,"LOST",IF(E70&gt;60,"ESCALATE",IF(E70&gt;30,"WATCH","MILD")))</f>
        <v/>
      </c>
      <c r="H70" s="4">
        <f>Guide!$B$3+IF(G70="LOST",0,IF(G70="ESCALATE",1,IF(G70="WATCH",3,7)))</f>
        <v/>
      </c>
    </row>
    <row r="71">
      <c r="A71" s="3">
        <f>ROW()-1</f>
        <v/>
      </c>
      <c r="B71" s="3">
        <f>INDEX(Receivables_Ledger!A$2:A$1201,SMALL(Receivables_Ledger!P$2:P$1201,70))</f>
        <v/>
      </c>
      <c r="C71" s="3">
        <f>INDEX(Receivables_Ledger!C$2:C$1201,SMALL(Receivables_Ledger!P$2:P$1201,70))</f>
        <v/>
      </c>
      <c r="D71" s="3">
        <f>INDEX(Receivables_Ledger!E$2:E$1201,SMALL(Receivables_Ledger!P$2:P$1201,70))</f>
        <v/>
      </c>
      <c r="E71" s="3">
        <f>INDEX(Receivables_Ledger!M$2:M$1201,SMALL(Receivables_Ledger!P$2:P$1201,70))</f>
        <v/>
      </c>
      <c r="F71" s="5">
        <f>INDEX(Receivables_Ledger!J$2:J$1201,SMALL(Receivables_Ledger!P$2:P$1201,70))</f>
        <v/>
      </c>
      <c r="G71" s="3">
        <f>IF(E71&gt;90,"LOST",IF(E71&gt;60,"ESCALATE",IF(E71&gt;30,"WATCH","MILD")))</f>
        <v/>
      </c>
      <c r="H71" s="4">
        <f>Guide!$B$3+IF(G71="LOST",0,IF(G71="ESCALATE",1,IF(G71="WATCH",3,7)))</f>
        <v/>
      </c>
    </row>
    <row r="72">
      <c r="A72" s="3">
        <f>ROW()-1</f>
        <v/>
      </c>
      <c r="B72" s="3">
        <f>INDEX(Receivables_Ledger!A$2:A$1201,SMALL(Receivables_Ledger!P$2:P$1201,71))</f>
        <v/>
      </c>
      <c r="C72" s="3">
        <f>INDEX(Receivables_Ledger!C$2:C$1201,SMALL(Receivables_Ledger!P$2:P$1201,71))</f>
        <v/>
      </c>
      <c r="D72" s="3">
        <f>INDEX(Receivables_Ledger!E$2:E$1201,SMALL(Receivables_Ledger!P$2:P$1201,71))</f>
        <v/>
      </c>
      <c r="E72" s="3">
        <f>INDEX(Receivables_Ledger!M$2:M$1201,SMALL(Receivables_Ledger!P$2:P$1201,71))</f>
        <v/>
      </c>
      <c r="F72" s="5">
        <f>INDEX(Receivables_Ledger!J$2:J$1201,SMALL(Receivables_Ledger!P$2:P$1201,71))</f>
        <v/>
      </c>
      <c r="G72" s="3">
        <f>IF(E72&gt;90,"LOST",IF(E72&gt;60,"ESCALATE",IF(E72&gt;30,"WATCH","MILD")))</f>
        <v/>
      </c>
      <c r="H72" s="4">
        <f>Guide!$B$3+IF(G72="LOST",0,IF(G72="ESCALATE",1,IF(G72="WATCH",3,7)))</f>
        <v/>
      </c>
    </row>
    <row r="73">
      <c r="A73" s="3">
        <f>ROW()-1</f>
        <v/>
      </c>
      <c r="B73" s="3">
        <f>INDEX(Receivables_Ledger!A$2:A$1201,SMALL(Receivables_Ledger!P$2:P$1201,72))</f>
        <v/>
      </c>
      <c r="C73" s="3">
        <f>INDEX(Receivables_Ledger!C$2:C$1201,SMALL(Receivables_Ledger!P$2:P$1201,72))</f>
        <v/>
      </c>
      <c r="D73" s="3">
        <f>INDEX(Receivables_Ledger!E$2:E$1201,SMALL(Receivables_Ledger!P$2:P$1201,72))</f>
        <v/>
      </c>
      <c r="E73" s="3">
        <f>INDEX(Receivables_Ledger!M$2:M$1201,SMALL(Receivables_Ledger!P$2:P$1201,72))</f>
        <v/>
      </c>
      <c r="F73" s="5">
        <f>INDEX(Receivables_Ledger!J$2:J$1201,SMALL(Receivables_Ledger!P$2:P$1201,72))</f>
        <v/>
      </c>
      <c r="G73" s="3">
        <f>IF(E73&gt;90,"LOST",IF(E73&gt;60,"ESCALATE",IF(E73&gt;30,"WATCH","MILD")))</f>
        <v/>
      </c>
      <c r="H73" s="4">
        <f>Guide!$B$3+IF(G73="LOST",0,IF(G73="ESCALATE",1,IF(G73="WATCH",3,7)))</f>
        <v/>
      </c>
    </row>
    <row r="74">
      <c r="A74" s="3">
        <f>ROW()-1</f>
        <v/>
      </c>
      <c r="B74" s="3">
        <f>INDEX(Receivables_Ledger!A$2:A$1201,SMALL(Receivables_Ledger!P$2:P$1201,73))</f>
        <v/>
      </c>
      <c r="C74" s="3">
        <f>INDEX(Receivables_Ledger!C$2:C$1201,SMALL(Receivables_Ledger!P$2:P$1201,73))</f>
        <v/>
      </c>
      <c r="D74" s="3">
        <f>INDEX(Receivables_Ledger!E$2:E$1201,SMALL(Receivables_Ledger!P$2:P$1201,73))</f>
        <v/>
      </c>
      <c r="E74" s="3">
        <f>INDEX(Receivables_Ledger!M$2:M$1201,SMALL(Receivables_Ledger!P$2:P$1201,73))</f>
        <v/>
      </c>
      <c r="F74" s="5">
        <f>INDEX(Receivables_Ledger!J$2:J$1201,SMALL(Receivables_Ledger!P$2:P$1201,73))</f>
        <v/>
      </c>
      <c r="G74" s="3">
        <f>IF(E74&gt;90,"LOST",IF(E74&gt;60,"ESCALATE",IF(E74&gt;30,"WATCH","MILD")))</f>
        <v/>
      </c>
      <c r="H74" s="4">
        <f>Guide!$B$3+IF(G74="LOST",0,IF(G74="ESCALATE",1,IF(G74="WATCH",3,7)))</f>
        <v/>
      </c>
    </row>
    <row r="75">
      <c r="A75" s="3">
        <f>ROW()-1</f>
        <v/>
      </c>
      <c r="B75" s="3">
        <f>INDEX(Receivables_Ledger!A$2:A$1201,SMALL(Receivables_Ledger!P$2:P$1201,74))</f>
        <v/>
      </c>
      <c r="C75" s="3">
        <f>INDEX(Receivables_Ledger!C$2:C$1201,SMALL(Receivables_Ledger!P$2:P$1201,74))</f>
        <v/>
      </c>
      <c r="D75" s="3">
        <f>INDEX(Receivables_Ledger!E$2:E$1201,SMALL(Receivables_Ledger!P$2:P$1201,74))</f>
        <v/>
      </c>
      <c r="E75" s="3">
        <f>INDEX(Receivables_Ledger!M$2:M$1201,SMALL(Receivables_Ledger!P$2:P$1201,74))</f>
        <v/>
      </c>
      <c r="F75" s="5">
        <f>INDEX(Receivables_Ledger!J$2:J$1201,SMALL(Receivables_Ledger!P$2:P$1201,74))</f>
        <v/>
      </c>
      <c r="G75" s="3">
        <f>IF(E75&gt;90,"LOST",IF(E75&gt;60,"ESCALATE",IF(E75&gt;30,"WATCH","MILD")))</f>
        <v/>
      </c>
      <c r="H75" s="4">
        <f>Guide!$B$3+IF(G75="LOST",0,IF(G75="ESCALATE",1,IF(G75="WATCH",3,7)))</f>
        <v/>
      </c>
    </row>
    <row r="76">
      <c r="A76" s="3">
        <f>ROW()-1</f>
        <v/>
      </c>
      <c r="B76" s="3">
        <f>INDEX(Receivables_Ledger!A$2:A$1201,SMALL(Receivables_Ledger!P$2:P$1201,75))</f>
        <v/>
      </c>
      <c r="C76" s="3">
        <f>INDEX(Receivables_Ledger!C$2:C$1201,SMALL(Receivables_Ledger!P$2:P$1201,75))</f>
        <v/>
      </c>
      <c r="D76" s="3">
        <f>INDEX(Receivables_Ledger!E$2:E$1201,SMALL(Receivables_Ledger!P$2:P$1201,75))</f>
        <v/>
      </c>
      <c r="E76" s="3">
        <f>INDEX(Receivables_Ledger!M$2:M$1201,SMALL(Receivables_Ledger!P$2:P$1201,75))</f>
        <v/>
      </c>
      <c r="F76" s="5">
        <f>INDEX(Receivables_Ledger!J$2:J$1201,SMALL(Receivables_Ledger!P$2:P$1201,75))</f>
        <v/>
      </c>
      <c r="G76" s="3">
        <f>IF(E76&gt;90,"LOST",IF(E76&gt;60,"ESCALATE",IF(E76&gt;30,"WATCH","MILD")))</f>
        <v/>
      </c>
      <c r="H76" s="4">
        <f>Guide!$B$3+IF(G76="LOST",0,IF(G76="ESCALATE",1,IF(G76="WATCH",3,7)))</f>
        <v/>
      </c>
    </row>
    <row r="77">
      <c r="A77" s="3">
        <f>ROW()-1</f>
        <v/>
      </c>
      <c r="B77" s="3">
        <f>INDEX(Receivables_Ledger!A$2:A$1201,SMALL(Receivables_Ledger!P$2:P$1201,76))</f>
        <v/>
      </c>
      <c r="C77" s="3">
        <f>INDEX(Receivables_Ledger!C$2:C$1201,SMALL(Receivables_Ledger!P$2:P$1201,76))</f>
        <v/>
      </c>
      <c r="D77" s="3">
        <f>INDEX(Receivables_Ledger!E$2:E$1201,SMALL(Receivables_Ledger!P$2:P$1201,76))</f>
        <v/>
      </c>
      <c r="E77" s="3">
        <f>INDEX(Receivables_Ledger!M$2:M$1201,SMALL(Receivables_Ledger!P$2:P$1201,76))</f>
        <v/>
      </c>
      <c r="F77" s="5">
        <f>INDEX(Receivables_Ledger!J$2:J$1201,SMALL(Receivables_Ledger!P$2:P$1201,76))</f>
        <v/>
      </c>
      <c r="G77" s="3">
        <f>IF(E77&gt;90,"LOST",IF(E77&gt;60,"ESCALATE",IF(E77&gt;30,"WATCH","MILD")))</f>
        <v/>
      </c>
      <c r="H77" s="4">
        <f>Guide!$B$3+IF(G77="LOST",0,IF(G77="ESCALATE",1,IF(G77="WATCH",3,7)))</f>
        <v/>
      </c>
    </row>
    <row r="78">
      <c r="A78" s="3">
        <f>ROW()-1</f>
        <v/>
      </c>
      <c r="B78" s="3">
        <f>INDEX(Receivables_Ledger!A$2:A$1201,SMALL(Receivables_Ledger!P$2:P$1201,77))</f>
        <v/>
      </c>
      <c r="C78" s="3">
        <f>INDEX(Receivables_Ledger!C$2:C$1201,SMALL(Receivables_Ledger!P$2:P$1201,77))</f>
        <v/>
      </c>
      <c r="D78" s="3">
        <f>INDEX(Receivables_Ledger!E$2:E$1201,SMALL(Receivables_Ledger!P$2:P$1201,77))</f>
        <v/>
      </c>
      <c r="E78" s="3">
        <f>INDEX(Receivables_Ledger!M$2:M$1201,SMALL(Receivables_Ledger!P$2:P$1201,77))</f>
        <v/>
      </c>
      <c r="F78" s="5">
        <f>INDEX(Receivables_Ledger!J$2:J$1201,SMALL(Receivables_Ledger!P$2:P$1201,77))</f>
        <v/>
      </c>
      <c r="G78" s="3">
        <f>IF(E78&gt;90,"LOST",IF(E78&gt;60,"ESCALATE",IF(E78&gt;30,"WATCH","MILD")))</f>
        <v/>
      </c>
      <c r="H78" s="4">
        <f>Guide!$B$3+IF(G78="LOST",0,IF(G78="ESCALATE",1,IF(G78="WATCH",3,7)))</f>
        <v/>
      </c>
    </row>
    <row r="79">
      <c r="A79" s="3">
        <f>ROW()-1</f>
        <v/>
      </c>
      <c r="B79" s="3">
        <f>INDEX(Receivables_Ledger!A$2:A$1201,SMALL(Receivables_Ledger!P$2:P$1201,78))</f>
        <v/>
      </c>
      <c r="C79" s="3">
        <f>INDEX(Receivables_Ledger!C$2:C$1201,SMALL(Receivables_Ledger!P$2:P$1201,78))</f>
        <v/>
      </c>
      <c r="D79" s="3">
        <f>INDEX(Receivables_Ledger!E$2:E$1201,SMALL(Receivables_Ledger!P$2:P$1201,78))</f>
        <v/>
      </c>
      <c r="E79" s="3">
        <f>INDEX(Receivables_Ledger!M$2:M$1201,SMALL(Receivables_Ledger!P$2:P$1201,78))</f>
        <v/>
      </c>
      <c r="F79" s="5">
        <f>INDEX(Receivables_Ledger!J$2:J$1201,SMALL(Receivables_Ledger!P$2:P$1201,78))</f>
        <v/>
      </c>
      <c r="G79" s="3">
        <f>IF(E79&gt;90,"LOST",IF(E79&gt;60,"ESCALATE",IF(E79&gt;30,"WATCH","MILD")))</f>
        <v/>
      </c>
      <c r="H79" s="4">
        <f>Guide!$B$3+IF(G79="LOST",0,IF(G79="ESCALATE",1,IF(G79="WATCH",3,7)))</f>
        <v/>
      </c>
    </row>
    <row r="80">
      <c r="A80" s="3">
        <f>ROW()-1</f>
        <v/>
      </c>
      <c r="B80" s="3">
        <f>INDEX(Receivables_Ledger!A$2:A$1201,SMALL(Receivables_Ledger!P$2:P$1201,79))</f>
        <v/>
      </c>
      <c r="C80" s="3">
        <f>INDEX(Receivables_Ledger!C$2:C$1201,SMALL(Receivables_Ledger!P$2:P$1201,79))</f>
        <v/>
      </c>
      <c r="D80" s="3">
        <f>INDEX(Receivables_Ledger!E$2:E$1201,SMALL(Receivables_Ledger!P$2:P$1201,79))</f>
        <v/>
      </c>
      <c r="E80" s="3">
        <f>INDEX(Receivables_Ledger!M$2:M$1201,SMALL(Receivables_Ledger!P$2:P$1201,79))</f>
        <v/>
      </c>
      <c r="F80" s="5">
        <f>INDEX(Receivables_Ledger!J$2:J$1201,SMALL(Receivables_Ledger!P$2:P$1201,79))</f>
        <v/>
      </c>
      <c r="G80" s="3">
        <f>IF(E80&gt;90,"LOST",IF(E80&gt;60,"ESCALATE",IF(E80&gt;30,"WATCH","MILD")))</f>
        <v/>
      </c>
      <c r="H80" s="4">
        <f>Guide!$B$3+IF(G80="LOST",0,IF(G80="ESCALATE",1,IF(G80="WATCH",3,7)))</f>
        <v/>
      </c>
    </row>
    <row r="81">
      <c r="A81" s="3">
        <f>ROW()-1</f>
        <v/>
      </c>
      <c r="B81" s="3">
        <f>INDEX(Receivables_Ledger!A$2:A$1201,SMALL(Receivables_Ledger!P$2:P$1201,80))</f>
        <v/>
      </c>
      <c r="C81" s="3">
        <f>INDEX(Receivables_Ledger!C$2:C$1201,SMALL(Receivables_Ledger!P$2:P$1201,80))</f>
        <v/>
      </c>
      <c r="D81" s="3">
        <f>INDEX(Receivables_Ledger!E$2:E$1201,SMALL(Receivables_Ledger!P$2:P$1201,80))</f>
        <v/>
      </c>
      <c r="E81" s="3">
        <f>INDEX(Receivables_Ledger!M$2:M$1201,SMALL(Receivables_Ledger!P$2:P$1201,80))</f>
        <v/>
      </c>
      <c r="F81" s="5">
        <f>INDEX(Receivables_Ledger!J$2:J$1201,SMALL(Receivables_Ledger!P$2:P$1201,80))</f>
        <v/>
      </c>
      <c r="G81" s="3">
        <f>IF(E81&gt;90,"LOST",IF(E81&gt;60,"ESCALATE",IF(E81&gt;30,"WATCH","MILD")))</f>
        <v/>
      </c>
      <c r="H81" s="4">
        <f>Guide!$B$3+IF(G81="LOST",0,IF(G81="ESCALATE",1,IF(G81="WATCH",3,7)))</f>
        <v/>
      </c>
    </row>
    <row r="82">
      <c r="A82" s="3">
        <f>ROW()-1</f>
        <v/>
      </c>
      <c r="B82" s="3">
        <f>INDEX(Receivables_Ledger!A$2:A$1201,SMALL(Receivables_Ledger!P$2:P$1201,81))</f>
        <v/>
      </c>
      <c r="C82" s="3">
        <f>INDEX(Receivables_Ledger!C$2:C$1201,SMALL(Receivables_Ledger!P$2:P$1201,81))</f>
        <v/>
      </c>
      <c r="D82" s="3">
        <f>INDEX(Receivables_Ledger!E$2:E$1201,SMALL(Receivables_Ledger!P$2:P$1201,81))</f>
        <v/>
      </c>
      <c r="E82" s="3">
        <f>INDEX(Receivables_Ledger!M$2:M$1201,SMALL(Receivables_Ledger!P$2:P$1201,81))</f>
        <v/>
      </c>
      <c r="F82" s="5">
        <f>INDEX(Receivables_Ledger!J$2:J$1201,SMALL(Receivables_Ledger!P$2:P$1201,81))</f>
        <v/>
      </c>
      <c r="G82" s="3">
        <f>IF(E82&gt;90,"LOST",IF(E82&gt;60,"ESCALATE",IF(E82&gt;30,"WATCH","MILD")))</f>
        <v/>
      </c>
      <c r="H82" s="4">
        <f>Guide!$B$3+IF(G82="LOST",0,IF(G82="ESCALATE",1,IF(G82="WATCH",3,7)))</f>
        <v/>
      </c>
    </row>
    <row r="83">
      <c r="A83" s="3">
        <f>ROW()-1</f>
        <v/>
      </c>
      <c r="B83" s="3">
        <f>INDEX(Receivables_Ledger!A$2:A$1201,SMALL(Receivables_Ledger!P$2:P$1201,82))</f>
        <v/>
      </c>
      <c r="C83" s="3">
        <f>INDEX(Receivables_Ledger!C$2:C$1201,SMALL(Receivables_Ledger!P$2:P$1201,82))</f>
        <v/>
      </c>
      <c r="D83" s="3">
        <f>INDEX(Receivables_Ledger!E$2:E$1201,SMALL(Receivables_Ledger!P$2:P$1201,82))</f>
        <v/>
      </c>
      <c r="E83" s="3">
        <f>INDEX(Receivables_Ledger!M$2:M$1201,SMALL(Receivables_Ledger!P$2:P$1201,82))</f>
        <v/>
      </c>
      <c r="F83" s="5">
        <f>INDEX(Receivables_Ledger!J$2:J$1201,SMALL(Receivables_Ledger!P$2:P$1201,82))</f>
        <v/>
      </c>
      <c r="G83" s="3">
        <f>IF(E83&gt;90,"LOST",IF(E83&gt;60,"ESCALATE",IF(E83&gt;30,"WATCH","MILD")))</f>
        <v/>
      </c>
      <c r="H83" s="4">
        <f>Guide!$B$3+IF(G83="LOST",0,IF(G83="ESCALATE",1,IF(G83="WATCH",3,7)))</f>
        <v/>
      </c>
    </row>
    <row r="84">
      <c r="A84" s="3">
        <f>ROW()-1</f>
        <v/>
      </c>
      <c r="B84" s="3">
        <f>INDEX(Receivables_Ledger!A$2:A$1201,SMALL(Receivables_Ledger!P$2:P$1201,83))</f>
        <v/>
      </c>
      <c r="C84" s="3">
        <f>INDEX(Receivables_Ledger!C$2:C$1201,SMALL(Receivables_Ledger!P$2:P$1201,83))</f>
        <v/>
      </c>
      <c r="D84" s="3">
        <f>INDEX(Receivables_Ledger!E$2:E$1201,SMALL(Receivables_Ledger!P$2:P$1201,83))</f>
        <v/>
      </c>
      <c r="E84" s="3">
        <f>INDEX(Receivables_Ledger!M$2:M$1201,SMALL(Receivables_Ledger!P$2:P$1201,83))</f>
        <v/>
      </c>
      <c r="F84" s="5">
        <f>INDEX(Receivables_Ledger!J$2:J$1201,SMALL(Receivables_Ledger!P$2:P$1201,83))</f>
        <v/>
      </c>
      <c r="G84" s="3">
        <f>IF(E84&gt;90,"LOST",IF(E84&gt;60,"ESCALATE",IF(E84&gt;30,"WATCH","MILD")))</f>
        <v/>
      </c>
      <c r="H84" s="4">
        <f>Guide!$B$3+IF(G84="LOST",0,IF(G84="ESCALATE",1,IF(G84="WATCH",3,7)))</f>
        <v/>
      </c>
    </row>
    <row r="85">
      <c r="A85" s="3">
        <f>ROW()-1</f>
        <v/>
      </c>
      <c r="B85" s="3">
        <f>INDEX(Receivables_Ledger!A$2:A$1201,SMALL(Receivables_Ledger!P$2:P$1201,84))</f>
        <v/>
      </c>
      <c r="C85" s="3">
        <f>INDEX(Receivables_Ledger!C$2:C$1201,SMALL(Receivables_Ledger!P$2:P$1201,84))</f>
        <v/>
      </c>
      <c r="D85" s="3">
        <f>INDEX(Receivables_Ledger!E$2:E$1201,SMALL(Receivables_Ledger!P$2:P$1201,84))</f>
        <v/>
      </c>
      <c r="E85" s="3">
        <f>INDEX(Receivables_Ledger!M$2:M$1201,SMALL(Receivables_Ledger!P$2:P$1201,84))</f>
        <v/>
      </c>
      <c r="F85" s="5">
        <f>INDEX(Receivables_Ledger!J$2:J$1201,SMALL(Receivables_Ledger!P$2:P$1201,84))</f>
        <v/>
      </c>
      <c r="G85" s="3">
        <f>IF(E85&gt;90,"LOST",IF(E85&gt;60,"ESCALATE",IF(E85&gt;30,"WATCH","MILD")))</f>
        <v/>
      </c>
      <c r="H85" s="4">
        <f>Guide!$B$3+IF(G85="LOST",0,IF(G85="ESCALATE",1,IF(G85="WATCH",3,7)))</f>
        <v/>
      </c>
    </row>
    <row r="86">
      <c r="A86" s="3">
        <f>ROW()-1</f>
        <v/>
      </c>
      <c r="B86" s="3">
        <f>INDEX(Receivables_Ledger!A$2:A$1201,SMALL(Receivables_Ledger!P$2:P$1201,85))</f>
        <v/>
      </c>
      <c r="C86" s="3">
        <f>INDEX(Receivables_Ledger!C$2:C$1201,SMALL(Receivables_Ledger!P$2:P$1201,85))</f>
        <v/>
      </c>
      <c r="D86" s="3">
        <f>INDEX(Receivables_Ledger!E$2:E$1201,SMALL(Receivables_Ledger!P$2:P$1201,85))</f>
        <v/>
      </c>
      <c r="E86" s="3">
        <f>INDEX(Receivables_Ledger!M$2:M$1201,SMALL(Receivables_Ledger!P$2:P$1201,85))</f>
        <v/>
      </c>
      <c r="F86" s="5">
        <f>INDEX(Receivables_Ledger!J$2:J$1201,SMALL(Receivables_Ledger!P$2:P$1201,85))</f>
        <v/>
      </c>
      <c r="G86" s="3">
        <f>IF(E86&gt;90,"LOST",IF(E86&gt;60,"ESCALATE",IF(E86&gt;30,"WATCH","MILD")))</f>
        <v/>
      </c>
      <c r="H86" s="4">
        <f>Guide!$B$3+IF(G86="LOST",0,IF(G86="ESCALATE",1,IF(G86="WATCH",3,7)))</f>
        <v/>
      </c>
    </row>
    <row r="87">
      <c r="A87" s="3">
        <f>ROW()-1</f>
        <v/>
      </c>
      <c r="B87" s="3">
        <f>INDEX(Receivables_Ledger!A$2:A$1201,SMALL(Receivables_Ledger!P$2:P$1201,86))</f>
        <v/>
      </c>
      <c r="C87" s="3">
        <f>INDEX(Receivables_Ledger!C$2:C$1201,SMALL(Receivables_Ledger!P$2:P$1201,86))</f>
        <v/>
      </c>
      <c r="D87" s="3">
        <f>INDEX(Receivables_Ledger!E$2:E$1201,SMALL(Receivables_Ledger!P$2:P$1201,86))</f>
        <v/>
      </c>
      <c r="E87" s="3">
        <f>INDEX(Receivables_Ledger!M$2:M$1201,SMALL(Receivables_Ledger!P$2:P$1201,86))</f>
        <v/>
      </c>
      <c r="F87" s="5">
        <f>INDEX(Receivables_Ledger!J$2:J$1201,SMALL(Receivables_Ledger!P$2:P$1201,86))</f>
        <v/>
      </c>
      <c r="G87" s="3">
        <f>IF(E87&gt;90,"LOST",IF(E87&gt;60,"ESCALATE",IF(E87&gt;30,"WATCH","MILD")))</f>
        <v/>
      </c>
      <c r="H87" s="4">
        <f>Guide!$B$3+IF(G87="LOST",0,IF(G87="ESCALATE",1,IF(G87="WATCH",3,7)))</f>
        <v/>
      </c>
    </row>
    <row r="88">
      <c r="A88" s="3">
        <f>ROW()-1</f>
        <v/>
      </c>
      <c r="B88" s="3">
        <f>INDEX(Receivables_Ledger!A$2:A$1201,SMALL(Receivables_Ledger!P$2:P$1201,87))</f>
        <v/>
      </c>
      <c r="C88" s="3">
        <f>INDEX(Receivables_Ledger!C$2:C$1201,SMALL(Receivables_Ledger!P$2:P$1201,87))</f>
        <v/>
      </c>
      <c r="D88" s="3">
        <f>INDEX(Receivables_Ledger!E$2:E$1201,SMALL(Receivables_Ledger!P$2:P$1201,87))</f>
        <v/>
      </c>
      <c r="E88" s="3">
        <f>INDEX(Receivables_Ledger!M$2:M$1201,SMALL(Receivables_Ledger!P$2:P$1201,87))</f>
        <v/>
      </c>
      <c r="F88" s="5">
        <f>INDEX(Receivables_Ledger!J$2:J$1201,SMALL(Receivables_Ledger!P$2:P$1201,87))</f>
        <v/>
      </c>
      <c r="G88" s="3">
        <f>IF(E88&gt;90,"LOST",IF(E88&gt;60,"ESCALATE",IF(E88&gt;30,"WATCH","MILD")))</f>
        <v/>
      </c>
      <c r="H88" s="4">
        <f>Guide!$B$3+IF(G88="LOST",0,IF(G88="ESCALATE",1,IF(G88="WATCH",3,7)))</f>
        <v/>
      </c>
    </row>
    <row r="89">
      <c r="A89" s="3">
        <f>ROW()-1</f>
        <v/>
      </c>
      <c r="B89" s="3">
        <f>INDEX(Receivables_Ledger!A$2:A$1201,SMALL(Receivables_Ledger!P$2:P$1201,88))</f>
        <v/>
      </c>
      <c r="C89" s="3">
        <f>INDEX(Receivables_Ledger!C$2:C$1201,SMALL(Receivables_Ledger!P$2:P$1201,88))</f>
        <v/>
      </c>
      <c r="D89" s="3">
        <f>INDEX(Receivables_Ledger!E$2:E$1201,SMALL(Receivables_Ledger!P$2:P$1201,88))</f>
        <v/>
      </c>
      <c r="E89" s="3">
        <f>INDEX(Receivables_Ledger!M$2:M$1201,SMALL(Receivables_Ledger!P$2:P$1201,88))</f>
        <v/>
      </c>
      <c r="F89" s="5">
        <f>INDEX(Receivables_Ledger!J$2:J$1201,SMALL(Receivables_Ledger!P$2:P$1201,88))</f>
        <v/>
      </c>
      <c r="G89" s="3">
        <f>IF(E89&gt;90,"LOST",IF(E89&gt;60,"ESCALATE",IF(E89&gt;30,"WATCH","MILD")))</f>
        <v/>
      </c>
      <c r="H89" s="4">
        <f>Guide!$B$3+IF(G89="LOST",0,IF(G89="ESCALATE",1,IF(G89="WATCH",3,7)))</f>
        <v/>
      </c>
    </row>
    <row r="90">
      <c r="A90" s="3">
        <f>ROW()-1</f>
        <v/>
      </c>
      <c r="B90" s="3">
        <f>INDEX(Receivables_Ledger!A$2:A$1201,SMALL(Receivables_Ledger!P$2:P$1201,89))</f>
        <v/>
      </c>
      <c r="C90" s="3">
        <f>INDEX(Receivables_Ledger!C$2:C$1201,SMALL(Receivables_Ledger!P$2:P$1201,89))</f>
        <v/>
      </c>
      <c r="D90" s="3">
        <f>INDEX(Receivables_Ledger!E$2:E$1201,SMALL(Receivables_Ledger!P$2:P$1201,89))</f>
        <v/>
      </c>
      <c r="E90" s="3">
        <f>INDEX(Receivables_Ledger!M$2:M$1201,SMALL(Receivables_Ledger!P$2:P$1201,89))</f>
        <v/>
      </c>
      <c r="F90" s="5">
        <f>INDEX(Receivables_Ledger!J$2:J$1201,SMALL(Receivables_Ledger!P$2:P$1201,89))</f>
        <v/>
      </c>
      <c r="G90" s="3">
        <f>IF(E90&gt;90,"LOST",IF(E90&gt;60,"ESCALATE",IF(E90&gt;30,"WATCH","MILD")))</f>
        <v/>
      </c>
      <c r="H90" s="4">
        <f>Guide!$B$3+IF(G90="LOST",0,IF(G90="ESCALATE",1,IF(G90="WATCH",3,7)))</f>
        <v/>
      </c>
    </row>
    <row r="91">
      <c r="A91" s="3">
        <f>ROW()-1</f>
        <v/>
      </c>
      <c r="B91" s="3">
        <f>INDEX(Receivables_Ledger!A$2:A$1201,SMALL(Receivables_Ledger!P$2:P$1201,90))</f>
        <v/>
      </c>
      <c r="C91" s="3">
        <f>INDEX(Receivables_Ledger!C$2:C$1201,SMALL(Receivables_Ledger!P$2:P$1201,90))</f>
        <v/>
      </c>
      <c r="D91" s="3">
        <f>INDEX(Receivables_Ledger!E$2:E$1201,SMALL(Receivables_Ledger!P$2:P$1201,90))</f>
        <v/>
      </c>
      <c r="E91" s="3">
        <f>INDEX(Receivables_Ledger!M$2:M$1201,SMALL(Receivables_Ledger!P$2:P$1201,90))</f>
        <v/>
      </c>
      <c r="F91" s="5">
        <f>INDEX(Receivables_Ledger!J$2:J$1201,SMALL(Receivables_Ledger!P$2:P$1201,90))</f>
        <v/>
      </c>
      <c r="G91" s="3">
        <f>IF(E91&gt;90,"LOST",IF(E91&gt;60,"ESCALATE",IF(E91&gt;30,"WATCH","MILD")))</f>
        <v/>
      </c>
      <c r="H91" s="4">
        <f>Guide!$B$3+IF(G91="LOST",0,IF(G91="ESCALATE",1,IF(G91="WATCH",3,7)))</f>
        <v/>
      </c>
    </row>
    <row r="92">
      <c r="A92" s="3">
        <f>ROW()-1</f>
        <v/>
      </c>
      <c r="B92" s="3">
        <f>INDEX(Receivables_Ledger!A$2:A$1201,SMALL(Receivables_Ledger!P$2:P$1201,91))</f>
        <v/>
      </c>
      <c r="C92" s="3">
        <f>INDEX(Receivables_Ledger!C$2:C$1201,SMALL(Receivables_Ledger!P$2:P$1201,91))</f>
        <v/>
      </c>
      <c r="D92" s="3">
        <f>INDEX(Receivables_Ledger!E$2:E$1201,SMALL(Receivables_Ledger!P$2:P$1201,91))</f>
        <v/>
      </c>
      <c r="E92" s="3">
        <f>INDEX(Receivables_Ledger!M$2:M$1201,SMALL(Receivables_Ledger!P$2:P$1201,91))</f>
        <v/>
      </c>
      <c r="F92" s="5">
        <f>INDEX(Receivables_Ledger!J$2:J$1201,SMALL(Receivables_Ledger!P$2:P$1201,91))</f>
        <v/>
      </c>
      <c r="G92" s="3">
        <f>IF(E92&gt;90,"LOST",IF(E92&gt;60,"ESCALATE",IF(E92&gt;30,"WATCH","MILD")))</f>
        <v/>
      </c>
      <c r="H92" s="4">
        <f>Guide!$B$3+IF(G92="LOST",0,IF(G92="ESCALATE",1,IF(G92="WATCH",3,7)))</f>
        <v/>
      </c>
    </row>
    <row r="93">
      <c r="A93" s="3">
        <f>ROW()-1</f>
        <v/>
      </c>
      <c r="B93" s="3">
        <f>INDEX(Receivables_Ledger!A$2:A$1201,SMALL(Receivables_Ledger!P$2:P$1201,92))</f>
        <v/>
      </c>
      <c r="C93" s="3">
        <f>INDEX(Receivables_Ledger!C$2:C$1201,SMALL(Receivables_Ledger!P$2:P$1201,92))</f>
        <v/>
      </c>
      <c r="D93" s="3">
        <f>INDEX(Receivables_Ledger!E$2:E$1201,SMALL(Receivables_Ledger!P$2:P$1201,92))</f>
        <v/>
      </c>
      <c r="E93" s="3">
        <f>INDEX(Receivables_Ledger!M$2:M$1201,SMALL(Receivables_Ledger!P$2:P$1201,92))</f>
        <v/>
      </c>
      <c r="F93" s="5">
        <f>INDEX(Receivables_Ledger!J$2:J$1201,SMALL(Receivables_Ledger!P$2:P$1201,92))</f>
        <v/>
      </c>
      <c r="G93" s="3">
        <f>IF(E93&gt;90,"LOST",IF(E93&gt;60,"ESCALATE",IF(E93&gt;30,"WATCH","MILD")))</f>
        <v/>
      </c>
      <c r="H93" s="4">
        <f>Guide!$B$3+IF(G93="LOST",0,IF(G93="ESCALATE",1,IF(G93="WATCH",3,7)))</f>
        <v/>
      </c>
    </row>
    <row r="94">
      <c r="A94" s="3">
        <f>ROW()-1</f>
        <v/>
      </c>
      <c r="B94" s="3">
        <f>INDEX(Receivables_Ledger!A$2:A$1201,SMALL(Receivables_Ledger!P$2:P$1201,93))</f>
        <v/>
      </c>
      <c r="C94" s="3">
        <f>INDEX(Receivables_Ledger!C$2:C$1201,SMALL(Receivables_Ledger!P$2:P$1201,93))</f>
        <v/>
      </c>
      <c r="D94" s="3">
        <f>INDEX(Receivables_Ledger!E$2:E$1201,SMALL(Receivables_Ledger!P$2:P$1201,93))</f>
        <v/>
      </c>
      <c r="E94" s="3">
        <f>INDEX(Receivables_Ledger!M$2:M$1201,SMALL(Receivables_Ledger!P$2:P$1201,93))</f>
        <v/>
      </c>
      <c r="F94" s="5">
        <f>INDEX(Receivables_Ledger!J$2:J$1201,SMALL(Receivables_Ledger!P$2:P$1201,93))</f>
        <v/>
      </c>
      <c r="G94" s="3">
        <f>IF(E94&gt;90,"LOST",IF(E94&gt;60,"ESCALATE",IF(E94&gt;30,"WATCH","MILD")))</f>
        <v/>
      </c>
      <c r="H94" s="4">
        <f>Guide!$B$3+IF(G94="LOST",0,IF(G94="ESCALATE",1,IF(G94="WATCH",3,7)))</f>
        <v/>
      </c>
    </row>
    <row r="95">
      <c r="A95" s="3">
        <f>ROW()-1</f>
        <v/>
      </c>
      <c r="B95" s="3">
        <f>INDEX(Receivables_Ledger!A$2:A$1201,SMALL(Receivables_Ledger!P$2:P$1201,94))</f>
        <v/>
      </c>
      <c r="C95" s="3">
        <f>INDEX(Receivables_Ledger!C$2:C$1201,SMALL(Receivables_Ledger!P$2:P$1201,94))</f>
        <v/>
      </c>
      <c r="D95" s="3">
        <f>INDEX(Receivables_Ledger!E$2:E$1201,SMALL(Receivables_Ledger!P$2:P$1201,94))</f>
        <v/>
      </c>
      <c r="E95" s="3">
        <f>INDEX(Receivables_Ledger!M$2:M$1201,SMALL(Receivables_Ledger!P$2:P$1201,94))</f>
        <v/>
      </c>
      <c r="F95" s="5">
        <f>INDEX(Receivables_Ledger!J$2:J$1201,SMALL(Receivables_Ledger!P$2:P$1201,94))</f>
        <v/>
      </c>
      <c r="G95" s="3">
        <f>IF(E95&gt;90,"LOST",IF(E95&gt;60,"ESCALATE",IF(E95&gt;30,"WATCH","MILD")))</f>
        <v/>
      </c>
      <c r="H95" s="4">
        <f>Guide!$B$3+IF(G95="LOST",0,IF(G95="ESCALATE",1,IF(G95="WATCH",3,7)))</f>
        <v/>
      </c>
    </row>
    <row r="96">
      <c r="A96" s="3">
        <f>ROW()-1</f>
        <v/>
      </c>
      <c r="B96" s="3">
        <f>INDEX(Receivables_Ledger!A$2:A$1201,SMALL(Receivables_Ledger!P$2:P$1201,95))</f>
        <v/>
      </c>
      <c r="C96" s="3">
        <f>INDEX(Receivables_Ledger!C$2:C$1201,SMALL(Receivables_Ledger!P$2:P$1201,95))</f>
        <v/>
      </c>
      <c r="D96" s="3">
        <f>INDEX(Receivables_Ledger!E$2:E$1201,SMALL(Receivables_Ledger!P$2:P$1201,95))</f>
        <v/>
      </c>
      <c r="E96" s="3">
        <f>INDEX(Receivables_Ledger!M$2:M$1201,SMALL(Receivables_Ledger!P$2:P$1201,95))</f>
        <v/>
      </c>
      <c r="F96" s="5">
        <f>INDEX(Receivables_Ledger!J$2:J$1201,SMALL(Receivables_Ledger!P$2:P$1201,95))</f>
        <v/>
      </c>
      <c r="G96" s="3">
        <f>IF(E96&gt;90,"LOST",IF(E96&gt;60,"ESCALATE",IF(E96&gt;30,"WATCH","MILD")))</f>
        <v/>
      </c>
      <c r="H96" s="4">
        <f>Guide!$B$3+IF(G96="LOST",0,IF(G96="ESCALATE",1,IF(G96="WATCH",3,7)))</f>
        <v/>
      </c>
    </row>
    <row r="97">
      <c r="A97" s="3">
        <f>ROW()-1</f>
        <v/>
      </c>
      <c r="B97" s="3">
        <f>INDEX(Receivables_Ledger!A$2:A$1201,SMALL(Receivables_Ledger!P$2:P$1201,96))</f>
        <v/>
      </c>
      <c r="C97" s="3">
        <f>INDEX(Receivables_Ledger!C$2:C$1201,SMALL(Receivables_Ledger!P$2:P$1201,96))</f>
        <v/>
      </c>
      <c r="D97" s="3">
        <f>INDEX(Receivables_Ledger!E$2:E$1201,SMALL(Receivables_Ledger!P$2:P$1201,96))</f>
        <v/>
      </c>
      <c r="E97" s="3">
        <f>INDEX(Receivables_Ledger!M$2:M$1201,SMALL(Receivables_Ledger!P$2:P$1201,96))</f>
        <v/>
      </c>
      <c r="F97" s="5">
        <f>INDEX(Receivables_Ledger!J$2:J$1201,SMALL(Receivables_Ledger!P$2:P$1201,96))</f>
        <v/>
      </c>
      <c r="G97" s="3">
        <f>IF(E97&gt;90,"LOST",IF(E97&gt;60,"ESCALATE",IF(E97&gt;30,"WATCH","MILD")))</f>
        <v/>
      </c>
      <c r="H97" s="4">
        <f>Guide!$B$3+IF(G97="LOST",0,IF(G97="ESCALATE",1,IF(G97="WATCH",3,7)))</f>
        <v/>
      </c>
    </row>
    <row r="98">
      <c r="A98" s="3">
        <f>ROW()-1</f>
        <v/>
      </c>
      <c r="B98" s="3">
        <f>INDEX(Receivables_Ledger!A$2:A$1201,SMALL(Receivables_Ledger!P$2:P$1201,97))</f>
        <v/>
      </c>
      <c r="C98" s="3">
        <f>INDEX(Receivables_Ledger!C$2:C$1201,SMALL(Receivables_Ledger!P$2:P$1201,97))</f>
        <v/>
      </c>
      <c r="D98" s="3">
        <f>INDEX(Receivables_Ledger!E$2:E$1201,SMALL(Receivables_Ledger!P$2:P$1201,97))</f>
        <v/>
      </c>
      <c r="E98" s="3">
        <f>INDEX(Receivables_Ledger!M$2:M$1201,SMALL(Receivables_Ledger!P$2:P$1201,97))</f>
        <v/>
      </c>
      <c r="F98" s="5">
        <f>INDEX(Receivables_Ledger!J$2:J$1201,SMALL(Receivables_Ledger!P$2:P$1201,97))</f>
        <v/>
      </c>
      <c r="G98" s="3">
        <f>IF(E98&gt;90,"LOST",IF(E98&gt;60,"ESCALATE",IF(E98&gt;30,"WATCH","MILD")))</f>
        <v/>
      </c>
      <c r="H98" s="4">
        <f>Guide!$B$3+IF(G98="LOST",0,IF(G98="ESCALATE",1,IF(G98="WATCH",3,7)))</f>
        <v/>
      </c>
    </row>
    <row r="99">
      <c r="A99" s="3">
        <f>ROW()-1</f>
        <v/>
      </c>
      <c r="B99" s="3">
        <f>INDEX(Receivables_Ledger!A$2:A$1201,SMALL(Receivables_Ledger!P$2:P$1201,98))</f>
        <v/>
      </c>
      <c r="C99" s="3">
        <f>INDEX(Receivables_Ledger!C$2:C$1201,SMALL(Receivables_Ledger!P$2:P$1201,98))</f>
        <v/>
      </c>
      <c r="D99" s="3">
        <f>INDEX(Receivables_Ledger!E$2:E$1201,SMALL(Receivables_Ledger!P$2:P$1201,98))</f>
        <v/>
      </c>
      <c r="E99" s="3">
        <f>INDEX(Receivables_Ledger!M$2:M$1201,SMALL(Receivables_Ledger!P$2:P$1201,98))</f>
        <v/>
      </c>
      <c r="F99" s="5">
        <f>INDEX(Receivables_Ledger!J$2:J$1201,SMALL(Receivables_Ledger!P$2:P$1201,98))</f>
        <v/>
      </c>
      <c r="G99" s="3">
        <f>IF(E99&gt;90,"LOST",IF(E99&gt;60,"ESCALATE",IF(E99&gt;30,"WATCH","MILD")))</f>
        <v/>
      </c>
      <c r="H99" s="4">
        <f>Guide!$B$3+IF(G99="LOST",0,IF(G99="ESCALATE",1,IF(G99="WATCH",3,7)))</f>
        <v/>
      </c>
    </row>
    <row r="100">
      <c r="A100" s="3">
        <f>ROW()-1</f>
        <v/>
      </c>
      <c r="B100" s="3">
        <f>INDEX(Receivables_Ledger!A$2:A$1201,SMALL(Receivables_Ledger!P$2:P$1201,99))</f>
        <v/>
      </c>
      <c r="C100" s="3">
        <f>INDEX(Receivables_Ledger!C$2:C$1201,SMALL(Receivables_Ledger!P$2:P$1201,99))</f>
        <v/>
      </c>
      <c r="D100" s="3">
        <f>INDEX(Receivables_Ledger!E$2:E$1201,SMALL(Receivables_Ledger!P$2:P$1201,99))</f>
        <v/>
      </c>
      <c r="E100" s="3">
        <f>INDEX(Receivables_Ledger!M$2:M$1201,SMALL(Receivables_Ledger!P$2:P$1201,99))</f>
        <v/>
      </c>
      <c r="F100" s="5">
        <f>INDEX(Receivables_Ledger!J$2:J$1201,SMALL(Receivables_Ledger!P$2:P$1201,99))</f>
        <v/>
      </c>
      <c r="G100" s="3">
        <f>IF(E100&gt;90,"LOST",IF(E100&gt;60,"ESCALATE",IF(E100&gt;30,"WATCH","MILD")))</f>
        <v/>
      </c>
      <c r="H100" s="4">
        <f>Guide!$B$3+IF(G100="LOST",0,IF(G100="ESCALATE",1,IF(G100="WATCH",3,7)))</f>
        <v/>
      </c>
    </row>
    <row r="101">
      <c r="A101" s="3">
        <f>ROW()-1</f>
        <v/>
      </c>
      <c r="B101" s="3">
        <f>INDEX(Receivables_Ledger!A$2:A$1201,SMALL(Receivables_Ledger!P$2:P$1201,100))</f>
        <v/>
      </c>
      <c r="C101" s="3">
        <f>INDEX(Receivables_Ledger!C$2:C$1201,SMALL(Receivables_Ledger!P$2:P$1201,100))</f>
        <v/>
      </c>
      <c r="D101" s="3">
        <f>INDEX(Receivables_Ledger!E$2:E$1201,SMALL(Receivables_Ledger!P$2:P$1201,100))</f>
        <v/>
      </c>
      <c r="E101" s="3">
        <f>INDEX(Receivables_Ledger!M$2:M$1201,SMALL(Receivables_Ledger!P$2:P$1201,100))</f>
        <v/>
      </c>
      <c r="F101" s="5">
        <f>INDEX(Receivables_Ledger!J$2:J$1201,SMALL(Receivables_Ledger!P$2:P$1201,100))</f>
        <v/>
      </c>
      <c r="G101" s="3">
        <f>IF(E101&gt;90,"LOST",IF(E101&gt;60,"ESCALATE",IF(E101&gt;30,"WATCH","MILD")))</f>
        <v/>
      </c>
      <c r="H101" s="4">
        <f>Guide!$B$3+IF(G101="LOST",0,IF(G101="ESCALATE",1,IF(G101="WATCH",3,7)))</f>
        <v/>
      </c>
    </row>
    <row r="102">
      <c r="A102" s="3">
        <f>ROW()-1</f>
        <v/>
      </c>
      <c r="B102" s="3">
        <f>INDEX(Receivables_Ledger!A$2:A$1201,SMALL(Receivables_Ledger!P$2:P$1201,101))</f>
        <v/>
      </c>
      <c r="C102" s="3">
        <f>INDEX(Receivables_Ledger!C$2:C$1201,SMALL(Receivables_Ledger!P$2:P$1201,101))</f>
        <v/>
      </c>
      <c r="D102" s="3">
        <f>INDEX(Receivables_Ledger!E$2:E$1201,SMALL(Receivables_Ledger!P$2:P$1201,101))</f>
        <v/>
      </c>
      <c r="E102" s="3">
        <f>INDEX(Receivables_Ledger!M$2:M$1201,SMALL(Receivables_Ledger!P$2:P$1201,101))</f>
        <v/>
      </c>
      <c r="F102" s="5">
        <f>INDEX(Receivables_Ledger!J$2:J$1201,SMALL(Receivables_Ledger!P$2:P$1201,101))</f>
        <v/>
      </c>
      <c r="G102" s="3">
        <f>IF(E102&gt;90,"LOST",IF(E102&gt;60,"ESCALATE",IF(E102&gt;30,"WATCH","MILD")))</f>
        <v/>
      </c>
      <c r="H102" s="4">
        <f>Guide!$B$3+IF(G102="LOST",0,IF(G102="ESCALATE",1,IF(G102="WATCH",3,7)))</f>
        <v/>
      </c>
    </row>
    <row r="103">
      <c r="A103" s="3">
        <f>ROW()-1</f>
        <v/>
      </c>
      <c r="B103" s="3">
        <f>INDEX(Receivables_Ledger!A$2:A$1201,SMALL(Receivables_Ledger!P$2:P$1201,102))</f>
        <v/>
      </c>
      <c r="C103" s="3">
        <f>INDEX(Receivables_Ledger!C$2:C$1201,SMALL(Receivables_Ledger!P$2:P$1201,102))</f>
        <v/>
      </c>
      <c r="D103" s="3">
        <f>INDEX(Receivables_Ledger!E$2:E$1201,SMALL(Receivables_Ledger!P$2:P$1201,102))</f>
        <v/>
      </c>
      <c r="E103" s="3">
        <f>INDEX(Receivables_Ledger!M$2:M$1201,SMALL(Receivables_Ledger!P$2:P$1201,102))</f>
        <v/>
      </c>
      <c r="F103" s="5">
        <f>INDEX(Receivables_Ledger!J$2:J$1201,SMALL(Receivables_Ledger!P$2:P$1201,102))</f>
        <v/>
      </c>
      <c r="G103" s="3">
        <f>IF(E103&gt;90,"LOST",IF(E103&gt;60,"ESCALATE",IF(E103&gt;30,"WATCH","MILD")))</f>
        <v/>
      </c>
      <c r="H103" s="4">
        <f>Guide!$B$3+IF(G103="LOST",0,IF(G103="ESCALATE",1,IF(G103="WATCH",3,7)))</f>
        <v/>
      </c>
    </row>
    <row r="104">
      <c r="A104" s="3">
        <f>ROW()-1</f>
        <v/>
      </c>
      <c r="B104" s="3">
        <f>INDEX(Receivables_Ledger!A$2:A$1201,SMALL(Receivables_Ledger!P$2:P$1201,103))</f>
        <v/>
      </c>
      <c r="C104" s="3">
        <f>INDEX(Receivables_Ledger!C$2:C$1201,SMALL(Receivables_Ledger!P$2:P$1201,103))</f>
        <v/>
      </c>
      <c r="D104" s="3">
        <f>INDEX(Receivables_Ledger!E$2:E$1201,SMALL(Receivables_Ledger!P$2:P$1201,103))</f>
        <v/>
      </c>
      <c r="E104" s="3">
        <f>INDEX(Receivables_Ledger!M$2:M$1201,SMALL(Receivables_Ledger!P$2:P$1201,103))</f>
        <v/>
      </c>
      <c r="F104" s="5">
        <f>INDEX(Receivables_Ledger!J$2:J$1201,SMALL(Receivables_Ledger!P$2:P$1201,103))</f>
        <v/>
      </c>
      <c r="G104" s="3">
        <f>IF(E104&gt;90,"LOST",IF(E104&gt;60,"ESCALATE",IF(E104&gt;30,"WATCH","MILD")))</f>
        <v/>
      </c>
      <c r="H104" s="4">
        <f>Guide!$B$3+IF(G104="LOST",0,IF(G104="ESCALATE",1,IF(G104="WATCH",3,7)))</f>
        <v/>
      </c>
    </row>
    <row r="105">
      <c r="A105" s="3">
        <f>ROW()-1</f>
        <v/>
      </c>
      <c r="B105" s="3">
        <f>INDEX(Receivables_Ledger!A$2:A$1201,SMALL(Receivables_Ledger!P$2:P$1201,104))</f>
        <v/>
      </c>
      <c r="C105" s="3">
        <f>INDEX(Receivables_Ledger!C$2:C$1201,SMALL(Receivables_Ledger!P$2:P$1201,104))</f>
        <v/>
      </c>
      <c r="D105" s="3">
        <f>INDEX(Receivables_Ledger!E$2:E$1201,SMALL(Receivables_Ledger!P$2:P$1201,104))</f>
        <v/>
      </c>
      <c r="E105" s="3">
        <f>INDEX(Receivables_Ledger!M$2:M$1201,SMALL(Receivables_Ledger!P$2:P$1201,104))</f>
        <v/>
      </c>
      <c r="F105" s="5">
        <f>INDEX(Receivables_Ledger!J$2:J$1201,SMALL(Receivables_Ledger!P$2:P$1201,104))</f>
        <v/>
      </c>
      <c r="G105" s="3">
        <f>IF(E105&gt;90,"LOST",IF(E105&gt;60,"ESCALATE",IF(E105&gt;30,"WATCH","MILD")))</f>
        <v/>
      </c>
      <c r="H105" s="4">
        <f>Guide!$B$3+IF(G105="LOST",0,IF(G105="ESCALATE",1,IF(G105="WATCH",3,7)))</f>
        <v/>
      </c>
    </row>
    <row r="106">
      <c r="A106" s="3">
        <f>ROW()-1</f>
        <v/>
      </c>
      <c r="B106" s="3">
        <f>INDEX(Receivables_Ledger!A$2:A$1201,SMALL(Receivables_Ledger!P$2:P$1201,105))</f>
        <v/>
      </c>
      <c r="C106" s="3">
        <f>INDEX(Receivables_Ledger!C$2:C$1201,SMALL(Receivables_Ledger!P$2:P$1201,105))</f>
        <v/>
      </c>
      <c r="D106" s="3">
        <f>INDEX(Receivables_Ledger!E$2:E$1201,SMALL(Receivables_Ledger!P$2:P$1201,105))</f>
        <v/>
      </c>
      <c r="E106" s="3">
        <f>INDEX(Receivables_Ledger!M$2:M$1201,SMALL(Receivables_Ledger!P$2:P$1201,105))</f>
        <v/>
      </c>
      <c r="F106" s="5">
        <f>INDEX(Receivables_Ledger!J$2:J$1201,SMALL(Receivables_Ledger!P$2:P$1201,105))</f>
        <v/>
      </c>
      <c r="G106" s="3">
        <f>IF(E106&gt;90,"LOST",IF(E106&gt;60,"ESCALATE",IF(E106&gt;30,"WATCH","MILD")))</f>
        <v/>
      </c>
      <c r="H106" s="4">
        <f>Guide!$B$3+IF(G106="LOST",0,IF(G106="ESCALATE",1,IF(G106="WATCH",3,7)))</f>
        <v/>
      </c>
    </row>
    <row r="107">
      <c r="A107" s="3">
        <f>ROW()-1</f>
        <v/>
      </c>
      <c r="B107" s="3">
        <f>INDEX(Receivables_Ledger!A$2:A$1201,SMALL(Receivables_Ledger!P$2:P$1201,106))</f>
        <v/>
      </c>
      <c r="C107" s="3">
        <f>INDEX(Receivables_Ledger!C$2:C$1201,SMALL(Receivables_Ledger!P$2:P$1201,106))</f>
        <v/>
      </c>
      <c r="D107" s="3">
        <f>INDEX(Receivables_Ledger!E$2:E$1201,SMALL(Receivables_Ledger!P$2:P$1201,106))</f>
        <v/>
      </c>
      <c r="E107" s="3">
        <f>INDEX(Receivables_Ledger!M$2:M$1201,SMALL(Receivables_Ledger!P$2:P$1201,106))</f>
        <v/>
      </c>
      <c r="F107" s="5">
        <f>INDEX(Receivables_Ledger!J$2:J$1201,SMALL(Receivables_Ledger!P$2:P$1201,106))</f>
        <v/>
      </c>
      <c r="G107" s="3">
        <f>IF(E107&gt;90,"LOST",IF(E107&gt;60,"ESCALATE",IF(E107&gt;30,"WATCH","MILD")))</f>
        <v/>
      </c>
      <c r="H107" s="4">
        <f>Guide!$B$3+IF(G107="LOST",0,IF(G107="ESCALATE",1,IF(G107="WATCH",3,7)))</f>
        <v/>
      </c>
    </row>
    <row r="108">
      <c r="A108" s="3">
        <f>ROW()-1</f>
        <v/>
      </c>
      <c r="B108" s="3">
        <f>INDEX(Receivables_Ledger!A$2:A$1201,SMALL(Receivables_Ledger!P$2:P$1201,107))</f>
        <v/>
      </c>
      <c r="C108" s="3">
        <f>INDEX(Receivables_Ledger!C$2:C$1201,SMALL(Receivables_Ledger!P$2:P$1201,107))</f>
        <v/>
      </c>
      <c r="D108" s="3">
        <f>INDEX(Receivables_Ledger!E$2:E$1201,SMALL(Receivables_Ledger!P$2:P$1201,107))</f>
        <v/>
      </c>
      <c r="E108" s="3">
        <f>INDEX(Receivables_Ledger!M$2:M$1201,SMALL(Receivables_Ledger!P$2:P$1201,107))</f>
        <v/>
      </c>
      <c r="F108" s="5">
        <f>INDEX(Receivables_Ledger!J$2:J$1201,SMALL(Receivables_Ledger!P$2:P$1201,107))</f>
        <v/>
      </c>
      <c r="G108" s="3">
        <f>IF(E108&gt;90,"LOST",IF(E108&gt;60,"ESCALATE",IF(E108&gt;30,"WATCH","MILD")))</f>
        <v/>
      </c>
      <c r="H108" s="4">
        <f>Guide!$B$3+IF(G108="LOST",0,IF(G108="ESCALATE",1,IF(G108="WATCH",3,7)))</f>
        <v/>
      </c>
    </row>
    <row r="109">
      <c r="A109" s="3">
        <f>ROW()-1</f>
        <v/>
      </c>
      <c r="B109" s="3">
        <f>INDEX(Receivables_Ledger!A$2:A$1201,SMALL(Receivables_Ledger!P$2:P$1201,108))</f>
        <v/>
      </c>
      <c r="C109" s="3">
        <f>INDEX(Receivables_Ledger!C$2:C$1201,SMALL(Receivables_Ledger!P$2:P$1201,108))</f>
        <v/>
      </c>
      <c r="D109" s="3">
        <f>INDEX(Receivables_Ledger!E$2:E$1201,SMALL(Receivables_Ledger!P$2:P$1201,108))</f>
        <v/>
      </c>
      <c r="E109" s="3">
        <f>INDEX(Receivables_Ledger!M$2:M$1201,SMALL(Receivables_Ledger!P$2:P$1201,108))</f>
        <v/>
      </c>
      <c r="F109" s="5">
        <f>INDEX(Receivables_Ledger!J$2:J$1201,SMALL(Receivables_Ledger!P$2:P$1201,108))</f>
        <v/>
      </c>
      <c r="G109" s="3">
        <f>IF(E109&gt;90,"LOST",IF(E109&gt;60,"ESCALATE",IF(E109&gt;30,"WATCH","MILD")))</f>
        <v/>
      </c>
      <c r="H109" s="4">
        <f>Guide!$B$3+IF(G109="LOST",0,IF(G109="ESCALATE",1,IF(G109="WATCH",3,7)))</f>
        <v/>
      </c>
    </row>
    <row r="110">
      <c r="A110" s="3">
        <f>ROW()-1</f>
        <v/>
      </c>
      <c r="B110" s="3">
        <f>INDEX(Receivables_Ledger!A$2:A$1201,SMALL(Receivables_Ledger!P$2:P$1201,109))</f>
        <v/>
      </c>
      <c r="C110" s="3">
        <f>INDEX(Receivables_Ledger!C$2:C$1201,SMALL(Receivables_Ledger!P$2:P$1201,109))</f>
        <v/>
      </c>
      <c r="D110" s="3">
        <f>INDEX(Receivables_Ledger!E$2:E$1201,SMALL(Receivables_Ledger!P$2:P$1201,109))</f>
        <v/>
      </c>
      <c r="E110" s="3">
        <f>INDEX(Receivables_Ledger!M$2:M$1201,SMALL(Receivables_Ledger!P$2:P$1201,109))</f>
        <v/>
      </c>
      <c r="F110" s="5">
        <f>INDEX(Receivables_Ledger!J$2:J$1201,SMALL(Receivables_Ledger!P$2:P$1201,109))</f>
        <v/>
      </c>
      <c r="G110" s="3">
        <f>IF(E110&gt;90,"LOST",IF(E110&gt;60,"ESCALATE",IF(E110&gt;30,"WATCH","MILD")))</f>
        <v/>
      </c>
      <c r="H110" s="4">
        <f>Guide!$B$3+IF(G110="LOST",0,IF(G110="ESCALATE",1,IF(G110="WATCH",3,7)))</f>
        <v/>
      </c>
    </row>
    <row r="111">
      <c r="A111" s="3">
        <f>ROW()-1</f>
        <v/>
      </c>
      <c r="B111" s="3">
        <f>INDEX(Receivables_Ledger!A$2:A$1201,SMALL(Receivables_Ledger!P$2:P$1201,110))</f>
        <v/>
      </c>
      <c r="C111" s="3">
        <f>INDEX(Receivables_Ledger!C$2:C$1201,SMALL(Receivables_Ledger!P$2:P$1201,110))</f>
        <v/>
      </c>
      <c r="D111" s="3">
        <f>INDEX(Receivables_Ledger!E$2:E$1201,SMALL(Receivables_Ledger!P$2:P$1201,110))</f>
        <v/>
      </c>
      <c r="E111" s="3">
        <f>INDEX(Receivables_Ledger!M$2:M$1201,SMALL(Receivables_Ledger!P$2:P$1201,110))</f>
        <v/>
      </c>
      <c r="F111" s="5">
        <f>INDEX(Receivables_Ledger!J$2:J$1201,SMALL(Receivables_Ledger!P$2:P$1201,110))</f>
        <v/>
      </c>
      <c r="G111" s="3">
        <f>IF(E111&gt;90,"LOST",IF(E111&gt;60,"ESCALATE",IF(E111&gt;30,"WATCH","MILD")))</f>
        <v/>
      </c>
      <c r="H111" s="4">
        <f>Guide!$B$3+IF(G111="LOST",0,IF(G111="ESCALATE",1,IF(G111="WATCH",3,7)))</f>
        <v/>
      </c>
    </row>
    <row r="112">
      <c r="A112" s="3">
        <f>ROW()-1</f>
        <v/>
      </c>
      <c r="B112" s="3">
        <f>INDEX(Receivables_Ledger!A$2:A$1201,SMALL(Receivables_Ledger!P$2:P$1201,111))</f>
        <v/>
      </c>
      <c r="C112" s="3">
        <f>INDEX(Receivables_Ledger!C$2:C$1201,SMALL(Receivables_Ledger!P$2:P$1201,111))</f>
        <v/>
      </c>
      <c r="D112" s="3">
        <f>INDEX(Receivables_Ledger!E$2:E$1201,SMALL(Receivables_Ledger!P$2:P$1201,111))</f>
        <v/>
      </c>
      <c r="E112" s="3">
        <f>INDEX(Receivables_Ledger!M$2:M$1201,SMALL(Receivables_Ledger!P$2:P$1201,111))</f>
        <v/>
      </c>
      <c r="F112" s="5">
        <f>INDEX(Receivables_Ledger!J$2:J$1201,SMALL(Receivables_Ledger!P$2:P$1201,111))</f>
        <v/>
      </c>
      <c r="G112" s="3">
        <f>IF(E112&gt;90,"LOST",IF(E112&gt;60,"ESCALATE",IF(E112&gt;30,"WATCH","MILD")))</f>
        <v/>
      </c>
      <c r="H112" s="4">
        <f>Guide!$B$3+IF(G112="LOST",0,IF(G112="ESCALATE",1,IF(G112="WATCH",3,7)))</f>
        <v/>
      </c>
    </row>
    <row r="113">
      <c r="A113" s="3">
        <f>ROW()-1</f>
        <v/>
      </c>
      <c r="B113" s="3">
        <f>INDEX(Receivables_Ledger!A$2:A$1201,SMALL(Receivables_Ledger!P$2:P$1201,112))</f>
        <v/>
      </c>
      <c r="C113" s="3">
        <f>INDEX(Receivables_Ledger!C$2:C$1201,SMALL(Receivables_Ledger!P$2:P$1201,112))</f>
        <v/>
      </c>
      <c r="D113" s="3">
        <f>INDEX(Receivables_Ledger!E$2:E$1201,SMALL(Receivables_Ledger!P$2:P$1201,112))</f>
        <v/>
      </c>
      <c r="E113" s="3">
        <f>INDEX(Receivables_Ledger!M$2:M$1201,SMALL(Receivables_Ledger!P$2:P$1201,112))</f>
        <v/>
      </c>
      <c r="F113" s="5">
        <f>INDEX(Receivables_Ledger!J$2:J$1201,SMALL(Receivables_Ledger!P$2:P$1201,112))</f>
        <v/>
      </c>
      <c r="G113" s="3">
        <f>IF(E113&gt;90,"LOST",IF(E113&gt;60,"ESCALATE",IF(E113&gt;30,"WATCH","MILD")))</f>
        <v/>
      </c>
      <c r="H113" s="4">
        <f>Guide!$B$3+IF(G113="LOST",0,IF(G113="ESCALATE",1,IF(G113="WATCH",3,7)))</f>
        <v/>
      </c>
    </row>
    <row r="114">
      <c r="A114" s="3">
        <f>ROW()-1</f>
        <v/>
      </c>
      <c r="B114" s="3">
        <f>INDEX(Receivables_Ledger!A$2:A$1201,SMALL(Receivables_Ledger!P$2:P$1201,113))</f>
        <v/>
      </c>
      <c r="C114" s="3">
        <f>INDEX(Receivables_Ledger!C$2:C$1201,SMALL(Receivables_Ledger!P$2:P$1201,113))</f>
        <v/>
      </c>
      <c r="D114" s="3">
        <f>INDEX(Receivables_Ledger!E$2:E$1201,SMALL(Receivables_Ledger!P$2:P$1201,113))</f>
        <v/>
      </c>
      <c r="E114" s="3">
        <f>INDEX(Receivables_Ledger!M$2:M$1201,SMALL(Receivables_Ledger!P$2:P$1201,113))</f>
        <v/>
      </c>
      <c r="F114" s="5">
        <f>INDEX(Receivables_Ledger!J$2:J$1201,SMALL(Receivables_Ledger!P$2:P$1201,113))</f>
        <v/>
      </c>
      <c r="G114" s="3">
        <f>IF(E114&gt;90,"LOST",IF(E114&gt;60,"ESCALATE",IF(E114&gt;30,"WATCH","MILD")))</f>
        <v/>
      </c>
      <c r="H114" s="4">
        <f>Guide!$B$3+IF(G114="LOST",0,IF(G114="ESCALATE",1,IF(G114="WATCH",3,7)))</f>
        <v/>
      </c>
    </row>
    <row r="115">
      <c r="A115" s="3">
        <f>ROW()-1</f>
        <v/>
      </c>
      <c r="B115" s="3">
        <f>INDEX(Receivables_Ledger!A$2:A$1201,SMALL(Receivables_Ledger!P$2:P$1201,114))</f>
        <v/>
      </c>
      <c r="C115" s="3">
        <f>INDEX(Receivables_Ledger!C$2:C$1201,SMALL(Receivables_Ledger!P$2:P$1201,114))</f>
        <v/>
      </c>
      <c r="D115" s="3">
        <f>INDEX(Receivables_Ledger!E$2:E$1201,SMALL(Receivables_Ledger!P$2:P$1201,114))</f>
        <v/>
      </c>
      <c r="E115" s="3">
        <f>INDEX(Receivables_Ledger!M$2:M$1201,SMALL(Receivables_Ledger!P$2:P$1201,114))</f>
        <v/>
      </c>
      <c r="F115" s="5">
        <f>INDEX(Receivables_Ledger!J$2:J$1201,SMALL(Receivables_Ledger!P$2:P$1201,114))</f>
        <v/>
      </c>
      <c r="G115" s="3">
        <f>IF(E115&gt;90,"LOST",IF(E115&gt;60,"ESCALATE",IF(E115&gt;30,"WATCH","MILD")))</f>
        <v/>
      </c>
      <c r="H115" s="4">
        <f>Guide!$B$3+IF(G115="LOST",0,IF(G115="ESCALATE",1,IF(G115="WATCH",3,7)))</f>
        <v/>
      </c>
    </row>
    <row r="116">
      <c r="A116" s="3">
        <f>ROW()-1</f>
        <v/>
      </c>
      <c r="B116" s="3">
        <f>INDEX(Receivables_Ledger!A$2:A$1201,SMALL(Receivables_Ledger!P$2:P$1201,115))</f>
        <v/>
      </c>
      <c r="C116" s="3">
        <f>INDEX(Receivables_Ledger!C$2:C$1201,SMALL(Receivables_Ledger!P$2:P$1201,115))</f>
        <v/>
      </c>
      <c r="D116" s="3">
        <f>INDEX(Receivables_Ledger!E$2:E$1201,SMALL(Receivables_Ledger!P$2:P$1201,115))</f>
        <v/>
      </c>
      <c r="E116" s="3">
        <f>INDEX(Receivables_Ledger!M$2:M$1201,SMALL(Receivables_Ledger!P$2:P$1201,115))</f>
        <v/>
      </c>
      <c r="F116" s="5">
        <f>INDEX(Receivables_Ledger!J$2:J$1201,SMALL(Receivables_Ledger!P$2:P$1201,115))</f>
        <v/>
      </c>
      <c r="G116" s="3">
        <f>IF(E116&gt;90,"LOST",IF(E116&gt;60,"ESCALATE",IF(E116&gt;30,"WATCH","MILD")))</f>
        <v/>
      </c>
      <c r="H116" s="4">
        <f>Guide!$B$3+IF(G116="LOST",0,IF(G116="ESCALATE",1,IF(G116="WATCH",3,7)))</f>
        <v/>
      </c>
    </row>
    <row r="117">
      <c r="A117" s="3">
        <f>ROW()-1</f>
        <v/>
      </c>
      <c r="B117" s="3">
        <f>INDEX(Receivables_Ledger!A$2:A$1201,SMALL(Receivables_Ledger!P$2:P$1201,116))</f>
        <v/>
      </c>
      <c r="C117" s="3">
        <f>INDEX(Receivables_Ledger!C$2:C$1201,SMALL(Receivables_Ledger!P$2:P$1201,116))</f>
        <v/>
      </c>
      <c r="D117" s="3">
        <f>INDEX(Receivables_Ledger!E$2:E$1201,SMALL(Receivables_Ledger!P$2:P$1201,116))</f>
        <v/>
      </c>
      <c r="E117" s="3">
        <f>INDEX(Receivables_Ledger!M$2:M$1201,SMALL(Receivables_Ledger!P$2:P$1201,116))</f>
        <v/>
      </c>
      <c r="F117" s="5">
        <f>INDEX(Receivables_Ledger!J$2:J$1201,SMALL(Receivables_Ledger!P$2:P$1201,116))</f>
        <v/>
      </c>
      <c r="G117" s="3">
        <f>IF(E117&gt;90,"LOST",IF(E117&gt;60,"ESCALATE",IF(E117&gt;30,"WATCH","MILD")))</f>
        <v/>
      </c>
      <c r="H117" s="4">
        <f>Guide!$B$3+IF(G117="LOST",0,IF(G117="ESCALATE",1,IF(G117="WATCH",3,7)))</f>
        <v/>
      </c>
    </row>
    <row r="118">
      <c r="A118" s="3">
        <f>ROW()-1</f>
        <v/>
      </c>
      <c r="B118" s="3">
        <f>INDEX(Receivables_Ledger!A$2:A$1201,SMALL(Receivables_Ledger!P$2:P$1201,117))</f>
        <v/>
      </c>
      <c r="C118" s="3">
        <f>INDEX(Receivables_Ledger!C$2:C$1201,SMALL(Receivables_Ledger!P$2:P$1201,117))</f>
        <v/>
      </c>
      <c r="D118" s="3">
        <f>INDEX(Receivables_Ledger!E$2:E$1201,SMALL(Receivables_Ledger!P$2:P$1201,117))</f>
        <v/>
      </c>
      <c r="E118" s="3">
        <f>INDEX(Receivables_Ledger!M$2:M$1201,SMALL(Receivables_Ledger!P$2:P$1201,117))</f>
        <v/>
      </c>
      <c r="F118" s="5">
        <f>INDEX(Receivables_Ledger!J$2:J$1201,SMALL(Receivables_Ledger!P$2:P$1201,117))</f>
        <v/>
      </c>
      <c r="G118" s="3">
        <f>IF(E118&gt;90,"LOST",IF(E118&gt;60,"ESCALATE",IF(E118&gt;30,"WATCH","MILD")))</f>
        <v/>
      </c>
      <c r="H118" s="4">
        <f>Guide!$B$3+IF(G118="LOST",0,IF(G118="ESCALATE",1,IF(G118="WATCH",3,7)))</f>
        <v/>
      </c>
    </row>
    <row r="119">
      <c r="A119" s="3">
        <f>ROW()-1</f>
        <v/>
      </c>
      <c r="B119" s="3">
        <f>INDEX(Receivables_Ledger!A$2:A$1201,SMALL(Receivables_Ledger!P$2:P$1201,118))</f>
        <v/>
      </c>
      <c r="C119" s="3">
        <f>INDEX(Receivables_Ledger!C$2:C$1201,SMALL(Receivables_Ledger!P$2:P$1201,118))</f>
        <v/>
      </c>
      <c r="D119" s="3">
        <f>INDEX(Receivables_Ledger!E$2:E$1201,SMALL(Receivables_Ledger!P$2:P$1201,118))</f>
        <v/>
      </c>
      <c r="E119" s="3">
        <f>INDEX(Receivables_Ledger!M$2:M$1201,SMALL(Receivables_Ledger!P$2:P$1201,118))</f>
        <v/>
      </c>
      <c r="F119" s="5">
        <f>INDEX(Receivables_Ledger!J$2:J$1201,SMALL(Receivables_Ledger!P$2:P$1201,118))</f>
        <v/>
      </c>
      <c r="G119" s="3">
        <f>IF(E119&gt;90,"LOST",IF(E119&gt;60,"ESCALATE",IF(E119&gt;30,"WATCH","MILD")))</f>
        <v/>
      </c>
      <c r="H119" s="4">
        <f>Guide!$B$3+IF(G119="LOST",0,IF(G119="ESCALATE",1,IF(G119="WATCH",3,7)))</f>
        <v/>
      </c>
    </row>
    <row r="120">
      <c r="A120" s="3">
        <f>ROW()-1</f>
        <v/>
      </c>
      <c r="B120" s="3">
        <f>INDEX(Receivables_Ledger!A$2:A$1201,SMALL(Receivables_Ledger!P$2:P$1201,119))</f>
        <v/>
      </c>
      <c r="C120" s="3">
        <f>INDEX(Receivables_Ledger!C$2:C$1201,SMALL(Receivables_Ledger!P$2:P$1201,119))</f>
        <v/>
      </c>
      <c r="D120" s="3">
        <f>INDEX(Receivables_Ledger!E$2:E$1201,SMALL(Receivables_Ledger!P$2:P$1201,119))</f>
        <v/>
      </c>
      <c r="E120" s="3">
        <f>INDEX(Receivables_Ledger!M$2:M$1201,SMALL(Receivables_Ledger!P$2:P$1201,119))</f>
        <v/>
      </c>
      <c r="F120" s="5">
        <f>INDEX(Receivables_Ledger!J$2:J$1201,SMALL(Receivables_Ledger!P$2:P$1201,119))</f>
        <v/>
      </c>
      <c r="G120" s="3">
        <f>IF(E120&gt;90,"LOST",IF(E120&gt;60,"ESCALATE",IF(E120&gt;30,"WATCH","MILD")))</f>
        <v/>
      </c>
      <c r="H120" s="4">
        <f>Guide!$B$3+IF(G120="LOST",0,IF(G120="ESCALATE",1,IF(G120="WATCH",3,7)))</f>
        <v/>
      </c>
    </row>
    <row r="121">
      <c r="A121" s="3">
        <f>ROW()-1</f>
        <v/>
      </c>
      <c r="B121" s="3">
        <f>INDEX(Receivables_Ledger!A$2:A$1201,SMALL(Receivables_Ledger!P$2:P$1201,120))</f>
        <v/>
      </c>
      <c r="C121" s="3">
        <f>INDEX(Receivables_Ledger!C$2:C$1201,SMALL(Receivables_Ledger!P$2:P$1201,120))</f>
        <v/>
      </c>
      <c r="D121" s="3">
        <f>INDEX(Receivables_Ledger!E$2:E$1201,SMALL(Receivables_Ledger!P$2:P$1201,120))</f>
        <v/>
      </c>
      <c r="E121" s="3">
        <f>INDEX(Receivables_Ledger!M$2:M$1201,SMALL(Receivables_Ledger!P$2:P$1201,120))</f>
        <v/>
      </c>
      <c r="F121" s="5">
        <f>INDEX(Receivables_Ledger!J$2:J$1201,SMALL(Receivables_Ledger!P$2:P$1201,120))</f>
        <v/>
      </c>
      <c r="G121" s="3">
        <f>IF(E121&gt;90,"LOST",IF(E121&gt;60,"ESCALATE",IF(E121&gt;30,"WATCH","MILD")))</f>
        <v/>
      </c>
      <c r="H121" s="4">
        <f>Guide!$B$3+IF(G121="LOST",0,IF(G121="ESCALATE",1,IF(G121="WATCH",3,7)))</f>
        <v/>
      </c>
    </row>
    <row r="122">
      <c r="A122" s="3">
        <f>ROW()-1</f>
        <v/>
      </c>
      <c r="B122" s="3">
        <f>INDEX(Receivables_Ledger!A$2:A$1201,SMALL(Receivables_Ledger!P$2:P$1201,121))</f>
        <v/>
      </c>
      <c r="C122" s="3">
        <f>INDEX(Receivables_Ledger!C$2:C$1201,SMALL(Receivables_Ledger!P$2:P$1201,121))</f>
        <v/>
      </c>
      <c r="D122" s="3">
        <f>INDEX(Receivables_Ledger!E$2:E$1201,SMALL(Receivables_Ledger!P$2:P$1201,121))</f>
        <v/>
      </c>
      <c r="E122" s="3">
        <f>INDEX(Receivables_Ledger!M$2:M$1201,SMALL(Receivables_Ledger!P$2:P$1201,121))</f>
        <v/>
      </c>
      <c r="F122" s="5">
        <f>INDEX(Receivables_Ledger!J$2:J$1201,SMALL(Receivables_Ledger!P$2:P$1201,121))</f>
        <v/>
      </c>
      <c r="G122" s="3">
        <f>IF(E122&gt;90,"LOST",IF(E122&gt;60,"ESCALATE",IF(E122&gt;30,"WATCH","MILD")))</f>
        <v/>
      </c>
      <c r="H122" s="4">
        <f>Guide!$B$3+IF(G122="LOST",0,IF(G122="ESCALATE",1,IF(G122="WATCH",3,7)))</f>
        <v/>
      </c>
    </row>
    <row r="123">
      <c r="A123" s="3">
        <f>ROW()-1</f>
        <v/>
      </c>
      <c r="B123" s="3">
        <f>INDEX(Receivables_Ledger!A$2:A$1201,SMALL(Receivables_Ledger!P$2:P$1201,122))</f>
        <v/>
      </c>
      <c r="C123" s="3">
        <f>INDEX(Receivables_Ledger!C$2:C$1201,SMALL(Receivables_Ledger!P$2:P$1201,122))</f>
        <v/>
      </c>
      <c r="D123" s="3">
        <f>INDEX(Receivables_Ledger!E$2:E$1201,SMALL(Receivables_Ledger!P$2:P$1201,122))</f>
        <v/>
      </c>
      <c r="E123" s="3">
        <f>INDEX(Receivables_Ledger!M$2:M$1201,SMALL(Receivables_Ledger!P$2:P$1201,122))</f>
        <v/>
      </c>
      <c r="F123" s="5">
        <f>INDEX(Receivables_Ledger!J$2:J$1201,SMALL(Receivables_Ledger!P$2:P$1201,122))</f>
        <v/>
      </c>
      <c r="G123" s="3">
        <f>IF(E123&gt;90,"LOST",IF(E123&gt;60,"ESCALATE",IF(E123&gt;30,"WATCH","MILD")))</f>
        <v/>
      </c>
      <c r="H123" s="4">
        <f>Guide!$B$3+IF(G123="LOST",0,IF(G123="ESCALATE",1,IF(G123="WATCH",3,7)))</f>
        <v/>
      </c>
    </row>
    <row r="124">
      <c r="A124" s="3">
        <f>ROW()-1</f>
        <v/>
      </c>
      <c r="B124" s="3">
        <f>INDEX(Receivables_Ledger!A$2:A$1201,SMALL(Receivables_Ledger!P$2:P$1201,123))</f>
        <v/>
      </c>
      <c r="C124" s="3">
        <f>INDEX(Receivables_Ledger!C$2:C$1201,SMALL(Receivables_Ledger!P$2:P$1201,123))</f>
        <v/>
      </c>
      <c r="D124" s="3">
        <f>INDEX(Receivables_Ledger!E$2:E$1201,SMALL(Receivables_Ledger!P$2:P$1201,123))</f>
        <v/>
      </c>
      <c r="E124" s="3">
        <f>INDEX(Receivables_Ledger!M$2:M$1201,SMALL(Receivables_Ledger!P$2:P$1201,123))</f>
        <v/>
      </c>
      <c r="F124" s="5">
        <f>INDEX(Receivables_Ledger!J$2:J$1201,SMALL(Receivables_Ledger!P$2:P$1201,123))</f>
        <v/>
      </c>
      <c r="G124" s="3">
        <f>IF(E124&gt;90,"LOST",IF(E124&gt;60,"ESCALATE",IF(E124&gt;30,"WATCH","MILD")))</f>
        <v/>
      </c>
      <c r="H124" s="4">
        <f>Guide!$B$3+IF(G124="LOST",0,IF(G124="ESCALATE",1,IF(G124="WATCH",3,7)))</f>
        <v/>
      </c>
    </row>
    <row r="125">
      <c r="A125" s="3">
        <f>ROW()-1</f>
        <v/>
      </c>
      <c r="B125" s="3">
        <f>INDEX(Receivables_Ledger!A$2:A$1201,SMALL(Receivables_Ledger!P$2:P$1201,124))</f>
        <v/>
      </c>
      <c r="C125" s="3">
        <f>INDEX(Receivables_Ledger!C$2:C$1201,SMALL(Receivables_Ledger!P$2:P$1201,124))</f>
        <v/>
      </c>
      <c r="D125" s="3">
        <f>INDEX(Receivables_Ledger!E$2:E$1201,SMALL(Receivables_Ledger!P$2:P$1201,124))</f>
        <v/>
      </c>
      <c r="E125" s="3">
        <f>INDEX(Receivables_Ledger!M$2:M$1201,SMALL(Receivables_Ledger!P$2:P$1201,124))</f>
        <v/>
      </c>
      <c r="F125" s="5">
        <f>INDEX(Receivables_Ledger!J$2:J$1201,SMALL(Receivables_Ledger!P$2:P$1201,124))</f>
        <v/>
      </c>
      <c r="G125" s="3">
        <f>IF(E125&gt;90,"LOST",IF(E125&gt;60,"ESCALATE",IF(E125&gt;30,"WATCH","MILD")))</f>
        <v/>
      </c>
      <c r="H125" s="4">
        <f>Guide!$B$3+IF(G125="LOST",0,IF(G125="ESCALATE",1,IF(G125="WATCH",3,7)))</f>
        <v/>
      </c>
    </row>
    <row r="126">
      <c r="A126" s="3">
        <f>ROW()-1</f>
        <v/>
      </c>
      <c r="B126" s="3">
        <f>INDEX(Receivables_Ledger!A$2:A$1201,SMALL(Receivables_Ledger!P$2:P$1201,125))</f>
        <v/>
      </c>
      <c r="C126" s="3">
        <f>INDEX(Receivables_Ledger!C$2:C$1201,SMALL(Receivables_Ledger!P$2:P$1201,125))</f>
        <v/>
      </c>
      <c r="D126" s="3">
        <f>INDEX(Receivables_Ledger!E$2:E$1201,SMALL(Receivables_Ledger!P$2:P$1201,125))</f>
        <v/>
      </c>
      <c r="E126" s="3">
        <f>INDEX(Receivables_Ledger!M$2:M$1201,SMALL(Receivables_Ledger!P$2:P$1201,125))</f>
        <v/>
      </c>
      <c r="F126" s="5">
        <f>INDEX(Receivables_Ledger!J$2:J$1201,SMALL(Receivables_Ledger!P$2:P$1201,125))</f>
        <v/>
      </c>
      <c r="G126" s="3">
        <f>IF(E126&gt;90,"LOST",IF(E126&gt;60,"ESCALATE",IF(E126&gt;30,"WATCH","MILD")))</f>
        <v/>
      </c>
      <c r="H126" s="4">
        <f>Guide!$B$3+IF(G126="LOST",0,IF(G126="ESCALATE",1,IF(G126="WATCH",3,7)))</f>
        <v/>
      </c>
    </row>
    <row r="127">
      <c r="A127" s="3">
        <f>ROW()-1</f>
        <v/>
      </c>
      <c r="B127" s="3">
        <f>INDEX(Receivables_Ledger!A$2:A$1201,SMALL(Receivables_Ledger!P$2:P$1201,126))</f>
        <v/>
      </c>
      <c r="C127" s="3">
        <f>INDEX(Receivables_Ledger!C$2:C$1201,SMALL(Receivables_Ledger!P$2:P$1201,126))</f>
        <v/>
      </c>
      <c r="D127" s="3">
        <f>INDEX(Receivables_Ledger!E$2:E$1201,SMALL(Receivables_Ledger!P$2:P$1201,126))</f>
        <v/>
      </c>
      <c r="E127" s="3">
        <f>INDEX(Receivables_Ledger!M$2:M$1201,SMALL(Receivables_Ledger!P$2:P$1201,126))</f>
        <v/>
      </c>
      <c r="F127" s="5">
        <f>INDEX(Receivables_Ledger!J$2:J$1201,SMALL(Receivables_Ledger!P$2:P$1201,126))</f>
        <v/>
      </c>
      <c r="G127" s="3">
        <f>IF(E127&gt;90,"LOST",IF(E127&gt;60,"ESCALATE",IF(E127&gt;30,"WATCH","MILD")))</f>
        <v/>
      </c>
      <c r="H127" s="4">
        <f>Guide!$B$3+IF(G127="LOST",0,IF(G127="ESCALATE",1,IF(G127="WATCH",3,7)))</f>
        <v/>
      </c>
    </row>
    <row r="128">
      <c r="A128" s="3">
        <f>ROW()-1</f>
        <v/>
      </c>
      <c r="B128" s="3">
        <f>INDEX(Receivables_Ledger!A$2:A$1201,SMALL(Receivables_Ledger!P$2:P$1201,127))</f>
        <v/>
      </c>
      <c r="C128" s="3">
        <f>INDEX(Receivables_Ledger!C$2:C$1201,SMALL(Receivables_Ledger!P$2:P$1201,127))</f>
        <v/>
      </c>
      <c r="D128" s="3">
        <f>INDEX(Receivables_Ledger!E$2:E$1201,SMALL(Receivables_Ledger!P$2:P$1201,127))</f>
        <v/>
      </c>
      <c r="E128" s="3">
        <f>INDEX(Receivables_Ledger!M$2:M$1201,SMALL(Receivables_Ledger!P$2:P$1201,127))</f>
        <v/>
      </c>
      <c r="F128" s="5">
        <f>INDEX(Receivables_Ledger!J$2:J$1201,SMALL(Receivables_Ledger!P$2:P$1201,127))</f>
        <v/>
      </c>
      <c r="G128" s="3">
        <f>IF(E128&gt;90,"LOST",IF(E128&gt;60,"ESCALATE",IF(E128&gt;30,"WATCH","MILD")))</f>
        <v/>
      </c>
      <c r="H128" s="4">
        <f>Guide!$B$3+IF(G128="LOST",0,IF(G128="ESCALATE",1,IF(G128="WATCH",3,7)))</f>
        <v/>
      </c>
    </row>
    <row r="129">
      <c r="A129" s="3">
        <f>ROW()-1</f>
        <v/>
      </c>
      <c r="B129" s="3">
        <f>INDEX(Receivables_Ledger!A$2:A$1201,SMALL(Receivables_Ledger!P$2:P$1201,128))</f>
        <v/>
      </c>
      <c r="C129" s="3">
        <f>INDEX(Receivables_Ledger!C$2:C$1201,SMALL(Receivables_Ledger!P$2:P$1201,128))</f>
        <v/>
      </c>
      <c r="D129" s="3">
        <f>INDEX(Receivables_Ledger!E$2:E$1201,SMALL(Receivables_Ledger!P$2:P$1201,128))</f>
        <v/>
      </c>
      <c r="E129" s="3">
        <f>INDEX(Receivables_Ledger!M$2:M$1201,SMALL(Receivables_Ledger!P$2:P$1201,128))</f>
        <v/>
      </c>
      <c r="F129" s="5">
        <f>INDEX(Receivables_Ledger!J$2:J$1201,SMALL(Receivables_Ledger!P$2:P$1201,128))</f>
        <v/>
      </c>
      <c r="G129" s="3">
        <f>IF(E129&gt;90,"LOST",IF(E129&gt;60,"ESCALATE",IF(E129&gt;30,"WATCH","MILD")))</f>
        <v/>
      </c>
      <c r="H129" s="4">
        <f>Guide!$B$3+IF(G129="LOST",0,IF(G129="ESCALATE",1,IF(G129="WATCH",3,7)))</f>
        <v/>
      </c>
    </row>
    <row r="130">
      <c r="A130" s="3">
        <f>ROW()-1</f>
        <v/>
      </c>
      <c r="B130" s="3">
        <f>INDEX(Receivables_Ledger!A$2:A$1201,SMALL(Receivables_Ledger!P$2:P$1201,129))</f>
        <v/>
      </c>
      <c r="C130" s="3">
        <f>INDEX(Receivables_Ledger!C$2:C$1201,SMALL(Receivables_Ledger!P$2:P$1201,129))</f>
        <v/>
      </c>
      <c r="D130" s="3">
        <f>INDEX(Receivables_Ledger!E$2:E$1201,SMALL(Receivables_Ledger!P$2:P$1201,129))</f>
        <v/>
      </c>
      <c r="E130" s="3">
        <f>INDEX(Receivables_Ledger!M$2:M$1201,SMALL(Receivables_Ledger!P$2:P$1201,129))</f>
        <v/>
      </c>
      <c r="F130" s="5">
        <f>INDEX(Receivables_Ledger!J$2:J$1201,SMALL(Receivables_Ledger!P$2:P$1201,129))</f>
        <v/>
      </c>
      <c r="G130" s="3">
        <f>IF(E130&gt;90,"LOST",IF(E130&gt;60,"ESCALATE",IF(E130&gt;30,"WATCH","MILD")))</f>
        <v/>
      </c>
      <c r="H130" s="4">
        <f>Guide!$B$3+IF(G130="LOST",0,IF(G130="ESCALATE",1,IF(G130="WATCH",3,7)))</f>
        <v/>
      </c>
    </row>
    <row r="131">
      <c r="A131" s="3">
        <f>ROW()-1</f>
        <v/>
      </c>
      <c r="B131" s="3">
        <f>INDEX(Receivables_Ledger!A$2:A$1201,SMALL(Receivables_Ledger!P$2:P$1201,130))</f>
        <v/>
      </c>
      <c r="C131" s="3">
        <f>INDEX(Receivables_Ledger!C$2:C$1201,SMALL(Receivables_Ledger!P$2:P$1201,130))</f>
        <v/>
      </c>
      <c r="D131" s="3">
        <f>INDEX(Receivables_Ledger!E$2:E$1201,SMALL(Receivables_Ledger!P$2:P$1201,130))</f>
        <v/>
      </c>
      <c r="E131" s="3">
        <f>INDEX(Receivables_Ledger!M$2:M$1201,SMALL(Receivables_Ledger!P$2:P$1201,130))</f>
        <v/>
      </c>
      <c r="F131" s="5">
        <f>INDEX(Receivables_Ledger!J$2:J$1201,SMALL(Receivables_Ledger!P$2:P$1201,130))</f>
        <v/>
      </c>
      <c r="G131" s="3">
        <f>IF(E131&gt;90,"LOST",IF(E131&gt;60,"ESCALATE",IF(E131&gt;30,"WATCH","MILD")))</f>
        <v/>
      </c>
      <c r="H131" s="4">
        <f>Guide!$B$3+IF(G131="LOST",0,IF(G131="ESCALATE",1,IF(G131="WATCH",3,7)))</f>
        <v/>
      </c>
    </row>
    <row r="132">
      <c r="A132" s="3">
        <f>ROW()-1</f>
        <v/>
      </c>
      <c r="B132" s="3">
        <f>INDEX(Receivables_Ledger!A$2:A$1201,SMALL(Receivables_Ledger!P$2:P$1201,131))</f>
        <v/>
      </c>
      <c r="C132" s="3">
        <f>INDEX(Receivables_Ledger!C$2:C$1201,SMALL(Receivables_Ledger!P$2:P$1201,131))</f>
        <v/>
      </c>
      <c r="D132" s="3">
        <f>INDEX(Receivables_Ledger!E$2:E$1201,SMALL(Receivables_Ledger!P$2:P$1201,131))</f>
        <v/>
      </c>
      <c r="E132" s="3">
        <f>INDEX(Receivables_Ledger!M$2:M$1201,SMALL(Receivables_Ledger!P$2:P$1201,131))</f>
        <v/>
      </c>
      <c r="F132" s="5">
        <f>INDEX(Receivables_Ledger!J$2:J$1201,SMALL(Receivables_Ledger!P$2:P$1201,131))</f>
        <v/>
      </c>
      <c r="G132" s="3">
        <f>IF(E132&gt;90,"LOST",IF(E132&gt;60,"ESCALATE",IF(E132&gt;30,"WATCH","MILD")))</f>
        <v/>
      </c>
      <c r="H132" s="4">
        <f>Guide!$B$3+IF(G132="LOST",0,IF(G132="ESCALATE",1,IF(G132="WATCH",3,7)))</f>
        <v/>
      </c>
    </row>
    <row r="133">
      <c r="A133" s="3">
        <f>ROW()-1</f>
        <v/>
      </c>
      <c r="B133" s="3">
        <f>INDEX(Receivables_Ledger!A$2:A$1201,SMALL(Receivables_Ledger!P$2:P$1201,132))</f>
        <v/>
      </c>
      <c r="C133" s="3">
        <f>INDEX(Receivables_Ledger!C$2:C$1201,SMALL(Receivables_Ledger!P$2:P$1201,132))</f>
        <v/>
      </c>
      <c r="D133" s="3">
        <f>INDEX(Receivables_Ledger!E$2:E$1201,SMALL(Receivables_Ledger!P$2:P$1201,132))</f>
        <v/>
      </c>
      <c r="E133" s="3">
        <f>INDEX(Receivables_Ledger!M$2:M$1201,SMALL(Receivables_Ledger!P$2:P$1201,132))</f>
        <v/>
      </c>
      <c r="F133" s="5">
        <f>INDEX(Receivables_Ledger!J$2:J$1201,SMALL(Receivables_Ledger!P$2:P$1201,132))</f>
        <v/>
      </c>
      <c r="G133" s="3">
        <f>IF(E133&gt;90,"LOST",IF(E133&gt;60,"ESCALATE",IF(E133&gt;30,"WATCH","MILD")))</f>
        <v/>
      </c>
      <c r="H133" s="4">
        <f>Guide!$B$3+IF(G133="LOST",0,IF(G133="ESCALATE",1,IF(G133="WATCH",3,7)))</f>
        <v/>
      </c>
    </row>
    <row r="134">
      <c r="A134" s="3">
        <f>ROW()-1</f>
        <v/>
      </c>
      <c r="B134" s="3">
        <f>INDEX(Receivables_Ledger!A$2:A$1201,SMALL(Receivables_Ledger!P$2:P$1201,133))</f>
        <v/>
      </c>
      <c r="C134" s="3">
        <f>INDEX(Receivables_Ledger!C$2:C$1201,SMALL(Receivables_Ledger!P$2:P$1201,133))</f>
        <v/>
      </c>
      <c r="D134" s="3">
        <f>INDEX(Receivables_Ledger!E$2:E$1201,SMALL(Receivables_Ledger!P$2:P$1201,133))</f>
        <v/>
      </c>
      <c r="E134" s="3">
        <f>INDEX(Receivables_Ledger!M$2:M$1201,SMALL(Receivables_Ledger!P$2:P$1201,133))</f>
        <v/>
      </c>
      <c r="F134" s="5">
        <f>INDEX(Receivables_Ledger!J$2:J$1201,SMALL(Receivables_Ledger!P$2:P$1201,133))</f>
        <v/>
      </c>
      <c r="G134" s="3">
        <f>IF(E134&gt;90,"LOST",IF(E134&gt;60,"ESCALATE",IF(E134&gt;30,"WATCH","MILD")))</f>
        <v/>
      </c>
      <c r="H134" s="4">
        <f>Guide!$B$3+IF(G134="LOST",0,IF(G134="ESCALATE",1,IF(G134="WATCH",3,7)))</f>
        <v/>
      </c>
    </row>
    <row r="135">
      <c r="A135" s="3">
        <f>ROW()-1</f>
        <v/>
      </c>
      <c r="B135" s="3">
        <f>INDEX(Receivables_Ledger!A$2:A$1201,SMALL(Receivables_Ledger!P$2:P$1201,134))</f>
        <v/>
      </c>
      <c r="C135" s="3">
        <f>INDEX(Receivables_Ledger!C$2:C$1201,SMALL(Receivables_Ledger!P$2:P$1201,134))</f>
        <v/>
      </c>
      <c r="D135" s="3">
        <f>INDEX(Receivables_Ledger!E$2:E$1201,SMALL(Receivables_Ledger!P$2:P$1201,134))</f>
        <v/>
      </c>
      <c r="E135" s="3">
        <f>INDEX(Receivables_Ledger!M$2:M$1201,SMALL(Receivables_Ledger!P$2:P$1201,134))</f>
        <v/>
      </c>
      <c r="F135" s="5">
        <f>INDEX(Receivables_Ledger!J$2:J$1201,SMALL(Receivables_Ledger!P$2:P$1201,134))</f>
        <v/>
      </c>
      <c r="G135" s="3">
        <f>IF(E135&gt;90,"LOST",IF(E135&gt;60,"ESCALATE",IF(E135&gt;30,"WATCH","MILD")))</f>
        <v/>
      </c>
      <c r="H135" s="4">
        <f>Guide!$B$3+IF(G135="LOST",0,IF(G135="ESCALATE",1,IF(G135="WATCH",3,7)))</f>
        <v/>
      </c>
    </row>
    <row r="136">
      <c r="A136" s="3">
        <f>ROW()-1</f>
        <v/>
      </c>
      <c r="B136" s="3">
        <f>INDEX(Receivables_Ledger!A$2:A$1201,SMALL(Receivables_Ledger!P$2:P$1201,135))</f>
        <v/>
      </c>
      <c r="C136" s="3">
        <f>INDEX(Receivables_Ledger!C$2:C$1201,SMALL(Receivables_Ledger!P$2:P$1201,135))</f>
        <v/>
      </c>
      <c r="D136" s="3">
        <f>INDEX(Receivables_Ledger!E$2:E$1201,SMALL(Receivables_Ledger!P$2:P$1201,135))</f>
        <v/>
      </c>
      <c r="E136" s="3">
        <f>INDEX(Receivables_Ledger!M$2:M$1201,SMALL(Receivables_Ledger!P$2:P$1201,135))</f>
        <v/>
      </c>
      <c r="F136" s="5">
        <f>INDEX(Receivables_Ledger!J$2:J$1201,SMALL(Receivables_Ledger!P$2:P$1201,135))</f>
        <v/>
      </c>
      <c r="G136" s="3">
        <f>IF(E136&gt;90,"LOST",IF(E136&gt;60,"ESCALATE",IF(E136&gt;30,"WATCH","MILD")))</f>
        <v/>
      </c>
      <c r="H136" s="4">
        <f>Guide!$B$3+IF(G136="LOST",0,IF(G136="ESCALATE",1,IF(G136="WATCH",3,7)))</f>
        <v/>
      </c>
    </row>
    <row r="137">
      <c r="A137" s="3">
        <f>ROW()-1</f>
        <v/>
      </c>
      <c r="B137" s="3">
        <f>INDEX(Receivables_Ledger!A$2:A$1201,SMALL(Receivables_Ledger!P$2:P$1201,136))</f>
        <v/>
      </c>
      <c r="C137" s="3">
        <f>INDEX(Receivables_Ledger!C$2:C$1201,SMALL(Receivables_Ledger!P$2:P$1201,136))</f>
        <v/>
      </c>
      <c r="D137" s="3">
        <f>INDEX(Receivables_Ledger!E$2:E$1201,SMALL(Receivables_Ledger!P$2:P$1201,136))</f>
        <v/>
      </c>
      <c r="E137" s="3">
        <f>INDEX(Receivables_Ledger!M$2:M$1201,SMALL(Receivables_Ledger!P$2:P$1201,136))</f>
        <v/>
      </c>
      <c r="F137" s="5">
        <f>INDEX(Receivables_Ledger!J$2:J$1201,SMALL(Receivables_Ledger!P$2:P$1201,136))</f>
        <v/>
      </c>
      <c r="G137" s="3">
        <f>IF(E137&gt;90,"LOST",IF(E137&gt;60,"ESCALATE",IF(E137&gt;30,"WATCH","MILD")))</f>
        <v/>
      </c>
      <c r="H137" s="4">
        <f>Guide!$B$3+IF(G137="LOST",0,IF(G137="ESCALATE",1,IF(G137="WATCH",3,7)))</f>
        <v/>
      </c>
    </row>
    <row r="138">
      <c r="A138" s="3">
        <f>ROW()-1</f>
        <v/>
      </c>
      <c r="B138" s="3">
        <f>INDEX(Receivables_Ledger!A$2:A$1201,SMALL(Receivables_Ledger!P$2:P$1201,137))</f>
        <v/>
      </c>
      <c r="C138" s="3">
        <f>INDEX(Receivables_Ledger!C$2:C$1201,SMALL(Receivables_Ledger!P$2:P$1201,137))</f>
        <v/>
      </c>
      <c r="D138" s="3">
        <f>INDEX(Receivables_Ledger!E$2:E$1201,SMALL(Receivables_Ledger!P$2:P$1201,137))</f>
        <v/>
      </c>
      <c r="E138" s="3">
        <f>INDEX(Receivables_Ledger!M$2:M$1201,SMALL(Receivables_Ledger!P$2:P$1201,137))</f>
        <v/>
      </c>
      <c r="F138" s="5">
        <f>INDEX(Receivables_Ledger!J$2:J$1201,SMALL(Receivables_Ledger!P$2:P$1201,137))</f>
        <v/>
      </c>
      <c r="G138" s="3">
        <f>IF(E138&gt;90,"LOST",IF(E138&gt;60,"ESCALATE",IF(E138&gt;30,"WATCH","MILD")))</f>
        <v/>
      </c>
      <c r="H138" s="4">
        <f>Guide!$B$3+IF(G138="LOST",0,IF(G138="ESCALATE",1,IF(G138="WATCH",3,7)))</f>
        <v/>
      </c>
    </row>
    <row r="139">
      <c r="A139" s="3">
        <f>ROW()-1</f>
        <v/>
      </c>
      <c r="B139" s="3">
        <f>INDEX(Receivables_Ledger!A$2:A$1201,SMALL(Receivables_Ledger!P$2:P$1201,138))</f>
        <v/>
      </c>
      <c r="C139" s="3">
        <f>INDEX(Receivables_Ledger!C$2:C$1201,SMALL(Receivables_Ledger!P$2:P$1201,138))</f>
        <v/>
      </c>
      <c r="D139" s="3">
        <f>INDEX(Receivables_Ledger!E$2:E$1201,SMALL(Receivables_Ledger!P$2:P$1201,138))</f>
        <v/>
      </c>
      <c r="E139" s="3">
        <f>INDEX(Receivables_Ledger!M$2:M$1201,SMALL(Receivables_Ledger!P$2:P$1201,138))</f>
        <v/>
      </c>
      <c r="F139" s="5">
        <f>INDEX(Receivables_Ledger!J$2:J$1201,SMALL(Receivables_Ledger!P$2:P$1201,138))</f>
        <v/>
      </c>
      <c r="G139" s="3">
        <f>IF(E139&gt;90,"LOST",IF(E139&gt;60,"ESCALATE",IF(E139&gt;30,"WATCH","MILD")))</f>
        <v/>
      </c>
      <c r="H139" s="4">
        <f>Guide!$B$3+IF(G139="LOST",0,IF(G139="ESCALATE",1,IF(G139="WATCH",3,7)))</f>
        <v/>
      </c>
    </row>
    <row r="140">
      <c r="A140" s="3">
        <f>ROW()-1</f>
        <v/>
      </c>
      <c r="B140" s="3">
        <f>INDEX(Receivables_Ledger!A$2:A$1201,SMALL(Receivables_Ledger!P$2:P$1201,139))</f>
        <v/>
      </c>
      <c r="C140" s="3">
        <f>INDEX(Receivables_Ledger!C$2:C$1201,SMALL(Receivables_Ledger!P$2:P$1201,139))</f>
        <v/>
      </c>
      <c r="D140" s="3">
        <f>INDEX(Receivables_Ledger!E$2:E$1201,SMALL(Receivables_Ledger!P$2:P$1201,139))</f>
        <v/>
      </c>
      <c r="E140" s="3">
        <f>INDEX(Receivables_Ledger!M$2:M$1201,SMALL(Receivables_Ledger!P$2:P$1201,139))</f>
        <v/>
      </c>
      <c r="F140" s="5">
        <f>INDEX(Receivables_Ledger!J$2:J$1201,SMALL(Receivables_Ledger!P$2:P$1201,139))</f>
        <v/>
      </c>
      <c r="G140" s="3">
        <f>IF(E140&gt;90,"LOST",IF(E140&gt;60,"ESCALATE",IF(E140&gt;30,"WATCH","MILD")))</f>
        <v/>
      </c>
      <c r="H140" s="4">
        <f>Guide!$B$3+IF(G140="LOST",0,IF(G140="ESCALATE",1,IF(G140="WATCH",3,7)))</f>
        <v/>
      </c>
    </row>
    <row r="141">
      <c r="A141" s="3">
        <f>ROW()-1</f>
        <v/>
      </c>
      <c r="B141" s="3">
        <f>INDEX(Receivables_Ledger!A$2:A$1201,SMALL(Receivables_Ledger!P$2:P$1201,140))</f>
        <v/>
      </c>
      <c r="C141" s="3">
        <f>INDEX(Receivables_Ledger!C$2:C$1201,SMALL(Receivables_Ledger!P$2:P$1201,140))</f>
        <v/>
      </c>
      <c r="D141" s="3">
        <f>INDEX(Receivables_Ledger!E$2:E$1201,SMALL(Receivables_Ledger!P$2:P$1201,140))</f>
        <v/>
      </c>
      <c r="E141" s="3">
        <f>INDEX(Receivables_Ledger!M$2:M$1201,SMALL(Receivables_Ledger!P$2:P$1201,140))</f>
        <v/>
      </c>
      <c r="F141" s="5">
        <f>INDEX(Receivables_Ledger!J$2:J$1201,SMALL(Receivables_Ledger!P$2:P$1201,140))</f>
        <v/>
      </c>
      <c r="G141" s="3">
        <f>IF(E141&gt;90,"LOST",IF(E141&gt;60,"ESCALATE",IF(E141&gt;30,"WATCH","MILD")))</f>
        <v/>
      </c>
      <c r="H141" s="4">
        <f>Guide!$B$3+IF(G141="LOST",0,IF(G141="ESCALATE",1,IF(G141="WATCH",3,7)))</f>
        <v/>
      </c>
    </row>
    <row r="142">
      <c r="A142" s="3">
        <f>ROW()-1</f>
        <v/>
      </c>
      <c r="B142" s="3">
        <f>INDEX(Receivables_Ledger!A$2:A$1201,SMALL(Receivables_Ledger!P$2:P$1201,141))</f>
        <v/>
      </c>
      <c r="C142" s="3">
        <f>INDEX(Receivables_Ledger!C$2:C$1201,SMALL(Receivables_Ledger!P$2:P$1201,141))</f>
        <v/>
      </c>
      <c r="D142" s="3">
        <f>INDEX(Receivables_Ledger!E$2:E$1201,SMALL(Receivables_Ledger!P$2:P$1201,141))</f>
        <v/>
      </c>
      <c r="E142" s="3">
        <f>INDEX(Receivables_Ledger!M$2:M$1201,SMALL(Receivables_Ledger!P$2:P$1201,141))</f>
        <v/>
      </c>
      <c r="F142" s="5">
        <f>INDEX(Receivables_Ledger!J$2:J$1201,SMALL(Receivables_Ledger!P$2:P$1201,141))</f>
        <v/>
      </c>
      <c r="G142" s="3">
        <f>IF(E142&gt;90,"LOST",IF(E142&gt;60,"ESCALATE",IF(E142&gt;30,"WATCH","MILD")))</f>
        <v/>
      </c>
      <c r="H142" s="4">
        <f>Guide!$B$3+IF(G142="LOST",0,IF(G142="ESCALATE",1,IF(G142="WATCH",3,7)))</f>
        <v/>
      </c>
    </row>
    <row r="143">
      <c r="A143" s="3">
        <f>ROW()-1</f>
        <v/>
      </c>
      <c r="B143" s="3">
        <f>INDEX(Receivables_Ledger!A$2:A$1201,SMALL(Receivables_Ledger!P$2:P$1201,142))</f>
        <v/>
      </c>
      <c r="C143" s="3">
        <f>INDEX(Receivables_Ledger!C$2:C$1201,SMALL(Receivables_Ledger!P$2:P$1201,142))</f>
        <v/>
      </c>
      <c r="D143" s="3">
        <f>INDEX(Receivables_Ledger!E$2:E$1201,SMALL(Receivables_Ledger!P$2:P$1201,142))</f>
        <v/>
      </c>
      <c r="E143" s="3">
        <f>INDEX(Receivables_Ledger!M$2:M$1201,SMALL(Receivables_Ledger!P$2:P$1201,142))</f>
        <v/>
      </c>
      <c r="F143" s="5">
        <f>INDEX(Receivables_Ledger!J$2:J$1201,SMALL(Receivables_Ledger!P$2:P$1201,142))</f>
        <v/>
      </c>
      <c r="G143" s="3">
        <f>IF(E143&gt;90,"LOST",IF(E143&gt;60,"ESCALATE",IF(E143&gt;30,"WATCH","MILD")))</f>
        <v/>
      </c>
      <c r="H143" s="4">
        <f>Guide!$B$3+IF(G143="LOST",0,IF(G143="ESCALATE",1,IF(G143="WATCH",3,7)))</f>
        <v/>
      </c>
    </row>
    <row r="144">
      <c r="A144" s="3">
        <f>ROW()-1</f>
        <v/>
      </c>
      <c r="B144" s="3">
        <f>INDEX(Receivables_Ledger!A$2:A$1201,SMALL(Receivables_Ledger!P$2:P$1201,143))</f>
        <v/>
      </c>
      <c r="C144" s="3">
        <f>INDEX(Receivables_Ledger!C$2:C$1201,SMALL(Receivables_Ledger!P$2:P$1201,143))</f>
        <v/>
      </c>
      <c r="D144" s="3">
        <f>INDEX(Receivables_Ledger!E$2:E$1201,SMALL(Receivables_Ledger!P$2:P$1201,143))</f>
        <v/>
      </c>
      <c r="E144" s="3">
        <f>INDEX(Receivables_Ledger!M$2:M$1201,SMALL(Receivables_Ledger!P$2:P$1201,143))</f>
        <v/>
      </c>
      <c r="F144" s="5">
        <f>INDEX(Receivables_Ledger!J$2:J$1201,SMALL(Receivables_Ledger!P$2:P$1201,143))</f>
        <v/>
      </c>
      <c r="G144" s="3">
        <f>IF(E144&gt;90,"LOST",IF(E144&gt;60,"ESCALATE",IF(E144&gt;30,"WATCH","MILD")))</f>
        <v/>
      </c>
      <c r="H144" s="4">
        <f>Guide!$B$3+IF(G144="LOST",0,IF(G144="ESCALATE",1,IF(G144="WATCH",3,7)))</f>
        <v/>
      </c>
    </row>
    <row r="145">
      <c r="A145" s="3">
        <f>ROW()-1</f>
        <v/>
      </c>
      <c r="B145" s="3">
        <f>INDEX(Receivables_Ledger!A$2:A$1201,SMALL(Receivables_Ledger!P$2:P$1201,144))</f>
        <v/>
      </c>
      <c r="C145" s="3">
        <f>INDEX(Receivables_Ledger!C$2:C$1201,SMALL(Receivables_Ledger!P$2:P$1201,144))</f>
        <v/>
      </c>
      <c r="D145" s="3">
        <f>INDEX(Receivables_Ledger!E$2:E$1201,SMALL(Receivables_Ledger!P$2:P$1201,144))</f>
        <v/>
      </c>
      <c r="E145" s="3">
        <f>INDEX(Receivables_Ledger!M$2:M$1201,SMALL(Receivables_Ledger!P$2:P$1201,144))</f>
        <v/>
      </c>
      <c r="F145" s="5">
        <f>INDEX(Receivables_Ledger!J$2:J$1201,SMALL(Receivables_Ledger!P$2:P$1201,144))</f>
        <v/>
      </c>
      <c r="G145" s="3">
        <f>IF(E145&gt;90,"LOST",IF(E145&gt;60,"ESCALATE",IF(E145&gt;30,"WATCH","MILD")))</f>
        <v/>
      </c>
      <c r="H145" s="4">
        <f>Guide!$B$3+IF(G145="LOST",0,IF(G145="ESCALATE",1,IF(G145="WATCH",3,7)))</f>
        <v/>
      </c>
    </row>
    <row r="146">
      <c r="A146" s="3">
        <f>ROW()-1</f>
        <v/>
      </c>
      <c r="B146" s="3">
        <f>INDEX(Receivables_Ledger!A$2:A$1201,SMALL(Receivables_Ledger!P$2:P$1201,145))</f>
        <v/>
      </c>
      <c r="C146" s="3">
        <f>INDEX(Receivables_Ledger!C$2:C$1201,SMALL(Receivables_Ledger!P$2:P$1201,145))</f>
        <v/>
      </c>
      <c r="D146" s="3">
        <f>INDEX(Receivables_Ledger!E$2:E$1201,SMALL(Receivables_Ledger!P$2:P$1201,145))</f>
        <v/>
      </c>
      <c r="E146" s="3">
        <f>INDEX(Receivables_Ledger!M$2:M$1201,SMALL(Receivables_Ledger!P$2:P$1201,145))</f>
        <v/>
      </c>
      <c r="F146" s="5">
        <f>INDEX(Receivables_Ledger!J$2:J$1201,SMALL(Receivables_Ledger!P$2:P$1201,145))</f>
        <v/>
      </c>
      <c r="G146" s="3">
        <f>IF(E146&gt;90,"LOST",IF(E146&gt;60,"ESCALATE",IF(E146&gt;30,"WATCH","MILD")))</f>
        <v/>
      </c>
      <c r="H146" s="4">
        <f>Guide!$B$3+IF(G146="LOST",0,IF(G146="ESCALATE",1,IF(G146="WATCH",3,7)))</f>
        <v/>
      </c>
    </row>
    <row r="147">
      <c r="A147" s="3">
        <f>ROW()-1</f>
        <v/>
      </c>
      <c r="B147" s="3">
        <f>INDEX(Receivables_Ledger!A$2:A$1201,SMALL(Receivables_Ledger!P$2:P$1201,146))</f>
        <v/>
      </c>
      <c r="C147" s="3">
        <f>INDEX(Receivables_Ledger!C$2:C$1201,SMALL(Receivables_Ledger!P$2:P$1201,146))</f>
        <v/>
      </c>
      <c r="D147" s="3">
        <f>INDEX(Receivables_Ledger!E$2:E$1201,SMALL(Receivables_Ledger!P$2:P$1201,146))</f>
        <v/>
      </c>
      <c r="E147" s="3">
        <f>INDEX(Receivables_Ledger!M$2:M$1201,SMALL(Receivables_Ledger!P$2:P$1201,146))</f>
        <v/>
      </c>
      <c r="F147" s="5">
        <f>INDEX(Receivables_Ledger!J$2:J$1201,SMALL(Receivables_Ledger!P$2:P$1201,146))</f>
        <v/>
      </c>
      <c r="G147" s="3">
        <f>IF(E147&gt;90,"LOST",IF(E147&gt;60,"ESCALATE",IF(E147&gt;30,"WATCH","MILD")))</f>
        <v/>
      </c>
      <c r="H147" s="4">
        <f>Guide!$B$3+IF(G147="LOST",0,IF(G147="ESCALATE",1,IF(G147="WATCH",3,7)))</f>
        <v/>
      </c>
    </row>
    <row r="148">
      <c r="A148" s="3">
        <f>ROW()-1</f>
        <v/>
      </c>
      <c r="B148" s="3">
        <f>INDEX(Receivables_Ledger!A$2:A$1201,SMALL(Receivables_Ledger!P$2:P$1201,147))</f>
        <v/>
      </c>
      <c r="C148" s="3">
        <f>INDEX(Receivables_Ledger!C$2:C$1201,SMALL(Receivables_Ledger!P$2:P$1201,147))</f>
        <v/>
      </c>
      <c r="D148" s="3">
        <f>INDEX(Receivables_Ledger!E$2:E$1201,SMALL(Receivables_Ledger!P$2:P$1201,147))</f>
        <v/>
      </c>
      <c r="E148" s="3">
        <f>INDEX(Receivables_Ledger!M$2:M$1201,SMALL(Receivables_Ledger!P$2:P$1201,147))</f>
        <v/>
      </c>
      <c r="F148" s="5">
        <f>INDEX(Receivables_Ledger!J$2:J$1201,SMALL(Receivables_Ledger!P$2:P$1201,147))</f>
        <v/>
      </c>
      <c r="G148" s="3">
        <f>IF(E148&gt;90,"LOST",IF(E148&gt;60,"ESCALATE",IF(E148&gt;30,"WATCH","MILD")))</f>
        <v/>
      </c>
      <c r="H148" s="4">
        <f>Guide!$B$3+IF(G148="LOST",0,IF(G148="ESCALATE",1,IF(G148="WATCH",3,7)))</f>
        <v/>
      </c>
    </row>
    <row r="149">
      <c r="A149" s="3">
        <f>ROW()-1</f>
        <v/>
      </c>
      <c r="B149" s="3">
        <f>INDEX(Receivables_Ledger!A$2:A$1201,SMALL(Receivables_Ledger!P$2:P$1201,148))</f>
        <v/>
      </c>
      <c r="C149" s="3">
        <f>INDEX(Receivables_Ledger!C$2:C$1201,SMALL(Receivables_Ledger!P$2:P$1201,148))</f>
        <v/>
      </c>
      <c r="D149" s="3">
        <f>INDEX(Receivables_Ledger!E$2:E$1201,SMALL(Receivables_Ledger!P$2:P$1201,148))</f>
        <v/>
      </c>
      <c r="E149" s="3">
        <f>INDEX(Receivables_Ledger!M$2:M$1201,SMALL(Receivables_Ledger!P$2:P$1201,148))</f>
        <v/>
      </c>
      <c r="F149" s="5">
        <f>INDEX(Receivables_Ledger!J$2:J$1201,SMALL(Receivables_Ledger!P$2:P$1201,148))</f>
        <v/>
      </c>
      <c r="G149" s="3">
        <f>IF(E149&gt;90,"LOST",IF(E149&gt;60,"ESCALATE",IF(E149&gt;30,"WATCH","MILD")))</f>
        <v/>
      </c>
      <c r="H149" s="4">
        <f>Guide!$B$3+IF(G149="LOST",0,IF(G149="ESCALATE",1,IF(G149="WATCH",3,7)))</f>
        <v/>
      </c>
    </row>
    <row r="150">
      <c r="A150" s="3">
        <f>ROW()-1</f>
        <v/>
      </c>
      <c r="B150" s="3">
        <f>INDEX(Receivables_Ledger!A$2:A$1201,SMALL(Receivables_Ledger!P$2:P$1201,149))</f>
        <v/>
      </c>
      <c r="C150" s="3">
        <f>INDEX(Receivables_Ledger!C$2:C$1201,SMALL(Receivables_Ledger!P$2:P$1201,149))</f>
        <v/>
      </c>
      <c r="D150" s="3">
        <f>INDEX(Receivables_Ledger!E$2:E$1201,SMALL(Receivables_Ledger!P$2:P$1201,149))</f>
        <v/>
      </c>
      <c r="E150" s="3">
        <f>INDEX(Receivables_Ledger!M$2:M$1201,SMALL(Receivables_Ledger!P$2:P$1201,149))</f>
        <v/>
      </c>
      <c r="F150" s="5">
        <f>INDEX(Receivables_Ledger!J$2:J$1201,SMALL(Receivables_Ledger!P$2:P$1201,149))</f>
        <v/>
      </c>
      <c r="G150" s="3">
        <f>IF(E150&gt;90,"LOST",IF(E150&gt;60,"ESCALATE",IF(E150&gt;30,"WATCH","MILD")))</f>
        <v/>
      </c>
      <c r="H150" s="4">
        <f>Guide!$B$3+IF(G150="LOST",0,IF(G150="ESCALATE",1,IF(G150="WATCH",3,7)))</f>
        <v/>
      </c>
    </row>
    <row r="151">
      <c r="A151" s="3">
        <f>ROW()-1</f>
        <v/>
      </c>
      <c r="B151" s="3">
        <f>INDEX(Receivables_Ledger!A$2:A$1201,SMALL(Receivables_Ledger!P$2:P$1201,150))</f>
        <v/>
      </c>
      <c r="C151" s="3">
        <f>INDEX(Receivables_Ledger!C$2:C$1201,SMALL(Receivables_Ledger!P$2:P$1201,150))</f>
        <v/>
      </c>
      <c r="D151" s="3">
        <f>INDEX(Receivables_Ledger!E$2:E$1201,SMALL(Receivables_Ledger!P$2:P$1201,150))</f>
        <v/>
      </c>
      <c r="E151" s="3">
        <f>INDEX(Receivables_Ledger!M$2:M$1201,SMALL(Receivables_Ledger!P$2:P$1201,150))</f>
        <v/>
      </c>
      <c r="F151" s="5">
        <f>INDEX(Receivables_Ledger!J$2:J$1201,SMALL(Receivables_Ledger!P$2:P$1201,150))</f>
        <v/>
      </c>
      <c r="G151" s="3">
        <f>IF(E151&gt;90,"LOST",IF(E151&gt;60,"ESCALATE",IF(E151&gt;30,"WATCH","MILD")))</f>
        <v/>
      </c>
      <c r="H151" s="4">
        <f>Guide!$B$3+IF(G151="LOST",0,IF(G151="ESCALATE",1,IF(G151="WATCH",3,7)))</f>
        <v/>
      </c>
    </row>
    <row r="152">
      <c r="A152" s="3">
        <f>ROW()-1</f>
        <v/>
      </c>
      <c r="B152" s="3">
        <f>INDEX(Receivables_Ledger!A$2:A$1201,SMALL(Receivables_Ledger!P$2:P$1201,151))</f>
        <v/>
      </c>
      <c r="C152" s="3">
        <f>INDEX(Receivables_Ledger!C$2:C$1201,SMALL(Receivables_Ledger!P$2:P$1201,151))</f>
        <v/>
      </c>
      <c r="D152" s="3">
        <f>INDEX(Receivables_Ledger!E$2:E$1201,SMALL(Receivables_Ledger!P$2:P$1201,151))</f>
        <v/>
      </c>
      <c r="E152" s="3">
        <f>INDEX(Receivables_Ledger!M$2:M$1201,SMALL(Receivables_Ledger!P$2:P$1201,151))</f>
        <v/>
      </c>
      <c r="F152" s="5">
        <f>INDEX(Receivables_Ledger!J$2:J$1201,SMALL(Receivables_Ledger!P$2:P$1201,151))</f>
        <v/>
      </c>
      <c r="G152" s="3">
        <f>IF(E152&gt;90,"LOST",IF(E152&gt;60,"ESCALATE",IF(E152&gt;30,"WATCH","MILD")))</f>
        <v/>
      </c>
      <c r="H152" s="4">
        <f>Guide!$B$3+IF(G152="LOST",0,IF(G152="ESCALATE",1,IF(G152="WATCH",3,7)))</f>
        <v/>
      </c>
    </row>
    <row r="153">
      <c r="A153" s="3">
        <f>ROW()-1</f>
        <v/>
      </c>
      <c r="B153" s="3">
        <f>INDEX(Receivables_Ledger!A$2:A$1201,SMALL(Receivables_Ledger!P$2:P$1201,152))</f>
        <v/>
      </c>
      <c r="C153" s="3">
        <f>INDEX(Receivables_Ledger!C$2:C$1201,SMALL(Receivables_Ledger!P$2:P$1201,152))</f>
        <v/>
      </c>
      <c r="D153" s="3">
        <f>INDEX(Receivables_Ledger!E$2:E$1201,SMALL(Receivables_Ledger!P$2:P$1201,152))</f>
        <v/>
      </c>
      <c r="E153" s="3">
        <f>INDEX(Receivables_Ledger!M$2:M$1201,SMALL(Receivables_Ledger!P$2:P$1201,152))</f>
        <v/>
      </c>
      <c r="F153" s="5">
        <f>INDEX(Receivables_Ledger!J$2:J$1201,SMALL(Receivables_Ledger!P$2:P$1201,152))</f>
        <v/>
      </c>
      <c r="G153" s="3">
        <f>IF(E153&gt;90,"LOST",IF(E153&gt;60,"ESCALATE",IF(E153&gt;30,"WATCH","MILD")))</f>
        <v/>
      </c>
      <c r="H153" s="4">
        <f>Guide!$B$3+IF(G153="LOST",0,IF(G153="ESCALATE",1,IF(G153="WATCH",3,7)))</f>
        <v/>
      </c>
    </row>
    <row r="154">
      <c r="A154" s="3">
        <f>ROW()-1</f>
        <v/>
      </c>
      <c r="B154" s="3">
        <f>INDEX(Receivables_Ledger!A$2:A$1201,SMALL(Receivables_Ledger!P$2:P$1201,153))</f>
        <v/>
      </c>
      <c r="C154" s="3">
        <f>INDEX(Receivables_Ledger!C$2:C$1201,SMALL(Receivables_Ledger!P$2:P$1201,153))</f>
        <v/>
      </c>
      <c r="D154" s="3">
        <f>INDEX(Receivables_Ledger!E$2:E$1201,SMALL(Receivables_Ledger!P$2:P$1201,153))</f>
        <v/>
      </c>
      <c r="E154" s="3">
        <f>INDEX(Receivables_Ledger!M$2:M$1201,SMALL(Receivables_Ledger!P$2:P$1201,153))</f>
        <v/>
      </c>
      <c r="F154" s="5">
        <f>INDEX(Receivables_Ledger!J$2:J$1201,SMALL(Receivables_Ledger!P$2:P$1201,153))</f>
        <v/>
      </c>
      <c r="G154" s="3">
        <f>IF(E154&gt;90,"LOST",IF(E154&gt;60,"ESCALATE",IF(E154&gt;30,"WATCH","MILD")))</f>
        <v/>
      </c>
      <c r="H154" s="4">
        <f>Guide!$B$3+IF(G154="LOST",0,IF(G154="ESCALATE",1,IF(G154="WATCH",3,7)))</f>
        <v/>
      </c>
    </row>
    <row r="155">
      <c r="A155" s="3">
        <f>ROW()-1</f>
        <v/>
      </c>
      <c r="B155" s="3">
        <f>INDEX(Receivables_Ledger!A$2:A$1201,SMALL(Receivables_Ledger!P$2:P$1201,154))</f>
        <v/>
      </c>
      <c r="C155" s="3">
        <f>INDEX(Receivables_Ledger!C$2:C$1201,SMALL(Receivables_Ledger!P$2:P$1201,154))</f>
        <v/>
      </c>
      <c r="D155" s="3">
        <f>INDEX(Receivables_Ledger!E$2:E$1201,SMALL(Receivables_Ledger!P$2:P$1201,154))</f>
        <v/>
      </c>
      <c r="E155" s="3">
        <f>INDEX(Receivables_Ledger!M$2:M$1201,SMALL(Receivables_Ledger!P$2:P$1201,154))</f>
        <v/>
      </c>
      <c r="F155" s="5">
        <f>INDEX(Receivables_Ledger!J$2:J$1201,SMALL(Receivables_Ledger!P$2:P$1201,154))</f>
        <v/>
      </c>
      <c r="G155" s="3">
        <f>IF(E155&gt;90,"LOST",IF(E155&gt;60,"ESCALATE",IF(E155&gt;30,"WATCH","MILD")))</f>
        <v/>
      </c>
      <c r="H155" s="4">
        <f>Guide!$B$3+IF(G155="LOST",0,IF(G155="ESCALATE",1,IF(G155="WATCH",3,7)))</f>
        <v/>
      </c>
    </row>
    <row r="156">
      <c r="A156" s="3">
        <f>ROW()-1</f>
        <v/>
      </c>
      <c r="B156" s="3">
        <f>INDEX(Receivables_Ledger!A$2:A$1201,SMALL(Receivables_Ledger!P$2:P$1201,155))</f>
        <v/>
      </c>
      <c r="C156" s="3">
        <f>INDEX(Receivables_Ledger!C$2:C$1201,SMALL(Receivables_Ledger!P$2:P$1201,155))</f>
        <v/>
      </c>
      <c r="D156" s="3">
        <f>INDEX(Receivables_Ledger!E$2:E$1201,SMALL(Receivables_Ledger!P$2:P$1201,155))</f>
        <v/>
      </c>
      <c r="E156" s="3">
        <f>INDEX(Receivables_Ledger!M$2:M$1201,SMALL(Receivables_Ledger!P$2:P$1201,155))</f>
        <v/>
      </c>
      <c r="F156" s="5">
        <f>INDEX(Receivables_Ledger!J$2:J$1201,SMALL(Receivables_Ledger!P$2:P$1201,155))</f>
        <v/>
      </c>
      <c r="G156" s="3">
        <f>IF(E156&gt;90,"LOST",IF(E156&gt;60,"ESCALATE",IF(E156&gt;30,"WATCH","MILD")))</f>
        <v/>
      </c>
      <c r="H156" s="4">
        <f>Guide!$B$3+IF(G156="LOST",0,IF(G156="ESCALATE",1,IF(G156="WATCH",3,7)))</f>
        <v/>
      </c>
    </row>
    <row r="157">
      <c r="A157" s="3">
        <f>ROW()-1</f>
        <v/>
      </c>
      <c r="B157" s="3">
        <f>INDEX(Receivables_Ledger!A$2:A$1201,SMALL(Receivables_Ledger!P$2:P$1201,156))</f>
        <v/>
      </c>
      <c r="C157" s="3">
        <f>INDEX(Receivables_Ledger!C$2:C$1201,SMALL(Receivables_Ledger!P$2:P$1201,156))</f>
        <v/>
      </c>
      <c r="D157" s="3">
        <f>INDEX(Receivables_Ledger!E$2:E$1201,SMALL(Receivables_Ledger!P$2:P$1201,156))</f>
        <v/>
      </c>
      <c r="E157" s="3">
        <f>INDEX(Receivables_Ledger!M$2:M$1201,SMALL(Receivables_Ledger!P$2:P$1201,156))</f>
        <v/>
      </c>
      <c r="F157" s="5">
        <f>INDEX(Receivables_Ledger!J$2:J$1201,SMALL(Receivables_Ledger!P$2:P$1201,156))</f>
        <v/>
      </c>
      <c r="G157" s="3">
        <f>IF(E157&gt;90,"LOST",IF(E157&gt;60,"ESCALATE",IF(E157&gt;30,"WATCH","MILD")))</f>
        <v/>
      </c>
      <c r="H157" s="4">
        <f>Guide!$B$3+IF(G157="LOST",0,IF(G157="ESCALATE",1,IF(G157="WATCH",3,7)))</f>
        <v/>
      </c>
    </row>
    <row r="158">
      <c r="A158" s="3">
        <f>ROW()-1</f>
        <v/>
      </c>
      <c r="B158" s="3">
        <f>INDEX(Receivables_Ledger!A$2:A$1201,SMALL(Receivables_Ledger!P$2:P$1201,157))</f>
        <v/>
      </c>
      <c r="C158" s="3">
        <f>INDEX(Receivables_Ledger!C$2:C$1201,SMALL(Receivables_Ledger!P$2:P$1201,157))</f>
        <v/>
      </c>
      <c r="D158" s="3">
        <f>INDEX(Receivables_Ledger!E$2:E$1201,SMALL(Receivables_Ledger!P$2:P$1201,157))</f>
        <v/>
      </c>
      <c r="E158" s="3">
        <f>INDEX(Receivables_Ledger!M$2:M$1201,SMALL(Receivables_Ledger!P$2:P$1201,157))</f>
        <v/>
      </c>
      <c r="F158" s="5">
        <f>INDEX(Receivables_Ledger!J$2:J$1201,SMALL(Receivables_Ledger!P$2:P$1201,157))</f>
        <v/>
      </c>
      <c r="G158" s="3">
        <f>IF(E158&gt;90,"LOST",IF(E158&gt;60,"ESCALATE",IF(E158&gt;30,"WATCH","MILD")))</f>
        <v/>
      </c>
      <c r="H158" s="4">
        <f>Guide!$B$3+IF(G158="LOST",0,IF(G158="ESCALATE",1,IF(G158="WATCH",3,7)))</f>
        <v/>
      </c>
    </row>
    <row r="159">
      <c r="A159" s="3">
        <f>ROW()-1</f>
        <v/>
      </c>
      <c r="B159" s="3">
        <f>INDEX(Receivables_Ledger!A$2:A$1201,SMALL(Receivables_Ledger!P$2:P$1201,158))</f>
        <v/>
      </c>
      <c r="C159" s="3">
        <f>INDEX(Receivables_Ledger!C$2:C$1201,SMALL(Receivables_Ledger!P$2:P$1201,158))</f>
        <v/>
      </c>
      <c r="D159" s="3">
        <f>INDEX(Receivables_Ledger!E$2:E$1201,SMALL(Receivables_Ledger!P$2:P$1201,158))</f>
        <v/>
      </c>
      <c r="E159" s="3">
        <f>INDEX(Receivables_Ledger!M$2:M$1201,SMALL(Receivables_Ledger!P$2:P$1201,158))</f>
        <v/>
      </c>
      <c r="F159" s="5">
        <f>INDEX(Receivables_Ledger!J$2:J$1201,SMALL(Receivables_Ledger!P$2:P$1201,158))</f>
        <v/>
      </c>
      <c r="G159" s="3">
        <f>IF(E159&gt;90,"LOST",IF(E159&gt;60,"ESCALATE",IF(E159&gt;30,"WATCH","MILD")))</f>
        <v/>
      </c>
      <c r="H159" s="4">
        <f>Guide!$B$3+IF(G159="LOST",0,IF(G159="ESCALATE",1,IF(G159="WATCH",3,7)))</f>
        <v/>
      </c>
    </row>
    <row r="160">
      <c r="A160" s="3">
        <f>ROW()-1</f>
        <v/>
      </c>
      <c r="B160" s="3">
        <f>INDEX(Receivables_Ledger!A$2:A$1201,SMALL(Receivables_Ledger!P$2:P$1201,159))</f>
        <v/>
      </c>
      <c r="C160" s="3">
        <f>INDEX(Receivables_Ledger!C$2:C$1201,SMALL(Receivables_Ledger!P$2:P$1201,159))</f>
        <v/>
      </c>
      <c r="D160" s="3">
        <f>INDEX(Receivables_Ledger!E$2:E$1201,SMALL(Receivables_Ledger!P$2:P$1201,159))</f>
        <v/>
      </c>
      <c r="E160" s="3">
        <f>INDEX(Receivables_Ledger!M$2:M$1201,SMALL(Receivables_Ledger!P$2:P$1201,159))</f>
        <v/>
      </c>
      <c r="F160" s="5">
        <f>INDEX(Receivables_Ledger!J$2:J$1201,SMALL(Receivables_Ledger!P$2:P$1201,159))</f>
        <v/>
      </c>
      <c r="G160" s="3">
        <f>IF(E160&gt;90,"LOST",IF(E160&gt;60,"ESCALATE",IF(E160&gt;30,"WATCH","MILD")))</f>
        <v/>
      </c>
      <c r="H160" s="4">
        <f>Guide!$B$3+IF(G160="LOST",0,IF(G160="ESCALATE",1,IF(G160="WATCH",3,7)))</f>
        <v/>
      </c>
    </row>
    <row r="161">
      <c r="A161" s="3">
        <f>ROW()-1</f>
        <v/>
      </c>
      <c r="B161" s="3">
        <f>INDEX(Receivables_Ledger!A$2:A$1201,SMALL(Receivables_Ledger!P$2:P$1201,160))</f>
        <v/>
      </c>
      <c r="C161" s="3">
        <f>INDEX(Receivables_Ledger!C$2:C$1201,SMALL(Receivables_Ledger!P$2:P$1201,160))</f>
        <v/>
      </c>
      <c r="D161" s="3">
        <f>INDEX(Receivables_Ledger!E$2:E$1201,SMALL(Receivables_Ledger!P$2:P$1201,160))</f>
        <v/>
      </c>
      <c r="E161" s="3">
        <f>INDEX(Receivables_Ledger!M$2:M$1201,SMALL(Receivables_Ledger!P$2:P$1201,160))</f>
        <v/>
      </c>
      <c r="F161" s="5">
        <f>INDEX(Receivables_Ledger!J$2:J$1201,SMALL(Receivables_Ledger!P$2:P$1201,160))</f>
        <v/>
      </c>
      <c r="G161" s="3">
        <f>IF(E161&gt;90,"LOST",IF(E161&gt;60,"ESCALATE",IF(E161&gt;30,"WATCH","MILD")))</f>
        <v/>
      </c>
      <c r="H161" s="4">
        <f>Guide!$B$3+IF(G161="LOST",0,IF(G161="ESCALATE",1,IF(G161="WATCH",3,7)))</f>
        <v/>
      </c>
    </row>
    <row r="162">
      <c r="A162" s="3">
        <f>ROW()-1</f>
        <v/>
      </c>
      <c r="B162" s="3">
        <f>INDEX(Receivables_Ledger!A$2:A$1201,SMALL(Receivables_Ledger!P$2:P$1201,161))</f>
        <v/>
      </c>
      <c r="C162" s="3">
        <f>INDEX(Receivables_Ledger!C$2:C$1201,SMALL(Receivables_Ledger!P$2:P$1201,161))</f>
        <v/>
      </c>
      <c r="D162" s="3">
        <f>INDEX(Receivables_Ledger!E$2:E$1201,SMALL(Receivables_Ledger!P$2:P$1201,161))</f>
        <v/>
      </c>
      <c r="E162" s="3">
        <f>INDEX(Receivables_Ledger!M$2:M$1201,SMALL(Receivables_Ledger!P$2:P$1201,161))</f>
        <v/>
      </c>
      <c r="F162" s="5">
        <f>INDEX(Receivables_Ledger!J$2:J$1201,SMALL(Receivables_Ledger!P$2:P$1201,161))</f>
        <v/>
      </c>
      <c r="G162" s="3">
        <f>IF(E162&gt;90,"LOST",IF(E162&gt;60,"ESCALATE",IF(E162&gt;30,"WATCH","MILD")))</f>
        <v/>
      </c>
      <c r="H162" s="4">
        <f>Guide!$B$3+IF(G162="LOST",0,IF(G162="ESCALATE",1,IF(G162="WATCH",3,7)))</f>
        <v/>
      </c>
    </row>
    <row r="163">
      <c r="A163" s="3">
        <f>ROW()-1</f>
        <v/>
      </c>
      <c r="B163" s="3">
        <f>INDEX(Receivables_Ledger!A$2:A$1201,SMALL(Receivables_Ledger!P$2:P$1201,162))</f>
        <v/>
      </c>
      <c r="C163" s="3">
        <f>INDEX(Receivables_Ledger!C$2:C$1201,SMALL(Receivables_Ledger!P$2:P$1201,162))</f>
        <v/>
      </c>
      <c r="D163" s="3">
        <f>INDEX(Receivables_Ledger!E$2:E$1201,SMALL(Receivables_Ledger!P$2:P$1201,162))</f>
        <v/>
      </c>
      <c r="E163" s="3">
        <f>INDEX(Receivables_Ledger!M$2:M$1201,SMALL(Receivables_Ledger!P$2:P$1201,162))</f>
        <v/>
      </c>
      <c r="F163" s="5">
        <f>INDEX(Receivables_Ledger!J$2:J$1201,SMALL(Receivables_Ledger!P$2:P$1201,162))</f>
        <v/>
      </c>
      <c r="G163" s="3">
        <f>IF(E163&gt;90,"LOST",IF(E163&gt;60,"ESCALATE",IF(E163&gt;30,"WATCH","MILD")))</f>
        <v/>
      </c>
      <c r="H163" s="4">
        <f>Guide!$B$3+IF(G163="LOST",0,IF(G163="ESCALATE",1,IF(G163="WATCH",3,7)))</f>
        <v/>
      </c>
    </row>
    <row r="164">
      <c r="A164" s="3">
        <f>ROW()-1</f>
        <v/>
      </c>
      <c r="B164" s="3">
        <f>INDEX(Receivables_Ledger!A$2:A$1201,SMALL(Receivables_Ledger!P$2:P$1201,163))</f>
        <v/>
      </c>
      <c r="C164" s="3">
        <f>INDEX(Receivables_Ledger!C$2:C$1201,SMALL(Receivables_Ledger!P$2:P$1201,163))</f>
        <v/>
      </c>
      <c r="D164" s="3">
        <f>INDEX(Receivables_Ledger!E$2:E$1201,SMALL(Receivables_Ledger!P$2:P$1201,163))</f>
        <v/>
      </c>
      <c r="E164" s="3">
        <f>INDEX(Receivables_Ledger!M$2:M$1201,SMALL(Receivables_Ledger!P$2:P$1201,163))</f>
        <v/>
      </c>
      <c r="F164" s="5">
        <f>INDEX(Receivables_Ledger!J$2:J$1201,SMALL(Receivables_Ledger!P$2:P$1201,163))</f>
        <v/>
      </c>
      <c r="G164" s="3">
        <f>IF(E164&gt;90,"LOST",IF(E164&gt;60,"ESCALATE",IF(E164&gt;30,"WATCH","MILD")))</f>
        <v/>
      </c>
      <c r="H164" s="4">
        <f>Guide!$B$3+IF(G164="LOST",0,IF(G164="ESCALATE",1,IF(G164="WATCH",3,7)))</f>
        <v/>
      </c>
    </row>
    <row r="165">
      <c r="A165" s="3">
        <f>ROW()-1</f>
        <v/>
      </c>
      <c r="B165" s="3">
        <f>INDEX(Receivables_Ledger!A$2:A$1201,SMALL(Receivables_Ledger!P$2:P$1201,164))</f>
        <v/>
      </c>
      <c r="C165" s="3">
        <f>INDEX(Receivables_Ledger!C$2:C$1201,SMALL(Receivables_Ledger!P$2:P$1201,164))</f>
        <v/>
      </c>
      <c r="D165" s="3">
        <f>INDEX(Receivables_Ledger!E$2:E$1201,SMALL(Receivables_Ledger!P$2:P$1201,164))</f>
        <v/>
      </c>
      <c r="E165" s="3">
        <f>INDEX(Receivables_Ledger!M$2:M$1201,SMALL(Receivables_Ledger!P$2:P$1201,164))</f>
        <v/>
      </c>
      <c r="F165" s="5">
        <f>INDEX(Receivables_Ledger!J$2:J$1201,SMALL(Receivables_Ledger!P$2:P$1201,164))</f>
        <v/>
      </c>
      <c r="G165" s="3">
        <f>IF(E165&gt;90,"LOST",IF(E165&gt;60,"ESCALATE",IF(E165&gt;30,"WATCH","MILD")))</f>
        <v/>
      </c>
      <c r="H165" s="4">
        <f>Guide!$B$3+IF(G165="LOST",0,IF(G165="ESCALATE",1,IF(G165="WATCH",3,7)))</f>
        <v/>
      </c>
    </row>
    <row r="166">
      <c r="A166" s="3">
        <f>ROW()-1</f>
        <v/>
      </c>
      <c r="B166" s="3">
        <f>INDEX(Receivables_Ledger!A$2:A$1201,SMALL(Receivables_Ledger!P$2:P$1201,165))</f>
        <v/>
      </c>
      <c r="C166" s="3">
        <f>INDEX(Receivables_Ledger!C$2:C$1201,SMALL(Receivables_Ledger!P$2:P$1201,165))</f>
        <v/>
      </c>
      <c r="D166" s="3">
        <f>INDEX(Receivables_Ledger!E$2:E$1201,SMALL(Receivables_Ledger!P$2:P$1201,165))</f>
        <v/>
      </c>
      <c r="E166" s="3">
        <f>INDEX(Receivables_Ledger!M$2:M$1201,SMALL(Receivables_Ledger!P$2:P$1201,165))</f>
        <v/>
      </c>
      <c r="F166" s="5">
        <f>INDEX(Receivables_Ledger!J$2:J$1201,SMALL(Receivables_Ledger!P$2:P$1201,165))</f>
        <v/>
      </c>
      <c r="G166" s="3">
        <f>IF(E166&gt;90,"LOST",IF(E166&gt;60,"ESCALATE",IF(E166&gt;30,"WATCH","MILD")))</f>
        <v/>
      </c>
      <c r="H166" s="4">
        <f>Guide!$B$3+IF(G166="LOST",0,IF(G166="ESCALATE",1,IF(G166="WATCH",3,7)))</f>
        <v/>
      </c>
    </row>
    <row r="167">
      <c r="A167" s="3">
        <f>ROW()-1</f>
        <v/>
      </c>
      <c r="B167" s="3">
        <f>INDEX(Receivables_Ledger!A$2:A$1201,SMALL(Receivables_Ledger!P$2:P$1201,166))</f>
        <v/>
      </c>
      <c r="C167" s="3">
        <f>INDEX(Receivables_Ledger!C$2:C$1201,SMALL(Receivables_Ledger!P$2:P$1201,166))</f>
        <v/>
      </c>
      <c r="D167" s="3">
        <f>INDEX(Receivables_Ledger!E$2:E$1201,SMALL(Receivables_Ledger!P$2:P$1201,166))</f>
        <v/>
      </c>
      <c r="E167" s="3">
        <f>INDEX(Receivables_Ledger!M$2:M$1201,SMALL(Receivables_Ledger!P$2:P$1201,166))</f>
        <v/>
      </c>
      <c r="F167" s="5">
        <f>INDEX(Receivables_Ledger!J$2:J$1201,SMALL(Receivables_Ledger!P$2:P$1201,166))</f>
        <v/>
      </c>
      <c r="G167" s="3">
        <f>IF(E167&gt;90,"LOST",IF(E167&gt;60,"ESCALATE",IF(E167&gt;30,"WATCH","MILD")))</f>
        <v/>
      </c>
      <c r="H167" s="4">
        <f>Guide!$B$3+IF(G167="LOST",0,IF(G167="ESCALATE",1,IF(G167="WATCH",3,7)))</f>
        <v/>
      </c>
    </row>
    <row r="168">
      <c r="A168" s="3">
        <f>ROW()-1</f>
        <v/>
      </c>
      <c r="B168" s="3">
        <f>INDEX(Receivables_Ledger!A$2:A$1201,SMALL(Receivables_Ledger!P$2:P$1201,167))</f>
        <v/>
      </c>
      <c r="C168" s="3">
        <f>INDEX(Receivables_Ledger!C$2:C$1201,SMALL(Receivables_Ledger!P$2:P$1201,167))</f>
        <v/>
      </c>
      <c r="D168" s="3">
        <f>INDEX(Receivables_Ledger!E$2:E$1201,SMALL(Receivables_Ledger!P$2:P$1201,167))</f>
        <v/>
      </c>
      <c r="E168" s="3">
        <f>INDEX(Receivables_Ledger!M$2:M$1201,SMALL(Receivables_Ledger!P$2:P$1201,167))</f>
        <v/>
      </c>
      <c r="F168" s="5">
        <f>INDEX(Receivables_Ledger!J$2:J$1201,SMALL(Receivables_Ledger!P$2:P$1201,167))</f>
        <v/>
      </c>
      <c r="G168" s="3">
        <f>IF(E168&gt;90,"LOST",IF(E168&gt;60,"ESCALATE",IF(E168&gt;30,"WATCH","MILD")))</f>
        <v/>
      </c>
      <c r="H168" s="4">
        <f>Guide!$B$3+IF(G168="LOST",0,IF(G168="ESCALATE",1,IF(G168="WATCH",3,7)))</f>
        <v/>
      </c>
    </row>
    <row r="169">
      <c r="A169" s="3">
        <f>ROW()-1</f>
        <v/>
      </c>
      <c r="B169" s="3">
        <f>INDEX(Receivables_Ledger!A$2:A$1201,SMALL(Receivables_Ledger!P$2:P$1201,168))</f>
        <v/>
      </c>
      <c r="C169" s="3">
        <f>INDEX(Receivables_Ledger!C$2:C$1201,SMALL(Receivables_Ledger!P$2:P$1201,168))</f>
        <v/>
      </c>
      <c r="D169" s="3">
        <f>INDEX(Receivables_Ledger!E$2:E$1201,SMALL(Receivables_Ledger!P$2:P$1201,168))</f>
        <v/>
      </c>
      <c r="E169" s="3">
        <f>INDEX(Receivables_Ledger!M$2:M$1201,SMALL(Receivables_Ledger!P$2:P$1201,168))</f>
        <v/>
      </c>
      <c r="F169" s="5">
        <f>INDEX(Receivables_Ledger!J$2:J$1201,SMALL(Receivables_Ledger!P$2:P$1201,168))</f>
        <v/>
      </c>
      <c r="G169" s="3">
        <f>IF(E169&gt;90,"LOST",IF(E169&gt;60,"ESCALATE",IF(E169&gt;30,"WATCH","MILD")))</f>
        <v/>
      </c>
      <c r="H169" s="4">
        <f>Guide!$B$3+IF(G169="LOST",0,IF(G169="ESCALATE",1,IF(G169="WATCH",3,7)))</f>
        <v/>
      </c>
    </row>
  </sheetData>
  <autoFilter ref="A1:H1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8" customWidth="1" min="3" max="3"/>
    <col width="8" customWidth="1" min="4" max="4"/>
  </cols>
  <sheetData>
    <row r="1">
      <c r="A1" s="1" t="inlineStr">
        <is>
          <t>CollectionPulse — Collections Dashboard</t>
        </is>
      </c>
      <c r="B1" s="1" t="n"/>
      <c r="C1" s="1" t="n"/>
      <c r="D1" s="1" t="n"/>
    </row>
    <row r="2">
      <c r="A2" t="inlineStr">
        <is>
          <t>KPI</t>
        </is>
      </c>
      <c r="B2" t="inlineStr">
        <is>
          <t>Value</t>
        </is>
      </c>
    </row>
    <row r="3">
      <c r="A3" s="7" t="inlineStr">
        <is>
          <t>Total dues (Rs)</t>
        </is>
      </c>
      <c r="B3" s="10">
        <f>SUM(Raw_Schedule!H:H)</f>
        <v/>
      </c>
    </row>
    <row r="4">
      <c r="A4" s="7" t="inlineStr">
        <is>
          <t>Collected (Rs)</t>
        </is>
      </c>
      <c r="B4" s="10">
        <f>SUM(Raw_Payments!E:E)</f>
        <v/>
      </c>
    </row>
    <row r="5">
      <c r="A5" s="7" t="inlineStr">
        <is>
          <t>Collection %</t>
        </is>
      </c>
      <c r="B5" s="11">
        <f>B4/B3</f>
        <v/>
      </c>
    </row>
    <row r="6">
      <c r="A6" s="7" t="inlineStr">
        <is>
          <t>Overdue outstanding (Rs)</t>
        </is>
      </c>
      <c r="B6" s="10">
        <f>SUMIFS(Receivables_Ledger!J2:J1201,Receivables_Ledger!J2:J1201,"&gt;0.005")</f>
        <v/>
      </c>
    </row>
    <row r="7">
      <c r="A7" s="7" t="inlineStr">
        <is>
          <t>Overdue dues</t>
        </is>
      </c>
      <c r="B7" s="12">
        <f>COUNTIF(Receivables_Ledger!J2:J1201,"&gt;0.005")</f>
        <v/>
      </c>
    </row>
    <row r="8">
      <c r="A8" s="7" t="inlineStr">
        <is>
          <t>Avg DPD (overdue)</t>
        </is>
      </c>
      <c r="B8" s="13">
        <f>AVERAGEIFS(Receivables_Ledger!M2:M1201,Receivables_Ledger!J2:J1201,"&gt;0.005")</f>
        <v/>
      </c>
    </row>
    <row r="9">
      <c r="A9" s="7" t="inlineStr">
        <is>
          <t>Best collector</t>
        </is>
      </c>
      <c r="B9" s="14">
        <f>INDEX(Collector_Scorecard!A:A,MATCH(MAX(Collector_Scorecard!E:E),Collector_Scorecard!E:E,0))</f>
        <v/>
      </c>
    </row>
    <row r="10">
      <c r="A10" s="7" t="inlineStr">
        <is>
          <t>Worst collector</t>
        </is>
      </c>
      <c r="B10" s="14">
        <f>INDEX(Collector_Scorecard!A:A,MATCH(MIN(Collector_Scorecard!E:E),Collector_Scorecard!E:E,0))</f>
        <v/>
      </c>
    </row>
    <row r="13">
      <c r="A13" t="inlineStr">
        <is>
          <t>Month</t>
        </is>
      </c>
      <c r="B13" t="inlineStr">
        <is>
          <t>Due (Rs)</t>
        </is>
      </c>
      <c r="C13" t="inlineStr">
        <is>
          <t>Collected (Rs)</t>
        </is>
      </c>
      <c r="D13" t="inlineStr">
        <is>
          <t>Efficiency %</t>
        </is>
      </c>
    </row>
    <row r="14">
      <c r="A14" s="3" t="inlineStr">
        <is>
          <t>Apr-26</t>
        </is>
      </c>
      <c r="B14" s="5">
        <f>SUMIFS(Raw_Schedule!H:H,Raw_Schedule!G:G,"&gt;="&amp;DATE(2026,4,1),Raw_Schedule!G:G,"&lt;"&amp;DATE(2026,5,1))</f>
        <v/>
      </c>
      <c r="C14" s="5">
        <f>SUMIFS(Raw_Payments!E:E,Raw_Payments!D:D,"&gt;="&amp;DATE(2026,4,1),Raw_Payments!D:D,"&lt;"&amp;DATE(2026,5,1))</f>
        <v/>
      </c>
      <c r="D14" s="6">
        <f>IF(B14=0,0,C14/B14)</f>
        <v/>
      </c>
    </row>
    <row r="15">
      <c r="A15" s="3" t="inlineStr">
        <is>
          <t>May-26</t>
        </is>
      </c>
      <c r="B15" s="5">
        <f>SUMIFS(Raw_Schedule!H:H,Raw_Schedule!G:G,"&gt;="&amp;DATE(2026,5,1),Raw_Schedule!G:G,"&lt;"&amp;DATE(2026,6,1))</f>
        <v/>
      </c>
      <c r="C15" s="5">
        <f>SUMIFS(Raw_Payments!E:E,Raw_Payments!D:D,"&gt;="&amp;DATE(2026,5,1),Raw_Payments!D:D,"&lt;"&amp;DATE(2026,6,1))</f>
        <v/>
      </c>
      <c r="D15" s="6">
        <f>IF(B15=0,0,C15/B15)</f>
        <v/>
      </c>
    </row>
    <row r="16">
      <c r="A16" s="3" t="inlineStr">
        <is>
          <t>Jun-26</t>
        </is>
      </c>
      <c r="B16" s="5">
        <f>SUMIFS(Raw_Schedule!H:H,Raw_Schedule!G:G,"&gt;="&amp;DATE(2026,6,1),Raw_Schedule!G:G,"&lt;"&amp;DATE(2026,7,1))</f>
        <v/>
      </c>
      <c r="C16" s="5">
        <f>SUMIFS(Raw_Payments!E:E,Raw_Payments!D:D,"&gt;="&amp;DATE(2026,6,1),Raw_Payments!D:D,"&lt;"&amp;DATE(2026,7,1))</f>
        <v/>
      </c>
      <c r="D16" s="6">
        <f>IF(B16=0,0,C16/B16)</f>
        <v/>
      </c>
    </row>
    <row r="17">
      <c r="A17" s="3" t="inlineStr">
        <is>
          <t>Jul-26</t>
        </is>
      </c>
      <c r="B17" s="5">
        <f>SUMIFS(Raw_Schedule!H:H,Raw_Schedule!G:G,"&gt;="&amp;DATE(2026,7,1),Raw_Schedule!G:G,"&lt;"&amp;DATE(2026,8,1))</f>
        <v/>
      </c>
      <c r="C17" s="5">
        <f>SUMIFS(Raw_Payments!E:E,Raw_Payments!D:D,"&gt;="&amp;DATE(2026,7,1),Raw_Payments!D:D,"&lt;"&amp;DATE(2026,8,1))</f>
        <v/>
      </c>
      <c r="D17" s="6">
        <f>IF(B17=0,0,C17/B17)</f>
        <v/>
      </c>
    </row>
    <row r="18">
      <c r="A18" s="3" t="inlineStr">
        <is>
          <t>Aug-26</t>
        </is>
      </c>
      <c r="B18" s="5">
        <f>SUMIFS(Raw_Schedule!H:H,Raw_Schedule!G:G,"&gt;="&amp;DATE(2026,8,1),Raw_Schedule!G:G,"&lt;"&amp;DATE(2026,9,1))</f>
        <v/>
      </c>
      <c r="C18" s="5">
        <f>SUMIFS(Raw_Payments!E:E,Raw_Payments!D:D,"&gt;="&amp;DATE(2026,8,1),Raw_Payments!D:D,"&lt;"&amp;DATE(2026,9,1))</f>
        <v/>
      </c>
      <c r="D18" s="6">
        <f>IF(B18=0,0,C18/B18)</f>
        <v/>
      </c>
    </row>
    <row r="19">
      <c r="A19" s="3" t="inlineStr">
        <is>
          <t>Sep-26</t>
        </is>
      </c>
      <c r="B19" s="5">
        <f>SUMIFS(Raw_Schedule!H:H,Raw_Schedule!G:G,"&gt;="&amp;DATE(2026,9,1),Raw_Schedule!G:G,"&lt;"&amp;DATE(2026,10,1))</f>
        <v/>
      </c>
      <c r="C19" s="5">
        <f>SUMIFS(Raw_Payments!E:E,Raw_Payments!D:D,"&gt;="&amp;DATE(2026,9,1),Raw_Payments!D:D,"&lt;"&amp;DATE(2026,10,1))</f>
        <v/>
      </c>
      <c r="D19" s="6">
        <f>IF(B19=0,0,C19/B19)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AI_Report — rule-based portfolio summary</t>
        </is>
      </c>
    </row>
    <row r="3" ht="60" customHeight="1">
      <c r="A3" s="16">
        <f>"As of "&amp;TEXT(Guide!$B$3,"DD MMM YYYY")&amp;", scheduled dues total "&amp;TEXT(Dashboard!$B$3,"""Rs ""#,##0")&amp;", of which "&amp;TEXT(Dashboard!$B$4,"""Rs ""#,##0")&amp;" ("&amp;TEXT(Dashboard!$B$5,"0.0%")&amp;") has been collected. "&amp;TEXT(Dashboard!$B$7,"0")&amp;" dues are overdue with "&amp;TEXT(Dashboard!$B$6,"""Rs ""#,##0")&amp;" outstanding; average days overdue is "&amp;TEXT(Dashboard!$B$8,"0")&amp;". "&amp;"Best collector: "&amp;Dashboard!$B$9&amp;"; needs coaching: "&amp;Dashboard!$B$10&amp;"."</f>
        <v/>
      </c>
    </row>
    <row r="5">
      <c r="A5" s="17" t="inlineStr">
        <is>
          <t>Flags</t>
        </is>
      </c>
    </row>
    <row r="6" ht="28" customHeight="1">
      <c r="A6" s="16">
        <f>IF(Dashboard!$B$5&gt;=0.9,"OK  Collection rate healthy (&gt;=90%)","!!  Collection rate below 90% - tighten follow-ups")</f>
        <v/>
      </c>
    </row>
    <row r="7" ht="28" customHeight="1">
      <c r="A7" s="16">
        <f>IF(SUMIFS(Aging!$E$2:$E$6,Aging!$A$2:$A$6,"90+")/MAX(1,Aging!$E$7)&gt;0.25,"!!  90+ DPD bucket holds &gt;25% of outstanding - escalate","OK  90+ DPD share under control")</f>
        <v/>
      </c>
    </row>
    <row r="8" ht="28" customHeight="1">
      <c r="A8" s="16">
        <f>IF(MAX(Collector_Scorecard!$E$2:$E$7)-MIN(Collector_Scorecard!$E$2:$E$7)&gt;0.2,"!!  Collector efficiency gap &gt;20pp - coach the bottom quartile","OK  Collector efficiency spread healthy")</f>
        <v/>
      </c>
    </row>
    <row r="9" ht="28" customHeight="1">
      <c r="A9" s="16">
        <f>IF(COUNTIF(Receivables_Ledger!$K$2:$K$1201,"PARTIAL")&gt;0,"ii  "&amp;TEXT(COUNTIF(Receivables_Ledger!$K$2:$K$1201,"PARTIAL"),"0")&amp;" partial payments need top-up calls","OK  No partial payments pending")</f>
        <v/>
      </c>
    </row>
    <row r="10" ht="28" customHeight="1">
      <c r="A10" s="16">
        <f>IF(Dashboard!$B$8&gt;45,"!!  Average DPD above 45 days - portfolio stress","OK  Average DPD within tolerance")</f>
        <v/>
      </c>
    </row>
    <row r="11" ht="28" customHeight="1">
      <c r="A11" s="16">
        <f>IF(COUNTIF(FollowUp!$G$2:$G$169,"LOST")&gt;0,"!!  "&amp;TEXT(COUNTIF(FollowUp!$G$2:$G$169,"LOST"),"0")&amp;" dues in LOST (90+ DPD) - consider write-off review","OK  Nothing in 90+ DPD")</f>
        <v/>
      </c>
    </row>
    <row r="12" ht="28" customHeight="1">
      <c r="A12" s="16">
        <f>IF(COUNTIF(FollowUp!$G$2:$G$169,"ESCALATE")&gt;10,"!!  "&amp;TEXT(COUNTIF(FollowUp!$G$2:$G$169,"ESCALATE"),"0")&amp;" dues need escalation this week","OK  Escalation queue manageable")</f>
        <v/>
      </c>
    </row>
    <row r="13" ht="28" customHeight="1">
      <c r="A13" s="16">
        <f>IF(Checks!$B$9=TRUE,"OK  All 8 integrity checks pass","!!  Integrity check failing - see Checks sheet")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3" t="inlineStr">
        <is>
          <t>No negative outstandings</t>
        </is>
      </c>
      <c r="B2" s="18">
        <f>SUMPRODUCT(--(Receivables_Ledger!J2:J1201&lt;-0.01))=0</f>
        <v/>
      </c>
    </row>
    <row r="3">
      <c r="A3" s="3" t="inlineStr">
        <is>
          <t>Aging due ties to schedule total</t>
        </is>
      </c>
      <c r="B3" s="18">
        <f>SUM(Aging!C2:C6)=SUM(Raw_Schedule!H:H)</f>
        <v/>
      </c>
    </row>
    <row r="4">
      <c r="A4" s="3" t="inlineStr">
        <is>
          <t>Scorecard due ties to schedule total</t>
        </is>
      </c>
      <c r="B4" s="18">
        <f>SUM(Collector_Scorecard!C2:C7)=SUM(Raw_Schedule!H:H)</f>
        <v/>
      </c>
    </row>
    <row r="5">
      <c r="A5" s="3" t="inlineStr">
        <is>
          <t>FollowUp rows = overdue dues</t>
        </is>
      </c>
      <c r="B5" s="18">
        <f>COUNTA(FollowUp!B2:B169)=COUNTIF(Receivables_Ledger!J2:J1201,"&gt;0.005")</f>
        <v/>
      </c>
    </row>
    <row r="6">
      <c r="A6" s="3" t="inlineStr">
        <is>
          <t>Ledger paid ties to payments total</t>
        </is>
      </c>
      <c r="B6" s="18">
        <f>SUM(Receivables_Ledger!I2:I1201)=SUM(Raw_Payments!E:E)</f>
        <v/>
      </c>
    </row>
    <row r="7">
      <c r="A7" s="3" t="inlineStr">
        <is>
          <t>No formula errors in ledger</t>
        </is>
      </c>
      <c r="B7" s="18">
        <f>SUMPRODUCT(--ISERROR(Receivables_Ledger!A2:P1201))=0</f>
        <v/>
      </c>
    </row>
    <row r="8">
      <c r="A8" s="3" t="inlineStr">
        <is>
          <t>Status values valid (PAID/PARTIAL/OVERDUE)</t>
        </is>
      </c>
      <c r="B8" s="18">
        <f>SUMPRODUCT(--(Receivables_Ledger!K2:K1201&lt;&gt;"PAID")*--(Receivables_Ledger!K2:K1201&lt;&gt;"PARTIAL")*--(Receivables_Ledger!K2:K1201&lt;&gt;"OVERDUE"))=0</f>
        <v/>
      </c>
    </row>
    <row r="9">
      <c r="A9" s="3" t="inlineStr">
        <is>
          <t>Outstanding = due - paid (global)</t>
        </is>
      </c>
      <c r="B9" s="18">
        <f>ABS(SUM(Receivables_Ledger!J2:J1201)-(SUM(Receivables_Ledger!H2:H1201)-SUM(Receivables_Ledger!I2:I1201)))&lt;0.01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2026-10-20T03:03:04+00:00Z</dcterms:created>
  <dcterms:modified xmlns:dcterms="http://purl.org/dc/terms/" xmlns:xsi="http://www.w3.org/2001/XMLSchema-instance" xsi:type="dcterms:W3CDTF">2026-10-20T03:03:05+00:00Z</dcterms:modified>
</cp:coreProperties>
</file>