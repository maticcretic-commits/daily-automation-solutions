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Leases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Checks" sheetId="6" state="visible" r:id="rId6"/>
  </sheets>
  <definedNames>
    <definedName name="_xlnm._FilterDatabase" localSheetId="3" hidden="1">'Leases'!$A$1:$L$13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%"/>
    <numFmt numFmtId="166" formatCode="0.0000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color rgb="00000000"/>
      <sz val="11"/>
    </font>
    <font>
      <b val="1"/>
    </font>
    <font>
      <b val="1"/>
      <color rgb="00FFFFFF"/>
    </font>
    <font>
      <b val="1"/>
      <color rgb="001F3864"/>
      <sz val="14"/>
    </font>
    <font>
      <i val="1"/>
      <color rgb="0059595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3" fontId="7" fillId="0" borderId="0" pivotButton="0" quotePrefix="0" xfId="0"/>
    <xf numFmtId="167" fontId="7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4" fillId="2" borderId="0" pivotButton="0" quotePrefix="0" xfId="0"/>
    <xf numFmtId="3" fontId="3" fillId="3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PV of Disparity by Lease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'Leases'!K1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'Leases'!$A$2:$A$13</f>
            </numRef>
          </cat>
          <val>
            <numRef>
              <f>'Leases'!$K$2:$K$13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Contracted vs Market Rent by Lease ($/month)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'Leases'!E1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'Leases'!$A$2:$A$13</f>
            </numRef>
          </cat>
          <val>
            <numRef>
              <f>'Leases'!$E$2:$E$13</f>
            </numRef>
          </val>
        </ser>
        <ser>
          <idx val="1"/>
          <order val="1"/>
          <tx>
            <strRef>
              <f>'Leases'!F1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'Leases'!$A$2:$A$13</f>
            </numRef>
          </cat>
          <val>
            <numRef>
              <f>'Leases'!$F$2:$F$13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PV of Disparity by Month ($)</a:t>
            </a:r>
          </a:p>
        </rich>
      </tx>
    </title>
    <plotArea>
      <lineChart>
        <grouping val="standard"/>
        <ser>
          <idx val="0"/>
          <order val="0"/>
          <tx>
            <strRef>
              <f>'Schedule'!E1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'Schedule'!$A$2:$A$61</f>
            </numRef>
          </cat>
          <val>
            <numRef>
              <f>'Schedule'!$E$2:$E$61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LeaseDisparity — Contracted vs Market Rent: Disparity Valuation</t>
        </is>
      </c>
    </row>
    <row r="2">
      <c r="A2" s="2" t="inlineStr">
        <is>
          <t>Demo workbook built around a lease rental disparity brief: compare</t>
        </is>
      </c>
    </row>
    <row r="3">
      <c r="A3" s="2" t="inlineStr">
        <is>
          <t>contracted rent with current market rent for up to 12 leases, and value</t>
        </is>
      </c>
    </row>
    <row r="4">
      <c r="A4" s="2" t="inlineStr">
        <is>
          <t>the disparity over each remaining term at a single yield rate.</t>
        </is>
      </c>
    </row>
    <row r="5">
      <c r="A5" s="2" t="inlineStr"/>
    </row>
    <row r="6">
      <c r="A6" s="2" t="inlineStr">
        <is>
          <t>How to use: replace the values in Leases columns A-G with your own</t>
        </is>
      </c>
    </row>
    <row r="7">
      <c r="A7" s="2" t="inlineStr">
        <is>
          <t>leases (up to 12 rows; extend the ranges if you add rows). Every</t>
        </is>
      </c>
    </row>
    <row r="8">
      <c r="A8" s="2" t="inlineStr">
        <is>
          <t>derived figure — disparity, present value, dashboard KPIs, the monthly</t>
        </is>
      </c>
    </row>
    <row r="9">
      <c r="A9" s="2" t="inlineStr">
        <is>
          <t>run-off schedule and the Checks sheet — is a live formula. Change the</t>
        </is>
      </c>
    </row>
    <row r="10">
      <c r="A10" s="2" t="inlineStr">
        <is>
          <t>yield on the Assumptions sheet and the whole valuation reprices.</t>
        </is>
      </c>
    </row>
    <row r="11">
      <c r="A11" s="2" t="inlineStr"/>
    </row>
    <row r="12">
      <c r="A12" s="2" t="inlineStr">
        <is>
          <t>Valuation: monthly annuity in arrears. Monthly disparity = market</t>
        </is>
      </c>
    </row>
    <row r="13">
      <c r="A13" s="2" t="inlineStr">
        <is>
          <t>rent minus contracted rent. PV = disparity x (1-(1+r)^-n)/r, where</t>
        </is>
      </c>
    </row>
    <row r="14">
      <c r="A14" s="2" t="inlineStr">
        <is>
          <t>r is the monthly yield and n is the remaining term in months.</t>
        </is>
      </c>
    </row>
    <row r="15">
      <c r="A15" s="2" t="inlineStr">
        <is>
          <t>Positive disparity = under-rented (market above contract). Negative</t>
        </is>
      </c>
    </row>
    <row r="16">
      <c r="A16" s="2" t="inlineStr">
        <is>
          <t>disparity = over-rented. Within $25/month of market = At market.</t>
        </is>
      </c>
    </row>
    <row r="17">
      <c r="A17" s="2" t="inlineStr"/>
    </row>
    <row r="18">
      <c r="A18" s="2" t="inlineStr">
        <is>
          <t>All data are fictional and invented for this demo. No real client</t>
        </is>
      </c>
    </row>
    <row r="19">
      <c r="A19" s="2" t="inlineStr">
        <is>
          <t>data. Rents are USD per month; yield 8.5% per year (see Assumptions).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LeaseDisparity — Portfolio Dashboard (as of 2026-10-30)</t>
        </is>
      </c>
    </row>
    <row r="2">
      <c r="A2" s="4" t="inlineStr">
        <is>
          <t>All values are live formulas over Leases / Assumptions.</t>
        </is>
      </c>
    </row>
    <row r="3">
      <c r="A3" s="5" t="inlineStr">
        <is>
          <t>Leases in portfolio</t>
        </is>
      </c>
      <c r="B3" s="6">
        <f>COUNTA(Leases!$A$2:$A$13)</f>
        <v/>
      </c>
    </row>
    <row r="4">
      <c r="A4" s="5" t="inlineStr">
        <is>
          <t>Total contracted rent ($/month)</t>
        </is>
      </c>
      <c r="B4" s="6">
        <f>SUM(Leases!$E$2:$E$13)</f>
        <v/>
      </c>
    </row>
    <row r="5">
      <c r="A5" s="5" t="inlineStr">
        <is>
          <t>Total market rent ($/month)</t>
        </is>
      </c>
      <c r="B5" s="6">
        <f>SUM(Leases!$F$2:$F$13)</f>
        <v/>
      </c>
    </row>
    <row r="6">
      <c r="A6" s="5" t="inlineStr">
        <is>
          <t>Monthly disparity — market minus contract ($)</t>
        </is>
      </c>
      <c r="B6" s="6">
        <f>SUM(Leases!$H$2:$H$13)</f>
        <v/>
      </c>
    </row>
    <row r="7">
      <c r="A7" s="5" t="inlineStr">
        <is>
          <t>Annual disparity ($)</t>
        </is>
      </c>
      <c r="B7" s="6">
        <f>SUM(Leases!$I$2:$I$13)</f>
        <v/>
      </c>
    </row>
    <row r="8">
      <c r="A8" s="5" t="inlineStr">
        <is>
          <t>Undiscounted disparity over remaining terms ($)</t>
        </is>
      </c>
      <c r="B8" s="6">
        <f>SUM(Leases!$J$2:$J$13)</f>
        <v/>
      </c>
    </row>
    <row r="9">
      <c r="A9" s="5" t="inlineStr">
        <is>
          <t>Present value of disparity ($)</t>
        </is>
      </c>
      <c r="B9" s="6">
        <f>SUM(Leases!$K$2:$K$13)</f>
        <v/>
      </c>
    </row>
    <row r="10">
      <c r="A10" s="5" t="inlineStr">
        <is>
          <t>Under-rented leases</t>
        </is>
      </c>
      <c r="B10" s="6">
        <f>COUNTIF(Leases!$L$2:$L$13,"Under-rented")</f>
        <v/>
      </c>
    </row>
    <row r="11">
      <c r="A11" s="5" t="inlineStr">
        <is>
          <t>Over-rented leases</t>
        </is>
      </c>
      <c r="B11" s="6">
        <f>COUNTIF(Leases!$L$2:$L$13,"Over-rented")</f>
        <v/>
      </c>
    </row>
    <row r="12">
      <c r="A12" s="5" t="inlineStr">
        <is>
          <t>At-market leases</t>
        </is>
      </c>
      <c r="B12" s="6">
        <f>COUNTIF(Leases!$L$2:$L$13,"At market")</f>
        <v/>
      </c>
    </row>
    <row r="13">
      <c r="A13" s="5" t="inlineStr">
        <is>
          <t>Average remaining term (months)</t>
        </is>
      </c>
      <c r="B13" s="7">
        <f>AVERAGE(Leases!$G$2:$G$13)</f>
        <v/>
      </c>
    </row>
    <row r="14">
      <c r="A14" s="5" t="inlineStr">
        <is>
          <t>Annual yield</t>
        </is>
      </c>
      <c r="B14" s="8">
        <f>Assumptions!$B$2</f>
        <v/>
      </c>
    </row>
    <row r="15">
      <c r="A15" s="4" t="inlineStr">
        <is>
          <t>Charts below are wired to Leases / Schedule — they move with the data.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Assumptions</t>
        </is>
      </c>
    </row>
    <row r="2">
      <c r="A2" s="5" t="inlineStr">
        <is>
          <t>Annual yield</t>
        </is>
      </c>
      <c r="B2" s="9" t="n">
        <v>0.08500000000000001</v>
      </c>
    </row>
    <row r="3">
      <c r="A3" s="5" t="inlineStr">
        <is>
          <t>Monthly yield</t>
        </is>
      </c>
      <c r="B3" s="10">
        <f>$B$2/12</f>
        <v/>
      </c>
    </row>
    <row r="4">
      <c r="A4" s="5" t="inlineStr">
        <is>
          <t>As-of date</t>
        </is>
      </c>
      <c r="B4" t="inlineStr">
        <is>
          <t>2026-10-30</t>
        </is>
      </c>
    </row>
    <row r="5">
      <c r="A5" s="5" t="inlineStr">
        <is>
          <t>Valuation basis</t>
        </is>
      </c>
      <c r="B5" t="inlineStr">
        <is>
          <t>Monthly annuity, payments in arrears</t>
        </is>
      </c>
    </row>
    <row r="6">
      <c r="A6" s="5" t="inlineStr">
        <is>
          <t>At-market tolerance ($/month)</t>
        </is>
      </c>
      <c r="B6" s="11" t="n">
        <v>25</v>
      </c>
    </row>
    <row r="7">
      <c r="A7" s="5" t="inlineStr">
        <is>
          <t>Max leases in this workbook</t>
        </is>
      </c>
      <c r="B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4" customWidth="1" min="3" max="3"/>
    <col width="14" customWidth="1" min="4" max="4"/>
    <col width="18" customWidth="1" min="5" max="5"/>
    <col width="17" customWidth="1" min="6" max="6"/>
    <col width="16" customWidth="1" min="7" max="7"/>
    <col width="18" customWidth="1" min="8" max="8"/>
    <col width="17" customWidth="1" min="9" max="9"/>
    <col width="20" customWidth="1" min="10" max="10"/>
    <col width="18" customWidth="1" min="11" max="11"/>
    <col width="13" customWidth="1" min="12" max="12"/>
  </cols>
  <sheetData>
    <row r="1">
      <c r="A1" s="12" t="inlineStr">
        <is>
          <t>LeaseID</t>
        </is>
      </c>
      <c r="B1" s="12" t="inlineStr">
        <is>
          <t>Property</t>
        </is>
      </c>
      <c r="C1" s="12" t="inlineStr">
        <is>
          <t>Tenant</t>
        </is>
      </c>
      <c r="D1" s="12" t="inlineStr">
        <is>
          <t>Area</t>
        </is>
      </c>
      <c r="E1" s="12" t="inlineStr">
        <is>
          <t>Contract Rent ($/mo)</t>
        </is>
      </c>
      <c r="F1" s="12" t="inlineStr">
        <is>
          <t>Market Rent ($/mo)</t>
        </is>
      </c>
      <c r="G1" s="12" t="inlineStr">
        <is>
          <t>Remaining Term (months)</t>
        </is>
      </c>
      <c r="H1" s="12" t="inlineStr">
        <is>
          <t>Monthly Disparity ($)</t>
        </is>
      </c>
      <c r="I1" s="12" t="inlineStr">
        <is>
          <t>Annual Disparity ($)</t>
        </is>
      </c>
      <c r="J1" s="12" t="inlineStr">
        <is>
          <t>Undiscounted Disparity ($)</t>
        </is>
      </c>
      <c r="K1" s="12" t="inlineStr">
        <is>
          <t>PV of Disparity ($)</t>
        </is>
      </c>
      <c r="L1" s="12" t="inlineStr">
        <is>
          <t>Status</t>
        </is>
      </c>
    </row>
    <row r="2">
      <c r="A2" t="inlineStr">
        <is>
          <t>L01</t>
        </is>
      </c>
      <c r="B2" t="inlineStr">
        <is>
          <t>Harbor View Retail</t>
        </is>
      </c>
      <c r="C2" t="inlineStr">
        <is>
          <t>Marina Books LLC</t>
        </is>
      </c>
      <c r="D2" t="inlineStr">
        <is>
          <t>Long Beach</t>
        </is>
      </c>
      <c r="E2" s="11" t="n">
        <v>4200</v>
      </c>
      <c r="F2" s="11" t="n">
        <v>5800</v>
      </c>
      <c r="G2" s="11" t="n">
        <v>48</v>
      </c>
      <c r="H2" s="11">
        <f>$F2-$E2</f>
        <v/>
      </c>
      <c r="I2" s="11">
        <f>$H2*12</f>
        <v/>
      </c>
      <c r="J2" s="11">
        <f>$H2*$G2</f>
        <v/>
      </c>
      <c r="K2" s="11">
        <f>$H2*(1-(1+Assumptions!$B$3)^-$G2)/Assumptions!$B$3</f>
        <v/>
      </c>
      <c r="L2">
        <f>IF(ABS($H2)&lt;=Assumptions!$B$6,"At market",IF($H2&gt;0,"Under-rented","Over-rented"))</f>
        <v/>
      </c>
    </row>
    <row r="3">
      <c r="A3" t="inlineStr">
        <is>
          <t>L02</t>
        </is>
      </c>
      <c r="B3" t="inlineStr">
        <is>
          <t>Arts District Loft Office</t>
        </is>
      </c>
      <c r="C3" t="inlineStr">
        <is>
          <t>Studio North Inc</t>
        </is>
      </c>
      <c r="D3" t="inlineStr">
        <is>
          <t>Los Angeles</t>
        </is>
      </c>
      <c r="E3" s="11" t="n">
        <v>6800</v>
      </c>
      <c r="F3" s="11" t="n">
        <v>7400</v>
      </c>
      <c r="G3" s="11" t="n">
        <v>36</v>
      </c>
      <c r="H3" s="11">
        <f>$F3-$E3</f>
        <v/>
      </c>
      <c r="I3" s="11">
        <f>$H3*12</f>
        <v/>
      </c>
      <c r="J3" s="11">
        <f>$H3*$G3</f>
        <v/>
      </c>
      <c r="K3" s="11">
        <f>$H3*(1-(1+Assumptions!$B$3)^-$G3)/Assumptions!$B$3</f>
        <v/>
      </c>
      <c r="L3">
        <f>IF(ABS($H3)&lt;=Assumptions!$B$6,"At market",IF($H3&gt;0,"Under-rented","Over-rented"))</f>
        <v/>
      </c>
    </row>
    <row r="4">
      <c r="A4" t="inlineStr">
        <is>
          <t>L03</t>
        </is>
      </c>
      <c r="B4" t="inlineStr">
        <is>
          <t>Valley Warehouse Bay 4</t>
        </is>
      </c>
      <c r="C4" t="inlineStr">
        <is>
          <t>Sunset Logistics Co</t>
        </is>
      </c>
      <c r="D4" t="inlineStr">
        <is>
          <t>Van Nuys</t>
        </is>
      </c>
      <c r="E4" s="11" t="n">
        <v>9500</v>
      </c>
      <c r="F4" s="11" t="n">
        <v>8200</v>
      </c>
      <c r="G4" s="11" t="n">
        <v>24</v>
      </c>
      <c r="H4" s="11">
        <f>$F4-$E4</f>
        <v/>
      </c>
      <c r="I4" s="11">
        <f>$H4*12</f>
        <v/>
      </c>
      <c r="J4" s="11">
        <f>$H4*$G4</f>
        <v/>
      </c>
      <c r="K4" s="11">
        <f>$H4*(1-(1+Assumptions!$B$3)^-$G4)/Assumptions!$B$3</f>
        <v/>
      </c>
      <c r="L4">
        <f>IF(ABS($H4)&lt;=Assumptions!$B$6,"At market",IF($H4&gt;0,"Under-rented","Over-rented"))</f>
        <v/>
      </c>
    </row>
    <row r="5">
      <c r="A5" t="inlineStr">
        <is>
          <t>L04</t>
        </is>
      </c>
      <c r="B5" t="inlineStr">
        <is>
          <t>Pasadena Cafe Corner</t>
        </is>
      </c>
      <c r="C5" t="inlineStr">
        <is>
          <t>Rose City Roasters</t>
        </is>
      </c>
      <c r="D5" t="inlineStr">
        <is>
          <t>Pasadena</t>
        </is>
      </c>
      <c r="E5" s="11" t="n">
        <v>3100</v>
      </c>
      <c r="F5" s="11" t="n">
        <v>3900</v>
      </c>
      <c r="G5" s="11" t="n">
        <v>18</v>
      </c>
      <c r="H5" s="11">
        <f>$F5-$E5</f>
        <v/>
      </c>
      <c r="I5" s="11">
        <f>$H5*12</f>
        <v/>
      </c>
      <c r="J5" s="11">
        <f>$H5*$G5</f>
        <v/>
      </c>
      <c r="K5" s="11">
        <f>$H5*(1-(1+Assumptions!$B$3)^-$G5)/Assumptions!$B$3</f>
        <v/>
      </c>
      <c r="L5">
        <f>IF(ABS($H5)&lt;=Assumptions!$B$6,"At market",IF($H5&gt;0,"Under-rented","Over-rented"))</f>
        <v/>
      </c>
    </row>
    <row r="6">
      <c r="A6" t="inlineStr">
        <is>
          <t>L05</t>
        </is>
      </c>
      <c r="B6" t="inlineStr">
        <is>
          <t>Downtown Flex Suite 210</t>
        </is>
      </c>
      <c r="C6" t="inlineStr">
        <is>
          <t>Beacon Consulting</t>
        </is>
      </c>
      <c r="D6" t="inlineStr">
        <is>
          <t>Los Angeles</t>
        </is>
      </c>
      <c r="E6" s="11" t="n">
        <v>5400</v>
      </c>
      <c r="F6" s="11" t="n">
        <v>5400</v>
      </c>
      <c r="G6" s="11" t="n">
        <v>30</v>
      </c>
      <c r="H6" s="11">
        <f>$F6-$E6</f>
        <v/>
      </c>
      <c r="I6" s="11">
        <f>$H6*12</f>
        <v/>
      </c>
      <c r="J6" s="11">
        <f>$H6*$G6</f>
        <v/>
      </c>
      <c r="K6" s="11">
        <f>$H6*(1-(1+Assumptions!$B$3)^-$G6)/Assumptions!$B$3</f>
        <v/>
      </c>
      <c r="L6">
        <f>IF(ABS($H6)&lt;=Assumptions!$B$6,"At market",IF($H6&gt;0,"Under-rented","Over-rented"))</f>
        <v/>
      </c>
    </row>
    <row r="7">
      <c r="A7" t="inlineStr">
        <is>
          <t>L06</t>
        </is>
      </c>
      <c r="B7" t="inlineStr">
        <is>
          <t>Burbank Sound Stage Office</t>
        </is>
      </c>
      <c r="C7" t="inlineStr">
        <is>
          <t>Echo Post LLC</t>
        </is>
      </c>
      <c r="D7" t="inlineStr">
        <is>
          <t>Burbank</t>
        </is>
      </c>
      <c r="E7" s="11" t="n">
        <v>11200</v>
      </c>
      <c r="F7" s="11" t="n">
        <v>12900</v>
      </c>
      <c r="G7" s="11" t="n">
        <v>60</v>
      </c>
      <c r="H7" s="11">
        <f>$F7-$E7</f>
        <v/>
      </c>
      <c r="I7" s="11">
        <f>$H7*12</f>
        <v/>
      </c>
      <c r="J7" s="11">
        <f>$H7*$G7</f>
        <v/>
      </c>
      <c r="K7" s="11">
        <f>$H7*(1-(1+Assumptions!$B$3)^-$G7)/Assumptions!$B$3</f>
        <v/>
      </c>
      <c r="L7">
        <f>IF(ABS($H7)&lt;=Assumptions!$B$6,"At market",IF($H7&gt;0,"Under-rented","Over-rented"))</f>
        <v/>
      </c>
    </row>
    <row r="8">
      <c r="A8" t="inlineStr">
        <is>
          <t>L07</t>
        </is>
      </c>
      <c r="B8" t="inlineStr">
        <is>
          <t>Santa Monica Clinic Suite</t>
        </is>
      </c>
      <c r="C8" t="inlineStr">
        <is>
          <t>Pacific Wellness Group</t>
        </is>
      </c>
      <c r="D8" t="inlineStr">
        <is>
          <t>Santa Monica</t>
        </is>
      </c>
      <c r="E8" s="11" t="n">
        <v>7600</v>
      </c>
      <c r="F8" s="11" t="n">
        <v>7100</v>
      </c>
      <c r="G8" s="11" t="n">
        <v>12</v>
      </c>
      <c r="H8" s="11">
        <f>$F8-$E8</f>
        <v/>
      </c>
      <c r="I8" s="11">
        <f>$H8*12</f>
        <v/>
      </c>
      <c r="J8" s="11">
        <f>$H8*$G8</f>
        <v/>
      </c>
      <c r="K8" s="11">
        <f>$H8*(1-(1+Assumptions!$B$3)^-$G8)/Assumptions!$B$3</f>
        <v/>
      </c>
      <c r="L8">
        <f>IF(ABS($H8)&lt;=Assumptions!$B$6,"At market",IF($H8&gt;0,"Under-rented","Over-rented"))</f>
        <v/>
      </c>
    </row>
    <row r="9">
      <c r="A9" t="inlineStr">
        <is>
          <t>L08</t>
        </is>
      </c>
      <c r="B9" t="inlineStr">
        <is>
          <t>Glendale Showroom</t>
        </is>
      </c>
      <c r="C9" t="inlineStr">
        <is>
          <t>Foothill Auto Gallery</t>
        </is>
      </c>
      <c r="D9" t="inlineStr">
        <is>
          <t>Glendale</t>
        </is>
      </c>
      <c r="E9" s="11" t="n">
        <v>8900</v>
      </c>
      <c r="F9" s="11" t="n">
        <v>9800</v>
      </c>
      <c r="G9" s="11" t="n">
        <v>42</v>
      </c>
      <c r="H9" s="11">
        <f>$F9-$E9</f>
        <v/>
      </c>
      <c r="I9" s="11">
        <f>$H9*12</f>
        <v/>
      </c>
      <c r="J9" s="11">
        <f>$H9*$G9</f>
        <v/>
      </c>
      <c r="K9" s="11">
        <f>$H9*(1-(1+Assumptions!$B$3)^-$G9)/Assumptions!$B$3</f>
        <v/>
      </c>
      <c r="L9">
        <f>IF(ABS($H9)&lt;=Assumptions!$B$6,"At market",IF($H9&gt;0,"Under-rented","Over-rented"))</f>
        <v/>
      </c>
    </row>
    <row r="10">
      <c r="A10" t="inlineStr">
        <is>
          <t>L09</t>
        </is>
      </c>
      <c r="B10" t="inlineStr">
        <is>
          <t>Torrance Light Industrial</t>
        </is>
      </c>
      <c r="C10" t="inlineStr">
        <is>
          <t>Harbor Parts Supply</t>
        </is>
      </c>
      <c r="D10" t="inlineStr">
        <is>
          <t>Torrance</t>
        </is>
      </c>
      <c r="E10" s="11" t="n">
        <v>6300</v>
      </c>
      <c r="F10" s="11" t="n">
        <v>5900</v>
      </c>
      <c r="G10" s="11" t="n">
        <v>9</v>
      </c>
      <c r="H10" s="11">
        <f>$F10-$E10</f>
        <v/>
      </c>
      <c r="I10" s="11">
        <f>$H10*12</f>
        <v/>
      </c>
      <c r="J10" s="11">
        <f>$H10*$G10</f>
        <v/>
      </c>
      <c r="K10" s="11">
        <f>$H10*(1-(1+Assumptions!$B$3)^-$G10)/Assumptions!$B$3</f>
        <v/>
      </c>
      <c r="L10">
        <f>IF(ABS($H10)&lt;=Assumptions!$B$6,"At market",IF($H10&gt;0,"Under-rented","Over-rented"))</f>
        <v/>
      </c>
    </row>
    <row r="11">
      <c r="A11" t="inlineStr">
        <is>
          <t>L10</t>
        </is>
      </c>
      <c r="B11" t="inlineStr">
        <is>
          <t>Hollywood Production Office</t>
        </is>
      </c>
      <c r="C11" t="inlineStr">
        <is>
          <t>Silverline Media</t>
        </is>
      </c>
      <c r="D11" t="inlineStr">
        <is>
          <t>Hollywood</t>
        </is>
      </c>
      <c r="E11" s="11" t="n">
        <v>4800</v>
      </c>
      <c r="F11" s="11" t="n">
        <v>6100</v>
      </c>
      <c r="G11" s="11" t="n">
        <v>27</v>
      </c>
      <c r="H11" s="11">
        <f>$F11-$E11</f>
        <v/>
      </c>
      <c r="I11" s="11">
        <f>$H11*12</f>
        <v/>
      </c>
      <c r="J11" s="11">
        <f>$H11*$G11</f>
        <v/>
      </c>
      <c r="K11" s="11">
        <f>$H11*(1-(1+Assumptions!$B$3)^-$G11)/Assumptions!$B$3</f>
        <v/>
      </c>
      <c r="L11">
        <f>IF(ABS($H11)&lt;=Assumptions!$B$6,"At market",IF($H11&gt;0,"Under-rented","Over-rented"))</f>
        <v/>
      </c>
    </row>
    <row r="12">
      <c r="A12" t="inlineStr">
        <is>
          <t>L11</t>
        </is>
      </c>
      <c r="B12" t="inlineStr">
        <is>
          <t>Culver City Creative Studio</t>
        </is>
      </c>
      <c r="C12" t="inlineStr">
        <is>
          <t>Framehouse Films</t>
        </is>
      </c>
      <c r="D12" t="inlineStr">
        <is>
          <t>Culver City</t>
        </is>
      </c>
      <c r="E12" s="11" t="n">
        <v>5700</v>
      </c>
      <c r="F12" s="11" t="n">
        <v>6300</v>
      </c>
      <c r="G12" s="11" t="n">
        <v>15</v>
      </c>
      <c r="H12" s="11">
        <f>$F12-$E12</f>
        <v/>
      </c>
      <c r="I12" s="11">
        <f>$H12*12</f>
        <v/>
      </c>
      <c r="J12" s="11">
        <f>$H12*$G12</f>
        <v/>
      </c>
      <c r="K12" s="11">
        <f>$H12*(1-(1+Assumptions!$B$3)^-$G12)/Assumptions!$B$3</f>
        <v/>
      </c>
      <c r="L12">
        <f>IF(ABS($H12)&lt;=Assumptions!$B$6,"At market",IF($H12&gt;0,"Under-rented","Over-rented"))</f>
        <v/>
      </c>
    </row>
    <row r="13">
      <c r="A13" t="inlineStr">
        <is>
          <t>L12</t>
        </is>
      </c>
      <c r="B13" t="inlineStr">
        <is>
          <t>Inglewood Retail Pad</t>
        </is>
      </c>
      <c r="C13" t="inlineStr">
        <is>
          <t>Forum Foods Inc</t>
        </is>
      </c>
      <c r="D13" t="inlineStr">
        <is>
          <t>Inglewood</t>
        </is>
      </c>
      <c r="E13" s="11" t="n">
        <v>2600</v>
      </c>
      <c r="F13" s="11" t="n">
        <v>3400</v>
      </c>
      <c r="G13" s="11" t="n">
        <v>54</v>
      </c>
      <c r="H13" s="11">
        <f>$F13-$E13</f>
        <v/>
      </c>
      <c r="I13" s="11">
        <f>$H13*12</f>
        <v/>
      </c>
      <c r="J13" s="11">
        <f>$H13*$G13</f>
        <v/>
      </c>
      <c r="K13" s="11">
        <f>$H13*(1-(1+Assumptions!$B$3)^-$G13)/Assumptions!$B$3</f>
        <v/>
      </c>
      <c r="L13">
        <f>IF(ABS($H13)&lt;=Assumptions!$B$6,"At market",IF($H13&gt;0,"Under-rented","Over-rented"))</f>
        <v/>
      </c>
    </row>
    <row r="14">
      <c r="A14" s="5" t="inlineStr">
        <is>
          <t>TOTAL</t>
        </is>
      </c>
      <c r="E14" s="13">
        <f>SUM($E$2:$E$13)</f>
        <v/>
      </c>
      <c r="F14" s="13">
        <f>SUM($F$2:$F$13)</f>
        <v/>
      </c>
      <c r="H14" s="13">
        <f>SUM($H$2:$H$13)</f>
        <v/>
      </c>
      <c r="I14" s="13">
        <f>SUM($I$2:$I$13)</f>
        <v/>
      </c>
      <c r="J14" s="13">
        <f>SUM($J$2:$J$13)</f>
        <v/>
      </c>
      <c r="K14" s="13">
        <f>SUM($K$2:$K$13)</f>
        <v/>
      </c>
    </row>
  </sheetData>
  <autoFilter ref="A1:L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4" customWidth="1" min="4" max="4"/>
    <col width="18" customWidth="1" min="5" max="5"/>
  </cols>
  <sheetData>
    <row r="1">
      <c r="A1" s="12" t="inlineStr">
        <is>
          <t>Month</t>
        </is>
      </c>
      <c r="B1" s="12" t="inlineStr">
        <is>
          <t>Monthly Disparity ($)</t>
        </is>
      </c>
      <c r="C1" s="12" t="inlineStr">
        <is>
          <t>Discount Factor</t>
        </is>
      </c>
      <c r="D1" s="12" t="inlineStr">
        <is>
          <t>Discounted Disparity ($)</t>
        </is>
      </c>
      <c r="E1" s="12" t="inlineStr">
        <is>
          <t>Cumulative PV ($)</t>
        </is>
      </c>
    </row>
    <row r="2">
      <c r="A2" t="n">
        <v>1</v>
      </c>
      <c r="B2" s="11">
        <f>SUMPRODUCT((Leases!$G$2:$G$13&gt;=$A2)*Leases!$H$2:$H$13)</f>
        <v/>
      </c>
      <c r="C2" s="14">
        <f>(1+Assumptions!$B$3)^-$A2</f>
        <v/>
      </c>
      <c r="D2" s="11">
        <f>$B2*$C2</f>
        <v/>
      </c>
      <c r="E2" s="11">
        <f>SUM($D$2:$D2)</f>
        <v/>
      </c>
    </row>
    <row r="3">
      <c r="A3" t="n">
        <v>2</v>
      </c>
      <c r="B3" s="11">
        <f>SUMPRODUCT((Leases!$G$2:$G$13&gt;=$A3)*Leases!$H$2:$H$13)</f>
        <v/>
      </c>
      <c r="C3" s="14">
        <f>(1+Assumptions!$B$3)^-$A3</f>
        <v/>
      </c>
      <c r="D3" s="11">
        <f>$B3*$C3</f>
        <v/>
      </c>
      <c r="E3" s="11">
        <f>SUM($D$2:$D3)</f>
        <v/>
      </c>
    </row>
    <row r="4">
      <c r="A4" t="n">
        <v>3</v>
      </c>
      <c r="B4" s="11">
        <f>SUMPRODUCT((Leases!$G$2:$G$13&gt;=$A4)*Leases!$H$2:$H$13)</f>
        <v/>
      </c>
      <c r="C4" s="14">
        <f>(1+Assumptions!$B$3)^-$A4</f>
        <v/>
      </c>
      <c r="D4" s="11">
        <f>$B4*$C4</f>
        <v/>
      </c>
      <c r="E4" s="11">
        <f>SUM($D$2:$D4)</f>
        <v/>
      </c>
    </row>
    <row r="5">
      <c r="A5" t="n">
        <v>4</v>
      </c>
      <c r="B5" s="11">
        <f>SUMPRODUCT((Leases!$G$2:$G$13&gt;=$A5)*Leases!$H$2:$H$13)</f>
        <v/>
      </c>
      <c r="C5" s="14">
        <f>(1+Assumptions!$B$3)^-$A5</f>
        <v/>
      </c>
      <c r="D5" s="11">
        <f>$B5*$C5</f>
        <v/>
      </c>
      <c r="E5" s="11">
        <f>SUM($D$2:$D5)</f>
        <v/>
      </c>
    </row>
    <row r="6">
      <c r="A6" t="n">
        <v>5</v>
      </c>
      <c r="B6" s="11">
        <f>SUMPRODUCT((Leases!$G$2:$G$13&gt;=$A6)*Leases!$H$2:$H$13)</f>
        <v/>
      </c>
      <c r="C6" s="14">
        <f>(1+Assumptions!$B$3)^-$A6</f>
        <v/>
      </c>
      <c r="D6" s="11">
        <f>$B6*$C6</f>
        <v/>
      </c>
      <c r="E6" s="11">
        <f>SUM($D$2:$D6)</f>
        <v/>
      </c>
    </row>
    <row r="7">
      <c r="A7" t="n">
        <v>6</v>
      </c>
      <c r="B7" s="11">
        <f>SUMPRODUCT((Leases!$G$2:$G$13&gt;=$A7)*Leases!$H$2:$H$13)</f>
        <v/>
      </c>
      <c r="C7" s="14">
        <f>(1+Assumptions!$B$3)^-$A7</f>
        <v/>
      </c>
      <c r="D7" s="11">
        <f>$B7*$C7</f>
        <v/>
      </c>
      <c r="E7" s="11">
        <f>SUM($D$2:$D7)</f>
        <v/>
      </c>
    </row>
    <row r="8">
      <c r="A8" t="n">
        <v>7</v>
      </c>
      <c r="B8" s="11">
        <f>SUMPRODUCT((Leases!$G$2:$G$13&gt;=$A8)*Leases!$H$2:$H$13)</f>
        <v/>
      </c>
      <c r="C8" s="14">
        <f>(1+Assumptions!$B$3)^-$A8</f>
        <v/>
      </c>
      <c r="D8" s="11">
        <f>$B8*$C8</f>
        <v/>
      </c>
      <c r="E8" s="11">
        <f>SUM($D$2:$D8)</f>
        <v/>
      </c>
    </row>
    <row r="9">
      <c r="A9" t="n">
        <v>8</v>
      </c>
      <c r="B9" s="11">
        <f>SUMPRODUCT((Leases!$G$2:$G$13&gt;=$A9)*Leases!$H$2:$H$13)</f>
        <v/>
      </c>
      <c r="C9" s="14">
        <f>(1+Assumptions!$B$3)^-$A9</f>
        <v/>
      </c>
      <c r="D9" s="11">
        <f>$B9*$C9</f>
        <v/>
      </c>
      <c r="E9" s="11">
        <f>SUM($D$2:$D9)</f>
        <v/>
      </c>
    </row>
    <row r="10">
      <c r="A10" t="n">
        <v>9</v>
      </c>
      <c r="B10" s="11">
        <f>SUMPRODUCT((Leases!$G$2:$G$13&gt;=$A10)*Leases!$H$2:$H$13)</f>
        <v/>
      </c>
      <c r="C10" s="14">
        <f>(1+Assumptions!$B$3)^-$A10</f>
        <v/>
      </c>
      <c r="D10" s="11">
        <f>$B10*$C10</f>
        <v/>
      </c>
      <c r="E10" s="11">
        <f>SUM($D$2:$D10)</f>
        <v/>
      </c>
    </row>
    <row r="11">
      <c r="A11" t="n">
        <v>10</v>
      </c>
      <c r="B11" s="11">
        <f>SUMPRODUCT((Leases!$G$2:$G$13&gt;=$A11)*Leases!$H$2:$H$13)</f>
        <v/>
      </c>
      <c r="C11" s="14">
        <f>(1+Assumptions!$B$3)^-$A11</f>
        <v/>
      </c>
      <c r="D11" s="11">
        <f>$B11*$C11</f>
        <v/>
      </c>
      <c r="E11" s="11">
        <f>SUM($D$2:$D11)</f>
        <v/>
      </c>
    </row>
    <row r="12">
      <c r="A12" t="n">
        <v>11</v>
      </c>
      <c r="B12" s="11">
        <f>SUMPRODUCT((Leases!$G$2:$G$13&gt;=$A12)*Leases!$H$2:$H$13)</f>
        <v/>
      </c>
      <c r="C12" s="14">
        <f>(1+Assumptions!$B$3)^-$A12</f>
        <v/>
      </c>
      <c r="D12" s="11">
        <f>$B12*$C12</f>
        <v/>
      </c>
      <c r="E12" s="11">
        <f>SUM($D$2:$D12)</f>
        <v/>
      </c>
    </row>
    <row r="13">
      <c r="A13" t="n">
        <v>12</v>
      </c>
      <c r="B13" s="11">
        <f>SUMPRODUCT((Leases!$G$2:$G$13&gt;=$A13)*Leases!$H$2:$H$13)</f>
        <v/>
      </c>
      <c r="C13" s="14">
        <f>(1+Assumptions!$B$3)^-$A13</f>
        <v/>
      </c>
      <c r="D13" s="11">
        <f>$B13*$C13</f>
        <v/>
      </c>
      <c r="E13" s="11">
        <f>SUM($D$2:$D13)</f>
        <v/>
      </c>
    </row>
    <row r="14">
      <c r="A14" t="n">
        <v>13</v>
      </c>
      <c r="B14" s="11">
        <f>SUMPRODUCT((Leases!$G$2:$G$13&gt;=$A14)*Leases!$H$2:$H$13)</f>
        <v/>
      </c>
      <c r="C14" s="14">
        <f>(1+Assumptions!$B$3)^-$A14</f>
        <v/>
      </c>
      <c r="D14" s="11">
        <f>$B14*$C14</f>
        <v/>
      </c>
      <c r="E14" s="11">
        <f>SUM($D$2:$D14)</f>
        <v/>
      </c>
    </row>
    <row r="15">
      <c r="A15" t="n">
        <v>14</v>
      </c>
      <c r="B15" s="11">
        <f>SUMPRODUCT((Leases!$G$2:$G$13&gt;=$A15)*Leases!$H$2:$H$13)</f>
        <v/>
      </c>
      <c r="C15" s="14">
        <f>(1+Assumptions!$B$3)^-$A15</f>
        <v/>
      </c>
      <c r="D15" s="11">
        <f>$B15*$C15</f>
        <v/>
      </c>
      <c r="E15" s="11">
        <f>SUM($D$2:$D15)</f>
        <v/>
      </c>
    </row>
    <row r="16">
      <c r="A16" t="n">
        <v>15</v>
      </c>
      <c r="B16" s="11">
        <f>SUMPRODUCT((Leases!$G$2:$G$13&gt;=$A16)*Leases!$H$2:$H$13)</f>
        <v/>
      </c>
      <c r="C16" s="14">
        <f>(1+Assumptions!$B$3)^-$A16</f>
        <v/>
      </c>
      <c r="D16" s="11">
        <f>$B16*$C16</f>
        <v/>
      </c>
      <c r="E16" s="11">
        <f>SUM($D$2:$D16)</f>
        <v/>
      </c>
    </row>
    <row r="17">
      <c r="A17" t="n">
        <v>16</v>
      </c>
      <c r="B17" s="11">
        <f>SUMPRODUCT((Leases!$G$2:$G$13&gt;=$A17)*Leases!$H$2:$H$13)</f>
        <v/>
      </c>
      <c r="C17" s="14">
        <f>(1+Assumptions!$B$3)^-$A17</f>
        <v/>
      </c>
      <c r="D17" s="11">
        <f>$B17*$C17</f>
        <v/>
      </c>
      <c r="E17" s="11">
        <f>SUM($D$2:$D17)</f>
        <v/>
      </c>
    </row>
    <row r="18">
      <c r="A18" t="n">
        <v>17</v>
      </c>
      <c r="B18" s="11">
        <f>SUMPRODUCT((Leases!$G$2:$G$13&gt;=$A18)*Leases!$H$2:$H$13)</f>
        <v/>
      </c>
      <c r="C18" s="14">
        <f>(1+Assumptions!$B$3)^-$A18</f>
        <v/>
      </c>
      <c r="D18" s="11">
        <f>$B18*$C18</f>
        <v/>
      </c>
      <c r="E18" s="11">
        <f>SUM($D$2:$D18)</f>
        <v/>
      </c>
    </row>
    <row r="19">
      <c r="A19" t="n">
        <v>18</v>
      </c>
      <c r="B19" s="11">
        <f>SUMPRODUCT((Leases!$G$2:$G$13&gt;=$A19)*Leases!$H$2:$H$13)</f>
        <v/>
      </c>
      <c r="C19" s="14">
        <f>(1+Assumptions!$B$3)^-$A19</f>
        <v/>
      </c>
      <c r="D19" s="11">
        <f>$B19*$C19</f>
        <v/>
      </c>
      <c r="E19" s="11">
        <f>SUM($D$2:$D19)</f>
        <v/>
      </c>
    </row>
    <row r="20">
      <c r="A20" t="n">
        <v>19</v>
      </c>
      <c r="B20" s="11">
        <f>SUMPRODUCT((Leases!$G$2:$G$13&gt;=$A20)*Leases!$H$2:$H$13)</f>
        <v/>
      </c>
      <c r="C20" s="14">
        <f>(1+Assumptions!$B$3)^-$A20</f>
        <v/>
      </c>
      <c r="D20" s="11">
        <f>$B20*$C20</f>
        <v/>
      </c>
      <c r="E20" s="11">
        <f>SUM($D$2:$D20)</f>
        <v/>
      </c>
    </row>
    <row r="21">
      <c r="A21" t="n">
        <v>20</v>
      </c>
      <c r="B21" s="11">
        <f>SUMPRODUCT((Leases!$G$2:$G$13&gt;=$A21)*Leases!$H$2:$H$13)</f>
        <v/>
      </c>
      <c r="C21" s="14">
        <f>(1+Assumptions!$B$3)^-$A21</f>
        <v/>
      </c>
      <c r="D21" s="11">
        <f>$B21*$C21</f>
        <v/>
      </c>
      <c r="E21" s="11">
        <f>SUM($D$2:$D21)</f>
        <v/>
      </c>
    </row>
    <row r="22">
      <c r="A22" t="n">
        <v>21</v>
      </c>
      <c r="B22" s="11">
        <f>SUMPRODUCT((Leases!$G$2:$G$13&gt;=$A22)*Leases!$H$2:$H$13)</f>
        <v/>
      </c>
      <c r="C22" s="14">
        <f>(1+Assumptions!$B$3)^-$A22</f>
        <v/>
      </c>
      <c r="D22" s="11">
        <f>$B22*$C22</f>
        <v/>
      </c>
      <c r="E22" s="11">
        <f>SUM($D$2:$D22)</f>
        <v/>
      </c>
    </row>
    <row r="23">
      <c r="A23" t="n">
        <v>22</v>
      </c>
      <c r="B23" s="11">
        <f>SUMPRODUCT((Leases!$G$2:$G$13&gt;=$A23)*Leases!$H$2:$H$13)</f>
        <v/>
      </c>
      <c r="C23" s="14">
        <f>(1+Assumptions!$B$3)^-$A23</f>
        <v/>
      </c>
      <c r="D23" s="11">
        <f>$B23*$C23</f>
        <v/>
      </c>
      <c r="E23" s="11">
        <f>SUM($D$2:$D23)</f>
        <v/>
      </c>
    </row>
    <row r="24">
      <c r="A24" t="n">
        <v>23</v>
      </c>
      <c r="B24" s="11">
        <f>SUMPRODUCT((Leases!$G$2:$G$13&gt;=$A24)*Leases!$H$2:$H$13)</f>
        <v/>
      </c>
      <c r="C24" s="14">
        <f>(1+Assumptions!$B$3)^-$A24</f>
        <v/>
      </c>
      <c r="D24" s="11">
        <f>$B24*$C24</f>
        <v/>
      </c>
      <c r="E24" s="11">
        <f>SUM($D$2:$D24)</f>
        <v/>
      </c>
    </row>
    <row r="25">
      <c r="A25" t="n">
        <v>24</v>
      </c>
      <c r="B25" s="11">
        <f>SUMPRODUCT((Leases!$G$2:$G$13&gt;=$A25)*Leases!$H$2:$H$13)</f>
        <v/>
      </c>
      <c r="C25" s="14">
        <f>(1+Assumptions!$B$3)^-$A25</f>
        <v/>
      </c>
      <c r="D25" s="11">
        <f>$B25*$C25</f>
        <v/>
      </c>
      <c r="E25" s="11">
        <f>SUM($D$2:$D25)</f>
        <v/>
      </c>
    </row>
    <row r="26">
      <c r="A26" t="n">
        <v>25</v>
      </c>
      <c r="B26" s="11">
        <f>SUMPRODUCT((Leases!$G$2:$G$13&gt;=$A26)*Leases!$H$2:$H$13)</f>
        <v/>
      </c>
      <c r="C26" s="14">
        <f>(1+Assumptions!$B$3)^-$A26</f>
        <v/>
      </c>
      <c r="D26" s="11">
        <f>$B26*$C26</f>
        <v/>
      </c>
      <c r="E26" s="11">
        <f>SUM($D$2:$D26)</f>
        <v/>
      </c>
    </row>
    <row r="27">
      <c r="A27" t="n">
        <v>26</v>
      </c>
      <c r="B27" s="11">
        <f>SUMPRODUCT((Leases!$G$2:$G$13&gt;=$A27)*Leases!$H$2:$H$13)</f>
        <v/>
      </c>
      <c r="C27" s="14">
        <f>(1+Assumptions!$B$3)^-$A27</f>
        <v/>
      </c>
      <c r="D27" s="11">
        <f>$B27*$C27</f>
        <v/>
      </c>
      <c r="E27" s="11">
        <f>SUM($D$2:$D27)</f>
        <v/>
      </c>
    </row>
    <row r="28">
      <c r="A28" t="n">
        <v>27</v>
      </c>
      <c r="B28" s="11">
        <f>SUMPRODUCT((Leases!$G$2:$G$13&gt;=$A28)*Leases!$H$2:$H$13)</f>
        <v/>
      </c>
      <c r="C28" s="14">
        <f>(1+Assumptions!$B$3)^-$A28</f>
        <v/>
      </c>
      <c r="D28" s="11">
        <f>$B28*$C28</f>
        <v/>
      </c>
      <c r="E28" s="11">
        <f>SUM($D$2:$D28)</f>
        <v/>
      </c>
    </row>
    <row r="29">
      <c r="A29" t="n">
        <v>28</v>
      </c>
      <c r="B29" s="11">
        <f>SUMPRODUCT((Leases!$G$2:$G$13&gt;=$A29)*Leases!$H$2:$H$13)</f>
        <v/>
      </c>
      <c r="C29" s="14">
        <f>(1+Assumptions!$B$3)^-$A29</f>
        <v/>
      </c>
      <c r="D29" s="11">
        <f>$B29*$C29</f>
        <v/>
      </c>
      <c r="E29" s="11">
        <f>SUM($D$2:$D29)</f>
        <v/>
      </c>
    </row>
    <row r="30">
      <c r="A30" t="n">
        <v>29</v>
      </c>
      <c r="B30" s="11">
        <f>SUMPRODUCT((Leases!$G$2:$G$13&gt;=$A30)*Leases!$H$2:$H$13)</f>
        <v/>
      </c>
      <c r="C30" s="14">
        <f>(1+Assumptions!$B$3)^-$A30</f>
        <v/>
      </c>
      <c r="D30" s="11">
        <f>$B30*$C30</f>
        <v/>
      </c>
      <c r="E30" s="11">
        <f>SUM($D$2:$D30)</f>
        <v/>
      </c>
    </row>
    <row r="31">
      <c r="A31" t="n">
        <v>30</v>
      </c>
      <c r="B31" s="11">
        <f>SUMPRODUCT((Leases!$G$2:$G$13&gt;=$A31)*Leases!$H$2:$H$13)</f>
        <v/>
      </c>
      <c r="C31" s="14">
        <f>(1+Assumptions!$B$3)^-$A31</f>
        <v/>
      </c>
      <c r="D31" s="11">
        <f>$B31*$C31</f>
        <v/>
      </c>
      <c r="E31" s="11">
        <f>SUM($D$2:$D31)</f>
        <v/>
      </c>
    </row>
    <row r="32">
      <c r="A32" t="n">
        <v>31</v>
      </c>
      <c r="B32" s="11">
        <f>SUMPRODUCT((Leases!$G$2:$G$13&gt;=$A32)*Leases!$H$2:$H$13)</f>
        <v/>
      </c>
      <c r="C32" s="14">
        <f>(1+Assumptions!$B$3)^-$A32</f>
        <v/>
      </c>
      <c r="D32" s="11">
        <f>$B32*$C32</f>
        <v/>
      </c>
      <c r="E32" s="11">
        <f>SUM($D$2:$D32)</f>
        <v/>
      </c>
    </row>
    <row r="33">
      <c r="A33" t="n">
        <v>32</v>
      </c>
      <c r="B33" s="11">
        <f>SUMPRODUCT((Leases!$G$2:$G$13&gt;=$A33)*Leases!$H$2:$H$13)</f>
        <v/>
      </c>
      <c r="C33" s="14">
        <f>(1+Assumptions!$B$3)^-$A33</f>
        <v/>
      </c>
      <c r="D33" s="11">
        <f>$B33*$C33</f>
        <v/>
      </c>
      <c r="E33" s="11">
        <f>SUM($D$2:$D33)</f>
        <v/>
      </c>
    </row>
    <row r="34">
      <c r="A34" t="n">
        <v>33</v>
      </c>
      <c r="B34" s="11">
        <f>SUMPRODUCT((Leases!$G$2:$G$13&gt;=$A34)*Leases!$H$2:$H$13)</f>
        <v/>
      </c>
      <c r="C34" s="14">
        <f>(1+Assumptions!$B$3)^-$A34</f>
        <v/>
      </c>
      <c r="D34" s="11">
        <f>$B34*$C34</f>
        <v/>
      </c>
      <c r="E34" s="11">
        <f>SUM($D$2:$D34)</f>
        <v/>
      </c>
    </row>
    <row r="35">
      <c r="A35" t="n">
        <v>34</v>
      </c>
      <c r="B35" s="11">
        <f>SUMPRODUCT((Leases!$G$2:$G$13&gt;=$A35)*Leases!$H$2:$H$13)</f>
        <v/>
      </c>
      <c r="C35" s="14">
        <f>(1+Assumptions!$B$3)^-$A35</f>
        <v/>
      </c>
      <c r="D35" s="11">
        <f>$B35*$C35</f>
        <v/>
      </c>
      <c r="E35" s="11">
        <f>SUM($D$2:$D35)</f>
        <v/>
      </c>
    </row>
    <row r="36">
      <c r="A36" t="n">
        <v>35</v>
      </c>
      <c r="B36" s="11">
        <f>SUMPRODUCT((Leases!$G$2:$G$13&gt;=$A36)*Leases!$H$2:$H$13)</f>
        <v/>
      </c>
      <c r="C36" s="14">
        <f>(1+Assumptions!$B$3)^-$A36</f>
        <v/>
      </c>
      <c r="D36" s="11">
        <f>$B36*$C36</f>
        <v/>
      </c>
      <c r="E36" s="11">
        <f>SUM($D$2:$D36)</f>
        <v/>
      </c>
    </row>
    <row r="37">
      <c r="A37" t="n">
        <v>36</v>
      </c>
      <c r="B37" s="11">
        <f>SUMPRODUCT((Leases!$G$2:$G$13&gt;=$A37)*Leases!$H$2:$H$13)</f>
        <v/>
      </c>
      <c r="C37" s="14">
        <f>(1+Assumptions!$B$3)^-$A37</f>
        <v/>
      </c>
      <c r="D37" s="11">
        <f>$B37*$C37</f>
        <v/>
      </c>
      <c r="E37" s="11">
        <f>SUM($D$2:$D37)</f>
        <v/>
      </c>
    </row>
    <row r="38">
      <c r="A38" t="n">
        <v>37</v>
      </c>
      <c r="B38" s="11">
        <f>SUMPRODUCT((Leases!$G$2:$G$13&gt;=$A38)*Leases!$H$2:$H$13)</f>
        <v/>
      </c>
      <c r="C38" s="14">
        <f>(1+Assumptions!$B$3)^-$A38</f>
        <v/>
      </c>
      <c r="D38" s="11">
        <f>$B38*$C38</f>
        <v/>
      </c>
      <c r="E38" s="11">
        <f>SUM($D$2:$D38)</f>
        <v/>
      </c>
    </row>
    <row r="39">
      <c r="A39" t="n">
        <v>38</v>
      </c>
      <c r="B39" s="11">
        <f>SUMPRODUCT((Leases!$G$2:$G$13&gt;=$A39)*Leases!$H$2:$H$13)</f>
        <v/>
      </c>
      <c r="C39" s="14">
        <f>(1+Assumptions!$B$3)^-$A39</f>
        <v/>
      </c>
      <c r="D39" s="11">
        <f>$B39*$C39</f>
        <v/>
      </c>
      <c r="E39" s="11">
        <f>SUM($D$2:$D39)</f>
        <v/>
      </c>
    </row>
    <row r="40">
      <c r="A40" t="n">
        <v>39</v>
      </c>
      <c r="B40" s="11">
        <f>SUMPRODUCT((Leases!$G$2:$G$13&gt;=$A40)*Leases!$H$2:$H$13)</f>
        <v/>
      </c>
      <c r="C40" s="14">
        <f>(1+Assumptions!$B$3)^-$A40</f>
        <v/>
      </c>
      <c r="D40" s="11">
        <f>$B40*$C40</f>
        <v/>
      </c>
      <c r="E40" s="11">
        <f>SUM($D$2:$D40)</f>
        <v/>
      </c>
    </row>
    <row r="41">
      <c r="A41" t="n">
        <v>40</v>
      </c>
      <c r="B41" s="11">
        <f>SUMPRODUCT((Leases!$G$2:$G$13&gt;=$A41)*Leases!$H$2:$H$13)</f>
        <v/>
      </c>
      <c r="C41" s="14">
        <f>(1+Assumptions!$B$3)^-$A41</f>
        <v/>
      </c>
      <c r="D41" s="11">
        <f>$B41*$C41</f>
        <v/>
      </c>
      <c r="E41" s="11">
        <f>SUM($D$2:$D41)</f>
        <v/>
      </c>
    </row>
    <row r="42">
      <c r="A42" t="n">
        <v>41</v>
      </c>
      <c r="B42" s="11">
        <f>SUMPRODUCT((Leases!$G$2:$G$13&gt;=$A42)*Leases!$H$2:$H$13)</f>
        <v/>
      </c>
      <c r="C42" s="14">
        <f>(1+Assumptions!$B$3)^-$A42</f>
        <v/>
      </c>
      <c r="D42" s="11">
        <f>$B42*$C42</f>
        <v/>
      </c>
      <c r="E42" s="11">
        <f>SUM($D$2:$D42)</f>
        <v/>
      </c>
    </row>
    <row r="43">
      <c r="A43" t="n">
        <v>42</v>
      </c>
      <c r="B43" s="11">
        <f>SUMPRODUCT((Leases!$G$2:$G$13&gt;=$A43)*Leases!$H$2:$H$13)</f>
        <v/>
      </c>
      <c r="C43" s="14">
        <f>(1+Assumptions!$B$3)^-$A43</f>
        <v/>
      </c>
      <c r="D43" s="11">
        <f>$B43*$C43</f>
        <v/>
      </c>
      <c r="E43" s="11">
        <f>SUM($D$2:$D43)</f>
        <v/>
      </c>
    </row>
    <row r="44">
      <c r="A44" t="n">
        <v>43</v>
      </c>
      <c r="B44" s="11">
        <f>SUMPRODUCT((Leases!$G$2:$G$13&gt;=$A44)*Leases!$H$2:$H$13)</f>
        <v/>
      </c>
      <c r="C44" s="14">
        <f>(1+Assumptions!$B$3)^-$A44</f>
        <v/>
      </c>
      <c r="D44" s="11">
        <f>$B44*$C44</f>
        <v/>
      </c>
      <c r="E44" s="11">
        <f>SUM($D$2:$D44)</f>
        <v/>
      </c>
    </row>
    <row r="45">
      <c r="A45" t="n">
        <v>44</v>
      </c>
      <c r="B45" s="11">
        <f>SUMPRODUCT((Leases!$G$2:$G$13&gt;=$A45)*Leases!$H$2:$H$13)</f>
        <v/>
      </c>
      <c r="C45" s="14">
        <f>(1+Assumptions!$B$3)^-$A45</f>
        <v/>
      </c>
      <c r="D45" s="11">
        <f>$B45*$C45</f>
        <v/>
      </c>
      <c r="E45" s="11">
        <f>SUM($D$2:$D45)</f>
        <v/>
      </c>
    </row>
    <row r="46">
      <c r="A46" t="n">
        <v>45</v>
      </c>
      <c r="B46" s="11">
        <f>SUMPRODUCT((Leases!$G$2:$G$13&gt;=$A46)*Leases!$H$2:$H$13)</f>
        <v/>
      </c>
      <c r="C46" s="14">
        <f>(1+Assumptions!$B$3)^-$A46</f>
        <v/>
      </c>
      <c r="D46" s="11">
        <f>$B46*$C46</f>
        <v/>
      </c>
      <c r="E46" s="11">
        <f>SUM($D$2:$D46)</f>
        <v/>
      </c>
    </row>
    <row r="47">
      <c r="A47" t="n">
        <v>46</v>
      </c>
      <c r="B47" s="11">
        <f>SUMPRODUCT((Leases!$G$2:$G$13&gt;=$A47)*Leases!$H$2:$H$13)</f>
        <v/>
      </c>
      <c r="C47" s="14">
        <f>(1+Assumptions!$B$3)^-$A47</f>
        <v/>
      </c>
      <c r="D47" s="11">
        <f>$B47*$C47</f>
        <v/>
      </c>
      <c r="E47" s="11">
        <f>SUM($D$2:$D47)</f>
        <v/>
      </c>
    </row>
    <row r="48">
      <c r="A48" t="n">
        <v>47</v>
      </c>
      <c r="B48" s="11">
        <f>SUMPRODUCT((Leases!$G$2:$G$13&gt;=$A48)*Leases!$H$2:$H$13)</f>
        <v/>
      </c>
      <c r="C48" s="14">
        <f>(1+Assumptions!$B$3)^-$A48</f>
        <v/>
      </c>
      <c r="D48" s="11">
        <f>$B48*$C48</f>
        <v/>
      </c>
      <c r="E48" s="11">
        <f>SUM($D$2:$D48)</f>
        <v/>
      </c>
    </row>
    <row r="49">
      <c r="A49" t="n">
        <v>48</v>
      </c>
      <c r="B49" s="11">
        <f>SUMPRODUCT((Leases!$G$2:$G$13&gt;=$A49)*Leases!$H$2:$H$13)</f>
        <v/>
      </c>
      <c r="C49" s="14">
        <f>(1+Assumptions!$B$3)^-$A49</f>
        <v/>
      </c>
      <c r="D49" s="11">
        <f>$B49*$C49</f>
        <v/>
      </c>
      <c r="E49" s="11">
        <f>SUM($D$2:$D49)</f>
        <v/>
      </c>
    </row>
    <row r="50">
      <c r="A50" t="n">
        <v>49</v>
      </c>
      <c r="B50" s="11">
        <f>SUMPRODUCT((Leases!$G$2:$G$13&gt;=$A50)*Leases!$H$2:$H$13)</f>
        <v/>
      </c>
      <c r="C50" s="14">
        <f>(1+Assumptions!$B$3)^-$A50</f>
        <v/>
      </c>
      <c r="D50" s="11">
        <f>$B50*$C50</f>
        <v/>
      </c>
      <c r="E50" s="11">
        <f>SUM($D$2:$D50)</f>
        <v/>
      </c>
    </row>
    <row r="51">
      <c r="A51" t="n">
        <v>50</v>
      </c>
      <c r="B51" s="11">
        <f>SUMPRODUCT((Leases!$G$2:$G$13&gt;=$A51)*Leases!$H$2:$H$13)</f>
        <v/>
      </c>
      <c r="C51" s="14">
        <f>(1+Assumptions!$B$3)^-$A51</f>
        <v/>
      </c>
      <c r="D51" s="11">
        <f>$B51*$C51</f>
        <v/>
      </c>
      <c r="E51" s="11">
        <f>SUM($D$2:$D51)</f>
        <v/>
      </c>
    </row>
    <row r="52">
      <c r="A52" t="n">
        <v>51</v>
      </c>
      <c r="B52" s="11">
        <f>SUMPRODUCT((Leases!$G$2:$G$13&gt;=$A52)*Leases!$H$2:$H$13)</f>
        <v/>
      </c>
      <c r="C52" s="14">
        <f>(1+Assumptions!$B$3)^-$A52</f>
        <v/>
      </c>
      <c r="D52" s="11">
        <f>$B52*$C52</f>
        <v/>
      </c>
      <c r="E52" s="11">
        <f>SUM($D$2:$D52)</f>
        <v/>
      </c>
    </row>
    <row r="53">
      <c r="A53" t="n">
        <v>52</v>
      </c>
      <c r="B53" s="11">
        <f>SUMPRODUCT((Leases!$G$2:$G$13&gt;=$A53)*Leases!$H$2:$H$13)</f>
        <v/>
      </c>
      <c r="C53" s="14">
        <f>(1+Assumptions!$B$3)^-$A53</f>
        <v/>
      </c>
      <c r="D53" s="11">
        <f>$B53*$C53</f>
        <v/>
      </c>
      <c r="E53" s="11">
        <f>SUM($D$2:$D53)</f>
        <v/>
      </c>
    </row>
    <row r="54">
      <c r="A54" t="n">
        <v>53</v>
      </c>
      <c r="B54" s="11">
        <f>SUMPRODUCT((Leases!$G$2:$G$13&gt;=$A54)*Leases!$H$2:$H$13)</f>
        <v/>
      </c>
      <c r="C54" s="14">
        <f>(1+Assumptions!$B$3)^-$A54</f>
        <v/>
      </c>
      <c r="D54" s="11">
        <f>$B54*$C54</f>
        <v/>
      </c>
      <c r="E54" s="11">
        <f>SUM($D$2:$D54)</f>
        <v/>
      </c>
    </row>
    <row r="55">
      <c r="A55" t="n">
        <v>54</v>
      </c>
      <c r="B55" s="11">
        <f>SUMPRODUCT((Leases!$G$2:$G$13&gt;=$A55)*Leases!$H$2:$H$13)</f>
        <v/>
      </c>
      <c r="C55" s="14">
        <f>(1+Assumptions!$B$3)^-$A55</f>
        <v/>
      </c>
      <c r="D55" s="11">
        <f>$B55*$C55</f>
        <v/>
      </c>
      <c r="E55" s="11">
        <f>SUM($D$2:$D55)</f>
        <v/>
      </c>
    </row>
    <row r="56">
      <c r="A56" t="n">
        <v>55</v>
      </c>
      <c r="B56" s="11">
        <f>SUMPRODUCT((Leases!$G$2:$G$13&gt;=$A56)*Leases!$H$2:$H$13)</f>
        <v/>
      </c>
      <c r="C56" s="14">
        <f>(1+Assumptions!$B$3)^-$A56</f>
        <v/>
      </c>
      <c r="D56" s="11">
        <f>$B56*$C56</f>
        <v/>
      </c>
      <c r="E56" s="11">
        <f>SUM($D$2:$D56)</f>
        <v/>
      </c>
    </row>
    <row r="57">
      <c r="A57" t="n">
        <v>56</v>
      </c>
      <c r="B57" s="11">
        <f>SUMPRODUCT((Leases!$G$2:$G$13&gt;=$A57)*Leases!$H$2:$H$13)</f>
        <v/>
      </c>
      <c r="C57" s="14">
        <f>(1+Assumptions!$B$3)^-$A57</f>
        <v/>
      </c>
      <c r="D57" s="11">
        <f>$B57*$C57</f>
        <v/>
      </c>
      <c r="E57" s="11">
        <f>SUM($D$2:$D57)</f>
        <v/>
      </c>
    </row>
    <row r="58">
      <c r="A58" t="n">
        <v>57</v>
      </c>
      <c r="B58" s="11">
        <f>SUMPRODUCT((Leases!$G$2:$G$13&gt;=$A58)*Leases!$H$2:$H$13)</f>
        <v/>
      </c>
      <c r="C58" s="14">
        <f>(1+Assumptions!$B$3)^-$A58</f>
        <v/>
      </c>
      <c r="D58" s="11">
        <f>$B58*$C58</f>
        <v/>
      </c>
      <c r="E58" s="11">
        <f>SUM($D$2:$D58)</f>
        <v/>
      </c>
    </row>
    <row r="59">
      <c r="A59" t="n">
        <v>58</v>
      </c>
      <c r="B59" s="11">
        <f>SUMPRODUCT((Leases!$G$2:$G$13&gt;=$A59)*Leases!$H$2:$H$13)</f>
        <v/>
      </c>
      <c r="C59" s="14">
        <f>(1+Assumptions!$B$3)^-$A59</f>
        <v/>
      </c>
      <c r="D59" s="11">
        <f>$B59*$C59</f>
        <v/>
      </c>
      <c r="E59" s="11">
        <f>SUM($D$2:$D59)</f>
        <v/>
      </c>
    </row>
    <row r="60">
      <c r="A60" t="n">
        <v>59</v>
      </c>
      <c r="B60" s="11">
        <f>SUMPRODUCT((Leases!$G$2:$G$13&gt;=$A60)*Leases!$H$2:$H$13)</f>
        <v/>
      </c>
      <c r="C60" s="14">
        <f>(1+Assumptions!$B$3)^-$A60</f>
        <v/>
      </c>
      <c r="D60" s="11">
        <f>$B60*$C60</f>
        <v/>
      </c>
      <c r="E60" s="11">
        <f>SUM($D$2:$D60)</f>
        <v/>
      </c>
    </row>
    <row r="61">
      <c r="A61" t="n">
        <v>60</v>
      </c>
      <c r="B61" s="11">
        <f>SUMPRODUCT((Leases!$G$2:$G$13&gt;=$A61)*Leases!$H$2:$H$13)</f>
        <v/>
      </c>
      <c r="C61" s="14">
        <f>(1+Assumptions!$B$3)^-$A61</f>
        <v/>
      </c>
      <c r="D61" s="11">
        <f>$B61*$C61</f>
        <v/>
      </c>
      <c r="E61" s="11">
        <f>SUM($D$2:$D61)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2" t="inlineStr">
        <is>
          <t>Check</t>
        </is>
      </c>
      <c r="B1" s="12" t="inlineStr">
        <is>
          <t>Expected</t>
        </is>
      </c>
      <c r="C1" s="12" t="inlineStr">
        <is>
          <t>Got</t>
        </is>
      </c>
      <c r="D1" s="12" t="inlineStr">
        <is>
          <t>Diff</t>
        </is>
      </c>
      <c r="E1" s="12" t="inlineStr">
        <is>
          <t>Status</t>
        </is>
      </c>
    </row>
    <row r="2">
      <c r="A2" t="inlineStr">
        <is>
          <t>Lease count</t>
        </is>
      </c>
      <c r="B2" s="15" t="n">
        <v>12</v>
      </c>
      <c r="C2" s="15">
        <f>COUNTA(Leases!$A$2:$A$13)</f>
        <v/>
      </c>
      <c r="D2" s="15">
        <f>$C2-$B2</f>
        <v/>
      </c>
      <c r="E2">
        <f>IF(ABS($D2)&lt;=0,"PASS","FAIL")</f>
        <v/>
      </c>
    </row>
    <row r="3">
      <c r="A3" t="inlineStr">
        <is>
          <t>Dashboard contract total ties to Leases</t>
        </is>
      </c>
      <c r="B3" s="15">
        <f>SUM(Leases!$E$2:$E$13)</f>
        <v/>
      </c>
      <c r="C3" s="15">
        <f>Dashboard!$B$4</f>
        <v/>
      </c>
      <c r="D3" s="15">
        <f>$C3-$B3</f>
        <v/>
      </c>
      <c r="E3">
        <f>IF(ABS($D3)&lt;=0.01,"PASS","FAIL")</f>
        <v/>
      </c>
    </row>
    <row r="4">
      <c r="A4" t="inlineStr">
        <is>
          <t>Dashboard market total ties to Leases</t>
        </is>
      </c>
      <c r="B4" s="15">
        <f>SUM(Leases!$F$2:$F$13)</f>
        <v/>
      </c>
      <c r="C4" s="15">
        <f>Dashboard!$B$5</f>
        <v/>
      </c>
      <c r="D4" s="15">
        <f>$C4-$B4</f>
        <v/>
      </c>
      <c r="E4">
        <f>IF(ABS($D4)&lt;=0.01,"PASS","FAIL")</f>
        <v/>
      </c>
    </row>
    <row r="5">
      <c r="A5" t="inlineStr">
        <is>
          <t>Dashboard monthly disparity ties to Leases</t>
        </is>
      </c>
      <c r="B5" s="15">
        <f>SUM(Leases!$H$2:$H$13)</f>
        <v/>
      </c>
      <c r="C5" s="15">
        <f>Dashboard!$B$6</f>
        <v/>
      </c>
      <c r="D5" s="15">
        <f>$C5-$B5</f>
        <v/>
      </c>
      <c r="E5">
        <f>IF(ABS($D5)&lt;=0.01,"PASS","FAIL")</f>
        <v/>
      </c>
    </row>
    <row r="6">
      <c r="A6" t="inlineStr">
        <is>
          <t>Dashboard PV ties to Leases</t>
        </is>
      </c>
      <c r="B6" s="15">
        <f>SUM(Leases!$K$2:$K$13)</f>
        <v/>
      </c>
      <c r="C6" s="15">
        <f>Dashboard!$B$9</f>
        <v/>
      </c>
      <c r="D6" s="15">
        <f>$C6-$B6</f>
        <v/>
      </c>
      <c r="E6">
        <f>IF(ABS($D6)&lt;=0.01,"PASS","FAIL")</f>
        <v/>
      </c>
    </row>
    <row r="7">
      <c r="A7" t="inlineStr">
        <is>
          <t>Schedule month 1 ties to dashboard monthly disparity</t>
        </is>
      </c>
      <c r="B7" s="15">
        <f>Schedule!$B$2</f>
        <v/>
      </c>
      <c r="C7" s="15">
        <f>Dashboard!$B$6</f>
        <v/>
      </c>
      <c r="D7" s="15">
        <f>$C7-$B7</f>
        <v/>
      </c>
      <c r="E7">
        <f>IF(ABS($D7)&lt;=0.01,"PASS","FAIL")</f>
        <v/>
      </c>
    </row>
    <row r="8">
      <c r="A8" t="inlineStr">
        <is>
          <t>Schedule cumulative PV ties to dashboard PV</t>
        </is>
      </c>
      <c r="B8" s="15">
        <f>Schedule!$E$61</f>
        <v/>
      </c>
      <c r="C8" s="15">
        <f>Dashboard!$B$9</f>
        <v/>
      </c>
      <c r="D8" s="15">
        <f>$C8-$B8</f>
        <v/>
      </c>
      <c r="E8">
        <f>IF(ABS($D8)&lt;=1,"PASS","FAIL")</f>
        <v/>
      </c>
    </row>
    <row r="9">
      <c r="A9" t="inlineStr">
        <is>
          <t>Leases with negative remaining term</t>
        </is>
      </c>
      <c r="B9" s="15" t="n">
        <v>0</v>
      </c>
      <c r="C9" s="15">
        <f>COUNTIF(Leases!$G$2:$G$13,"&lt;0")</f>
        <v/>
      </c>
      <c r="D9" s="15">
        <f>$C9-$B9</f>
        <v/>
      </c>
      <c r="E9">
        <f>IF(ABS($D9)&lt;=0,"PASS","FAIL")</f>
        <v/>
      </c>
    </row>
    <row r="10">
      <c r="A10" t="inlineStr">
        <is>
          <t>Leases with blank market rent</t>
        </is>
      </c>
      <c r="B10" s="15" t="n">
        <v>0</v>
      </c>
      <c r="C10" s="15">
        <f>COUNTBLANK(Leases!$F$2:$F$13)</f>
        <v/>
      </c>
      <c r="D10" s="15">
        <f>$C10-$B10</f>
        <v/>
      </c>
      <c r="E10">
        <f>IF(ABS($D10)&lt;=0,"PASS","FAIL")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2026-10-30T02:30:42+00:00Z</dcterms:created>
  <dcterms:modified xmlns:dcterms="http://purl.org/dc/terms/" xmlns:xsi="http://www.w3.org/2001/XMLSchema-instance" xsi:type="dcterms:W3CDTF">2026-10-30T02:30:42+00:00Z</dcterms:modified>
</cp:coreProperties>
</file>