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InvoiceLines" sheetId="2" state="visible" r:id="rId2"/>
    <sheet xmlns:r="http://schemas.openxmlformats.org/officeDocument/2006/relationships" name="Invoices" sheetId="3" state="visible" r:id="rId3"/>
    <sheet xmlns:r="http://schemas.openxmlformats.org/officeDocument/2006/relationships" name="Inventory" sheetId="4" state="visible" r:id="rId4"/>
    <sheet xmlns:r="http://schemas.openxmlformats.org/officeDocument/2006/relationships" name="Purchases" sheetId="5" state="visible" r:id="rId5"/>
    <sheet xmlns:r="http://schemas.openxmlformats.org/officeDocument/2006/relationships" name="GST_Summary" sheetId="6" state="visible" r:id="rId6"/>
    <sheet xmlns:r="http://schemas.openxmlformats.org/officeDocument/2006/relationships" name="Daily" sheetId="7" state="visible" r:id="rId7"/>
    <sheet xmlns:r="http://schemas.openxmlformats.org/officeDocument/2006/relationships" name="Checks" sheetId="8" state="visible" r:id="rId8"/>
    <sheet xmlns:r="http://schemas.openxmlformats.org/officeDocument/2006/relationships" name="Guide" sheetId="9" state="visible" r:id="rId9"/>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MMM-YYYY"/>
  </numFmts>
  <fonts count="7">
    <font>
      <name val="Calibri"/>
      <family val="2"/>
      <color theme="1"/>
      <sz val="11"/>
      <scheme val="minor"/>
    </font>
    <font>
      <b val="1"/>
      <color rgb="00FFFFFF"/>
    </font>
    <font>
      <b val="1"/>
    </font>
    <font>
      <b val="1"/>
      <color rgb="001F4E78"/>
      <sz val="16"/>
    </font>
    <font>
      <i val="1"/>
      <color rgb="00595959"/>
    </font>
    <font>
      <b val="1"/>
      <color rgb="001F4E78"/>
      <sz val="13"/>
    </font>
    <font>
      <b val="1"/>
      <color rgb="001F4E78"/>
      <sz val="14"/>
    </font>
  </fonts>
  <fills count="3">
    <fill>
      <patternFill/>
    </fill>
    <fill>
      <patternFill patternType="gray125"/>
    </fill>
    <fill>
      <patternFill patternType="solid">
        <f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4" fontId="5" fillId="0" borderId="0" pivotButton="0" quotePrefix="0" xfId="0"/>
    <xf numFmtId="1" fontId="5" fillId="0" borderId="0" pivotButton="0" quotePrefix="0" xfId="0"/>
    <xf numFmtId="0" fontId="1" fillId="2" borderId="1" applyAlignment="1" pivotButton="0" quotePrefix="0" xfId="0">
      <alignment horizontal="center" vertical="center"/>
    </xf>
    <xf numFmtId="165" fontId="0" fillId="0" borderId="0" pivotButton="0" quotePrefix="0" xfId="0"/>
    <xf numFmtId="4" fontId="0" fillId="0" borderId="0" pivotButton="0" quotePrefix="0" xfId="0"/>
    <xf numFmtId="166" fontId="0" fillId="0" borderId="0" pivotButton="0" quotePrefix="0" xfId="0"/>
    <xf numFmtId="4" fontId="2" fillId="0" borderId="0" pivotButton="0" quotePrefix="0" xfId="0"/>
    <xf numFmtId="0" fontId="0" fillId="0" borderId="0" applyAlignment="1" pivotButton="0" quotePrefix="0" xfId="0">
      <alignment horizontal="center"/>
    </xf>
    <xf numFmtId="0" fontId="6"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taxable sales</a:t>
            </a:r>
          </a:p>
        </rich>
      </tx>
    </title>
    <plotArea>
      <barChart>
        <barDir val="col"/>
        <grouping val="clustered"/>
        <ser>
          <idx val="0"/>
          <order val="0"/>
          <tx>
            <strRef>
              <f>'GST_Summary'!B1</f>
            </strRef>
          </tx>
          <spPr>
            <a:ln xmlns:a="http://schemas.openxmlformats.org/drawingml/2006/main">
              <a:prstDash val="solid"/>
            </a:ln>
          </spPr>
          <cat>
            <numRef>
              <f>'GST_Summary'!$A$2:$A$7</f>
            </numRef>
          </cat>
          <val>
            <numRef>
              <f>'GST_Summary'!$B$2:$B$7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Units sold by SKU</a:t>
            </a:r>
          </a:p>
        </rich>
      </tx>
    </title>
    <plotArea>
      <barChart>
        <barDir val="bar"/>
        <grouping val="clustered"/>
        <ser>
          <idx val="0"/>
          <order val="0"/>
          <tx>
            <strRef>
              <f>'Inventory'!E1</f>
            </strRef>
          </tx>
          <spPr>
            <a:ln xmlns:a="http://schemas.openxmlformats.org/drawingml/2006/main">
              <a:prstDash val="solid"/>
            </a:ln>
          </spPr>
          <cat>
            <numRef>
              <f>'Inventory'!$A$2:$A$7</f>
            </numRef>
          </cat>
          <val>
            <numRef>
              <f>'Inventory'!$E$2:$E$7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12</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78"/>
    <outlinePr summaryBelow="1" summaryRight="1"/>
    <pageSetUpPr/>
  </sheetPr>
  <dimension ref="A1:B11"/>
  <sheetViews>
    <sheetView workbookViewId="0">
      <selection activeCell="A1" sqref="A1"/>
    </sheetView>
  </sheetViews>
  <sheetFormatPr baseColWidth="8" defaultRowHeight="15"/>
  <cols>
    <col width="32" customWidth="1" min="1" max="1"/>
    <col width="20" customWidth="1" min="2" max="2"/>
  </cols>
  <sheetData>
    <row r="1">
      <c r="A1" s="1" t="inlineStr">
        <is>
          <t>AquaBill — Billing, Sales &amp; Inventory Dashboard</t>
        </is>
      </c>
    </row>
    <row r="2">
      <c r="A2" s="2" t="inlineStr">
        <is>
          <t>AquaPure Distributors, Patna  •  Apr–Sep 2026  •  All figures are live formulas</t>
        </is>
      </c>
    </row>
    <row r="4">
      <c r="A4" s="3" t="inlineStr">
        <is>
          <t>Total revenue (incl GST)</t>
        </is>
      </c>
      <c r="B4" s="4">
        <f>SUM(Invoices!$F$2:$F$501)</f>
        <v/>
      </c>
    </row>
    <row r="5">
      <c r="A5" s="3" t="inlineStr">
        <is>
          <t>Invoices issued</t>
        </is>
      </c>
      <c r="B5" s="5">
        <f>COUNTA(Invoices!$A$2:$A$501)</f>
        <v/>
      </c>
    </row>
    <row r="6">
      <c r="A6" s="3" t="inlineStr">
        <is>
          <t>Units sold</t>
        </is>
      </c>
      <c r="B6" s="5">
        <f>SUM(InvoiceLines!$E$2:$E$4001)</f>
        <v/>
      </c>
    </row>
    <row r="7">
      <c r="A7" s="3" t="inlineStr">
        <is>
          <t>Avg invoice value</t>
        </is>
      </c>
      <c r="B7" s="4">
        <f>IFERROR(AVERAGEIF(Invoices!$A$2:$A$501,"&lt;&gt;",Invoices!$F$2:$F$501),0)</f>
        <v/>
      </c>
    </row>
    <row r="8">
      <c r="A8" s="3" t="inlineStr">
        <is>
          <t>GST collected (18%)</t>
        </is>
      </c>
      <c r="B8" s="4">
        <f>SUM(Invoices!$E$2:$E$501)</f>
        <v/>
      </c>
    </row>
    <row r="9">
      <c r="A9" s="3" t="inlineStr">
        <is>
          <t>Outstanding receivables</t>
        </is>
      </c>
      <c r="B9" s="4">
        <f>SUM(Invoices!$H$2:$H$501)</f>
        <v/>
      </c>
    </row>
    <row r="10">
      <c r="A10" s="3" t="inlineStr">
        <is>
          <t>SKUs at / below reorder level</t>
        </is>
      </c>
      <c r="B10" s="5">
        <f>SUMPRODUCT((Inventory!$H$2:$H$21="REORDER")*1)+SUMPRODUCT((Inventory!$H$2:$H$21="OUT OF STOCK")*1)</f>
        <v/>
      </c>
    </row>
    <row r="11">
      <c r="A11" s="3" t="inlineStr">
        <is>
          <t>Stock value on hand</t>
        </is>
      </c>
      <c r="B11" s="4">
        <f>SUM(Inventory!$I$2:$I$21)</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00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6" customWidth="1" min="3" max="3"/>
    <col width="26" customWidth="1" min="4" max="4"/>
    <col width="8" customWidth="1" min="5" max="5"/>
    <col width="14" customWidth="1" min="6" max="6"/>
    <col width="12" customWidth="1" min="7" max="7"/>
  </cols>
  <sheetData>
    <row r="1">
      <c r="A1" s="6" t="inlineStr">
        <is>
          <t>Inv No</t>
        </is>
      </c>
      <c r="B1" s="6" t="inlineStr">
        <is>
          <t>Date</t>
        </is>
      </c>
      <c r="C1" s="6" t="inlineStr">
        <is>
          <t>Line</t>
        </is>
      </c>
      <c r="D1" s="6" t="inlineStr">
        <is>
          <t>SKU</t>
        </is>
      </c>
      <c r="E1" s="6" t="inlineStr">
        <is>
          <t>Qty</t>
        </is>
      </c>
      <c r="F1" s="6" t="inlineStr">
        <is>
          <t>Rate (ex-GST)</t>
        </is>
      </c>
      <c r="G1" s="6" t="inlineStr">
        <is>
          <t>Line Total</t>
        </is>
      </c>
    </row>
    <row r="2">
      <c r="A2" t="inlineStr">
        <is>
          <t>INV-2026-0001</t>
        </is>
      </c>
      <c r="B2" s="7" t="n">
        <v>46113</v>
      </c>
      <c r="C2" t="n">
        <v>1</v>
      </c>
      <c r="D2" t="inlineStr">
        <is>
          <t>Hot &amp; Cold Water Dispenser</t>
        </is>
      </c>
      <c r="E2" t="n">
        <v>2</v>
      </c>
      <c r="F2" s="8" t="n">
        <v>8500</v>
      </c>
      <c r="G2" s="8">
        <f>IF($A2="",0,ROUND($E2*$F2,2))</f>
        <v/>
      </c>
    </row>
    <row r="3">
      <c r="A3" t="inlineStr">
        <is>
          <t>INV-2026-0001</t>
        </is>
      </c>
      <c r="B3" s="7" t="n">
        <v>46113</v>
      </c>
      <c r="C3" t="n">
        <v>2</v>
      </c>
      <c r="D3" t="inlineStr">
        <is>
          <t>Hot &amp; Cold Water Dispenser</t>
        </is>
      </c>
      <c r="E3" t="n">
        <v>1</v>
      </c>
      <c r="F3" s="8" t="n">
        <v>8500</v>
      </c>
      <c r="G3" s="8">
        <f>IF($A3="",0,ROUND($E3*$F3,2))</f>
        <v/>
      </c>
    </row>
    <row r="4">
      <c r="A4" t="inlineStr">
        <is>
          <t>INV-2026-0002</t>
        </is>
      </c>
      <c r="B4" s="7" t="n">
        <v>46114</v>
      </c>
      <c r="C4" t="n">
        <v>1</v>
      </c>
      <c r="D4" t="inlineStr">
        <is>
          <t>500ml Bottle Case (24 pc)</t>
        </is>
      </c>
      <c r="E4" t="n">
        <v>18</v>
      </c>
      <c r="F4" s="8" t="n">
        <v>220</v>
      </c>
      <c r="G4" s="8">
        <f>IF($A4="",0,ROUND($E4*$F4,2))</f>
        <v/>
      </c>
    </row>
    <row r="5">
      <c r="A5" t="inlineStr">
        <is>
          <t>INV-2026-0003</t>
        </is>
      </c>
      <c r="B5" s="7" t="n">
        <v>46115</v>
      </c>
      <c r="C5" t="n">
        <v>1</v>
      </c>
      <c r="D5" t="inlineStr">
        <is>
          <t>1L Bottle Case (12 pc)</t>
        </is>
      </c>
      <c r="E5" t="n">
        <v>18</v>
      </c>
      <c r="F5" s="8" t="n">
        <v>240</v>
      </c>
      <c r="G5" s="8">
        <f>IF($A5="",0,ROUND($E5*$F5,2))</f>
        <v/>
      </c>
    </row>
    <row r="6">
      <c r="A6" t="inlineStr">
        <is>
          <t>INV-2026-0003</t>
        </is>
      </c>
      <c r="B6" s="7" t="n">
        <v>46115</v>
      </c>
      <c r="C6" t="n">
        <v>2</v>
      </c>
      <c r="D6" t="inlineStr">
        <is>
          <t>500ml Bottle Case (24 pc)</t>
        </is>
      </c>
      <c r="E6" t="n">
        <v>15</v>
      </c>
      <c r="F6" s="8" t="n">
        <v>220</v>
      </c>
      <c r="G6" s="8">
        <f>IF($A6="",0,ROUND($E6*$F6,2))</f>
        <v/>
      </c>
    </row>
    <row r="7">
      <c r="A7" t="inlineStr">
        <is>
          <t>INV-2026-0004</t>
        </is>
      </c>
      <c r="B7" s="7" t="n">
        <v>46116</v>
      </c>
      <c r="C7" t="n">
        <v>1</v>
      </c>
      <c r="D7" t="inlineStr">
        <is>
          <t>500ml Bottle Case (24 pc)</t>
        </is>
      </c>
      <c r="E7" t="n">
        <v>14</v>
      </c>
      <c r="F7" s="8" t="n">
        <v>220</v>
      </c>
      <c r="G7" s="8">
        <f>IF($A7="",0,ROUND($E7*$F7,2))</f>
        <v/>
      </c>
    </row>
    <row r="8">
      <c r="A8" t="inlineStr">
        <is>
          <t>INV-2026-0005</t>
        </is>
      </c>
      <c r="B8" s="7" t="n">
        <v>46116</v>
      </c>
      <c r="C8" t="n">
        <v>1</v>
      </c>
      <c r="D8" t="inlineStr">
        <is>
          <t>1L Bottle Case (12 pc)</t>
        </is>
      </c>
      <c r="E8" t="n">
        <v>24</v>
      </c>
      <c r="F8" s="8" t="n">
        <v>240</v>
      </c>
      <c r="G8" s="8">
        <f>IF($A8="",0,ROUND($E8*$F8,2))</f>
        <v/>
      </c>
    </row>
    <row r="9">
      <c r="A9" t="inlineStr">
        <is>
          <t>INV-2026-0005</t>
        </is>
      </c>
      <c r="B9" s="7" t="n">
        <v>46116</v>
      </c>
      <c r="C9" t="n">
        <v>2</v>
      </c>
      <c r="D9" t="inlineStr">
        <is>
          <t>500ml Bottle Case (24 pc)</t>
        </is>
      </c>
      <c r="E9" t="n">
        <v>33</v>
      </c>
      <c r="F9" s="8" t="n">
        <v>220</v>
      </c>
      <c r="G9" s="8">
        <f>IF($A9="",0,ROUND($E9*$F9,2))</f>
        <v/>
      </c>
    </row>
    <row r="10">
      <c r="A10" t="inlineStr">
        <is>
          <t>INV-2026-0006</t>
        </is>
      </c>
      <c r="B10" s="7" t="n">
        <v>46118</v>
      </c>
      <c r="C10" t="n">
        <v>1</v>
      </c>
      <c r="D10" t="inlineStr">
        <is>
          <t>500ml Bottle Case (24 pc)</t>
        </is>
      </c>
      <c r="E10" t="n">
        <v>22</v>
      </c>
      <c r="F10" s="8" t="n">
        <v>220</v>
      </c>
      <c r="G10" s="8">
        <f>IF($A10="",0,ROUND($E10*$F10,2))</f>
        <v/>
      </c>
    </row>
    <row r="11">
      <c r="A11" t="inlineStr">
        <is>
          <t>INV-2026-0007</t>
        </is>
      </c>
      <c r="B11" s="7" t="n">
        <v>46118</v>
      </c>
      <c r="C11" t="n">
        <v>1</v>
      </c>
      <c r="D11" t="inlineStr">
        <is>
          <t>5L Water Jar</t>
        </is>
      </c>
      <c r="E11" t="n">
        <v>16</v>
      </c>
      <c r="F11" s="8" t="n">
        <v>45</v>
      </c>
      <c r="G11" s="8">
        <f>IF($A11="",0,ROUND($E11*$F11,2))</f>
        <v/>
      </c>
    </row>
    <row r="12">
      <c r="A12" t="inlineStr">
        <is>
          <t>INV-2026-0007</t>
        </is>
      </c>
      <c r="B12" s="7" t="n">
        <v>46118</v>
      </c>
      <c r="C12" t="n">
        <v>2</v>
      </c>
      <c r="D12" t="inlineStr">
        <is>
          <t>500ml Bottle Case (24 pc)</t>
        </is>
      </c>
      <c r="E12" t="n">
        <v>5</v>
      </c>
      <c r="F12" s="8" t="n">
        <v>220</v>
      </c>
      <c r="G12" s="8">
        <f>IF($A12="",0,ROUND($E12*$F12,2))</f>
        <v/>
      </c>
    </row>
    <row r="13">
      <c r="A13" t="inlineStr">
        <is>
          <t>INV-2026-0008</t>
        </is>
      </c>
      <c r="B13" s="7" t="n">
        <v>46118</v>
      </c>
      <c r="C13" t="n">
        <v>1</v>
      </c>
      <c r="D13" t="inlineStr">
        <is>
          <t>20L Water Jar</t>
        </is>
      </c>
      <c r="E13" t="n">
        <v>79</v>
      </c>
      <c r="F13" s="8" t="n">
        <v>60</v>
      </c>
      <c r="G13" s="8">
        <f>IF($A13="",0,ROUND($E13*$F13,2))</f>
        <v/>
      </c>
    </row>
    <row r="14">
      <c r="A14" t="inlineStr">
        <is>
          <t>INV-2026-0008</t>
        </is>
      </c>
      <c r="B14" s="7" t="n">
        <v>46118</v>
      </c>
      <c r="C14" t="n">
        <v>2</v>
      </c>
      <c r="D14" t="inlineStr">
        <is>
          <t>1L Bottle Case (12 pc)</t>
        </is>
      </c>
      <c r="E14" t="n">
        <v>36</v>
      </c>
      <c r="F14" s="8" t="n">
        <v>240</v>
      </c>
      <c r="G14" s="8">
        <f>IF($A14="",0,ROUND($E14*$F14,2))</f>
        <v/>
      </c>
    </row>
    <row r="15">
      <c r="A15" t="inlineStr">
        <is>
          <t>INV-2026-0009</t>
        </is>
      </c>
      <c r="B15" s="7" t="n">
        <v>46119</v>
      </c>
      <c r="C15" t="n">
        <v>1</v>
      </c>
      <c r="D15" t="inlineStr">
        <is>
          <t>20L Water Jar</t>
        </is>
      </c>
      <c r="E15" t="n">
        <v>35</v>
      </c>
      <c r="F15" s="8" t="n">
        <v>60</v>
      </c>
      <c r="G15" s="8">
        <f>IF($A15="",0,ROUND($E15*$F15,2))</f>
        <v/>
      </c>
    </row>
    <row r="16">
      <c r="A16" t="inlineStr">
        <is>
          <t>INV-2026-0009</t>
        </is>
      </c>
      <c r="B16" s="7" t="n">
        <v>46119</v>
      </c>
      <c r="C16" t="n">
        <v>2</v>
      </c>
      <c r="D16" t="inlineStr">
        <is>
          <t>5L Water Jar</t>
        </is>
      </c>
      <c r="E16" t="n">
        <v>24</v>
      </c>
      <c r="F16" s="8" t="n">
        <v>45</v>
      </c>
      <c r="G16" s="8">
        <f>IF($A16="",0,ROUND($E16*$F16,2))</f>
        <v/>
      </c>
    </row>
    <row r="17">
      <c r="A17" t="inlineStr">
        <is>
          <t>INV-2026-0009</t>
        </is>
      </c>
      <c r="B17" s="7" t="n">
        <v>46119</v>
      </c>
      <c r="C17" t="n">
        <v>3</v>
      </c>
      <c r="D17" t="inlineStr">
        <is>
          <t>20L Water Jar</t>
        </is>
      </c>
      <c r="E17" t="n">
        <v>71</v>
      </c>
      <c r="F17" s="8" t="n">
        <v>60</v>
      </c>
      <c r="G17" s="8">
        <f>IF($A17="",0,ROUND($E17*$F17,2))</f>
        <v/>
      </c>
    </row>
    <row r="18">
      <c r="A18" t="inlineStr">
        <is>
          <t>INV-2026-0010</t>
        </is>
      </c>
      <c r="B18" s="7" t="n">
        <v>46119</v>
      </c>
      <c r="C18" t="n">
        <v>1</v>
      </c>
      <c r="D18" t="inlineStr">
        <is>
          <t>20L Water Jar</t>
        </is>
      </c>
      <c r="E18" t="n">
        <v>29</v>
      </c>
      <c r="F18" s="8" t="n">
        <v>60</v>
      </c>
      <c r="G18" s="8">
        <f>IF($A18="",0,ROUND($E18*$F18,2))</f>
        <v/>
      </c>
    </row>
    <row r="19">
      <c r="A19" t="inlineStr">
        <is>
          <t>INV-2026-0010</t>
        </is>
      </c>
      <c r="B19" s="7" t="n">
        <v>46119</v>
      </c>
      <c r="C19" t="n">
        <v>2</v>
      </c>
      <c r="D19" t="inlineStr">
        <is>
          <t>1L Bottle Case (12 pc)</t>
        </is>
      </c>
      <c r="E19" t="n">
        <v>32</v>
      </c>
      <c r="F19" s="8" t="n">
        <v>240</v>
      </c>
      <c r="G19" s="8">
        <f>IF($A19="",0,ROUND($E19*$F19,2))</f>
        <v/>
      </c>
    </row>
    <row r="20">
      <c r="A20" t="inlineStr">
        <is>
          <t>INV-2026-0011</t>
        </is>
      </c>
      <c r="B20" s="7" t="n">
        <v>46120</v>
      </c>
      <c r="C20" t="n">
        <v>1</v>
      </c>
      <c r="D20" t="inlineStr">
        <is>
          <t>20L Water Jar</t>
        </is>
      </c>
      <c r="E20" t="n">
        <v>79</v>
      </c>
      <c r="F20" s="8" t="n">
        <v>60</v>
      </c>
      <c r="G20" s="8">
        <f>IF($A20="",0,ROUND($E20*$F20,2))</f>
        <v/>
      </c>
    </row>
    <row r="21">
      <c r="A21" t="inlineStr">
        <is>
          <t>INV-2026-0011</t>
        </is>
      </c>
      <c r="B21" s="7" t="n">
        <v>46120</v>
      </c>
      <c r="C21" t="n">
        <v>2</v>
      </c>
      <c r="D21" t="inlineStr">
        <is>
          <t>500ml Bottle Case (24 pc)</t>
        </is>
      </c>
      <c r="E21" t="n">
        <v>3</v>
      </c>
      <c r="F21" s="8" t="n">
        <v>220</v>
      </c>
      <c r="G21" s="8">
        <f>IF($A21="",0,ROUND($E21*$F21,2))</f>
        <v/>
      </c>
    </row>
    <row r="22">
      <c r="A22" t="inlineStr">
        <is>
          <t>INV-2026-0011</t>
        </is>
      </c>
      <c r="B22" s="7" t="n">
        <v>46120</v>
      </c>
      <c r="C22" t="n">
        <v>3</v>
      </c>
      <c r="D22" t="inlineStr">
        <is>
          <t>500ml Bottle Case (24 pc)</t>
        </is>
      </c>
      <c r="E22" t="n">
        <v>15</v>
      </c>
      <c r="F22" s="8" t="n">
        <v>220</v>
      </c>
      <c r="G22" s="8">
        <f>IF($A22="",0,ROUND($E22*$F22,2))</f>
        <v/>
      </c>
    </row>
    <row r="23">
      <c r="A23" t="inlineStr">
        <is>
          <t>INV-2026-0012</t>
        </is>
      </c>
      <c r="B23" s="7" t="n">
        <v>46121</v>
      </c>
      <c r="C23" t="n">
        <v>1</v>
      </c>
      <c r="D23" t="inlineStr">
        <is>
          <t>500ml Bottle Case (24 pc)</t>
        </is>
      </c>
      <c r="E23" t="n">
        <v>10</v>
      </c>
      <c r="F23" s="8" t="n">
        <v>220</v>
      </c>
      <c r="G23" s="8">
        <f>IF($A23="",0,ROUND($E23*$F23,2))</f>
        <v/>
      </c>
    </row>
    <row r="24">
      <c r="A24" t="inlineStr">
        <is>
          <t>INV-2026-0012</t>
        </is>
      </c>
      <c r="B24" s="7" t="n">
        <v>46121</v>
      </c>
      <c r="C24" t="n">
        <v>2</v>
      </c>
      <c r="D24" t="inlineStr">
        <is>
          <t>Paper Cups Pack (100 pc)</t>
        </is>
      </c>
      <c r="E24" t="n">
        <v>25</v>
      </c>
      <c r="F24" s="8" t="n">
        <v>90</v>
      </c>
      <c r="G24" s="8">
        <f>IF($A24="",0,ROUND($E24*$F24,2))</f>
        <v/>
      </c>
    </row>
    <row r="25">
      <c r="A25" t="inlineStr">
        <is>
          <t>INV-2026-0013</t>
        </is>
      </c>
      <c r="B25" s="7" t="n">
        <v>46122</v>
      </c>
      <c r="C25" t="n">
        <v>1</v>
      </c>
      <c r="D25" t="inlineStr">
        <is>
          <t>1L Bottle Case (12 pc)</t>
        </is>
      </c>
      <c r="E25" t="n">
        <v>27</v>
      </c>
      <c r="F25" s="8" t="n">
        <v>240</v>
      </c>
      <c r="G25" s="8">
        <f>IF($A25="",0,ROUND($E25*$F25,2))</f>
        <v/>
      </c>
    </row>
    <row r="26">
      <c r="A26" t="inlineStr">
        <is>
          <t>INV-2026-0013</t>
        </is>
      </c>
      <c r="B26" s="7" t="n">
        <v>46122</v>
      </c>
      <c r="C26" t="n">
        <v>2</v>
      </c>
      <c r="D26" t="inlineStr">
        <is>
          <t>5L Water Jar</t>
        </is>
      </c>
      <c r="E26" t="n">
        <v>53</v>
      </c>
      <c r="F26" s="8" t="n">
        <v>45</v>
      </c>
      <c r="G26" s="8">
        <f>IF($A26="",0,ROUND($E26*$F26,2))</f>
        <v/>
      </c>
    </row>
    <row r="27">
      <c r="A27" t="inlineStr">
        <is>
          <t>INV-2026-0014</t>
        </is>
      </c>
      <c r="B27" s="7" t="n">
        <v>46123</v>
      </c>
      <c r="C27" t="n">
        <v>1</v>
      </c>
      <c r="D27" t="inlineStr">
        <is>
          <t>Hot &amp; Cold Water Dispenser</t>
        </is>
      </c>
      <c r="E27" t="n">
        <v>2</v>
      </c>
      <c r="F27" s="8" t="n">
        <v>8500</v>
      </c>
      <c r="G27" s="8">
        <f>IF($A27="",0,ROUND($E27*$F27,2))</f>
        <v/>
      </c>
    </row>
    <row r="28">
      <c r="A28" t="inlineStr">
        <is>
          <t>INV-2026-0014</t>
        </is>
      </c>
      <c r="B28" s="7" t="n">
        <v>46123</v>
      </c>
      <c r="C28" t="n">
        <v>2</v>
      </c>
      <c r="D28" t="inlineStr">
        <is>
          <t>20L Water Jar</t>
        </is>
      </c>
      <c r="E28" t="n">
        <v>45</v>
      </c>
      <c r="F28" s="8" t="n">
        <v>60</v>
      </c>
      <c r="G28" s="8">
        <f>IF($A28="",0,ROUND($E28*$F28,2))</f>
        <v/>
      </c>
    </row>
    <row r="29">
      <c r="A29" t="inlineStr">
        <is>
          <t>INV-2026-0014</t>
        </is>
      </c>
      <c r="B29" s="7" t="n">
        <v>46123</v>
      </c>
      <c r="C29" t="n">
        <v>3</v>
      </c>
      <c r="D29" t="inlineStr">
        <is>
          <t>500ml Bottle Case (24 pc)</t>
        </is>
      </c>
      <c r="E29" t="n">
        <v>37</v>
      </c>
      <c r="F29" s="8" t="n">
        <v>220</v>
      </c>
      <c r="G29" s="8">
        <f>IF($A29="",0,ROUND($E29*$F29,2))</f>
        <v/>
      </c>
    </row>
    <row r="30">
      <c r="A30" t="inlineStr">
        <is>
          <t>INV-2026-0015</t>
        </is>
      </c>
      <c r="B30" s="7" t="n">
        <v>46123</v>
      </c>
      <c r="C30" t="n">
        <v>1</v>
      </c>
      <c r="D30" t="inlineStr">
        <is>
          <t>Hot &amp; Cold Water Dispenser</t>
        </is>
      </c>
      <c r="E30" t="n">
        <v>2</v>
      </c>
      <c r="F30" s="8" t="n">
        <v>8500</v>
      </c>
      <c r="G30" s="8">
        <f>IF($A30="",0,ROUND($E30*$F30,2))</f>
        <v/>
      </c>
    </row>
    <row r="31">
      <c r="A31" t="inlineStr">
        <is>
          <t>INV-2026-0015</t>
        </is>
      </c>
      <c r="B31" s="7" t="n">
        <v>46123</v>
      </c>
      <c r="C31" t="n">
        <v>2</v>
      </c>
      <c r="D31" t="inlineStr">
        <is>
          <t>20L Water Jar</t>
        </is>
      </c>
      <c r="E31" t="n">
        <v>51</v>
      </c>
      <c r="F31" s="8" t="n">
        <v>60</v>
      </c>
      <c r="G31" s="8">
        <f>IF($A31="",0,ROUND($E31*$F31,2))</f>
        <v/>
      </c>
    </row>
    <row r="32">
      <c r="A32" t="inlineStr">
        <is>
          <t>INV-2026-0016</t>
        </is>
      </c>
      <c r="B32" s="7" t="n">
        <v>46124</v>
      </c>
      <c r="C32" t="n">
        <v>1</v>
      </c>
      <c r="D32" t="inlineStr">
        <is>
          <t>Paper Cups Pack (100 pc)</t>
        </is>
      </c>
      <c r="E32" t="n">
        <v>7</v>
      </c>
      <c r="F32" s="8" t="n">
        <v>90</v>
      </c>
      <c r="G32" s="8">
        <f>IF($A32="",0,ROUND($E32*$F32,2))</f>
        <v/>
      </c>
    </row>
    <row r="33">
      <c r="A33" t="inlineStr">
        <is>
          <t>INV-2026-0017</t>
        </is>
      </c>
      <c r="B33" s="7" t="n">
        <v>46125</v>
      </c>
      <c r="C33" t="n">
        <v>1</v>
      </c>
      <c r="D33" t="inlineStr">
        <is>
          <t>1L Bottle Case (12 pc)</t>
        </is>
      </c>
      <c r="E33" t="n">
        <v>11</v>
      </c>
      <c r="F33" s="8" t="n">
        <v>240</v>
      </c>
      <c r="G33" s="8">
        <f>IF($A33="",0,ROUND($E33*$F33,2))</f>
        <v/>
      </c>
    </row>
    <row r="34">
      <c r="A34" t="inlineStr">
        <is>
          <t>INV-2026-0018</t>
        </is>
      </c>
      <c r="B34" s="7" t="n">
        <v>46126</v>
      </c>
      <c r="C34" t="n">
        <v>1</v>
      </c>
      <c r="D34" t="inlineStr">
        <is>
          <t>500ml Bottle Case (24 pc)</t>
        </is>
      </c>
      <c r="E34" t="n">
        <v>24</v>
      </c>
      <c r="F34" s="8" t="n">
        <v>220</v>
      </c>
      <c r="G34" s="8">
        <f>IF($A34="",0,ROUND($E34*$F34,2))</f>
        <v/>
      </c>
    </row>
    <row r="35">
      <c r="A35" t="inlineStr">
        <is>
          <t>INV-2026-0018</t>
        </is>
      </c>
      <c r="B35" s="7" t="n">
        <v>46126</v>
      </c>
      <c r="C35" t="n">
        <v>2</v>
      </c>
      <c r="D35" t="inlineStr">
        <is>
          <t>500ml Bottle Case (24 pc)</t>
        </is>
      </c>
      <c r="E35" t="n">
        <v>15</v>
      </c>
      <c r="F35" s="8" t="n">
        <v>220</v>
      </c>
      <c r="G35" s="8">
        <f>IF($A35="",0,ROUND($E35*$F35,2))</f>
        <v/>
      </c>
    </row>
    <row r="36">
      <c r="A36" t="inlineStr">
        <is>
          <t>INV-2026-0019</t>
        </is>
      </c>
      <c r="B36" s="7" t="n">
        <v>46127</v>
      </c>
      <c r="C36" t="n">
        <v>1</v>
      </c>
      <c r="D36" t="inlineStr">
        <is>
          <t>20L Water Jar</t>
        </is>
      </c>
      <c r="E36" t="n">
        <v>18</v>
      </c>
      <c r="F36" s="8" t="n">
        <v>60</v>
      </c>
      <c r="G36" s="8">
        <f>IF($A36="",0,ROUND($E36*$F36,2))</f>
        <v/>
      </c>
    </row>
    <row r="37">
      <c r="A37" t="inlineStr">
        <is>
          <t>INV-2026-0020</t>
        </is>
      </c>
      <c r="B37" s="7" t="n">
        <v>46128</v>
      </c>
      <c r="C37" t="n">
        <v>1</v>
      </c>
      <c r="D37" t="inlineStr">
        <is>
          <t>500ml Bottle Case (24 pc)</t>
        </is>
      </c>
      <c r="E37" t="n">
        <v>24</v>
      </c>
      <c r="F37" s="8" t="n">
        <v>220</v>
      </c>
      <c r="G37" s="8">
        <f>IF($A37="",0,ROUND($E37*$F37,2))</f>
        <v/>
      </c>
    </row>
    <row r="38">
      <c r="A38" t="inlineStr">
        <is>
          <t>INV-2026-0020</t>
        </is>
      </c>
      <c r="B38" s="7" t="n">
        <v>46128</v>
      </c>
      <c r="C38" t="n">
        <v>2</v>
      </c>
      <c r="D38" t="inlineStr">
        <is>
          <t>20L Water Jar</t>
        </is>
      </c>
      <c r="E38" t="n">
        <v>15</v>
      </c>
      <c r="F38" s="8" t="n">
        <v>60</v>
      </c>
      <c r="G38" s="8">
        <f>IF($A38="",0,ROUND($E38*$F38,2))</f>
        <v/>
      </c>
    </row>
    <row r="39">
      <c r="A39" t="inlineStr">
        <is>
          <t>INV-2026-0021</t>
        </is>
      </c>
      <c r="B39" s="7" t="n">
        <v>46128</v>
      </c>
      <c r="C39" t="n">
        <v>1</v>
      </c>
      <c r="D39" t="inlineStr">
        <is>
          <t>500ml Bottle Case (24 pc)</t>
        </is>
      </c>
      <c r="E39" t="n">
        <v>32</v>
      </c>
      <c r="F39" s="8" t="n">
        <v>220</v>
      </c>
      <c r="G39" s="8">
        <f>IF($A39="",0,ROUND($E39*$F39,2))</f>
        <v/>
      </c>
    </row>
    <row r="40">
      <c r="A40" t="inlineStr">
        <is>
          <t>INV-2026-0021</t>
        </is>
      </c>
      <c r="B40" s="7" t="n">
        <v>46128</v>
      </c>
      <c r="C40" t="n">
        <v>2</v>
      </c>
      <c r="D40" t="inlineStr">
        <is>
          <t>20L Water Jar</t>
        </is>
      </c>
      <c r="E40" t="n">
        <v>79</v>
      </c>
      <c r="F40" s="8" t="n">
        <v>60</v>
      </c>
      <c r="G40" s="8">
        <f>IF($A40="",0,ROUND($E40*$F40,2))</f>
        <v/>
      </c>
    </row>
    <row r="41">
      <c r="A41" t="inlineStr">
        <is>
          <t>INV-2026-0022</t>
        </is>
      </c>
      <c r="B41" s="7" t="n">
        <v>46129</v>
      </c>
      <c r="C41" t="n">
        <v>1</v>
      </c>
      <c r="D41" t="inlineStr">
        <is>
          <t>20L Water Jar</t>
        </is>
      </c>
      <c r="E41" t="n">
        <v>23</v>
      </c>
      <c r="F41" s="8" t="n">
        <v>60</v>
      </c>
      <c r="G41" s="8">
        <f>IF($A41="",0,ROUND($E41*$F41,2))</f>
        <v/>
      </c>
    </row>
    <row r="42">
      <c r="A42" t="inlineStr">
        <is>
          <t>INV-2026-0022</t>
        </is>
      </c>
      <c r="B42" s="7" t="n">
        <v>46129</v>
      </c>
      <c r="C42" t="n">
        <v>2</v>
      </c>
      <c r="D42" t="inlineStr">
        <is>
          <t>500ml Bottle Case (24 pc)</t>
        </is>
      </c>
      <c r="E42" t="n">
        <v>29</v>
      </c>
      <c r="F42" s="8" t="n">
        <v>220</v>
      </c>
      <c r="G42" s="8">
        <f>IF($A42="",0,ROUND($E42*$F42,2))</f>
        <v/>
      </c>
    </row>
    <row r="43">
      <c r="A43" t="inlineStr">
        <is>
          <t>INV-2026-0023</t>
        </is>
      </c>
      <c r="B43" s="7" t="n">
        <v>46130</v>
      </c>
      <c r="C43" t="n">
        <v>1</v>
      </c>
      <c r="D43" t="inlineStr">
        <is>
          <t>Hot &amp; Cold Water Dispenser</t>
        </is>
      </c>
      <c r="E43" t="n">
        <v>1</v>
      </c>
      <c r="F43" s="8" t="n">
        <v>8500</v>
      </c>
      <c r="G43" s="8">
        <f>IF($A43="",0,ROUND($E43*$F43,2))</f>
        <v/>
      </c>
    </row>
    <row r="44">
      <c r="A44" t="inlineStr">
        <is>
          <t>INV-2026-0024</t>
        </is>
      </c>
      <c r="B44" s="7" t="n">
        <v>46130</v>
      </c>
      <c r="C44" t="n">
        <v>1</v>
      </c>
      <c r="D44" t="inlineStr">
        <is>
          <t>1L Bottle Case (12 pc)</t>
        </is>
      </c>
      <c r="E44" t="n">
        <v>20</v>
      </c>
      <c r="F44" s="8" t="n">
        <v>240</v>
      </c>
      <c r="G44" s="8">
        <f>IF($A44="",0,ROUND($E44*$F44,2))</f>
        <v/>
      </c>
    </row>
    <row r="45">
      <c r="A45" t="inlineStr">
        <is>
          <t>INV-2026-0024</t>
        </is>
      </c>
      <c r="B45" s="7" t="n">
        <v>46130</v>
      </c>
      <c r="C45" t="n">
        <v>2</v>
      </c>
      <c r="D45" t="inlineStr">
        <is>
          <t>20L Water Jar</t>
        </is>
      </c>
      <c r="E45" t="n">
        <v>49</v>
      </c>
      <c r="F45" s="8" t="n">
        <v>60</v>
      </c>
      <c r="G45" s="8">
        <f>IF($A45="",0,ROUND($E45*$F45,2))</f>
        <v/>
      </c>
    </row>
    <row r="46">
      <c r="A46" t="inlineStr">
        <is>
          <t>INV-2026-0025</t>
        </is>
      </c>
      <c r="B46" s="7" t="n">
        <v>46133</v>
      </c>
      <c r="C46" t="n">
        <v>1</v>
      </c>
      <c r="D46" t="inlineStr">
        <is>
          <t>Paper Cups Pack (100 pc)</t>
        </is>
      </c>
      <c r="E46" t="n">
        <v>20</v>
      </c>
      <c r="F46" s="8" t="n">
        <v>90</v>
      </c>
      <c r="G46" s="8">
        <f>IF($A46="",0,ROUND($E46*$F46,2))</f>
        <v/>
      </c>
    </row>
    <row r="47">
      <c r="A47" t="inlineStr">
        <is>
          <t>INV-2026-0025</t>
        </is>
      </c>
      <c r="B47" s="7" t="n">
        <v>46133</v>
      </c>
      <c r="C47" t="n">
        <v>2</v>
      </c>
      <c r="D47" t="inlineStr">
        <is>
          <t>Paper Cups Pack (100 pc)</t>
        </is>
      </c>
      <c r="E47" t="n">
        <v>7</v>
      </c>
      <c r="F47" s="8" t="n">
        <v>90</v>
      </c>
      <c r="G47" s="8">
        <f>IF($A47="",0,ROUND($E47*$F47,2))</f>
        <v/>
      </c>
    </row>
    <row r="48">
      <c r="A48" t="inlineStr">
        <is>
          <t>INV-2026-0025</t>
        </is>
      </c>
      <c r="B48" s="7" t="n">
        <v>46133</v>
      </c>
      <c r="C48" t="n">
        <v>3</v>
      </c>
      <c r="D48" t="inlineStr">
        <is>
          <t>5L Water Jar</t>
        </is>
      </c>
      <c r="E48" t="n">
        <v>14</v>
      </c>
      <c r="F48" s="8" t="n">
        <v>45</v>
      </c>
      <c r="G48" s="8">
        <f>IF($A48="",0,ROUND($E48*$F48,2))</f>
        <v/>
      </c>
    </row>
    <row r="49">
      <c r="A49" t="inlineStr">
        <is>
          <t>INV-2026-0026</t>
        </is>
      </c>
      <c r="B49" s="7" t="n">
        <v>46134</v>
      </c>
      <c r="C49" t="n">
        <v>1</v>
      </c>
      <c r="D49" t="inlineStr">
        <is>
          <t>20L Water Jar</t>
        </is>
      </c>
      <c r="E49" t="n">
        <v>14</v>
      </c>
      <c r="F49" s="8" t="n">
        <v>60</v>
      </c>
      <c r="G49" s="8">
        <f>IF($A49="",0,ROUND($E49*$F49,2))</f>
        <v/>
      </c>
    </row>
    <row r="50">
      <c r="A50" t="inlineStr">
        <is>
          <t>INV-2026-0026</t>
        </is>
      </c>
      <c r="B50" s="7" t="n">
        <v>46134</v>
      </c>
      <c r="C50" t="n">
        <v>2</v>
      </c>
      <c r="D50" t="inlineStr">
        <is>
          <t>Hot &amp; Cold Water Dispenser</t>
        </is>
      </c>
      <c r="E50" t="n">
        <v>1</v>
      </c>
      <c r="F50" s="8" t="n">
        <v>8500</v>
      </c>
      <c r="G50" s="8">
        <f>IF($A50="",0,ROUND($E50*$F50,2))</f>
        <v/>
      </c>
    </row>
    <row r="51">
      <c r="A51" t="inlineStr">
        <is>
          <t>INV-2026-0027</t>
        </is>
      </c>
      <c r="B51" s="7" t="n">
        <v>46135</v>
      </c>
      <c r="C51" t="n">
        <v>1</v>
      </c>
      <c r="D51" t="inlineStr">
        <is>
          <t>Hot &amp; Cold Water Dispenser</t>
        </is>
      </c>
      <c r="E51" t="n">
        <v>2</v>
      </c>
      <c r="F51" s="8" t="n">
        <v>8500</v>
      </c>
      <c r="G51" s="8">
        <f>IF($A51="",0,ROUND($E51*$F51,2))</f>
        <v/>
      </c>
    </row>
    <row r="52">
      <c r="A52" t="inlineStr">
        <is>
          <t>INV-2026-0028</t>
        </is>
      </c>
      <c r="B52" s="7" t="n">
        <v>46135</v>
      </c>
      <c r="C52" t="n">
        <v>1</v>
      </c>
      <c r="D52" t="inlineStr">
        <is>
          <t>1L Bottle Case (12 pc)</t>
        </is>
      </c>
      <c r="E52" t="n">
        <v>34</v>
      </c>
      <c r="F52" s="8" t="n">
        <v>240</v>
      </c>
      <c r="G52" s="8">
        <f>IF($A52="",0,ROUND($E52*$F52,2))</f>
        <v/>
      </c>
    </row>
    <row r="53">
      <c r="A53" t="inlineStr">
        <is>
          <t>INV-2026-0028</t>
        </is>
      </c>
      <c r="B53" s="7" t="n">
        <v>46135</v>
      </c>
      <c r="C53" t="n">
        <v>2</v>
      </c>
      <c r="D53" t="inlineStr">
        <is>
          <t>20L Water Jar</t>
        </is>
      </c>
      <c r="E53" t="n">
        <v>19</v>
      </c>
      <c r="F53" s="8" t="n">
        <v>60</v>
      </c>
      <c r="G53" s="8">
        <f>IF($A53="",0,ROUND($E53*$F53,2))</f>
        <v/>
      </c>
    </row>
    <row r="54">
      <c r="A54" t="inlineStr">
        <is>
          <t>INV-2026-0029</t>
        </is>
      </c>
      <c r="B54" s="7" t="n">
        <v>46136</v>
      </c>
      <c r="C54" t="n">
        <v>1</v>
      </c>
      <c r="D54" t="inlineStr">
        <is>
          <t>500ml Bottle Case (24 pc)</t>
        </is>
      </c>
      <c r="E54" t="n">
        <v>34</v>
      </c>
      <c r="F54" s="8" t="n">
        <v>220</v>
      </c>
      <c r="G54" s="8">
        <f>IF($A54="",0,ROUND($E54*$F54,2))</f>
        <v/>
      </c>
    </row>
    <row r="55">
      <c r="A55" t="inlineStr">
        <is>
          <t>INV-2026-0030</t>
        </is>
      </c>
      <c r="B55" s="7" t="n">
        <v>46137</v>
      </c>
      <c r="C55" t="n">
        <v>1</v>
      </c>
      <c r="D55" t="inlineStr">
        <is>
          <t>20L Water Jar</t>
        </is>
      </c>
      <c r="E55" t="n">
        <v>68</v>
      </c>
      <c r="F55" s="8" t="n">
        <v>60</v>
      </c>
      <c r="G55" s="8">
        <f>IF($A55="",0,ROUND($E55*$F55,2))</f>
        <v/>
      </c>
    </row>
    <row r="56">
      <c r="A56" t="inlineStr">
        <is>
          <t>INV-2026-0030</t>
        </is>
      </c>
      <c r="B56" s="7" t="n">
        <v>46137</v>
      </c>
      <c r="C56" t="n">
        <v>2</v>
      </c>
      <c r="D56" t="inlineStr">
        <is>
          <t>20L Water Jar</t>
        </is>
      </c>
      <c r="E56" t="n">
        <v>25</v>
      </c>
      <c r="F56" s="8" t="n">
        <v>60</v>
      </c>
      <c r="G56" s="8">
        <f>IF($A56="",0,ROUND($E56*$F56,2))</f>
        <v/>
      </c>
    </row>
    <row r="57">
      <c r="A57" t="inlineStr">
        <is>
          <t>INV-2026-0031</t>
        </is>
      </c>
      <c r="B57" s="7" t="n">
        <v>46138</v>
      </c>
      <c r="C57" t="n">
        <v>1</v>
      </c>
      <c r="D57" t="inlineStr">
        <is>
          <t>20L Water Jar</t>
        </is>
      </c>
      <c r="E57" t="n">
        <v>59</v>
      </c>
      <c r="F57" s="8" t="n">
        <v>60</v>
      </c>
      <c r="G57" s="8">
        <f>IF($A57="",0,ROUND($E57*$F57,2))</f>
        <v/>
      </c>
    </row>
    <row r="58">
      <c r="A58" t="inlineStr">
        <is>
          <t>INV-2026-0032</t>
        </is>
      </c>
      <c r="B58" s="7" t="n">
        <v>46138</v>
      </c>
      <c r="C58" t="n">
        <v>1</v>
      </c>
      <c r="D58" t="inlineStr">
        <is>
          <t>20L Water Jar</t>
        </is>
      </c>
      <c r="E58" t="n">
        <v>38</v>
      </c>
      <c r="F58" s="8" t="n">
        <v>60</v>
      </c>
      <c r="G58" s="8">
        <f>IF($A58="",0,ROUND($E58*$F58,2))</f>
        <v/>
      </c>
    </row>
    <row r="59">
      <c r="A59" t="inlineStr">
        <is>
          <t>INV-2026-0032</t>
        </is>
      </c>
      <c r="B59" s="7" t="n">
        <v>46138</v>
      </c>
      <c r="C59" t="n">
        <v>2</v>
      </c>
      <c r="D59" t="inlineStr">
        <is>
          <t>1L Bottle Case (12 pc)</t>
        </is>
      </c>
      <c r="E59" t="n">
        <v>40</v>
      </c>
      <c r="F59" s="8" t="n">
        <v>240</v>
      </c>
      <c r="G59" s="8">
        <f>IF($A59="",0,ROUND($E59*$F59,2))</f>
        <v/>
      </c>
    </row>
    <row r="60">
      <c r="A60" t="inlineStr">
        <is>
          <t>INV-2026-0032</t>
        </is>
      </c>
      <c r="B60" s="7" t="n">
        <v>46138</v>
      </c>
      <c r="C60" t="n">
        <v>3</v>
      </c>
      <c r="D60" t="inlineStr">
        <is>
          <t>Paper Cups Pack (100 pc)</t>
        </is>
      </c>
      <c r="E60" t="n">
        <v>17</v>
      </c>
      <c r="F60" s="8" t="n">
        <v>90</v>
      </c>
      <c r="G60" s="8">
        <f>IF($A60="",0,ROUND($E60*$F60,2))</f>
        <v/>
      </c>
    </row>
    <row r="61">
      <c r="A61" t="inlineStr">
        <is>
          <t>INV-2026-0033</t>
        </is>
      </c>
      <c r="B61" s="7" t="n">
        <v>46138</v>
      </c>
      <c r="C61" t="n">
        <v>1</v>
      </c>
      <c r="D61" t="inlineStr">
        <is>
          <t>5L Water Jar</t>
        </is>
      </c>
      <c r="E61" t="n">
        <v>56</v>
      </c>
      <c r="F61" s="8" t="n">
        <v>45</v>
      </c>
      <c r="G61" s="8">
        <f>IF($A61="",0,ROUND($E61*$F61,2))</f>
        <v/>
      </c>
    </row>
    <row r="62">
      <c r="A62" t="inlineStr">
        <is>
          <t>INV-2026-0033</t>
        </is>
      </c>
      <c r="B62" s="7" t="n">
        <v>46138</v>
      </c>
      <c r="C62" t="n">
        <v>2</v>
      </c>
      <c r="D62" t="inlineStr">
        <is>
          <t>20L Water Jar</t>
        </is>
      </c>
      <c r="E62" t="n">
        <v>64</v>
      </c>
      <c r="F62" s="8" t="n">
        <v>60</v>
      </c>
      <c r="G62" s="8">
        <f>IF($A62="",0,ROUND($E62*$F62,2))</f>
        <v/>
      </c>
    </row>
    <row r="63">
      <c r="A63" t="inlineStr">
        <is>
          <t>INV-2026-0034</t>
        </is>
      </c>
      <c r="B63" s="7" t="n">
        <v>46139</v>
      </c>
      <c r="C63" t="n">
        <v>1</v>
      </c>
      <c r="D63" t="inlineStr">
        <is>
          <t>1L Bottle Case (12 pc)</t>
        </is>
      </c>
      <c r="E63" t="n">
        <v>31</v>
      </c>
      <c r="F63" s="8" t="n">
        <v>240</v>
      </c>
      <c r="G63" s="8">
        <f>IF($A63="",0,ROUND($E63*$F63,2))</f>
        <v/>
      </c>
    </row>
    <row r="64">
      <c r="A64" t="inlineStr">
        <is>
          <t>INV-2026-0034</t>
        </is>
      </c>
      <c r="B64" s="7" t="n">
        <v>46139</v>
      </c>
      <c r="C64" t="n">
        <v>2</v>
      </c>
      <c r="D64" t="inlineStr">
        <is>
          <t>Hot &amp; Cold Water Dispenser</t>
        </is>
      </c>
      <c r="E64" t="n">
        <v>1</v>
      </c>
      <c r="F64" s="8" t="n">
        <v>8500</v>
      </c>
      <c r="G64" s="8">
        <f>IF($A64="",0,ROUND($E64*$F64,2))</f>
        <v/>
      </c>
    </row>
    <row r="65">
      <c r="A65" t="inlineStr">
        <is>
          <t>INV-2026-0034</t>
        </is>
      </c>
      <c r="B65" s="7" t="n">
        <v>46139</v>
      </c>
      <c r="C65" t="n">
        <v>3</v>
      </c>
      <c r="D65" t="inlineStr">
        <is>
          <t>20L Water Jar</t>
        </is>
      </c>
      <c r="E65" t="n">
        <v>14</v>
      </c>
      <c r="F65" s="8" t="n">
        <v>60</v>
      </c>
      <c r="G65" s="8">
        <f>IF($A65="",0,ROUND($E65*$F65,2))</f>
        <v/>
      </c>
    </row>
    <row r="66">
      <c r="A66" t="inlineStr">
        <is>
          <t>INV-2026-0035</t>
        </is>
      </c>
      <c r="B66" s="7" t="n">
        <v>46140</v>
      </c>
      <c r="C66" t="n">
        <v>1</v>
      </c>
      <c r="D66" t="inlineStr">
        <is>
          <t>1L Bottle Case (12 pc)</t>
        </is>
      </c>
      <c r="E66" t="n">
        <v>30</v>
      </c>
      <c r="F66" s="8" t="n">
        <v>240</v>
      </c>
      <c r="G66" s="8">
        <f>IF($A66="",0,ROUND($E66*$F66,2))</f>
        <v/>
      </c>
    </row>
    <row r="67">
      <c r="A67" t="inlineStr">
        <is>
          <t>INV-2026-0035</t>
        </is>
      </c>
      <c r="B67" s="7" t="n">
        <v>46140</v>
      </c>
      <c r="C67" t="n">
        <v>2</v>
      </c>
      <c r="D67" t="inlineStr">
        <is>
          <t>1L Bottle Case (12 pc)</t>
        </is>
      </c>
      <c r="E67" t="n">
        <v>23</v>
      </c>
      <c r="F67" s="8" t="n">
        <v>240</v>
      </c>
      <c r="G67" s="8">
        <f>IF($A67="",0,ROUND($E67*$F67,2))</f>
        <v/>
      </c>
    </row>
    <row r="68">
      <c r="A68" t="inlineStr">
        <is>
          <t>INV-2026-0035</t>
        </is>
      </c>
      <c r="B68" s="7" t="n">
        <v>46140</v>
      </c>
      <c r="C68" t="n">
        <v>3</v>
      </c>
      <c r="D68" t="inlineStr">
        <is>
          <t>500ml Bottle Case (24 pc)</t>
        </is>
      </c>
      <c r="E68" t="n">
        <v>40</v>
      </c>
      <c r="F68" s="8" t="n">
        <v>220</v>
      </c>
      <c r="G68" s="8">
        <f>IF($A68="",0,ROUND($E68*$F68,2))</f>
        <v/>
      </c>
    </row>
    <row r="69">
      <c r="A69" t="inlineStr">
        <is>
          <t>INV-2026-0036</t>
        </is>
      </c>
      <c r="B69" s="7" t="n">
        <v>46141</v>
      </c>
      <c r="C69" t="n">
        <v>1</v>
      </c>
      <c r="D69" t="inlineStr">
        <is>
          <t>20L Water Jar</t>
        </is>
      </c>
      <c r="E69" t="n">
        <v>67</v>
      </c>
      <c r="F69" s="8" t="n">
        <v>60</v>
      </c>
      <c r="G69" s="8">
        <f>IF($A69="",0,ROUND($E69*$F69,2))</f>
        <v/>
      </c>
    </row>
    <row r="70">
      <c r="A70" t="inlineStr">
        <is>
          <t>INV-2026-0036</t>
        </is>
      </c>
      <c r="B70" s="7" t="n">
        <v>46141</v>
      </c>
      <c r="C70" t="n">
        <v>2</v>
      </c>
      <c r="D70" t="inlineStr">
        <is>
          <t>5L Water Jar</t>
        </is>
      </c>
      <c r="E70" t="n">
        <v>11</v>
      </c>
      <c r="F70" s="8" t="n">
        <v>45</v>
      </c>
      <c r="G70" s="8">
        <f>IF($A70="",0,ROUND($E70*$F70,2))</f>
        <v/>
      </c>
    </row>
    <row r="71">
      <c r="A71" t="inlineStr">
        <is>
          <t>INV-2026-0036</t>
        </is>
      </c>
      <c r="B71" s="7" t="n">
        <v>46141</v>
      </c>
      <c r="C71" t="n">
        <v>3</v>
      </c>
      <c r="D71" t="inlineStr">
        <is>
          <t>20L Water Jar</t>
        </is>
      </c>
      <c r="E71" t="n">
        <v>75</v>
      </c>
      <c r="F71" s="8" t="n">
        <v>60</v>
      </c>
      <c r="G71" s="8">
        <f>IF($A71="",0,ROUND($E71*$F71,2))</f>
        <v/>
      </c>
    </row>
    <row r="72">
      <c r="A72" t="inlineStr">
        <is>
          <t>INV-2026-0037</t>
        </is>
      </c>
      <c r="B72" s="7" t="n">
        <v>46142</v>
      </c>
      <c r="C72" t="n">
        <v>1</v>
      </c>
      <c r="D72" t="inlineStr">
        <is>
          <t>20L Water Jar</t>
        </is>
      </c>
      <c r="E72" t="n">
        <v>39</v>
      </c>
      <c r="F72" s="8" t="n">
        <v>60</v>
      </c>
      <c r="G72" s="8">
        <f>IF($A72="",0,ROUND($E72*$F72,2))</f>
        <v/>
      </c>
    </row>
    <row r="73">
      <c r="A73" t="inlineStr">
        <is>
          <t>INV-2026-0037</t>
        </is>
      </c>
      <c r="B73" s="7" t="n">
        <v>46142</v>
      </c>
      <c r="C73" t="n">
        <v>2</v>
      </c>
      <c r="D73" t="inlineStr">
        <is>
          <t>20L Water Jar</t>
        </is>
      </c>
      <c r="E73" t="n">
        <v>66</v>
      </c>
      <c r="F73" s="8" t="n">
        <v>60</v>
      </c>
      <c r="G73" s="8">
        <f>IF($A73="",0,ROUND($E73*$F73,2))</f>
        <v/>
      </c>
    </row>
    <row r="74">
      <c r="A74" t="inlineStr">
        <is>
          <t>INV-2026-0037</t>
        </is>
      </c>
      <c r="B74" s="7" t="n">
        <v>46142</v>
      </c>
      <c r="C74" t="n">
        <v>3</v>
      </c>
      <c r="D74" t="inlineStr">
        <is>
          <t>1L Bottle Case (12 pc)</t>
        </is>
      </c>
      <c r="E74" t="n">
        <v>38</v>
      </c>
      <c r="F74" s="8" t="n">
        <v>240</v>
      </c>
      <c r="G74" s="8">
        <f>IF($A74="",0,ROUND($E74*$F74,2))</f>
        <v/>
      </c>
    </row>
    <row r="75">
      <c r="A75" t="inlineStr">
        <is>
          <t>INV-2026-0038</t>
        </is>
      </c>
      <c r="B75" s="7" t="n">
        <v>46143</v>
      </c>
      <c r="C75" t="n">
        <v>1</v>
      </c>
      <c r="D75" t="inlineStr">
        <is>
          <t>Hot &amp; Cold Water Dispenser</t>
        </is>
      </c>
      <c r="E75" t="n">
        <v>1</v>
      </c>
      <c r="F75" s="8" t="n">
        <v>8500</v>
      </c>
      <c r="G75" s="8">
        <f>IF($A75="",0,ROUND($E75*$F75,2))</f>
        <v/>
      </c>
    </row>
    <row r="76">
      <c r="A76" t="inlineStr">
        <is>
          <t>INV-2026-0038</t>
        </is>
      </c>
      <c r="B76" s="7" t="n">
        <v>46143</v>
      </c>
      <c r="C76" t="n">
        <v>2</v>
      </c>
      <c r="D76" t="inlineStr">
        <is>
          <t>1L Bottle Case (12 pc)</t>
        </is>
      </c>
      <c r="E76" t="n">
        <v>34</v>
      </c>
      <c r="F76" s="8" t="n">
        <v>240</v>
      </c>
      <c r="G76" s="8">
        <f>IF($A76="",0,ROUND($E76*$F76,2))</f>
        <v/>
      </c>
    </row>
    <row r="77">
      <c r="A77" t="inlineStr">
        <is>
          <t>INV-2026-0039</t>
        </is>
      </c>
      <c r="B77" s="7" t="n">
        <v>46143</v>
      </c>
      <c r="C77" t="n">
        <v>1</v>
      </c>
      <c r="D77" t="inlineStr">
        <is>
          <t>500ml Bottle Case (24 pc)</t>
        </is>
      </c>
      <c r="E77" t="n">
        <v>5</v>
      </c>
      <c r="F77" s="8" t="n">
        <v>220</v>
      </c>
      <c r="G77" s="8">
        <f>IF($A77="",0,ROUND($E77*$F77,2))</f>
        <v/>
      </c>
    </row>
    <row r="78">
      <c r="A78" t="inlineStr">
        <is>
          <t>INV-2026-0040</t>
        </is>
      </c>
      <c r="B78" s="7" t="n">
        <v>46144</v>
      </c>
      <c r="C78" t="n">
        <v>1</v>
      </c>
      <c r="D78" t="inlineStr">
        <is>
          <t>1L Bottle Case (12 pc)</t>
        </is>
      </c>
      <c r="E78" t="n">
        <v>8</v>
      </c>
      <c r="F78" s="8" t="n">
        <v>240</v>
      </c>
      <c r="G78" s="8">
        <f>IF($A78="",0,ROUND($E78*$F78,2))</f>
        <v/>
      </c>
    </row>
    <row r="79">
      <c r="A79" t="inlineStr">
        <is>
          <t>INV-2026-0040</t>
        </is>
      </c>
      <c r="B79" s="7" t="n">
        <v>46144</v>
      </c>
      <c r="C79" t="n">
        <v>2</v>
      </c>
      <c r="D79" t="inlineStr">
        <is>
          <t>Hot &amp; Cold Water Dispenser</t>
        </is>
      </c>
      <c r="E79" t="n">
        <v>2</v>
      </c>
      <c r="F79" s="8" t="n">
        <v>8500</v>
      </c>
      <c r="G79" s="8">
        <f>IF($A79="",0,ROUND($E79*$F79,2))</f>
        <v/>
      </c>
    </row>
    <row r="80">
      <c r="A80" t="inlineStr">
        <is>
          <t>INV-2026-0040</t>
        </is>
      </c>
      <c r="B80" s="7" t="n">
        <v>46144</v>
      </c>
      <c r="C80" t="n">
        <v>3</v>
      </c>
      <c r="D80" t="inlineStr">
        <is>
          <t>5L Water Jar</t>
        </is>
      </c>
      <c r="E80" t="n">
        <v>40</v>
      </c>
      <c r="F80" s="8" t="n">
        <v>45</v>
      </c>
      <c r="G80" s="8">
        <f>IF($A80="",0,ROUND($E80*$F80,2))</f>
        <v/>
      </c>
    </row>
    <row r="81">
      <c r="A81" t="inlineStr">
        <is>
          <t>INV-2026-0041</t>
        </is>
      </c>
      <c r="B81" s="7" t="n">
        <v>46145</v>
      </c>
      <c r="C81" t="n">
        <v>1</v>
      </c>
      <c r="D81" t="inlineStr">
        <is>
          <t>1L Bottle Case (12 pc)</t>
        </is>
      </c>
      <c r="E81" t="n">
        <v>16</v>
      </c>
      <c r="F81" s="8" t="n">
        <v>240</v>
      </c>
      <c r="G81" s="8">
        <f>IF($A81="",0,ROUND($E81*$F81,2))</f>
        <v/>
      </c>
    </row>
    <row r="82">
      <c r="A82" t="inlineStr">
        <is>
          <t>INV-2026-0041</t>
        </is>
      </c>
      <c r="B82" s="7" t="n">
        <v>46145</v>
      </c>
      <c r="C82" t="n">
        <v>2</v>
      </c>
      <c r="D82" t="inlineStr">
        <is>
          <t>5L Water Jar</t>
        </is>
      </c>
      <c r="E82" t="n">
        <v>34</v>
      </c>
      <c r="F82" s="8" t="n">
        <v>45</v>
      </c>
      <c r="G82" s="8">
        <f>IF($A82="",0,ROUND($E82*$F82,2))</f>
        <v/>
      </c>
    </row>
    <row r="83">
      <c r="A83" t="inlineStr">
        <is>
          <t>INV-2026-0042</t>
        </is>
      </c>
      <c r="B83" s="7" t="n">
        <v>46146</v>
      </c>
      <c r="C83" t="n">
        <v>1</v>
      </c>
      <c r="D83" t="inlineStr">
        <is>
          <t>5L Water Jar</t>
        </is>
      </c>
      <c r="E83" t="n">
        <v>44</v>
      </c>
      <c r="F83" s="8" t="n">
        <v>45</v>
      </c>
      <c r="G83" s="8">
        <f>IF($A83="",0,ROUND($E83*$F83,2))</f>
        <v/>
      </c>
    </row>
    <row r="84">
      <c r="A84" t="inlineStr">
        <is>
          <t>INV-2026-0042</t>
        </is>
      </c>
      <c r="B84" s="7" t="n">
        <v>46146</v>
      </c>
      <c r="C84" t="n">
        <v>2</v>
      </c>
      <c r="D84" t="inlineStr">
        <is>
          <t>1L Bottle Case (12 pc)</t>
        </is>
      </c>
      <c r="E84" t="n">
        <v>31</v>
      </c>
      <c r="F84" s="8" t="n">
        <v>240</v>
      </c>
      <c r="G84" s="8">
        <f>IF($A84="",0,ROUND($E84*$F84,2))</f>
        <v/>
      </c>
    </row>
    <row r="85">
      <c r="A85" t="inlineStr">
        <is>
          <t>INV-2026-0043</t>
        </is>
      </c>
      <c r="B85" s="7" t="n">
        <v>46147</v>
      </c>
      <c r="C85" t="n">
        <v>1</v>
      </c>
      <c r="D85" t="inlineStr">
        <is>
          <t>20L Water Jar</t>
        </is>
      </c>
      <c r="E85" t="n">
        <v>70</v>
      </c>
      <c r="F85" s="8" t="n">
        <v>60</v>
      </c>
      <c r="G85" s="8">
        <f>IF($A85="",0,ROUND($E85*$F85,2))</f>
        <v/>
      </c>
    </row>
    <row r="86">
      <c r="A86" t="inlineStr">
        <is>
          <t>INV-2026-0043</t>
        </is>
      </c>
      <c r="B86" s="7" t="n">
        <v>46147</v>
      </c>
      <c r="C86" t="n">
        <v>2</v>
      </c>
      <c r="D86" t="inlineStr">
        <is>
          <t>1L Bottle Case (12 pc)</t>
        </is>
      </c>
      <c r="E86" t="n">
        <v>13</v>
      </c>
      <c r="F86" s="8" t="n">
        <v>240</v>
      </c>
      <c r="G86" s="8">
        <f>IF($A86="",0,ROUND($E86*$F86,2))</f>
        <v/>
      </c>
    </row>
    <row r="87">
      <c r="A87" t="inlineStr">
        <is>
          <t>INV-2026-0044</t>
        </is>
      </c>
      <c r="B87" s="7" t="n">
        <v>46148</v>
      </c>
      <c r="C87" t="n">
        <v>1</v>
      </c>
      <c r="D87" t="inlineStr">
        <is>
          <t>500ml Bottle Case (24 pc)</t>
        </is>
      </c>
      <c r="E87" t="n">
        <v>40</v>
      </c>
      <c r="F87" s="8" t="n">
        <v>220</v>
      </c>
      <c r="G87" s="8">
        <f>IF($A87="",0,ROUND($E87*$F87,2))</f>
        <v/>
      </c>
    </row>
    <row r="88">
      <c r="A88" t="inlineStr">
        <is>
          <t>INV-2026-0045</t>
        </is>
      </c>
      <c r="B88" s="7" t="n">
        <v>46149</v>
      </c>
      <c r="C88" t="n">
        <v>1</v>
      </c>
      <c r="D88" t="inlineStr">
        <is>
          <t>20L Water Jar</t>
        </is>
      </c>
      <c r="E88" t="n">
        <v>76</v>
      </c>
      <c r="F88" s="8" t="n">
        <v>60</v>
      </c>
      <c r="G88" s="8">
        <f>IF($A88="",0,ROUND($E88*$F88,2))</f>
        <v/>
      </c>
    </row>
    <row r="89">
      <c r="A89" t="inlineStr">
        <is>
          <t>INV-2026-0045</t>
        </is>
      </c>
      <c r="B89" s="7" t="n">
        <v>46149</v>
      </c>
      <c r="C89" t="n">
        <v>2</v>
      </c>
      <c r="D89" t="inlineStr">
        <is>
          <t>20L Water Jar</t>
        </is>
      </c>
      <c r="E89" t="n">
        <v>28</v>
      </c>
      <c r="F89" s="8" t="n">
        <v>60</v>
      </c>
      <c r="G89" s="8">
        <f>IF($A89="",0,ROUND($E89*$F89,2))</f>
        <v/>
      </c>
    </row>
    <row r="90">
      <c r="A90" t="inlineStr">
        <is>
          <t>INV-2026-0045</t>
        </is>
      </c>
      <c r="B90" s="7" t="n">
        <v>46149</v>
      </c>
      <c r="C90" t="n">
        <v>3</v>
      </c>
      <c r="D90" t="inlineStr">
        <is>
          <t>5L Water Jar</t>
        </is>
      </c>
      <c r="E90" t="n">
        <v>54</v>
      </c>
      <c r="F90" s="8" t="n">
        <v>45</v>
      </c>
      <c r="G90" s="8">
        <f>IF($A90="",0,ROUND($E90*$F90,2))</f>
        <v/>
      </c>
    </row>
    <row r="91">
      <c r="A91" t="inlineStr">
        <is>
          <t>INV-2026-0046</t>
        </is>
      </c>
      <c r="B91" s="7" t="n">
        <v>46150</v>
      </c>
      <c r="C91" t="n">
        <v>1</v>
      </c>
      <c r="D91" t="inlineStr">
        <is>
          <t>1L Bottle Case (12 pc)</t>
        </is>
      </c>
      <c r="E91" t="n">
        <v>16</v>
      </c>
      <c r="F91" s="8" t="n">
        <v>240</v>
      </c>
      <c r="G91" s="8">
        <f>IF($A91="",0,ROUND($E91*$F91,2))</f>
        <v/>
      </c>
    </row>
    <row r="92">
      <c r="A92" t="inlineStr">
        <is>
          <t>INV-2026-0046</t>
        </is>
      </c>
      <c r="B92" s="7" t="n">
        <v>46150</v>
      </c>
      <c r="C92" t="n">
        <v>2</v>
      </c>
      <c r="D92" t="inlineStr">
        <is>
          <t>20L Water Jar</t>
        </is>
      </c>
      <c r="E92" t="n">
        <v>68</v>
      </c>
      <c r="F92" s="8" t="n">
        <v>60</v>
      </c>
      <c r="G92" s="8">
        <f>IF($A92="",0,ROUND($E92*$F92,2))</f>
        <v/>
      </c>
    </row>
    <row r="93">
      <c r="A93" t="inlineStr">
        <is>
          <t>INV-2026-0047</t>
        </is>
      </c>
      <c r="B93" s="7" t="n">
        <v>46151</v>
      </c>
      <c r="C93" t="n">
        <v>1</v>
      </c>
      <c r="D93" t="inlineStr">
        <is>
          <t>1L Bottle Case (12 pc)</t>
        </is>
      </c>
      <c r="E93" t="n">
        <v>33</v>
      </c>
      <c r="F93" s="8" t="n">
        <v>240</v>
      </c>
      <c r="G93" s="8">
        <f>IF($A93="",0,ROUND($E93*$F93,2))</f>
        <v/>
      </c>
    </row>
    <row r="94">
      <c r="A94" t="inlineStr">
        <is>
          <t>INV-2026-0047</t>
        </is>
      </c>
      <c r="B94" s="7" t="n">
        <v>46151</v>
      </c>
      <c r="C94" t="n">
        <v>2</v>
      </c>
      <c r="D94" t="inlineStr">
        <is>
          <t>Paper Cups Pack (100 pc)</t>
        </is>
      </c>
      <c r="E94" t="n">
        <v>8</v>
      </c>
      <c r="F94" s="8" t="n">
        <v>90</v>
      </c>
      <c r="G94" s="8">
        <f>IF($A94="",0,ROUND($E94*$F94,2))</f>
        <v/>
      </c>
    </row>
    <row r="95">
      <c r="A95" t="inlineStr">
        <is>
          <t>INV-2026-0048</t>
        </is>
      </c>
      <c r="B95" s="7" t="n">
        <v>46152</v>
      </c>
      <c r="C95" t="n">
        <v>1</v>
      </c>
      <c r="D95" t="inlineStr">
        <is>
          <t>1L Bottle Case (12 pc)</t>
        </is>
      </c>
      <c r="E95" t="n">
        <v>30</v>
      </c>
      <c r="F95" s="8" t="n">
        <v>240</v>
      </c>
      <c r="G95" s="8">
        <f>IF($A95="",0,ROUND($E95*$F95,2))</f>
        <v/>
      </c>
    </row>
    <row r="96">
      <c r="A96" t="inlineStr">
        <is>
          <t>INV-2026-0049</t>
        </is>
      </c>
      <c r="B96" s="7" t="n">
        <v>46155</v>
      </c>
      <c r="C96" t="n">
        <v>1</v>
      </c>
      <c r="D96" t="inlineStr">
        <is>
          <t>5L Water Jar</t>
        </is>
      </c>
      <c r="E96" t="n">
        <v>59</v>
      </c>
      <c r="F96" s="8" t="n">
        <v>45</v>
      </c>
      <c r="G96" s="8">
        <f>IF($A96="",0,ROUND($E96*$F96,2))</f>
        <v/>
      </c>
    </row>
    <row r="97">
      <c r="A97" t="inlineStr">
        <is>
          <t>INV-2026-0050</t>
        </is>
      </c>
      <c r="B97" s="7" t="n">
        <v>46155</v>
      </c>
      <c r="C97" t="n">
        <v>1</v>
      </c>
      <c r="D97" t="inlineStr">
        <is>
          <t>20L Water Jar</t>
        </is>
      </c>
      <c r="E97" t="n">
        <v>54</v>
      </c>
      <c r="F97" s="8" t="n">
        <v>60</v>
      </c>
      <c r="G97" s="8">
        <f>IF($A97="",0,ROUND($E97*$F97,2))</f>
        <v/>
      </c>
    </row>
    <row r="98">
      <c r="A98" t="inlineStr">
        <is>
          <t>INV-2026-0051</t>
        </is>
      </c>
      <c r="B98" s="7" t="n">
        <v>46156</v>
      </c>
      <c r="C98" t="n">
        <v>1</v>
      </c>
      <c r="D98" t="inlineStr">
        <is>
          <t>Paper Cups Pack (100 pc)</t>
        </is>
      </c>
      <c r="E98" t="n">
        <v>25</v>
      </c>
      <c r="F98" s="8" t="n">
        <v>90</v>
      </c>
      <c r="G98" s="8">
        <f>IF($A98="",0,ROUND($E98*$F98,2))</f>
        <v/>
      </c>
    </row>
    <row r="99">
      <c r="A99" t="inlineStr">
        <is>
          <t>INV-2026-0051</t>
        </is>
      </c>
      <c r="B99" s="7" t="n">
        <v>46156</v>
      </c>
      <c r="C99" t="n">
        <v>2</v>
      </c>
      <c r="D99" t="inlineStr">
        <is>
          <t>500ml Bottle Case (24 pc)</t>
        </is>
      </c>
      <c r="E99" t="n">
        <v>31</v>
      </c>
      <c r="F99" s="8" t="n">
        <v>220</v>
      </c>
      <c r="G99" s="8">
        <f>IF($A99="",0,ROUND($E99*$F99,2))</f>
        <v/>
      </c>
    </row>
    <row r="100">
      <c r="A100" t="inlineStr">
        <is>
          <t>INV-2026-0051</t>
        </is>
      </c>
      <c r="B100" s="7" t="n">
        <v>46156</v>
      </c>
      <c r="C100" t="n">
        <v>3</v>
      </c>
      <c r="D100" t="inlineStr">
        <is>
          <t>1L Bottle Case (12 pc)</t>
        </is>
      </c>
      <c r="E100" t="n">
        <v>35</v>
      </c>
      <c r="F100" s="8" t="n">
        <v>240</v>
      </c>
      <c r="G100" s="8">
        <f>IF($A100="",0,ROUND($E100*$F100,2))</f>
        <v/>
      </c>
    </row>
    <row r="101">
      <c r="A101" t="inlineStr">
        <is>
          <t>INV-2026-0052</t>
        </is>
      </c>
      <c r="B101" s="7" t="n">
        <v>46157</v>
      </c>
      <c r="C101" t="n">
        <v>1</v>
      </c>
      <c r="D101" t="inlineStr">
        <is>
          <t>500ml Bottle Case (24 pc)</t>
        </is>
      </c>
      <c r="E101" t="n">
        <v>29</v>
      </c>
      <c r="F101" s="8" t="n">
        <v>220</v>
      </c>
      <c r="G101" s="8">
        <f>IF($A101="",0,ROUND($E101*$F101,2))</f>
        <v/>
      </c>
    </row>
    <row r="102">
      <c r="A102" t="inlineStr">
        <is>
          <t>INV-2026-0052</t>
        </is>
      </c>
      <c r="B102" s="7" t="n">
        <v>46157</v>
      </c>
      <c r="C102" t="n">
        <v>2</v>
      </c>
      <c r="D102" t="inlineStr">
        <is>
          <t>1L Bottle Case (12 pc)</t>
        </is>
      </c>
      <c r="E102" t="n">
        <v>36</v>
      </c>
      <c r="F102" s="8" t="n">
        <v>240</v>
      </c>
      <c r="G102" s="8">
        <f>IF($A102="",0,ROUND($E102*$F102,2))</f>
        <v/>
      </c>
    </row>
    <row r="103">
      <c r="A103" t="inlineStr">
        <is>
          <t>INV-2026-0053</t>
        </is>
      </c>
      <c r="B103" s="7" t="n">
        <v>46157</v>
      </c>
      <c r="C103" t="n">
        <v>1</v>
      </c>
      <c r="D103" t="inlineStr">
        <is>
          <t>20L Water Jar</t>
        </is>
      </c>
      <c r="E103" t="n">
        <v>77</v>
      </c>
      <c r="F103" s="8" t="n">
        <v>60</v>
      </c>
      <c r="G103" s="8">
        <f>IF($A103="",0,ROUND($E103*$F103,2))</f>
        <v/>
      </c>
    </row>
    <row r="104">
      <c r="A104" t="inlineStr">
        <is>
          <t>INV-2026-0054</t>
        </is>
      </c>
      <c r="B104" s="7" t="n">
        <v>46157</v>
      </c>
      <c r="C104" t="n">
        <v>1</v>
      </c>
      <c r="D104" t="inlineStr">
        <is>
          <t>20L Water Jar</t>
        </is>
      </c>
      <c r="E104" t="n">
        <v>39</v>
      </c>
      <c r="F104" s="8" t="n">
        <v>60</v>
      </c>
      <c r="G104" s="8">
        <f>IF($A104="",0,ROUND($E104*$F104,2))</f>
        <v/>
      </c>
    </row>
    <row r="105">
      <c r="A105" t="inlineStr">
        <is>
          <t>INV-2026-0054</t>
        </is>
      </c>
      <c r="B105" s="7" t="n">
        <v>46157</v>
      </c>
      <c r="C105" t="n">
        <v>2</v>
      </c>
      <c r="D105" t="inlineStr">
        <is>
          <t>1L Bottle Case (12 pc)</t>
        </is>
      </c>
      <c r="E105" t="n">
        <v>36</v>
      </c>
      <c r="F105" s="8" t="n">
        <v>240</v>
      </c>
      <c r="G105" s="8">
        <f>IF($A105="",0,ROUND($E105*$F105,2))</f>
        <v/>
      </c>
    </row>
    <row r="106">
      <c r="A106" t="inlineStr">
        <is>
          <t>INV-2026-0055</t>
        </is>
      </c>
      <c r="B106" s="7" t="n">
        <v>46158</v>
      </c>
      <c r="C106" t="n">
        <v>1</v>
      </c>
      <c r="D106" t="inlineStr">
        <is>
          <t>1L Bottle Case (12 pc)</t>
        </is>
      </c>
      <c r="E106" t="n">
        <v>3</v>
      </c>
      <c r="F106" s="8" t="n">
        <v>240</v>
      </c>
      <c r="G106" s="8">
        <f>IF($A106="",0,ROUND($E106*$F106,2))</f>
        <v/>
      </c>
    </row>
    <row r="107">
      <c r="A107" t="inlineStr">
        <is>
          <t>INV-2026-0055</t>
        </is>
      </c>
      <c r="B107" s="7" t="n">
        <v>46158</v>
      </c>
      <c r="C107" t="n">
        <v>2</v>
      </c>
      <c r="D107" t="inlineStr">
        <is>
          <t>20L Water Jar</t>
        </is>
      </c>
      <c r="E107" t="n">
        <v>35</v>
      </c>
      <c r="F107" s="8" t="n">
        <v>60</v>
      </c>
      <c r="G107" s="8">
        <f>IF($A107="",0,ROUND($E107*$F107,2))</f>
        <v/>
      </c>
    </row>
    <row r="108">
      <c r="A108" t="inlineStr">
        <is>
          <t>INV-2026-0056</t>
        </is>
      </c>
      <c r="B108" s="7" t="n">
        <v>46160</v>
      </c>
      <c r="C108" t="n">
        <v>1</v>
      </c>
      <c r="D108" t="inlineStr">
        <is>
          <t>500ml Bottle Case (24 pc)</t>
        </is>
      </c>
      <c r="E108" t="n">
        <v>24</v>
      </c>
      <c r="F108" s="8" t="n">
        <v>220</v>
      </c>
      <c r="G108" s="8">
        <f>IF($A108="",0,ROUND($E108*$F108,2))</f>
        <v/>
      </c>
    </row>
    <row r="109">
      <c r="A109" t="inlineStr">
        <is>
          <t>INV-2026-0057</t>
        </is>
      </c>
      <c r="B109" s="7" t="n">
        <v>46160</v>
      </c>
      <c r="C109" t="n">
        <v>1</v>
      </c>
      <c r="D109" t="inlineStr">
        <is>
          <t>1L Bottle Case (12 pc)</t>
        </is>
      </c>
      <c r="E109" t="n">
        <v>27</v>
      </c>
      <c r="F109" s="8" t="n">
        <v>240</v>
      </c>
      <c r="G109" s="8">
        <f>IF($A109="",0,ROUND($E109*$F109,2))</f>
        <v/>
      </c>
    </row>
    <row r="110">
      <c r="A110" t="inlineStr">
        <is>
          <t>INV-2026-0057</t>
        </is>
      </c>
      <c r="B110" s="7" t="n">
        <v>46160</v>
      </c>
      <c r="C110" t="n">
        <v>2</v>
      </c>
      <c r="D110" t="inlineStr">
        <is>
          <t>5L Water Jar</t>
        </is>
      </c>
      <c r="E110" t="n">
        <v>32</v>
      </c>
      <c r="F110" s="8" t="n">
        <v>45</v>
      </c>
      <c r="G110" s="8">
        <f>IF($A110="",0,ROUND($E110*$F110,2))</f>
        <v/>
      </c>
    </row>
    <row r="111">
      <c r="A111" t="inlineStr">
        <is>
          <t>INV-2026-0057</t>
        </is>
      </c>
      <c r="B111" s="7" t="n">
        <v>46160</v>
      </c>
      <c r="C111" t="n">
        <v>3</v>
      </c>
      <c r="D111" t="inlineStr">
        <is>
          <t>1L Bottle Case (12 pc)</t>
        </is>
      </c>
      <c r="E111" t="n">
        <v>26</v>
      </c>
      <c r="F111" s="8" t="n">
        <v>240</v>
      </c>
      <c r="G111" s="8">
        <f>IF($A111="",0,ROUND($E111*$F111,2))</f>
        <v/>
      </c>
    </row>
    <row r="112">
      <c r="A112" t="inlineStr">
        <is>
          <t>INV-2026-0058</t>
        </is>
      </c>
      <c r="B112" s="7" t="n">
        <v>46162</v>
      </c>
      <c r="C112" t="n">
        <v>1</v>
      </c>
      <c r="D112" t="inlineStr">
        <is>
          <t>500ml Bottle Case (24 pc)</t>
        </is>
      </c>
      <c r="E112" t="n">
        <v>38</v>
      </c>
      <c r="F112" s="8" t="n">
        <v>220</v>
      </c>
      <c r="G112" s="8">
        <f>IF($A112="",0,ROUND($E112*$F112,2))</f>
        <v/>
      </c>
    </row>
    <row r="113">
      <c r="A113" t="inlineStr">
        <is>
          <t>INV-2026-0058</t>
        </is>
      </c>
      <c r="B113" s="7" t="n">
        <v>46162</v>
      </c>
      <c r="C113" t="n">
        <v>2</v>
      </c>
      <c r="D113" t="inlineStr">
        <is>
          <t>1L Bottle Case (12 pc)</t>
        </is>
      </c>
      <c r="E113" t="n">
        <v>4</v>
      </c>
      <c r="F113" s="8" t="n">
        <v>240</v>
      </c>
      <c r="G113" s="8">
        <f>IF($A113="",0,ROUND($E113*$F113,2))</f>
        <v/>
      </c>
    </row>
    <row r="114">
      <c r="A114" t="inlineStr">
        <is>
          <t>INV-2026-0059</t>
        </is>
      </c>
      <c r="B114" s="7" t="n">
        <v>46163</v>
      </c>
      <c r="C114" t="n">
        <v>1</v>
      </c>
      <c r="D114" t="inlineStr">
        <is>
          <t>1L Bottle Case (12 pc)</t>
        </is>
      </c>
      <c r="E114" t="n">
        <v>29</v>
      </c>
      <c r="F114" s="8" t="n">
        <v>240</v>
      </c>
      <c r="G114" s="8">
        <f>IF($A114="",0,ROUND($E114*$F114,2))</f>
        <v/>
      </c>
    </row>
    <row r="115">
      <c r="A115" t="inlineStr">
        <is>
          <t>INV-2026-0060</t>
        </is>
      </c>
      <c r="B115" s="7" t="n">
        <v>46163</v>
      </c>
      <c r="C115" t="n">
        <v>1</v>
      </c>
      <c r="D115" t="inlineStr">
        <is>
          <t>20L Water Jar</t>
        </is>
      </c>
      <c r="E115" t="n">
        <v>53</v>
      </c>
      <c r="F115" s="8" t="n">
        <v>60</v>
      </c>
      <c r="G115" s="8">
        <f>IF($A115="",0,ROUND($E115*$F115,2))</f>
        <v/>
      </c>
    </row>
    <row r="116">
      <c r="A116" t="inlineStr">
        <is>
          <t>INV-2026-0061</t>
        </is>
      </c>
      <c r="B116" s="7" t="n">
        <v>46164</v>
      </c>
      <c r="C116" t="n">
        <v>1</v>
      </c>
      <c r="D116" t="inlineStr">
        <is>
          <t>1L Bottle Case (12 pc)</t>
        </is>
      </c>
      <c r="E116" t="n">
        <v>12</v>
      </c>
      <c r="F116" s="8" t="n">
        <v>240</v>
      </c>
      <c r="G116" s="8">
        <f>IF($A116="",0,ROUND($E116*$F116,2))</f>
        <v/>
      </c>
    </row>
    <row r="117">
      <c r="A117" t="inlineStr">
        <is>
          <t>INV-2026-0061</t>
        </is>
      </c>
      <c r="B117" s="7" t="n">
        <v>46164</v>
      </c>
      <c r="C117" t="n">
        <v>2</v>
      </c>
      <c r="D117" t="inlineStr">
        <is>
          <t>Paper Cups Pack (100 pc)</t>
        </is>
      </c>
      <c r="E117" t="n">
        <v>26</v>
      </c>
      <c r="F117" s="8" t="n">
        <v>90</v>
      </c>
      <c r="G117" s="8">
        <f>IF($A117="",0,ROUND($E117*$F117,2))</f>
        <v/>
      </c>
    </row>
    <row r="118">
      <c r="A118" t="inlineStr">
        <is>
          <t>INV-2026-0062</t>
        </is>
      </c>
      <c r="B118" s="7" t="n">
        <v>46165</v>
      </c>
      <c r="C118" t="n">
        <v>1</v>
      </c>
      <c r="D118" t="inlineStr">
        <is>
          <t>1L Bottle Case (12 pc)</t>
        </is>
      </c>
      <c r="E118" t="n">
        <v>37</v>
      </c>
      <c r="F118" s="8" t="n">
        <v>240</v>
      </c>
      <c r="G118" s="8">
        <f>IF($A118="",0,ROUND($E118*$F118,2))</f>
        <v/>
      </c>
    </row>
    <row r="119">
      <c r="A119" t="inlineStr">
        <is>
          <t>INV-2026-0062</t>
        </is>
      </c>
      <c r="B119" s="7" t="n">
        <v>46165</v>
      </c>
      <c r="C119" t="n">
        <v>2</v>
      </c>
      <c r="D119" t="inlineStr">
        <is>
          <t>Hot &amp; Cold Water Dispenser</t>
        </is>
      </c>
      <c r="E119" t="n">
        <v>2</v>
      </c>
      <c r="F119" s="8" t="n">
        <v>8500</v>
      </c>
      <c r="G119" s="8">
        <f>IF($A119="",0,ROUND($E119*$F119,2))</f>
        <v/>
      </c>
    </row>
    <row r="120">
      <c r="A120" t="inlineStr">
        <is>
          <t>INV-2026-0063</t>
        </is>
      </c>
      <c r="B120" s="7" t="n">
        <v>46166</v>
      </c>
      <c r="C120" t="n">
        <v>1</v>
      </c>
      <c r="D120" t="inlineStr">
        <is>
          <t>5L Water Jar</t>
        </is>
      </c>
      <c r="E120" t="n">
        <v>59</v>
      </c>
      <c r="F120" s="8" t="n">
        <v>45</v>
      </c>
      <c r="G120" s="8">
        <f>IF($A120="",0,ROUND($E120*$F120,2))</f>
        <v/>
      </c>
    </row>
    <row r="121">
      <c r="A121" t="inlineStr">
        <is>
          <t>INV-2026-0063</t>
        </is>
      </c>
      <c r="B121" s="7" t="n">
        <v>46166</v>
      </c>
      <c r="C121" t="n">
        <v>2</v>
      </c>
      <c r="D121" t="inlineStr">
        <is>
          <t>Paper Cups Pack (100 pc)</t>
        </is>
      </c>
      <c r="E121" t="n">
        <v>24</v>
      </c>
      <c r="F121" s="8" t="n">
        <v>90</v>
      </c>
      <c r="G121" s="8">
        <f>IF($A121="",0,ROUND($E121*$F121,2))</f>
        <v/>
      </c>
    </row>
    <row r="122">
      <c r="A122" t="inlineStr">
        <is>
          <t>INV-2026-0064</t>
        </is>
      </c>
      <c r="B122" s="7" t="n">
        <v>46168</v>
      </c>
      <c r="C122" t="n">
        <v>1</v>
      </c>
      <c r="D122" t="inlineStr">
        <is>
          <t>500ml Bottle Case (24 pc)</t>
        </is>
      </c>
      <c r="E122" t="n">
        <v>22</v>
      </c>
      <c r="F122" s="8" t="n">
        <v>220</v>
      </c>
      <c r="G122" s="8">
        <f>IF($A122="",0,ROUND($E122*$F122,2))</f>
        <v/>
      </c>
    </row>
    <row r="123">
      <c r="A123" t="inlineStr">
        <is>
          <t>INV-2026-0064</t>
        </is>
      </c>
      <c r="B123" s="7" t="n">
        <v>46168</v>
      </c>
      <c r="C123" t="n">
        <v>2</v>
      </c>
      <c r="D123" t="inlineStr">
        <is>
          <t>20L Water Jar</t>
        </is>
      </c>
      <c r="E123" t="n">
        <v>64</v>
      </c>
      <c r="F123" s="8" t="n">
        <v>60</v>
      </c>
      <c r="G123" s="8">
        <f>IF($A123="",0,ROUND($E123*$F123,2))</f>
        <v/>
      </c>
    </row>
    <row r="124">
      <c r="A124" t="inlineStr">
        <is>
          <t>INV-2026-0065</t>
        </is>
      </c>
      <c r="B124" s="7" t="n">
        <v>46169</v>
      </c>
      <c r="C124" t="n">
        <v>1</v>
      </c>
      <c r="D124" t="inlineStr">
        <is>
          <t>500ml Bottle Case (24 pc)</t>
        </is>
      </c>
      <c r="E124" t="n">
        <v>22</v>
      </c>
      <c r="F124" s="8" t="n">
        <v>220</v>
      </c>
      <c r="G124" s="8">
        <f>IF($A124="",0,ROUND($E124*$F124,2))</f>
        <v/>
      </c>
    </row>
    <row r="125">
      <c r="A125" t="inlineStr">
        <is>
          <t>INV-2026-0065</t>
        </is>
      </c>
      <c r="B125" s="7" t="n">
        <v>46169</v>
      </c>
      <c r="C125" t="n">
        <v>2</v>
      </c>
      <c r="D125" t="inlineStr">
        <is>
          <t>1L Bottle Case (12 pc)</t>
        </is>
      </c>
      <c r="E125" t="n">
        <v>29</v>
      </c>
      <c r="F125" s="8" t="n">
        <v>240</v>
      </c>
      <c r="G125" s="8">
        <f>IF($A125="",0,ROUND($E125*$F125,2))</f>
        <v/>
      </c>
    </row>
    <row r="126">
      <c r="A126" t="inlineStr">
        <is>
          <t>INV-2026-0066</t>
        </is>
      </c>
      <c r="B126" s="7" t="n">
        <v>46170</v>
      </c>
      <c r="C126" t="n">
        <v>1</v>
      </c>
      <c r="D126" t="inlineStr">
        <is>
          <t>1L Bottle Case (12 pc)</t>
        </is>
      </c>
      <c r="E126" t="n">
        <v>6</v>
      </c>
      <c r="F126" s="8" t="n">
        <v>240</v>
      </c>
      <c r="G126" s="8">
        <f>IF($A126="",0,ROUND($E126*$F126,2))</f>
        <v/>
      </c>
    </row>
    <row r="127">
      <c r="A127" t="inlineStr">
        <is>
          <t>INV-2026-0067</t>
        </is>
      </c>
      <c r="B127" s="7" t="n">
        <v>46170</v>
      </c>
      <c r="C127" t="n">
        <v>1</v>
      </c>
      <c r="D127" t="inlineStr">
        <is>
          <t>5L Water Jar</t>
        </is>
      </c>
      <c r="E127" t="n">
        <v>40</v>
      </c>
      <c r="F127" s="8" t="n">
        <v>45</v>
      </c>
      <c r="G127" s="8">
        <f>IF($A127="",0,ROUND($E127*$F127,2))</f>
        <v/>
      </c>
    </row>
    <row r="128">
      <c r="A128" t="inlineStr">
        <is>
          <t>INV-2026-0067</t>
        </is>
      </c>
      <c r="B128" s="7" t="n">
        <v>46170</v>
      </c>
      <c r="C128" t="n">
        <v>2</v>
      </c>
      <c r="D128" t="inlineStr">
        <is>
          <t>20L Water Jar</t>
        </is>
      </c>
      <c r="E128" t="n">
        <v>50</v>
      </c>
      <c r="F128" s="8" t="n">
        <v>60</v>
      </c>
      <c r="G128" s="8">
        <f>IF($A128="",0,ROUND($E128*$F128,2))</f>
        <v/>
      </c>
    </row>
    <row r="129">
      <c r="A129" t="inlineStr">
        <is>
          <t>INV-2026-0067</t>
        </is>
      </c>
      <c r="B129" s="7" t="n">
        <v>46170</v>
      </c>
      <c r="C129" t="n">
        <v>3</v>
      </c>
      <c r="D129" t="inlineStr">
        <is>
          <t>500ml Bottle Case (24 pc)</t>
        </is>
      </c>
      <c r="E129" t="n">
        <v>20</v>
      </c>
      <c r="F129" s="8" t="n">
        <v>220</v>
      </c>
      <c r="G129" s="8">
        <f>IF($A129="",0,ROUND($E129*$F129,2))</f>
        <v/>
      </c>
    </row>
    <row r="130">
      <c r="A130" t="inlineStr">
        <is>
          <t>INV-2026-0068</t>
        </is>
      </c>
      <c r="B130" s="7" t="n">
        <v>46171</v>
      </c>
      <c r="C130" t="n">
        <v>1</v>
      </c>
      <c r="D130" t="inlineStr">
        <is>
          <t>5L Water Jar</t>
        </is>
      </c>
      <c r="E130" t="n">
        <v>34</v>
      </c>
      <c r="F130" s="8" t="n">
        <v>45</v>
      </c>
      <c r="G130" s="8">
        <f>IF($A130="",0,ROUND($E130*$F130,2))</f>
        <v/>
      </c>
    </row>
    <row r="131">
      <c r="A131" t="inlineStr">
        <is>
          <t>INV-2026-0068</t>
        </is>
      </c>
      <c r="B131" s="7" t="n">
        <v>46171</v>
      </c>
      <c r="C131" t="n">
        <v>2</v>
      </c>
      <c r="D131" t="inlineStr">
        <is>
          <t>20L Water Jar</t>
        </is>
      </c>
      <c r="E131" t="n">
        <v>71</v>
      </c>
      <c r="F131" s="8" t="n">
        <v>60</v>
      </c>
      <c r="G131" s="8">
        <f>IF($A131="",0,ROUND($E131*$F131,2))</f>
        <v/>
      </c>
    </row>
    <row r="132">
      <c r="A132" t="inlineStr">
        <is>
          <t>INV-2026-0068</t>
        </is>
      </c>
      <c r="B132" s="7" t="n">
        <v>46171</v>
      </c>
      <c r="C132" t="n">
        <v>3</v>
      </c>
      <c r="D132" t="inlineStr">
        <is>
          <t>Paper Cups Pack (100 pc)</t>
        </is>
      </c>
      <c r="E132" t="n">
        <v>10</v>
      </c>
      <c r="F132" s="8" t="n">
        <v>90</v>
      </c>
      <c r="G132" s="8">
        <f>IF($A132="",0,ROUND($E132*$F132,2))</f>
        <v/>
      </c>
    </row>
    <row r="133">
      <c r="A133" t="inlineStr">
        <is>
          <t>INV-2026-0069</t>
        </is>
      </c>
      <c r="B133" s="7" t="n">
        <v>46172</v>
      </c>
      <c r="C133" t="n">
        <v>1</v>
      </c>
      <c r="D133" t="inlineStr">
        <is>
          <t>20L Water Jar</t>
        </is>
      </c>
      <c r="E133" t="n">
        <v>75</v>
      </c>
      <c r="F133" s="8" t="n">
        <v>60</v>
      </c>
      <c r="G133" s="8">
        <f>IF($A133="",0,ROUND($E133*$F133,2))</f>
        <v/>
      </c>
    </row>
    <row r="134">
      <c r="A134" t="inlineStr">
        <is>
          <t>INV-2026-0069</t>
        </is>
      </c>
      <c r="B134" s="7" t="n">
        <v>46172</v>
      </c>
      <c r="C134" t="n">
        <v>2</v>
      </c>
      <c r="D134" t="inlineStr">
        <is>
          <t>20L Water Jar</t>
        </is>
      </c>
      <c r="E134" t="n">
        <v>74</v>
      </c>
      <c r="F134" s="8" t="n">
        <v>60</v>
      </c>
      <c r="G134" s="8">
        <f>IF($A134="",0,ROUND($E134*$F134,2))</f>
        <v/>
      </c>
    </row>
    <row r="135">
      <c r="A135" t="inlineStr">
        <is>
          <t>INV-2026-0070</t>
        </is>
      </c>
      <c r="B135" s="7" t="n">
        <v>46172</v>
      </c>
      <c r="C135" t="n">
        <v>1</v>
      </c>
      <c r="D135" t="inlineStr">
        <is>
          <t>20L Water Jar</t>
        </is>
      </c>
      <c r="E135" t="n">
        <v>53</v>
      </c>
      <c r="F135" s="8" t="n">
        <v>60</v>
      </c>
      <c r="G135" s="8">
        <f>IF($A135="",0,ROUND($E135*$F135,2))</f>
        <v/>
      </c>
    </row>
    <row r="136">
      <c r="A136" t="inlineStr">
        <is>
          <t>INV-2026-0071</t>
        </is>
      </c>
      <c r="B136" s="7" t="n">
        <v>46173</v>
      </c>
      <c r="C136" t="n">
        <v>1</v>
      </c>
      <c r="D136" t="inlineStr">
        <is>
          <t>5L Water Jar</t>
        </is>
      </c>
      <c r="E136" t="n">
        <v>14</v>
      </c>
      <c r="F136" s="8" t="n">
        <v>45</v>
      </c>
      <c r="G136" s="8">
        <f>IF($A136="",0,ROUND($E136*$F136,2))</f>
        <v/>
      </c>
    </row>
    <row r="137">
      <c r="A137" t="inlineStr">
        <is>
          <t>INV-2026-0072</t>
        </is>
      </c>
      <c r="B137" s="7" t="n">
        <v>46175</v>
      </c>
      <c r="C137" t="n">
        <v>1</v>
      </c>
      <c r="D137" t="inlineStr">
        <is>
          <t>1L Bottle Case (12 pc)</t>
        </is>
      </c>
      <c r="E137" t="n">
        <v>38</v>
      </c>
      <c r="F137" s="8" t="n">
        <v>240</v>
      </c>
      <c r="G137" s="8">
        <f>IF($A137="",0,ROUND($E137*$F137,2))</f>
        <v/>
      </c>
    </row>
    <row r="138">
      <c r="A138" t="inlineStr">
        <is>
          <t>INV-2026-0072</t>
        </is>
      </c>
      <c r="B138" s="7" t="n">
        <v>46175</v>
      </c>
      <c r="C138" t="n">
        <v>2</v>
      </c>
      <c r="D138" t="inlineStr">
        <is>
          <t>Paper Cups Pack (100 pc)</t>
        </is>
      </c>
      <c r="E138" t="n">
        <v>29</v>
      </c>
      <c r="F138" s="8" t="n">
        <v>90</v>
      </c>
      <c r="G138" s="8">
        <f>IF($A138="",0,ROUND($E138*$F138,2))</f>
        <v/>
      </c>
    </row>
    <row r="139">
      <c r="A139" t="inlineStr">
        <is>
          <t>INV-2026-0072</t>
        </is>
      </c>
      <c r="B139" s="7" t="n">
        <v>46175</v>
      </c>
      <c r="C139" t="n">
        <v>3</v>
      </c>
      <c r="D139" t="inlineStr">
        <is>
          <t>20L Water Jar</t>
        </is>
      </c>
      <c r="E139" t="n">
        <v>76</v>
      </c>
      <c r="F139" s="8" t="n">
        <v>60</v>
      </c>
      <c r="G139" s="8">
        <f>IF($A139="",0,ROUND($E139*$F139,2))</f>
        <v/>
      </c>
    </row>
    <row r="140">
      <c r="A140" t="inlineStr">
        <is>
          <t>INV-2026-0073</t>
        </is>
      </c>
      <c r="B140" s="7" t="n">
        <v>46176</v>
      </c>
      <c r="C140" t="n">
        <v>1</v>
      </c>
      <c r="D140" t="inlineStr">
        <is>
          <t>1L Bottle Case (12 pc)</t>
        </is>
      </c>
      <c r="E140" t="n">
        <v>22</v>
      </c>
      <c r="F140" s="8" t="n">
        <v>240</v>
      </c>
      <c r="G140" s="8">
        <f>IF($A140="",0,ROUND($E140*$F140,2))</f>
        <v/>
      </c>
    </row>
    <row r="141">
      <c r="A141" t="inlineStr">
        <is>
          <t>INV-2026-0074</t>
        </is>
      </c>
      <c r="B141" s="7" t="n">
        <v>46177</v>
      </c>
      <c r="C141" t="n">
        <v>1</v>
      </c>
      <c r="D141" t="inlineStr">
        <is>
          <t>5L Water Jar</t>
        </is>
      </c>
      <c r="E141" t="n">
        <v>51</v>
      </c>
      <c r="F141" s="8" t="n">
        <v>45</v>
      </c>
      <c r="G141" s="8">
        <f>IF($A141="",0,ROUND($E141*$F141,2))</f>
        <v/>
      </c>
    </row>
    <row r="142">
      <c r="A142" t="inlineStr">
        <is>
          <t>INV-2026-0075</t>
        </is>
      </c>
      <c r="B142" s="7" t="n">
        <v>46179</v>
      </c>
      <c r="C142" t="n">
        <v>1</v>
      </c>
      <c r="D142" t="inlineStr">
        <is>
          <t>1L Bottle Case (12 pc)</t>
        </is>
      </c>
      <c r="E142" t="n">
        <v>29</v>
      </c>
      <c r="F142" s="8" t="n">
        <v>240</v>
      </c>
      <c r="G142" s="8">
        <f>IF($A142="",0,ROUND($E142*$F142,2))</f>
        <v/>
      </c>
    </row>
    <row r="143">
      <c r="A143" t="inlineStr">
        <is>
          <t>INV-2026-0076</t>
        </is>
      </c>
      <c r="B143" s="7" t="n">
        <v>46180</v>
      </c>
      <c r="C143" t="n">
        <v>1</v>
      </c>
      <c r="D143" t="inlineStr">
        <is>
          <t>1L Bottle Case (12 pc)</t>
        </is>
      </c>
      <c r="E143" t="n">
        <v>40</v>
      </c>
      <c r="F143" s="8" t="n">
        <v>240</v>
      </c>
      <c r="G143" s="8">
        <f>IF($A143="",0,ROUND($E143*$F143,2))</f>
        <v/>
      </c>
    </row>
    <row r="144">
      <c r="A144" t="inlineStr">
        <is>
          <t>INV-2026-0077</t>
        </is>
      </c>
      <c r="B144" s="7" t="n">
        <v>46181</v>
      </c>
      <c r="C144" t="n">
        <v>1</v>
      </c>
      <c r="D144" t="inlineStr">
        <is>
          <t>1L Bottle Case (12 pc)</t>
        </is>
      </c>
      <c r="E144" t="n">
        <v>16</v>
      </c>
      <c r="F144" s="8" t="n">
        <v>240</v>
      </c>
      <c r="G144" s="8">
        <f>IF($A144="",0,ROUND($E144*$F144,2))</f>
        <v/>
      </c>
    </row>
    <row r="145">
      <c r="A145" t="inlineStr">
        <is>
          <t>INV-2026-0078</t>
        </is>
      </c>
      <c r="B145" s="7" t="n">
        <v>46181</v>
      </c>
      <c r="C145" t="n">
        <v>1</v>
      </c>
      <c r="D145" t="inlineStr">
        <is>
          <t>500ml Bottle Case (24 pc)</t>
        </is>
      </c>
      <c r="E145" t="n">
        <v>21</v>
      </c>
      <c r="F145" s="8" t="n">
        <v>220</v>
      </c>
      <c r="G145" s="8">
        <f>IF($A145="",0,ROUND($E145*$F145,2))</f>
        <v/>
      </c>
    </row>
    <row r="146">
      <c r="A146" t="inlineStr">
        <is>
          <t>INV-2026-0079</t>
        </is>
      </c>
      <c r="B146" s="7" t="n">
        <v>46182</v>
      </c>
      <c r="C146" t="n">
        <v>1</v>
      </c>
      <c r="D146" t="inlineStr">
        <is>
          <t>500ml Bottle Case (24 pc)</t>
        </is>
      </c>
      <c r="E146" t="n">
        <v>26</v>
      </c>
      <c r="F146" s="8" t="n">
        <v>220</v>
      </c>
      <c r="G146" s="8">
        <f>IF($A146="",0,ROUND($E146*$F146,2))</f>
        <v/>
      </c>
    </row>
    <row r="147">
      <c r="A147" t="inlineStr">
        <is>
          <t>INV-2026-0079</t>
        </is>
      </c>
      <c r="B147" s="7" t="n">
        <v>46182</v>
      </c>
      <c r="C147" t="n">
        <v>2</v>
      </c>
      <c r="D147" t="inlineStr">
        <is>
          <t>1L Bottle Case (12 pc)</t>
        </is>
      </c>
      <c r="E147" t="n">
        <v>28</v>
      </c>
      <c r="F147" s="8" t="n">
        <v>240</v>
      </c>
      <c r="G147" s="8">
        <f>IF($A147="",0,ROUND($E147*$F147,2))</f>
        <v/>
      </c>
    </row>
    <row r="148">
      <c r="A148" t="inlineStr">
        <is>
          <t>INV-2026-0080</t>
        </is>
      </c>
      <c r="B148" s="7" t="n">
        <v>46182</v>
      </c>
      <c r="C148" t="n">
        <v>1</v>
      </c>
      <c r="D148" t="inlineStr">
        <is>
          <t>5L Water Jar</t>
        </is>
      </c>
      <c r="E148" t="n">
        <v>16</v>
      </c>
      <c r="F148" s="8" t="n">
        <v>45</v>
      </c>
      <c r="G148" s="8">
        <f>IF($A148="",0,ROUND($E148*$F148,2))</f>
        <v/>
      </c>
    </row>
    <row r="149">
      <c r="A149" t="inlineStr">
        <is>
          <t>INV-2026-0081</t>
        </is>
      </c>
      <c r="B149" s="7" t="n">
        <v>46184</v>
      </c>
      <c r="C149" t="n">
        <v>1</v>
      </c>
      <c r="D149" t="inlineStr">
        <is>
          <t>20L Water Jar</t>
        </is>
      </c>
      <c r="E149" t="n">
        <v>11</v>
      </c>
      <c r="F149" s="8" t="n">
        <v>60</v>
      </c>
      <c r="G149" s="8">
        <f>IF($A149="",0,ROUND($E149*$F149,2))</f>
        <v/>
      </c>
    </row>
    <row r="150">
      <c r="A150" t="inlineStr">
        <is>
          <t>INV-2026-0082</t>
        </is>
      </c>
      <c r="B150" s="7" t="n">
        <v>46185</v>
      </c>
      <c r="C150" t="n">
        <v>1</v>
      </c>
      <c r="D150" t="inlineStr">
        <is>
          <t>500ml Bottle Case (24 pc)</t>
        </is>
      </c>
      <c r="E150" t="n">
        <v>23</v>
      </c>
      <c r="F150" s="8" t="n">
        <v>220</v>
      </c>
      <c r="G150" s="8">
        <f>IF($A150="",0,ROUND($E150*$F150,2))</f>
        <v/>
      </c>
    </row>
    <row r="151">
      <c r="A151" t="inlineStr">
        <is>
          <t>INV-2026-0083</t>
        </is>
      </c>
      <c r="B151" s="7" t="n">
        <v>46188</v>
      </c>
      <c r="C151" t="n">
        <v>1</v>
      </c>
      <c r="D151" t="inlineStr">
        <is>
          <t>500ml Bottle Case (24 pc)</t>
        </is>
      </c>
      <c r="E151" t="n">
        <v>9</v>
      </c>
      <c r="F151" s="8" t="n">
        <v>220</v>
      </c>
      <c r="G151" s="8">
        <f>IF($A151="",0,ROUND($E151*$F151,2))</f>
        <v/>
      </c>
    </row>
    <row r="152">
      <c r="A152" t="inlineStr">
        <is>
          <t>INV-2026-0084</t>
        </is>
      </c>
      <c r="B152" s="7" t="n">
        <v>46188</v>
      </c>
      <c r="C152" t="n">
        <v>1</v>
      </c>
      <c r="D152" t="inlineStr">
        <is>
          <t>5L Water Jar</t>
        </is>
      </c>
      <c r="E152" t="n">
        <v>38</v>
      </c>
      <c r="F152" s="8" t="n">
        <v>45</v>
      </c>
      <c r="G152" s="8">
        <f>IF($A152="",0,ROUND($E152*$F152,2))</f>
        <v/>
      </c>
    </row>
    <row r="153">
      <c r="A153" t="inlineStr">
        <is>
          <t>INV-2026-0084</t>
        </is>
      </c>
      <c r="B153" s="7" t="n">
        <v>46188</v>
      </c>
      <c r="C153" t="n">
        <v>2</v>
      </c>
      <c r="D153" t="inlineStr">
        <is>
          <t>500ml Bottle Case (24 pc)</t>
        </is>
      </c>
      <c r="E153" t="n">
        <v>36</v>
      </c>
      <c r="F153" s="8" t="n">
        <v>220</v>
      </c>
      <c r="G153" s="8">
        <f>IF($A153="",0,ROUND($E153*$F153,2))</f>
        <v/>
      </c>
    </row>
    <row r="154">
      <c r="A154" t="inlineStr">
        <is>
          <t>INV-2026-0085</t>
        </is>
      </c>
      <c r="B154" s="7" t="n">
        <v>46188</v>
      </c>
      <c r="C154" t="n">
        <v>1</v>
      </c>
      <c r="D154" t="inlineStr">
        <is>
          <t>1L Bottle Case (12 pc)</t>
        </is>
      </c>
      <c r="E154" t="n">
        <v>20</v>
      </c>
      <c r="F154" s="8" t="n">
        <v>240</v>
      </c>
      <c r="G154" s="8">
        <f>IF($A154="",0,ROUND($E154*$F154,2))</f>
        <v/>
      </c>
    </row>
    <row r="155">
      <c r="A155" t="inlineStr">
        <is>
          <t>INV-2026-0085</t>
        </is>
      </c>
      <c r="B155" s="7" t="n">
        <v>46188</v>
      </c>
      <c r="C155" t="n">
        <v>2</v>
      </c>
      <c r="D155" t="inlineStr">
        <is>
          <t>5L Water Jar</t>
        </is>
      </c>
      <c r="E155" t="n">
        <v>38</v>
      </c>
      <c r="F155" s="8" t="n">
        <v>45</v>
      </c>
      <c r="G155" s="8">
        <f>IF($A155="",0,ROUND($E155*$F155,2))</f>
        <v/>
      </c>
    </row>
    <row r="156">
      <c r="A156" t="inlineStr">
        <is>
          <t>INV-2026-0085</t>
        </is>
      </c>
      <c r="B156" s="7" t="n">
        <v>46188</v>
      </c>
      <c r="C156" t="n">
        <v>3</v>
      </c>
      <c r="D156" t="inlineStr">
        <is>
          <t>20L Water Jar</t>
        </is>
      </c>
      <c r="E156" t="n">
        <v>66</v>
      </c>
      <c r="F156" s="8" t="n">
        <v>60</v>
      </c>
      <c r="G156" s="8">
        <f>IF($A156="",0,ROUND($E156*$F156,2))</f>
        <v/>
      </c>
    </row>
    <row r="157">
      <c r="A157" t="inlineStr">
        <is>
          <t>INV-2026-0086</t>
        </is>
      </c>
      <c r="B157" s="7" t="n">
        <v>46189</v>
      </c>
      <c r="C157" t="n">
        <v>1</v>
      </c>
      <c r="D157" t="inlineStr">
        <is>
          <t>1L Bottle Case (12 pc)</t>
        </is>
      </c>
      <c r="E157" t="n">
        <v>36</v>
      </c>
      <c r="F157" s="8" t="n">
        <v>240</v>
      </c>
      <c r="G157" s="8">
        <f>IF($A157="",0,ROUND($E157*$F157,2))</f>
        <v/>
      </c>
    </row>
    <row r="158">
      <c r="A158" t="inlineStr">
        <is>
          <t>INV-2026-0087</t>
        </is>
      </c>
      <c r="B158" s="7" t="n">
        <v>46190</v>
      </c>
      <c r="C158" t="n">
        <v>1</v>
      </c>
      <c r="D158" t="inlineStr">
        <is>
          <t>Hot &amp; Cold Water Dispenser</t>
        </is>
      </c>
      <c r="E158" t="n">
        <v>1</v>
      </c>
      <c r="F158" s="8" t="n">
        <v>8500</v>
      </c>
      <c r="G158" s="8">
        <f>IF($A158="",0,ROUND($E158*$F158,2))</f>
        <v/>
      </c>
    </row>
    <row r="159">
      <c r="A159" t="inlineStr">
        <is>
          <t>INV-2026-0088</t>
        </is>
      </c>
      <c r="B159" s="7" t="n">
        <v>46191</v>
      </c>
      <c r="C159" t="n">
        <v>1</v>
      </c>
      <c r="D159" t="inlineStr">
        <is>
          <t>500ml Bottle Case (24 pc)</t>
        </is>
      </c>
      <c r="E159" t="n">
        <v>27</v>
      </c>
      <c r="F159" s="8" t="n">
        <v>220</v>
      </c>
      <c r="G159" s="8">
        <f>IF($A159="",0,ROUND($E159*$F159,2))</f>
        <v/>
      </c>
    </row>
    <row r="160">
      <c r="A160" t="inlineStr">
        <is>
          <t>INV-2026-0089</t>
        </is>
      </c>
      <c r="B160" s="7" t="n">
        <v>46192</v>
      </c>
      <c r="C160" t="n">
        <v>1</v>
      </c>
      <c r="D160" t="inlineStr">
        <is>
          <t>1L Bottle Case (12 pc)</t>
        </is>
      </c>
      <c r="E160" t="n">
        <v>39</v>
      </c>
      <c r="F160" s="8" t="n">
        <v>240</v>
      </c>
      <c r="G160" s="8">
        <f>IF($A160="",0,ROUND($E160*$F160,2))</f>
        <v/>
      </c>
    </row>
    <row r="161">
      <c r="A161" t="inlineStr">
        <is>
          <t>INV-2026-0090</t>
        </is>
      </c>
      <c r="B161" s="7" t="n">
        <v>46193</v>
      </c>
      <c r="C161" t="n">
        <v>1</v>
      </c>
      <c r="D161" t="inlineStr">
        <is>
          <t>500ml Bottle Case (24 pc)</t>
        </is>
      </c>
      <c r="E161" t="n">
        <v>23</v>
      </c>
      <c r="F161" s="8" t="n">
        <v>220</v>
      </c>
      <c r="G161" s="8">
        <f>IF($A161="",0,ROUND($E161*$F161,2))</f>
        <v/>
      </c>
    </row>
    <row r="162">
      <c r="A162" t="inlineStr">
        <is>
          <t>INV-2026-0090</t>
        </is>
      </c>
      <c r="B162" s="7" t="n">
        <v>46193</v>
      </c>
      <c r="C162" t="n">
        <v>2</v>
      </c>
      <c r="D162" t="inlineStr">
        <is>
          <t>500ml Bottle Case (24 pc)</t>
        </is>
      </c>
      <c r="E162" t="n">
        <v>37</v>
      </c>
      <c r="F162" s="8" t="n">
        <v>220</v>
      </c>
      <c r="G162" s="8">
        <f>IF($A162="",0,ROUND($E162*$F162,2))</f>
        <v/>
      </c>
    </row>
    <row r="163">
      <c r="A163" t="inlineStr">
        <is>
          <t>INV-2026-0090</t>
        </is>
      </c>
      <c r="B163" s="7" t="n">
        <v>46193</v>
      </c>
      <c r="C163" t="n">
        <v>3</v>
      </c>
      <c r="D163" t="inlineStr">
        <is>
          <t>20L Water Jar</t>
        </is>
      </c>
      <c r="E163" t="n">
        <v>25</v>
      </c>
      <c r="F163" s="8" t="n">
        <v>60</v>
      </c>
      <c r="G163" s="8">
        <f>IF($A163="",0,ROUND($E163*$F163,2))</f>
        <v/>
      </c>
    </row>
    <row r="164">
      <c r="A164" t="inlineStr">
        <is>
          <t>INV-2026-0091</t>
        </is>
      </c>
      <c r="B164" s="7" t="n">
        <v>46193</v>
      </c>
      <c r="C164" t="n">
        <v>1</v>
      </c>
      <c r="D164" t="inlineStr">
        <is>
          <t>20L Water Jar</t>
        </is>
      </c>
      <c r="E164" t="n">
        <v>12</v>
      </c>
      <c r="F164" s="8" t="n">
        <v>60</v>
      </c>
      <c r="G164" s="8">
        <f>IF($A164="",0,ROUND($E164*$F164,2))</f>
        <v/>
      </c>
    </row>
    <row r="165">
      <c r="A165" t="inlineStr">
        <is>
          <t>INV-2026-0091</t>
        </is>
      </c>
      <c r="B165" s="7" t="n">
        <v>46193</v>
      </c>
      <c r="C165" t="n">
        <v>2</v>
      </c>
      <c r="D165" t="inlineStr">
        <is>
          <t>Hot &amp; Cold Water Dispenser</t>
        </is>
      </c>
      <c r="E165" t="n">
        <v>2</v>
      </c>
      <c r="F165" s="8" t="n">
        <v>8500</v>
      </c>
      <c r="G165" s="8">
        <f>IF($A165="",0,ROUND($E165*$F165,2))</f>
        <v/>
      </c>
    </row>
    <row r="166">
      <c r="A166" t="inlineStr">
        <is>
          <t>INV-2026-0092</t>
        </is>
      </c>
      <c r="B166" s="7" t="n">
        <v>46195</v>
      </c>
      <c r="C166" t="n">
        <v>1</v>
      </c>
      <c r="D166" t="inlineStr">
        <is>
          <t>Paper Cups Pack (100 pc)</t>
        </is>
      </c>
      <c r="E166" t="n">
        <v>11</v>
      </c>
      <c r="F166" s="8" t="n">
        <v>90</v>
      </c>
      <c r="G166" s="8">
        <f>IF($A166="",0,ROUND($E166*$F166,2))</f>
        <v/>
      </c>
    </row>
    <row r="167">
      <c r="A167" t="inlineStr">
        <is>
          <t>INV-2026-0093</t>
        </is>
      </c>
      <c r="B167" s="7" t="n">
        <v>46196</v>
      </c>
      <c r="C167" t="n">
        <v>1</v>
      </c>
      <c r="D167" t="inlineStr">
        <is>
          <t>1L Bottle Case (12 pc)</t>
        </is>
      </c>
      <c r="E167" t="n">
        <v>15</v>
      </c>
      <c r="F167" s="8" t="n">
        <v>240</v>
      </c>
      <c r="G167" s="8">
        <f>IF($A167="",0,ROUND($E167*$F167,2))</f>
        <v/>
      </c>
    </row>
    <row r="168">
      <c r="A168" t="inlineStr">
        <is>
          <t>INV-2026-0093</t>
        </is>
      </c>
      <c r="B168" s="7" t="n">
        <v>46196</v>
      </c>
      <c r="C168" t="n">
        <v>2</v>
      </c>
      <c r="D168" t="inlineStr">
        <is>
          <t>1L Bottle Case (12 pc)</t>
        </is>
      </c>
      <c r="E168" t="n">
        <v>12</v>
      </c>
      <c r="F168" s="8" t="n">
        <v>240</v>
      </c>
      <c r="G168" s="8">
        <f>IF($A168="",0,ROUND($E168*$F168,2))</f>
        <v/>
      </c>
    </row>
    <row r="169">
      <c r="A169" t="inlineStr">
        <is>
          <t>INV-2026-0093</t>
        </is>
      </c>
      <c r="B169" s="7" t="n">
        <v>46196</v>
      </c>
      <c r="C169" t="n">
        <v>3</v>
      </c>
      <c r="D169" t="inlineStr">
        <is>
          <t>20L Water Jar</t>
        </is>
      </c>
      <c r="E169" t="n">
        <v>70</v>
      </c>
      <c r="F169" s="8" t="n">
        <v>60</v>
      </c>
      <c r="G169" s="8">
        <f>IF($A169="",0,ROUND($E169*$F169,2))</f>
        <v/>
      </c>
    </row>
    <row r="170">
      <c r="A170" t="inlineStr">
        <is>
          <t>INV-2026-0094</t>
        </is>
      </c>
      <c r="B170" s="7" t="n">
        <v>46197</v>
      </c>
      <c r="C170" t="n">
        <v>1</v>
      </c>
      <c r="D170" t="inlineStr">
        <is>
          <t>1L Bottle Case (12 pc)</t>
        </is>
      </c>
      <c r="E170" t="n">
        <v>7</v>
      </c>
      <c r="F170" s="8" t="n">
        <v>240</v>
      </c>
      <c r="G170" s="8">
        <f>IF($A170="",0,ROUND($E170*$F170,2))</f>
        <v/>
      </c>
    </row>
    <row r="171">
      <c r="A171" t="inlineStr">
        <is>
          <t>INV-2026-0094</t>
        </is>
      </c>
      <c r="B171" s="7" t="n">
        <v>46197</v>
      </c>
      <c r="C171" t="n">
        <v>2</v>
      </c>
      <c r="D171" t="inlineStr">
        <is>
          <t>1L Bottle Case (12 pc)</t>
        </is>
      </c>
      <c r="E171" t="n">
        <v>19</v>
      </c>
      <c r="F171" s="8" t="n">
        <v>240</v>
      </c>
      <c r="G171" s="8">
        <f>IF($A171="",0,ROUND($E171*$F171,2))</f>
        <v/>
      </c>
    </row>
    <row r="172">
      <c r="A172" t="inlineStr">
        <is>
          <t>INV-2026-0095</t>
        </is>
      </c>
      <c r="B172" s="7" t="n">
        <v>46198</v>
      </c>
      <c r="C172" t="n">
        <v>1</v>
      </c>
      <c r="D172" t="inlineStr">
        <is>
          <t>500ml Bottle Case (24 pc)</t>
        </is>
      </c>
      <c r="E172" t="n">
        <v>8</v>
      </c>
      <c r="F172" s="8" t="n">
        <v>220</v>
      </c>
      <c r="G172" s="8">
        <f>IF($A172="",0,ROUND($E172*$F172,2))</f>
        <v/>
      </c>
    </row>
    <row r="173">
      <c r="A173" t="inlineStr">
        <is>
          <t>INV-2026-0096</t>
        </is>
      </c>
      <c r="B173" s="7" t="n">
        <v>46199</v>
      </c>
      <c r="C173" t="n">
        <v>1</v>
      </c>
      <c r="D173" t="inlineStr">
        <is>
          <t>1L Bottle Case (12 pc)</t>
        </is>
      </c>
      <c r="E173" t="n">
        <v>39</v>
      </c>
      <c r="F173" s="8" t="n">
        <v>240</v>
      </c>
      <c r="G173" s="8">
        <f>IF($A173="",0,ROUND($E173*$F173,2))</f>
        <v/>
      </c>
    </row>
    <row r="174">
      <c r="A174" t="inlineStr">
        <is>
          <t>INV-2026-0096</t>
        </is>
      </c>
      <c r="B174" s="7" t="n">
        <v>46199</v>
      </c>
      <c r="C174" t="n">
        <v>2</v>
      </c>
      <c r="D174" t="inlineStr">
        <is>
          <t>1L Bottle Case (12 pc)</t>
        </is>
      </c>
      <c r="E174" t="n">
        <v>24</v>
      </c>
      <c r="F174" s="8" t="n">
        <v>240</v>
      </c>
      <c r="G174" s="8">
        <f>IF($A174="",0,ROUND($E174*$F174,2))</f>
        <v/>
      </c>
    </row>
    <row r="175">
      <c r="A175" t="inlineStr">
        <is>
          <t>INV-2026-0096</t>
        </is>
      </c>
      <c r="B175" s="7" t="n">
        <v>46199</v>
      </c>
      <c r="C175" t="n">
        <v>3</v>
      </c>
      <c r="D175" t="inlineStr">
        <is>
          <t>20L Water Jar</t>
        </is>
      </c>
      <c r="E175" t="n">
        <v>22</v>
      </c>
      <c r="F175" s="8" t="n">
        <v>60</v>
      </c>
      <c r="G175" s="8">
        <f>IF($A175="",0,ROUND($E175*$F175,2))</f>
        <v/>
      </c>
    </row>
    <row r="176">
      <c r="A176" t="inlineStr">
        <is>
          <t>INV-2026-0097</t>
        </is>
      </c>
      <c r="B176" s="7" t="n">
        <v>46199</v>
      </c>
      <c r="C176" t="n">
        <v>1</v>
      </c>
      <c r="D176" t="inlineStr">
        <is>
          <t>500ml Bottle Case (24 pc)</t>
        </is>
      </c>
      <c r="E176" t="n">
        <v>20</v>
      </c>
      <c r="F176" s="8" t="n">
        <v>220</v>
      </c>
      <c r="G176" s="8">
        <f>IF($A176="",0,ROUND($E176*$F176,2))</f>
        <v/>
      </c>
    </row>
    <row r="177">
      <c r="A177" t="inlineStr">
        <is>
          <t>INV-2026-0097</t>
        </is>
      </c>
      <c r="B177" s="7" t="n">
        <v>46199</v>
      </c>
      <c r="C177" t="n">
        <v>2</v>
      </c>
      <c r="D177" t="inlineStr">
        <is>
          <t>1L Bottle Case (12 pc)</t>
        </is>
      </c>
      <c r="E177" t="n">
        <v>4</v>
      </c>
      <c r="F177" s="8" t="n">
        <v>240</v>
      </c>
      <c r="G177" s="8">
        <f>IF($A177="",0,ROUND($E177*$F177,2))</f>
        <v/>
      </c>
    </row>
    <row r="178">
      <c r="A178" t="inlineStr">
        <is>
          <t>INV-2026-0098</t>
        </is>
      </c>
      <c r="B178" s="7" t="n">
        <v>46203</v>
      </c>
      <c r="C178" t="n">
        <v>1</v>
      </c>
      <c r="D178" t="inlineStr">
        <is>
          <t>Hot &amp; Cold Water Dispenser</t>
        </is>
      </c>
      <c r="E178" t="n">
        <v>1</v>
      </c>
      <c r="F178" s="8" t="n">
        <v>8500</v>
      </c>
      <c r="G178" s="8">
        <f>IF($A178="",0,ROUND($E178*$F178,2))</f>
        <v/>
      </c>
    </row>
    <row r="179">
      <c r="A179" t="inlineStr">
        <is>
          <t>INV-2026-0098</t>
        </is>
      </c>
      <c r="B179" s="7" t="n">
        <v>46203</v>
      </c>
      <c r="C179" t="n">
        <v>2</v>
      </c>
      <c r="D179" t="inlineStr">
        <is>
          <t>Paper Cups Pack (100 pc)</t>
        </is>
      </c>
      <c r="E179" t="n">
        <v>21</v>
      </c>
      <c r="F179" s="8" t="n">
        <v>90</v>
      </c>
      <c r="G179" s="8">
        <f>IF($A179="",0,ROUND($E179*$F179,2))</f>
        <v/>
      </c>
    </row>
    <row r="180">
      <c r="A180" t="inlineStr">
        <is>
          <t>INV-2026-0098</t>
        </is>
      </c>
      <c r="B180" s="7" t="n">
        <v>46203</v>
      </c>
      <c r="C180" t="n">
        <v>3</v>
      </c>
      <c r="D180" t="inlineStr">
        <is>
          <t>Paper Cups Pack (100 pc)</t>
        </is>
      </c>
      <c r="E180" t="n">
        <v>27</v>
      </c>
      <c r="F180" s="8" t="n">
        <v>90</v>
      </c>
      <c r="G180" s="8">
        <f>IF($A180="",0,ROUND($E180*$F180,2))</f>
        <v/>
      </c>
    </row>
    <row r="181">
      <c r="A181" t="inlineStr">
        <is>
          <t>INV-2026-0099</t>
        </is>
      </c>
      <c r="B181" s="7" t="n">
        <v>46204</v>
      </c>
      <c r="C181" t="n">
        <v>1</v>
      </c>
      <c r="D181" t="inlineStr">
        <is>
          <t>20L Water Jar</t>
        </is>
      </c>
      <c r="E181" t="n">
        <v>35</v>
      </c>
      <c r="F181" s="8" t="n">
        <v>60</v>
      </c>
      <c r="G181" s="8">
        <f>IF($A181="",0,ROUND($E181*$F181,2))</f>
        <v/>
      </c>
    </row>
    <row r="182">
      <c r="A182" t="inlineStr">
        <is>
          <t>INV-2026-0100</t>
        </is>
      </c>
      <c r="B182" s="7" t="n">
        <v>46205</v>
      </c>
      <c r="C182" t="n">
        <v>1</v>
      </c>
      <c r="D182" t="inlineStr">
        <is>
          <t>5L Water Jar</t>
        </is>
      </c>
      <c r="E182" t="n">
        <v>27</v>
      </c>
      <c r="F182" s="8" t="n">
        <v>45</v>
      </c>
      <c r="G182" s="8">
        <f>IF($A182="",0,ROUND($E182*$F182,2))</f>
        <v/>
      </c>
    </row>
    <row r="183">
      <c r="A183" t="inlineStr">
        <is>
          <t>INV-2026-0101</t>
        </is>
      </c>
      <c r="B183" s="7" t="n">
        <v>46207</v>
      </c>
      <c r="C183" t="n">
        <v>1</v>
      </c>
      <c r="D183" t="inlineStr">
        <is>
          <t>1L Bottle Case (12 pc)</t>
        </is>
      </c>
      <c r="E183" t="n">
        <v>9</v>
      </c>
      <c r="F183" s="8" t="n">
        <v>240</v>
      </c>
      <c r="G183" s="8">
        <f>IF($A183="",0,ROUND($E183*$F183,2))</f>
        <v/>
      </c>
    </row>
    <row r="184">
      <c r="A184" t="inlineStr">
        <is>
          <t>INV-2026-0101</t>
        </is>
      </c>
      <c r="B184" s="7" t="n">
        <v>46207</v>
      </c>
      <c r="C184" t="n">
        <v>2</v>
      </c>
      <c r="D184" t="inlineStr">
        <is>
          <t>500ml Bottle Case (24 pc)</t>
        </is>
      </c>
      <c r="E184" t="n">
        <v>7</v>
      </c>
      <c r="F184" s="8" t="n">
        <v>220</v>
      </c>
      <c r="G184" s="8">
        <f>IF($A184="",0,ROUND($E184*$F184,2))</f>
        <v/>
      </c>
    </row>
    <row r="185">
      <c r="A185" t="inlineStr">
        <is>
          <t>INV-2026-0101</t>
        </is>
      </c>
      <c r="B185" s="7" t="n">
        <v>46207</v>
      </c>
      <c r="C185" t="n">
        <v>3</v>
      </c>
      <c r="D185" t="inlineStr">
        <is>
          <t>500ml Bottle Case (24 pc)</t>
        </is>
      </c>
      <c r="E185" t="n">
        <v>39</v>
      </c>
      <c r="F185" s="8" t="n">
        <v>220</v>
      </c>
      <c r="G185" s="8">
        <f>IF($A185="",0,ROUND($E185*$F185,2))</f>
        <v/>
      </c>
    </row>
    <row r="186">
      <c r="A186" t="inlineStr">
        <is>
          <t>INV-2026-0102</t>
        </is>
      </c>
      <c r="B186" s="7" t="n">
        <v>46207</v>
      </c>
      <c r="C186" t="n">
        <v>1</v>
      </c>
      <c r="D186" t="inlineStr">
        <is>
          <t>20L Water Jar</t>
        </is>
      </c>
      <c r="E186" t="n">
        <v>32</v>
      </c>
      <c r="F186" s="8" t="n">
        <v>60</v>
      </c>
      <c r="G186" s="8">
        <f>IF($A186="",0,ROUND($E186*$F186,2))</f>
        <v/>
      </c>
    </row>
    <row r="187">
      <c r="A187" t="inlineStr">
        <is>
          <t>INV-2026-0103</t>
        </is>
      </c>
      <c r="B187" s="7" t="n">
        <v>46209</v>
      </c>
      <c r="C187" t="n">
        <v>1</v>
      </c>
      <c r="D187" t="inlineStr">
        <is>
          <t>5L Water Jar</t>
        </is>
      </c>
      <c r="E187" t="n">
        <v>45</v>
      </c>
      <c r="F187" s="8" t="n">
        <v>45</v>
      </c>
      <c r="G187" s="8">
        <f>IF($A187="",0,ROUND($E187*$F187,2))</f>
        <v/>
      </c>
    </row>
    <row r="188">
      <c r="A188" t="inlineStr">
        <is>
          <t>INV-2026-0103</t>
        </is>
      </c>
      <c r="B188" s="7" t="n">
        <v>46209</v>
      </c>
      <c r="C188" t="n">
        <v>2</v>
      </c>
      <c r="D188" t="inlineStr">
        <is>
          <t>Hot &amp; Cold Water Dispenser</t>
        </is>
      </c>
      <c r="E188" t="n">
        <v>1</v>
      </c>
      <c r="F188" s="8" t="n">
        <v>8500</v>
      </c>
      <c r="G188" s="8">
        <f>IF($A188="",0,ROUND($E188*$F188,2))</f>
        <v/>
      </c>
    </row>
    <row r="189">
      <c r="A189" t="inlineStr">
        <is>
          <t>INV-2026-0104</t>
        </is>
      </c>
      <c r="B189" s="7" t="n">
        <v>46210</v>
      </c>
      <c r="C189" t="n">
        <v>1</v>
      </c>
      <c r="D189" t="inlineStr">
        <is>
          <t>5L Water Jar</t>
        </is>
      </c>
      <c r="E189" t="n">
        <v>37</v>
      </c>
      <c r="F189" s="8" t="n">
        <v>45</v>
      </c>
      <c r="G189" s="8">
        <f>IF($A189="",0,ROUND($E189*$F189,2))</f>
        <v/>
      </c>
    </row>
    <row r="190">
      <c r="A190" t="inlineStr">
        <is>
          <t>INV-2026-0104</t>
        </is>
      </c>
      <c r="B190" s="7" t="n">
        <v>46210</v>
      </c>
      <c r="C190" t="n">
        <v>2</v>
      </c>
      <c r="D190" t="inlineStr">
        <is>
          <t>500ml Bottle Case (24 pc)</t>
        </is>
      </c>
      <c r="E190" t="n">
        <v>4</v>
      </c>
      <c r="F190" s="8" t="n">
        <v>220</v>
      </c>
      <c r="G190" s="8">
        <f>IF($A190="",0,ROUND($E190*$F190,2))</f>
        <v/>
      </c>
    </row>
    <row r="191">
      <c r="A191" t="inlineStr">
        <is>
          <t>INV-2026-0105</t>
        </is>
      </c>
      <c r="B191" s="7" t="n">
        <v>46211</v>
      </c>
      <c r="C191" t="n">
        <v>1</v>
      </c>
      <c r="D191" t="inlineStr">
        <is>
          <t>20L Water Jar</t>
        </is>
      </c>
      <c r="E191" t="n">
        <v>10</v>
      </c>
      <c r="F191" s="8" t="n">
        <v>60</v>
      </c>
      <c r="G191" s="8">
        <f>IF($A191="",0,ROUND($E191*$F191,2))</f>
        <v/>
      </c>
    </row>
    <row r="192">
      <c r="A192" t="inlineStr">
        <is>
          <t>INV-2026-0106</t>
        </is>
      </c>
      <c r="B192" s="7" t="n">
        <v>46212</v>
      </c>
      <c r="C192" t="n">
        <v>1</v>
      </c>
      <c r="D192" t="inlineStr">
        <is>
          <t>5L Water Jar</t>
        </is>
      </c>
      <c r="E192" t="n">
        <v>55</v>
      </c>
      <c r="F192" s="8" t="n">
        <v>45</v>
      </c>
      <c r="G192" s="8">
        <f>IF($A192="",0,ROUND($E192*$F192,2))</f>
        <v/>
      </c>
    </row>
    <row r="193">
      <c r="A193" t="inlineStr">
        <is>
          <t>INV-2026-0107</t>
        </is>
      </c>
      <c r="B193" s="7" t="n">
        <v>46213</v>
      </c>
      <c r="C193" t="n">
        <v>1</v>
      </c>
      <c r="D193" t="inlineStr">
        <is>
          <t>1L Bottle Case (12 pc)</t>
        </is>
      </c>
      <c r="E193" t="n">
        <v>15</v>
      </c>
      <c r="F193" s="8" t="n">
        <v>240</v>
      </c>
      <c r="G193" s="8">
        <f>IF($A193="",0,ROUND($E193*$F193,2))</f>
        <v/>
      </c>
    </row>
    <row r="194">
      <c r="A194" t="inlineStr">
        <is>
          <t>INV-2026-0108</t>
        </is>
      </c>
      <c r="B194" s="7" t="n">
        <v>46214</v>
      </c>
      <c r="C194" t="n">
        <v>1</v>
      </c>
      <c r="D194" t="inlineStr">
        <is>
          <t>500ml Bottle Case (24 pc)</t>
        </is>
      </c>
      <c r="E194" t="n">
        <v>32</v>
      </c>
      <c r="F194" s="8" t="n">
        <v>220</v>
      </c>
      <c r="G194" s="8">
        <f>IF($A194="",0,ROUND($E194*$F194,2))</f>
        <v/>
      </c>
    </row>
    <row r="195">
      <c r="A195" t="inlineStr">
        <is>
          <t>INV-2026-0108</t>
        </is>
      </c>
      <c r="B195" s="7" t="n">
        <v>46214</v>
      </c>
      <c r="C195" t="n">
        <v>2</v>
      </c>
      <c r="D195" t="inlineStr">
        <is>
          <t>20L Water Jar</t>
        </is>
      </c>
      <c r="E195" t="n">
        <v>67</v>
      </c>
      <c r="F195" s="8" t="n">
        <v>60</v>
      </c>
      <c r="G195" s="8">
        <f>IF($A195="",0,ROUND($E195*$F195,2))</f>
        <v/>
      </c>
    </row>
    <row r="196">
      <c r="A196" t="inlineStr">
        <is>
          <t>INV-2026-0109</t>
        </is>
      </c>
      <c r="B196" s="7" t="n">
        <v>46215</v>
      </c>
      <c r="C196" t="n">
        <v>1</v>
      </c>
      <c r="D196" t="inlineStr">
        <is>
          <t>20L Water Jar</t>
        </is>
      </c>
      <c r="E196" t="n">
        <v>48</v>
      </c>
      <c r="F196" s="8" t="n">
        <v>60</v>
      </c>
      <c r="G196" s="8">
        <f>IF($A196="",0,ROUND($E196*$F196,2))</f>
        <v/>
      </c>
    </row>
    <row r="197">
      <c r="A197" t="inlineStr">
        <is>
          <t>INV-2026-0110</t>
        </is>
      </c>
      <c r="B197" s="7" t="n">
        <v>46217</v>
      </c>
      <c r="C197" t="n">
        <v>1</v>
      </c>
      <c r="D197" t="inlineStr">
        <is>
          <t>20L Water Jar</t>
        </is>
      </c>
      <c r="E197" t="n">
        <v>50</v>
      </c>
      <c r="F197" s="8" t="n">
        <v>60</v>
      </c>
      <c r="G197" s="8">
        <f>IF($A197="",0,ROUND($E197*$F197,2))</f>
        <v/>
      </c>
    </row>
    <row r="198">
      <c r="A198" t="inlineStr">
        <is>
          <t>INV-2026-0110</t>
        </is>
      </c>
      <c r="B198" s="7" t="n">
        <v>46217</v>
      </c>
      <c r="C198" t="n">
        <v>2</v>
      </c>
      <c r="D198" t="inlineStr">
        <is>
          <t>20L Water Jar</t>
        </is>
      </c>
      <c r="E198" t="n">
        <v>45</v>
      </c>
      <c r="F198" s="8" t="n">
        <v>60</v>
      </c>
      <c r="G198" s="8">
        <f>IF($A198="",0,ROUND($E198*$F198,2))</f>
        <v/>
      </c>
    </row>
    <row r="199">
      <c r="A199" t="inlineStr">
        <is>
          <t>INV-2026-0111</t>
        </is>
      </c>
      <c r="B199" s="7" t="n">
        <v>46217</v>
      </c>
      <c r="C199" t="n">
        <v>1</v>
      </c>
      <c r="D199" t="inlineStr">
        <is>
          <t>500ml Bottle Case (24 pc)</t>
        </is>
      </c>
      <c r="E199" t="n">
        <v>26</v>
      </c>
      <c r="F199" s="8" t="n">
        <v>220</v>
      </c>
      <c r="G199" s="8">
        <f>IF($A199="",0,ROUND($E199*$F199,2))</f>
        <v/>
      </c>
    </row>
    <row r="200">
      <c r="A200" t="inlineStr">
        <is>
          <t>INV-2026-0112</t>
        </is>
      </c>
      <c r="B200" s="7" t="n">
        <v>46218</v>
      </c>
      <c r="C200" t="n">
        <v>1</v>
      </c>
      <c r="D200" t="inlineStr">
        <is>
          <t>20L Water Jar</t>
        </is>
      </c>
      <c r="E200" t="n">
        <v>21</v>
      </c>
      <c r="F200" s="8" t="n">
        <v>60</v>
      </c>
      <c r="G200" s="8">
        <f>IF($A200="",0,ROUND($E200*$F200,2))</f>
        <v/>
      </c>
    </row>
    <row r="201">
      <c r="A201" t="inlineStr">
        <is>
          <t>INV-2026-0113</t>
        </is>
      </c>
      <c r="B201" s="7" t="n">
        <v>46218</v>
      </c>
      <c r="C201" t="n">
        <v>1</v>
      </c>
      <c r="D201" t="inlineStr">
        <is>
          <t>20L Water Jar</t>
        </is>
      </c>
      <c r="E201" t="n">
        <v>49</v>
      </c>
      <c r="F201" s="8" t="n">
        <v>60</v>
      </c>
      <c r="G201" s="8">
        <f>IF($A201="",0,ROUND($E201*$F201,2))</f>
        <v/>
      </c>
    </row>
    <row r="202">
      <c r="A202" t="inlineStr">
        <is>
          <t>INV-2026-0114</t>
        </is>
      </c>
      <c r="B202" s="7" t="n">
        <v>46218</v>
      </c>
      <c r="C202" t="n">
        <v>1</v>
      </c>
      <c r="D202" t="inlineStr">
        <is>
          <t>Paper Cups Pack (100 pc)</t>
        </is>
      </c>
      <c r="E202" t="n">
        <v>29</v>
      </c>
      <c r="F202" s="8" t="n">
        <v>90</v>
      </c>
      <c r="G202" s="8">
        <f>IF($A202="",0,ROUND($E202*$F202,2))</f>
        <v/>
      </c>
    </row>
    <row r="203">
      <c r="A203" t="inlineStr">
        <is>
          <t>INV-2026-0114</t>
        </is>
      </c>
      <c r="B203" s="7" t="n">
        <v>46218</v>
      </c>
      <c r="C203" t="n">
        <v>2</v>
      </c>
      <c r="D203" t="inlineStr">
        <is>
          <t>Paper Cups Pack (100 pc)</t>
        </is>
      </c>
      <c r="E203" t="n">
        <v>28</v>
      </c>
      <c r="F203" s="8" t="n">
        <v>90</v>
      </c>
      <c r="G203" s="8">
        <f>IF($A203="",0,ROUND($E203*$F203,2))</f>
        <v/>
      </c>
    </row>
    <row r="204">
      <c r="A204" t="inlineStr">
        <is>
          <t>INV-2026-0114</t>
        </is>
      </c>
      <c r="B204" s="7" t="n">
        <v>46218</v>
      </c>
      <c r="C204" t="n">
        <v>3</v>
      </c>
      <c r="D204" t="inlineStr">
        <is>
          <t>20L Water Jar</t>
        </is>
      </c>
      <c r="E204" t="n">
        <v>32</v>
      </c>
      <c r="F204" s="8" t="n">
        <v>60</v>
      </c>
      <c r="G204" s="8">
        <f>IF($A204="",0,ROUND($E204*$F204,2))</f>
        <v/>
      </c>
    </row>
    <row r="205">
      <c r="A205" t="inlineStr">
        <is>
          <t>INV-2026-0115</t>
        </is>
      </c>
      <c r="B205" s="7" t="n">
        <v>46219</v>
      </c>
      <c r="C205" t="n">
        <v>1</v>
      </c>
      <c r="D205" t="inlineStr">
        <is>
          <t>5L Water Jar</t>
        </is>
      </c>
      <c r="E205" t="n">
        <v>10</v>
      </c>
      <c r="F205" s="8" t="n">
        <v>45</v>
      </c>
      <c r="G205" s="8">
        <f>IF($A205="",0,ROUND($E205*$F205,2))</f>
        <v/>
      </c>
    </row>
    <row r="206">
      <c r="A206" t="inlineStr">
        <is>
          <t>INV-2026-0115</t>
        </is>
      </c>
      <c r="B206" s="7" t="n">
        <v>46219</v>
      </c>
      <c r="C206" t="n">
        <v>2</v>
      </c>
      <c r="D206" t="inlineStr">
        <is>
          <t>20L Water Jar</t>
        </is>
      </c>
      <c r="E206" t="n">
        <v>27</v>
      </c>
      <c r="F206" s="8" t="n">
        <v>60</v>
      </c>
      <c r="G206" s="8">
        <f>IF($A206="",0,ROUND($E206*$F206,2))</f>
        <v/>
      </c>
    </row>
    <row r="207">
      <c r="A207" t="inlineStr">
        <is>
          <t>INV-2026-0116</t>
        </is>
      </c>
      <c r="B207" s="7" t="n">
        <v>46220</v>
      </c>
      <c r="C207" t="n">
        <v>1</v>
      </c>
      <c r="D207" t="inlineStr">
        <is>
          <t>Hot &amp; Cold Water Dispenser</t>
        </is>
      </c>
      <c r="E207" t="n">
        <v>1</v>
      </c>
      <c r="F207" s="8" t="n">
        <v>8500</v>
      </c>
      <c r="G207" s="8">
        <f>IF($A207="",0,ROUND($E207*$F207,2))</f>
        <v/>
      </c>
    </row>
    <row r="208">
      <c r="A208" t="inlineStr">
        <is>
          <t>INV-2026-0116</t>
        </is>
      </c>
      <c r="B208" s="7" t="n">
        <v>46220</v>
      </c>
      <c r="C208" t="n">
        <v>2</v>
      </c>
      <c r="D208" t="inlineStr">
        <is>
          <t>20L Water Jar</t>
        </is>
      </c>
      <c r="E208" t="n">
        <v>74</v>
      </c>
      <c r="F208" s="8" t="n">
        <v>60</v>
      </c>
      <c r="G208" s="8">
        <f>IF($A208="",0,ROUND($E208*$F208,2))</f>
        <v/>
      </c>
    </row>
    <row r="209">
      <c r="A209" t="inlineStr">
        <is>
          <t>INV-2026-0117</t>
        </is>
      </c>
      <c r="B209" s="7" t="n">
        <v>46221</v>
      </c>
      <c r="C209" t="n">
        <v>1</v>
      </c>
      <c r="D209" t="inlineStr">
        <is>
          <t>20L Water Jar</t>
        </is>
      </c>
      <c r="E209" t="n">
        <v>13</v>
      </c>
      <c r="F209" s="8" t="n">
        <v>60</v>
      </c>
      <c r="G209" s="8">
        <f>IF($A209="",0,ROUND($E209*$F209,2))</f>
        <v/>
      </c>
    </row>
    <row r="210">
      <c r="A210" t="inlineStr">
        <is>
          <t>INV-2026-0117</t>
        </is>
      </c>
      <c r="B210" s="7" t="n">
        <v>46221</v>
      </c>
      <c r="C210" t="n">
        <v>2</v>
      </c>
      <c r="D210" t="inlineStr">
        <is>
          <t>20L Water Jar</t>
        </is>
      </c>
      <c r="E210" t="n">
        <v>37</v>
      </c>
      <c r="F210" s="8" t="n">
        <v>60</v>
      </c>
      <c r="G210" s="8">
        <f>IF($A210="",0,ROUND($E210*$F210,2))</f>
        <v/>
      </c>
    </row>
    <row r="211">
      <c r="A211" t="inlineStr">
        <is>
          <t>INV-2026-0118</t>
        </is>
      </c>
      <c r="B211" s="7" t="n">
        <v>46221</v>
      </c>
      <c r="C211" t="n">
        <v>1</v>
      </c>
      <c r="D211" t="inlineStr">
        <is>
          <t>20L Water Jar</t>
        </is>
      </c>
      <c r="E211" t="n">
        <v>22</v>
      </c>
      <c r="F211" s="8" t="n">
        <v>60</v>
      </c>
      <c r="G211" s="8">
        <f>IF($A211="",0,ROUND($E211*$F211,2))</f>
        <v/>
      </c>
    </row>
    <row r="212">
      <c r="A212" t="inlineStr">
        <is>
          <t>INV-2026-0118</t>
        </is>
      </c>
      <c r="B212" s="7" t="n">
        <v>46221</v>
      </c>
      <c r="C212" t="n">
        <v>2</v>
      </c>
      <c r="D212" t="inlineStr">
        <is>
          <t>5L Water Jar</t>
        </is>
      </c>
      <c r="E212" t="n">
        <v>37</v>
      </c>
      <c r="F212" s="8" t="n">
        <v>45</v>
      </c>
      <c r="G212" s="8">
        <f>IF($A212="",0,ROUND($E212*$F212,2))</f>
        <v/>
      </c>
    </row>
    <row r="213">
      <c r="A213" t="inlineStr">
        <is>
          <t>INV-2026-0118</t>
        </is>
      </c>
      <c r="B213" s="7" t="n">
        <v>46221</v>
      </c>
      <c r="C213" t="n">
        <v>3</v>
      </c>
      <c r="D213" t="inlineStr">
        <is>
          <t>1L Bottle Case (12 pc)</t>
        </is>
      </c>
      <c r="E213" t="n">
        <v>37</v>
      </c>
      <c r="F213" s="8" t="n">
        <v>240</v>
      </c>
      <c r="G213" s="8">
        <f>IF($A213="",0,ROUND($E213*$F213,2))</f>
        <v/>
      </c>
    </row>
    <row r="214">
      <c r="A214" t="inlineStr">
        <is>
          <t>INV-2026-0119</t>
        </is>
      </c>
      <c r="B214" s="7" t="n">
        <v>46221</v>
      </c>
      <c r="C214" t="n">
        <v>1</v>
      </c>
      <c r="D214" t="inlineStr">
        <is>
          <t>Paper Cups Pack (100 pc)</t>
        </is>
      </c>
      <c r="E214" t="n">
        <v>9</v>
      </c>
      <c r="F214" s="8" t="n">
        <v>90</v>
      </c>
      <c r="G214" s="8">
        <f>IF($A214="",0,ROUND($E214*$F214,2))</f>
        <v/>
      </c>
    </row>
    <row r="215">
      <c r="A215" t="inlineStr">
        <is>
          <t>INV-2026-0119</t>
        </is>
      </c>
      <c r="B215" s="7" t="n">
        <v>46221</v>
      </c>
      <c r="C215" t="n">
        <v>2</v>
      </c>
      <c r="D215" t="inlineStr">
        <is>
          <t>1L Bottle Case (12 pc)</t>
        </is>
      </c>
      <c r="E215" t="n">
        <v>22</v>
      </c>
      <c r="F215" s="8" t="n">
        <v>240</v>
      </c>
      <c r="G215" s="8">
        <f>IF($A215="",0,ROUND($E215*$F215,2))</f>
        <v/>
      </c>
    </row>
    <row r="216">
      <c r="A216" t="inlineStr">
        <is>
          <t>INV-2026-0120</t>
        </is>
      </c>
      <c r="B216" s="7" t="n">
        <v>46222</v>
      </c>
      <c r="C216" t="n">
        <v>1</v>
      </c>
      <c r="D216" t="inlineStr">
        <is>
          <t>Paper Cups Pack (100 pc)</t>
        </is>
      </c>
      <c r="E216" t="n">
        <v>27</v>
      </c>
      <c r="F216" s="8" t="n">
        <v>90</v>
      </c>
      <c r="G216" s="8">
        <f>IF($A216="",0,ROUND($E216*$F216,2))</f>
        <v/>
      </c>
    </row>
    <row r="217">
      <c r="A217" t="inlineStr">
        <is>
          <t>INV-2026-0120</t>
        </is>
      </c>
      <c r="B217" s="7" t="n">
        <v>46222</v>
      </c>
      <c r="C217" t="n">
        <v>2</v>
      </c>
      <c r="D217" t="inlineStr">
        <is>
          <t>1L Bottle Case (12 pc)</t>
        </is>
      </c>
      <c r="E217" t="n">
        <v>28</v>
      </c>
      <c r="F217" s="8" t="n">
        <v>240</v>
      </c>
      <c r="G217" s="8">
        <f>IF($A217="",0,ROUND($E217*$F217,2))</f>
        <v/>
      </c>
    </row>
    <row r="218">
      <c r="A218" t="inlineStr">
        <is>
          <t>INV-2026-0121</t>
        </is>
      </c>
      <c r="B218" s="7" t="n">
        <v>46222</v>
      </c>
      <c r="C218" t="n">
        <v>1</v>
      </c>
      <c r="D218" t="inlineStr">
        <is>
          <t>20L Water Jar</t>
        </is>
      </c>
      <c r="E218" t="n">
        <v>74</v>
      </c>
      <c r="F218" s="8" t="n">
        <v>60</v>
      </c>
      <c r="G218" s="8">
        <f>IF($A218="",0,ROUND($E218*$F218,2))</f>
        <v/>
      </c>
    </row>
    <row r="219">
      <c r="A219" t="inlineStr">
        <is>
          <t>INV-2026-0121</t>
        </is>
      </c>
      <c r="B219" s="7" t="n">
        <v>46222</v>
      </c>
      <c r="C219" t="n">
        <v>2</v>
      </c>
      <c r="D219" t="inlineStr">
        <is>
          <t>5L Water Jar</t>
        </is>
      </c>
      <c r="E219" t="n">
        <v>20</v>
      </c>
      <c r="F219" s="8" t="n">
        <v>45</v>
      </c>
      <c r="G219" s="8">
        <f>IF($A219="",0,ROUND($E219*$F219,2))</f>
        <v/>
      </c>
    </row>
    <row r="220">
      <c r="A220" t="inlineStr">
        <is>
          <t>INV-2026-0122</t>
        </is>
      </c>
      <c r="B220" s="7" t="n">
        <v>46223</v>
      </c>
      <c r="C220" t="n">
        <v>1</v>
      </c>
      <c r="D220" t="inlineStr">
        <is>
          <t>1L Bottle Case (12 pc)</t>
        </is>
      </c>
      <c r="E220" t="n">
        <v>27</v>
      </c>
      <c r="F220" s="8" t="n">
        <v>240</v>
      </c>
      <c r="G220" s="8">
        <f>IF($A220="",0,ROUND($E220*$F220,2))</f>
        <v/>
      </c>
    </row>
    <row r="221">
      <c r="A221" t="inlineStr">
        <is>
          <t>INV-2026-0123</t>
        </is>
      </c>
      <c r="B221" s="7" t="n">
        <v>46224</v>
      </c>
      <c r="C221" t="n">
        <v>1</v>
      </c>
      <c r="D221" t="inlineStr">
        <is>
          <t>20L Water Jar</t>
        </is>
      </c>
      <c r="E221" t="n">
        <v>19</v>
      </c>
      <c r="F221" s="8" t="n">
        <v>60</v>
      </c>
      <c r="G221" s="8">
        <f>IF($A221="",0,ROUND($E221*$F221,2))</f>
        <v/>
      </c>
    </row>
    <row r="222">
      <c r="A222" t="inlineStr">
        <is>
          <t>INV-2026-0123</t>
        </is>
      </c>
      <c r="B222" s="7" t="n">
        <v>46224</v>
      </c>
      <c r="C222" t="n">
        <v>2</v>
      </c>
      <c r="D222" t="inlineStr">
        <is>
          <t>Paper Cups Pack (100 pc)</t>
        </is>
      </c>
      <c r="E222" t="n">
        <v>28</v>
      </c>
      <c r="F222" s="8" t="n">
        <v>90</v>
      </c>
      <c r="G222" s="8">
        <f>IF($A222="",0,ROUND($E222*$F222,2))</f>
        <v/>
      </c>
    </row>
    <row r="223">
      <c r="A223" t="inlineStr">
        <is>
          <t>INV-2026-0123</t>
        </is>
      </c>
      <c r="B223" s="7" t="n">
        <v>46224</v>
      </c>
      <c r="C223" t="n">
        <v>3</v>
      </c>
      <c r="D223" t="inlineStr">
        <is>
          <t>Hot &amp; Cold Water Dispenser</t>
        </is>
      </c>
      <c r="E223" t="n">
        <v>1</v>
      </c>
      <c r="F223" s="8" t="n">
        <v>8500</v>
      </c>
      <c r="G223" s="8">
        <f>IF($A223="",0,ROUND($E223*$F223,2))</f>
        <v/>
      </c>
    </row>
    <row r="224">
      <c r="A224" t="inlineStr">
        <is>
          <t>INV-2026-0124</t>
        </is>
      </c>
      <c r="B224" s="7" t="n">
        <v>46224</v>
      </c>
      <c r="C224" t="n">
        <v>1</v>
      </c>
      <c r="D224" t="inlineStr">
        <is>
          <t>20L Water Jar</t>
        </is>
      </c>
      <c r="E224" t="n">
        <v>56</v>
      </c>
      <c r="F224" s="8" t="n">
        <v>60</v>
      </c>
      <c r="G224" s="8">
        <f>IF($A224="",0,ROUND($E224*$F224,2))</f>
        <v/>
      </c>
    </row>
    <row r="225">
      <c r="A225" t="inlineStr">
        <is>
          <t>INV-2026-0125</t>
        </is>
      </c>
      <c r="B225" s="7" t="n">
        <v>46224</v>
      </c>
      <c r="C225" t="n">
        <v>1</v>
      </c>
      <c r="D225" t="inlineStr">
        <is>
          <t>5L Water Jar</t>
        </is>
      </c>
      <c r="E225" t="n">
        <v>16</v>
      </c>
      <c r="F225" s="8" t="n">
        <v>45</v>
      </c>
      <c r="G225" s="8">
        <f>IF($A225="",0,ROUND($E225*$F225,2))</f>
        <v/>
      </c>
    </row>
    <row r="226">
      <c r="A226" t="inlineStr">
        <is>
          <t>INV-2026-0126</t>
        </is>
      </c>
      <c r="B226" s="7" t="n">
        <v>46225</v>
      </c>
      <c r="C226" t="n">
        <v>1</v>
      </c>
      <c r="D226" t="inlineStr">
        <is>
          <t>500ml Bottle Case (24 pc)</t>
        </is>
      </c>
      <c r="E226" t="n">
        <v>30</v>
      </c>
      <c r="F226" s="8" t="n">
        <v>220</v>
      </c>
      <c r="G226" s="8">
        <f>IF($A226="",0,ROUND($E226*$F226,2))</f>
        <v/>
      </c>
    </row>
    <row r="227">
      <c r="A227" t="inlineStr">
        <is>
          <t>INV-2026-0126</t>
        </is>
      </c>
      <c r="B227" s="7" t="n">
        <v>46225</v>
      </c>
      <c r="C227" t="n">
        <v>2</v>
      </c>
      <c r="D227" t="inlineStr">
        <is>
          <t>20L Water Jar</t>
        </is>
      </c>
      <c r="E227" t="n">
        <v>59</v>
      </c>
      <c r="F227" s="8" t="n">
        <v>60</v>
      </c>
      <c r="G227" s="8">
        <f>IF($A227="",0,ROUND($E227*$F227,2))</f>
        <v/>
      </c>
    </row>
    <row r="228">
      <c r="A228" t="inlineStr">
        <is>
          <t>INV-2026-0127</t>
        </is>
      </c>
      <c r="B228" s="7" t="n">
        <v>46225</v>
      </c>
      <c r="C228" t="n">
        <v>1</v>
      </c>
      <c r="D228" t="inlineStr">
        <is>
          <t>500ml Bottle Case (24 pc)</t>
        </is>
      </c>
      <c r="E228" t="n">
        <v>3</v>
      </c>
      <c r="F228" s="8" t="n">
        <v>220</v>
      </c>
      <c r="G228" s="8">
        <f>IF($A228="",0,ROUND($E228*$F228,2))</f>
        <v/>
      </c>
    </row>
    <row r="229">
      <c r="A229" t="inlineStr">
        <is>
          <t>INV-2026-0127</t>
        </is>
      </c>
      <c r="B229" s="7" t="n">
        <v>46225</v>
      </c>
      <c r="C229" t="n">
        <v>2</v>
      </c>
      <c r="D229" t="inlineStr">
        <is>
          <t>20L Water Jar</t>
        </is>
      </c>
      <c r="E229" t="n">
        <v>38</v>
      </c>
      <c r="F229" s="8" t="n">
        <v>60</v>
      </c>
      <c r="G229" s="8">
        <f>IF($A229="",0,ROUND($E229*$F229,2))</f>
        <v/>
      </c>
    </row>
    <row r="230">
      <c r="A230" t="inlineStr">
        <is>
          <t>INV-2026-0128</t>
        </is>
      </c>
      <c r="B230" s="7" t="n">
        <v>46228</v>
      </c>
      <c r="C230" t="n">
        <v>1</v>
      </c>
      <c r="D230" t="inlineStr">
        <is>
          <t>500ml Bottle Case (24 pc)</t>
        </is>
      </c>
      <c r="E230" t="n">
        <v>3</v>
      </c>
      <c r="F230" s="8" t="n">
        <v>220</v>
      </c>
      <c r="G230" s="8">
        <f>IF($A230="",0,ROUND($E230*$F230,2))</f>
        <v/>
      </c>
    </row>
    <row r="231">
      <c r="A231" t="inlineStr">
        <is>
          <t>INV-2026-0129</t>
        </is>
      </c>
      <c r="B231" s="7" t="n">
        <v>46228</v>
      </c>
      <c r="C231" t="n">
        <v>1</v>
      </c>
      <c r="D231" t="inlineStr">
        <is>
          <t>500ml Bottle Case (24 pc)</t>
        </is>
      </c>
      <c r="E231" t="n">
        <v>16</v>
      </c>
      <c r="F231" s="8" t="n">
        <v>220</v>
      </c>
      <c r="G231" s="8">
        <f>IF($A231="",0,ROUND($E231*$F231,2))</f>
        <v/>
      </c>
    </row>
    <row r="232">
      <c r="A232" t="inlineStr">
        <is>
          <t>INV-2026-0129</t>
        </is>
      </c>
      <c r="B232" s="7" t="n">
        <v>46228</v>
      </c>
      <c r="C232" t="n">
        <v>2</v>
      </c>
      <c r="D232" t="inlineStr">
        <is>
          <t>Hot &amp; Cold Water Dispenser</t>
        </is>
      </c>
      <c r="E232" t="n">
        <v>1</v>
      </c>
      <c r="F232" s="8" t="n">
        <v>8500</v>
      </c>
      <c r="G232" s="8">
        <f>IF($A232="",0,ROUND($E232*$F232,2))</f>
        <v/>
      </c>
    </row>
    <row r="233">
      <c r="A233" t="inlineStr">
        <is>
          <t>INV-2026-0129</t>
        </is>
      </c>
      <c r="B233" s="7" t="n">
        <v>46228</v>
      </c>
      <c r="C233" t="n">
        <v>3</v>
      </c>
      <c r="D233" t="inlineStr">
        <is>
          <t>20L Water Jar</t>
        </is>
      </c>
      <c r="E233" t="n">
        <v>40</v>
      </c>
      <c r="F233" s="8" t="n">
        <v>60</v>
      </c>
      <c r="G233" s="8">
        <f>IF($A233="",0,ROUND($E233*$F233,2))</f>
        <v/>
      </c>
    </row>
    <row r="234">
      <c r="A234" t="inlineStr">
        <is>
          <t>INV-2026-0130</t>
        </is>
      </c>
      <c r="B234" s="7" t="n">
        <v>46230</v>
      </c>
      <c r="C234" t="n">
        <v>1</v>
      </c>
      <c r="D234" t="inlineStr">
        <is>
          <t>1L Bottle Case (12 pc)</t>
        </is>
      </c>
      <c r="E234" t="n">
        <v>3</v>
      </c>
      <c r="F234" s="8" t="n">
        <v>240</v>
      </c>
      <c r="G234" s="8">
        <f>IF($A234="",0,ROUND($E234*$F234,2))</f>
        <v/>
      </c>
    </row>
    <row r="235">
      <c r="A235" t="inlineStr">
        <is>
          <t>INV-2026-0131</t>
        </is>
      </c>
      <c r="B235" s="7" t="n">
        <v>46230</v>
      </c>
      <c r="C235" t="n">
        <v>1</v>
      </c>
      <c r="D235" t="inlineStr">
        <is>
          <t>Hot &amp; Cold Water Dispenser</t>
        </is>
      </c>
      <c r="E235" t="n">
        <v>2</v>
      </c>
      <c r="F235" s="8" t="n">
        <v>8500</v>
      </c>
      <c r="G235" s="8">
        <f>IF($A235="",0,ROUND($E235*$F235,2))</f>
        <v/>
      </c>
    </row>
    <row r="236">
      <c r="A236" t="inlineStr">
        <is>
          <t>INV-2026-0132</t>
        </is>
      </c>
      <c r="B236" s="7" t="n">
        <v>46230</v>
      </c>
      <c r="C236" t="n">
        <v>1</v>
      </c>
      <c r="D236" t="inlineStr">
        <is>
          <t>5L Water Jar</t>
        </is>
      </c>
      <c r="E236" t="n">
        <v>35</v>
      </c>
      <c r="F236" s="8" t="n">
        <v>45</v>
      </c>
      <c r="G236" s="8">
        <f>IF($A236="",0,ROUND($E236*$F236,2))</f>
        <v/>
      </c>
    </row>
    <row r="237">
      <c r="A237" t="inlineStr">
        <is>
          <t>INV-2026-0132</t>
        </is>
      </c>
      <c r="B237" s="7" t="n">
        <v>46230</v>
      </c>
      <c r="C237" t="n">
        <v>2</v>
      </c>
      <c r="D237" t="inlineStr">
        <is>
          <t>20L Water Jar</t>
        </is>
      </c>
      <c r="E237" t="n">
        <v>65</v>
      </c>
      <c r="F237" s="8" t="n">
        <v>60</v>
      </c>
      <c r="G237" s="8">
        <f>IF($A237="",0,ROUND($E237*$F237,2))</f>
        <v/>
      </c>
    </row>
    <row r="238">
      <c r="A238" t="inlineStr">
        <is>
          <t>INV-2026-0133</t>
        </is>
      </c>
      <c r="B238" s="7" t="n">
        <v>46233</v>
      </c>
      <c r="C238" t="n">
        <v>1</v>
      </c>
      <c r="D238" t="inlineStr">
        <is>
          <t>20L Water Jar</t>
        </is>
      </c>
      <c r="E238" t="n">
        <v>41</v>
      </c>
      <c r="F238" s="8" t="n">
        <v>60</v>
      </c>
      <c r="G238" s="8">
        <f>IF($A238="",0,ROUND($E238*$F238,2))</f>
        <v/>
      </c>
    </row>
    <row r="239">
      <c r="A239" t="inlineStr">
        <is>
          <t>INV-2026-0133</t>
        </is>
      </c>
      <c r="B239" s="7" t="n">
        <v>46233</v>
      </c>
      <c r="C239" t="n">
        <v>2</v>
      </c>
      <c r="D239" t="inlineStr">
        <is>
          <t>20L Water Jar</t>
        </is>
      </c>
      <c r="E239" t="n">
        <v>43</v>
      </c>
      <c r="F239" s="8" t="n">
        <v>60</v>
      </c>
      <c r="G239" s="8">
        <f>IF($A239="",0,ROUND($E239*$F239,2))</f>
        <v/>
      </c>
    </row>
    <row r="240">
      <c r="A240" t="inlineStr">
        <is>
          <t>INV-2026-0133</t>
        </is>
      </c>
      <c r="B240" s="7" t="n">
        <v>46233</v>
      </c>
      <c r="C240" t="n">
        <v>3</v>
      </c>
      <c r="D240" t="inlineStr">
        <is>
          <t>20L Water Jar</t>
        </is>
      </c>
      <c r="E240" t="n">
        <v>75</v>
      </c>
      <c r="F240" s="8" t="n">
        <v>60</v>
      </c>
      <c r="G240" s="8">
        <f>IF($A240="",0,ROUND($E240*$F240,2))</f>
        <v/>
      </c>
    </row>
    <row r="241">
      <c r="A241" t="inlineStr">
        <is>
          <t>INV-2026-0134</t>
        </is>
      </c>
      <c r="B241" s="7" t="n">
        <v>46234</v>
      </c>
      <c r="C241" t="n">
        <v>1</v>
      </c>
      <c r="D241" t="inlineStr">
        <is>
          <t>Paper Cups Pack (100 pc)</t>
        </is>
      </c>
      <c r="E241" t="n">
        <v>18</v>
      </c>
      <c r="F241" s="8" t="n">
        <v>90</v>
      </c>
      <c r="G241" s="8">
        <f>IF($A241="",0,ROUND($E241*$F241,2))</f>
        <v/>
      </c>
    </row>
    <row r="242">
      <c r="A242" t="inlineStr">
        <is>
          <t>INV-2026-0135</t>
        </is>
      </c>
      <c r="B242" s="7" t="n">
        <v>46237</v>
      </c>
      <c r="C242" t="n">
        <v>1</v>
      </c>
      <c r="D242" t="inlineStr">
        <is>
          <t>20L Water Jar</t>
        </is>
      </c>
      <c r="E242" t="n">
        <v>34</v>
      </c>
      <c r="F242" s="8" t="n">
        <v>60</v>
      </c>
      <c r="G242" s="8">
        <f>IF($A242="",0,ROUND($E242*$F242,2))</f>
        <v/>
      </c>
    </row>
    <row r="243">
      <c r="A243" t="inlineStr">
        <is>
          <t>INV-2026-0136</t>
        </is>
      </c>
      <c r="B243" s="7" t="n">
        <v>46238</v>
      </c>
      <c r="C243" t="n">
        <v>1</v>
      </c>
      <c r="D243" t="inlineStr">
        <is>
          <t>20L Water Jar</t>
        </is>
      </c>
      <c r="E243" t="n">
        <v>58</v>
      </c>
      <c r="F243" s="8" t="n">
        <v>60</v>
      </c>
      <c r="G243" s="8">
        <f>IF($A243="",0,ROUND($E243*$F243,2))</f>
        <v/>
      </c>
    </row>
    <row r="244">
      <c r="A244" t="inlineStr">
        <is>
          <t>INV-2026-0136</t>
        </is>
      </c>
      <c r="B244" s="7" t="n">
        <v>46238</v>
      </c>
      <c r="C244" t="n">
        <v>2</v>
      </c>
      <c r="D244" t="inlineStr">
        <is>
          <t>1L Bottle Case (12 pc)</t>
        </is>
      </c>
      <c r="E244" t="n">
        <v>26</v>
      </c>
      <c r="F244" s="8" t="n">
        <v>240</v>
      </c>
      <c r="G244" s="8">
        <f>IF($A244="",0,ROUND($E244*$F244,2))</f>
        <v/>
      </c>
    </row>
    <row r="245">
      <c r="A245" t="inlineStr">
        <is>
          <t>INV-2026-0137</t>
        </is>
      </c>
      <c r="B245" s="7" t="n">
        <v>46239</v>
      </c>
      <c r="C245" t="n">
        <v>1</v>
      </c>
      <c r="D245" t="inlineStr">
        <is>
          <t>20L Water Jar</t>
        </is>
      </c>
      <c r="E245" t="n">
        <v>65</v>
      </c>
      <c r="F245" s="8" t="n">
        <v>60</v>
      </c>
      <c r="G245" s="8">
        <f>IF($A245="",0,ROUND($E245*$F245,2))</f>
        <v/>
      </c>
    </row>
    <row r="246">
      <c r="A246" t="inlineStr">
        <is>
          <t>INV-2026-0137</t>
        </is>
      </c>
      <c r="B246" s="7" t="n">
        <v>46239</v>
      </c>
      <c r="C246" t="n">
        <v>2</v>
      </c>
      <c r="D246" t="inlineStr">
        <is>
          <t>20L Water Jar</t>
        </is>
      </c>
      <c r="E246" t="n">
        <v>72</v>
      </c>
      <c r="F246" s="8" t="n">
        <v>60</v>
      </c>
      <c r="G246" s="8">
        <f>IF($A246="",0,ROUND($E246*$F246,2))</f>
        <v/>
      </c>
    </row>
    <row r="247">
      <c r="A247" t="inlineStr">
        <is>
          <t>INV-2026-0138</t>
        </is>
      </c>
      <c r="B247" s="7" t="n">
        <v>46240</v>
      </c>
      <c r="C247" t="n">
        <v>1</v>
      </c>
      <c r="D247" t="inlineStr">
        <is>
          <t>500ml Bottle Case (24 pc)</t>
        </is>
      </c>
      <c r="E247" t="n">
        <v>19</v>
      </c>
      <c r="F247" s="8" t="n">
        <v>220</v>
      </c>
      <c r="G247" s="8">
        <f>IF($A247="",0,ROUND($E247*$F247,2))</f>
        <v/>
      </c>
    </row>
    <row r="248">
      <c r="A248" t="inlineStr">
        <is>
          <t>INV-2026-0139</t>
        </is>
      </c>
      <c r="B248" s="7" t="n">
        <v>46240</v>
      </c>
      <c r="C248" t="n">
        <v>1</v>
      </c>
      <c r="D248" t="inlineStr">
        <is>
          <t>Paper Cups Pack (100 pc)</t>
        </is>
      </c>
      <c r="E248" t="n">
        <v>28</v>
      </c>
      <c r="F248" s="8" t="n">
        <v>90</v>
      </c>
      <c r="G248" s="8">
        <f>IF($A248="",0,ROUND($E248*$F248,2))</f>
        <v/>
      </c>
    </row>
    <row r="249">
      <c r="A249" t="inlineStr">
        <is>
          <t>INV-2026-0139</t>
        </is>
      </c>
      <c r="B249" s="7" t="n">
        <v>46240</v>
      </c>
      <c r="C249" t="n">
        <v>2</v>
      </c>
      <c r="D249" t="inlineStr">
        <is>
          <t>1L Bottle Case (12 pc)</t>
        </is>
      </c>
      <c r="E249" t="n">
        <v>38</v>
      </c>
      <c r="F249" s="8" t="n">
        <v>240</v>
      </c>
      <c r="G249" s="8">
        <f>IF($A249="",0,ROUND($E249*$F249,2))</f>
        <v/>
      </c>
    </row>
    <row r="250">
      <c r="A250" t="inlineStr">
        <is>
          <t>INV-2026-0139</t>
        </is>
      </c>
      <c r="B250" s="7" t="n">
        <v>46240</v>
      </c>
      <c r="C250" t="n">
        <v>3</v>
      </c>
      <c r="D250" t="inlineStr">
        <is>
          <t>Hot &amp; Cold Water Dispenser</t>
        </is>
      </c>
      <c r="E250" t="n">
        <v>1</v>
      </c>
      <c r="F250" s="8" t="n">
        <v>8500</v>
      </c>
      <c r="G250" s="8">
        <f>IF($A250="",0,ROUND($E250*$F250,2))</f>
        <v/>
      </c>
    </row>
    <row r="251">
      <c r="A251" t="inlineStr">
        <is>
          <t>INV-2026-0140</t>
        </is>
      </c>
      <c r="B251" s="7" t="n">
        <v>46241</v>
      </c>
      <c r="C251" t="n">
        <v>1</v>
      </c>
      <c r="D251" t="inlineStr">
        <is>
          <t>500ml Bottle Case (24 pc)</t>
        </is>
      </c>
      <c r="E251" t="n">
        <v>20</v>
      </c>
      <c r="F251" s="8" t="n">
        <v>220</v>
      </c>
      <c r="G251" s="8">
        <f>IF($A251="",0,ROUND($E251*$F251,2))</f>
        <v/>
      </c>
    </row>
    <row r="252">
      <c r="A252" t="inlineStr">
        <is>
          <t>INV-2026-0141</t>
        </is>
      </c>
      <c r="B252" s="7" t="n">
        <v>46244</v>
      </c>
      <c r="C252" t="n">
        <v>1</v>
      </c>
      <c r="D252" t="inlineStr">
        <is>
          <t>1L Bottle Case (12 pc)</t>
        </is>
      </c>
      <c r="E252" t="n">
        <v>38</v>
      </c>
      <c r="F252" s="8" t="n">
        <v>240</v>
      </c>
      <c r="G252" s="8">
        <f>IF($A252="",0,ROUND($E252*$F252,2))</f>
        <v/>
      </c>
    </row>
    <row r="253">
      <c r="A253" t="inlineStr">
        <is>
          <t>INV-2026-0142</t>
        </is>
      </c>
      <c r="B253" s="7" t="n">
        <v>46245</v>
      </c>
      <c r="C253" t="n">
        <v>1</v>
      </c>
      <c r="D253" t="inlineStr">
        <is>
          <t>20L Water Jar</t>
        </is>
      </c>
      <c r="E253" t="n">
        <v>23</v>
      </c>
      <c r="F253" s="8" t="n">
        <v>60</v>
      </c>
      <c r="G253" s="8">
        <f>IF($A253="",0,ROUND($E253*$F253,2))</f>
        <v/>
      </c>
    </row>
    <row r="254">
      <c r="A254" t="inlineStr">
        <is>
          <t>INV-2026-0142</t>
        </is>
      </c>
      <c r="B254" s="7" t="n">
        <v>46245</v>
      </c>
      <c r="C254" t="n">
        <v>2</v>
      </c>
      <c r="D254" t="inlineStr">
        <is>
          <t>20L Water Jar</t>
        </is>
      </c>
      <c r="E254" t="n">
        <v>28</v>
      </c>
      <c r="F254" s="8" t="n">
        <v>60</v>
      </c>
      <c r="G254" s="8">
        <f>IF($A254="",0,ROUND($E254*$F254,2))</f>
        <v/>
      </c>
    </row>
    <row r="255">
      <c r="A255" t="inlineStr">
        <is>
          <t>INV-2026-0143</t>
        </is>
      </c>
      <c r="B255" s="7" t="n">
        <v>46246</v>
      </c>
      <c r="C255" t="n">
        <v>1</v>
      </c>
      <c r="D255" t="inlineStr">
        <is>
          <t>5L Water Jar</t>
        </is>
      </c>
      <c r="E255" t="n">
        <v>11</v>
      </c>
      <c r="F255" s="8" t="n">
        <v>45</v>
      </c>
      <c r="G255" s="8">
        <f>IF($A255="",0,ROUND($E255*$F255,2))</f>
        <v/>
      </c>
    </row>
    <row r="256">
      <c r="A256" t="inlineStr">
        <is>
          <t>INV-2026-0143</t>
        </is>
      </c>
      <c r="B256" s="7" t="n">
        <v>46246</v>
      </c>
      <c r="C256" t="n">
        <v>2</v>
      </c>
      <c r="D256" t="inlineStr">
        <is>
          <t>20L Water Jar</t>
        </is>
      </c>
      <c r="E256" t="n">
        <v>28</v>
      </c>
      <c r="F256" s="8" t="n">
        <v>60</v>
      </c>
      <c r="G256" s="8">
        <f>IF($A256="",0,ROUND($E256*$F256,2))</f>
        <v/>
      </c>
    </row>
    <row r="257">
      <c r="A257" t="inlineStr">
        <is>
          <t>INV-2026-0144</t>
        </is>
      </c>
      <c r="B257" s="7" t="n">
        <v>46246</v>
      </c>
      <c r="C257" t="n">
        <v>1</v>
      </c>
      <c r="D257" t="inlineStr">
        <is>
          <t>500ml Bottle Case (24 pc)</t>
        </is>
      </c>
      <c r="E257" t="n">
        <v>13</v>
      </c>
      <c r="F257" s="8" t="n">
        <v>220</v>
      </c>
      <c r="G257" s="8">
        <f>IF($A257="",0,ROUND($E257*$F257,2))</f>
        <v/>
      </c>
    </row>
    <row r="258">
      <c r="A258" t="inlineStr">
        <is>
          <t>INV-2026-0145</t>
        </is>
      </c>
      <c r="B258" s="7" t="n">
        <v>46246</v>
      </c>
      <c r="C258" t="n">
        <v>1</v>
      </c>
      <c r="D258" t="inlineStr">
        <is>
          <t>20L Water Jar</t>
        </is>
      </c>
      <c r="E258" t="n">
        <v>32</v>
      </c>
      <c r="F258" s="8" t="n">
        <v>60</v>
      </c>
      <c r="G258" s="8">
        <f>IF($A258="",0,ROUND($E258*$F258,2))</f>
        <v/>
      </c>
    </row>
    <row r="259">
      <c r="A259" t="inlineStr">
        <is>
          <t>INV-2026-0145</t>
        </is>
      </c>
      <c r="B259" s="7" t="n">
        <v>46246</v>
      </c>
      <c r="C259" t="n">
        <v>2</v>
      </c>
      <c r="D259" t="inlineStr">
        <is>
          <t>500ml Bottle Case (24 pc)</t>
        </is>
      </c>
      <c r="E259" t="n">
        <v>34</v>
      </c>
      <c r="F259" s="8" t="n">
        <v>220</v>
      </c>
      <c r="G259" s="8">
        <f>IF($A259="",0,ROUND($E259*$F259,2))</f>
        <v/>
      </c>
    </row>
    <row r="260">
      <c r="A260" t="inlineStr">
        <is>
          <t>INV-2026-0146</t>
        </is>
      </c>
      <c r="B260" s="7" t="n">
        <v>46247</v>
      </c>
      <c r="C260" t="n">
        <v>1</v>
      </c>
      <c r="D260" t="inlineStr">
        <is>
          <t>20L Water Jar</t>
        </is>
      </c>
      <c r="E260" t="n">
        <v>10</v>
      </c>
      <c r="F260" s="8" t="n">
        <v>60</v>
      </c>
      <c r="G260" s="8">
        <f>IF($A260="",0,ROUND($E260*$F260,2))</f>
        <v/>
      </c>
    </row>
    <row r="261">
      <c r="A261" t="inlineStr">
        <is>
          <t>INV-2026-0147</t>
        </is>
      </c>
      <c r="B261" s="7" t="n">
        <v>46248</v>
      </c>
      <c r="C261" t="n">
        <v>1</v>
      </c>
      <c r="D261" t="inlineStr">
        <is>
          <t>5L Water Jar</t>
        </is>
      </c>
      <c r="E261" t="n">
        <v>34</v>
      </c>
      <c r="F261" s="8" t="n">
        <v>45</v>
      </c>
      <c r="G261" s="8">
        <f>IF($A261="",0,ROUND($E261*$F261,2))</f>
        <v/>
      </c>
    </row>
    <row r="262">
      <c r="A262" t="inlineStr">
        <is>
          <t>INV-2026-0147</t>
        </is>
      </c>
      <c r="B262" s="7" t="n">
        <v>46248</v>
      </c>
      <c r="C262" t="n">
        <v>2</v>
      </c>
      <c r="D262" t="inlineStr">
        <is>
          <t>1L Bottle Case (12 pc)</t>
        </is>
      </c>
      <c r="E262" t="n">
        <v>22</v>
      </c>
      <c r="F262" s="8" t="n">
        <v>240</v>
      </c>
      <c r="G262" s="8">
        <f>IF($A262="",0,ROUND($E262*$F262,2))</f>
        <v/>
      </c>
    </row>
    <row r="263">
      <c r="A263" t="inlineStr">
        <is>
          <t>INV-2026-0148</t>
        </is>
      </c>
      <c r="B263" s="7" t="n">
        <v>46248</v>
      </c>
      <c r="C263" t="n">
        <v>1</v>
      </c>
      <c r="D263" t="inlineStr">
        <is>
          <t>20L Water Jar</t>
        </is>
      </c>
      <c r="E263" t="n">
        <v>21</v>
      </c>
      <c r="F263" s="8" t="n">
        <v>60</v>
      </c>
      <c r="G263" s="8">
        <f>IF($A263="",0,ROUND($E263*$F263,2))</f>
        <v/>
      </c>
    </row>
    <row r="264">
      <c r="A264" t="inlineStr">
        <is>
          <t>INV-2026-0148</t>
        </is>
      </c>
      <c r="B264" s="7" t="n">
        <v>46248</v>
      </c>
      <c r="C264" t="n">
        <v>2</v>
      </c>
      <c r="D264" t="inlineStr">
        <is>
          <t>5L Water Jar</t>
        </is>
      </c>
      <c r="E264" t="n">
        <v>39</v>
      </c>
      <c r="F264" s="8" t="n">
        <v>45</v>
      </c>
      <c r="G264" s="8">
        <f>IF($A264="",0,ROUND($E264*$F264,2))</f>
        <v/>
      </c>
    </row>
    <row r="265">
      <c r="A265" t="inlineStr">
        <is>
          <t>INV-2026-0149</t>
        </is>
      </c>
      <c r="B265" s="7" t="n">
        <v>46248</v>
      </c>
      <c r="C265" t="n">
        <v>1</v>
      </c>
      <c r="D265" t="inlineStr">
        <is>
          <t>5L Water Jar</t>
        </is>
      </c>
      <c r="E265" t="n">
        <v>56</v>
      </c>
      <c r="F265" s="8" t="n">
        <v>45</v>
      </c>
      <c r="G265" s="8">
        <f>IF($A265="",0,ROUND($E265*$F265,2))</f>
        <v/>
      </c>
    </row>
    <row r="266">
      <c r="A266" t="inlineStr">
        <is>
          <t>INV-2026-0149</t>
        </is>
      </c>
      <c r="B266" s="7" t="n">
        <v>46248</v>
      </c>
      <c r="C266" t="n">
        <v>2</v>
      </c>
      <c r="D266" t="inlineStr">
        <is>
          <t>20L Water Jar</t>
        </is>
      </c>
      <c r="E266" t="n">
        <v>69</v>
      </c>
      <c r="F266" s="8" t="n">
        <v>60</v>
      </c>
      <c r="G266" s="8">
        <f>IF($A266="",0,ROUND($E266*$F266,2))</f>
        <v/>
      </c>
    </row>
    <row r="267">
      <c r="A267" t="inlineStr">
        <is>
          <t>INV-2026-0150</t>
        </is>
      </c>
      <c r="B267" s="7" t="n">
        <v>46249</v>
      </c>
      <c r="C267" t="n">
        <v>1</v>
      </c>
      <c r="D267" t="inlineStr">
        <is>
          <t>500ml Bottle Case (24 pc)</t>
        </is>
      </c>
      <c r="E267" t="n">
        <v>40</v>
      </c>
      <c r="F267" s="8" t="n">
        <v>220</v>
      </c>
      <c r="G267" s="8">
        <f>IF($A267="",0,ROUND($E267*$F267,2))</f>
        <v/>
      </c>
    </row>
    <row r="268">
      <c r="A268" t="inlineStr">
        <is>
          <t>INV-2026-0150</t>
        </is>
      </c>
      <c r="B268" s="7" t="n">
        <v>46249</v>
      </c>
      <c r="C268" t="n">
        <v>2</v>
      </c>
      <c r="D268" t="inlineStr">
        <is>
          <t>5L Water Jar</t>
        </is>
      </c>
      <c r="E268" t="n">
        <v>23</v>
      </c>
      <c r="F268" s="8" t="n">
        <v>45</v>
      </c>
      <c r="G268" s="8">
        <f>IF($A268="",0,ROUND($E268*$F268,2))</f>
        <v/>
      </c>
    </row>
    <row r="269">
      <c r="A269" t="inlineStr">
        <is>
          <t>INV-2026-0150</t>
        </is>
      </c>
      <c r="B269" s="7" t="n">
        <v>46249</v>
      </c>
      <c r="C269" t="n">
        <v>3</v>
      </c>
      <c r="D269" t="inlineStr">
        <is>
          <t>5L Water Jar</t>
        </is>
      </c>
      <c r="E269" t="n">
        <v>49</v>
      </c>
      <c r="F269" s="8" t="n">
        <v>45</v>
      </c>
      <c r="G269" s="8">
        <f>IF($A269="",0,ROUND($E269*$F269,2))</f>
        <v/>
      </c>
    </row>
    <row r="270">
      <c r="A270" t="inlineStr">
        <is>
          <t>INV-2026-0151</t>
        </is>
      </c>
      <c r="B270" s="7" t="n">
        <v>46251</v>
      </c>
      <c r="C270" t="n">
        <v>1</v>
      </c>
      <c r="D270" t="inlineStr">
        <is>
          <t>500ml Bottle Case (24 pc)</t>
        </is>
      </c>
      <c r="E270" t="n">
        <v>27</v>
      </c>
      <c r="F270" s="8" t="n">
        <v>220</v>
      </c>
      <c r="G270" s="8">
        <f>IF($A270="",0,ROUND($E270*$F270,2))</f>
        <v/>
      </c>
    </row>
    <row r="271">
      <c r="A271" t="inlineStr">
        <is>
          <t>INV-2026-0151</t>
        </is>
      </c>
      <c r="B271" s="7" t="n">
        <v>46251</v>
      </c>
      <c r="C271" t="n">
        <v>2</v>
      </c>
      <c r="D271" t="inlineStr">
        <is>
          <t>5L Water Jar</t>
        </is>
      </c>
      <c r="E271" t="n">
        <v>19</v>
      </c>
      <c r="F271" s="8" t="n">
        <v>45</v>
      </c>
      <c r="G271" s="8">
        <f>IF($A271="",0,ROUND($E271*$F271,2))</f>
        <v/>
      </c>
    </row>
    <row r="272">
      <c r="A272" t="inlineStr">
        <is>
          <t>INV-2026-0152</t>
        </is>
      </c>
      <c r="B272" s="7" t="n">
        <v>46252</v>
      </c>
      <c r="C272" t="n">
        <v>1</v>
      </c>
      <c r="D272" t="inlineStr">
        <is>
          <t>500ml Bottle Case (24 pc)</t>
        </is>
      </c>
      <c r="E272" t="n">
        <v>32</v>
      </c>
      <c r="F272" s="8" t="n">
        <v>220</v>
      </c>
      <c r="G272" s="8">
        <f>IF($A272="",0,ROUND($E272*$F272,2))</f>
        <v/>
      </c>
    </row>
    <row r="273">
      <c r="A273" t="inlineStr">
        <is>
          <t>INV-2026-0152</t>
        </is>
      </c>
      <c r="B273" s="7" t="n">
        <v>46252</v>
      </c>
      <c r="C273" t="n">
        <v>2</v>
      </c>
      <c r="D273" t="inlineStr">
        <is>
          <t>20L Water Jar</t>
        </is>
      </c>
      <c r="E273" t="n">
        <v>67</v>
      </c>
      <c r="F273" s="8" t="n">
        <v>60</v>
      </c>
      <c r="G273" s="8">
        <f>IF($A273="",0,ROUND($E273*$F273,2))</f>
        <v/>
      </c>
    </row>
    <row r="274">
      <c r="A274" t="inlineStr">
        <is>
          <t>INV-2026-0153</t>
        </is>
      </c>
      <c r="B274" s="7" t="n">
        <v>46253</v>
      </c>
      <c r="C274" t="n">
        <v>1</v>
      </c>
      <c r="D274" t="inlineStr">
        <is>
          <t>1L Bottle Case (12 pc)</t>
        </is>
      </c>
      <c r="E274" t="n">
        <v>25</v>
      </c>
      <c r="F274" s="8" t="n">
        <v>240</v>
      </c>
      <c r="G274" s="8">
        <f>IF($A274="",0,ROUND($E274*$F274,2))</f>
        <v/>
      </c>
    </row>
    <row r="275">
      <c r="A275" t="inlineStr">
        <is>
          <t>INV-2026-0153</t>
        </is>
      </c>
      <c r="B275" s="7" t="n">
        <v>46253</v>
      </c>
      <c r="C275" t="n">
        <v>2</v>
      </c>
      <c r="D275" t="inlineStr">
        <is>
          <t>Hot &amp; Cold Water Dispenser</t>
        </is>
      </c>
      <c r="E275" t="n">
        <v>1</v>
      </c>
      <c r="F275" s="8" t="n">
        <v>8500</v>
      </c>
      <c r="G275" s="8">
        <f>IF($A275="",0,ROUND($E275*$F275,2))</f>
        <v/>
      </c>
    </row>
    <row r="276">
      <c r="A276" t="inlineStr">
        <is>
          <t>INV-2026-0154</t>
        </is>
      </c>
      <c r="B276" s="7" t="n">
        <v>46254</v>
      </c>
      <c r="C276" t="n">
        <v>1</v>
      </c>
      <c r="D276" t="inlineStr">
        <is>
          <t>Paper Cups Pack (100 pc)</t>
        </is>
      </c>
      <c r="E276" t="n">
        <v>21</v>
      </c>
      <c r="F276" s="8" t="n">
        <v>90</v>
      </c>
      <c r="G276" s="8">
        <f>IF($A276="",0,ROUND($E276*$F276,2))</f>
        <v/>
      </c>
    </row>
    <row r="277">
      <c r="A277" t="inlineStr">
        <is>
          <t>INV-2026-0155</t>
        </is>
      </c>
      <c r="B277" s="7" t="n">
        <v>46254</v>
      </c>
      <c r="C277" t="n">
        <v>1</v>
      </c>
      <c r="D277" t="inlineStr">
        <is>
          <t>1L Bottle Case (12 pc)</t>
        </is>
      </c>
      <c r="E277" t="n">
        <v>14</v>
      </c>
      <c r="F277" s="8" t="n">
        <v>240</v>
      </c>
      <c r="G277" s="8">
        <f>IF($A277="",0,ROUND($E277*$F277,2))</f>
        <v/>
      </c>
    </row>
    <row r="278">
      <c r="A278" t="inlineStr">
        <is>
          <t>INV-2026-0156</t>
        </is>
      </c>
      <c r="B278" s="7" t="n">
        <v>46255</v>
      </c>
      <c r="C278" t="n">
        <v>1</v>
      </c>
      <c r="D278" t="inlineStr">
        <is>
          <t>20L Water Jar</t>
        </is>
      </c>
      <c r="E278" t="n">
        <v>57</v>
      </c>
      <c r="F278" s="8" t="n">
        <v>60</v>
      </c>
      <c r="G278" s="8">
        <f>IF($A278="",0,ROUND($E278*$F278,2))</f>
        <v/>
      </c>
    </row>
    <row r="279">
      <c r="A279" t="inlineStr">
        <is>
          <t>INV-2026-0156</t>
        </is>
      </c>
      <c r="B279" s="7" t="n">
        <v>46255</v>
      </c>
      <c r="C279" t="n">
        <v>2</v>
      </c>
      <c r="D279" t="inlineStr">
        <is>
          <t>500ml Bottle Case (24 pc)</t>
        </is>
      </c>
      <c r="E279" t="n">
        <v>5</v>
      </c>
      <c r="F279" s="8" t="n">
        <v>220</v>
      </c>
      <c r="G279" s="8">
        <f>IF($A279="",0,ROUND($E279*$F279,2))</f>
        <v/>
      </c>
    </row>
    <row r="280">
      <c r="A280" t="inlineStr">
        <is>
          <t>INV-2026-0157</t>
        </is>
      </c>
      <c r="B280" s="7" t="n">
        <v>46255</v>
      </c>
      <c r="C280" t="n">
        <v>1</v>
      </c>
      <c r="D280" t="inlineStr">
        <is>
          <t>500ml Bottle Case (24 pc)</t>
        </is>
      </c>
      <c r="E280" t="n">
        <v>20</v>
      </c>
      <c r="F280" s="8" t="n">
        <v>220</v>
      </c>
      <c r="G280" s="8">
        <f>IF($A280="",0,ROUND($E280*$F280,2))</f>
        <v/>
      </c>
    </row>
    <row r="281">
      <c r="A281" t="inlineStr">
        <is>
          <t>INV-2026-0157</t>
        </is>
      </c>
      <c r="B281" s="7" t="n">
        <v>46255</v>
      </c>
      <c r="C281" t="n">
        <v>2</v>
      </c>
      <c r="D281" t="inlineStr">
        <is>
          <t>500ml Bottle Case (24 pc)</t>
        </is>
      </c>
      <c r="E281" t="n">
        <v>5</v>
      </c>
      <c r="F281" s="8" t="n">
        <v>220</v>
      </c>
      <c r="G281" s="8">
        <f>IF($A281="",0,ROUND($E281*$F281,2))</f>
        <v/>
      </c>
    </row>
    <row r="282">
      <c r="A282" t="inlineStr">
        <is>
          <t>INV-2026-0157</t>
        </is>
      </c>
      <c r="B282" s="7" t="n">
        <v>46255</v>
      </c>
      <c r="C282" t="n">
        <v>3</v>
      </c>
      <c r="D282" t="inlineStr">
        <is>
          <t>500ml Bottle Case (24 pc)</t>
        </is>
      </c>
      <c r="E282" t="n">
        <v>25</v>
      </c>
      <c r="F282" s="8" t="n">
        <v>220</v>
      </c>
      <c r="G282" s="8">
        <f>IF($A282="",0,ROUND($E282*$F282,2))</f>
        <v/>
      </c>
    </row>
    <row r="283">
      <c r="A283" t="inlineStr">
        <is>
          <t>INV-2026-0158</t>
        </is>
      </c>
      <c r="B283" s="7" t="n">
        <v>46258</v>
      </c>
      <c r="C283" t="n">
        <v>1</v>
      </c>
      <c r="D283" t="inlineStr">
        <is>
          <t>500ml Bottle Case (24 pc)</t>
        </is>
      </c>
      <c r="E283" t="n">
        <v>15</v>
      </c>
      <c r="F283" s="8" t="n">
        <v>220</v>
      </c>
      <c r="G283" s="8">
        <f>IF($A283="",0,ROUND($E283*$F283,2))</f>
        <v/>
      </c>
    </row>
    <row r="284">
      <c r="A284" t="inlineStr">
        <is>
          <t>INV-2026-0159</t>
        </is>
      </c>
      <c r="B284" s="7" t="n">
        <v>46259</v>
      </c>
      <c r="C284" t="n">
        <v>1</v>
      </c>
      <c r="D284" t="inlineStr">
        <is>
          <t>5L Water Jar</t>
        </is>
      </c>
      <c r="E284" t="n">
        <v>15</v>
      </c>
      <c r="F284" s="8" t="n">
        <v>45</v>
      </c>
      <c r="G284" s="8">
        <f>IF($A284="",0,ROUND($E284*$F284,2))</f>
        <v/>
      </c>
    </row>
    <row r="285">
      <c r="A285" t="inlineStr">
        <is>
          <t>INV-2026-0160</t>
        </is>
      </c>
      <c r="B285" s="7" t="n">
        <v>46260</v>
      </c>
      <c r="C285" t="n">
        <v>1</v>
      </c>
      <c r="D285" t="inlineStr">
        <is>
          <t>1L Bottle Case (12 pc)</t>
        </is>
      </c>
      <c r="E285" t="n">
        <v>5</v>
      </c>
      <c r="F285" s="8" t="n">
        <v>240</v>
      </c>
      <c r="G285" s="8">
        <f>IF($A285="",0,ROUND($E285*$F285,2))</f>
        <v/>
      </c>
    </row>
    <row r="286">
      <c r="A286" t="inlineStr">
        <is>
          <t>INV-2026-0160</t>
        </is>
      </c>
      <c r="B286" s="7" t="n">
        <v>46260</v>
      </c>
      <c r="C286" t="n">
        <v>2</v>
      </c>
      <c r="D286" t="inlineStr">
        <is>
          <t>1L Bottle Case (12 pc)</t>
        </is>
      </c>
      <c r="E286" t="n">
        <v>24</v>
      </c>
      <c r="F286" s="8" t="n">
        <v>240</v>
      </c>
      <c r="G286" s="8">
        <f>IF($A286="",0,ROUND($E286*$F286,2))</f>
        <v/>
      </c>
    </row>
    <row r="287">
      <c r="A287" t="inlineStr">
        <is>
          <t>INV-2026-0160</t>
        </is>
      </c>
      <c r="B287" s="7" t="n">
        <v>46260</v>
      </c>
      <c r="C287" t="n">
        <v>3</v>
      </c>
      <c r="D287" t="inlineStr">
        <is>
          <t>20L Water Jar</t>
        </is>
      </c>
      <c r="E287" t="n">
        <v>70</v>
      </c>
      <c r="F287" s="8" t="n">
        <v>60</v>
      </c>
      <c r="G287" s="8">
        <f>IF($A287="",0,ROUND($E287*$F287,2))</f>
        <v/>
      </c>
    </row>
    <row r="288">
      <c r="A288" t="inlineStr">
        <is>
          <t>INV-2026-0161</t>
        </is>
      </c>
      <c r="B288" s="7" t="n">
        <v>46261</v>
      </c>
      <c r="C288" t="n">
        <v>1</v>
      </c>
      <c r="D288" t="inlineStr">
        <is>
          <t>Paper Cups Pack (100 pc)</t>
        </is>
      </c>
      <c r="E288" t="n">
        <v>19</v>
      </c>
      <c r="F288" s="8" t="n">
        <v>90</v>
      </c>
      <c r="G288" s="8">
        <f>IF($A288="",0,ROUND($E288*$F288,2))</f>
        <v/>
      </c>
    </row>
    <row r="289">
      <c r="A289" t="inlineStr">
        <is>
          <t>INV-2026-0162</t>
        </is>
      </c>
      <c r="B289" s="7" t="n">
        <v>46261</v>
      </c>
      <c r="C289" t="n">
        <v>1</v>
      </c>
      <c r="D289" t="inlineStr">
        <is>
          <t>500ml Bottle Case (24 pc)</t>
        </is>
      </c>
      <c r="E289" t="n">
        <v>5</v>
      </c>
      <c r="F289" s="8" t="n">
        <v>220</v>
      </c>
      <c r="G289" s="8">
        <f>IF($A289="",0,ROUND($E289*$F289,2))</f>
        <v/>
      </c>
    </row>
    <row r="290">
      <c r="A290" t="inlineStr">
        <is>
          <t>INV-2026-0163</t>
        </is>
      </c>
      <c r="B290" s="7" t="n">
        <v>46262</v>
      </c>
      <c r="C290" t="n">
        <v>1</v>
      </c>
      <c r="D290" t="inlineStr">
        <is>
          <t>500ml Bottle Case (24 pc)</t>
        </is>
      </c>
      <c r="E290" t="n">
        <v>19</v>
      </c>
      <c r="F290" s="8" t="n">
        <v>220</v>
      </c>
      <c r="G290" s="8">
        <f>IF($A290="",0,ROUND($E290*$F290,2))</f>
        <v/>
      </c>
    </row>
    <row r="291">
      <c r="A291" t="inlineStr">
        <is>
          <t>INV-2026-0164</t>
        </is>
      </c>
      <c r="B291" s="7" t="n">
        <v>46263</v>
      </c>
      <c r="C291" t="n">
        <v>1</v>
      </c>
      <c r="D291" t="inlineStr">
        <is>
          <t>20L Water Jar</t>
        </is>
      </c>
      <c r="E291" t="n">
        <v>31</v>
      </c>
      <c r="F291" s="8" t="n">
        <v>60</v>
      </c>
      <c r="G291" s="8">
        <f>IF($A291="",0,ROUND($E291*$F291,2))</f>
        <v/>
      </c>
    </row>
    <row r="292">
      <c r="A292" t="inlineStr">
        <is>
          <t>INV-2026-0164</t>
        </is>
      </c>
      <c r="B292" s="7" t="n">
        <v>46263</v>
      </c>
      <c r="C292" t="n">
        <v>2</v>
      </c>
      <c r="D292" t="inlineStr">
        <is>
          <t>Hot &amp; Cold Water Dispenser</t>
        </is>
      </c>
      <c r="E292" t="n">
        <v>2</v>
      </c>
      <c r="F292" s="8" t="n">
        <v>8500</v>
      </c>
      <c r="G292" s="8">
        <f>IF($A292="",0,ROUND($E292*$F292,2))</f>
        <v/>
      </c>
    </row>
    <row r="293">
      <c r="A293" t="inlineStr">
        <is>
          <t>INV-2026-0165</t>
        </is>
      </c>
      <c r="B293" s="7" t="n">
        <v>46264</v>
      </c>
      <c r="C293" t="n">
        <v>1</v>
      </c>
      <c r="D293" t="inlineStr">
        <is>
          <t>500ml Bottle Case (24 pc)</t>
        </is>
      </c>
      <c r="E293" t="n">
        <v>21</v>
      </c>
      <c r="F293" s="8" t="n">
        <v>220</v>
      </c>
      <c r="G293" s="8">
        <f>IF($A293="",0,ROUND($E293*$F293,2))</f>
        <v/>
      </c>
    </row>
    <row r="294">
      <c r="A294" t="inlineStr">
        <is>
          <t>INV-2026-0165</t>
        </is>
      </c>
      <c r="B294" s="7" t="n">
        <v>46264</v>
      </c>
      <c r="C294" t="n">
        <v>2</v>
      </c>
      <c r="D294" t="inlineStr">
        <is>
          <t>20L Water Jar</t>
        </is>
      </c>
      <c r="E294" t="n">
        <v>34</v>
      </c>
      <c r="F294" s="8" t="n">
        <v>60</v>
      </c>
      <c r="G294" s="8">
        <f>IF($A294="",0,ROUND($E294*$F294,2))</f>
        <v/>
      </c>
    </row>
    <row r="295">
      <c r="A295" t="inlineStr">
        <is>
          <t>INV-2026-0165</t>
        </is>
      </c>
      <c r="B295" s="7" t="n">
        <v>46264</v>
      </c>
      <c r="C295" t="n">
        <v>3</v>
      </c>
      <c r="D295" t="inlineStr">
        <is>
          <t>20L Water Jar</t>
        </is>
      </c>
      <c r="E295" t="n">
        <v>21</v>
      </c>
      <c r="F295" s="8" t="n">
        <v>60</v>
      </c>
      <c r="G295" s="8">
        <f>IF($A295="",0,ROUND($E295*$F295,2))</f>
        <v/>
      </c>
    </row>
    <row r="296">
      <c r="A296" t="inlineStr">
        <is>
          <t>INV-2026-0166</t>
        </is>
      </c>
      <c r="B296" s="7" t="n">
        <v>46265</v>
      </c>
      <c r="C296" t="n">
        <v>1</v>
      </c>
      <c r="D296" t="inlineStr">
        <is>
          <t>20L Water Jar</t>
        </is>
      </c>
      <c r="E296" t="n">
        <v>66</v>
      </c>
      <c r="F296" s="8" t="n">
        <v>60</v>
      </c>
      <c r="G296" s="8">
        <f>IF($A296="",0,ROUND($E296*$F296,2))</f>
        <v/>
      </c>
    </row>
    <row r="297">
      <c r="A297" t="inlineStr">
        <is>
          <t>INV-2026-0166</t>
        </is>
      </c>
      <c r="B297" s="7" t="n">
        <v>46265</v>
      </c>
      <c r="C297" t="n">
        <v>2</v>
      </c>
      <c r="D297" t="inlineStr">
        <is>
          <t>500ml Bottle Case (24 pc)</t>
        </is>
      </c>
      <c r="E297" t="n">
        <v>6</v>
      </c>
      <c r="F297" s="8" t="n">
        <v>220</v>
      </c>
      <c r="G297" s="8">
        <f>IF($A297="",0,ROUND($E297*$F297,2))</f>
        <v/>
      </c>
    </row>
    <row r="298">
      <c r="A298" t="inlineStr">
        <is>
          <t>INV-2026-0167</t>
        </is>
      </c>
      <c r="B298" s="7" t="n">
        <v>46266</v>
      </c>
      <c r="C298" t="n">
        <v>1</v>
      </c>
      <c r="D298" t="inlineStr">
        <is>
          <t>5L Water Jar</t>
        </is>
      </c>
      <c r="E298" t="n">
        <v>11</v>
      </c>
      <c r="F298" s="8" t="n">
        <v>45</v>
      </c>
      <c r="G298" s="8">
        <f>IF($A298="",0,ROUND($E298*$F298,2))</f>
        <v/>
      </c>
    </row>
    <row r="299">
      <c r="A299" t="inlineStr">
        <is>
          <t>INV-2026-0168</t>
        </is>
      </c>
      <c r="B299" s="7" t="n">
        <v>46266</v>
      </c>
      <c r="C299" t="n">
        <v>1</v>
      </c>
      <c r="D299" t="inlineStr">
        <is>
          <t>20L Water Jar</t>
        </is>
      </c>
      <c r="E299" t="n">
        <v>48</v>
      </c>
      <c r="F299" s="8" t="n">
        <v>60</v>
      </c>
      <c r="G299" s="8">
        <f>IF($A299="",0,ROUND($E299*$F299,2))</f>
        <v/>
      </c>
    </row>
    <row r="300">
      <c r="A300" t="inlineStr">
        <is>
          <t>INV-2026-0169</t>
        </is>
      </c>
      <c r="B300" s="7" t="n">
        <v>46267</v>
      </c>
      <c r="C300" t="n">
        <v>1</v>
      </c>
      <c r="D300" t="inlineStr">
        <is>
          <t>1L Bottle Case (12 pc)</t>
        </is>
      </c>
      <c r="E300" t="n">
        <v>28</v>
      </c>
      <c r="F300" s="8" t="n">
        <v>240</v>
      </c>
      <c r="G300" s="8">
        <f>IF($A300="",0,ROUND($E300*$F300,2))</f>
        <v/>
      </c>
    </row>
    <row r="301">
      <c r="A301" t="inlineStr">
        <is>
          <t>INV-2026-0169</t>
        </is>
      </c>
      <c r="B301" s="7" t="n">
        <v>46267</v>
      </c>
      <c r="C301" t="n">
        <v>2</v>
      </c>
      <c r="D301" t="inlineStr">
        <is>
          <t>20L Water Jar</t>
        </is>
      </c>
      <c r="E301" t="n">
        <v>64</v>
      </c>
      <c r="F301" s="8" t="n">
        <v>60</v>
      </c>
      <c r="G301" s="8">
        <f>IF($A301="",0,ROUND($E301*$F301,2))</f>
        <v/>
      </c>
    </row>
    <row r="302">
      <c r="A302" t="inlineStr">
        <is>
          <t>INV-2026-0169</t>
        </is>
      </c>
      <c r="B302" s="7" t="n">
        <v>46267</v>
      </c>
      <c r="C302" t="n">
        <v>3</v>
      </c>
      <c r="D302" t="inlineStr">
        <is>
          <t>1L Bottle Case (12 pc)</t>
        </is>
      </c>
      <c r="E302" t="n">
        <v>14</v>
      </c>
      <c r="F302" s="8" t="n">
        <v>240</v>
      </c>
      <c r="G302" s="8">
        <f>IF($A302="",0,ROUND($E302*$F302,2))</f>
        <v/>
      </c>
    </row>
    <row r="303">
      <c r="A303" t="inlineStr">
        <is>
          <t>INV-2026-0170</t>
        </is>
      </c>
      <c r="B303" s="7" t="n">
        <v>46267</v>
      </c>
      <c r="C303" t="n">
        <v>1</v>
      </c>
      <c r="D303" t="inlineStr">
        <is>
          <t>1L Bottle Case (12 pc)</t>
        </is>
      </c>
      <c r="E303" t="n">
        <v>29</v>
      </c>
      <c r="F303" s="8" t="n">
        <v>240</v>
      </c>
      <c r="G303" s="8">
        <f>IF($A303="",0,ROUND($E303*$F303,2))</f>
        <v/>
      </c>
    </row>
    <row r="304">
      <c r="A304" t="inlineStr">
        <is>
          <t>INV-2026-0170</t>
        </is>
      </c>
      <c r="B304" s="7" t="n">
        <v>46267</v>
      </c>
      <c r="C304" t="n">
        <v>2</v>
      </c>
      <c r="D304" t="inlineStr">
        <is>
          <t>20L Water Jar</t>
        </is>
      </c>
      <c r="E304" t="n">
        <v>19</v>
      </c>
      <c r="F304" s="8" t="n">
        <v>60</v>
      </c>
      <c r="G304" s="8">
        <f>IF($A304="",0,ROUND($E304*$F304,2))</f>
        <v/>
      </c>
    </row>
    <row r="305">
      <c r="A305" t="inlineStr">
        <is>
          <t>INV-2026-0171</t>
        </is>
      </c>
      <c r="B305" s="7" t="n">
        <v>46269</v>
      </c>
      <c r="C305" t="n">
        <v>1</v>
      </c>
      <c r="D305" t="inlineStr">
        <is>
          <t>1L Bottle Case (12 pc)</t>
        </is>
      </c>
      <c r="E305" t="n">
        <v>17</v>
      </c>
      <c r="F305" s="8" t="n">
        <v>240</v>
      </c>
      <c r="G305" s="8">
        <f>IF($A305="",0,ROUND($E305*$F305,2))</f>
        <v/>
      </c>
    </row>
    <row r="306">
      <c r="A306" t="inlineStr">
        <is>
          <t>INV-2026-0172</t>
        </is>
      </c>
      <c r="B306" s="7" t="n">
        <v>46270</v>
      </c>
      <c r="C306" t="n">
        <v>1</v>
      </c>
      <c r="D306" t="inlineStr">
        <is>
          <t>1L Bottle Case (12 pc)</t>
        </is>
      </c>
      <c r="E306" t="n">
        <v>28</v>
      </c>
      <c r="F306" s="8" t="n">
        <v>240</v>
      </c>
      <c r="G306" s="8">
        <f>IF($A306="",0,ROUND($E306*$F306,2))</f>
        <v/>
      </c>
    </row>
    <row r="307">
      <c r="A307" t="inlineStr">
        <is>
          <t>INV-2026-0173</t>
        </is>
      </c>
      <c r="B307" s="7" t="n">
        <v>46274</v>
      </c>
      <c r="C307" t="n">
        <v>1</v>
      </c>
      <c r="D307" t="inlineStr">
        <is>
          <t>20L Water Jar</t>
        </is>
      </c>
      <c r="E307" t="n">
        <v>46</v>
      </c>
      <c r="F307" s="8" t="n">
        <v>60</v>
      </c>
      <c r="G307" s="8">
        <f>IF($A307="",0,ROUND($E307*$F307,2))</f>
        <v/>
      </c>
    </row>
    <row r="308">
      <c r="A308" t="inlineStr">
        <is>
          <t>INV-2026-0174</t>
        </is>
      </c>
      <c r="B308" s="7" t="n">
        <v>46274</v>
      </c>
      <c r="C308" t="n">
        <v>1</v>
      </c>
      <c r="D308" t="inlineStr">
        <is>
          <t>20L Water Jar</t>
        </is>
      </c>
      <c r="E308" t="n">
        <v>55</v>
      </c>
      <c r="F308" s="8" t="n">
        <v>60</v>
      </c>
      <c r="G308" s="8">
        <f>IF($A308="",0,ROUND($E308*$F308,2))</f>
        <v/>
      </c>
    </row>
    <row r="309">
      <c r="A309" t="inlineStr">
        <is>
          <t>INV-2026-0174</t>
        </is>
      </c>
      <c r="B309" s="7" t="n">
        <v>46274</v>
      </c>
      <c r="C309" t="n">
        <v>2</v>
      </c>
      <c r="D309" t="inlineStr">
        <is>
          <t>20L Water Jar</t>
        </is>
      </c>
      <c r="E309" t="n">
        <v>69</v>
      </c>
      <c r="F309" s="8" t="n">
        <v>60</v>
      </c>
      <c r="G309" s="8">
        <f>IF($A309="",0,ROUND($E309*$F309,2))</f>
        <v/>
      </c>
    </row>
    <row r="310">
      <c r="A310" t="inlineStr">
        <is>
          <t>INV-2026-0175</t>
        </is>
      </c>
      <c r="B310" s="7" t="n">
        <v>46275</v>
      </c>
      <c r="C310" t="n">
        <v>1</v>
      </c>
      <c r="D310" t="inlineStr">
        <is>
          <t>20L Water Jar</t>
        </is>
      </c>
      <c r="E310" t="n">
        <v>80</v>
      </c>
      <c r="F310" s="8" t="n">
        <v>60</v>
      </c>
      <c r="G310" s="8">
        <f>IF($A310="",0,ROUND($E310*$F310,2))</f>
        <v/>
      </c>
    </row>
    <row r="311">
      <c r="A311" t="inlineStr">
        <is>
          <t>INV-2026-0175</t>
        </is>
      </c>
      <c r="B311" s="7" t="n">
        <v>46275</v>
      </c>
      <c r="C311" t="n">
        <v>2</v>
      </c>
      <c r="D311" t="inlineStr">
        <is>
          <t>20L Water Jar</t>
        </is>
      </c>
      <c r="E311" t="n">
        <v>75</v>
      </c>
      <c r="F311" s="8" t="n">
        <v>60</v>
      </c>
      <c r="G311" s="8">
        <f>IF($A311="",0,ROUND($E311*$F311,2))</f>
        <v/>
      </c>
    </row>
    <row r="312">
      <c r="A312" t="inlineStr">
        <is>
          <t>INV-2026-0175</t>
        </is>
      </c>
      <c r="B312" s="7" t="n">
        <v>46275</v>
      </c>
      <c r="C312" t="n">
        <v>3</v>
      </c>
      <c r="D312" t="inlineStr">
        <is>
          <t>1L Bottle Case (12 pc)</t>
        </is>
      </c>
      <c r="E312" t="n">
        <v>6</v>
      </c>
      <c r="F312" s="8" t="n">
        <v>240</v>
      </c>
      <c r="G312" s="8">
        <f>IF($A312="",0,ROUND($E312*$F312,2))</f>
        <v/>
      </c>
    </row>
    <row r="313">
      <c r="A313" t="inlineStr">
        <is>
          <t>INV-2026-0176</t>
        </is>
      </c>
      <c r="B313" s="7" t="n">
        <v>46275</v>
      </c>
      <c r="C313" t="n">
        <v>1</v>
      </c>
      <c r="D313" t="inlineStr">
        <is>
          <t>1L Bottle Case (12 pc)</t>
        </is>
      </c>
      <c r="E313" t="n">
        <v>8</v>
      </c>
      <c r="F313" s="8" t="n">
        <v>240</v>
      </c>
      <c r="G313" s="8">
        <f>IF($A313="",0,ROUND($E313*$F313,2))</f>
        <v/>
      </c>
    </row>
    <row r="314">
      <c r="A314" t="inlineStr">
        <is>
          <t>INV-2026-0177</t>
        </is>
      </c>
      <c r="B314" s="7" t="n">
        <v>46275</v>
      </c>
      <c r="C314" t="n">
        <v>1</v>
      </c>
      <c r="D314" t="inlineStr">
        <is>
          <t>20L Water Jar</t>
        </is>
      </c>
      <c r="E314" t="n">
        <v>12</v>
      </c>
      <c r="F314" s="8" t="n">
        <v>60</v>
      </c>
      <c r="G314" s="8">
        <f>IF($A314="",0,ROUND($E314*$F314,2))</f>
        <v/>
      </c>
    </row>
    <row r="315">
      <c r="A315" t="inlineStr">
        <is>
          <t>INV-2026-0177</t>
        </is>
      </c>
      <c r="B315" s="7" t="n">
        <v>46275</v>
      </c>
      <c r="C315" t="n">
        <v>2</v>
      </c>
      <c r="D315" t="inlineStr">
        <is>
          <t>500ml Bottle Case (24 pc)</t>
        </is>
      </c>
      <c r="E315" t="n">
        <v>22</v>
      </c>
      <c r="F315" s="8" t="n">
        <v>220</v>
      </c>
      <c r="G315" s="8">
        <f>IF($A315="",0,ROUND($E315*$F315,2))</f>
        <v/>
      </c>
    </row>
    <row r="316">
      <c r="A316" t="inlineStr">
        <is>
          <t>INV-2026-0178</t>
        </is>
      </c>
      <c r="B316" s="7" t="n">
        <v>46276</v>
      </c>
      <c r="C316" t="n">
        <v>1</v>
      </c>
      <c r="D316" t="inlineStr">
        <is>
          <t>20L Water Jar</t>
        </is>
      </c>
      <c r="E316" t="n">
        <v>22</v>
      </c>
      <c r="F316" s="8" t="n">
        <v>60</v>
      </c>
      <c r="G316" s="8">
        <f>IF($A316="",0,ROUND($E316*$F316,2))</f>
        <v/>
      </c>
    </row>
    <row r="317">
      <c r="A317" t="inlineStr">
        <is>
          <t>INV-2026-0179</t>
        </is>
      </c>
      <c r="B317" s="7" t="n">
        <v>46277</v>
      </c>
      <c r="C317" t="n">
        <v>1</v>
      </c>
      <c r="D317" t="inlineStr">
        <is>
          <t>20L Water Jar</t>
        </is>
      </c>
      <c r="E317" t="n">
        <v>66</v>
      </c>
      <c r="F317" s="8" t="n">
        <v>60</v>
      </c>
      <c r="G317" s="8">
        <f>IF($A317="",0,ROUND($E317*$F317,2))</f>
        <v/>
      </c>
    </row>
    <row r="318">
      <c r="A318" t="inlineStr">
        <is>
          <t>INV-2026-0179</t>
        </is>
      </c>
      <c r="B318" s="7" t="n">
        <v>46277</v>
      </c>
      <c r="C318" t="n">
        <v>2</v>
      </c>
      <c r="D318" t="inlineStr">
        <is>
          <t>1L Bottle Case (12 pc)</t>
        </is>
      </c>
      <c r="E318" t="n">
        <v>29</v>
      </c>
      <c r="F318" s="8" t="n">
        <v>240</v>
      </c>
      <c r="G318" s="8">
        <f>IF($A318="",0,ROUND($E318*$F318,2))</f>
        <v/>
      </c>
    </row>
    <row r="319">
      <c r="A319" t="inlineStr">
        <is>
          <t>INV-2026-0180</t>
        </is>
      </c>
      <c r="B319" s="7" t="n">
        <v>46279</v>
      </c>
      <c r="C319" t="n">
        <v>1</v>
      </c>
      <c r="D319" t="inlineStr">
        <is>
          <t>1L Bottle Case (12 pc)</t>
        </is>
      </c>
      <c r="E319" t="n">
        <v>34</v>
      </c>
      <c r="F319" s="8" t="n">
        <v>240</v>
      </c>
      <c r="G319" s="8">
        <f>IF($A319="",0,ROUND($E319*$F319,2))</f>
        <v/>
      </c>
    </row>
    <row r="320">
      <c r="A320" t="inlineStr">
        <is>
          <t>INV-2026-0181</t>
        </is>
      </c>
      <c r="B320" s="7" t="n">
        <v>46280</v>
      </c>
      <c r="C320" t="n">
        <v>1</v>
      </c>
      <c r="D320" t="inlineStr">
        <is>
          <t>1L Bottle Case (12 pc)</t>
        </is>
      </c>
      <c r="E320" t="n">
        <v>35</v>
      </c>
      <c r="F320" s="8" t="n">
        <v>240</v>
      </c>
      <c r="G320" s="8">
        <f>IF($A320="",0,ROUND($E320*$F320,2))</f>
        <v/>
      </c>
    </row>
    <row r="321">
      <c r="A321" t="inlineStr">
        <is>
          <t>INV-2026-0181</t>
        </is>
      </c>
      <c r="B321" s="7" t="n">
        <v>46280</v>
      </c>
      <c r="C321" t="n">
        <v>2</v>
      </c>
      <c r="D321" t="inlineStr">
        <is>
          <t>1L Bottle Case (12 pc)</t>
        </is>
      </c>
      <c r="E321" t="n">
        <v>25</v>
      </c>
      <c r="F321" s="8" t="n">
        <v>240</v>
      </c>
      <c r="G321" s="8">
        <f>IF($A321="",0,ROUND($E321*$F321,2))</f>
        <v/>
      </c>
    </row>
    <row r="322">
      <c r="A322" t="inlineStr">
        <is>
          <t>INV-2026-0182</t>
        </is>
      </c>
      <c r="B322" s="7" t="n">
        <v>46282</v>
      </c>
      <c r="C322" t="n">
        <v>1</v>
      </c>
      <c r="D322" t="inlineStr">
        <is>
          <t>1L Bottle Case (12 pc)</t>
        </is>
      </c>
      <c r="E322" t="n">
        <v>8</v>
      </c>
      <c r="F322" s="8" t="n">
        <v>240</v>
      </c>
      <c r="G322" s="8">
        <f>IF($A322="",0,ROUND($E322*$F322,2))</f>
        <v/>
      </c>
    </row>
    <row r="323">
      <c r="A323" t="inlineStr">
        <is>
          <t>INV-2026-0182</t>
        </is>
      </c>
      <c r="B323" s="7" t="n">
        <v>46282</v>
      </c>
      <c r="C323" t="n">
        <v>2</v>
      </c>
      <c r="D323" t="inlineStr">
        <is>
          <t>20L Water Jar</t>
        </is>
      </c>
      <c r="E323" t="n">
        <v>32</v>
      </c>
      <c r="F323" s="8" t="n">
        <v>60</v>
      </c>
      <c r="G323" s="8">
        <f>IF($A323="",0,ROUND($E323*$F323,2))</f>
        <v/>
      </c>
    </row>
    <row r="324">
      <c r="A324" t="inlineStr">
        <is>
          <t>INV-2026-0182</t>
        </is>
      </c>
      <c r="B324" s="7" t="n">
        <v>46282</v>
      </c>
      <c r="C324" t="n">
        <v>3</v>
      </c>
      <c r="D324" t="inlineStr">
        <is>
          <t>1L Bottle Case (12 pc)</t>
        </is>
      </c>
      <c r="E324" t="n">
        <v>39</v>
      </c>
      <c r="F324" s="8" t="n">
        <v>240</v>
      </c>
      <c r="G324" s="8">
        <f>IF($A324="",0,ROUND($E324*$F324,2))</f>
        <v/>
      </c>
    </row>
    <row r="325">
      <c r="A325" t="inlineStr">
        <is>
          <t>INV-2026-0183</t>
        </is>
      </c>
      <c r="B325" s="7" t="n">
        <v>46282</v>
      </c>
      <c r="C325" t="n">
        <v>1</v>
      </c>
      <c r="D325" t="inlineStr">
        <is>
          <t>1L Bottle Case (12 pc)</t>
        </is>
      </c>
      <c r="E325" t="n">
        <v>39</v>
      </c>
      <c r="F325" s="8" t="n">
        <v>240</v>
      </c>
      <c r="G325" s="8">
        <f>IF($A325="",0,ROUND($E325*$F325,2))</f>
        <v/>
      </c>
    </row>
    <row r="326">
      <c r="A326" t="inlineStr">
        <is>
          <t>INV-2026-0183</t>
        </is>
      </c>
      <c r="B326" s="7" t="n">
        <v>46282</v>
      </c>
      <c r="C326" t="n">
        <v>2</v>
      </c>
      <c r="D326" t="inlineStr">
        <is>
          <t>1L Bottle Case (12 pc)</t>
        </is>
      </c>
      <c r="E326" t="n">
        <v>17</v>
      </c>
      <c r="F326" s="8" t="n">
        <v>240</v>
      </c>
      <c r="G326" s="8">
        <f>IF($A326="",0,ROUND($E326*$F326,2))</f>
        <v/>
      </c>
    </row>
    <row r="327">
      <c r="A327" t="inlineStr">
        <is>
          <t>INV-2026-0184</t>
        </is>
      </c>
      <c r="B327" s="7" t="n">
        <v>46283</v>
      </c>
      <c r="C327" t="n">
        <v>1</v>
      </c>
      <c r="D327" t="inlineStr">
        <is>
          <t>500ml Bottle Case (24 pc)</t>
        </is>
      </c>
      <c r="E327" t="n">
        <v>29</v>
      </c>
      <c r="F327" s="8" t="n">
        <v>220</v>
      </c>
      <c r="G327" s="8">
        <f>IF($A327="",0,ROUND($E327*$F327,2))</f>
        <v/>
      </c>
    </row>
    <row r="328">
      <c r="A328" t="inlineStr">
        <is>
          <t>INV-2026-0185</t>
        </is>
      </c>
      <c r="B328" s="7" t="n">
        <v>46283</v>
      </c>
      <c r="C328" t="n">
        <v>1</v>
      </c>
      <c r="D328" t="inlineStr">
        <is>
          <t>1L Bottle Case (12 pc)</t>
        </is>
      </c>
      <c r="E328" t="n">
        <v>6</v>
      </c>
      <c r="F328" s="8" t="n">
        <v>240</v>
      </c>
      <c r="G328" s="8">
        <f>IF($A328="",0,ROUND($E328*$F328,2))</f>
        <v/>
      </c>
    </row>
    <row r="329">
      <c r="A329" t="inlineStr">
        <is>
          <t>INV-2026-0185</t>
        </is>
      </c>
      <c r="B329" s="7" t="n">
        <v>46283</v>
      </c>
      <c r="C329" t="n">
        <v>2</v>
      </c>
      <c r="D329" t="inlineStr">
        <is>
          <t>20L Water Jar</t>
        </is>
      </c>
      <c r="E329" t="n">
        <v>65</v>
      </c>
      <c r="F329" s="8" t="n">
        <v>60</v>
      </c>
      <c r="G329" s="8">
        <f>IF($A329="",0,ROUND($E329*$F329,2))</f>
        <v/>
      </c>
    </row>
    <row r="330">
      <c r="A330" t="inlineStr">
        <is>
          <t>INV-2026-0185</t>
        </is>
      </c>
      <c r="B330" s="7" t="n">
        <v>46283</v>
      </c>
      <c r="C330" t="n">
        <v>3</v>
      </c>
      <c r="D330" t="inlineStr">
        <is>
          <t>20L Water Jar</t>
        </is>
      </c>
      <c r="E330" t="n">
        <v>32</v>
      </c>
      <c r="F330" s="8" t="n">
        <v>60</v>
      </c>
      <c r="G330" s="8">
        <f>IF($A330="",0,ROUND($E330*$F330,2))</f>
        <v/>
      </c>
    </row>
    <row r="331">
      <c r="A331" t="inlineStr">
        <is>
          <t>INV-2026-0186</t>
        </is>
      </c>
      <c r="B331" s="7" t="n">
        <v>46284</v>
      </c>
      <c r="C331" t="n">
        <v>1</v>
      </c>
      <c r="D331" t="inlineStr">
        <is>
          <t>20L Water Jar</t>
        </is>
      </c>
      <c r="E331" t="n">
        <v>60</v>
      </c>
      <c r="F331" s="8" t="n">
        <v>60</v>
      </c>
      <c r="G331" s="8">
        <f>IF($A331="",0,ROUND($E331*$F331,2))</f>
        <v/>
      </c>
    </row>
    <row r="332">
      <c r="A332" t="inlineStr">
        <is>
          <t>INV-2026-0187</t>
        </is>
      </c>
      <c r="B332" s="7" t="n">
        <v>46285</v>
      </c>
      <c r="C332" t="n">
        <v>1</v>
      </c>
      <c r="D332" t="inlineStr">
        <is>
          <t>5L Water Jar</t>
        </is>
      </c>
      <c r="E332" t="n">
        <v>32</v>
      </c>
      <c r="F332" s="8" t="n">
        <v>45</v>
      </c>
      <c r="G332" s="8">
        <f>IF($A332="",0,ROUND($E332*$F332,2))</f>
        <v/>
      </c>
    </row>
    <row r="333">
      <c r="A333" t="inlineStr">
        <is>
          <t>INV-2026-0187</t>
        </is>
      </c>
      <c r="B333" s="7" t="n">
        <v>46285</v>
      </c>
      <c r="C333" t="n">
        <v>2</v>
      </c>
      <c r="D333" t="inlineStr">
        <is>
          <t>1L Bottle Case (12 pc)</t>
        </is>
      </c>
      <c r="E333" t="n">
        <v>29</v>
      </c>
      <c r="F333" s="8" t="n">
        <v>240</v>
      </c>
      <c r="G333" s="8">
        <f>IF($A333="",0,ROUND($E333*$F333,2))</f>
        <v/>
      </c>
    </row>
    <row r="334">
      <c r="A334" t="inlineStr">
        <is>
          <t>INV-2026-0187</t>
        </is>
      </c>
      <c r="B334" s="7" t="n">
        <v>46285</v>
      </c>
      <c r="C334" t="n">
        <v>3</v>
      </c>
      <c r="D334" t="inlineStr">
        <is>
          <t>500ml Bottle Case (24 pc)</t>
        </is>
      </c>
      <c r="E334" t="n">
        <v>10</v>
      </c>
      <c r="F334" s="8" t="n">
        <v>220</v>
      </c>
      <c r="G334" s="8">
        <f>IF($A334="",0,ROUND($E334*$F334,2))</f>
        <v/>
      </c>
    </row>
    <row r="335">
      <c r="A335" t="inlineStr">
        <is>
          <t>INV-2026-0188</t>
        </is>
      </c>
      <c r="B335" s="7" t="n">
        <v>46286</v>
      </c>
      <c r="C335" t="n">
        <v>1</v>
      </c>
      <c r="D335" t="inlineStr">
        <is>
          <t>20L Water Jar</t>
        </is>
      </c>
      <c r="E335" t="n">
        <v>33</v>
      </c>
      <c r="F335" s="8" t="n">
        <v>60</v>
      </c>
      <c r="G335" s="8">
        <f>IF($A335="",0,ROUND($E335*$F335,2))</f>
        <v/>
      </c>
    </row>
    <row r="336">
      <c r="A336" t="inlineStr">
        <is>
          <t>INV-2026-0189</t>
        </is>
      </c>
      <c r="B336" s="7" t="n">
        <v>46287</v>
      </c>
      <c r="C336" t="n">
        <v>1</v>
      </c>
      <c r="D336" t="inlineStr">
        <is>
          <t>1L Bottle Case (12 pc)</t>
        </is>
      </c>
      <c r="E336" t="n">
        <v>35</v>
      </c>
      <c r="F336" s="8" t="n">
        <v>240</v>
      </c>
      <c r="G336" s="8">
        <f>IF($A336="",0,ROUND($E336*$F336,2))</f>
        <v/>
      </c>
    </row>
    <row r="337">
      <c r="A337" t="inlineStr">
        <is>
          <t>INV-2026-0189</t>
        </is>
      </c>
      <c r="B337" s="7" t="n">
        <v>46287</v>
      </c>
      <c r="C337" t="n">
        <v>2</v>
      </c>
      <c r="D337" t="inlineStr">
        <is>
          <t>Paper Cups Pack (100 pc)</t>
        </is>
      </c>
      <c r="E337" t="n">
        <v>8</v>
      </c>
      <c r="F337" s="8" t="n">
        <v>90</v>
      </c>
      <c r="G337" s="8">
        <f>IF($A337="",0,ROUND($E337*$F337,2))</f>
        <v/>
      </c>
    </row>
    <row r="338">
      <c r="A338" t="inlineStr">
        <is>
          <t>INV-2026-0189</t>
        </is>
      </c>
      <c r="B338" s="7" t="n">
        <v>46287</v>
      </c>
      <c r="C338" t="n">
        <v>3</v>
      </c>
      <c r="D338" t="inlineStr">
        <is>
          <t>1L Bottle Case (12 pc)</t>
        </is>
      </c>
      <c r="E338" t="n">
        <v>38</v>
      </c>
      <c r="F338" s="8" t="n">
        <v>240</v>
      </c>
      <c r="G338" s="8">
        <f>IF($A338="",0,ROUND($E338*$F338,2))</f>
        <v/>
      </c>
    </row>
    <row r="339">
      <c r="A339" t="inlineStr">
        <is>
          <t>INV-2026-0190</t>
        </is>
      </c>
      <c r="B339" s="7" t="n">
        <v>46287</v>
      </c>
      <c r="C339" t="n">
        <v>1</v>
      </c>
      <c r="D339" t="inlineStr">
        <is>
          <t>5L Water Jar</t>
        </is>
      </c>
      <c r="E339" t="n">
        <v>33</v>
      </c>
      <c r="F339" s="8" t="n">
        <v>45</v>
      </c>
      <c r="G339" s="8">
        <f>IF($A339="",0,ROUND($E339*$F339,2))</f>
        <v/>
      </c>
    </row>
    <row r="340">
      <c r="A340" t="inlineStr">
        <is>
          <t>INV-2026-0190</t>
        </is>
      </c>
      <c r="B340" s="7" t="n">
        <v>46287</v>
      </c>
      <c r="C340" t="n">
        <v>2</v>
      </c>
      <c r="D340" t="inlineStr">
        <is>
          <t>20L Water Jar</t>
        </is>
      </c>
      <c r="E340" t="n">
        <v>72</v>
      </c>
      <c r="F340" s="8" t="n">
        <v>60</v>
      </c>
      <c r="G340" s="8">
        <f>IF($A340="",0,ROUND($E340*$F340,2))</f>
        <v/>
      </c>
    </row>
    <row r="341">
      <c r="A341" t="inlineStr">
        <is>
          <t>INV-2026-0190</t>
        </is>
      </c>
      <c r="B341" s="7" t="n">
        <v>46287</v>
      </c>
      <c r="C341" t="n">
        <v>3</v>
      </c>
      <c r="D341" t="inlineStr">
        <is>
          <t>1L Bottle Case (12 pc)</t>
        </is>
      </c>
      <c r="E341" t="n">
        <v>19</v>
      </c>
      <c r="F341" s="8" t="n">
        <v>240</v>
      </c>
      <c r="G341" s="8">
        <f>IF($A341="",0,ROUND($E341*$F341,2))</f>
        <v/>
      </c>
    </row>
    <row r="342">
      <c r="A342" t="inlineStr">
        <is>
          <t>INV-2026-0191</t>
        </is>
      </c>
      <c r="B342" s="7" t="n">
        <v>46287</v>
      </c>
      <c r="C342" t="n">
        <v>1</v>
      </c>
      <c r="D342" t="inlineStr">
        <is>
          <t>500ml Bottle Case (24 pc)</t>
        </is>
      </c>
      <c r="E342" t="n">
        <v>16</v>
      </c>
      <c r="F342" s="8" t="n">
        <v>220</v>
      </c>
      <c r="G342" s="8">
        <f>IF($A342="",0,ROUND($E342*$F342,2))</f>
        <v/>
      </c>
    </row>
    <row r="343">
      <c r="A343" t="inlineStr">
        <is>
          <t>INV-2026-0191</t>
        </is>
      </c>
      <c r="B343" s="7" t="n">
        <v>46287</v>
      </c>
      <c r="C343" t="n">
        <v>2</v>
      </c>
      <c r="D343" t="inlineStr">
        <is>
          <t>20L Water Jar</t>
        </is>
      </c>
      <c r="E343" t="n">
        <v>63</v>
      </c>
      <c r="F343" s="8" t="n">
        <v>60</v>
      </c>
      <c r="G343" s="8">
        <f>IF($A343="",0,ROUND($E343*$F343,2))</f>
        <v/>
      </c>
    </row>
    <row r="344">
      <c r="A344" t="inlineStr">
        <is>
          <t>INV-2026-0192</t>
        </is>
      </c>
      <c r="B344" s="7" t="n">
        <v>46288</v>
      </c>
      <c r="C344" t="n">
        <v>1</v>
      </c>
      <c r="D344" t="inlineStr">
        <is>
          <t>20L Water Jar</t>
        </is>
      </c>
      <c r="E344" t="n">
        <v>46</v>
      </c>
      <c r="F344" s="8" t="n">
        <v>60</v>
      </c>
      <c r="G344" s="8">
        <f>IF($A344="",0,ROUND($E344*$F344,2))</f>
        <v/>
      </c>
    </row>
    <row r="345">
      <c r="A345" t="inlineStr">
        <is>
          <t>INV-2026-0192</t>
        </is>
      </c>
      <c r="B345" s="7" t="n">
        <v>46288</v>
      </c>
      <c r="C345" t="n">
        <v>2</v>
      </c>
      <c r="D345" t="inlineStr">
        <is>
          <t>Hot &amp; Cold Water Dispenser</t>
        </is>
      </c>
      <c r="E345" t="n">
        <v>2</v>
      </c>
      <c r="F345" s="8" t="n">
        <v>8500</v>
      </c>
      <c r="G345" s="8">
        <f>IF($A345="",0,ROUND($E345*$F345,2))</f>
        <v/>
      </c>
    </row>
    <row r="346">
      <c r="A346" t="inlineStr">
        <is>
          <t>INV-2026-0193</t>
        </is>
      </c>
      <c r="B346" s="7" t="n">
        <v>46288</v>
      </c>
      <c r="C346" t="n">
        <v>1</v>
      </c>
      <c r="D346" t="inlineStr">
        <is>
          <t>20L Water Jar</t>
        </is>
      </c>
      <c r="E346" t="n">
        <v>55</v>
      </c>
      <c r="F346" s="8" t="n">
        <v>60</v>
      </c>
      <c r="G346" s="8">
        <f>IF($A346="",0,ROUND($E346*$F346,2))</f>
        <v/>
      </c>
    </row>
    <row r="347">
      <c r="A347" t="inlineStr">
        <is>
          <t>INV-2026-0193</t>
        </is>
      </c>
      <c r="B347" s="7" t="n">
        <v>46288</v>
      </c>
      <c r="C347" t="n">
        <v>2</v>
      </c>
      <c r="D347" t="inlineStr">
        <is>
          <t>500ml Bottle Case (24 pc)</t>
        </is>
      </c>
      <c r="E347" t="n">
        <v>10</v>
      </c>
      <c r="F347" s="8" t="n">
        <v>220</v>
      </c>
      <c r="G347" s="8">
        <f>IF($A347="",0,ROUND($E347*$F347,2))</f>
        <v/>
      </c>
    </row>
    <row r="348">
      <c r="A348" t="inlineStr">
        <is>
          <t>INV-2026-0193</t>
        </is>
      </c>
      <c r="B348" s="7" t="n">
        <v>46288</v>
      </c>
      <c r="C348" t="n">
        <v>3</v>
      </c>
      <c r="D348" t="inlineStr">
        <is>
          <t>Paper Cups Pack (100 pc)</t>
        </is>
      </c>
      <c r="E348" t="n">
        <v>6</v>
      </c>
      <c r="F348" s="8" t="n">
        <v>90</v>
      </c>
      <c r="G348" s="8">
        <f>IF($A348="",0,ROUND($E348*$F348,2))</f>
        <v/>
      </c>
    </row>
    <row r="349">
      <c r="A349" t="inlineStr">
        <is>
          <t>INV-2026-0194</t>
        </is>
      </c>
      <c r="B349" s="7" t="n">
        <v>46288</v>
      </c>
      <c r="C349" t="n">
        <v>1</v>
      </c>
      <c r="D349" t="inlineStr">
        <is>
          <t>20L Water Jar</t>
        </is>
      </c>
      <c r="E349" t="n">
        <v>57</v>
      </c>
      <c r="F349" s="8" t="n">
        <v>60</v>
      </c>
      <c r="G349" s="8">
        <f>IF($A349="",0,ROUND($E349*$F349,2))</f>
        <v/>
      </c>
    </row>
    <row r="350">
      <c r="A350" t="inlineStr">
        <is>
          <t>INV-2026-0194</t>
        </is>
      </c>
      <c r="B350" s="7" t="n">
        <v>46288</v>
      </c>
      <c r="C350" t="n">
        <v>2</v>
      </c>
      <c r="D350" t="inlineStr">
        <is>
          <t>5L Water Jar</t>
        </is>
      </c>
      <c r="E350" t="n">
        <v>19</v>
      </c>
      <c r="F350" s="8" t="n">
        <v>45</v>
      </c>
      <c r="G350" s="8">
        <f>IF($A350="",0,ROUND($E350*$F350,2))</f>
        <v/>
      </c>
    </row>
    <row r="351">
      <c r="A351" t="inlineStr">
        <is>
          <t>INV-2026-0194</t>
        </is>
      </c>
      <c r="B351" s="7" t="n">
        <v>46288</v>
      </c>
      <c r="C351" t="n">
        <v>3</v>
      </c>
      <c r="D351" t="inlineStr">
        <is>
          <t>20L Water Jar</t>
        </is>
      </c>
      <c r="E351" t="n">
        <v>59</v>
      </c>
      <c r="F351" s="8" t="n">
        <v>60</v>
      </c>
      <c r="G351" s="8">
        <f>IF($A351="",0,ROUND($E351*$F351,2))</f>
        <v/>
      </c>
    </row>
    <row r="352">
      <c r="A352" t="inlineStr">
        <is>
          <t>INV-2026-0195</t>
        </is>
      </c>
      <c r="B352" s="7" t="n">
        <v>46289</v>
      </c>
      <c r="C352" t="n">
        <v>1</v>
      </c>
      <c r="D352" t="inlineStr">
        <is>
          <t>1L Bottle Case (12 pc)</t>
        </is>
      </c>
      <c r="E352" t="n">
        <v>16</v>
      </c>
      <c r="F352" s="8" t="n">
        <v>240</v>
      </c>
      <c r="G352" s="8">
        <f>IF($A352="",0,ROUND($E352*$F352,2))</f>
        <v/>
      </c>
    </row>
    <row r="353">
      <c r="A353" t="inlineStr">
        <is>
          <t>INV-2026-0195</t>
        </is>
      </c>
      <c r="B353" s="7" t="n">
        <v>46289</v>
      </c>
      <c r="C353" t="n">
        <v>2</v>
      </c>
      <c r="D353" t="inlineStr">
        <is>
          <t>500ml Bottle Case (24 pc)</t>
        </is>
      </c>
      <c r="E353" t="n">
        <v>18</v>
      </c>
      <c r="F353" s="8" t="n">
        <v>220</v>
      </c>
      <c r="G353" s="8">
        <f>IF($A353="",0,ROUND($E353*$F353,2))</f>
        <v/>
      </c>
    </row>
    <row r="354">
      <c r="A354" t="inlineStr">
        <is>
          <t>INV-2026-0195</t>
        </is>
      </c>
      <c r="B354" s="7" t="n">
        <v>46289</v>
      </c>
      <c r="C354" t="n">
        <v>3</v>
      </c>
      <c r="D354" t="inlineStr">
        <is>
          <t>20L Water Jar</t>
        </is>
      </c>
      <c r="E354" t="n">
        <v>33</v>
      </c>
      <c r="F354" s="8" t="n">
        <v>60</v>
      </c>
      <c r="G354" s="8">
        <f>IF($A354="",0,ROUND($E354*$F354,2))</f>
        <v/>
      </c>
    </row>
    <row r="355">
      <c r="A355" t="inlineStr">
        <is>
          <t>INV-2026-0196</t>
        </is>
      </c>
      <c r="B355" s="7" t="n">
        <v>46290</v>
      </c>
      <c r="C355" t="n">
        <v>1</v>
      </c>
      <c r="D355" t="inlineStr">
        <is>
          <t>1L Bottle Case (12 pc)</t>
        </is>
      </c>
      <c r="E355" t="n">
        <v>5</v>
      </c>
      <c r="F355" s="8" t="n">
        <v>240</v>
      </c>
      <c r="G355" s="8">
        <f>IF($A355="",0,ROUND($E355*$F355,2))</f>
        <v/>
      </c>
    </row>
    <row r="356">
      <c r="A356" t="inlineStr">
        <is>
          <t>INV-2026-0197</t>
        </is>
      </c>
      <c r="B356" s="7" t="n">
        <v>46291</v>
      </c>
      <c r="C356" t="n">
        <v>1</v>
      </c>
      <c r="D356" t="inlineStr">
        <is>
          <t>5L Water Jar</t>
        </is>
      </c>
      <c r="E356" t="n">
        <v>10</v>
      </c>
      <c r="F356" s="8" t="n">
        <v>45</v>
      </c>
      <c r="G356" s="8">
        <f>IF($A356="",0,ROUND($E356*$F356,2))</f>
        <v/>
      </c>
    </row>
    <row r="357">
      <c r="A357" t="inlineStr">
        <is>
          <t>INV-2026-0197</t>
        </is>
      </c>
      <c r="B357" s="7" t="n">
        <v>46291</v>
      </c>
      <c r="C357" t="n">
        <v>2</v>
      </c>
      <c r="D357" t="inlineStr">
        <is>
          <t>20L Water Jar</t>
        </is>
      </c>
      <c r="E357" t="n">
        <v>62</v>
      </c>
      <c r="F357" s="8" t="n">
        <v>60</v>
      </c>
      <c r="G357" s="8">
        <f>IF($A357="",0,ROUND($E357*$F357,2))</f>
        <v/>
      </c>
    </row>
    <row r="358">
      <c r="A358" t="inlineStr">
        <is>
          <t>INV-2026-0198</t>
        </is>
      </c>
      <c r="B358" s="7" t="n">
        <v>46293</v>
      </c>
      <c r="C358" t="n">
        <v>1</v>
      </c>
      <c r="D358" t="inlineStr">
        <is>
          <t>20L Water Jar</t>
        </is>
      </c>
      <c r="E358" t="n">
        <v>55</v>
      </c>
      <c r="F358" s="8" t="n">
        <v>60</v>
      </c>
      <c r="G358" s="8">
        <f>IF($A358="",0,ROUND($E358*$F358,2))</f>
        <v/>
      </c>
    </row>
    <row r="359">
      <c r="A359" t="inlineStr">
        <is>
          <t>INV-2026-0198</t>
        </is>
      </c>
      <c r="B359" s="7" t="n">
        <v>46293</v>
      </c>
      <c r="C359" t="n">
        <v>2</v>
      </c>
      <c r="D359" t="inlineStr">
        <is>
          <t>1L Bottle Case (12 pc)</t>
        </is>
      </c>
      <c r="E359" t="n">
        <v>36</v>
      </c>
      <c r="F359" s="8" t="n">
        <v>240</v>
      </c>
      <c r="G359" s="8">
        <f>IF($A359="",0,ROUND($E359*$F359,2))</f>
        <v/>
      </c>
    </row>
    <row r="360">
      <c r="A360" t="inlineStr">
        <is>
          <t>INV-2026-0199</t>
        </is>
      </c>
      <c r="B360" s="7" t="n">
        <v>46294</v>
      </c>
      <c r="C360" t="n">
        <v>1</v>
      </c>
      <c r="D360" t="inlineStr">
        <is>
          <t>5L Water Jar</t>
        </is>
      </c>
      <c r="E360" t="n">
        <v>53</v>
      </c>
      <c r="F360" s="8" t="n">
        <v>45</v>
      </c>
      <c r="G360" s="8">
        <f>IF($A360="",0,ROUND($E360*$F360,2))</f>
        <v/>
      </c>
    </row>
    <row r="361">
      <c r="A361" t="inlineStr">
        <is>
          <t>INV-2026-0200</t>
        </is>
      </c>
      <c r="B361" s="7" t="n">
        <v>46294</v>
      </c>
      <c r="C361" t="n">
        <v>1</v>
      </c>
      <c r="D361" t="inlineStr">
        <is>
          <t>1L Bottle Case (12 pc)</t>
        </is>
      </c>
      <c r="E361" t="n">
        <v>14</v>
      </c>
      <c r="F361" s="8" t="n">
        <v>240</v>
      </c>
      <c r="G361" s="8">
        <f>IF($A361="",0,ROUND($E361*$F361,2))</f>
        <v/>
      </c>
    </row>
    <row r="362">
      <c r="A362" t="inlineStr">
        <is>
          <t>INV-2026-0201</t>
        </is>
      </c>
      <c r="B362" s="7" t="n">
        <v>46295</v>
      </c>
      <c r="C362" t="n">
        <v>1</v>
      </c>
      <c r="D362" t="inlineStr">
        <is>
          <t>20L Water Jar</t>
        </is>
      </c>
      <c r="E362" t="n">
        <v>53</v>
      </c>
      <c r="F362" s="8" t="n">
        <v>60</v>
      </c>
      <c r="G362" s="8">
        <f>IF($A362="",0,ROUND($E362*$F362,2))</f>
        <v/>
      </c>
    </row>
    <row r="363">
      <c r="A363" t="inlineStr">
        <is>
          <t>INV-2026-0201</t>
        </is>
      </c>
      <c r="B363" s="7" t="n">
        <v>46295</v>
      </c>
      <c r="C363" t="n">
        <v>2</v>
      </c>
      <c r="D363" t="inlineStr">
        <is>
          <t>1L Bottle Case (12 pc)</t>
        </is>
      </c>
      <c r="E363" t="n">
        <v>18</v>
      </c>
      <c r="F363" s="8" t="n">
        <v>240</v>
      </c>
      <c r="G363" s="8">
        <f>IF($A363="",0,ROUND($E363*$F363,2))</f>
        <v/>
      </c>
    </row>
    <row r="364">
      <c r="A364" t="inlineStr">
        <is>
          <t>INV-2026-0202</t>
        </is>
      </c>
      <c r="B364" s="7" t="n">
        <v>46295</v>
      </c>
      <c r="C364" t="n">
        <v>1</v>
      </c>
      <c r="D364" t="inlineStr">
        <is>
          <t>5L Water Jar</t>
        </is>
      </c>
      <c r="E364" t="n">
        <v>55</v>
      </c>
      <c r="F364" s="8" t="n">
        <v>45</v>
      </c>
      <c r="G364" s="8">
        <f>IF($A364="",0,ROUND($E364*$F364,2))</f>
        <v/>
      </c>
    </row>
    <row r="365">
      <c r="A365" t="inlineStr">
        <is>
          <t>INV-2026-0202</t>
        </is>
      </c>
      <c r="B365" s="7" t="n">
        <v>46295</v>
      </c>
      <c r="C365" t="n">
        <v>2</v>
      </c>
      <c r="D365" t="inlineStr">
        <is>
          <t>20L Water Jar</t>
        </is>
      </c>
      <c r="E365" t="n">
        <v>61</v>
      </c>
      <c r="F365" s="8" t="n">
        <v>60</v>
      </c>
      <c r="G365" s="8">
        <f>IF($A365="",0,ROUND($E365*$F365,2))</f>
        <v/>
      </c>
    </row>
    <row r="366">
      <c r="B366" s="7" t="n"/>
      <c r="F366" s="8" t="n"/>
      <c r="G366" s="8">
        <f>IF($A366="",0,ROUND($E366*$F366,2))</f>
        <v/>
      </c>
    </row>
    <row r="367">
      <c r="B367" s="7" t="n"/>
      <c r="F367" s="8" t="n"/>
      <c r="G367" s="8">
        <f>IF($A367="",0,ROUND($E367*$F367,2))</f>
        <v/>
      </c>
    </row>
    <row r="368">
      <c r="B368" s="7" t="n"/>
      <c r="F368" s="8" t="n"/>
      <c r="G368" s="8">
        <f>IF($A368="",0,ROUND($E368*$F368,2))</f>
        <v/>
      </c>
    </row>
    <row r="369">
      <c r="B369" s="7" t="n"/>
      <c r="F369" s="8" t="n"/>
      <c r="G369" s="8">
        <f>IF($A369="",0,ROUND($E369*$F369,2))</f>
        <v/>
      </c>
    </row>
    <row r="370">
      <c r="B370" s="7" t="n"/>
      <c r="F370" s="8" t="n"/>
      <c r="G370" s="8">
        <f>IF($A370="",0,ROUND($E370*$F370,2))</f>
        <v/>
      </c>
    </row>
    <row r="371">
      <c r="B371" s="7" t="n"/>
      <c r="F371" s="8" t="n"/>
      <c r="G371" s="8">
        <f>IF($A371="",0,ROUND($E371*$F371,2))</f>
        <v/>
      </c>
    </row>
    <row r="372">
      <c r="B372" s="7" t="n"/>
      <c r="F372" s="8" t="n"/>
      <c r="G372" s="8">
        <f>IF($A372="",0,ROUND($E372*$F372,2))</f>
        <v/>
      </c>
    </row>
    <row r="373">
      <c r="B373" s="7" t="n"/>
      <c r="F373" s="8" t="n"/>
      <c r="G373" s="8">
        <f>IF($A373="",0,ROUND($E373*$F373,2))</f>
        <v/>
      </c>
    </row>
    <row r="374">
      <c r="B374" s="7" t="n"/>
      <c r="F374" s="8" t="n"/>
      <c r="G374" s="8">
        <f>IF($A374="",0,ROUND($E374*$F374,2))</f>
        <v/>
      </c>
    </row>
    <row r="375">
      <c r="B375" s="7" t="n"/>
      <c r="F375" s="8" t="n"/>
      <c r="G375" s="8">
        <f>IF($A375="",0,ROUND($E375*$F375,2))</f>
        <v/>
      </c>
    </row>
    <row r="376">
      <c r="B376" s="7" t="n"/>
      <c r="F376" s="8" t="n"/>
      <c r="G376" s="8">
        <f>IF($A376="",0,ROUND($E376*$F376,2))</f>
        <v/>
      </c>
    </row>
    <row r="377">
      <c r="B377" s="7" t="n"/>
      <c r="F377" s="8" t="n"/>
      <c r="G377" s="8">
        <f>IF($A377="",0,ROUND($E377*$F377,2))</f>
        <v/>
      </c>
    </row>
    <row r="378">
      <c r="B378" s="7" t="n"/>
      <c r="F378" s="8" t="n"/>
      <c r="G378" s="8">
        <f>IF($A378="",0,ROUND($E378*$F378,2))</f>
        <v/>
      </c>
    </row>
    <row r="379">
      <c r="B379" s="7" t="n"/>
      <c r="F379" s="8" t="n"/>
      <c r="G379" s="8">
        <f>IF($A379="",0,ROUND($E379*$F379,2))</f>
        <v/>
      </c>
    </row>
    <row r="380">
      <c r="B380" s="7" t="n"/>
      <c r="F380" s="8" t="n"/>
      <c r="G380" s="8">
        <f>IF($A380="",0,ROUND($E380*$F380,2))</f>
        <v/>
      </c>
    </row>
    <row r="381">
      <c r="B381" s="7" t="n"/>
      <c r="F381" s="8" t="n"/>
      <c r="G381" s="8">
        <f>IF($A381="",0,ROUND($E381*$F381,2))</f>
        <v/>
      </c>
    </row>
    <row r="382">
      <c r="B382" s="7" t="n"/>
      <c r="F382" s="8" t="n"/>
      <c r="G382" s="8">
        <f>IF($A382="",0,ROUND($E382*$F382,2))</f>
        <v/>
      </c>
    </row>
    <row r="383">
      <c r="B383" s="7" t="n"/>
      <c r="F383" s="8" t="n"/>
      <c r="G383" s="8">
        <f>IF($A383="",0,ROUND($E383*$F383,2))</f>
        <v/>
      </c>
    </row>
    <row r="384">
      <c r="B384" s="7" t="n"/>
      <c r="F384" s="8" t="n"/>
      <c r="G384" s="8">
        <f>IF($A384="",0,ROUND($E384*$F384,2))</f>
        <v/>
      </c>
    </row>
    <row r="385">
      <c r="B385" s="7" t="n"/>
      <c r="F385" s="8" t="n"/>
      <c r="G385" s="8">
        <f>IF($A385="",0,ROUND($E385*$F385,2))</f>
        <v/>
      </c>
    </row>
    <row r="386">
      <c r="B386" s="7" t="n"/>
      <c r="F386" s="8" t="n"/>
      <c r="G386" s="8">
        <f>IF($A386="",0,ROUND($E386*$F386,2))</f>
        <v/>
      </c>
    </row>
    <row r="387">
      <c r="B387" s="7" t="n"/>
      <c r="F387" s="8" t="n"/>
      <c r="G387" s="8">
        <f>IF($A387="",0,ROUND($E387*$F387,2))</f>
        <v/>
      </c>
    </row>
    <row r="388">
      <c r="B388" s="7" t="n"/>
      <c r="F388" s="8" t="n"/>
      <c r="G388" s="8">
        <f>IF($A388="",0,ROUND($E388*$F388,2))</f>
        <v/>
      </c>
    </row>
    <row r="389">
      <c r="B389" s="7" t="n"/>
      <c r="F389" s="8" t="n"/>
      <c r="G389" s="8">
        <f>IF($A389="",0,ROUND($E389*$F389,2))</f>
        <v/>
      </c>
    </row>
    <row r="390">
      <c r="B390" s="7" t="n"/>
      <c r="F390" s="8" t="n"/>
      <c r="G390" s="8">
        <f>IF($A390="",0,ROUND($E390*$F390,2))</f>
        <v/>
      </c>
    </row>
    <row r="391">
      <c r="B391" s="7" t="n"/>
      <c r="F391" s="8" t="n"/>
      <c r="G391" s="8">
        <f>IF($A391="",0,ROUND($E391*$F391,2))</f>
        <v/>
      </c>
    </row>
    <row r="392">
      <c r="B392" s="7" t="n"/>
      <c r="F392" s="8" t="n"/>
      <c r="G392" s="8">
        <f>IF($A392="",0,ROUND($E392*$F392,2))</f>
        <v/>
      </c>
    </row>
    <row r="393">
      <c r="B393" s="7" t="n"/>
      <c r="F393" s="8" t="n"/>
      <c r="G393" s="8">
        <f>IF($A393="",0,ROUND($E393*$F393,2))</f>
        <v/>
      </c>
    </row>
    <row r="394">
      <c r="B394" s="7" t="n"/>
      <c r="F394" s="8" t="n"/>
      <c r="G394" s="8">
        <f>IF($A394="",0,ROUND($E394*$F394,2))</f>
        <v/>
      </c>
    </row>
    <row r="395">
      <c r="B395" s="7" t="n"/>
      <c r="F395" s="8" t="n"/>
      <c r="G395" s="8">
        <f>IF($A395="",0,ROUND($E395*$F395,2))</f>
        <v/>
      </c>
    </row>
    <row r="396">
      <c r="B396" s="7" t="n"/>
      <c r="F396" s="8" t="n"/>
      <c r="G396" s="8">
        <f>IF($A396="",0,ROUND($E396*$F396,2))</f>
        <v/>
      </c>
    </row>
    <row r="397">
      <c r="B397" s="7" t="n"/>
      <c r="F397" s="8" t="n"/>
      <c r="G397" s="8">
        <f>IF($A397="",0,ROUND($E397*$F397,2))</f>
        <v/>
      </c>
    </row>
    <row r="398">
      <c r="B398" s="7" t="n"/>
      <c r="F398" s="8" t="n"/>
      <c r="G398" s="8">
        <f>IF($A398="",0,ROUND($E398*$F398,2))</f>
        <v/>
      </c>
    </row>
    <row r="399">
      <c r="B399" s="7" t="n"/>
      <c r="F399" s="8" t="n"/>
      <c r="G399" s="8">
        <f>IF($A399="",0,ROUND($E399*$F399,2))</f>
        <v/>
      </c>
    </row>
    <row r="400">
      <c r="B400" s="7" t="n"/>
      <c r="F400" s="8" t="n"/>
      <c r="G400" s="8">
        <f>IF($A400="",0,ROUND($E400*$F400,2))</f>
        <v/>
      </c>
    </row>
    <row r="401">
      <c r="B401" s="7" t="n"/>
      <c r="F401" s="8" t="n"/>
      <c r="G401" s="8">
        <f>IF($A401="",0,ROUND($E401*$F401,2))</f>
        <v/>
      </c>
    </row>
    <row r="402">
      <c r="B402" s="7" t="n"/>
      <c r="F402" s="8" t="n"/>
      <c r="G402" s="8">
        <f>IF($A402="",0,ROUND($E402*$F402,2))</f>
        <v/>
      </c>
    </row>
    <row r="403">
      <c r="B403" s="7" t="n"/>
      <c r="F403" s="8" t="n"/>
      <c r="G403" s="8">
        <f>IF($A403="",0,ROUND($E403*$F403,2))</f>
        <v/>
      </c>
    </row>
    <row r="404">
      <c r="B404" s="7" t="n"/>
      <c r="F404" s="8" t="n"/>
      <c r="G404" s="8">
        <f>IF($A404="",0,ROUND($E404*$F404,2))</f>
        <v/>
      </c>
    </row>
    <row r="405">
      <c r="B405" s="7" t="n"/>
      <c r="F405" s="8" t="n"/>
      <c r="G405" s="8">
        <f>IF($A405="",0,ROUND($E405*$F405,2))</f>
        <v/>
      </c>
    </row>
    <row r="406">
      <c r="B406" s="7" t="n"/>
      <c r="F406" s="8" t="n"/>
      <c r="G406" s="8">
        <f>IF($A406="",0,ROUND($E406*$F406,2))</f>
        <v/>
      </c>
    </row>
    <row r="407">
      <c r="B407" s="7" t="n"/>
      <c r="F407" s="8" t="n"/>
      <c r="G407" s="8">
        <f>IF($A407="",0,ROUND($E407*$F407,2))</f>
        <v/>
      </c>
    </row>
    <row r="408">
      <c r="B408" s="7" t="n"/>
      <c r="F408" s="8" t="n"/>
      <c r="G408" s="8">
        <f>IF($A408="",0,ROUND($E408*$F408,2))</f>
        <v/>
      </c>
    </row>
    <row r="409">
      <c r="B409" s="7" t="n"/>
      <c r="F409" s="8" t="n"/>
      <c r="G409" s="8">
        <f>IF($A409="",0,ROUND($E409*$F409,2))</f>
        <v/>
      </c>
    </row>
    <row r="410">
      <c r="B410" s="7" t="n"/>
      <c r="F410" s="8" t="n"/>
      <c r="G410" s="8">
        <f>IF($A410="",0,ROUND($E410*$F410,2))</f>
        <v/>
      </c>
    </row>
    <row r="411">
      <c r="B411" s="7" t="n"/>
      <c r="F411" s="8" t="n"/>
      <c r="G411" s="8">
        <f>IF($A411="",0,ROUND($E411*$F411,2))</f>
        <v/>
      </c>
    </row>
    <row r="412">
      <c r="B412" s="7" t="n"/>
      <c r="F412" s="8" t="n"/>
      <c r="G412" s="8">
        <f>IF($A412="",0,ROUND($E412*$F412,2))</f>
        <v/>
      </c>
    </row>
    <row r="413">
      <c r="B413" s="7" t="n"/>
      <c r="F413" s="8" t="n"/>
      <c r="G413" s="8">
        <f>IF($A413="",0,ROUND($E413*$F413,2))</f>
        <v/>
      </c>
    </row>
    <row r="414">
      <c r="B414" s="7" t="n"/>
      <c r="F414" s="8" t="n"/>
      <c r="G414" s="8">
        <f>IF($A414="",0,ROUND($E414*$F414,2))</f>
        <v/>
      </c>
    </row>
    <row r="415">
      <c r="B415" s="7" t="n"/>
      <c r="F415" s="8" t="n"/>
      <c r="G415" s="8">
        <f>IF($A415="",0,ROUND($E415*$F415,2))</f>
        <v/>
      </c>
    </row>
    <row r="416">
      <c r="B416" s="7" t="n"/>
      <c r="F416" s="8" t="n"/>
      <c r="G416" s="8">
        <f>IF($A416="",0,ROUND($E416*$F416,2))</f>
        <v/>
      </c>
    </row>
    <row r="417">
      <c r="B417" s="7" t="n"/>
      <c r="F417" s="8" t="n"/>
      <c r="G417" s="8">
        <f>IF($A417="",0,ROUND($E417*$F417,2))</f>
        <v/>
      </c>
    </row>
    <row r="418">
      <c r="B418" s="7" t="n"/>
      <c r="F418" s="8" t="n"/>
      <c r="G418" s="8">
        <f>IF($A418="",0,ROUND($E418*$F418,2))</f>
        <v/>
      </c>
    </row>
    <row r="419">
      <c r="B419" s="7" t="n"/>
      <c r="F419" s="8" t="n"/>
      <c r="G419" s="8">
        <f>IF($A419="",0,ROUND($E419*$F419,2))</f>
        <v/>
      </c>
    </row>
    <row r="420">
      <c r="B420" s="7" t="n"/>
      <c r="F420" s="8" t="n"/>
      <c r="G420" s="8">
        <f>IF($A420="",0,ROUND($E420*$F420,2))</f>
        <v/>
      </c>
    </row>
    <row r="421">
      <c r="B421" s="7" t="n"/>
      <c r="F421" s="8" t="n"/>
      <c r="G421" s="8">
        <f>IF($A421="",0,ROUND($E421*$F421,2))</f>
        <v/>
      </c>
    </row>
    <row r="422">
      <c r="B422" s="7" t="n"/>
      <c r="F422" s="8" t="n"/>
      <c r="G422" s="8">
        <f>IF($A422="",0,ROUND($E422*$F422,2))</f>
        <v/>
      </c>
    </row>
    <row r="423">
      <c r="B423" s="7" t="n"/>
      <c r="F423" s="8" t="n"/>
      <c r="G423" s="8">
        <f>IF($A423="",0,ROUND($E423*$F423,2))</f>
        <v/>
      </c>
    </row>
    <row r="424">
      <c r="B424" s="7" t="n"/>
      <c r="F424" s="8" t="n"/>
      <c r="G424" s="8">
        <f>IF($A424="",0,ROUND($E424*$F424,2))</f>
        <v/>
      </c>
    </row>
    <row r="425">
      <c r="B425" s="7" t="n"/>
      <c r="F425" s="8" t="n"/>
      <c r="G425" s="8">
        <f>IF($A425="",0,ROUND($E425*$F425,2))</f>
        <v/>
      </c>
    </row>
    <row r="426">
      <c r="B426" s="7" t="n"/>
      <c r="F426" s="8" t="n"/>
      <c r="G426" s="8">
        <f>IF($A426="",0,ROUND($E426*$F426,2))</f>
        <v/>
      </c>
    </row>
    <row r="427">
      <c r="B427" s="7" t="n"/>
      <c r="F427" s="8" t="n"/>
      <c r="G427" s="8">
        <f>IF($A427="",0,ROUND($E427*$F427,2))</f>
        <v/>
      </c>
    </row>
    <row r="428">
      <c r="B428" s="7" t="n"/>
      <c r="F428" s="8" t="n"/>
      <c r="G428" s="8">
        <f>IF($A428="",0,ROUND($E428*$F428,2))</f>
        <v/>
      </c>
    </row>
    <row r="429">
      <c r="B429" s="7" t="n"/>
      <c r="F429" s="8" t="n"/>
      <c r="G429" s="8">
        <f>IF($A429="",0,ROUND($E429*$F429,2))</f>
        <v/>
      </c>
    </row>
    <row r="430">
      <c r="B430" s="7" t="n"/>
      <c r="F430" s="8" t="n"/>
      <c r="G430" s="8">
        <f>IF($A430="",0,ROUND($E430*$F430,2))</f>
        <v/>
      </c>
    </row>
    <row r="431">
      <c r="B431" s="7" t="n"/>
      <c r="F431" s="8" t="n"/>
      <c r="G431" s="8">
        <f>IF($A431="",0,ROUND($E431*$F431,2))</f>
        <v/>
      </c>
    </row>
    <row r="432">
      <c r="B432" s="7" t="n"/>
      <c r="F432" s="8" t="n"/>
      <c r="G432" s="8">
        <f>IF($A432="",0,ROUND($E432*$F432,2))</f>
        <v/>
      </c>
    </row>
    <row r="433">
      <c r="B433" s="7" t="n"/>
      <c r="F433" s="8" t="n"/>
      <c r="G433" s="8">
        <f>IF($A433="",0,ROUND($E433*$F433,2))</f>
        <v/>
      </c>
    </row>
    <row r="434">
      <c r="B434" s="7" t="n"/>
      <c r="F434" s="8" t="n"/>
      <c r="G434" s="8">
        <f>IF($A434="",0,ROUND($E434*$F434,2))</f>
        <v/>
      </c>
    </row>
    <row r="435">
      <c r="B435" s="7" t="n"/>
      <c r="F435" s="8" t="n"/>
      <c r="G435" s="8">
        <f>IF($A435="",0,ROUND($E435*$F435,2))</f>
        <v/>
      </c>
    </row>
    <row r="436">
      <c r="B436" s="7" t="n"/>
      <c r="F436" s="8" t="n"/>
      <c r="G436" s="8">
        <f>IF($A436="",0,ROUND($E436*$F436,2))</f>
        <v/>
      </c>
    </row>
    <row r="437">
      <c r="B437" s="7" t="n"/>
      <c r="F437" s="8" t="n"/>
      <c r="G437" s="8">
        <f>IF($A437="",0,ROUND($E437*$F437,2))</f>
        <v/>
      </c>
    </row>
    <row r="438">
      <c r="B438" s="7" t="n"/>
      <c r="F438" s="8" t="n"/>
      <c r="G438" s="8">
        <f>IF($A438="",0,ROUND($E438*$F438,2))</f>
        <v/>
      </c>
    </row>
    <row r="439">
      <c r="B439" s="7" t="n"/>
      <c r="F439" s="8" t="n"/>
      <c r="G439" s="8">
        <f>IF($A439="",0,ROUND($E439*$F439,2))</f>
        <v/>
      </c>
    </row>
    <row r="440">
      <c r="B440" s="7" t="n"/>
      <c r="F440" s="8" t="n"/>
      <c r="G440" s="8">
        <f>IF($A440="",0,ROUND($E440*$F440,2))</f>
        <v/>
      </c>
    </row>
    <row r="441">
      <c r="B441" s="7" t="n"/>
      <c r="F441" s="8" t="n"/>
      <c r="G441" s="8">
        <f>IF($A441="",0,ROUND($E441*$F441,2))</f>
        <v/>
      </c>
    </row>
    <row r="442">
      <c r="B442" s="7" t="n"/>
      <c r="F442" s="8" t="n"/>
      <c r="G442" s="8">
        <f>IF($A442="",0,ROUND($E442*$F442,2))</f>
        <v/>
      </c>
    </row>
    <row r="443">
      <c r="B443" s="7" t="n"/>
      <c r="F443" s="8" t="n"/>
      <c r="G443" s="8">
        <f>IF($A443="",0,ROUND($E443*$F443,2))</f>
        <v/>
      </c>
    </row>
    <row r="444">
      <c r="B444" s="7" t="n"/>
      <c r="F444" s="8" t="n"/>
      <c r="G444" s="8">
        <f>IF($A444="",0,ROUND($E444*$F444,2))</f>
        <v/>
      </c>
    </row>
    <row r="445">
      <c r="B445" s="7" t="n"/>
      <c r="F445" s="8" t="n"/>
      <c r="G445" s="8">
        <f>IF($A445="",0,ROUND($E445*$F445,2))</f>
        <v/>
      </c>
    </row>
    <row r="446">
      <c r="B446" s="7" t="n"/>
      <c r="F446" s="8" t="n"/>
      <c r="G446" s="8">
        <f>IF($A446="",0,ROUND($E446*$F446,2))</f>
        <v/>
      </c>
    </row>
    <row r="447">
      <c r="B447" s="7" t="n"/>
      <c r="F447" s="8" t="n"/>
      <c r="G447" s="8">
        <f>IF($A447="",0,ROUND($E447*$F447,2))</f>
        <v/>
      </c>
    </row>
    <row r="448">
      <c r="B448" s="7" t="n"/>
      <c r="F448" s="8" t="n"/>
      <c r="G448" s="8">
        <f>IF($A448="",0,ROUND($E448*$F448,2))</f>
        <v/>
      </c>
    </row>
    <row r="449">
      <c r="B449" s="7" t="n"/>
      <c r="F449" s="8" t="n"/>
      <c r="G449" s="8">
        <f>IF($A449="",0,ROUND($E449*$F449,2))</f>
        <v/>
      </c>
    </row>
    <row r="450">
      <c r="B450" s="7" t="n"/>
      <c r="F450" s="8" t="n"/>
      <c r="G450" s="8">
        <f>IF($A450="",0,ROUND($E450*$F450,2))</f>
        <v/>
      </c>
    </row>
    <row r="451">
      <c r="B451" s="7" t="n"/>
      <c r="F451" s="8" t="n"/>
      <c r="G451" s="8">
        <f>IF($A451="",0,ROUND($E451*$F451,2))</f>
        <v/>
      </c>
    </row>
    <row r="452">
      <c r="B452" s="7" t="n"/>
      <c r="F452" s="8" t="n"/>
      <c r="G452" s="8">
        <f>IF($A452="",0,ROUND($E452*$F452,2))</f>
        <v/>
      </c>
    </row>
    <row r="453">
      <c r="B453" s="7" t="n"/>
      <c r="F453" s="8" t="n"/>
      <c r="G453" s="8">
        <f>IF($A453="",0,ROUND($E453*$F453,2))</f>
        <v/>
      </c>
    </row>
    <row r="454">
      <c r="B454" s="7" t="n"/>
      <c r="F454" s="8" t="n"/>
      <c r="G454" s="8">
        <f>IF($A454="",0,ROUND($E454*$F454,2))</f>
        <v/>
      </c>
    </row>
    <row r="455">
      <c r="B455" s="7" t="n"/>
      <c r="F455" s="8" t="n"/>
      <c r="G455" s="8">
        <f>IF($A455="",0,ROUND($E455*$F455,2))</f>
        <v/>
      </c>
    </row>
    <row r="456">
      <c r="B456" s="7" t="n"/>
      <c r="F456" s="8" t="n"/>
      <c r="G456" s="8">
        <f>IF($A456="",0,ROUND($E456*$F456,2))</f>
        <v/>
      </c>
    </row>
    <row r="457">
      <c r="B457" s="7" t="n"/>
      <c r="F457" s="8" t="n"/>
      <c r="G457" s="8">
        <f>IF($A457="",0,ROUND($E457*$F457,2))</f>
        <v/>
      </c>
    </row>
    <row r="458">
      <c r="B458" s="7" t="n"/>
      <c r="F458" s="8" t="n"/>
      <c r="G458" s="8">
        <f>IF($A458="",0,ROUND($E458*$F458,2))</f>
        <v/>
      </c>
    </row>
    <row r="459">
      <c r="B459" s="7" t="n"/>
      <c r="F459" s="8" t="n"/>
      <c r="G459" s="8">
        <f>IF($A459="",0,ROUND($E459*$F459,2))</f>
        <v/>
      </c>
    </row>
    <row r="460">
      <c r="B460" s="7" t="n"/>
      <c r="F460" s="8" t="n"/>
      <c r="G460" s="8">
        <f>IF($A460="",0,ROUND($E460*$F460,2))</f>
        <v/>
      </c>
    </row>
    <row r="461">
      <c r="B461" s="7" t="n"/>
      <c r="F461" s="8" t="n"/>
      <c r="G461" s="8">
        <f>IF($A461="",0,ROUND($E461*$F461,2))</f>
        <v/>
      </c>
    </row>
    <row r="462">
      <c r="B462" s="7" t="n"/>
      <c r="F462" s="8" t="n"/>
      <c r="G462" s="8">
        <f>IF($A462="",0,ROUND($E462*$F462,2))</f>
        <v/>
      </c>
    </row>
    <row r="463">
      <c r="B463" s="7" t="n"/>
      <c r="F463" s="8" t="n"/>
      <c r="G463" s="8">
        <f>IF($A463="",0,ROUND($E463*$F463,2))</f>
        <v/>
      </c>
    </row>
    <row r="464">
      <c r="B464" s="7" t="n"/>
      <c r="F464" s="8" t="n"/>
      <c r="G464" s="8">
        <f>IF($A464="",0,ROUND($E464*$F464,2))</f>
        <v/>
      </c>
    </row>
    <row r="465">
      <c r="B465" s="7" t="n"/>
      <c r="F465" s="8" t="n"/>
      <c r="G465" s="8">
        <f>IF($A465="",0,ROUND($E465*$F465,2))</f>
        <v/>
      </c>
    </row>
    <row r="466">
      <c r="B466" s="7" t="n"/>
      <c r="F466" s="8" t="n"/>
      <c r="G466" s="8">
        <f>IF($A466="",0,ROUND($E466*$F466,2))</f>
        <v/>
      </c>
    </row>
    <row r="467">
      <c r="B467" s="7" t="n"/>
      <c r="F467" s="8" t="n"/>
      <c r="G467" s="8">
        <f>IF($A467="",0,ROUND($E467*$F467,2))</f>
        <v/>
      </c>
    </row>
    <row r="468">
      <c r="B468" s="7" t="n"/>
      <c r="F468" s="8" t="n"/>
      <c r="G468" s="8">
        <f>IF($A468="",0,ROUND($E468*$F468,2))</f>
        <v/>
      </c>
    </row>
    <row r="469">
      <c r="B469" s="7" t="n"/>
      <c r="F469" s="8" t="n"/>
      <c r="G469" s="8">
        <f>IF($A469="",0,ROUND($E469*$F469,2))</f>
        <v/>
      </c>
    </row>
    <row r="470">
      <c r="B470" s="7" t="n"/>
      <c r="F470" s="8" t="n"/>
      <c r="G470" s="8">
        <f>IF($A470="",0,ROUND($E470*$F470,2))</f>
        <v/>
      </c>
    </row>
    <row r="471">
      <c r="B471" s="7" t="n"/>
      <c r="F471" s="8" t="n"/>
      <c r="G471" s="8">
        <f>IF($A471="",0,ROUND($E471*$F471,2))</f>
        <v/>
      </c>
    </row>
    <row r="472">
      <c r="B472" s="7" t="n"/>
      <c r="F472" s="8" t="n"/>
      <c r="G472" s="8">
        <f>IF($A472="",0,ROUND($E472*$F472,2))</f>
        <v/>
      </c>
    </row>
    <row r="473">
      <c r="B473" s="7" t="n"/>
      <c r="F473" s="8" t="n"/>
      <c r="G473" s="8">
        <f>IF($A473="",0,ROUND($E473*$F473,2))</f>
        <v/>
      </c>
    </row>
    <row r="474">
      <c r="B474" s="7" t="n"/>
      <c r="F474" s="8" t="n"/>
      <c r="G474" s="8">
        <f>IF($A474="",0,ROUND($E474*$F474,2))</f>
        <v/>
      </c>
    </row>
    <row r="475">
      <c r="B475" s="7" t="n"/>
      <c r="F475" s="8" t="n"/>
      <c r="G475" s="8">
        <f>IF($A475="",0,ROUND($E475*$F475,2))</f>
        <v/>
      </c>
    </row>
    <row r="476">
      <c r="B476" s="7" t="n"/>
      <c r="F476" s="8" t="n"/>
      <c r="G476" s="8">
        <f>IF($A476="",0,ROUND($E476*$F476,2))</f>
        <v/>
      </c>
    </row>
    <row r="477">
      <c r="B477" s="7" t="n"/>
      <c r="F477" s="8" t="n"/>
      <c r="G477" s="8">
        <f>IF($A477="",0,ROUND($E477*$F477,2))</f>
        <v/>
      </c>
    </row>
    <row r="478">
      <c r="B478" s="7" t="n"/>
      <c r="F478" s="8" t="n"/>
      <c r="G478" s="8">
        <f>IF($A478="",0,ROUND($E478*$F478,2))</f>
        <v/>
      </c>
    </row>
    <row r="479">
      <c r="B479" s="7" t="n"/>
      <c r="F479" s="8" t="n"/>
      <c r="G479" s="8">
        <f>IF($A479="",0,ROUND($E479*$F479,2))</f>
        <v/>
      </c>
    </row>
    <row r="480">
      <c r="B480" s="7" t="n"/>
      <c r="F480" s="8" t="n"/>
      <c r="G480" s="8">
        <f>IF($A480="",0,ROUND($E480*$F480,2))</f>
        <v/>
      </c>
    </row>
    <row r="481">
      <c r="B481" s="7" t="n"/>
      <c r="F481" s="8" t="n"/>
      <c r="G481" s="8">
        <f>IF($A481="",0,ROUND($E481*$F481,2))</f>
        <v/>
      </c>
    </row>
    <row r="482">
      <c r="B482" s="7" t="n"/>
      <c r="F482" s="8" t="n"/>
      <c r="G482" s="8">
        <f>IF($A482="",0,ROUND($E482*$F482,2))</f>
        <v/>
      </c>
    </row>
    <row r="483">
      <c r="B483" s="7" t="n"/>
      <c r="F483" s="8" t="n"/>
      <c r="G483" s="8">
        <f>IF($A483="",0,ROUND($E483*$F483,2))</f>
        <v/>
      </c>
    </row>
    <row r="484">
      <c r="B484" s="7" t="n"/>
      <c r="F484" s="8" t="n"/>
      <c r="G484" s="8">
        <f>IF($A484="",0,ROUND($E484*$F484,2))</f>
        <v/>
      </c>
    </row>
    <row r="485">
      <c r="B485" s="7" t="n"/>
      <c r="F485" s="8" t="n"/>
      <c r="G485" s="8">
        <f>IF($A485="",0,ROUND($E485*$F485,2))</f>
        <v/>
      </c>
    </row>
    <row r="486">
      <c r="B486" s="7" t="n"/>
      <c r="F486" s="8" t="n"/>
      <c r="G486" s="8">
        <f>IF($A486="",0,ROUND($E486*$F486,2))</f>
        <v/>
      </c>
    </row>
    <row r="487">
      <c r="B487" s="7" t="n"/>
      <c r="F487" s="8" t="n"/>
      <c r="G487" s="8">
        <f>IF($A487="",0,ROUND($E487*$F487,2))</f>
        <v/>
      </c>
    </row>
    <row r="488">
      <c r="B488" s="7" t="n"/>
      <c r="F488" s="8" t="n"/>
      <c r="G488" s="8">
        <f>IF($A488="",0,ROUND($E488*$F488,2))</f>
        <v/>
      </c>
    </row>
    <row r="489">
      <c r="B489" s="7" t="n"/>
      <c r="F489" s="8" t="n"/>
      <c r="G489" s="8">
        <f>IF($A489="",0,ROUND($E489*$F489,2))</f>
        <v/>
      </c>
    </row>
    <row r="490">
      <c r="B490" s="7" t="n"/>
      <c r="F490" s="8" t="n"/>
      <c r="G490" s="8">
        <f>IF($A490="",0,ROUND($E490*$F490,2))</f>
        <v/>
      </c>
    </row>
    <row r="491">
      <c r="B491" s="7" t="n"/>
      <c r="F491" s="8" t="n"/>
      <c r="G491" s="8">
        <f>IF($A491="",0,ROUND($E491*$F491,2))</f>
        <v/>
      </c>
    </row>
    <row r="492">
      <c r="B492" s="7" t="n"/>
      <c r="F492" s="8" t="n"/>
      <c r="G492" s="8">
        <f>IF($A492="",0,ROUND($E492*$F492,2))</f>
        <v/>
      </c>
    </row>
    <row r="493">
      <c r="B493" s="7" t="n"/>
      <c r="F493" s="8" t="n"/>
      <c r="G493" s="8">
        <f>IF($A493="",0,ROUND($E493*$F493,2))</f>
        <v/>
      </c>
    </row>
    <row r="494">
      <c r="B494" s="7" t="n"/>
      <c r="F494" s="8" t="n"/>
      <c r="G494" s="8">
        <f>IF($A494="",0,ROUND($E494*$F494,2))</f>
        <v/>
      </c>
    </row>
    <row r="495">
      <c r="B495" s="7" t="n"/>
      <c r="F495" s="8" t="n"/>
      <c r="G495" s="8">
        <f>IF($A495="",0,ROUND($E495*$F495,2))</f>
        <v/>
      </c>
    </row>
    <row r="496">
      <c r="B496" s="7" t="n"/>
      <c r="F496" s="8" t="n"/>
      <c r="G496" s="8">
        <f>IF($A496="",0,ROUND($E496*$F496,2))</f>
        <v/>
      </c>
    </row>
    <row r="497">
      <c r="B497" s="7" t="n"/>
      <c r="F497" s="8" t="n"/>
      <c r="G497" s="8">
        <f>IF($A497="",0,ROUND($E497*$F497,2))</f>
        <v/>
      </c>
    </row>
    <row r="498">
      <c r="B498" s="7" t="n"/>
      <c r="F498" s="8" t="n"/>
      <c r="G498" s="8">
        <f>IF($A498="",0,ROUND($E498*$F498,2))</f>
        <v/>
      </c>
    </row>
    <row r="499">
      <c r="B499" s="7" t="n"/>
      <c r="F499" s="8" t="n"/>
      <c r="G499" s="8">
        <f>IF($A499="",0,ROUND($E499*$F499,2))</f>
        <v/>
      </c>
    </row>
    <row r="500">
      <c r="B500" s="7" t="n"/>
      <c r="F500" s="8" t="n"/>
      <c r="G500" s="8">
        <f>IF($A500="",0,ROUND($E500*$F500,2))</f>
        <v/>
      </c>
    </row>
    <row r="501">
      <c r="B501" s="7" t="n"/>
      <c r="F501" s="8" t="n"/>
      <c r="G501" s="8">
        <f>IF($A501="",0,ROUND($E501*$F501,2))</f>
        <v/>
      </c>
    </row>
    <row r="502">
      <c r="B502" s="7" t="n"/>
      <c r="F502" s="8" t="n"/>
      <c r="G502" s="8">
        <f>IF($A502="",0,ROUND($E502*$F502,2))</f>
        <v/>
      </c>
    </row>
    <row r="503">
      <c r="B503" s="7" t="n"/>
      <c r="F503" s="8" t="n"/>
      <c r="G503" s="8">
        <f>IF($A503="",0,ROUND($E503*$F503,2))</f>
        <v/>
      </c>
    </row>
    <row r="504">
      <c r="B504" s="7" t="n"/>
      <c r="F504" s="8" t="n"/>
      <c r="G504" s="8">
        <f>IF($A504="",0,ROUND($E504*$F504,2))</f>
        <v/>
      </c>
    </row>
    <row r="505">
      <c r="B505" s="7" t="n"/>
      <c r="F505" s="8" t="n"/>
      <c r="G505" s="8">
        <f>IF($A505="",0,ROUND($E505*$F505,2))</f>
        <v/>
      </c>
    </row>
    <row r="506">
      <c r="B506" s="7" t="n"/>
      <c r="F506" s="8" t="n"/>
      <c r="G506" s="8">
        <f>IF($A506="",0,ROUND($E506*$F506,2))</f>
        <v/>
      </c>
    </row>
    <row r="507">
      <c r="B507" s="7" t="n"/>
      <c r="F507" s="8" t="n"/>
      <c r="G507" s="8">
        <f>IF($A507="",0,ROUND($E507*$F507,2))</f>
        <v/>
      </c>
    </row>
    <row r="508">
      <c r="B508" s="7" t="n"/>
      <c r="F508" s="8" t="n"/>
      <c r="G508" s="8">
        <f>IF($A508="",0,ROUND($E508*$F508,2))</f>
        <v/>
      </c>
    </row>
    <row r="509">
      <c r="B509" s="7" t="n"/>
      <c r="F509" s="8" t="n"/>
      <c r="G509" s="8">
        <f>IF($A509="",0,ROUND($E509*$F509,2))</f>
        <v/>
      </c>
    </row>
    <row r="510">
      <c r="B510" s="7" t="n"/>
      <c r="F510" s="8" t="n"/>
      <c r="G510" s="8">
        <f>IF($A510="",0,ROUND($E510*$F510,2))</f>
        <v/>
      </c>
    </row>
    <row r="511">
      <c r="B511" s="7" t="n"/>
      <c r="F511" s="8" t="n"/>
      <c r="G511" s="8">
        <f>IF($A511="",0,ROUND($E511*$F511,2))</f>
        <v/>
      </c>
    </row>
    <row r="512">
      <c r="B512" s="7" t="n"/>
      <c r="F512" s="8" t="n"/>
      <c r="G512" s="8">
        <f>IF($A512="",0,ROUND($E512*$F512,2))</f>
        <v/>
      </c>
    </row>
    <row r="513">
      <c r="B513" s="7" t="n"/>
      <c r="F513" s="8" t="n"/>
      <c r="G513" s="8">
        <f>IF($A513="",0,ROUND($E513*$F513,2))</f>
        <v/>
      </c>
    </row>
    <row r="514">
      <c r="B514" s="7" t="n"/>
      <c r="F514" s="8" t="n"/>
      <c r="G514" s="8">
        <f>IF($A514="",0,ROUND($E514*$F514,2))</f>
        <v/>
      </c>
    </row>
    <row r="515">
      <c r="B515" s="7" t="n"/>
      <c r="F515" s="8" t="n"/>
      <c r="G515" s="8">
        <f>IF($A515="",0,ROUND($E515*$F515,2))</f>
        <v/>
      </c>
    </row>
    <row r="516">
      <c r="B516" s="7" t="n"/>
      <c r="F516" s="8" t="n"/>
      <c r="G516" s="8">
        <f>IF($A516="",0,ROUND($E516*$F516,2))</f>
        <v/>
      </c>
    </row>
    <row r="517">
      <c r="B517" s="7" t="n"/>
      <c r="F517" s="8" t="n"/>
      <c r="G517" s="8">
        <f>IF($A517="",0,ROUND($E517*$F517,2))</f>
        <v/>
      </c>
    </row>
    <row r="518">
      <c r="B518" s="7" t="n"/>
      <c r="F518" s="8" t="n"/>
      <c r="G518" s="8">
        <f>IF($A518="",0,ROUND($E518*$F518,2))</f>
        <v/>
      </c>
    </row>
    <row r="519">
      <c r="B519" s="7" t="n"/>
      <c r="F519" s="8" t="n"/>
      <c r="G519" s="8">
        <f>IF($A519="",0,ROUND($E519*$F519,2))</f>
        <v/>
      </c>
    </row>
    <row r="520">
      <c r="B520" s="7" t="n"/>
      <c r="F520" s="8" t="n"/>
      <c r="G520" s="8">
        <f>IF($A520="",0,ROUND($E520*$F520,2))</f>
        <v/>
      </c>
    </row>
    <row r="521">
      <c r="B521" s="7" t="n"/>
      <c r="F521" s="8" t="n"/>
      <c r="G521" s="8">
        <f>IF($A521="",0,ROUND($E521*$F521,2))</f>
        <v/>
      </c>
    </row>
    <row r="522">
      <c r="B522" s="7" t="n"/>
      <c r="F522" s="8" t="n"/>
      <c r="G522" s="8">
        <f>IF($A522="",0,ROUND($E522*$F522,2))</f>
        <v/>
      </c>
    </row>
    <row r="523">
      <c r="B523" s="7" t="n"/>
      <c r="F523" s="8" t="n"/>
      <c r="G523" s="8">
        <f>IF($A523="",0,ROUND($E523*$F523,2))</f>
        <v/>
      </c>
    </row>
    <row r="524">
      <c r="B524" s="7" t="n"/>
      <c r="F524" s="8" t="n"/>
      <c r="G524" s="8">
        <f>IF($A524="",0,ROUND($E524*$F524,2))</f>
        <v/>
      </c>
    </row>
    <row r="525">
      <c r="B525" s="7" t="n"/>
      <c r="F525" s="8" t="n"/>
      <c r="G525" s="8">
        <f>IF($A525="",0,ROUND($E525*$F525,2))</f>
        <v/>
      </c>
    </row>
    <row r="526">
      <c r="B526" s="7" t="n"/>
      <c r="F526" s="8" t="n"/>
      <c r="G526" s="8">
        <f>IF($A526="",0,ROUND($E526*$F526,2))</f>
        <v/>
      </c>
    </row>
    <row r="527">
      <c r="B527" s="7" t="n"/>
      <c r="F527" s="8" t="n"/>
      <c r="G527" s="8">
        <f>IF($A527="",0,ROUND($E527*$F527,2))</f>
        <v/>
      </c>
    </row>
    <row r="528">
      <c r="B528" s="7" t="n"/>
      <c r="F528" s="8" t="n"/>
      <c r="G528" s="8">
        <f>IF($A528="",0,ROUND($E528*$F528,2))</f>
        <v/>
      </c>
    </row>
    <row r="529">
      <c r="B529" s="7" t="n"/>
      <c r="F529" s="8" t="n"/>
      <c r="G529" s="8">
        <f>IF($A529="",0,ROUND($E529*$F529,2))</f>
        <v/>
      </c>
    </row>
    <row r="530">
      <c r="B530" s="7" t="n"/>
      <c r="F530" s="8" t="n"/>
      <c r="G530" s="8">
        <f>IF($A530="",0,ROUND($E530*$F530,2))</f>
        <v/>
      </c>
    </row>
    <row r="531">
      <c r="B531" s="7" t="n"/>
      <c r="F531" s="8" t="n"/>
      <c r="G531" s="8">
        <f>IF($A531="",0,ROUND($E531*$F531,2))</f>
        <v/>
      </c>
    </row>
    <row r="532">
      <c r="B532" s="7" t="n"/>
      <c r="F532" s="8" t="n"/>
      <c r="G532" s="8">
        <f>IF($A532="",0,ROUND($E532*$F532,2))</f>
        <v/>
      </c>
    </row>
    <row r="533">
      <c r="B533" s="7" t="n"/>
      <c r="F533" s="8" t="n"/>
      <c r="G533" s="8">
        <f>IF($A533="",0,ROUND($E533*$F533,2))</f>
        <v/>
      </c>
    </row>
    <row r="534">
      <c r="B534" s="7" t="n"/>
      <c r="F534" s="8" t="n"/>
      <c r="G534" s="8">
        <f>IF($A534="",0,ROUND($E534*$F534,2))</f>
        <v/>
      </c>
    </row>
    <row r="535">
      <c r="B535" s="7" t="n"/>
      <c r="F535" s="8" t="n"/>
      <c r="G535" s="8">
        <f>IF($A535="",0,ROUND($E535*$F535,2))</f>
        <v/>
      </c>
    </row>
    <row r="536">
      <c r="B536" s="7" t="n"/>
      <c r="F536" s="8" t="n"/>
      <c r="G536" s="8">
        <f>IF($A536="",0,ROUND($E536*$F536,2))</f>
        <v/>
      </c>
    </row>
    <row r="537">
      <c r="B537" s="7" t="n"/>
      <c r="F537" s="8" t="n"/>
      <c r="G537" s="8">
        <f>IF($A537="",0,ROUND($E537*$F537,2))</f>
        <v/>
      </c>
    </row>
    <row r="538">
      <c r="B538" s="7" t="n"/>
      <c r="F538" s="8" t="n"/>
      <c r="G538" s="8">
        <f>IF($A538="",0,ROUND($E538*$F538,2))</f>
        <v/>
      </c>
    </row>
    <row r="539">
      <c r="B539" s="7" t="n"/>
      <c r="F539" s="8" t="n"/>
      <c r="G539" s="8">
        <f>IF($A539="",0,ROUND($E539*$F539,2))</f>
        <v/>
      </c>
    </row>
    <row r="540">
      <c r="B540" s="7" t="n"/>
      <c r="F540" s="8" t="n"/>
      <c r="G540" s="8">
        <f>IF($A540="",0,ROUND($E540*$F540,2))</f>
        <v/>
      </c>
    </row>
    <row r="541">
      <c r="B541" s="7" t="n"/>
      <c r="F541" s="8" t="n"/>
      <c r="G541" s="8">
        <f>IF($A541="",0,ROUND($E541*$F541,2))</f>
        <v/>
      </c>
    </row>
    <row r="542">
      <c r="B542" s="7" t="n"/>
      <c r="F542" s="8" t="n"/>
      <c r="G542" s="8">
        <f>IF($A542="",0,ROUND($E542*$F542,2))</f>
        <v/>
      </c>
    </row>
    <row r="543">
      <c r="B543" s="7" t="n"/>
      <c r="F543" s="8" t="n"/>
      <c r="G543" s="8">
        <f>IF($A543="",0,ROUND($E543*$F543,2))</f>
        <v/>
      </c>
    </row>
    <row r="544">
      <c r="B544" s="7" t="n"/>
      <c r="F544" s="8" t="n"/>
      <c r="G544" s="8">
        <f>IF($A544="",0,ROUND($E544*$F544,2))</f>
        <v/>
      </c>
    </row>
    <row r="545">
      <c r="B545" s="7" t="n"/>
      <c r="F545" s="8" t="n"/>
      <c r="G545" s="8">
        <f>IF($A545="",0,ROUND($E545*$F545,2))</f>
        <v/>
      </c>
    </row>
    <row r="546">
      <c r="B546" s="7" t="n"/>
      <c r="F546" s="8" t="n"/>
      <c r="G546" s="8">
        <f>IF($A546="",0,ROUND($E546*$F546,2))</f>
        <v/>
      </c>
    </row>
    <row r="547">
      <c r="B547" s="7" t="n"/>
      <c r="F547" s="8" t="n"/>
      <c r="G547" s="8">
        <f>IF($A547="",0,ROUND($E547*$F547,2))</f>
        <v/>
      </c>
    </row>
    <row r="548">
      <c r="B548" s="7" t="n"/>
      <c r="F548" s="8" t="n"/>
      <c r="G548" s="8">
        <f>IF($A548="",0,ROUND($E548*$F548,2))</f>
        <v/>
      </c>
    </row>
    <row r="549">
      <c r="B549" s="7" t="n"/>
      <c r="F549" s="8" t="n"/>
      <c r="G549" s="8">
        <f>IF($A549="",0,ROUND($E549*$F549,2))</f>
        <v/>
      </c>
    </row>
    <row r="550">
      <c r="B550" s="7" t="n"/>
      <c r="F550" s="8" t="n"/>
      <c r="G550" s="8">
        <f>IF($A550="",0,ROUND($E550*$F550,2))</f>
        <v/>
      </c>
    </row>
    <row r="551">
      <c r="B551" s="7" t="n"/>
      <c r="F551" s="8" t="n"/>
      <c r="G551" s="8">
        <f>IF($A551="",0,ROUND($E551*$F551,2))</f>
        <v/>
      </c>
    </row>
    <row r="552">
      <c r="B552" s="7" t="n"/>
      <c r="F552" s="8" t="n"/>
      <c r="G552" s="8">
        <f>IF($A552="",0,ROUND($E552*$F552,2))</f>
        <v/>
      </c>
    </row>
    <row r="553">
      <c r="B553" s="7" t="n"/>
      <c r="F553" s="8" t="n"/>
      <c r="G553" s="8">
        <f>IF($A553="",0,ROUND($E553*$F553,2))</f>
        <v/>
      </c>
    </row>
    <row r="554">
      <c r="B554" s="7" t="n"/>
      <c r="F554" s="8" t="n"/>
      <c r="G554" s="8">
        <f>IF($A554="",0,ROUND($E554*$F554,2))</f>
        <v/>
      </c>
    </row>
    <row r="555">
      <c r="B555" s="7" t="n"/>
      <c r="F555" s="8" t="n"/>
      <c r="G555" s="8">
        <f>IF($A555="",0,ROUND($E555*$F555,2))</f>
        <v/>
      </c>
    </row>
    <row r="556">
      <c r="B556" s="7" t="n"/>
      <c r="F556" s="8" t="n"/>
      <c r="G556" s="8">
        <f>IF($A556="",0,ROUND($E556*$F556,2))</f>
        <v/>
      </c>
    </row>
    <row r="557">
      <c r="B557" s="7" t="n"/>
      <c r="F557" s="8" t="n"/>
      <c r="G557" s="8">
        <f>IF($A557="",0,ROUND($E557*$F557,2))</f>
        <v/>
      </c>
    </row>
    <row r="558">
      <c r="B558" s="7" t="n"/>
      <c r="F558" s="8" t="n"/>
      <c r="G558" s="8">
        <f>IF($A558="",0,ROUND($E558*$F558,2))</f>
        <v/>
      </c>
    </row>
    <row r="559">
      <c r="B559" s="7" t="n"/>
      <c r="F559" s="8" t="n"/>
      <c r="G559" s="8">
        <f>IF($A559="",0,ROUND($E559*$F559,2))</f>
        <v/>
      </c>
    </row>
    <row r="560">
      <c r="B560" s="7" t="n"/>
      <c r="F560" s="8" t="n"/>
      <c r="G560" s="8">
        <f>IF($A560="",0,ROUND($E560*$F560,2))</f>
        <v/>
      </c>
    </row>
    <row r="561">
      <c r="B561" s="7" t="n"/>
      <c r="F561" s="8" t="n"/>
      <c r="G561" s="8">
        <f>IF($A561="",0,ROUND($E561*$F561,2))</f>
        <v/>
      </c>
    </row>
    <row r="562">
      <c r="B562" s="7" t="n"/>
      <c r="F562" s="8" t="n"/>
      <c r="G562" s="8">
        <f>IF($A562="",0,ROUND($E562*$F562,2))</f>
        <v/>
      </c>
    </row>
    <row r="563">
      <c r="B563" s="7" t="n"/>
      <c r="F563" s="8" t="n"/>
      <c r="G563" s="8">
        <f>IF($A563="",0,ROUND($E563*$F563,2))</f>
        <v/>
      </c>
    </row>
    <row r="564">
      <c r="B564" s="7" t="n"/>
      <c r="F564" s="8" t="n"/>
      <c r="G564" s="8">
        <f>IF($A564="",0,ROUND($E564*$F564,2))</f>
        <v/>
      </c>
    </row>
    <row r="565">
      <c r="B565" s="7" t="n"/>
      <c r="F565" s="8" t="n"/>
      <c r="G565" s="8">
        <f>IF($A565="",0,ROUND($E565*$F565,2))</f>
        <v/>
      </c>
    </row>
    <row r="566">
      <c r="B566" s="7" t="n"/>
      <c r="F566" s="8" t="n"/>
      <c r="G566" s="8">
        <f>IF($A566="",0,ROUND($E566*$F566,2))</f>
        <v/>
      </c>
    </row>
    <row r="567">
      <c r="B567" s="7" t="n"/>
      <c r="F567" s="8" t="n"/>
      <c r="G567" s="8">
        <f>IF($A567="",0,ROUND($E567*$F567,2))</f>
        <v/>
      </c>
    </row>
    <row r="568">
      <c r="B568" s="7" t="n"/>
      <c r="F568" s="8" t="n"/>
      <c r="G568" s="8">
        <f>IF($A568="",0,ROUND($E568*$F568,2))</f>
        <v/>
      </c>
    </row>
    <row r="569">
      <c r="B569" s="7" t="n"/>
      <c r="F569" s="8" t="n"/>
      <c r="G569" s="8">
        <f>IF($A569="",0,ROUND($E569*$F569,2))</f>
        <v/>
      </c>
    </row>
    <row r="570">
      <c r="B570" s="7" t="n"/>
      <c r="F570" s="8" t="n"/>
      <c r="G570" s="8">
        <f>IF($A570="",0,ROUND($E570*$F570,2))</f>
        <v/>
      </c>
    </row>
    <row r="571">
      <c r="B571" s="7" t="n"/>
      <c r="F571" s="8" t="n"/>
      <c r="G571" s="8">
        <f>IF($A571="",0,ROUND($E571*$F571,2))</f>
        <v/>
      </c>
    </row>
    <row r="572">
      <c r="B572" s="7" t="n"/>
      <c r="F572" s="8" t="n"/>
      <c r="G572" s="8">
        <f>IF($A572="",0,ROUND($E572*$F572,2))</f>
        <v/>
      </c>
    </row>
    <row r="573">
      <c r="B573" s="7" t="n"/>
      <c r="F573" s="8" t="n"/>
      <c r="G573" s="8">
        <f>IF($A573="",0,ROUND($E573*$F573,2))</f>
        <v/>
      </c>
    </row>
    <row r="574">
      <c r="B574" s="7" t="n"/>
      <c r="F574" s="8" t="n"/>
      <c r="G574" s="8">
        <f>IF($A574="",0,ROUND($E574*$F574,2))</f>
        <v/>
      </c>
    </row>
    <row r="575">
      <c r="B575" s="7" t="n"/>
      <c r="F575" s="8" t="n"/>
      <c r="G575" s="8">
        <f>IF($A575="",0,ROUND($E575*$F575,2))</f>
        <v/>
      </c>
    </row>
    <row r="576">
      <c r="B576" s="7" t="n"/>
      <c r="F576" s="8" t="n"/>
      <c r="G576" s="8">
        <f>IF($A576="",0,ROUND($E576*$F576,2))</f>
        <v/>
      </c>
    </row>
    <row r="577">
      <c r="B577" s="7" t="n"/>
      <c r="F577" s="8" t="n"/>
      <c r="G577" s="8">
        <f>IF($A577="",0,ROUND($E577*$F577,2))</f>
        <v/>
      </c>
    </row>
    <row r="578">
      <c r="B578" s="7" t="n"/>
      <c r="F578" s="8" t="n"/>
      <c r="G578" s="8">
        <f>IF($A578="",0,ROUND($E578*$F578,2))</f>
        <v/>
      </c>
    </row>
    <row r="579">
      <c r="B579" s="7" t="n"/>
      <c r="F579" s="8" t="n"/>
      <c r="G579" s="8">
        <f>IF($A579="",0,ROUND($E579*$F579,2))</f>
        <v/>
      </c>
    </row>
    <row r="580">
      <c r="B580" s="7" t="n"/>
      <c r="F580" s="8" t="n"/>
      <c r="G580" s="8">
        <f>IF($A580="",0,ROUND($E580*$F580,2))</f>
        <v/>
      </c>
    </row>
    <row r="581">
      <c r="B581" s="7" t="n"/>
      <c r="F581" s="8" t="n"/>
      <c r="G581" s="8">
        <f>IF($A581="",0,ROUND($E581*$F581,2))</f>
        <v/>
      </c>
    </row>
    <row r="582">
      <c r="B582" s="7" t="n"/>
      <c r="F582" s="8" t="n"/>
      <c r="G582" s="8">
        <f>IF($A582="",0,ROUND($E582*$F582,2))</f>
        <v/>
      </c>
    </row>
    <row r="583">
      <c r="B583" s="7" t="n"/>
      <c r="F583" s="8" t="n"/>
      <c r="G583" s="8">
        <f>IF($A583="",0,ROUND($E583*$F583,2))</f>
        <v/>
      </c>
    </row>
    <row r="584">
      <c r="B584" s="7" t="n"/>
      <c r="F584" s="8" t="n"/>
      <c r="G584" s="8">
        <f>IF($A584="",0,ROUND($E584*$F584,2))</f>
        <v/>
      </c>
    </row>
    <row r="585">
      <c r="B585" s="7" t="n"/>
      <c r="F585" s="8" t="n"/>
      <c r="G585" s="8">
        <f>IF($A585="",0,ROUND($E585*$F585,2))</f>
        <v/>
      </c>
    </row>
    <row r="586">
      <c r="B586" s="7" t="n"/>
      <c r="F586" s="8" t="n"/>
      <c r="G586" s="8">
        <f>IF($A586="",0,ROUND($E586*$F586,2))</f>
        <v/>
      </c>
    </row>
    <row r="587">
      <c r="B587" s="7" t="n"/>
      <c r="F587" s="8" t="n"/>
      <c r="G587" s="8">
        <f>IF($A587="",0,ROUND($E587*$F587,2))</f>
        <v/>
      </c>
    </row>
    <row r="588">
      <c r="B588" s="7" t="n"/>
      <c r="F588" s="8" t="n"/>
      <c r="G588" s="8">
        <f>IF($A588="",0,ROUND($E588*$F588,2))</f>
        <v/>
      </c>
    </row>
    <row r="589">
      <c r="B589" s="7" t="n"/>
      <c r="F589" s="8" t="n"/>
      <c r="G589" s="8">
        <f>IF($A589="",0,ROUND($E589*$F589,2))</f>
        <v/>
      </c>
    </row>
    <row r="590">
      <c r="B590" s="7" t="n"/>
      <c r="F590" s="8" t="n"/>
      <c r="G590" s="8">
        <f>IF($A590="",0,ROUND($E590*$F590,2))</f>
        <v/>
      </c>
    </row>
    <row r="591">
      <c r="B591" s="7" t="n"/>
      <c r="F591" s="8" t="n"/>
      <c r="G591" s="8">
        <f>IF($A591="",0,ROUND($E591*$F591,2))</f>
        <v/>
      </c>
    </row>
    <row r="592">
      <c r="B592" s="7" t="n"/>
      <c r="F592" s="8" t="n"/>
      <c r="G592" s="8">
        <f>IF($A592="",0,ROUND($E592*$F592,2))</f>
        <v/>
      </c>
    </row>
    <row r="593">
      <c r="B593" s="7" t="n"/>
      <c r="F593" s="8" t="n"/>
      <c r="G593" s="8">
        <f>IF($A593="",0,ROUND($E593*$F593,2))</f>
        <v/>
      </c>
    </row>
    <row r="594">
      <c r="B594" s="7" t="n"/>
      <c r="F594" s="8" t="n"/>
      <c r="G594" s="8">
        <f>IF($A594="",0,ROUND($E594*$F594,2))</f>
        <v/>
      </c>
    </row>
    <row r="595">
      <c r="B595" s="7" t="n"/>
      <c r="F595" s="8" t="n"/>
      <c r="G595" s="8">
        <f>IF($A595="",0,ROUND($E595*$F595,2))</f>
        <v/>
      </c>
    </row>
    <row r="596">
      <c r="B596" s="7" t="n"/>
      <c r="F596" s="8" t="n"/>
      <c r="G596" s="8">
        <f>IF($A596="",0,ROUND($E596*$F596,2))</f>
        <v/>
      </c>
    </row>
    <row r="597">
      <c r="B597" s="7" t="n"/>
      <c r="F597" s="8" t="n"/>
      <c r="G597" s="8">
        <f>IF($A597="",0,ROUND($E597*$F597,2))</f>
        <v/>
      </c>
    </row>
    <row r="598">
      <c r="B598" s="7" t="n"/>
      <c r="F598" s="8" t="n"/>
      <c r="G598" s="8">
        <f>IF($A598="",0,ROUND($E598*$F598,2))</f>
        <v/>
      </c>
    </row>
    <row r="599">
      <c r="B599" s="7" t="n"/>
      <c r="F599" s="8" t="n"/>
      <c r="G599" s="8">
        <f>IF($A599="",0,ROUND($E599*$F599,2))</f>
        <v/>
      </c>
    </row>
    <row r="600">
      <c r="B600" s="7" t="n"/>
      <c r="F600" s="8" t="n"/>
      <c r="G600" s="8">
        <f>IF($A600="",0,ROUND($E600*$F600,2))</f>
        <v/>
      </c>
    </row>
    <row r="601">
      <c r="B601" s="7" t="n"/>
      <c r="F601" s="8" t="n"/>
      <c r="G601" s="8">
        <f>IF($A601="",0,ROUND($E601*$F601,2))</f>
        <v/>
      </c>
    </row>
    <row r="602">
      <c r="B602" s="7" t="n"/>
      <c r="F602" s="8" t="n"/>
      <c r="G602" s="8">
        <f>IF($A602="",0,ROUND($E602*$F602,2))</f>
        <v/>
      </c>
    </row>
    <row r="603">
      <c r="B603" s="7" t="n"/>
      <c r="F603" s="8" t="n"/>
      <c r="G603" s="8">
        <f>IF($A603="",0,ROUND($E603*$F603,2))</f>
        <v/>
      </c>
    </row>
    <row r="604">
      <c r="B604" s="7" t="n"/>
      <c r="F604" s="8" t="n"/>
      <c r="G604" s="8">
        <f>IF($A604="",0,ROUND($E604*$F604,2))</f>
        <v/>
      </c>
    </row>
    <row r="605">
      <c r="B605" s="7" t="n"/>
      <c r="F605" s="8" t="n"/>
      <c r="G605" s="8">
        <f>IF($A605="",0,ROUND($E605*$F605,2))</f>
        <v/>
      </c>
    </row>
    <row r="606">
      <c r="B606" s="7" t="n"/>
      <c r="F606" s="8" t="n"/>
      <c r="G606" s="8">
        <f>IF($A606="",0,ROUND($E606*$F606,2))</f>
        <v/>
      </c>
    </row>
    <row r="607">
      <c r="B607" s="7" t="n"/>
      <c r="F607" s="8" t="n"/>
      <c r="G607" s="8">
        <f>IF($A607="",0,ROUND($E607*$F607,2))</f>
        <v/>
      </c>
    </row>
    <row r="608">
      <c r="B608" s="7" t="n"/>
      <c r="F608" s="8" t="n"/>
      <c r="G608" s="8">
        <f>IF($A608="",0,ROUND($E608*$F608,2))</f>
        <v/>
      </c>
    </row>
    <row r="609">
      <c r="B609" s="7" t="n"/>
      <c r="F609" s="8" t="n"/>
      <c r="G609" s="8">
        <f>IF($A609="",0,ROUND($E609*$F609,2))</f>
        <v/>
      </c>
    </row>
    <row r="610">
      <c r="B610" s="7" t="n"/>
      <c r="F610" s="8" t="n"/>
      <c r="G610" s="8">
        <f>IF($A610="",0,ROUND($E610*$F610,2))</f>
        <v/>
      </c>
    </row>
    <row r="611">
      <c r="B611" s="7" t="n"/>
      <c r="F611" s="8" t="n"/>
      <c r="G611" s="8">
        <f>IF($A611="",0,ROUND($E611*$F611,2))</f>
        <v/>
      </c>
    </row>
    <row r="612">
      <c r="B612" s="7" t="n"/>
      <c r="F612" s="8" t="n"/>
      <c r="G612" s="8">
        <f>IF($A612="",0,ROUND($E612*$F612,2))</f>
        <v/>
      </c>
    </row>
    <row r="613">
      <c r="B613" s="7" t="n"/>
      <c r="F613" s="8" t="n"/>
      <c r="G613" s="8">
        <f>IF($A613="",0,ROUND($E613*$F613,2))</f>
        <v/>
      </c>
    </row>
    <row r="614">
      <c r="B614" s="7" t="n"/>
      <c r="F614" s="8" t="n"/>
      <c r="G614" s="8">
        <f>IF($A614="",0,ROUND($E614*$F614,2))</f>
        <v/>
      </c>
    </row>
    <row r="615">
      <c r="B615" s="7" t="n"/>
      <c r="F615" s="8" t="n"/>
      <c r="G615" s="8">
        <f>IF($A615="",0,ROUND($E615*$F615,2))</f>
        <v/>
      </c>
    </row>
    <row r="616">
      <c r="B616" s="7" t="n"/>
      <c r="F616" s="8" t="n"/>
      <c r="G616" s="8">
        <f>IF($A616="",0,ROUND($E616*$F616,2))</f>
        <v/>
      </c>
    </row>
    <row r="617">
      <c r="B617" s="7" t="n"/>
      <c r="F617" s="8" t="n"/>
      <c r="G617" s="8">
        <f>IF($A617="",0,ROUND($E617*$F617,2))</f>
        <v/>
      </c>
    </row>
    <row r="618">
      <c r="B618" s="7" t="n"/>
      <c r="F618" s="8" t="n"/>
      <c r="G618" s="8">
        <f>IF($A618="",0,ROUND($E618*$F618,2))</f>
        <v/>
      </c>
    </row>
    <row r="619">
      <c r="B619" s="7" t="n"/>
      <c r="F619" s="8" t="n"/>
      <c r="G619" s="8">
        <f>IF($A619="",0,ROUND($E619*$F619,2))</f>
        <v/>
      </c>
    </row>
    <row r="620">
      <c r="B620" s="7" t="n"/>
      <c r="F620" s="8" t="n"/>
      <c r="G620" s="8">
        <f>IF($A620="",0,ROUND($E620*$F620,2))</f>
        <v/>
      </c>
    </row>
    <row r="621">
      <c r="B621" s="7" t="n"/>
      <c r="F621" s="8" t="n"/>
      <c r="G621" s="8">
        <f>IF($A621="",0,ROUND($E621*$F621,2))</f>
        <v/>
      </c>
    </row>
    <row r="622">
      <c r="B622" s="7" t="n"/>
      <c r="F622" s="8" t="n"/>
      <c r="G622" s="8">
        <f>IF($A622="",0,ROUND($E622*$F622,2))</f>
        <v/>
      </c>
    </row>
    <row r="623">
      <c r="B623" s="7" t="n"/>
      <c r="F623" s="8" t="n"/>
      <c r="G623" s="8">
        <f>IF($A623="",0,ROUND($E623*$F623,2))</f>
        <v/>
      </c>
    </row>
    <row r="624">
      <c r="B624" s="7" t="n"/>
      <c r="F624" s="8" t="n"/>
      <c r="G624" s="8">
        <f>IF($A624="",0,ROUND($E624*$F624,2))</f>
        <v/>
      </c>
    </row>
    <row r="625">
      <c r="B625" s="7" t="n"/>
      <c r="F625" s="8" t="n"/>
      <c r="G625" s="8">
        <f>IF($A625="",0,ROUND($E625*$F625,2))</f>
        <v/>
      </c>
    </row>
    <row r="626">
      <c r="B626" s="7" t="n"/>
      <c r="F626" s="8" t="n"/>
      <c r="G626" s="8">
        <f>IF($A626="",0,ROUND($E626*$F626,2))</f>
        <v/>
      </c>
    </row>
    <row r="627">
      <c r="B627" s="7" t="n"/>
      <c r="F627" s="8" t="n"/>
      <c r="G627" s="8">
        <f>IF($A627="",0,ROUND($E627*$F627,2))</f>
        <v/>
      </c>
    </row>
    <row r="628">
      <c r="B628" s="7" t="n"/>
      <c r="F628" s="8" t="n"/>
      <c r="G628" s="8">
        <f>IF($A628="",0,ROUND($E628*$F628,2))</f>
        <v/>
      </c>
    </row>
    <row r="629">
      <c r="B629" s="7" t="n"/>
      <c r="F629" s="8" t="n"/>
      <c r="G629" s="8">
        <f>IF($A629="",0,ROUND($E629*$F629,2))</f>
        <v/>
      </c>
    </row>
    <row r="630">
      <c r="B630" s="7" t="n"/>
      <c r="F630" s="8" t="n"/>
      <c r="G630" s="8">
        <f>IF($A630="",0,ROUND($E630*$F630,2))</f>
        <v/>
      </c>
    </row>
    <row r="631">
      <c r="B631" s="7" t="n"/>
      <c r="F631" s="8" t="n"/>
      <c r="G631" s="8">
        <f>IF($A631="",0,ROUND($E631*$F631,2))</f>
        <v/>
      </c>
    </row>
    <row r="632">
      <c r="B632" s="7" t="n"/>
      <c r="F632" s="8" t="n"/>
      <c r="G632" s="8">
        <f>IF($A632="",0,ROUND($E632*$F632,2))</f>
        <v/>
      </c>
    </row>
    <row r="633">
      <c r="B633" s="7" t="n"/>
      <c r="F633" s="8" t="n"/>
      <c r="G633" s="8">
        <f>IF($A633="",0,ROUND($E633*$F633,2))</f>
        <v/>
      </c>
    </row>
    <row r="634">
      <c r="B634" s="7" t="n"/>
      <c r="F634" s="8" t="n"/>
      <c r="G634" s="8">
        <f>IF($A634="",0,ROUND($E634*$F634,2))</f>
        <v/>
      </c>
    </row>
    <row r="635">
      <c r="B635" s="7" t="n"/>
      <c r="F635" s="8" t="n"/>
      <c r="G635" s="8">
        <f>IF($A635="",0,ROUND($E635*$F635,2))</f>
        <v/>
      </c>
    </row>
    <row r="636">
      <c r="B636" s="7" t="n"/>
      <c r="F636" s="8" t="n"/>
      <c r="G636" s="8">
        <f>IF($A636="",0,ROUND($E636*$F636,2))</f>
        <v/>
      </c>
    </row>
    <row r="637">
      <c r="B637" s="7" t="n"/>
      <c r="F637" s="8" t="n"/>
      <c r="G637" s="8">
        <f>IF($A637="",0,ROUND($E637*$F637,2))</f>
        <v/>
      </c>
    </row>
    <row r="638">
      <c r="B638" s="7" t="n"/>
      <c r="F638" s="8" t="n"/>
      <c r="G638" s="8">
        <f>IF($A638="",0,ROUND($E638*$F638,2))</f>
        <v/>
      </c>
    </row>
    <row r="639">
      <c r="B639" s="7" t="n"/>
      <c r="F639" s="8" t="n"/>
      <c r="G639" s="8">
        <f>IF($A639="",0,ROUND($E639*$F639,2))</f>
        <v/>
      </c>
    </row>
    <row r="640">
      <c r="B640" s="7" t="n"/>
      <c r="F640" s="8" t="n"/>
      <c r="G640" s="8">
        <f>IF($A640="",0,ROUND($E640*$F640,2))</f>
        <v/>
      </c>
    </row>
    <row r="641">
      <c r="B641" s="7" t="n"/>
      <c r="F641" s="8" t="n"/>
      <c r="G641" s="8">
        <f>IF($A641="",0,ROUND($E641*$F641,2))</f>
        <v/>
      </c>
    </row>
    <row r="642">
      <c r="B642" s="7" t="n"/>
      <c r="F642" s="8" t="n"/>
      <c r="G642" s="8">
        <f>IF($A642="",0,ROUND($E642*$F642,2))</f>
        <v/>
      </c>
    </row>
    <row r="643">
      <c r="B643" s="7" t="n"/>
      <c r="F643" s="8" t="n"/>
      <c r="G643" s="8">
        <f>IF($A643="",0,ROUND($E643*$F643,2))</f>
        <v/>
      </c>
    </row>
    <row r="644">
      <c r="B644" s="7" t="n"/>
      <c r="F644" s="8" t="n"/>
      <c r="G644" s="8">
        <f>IF($A644="",0,ROUND($E644*$F644,2))</f>
        <v/>
      </c>
    </row>
    <row r="645">
      <c r="B645" s="7" t="n"/>
      <c r="F645" s="8" t="n"/>
      <c r="G645" s="8">
        <f>IF($A645="",0,ROUND($E645*$F645,2))</f>
        <v/>
      </c>
    </row>
    <row r="646">
      <c r="B646" s="7" t="n"/>
      <c r="F646" s="8" t="n"/>
      <c r="G646" s="8">
        <f>IF($A646="",0,ROUND($E646*$F646,2))</f>
        <v/>
      </c>
    </row>
    <row r="647">
      <c r="B647" s="7" t="n"/>
      <c r="F647" s="8" t="n"/>
      <c r="G647" s="8">
        <f>IF($A647="",0,ROUND($E647*$F647,2))</f>
        <v/>
      </c>
    </row>
    <row r="648">
      <c r="B648" s="7" t="n"/>
      <c r="F648" s="8" t="n"/>
      <c r="G648" s="8">
        <f>IF($A648="",0,ROUND($E648*$F648,2))</f>
        <v/>
      </c>
    </row>
    <row r="649">
      <c r="B649" s="7" t="n"/>
      <c r="F649" s="8" t="n"/>
      <c r="G649" s="8">
        <f>IF($A649="",0,ROUND($E649*$F649,2))</f>
        <v/>
      </c>
    </row>
    <row r="650">
      <c r="B650" s="7" t="n"/>
      <c r="F650" s="8" t="n"/>
      <c r="G650" s="8">
        <f>IF($A650="",0,ROUND($E650*$F650,2))</f>
        <v/>
      </c>
    </row>
    <row r="651">
      <c r="B651" s="7" t="n"/>
      <c r="F651" s="8" t="n"/>
      <c r="G651" s="8">
        <f>IF($A651="",0,ROUND($E651*$F651,2))</f>
        <v/>
      </c>
    </row>
    <row r="652">
      <c r="B652" s="7" t="n"/>
      <c r="F652" s="8" t="n"/>
      <c r="G652" s="8">
        <f>IF($A652="",0,ROUND($E652*$F652,2))</f>
        <v/>
      </c>
    </row>
    <row r="653">
      <c r="B653" s="7" t="n"/>
      <c r="F653" s="8" t="n"/>
      <c r="G653" s="8">
        <f>IF($A653="",0,ROUND($E653*$F653,2))</f>
        <v/>
      </c>
    </row>
    <row r="654">
      <c r="B654" s="7" t="n"/>
      <c r="F654" s="8" t="n"/>
      <c r="G654" s="8">
        <f>IF($A654="",0,ROUND($E654*$F654,2))</f>
        <v/>
      </c>
    </row>
    <row r="655">
      <c r="B655" s="7" t="n"/>
      <c r="F655" s="8" t="n"/>
      <c r="G655" s="8">
        <f>IF($A655="",0,ROUND($E655*$F655,2))</f>
        <v/>
      </c>
    </row>
    <row r="656">
      <c r="B656" s="7" t="n"/>
      <c r="F656" s="8" t="n"/>
      <c r="G656" s="8">
        <f>IF($A656="",0,ROUND($E656*$F656,2))</f>
        <v/>
      </c>
    </row>
    <row r="657">
      <c r="B657" s="7" t="n"/>
      <c r="F657" s="8" t="n"/>
      <c r="G657" s="8">
        <f>IF($A657="",0,ROUND($E657*$F657,2))</f>
        <v/>
      </c>
    </row>
    <row r="658">
      <c r="B658" s="7" t="n"/>
      <c r="F658" s="8" t="n"/>
      <c r="G658" s="8">
        <f>IF($A658="",0,ROUND($E658*$F658,2))</f>
        <v/>
      </c>
    </row>
    <row r="659">
      <c r="B659" s="7" t="n"/>
      <c r="F659" s="8" t="n"/>
      <c r="G659" s="8">
        <f>IF($A659="",0,ROUND($E659*$F659,2))</f>
        <v/>
      </c>
    </row>
    <row r="660">
      <c r="B660" s="7" t="n"/>
      <c r="F660" s="8" t="n"/>
      <c r="G660" s="8">
        <f>IF($A660="",0,ROUND($E660*$F660,2))</f>
        <v/>
      </c>
    </row>
    <row r="661">
      <c r="B661" s="7" t="n"/>
      <c r="F661" s="8" t="n"/>
      <c r="G661" s="8">
        <f>IF($A661="",0,ROUND($E661*$F661,2))</f>
        <v/>
      </c>
    </row>
    <row r="662">
      <c r="B662" s="7" t="n"/>
      <c r="F662" s="8" t="n"/>
      <c r="G662" s="8">
        <f>IF($A662="",0,ROUND($E662*$F662,2))</f>
        <v/>
      </c>
    </row>
    <row r="663">
      <c r="B663" s="7" t="n"/>
      <c r="F663" s="8" t="n"/>
      <c r="G663" s="8">
        <f>IF($A663="",0,ROUND($E663*$F663,2))</f>
        <v/>
      </c>
    </row>
    <row r="664">
      <c r="B664" s="7" t="n"/>
      <c r="F664" s="8" t="n"/>
      <c r="G664" s="8">
        <f>IF($A664="",0,ROUND($E664*$F664,2))</f>
        <v/>
      </c>
    </row>
    <row r="665">
      <c r="B665" s="7" t="n"/>
      <c r="F665" s="8" t="n"/>
      <c r="G665" s="8">
        <f>IF($A665="",0,ROUND($E665*$F665,2))</f>
        <v/>
      </c>
    </row>
    <row r="666">
      <c r="B666" s="7" t="n"/>
      <c r="F666" s="8" t="n"/>
      <c r="G666" s="8">
        <f>IF($A666="",0,ROUND($E666*$F666,2))</f>
        <v/>
      </c>
    </row>
    <row r="667">
      <c r="B667" s="7" t="n"/>
      <c r="F667" s="8" t="n"/>
      <c r="G667" s="8">
        <f>IF($A667="",0,ROUND($E667*$F667,2))</f>
        <v/>
      </c>
    </row>
    <row r="668">
      <c r="B668" s="7" t="n"/>
      <c r="F668" s="8" t="n"/>
      <c r="G668" s="8">
        <f>IF($A668="",0,ROUND($E668*$F668,2))</f>
        <v/>
      </c>
    </row>
    <row r="669">
      <c r="B669" s="7" t="n"/>
      <c r="F669" s="8" t="n"/>
      <c r="G669" s="8">
        <f>IF($A669="",0,ROUND($E669*$F669,2))</f>
        <v/>
      </c>
    </row>
    <row r="670">
      <c r="B670" s="7" t="n"/>
      <c r="F670" s="8" t="n"/>
      <c r="G670" s="8">
        <f>IF($A670="",0,ROUND($E670*$F670,2))</f>
        <v/>
      </c>
    </row>
    <row r="671">
      <c r="B671" s="7" t="n"/>
      <c r="F671" s="8" t="n"/>
      <c r="G671" s="8">
        <f>IF($A671="",0,ROUND($E671*$F671,2))</f>
        <v/>
      </c>
    </row>
    <row r="672">
      <c r="B672" s="7" t="n"/>
      <c r="F672" s="8" t="n"/>
      <c r="G672" s="8">
        <f>IF($A672="",0,ROUND($E672*$F672,2))</f>
        <v/>
      </c>
    </row>
    <row r="673">
      <c r="B673" s="7" t="n"/>
      <c r="F673" s="8" t="n"/>
      <c r="G673" s="8">
        <f>IF($A673="",0,ROUND($E673*$F673,2))</f>
        <v/>
      </c>
    </row>
    <row r="674">
      <c r="B674" s="7" t="n"/>
      <c r="F674" s="8" t="n"/>
      <c r="G674" s="8">
        <f>IF($A674="",0,ROUND($E674*$F674,2))</f>
        <v/>
      </c>
    </row>
    <row r="675">
      <c r="B675" s="7" t="n"/>
      <c r="F675" s="8" t="n"/>
      <c r="G675" s="8">
        <f>IF($A675="",0,ROUND($E675*$F675,2))</f>
        <v/>
      </c>
    </row>
    <row r="676">
      <c r="B676" s="7" t="n"/>
      <c r="F676" s="8" t="n"/>
      <c r="G676" s="8">
        <f>IF($A676="",0,ROUND($E676*$F676,2))</f>
        <v/>
      </c>
    </row>
    <row r="677">
      <c r="B677" s="7" t="n"/>
      <c r="F677" s="8" t="n"/>
      <c r="G677" s="8">
        <f>IF($A677="",0,ROUND($E677*$F677,2))</f>
        <v/>
      </c>
    </row>
    <row r="678">
      <c r="B678" s="7" t="n"/>
      <c r="F678" s="8" t="n"/>
      <c r="G678" s="8">
        <f>IF($A678="",0,ROUND($E678*$F678,2))</f>
        <v/>
      </c>
    </row>
    <row r="679">
      <c r="B679" s="7" t="n"/>
      <c r="F679" s="8" t="n"/>
      <c r="G679" s="8">
        <f>IF($A679="",0,ROUND($E679*$F679,2))</f>
        <v/>
      </c>
    </row>
    <row r="680">
      <c r="B680" s="7" t="n"/>
      <c r="F680" s="8" t="n"/>
      <c r="G680" s="8">
        <f>IF($A680="",0,ROUND($E680*$F680,2))</f>
        <v/>
      </c>
    </row>
    <row r="681">
      <c r="B681" s="7" t="n"/>
      <c r="F681" s="8" t="n"/>
      <c r="G681" s="8">
        <f>IF($A681="",0,ROUND($E681*$F681,2))</f>
        <v/>
      </c>
    </row>
    <row r="682">
      <c r="B682" s="7" t="n"/>
      <c r="F682" s="8" t="n"/>
      <c r="G682" s="8">
        <f>IF($A682="",0,ROUND($E682*$F682,2))</f>
        <v/>
      </c>
    </row>
    <row r="683">
      <c r="B683" s="7" t="n"/>
      <c r="F683" s="8" t="n"/>
      <c r="G683" s="8">
        <f>IF($A683="",0,ROUND($E683*$F683,2))</f>
        <v/>
      </c>
    </row>
    <row r="684">
      <c r="B684" s="7" t="n"/>
      <c r="F684" s="8" t="n"/>
      <c r="G684" s="8">
        <f>IF($A684="",0,ROUND($E684*$F684,2))</f>
        <v/>
      </c>
    </row>
    <row r="685">
      <c r="B685" s="7" t="n"/>
      <c r="F685" s="8" t="n"/>
      <c r="G685" s="8">
        <f>IF($A685="",0,ROUND($E685*$F685,2))</f>
        <v/>
      </c>
    </row>
    <row r="686">
      <c r="B686" s="7" t="n"/>
      <c r="F686" s="8" t="n"/>
      <c r="G686" s="8">
        <f>IF($A686="",0,ROUND($E686*$F686,2))</f>
        <v/>
      </c>
    </row>
    <row r="687">
      <c r="B687" s="7" t="n"/>
      <c r="F687" s="8" t="n"/>
      <c r="G687" s="8">
        <f>IF($A687="",0,ROUND($E687*$F687,2))</f>
        <v/>
      </c>
    </row>
    <row r="688">
      <c r="B688" s="7" t="n"/>
      <c r="F688" s="8" t="n"/>
      <c r="G688" s="8">
        <f>IF($A688="",0,ROUND($E688*$F688,2))</f>
        <v/>
      </c>
    </row>
    <row r="689">
      <c r="B689" s="7" t="n"/>
      <c r="F689" s="8" t="n"/>
      <c r="G689" s="8">
        <f>IF($A689="",0,ROUND($E689*$F689,2))</f>
        <v/>
      </c>
    </row>
    <row r="690">
      <c r="B690" s="7" t="n"/>
      <c r="F690" s="8" t="n"/>
      <c r="G690" s="8">
        <f>IF($A690="",0,ROUND($E690*$F690,2))</f>
        <v/>
      </c>
    </row>
    <row r="691">
      <c r="B691" s="7" t="n"/>
      <c r="F691" s="8" t="n"/>
      <c r="G691" s="8">
        <f>IF($A691="",0,ROUND($E691*$F691,2))</f>
        <v/>
      </c>
    </row>
    <row r="692">
      <c r="B692" s="7" t="n"/>
      <c r="F692" s="8" t="n"/>
      <c r="G692" s="8">
        <f>IF($A692="",0,ROUND($E692*$F692,2))</f>
        <v/>
      </c>
    </row>
    <row r="693">
      <c r="B693" s="7" t="n"/>
      <c r="F693" s="8" t="n"/>
      <c r="G693" s="8">
        <f>IF($A693="",0,ROUND($E693*$F693,2))</f>
        <v/>
      </c>
    </row>
    <row r="694">
      <c r="B694" s="7" t="n"/>
      <c r="F694" s="8" t="n"/>
      <c r="G694" s="8">
        <f>IF($A694="",0,ROUND($E694*$F694,2))</f>
        <v/>
      </c>
    </row>
    <row r="695">
      <c r="B695" s="7" t="n"/>
      <c r="F695" s="8" t="n"/>
      <c r="G695" s="8">
        <f>IF($A695="",0,ROUND($E695*$F695,2))</f>
        <v/>
      </c>
    </row>
    <row r="696">
      <c r="B696" s="7" t="n"/>
      <c r="F696" s="8" t="n"/>
      <c r="G696" s="8">
        <f>IF($A696="",0,ROUND($E696*$F696,2))</f>
        <v/>
      </c>
    </row>
    <row r="697">
      <c r="B697" s="7" t="n"/>
      <c r="F697" s="8" t="n"/>
      <c r="G697" s="8">
        <f>IF($A697="",0,ROUND($E697*$F697,2))</f>
        <v/>
      </c>
    </row>
    <row r="698">
      <c r="B698" s="7" t="n"/>
      <c r="F698" s="8" t="n"/>
      <c r="G698" s="8">
        <f>IF($A698="",0,ROUND($E698*$F698,2))</f>
        <v/>
      </c>
    </row>
    <row r="699">
      <c r="B699" s="7" t="n"/>
      <c r="F699" s="8" t="n"/>
      <c r="G699" s="8">
        <f>IF($A699="",0,ROUND($E699*$F699,2))</f>
        <v/>
      </c>
    </row>
    <row r="700">
      <c r="B700" s="7" t="n"/>
      <c r="F700" s="8" t="n"/>
      <c r="G700" s="8">
        <f>IF($A700="",0,ROUND($E700*$F700,2))</f>
        <v/>
      </c>
    </row>
    <row r="701">
      <c r="B701" s="7" t="n"/>
      <c r="F701" s="8" t="n"/>
      <c r="G701" s="8">
        <f>IF($A701="",0,ROUND($E701*$F701,2))</f>
        <v/>
      </c>
    </row>
    <row r="702">
      <c r="B702" s="7" t="n"/>
      <c r="F702" s="8" t="n"/>
      <c r="G702" s="8">
        <f>IF($A702="",0,ROUND($E702*$F702,2))</f>
        <v/>
      </c>
    </row>
    <row r="703">
      <c r="B703" s="7" t="n"/>
      <c r="F703" s="8" t="n"/>
      <c r="G703" s="8">
        <f>IF($A703="",0,ROUND($E703*$F703,2))</f>
        <v/>
      </c>
    </row>
    <row r="704">
      <c r="B704" s="7" t="n"/>
      <c r="F704" s="8" t="n"/>
      <c r="G704" s="8">
        <f>IF($A704="",0,ROUND($E704*$F704,2))</f>
        <v/>
      </c>
    </row>
    <row r="705">
      <c r="B705" s="7" t="n"/>
      <c r="F705" s="8" t="n"/>
      <c r="G705" s="8">
        <f>IF($A705="",0,ROUND($E705*$F705,2))</f>
        <v/>
      </c>
    </row>
    <row r="706">
      <c r="B706" s="7" t="n"/>
      <c r="F706" s="8" t="n"/>
      <c r="G706" s="8">
        <f>IF($A706="",0,ROUND($E706*$F706,2))</f>
        <v/>
      </c>
    </row>
    <row r="707">
      <c r="B707" s="7" t="n"/>
      <c r="F707" s="8" t="n"/>
      <c r="G707" s="8">
        <f>IF($A707="",0,ROUND($E707*$F707,2))</f>
        <v/>
      </c>
    </row>
    <row r="708">
      <c r="B708" s="7" t="n"/>
      <c r="F708" s="8" t="n"/>
      <c r="G708" s="8">
        <f>IF($A708="",0,ROUND($E708*$F708,2))</f>
        <v/>
      </c>
    </row>
    <row r="709">
      <c r="B709" s="7" t="n"/>
      <c r="F709" s="8" t="n"/>
      <c r="G709" s="8">
        <f>IF($A709="",0,ROUND($E709*$F709,2))</f>
        <v/>
      </c>
    </row>
    <row r="710">
      <c r="B710" s="7" t="n"/>
      <c r="F710" s="8" t="n"/>
      <c r="G710" s="8">
        <f>IF($A710="",0,ROUND($E710*$F710,2))</f>
        <v/>
      </c>
    </row>
    <row r="711">
      <c r="B711" s="7" t="n"/>
      <c r="F711" s="8" t="n"/>
      <c r="G711" s="8">
        <f>IF($A711="",0,ROUND($E711*$F711,2))</f>
        <v/>
      </c>
    </row>
    <row r="712">
      <c r="B712" s="7" t="n"/>
      <c r="F712" s="8" t="n"/>
      <c r="G712" s="8">
        <f>IF($A712="",0,ROUND($E712*$F712,2))</f>
        <v/>
      </c>
    </row>
    <row r="713">
      <c r="B713" s="7" t="n"/>
      <c r="F713" s="8" t="n"/>
      <c r="G713" s="8">
        <f>IF($A713="",0,ROUND($E713*$F713,2))</f>
        <v/>
      </c>
    </row>
    <row r="714">
      <c r="B714" s="7" t="n"/>
      <c r="F714" s="8" t="n"/>
      <c r="G714" s="8">
        <f>IF($A714="",0,ROUND($E714*$F714,2))</f>
        <v/>
      </c>
    </row>
    <row r="715">
      <c r="B715" s="7" t="n"/>
      <c r="F715" s="8" t="n"/>
      <c r="G715" s="8">
        <f>IF($A715="",0,ROUND($E715*$F715,2))</f>
        <v/>
      </c>
    </row>
    <row r="716">
      <c r="B716" s="7" t="n"/>
      <c r="F716" s="8" t="n"/>
      <c r="G716" s="8">
        <f>IF($A716="",0,ROUND($E716*$F716,2))</f>
        <v/>
      </c>
    </row>
    <row r="717">
      <c r="B717" s="7" t="n"/>
      <c r="F717" s="8" t="n"/>
      <c r="G717" s="8">
        <f>IF($A717="",0,ROUND($E717*$F717,2))</f>
        <v/>
      </c>
    </row>
    <row r="718">
      <c r="B718" s="7" t="n"/>
      <c r="F718" s="8" t="n"/>
      <c r="G718" s="8">
        <f>IF($A718="",0,ROUND($E718*$F718,2))</f>
        <v/>
      </c>
    </row>
    <row r="719">
      <c r="B719" s="7" t="n"/>
      <c r="F719" s="8" t="n"/>
      <c r="G719" s="8">
        <f>IF($A719="",0,ROUND($E719*$F719,2))</f>
        <v/>
      </c>
    </row>
    <row r="720">
      <c r="B720" s="7" t="n"/>
      <c r="F720" s="8" t="n"/>
      <c r="G720" s="8">
        <f>IF($A720="",0,ROUND($E720*$F720,2))</f>
        <v/>
      </c>
    </row>
    <row r="721">
      <c r="B721" s="7" t="n"/>
      <c r="F721" s="8" t="n"/>
      <c r="G721" s="8">
        <f>IF($A721="",0,ROUND($E721*$F721,2))</f>
        <v/>
      </c>
    </row>
    <row r="722">
      <c r="B722" s="7" t="n"/>
      <c r="F722" s="8" t="n"/>
      <c r="G722" s="8">
        <f>IF($A722="",0,ROUND($E722*$F722,2))</f>
        <v/>
      </c>
    </row>
    <row r="723">
      <c r="B723" s="7" t="n"/>
      <c r="F723" s="8" t="n"/>
      <c r="G723" s="8">
        <f>IF($A723="",0,ROUND($E723*$F723,2))</f>
        <v/>
      </c>
    </row>
    <row r="724">
      <c r="B724" s="7" t="n"/>
      <c r="F724" s="8" t="n"/>
      <c r="G724" s="8">
        <f>IF($A724="",0,ROUND($E724*$F724,2))</f>
        <v/>
      </c>
    </row>
    <row r="725">
      <c r="B725" s="7" t="n"/>
      <c r="F725" s="8" t="n"/>
      <c r="G725" s="8">
        <f>IF($A725="",0,ROUND($E725*$F725,2))</f>
        <v/>
      </c>
    </row>
    <row r="726">
      <c r="B726" s="7" t="n"/>
      <c r="F726" s="8" t="n"/>
      <c r="G726" s="8">
        <f>IF($A726="",0,ROUND($E726*$F726,2))</f>
        <v/>
      </c>
    </row>
    <row r="727">
      <c r="B727" s="7" t="n"/>
      <c r="F727" s="8" t="n"/>
      <c r="G727" s="8">
        <f>IF($A727="",0,ROUND($E727*$F727,2))</f>
        <v/>
      </c>
    </row>
    <row r="728">
      <c r="B728" s="7" t="n"/>
      <c r="F728" s="8" t="n"/>
      <c r="G728" s="8">
        <f>IF($A728="",0,ROUND($E728*$F728,2))</f>
        <v/>
      </c>
    </row>
    <row r="729">
      <c r="B729" s="7" t="n"/>
      <c r="F729" s="8" t="n"/>
      <c r="G729" s="8">
        <f>IF($A729="",0,ROUND($E729*$F729,2))</f>
        <v/>
      </c>
    </row>
    <row r="730">
      <c r="B730" s="7" t="n"/>
      <c r="F730" s="8" t="n"/>
      <c r="G730" s="8">
        <f>IF($A730="",0,ROUND($E730*$F730,2))</f>
        <v/>
      </c>
    </row>
    <row r="731">
      <c r="B731" s="7" t="n"/>
      <c r="F731" s="8" t="n"/>
      <c r="G731" s="8">
        <f>IF($A731="",0,ROUND($E731*$F731,2))</f>
        <v/>
      </c>
    </row>
    <row r="732">
      <c r="B732" s="7" t="n"/>
      <c r="F732" s="8" t="n"/>
      <c r="G732" s="8">
        <f>IF($A732="",0,ROUND($E732*$F732,2))</f>
        <v/>
      </c>
    </row>
    <row r="733">
      <c r="B733" s="7" t="n"/>
      <c r="F733" s="8" t="n"/>
      <c r="G733" s="8">
        <f>IF($A733="",0,ROUND($E733*$F733,2))</f>
        <v/>
      </c>
    </row>
    <row r="734">
      <c r="B734" s="7" t="n"/>
      <c r="F734" s="8" t="n"/>
      <c r="G734" s="8">
        <f>IF($A734="",0,ROUND($E734*$F734,2))</f>
        <v/>
      </c>
    </row>
    <row r="735">
      <c r="B735" s="7" t="n"/>
      <c r="F735" s="8" t="n"/>
      <c r="G735" s="8">
        <f>IF($A735="",0,ROUND($E735*$F735,2))</f>
        <v/>
      </c>
    </row>
    <row r="736">
      <c r="B736" s="7" t="n"/>
      <c r="F736" s="8" t="n"/>
      <c r="G736" s="8">
        <f>IF($A736="",0,ROUND($E736*$F736,2))</f>
        <v/>
      </c>
    </row>
    <row r="737">
      <c r="B737" s="7" t="n"/>
      <c r="F737" s="8" t="n"/>
      <c r="G737" s="8">
        <f>IF($A737="",0,ROUND($E737*$F737,2))</f>
        <v/>
      </c>
    </row>
    <row r="738">
      <c r="B738" s="7" t="n"/>
      <c r="F738" s="8" t="n"/>
      <c r="G738" s="8">
        <f>IF($A738="",0,ROUND($E738*$F738,2))</f>
        <v/>
      </c>
    </row>
    <row r="739">
      <c r="B739" s="7" t="n"/>
      <c r="F739" s="8" t="n"/>
      <c r="G739" s="8">
        <f>IF($A739="",0,ROUND($E739*$F739,2))</f>
        <v/>
      </c>
    </row>
    <row r="740">
      <c r="B740" s="7" t="n"/>
      <c r="F740" s="8" t="n"/>
      <c r="G740" s="8">
        <f>IF($A740="",0,ROUND($E740*$F740,2))</f>
        <v/>
      </c>
    </row>
    <row r="741">
      <c r="B741" s="7" t="n"/>
      <c r="F741" s="8" t="n"/>
      <c r="G741" s="8">
        <f>IF($A741="",0,ROUND($E741*$F741,2))</f>
        <v/>
      </c>
    </row>
    <row r="742">
      <c r="B742" s="7" t="n"/>
      <c r="F742" s="8" t="n"/>
      <c r="G742" s="8">
        <f>IF($A742="",0,ROUND($E742*$F742,2))</f>
        <v/>
      </c>
    </row>
    <row r="743">
      <c r="B743" s="7" t="n"/>
      <c r="F743" s="8" t="n"/>
      <c r="G743" s="8">
        <f>IF($A743="",0,ROUND($E743*$F743,2))</f>
        <v/>
      </c>
    </row>
    <row r="744">
      <c r="B744" s="7" t="n"/>
      <c r="F744" s="8" t="n"/>
      <c r="G744" s="8">
        <f>IF($A744="",0,ROUND($E744*$F744,2))</f>
        <v/>
      </c>
    </row>
    <row r="745">
      <c r="B745" s="7" t="n"/>
      <c r="F745" s="8" t="n"/>
      <c r="G745" s="8">
        <f>IF($A745="",0,ROUND($E745*$F745,2))</f>
        <v/>
      </c>
    </row>
    <row r="746">
      <c r="B746" s="7" t="n"/>
      <c r="F746" s="8" t="n"/>
      <c r="G746" s="8">
        <f>IF($A746="",0,ROUND($E746*$F746,2))</f>
        <v/>
      </c>
    </row>
    <row r="747">
      <c r="B747" s="7" t="n"/>
      <c r="F747" s="8" t="n"/>
      <c r="G747" s="8">
        <f>IF($A747="",0,ROUND($E747*$F747,2))</f>
        <v/>
      </c>
    </row>
    <row r="748">
      <c r="B748" s="7" t="n"/>
      <c r="F748" s="8" t="n"/>
      <c r="G748" s="8">
        <f>IF($A748="",0,ROUND($E748*$F748,2))</f>
        <v/>
      </c>
    </row>
    <row r="749">
      <c r="B749" s="7" t="n"/>
      <c r="F749" s="8" t="n"/>
      <c r="G749" s="8">
        <f>IF($A749="",0,ROUND($E749*$F749,2))</f>
        <v/>
      </c>
    </row>
    <row r="750">
      <c r="B750" s="7" t="n"/>
      <c r="F750" s="8" t="n"/>
      <c r="G750" s="8">
        <f>IF($A750="",0,ROUND($E750*$F750,2))</f>
        <v/>
      </c>
    </row>
    <row r="751">
      <c r="B751" s="7" t="n"/>
      <c r="F751" s="8" t="n"/>
      <c r="G751" s="8">
        <f>IF($A751="",0,ROUND($E751*$F751,2))</f>
        <v/>
      </c>
    </row>
    <row r="752">
      <c r="B752" s="7" t="n"/>
      <c r="F752" s="8" t="n"/>
      <c r="G752" s="8">
        <f>IF($A752="",0,ROUND($E752*$F752,2))</f>
        <v/>
      </c>
    </row>
    <row r="753">
      <c r="B753" s="7" t="n"/>
      <c r="F753" s="8" t="n"/>
      <c r="G753" s="8">
        <f>IF($A753="",0,ROUND($E753*$F753,2))</f>
        <v/>
      </c>
    </row>
    <row r="754">
      <c r="B754" s="7" t="n"/>
      <c r="F754" s="8" t="n"/>
      <c r="G754" s="8">
        <f>IF($A754="",0,ROUND($E754*$F754,2))</f>
        <v/>
      </c>
    </row>
    <row r="755">
      <c r="B755" s="7" t="n"/>
      <c r="F755" s="8" t="n"/>
      <c r="G755" s="8">
        <f>IF($A755="",0,ROUND($E755*$F755,2))</f>
        <v/>
      </c>
    </row>
    <row r="756">
      <c r="B756" s="7" t="n"/>
      <c r="F756" s="8" t="n"/>
      <c r="G756" s="8">
        <f>IF($A756="",0,ROUND($E756*$F756,2))</f>
        <v/>
      </c>
    </row>
    <row r="757">
      <c r="B757" s="7" t="n"/>
      <c r="F757" s="8" t="n"/>
      <c r="G757" s="8">
        <f>IF($A757="",0,ROUND($E757*$F757,2))</f>
        <v/>
      </c>
    </row>
    <row r="758">
      <c r="B758" s="7" t="n"/>
      <c r="F758" s="8" t="n"/>
      <c r="G758" s="8">
        <f>IF($A758="",0,ROUND($E758*$F758,2))</f>
        <v/>
      </c>
    </row>
    <row r="759">
      <c r="B759" s="7" t="n"/>
      <c r="F759" s="8" t="n"/>
      <c r="G759" s="8">
        <f>IF($A759="",0,ROUND($E759*$F759,2))</f>
        <v/>
      </c>
    </row>
    <row r="760">
      <c r="B760" s="7" t="n"/>
      <c r="F760" s="8" t="n"/>
      <c r="G760" s="8">
        <f>IF($A760="",0,ROUND($E760*$F760,2))</f>
        <v/>
      </c>
    </row>
    <row r="761">
      <c r="B761" s="7" t="n"/>
      <c r="F761" s="8" t="n"/>
      <c r="G761" s="8">
        <f>IF($A761="",0,ROUND($E761*$F761,2))</f>
        <v/>
      </c>
    </row>
    <row r="762">
      <c r="B762" s="7" t="n"/>
      <c r="F762" s="8" t="n"/>
      <c r="G762" s="8">
        <f>IF($A762="",0,ROUND($E762*$F762,2))</f>
        <v/>
      </c>
    </row>
    <row r="763">
      <c r="B763" s="7" t="n"/>
      <c r="F763" s="8" t="n"/>
      <c r="G763" s="8">
        <f>IF($A763="",0,ROUND($E763*$F763,2))</f>
        <v/>
      </c>
    </row>
    <row r="764">
      <c r="B764" s="7" t="n"/>
      <c r="F764" s="8" t="n"/>
      <c r="G764" s="8">
        <f>IF($A764="",0,ROUND($E764*$F764,2))</f>
        <v/>
      </c>
    </row>
    <row r="765">
      <c r="B765" s="7" t="n"/>
      <c r="F765" s="8" t="n"/>
      <c r="G765" s="8">
        <f>IF($A765="",0,ROUND($E765*$F765,2))</f>
        <v/>
      </c>
    </row>
    <row r="766">
      <c r="B766" s="7" t="n"/>
      <c r="F766" s="8" t="n"/>
      <c r="G766" s="8">
        <f>IF($A766="",0,ROUND($E766*$F766,2))</f>
        <v/>
      </c>
    </row>
    <row r="767">
      <c r="B767" s="7" t="n"/>
      <c r="F767" s="8" t="n"/>
      <c r="G767" s="8">
        <f>IF($A767="",0,ROUND($E767*$F767,2))</f>
        <v/>
      </c>
    </row>
    <row r="768">
      <c r="B768" s="7" t="n"/>
      <c r="F768" s="8" t="n"/>
      <c r="G768" s="8">
        <f>IF($A768="",0,ROUND($E768*$F768,2))</f>
        <v/>
      </c>
    </row>
    <row r="769">
      <c r="B769" s="7" t="n"/>
      <c r="F769" s="8" t="n"/>
      <c r="G769" s="8">
        <f>IF($A769="",0,ROUND($E769*$F769,2))</f>
        <v/>
      </c>
    </row>
    <row r="770">
      <c r="B770" s="7" t="n"/>
      <c r="F770" s="8" t="n"/>
      <c r="G770" s="8">
        <f>IF($A770="",0,ROUND($E770*$F770,2))</f>
        <v/>
      </c>
    </row>
    <row r="771">
      <c r="B771" s="7" t="n"/>
      <c r="F771" s="8" t="n"/>
      <c r="G771" s="8">
        <f>IF($A771="",0,ROUND($E771*$F771,2))</f>
        <v/>
      </c>
    </row>
    <row r="772">
      <c r="B772" s="7" t="n"/>
      <c r="F772" s="8" t="n"/>
      <c r="G772" s="8">
        <f>IF($A772="",0,ROUND($E772*$F772,2))</f>
        <v/>
      </c>
    </row>
    <row r="773">
      <c r="B773" s="7" t="n"/>
      <c r="F773" s="8" t="n"/>
      <c r="G773" s="8">
        <f>IF($A773="",0,ROUND($E773*$F773,2))</f>
        <v/>
      </c>
    </row>
    <row r="774">
      <c r="B774" s="7" t="n"/>
      <c r="F774" s="8" t="n"/>
      <c r="G774" s="8">
        <f>IF($A774="",0,ROUND($E774*$F774,2))</f>
        <v/>
      </c>
    </row>
    <row r="775">
      <c r="B775" s="7" t="n"/>
      <c r="F775" s="8" t="n"/>
      <c r="G775" s="8">
        <f>IF($A775="",0,ROUND($E775*$F775,2))</f>
        <v/>
      </c>
    </row>
    <row r="776">
      <c r="B776" s="7" t="n"/>
      <c r="F776" s="8" t="n"/>
      <c r="G776" s="8">
        <f>IF($A776="",0,ROUND($E776*$F776,2))</f>
        <v/>
      </c>
    </row>
    <row r="777">
      <c r="B777" s="7" t="n"/>
      <c r="F777" s="8" t="n"/>
      <c r="G777" s="8">
        <f>IF($A777="",0,ROUND($E777*$F777,2))</f>
        <v/>
      </c>
    </row>
    <row r="778">
      <c r="B778" s="7" t="n"/>
      <c r="F778" s="8" t="n"/>
      <c r="G778" s="8">
        <f>IF($A778="",0,ROUND($E778*$F778,2))</f>
        <v/>
      </c>
    </row>
    <row r="779">
      <c r="B779" s="7" t="n"/>
      <c r="F779" s="8" t="n"/>
      <c r="G779" s="8">
        <f>IF($A779="",0,ROUND($E779*$F779,2))</f>
        <v/>
      </c>
    </row>
    <row r="780">
      <c r="B780" s="7" t="n"/>
      <c r="F780" s="8" t="n"/>
      <c r="G780" s="8">
        <f>IF($A780="",0,ROUND($E780*$F780,2))</f>
        <v/>
      </c>
    </row>
    <row r="781">
      <c r="B781" s="7" t="n"/>
      <c r="F781" s="8" t="n"/>
      <c r="G781" s="8">
        <f>IF($A781="",0,ROUND($E781*$F781,2))</f>
        <v/>
      </c>
    </row>
    <row r="782">
      <c r="B782" s="7" t="n"/>
      <c r="F782" s="8" t="n"/>
      <c r="G782" s="8">
        <f>IF($A782="",0,ROUND($E782*$F782,2))</f>
        <v/>
      </c>
    </row>
    <row r="783">
      <c r="B783" s="7" t="n"/>
      <c r="F783" s="8" t="n"/>
      <c r="G783" s="8">
        <f>IF($A783="",0,ROUND($E783*$F783,2))</f>
        <v/>
      </c>
    </row>
    <row r="784">
      <c r="B784" s="7" t="n"/>
      <c r="F784" s="8" t="n"/>
      <c r="G784" s="8">
        <f>IF($A784="",0,ROUND($E784*$F784,2))</f>
        <v/>
      </c>
    </row>
    <row r="785">
      <c r="B785" s="7" t="n"/>
      <c r="F785" s="8" t="n"/>
      <c r="G785" s="8">
        <f>IF($A785="",0,ROUND($E785*$F785,2))</f>
        <v/>
      </c>
    </row>
    <row r="786">
      <c r="B786" s="7" t="n"/>
      <c r="F786" s="8" t="n"/>
      <c r="G786" s="8">
        <f>IF($A786="",0,ROUND($E786*$F786,2))</f>
        <v/>
      </c>
    </row>
    <row r="787">
      <c r="B787" s="7" t="n"/>
      <c r="F787" s="8" t="n"/>
      <c r="G787" s="8">
        <f>IF($A787="",0,ROUND($E787*$F787,2))</f>
        <v/>
      </c>
    </row>
    <row r="788">
      <c r="B788" s="7" t="n"/>
      <c r="F788" s="8" t="n"/>
      <c r="G788" s="8">
        <f>IF($A788="",0,ROUND($E788*$F788,2))</f>
        <v/>
      </c>
    </row>
    <row r="789">
      <c r="B789" s="7" t="n"/>
      <c r="F789" s="8" t="n"/>
      <c r="G789" s="8">
        <f>IF($A789="",0,ROUND($E789*$F789,2))</f>
        <v/>
      </c>
    </row>
    <row r="790">
      <c r="B790" s="7" t="n"/>
      <c r="F790" s="8" t="n"/>
      <c r="G790" s="8">
        <f>IF($A790="",0,ROUND($E790*$F790,2))</f>
        <v/>
      </c>
    </row>
    <row r="791">
      <c r="B791" s="7" t="n"/>
      <c r="F791" s="8" t="n"/>
      <c r="G791" s="8">
        <f>IF($A791="",0,ROUND($E791*$F791,2))</f>
        <v/>
      </c>
    </row>
    <row r="792">
      <c r="B792" s="7" t="n"/>
      <c r="F792" s="8" t="n"/>
      <c r="G792" s="8">
        <f>IF($A792="",0,ROUND($E792*$F792,2))</f>
        <v/>
      </c>
    </row>
    <row r="793">
      <c r="B793" s="7" t="n"/>
      <c r="F793" s="8" t="n"/>
      <c r="G793" s="8">
        <f>IF($A793="",0,ROUND($E793*$F793,2))</f>
        <v/>
      </c>
    </row>
    <row r="794">
      <c r="B794" s="7" t="n"/>
      <c r="F794" s="8" t="n"/>
      <c r="G794" s="8">
        <f>IF($A794="",0,ROUND($E794*$F794,2))</f>
        <v/>
      </c>
    </row>
    <row r="795">
      <c r="B795" s="7" t="n"/>
      <c r="F795" s="8" t="n"/>
      <c r="G795" s="8">
        <f>IF($A795="",0,ROUND($E795*$F795,2))</f>
        <v/>
      </c>
    </row>
    <row r="796">
      <c r="B796" s="7" t="n"/>
      <c r="F796" s="8" t="n"/>
      <c r="G796" s="8">
        <f>IF($A796="",0,ROUND($E796*$F796,2))</f>
        <v/>
      </c>
    </row>
    <row r="797">
      <c r="B797" s="7" t="n"/>
      <c r="F797" s="8" t="n"/>
      <c r="G797" s="8">
        <f>IF($A797="",0,ROUND($E797*$F797,2))</f>
        <v/>
      </c>
    </row>
    <row r="798">
      <c r="B798" s="7" t="n"/>
      <c r="F798" s="8" t="n"/>
      <c r="G798" s="8">
        <f>IF($A798="",0,ROUND($E798*$F798,2))</f>
        <v/>
      </c>
    </row>
    <row r="799">
      <c r="B799" s="7" t="n"/>
      <c r="F799" s="8" t="n"/>
      <c r="G799" s="8">
        <f>IF($A799="",0,ROUND($E799*$F799,2))</f>
        <v/>
      </c>
    </row>
    <row r="800">
      <c r="B800" s="7" t="n"/>
      <c r="F800" s="8" t="n"/>
      <c r="G800" s="8">
        <f>IF($A800="",0,ROUND($E800*$F800,2))</f>
        <v/>
      </c>
    </row>
    <row r="801">
      <c r="B801" s="7" t="n"/>
      <c r="F801" s="8" t="n"/>
      <c r="G801" s="8">
        <f>IF($A801="",0,ROUND($E801*$F801,2))</f>
        <v/>
      </c>
    </row>
    <row r="802">
      <c r="B802" s="7" t="n"/>
      <c r="F802" s="8" t="n"/>
      <c r="G802" s="8">
        <f>IF($A802="",0,ROUND($E802*$F802,2))</f>
        <v/>
      </c>
    </row>
    <row r="803">
      <c r="B803" s="7" t="n"/>
      <c r="F803" s="8" t="n"/>
      <c r="G803" s="8">
        <f>IF($A803="",0,ROUND($E803*$F803,2))</f>
        <v/>
      </c>
    </row>
    <row r="804">
      <c r="B804" s="7" t="n"/>
      <c r="F804" s="8" t="n"/>
      <c r="G804" s="8">
        <f>IF($A804="",0,ROUND($E804*$F804,2))</f>
        <v/>
      </c>
    </row>
    <row r="805">
      <c r="B805" s="7" t="n"/>
      <c r="F805" s="8" t="n"/>
      <c r="G805" s="8">
        <f>IF($A805="",0,ROUND($E805*$F805,2))</f>
        <v/>
      </c>
    </row>
    <row r="806">
      <c r="B806" s="7" t="n"/>
      <c r="F806" s="8" t="n"/>
      <c r="G806" s="8">
        <f>IF($A806="",0,ROUND($E806*$F806,2))</f>
        <v/>
      </c>
    </row>
    <row r="807">
      <c r="B807" s="7" t="n"/>
      <c r="F807" s="8" t="n"/>
      <c r="G807" s="8">
        <f>IF($A807="",0,ROUND($E807*$F807,2))</f>
        <v/>
      </c>
    </row>
    <row r="808">
      <c r="B808" s="7" t="n"/>
      <c r="F808" s="8" t="n"/>
      <c r="G808" s="8">
        <f>IF($A808="",0,ROUND($E808*$F808,2))</f>
        <v/>
      </c>
    </row>
    <row r="809">
      <c r="B809" s="7" t="n"/>
      <c r="F809" s="8" t="n"/>
      <c r="G809" s="8">
        <f>IF($A809="",0,ROUND($E809*$F809,2))</f>
        <v/>
      </c>
    </row>
    <row r="810">
      <c r="B810" s="7" t="n"/>
      <c r="F810" s="8" t="n"/>
      <c r="G810" s="8">
        <f>IF($A810="",0,ROUND($E810*$F810,2))</f>
        <v/>
      </c>
    </row>
    <row r="811">
      <c r="B811" s="7" t="n"/>
      <c r="F811" s="8" t="n"/>
      <c r="G811" s="8">
        <f>IF($A811="",0,ROUND($E811*$F811,2))</f>
        <v/>
      </c>
    </row>
    <row r="812">
      <c r="B812" s="7" t="n"/>
      <c r="F812" s="8" t="n"/>
      <c r="G812" s="8">
        <f>IF($A812="",0,ROUND($E812*$F812,2))</f>
        <v/>
      </c>
    </row>
    <row r="813">
      <c r="B813" s="7" t="n"/>
      <c r="F813" s="8" t="n"/>
      <c r="G813" s="8">
        <f>IF($A813="",0,ROUND($E813*$F813,2))</f>
        <v/>
      </c>
    </row>
    <row r="814">
      <c r="B814" s="7" t="n"/>
      <c r="F814" s="8" t="n"/>
      <c r="G814" s="8">
        <f>IF($A814="",0,ROUND($E814*$F814,2))</f>
        <v/>
      </c>
    </row>
    <row r="815">
      <c r="B815" s="7" t="n"/>
      <c r="F815" s="8" t="n"/>
      <c r="G815" s="8">
        <f>IF($A815="",0,ROUND($E815*$F815,2))</f>
        <v/>
      </c>
    </row>
    <row r="816">
      <c r="B816" s="7" t="n"/>
      <c r="F816" s="8" t="n"/>
      <c r="G816" s="8">
        <f>IF($A816="",0,ROUND($E816*$F816,2))</f>
        <v/>
      </c>
    </row>
    <row r="817">
      <c r="B817" s="7" t="n"/>
      <c r="F817" s="8" t="n"/>
      <c r="G817" s="8">
        <f>IF($A817="",0,ROUND($E817*$F817,2))</f>
        <v/>
      </c>
    </row>
    <row r="818">
      <c r="B818" s="7" t="n"/>
      <c r="F818" s="8" t="n"/>
      <c r="G818" s="8">
        <f>IF($A818="",0,ROUND($E818*$F818,2))</f>
        <v/>
      </c>
    </row>
    <row r="819">
      <c r="B819" s="7" t="n"/>
      <c r="F819" s="8" t="n"/>
      <c r="G819" s="8">
        <f>IF($A819="",0,ROUND($E819*$F819,2))</f>
        <v/>
      </c>
    </row>
    <row r="820">
      <c r="B820" s="7" t="n"/>
      <c r="F820" s="8" t="n"/>
      <c r="G820" s="8">
        <f>IF($A820="",0,ROUND($E820*$F820,2))</f>
        <v/>
      </c>
    </row>
    <row r="821">
      <c r="B821" s="7" t="n"/>
      <c r="F821" s="8" t="n"/>
      <c r="G821" s="8">
        <f>IF($A821="",0,ROUND($E821*$F821,2))</f>
        <v/>
      </c>
    </row>
    <row r="822">
      <c r="B822" s="7" t="n"/>
      <c r="F822" s="8" t="n"/>
      <c r="G822" s="8">
        <f>IF($A822="",0,ROUND($E822*$F822,2))</f>
        <v/>
      </c>
    </row>
    <row r="823">
      <c r="B823" s="7" t="n"/>
      <c r="F823" s="8" t="n"/>
      <c r="G823" s="8">
        <f>IF($A823="",0,ROUND($E823*$F823,2))</f>
        <v/>
      </c>
    </row>
    <row r="824">
      <c r="B824" s="7" t="n"/>
      <c r="F824" s="8" t="n"/>
      <c r="G824" s="8">
        <f>IF($A824="",0,ROUND($E824*$F824,2))</f>
        <v/>
      </c>
    </row>
    <row r="825">
      <c r="B825" s="7" t="n"/>
      <c r="F825" s="8" t="n"/>
      <c r="G825" s="8">
        <f>IF($A825="",0,ROUND($E825*$F825,2))</f>
        <v/>
      </c>
    </row>
    <row r="826">
      <c r="B826" s="7" t="n"/>
      <c r="F826" s="8" t="n"/>
      <c r="G826" s="8">
        <f>IF($A826="",0,ROUND($E826*$F826,2))</f>
        <v/>
      </c>
    </row>
    <row r="827">
      <c r="B827" s="7" t="n"/>
      <c r="F827" s="8" t="n"/>
      <c r="G827" s="8">
        <f>IF($A827="",0,ROUND($E827*$F827,2))</f>
        <v/>
      </c>
    </row>
    <row r="828">
      <c r="B828" s="7" t="n"/>
      <c r="F828" s="8" t="n"/>
      <c r="G828" s="8">
        <f>IF($A828="",0,ROUND($E828*$F828,2))</f>
        <v/>
      </c>
    </row>
    <row r="829">
      <c r="B829" s="7" t="n"/>
      <c r="F829" s="8" t="n"/>
      <c r="G829" s="8">
        <f>IF($A829="",0,ROUND($E829*$F829,2))</f>
        <v/>
      </c>
    </row>
    <row r="830">
      <c r="B830" s="7" t="n"/>
      <c r="F830" s="8" t="n"/>
      <c r="G830" s="8">
        <f>IF($A830="",0,ROUND($E830*$F830,2))</f>
        <v/>
      </c>
    </row>
    <row r="831">
      <c r="B831" s="7" t="n"/>
      <c r="F831" s="8" t="n"/>
      <c r="G831" s="8">
        <f>IF($A831="",0,ROUND($E831*$F831,2))</f>
        <v/>
      </c>
    </row>
    <row r="832">
      <c r="B832" s="7" t="n"/>
      <c r="F832" s="8" t="n"/>
      <c r="G832" s="8">
        <f>IF($A832="",0,ROUND($E832*$F832,2))</f>
        <v/>
      </c>
    </row>
    <row r="833">
      <c r="B833" s="7" t="n"/>
      <c r="F833" s="8" t="n"/>
      <c r="G833" s="8">
        <f>IF($A833="",0,ROUND($E833*$F833,2))</f>
        <v/>
      </c>
    </row>
    <row r="834">
      <c r="B834" s="7" t="n"/>
      <c r="F834" s="8" t="n"/>
      <c r="G834" s="8">
        <f>IF($A834="",0,ROUND($E834*$F834,2))</f>
        <v/>
      </c>
    </row>
    <row r="835">
      <c r="B835" s="7" t="n"/>
      <c r="F835" s="8" t="n"/>
      <c r="G835" s="8">
        <f>IF($A835="",0,ROUND($E835*$F835,2))</f>
        <v/>
      </c>
    </row>
    <row r="836">
      <c r="B836" s="7" t="n"/>
      <c r="F836" s="8" t="n"/>
      <c r="G836" s="8">
        <f>IF($A836="",0,ROUND($E836*$F836,2))</f>
        <v/>
      </c>
    </row>
    <row r="837">
      <c r="B837" s="7" t="n"/>
      <c r="F837" s="8" t="n"/>
      <c r="G837" s="8">
        <f>IF($A837="",0,ROUND($E837*$F837,2))</f>
        <v/>
      </c>
    </row>
    <row r="838">
      <c r="B838" s="7" t="n"/>
      <c r="F838" s="8" t="n"/>
      <c r="G838" s="8">
        <f>IF($A838="",0,ROUND($E838*$F838,2))</f>
        <v/>
      </c>
    </row>
    <row r="839">
      <c r="B839" s="7" t="n"/>
      <c r="F839" s="8" t="n"/>
      <c r="G839" s="8">
        <f>IF($A839="",0,ROUND($E839*$F839,2))</f>
        <v/>
      </c>
    </row>
    <row r="840">
      <c r="B840" s="7" t="n"/>
      <c r="F840" s="8" t="n"/>
      <c r="G840" s="8">
        <f>IF($A840="",0,ROUND($E840*$F840,2))</f>
        <v/>
      </c>
    </row>
    <row r="841">
      <c r="B841" s="7" t="n"/>
      <c r="F841" s="8" t="n"/>
      <c r="G841" s="8">
        <f>IF($A841="",0,ROUND($E841*$F841,2))</f>
        <v/>
      </c>
    </row>
    <row r="842">
      <c r="B842" s="7" t="n"/>
      <c r="F842" s="8" t="n"/>
      <c r="G842" s="8">
        <f>IF($A842="",0,ROUND($E842*$F842,2))</f>
        <v/>
      </c>
    </row>
    <row r="843">
      <c r="B843" s="7" t="n"/>
      <c r="F843" s="8" t="n"/>
      <c r="G843" s="8">
        <f>IF($A843="",0,ROUND($E843*$F843,2))</f>
        <v/>
      </c>
    </row>
    <row r="844">
      <c r="B844" s="7" t="n"/>
      <c r="F844" s="8" t="n"/>
      <c r="G844" s="8">
        <f>IF($A844="",0,ROUND($E844*$F844,2))</f>
        <v/>
      </c>
    </row>
    <row r="845">
      <c r="B845" s="7" t="n"/>
      <c r="F845" s="8" t="n"/>
      <c r="G845" s="8">
        <f>IF($A845="",0,ROUND($E845*$F845,2))</f>
        <v/>
      </c>
    </row>
    <row r="846">
      <c r="B846" s="7" t="n"/>
      <c r="F846" s="8" t="n"/>
      <c r="G846" s="8">
        <f>IF($A846="",0,ROUND($E846*$F846,2))</f>
        <v/>
      </c>
    </row>
    <row r="847">
      <c r="B847" s="7" t="n"/>
      <c r="F847" s="8" t="n"/>
      <c r="G847" s="8">
        <f>IF($A847="",0,ROUND($E847*$F847,2))</f>
        <v/>
      </c>
    </row>
    <row r="848">
      <c r="B848" s="7" t="n"/>
      <c r="F848" s="8" t="n"/>
      <c r="G848" s="8">
        <f>IF($A848="",0,ROUND($E848*$F848,2))</f>
        <v/>
      </c>
    </row>
    <row r="849">
      <c r="B849" s="7" t="n"/>
      <c r="F849" s="8" t="n"/>
      <c r="G849" s="8">
        <f>IF($A849="",0,ROUND($E849*$F849,2))</f>
        <v/>
      </c>
    </row>
    <row r="850">
      <c r="B850" s="7" t="n"/>
      <c r="F850" s="8" t="n"/>
      <c r="G850" s="8">
        <f>IF($A850="",0,ROUND($E850*$F850,2))</f>
        <v/>
      </c>
    </row>
    <row r="851">
      <c r="B851" s="7" t="n"/>
      <c r="F851" s="8" t="n"/>
      <c r="G851" s="8">
        <f>IF($A851="",0,ROUND($E851*$F851,2))</f>
        <v/>
      </c>
    </row>
    <row r="852">
      <c r="B852" s="7" t="n"/>
      <c r="F852" s="8" t="n"/>
      <c r="G852" s="8">
        <f>IF($A852="",0,ROUND($E852*$F852,2))</f>
        <v/>
      </c>
    </row>
    <row r="853">
      <c r="B853" s="7" t="n"/>
      <c r="F853" s="8" t="n"/>
      <c r="G853" s="8">
        <f>IF($A853="",0,ROUND($E853*$F853,2))</f>
        <v/>
      </c>
    </row>
    <row r="854">
      <c r="B854" s="7" t="n"/>
      <c r="F854" s="8" t="n"/>
      <c r="G854" s="8">
        <f>IF($A854="",0,ROUND($E854*$F854,2))</f>
        <v/>
      </c>
    </row>
    <row r="855">
      <c r="B855" s="7" t="n"/>
      <c r="F855" s="8" t="n"/>
      <c r="G855" s="8">
        <f>IF($A855="",0,ROUND($E855*$F855,2))</f>
        <v/>
      </c>
    </row>
    <row r="856">
      <c r="B856" s="7" t="n"/>
      <c r="F856" s="8" t="n"/>
      <c r="G856" s="8">
        <f>IF($A856="",0,ROUND($E856*$F856,2))</f>
        <v/>
      </c>
    </row>
    <row r="857">
      <c r="B857" s="7" t="n"/>
      <c r="F857" s="8" t="n"/>
      <c r="G857" s="8">
        <f>IF($A857="",0,ROUND($E857*$F857,2))</f>
        <v/>
      </c>
    </row>
    <row r="858">
      <c r="B858" s="7" t="n"/>
      <c r="F858" s="8" t="n"/>
      <c r="G858" s="8">
        <f>IF($A858="",0,ROUND($E858*$F858,2))</f>
        <v/>
      </c>
    </row>
    <row r="859">
      <c r="B859" s="7" t="n"/>
      <c r="F859" s="8" t="n"/>
      <c r="G859" s="8">
        <f>IF($A859="",0,ROUND($E859*$F859,2))</f>
        <v/>
      </c>
    </row>
    <row r="860">
      <c r="B860" s="7" t="n"/>
      <c r="F860" s="8" t="n"/>
      <c r="G860" s="8">
        <f>IF($A860="",0,ROUND($E860*$F860,2))</f>
        <v/>
      </c>
    </row>
    <row r="861">
      <c r="B861" s="7" t="n"/>
      <c r="F861" s="8" t="n"/>
      <c r="G861" s="8">
        <f>IF($A861="",0,ROUND($E861*$F861,2))</f>
        <v/>
      </c>
    </row>
    <row r="862">
      <c r="B862" s="7" t="n"/>
      <c r="F862" s="8" t="n"/>
      <c r="G862" s="8">
        <f>IF($A862="",0,ROUND($E862*$F862,2))</f>
        <v/>
      </c>
    </row>
    <row r="863">
      <c r="B863" s="7" t="n"/>
      <c r="F863" s="8" t="n"/>
      <c r="G863" s="8">
        <f>IF($A863="",0,ROUND($E863*$F863,2))</f>
        <v/>
      </c>
    </row>
    <row r="864">
      <c r="B864" s="7" t="n"/>
      <c r="F864" s="8" t="n"/>
      <c r="G864" s="8">
        <f>IF($A864="",0,ROUND($E864*$F864,2))</f>
        <v/>
      </c>
    </row>
    <row r="865">
      <c r="B865" s="7" t="n"/>
      <c r="F865" s="8" t="n"/>
      <c r="G865" s="8">
        <f>IF($A865="",0,ROUND($E865*$F865,2))</f>
        <v/>
      </c>
    </row>
    <row r="866">
      <c r="B866" s="7" t="n"/>
      <c r="F866" s="8" t="n"/>
      <c r="G866" s="8">
        <f>IF($A866="",0,ROUND($E866*$F866,2))</f>
        <v/>
      </c>
    </row>
    <row r="867">
      <c r="B867" s="7" t="n"/>
      <c r="F867" s="8" t="n"/>
      <c r="G867" s="8">
        <f>IF($A867="",0,ROUND($E867*$F867,2))</f>
        <v/>
      </c>
    </row>
    <row r="868">
      <c r="B868" s="7" t="n"/>
      <c r="F868" s="8" t="n"/>
      <c r="G868" s="8">
        <f>IF($A868="",0,ROUND($E868*$F868,2))</f>
        <v/>
      </c>
    </row>
    <row r="869">
      <c r="B869" s="7" t="n"/>
      <c r="F869" s="8" t="n"/>
      <c r="G869" s="8">
        <f>IF($A869="",0,ROUND($E869*$F869,2))</f>
        <v/>
      </c>
    </row>
    <row r="870">
      <c r="B870" s="7" t="n"/>
      <c r="F870" s="8" t="n"/>
      <c r="G870" s="8">
        <f>IF($A870="",0,ROUND($E870*$F870,2))</f>
        <v/>
      </c>
    </row>
    <row r="871">
      <c r="B871" s="7" t="n"/>
      <c r="F871" s="8" t="n"/>
      <c r="G871" s="8">
        <f>IF($A871="",0,ROUND($E871*$F871,2))</f>
        <v/>
      </c>
    </row>
    <row r="872">
      <c r="B872" s="7" t="n"/>
      <c r="F872" s="8" t="n"/>
      <c r="G872" s="8">
        <f>IF($A872="",0,ROUND($E872*$F872,2))</f>
        <v/>
      </c>
    </row>
    <row r="873">
      <c r="B873" s="7" t="n"/>
      <c r="F873" s="8" t="n"/>
      <c r="G873" s="8">
        <f>IF($A873="",0,ROUND($E873*$F873,2))</f>
        <v/>
      </c>
    </row>
    <row r="874">
      <c r="B874" s="7" t="n"/>
      <c r="F874" s="8" t="n"/>
      <c r="G874" s="8">
        <f>IF($A874="",0,ROUND($E874*$F874,2))</f>
        <v/>
      </c>
    </row>
    <row r="875">
      <c r="B875" s="7" t="n"/>
      <c r="F875" s="8" t="n"/>
      <c r="G875" s="8">
        <f>IF($A875="",0,ROUND($E875*$F875,2))</f>
        <v/>
      </c>
    </row>
    <row r="876">
      <c r="B876" s="7" t="n"/>
      <c r="F876" s="8" t="n"/>
      <c r="G876" s="8">
        <f>IF($A876="",0,ROUND($E876*$F876,2))</f>
        <v/>
      </c>
    </row>
    <row r="877">
      <c r="B877" s="7" t="n"/>
      <c r="F877" s="8" t="n"/>
      <c r="G877" s="8">
        <f>IF($A877="",0,ROUND($E877*$F877,2))</f>
        <v/>
      </c>
    </row>
    <row r="878">
      <c r="B878" s="7" t="n"/>
      <c r="F878" s="8" t="n"/>
      <c r="G878" s="8">
        <f>IF($A878="",0,ROUND($E878*$F878,2))</f>
        <v/>
      </c>
    </row>
    <row r="879">
      <c r="B879" s="7" t="n"/>
      <c r="F879" s="8" t="n"/>
      <c r="G879" s="8">
        <f>IF($A879="",0,ROUND($E879*$F879,2))</f>
        <v/>
      </c>
    </row>
    <row r="880">
      <c r="B880" s="7" t="n"/>
      <c r="F880" s="8" t="n"/>
      <c r="G880" s="8">
        <f>IF($A880="",0,ROUND($E880*$F880,2))</f>
        <v/>
      </c>
    </row>
    <row r="881">
      <c r="B881" s="7" t="n"/>
      <c r="F881" s="8" t="n"/>
      <c r="G881" s="8">
        <f>IF($A881="",0,ROUND($E881*$F881,2))</f>
        <v/>
      </c>
    </row>
    <row r="882">
      <c r="B882" s="7" t="n"/>
      <c r="F882" s="8" t="n"/>
      <c r="G882" s="8">
        <f>IF($A882="",0,ROUND($E882*$F882,2))</f>
        <v/>
      </c>
    </row>
    <row r="883">
      <c r="B883" s="7" t="n"/>
      <c r="F883" s="8" t="n"/>
      <c r="G883" s="8">
        <f>IF($A883="",0,ROUND($E883*$F883,2))</f>
        <v/>
      </c>
    </row>
    <row r="884">
      <c r="B884" s="7" t="n"/>
      <c r="F884" s="8" t="n"/>
      <c r="G884" s="8">
        <f>IF($A884="",0,ROUND($E884*$F884,2))</f>
        <v/>
      </c>
    </row>
    <row r="885">
      <c r="B885" s="7" t="n"/>
      <c r="F885" s="8" t="n"/>
      <c r="G885" s="8">
        <f>IF($A885="",0,ROUND($E885*$F885,2))</f>
        <v/>
      </c>
    </row>
    <row r="886">
      <c r="B886" s="7" t="n"/>
      <c r="F886" s="8" t="n"/>
      <c r="G886" s="8">
        <f>IF($A886="",0,ROUND($E886*$F886,2))</f>
        <v/>
      </c>
    </row>
    <row r="887">
      <c r="B887" s="7" t="n"/>
      <c r="F887" s="8" t="n"/>
      <c r="G887" s="8">
        <f>IF($A887="",0,ROUND($E887*$F887,2))</f>
        <v/>
      </c>
    </row>
    <row r="888">
      <c r="B888" s="7" t="n"/>
      <c r="F888" s="8" t="n"/>
      <c r="G888" s="8">
        <f>IF($A888="",0,ROUND($E888*$F888,2))</f>
        <v/>
      </c>
    </row>
    <row r="889">
      <c r="B889" s="7" t="n"/>
      <c r="F889" s="8" t="n"/>
      <c r="G889" s="8">
        <f>IF($A889="",0,ROUND($E889*$F889,2))</f>
        <v/>
      </c>
    </row>
    <row r="890">
      <c r="B890" s="7" t="n"/>
      <c r="F890" s="8" t="n"/>
      <c r="G890" s="8">
        <f>IF($A890="",0,ROUND($E890*$F890,2))</f>
        <v/>
      </c>
    </row>
    <row r="891">
      <c r="B891" s="7" t="n"/>
      <c r="F891" s="8" t="n"/>
      <c r="G891" s="8">
        <f>IF($A891="",0,ROUND($E891*$F891,2))</f>
        <v/>
      </c>
    </row>
    <row r="892">
      <c r="B892" s="7" t="n"/>
      <c r="F892" s="8" t="n"/>
      <c r="G892" s="8">
        <f>IF($A892="",0,ROUND($E892*$F892,2))</f>
        <v/>
      </c>
    </row>
    <row r="893">
      <c r="B893" s="7" t="n"/>
      <c r="F893" s="8" t="n"/>
      <c r="G893" s="8">
        <f>IF($A893="",0,ROUND($E893*$F893,2))</f>
        <v/>
      </c>
    </row>
    <row r="894">
      <c r="B894" s="7" t="n"/>
      <c r="F894" s="8" t="n"/>
      <c r="G894" s="8">
        <f>IF($A894="",0,ROUND($E894*$F894,2))</f>
        <v/>
      </c>
    </row>
    <row r="895">
      <c r="B895" s="7" t="n"/>
      <c r="F895" s="8" t="n"/>
      <c r="G895" s="8">
        <f>IF($A895="",0,ROUND($E895*$F895,2))</f>
        <v/>
      </c>
    </row>
    <row r="896">
      <c r="B896" s="7" t="n"/>
      <c r="F896" s="8" t="n"/>
      <c r="G896" s="8">
        <f>IF($A896="",0,ROUND($E896*$F896,2))</f>
        <v/>
      </c>
    </row>
    <row r="897">
      <c r="B897" s="7" t="n"/>
      <c r="F897" s="8" t="n"/>
      <c r="G897" s="8">
        <f>IF($A897="",0,ROUND($E897*$F897,2))</f>
        <v/>
      </c>
    </row>
    <row r="898">
      <c r="B898" s="7" t="n"/>
      <c r="F898" s="8" t="n"/>
      <c r="G898" s="8">
        <f>IF($A898="",0,ROUND($E898*$F898,2))</f>
        <v/>
      </c>
    </row>
    <row r="899">
      <c r="B899" s="7" t="n"/>
      <c r="F899" s="8" t="n"/>
      <c r="G899" s="8">
        <f>IF($A899="",0,ROUND($E899*$F899,2))</f>
        <v/>
      </c>
    </row>
    <row r="900">
      <c r="B900" s="7" t="n"/>
      <c r="F900" s="8" t="n"/>
      <c r="G900" s="8">
        <f>IF($A900="",0,ROUND($E900*$F900,2))</f>
        <v/>
      </c>
    </row>
    <row r="901">
      <c r="B901" s="7" t="n"/>
      <c r="F901" s="8" t="n"/>
      <c r="G901" s="8">
        <f>IF($A901="",0,ROUND($E901*$F901,2))</f>
        <v/>
      </c>
    </row>
    <row r="902">
      <c r="B902" s="7" t="n"/>
      <c r="F902" s="8" t="n"/>
      <c r="G902" s="8">
        <f>IF($A902="",0,ROUND($E902*$F902,2))</f>
        <v/>
      </c>
    </row>
    <row r="903">
      <c r="B903" s="7" t="n"/>
      <c r="F903" s="8" t="n"/>
      <c r="G903" s="8">
        <f>IF($A903="",0,ROUND($E903*$F903,2))</f>
        <v/>
      </c>
    </row>
    <row r="904">
      <c r="B904" s="7" t="n"/>
      <c r="F904" s="8" t="n"/>
      <c r="G904" s="8">
        <f>IF($A904="",0,ROUND($E904*$F904,2))</f>
        <v/>
      </c>
    </row>
    <row r="905">
      <c r="B905" s="7" t="n"/>
      <c r="F905" s="8" t="n"/>
      <c r="G905" s="8">
        <f>IF($A905="",0,ROUND($E905*$F905,2))</f>
        <v/>
      </c>
    </row>
    <row r="906">
      <c r="B906" s="7" t="n"/>
      <c r="F906" s="8" t="n"/>
      <c r="G906" s="8">
        <f>IF($A906="",0,ROUND($E906*$F906,2))</f>
        <v/>
      </c>
    </row>
    <row r="907">
      <c r="B907" s="7" t="n"/>
      <c r="F907" s="8" t="n"/>
      <c r="G907" s="8">
        <f>IF($A907="",0,ROUND($E907*$F907,2))</f>
        <v/>
      </c>
    </row>
    <row r="908">
      <c r="B908" s="7" t="n"/>
      <c r="F908" s="8" t="n"/>
      <c r="G908" s="8">
        <f>IF($A908="",0,ROUND($E908*$F908,2))</f>
        <v/>
      </c>
    </row>
    <row r="909">
      <c r="B909" s="7" t="n"/>
      <c r="F909" s="8" t="n"/>
      <c r="G909" s="8">
        <f>IF($A909="",0,ROUND($E909*$F909,2))</f>
        <v/>
      </c>
    </row>
    <row r="910">
      <c r="B910" s="7" t="n"/>
      <c r="F910" s="8" t="n"/>
      <c r="G910" s="8">
        <f>IF($A910="",0,ROUND($E910*$F910,2))</f>
        <v/>
      </c>
    </row>
    <row r="911">
      <c r="B911" s="7" t="n"/>
      <c r="F911" s="8" t="n"/>
      <c r="G911" s="8">
        <f>IF($A911="",0,ROUND($E911*$F911,2))</f>
        <v/>
      </c>
    </row>
    <row r="912">
      <c r="B912" s="7" t="n"/>
      <c r="F912" s="8" t="n"/>
      <c r="G912" s="8">
        <f>IF($A912="",0,ROUND($E912*$F912,2))</f>
        <v/>
      </c>
    </row>
    <row r="913">
      <c r="B913" s="7" t="n"/>
      <c r="F913" s="8" t="n"/>
      <c r="G913" s="8">
        <f>IF($A913="",0,ROUND($E913*$F913,2))</f>
        <v/>
      </c>
    </row>
    <row r="914">
      <c r="B914" s="7" t="n"/>
      <c r="F914" s="8" t="n"/>
      <c r="G914" s="8">
        <f>IF($A914="",0,ROUND($E914*$F914,2))</f>
        <v/>
      </c>
    </row>
    <row r="915">
      <c r="B915" s="7" t="n"/>
      <c r="F915" s="8" t="n"/>
      <c r="G915" s="8">
        <f>IF($A915="",0,ROUND($E915*$F915,2))</f>
        <v/>
      </c>
    </row>
    <row r="916">
      <c r="B916" s="7" t="n"/>
      <c r="F916" s="8" t="n"/>
      <c r="G916" s="8">
        <f>IF($A916="",0,ROUND($E916*$F916,2))</f>
        <v/>
      </c>
    </row>
    <row r="917">
      <c r="B917" s="7" t="n"/>
      <c r="F917" s="8" t="n"/>
      <c r="G917" s="8">
        <f>IF($A917="",0,ROUND($E917*$F917,2))</f>
        <v/>
      </c>
    </row>
    <row r="918">
      <c r="B918" s="7" t="n"/>
      <c r="F918" s="8" t="n"/>
      <c r="G918" s="8">
        <f>IF($A918="",0,ROUND($E918*$F918,2))</f>
        <v/>
      </c>
    </row>
    <row r="919">
      <c r="B919" s="7" t="n"/>
      <c r="F919" s="8" t="n"/>
      <c r="G919" s="8">
        <f>IF($A919="",0,ROUND($E919*$F919,2))</f>
        <v/>
      </c>
    </row>
    <row r="920">
      <c r="B920" s="7" t="n"/>
      <c r="F920" s="8" t="n"/>
      <c r="G920" s="8">
        <f>IF($A920="",0,ROUND($E920*$F920,2))</f>
        <v/>
      </c>
    </row>
    <row r="921">
      <c r="B921" s="7" t="n"/>
      <c r="F921" s="8" t="n"/>
      <c r="G921" s="8">
        <f>IF($A921="",0,ROUND($E921*$F921,2))</f>
        <v/>
      </c>
    </row>
    <row r="922">
      <c r="B922" s="7" t="n"/>
      <c r="F922" s="8" t="n"/>
      <c r="G922" s="8">
        <f>IF($A922="",0,ROUND($E922*$F922,2))</f>
        <v/>
      </c>
    </row>
    <row r="923">
      <c r="B923" s="7" t="n"/>
      <c r="F923" s="8" t="n"/>
      <c r="G923" s="8">
        <f>IF($A923="",0,ROUND($E923*$F923,2))</f>
        <v/>
      </c>
    </row>
    <row r="924">
      <c r="B924" s="7" t="n"/>
      <c r="F924" s="8" t="n"/>
      <c r="G924" s="8">
        <f>IF($A924="",0,ROUND($E924*$F924,2))</f>
        <v/>
      </c>
    </row>
    <row r="925">
      <c r="B925" s="7" t="n"/>
      <c r="F925" s="8" t="n"/>
      <c r="G925" s="8">
        <f>IF($A925="",0,ROUND($E925*$F925,2))</f>
        <v/>
      </c>
    </row>
    <row r="926">
      <c r="B926" s="7" t="n"/>
      <c r="F926" s="8" t="n"/>
      <c r="G926" s="8">
        <f>IF($A926="",0,ROUND($E926*$F926,2))</f>
        <v/>
      </c>
    </row>
    <row r="927">
      <c r="B927" s="7" t="n"/>
      <c r="F927" s="8" t="n"/>
      <c r="G927" s="8">
        <f>IF($A927="",0,ROUND($E927*$F927,2))</f>
        <v/>
      </c>
    </row>
    <row r="928">
      <c r="B928" s="7" t="n"/>
      <c r="F928" s="8" t="n"/>
      <c r="G928" s="8">
        <f>IF($A928="",0,ROUND($E928*$F928,2))</f>
        <v/>
      </c>
    </row>
    <row r="929">
      <c r="B929" s="7" t="n"/>
      <c r="F929" s="8" t="n"/>
      <c r="G929" s="8">
        <f>IF($A929="",0,ROUND($E929*$F929,2))</f>
        <v/>
      </c>
    </row>
    <row r="930">
      <c r="B930" s="7" t="n"/>
      <c r="F930" s="8" t="n"/>
      <c r="G930" s="8">
        <f>IF($A930="",0,ROUND($E930*$F930,2))</f>
        <v/>
      </c>
    </row>
    <row r="931">
      <c r="B931" s="7" t="n"/>
      <c r="F931" s="8" t="n"/>
      <c r="G931" s="8">
        <f>IF($A931="",0,ROUND($E931*$F931,2))</f>
        <v/>
      </c>
    </row>
    <row r="932">
      <c r="B932" s="7" t="n"/>
      <c r="F932" s="8" t="n"/>
      <c r="G932" s="8">
        <f>IF($A932="",0,ROUND($E932*$F932,2))</f>
        <v/>
      </c>
    </row>
    <row r="933">
      <c r="B933" s="7" t="n"/>
      <c r="F933" s="8" t="n"/>
      <c r="G933" s="8">
        <f>IF($A933="",0,ROUND($E933*$F933,2))</f>
        <v/>
      </c>
    </row>
    <row r="934">
      <c r="B934" s="7" t="n"/>
      <c r="F934" s="8" t="n"/>
      <c r="G934" s="8">
        <f>IF($A934="",0,ROUND($E934*$F934,2))</f>
        <v/>
      </c>
    </row>
    <row r="935">
      <c r="B935" s="7" t="n"/>
      <c r="F935" s="8" t="n"/>
      <c r="G935" s="8">
        <f>IF($A935="",0,ROUND($E935*$F935,2))</f>
        <v/>
      </c>
    </row>
    <row r="936">
      <c r="B936" s="7" t="n"/>
      <c r="F936" s="8" t="n"/>
      <c r="G936" s="8">
        <f>IF($A936="",0,ROUND($E936*$F936,2))</f>
        <v/>
      </c>
    </row>
    <row r="937">
      <c r="B937" s="7" t="n"/>
      <c r="F937" s="8" t="n"/>
      <c r="G937" s="8">
        <f>IF($A937="",0,ROUND($E937*$F937,2))</f>
        <v/>
      </c>
    </row>
    <row r="938">
      <c r="B938" s="7" t="n"/>
      <c r="F938" s="8" t="n"/>
      <c r="G938" s="8">
        <f>IF($A938="",0,ROUND($E938*$F938,2))</f>
        <v/>
      </c>
    </row>
    <row r="939">
      <c r="B939" s="7" t="n"/>
      <c r="F939" s="8" t="n"/>
      <c r="G939" s="8">
        <f>IF($A939="",0,ROUND($E939*$F939,2))</f>
        <v/>
      </c>
    </row>
    <row r="940">
      <c r="B940" s="7" t="n"/>
      <c r="F940" s="8" t="n"/>
      <c r="G940" s="8">
        <f>IF($A940="",0,ROUND($E940*$F940,2))</f>
        <v/>
      </c>
    </row>
    <row r="941">
      <c r="B941" s="7" t="n"/>
      <c r="F941" s="8" t="n"/>
      <c r="G941" s="8">
        <f>IF($A941="",0,ROUND($E941*$F941,2))</f>
        <v/>
      </c>
    </row>
    <row r="942">
      <c r="B942" s="7" t="n"/>
      <c r="F942" s="8" t="n"/>
      <c r="G942" s="8">
        <f>IF($A942="",0,ROUND($E942*$F942,2))</f>
        <v/>
      </c>
    </row>
    <row r="943">
      <c r="B943" s="7" t="n"/>
      <c r="F943" s="8" t="n"/>
      <c r="G943" s="8">
        <f>IF($A943="",0,ROUND($E943*$F943,2))</f>
        <v/>
      </c>
    </row>
    <row r="944">
      <c r="B944" s="7" t="n"/>
      <c r="F944" s="8" t="n"/>
      <c r="G944" s="8">
        <f>IF($A944="",0,ROUND($E944*$F944,2))</f>
        <v/>
      </c>
    </row>
    <row r="945">
      <c r="B945" s="7" t="n"/>
      <c r="F945" s="8" t="n"/>
      <c r="G945" s="8">
        <f>IF($A945="",0,ROUND($E945*$F945,2))</f>
        <v/>
      </c>
    </row>
    <row r="946">
      <c r="B946" s="7" t="n"/>
      <c r="F946" s="8" t="n"/>
      <c r="G946" s="8">
        <f>IF($A946="",0,ROUND($E946*$F946,2))</f>
        <v/>
      </c>
    </row>
    <row r="947">
      <c r="B947" s="7" t="n"/>
      <c r="F947" s="8" t="n"/>
      <c r="G947" s="8">
        <f>IF($A947="",0,ROUND($E947*$F947,2))</f>
        <v/>
      </c>
    </row>
    <row r="948">
      <c r="B948" s="7" t="n"/>
      <c r="F948" s="8" t="n"/>
      <c r="G948" s="8">
        <f>IF($A948="",0,ROUND($E948*$F948,2))</f>
        <v/>
      </c>
    </row>
    <row r="949">
      <c r="B949" s="7" t="n"/>
      <c r="F949" s="8" t="n"/>
      <c r="G949" s="8">
        <f>IF($A949="",0,ROUND($E949*$F949,2))</f>
        <v/>
      </c>
    </row>
    <row r="950">
      <c r="B950" s="7" t="n"/>
      <c r="F950" s="8" t="n"/>
      <c r="G950" s="8">
        <f>IF($A950="",0,ROUND($E950*$F950,2))</f>
        <v/>
      </c>
    </row>
    <row r="951">
      <c r="B951" s="7" t="n"/>
      <c r="F951" s="8" t="n"/>
      <c r="G951" s="8">
        <f>IF($A951="",0,ROUND($E951*$F951,2))</f>
        <v/>
      </c>
    </row>
    <row r="952">
      <c r="B952" s="7" t="n"/>
      <c r="F952" s="8" t="n"/>
      <c r="G952" s="8">
        <f>IF($A952="",0,ROUND($E952*$F952,2))</f>
        <v/>
      </c>
    </row>
    <row r="953">
      <c r="B953" s="7" t="n"/>
      <c r="F953" s="8" t="n"/>
      <c r="G953" s="8">
        <f>IF($A953="",0,ROUND($E953*$F953,2))</f>
        <v/>
      </c>
    </row>
    <row r="954">
      <c r="B954" s="7" t="n"/>
      <c r="F954" s="8" t="n"/>
      <c r="G954" s="8">
        <f>IF($A954="",0,ROUND($E954*$F954,2))</f>
        <v/>
      </c>
    </row>
    <row r="955">
      <c r="B955" s="7" t="n"/>
      <c r="F955" s="8" t="n"/>
      <c r="G955" s="8">
        <f>IF($A955="",0,ROUND($E955*$F955,2))</f>
        <v/>
      </c>
    </row>
    <row r="956">
      <c r="B956" s="7" t="n"/>
      <c r="F956" s="8" t="n"/>
      <c r="G956" s="8">
        <f>IF($A956="",0,ROUND($E956*$F956,2))</f>
        <v/>
      </c>
    </row>
    <row r="957">
      <c r="B957" s="7" t="n"/>
      <c r="F957" s="8" t="n"/>
      <c r="G957" s="8">
        <f>IF($A957="",0,ROUND($E957*$F957,2))</f>
        <v/>
      </c>
    </row>
    <row r="958">
      <c r="B958" s="7" t="n"/>
      <c r="F958" s="8" t="n"/>
      <c r="G958" s="8">
        <f>IF($A958="",0,ROUND($E958*$F958,2))</f>
        <v/>
      </c>
    </row>
    <row r="959">
      <c r="B959" s="7" t="n"/>
      <c r="F959" s="8" t="n"/>
      <c r="G959" s="8">
        <f>IF($A959="",0,ROUND($E959*$F959,2))</f>
        <v/>
      </c>
    </row>
    <row r="960">
      <c r="B960" s="7" t="n"/>
      <c r="F960" s="8" t="n"/>
      <c r="G960" s="8">
        <f>IF($A960="",0,ROUND($E960*$F960,2))</f>
        <v/>
      </c>
    </row>
    <row r="961">
      <c r="B961" s="7" t="n"/>
      <c r="F961" s="8" t="n"/>
      <c r="G961" s="8">
        <f>IF($A961="",0,ROUND($E961*$F961,2))</f>
        <v/>
      </c>
    </row>
    <row r="962">
      <c r="B962" s="7" t="n"/>
      <c r="F962" s="8" t="n"/>
      <c r="G962" s="8">
        <f>IF($A962="",0,ROUND($E962*$F962,2))</f>
        <v/>
      </c>
    </row>
    <row r="963">
      <c r="B963" s="7" t="n"/>
      <c r="F963" s="8" t="n"/>
      <c r="G963" s="8">
        <f>IF($A963="",0,ROUND($E963*$F963,2))</f>
        <v/>
      </c>
    </row>
    <row r="964">
      <c r="B964" s="7" t="n"/>
      <c r="F964" s="8" t="n"/>
      <c r="G964" s="8">
        <f>IF($A964="",0,ROUND($E964*$F964,2))</f>
        <v/>
      </c>
    </row>
    <row r="965">
      <c r="B965" s="7" t="n"/>
      <c r="F965" s="8" t="n"/>
      <c r="G965" s="8">
        <f>IF($A965="",0,ROUND($E965*$F965,2))</f>
        <v/>
      </c>
    </row>
    <row r="966">
      <c r="B966" s="7" t="n"/>
      <c r="F966" s="8" t="n"/>
      <c r="G966" s="8">
        <f>IF($A966="",0,ROUND($E966*$F966,2))</f>
        <v/>
      </c>
    </row>
    <row r="967">
      <c r="B967" s="7" t="n"/>
      <c r="F967" s="8" t="n"/>
      <c r="G967" s="8">
        <f>IF($A967="",0,ROUND($E967*$F967,2))</f>
        <v/>
      </c>
    </row>
    <row r="968">
      <c r="B968" s="7" t="n"/>
      <c r="F968" s="8" t="n"/>
      <c r="G968" s="8">
        <f>IF($A968="",0,ROUND($E968*$F968,2))</f>
        <v/>
      </c>
    </row>
    <row r="969">
      <c r="B969" s="7" t="n"/>
      <c r="F969" s="8" t="n"/>
      <c r="G969" s="8">
        <f>IF($A969="",0,ROUND($E969*$F969,2))</f>
        <v/>
      </c>
    </row>
    <row r="970">
      <c r="B970" s="7" t="n"/>
      <c r="F970" s="8" t="n"/>
      <c r="G970" s="8">
        <f>IF($A970="",0,ROUND($E970*$F970,2))</f>
        <v/>
      </c>
    </row>
    <row r="971">
      <c r="B971" s="7" t="n"/>
      <c r="F971" s="8" t="n"/>
      <c r="G971" s="8">
        <f>IF($A971="",0,ROUND($E971*$F971,2))</f>
        <v/>
      </c>
    </row>
    <row r="972">
      <c r="B972" s="7" t="n"/>
      <c r="F972" s="8" t="n"/>
      <c r="G972" s="8">
        <f>IF($A972="",0,ROUND($E972*$F972,2))</f>
        <v/>
      </c>
    </row>
    <row r="973">
      <c r="B973" s="7" t="n"/>
      <c r="F973" s="8" t="n"/>
      <c r="G973" s="8">
        <f>IF($A973="",0,ROUND($E973*$F973,2))</f>
        <v/>
      </c>
    </row>
    <row r="974">
      <c r="B974" s="7" t="n"/>
      <c r="F974" s="8" t="n"/>
      <c r="G974" s="8">
        <f>IF($A974="",0,ROUND($E974*$F974,2))</f>
        <v/>
      </c>
    </row>
    <row r="975">
      <c r="B975" s="7" t="n"/>
      <c r="F975" s="8" t="n"/>
      <c r="G975" s="8">
        <f>IF($A975="",0,ROUND($E975*$F975,2))</f>
        <v/>
      </c>
    </row>
    <row r="976">
      <c r="B976" s="7" t="n"/>
      <c r="F976" s="8" t="n"/>
      <c r="G976" s="8">
        <f>IF($A976="",0,ROUND($E976*$F976,2))</f>
        <v/>
      </c>
    </row>
    <row r="977">
      <c r="B977" s="7" t="n"/>
      <c r="F977" s="8" t="n"/>
      <c r="G977" s="8">
        <f>IF($A977="",0,ROUND($E977*$F977,2))</f>
        <v/>
      </c>
    </row>
    <row r="978">
      <c r="B978" s="7" t="n"/>
      <c r="F978" s="8" t="n"/>
      <c r="G978" s="8">
        <f>IF($A978="",0,ROUND($E978*$F978,2))</f>
        <v/>
      </c>
    </row>
    <row r="979">
      <c r="B979" s="7" t="n"/>
      <c r="F979" s="8" t="n"/>
      <c r="G979" s="8">
        <f>IF($A979="",0,ROUND($E979*$F979,2))</f>
        <v/>
      </c>
    </row>
    <row r="980">
      <c r="B980" s="7" t="n"/>
      <c r="F980" s="8" t="n"/>
      <c r="G980" s="8">
        <f>IF($A980="",0,ROUND($E980*$F980,2))</f>
        <v/>
      </c>
    </row>
    <row r="981">
      <c r="B981" s="7" t="n"/>
      <c r="F981" s="8" t="n"/>
      <c r="G981" s="8">
        <f>IF($A981="",0,ROUND($E981*$F981,2))</f>
        <v/>
      </c>
    </row>
    <row r="982">
      <c r="B982" s="7" t="n"/>
      <c r="F982" s="8" t="n"/>
      <c r="G982" s="8">
        <f>IF($A982="",0,ROUND($E982*$F982,2))</f>
        <v/>
      </c>
    </row>
    <row r="983">
      <c r="B983" s="7" t="n"/>
      <c r="F983" s="8" t="n"/>
      <c r="G983" s="8">
        <f>IF($A983="",0,ROUND($E983*$F983,2))</f>
        <v/>
      </c>
    </row>
    <row r="984">
      <c r="B984" s="7" t="n"/>
      <c r="F984" s="8" t="n"/>
      <c r="G984" s="8">
        <f>IF($A984="",0,ROUND($E984*$F984,2))</f>
        <v/>
      </c>
    </row>
    <row r="985">
      <c r="B985" s="7" t="n"/>
      <c r="F985" s="8" t="n"/>
      <c r="G985" s="8">
        <f>IF($A985="",0,ROUND($E985*$F985,2))</f>
        <v/>
      </c>
    </row>
    <row r="986">
      <c r="B986" s="7" t="n"/>
      <c r="F986" s="8" t="n"/>
      <c r="G986" s="8">
        <f>IF($A986="",0,ROUND($E986*$F986,2))</f>
        <v/>
      </c>
    </row>
    <row r="987">
      <c r="B987" s="7" t="n"/>
      <c r="F987" s="8" t="n"/>
      <c r="G987" s="8">
        <f>IF($A987="",0,ROUND($E987*$F987,2))</f>
        <v/>
      </c>
    </row>
    <row r="988">
      <c r="B988" s="7" t="n"/>
      <c r="F988" s="8" t="n"/>
      <c r="G988" s="8">
        <f>IF($A988="",0,ROUND($E988*$F988,2))</f>
        <v/>
      </c>
    </row>
    <row r="989">
      <c r="B989" s="7" t="n"/>
      <c r="F989" s="8" t="n"/>
      <c r="G989" s="8">
        <f>IF($A989="",0,ROUND($E989*$F989,2))</f>
        <v/>
      </c>
    </row>
    <row r="990">
      <c r="B990" s="7" t="n"/>
      <c r="F990" s="8" t="n"/>
      <c r="G990" s="8">
        <f>IF($A990="",0,ROUND($E990*$F990,2))</f>
        <v/>
      </c>
    </row>
    <row r="991">
      <c r="B991" s="7" t="n"/>
      <c r="F991" s="8" t="n"/>
      <c r="G991" s="8">
        <f>IF($A991="",0,ROUND($E991*$F991,2))</f>
        <v/>
      </c>
    </row>
    <row r="992">
      <c r="B992" s="7" t="n"/>
      <c r="F992" s="8" t="n"/>
      <c r="G992" s="8">
        <f>IF($A992="",0,ROUND($E992*$F992,2))</f>
        <v/>
      </c>
    </row>
    <row r="993">
      <c r="B993" s="7" t="n"/>
      <c r="F993" s="8" t="n"/>
      <c r="G993" s="8">
        <f>IF($A993="",0,ROUND($E993*$F993,2))</f>
        <v/>
      </c>
    </row>
    <row r="994">
      <c r="B994" s="7" t="n"/>
      <c r="F994" s="8" t="n"/>
      <c r="G994" s="8">
        <f>IF($A994="",0,ROUND($E994*$F994,2))</f>
        <v/>
      </c>
    </row>
    <row r="995">
      <c r="B995" s="7" t="n"/>
      <c r="F995" s="8" t="n"/>
      <c r="G995" s="8">
        <f>IF($A995="",0,ROUND($E995*$F995,2))</f>
        <v/>
      </c>
    </row>
    <row r="996">
      <c r="B996" s="7" t="n"/>
      <c r="F996" s="8" t="n"/>
      <c r="G996" s="8">
        <f>IF($A996="",0,ROUND($E996*$F996,2))</f>
        <v/>
      </c>
    </row>
    <row r="997">
      <c r="B997" s="7" t="n"/>
      <c r="F997" s="8" t="n"/>
      <c r="G997" s="8">
        <f>IF($A997="",0,ROUND($E997*$F997,2))</f>
        <v/>
      </c>
    </row>
    <row r="998">
      <c r="B998" s="7" t="n"/>
      <c r="F998" s="8" t="n"/>
      <c r="G998" s="8">
        <f>IF($A998="",0,ROUND($E998*$F998,2))</f>
        <v/>
      </c>
    </row>
    <row r="999">
      <c r="B999" s="7" t="n"/>
      <c r="F999" s="8" t="n"/>
      <c r="G999" s="8">
        <f>IF($A999="",0,ROUND($E999*$F999,2))</f>
        <v/>
      </c>
    </row>
    <row r="1000">
      <c r="B1000" s="7" t="n"/>
      <c r="F1000" s="8" t="n"/>
      <c r="G1000" s="8">
        <f>IF($A1000="",0,ROUND($E1000*$F1000,2))</f>
        <v/>
      </c>
    </row>
    <row r="1001">
      <c r="B1001" s="7" t="n"/>
      <c r="F1001" s="8" t="n"/>
      <c r="G1001" s="8">
        <f>IF($A1001="",0,ROUND($E1001*$F1001,2))</f>
        <v/>
      </c>
    </row>
    <row r="1002">
      <c r="B1002" s="7" t="n"/>
      <c r="F1002" s="8" t="n"/>
      <c r="G1002" s="8">
        <f>IF($A1002="",0,ROUND($E1002*$F1002,2))</f>
        <v/>
      </c>
    </row>
    <row r="1003">
      <c r="B1003" s="7" t="n"/>
      <c r="F1003" s="8" t="n"/>
      <c r="G1003" s="8">
        <f>IF($A1003="",0,ROUND($E1003*$F1003,2))</f>
        <v/>
      </c>
    </row>
    <row r="1004">
      <c r="B1004" s="7" t="n"/>
      <c r="F1004" s="8" t="n"/>
      <c r="G1004" s="8">
        <f>IF($A1004="",0,ROUND($E1004*$F1004,2))</f>
        <v/>
      </c>
    </row>
    <row r="1005">
      <c r="B1005" s="7" t="n"/>
      <c r="F1005" s="8" t="n"/>
      <c r="G1005" s="8">
        <f>IF($A1005="",0,ROUND($E1005*$F1005,2))</f>
        <v/>
      </c>
    </row>
    <row r="1006">
      <c r="B1006" s="7" t="n"/>
      <c r="F1006" s="8" t="n"/>
      <c r="G1006" s="8">
        <f>IF($A1006="",0,ROUND($E1006*$F1006,2))</f>
        <v/>
      </c>
    </row>
    <row r="1007">
      <c r="B1007" s="7" t="n"/>
      <c r="F1007" s="8" t="n"/>
      <c r="G1007" s="8">
        <f>IF($A1007="",0,ROUND($E1007*$F1007,2))</f>
        <v/>
      </c>
    </row>
    <row r="1008">
      <c r="B1008" s="7" t="n"/>
      <c r="F1008" s="8" t="n"/>
      <c r="G1008" s="8">
        <f>IF($A1008="",0,ROUND($E1008*$F1008,2))</f>
        <v/>
      </c>
    </row>
    <row r="1009">
      <c r="B1009" s="7" t="n"/>
      <c r="F1009" s="8" t="n"/>
      <c r="G1009" s="8">
        <f>IF($A1009="",0,ROUND($E1009*$F1009,2))</f>
        <v/>
      </c>
    </row>
    <row r="1010">
      <c r="B1010" s="7" t="n"/>
      <c r="F1010" s="8" t="n"/>
      <c r="G1010" s="8">
        <f>IF($A1010="",0,ROUND($E1010*$F1010,2))</f>
        <v/>
      </c>
    </row>
    <row r="1011">
      <c r="B1011" s="7" t="n"/>
      <c r="F1011" s="8" t="n"/>
      <c r="G1011" s="8">
        <f>IF($A1011="",0,ROUND($E1011*$F1011,2))</f>
        <v/>
      </c>
    </row>
    <row r="1012">
      <c r="B1012" s="7" t="n"/>
      <c r="F1012" s="8" t="n"/>
      <c r="G1012" s="8">
        <f>IF($A1012="",0,ROUND($E1012*$F1012,2))</f>
        <v/>
      </c>
    </row>
    <row r="1013">
      <c r="B1013" s="7" t="n"/>
      <c r="F1013" s="8" t="n"/>
      <c r="G1013" s="8">
        <f>IF($A1013="",0,ROUND($E1013*$F1013,2))</f>
        <v/>
      </c>
    </row>
    <row r="1014">
      <c r="B1014" s="7" t="n"/>
      <c r="F1014" s="8" t="n"/>
      <c r="G1014" s="8">
        <f>IF($A1014="",0,ROUND($E1014*$F1014,2))</f>
        <v/>
      </c>
    </row>
    <row r="1015">
      <c r="B1015" s="7" t="n"/>
      <c r="F1015" s="8" t="n"/>
      <c r="G1015" s="8">
        <f>IF($A1015="",0,ROUND($E1015*$F1015,2))</f>
        <v/>
      </c>
    </row>
    <row r="1016">
      <c r="B1016" s="7" t="n"/>
      <c r="F1016" s="8" t="n"/>
      <c r="G1016" s="8">
        <f>IF($A1016="",0,ROUND($E1016*$F1016,2))</f>
        <v/>
      </c>
    </row>
    <row r="1017">
      <c r="B1017" s="7" t="n"/>
      <c r="F1017" s="8" t="n"/>
      <c r="G1017" s="8">
        <f>IF($A1017="",0,ROUND($E1017*$F1017,2))</f>
        <v/>
      </c>
    </row>
    <row r="1018">
      <c r="B1018" s="7" t="n"/>
      <c r="F1018" s="8" t="n"/>
      <c r="G1018" s="8">
        <f>IF($A1018="",0,ROUND($E1018*$F1018,2))</f>
        <v/>
      </c>
    </row>
    <row r="1019">
      <c r="B1019" s="7" t="n"/>
      <c r="F1019" s="8" t="n"/>
      <c r="G1019" s="8">
        <f>IF($A1019="",0,ROUND($E1019*$F1019,2))</f>
        <v/>
      </c>
    </row>
    <row r="1020">
      <c r="B1020" s="7" t="n"/>
      <c r="F1020" s="8" t="n"/>
      <c r="G1020" s="8">
        <f>IF($A1020="",0,ROUND($E1020*$F1020,2))</f>
        <v/>
      </c>
    </row>
    <row r="1021">
      <c r="B1021" s="7" t="n"/>
      <c r="F1021" s="8" t="n"/>
      <c r="G1021" s="8">
        <f>IF($A1021="",0,ROUND($E1021*$F1021,2))</f>
        <v/>
      </c>
    </row>
    <row r="1022">
      <c r="B1022" s="7" t="n"/>
      <c r="F1022" s="8" t="n"/>
      <c r="G1022" s="8">
        <f>IF($A1022="",0,ROUND($E1022*$F1022,2))</f>
        <v/>
      </c>
    </row>
    <row r="1023">
      <c r="B1023" s="7" t="n"/>
      <c r="F1023" s="8" t="n"/>
      <c r="G1023" s="8">
        <f>IF($A1023="",0,ROUND($E1023*$F1023,2))</f>
        <v/>
      </c>
    </row>
    <row r="1024">
      <c r="B1024" s="7" t="n"/>
      <c r="F1024" s="8" t="n"/>
      <c r="G1024" s="8">
        <f>IF($A1024="",0,ROUND($E1024*$F1024,2))</f>
        <v/>
      </c>
    </row>
    <row r="1025">
      <c r="B1025" s="7" t="n"/>
      <c r="F1025" s="8" t="n"/>
      <c r="G1025" s="8">
        <f>IF($A1025="",0,ROUND($E1025*$F1025,2))</f>
        <v/>
      </c>
    </row>
    <row r="1026">
      <c r="B1026" s="7" t="n"/>
      <c r="F1026" s="8" t="n"/>
      <c r="G1026" s="8">
        <f>IF($A1026="",0,ROUND($E1026*$F1026,2))</f>
        <v/>
      </c>
    </row>
    <row r="1027">
      <c r="B1027" s="7" t="n"/>
      <c r="F1027" s="8" t="n"/>
      <c r="G1027" s="8">
        <f>IF($A1027="",0,ROUND($E1027*$F1027,2))</f>
        <v/>
      </c>
    </row>
    <row r="1028">
      <c r="B1028" s="7" t="n"/>
      <c r="F1028" s="8" t="n"/>
      <c r="G1028" s="8">
        <f>IF($A1028="",0,ROUND($E1028*$F1028,2))</f>
        <v/>
      </c>
    </row>
    <row r="1029">
      <c r="B1029" s="7" t="n"/>
      <c r="F1029" s="8" t="n"/>
      <c r="G1029" s="8">
        <f>IF($A1029="",0,ROUND($E1029*$F1029,2))</f>
        <v/>
      </c>
    </row>
    <row r="1030">
      <c r="B1030" s="7" t="n"/>
      <c r="F1030" s="8" t="n"/>
      <c r="G1030" s="8">
        <f>IF($A1030="",0,ROUND($E1030*$F1030,2))</f>
        <v/>
      </c>
    </row>
    <row r="1031">
      <c r="B1031" s="7" t="n"/>
      <c r="F1031" s="8" t="n"/>
      <c r="G1031" s="8">
        <f>IF($A1031="",0,ROUND($E1031*$F1031,2))</f>
        <v/>
      </c>
    </row>
    <row r="1032">
      <c r="B1032" s="7" t="n"/>
      <c r="F1032" s="8" t="n"/>
      <c r="G1032" s="8">
        <f>IF($A1032="",0,ROUND($E1032*$F1032,2))</f>
        <v/>
      </c>
    </row>
    <row r="1033">
      <c r="B1033" s="7" t="n"/>
      <c r="F1033" s="8" t="n"/>
      <c r="G1033" s="8">
        <f>IF($A1033="",0,ROUND($E1033*$F1033,2))</f>
        <v/>
      </c>
    </row>
    <row r="1034">
      <c r="B1034" s="7" t="n"/>
      <c r="F1034" s="8" t="n"/>
      <c r="G1034" s="8">
        <f>IF($A1034="",0,ROUND($E1034*$F1034,2))</f>
        <v/>
      </c>
    </row>
    <row r="1035">
      <c r="B1035" s="7" t="n"/>
      <c r="F1035" s="8" t="n"/>
      <c r="G1035" s="8">
        <f>IF($A1035="",0,ROUND($E1035*$F1035,2))</f>
        <v/>
      </c>
    </row>
    <row r="1036">
      <c r="B1036" s="7" t="n"/>
      <c r="F1036" s="8" t="n"/>
      <c r="G1036" s="8">
        <f>IF($A1036="",0,ROUND($E1036*$F1036,2))</f>
        <v/>
      </c>
    </row>
    <row r="1037">
      <c r="B1037" s="7" t="n"/>
      <c r="F1037" s="8" t="n"/>
      <c r="G1037" s="8">
        <f>IF($A1037="",0,ROUND($E1037*$F1037,2))</f>
        <v/>
      </c>
    </row>
    <row r="1038">
      <c r="B1038" s="7" t="n"/>
      <c r="F1038" s="8" t="n"/>
      <c r="G1038" s="8">
        <f>IF($A1038="",0,ROUND($E1038*$F1038,2))</f>
        <v/>
      </c>
    </row>
    <row r="1039">
      <c r="B1039" s="7" t="n"/>
      <c r="F1039" s="8" t="n"/>
      <c r="G1039" s="8">
        <f>IF($A1039="",0,ROUND($E1039*$F1039,2))</f>
        <v/>
      </c>
    </row>
    <row r="1040">
      <c r="B1040" s="7" t="n"/>
      <c r="F1040" s="8" t="n"/>
      <c r="G1040" s="8">
        <f>IF($A1040="",0,ROUND($E1040*$F1040,2))</f>
        <v/>
      </c>
    </row>
    <row r="1041">
      <c r="B1041" s="7" t="n"/>
      <c r="F1041" s="8" t="n"/>
      <c r="G1041" s="8">
        <f>IF($A1041="",0,ROUND($E1041*$F1041,2))</f>
        <v/>
      </c>
    </row>
    <row r="1042">
      <c r="B1042" s="7" t="n"/>
      <c r="F1042" s="8" t="n"/>
      <c r="G1042" s="8">
        <f>IF($A1042="",0,ROUND($E1042*$F1042,2))</f>
        <v/>
      </c>
    </row>
    <row r="1043">
      <c r="B1043" s="7" t="n"/>
      <c r="F1043" s="8" t="n"/>
      <c r="G1043" s="8">
        <f>IF($A1043="",0,ROUND($E1043*$F1043,2))</f>
        <v/>
      </c>
    </row>
    <row r="1044">
      <c r="B1044" s="7" t="n"/>
      <c r="F1044" s="8" t="n"/>
      <c r="G1044" s="8">
        <f>IF($A1044="",0,ROUND($E1044*$F1044,2))</f>
        <v/>
      </c>
    </row>
    <row r="1045">
      <c r="B1045" s="7" t="n"/>
      <c r="F1045" s="8" t="n"/>
      <c r="G1045" s="8">
        <f>IF($A1045="",0,ROUND($E1045*$F1045,2))</f>
        <v/>
      </c>
    </row>
    <row r="1046">
      <c r="B1046" s="7" t="n"/>
      <c r="F1046" s="8" t="n"/>
      <c r="G1046" s="8">
        <f>IF($A1046="",0,ROUND($E1046*$F1046,2))</f>
        <v/>
      </c>
    </row>
    <row r="1047">
      <c r="B1047" s="7" t="n"/>
      <c r="F1047" s="8" t="n"/>
      <c r="G1047" s="8">
        <f>IF($A1047="",0,ROUND($E1047*$F1047,2))</f>
        <v/>
      </c>
    </row>
    <row r="1048">
      <c r="B1048" s="7" t="n"/>
      <c r="F1048" s="8" t="n"/>
      <c r="G1048" s="8">
        <f>IF($A1048="",0,ROUND($E1048*$F1048,2))</f>
        <v/>
      </c>
    </row>
    <row r="1049">
      <c r="B1049" s="7" t="n"/>
      <c r="F1049" s="8" t="n"/>
      <c r="G1049" s="8">
        <f>IF($A1049="",0,ROUND($E1049*$F1049,2))</f>
        <v/>
      </c>
    </row>
    <row r="1050">
      <c r="B1050" s="7" t="n"/>
      <c r="F1050" s="8" t="n"/>
      <c r="G1050" s="8">
        <f>IF($A1050="",0,ROUND($E1050*$F1050,2))</f>
        <v/>
      </c>
    </row>
    <row r="1051">
      <c r="B1051" s="7" t="n"/>
      <c r="F1051" s="8" t="n"/>
      <c r="G1051" s="8">
        <f>IF($A1051="",0,ROUND($E1051*$F1051,2))</f>
        <v/>
      </c>
    </row>
    <row r="1052">
      <c r="B1052" s="7" t="n"/>
      <c r="F1052" s="8" t="n"/>
      <c r="G1052" s="8">
        <f>IF($A1052="",0,ROUND($E1052*$F1052,2))</f>
        <v/>
      </c>
    </row>
    <row r="1053">
      <c r="B1053" s="7" t="n"/>
      <c r="F1053" s="8" t="n"/>
      <c r="G1053" s="8">
        <f>IF($A1053="",0,ROUND($E1053*$F1053,2))</f>
        <v/>
      </c>
    </row>
    <row r="1054">
      <c r="B1054" s="7" t="n"/>
      <c r="F1054" s="8" t="n"/>
      <c r="G1054" s="8">
        <f>IF($A1054="",0,ROUND($E1054*$F1054,2))</f>
        <v/>
      </c>
    </row>
    <row r="1055">
      <c r="B1055" s="7" t="n"/>
      <c r="F1055" s="8" t="n"/>
      <c r="G1055" s="8">
        <f>IF($A1055="",0,ROUND($E1055*$F1055,2))</f>
        <v/>
      </c>
    </row>
    <row r="1056">
      <c r="B1056" s="7" t="n"/>
      <c r="F1056" s="8" t="n"/>
      <c r="G1056" s="8">
        <f>IF($A1056="",0,ROUND($E1056*$F1056,2))</f>
        <v/>
      </c>
    </row>
    <row r="1057">
      <c r="B1057" s="7" t="n"/>
      <c r="F1057" s="8" t="n"/>
      <c r="G1057" s="8">
        <f>IF($A1057="",0,ROUND($E1057*$F1057,2))</f>
        <v/>
      </c>
    </row>
    <row r="1058">
      <c r="B1058" s="7" t="n"/>
      <c r="F1058" s="8" t="n"/>
      <c r="G1058" s="8">
        <f>IF($A1058="",0,ROUND($E1058*$F1058,2))</f>
        <v/>
      </c>
    </row>
    <row r="1059">
      <c r="B1059" s="7" t="n"/>
      <c r="F1059" s="8" t="n"/>
      <c r="G1059" s="8">
        <f>IF($A1059="",0,ROUND($E1059*$F1059,2))</f>
        <v/>
      </c>
    </row>
    <row r="1060">
      <c r="B1060" s="7" t="n"/>
      <c r="F1060" s="8" t="n"/>
      <c r="G1060" s="8">
        <f>IF($A1060="",0,ROUND($E1060*$F1060,2))</f>
        <v/>
      </c>
    </row>
    <row r="1061">
      <c r="B1061" s="7" t="n"/>
      <c r="F1061" s="8" t="n"/>
      <c r="G1061" s="8">
        <f>IF($A1061="",0,ROUND($E1061*$F1061,2))</f>
        <v/>
      </c>
    </row>
    <row r="1062">
      <c r="B1062" s="7" t="n"/>
      <c r="F1062" s="8" t="n"/>
      <c r="G1062" s="8">
        <f>IF($A1062="",0,ROUND($E1062*$F1062,2))</f>
        <v/>
      </c>
    </row>
    <row r="1063">
      <c r="B1063" s="7" t="n"/>
      <c r="F1063" s="8" t="n"/>
      <c r="G1063" s="8">
        <f>IF($A1063="",0,ROUND($E1063*$F1063,2))</f>
        <v/>
      </c>
    </row>
    <row r="1064">
      <c r="B1064" s="7" t="n"/>
      <c r="F1064" s="8" t="n"/>
      <c r="G1064" s="8">
        <f>IF($A1064="",0,ROUND($E1064*$F1064,2))</f>
        <v/>
      </c>
    </row>
    <row r="1065">
      <c r="B1065" s="7" t="n"/>
      <c r="F1065" s="8" t="n"/>
      <c r="G1065" s="8">
        <f>IF($A1065="",0,ROUND($E1065*$F1065,2))</f>
        <v/>
      </c>
    </row>
    <row r="1066">
      <c r="B1066" s="7" t="n"/>
      <c r="F1066" s="8" t="n"/>
      <c r="G1066" s="8">
        <f>IF($A1066="",0,ROUND($E1066*$F1066,2))</f>
        <v/>
      </c>
    </row>
    <row r="1067">
      <c r="B1067" s="7" t="n"/>
      <c r="F1067" s="8" t="n"/>
      <c r="G1067" s="8">
        <f>IF($A1067="",0,ROUND($E1067*$F1067,2))</f>
        <v/>
      </c>
    </row>
    <row r="1068">
      <c r="B1068" s="7" t="n"/>
      <c r="F1068" s="8" t="n"/>
      <c r="G1068" s="8">
        <f>IF($A1068="",0,ROUND($E1068*$F1068,2))</f>
        <v/>
      </c>
    </row>
    <row r="1069">
      <c r="B1069" s="7" t="n"/>
      <c r="F1069" s="8" t="n"/>
      <c r="G1069" s="8">
        <f>IF($A1069="",0,ROUND($E1069*$F1069,2))</f>
        <v/>
      </c>
    </row>
    <row r="1070">
      <c r="B1070" s="7" t="n"/>
      <c r="F1070" s="8" t="n"/>
      <c r="G1070" s="8">
        <f>IF($A1070="",0,ROUND($E1070*$F1070,2))</f>
        <v/>
      </c>
    </row>
    <row r="1071">
      <c r="B1071" s="7" t="n"/>
      <c r="F1071" s="8" t="n"/>
      <c r="G1071" s="8">
        <f>IF($A1071="",0,ROUND($E1071*$F1071,2))</f>
        <v/>
      </c>
    </row>
    <row r="1072">
      <c r="B1072" s="7" t="n"/>
      <c r="F1072" s="8" t="n"/>
      <c r="G1072" s="8">
        <f>IF($A1072="",0,ROUND($E1072*$F1072,2))</f>
        <v/>
      </c>
    </row>
    <row r="1073">
      <c r="B1073" s="7" t="n"/>
      <c r="F1073" s="8" t="n"/>
      <c r="G1073" s="8">
        <f>IF($A1073="",0,ROUND($E1073*$F1073,2))</f>
        <v/>
      </c>
    </row>
    <row r="1074">
      <c r="B1074" s="7" t="n"/>
      <c r="F1074" s="8" t="n"/>
      <c r="G1074" s="8">
        <f>IF($A1074="",0,ROUND($E1074*$F1074,2))</f>
        <v/>
      </c>
    </row>
    <row r="1075">
      <c r="B1075" s="7" t="n"/>
      <c r="F1075" s="8" t="n"/>
      <c r="G1075" s="8">
        <f>IF($A1075="",0,ROUND($E1075*$F1075,2))</f>
        <v/>
      </c>
    </row>
    <row r="1076">
      <c r="B1076" s="7" t="n"/>
      <c r="F1076" s="8" t="n"/>
      <c r="G1076" s="8">
        <f>IF($A1076="",0,ROUND($E1076*$F1076,2))</f>
        <v/>
      </c>
    </row>
    <row r="1077">
      <c r="B1077" s="7" t="n"/>
      <c r="F1077" s="8" t="n"/>
      <c r="G1077" s="8">
        <f>IF($A1077="",0,ROUND($E1077*$F1077,2))</f>
        <v/>
      </c>
    </row>
    <row r="1078">
      <c r="B1078" s="7" t="n"/>
      <c r="F1078" s="8" t="n"/>
      <c r="G1078" s="8">
        <f>IF($A1078="",0,ROUND($E1078*$F1078,2))</f>
        <v/>
      </c>
    </row>
    <row r="1079">
      <c r="B1079" s="7" t="n"/>
      <c r="F1079" s="8" t="n"/>
      <c r="G1079" s="8">
        <f>IF($A1079="",0,ROUND($E1079*$F1079,2))</f>
        <v/>
      </c>
    </row>
    <row r="1080">
      <c r="B1080" s="7" t="n"/>
      <c r="F1080" s="8" t="n"/>
      <c r="G1080" s="8">
        <f>IF($A1080="",0,ROUND($E1080*$F1080,2))</f>
        <v/>
      </c>
    </row>
    <row r="1081">
      <c r="B1081" s="7" t="n"/>
      <c r="F1081" s="8" t="n"/>
      <c r="G1081" s="8">
        <f>IF($A1081="",0,ROUND($E1081*$F1081,2))</f>
        <v/>
      </c>
    </row>
    <row r="1082">
      <c r="B1082" s="7" t="n"/>
      <c r="F1082" s="8" t="n"/>
      <c r="G1082" s="8">
        <f>IF($A1082="",0,ROUND($E1082*$F1082,2))</f>
        <v/>
      </c>
    </row>
    <row r="1083">
      <c r="B1083" s="7" t="n"/>
      <c r="F1083" s="8" t="n"/>
      <c r="G1083" s="8">
        <f>IF($A1083="",0,ROUND($E1083*$F1083,2))</f>
        <v/>
      </c>
    </row>
    <row r="1084">
      <c r="B1084" s="7" t="n"/>
      <c r="F1084" s="8" t="n"/>
      <c r="G1084" s="8">
        <f>IF($A1084="",0,ROUND($E1084*$F1084,2))</f>
        <v/>
      </c>
    </row>
    <row r="1085">
      <c r="B1085" s="7" t="n"/>
      <c r="F1085" s="8" t="n"/>
      <c r="G1085" s="8">
        <f>IF($A1085="",0,ROUND($E1085*$F1085,2))</f>
        <v/>
      </c>
    </row>
    <row r="1086">
      <c r="B1086" s="7" t="n"/>
      <c r="F1086" s="8" t="n"/>
      <c r="G1086" s="8">
        <f>IF($A1086="",0,ROUND($E1086*$F1086,2))</f>
        <v/>
      </c>
    </row>
    <row r="1087">
      <c r="B1087" s="7" t="n"/>
      <c r="F1087" s="8" t="n"/>
      <c r="G1087" s="8">
        <f>IF($A1087="",0,ROUND($E1087*$F1087,2))</f>
        <v/>
      </c>
    </row>
    <row r="1088">
      <c r="B1088" s="7" t="n"/>
      <c r="F1088" s="8" t="n"/>
      <c r="G1088" s="8">
        <f>IF($A1088="",0,ROUND($E1088*$F1088,2))</f>
        <v/>
      </c>
    </row>
    <row r="1089">
      <c r="B1089" s="7" t="n"/>
      <c r="F1089" s="8" t="n"/>
      <c r="G1089" s="8">
        <f>IF($A1089="",0,ROUND($E1089*$F1089,2))</f>
        <v/>
      </c>
    </row>
    <row r="1090">
      <c r="B1090" s="7" t="n"/>
      <c r="F1090" s="8" t="n"/>
      <c r="G1090" s="8">
        <f>IF($A1090="",0,ROUND($E1090*$F1090,2))</f>
        <v/>
      </c>
    </row>
    <row r="1091">
      <c r="B1091" s="7" t="n"/>
      <c r="F1091" s="8" t="n"/>
      <c r="G1091" s="8">
        <f>IF($A1091="",0,ROUND($E1091*$F1091,2))</f>
        <v/>
      </c>
    </row>
    <row r="1092">
      <c r="B1092" s="7" t="n"/>
      <c r="F1092" s="8" t="n"/>
      <c r="G1092" s="8">
        <f>IF($A1092="",0,ROUND($E1092*$F1092,2))</f>
        <v/>
      </c>
    </row>
    <row r="1093">
      <c r="B1093" s="7" t="n"/>
      <c r="F1093" s="8" t="n"/>
      <c r="G1093" s="8">
        <f>IF($A1093="",0,ROUND($E1093*$F1093,2))</f>
        <v/>
      </c>
    </row>
    <row r="1094">
      <c r="B1094" s="7" t="n"/>
      <c r="F1094" s="8" t="n"/>
      <c r="G1094" s="8">
        <f>IF($A1094="",0,ROUND($E1094*$F1094,2))</f>
        <v/>
      </c>
    </row>
    <row r="1095">
      <c r="B1095" s="7" t="n"/>
      <c r="F1095" s="8" t="n"/>
      <c r="G1095" s="8">
        <f>IF($A1095="",0,ROUND($E1095*$F1095,2))</f>
        <v/>
      </c>
    </row>
    <row r="1096">
      <c r="B1096" s="7" t="n"/>
      <c r="F1096" s="8" t="n"/>
      <c r="G1096" s="8">
        <f>IF($A1096="",0,ROUND($E1096*$F1096,2))</f>
        <v/>
      </c>
    </row>
    <row r="1097">
      <c r="B1097" s="7" t="n"/>
      <c r="F1097" s="8" t="n"/>
      <c r="G1097" s="8">
        <f>IF($A1097="",0,ROUND($E1097*$F1097,2))</f>
        <v/>
      </c>
    </row>
    <row r="1098">
      <c r="B1098" s="7" t="n"/>
      <c r="F1098" s="8" t="n"/>
      <c r="G1098" s="8">
        <f>IF($A1098="",0,ROUND($E1098*$F1098,2))</f>
        <v/>
      </c>
    </row>
    <row r="1099">
      <c r="B1099" s="7" t="n"/>
      <c r="F1099" s="8" t="n"/>
      <c r="G1099" s="8">
        <f>IF($A1099="",0,ROUND($E1099*$F1099,2))</f>
        <v/>
      </c>
    </row>
    <row r="1100">
      <c r="B1100" s="7" t="n"/>
      <c r="F1100" s="8" t="n"/>
      <c r="G1100" s="8">
        <f>IF($A1100="",0,ROUND($E1100*$F1100,2))</f>
        <v/>
      </c>
    </row>
    <row r="1101">
      <c r="B1101" s="7" t="n"/>
      <c r="F1101" s="8" t="n"/>
      <c r="G1101" s="8">
        <f>IF($A1101="",0,ROUND($E1101*$F1101,2))</f>
        <v/>
      </c>
    </row>
    <row r="1102">
      <c r="B1102" s="7" t="n"/>
      <c r="F1102" s="8" t="n"/>
      <c r="G1102" s="8">
        <f>IF($A1102="",0,ROUND($E1102*$F1102,2))</f>
        <v/>
      </c>
    </row>
    <row r="1103">
      <c r="B1103" s="7" t="n"/>
      <c r="F1103" s="8" t="n"/>
      <c r="G1103" s="8">
        <f>IF($A1103="",0,ROUND($E1103*$F1103,2))</f>
        <v/>
      </c>
    </row>
    <row r="1104">
      <c r="B1104" s="7" t="n"/>
      <c r="F1104" s="8" t="n"/>
      <c r="G1104" s="8">
        <f>IF($A1104="",0,ROUND($E1104*$F1104,2))</f>
        <v/>
      </c>
    </row>
    <row r="1105">
      <c r="B1105" s="7" t="n"/>
      <c r="F1105" s="8" t="n"/>
      <c r="G1105" s="8">
        <f>IF($A1105="",0,ROUND($E1105*$F1105,2))</f>
        <v/>
      </c>
    </row>
    <row r="1106">
      <c r="B1106" s="7" t="n"/>
      <c r="F1106" s="8" t="n"/>
      <c r="G1106" s="8">
        <f>IF($A1106="",0,ROUND($E1106*$F1106,2))</f>
        <v/>
      </c>
    </row>
    <row r="1107">
      <c r="B1107" s="7" t="n"/>
      <c r="F1107" s="8" t="n"/>
      <c r="G1107" s="8">
        <f>IF($A1107="",0,ROUND($E1107*$F1107,2))</f>
        <v/>
      </c>
    </row>
    <row r="1108">
      <c r="B1108" s="7" t="n"/>
      <c r="F1108" s="8" t="n"/>
      <c r="G1108" s="8">
        <f>IF($A1108="",0,ROUND($E1108*$F1108,2))</f>
        <v/>
      </c>
    </row>
    <row r="1109">
      <c r="B1109" s="7" t="n"/>
      <c r="F1109" s="8" t="n"/>
      <c r="G1109" s="8">
        <f>IF($A1109="",0,ROUND($E1109*$F1109,2))</f>
        <v/>
      </c>
    </row>
    <row r="1110">
      <c r="B1110" s="7" t="n"/>
      <c r="F1110" s="8" t="n"/>
      <c r="G1110" s="8">
        <f>IF($A1110="",0,ROUND($E1110*$F1110,2))</f>
        <v/>
      </c>
    </row>
    <row r="1111">
      <c r="B1111" s="7" t="n"/>
      <c r="F1111" s="8" t="n"/>
      <c r="G1111" s="8">
        <f>IF($A1111="",0,ROUND($E1111*$F1111,2))</f>
        <v/>
      </c>
    </row>
    <row r="1112">
      <c r="B1112" s="7" t="n"/>
      <c r="F1112" s="8" t="n"/>
      <c r="G1112" s="8">
        <f>IF($A1112="",0,ROUND($E1112*$F1112,2))</f>
        <v/>
      </c>
    </row>
    <row r="1113">
      <c r="B1113" s="7" t="n"/>
      <c r="F1113" s="8" t="n"/>
      <c r="G1113" s="8">
        <f>IF($A1113="",0,ROUND($E1113*$F1113,2))</f>
        <v/>
      </c>
    </row>
    <row r="1114">
      <c r="B1114" s="7" t="n"/>
      <c r="F1114" s="8" t="n"/>
      <c r="G1114" s="8">
        <f>IF($A1114="",0,ROUND($E1114*$F1114,2))</f>
        <v/>
      </c>
    </row>
    <row r="1115">
      <c r="B1115" s="7" t="n"/>
      <c r="F1115" s="8" t="n"/>
      <c r="G1115" s="8">
        <f>IF($A1115="",0,ROUND($E1115*$F1115,2))</f>
        <v/>
      </c>
    </row>
    <row r="1116">
      <c r="B1116" s="7" t="n"/>
      <c r="F1116" s="8" t="n"/>
      <c r="G1116" s="8">
        <f>IF($A1116="",0,ROUND($E1116*$F1116,2))</f>
        <v/>
      </c>
    </row>
    <row r="1117">
      <c r="B1117" s="7" t="n"/>
      <c r="F1117" s="8" t="n"/>
      <c r="G1117" s="8">
        <f>IF($A1117="",0,ROUND($E1117*$F1117,2))</f>
        <v/>
      </c>
    </row>
    <row r="1118">
      <c r="B1118" s="7" t="n"/>
      <c r="F1118" s="8" t="n"/>
      <c r="G1118" s="8">
        <f>IF($A1118="",0,ROUND($E1118*$F1118,2))</f>
        <v/>
      </c>
    </row>
    <row r="1119">
      <c r="B1119" s="7" t="n"/>
      <c r="F1119" s="8" t="n"/>
      <c r="G1119" s="8">
        <f>IF($A1119="",0,ROUND($E1119*$F1119,2))</f>
        <v/>
      </c>
    </row>
    <row r="1120">
      <c r="B1120" s="7" t="n"/>
      <c r="F1120" s="8" t="n"/>
      <c r="G1120" s="8">
        <f>IF($A1120="",0,ROUND($E1120*$F1120,2))</f>
        <v/>
      </c>
    </row>
    <row r="1121">
      <c r="B1121" s="7" t="n"/>
      <c r="F1121" s="8" t="n"/>
      <c r="G1121" s="8">
        <f>IF($A1121="",0,ROUND($E1121*$F1121,2))</f>
        <v/>
      </c>
    </row>
    <row r="1122">
      <c r="B1122" s="7" t="n"/>
      <c r="F1122" s="8" t="n"/>
      <c r="G1122" s="8">
        <f>IF($A1122="",0,ROUND($E1122*$F1122,2))</f>
        <v/>
      </c>
    </row>
    <row r="1123">
      <c r="B1123" s="7" t="n"/>
      <c r="F1123" s="8" t="n"/>
      <c r="G1123" s="8">
        <f>IF($A1123="",0,ROUND($E1123*$F1123,2))</f>
        <v/>
      </c>
    </row>
    <row r="1124">
      <c r="B1124" s="7" t="n"/>
      <c r="F1124" s="8" t="n"/>
      <c r="G1124" s="8">
        <f>IF($A1124="",0,ROUND($E1124*$F1124,2))</f>
        <v/>
      </c>
    </row>
    <row r="1125">
      <c r="B1125" s="7" t="n"/>
      <c r="F1125" s="8" t="n"/>
      <c r="G1125" s="8">
        <f>IF($A1125="",0,ROUND($E1125*$F1125,2))</f>
        <v/>
      </c>
    </row>
    <row r="1126">
      <c r="B1126" s="7" t="n"/>
      <c r="F1126" s="8" t="n"/>
      <c r="G1126" s="8">
        <f>IF($A1126="",0,ROUND($E1126*$F1126,2))</f>
        <v/>
      </c>
    </row>
    <row r="1127">
      <c r="B1127" s="7" t="n"/>
      <c r="F1127" s="8" t="n"/>
      <c r="G1127" s="8">
        <f>IF($A1127="",0,ROUND($E1127*$F1127,2))</f>
        <v/>
      </c>
    </row>
    <row r="1128">
      <c r="B1128" s="7" t="n"/>
      <c r="F1128" s="8" t="n"/>
      <c r="G1128" s="8">
        <f>IF($A1128="",0,ROUND($E1128*$F1128,2))</f>
        <v/>
      </c>
    </row>
    <row r="1129">
      <c r="B1129" s="7" t="n"/>
      <c r="F1129" s="8" t="n"/>
      <c r="G1129" s="8">
        <f>IF($A1129="",0,ROUND($E1129*$F1129,2))</f>
        <v/>
      </c>
    </row>
    <row r="1130">
      <c r="B1130" s="7" t="n"/>
      <c r="F1130" s="8" t="n"/>
      <c r="G1130" s="8">
        <f>IF($A1130="",0,ROUND($E1130*$F1130,2))</f>
        <v/>
      </c>
    </row>
    <row r="1131">
      <c r="B1131" s="7" t="n"/>
      <c r="F1131" s="8" t="n"/>
      <c r="G1131" s="8">
        <f>IF($A1131="",0,ROUND($E1131*$F1131,2))</f>
        <v/>
      </c>
    </row>
    <row r="1132">
      <c r="B1132" s="7" t="n"/>
      <c r="F1132" s="8" t="n"/>
      <c r="G1132" s="8">
        <f>IF($A1132="",0,ROUND($E1132*$F1132,2))</f>
        <v/>
      </c>
    </row>
    <row r="1133">
      <c r="B1133" s="7" t="n"/>
      <c r="F1133" s="8" t="n"/>
      <c r="G1133" s="8">
        <f>IF($A1133="",0,ROUND($E1133*$F1133,2))</f>
        <v/>
      </c>
    </row>
    <row r="1134">
      <c r="B1134" s="7" t="n"/>
      <c r="F1134" s="8" t="n"/>
      <c r="G1134" s="8">
        <f>IF($A1134="",0,ROUND($E1134*$F1134,2))</f>
        <v/>
      </c>
    </row>
    <row r="1135">
      <c r="B1135" s="7" t="n"/>
      <c r="F1135" s="8" t="n"/>
      <c r="G1135" s="8">
        <f>IF($A1135="",0,ROUND($E1135*$F1135,2))</f>
        <v/>
      </c>
    </row>
    <row r="1136">
      <c r="B1136" s="7" t="n"/>
      <c r="F1136" s="8" t="n"/>
      <c r="G1136" s="8">
        <f>IF($A1136="",0,ROUND($E1136*$F1136,2))</f>
        <v/>
      </c>
    </row>
    <row r="1137">
      <c r="B1137" s="7" t="n"/>
      <c r="F1137" s="8" t="n"/>
      <c r="G1137" s="8">
        <f>IF($A1137="",0,ROUND($E1137*$F1137,2))</f>
        <v/>
      </c>
    </row>
    <row r="1138">
      <c r="B1138" s="7" t="n"/>
      <c r="F1138" s="8" t="n"/>
      <c r="G1138" s="8">
        <f>IF($A1138="",0,ROUND($E1138*$F1138,2))</f>
        <v/>
      </c>
    </row>
    <row r="1139">
      <c r="B1139" s="7" t="n"/>
      <c r="F1139" s="8" t="n"/>
      <c r="G1139" s="8">
        <f>IF($A1139="",0,ROUND($E1139*$F1139,2))</f>
        <v/>
      </c>
    </row>
    <row r="1140">
      <c r="B1140" s="7" t="n"/>
      <c r="F1140" s="8" t="n"/>
      <c r="G1140" s="8">
        <f>IF($A1140="",0,ROUND($E1140*$F1140,2))</f>
        <v/>
      </c>
    </row>
    <row r="1141">
      <c r="B1141" s="7" t="n"/>
      <c r="F1141" s="8" t="n"/>
      <c r="G1141" s="8">
        <f>IF($A1141="",0,ROUND($E1141*$F1141,2))</f>
        <v/>
      </c>
    </row>
    <row r="1142">
      <c r="B1142" s="7" t="n"/>
      <c r="F1142" s="8" t="n"/>
      <c r="G1142" s="8">
        <f>IF($A1142="",0,ROUND($E1142*$F1142,2))</f>
        <v/>
      </c>
    </row>
    <row r="1143">
      <c r="B1143" s="7" t="n"/>
      <c r="F1143" s="8" t="n"/>
      <c r="G1143" s="8">
        <f>IF($A1143="",0,ROUND($E1143*$F1143,2))</f>
        <v/>
      </c>
    </row>
    <row r="1144">
      <c r="B1144" s="7" t="n"/>
      <c r="F1144" s="8" t="n"/>
      <c r="G1144" s="8">
        <f>IF($A1144="",0,ROUND($E1144*$F1144,2))</f>
        <v/>
      </c>
    </row>
    <row r="1145">
      <c r="B1145" s="7" t="n"/>
      <c r="F1145" s="8" t="n"/>
      <c r="G1145" s="8">
        <f>IF($A1145="",0,ROUND($E1145*$F1145,2))</f>
        <v/>
      </c>
    </row>
    <row r="1146">
      <c r="B1146" s="7" t="n"/>
      <c r="F1146" s="8" t="n"/>
      <c r="G1146" s="8">
        <f>IF($A1146="",0,ROUND($E1146*$F1146,2))</f>
        <v/>
      </c>
    </row>
    <row r="1147">
      <c r="B1147" s="7" t="n"/>
      <c r="F1147" s="8" t="n"/>
      <c r="G1147" s="8">
        <f>IF($A1147="",0,ROUND($E1147*$F1147,2))</f>
        <v/>
      </c>
    </row>
    <row r="1148">
      <c r="B1148" s="7" t="n"/>
      <c r="F1148" s="8" t="n"/>
      <c r="G1148" s="8">
        <f>IF($A1148="",0,ROUND($E1148*$F1148,2))</f>
        <v/>
      </c>
    </row>
    <row r="1149">
      <c r="B1149" s="7" t="n"/>
      <c r="F1149" s="8" t="n"/>
      <c r="G1149" s="8">
        <f>IF($A1149="",0,ROUND($E1149*$F1149,2))</f>
        <v/>
      </c>
    </row>
    <row r="1150">
      <c r="B1150" s="7" t="n"/>
      <c r="F1150" s="8" t="n"/>
      <c r="G1150" s="8">
        <f>IF($A1150="",0,ROUND($E1150*$F1150,2))</f>
        <v/>
      </c>
    </row>
    <row r="1151">
      <c r="B1151" s="7" t="n"/>
      <c r="F1151" s="8" t="n"/>
      <c r="G1151" s="8">
        <f>IF($A1151="",0,ROUND($E1151*$F1151,2))</f>
        <v/>
      </c>
    </row>
    <row r="1152">
      <c r="B1152" s="7" t="n"/>
      <c r="F1152" s="8" t="n"/>
      <c r="G1152" s="8">
        <f>IF($A1152="",0,ROUND($E1152*$F1152,2))</f>
        <v/>
      </c>
    </row>
    <row r="1153">
      <c r="B1153" s="7" t="n"/>
      <c r="F1153" s="8" t="n"/>
      <c r="G1153" s="8">
        <f>IF($A1153="",0,ROUND($E1153*$F1153,2))</f>
        <v/>
      </c>
    </row>
    <row r="1154">
      <c r="B1154" s="7" t="n"/>
      <c r="F1154" s="8" t="n"/>
      <c r="G1154" s="8">
        <f>IF($A1154="",0,ROUND($E1154*$F1154,2))</f>
        <v/>
      </c>
    </row>
    <row r="1155">
      <c r="B1155" s="7" t="n"/>
      <c r="F1155" s="8" t="n"/>
      <c r="G1155" s="8">
        <f>IF($A1155="",0,ROUND($E1155*$F1155,2))</f>
        <v/>
      </c>
    </row>
    <row r="1156">
      <c r="B1156" s="7" t="n"/>
      <c r="F1156" s="8" t="n"/>
      <c r="G1156" s="8">
        <f>IF($A1156="",0,ROUND($E1156*$F1156,2))</f>
        <v/>
      </c>
    </row>
    <row r="1157">
      <c r="B1157" s="7" t="n"/>
      <c r="F1157" s="8" t="n"/>
      <c r="G1157" s="8">
        <f>IF($A1157="",0,ROUND($E1157*$F1157,2))</f>
        <v/>
      </c>
    </row>
    <row r="1158">
      <c r="B1158" s="7" t="n"/>
      <c r="F1158" s="8" t="n"/>
      <c r="G1158" s="8">
        <f>IF($A1158="",0,ROUND($E1158*$F1158,2))</f>
        <v/>
      </c>
    </row>
    <row r="1159">
      <c r="B1159" s="7" t="n"/>
      <c r="F1159" s="8" t="n"/>
      <c r="G1159" s="8">
        <f>IF($A1159="",0,ROUND($E1159*$F1159,2))</f>
        <v/>
      </c>
    </row>
    <row r="1160">
      <c r="B1160" s="7" t="n"/>
      <c r="F1160" s="8" t="n"/>
      <c r="G1160" s="8">
        <f>IF($A1160="",0,ROUND($E1160*$F1160,2))</f>
        <v/>
      </c>
    </row>
    <row r="1161">
      <c r="B1161" s="7" t="n"/>
      <c r="F1161" s="8" t="n"/>
      <c r="G1161" s="8">
        <f>IF($A1161="",0,ROUND($E1161*$F1161,2))</f>
        <v/>
      </c>
    </row>
    <row r="1162">
      <c r="B1162" s="7" t="n"/>
      <c r="F1162" s="8" t="n"/>
      <c r="G1162" s="8">
        <f>IF($A1162="",0,ROUND($E1162*$F1162,2))</f>
        <v/>
      </c>
    </row>
    <row r="1163">
      <c r="B1163" s="7" t="n"/>
      <c r="F1163" s="8" t="n"/>
      <c r="G1163" s="8">
        <f>IF($A1163="",0,ROUND($E1163*$F1163,2))</f>
        <v/>
      </c>
    </row>
    <row r="1164">
      <c r="B1164" s="7" t="n"/>
      <c r="F1164" s="8" t="n"/>
      <c r="G1164" s="8">
        <f>IF($A1164="",0,ROUND($E1164*$F1164,2))</f>
        <v/>
      </c>
    </row>
    <row r="1165">
      <c r="B1165" s="7" t="n"/>
      <c r="F1165" s="8" t="n"/>
      <c r="G1165" s="8">
        <f>IF($A1165="",0,ROUND($E1165*$F1165,2))</f>
        <v/>
      </c>
    </row>
    <row r="1166">
      <c r="B1166" s="7" t="n"/>
      <c r="F1166" s="8" t="n"/>
      <c r="G1166" s="8">
        <f>IF($A1166="",0,ROUND($E1166*$F1166,2))</f>
        <v/>
      </c>
    </row>
    <row r="1167">
      <c r="B1167" s="7" t="n"/>
      <c r="F1167" s="8" t="n"/>
      <c r="G1167" s="8">
        <f>IF($A1167="",0,ROUND($E1167*$F1167,2))</f>
        <v/>
      </c>
    </row>
    <row r="1168">
      <c r="B1168" s="7" t="n"/>
      <c r="F1168" s="8" t="n"/>
      <c r="G1168" s="8">
        <f>IF($A1168="",0,ROUND($E1168*$F1168,2))</f>
        <v/>
      </c>
    </row>
    <row r="1169">
      <c r="B1169" s="7" t="n"/>
      <c r="F1169" s="8" t="n"/>
      <c r="G1169" s="8">
        <f>IF($A1169="",0,ROUND($E1169*$F1169,2))</f>
        <v/>
      </c>
    </row>
    <row r="1170">
      <c r="B1170" s="7" t="n"/>
      <c r="F1170" s="8" t="n"/>
      <c r="G1170" s="8">
        <f>IF($A1170="",0,ROUND($E1170*$F1170,2))</f>
        <v/>
      </c>
    </row>
    <row r="1171">
      <c r="B1171" s="7" t="n"/>
      <c r="F1171" s="8" t="n"/>
      <c r="G1171" s="8">
        <f>IF($A1171="",0,ROUND($E1171*$F1171,2))</f>
        <v/>
      </c>
    </row>
    <row r="1172">
      <c r="B1172" s="7" t="n"/>
      <c r="F1172" s="8" t="n"/>
      <c r="G1172" s="8">
        <f>IF($A1172="",0,ROUND($E1172*$F1172,2))</f>
        <v/>
      </c>
    </row>
    <row r="1173">
      <c r="B1173" s="7" t="n"/>
      <c r="F1173" s="8" t="n"/>
      <c r="G1173" s="8">
        <f>IF($A1173="",0,ROUND($E1173*$F1173,2))</f>
        <v/>
      </c>
    </row>
    <row r="1174">
      <c r="B1174" s="7" t="n"/>
      <c r="F1174" s="8" t="n"/>
      <c r="G1174" s="8">
        <f>IF($A1174="",0,ROUND($E1174*$F1174,2))</f>
        <v/>
      </c>
    </row>
    <row r="1175">
      <c r="B1175" s="7" t="n"/>
      <c r="F1175" s="8" t="n"/>
      <c r="G1175" s="8">
        <f>IF($A1175="",0,ROUND($E1175*$F1175,2))</f>
        <v/>
      </c>
    </row>
    <row r="1176">
      <c r="B1176" s="7" t="n"/>
      <c r="F1176" s="8" t="n"/>
      <c r="G1176" s="8">
        <f>IF($A1176="",0,ROUND($E1176*$F1176,2))</f>
        <v/>
      </c>
    </row>
    <row r="1177">
      <c r="B1177" s="7" t="n"/>
      <c r="F1177" s="8" t="n"/>
      <c r="G1177" s="8">
        <f>IF($A1177="",0,ROUND($E1177*$F1177,2))</f>
        <v/>
      </c>
    </row>
    <row r="1178">
      <c r="B1178" s="7" t="n"/>
      <c r="F1178" s="8" t="n"/>
      <c r="G1178" s="8">
        <f>IF($A1178="",0,ROUND($E1178*$F1178,2))</f>
        <v/>
      </c>
    </row>
    <row r="1179">
      <c r="B1179" s="7" t="n"/>
      <c r="F1179" s="8" t="n"/>
      <c r="G1179" s="8">
        <f>IF($A1179="",0,ROUND($E1179*$F1179,2))</f>
        <v/>
      </c>
    </row>
    <row r="1180">
      <c r="B1180" s="7" t="n"/>
      <c r="F1180" s="8" t="n"/>
      <c r="G1180" s="8">
        <f>IF($A1180="",0,ROUND($E1180*$F1180,2))</f>
        <v/>
      </c>
    </row>
    <row r="1181">
      <c r="B1181" s="7" t="n"/>
      <c r="F1181" s="8" t="n"/>
      <c r="G1181" s="8">
        <f>IF($A1181="",0,ROUND($E1181*$F1181,2))</f>
        <v/>
      </c>
    </row>
    <row r="1182">
      <c r="B1182" s="7" t="n"/>
      <c r="F1182" s="8" t="n"/>
      <c r="G1182" s="8">
        <f>IF($A1182="",0,ROUND($E1182*$F1182,2))</f>
        <v/>
      </c>
    </row>
    <row r="1183">
      <c r="B1183" s="7" t="n"/>
      <c r="F1183" s="8" t="n"/>
      <c r="G1183" s="8">
        <f>IF($A1183="",0,ROUND($E1183*$F1183,2))</f>
        <v/>
      </c>
    </row>
    <row r="1184">
      <c r="B1184" s="7" t="n"/>
      <c r="F1184" s="8" t="n"/>
      <c r="G1184" s="8">
        <f>IF($A1184="",0,ROUND($E1184*$F1184,2))</f>
        <v/>
      </c>
    </row>
    <row r="1185">
      <c r="B1185" s="7" t="n"/>
      <c r="F1185" s="8" t="n"/>
      <c r="G1185" s="8">
        <f>IF($A1185="",0,ROUND($E1185*$F1185,2))</f>
        <v/>
      </c>
    </row>
    <row r="1186">
      <c r="B1186" s="7" t="n"/>
      <c r="F1186" s="8" t="n"/>
      <c r="G1186" s="8">
        <f>IF($A1186="",0,ROUND($E1186*$F1186,2))</f>
        <v/>
      </c>
    </row>
    <row r="1187">
      <c r="B1187" s="7" t="n"/>
      <c r="F1187" s="8" t="n"/>
      <c r="G1187" s="8">
        <f>IF($A1187="",0,ROUND($E1187*$F1187,2))</f>
        <v/>
      </c>
    </row>
    <row r="1188">
      <c r="B1188" s="7" t="n"/>
      <c r="F1188" s="8" t="n"/>
      <c r="G1188" s="8">
        <f>IF($A1188="",0,ROUND($E1188*$F1188,2))</f>
        <v/>
      </c>
    </row>
    <row r="1189">
      <c r="B1189" s="7" t="n"/>
      <c r="F1189" s="8" t="n"/>
      <c r="G1189" s="8">
        <f>IF($A1189="",0,ROUND($E1189*$F1189,2))</f>
        <v/>
      </c>
    </row>
    <row r="1190">
      <c r="B1190" s="7" t="n"/>
      <c r="F1190" s="8" t="n"/>
      <c r="G1190" s="8">
        <f>IF($A1190="",0,ROUND($E1190*$F1190,2))</f>
        <v/>
      </c>
    </row>
    <row r="1191">
      <c r="B1191" s="7" t="n"/>
      <c r="F1191" s="8" t="n"/>
      <c r="G1191" s="8">
        <f>IF($A1191="",0,ROUND($E1191*$F1191,2))</f>
        <v/>
      </c>
    </row>
    <row r="1192">
      <c r="B1192" s="7" t="n"/>
      <c r="F1192" s="8" t="n"/>
      <c r="G1192" s="8">
        <f>IF($A1192="",0,ROUND($E1192*$F1192,2))</f>
        <v/>
      </c>
    </row>
    <row r="1193">
      <c r="B1193" s="7" t="n"/>
      <c r="F1193" s="8" t="n"/>
      <c r="G1193" s="8">
        <f>IF($A1193="",0,ROUND($E1193*$F1193,2))</f>
        <v/>
      </c>
    </row>
    <row r="1194">
      <c r="B1194" s="7" t="n"/>
      <c r="F1194" s="8" t="n"/>
      <c r="G1194" s="8">
        <f>IF($A1194="",0,ROUND($E1194*$F1194,2))</f>
        <v/>
      </c>
    </row>
    <row r="1195">
      <c r="B1195" s="7" t="n"/>
      <c r="F1195" s="8" t="n"/>
      <c r="G1195" s="8">
        <f>IF($A1195="",0,ROUND($E1195*$F1195,2))</f>
        <v/>
      </c>
    </row>
    <row r="1196">
      <c r="B1196" s="7" t="n"/>
      <c r="F1196" s="8" t="n"/>
      <c r="G1196" s="8">
        <f>IF($A1196="",0,ROUND($E1196*$F1196,2))</f>
        <v/>
      </c>
    </row>
    <row r="1197">
      <c r="B1197" s="7" t="n"/>
      <c r="F1197" s="8" t="n"/>
      <c r="G1197" s="8">
        <f>IF($A1197="",0,ROUND($E1197*$F1197,2))</f>
        <v/>
      </c>
    </row>
    <row r="1198">
      <c r="B1198" s="7" t="n"/>
      <c r="F1198" s="8" t="n"/>
      <c r="G1198" s="8">
        <f>IF($A1198="",0,ROUND($E1198*$F1198,2))</f>
        <v/>
      </c>
    </row>
    <row r="1199">
      <c r="B1199" s="7" t="n"/>
      <c r="F1199" s="8" t="n"/>
      <c r="G1199" s="8">
        <f>IF($A1199="",0,ROUND($E1199*$F1199,2))</f>
        <v/>
      </c>
    </row>
    <row r="1200">
      <c r="B1200" s="7" t="n"/>
      <c r="F1200" s="8" t="n"/>
      <c r="G1200" s="8">
        <f>IF($A1200="",0,ROUND($E1200*$F1200,2))</f>
        <v/>
      </c>
    </row>
    <row r="1201">
      <c r="B1201" s="7" t="n"/>
      <c r="F1201" s="8" t="n"/>
      <c r="G1201" s="8">
        <f>IF($A1201="",0,ROUND($E1201*$F1201,2))</f>
        <v/>
      </c>
    </row>
    <row r="1202">
      <c r="B1202" s="7" t="n"/>
      <c r="F1202" s="8" t="n"/>
      <c r="G1202" s="8">
        <f>IF($A1202="",0,ROUND($E1202*$F1202,2))</f>
        <v/>
      </c>
    </row>
    <row r="1203">
      <c r="B1203" s="7" t="n"/>
      <c r="F1203" s="8" t="n"/>
      <c r="G1203" s="8">
        <f>IF($A1203="",0,ROUND($E1203*$F1203,2))</f>
        <v/>
      </c>
    </row>
    <row r="1204">
      <c r="B1204" s="7" t="n"/>
      <c r="F1204" s="8" t="n"/>
      <c r="G1204" s="8">
        <f>IF($A1204="",0,ROUND($E1204*$F1204,2))</f>
        <v/>
      </c>
    </row>
    <row r="1205">
      <c r="B1205" s="7" t="n"/>
      <c r="F1205" s="8" t="n"/>
      <c r="G1205" s="8">
        <f>IF($A1205="",0,ROUND($E1205*$F1205,2))</f>
        <v/>
      </c>
    </row>
    <row r="1206">
      <c r="B1206" s="7" t="n"/>
      <c r="F1206" s="8" t="n"/>
      <c r="G1206" s="8">
        <f>IF($A1206="",0,ROUND($E1206*$F1206,2))</f>
        <v/>
      </c>
    </row>
    <row r="1207">
      <c r="B1207" s="7" t="n"/>
      <c r="F1207" s="8" t="n"/>
      <c r="G1207" s="8">
        <f>IF($A1207="",0,ROUND($E1207*$F1207,2))</f>
        <v/>
      </c>
    </row>
    <row r="1208">
      <c r="B1208" s="7" t="n"/>
      <c r="F1208" s="8" t="n"/>
      <c r="G1208" s="8">
        <f>IF($A1208="",0,ROUND($E1208*$F1208,2))</f>
        <v/>
      </c>
    </row>
    <row r="1209">
      <c r="B1209" s="7" t="n"/>
      <c r="F1209" s="8" t="n"/>
      <c r="G1209" s="8">
        <f>IF($A1209="",0,ROUND($E1209*$F1209,2))</f>
        <v/>
      </c>
    </row>
    <row r="1210">
      <c r="B1210" s="7" t="n"/>
      <c r="F1210" s="8" t="n"/>
      <c r="G1210" s="8">
        <f>IF($A1210="",0,ROUND($E1210*$F1210,2))</f>
        <v/>
      </c>
    </row>
    <row r="1211">
      <c r="B1211" s="7" t="n"/>
      <c r="F1211" s="8" t="n"/>
      <c r="G1211" s="8">
        <f>IF($A1211="",0,ROUND($E1211*$F1211,2))</f>
        <v/>
      </c>
    </row>
    <row r="1212">
      <c r="B1212" s="7" t="n"/>
      <c r="F1212" s="8" t="n"/>
      <c r="G1212" s="8">
        <f>IF($A1212="",0,ROUND($E1212*$F1212,2))</f>
        <v/>
      </c>
    </row>
    <row r="1213">
      <c r="B1213" s="7" t="n"/>
      <c r="F1213" s="8" t="n"/>
      <c r="G1213" s="8">
        <f>IF($A1213="",0,ROUND($E1213*$F1213,2))</f>
        <v/>
      </c>
    </row>
    <row r="1214">
      <c r="B1214" s="7" t="n"/>
      <c r="F1214" s="8" t="n"/>
      <c r="G1214" s="8">
        <f>IF($A1214="",0,ROUND($E1214*$F1214,2))</f>
        <v/>
      </c>
    </row>
    <row r="1215">
      <c r="B1215" s="7" t="n"/>
      <c r="F1215" s="8" t="n"/>
      <c r="G1215" s="8">
        <f>IF($A1215="",0,ROUND($E1215*$F1215,2))</f>
        <v/>
      </c>
    </row>
    <row r="1216">
      <c r="B1216" s="7" t="n"/>
      <c r="F1216" s="8" t="n"/>
      <c r="G1216" s="8">
        <f>IF($A1216="",0,ROUND($E1216*$F1216,2))</f>
        <v/>
      </c>
    </row>
    <row r="1217">
      <c r="B1217" s="7" t="n"/>
      <c r="F1217" s="8" t="n"/>
      <c r="G1217" s="8">
        <f>IF($A1217="",0,ROUND($E1217*$F1217,2))</f>
        <v/>
      </c>
    </row>
    <row r="1218">
      <c r="B1218" s="7" t="n"/>
      <c r="F1218" s="8" t="n"/>
      <c r="G1218" s="8">
        <f>IF($A1218="",0,ROUND($E1218*$F1218,2))</f>
        <v/>
      </c>
    </row>
    <row r="1219">
      <c r="B1219" s="7" t="n"/>
      <c r="F1219" s="8" t="n"/>
      <c r="G1219" s="8">
        <f>IF($A1219="",0,ROUND($E1219*$F1219,2))</f>
        <v/>
      </c>
    </row>
    <row r="1220">
      <c r="B1220" s="7" t="n"/>
      <c r="F1220" s="8" t="n"/>
      <c r="G1220" s="8">
        <f>IF($A1220="",0,ROUND($E1220*$F1220,2))</f>
        <v/>
      </c>
    </row>
    <row r="1221">
      <c r="B1221" s="7" t="n"/>
      <c r="F1221" s="8" t="n"/>
      <c r="G1221" s="8">
        <f>IF($A1221="",0,ROUND($E1221*$F1221,2))</f>
        <v/>
      </c>
    </row>
    <row r="1222">
      <c r="B1222" s="7" t="n"/>
      <c r="F1222" s="8" t="n"/>
      <c r="G1222" s="8">
        <f>IF($A1222="",0,ROUND($E1222*$F1222,2))</f>
        <v/>
      </c>
    </row>
    <row r="1223">
      <c r="B1223" s="7" t="n"/>
      <c r="F1223" s="8" t="n"/>
      <c r="G1223" s="8">
        <f>IF($A1223="",0,ROUND($E1223*$F1223,2))</f>
        <v/>
      </c>
    </row>
    <row r="1224">
      <c r="B1224" s="7" t="n"/>
      <c r="F1224" s="8" t="n"/>
      <c r="G1224" s="8">
        <f>IF($A1224="",0,ROUND($E1224*$F1224,2))</f>
        <v/>
      </c>
    </row>
    <row r="1225">
      <c r="B1225" s="7" t="n"/>
      <c r="F1225" s="8" t="n"/>
      <c r="G1225" s="8">
        <f>IF($A1225="",0,ROUND($E1225*$F1225,2))</f>
        <v/>
      </c>
    </row>
    <row r="1226">
      <c r="B1226" s="7" t="n"/>
      <c r="F1226" s="8" t="n"/>
      <c r="G1226" s="8">
        <f>IF($A1226="",0,ROUND($E1226*$F1226,2))</f>
        <v/>
      </c>
    </row>
    <row r="1227">
      <c r="B1227" s="7" t="n"/>
      <c r="F1227" s="8" t="n"/>
      <c r="G1227" s="8">
        <f>IF($A1227="",0,ROUND($E1227*$F1227,2))</f>
        <v/>
      </c>
    </row>
    <row r="1228">
      <c r="B1228" s="7" t="n"/>
      <c r="F1228" s="8" t="n"/>
      <c r="G1228" s="8">
        <f>IF($A1228="",0,ROUND($E1228*$F1228,2))</f>
        <v/>
      </c>
    </row>
    <row r="1229">
      <c r="B1229" s="7" t="n"/>
      <c r="F1229" s="8" t="n"/>
      <c r="G1229" s="8">
        <f>IF($A1229="",0,ROUND($E1229*$F1229,2))</f>
        <v/>
      </c>
    </row>
    <row r="1230">
      <c r="B1230" s="7" t="n"/>
      <c r="F1230" s="8" t="n"/>
      <c r="G1230" s="8">
        <f>IF($A1230="",0,ROUND($E1230*$F1230,2))</f>
        <v/>
      </c>
    </row>
    <row r="1231">
      <c r="B1231" s="7" t="n"/>
      <c r="F1231" s="8" t="n"/>
      <c r="G1231" s="8">
        <f>IF($A1231="",0,ROUND($E1231*$F1231,2))</f>
        <v/>
      </c>
    </row>
    <row r="1232">
      <c r="B1232" s="7" t="n"/>
      <c r="F1232" s="8" t="n"/>
      <c r="G1232" s="8">
        <f>IF($A1232="",0,ROUND($E1232*$F1232,2))</f>
        <v/>
      </c>
    </row>
    <row r="1233">
      <c r="B1233" s="7" t="n"/>
      <c r="F1233" s="8" t="n"/>
      <c r="G1233" s="8">
        <f>IF($A1233="",0,ROUND($E1233*$F1233,2))</f>
        <v/>
      </c>
    </row>
    <row r="1234">
      <c r="B1234" s="7" t="n"/>
      <c r="F1234" s="8" t="n"/>
      <c r="G1234" s="8">
        <f>IF($A1234="",0,ROUND($E1234*$F1234,2))</f>
        <v/>
      </c>
    </row>
    <row r="1235">
      <c r="B1235" s="7" t="n"/>
      <c r="F1235" s="8" t="n"/>
      <c r="G1235" s="8">
        <f>IF($A1235="",0,ROUND($E1235*$F1235,2))</f>
        <v/>
      </c>
    </row>
    <row r="1236">
      <c r="B1236" s="7" t="n"/>
      <c r="F1236" s="8" t="n"/>
      <c r="G1236" s="8">
        <f>IF($A1236="",0,ROUND($E1236*$F1236,2))</f>
        <v/>
      </c>
    </row>
    <row r="1237">
      <c r="B1237" s="7" t="n"/>
      <c r="F1237" s="8" t="n"/>
      <c r="G1237" s="8">
        <f>IF($A1237="",0,ROUND($E1237*$F1237,2))</f>
        <v/>
      </c>
    </row>
    <row r="1238">
      <c r="B1238" s="7" t="n"/>
      <c r="F1238" s="8" t="n"/>
      <c r="G1238" s="8">
        <f>IF($A1238="",0,ROUND($E1238*$F1238,2))</f>
        <v/>
      </c>
    </row>
    <row r="1239">
      <c r="B1239" s="7" t="n"/>
      <c r="F1239" s="8" t="n"/>
      <c r="G1239" s="8">
        <f>IF($A1239="",0,ROUND($E1239*$F1239,2))</f>
        <v/>
      </c>
    </row>
    <row r="1240">
      <c r="B1240" s="7" t="n"/>
      <c r="F1240" s="8" t="n"/>
      <c r="G1240" s="8">
        <f>IF($A1240="",0,ROUND($E1240*$F1240,2))</f>
        <v/>
      </c>
    </row>
    <row r="1241">
      <c r="B1241" s="7" t="n"/>
      <c r="F1241" s="8" t="n"/>
      <c r="G1241" s="8">
        <f>IF($A1241="",0,ROUND($E1241*$F1241,2))</f>
        <v/>
      </c>
    </row>
    <row r="1242">
      <c r="B1242" s="7" t="n"/>
      <c r="F1242" s="8" t="n"/>
      <c r="G1242" s="8">
        <f>IF($A1242="",0,ROUND($E1242*$F1242,2))</f>
        <v/>
      </c>
    </row>
    <row r="1243">
      <c r="B1243" s="7" t="n"/>
      <c r="F1243" s="8" t="n"/>
      <c r="G1243" s="8">
        <f>IF($A1243="",0,ROUND($E1243*$F1243,2))</f>
        <v/>
      </c>
    </row>
    <row r="1244">
      <c r="B1244" s="7" t="n"/>
      <c r="F1244" s="8" t="n"/>
      <c r="G1244" s="8">
        <f>IF($A1244="",0,ROUND($E1244*$F1244,2))</f>
        <v/>
      </c>
    </row>
    <row r="1245">
      <c r="B1245" s="7" t="n"/>
      <c r="F1245" s="8" t="n"/>
      <c r="G1245" s="8">
        <f>IF($A1245="",0,ROUND($E1245*$F1245,2))</f>
        <v/>
      </c>
    </row>
    <row r="1246">
      <c r="B1246" s="7" t="n"/>
      <c r="F1246" s="8" t="n"/>
      <c r="G1246" s="8">
        <f>IF($A1246="",0,ROUND($E1246*$F1246,2))</f>
        <v/>
      </c>
    </row>
    <row r="1247">
      <c r="B1247" s="7" t="n"/>
      <c r="F1247" s="8" t="n"/>
      <c r="G1247" s="8">
        <f>IF($A1247="",0,ROUND($E1247*$F1247,2))</f>
        <v/>
      </c>
    </row>
    <row r="1248">
      <c r="B1248" s="7" t="n"/>
      <c r="F1248" s="8" t="n"/>
      <c r="G1248" s="8">
        <f>IF($A1248="",0,ROUND($E1248*$F1248,2))</f>
        <v/>
      </c>
    </row>
    <row r="1249">
      <c r="B1249" s="7" t="n"/>
      <c r="F1249" s="8" t="n"/>
      <c r="G1249" s="8">
        <f>IF($A1249="",0,ROUND($E1249*$F1249,2))</f>
        <v/>
      </c>
    </row>
    <row r="1250">
      <c r="B1250" s="7" t="n"/>
      <c r="F1250" s="8" t="n"/>
      <c r="G1250" s="8">
        <f>IF($A1250="",0,ROUND($E1250*$F1250,2))</f>
        <v/>
      </c>
    </row>
    <row r="1251">
      <c r="B1251" s="7" t="n"/>
      <c r="F1251" s="8" t="n"/>
      <c r="G1251" s="8">
        <f>IF($A1251="",0,ROUND($E1251*$F1251,2))</f>
        <v/>
      </c>
    </row>
    <row r="1252">
      <c r="B1252" s="7" t="n"/>
      <c r="F1252" s="8" t="n"/>
      <c r="G1252" s="8">
        <f>IF($A1252="",0,ROUND($E1252*$F1252,2))</f>
        <v/>
      </c>
    </row>
    <row r="1253">
      <c r="B1253" s="7" t="n"/>
      <c r="F1253" s="8" t="n"/>
      <c r="G1253" s="8">
        <f>IF($A1253="",0,ROUND($E1253*$F1253,2))</f>
        <v/>
      </c>
    </row>
    <row r="1254">
      <c r="B1254" s="7" t="n"/>
      <c r="F1254" s="8" t="n"/>
      <c r="G1254" s="8">
        <f>IF($A1254="",0,ROUND($E1254*$F1254,2))</f>
        <v/>
      </c>
    </row>
    <row r="1255">
      <c r="B1255" s="7" t="n"/>
      <c r="F1255" s="8" t="n"/>
      <c r="G1255" s="8">
        <f>IF($A1255="",0,ROUND($E1255*$F1255,2))</f>
        <v/>
      </c>
    </row>
    <row r="1256">
      <c r="B1256" s="7" t="n"/>
      <c r="F1256" s="8" t="n"/>
      <c r="G1256" s="8">
        <f>IF($A1256="",0,ROUND($E1256*$F1256,2))</f>
        <v/>
      </c>
    </row>
    <row r="1257">
      <c r="B1257" s="7" t="n"/>
      <c r="F1257" s="8" t="n"/>
      <c r="G1257" s="8">
        <f>IF($A1257="",0,ROUND($E1257*$F1257,2))</f>
        <v/>
      </c>
    </row>
    <row r="1258">
      <c r="B1258" s="7" t="n"/>
      <c r="F1258" s="8" t="n"/>
      <c r="G1258" s="8">
        <f>IF($A1258="",0,ROUND($E1258*$F1258,2))</f>
        <v/>
      </c>
    </row>
    <row r="1259">
      <c r="B1259" s="7" t="n"/>
      <c r="F1259" s="8" t="n"/>
      <c r="G1259" s="8">
        <f>IF($A1259="",0,ROUND($E1259*$F1259,2))</f>
        <v/>
      </c>
    </row>
    <row r="1260">
      <c r="B1260" s="7" t="n"/>
      <c r="F1260" s="8" t="n"/>
      <c r="G1260" s="8">
        <f>IF($A1260="",0,ROUND($E1260*$F1260,2))</f>
        <v/>
      </c>
    </row>
    <row r="1261">
      <c r="B1261" s="7" t="n"/>
      <c r="F1261" s="8" t="n"/>
      <c r="G1261" s="8">
        <f>IF($A1261="",0,ROUND($E1261*$F1261,2))</f>
        <v/>
      </c>
    </row>
    <row r="1262">
      <c r="B1262" s="7" t="n"/>
      <c r="F1262" s="8" t="n"/>
      <c r="G1262" s="8">
        <f>IF($A1262="",0,ROUND($E1262*$F1262,2))</f>
        <v/>
      </c>
    </row>
    <row r="1263">
      <c r="B1263" s="7" t="n"/>
      <c r="F1263" s="8" t="n"/>
      <c r="G1263" s="8">
        <f>IF($A1263="",0,ROUND($E1263*$F1263,2))</f>
        <v/>
      </c>
    </row>
    <row r="1264">
      <c r="B1264" s="7" t="n"/>
      <c r="F1264" s="8" t="n"/>
      <c r="G1264" s="8">
        <f>IF($A1264="",0,ROUND($E1264*$F1264,2))</f>
        <v/>
      </c>
    </row>
    <row r="1265">
      <c r="B1265" s="7" t="n"/>
      <c r="F1265" s="8" t="n"/>
      <c r="G1265" s="8">
        <f>IF($A1265="",0,ROUND($E1265*$F1265,2))</f>
        <v/>
      </c>
    </row>
    <row r="1266">
      <c r="B1266" s="7" t="n"/>
      <c r="F1266" s="8" t="n"/>
      <c r="G1266" s="8">
        <f>IF($A1266="",0,ROUND($E1266*$F1266,2))</f>
        <v/>
      </c>
    </row>
    <row r="1267">
      <c r="B1267" s="7" t="n"/>
      <c r="F1267" s="8" t="n"/>
      <c r="G1267" s="8">
        <f>IF($A1267="",0,ROUND($E1267*$F1267,2))</f>
        <v/>
      </c>
    </row>
    <row r="1268">
      <c r="B1268" s="7" t="n"/>
      <c r="F1268" s="8" t="n"/>
      <c r="G1268" s="8">
        <f>IF($A1268="",0,ROUND($E1268*$F1268,2))</f>
        <v/>
      </c>
    </row>
    <row r="1269">
      <c r="B1269" s="7" t="n"/>
      <c r="F1269" s="8" t="n"/>
      <c r="G1269" s="8">
        <f>IF($A1269="",0,ROUND($E1269*$F1269,2))</f>
        <v/>
      </c>
    </row>
    <row r="1270">
      <c r="B1270" s="7" t="n"/>
      <c r="F1270" s="8" t="n"/>
      <c r="G1270" s="8">
        <f>IF($A1270="",0,ROUND($E1270*$F1270,2))</f>
        <v/>
      </c>
    </row>
    <row r="1271">
      <c r="B1271" s="7" t="n"/>
      <c r="F1271" s="8" t="n"/>
      <c r="G1271" s="8">
        <f>IF($A1271="",0,ROUND($E1271*$F1271,2))</f>
        <v/>
      </c>
    </row>
    <row r="1272">
      <c r="B1272" s="7" t="n"/>
      <c r="F1272" s="8" t="n"/>
      <c r="G1272" s="8">
        <f>IF($A1272="",0,ROUND($E1272*$F1272,2))</f>
        <v/>
      </c>
    </row>
    <row r="1273">
      <c r="B1273" s="7" t="n"/>
      <c r="F1273" s="8" t="n"/>
      <c r="G1273" s="8">
        <f>IF($A1273="",0,ROUND($E1273*$F1273,2))</f>
        <v/>
      </c>
    </row>
    <row r="1274">
      <c r="B1274" s="7" t="n"/>
      <c r="F1274" s="8" t="n"/>
      <c r="G1274" s="8">
        <f>IF($A1274="",0,ROUND($E1274*$F1274,2))</f>
        <v/>
      </c>
    </row>
    <row r="1275">
      <c r="B1275" s="7" t="n"/>
      <c r="F1275" s="8" t="n"/>
      <c r="G1275" s="8">
        <f>IF($A1275="",0,ROUND($E1275*$F1275,2))</f>
        <v/>
      </c>
    </row>
    <row r="1276">
      <c r="B1276" s="7" t="n"/>
      <c r="F1276" s="8" t="n"/>
      <c r="G1276" s="8">
        <f>IF($A1276="",0,ROUND($E1276*$F1276,2))</f>
        <v/>
      </c>
    </row>
    <row r="1277">
      <c r="B1277" s="7" t="n"/>
      <c r="F1277" s="8" t="n"/>
      <c r="G1277" s="8">
        <f>IF($A1277="",0,ROUND($E1277*$F1277,2))</f>
        <v/>
      </c>
    </row>
    <row r="1278">
      <c r="B1278" s="7" t="n"/>
      <c r="F1278" s="8" t="n"/>
      <c r="G1278" s="8">
        <f>IF($A1278="",0,ROUND($E1278*$F1278,2))</f>
        <v/>
      </c>
    </row>
    <row r="1279">
      <c r="B1279" s="7" t="n"/>
      <c r="F1279" s="8" t="n"/>
      <c r="G1279" s="8">
        <f>IF($A1279="",0,ROUND($E1279*$F1279,2))</f>
        <v/>
      </c>
    </row>
    <row r="1280">
      <c r="B1280" s="7" t="n"/>
      <c r="F1280" s="8" t="n"/>
      <c r="G1280" s="8">
        <f>IF($A1280="",0,ROUND($E1280*$F1280,2))</f>
        <v/>
      </c>
    </row>
    <row r="1281">
      <c r="B1281" s="7" t="n"/>
      <c r="F1281" s="8" t="n"/>
      <c r="G1281" s="8">
        <f>IF($A1281="",0,ROUND($E1281*$F1281,2))</f>
        <v/>
      </c>
    </row>
    <row r="1282">
      <c r="B1282" s="7" t="n"/>
      <c r="F1282" s="8" t="n"/>
      <c r="G1282" s="8">
        <f>IF($A1282="",0,ROUND($E1282*$F1282,2))</f>
        <v/>
      </c>
    </row>
    <row r="1283">
      <c r="B1283" s="7" t="n"/>
      <c r="F1283" s="8" t="n"/>
      <c r="G1283" s="8">
        <f>IF($A1283="",0,ROUND($E1283*$F1283,2))</f>
        <v/>
      </c>
    </row>
    <row r="1284">
      <c r="B1284" s="7" t="n"/>
      <c r="F1284" s="8" t="n"/>
      <c r="G1284" s="8">
        <f>IF($A1284="",0,ROUND($E1284*$F1284,2))</f>
        <v/>
      </c>
    </row>
    <row r="1285">
      <c r="B1285" s="7" t="n"/>
      <c r="F1285" s="8" t="n"/>
      <c r="G1285" s="8">
        <f>IF($A1285="",0,ROUND($E1285*$F1285,2))</f>
        <v/>
      </c>
    </row>
    <row r="1286">
      <c r="B1286" s="7" t="n"/>
      <c r="F1286" s="8" t="n"/>
      <c r="G1286" s="8">
        <f>IF($A1286="",0,ROUND($E1286*$F1286,2))</f>
        <v/>
      </c>
    </row>
    <row r="1287">
      <c r="B1287" s="7" t="n"/>
      <c r="F1287" s="8" t="n"/>
      <c r="G1287" s="8">
        <f>IF($A1287="",0,ROUND($E1287*$F1287,2))</f>
        <v/>
      </c>
    </row>
    <row r="1288">
      <c r="B1288" s="7" t="n"/>
      <c r="F1288" s="8" t="n"/>
      <c r="G1288" s="8">
        <f>IF($A1288="",0,ROUND($E1288*$F1288,2))</f>
        <v/>
      </c>
    </row>
    <row r="1289">
      <c r="B1289" s="7" t="n"/>
      <c r="F1289" s="8" t="n"/>
      <c r="G1289" s="8">
        <f>IF($A1289="",0,ROUND($E1289*$F1289,2))</f>
        <v/>
      </c>
    </row>
    <row r="1290">
      <c r="B1290" s="7" t="n"/>
      <c r="F1290" s="8" t="n"/>
      <c r="G1290" s="8">
        <f>IF($A1290="",0,ROUND($E1290*$F1290,2))</f>
        <v/>
      </c>
    </row>
    <row r="1291">
      <c r="B1291" s="7" t="n"/>
      <c r="F1291" s="8" t="n"/>
      <c r="G1291" s="8">
        <f>IF($A1291="",0,ROUND($E1291*$F1291,2))</f>
        <v/>
      </c>
    </row>
    <row r="1292">
      <c r="B1292" s="7" t="n"/>
      <c r="F1292" s="8" t="n"/>
      <c r="G1292" s="8">
        <f>IF($A1292="",0,ROUND($E1292*$F1292,2))</f>
        <v/>
      </c>
    </row>
    <row r="1293">
      <c r="B1293" s="7" t="n"/>
      <c r="F1293" s="8" t="n"/>
      <c r="G1293" s="8">
        <f>IF($A1293="",0,ROUND($E1293*$F1293,2))</f>
        <v/>
      </c>
    </row>
    <row r="1294">
      <c r="B1294" s="7" t="n"/>
      <c r="F1294" s="8" t="n"/>
      <c r="G1294" s="8">
        <f>IF($A1294="",0,ROUND($E1294*$F1294,2))</f>
        <v/>
      </c>
    </row>
    <row r="1295">
      <c r="B1295" s="7" t="n"/>
      <c r="F1295" s="8" t="n"/>
      <c r="G1295" s="8">
        <f>IF($A1295="",0,ROUND($E1295*$F1295,2))</f>
        <v/>
      </c>
    </row>
    <row r="1296">
      <c r="B1296" s="7" t="n"/>
      <c r="F1296" s="8" t="n"/>
      <c r="G1296" s="8">
        <f>IF($A1296="",0,ROUND($E1296*$F1296,2))</f>
        <v/>
      </c>
    </row>
    <row r="1297">
      <c r="B1297" s="7" t="n"/>
      <c r="F1297" s="8" t="n"/>
      <c r="G1297" s="8">
        <f>IF($A1297="",0,ROUND($E1297*$F1297,2))</f>
        <v/>
      </c>
    </row>
    <row r="1298">
      <c r="B1298" s="7" t="n"/>
      <c r="F1298" s="8" t="n"/>
      <c r="G1298" s="8">
        <f>IF($A1298="",0,ROUND($E1298*$F1298,2))</f>
        <v/>
      </c>
    </row>
    <row r="1299">
      <c r="B1299" s="7" t="n"/>
      <c r="F1299" s="8" t="n"/>
      <c r="G1299" s="8">
        <f>IF($A1299="",0,ROUND($E1299*$F1299,2))</f>
        <v/>
      </c>
    </row>
    <row r="1300">
      <c r="B1300" s="7" t="n"/>
      <c r="F1300" s="8" t="n"/>
      <c r="G1300" s="8">
        <f>IF($A1300="",0,ROUND($E1300*$F1300,2))</f>
        <v/>
      </c>
    </row>
    <row r="1301">
      <c r="B1301" s="7" t="n"/>
      <c r="F1301" s="8" t="n"/>
      <c r="G1301" s="8">
        <f>IF($A1301="",0,ROUND($E1301*$F1301,2))</f>
        <v/>
      </c>
    </row>
    <row r="1302">
      <c r="B1302" s="7" t="n"/>
      <c r="F1302" s="8" t="n"/>
      <c r="G1302" s="8">
        <f>IF($A1302="",0,ROUND($E1302*$F1302,2))</f>
        <v/>
      </c>
    </row>
    <row r="1303">
      <c r="B1303" s="7" t="n"/>
      <c r="F1303" s="8" t="n"/>
      <c r="G1303" s="8">
        <f>IF($A1303="",0,ROUND($E1303*$F1303,2))</f>
        <v/>
      </c>
    </row>
    <row r="1304">
      <c r="B1304" s="7" t="n"/>
      <c r="F1304" s="8" t="n"/>
      <c r="G1304" s="8">
        <f>IF($A1304="",0,ROUND($E1304*$F1304,2))</f>
        <v/>
      </c>
    </row>
    <row r="1305">
      <c r="B1305" s="7" t="n"/>
      <c r="F1305" s="8" t="n"/>
      <c r="G1305" s="8">
        <f>IF($A1305="",0,ROUND($E1305*$F1305,2))</f>
        <v/>
      </c>
    </row>
    <row r="1306">
      <c r="B1306" s="7" t="n"/>
      <c r="F1306" s="8" t="n"/>
      <c r="G1306" s="8">
        <f>IF($A1306="",0,ROUND($E1306*$F1306,2))</f>
        <v/>
      </c>
    </row>
    <row r="1307">
      <c r="B1307" s="7" t="n"/>
      <c r="F1307" s="8" t="n"/>
      <c r="G1307" s="8">
        <f>IF($A1307="",0,ROUND($E1307*$F1307,2))</f>
        <v/>
      </c>
    </row>
    <row r="1308">
      <c r="B1308" s="7" t="n"/>
      <c r="F1308" s="8" t="n"/>
      <c r="G1308" s="8">
        <f>IF($A1308="",0,ROUND($E1308*$F1308,2))</f>
        <v/>
      </c>
    </row>
    <row r="1309">
      <c r="B1309" s="7" t="n"/>
      <c r="F1309" s="8" t="n"/>
      <c r="G1309" s="8">
        <f>IF($A1309="",0,ROUND($E1309*$F1309,2))</f>
        <v/>
      </c>
    </row>
    <row r="1310">
      <c r="B1310" s="7" t="n"/>
      <c r="F1310" s="8" t="n"/>
      <c r="G1310" s="8">
        <f>IF($A1310="",0,ROUND($E1310*$F1310,2))</f>
        <v/>
      </c>
    </row>
    <row r="1311">
      <c r="B1311" s="7" t="n"/>
      <c r="F1311" s="8" t="n"/>
      <c r="G1311" s="8">
        <f>IF($A1311="",0,ROUND($E1311*$F1311,2))</f>
        <v/>
      </c>
    </row>
    <row r="1312">
      <c r="B1312" s="7" t="n"/>
      <c r="F1312" s="8" t="n"/>
      <c r="G1312" s="8">
        <f>IF($A1312="",0,ROUND($E1312*$F1312,2))</f>
        <v/>
      </c>
    </row>
    <row r="1313">
      <c r="B1313" s="7" t="n"/>
      <c r="F1313" s="8" t="n"/>
      <c r="G1313" s="8">
        <f>IF($A1313="",0,ROUND($E1313*$F1313,2))</f>
        <v/>
      </c>
    </row>
    <row r="1314">
      <c r="B1314" s="7" t="n"/>
      <c r="F1314" s="8" t="n"/>
      <c r="G1314" s="8">
        <f>IF($A1314="",0,ROUND($E1314*$F1314,2))</f>
        <v/>
      </c>
    </row>
    <row r="1315">
      <c r="B1315" s="7" t="n"/>
      <c r="F1315" s="8" t="n"/>
      <c r="G1315" s="8">
        <f>IF($A1315="",0,ROUND($E1315*$F1315,2))</f>
        <v/>
      </c>
    </row>
    <row r="1316">
      <c r="B1316" s="7" t="n"/>
      <c r="F1316" s="8" t="n"/>
      <c r="G1316" s="8">
        <f>IF($A1316="",0,ROUND($E1316*$F1316,2))</f>
        <v/>
      </c>
    </row>
    <row r="1317">
      <c r="B1317" s="7" t="n"/>
      <c r="F1317" s="8" t="n"/>
      <c r="G1317" s="8">
        <f>IF($A1317="",0,ROUND($E1317*$F1317,2))</f>
        <v/>
      </c>
    </row>
    <row r="1318">
      <c r="B1318" s="7" t="n"/>
      <c r="F1318" s="8" t="n"/>
      <c r="G1318" s="8">
        <f>IF($A1318="",0,ROUND($E1318*$F1318,2))</f>
        <v/>
      </c>
    </row>
    <row r="1319">
      <c r="B1319" s="7" t="n"/>
      <c r="F1319" s="8" t="n"/>
      <c r="G1319" s="8">
        <f>IF($A1319="",0,ROUND($E1319*$F1319,2))</f>
        <v/>
      </c>
    </row>
    <row r="1320">
      <c r="B1320" s="7" t="n"/>
      <c r="F1320" s="8" t="n"/>
      <c r="G1320" s="8">
        <f>IF($A1320="",0,ROUND($E1320*$F1320,2))</f>
        <v/>
      </c>
    </row>
    <row r="1321">
      <c r="B1321" s="7" t="n"/>
      <c r="F1321" s="8" t="n"/>
      <c r="G1321" s="8">
        <f>IF($A1321="",0,ROUND($E1321*$F1321,2))</f>
        <v/>
      </c>
    </row>
    <row r="1322">
      <c r="B1322" s="7" t="n"/>
      <c r="F1322" s="8" t="n"/>
      <c r="G1322" s="8">
        <f>IF($A1322="",0,ROUND($E1322*$F1322,2))</f>
        <v/>
      </c>
    </row>
    <row r="1323">
      <c r="B1323" s="7" t="n"/>
      <c r="F1323" s="8" t="n"/>
      <c r="G1323" s="8">
        <f>IF($A1323="",0,ROUND($E1323*$F1323,2))</f>
        <v/>
      </c>
    </row>
    <row r="1324">
      <c r="B1324" s="7" t="n"/>
      <c r="F1324" s="8" t="n"/>
      <c r="G1324" s="8">
        <f>IF($A1324="",0,ROUND($E1324*$F1324,2))</f>
        <v/>
      </c>
    </row>
    <row r="1325">
      <c r="B1325" s="7" t="n"/>
      <c r="F1325" s="8" t="n"/>
      <c r="G1325" s="8">
        <f>IF($A1325="",0,ROUND($E1325*$F1325,2))</f>
        <v/>
      </c>
    </row>
    <row r="1326">
      <c r="B1326" s="7" t="n"/>
      <c r="F1326" s="8" t="n"/>
      <c r="G1326" s="8">
        <f>IF($A1326="",0,ROUND($E1326*$F1326,2))</f>
        <v/>
      </c>
    </row>
    <row r="1327">
      <c r="B1327" s="7" t="n"/>
      <c r="F1327" s="8" t="n"/>
      <c r="G1327" s="8">
        <f>IF($A1327="",0,ROUND($E1327*$F1327,2))</f>
        <v/>
      </c>
    </row>
    <row r="1328">
      <c r="B1328" s="7" t="n"/>
      <c r="F1328" s="8" t="n"/>
      <c r="G1328" s="8">
        <f>IF($A1328="",0,ROUND($E1328*$F1328,2))</f>
        <v/>
      </c>
    </row>
    <row r="1329">
      <c r="B1329" s="7" t="n"/>
      <c r="F1329" s="8" t="n"/>
      <c r="G1329" s="8">
        <f>IF($A1329="",0,ROUND($E1329*$F1329,2))</f>
        <v/>
      </c>
    </row>
    <row r="1330">
      <c r="B1330" s="7" t="n"/>
      <c r="F1330" s="8" t="n"/>
      <c r="G1330" s="8">
        <f>IF($A1330="",0,ROUND($E1330*$F1330,2))</f>
        <v/>
      </c>
    </row>
    <row r="1331">
      <c r="B1331" s="7" t="n"/>
      <c r="F1331" s="8" t="n"/>
      <c r="G1331" s="8">
        <f>IF($A1331="",0,ROUND($E1331*$F1331,2))</f>
        <v/>
      </c>
    </row>
    <row r="1332">
      <c r="B1332" s="7" t="n"/>
      <c r="F1332" s="8" t="n"/>
      <c r="G1332" s="8">
        <f>IF($A1332="",0,ROUND($E1332*$F1332,2))</f>
        <v/>
      </c>
    </row>
    <row r="1333">
      <c r="B1333" s="7" t="n"/>
      <c r="F1333" s="8" t="n"/>
      <c r="G1333" s="8">
        <f>IF($A1333="",0,ROUND($E1333*$F1333,2))</f>
        <v/>
      </c>
    </row>
    <row r="1334">
      <c r="B1334" s="7" t="n"/>
      <c r="F1334" s="8" t="n"/>
      <c r="G1334" s="8">
        <f>IF($A1334="",0,ROUND($E1334*$F1334,2))</f>
        <v/>
      </c>
    </row>
    <row r="1335">
      <c r="B1335" s="7" t="n"/>
      <c r="F1335" s="8" t="n"/>
      <c r="G1335" s="8">
        <f>IF($A1335="",0,ROUND($E1335*$F1335,2))</f>
        <v/>
      </c>
    </row>
    <row r="1336">
      <c r="B1336" s="7" t="n"/>
      <c r="F1336" s="8" t="n"/>
      <c r="G1336" s="8">
        <f>IF($A1336="",0,ROUND($E1336*$F1336,2))</f>
        <v/>
      </c>
    </row>
    <row r="1337">
      <c r="B1337" s="7" t="n"/>
      <c r="F1337" s="8" t="n"/>
      <c r="G1337" s="8">
        <f>IF($A1337="",0,ROUND($E1337*$F1337,2))</f>
        <v/>
      </c>
    </row>
    <row r="1338">
      <c r="B1338" s="7" t="n"/>
      <c r="F1338" s="8" t="n"/>
      <c r="G1338" s="8">
        <f>IF($A1338="",0,ROUND($E1338*$F1338,2))</f>
        <v/>
      </c>
    </row>
    <row r="1339">
      <c r="B1339" s="7" t="n"/>
      <c r="F1339" s="8" t="n"/>
      <c r="G1339" s="8">
        <f>IF($A1339="",0,ROUND($E1339*$F1339,2))</f>
        <v/>
      </c>
    </row>
    <row r="1340">
      <c r="B1340" s="7" t="n"/>
      <c r="F1340" s="8" t="n"/>
      <c r="G1340" s="8">
        <f>IF($A1340="",0,ROUND($E1340*$F1340,2))</f>
        <v/>
      </c>
    </row>
    <row r="1341">
      <c r="B1341" s="7" t="n"/>
      <c r="F1341" s="8" t="n"/>
      <c r="G1341" s="8">
        <f>IF($A1341="",0,ROUND($E1341*$F1341,2))</f>
        <v/>
      </c>
    </row>
    <row r="1342">
      <c r="B1342" s="7" t="n"/>
      <c r="F1342" s="8" t="n"/>
      <c r="G1342" s="8">
        <f>IF($A1342="",0,ROUND($E1342*$F1342,2))</f>
        <v/>
      </c>
    </row>
    <row r="1343">
      <c r="B1343" s="7" t="n"/>
      <c r="F1343" s="8" t="n"/>
      <c r="G1343" s="8">
        <f>IF($A1343="",0,ROUND($E1343*$F1343,2))</f>
        <v/>
      </c>
    </row>
    <row r="1344">
      <c r="B1344" s="7" t="n"/>
      <c r="F1344" s="8" t="n"/>
      <c r="G1344" s="8">
        <f>IF($A1344="",0,ROUND($E1344*$F1344,2))</f>
        <v/>
      </c>
    </row>
    <row r="1345">
      <c r="B1345" s="7" t="n"/>
      <c r="F1345" s="8" t="n"/>
      <c r="G1345" s="8">
        <f>IF($A1345="",0,ROUND($E1345*$F1345,2))</f>
        <v/>
      </c>
    </row>
    <row r="1346">
      <c r="B1346" s="7" t="n"/>
      <c r="F1346" s="8" t="n"/>
      <c r="G1346" s="8">
        <f>IF($A1346="",0,ROUND($E1346*$F1346,2))</f>
        <v/>
      </c>
    </row>
    <row r="1347">
      <c r="B1347" s="7" t="n"/>
      <c r="F1347" s="8" t="n"/>
      <c r="G1347" s="8">
        <f>IF($A1347="",0,ROUND($E1347*$F1347,2))</f>
        <v/>
      </c>
    </row>
    <row r="1348">
      <c r="B1348" s="7" t="n"/>
      <c r="F1348" s="8" t="n"/>
      <c r="G1348" s="8">
        <f>IF($A1348="",0,ROUND($E1348*$F1348,2))</f>
        <v/>
      </c>
    </row>
    <row r="1349">
      <c r="B1349" s="7" t="n"/>
      <c r="F1349" s="8" t="n"/>
      <c r="G1349" s="8">
        <f>IF($A1349="",0,ROUND($E1349*$F1349,2))</f>
        <v/>
      </c>
    </row>
    <row r="1350">
      <c r="B1350" s="7" t="n"/>
      <c r="F1350" s="8" t="n"/>
      <c r="G1350" s="8">
        <f>IF($A1350="",0,ROUND($E1350*$F1350,2))</f>
        <v/>
      </c>
    </row>
    <row r="1351">
      <c r="B1351" s="7" t="n"/>
      <c r="F1351" s="8" t="n"/>
      <c r="G1351" s="8">
        <f>IF($A1351="",0,ROUND($E1351*$F1351,2))</f>
        <v/>
      </c>
    </row>
    <row r="1352">
      <c r="B1352" s="7" t="n"/>
      <c r="F1352" s="8" t="n"/>
      <c r="G1352" s="8">
        <f>IF($A1352="",0,ROUND($E1352*$F1352,2))</f>
        <v/>
      </c>
    </row>
    <row r="1353">
      <c r="B1353" s="7" t="n"/>
      <c r="F1353" s="8" t="n"/>
      <c r="G1353" s="8">
        <f>IF($A1353="",0,ROUND($E1353*$F1353,2))</f>
        <v/>
      </c>
    </row>
    <row r="1354">
      <c r="B1354" s="7" t="n"/>
      <c r="F1354" s="8" t="n"/>
      <c r="G1354" s="8">
        <f>IF($A1354="",0,ROUND($E1354*$F1354,2))</f>
        <v/>
      </c>
    </row>
    <row r="1355">
      <c r="B1355" s="7" t="n"/>
      <c r="F1355" s="8" t="n"/>
      <c r="G1355" s="8">
        <f>IF($A1355="",0,ROUND($E1355*$F1355,2))</f>
        <v/>
      </c>
    </row>
    <row r="1356">
      <c r="B1356" s="7" t="n"/>
      <c r="F1356" s="8" t="n"/>
      <c r="G1356" s="8">
        <f>IF($A1356="",0,ROUND($E1356*$F1356,2))</f>
        <v/>
      </c>
    </row>
    <row r="1357">
      <c r="B1357" s="7" t="n"/>
      <c r="F1357" s="8" t="n"/>
      <c r="G1357" s="8">
        <f>IF($A1357="",0,ROUND($E1357*$F1357,2))</f>
        <v/>
      </c>
    </row>
    <row r="1358">
      <c r="B1358" s="7" t="n"/>
      <c r="F1358" s="8" t="n"/>
      <c r="G1358" s="8">
        <f>IF($A1358="",0,ROUND($E1358*$F1358,2))</f>
        <v/>
      </c>
    </row>
    <row r="1359">
      <c r="B1359" s="7" t="n"/>
      <c r="F1359" s="8" t="n"/>
      <c r="G1359" s="8">
        <f>IF($A1359="",0,ROUND($E1359*$F1359,2))</f>
        <v/>
      </c>
    </row>
    <row r="1360">
      <c r="B1360" s="7" t="n"/>
      <c r="F1360" s="8" t="n"/>
      <c r="G1360" s="8">
        <f>IF($A1360="",0,ROUND($E1360*$F1360,2))</f>
        <v/>
      </c>
    </row>
    <row r="1361">
      <c r="B1361" s="7" t="n"/>
      <c r="F1361" s="8" t="n"/>
      <c r="G1361" s="8">
        <f>IF($A1361="",0,ROUND($E1361*$F1361,2))</f>
        <v/>
      </c>
    </row>
    <row r="1362">
      <c r="B1362" s="7" t="n"/>
      <c r="F1362" s="8" t="n"/>
      <c r="G1362" s="8">
        <f>IF($A1362="",0,ROUND($E1362*$F1362,2))</f>
        <v/>
      </c>
    </row>
    <row r="1363">
      <c r="B1363" s="7" t="n"/>
      <c r="F1363" s="8" t="n"/>
      <c r="G1363" s="8">
        <f>IF($A1363="",0,ROUND($E1363*$F1363,2))</f>
        <v/>
      </c>
    </row>
    <row r="1364">
      <c r="B1364" s="7" t="n"/>
      <c r="F1364" s="8" t="n"/>
      <c r="G1364" s="8">
        <f>IF($A1364="",0,ROUND($E1364*$F1364,2))</f>
        <v/>
      </c>
    </row>
    <row r="1365">
      <c r="B1365" s="7" t="n"/>
      <c r="F1365" s="8" t="n"/>
      <c r="G1365" s="8">
        <f>IF($A1365="",0,ROUND($E1365*$F1365,2))</f>
        <v/>
      </c>
    </row>
    <row r="1366">
      <c r="B1366" s="7" t="n"/>
      <c r="F1366" s="8" t="n"/>
      <c r="G1366" s="8">
        <f>IF($A1366="",0,ROUND($E1366*$F1366,2))</f>
        <v/>
      </c>
    </row>
    <row r="1367">
      <c r="B1367" s="7" t="n"/>
      <c r="F1367" s="8" t="n"/>
      <c r="G1367" s="8">
        <f>IF($A1367="",0,ROUND($E1367*$F1367,2))</f>
        <v/>
      </c>
    </row>
    <row r="1368">
      <c r="B1368" s="7" t="n"/>
      <c r="F1368" s="8" t="n"/>
      <c r="G1368" s="8">
        <f>IF($A1368="",0,ROUND($E1368*$F1368,2))</f>
        <v/>
      </c>
    </row>
    <row r="1369">
      <c r="B1369" s="7" t="n"/>
      <c r="F1369" s="8" t="n"/>
      <c r="G1369" s="8">
        <f>IF($A1369="",0,ROUND($E1369*$F1369,2))</f>
        <v/>
      </c>
    </row>
    <row r="1370">
      <c r="B1370" s="7" t="n"/>
      <c r="F1370" s="8" t="n"/>
      <c r="G1370" s="8">
        <f>IF($A1370="",0,ROUND($E1370*$F1370,2))</f>
        <v/>
      </c>
    </row>
    <row r="1371">
      <c r="B1371" s="7" t="n"/>
      <c r="F1371" s="8" t="n"/>
      <c r="G1371" s="8">
        <f>IF($A1371="",0,ROUND($E1371*$F1371,2))</f>
        <v/>
      </c>
    </row>
    <row r="1372">
      <c r="B1372" s="7" t="n"/>
      <c r="F1372" s="8" t="n"/>
      <c r="G1372" s="8">
        <f>IF($A1372="",0,ROUND($E1372*$F1372,2))</f>
        <v/>
      </c>
    </row>
    <row r="1373">
      <c r="B1373" s="7" t="n"/>
      <c r="F1373" s="8" t="n"/>
      <c r="G1373" s="8">
        <f>IF($A1373="",0,ROUND($E1373*$F1373,2))</f>
        <v/>
      </c>
    </row>
    <row r="1374">
      <c r="B1374" s="7" t="n"/>
      <c r="F1374" s="8" t="n"/>
      <c r="G1374" s="8">
        <f>IF($A1374="",0,ROUND($E1374*$F1374,2))</f>
        <v/>
      </c>
    </row>
    <row r="1375">
      <c r="B1375" s="7" t="n"/>
      <c r="F1375" s="8" t="n"/>
      <c r="G1375" s="8">
        <f>IF($A1375="",0,ROUND($E1375*$F1375,2))</f>
        <v/>
      </c>
    </row>
    <row r="1376">
      <c r="B1376" s="7" t="n"/>
      <c r="F1376" s="8" t="n"/>
      <c r="G1376" s="8">
        <f>IF($A1376="",0,ROUND($E1376*$F1376,2))</f>
        <v/>
      </c>
    </row>
    <row r="1377">
      <c r="B1377" s="7" t="n"/>
      <c r="F1377" s="8" t="n"/>
      <c r="G1377" s="8">
        <f>IF($A1377="",0,ROUND($E1377*$F1377,2))</f>
        <v/>
      </c>
    </row>
    <row r="1378">
      <c r="B1378" s="7" t="n"/>
      <c r="F1378" s="8" t="n"/>
      <c r="G1378" s="8">
        <f>IF($A1378="",0,ROUND($E1378*$F1378,2))</f>
        <v/>
      </c>
    </row>
    <row r="1379">
      <c r="B1379" s="7" t="n"/>
      <c r="F1379" s="8" t="n"/>
      <c r="G1379" s="8">
        <f>IF($A1379="",0,ROUND($E1379*$F1379,2))</f>
        <v/>
      </c>
    </row>
    <row r="1380">
      <c r="B1380" s="7" t="n"/>
      <c r="F1380" s="8" t="n"/>
      <c r="G1380" s="8">
        <f>IF($A1380="",0,ROUND($E1380*$F1380,2))</f>
        <v/>
      </c>
    </row>
    <row r="1381">
      <c r="B1381" s="7" t="n"/>
      <c r="F1381" s="8" t="n"/>
      <c r="G1381" s="8">
        <f>IF($A1381="",0,ROUND($E1381*$F1381,2))</f>
        <v/>
      </c>
    </row>
    <row r="1382">
      <c r="B1382" s="7" t="n"/>
      <c r="F1382" s="8" t="n"/>
      <c r="G1382" s="8">
        <f>IF($A1382="",0,ROUND($E1382*$F1382,2))</f>
        <v/>
      </c>
    </row>
    <row r="1383">
      <c r="B1383" s="7" t="n"/>
      <c r="F1383" s="8" t="n"/>
      <c r="G1383" s="8">
        <f>IF($A1383="",0,ROUND($E1383*$F1383,2))</f>
        <v/>
      </c>
    </row>
    <row r="1384">
      <c r="B1384" s="7" t="n"/>
      <c r="F1384" s="8" t="n"/>
      <c r="G1384" s="8">
        <f>IF($A1384="",0,ROUND($E1384*$F1384,2))</f>
        <v/>
      </c>
    </row>
    <row r="1385">
      <c r="B1385" s="7" t="n"/>
      <c r="F1385" s="8" t="n"/>
      <c r="G1385" s="8">
        <f>IF($A1385="",0,ROUND($E1385*$F1385,2))</f>
        <v/>
      </c>
    </row>
    <row r="1386">
      <c r="B1386" s="7" t="n"/>
      <c r="F1386" s="8" t="n"/>
      <c r="G1386" s="8">
        <f>IF($A1386="",0,ROUND($E1386*$F1386,2))</f>
        <v/>
      </c>
    </row>
    <row r="1387">
      <c r="B1387" s="7" t="n"/>
      <c r="F1387" s="8" t="n"/>
      <c r="G1387" s="8">
        <f>IF($A1387="",0,ROUND($E1387*$F1387,2))</f>
        <v/>
      </c>
    </row>
    <row r="1388">
      <c r="B1388" s="7" t="n"/>
      <c r="F1388" s="8" t="n"/>
      <c r="G1388" s="8">
        <f>IF($A1388="",0,ROUND($E1388*$F1388,2))</f>
        <v/>
      </c>
    </row>
    <row r="1389">
      <c r="B1389" s="7" t="n"/>
      <c r="F1389" s="8" t="n"/>
      <c r="G1389" s="8">
        <f>IF($A1389="",0,ROUND($E1389*$F1389,2))</f>
        <v/>
      </c>
    </row>
    <row r="1390">
      <c r="B1390" s="7" t="n"/>
      <c r="F1390" s="8" t="n"/>
      <c r="G1390" s="8">
        <f>IF($A1390="",0,ROUND($E1390*$F1390,2))</f>
        <v/>
      </c>
    </row>
    <row r="1391">
      <c r="B1391" s="7" t="n"/>
      <c r="F1391" s="8" t="n"/>
      <c r="G1391" s="8">
        <f>IF($A1391="",0,ROUND($E1391*$F1391,2))</f>
        <v/>
      </c>
    </row>
    <row r="1392">
      <c r="B1392" s="7" t="n"/>
      <c r="F1392" s="8" t="n"/>
      <c r="G1392" s="8">
        <f>IF($A1392="",0,ROUND($E1392*$F1392,2))</f>
        <v/>
      </c>
    </row>
    <row r="1393">
      <c r="B1393" s="7" t="n"/>
      <c r="F1393" s="8" t="n"/>
      <c r="G1393" s="8">
        <f>IF($A1393="",0,ROUND($E1393*$F1393,2))</f>
        <v/>
      </c>
    </row>
    <row r="1394">
      <c r="B1394" s="7" t="n"/>
      <c r="F1394" s="8" t="n"/>
      <c r="G1394" s="8">
        <f>IF($A1394="",0,ROUND($E1394*$F1394,2))</f>
        <v/>
      </c>
    </row>
    <row r="1395">
      <c r="B1395" s="7" t="n"/>
      <c r="F1395" s="8" t="n"/>
      <c r="G1395" s="8">
        <f>IF($A1395="",0,ROUND($E1395*$F1395,2))</f>
        <v/>
      </c>
    </row>
    <row r="1396">
      <c r="B1396" s="7" t="n"/>
      <c r="F1396" s="8" t="n"/>
      <c r="G1396" s="8">
        <f>IF($A1396="",0,ROUND($E1396*$F1396,2))</f>
        <v/>
      </c>
    </row>
    <row r="1397">
      <c r="B1397" s="7" t="n"/>
      <c r="F1397" s="8" t="n"/>
      <c r="G1397" s="8">
        <f>IF($A1397="",0,ROUND($E1397*$F1397,2))</f>
        <v/>
      </c>
    </row>
    <row r="1398">
      <c r="B1398" s="7" t="n"/>
      <c r="F1398" s="8" t="n"/>
      <c r="G1398" s="8">
        <f>IF($A1398="",0,ROUND($E1398*$F1398,2))</f>
        <v/>
      </c>
    </row>
    <row r="1399">
      <c r="B1399" s="7" t="n"/>
      <c r="F1399" s="8" t="n"/>
      <c r="G1399" s="8">
        <f>IF($A1399="",0,ROUND($E1399*$F1399,2))</f>
        <v/>
      </c>
    </row>
    <row r="1400">
      <c r="B1400" s="7" t="n"/>
      <c r="F1400" s="8" t="n"/>
      <c r="G1400" s="8">
        <f>IF($A1400="",0,ROUND($E1400*$F1400,2))</f>
        <v/>
      </c>
    </row>
    <row r="1401">
      <c r="B1401" s="7" t="n"/>
      <c r="F1401" s="8" t="n"/>
      <c r="G1401" s="8">
        <f>IF($A1401="",0,ROUND($E1401*$F1401,2))</f>
        <v/>
      </c>
    </row>
    <row r="1402">
      <c r="B1402" s="7" t="n"/>
      <c r="F1402" s="8" t="n"/>
      <c r="G1402" s="8">
        <f>IF($A1402="",0,ROUND($E1402*$F1402,2))</f>
        <v/>
      </c>
    </row>
    <row r="1403">
      <c r="B1403" s="7" t="n"/>
      <c r="F1403" s="8" t="n"/>
      <c r="G1403" s="8">
        <f>IF($A1403="",0,ROUND($E1403*$F1403,2))</f>
        <v/>
      </c>
    </row>
    <row r="1404">
      <c r="B1404" s="7" t="n"/>
      <c r="F1404" s="8" t="n"/>
      <c r="G1404" s="8">
        <f>IF($A1404="",0,ROUND($E1404*$F1404,2))</f>
        <v/>
      </c>
    </row>
    <row r="1405">
      <c r="B1405" s="7" t="n"/>
      <c r="F1405" s="8" t="n"/>
      <c r="G1405" s="8">
        <f>IF($A1405="",0,ROUND($E1405*$F1405,2))</f>
        <v/>
      </c>
    </row>
    <row r="1406">
      <c r="B1406" s="7" t="n"/>
      <c r="F1406" s="8" t="n"/>
      <c r="G1406" s="8">
        <f>IF($A1406="",0,ROUND($E1406*$F1406,2))</f>
        <v/>
      </c>
    </row>
    <row r="1407">
      <c r="B1407" s="7" t="n"/>
      <c r="F1407" s="8" t="n"/>
      <c r="G1407" s="8">
        <f>IF($A1407="",0,ROUND($E1407*$F1407,2))</f>
        <v/>
      </c>
    </row>
    <row r="1408">
      <c r="B1408" s="7" t="n"/>
      <c r="F1408" s="8" t="n"/>
      <c r="G1408" s="8">
        <f>IF($A1408="",0,ROUND($E1408*$F1408,2))</f>
        <v/>
      </c>
    </row>
    <row r="1409">
      <c r="B1409" s="7" t="n"/>
      <c r="F1409" s="8" t="n"/>
      <c r="G1409" s="8">
        <f>IF($A1409="",0,ROUND($E1409*$F1409,2))</f>
        <v/>
      </c>
    </row>
    <row r="1410">
      <c r="B1410" s="7" t="n"/>
      <c r="F1410" s="8" t="n"/>
      <c r="G1410" s="8">
        <f>IF($A1410="",0,ROUND($E1410*$F1410,2))</f>
        <v/>
      </c>
    </row>
    <row r="1411">
      <c r="B1411" s="7" t="n"/>
      <c r="F1411" s="8" t="n"/>
      <c r="G1411" s="8">
        <f>IF($A1411="",0,ROUND($E1411*$F1411,2))</f>
        <v/>
      </c>
    </row>
    <row r="1412">
      <c r="B1412" s="7" t="n"/>
      <c r="F1412" s="8" t="n"/>
      <c r="G1412" s="8">
        <f>IF($A1412="",0,ROUND($E1412*$F1412,2))</f>
        <v/>
      </c>
    </row>
    <row r="1413">
      <c r="B1413" s="7" t="n"/>
      <c r="F1413" s="8" t="n"/>
      <c r="G1413" s="8">
        <f>IF($A1413="",0,ROUND($E1413*$F1413,2))</f>
        <v/>
      </c>
    </row>
    <row r="1414">
      <c r="B1414" s="7" t="n"/>
      <c r="F1414" s="8" t="n"/>
      <c r="G1414" s="8">
        <f>IF($A1414="",0,ROUND($E1414*$F1414,2))</f>
        <v/>
      </c>
    </row>
    <row r="1415">
      <c r="B1415" s="7" t="n"/>
      <c r="F1415" s="8" t="n"/>
      <c r="G1415" s="8">
        <f>IF($A1415="",0,ROUND($E1415*$F1415,2))</f>
        <v/>
      </c>
    </row>
    <row r="1416">
      <c r="B1416" s="7" t="n"/>
      <c r="F1416" s="8" t="n"/>
      <c r="G1416" s="8">
        <f>IF($A1416="",0,ROUND($E1416*$F1416,2))</f>
        <v/>
      </c>
    </row>
    <row r="1417">
      <c r="B1417" s="7" t="n"/>
      <c r="F1417" s="8" t="n"/>
      <c r="G1417" s="8">
        <f>IF($A1417="",0,ROUND($E1417*$F1417,2))</f>
        <v/>
      </c>
    </row>
    <row r="1418">
      <c r="B1418" s="7" t="n"/>
      <c r="F1418" s="8" t="n"/>
      <c r="G1418" s="8">
        <f>IF($A1418="",0,ROUND($E1418*$F1418,2))</f>
        <v/>
      </c>
    </row>
    <row r="1419">
      <c r="B1419" s="7" t="n"/>
      <c r="F1419" s="8" t="n"/>
      <c r="G1419" s="8">
        <f>IF($A1419="",0,ROUND($E1419*$F1419,2))</f>
        <v/>
      </c>
    </row>
    <row r="1420">
      <c r="B1420" s="7" t="n"/>
      <c r="F1420" s="8" t="n"/>
      <c r="G1420" s="8">
        <f>IF($A1420="",0,ROUND($E1420*$F1420,2))</f>
        <v/>
      </c>
    </row>
    <row r="1421">
      <c r="B1421" s="7" t="n"/>
      <c r="F1421" s="8" t="n"/>
      <c r="G1421" s="8">
        <f>IF($A1421="",0,ROUND($E1421*$F1421,2))</f>
        <v/>
      </c>
    </row>
    <row r="1422">
      <c r="B1422" s="7" t="n"/>
      <c r="F1422" s="8" t="n"/>
      <c r="G1422" s="8">
        <f>IF($A1422="",0,ROUND($E1422*$F1422,2))</f>
        <v/>
      </c>
    </row>
    <row r="1423">
      <c r="B1423" s="7" t="n"/>
      <c r="F1423" s="8" t="n"/>
      <c r="G1423" s="8">
        <f>IF($A1423="",0,ROUND($E1423*$F1423,2))</f>
        <v/>
      </c>
    </row>
    <row r="1424">
      <c r="B1424" s="7" t="n"/>
      <c r="F1424" s="8" t="n"/>
      <c r="G1424" s="8">
        <f>IF($A1424="",0,ROUND($E1424*$F1424,2))</f>
        <v/>
      </c>
    </row>
    <row r="1425">
      <c r="B1425" s="7" t="n"/>
      <c r="F1425" s="8" t="n"/>
      <c r="G1425" s="8">
        <f>IF($A1425="",0,ROUND($E1425*$F1425,2))</f>
        <v/>
      </c>
    </row>
    <row r="1426">
      <c r="B1426" s="7" t="n"/>
      <c r="F1426" s="8" t="n"/>
      <c r="G1426" s="8">
        <f>IF($A1426="",0,ROUND($E1426*$F1426,2))</f>
        <v/>
      </c>
    </row>
    <row r="1427">
      <c r="B1427" s="7" t="n"/>
      <c r="F1427" s="8" t="n"/>
      <c r="G1427" s="8">
        <f>IF($A1427="",0,ROUND($E1427*$F1427,2))</f>
        <v/>
      </c>
    </row>
    <row r="1428">
      <c r="B1428" s="7" t="n"/>
      <c r="F1428" s="8" t="n"/>
      <c r="G1428" s="8">
        <f>IF($A1428="",0,ROUND($E1428*$F1428,2))</f>
        <v/>
      </c>
    </row>
    <row r="1429">
      <c r="B1429" s="7" t="n"/>
      <c r="F1429" s="8" t="n"/>
      <c r="G1429" s="8">
        <f>IF($A1429="",0,ROUND($E1429*$F1429,2))</f>
        <v/>
      </c>
    </row>
    <row r="1430">
      <c r="B1430" s="7" t="n"/>
      <c r="F1430" s="8" t="n"/>
      <c r="G1430" s="8">
        <f>IF($A1430="",0,ROUND($E1430*$F1430,2))</f>
        <v/>
      </c>
    </row>
    <row r="1431">
      <c r="B1431" s="7" t="n"/>
      <c r="F1431" s="8" t="n"/>
      <c r="G1431" s="8">
        <f>IF($A1431="",0,ROUND($E1431*$F1431,2))</f>
        <v/>
      </c>
    </row>
    <row r="1432">
      <c r="B1432" s="7" t="n"/>
      <c r="F1432" s="8" t="n"/>
      <c r="G1432" s="8">
        <f>IF($A1432="",0,ROUND($E1432*$F1432,2))</f>
        <v/>
      </c>
    </row>
    <row r="1433">
      <c r="B1433" s="7" t="n"/>
      <c r="F1433" s="8" t="n"/>
      <c r="G1433" s="8">
        <f>IF($A1433="",0,ROUND($E1433*$F1433,2))</f>
        <v/>
      </c>
    </row>
    <row r="1434">
      <c r="B1434" s="7" t="n"/>
      <c r="F1434" s="8" t="n"/>
      <c r="G1434" s="8">
        <f>IF($A1434="",0,ROUND($E1434*$F1434,2))</f>
        <v/>
      </c>
    </row>
    <row r="1435">
      <c r="B1435" s="7" t="n"/>
      <c r="F1435" s="8" t="n"/>
      <c r="G1435" s="8">
        <f>IF($A1435="",0,ROUND($E1435*$F1435,2))</f>
        <v/>
      </c>
    </row>
    <row r="1436">
      <c r="B1436" s="7" t="n"/>
      <c r="F1436" s="8" t="n"/>
      <c r="G1436" s="8">
        <f>IF($A1436="",0,ROUND($E1436*$F1436,2))</f>
        <v/>
      </c>
    </row>
    <row r="1437">
      <c r="B1437" s="7" t="n"/>
      <c r="F1437" s="8" t="n"/>
      <c r="G1437" s="8">
        <f>IF($A1437="",0,ROUND($E1437*$F1437,2))</f>
        <v/>
      </c>
    </row>
    <row r="1438">
      <c r="B1438" s="7" t="n"/>
      <c r="F1438" s="8" t="n"/>
      <c r="G1438" s="8">
        <f>IF($A1438="",0,ROUND($E1438*$F1438,2))</f>
        <v/>
      </c>
    </row>
    <row r="1439">
      <c r="B1439" s="7" t="n"/>
      <c r="F1439" s="8" t="n"/>
      <c r="G1439" s="8">
        <f>IF($A1439="",0,ROUND($E1439*$F1439,2))</f>
        <v/>
      </c>
    </row>
    <row r="1440">
      <c r="B1440" s="7" t="n"/>
      <c r="F1440" s="8" t="n"/>
      <c r="G1440" s="8">
        <f>IF($A1440="",0,ROUND($E1440*$F1440,2))</f>
        <v/>
      </c>
    </row>
    <row r="1441">
      <c r="B1441" s="7" t="n"/>
      <c r="F1441" s="8" t="n"/>
      <c r="G1441" s="8">
        <f>IF($A1441="",0,ROUND($E1441*$F1441,2))</f>
        <v/>
      </c>
    </row>
    <row r="1442">
      <c r="B1442" s="7" t="n"/>
      <c r="F1442" s="8" t="n"/>
      <c r="G1442" s="8">
        <f>IF($A1442="",0,ROUND($E1442*$F1442,2))</f>
        <v/>
      </c>
    </row>
    <row r="1443">
      <c r="B1443" s="7" t="n"/>
      <c r="F1443" s="8" t="n"/>
      <c r="G1443" s="8">
        <f>IF($A1443="",0,ROUND($E1443*$F1443,2))</f>
        <v/>
      </c>
    </row>
    <row r="1444">
      <c r="B1444" s="7" t="n"/>
      <c r="F1444" s="8" t="n"/>
      <c r="G1444" s="8">
        <f>IF($A1444="",0,ROUND($E1444*$F1444,2))</f>
        <v/>
      </c>
    </row>
    <row r="1445">
      <c r="B1445" s="7" t="n"/>
      <c r="F1445" s="8" t="n"/>
      <c r="G1445" s="8">
        <f>IF($A1445="",0,ROUND($E1445*$F1445,2))</f>
        <v/>
      </c>
    </row>
    <row r="1446">
      <c r="B1446" s="7" t="n"/>
      <c r="F1446" s="8" t="n"/>
      <c r="G1446" s="8">
        <f>IF($A1446="",0,ROUND($E1446*$F1446,2))</f>
        <v/>
      </c>
    </row>
    <row r="1447">
      <c r="B1447" s="7" t="n"/>
      <c r="F1447" s="8" t="n"/>
      <c r="G1447" s="8">
        <f>IF($A1447="",0,ROUND($E1447*$F1447,2))</f>
        <v/>
      </c>
    </row>
    <row r="1448">
      <c r="B1448" s="7" t="n"/>
      <c r="F1448" s="8" t="n"/>
      <c r="G1448" s="8">
        <f>IF($A1448="",0,ROUND($E1448*$F1448,2))</f>
        <v/>
      </c>
    </row>
    <row r="1449">
      <c r="B1449" s="7" t="n"/>
      <c r="F1449" s="8" t="n"/>
      <c r="G1449" s="8">
        <f>IF($A1449="",0,ROUND($E1449*$F1449,2))</f>
        <v/>
      </c>
    </row>
    <row r="1450">
      <c r="B1450" s="7" t="n"/>
      <c r="F1450" s="8" t="n"/>
      <c r="G1450" s="8">
        <f>IF($A1450="",0,ROUND($E1450*$F1450,2))</f>
        <v/>
      </c>
    </row>
    <row r="1451">
      <c r="B1451" s="7" t="n"/>
      <c r="F1451" s="8" t="n"/>
      <c r="G1451" s="8">
        <f>IF($A1451="",0,ROUND($E1451*$F1451,2))</f>
        <v/>
      </c>
    </row>
    <row r="1452">
      <c r="B1452" s="7" t="n"/>
      <c r="F1452" s="8" t="n"/>
      <c r="G1452" s="8">
        <f>IF($A1452="",0,ROUND($E1452*$F1452,2))</f>
        <v/>
      </c>
    </row>
    <row r="1453">
      <c r="B1453" s="7" t="n"/>
      <c r="F1453" s="8" t="n"/>
      <c r="G1453" s="8">
        <f>IF($A1453="",0,ROUND($E1453*$F1453,2))</f>
        <v/>
      </c>
    </row>
    <row r="1454">
      <c r="B1454" s="7" t="n"/>
      <c r="F1454" s="8" t="n"/>
      <c r="G1454" s="8">
        <f>IF($A1454="",0,ROUND($E1454*$F1454,2))</f>
        <v/>
      </c>
    </row>
    <row r="1455">
      <c r="B1455" s="7" t="n"/>
      <c r="F1455" s="8" t="n"/>
      <c r="G1455" s="8">
        <f>IF($A1455="",0,ROUND($E1455*$F1455,2))</f>
        <v/>
      </c>
    </row>
    <row r="1456">
      <c r="B1456" s="7" t="n"/>
      <c r="F1456" s="8" t="n"/>
      <c r="G1456" s="8">
        <f>IF($A1456="",0,ROUND($E1456*$F1456,2))</f>
        <v/>
      </c>
    </row>
    <row r="1457">
      <c r="B1457" s="7" t="n"/>
      <c r="F1457" s="8" t="n"/>
      <c r="G1457" s="8">
        <f>IF($A1457="",0,ROUND($E1457*$F1457,2))</f>
        <v/>
      </c>
    </row>
    <row r="1458">
      <c r="B1458" s="7" t="n"/>
      <c r="F1458" s="8" t="n"/>
      <c r="G1458" s="8">
        <f>IF($A1458="",0,ROUND($E1458*$F1458,2))</f>
        <v/>
      </c>
    </row>
    <row r="1459">
      <c r="B1459" s="7" t="n"/>
      <c r="F1459" s="8" t="n"/>
      <c r="G1459" s="8">
        <f>IF($A1459="",0,ROUND($E1459*$F1459,2))</f>
        <v/>
      </c>
    </row>
    <row r="1460">
      <c r="B1460" s="7" t="n"/>
      <c r="F1460" s="8" t="n"/>
      <c r="G1460" s="8">
        <f>IF($A1460="",0,ROUND($E1460*$F1460,2))</f>
        <v/>
      </c>
    </row>
    <row r="1461">
      <c r="B1461" s="7" t="n"/>
      <c r="F1461" s="8" t="n"/>
      <c r="G1461" s="8">
        <f>IF($A1461="",0,ROUND($E1461*$F1461,2))</f>
        <v/>
      </c>
    </row>
    <row r="1462">
      <c r="B1462" s="7" t="n"/>
      <c r="F1462" s="8" t="n"/>
      <c r="G1462" s="8">
        <f>IF($A1462="",0,ROUND($E1462*$F1462,2))</f>
        <v/>
      </c>
    </row>
    <row r="1463">
      <c r="B1463" s="7" t="n"/>
      <c r="F1463" s="8" t="n"/>
      <c r="G1463" s="8">
        <f>IF($A1463="",0,ROUND($E1463*$F1463,2))</f>
        <v/>
      </c>
    </row>
    <row r="1464">
      <c r="B1464" s="7" t="n"/>
      <c r="F1464" s="8" t="n"/>
      <c r="G1464" s="8">
        <f>IF($A1464="",0,ROUND($E1464*$F1464,2))</f>
        <v/>
      </c>
    </row>
    <row r="1465">
      <c r="B1465" s="7" t="n"/>
      <c r="F1465" s="8" t="n"/>
      <c r="G1465" s="8">
        <f>IF($A1465="",0,ROUND($E1465*$F1465,2))</f>
        <v/>
      </c>
    </row>
    <row r="1466">
      <c r="B1466" s="7" t="n"/>
      <c r="F1466" s="8" t="n"/>
      <c r="G1466" s="8">
        <f>IF($A1466="",0,ROUND($E1466*$F1466,2))</f>
        <v/>
      </c>
    </row>
    <row r="1467">
      <c r="B1467" s="7" t="n"/>
      <c r="F1467" s="8" t="n"/>
      <c r="G1467" s="8">
        <f>IF($A1467="",0,ROUND($E1467*$F1467,2))</f>
        <v/>
      </c>
    </row>
    <row r="1468">
      <c r="B1468" s="7" t="n"/>
      <c r="F1468" s="8" t="n"/>
      <c r="G1468" s="8">
        <f>IF($A1468="",0,ROUND($E1468*$F1468,2))</f>
        <v/>
      </c>
    </row>
    <row r="1469">
      <c r="B1469" s="7" t="n"/>
      <c r="F1469" s="8" t="n"/>
      <c r="G1469" s="8">
        <f>IF($A1469="",0,ROUND($E1469*$F1469,2))</f>
        <v/>
      </c>
    </row>
    <row r="1470">
      <c r="B1470" s="7" t="n"/>
      <c r="F1470" s="8" t="n"/>
      <c r="G1470" s="8">
        <f>IF($A1470="",0,ROUND($E1470*$F1470,2))</f>
        <v/>
      </c>
    </row>
    <row r="1471">
      <c r="B1471" s="7" t="n"/>
      <c r="F1471" s="8" t="n"/>
      <c r="G1471" s="8">
        <f>IF($A1471="",0,ROUND($E1471*$F1471,2))</f>
        <v/>
      </c>
    </row>
    <row r="1472">
      <c r="B1472" s="7" t="n"/>
      <c r="F1472" s="8" t="n"/>
      <c r="G1472" s="8">
        <f>IF($A1472="",0,ROUND($E1472*$F1472,2))</f>
        <v/>
      </c>
    </row>
    <row r="1473">
      <c r="B1473" s="7" t="n"/>
      <c r="F1473" s="8" t="n"/>
      <c r="G1473" s="8">
        <f>IF($A1473="",0,ROUND($E1473*$F1473,2))</f>
        <v/>
      </c>
    </row>
    <row r="1474">
      <c r="B1474" s="7" t="n"/>
      <c r="F1474" s="8" t="n"/>
      <c r="G1474" s="8">
        <f>IF($A1474="",0,ROUND($E1474*$F1474,2))</f>
        <v/>
      </c>
    </row>
    <row r="1475">
      <c r="B1475" s="7" t="n"/>
      <c r="F1475" s="8" t="n"/>
      <c r="G1475" s="8">
        <f>IF($A1475="",0,ROUND($E1475*$F1475,2))</f>
        <v/>
      </c>
    </row>
    <row r="1476">
      <c r="B1476" s="7" t="n"/>
      <c r="F1476" s="8" t="n"/>
      <c r="G1476" s="8">
        <f>IF($A1476="",0,ROUND($E1476*$F1476,2))</f>
        <v/>
      </c>
    </row>
    <row r="1477">
      <c r="B1477" s="7" t="n"/>
      <c r="F1477" s="8" t="n"/>
      <c r="G1477" s="8">
        <f>IF($A1477="",0,ROUND($E1477*$F1477,2))</f>
        <v/>
      </c>
    </row>
    <row r="1478">
      <c r="B1478" s="7" t="n"/>
      <c r="F1478" s="8" t="n"/>
      <c r="G1478" s="8">
        <f>IF($A1478="",0,ROUND($E1478*$F1478,2))</f>
        <v/>
      </c>
    </row>
    <row r="1479">
      <c r="B1479" s="7" t="n"/>
      <c r="F1479" s="8" t="n"/>
      <c r="G1479" s="8">
        <f>IF($A1479="",0,ROUND($E1479*$F1479,2))</f>
        <v/>
      </c>
    </row>
    <row r="1480">
      <c r="B1480" s="7" t="n"/>
      <c r="F1480" s="8" t="n"/>
      <c r="G1480" s="8">
        <f>IF($A1480="",0,ROUND($E1480*$F1480,2))</f>
        <v/>
      </c>
    </row>
    <row r="1481">
      <c r="B1481" s="7" t="n"/>
      <c r="F1481" s="8" t="n"/>
      <c r="G1481" s="8">
        <f>IF($A1481="",0,ROUND($E1481*$F1481,2))</f>
        <v/>
      </c>
    </row>
    <row r="1482">
      <c r="B1482" s="7" t="n"/>
      <c r="F1482" s="8" t="n"/>
      <c r="G1482" s="8">
        <f>IF($A1482="",0,ROUND($E1482*$F1482,2))</f>
        <v/>
      </c>
    </row>
    <row r="1483">
      <c r="B1483" s="7" t="n"/>
      <c r="F1483" s="8" t="n"/>
      <c r="G1483" s="8">
        <f>IF($A1483="",0,ROUND($E1483*$F1483,2))</f>
        <v/>
      </c>
    </row>
    <row r="1484">
      <c r="B1484" s="7" t="n"/>
      <c r="F1484" s="8" t="n"/>
      <c r="G1484" s="8">
        <f>IF($A1484="",0,ROUND($E1484*$F1484,2))</f>
        <v/>
      </c>
    </row>
    <row r="1485">
      <c r="B1485" s="7" t="n"/>
      <c r="F1485" s="8" t="n"/>
      <c r="G1485" s="8">
        <f>IF($A1485="",0,ROUND($E1485*$F1485,2))</f>
        <v/>
      </c>
    </row>
    <row r="1486">
      <c r="B1486" s="7" t="n"/>
      <c r="F1486" s="8" t="n"/>
      <c r="G1486" s="8">
        <f>IF($A1486="",0,ROUND($E1486*$F1486,2))</f>
        <v/>
      </c>
    </row>
    <row r="1487">
      <c r="B1487" s="7" t="n"/>
      <c r="F1487" s="8" t="n"/>
      <c r="G1487" s="8">
        <f>IF($A1487="",0,ROUND($E1487*$F1487,2))</f>
        <v/>
      </c>
    </row>
    <row r="1488">
      <c r="B1488" s="7" t="n"/>
      <c r="F1488" s="8" t="n"/>
      <c r="G1488" s="8">
        <f>IF($A1488="",0,ROUND($E1488*$F1488,2))</f>
        <v/>
      </c>
    </row>
    <row r="1489">
      <c r="B1489" s="7" t="n"/>
      <c r="F1489" s="8" t="n"/>
      <c r="G1489" s="8">
        <f>IF($A1489="",0,ROUND($E1489*$F1489,2))</f>
        <v/>
      </c>
    </row>
    <row r="1490">
      <c r="B1490" s="7" t="n"/>
      <c r="F1490" s="8" t="n"/>
      <c r="G1490" s="8">
        <f>IF($A1490="",0,ROUND($E1490*$F1490,2))</f>
        <v/>
      </c>
    </row>
    <row r="1491">
      <c r="B1491" s="7" t="n"/>
      <c r="F1491" s="8" t="n"/>
      <c r="G1491" s="8">
        <f>IF($A1491="",0,ROUND($E1491*$F1491,2))</f>
        <v/>
      </c>
    </row>
    <row r="1492">
      <c r="B1492" s="7" t="n"/>
      <c r="F1492" s="8" t="n"/>
      <c r="G1492" s="8">
        <f>IF($A1492="",0,ROUND($E1492*$F1492,2))</f>
        <v/>
      </c>
    </row>
    <row r="1493">
      <c r="B1493" s="7" t="n"/>
      <c r="F1493" s="8" t="n"/>
      <c r="G1493" s="8">
        <f>IF($A1493="",0,ROUND($E1493*$F1493,2))</f>
        <v/>
      </c>
    </row>
    <row r="1494">
      <c r="B1494" s="7" t="n"/>
      <c r="F1494" s="8" t="n"/>
      <c r="G1494" s="8">
        <f>IF($A1494="",0,ROUND($E1494*$F1494,2))</f>
        <v/>
      </c>
    </row>
    <row r="1495">
      <c r="B1495" s="7" t="n"/>
      <c r="F1495" s="8" t="n"/>
      <c r="G1495" s="8">
        <f>IF($A1495="",0,ROUND($E1495*$F1495,2))</f>
        <v/>
      </c>
    </row>
    <row r="1496">
      <c r="B1496" s="7" t="n"/>
      <c r="F1496" s="8" t="n"/>
      <c r="G1496" s="8">
        <f>IF($A1496="",0,ROUND($E1496*$F1496,2))</f>
        <v/>
      </c>
    </row>
    <row r="1497">
      <c r="B1497" s="7" t="n"/>
      <c r="F1497" s="8" t="n"/>
      <c r="G1497" s="8">
        <f>IF($A1497="",0,ROUND($E1497*$F1497,2))</f>
        <v/>
      </c>
    </row>
    <row r="1498">
      <c r="B1498" s="7" t="n"/>
      <c r="F1498" s="8" t="n"/>
      <c r="G1498" s="8">
        <f>IF($A1498="",0,ROUND($E1498*$F1498,2))</f>
        <v/>
      </c>
    </row>
    <row r="1499">
      <c r="B1499" s="7" t="n"/>
      <c r="F1499" s="8" t="n"/>
      <c r="G1499" s="8">
        <f>IF($A1499="",0,ROUND($E1499*$F1499,2))</f>
        <v/>
      </c>
    </row>
    <row r="1500">
      <c r="B1500" s="7" t="n"/>
      <c r="F1500" s="8" t="n"/>
      <c r="G1500" s="8">
        <f>IF($A1500="",0,ROUND($E1500*$F1500,2))</f>
        <v/>
      </c>
    </row>
    <row r="1501">
      <c r="B1501" s="7" t="n"/>
      <c r="F1501" s="8" t="n"/>
      <c r="G1501" s="8">
        <f>IF($A1501="",0,ROUND($E1501*$F1501,2))</f>
        <v/>
      </c>
    </row>
    <row r="1502">
      <c r="B1502" s="7" t="n"/>
      <c r="F1502" s="8" t="n"/>
      <c r="G1502" s="8">
        <f>IF($A1502="",0,ROUND($E1502*$F1502,2))</f>
        <v/>
      </c>
    </row>
    <row r="1503">
      <c r="B1503" s="7" t="n"/>
      <c r="F1503" s="8" t="n"/>
      <c r="G1503" s="8">
        <f>IF($A1503="",0,ROUND($E1503*$F1503,2))</f>
        <v/>
      </c>
    </row>
    <row r="1504">
      <c r="B1504" s="7" t="n"/>
      <c r="F1504" s="8" t="n"/>
      <c r="G1504" s="8">
        <f>IF($A1504="",0,ROUND($E1504*$F1504,2))</f>
        <v/>
      </c>
    </row>
    <row r="1505">
      <c r="B1505" s="7" t="n"/>
      <c r="F1505" s="8" t="n"/>
      <c r="G1505" s="8">
        <f>IF($A1505="",0,ROUND($E1505*$F1505,2))</f>
        <v/>
      </c>
    </row>
    <row r="1506">
      <c r="B1506" s="7" t="n"/>
      <c r="F1506" s="8" t="n"/>
      <c r="G1506" s="8">
        <f>IF($A1506="",0,ROUND($E1506*$F1506,2))</f>
        <v/>
      </c>
    </row>
    <row r="1507">
      <c r="B1507" s="7" t="n"/>
      <c r="F1507" s="8" t="n"/>
      <c r="G1507" s="8">
        <f>IF($A1507="",0,ROUND($E1507*$F1507,2))</f>
        <v/>
      </c>
    </row>
    <row r="1508">
      <c r="B1508" s="7" t="n"/>
      <c r="F1508" s="8" t="n"/>
      <c r="G1508" s="8">
        <f>IF($A1508="",0,ROUND($E1508*$F1508,2))</f>
        <v/>
      </c>
    </row>
    <row r="1509">
      <c r="B1509" s="7" t="n"/>
      <c r="F1509" s="8" t="n"/>
      <c r="G1509" s="8">
        <f>IF($A1509="",0,ROUND($E1509*$F1509,2))</f>
        <v/>
      </c>
    </row>
    <row r="1510">
      <c r="B1510" s="7" t="n"/>
      <c r="F1510" s="8" t="n"/>
      <c r="G1510" s="8">
        <f>IF($A1510="",0,ROUND($E1510*$F1510,2))</f>
        <v/>
      </c>
    </row>
    <row r="1511">
      <c r="B1511" s="7" t="n"/>
      <c r="F1511" s="8" t="n"/>
      <c r="G1511" s="8">
        <f>IF($A1511="",0,ROUND($E1511*$F1511,2))</f>
        <v/>
      </c>
    </row>
    <row r="1512">
      <c r="B1512" s="7" t="n"/>
      <c r="F1512" s="8" t="n"/>
      <c r="G1512" s="8">
        <f>IF($A1512="",0,ROUND($E1512*$F1512,2))</f>
        <v/>
      </c>
    </row>
    <row r="1513">
      <c r="B1513" s="7" t="n"/>
      <c r="F1513" s="8" t="n"/>
      <c r="G1513" s="8">
        <f>IF($A1513="",0,ROUND($E1513*$F1513,2))</f>
        <v/>
      </c>
    </row>
    <row r="1514">
      <c r="B1514" s="7" t="n"/>
      <c r="F1514" s="8" t="n"/>
      <c r="G1514" s="8">
        <f>IF($A1514="",0,ROUND($E1514*$F1514,2))</f>
        <v/>
      </c>
    </row>
    <row r="1515">
      <c r="B1515" s="7" t="n"/>
      <c r="F1515" s="8" t="n"/>
      <c r="G1515" s="8">
        <f>IF($A1515="",0,ROUND($E1515*$F1515,2))</f>
        <v/>
      </c>
    </row>
    <row r="1516">
      <c r="B1516" s="7" t="n"/>
      <c r="F1516" s="8" t="n"/>
      <c r="G1516" s="8">
        <f>IF($A1516="",0,ROUND($E1516*$F1516,2))</f>
        <v/>
      </c>
    </row>
    <row r="1517">
      <c r="B1517" s="7" t="n"/>
      <c r="F1517" s="8" t="n"/>
      <c r="G1517" s="8">
        <f>IF($A1517="",0,ROUND($E1517*$F1517,2))</f>
        <v/>
      </c>
    </row>
    <row r="1518">
      <c r="B1518" s="7" t="n"/>
      <c r="F1518" s="8" t="n"/>
      <c r="G1518" s="8">
        <f>IF($A1518="",0,ROUND($E1518*$F1518,2))</f>
        <v/>
      </c>
    </row>
    <row r="1519">
      <c r="B1519" s="7" t="n"/>
      <c r="F1519" s="8" t="n"/>
      <c r="G1519" s="8">
        <f>IF($A1519="",0,ROUND($E1519*$F1519,2))</f>
        <v/>
      </c>
    </row>
    <row r="1520">
      <c r="B1520" s="7" t="n"/>
      <c r="F1520" s="8" t="n"/>
      <c r="G1520" s="8">
        <f>IF($A1520="",0,ROUND($E1520*$F1520,2))</f>
        <v/>
      </c>
    </row>
    <row r="1521">
      <c r="B1521" s="7" t="n"/>
      <c r="F1521" s="8" t="n"/>
      <c r="G1521" s="8">
        <f>IF($A1521="",0,ROUND($E1521*$F1521,2))</f>
        <v/>
      </c>
    </row>
    <row r="1522">
      <c r="B1522" s="7" t="n"/>
      <c r="F1522" s="8" t="n"/>
      <c r="G1522" s="8">
        <f>IF($A1522="",0,ROUND($E1522*$F1522,2))</f>
        <v/>
      </c>
    </row>
    <row r="1523">
      <c r="B1523" s="7" t="n"/>
      <c r="F1523" s="8" t="n"/>
      <c r="G1523" s="8">
        <f>IF($A1523="",0,ROUND($E1523*$F1523,2))</f>
        <v/>
      </c>
    </row>
    <row r="1524">
      <c r="B1524" s="7" t="n"/>
      <c r="F1524" s="8" t="n"/>
      <c r="G1524" s="8">
        <f>IF($A1524="",0,ROUND($E1524*$F1524,2))</f>
        <v/>
      </c>
    </row>
    <row r="1525">
      <c r="B1525" s="7" t="n"/>
      <c r="F1525" s="8" t="n"/>
      <c r="G1525" s="8">
        <f>IF($A1525="",0,ROUND($E1525*$F1525,2))</f>
        <v/>
      </c>
    </row>
    <row r="1526">
      <c r="B1526" s="7" t="n"/>
      <c r="F1526" s="8" t="n"/>
      <c r="G1526" s="8">
        <f>IF($A1526="",0,ROUND($E1526*$F1526,2))</f>
        <v/>
      </c>
    </row>
    <row r="1527">
      <c r="B1527" s="7" t="n"/>
      <c r="F1527" s="8" t="n"/>
      <c r="G1527" s="8">
        <f>IF($A1527="",0,ROUND($E1527*$F1527,2))</f>
        <v/>
      </c>
    </row>
    <row r="1528">
      <c r="B1528" s="7" t="n"/>
      <c r="F1528" s="8" t="n"/>
      <c r="G1528" s="8">
        <f>IF($A1528="",0,ROUND($E1528*$F1528,2))</f>
        <v/>
      </c>
    </row>
    <row r="1529">
      <c r="B1529" s="7" t="n"/>
      <c r="F1529" s="8" t="n"/>
      <c r="G1529" s="8">
        <f>IF($A1529="",0,ROUND($E1529*$F1529,2))</f>
        <v/>
      </c>
    </row>
    <row r="1530">
      <c r="B1530" s="7" t="n"/>
      <c r="F1530" s="8" t="n"/>
      <c r="G1530" s="8">
        <f>IF($A1530="",0,ROUND($E1530*$F1530,2))</f>
        <v/>
      </c>
    </row>
    <row r="1531">
      <c r="B1531" s="7" t="n"/>
      <c r="F1531" s="8" t="n"/>
      <c r="G1531" s="8">
        <f>IF($A1531="",0,ROUND($E1531*$F1531,2))</f>
        <v/>
      </c>
    </row>
    <row r="1532">
      <c r="B1532" s="7" t="n"/>
      <c r="F1532" s="8" t="n"/>
      <c r="G1532" s="8">
        <f>IF($A1532="",0,ROUND($E1532*$F1532,2))</f>
        <v/>
      </c>
    </row>
    <row r="1533">
      <c r="B1533" s="7" t="n"/>
      <c r="F1533" s="8" t="n"/>
      <c r="G1533" s="8">
        <f>IF($A1533="",0,ROUND($E1533*$F1533,2))</f>
        <v/>
      </c>
    </row>
    <row r="1534">
      <c r="B1534" s="7" t="n"/>
      <c r="F1534" s="8" t="n"/>
      <c r="G1534" s="8">
        <f>IF($A1534="",0,ROUND($E1534*$F1534,2))</f>
        <v/>
      </c>
    </row>
    <row r="1535">
      <c r="B1535" s="7" t="n"/>
      <c r="F1535" s="8" t="n"/>
      <c r="G1535" s="8">
        <f>IF($A1535="",0,ROUND($E1535*$F1535,2))</f>
        <v/>
      </c>
    </row>
    <row r="1536">
      <c r="B1536" s="7" t="n"/>
      <c r="F1536" s="8" t="n"/>
      <c r="G1536" s="8">
        <f>IF($A1536="",0,ROUND($E1536*$F1536,2))</f>
        <v/>
      </c>
    </row>
    <row r="1537">
      <c r="B1537" s="7" t="n"/>
      <c r="F1537" s="8" t="n"/>
      <c r="G1537" s="8">
        <f>IF($A1537="",0,ROUND($E1537*$F1537,2))</f>
        <v/>
      </c>
    </row>
    <row r="1538">
      <c r="B1538" s="7" t="n"/>
      <c r="F1538" s="8" t="n"/>
      <c r="G1538" s="8">
        <f>IF($A1538="",0,ROUND($E1538*$F1538,2))</f>
        <v/>
      </c>
    </row>
    <row r="1539">
      <c r="B1539" s="7" t="n"/>
      <c r="F1539" s="8" t="n"/>
      <c r="G1539" s="8">
        <f>IF($A1539="",0,ROUND($E1539*$F1539,2))</f>
        <v/>
      </c>
    </row>
    <row r="1540">
      <c r="B1540" s="7" t="n"/>
      <c r="F1540" s="8" t="n"/>
      <c r="G1540" s="8">
        <f>IF($A1540="",0,ROUND($E1540*$F1540,2))</f>
        <v/>
      </c>
    </row>
    <row r="1541">
      <c r="B1541" s="7" t="n"/>
      <c r="F1541" s="8" t="n"/>
      <c r="G1541" s="8">
        <f>IF($A1541="",0,ROUND($E1541*$F1541,2))</f>
        <v/>
      </c>
    </row>
    <row r="1542">
      <c r="B1542" s="7" t="n"/>
      <c r="F1542" s="8" t="n"/>
      <c r="G1542" s="8">
        <f>IF($A1542="",0,ROUND($E1542*$F1542,2))</f>
        <v/>
      </c>
    </row>
    <row r="1543">
      <c r="B1543" s="7" t="n"/>
      <c r="F1543" s="8" t="n"/>
      <c r="G1543" s="8">
        <f>IF($A1543="",0,ROUND($E1543*$F1543,2))</f>
        <v/>
      </c>
    </row>
    <row r="1544">
      <c r="B1544" s="7" t="n"/>
      <c r="F1544" s="8" t="n"/>
      <c r="G1544" s="8">
        <f>IF($A1544="",0,ROUND($E1544*$F1544,2))</f>
        <v/>
      </c>
    </row>
    <row r="1545">
      <c r="B1545" s="7" t="n"/>
      <c r="F1545" s="8" t="n"/>
      <c r="G1545" s="8">
        <f>IF($A1545="",0,ROUND($E1545*$F1545,2))</f>
        <v/>
      </c>
    </row>
    <row r="1546">
      <c r="B1546" s="7" t="n"/>
      <c r="F1546" s="8" t="n"/>
      <c r="G1546" s="8">
        <f>IF($A1546="",0,ROUND($E1546*$F1546,2))</f>
        <v/>
      </c>
    </row>
    <row r="1547">
      <c r="B1547" s="7" t="n"/>
      <c r="F1547" s="8" t="n"/>
      <c r="G1547" s="8">
        <f>IF($A1547="",0,ROUND($E1547*$F1547,2))</f>
        <v/>
      </c>
    </row>
    <row r="1548">
      <c r="B1548" s="7" t="n"/>
      <c r="F1548" s="8" t="n"/>
      <c r="G1548" s="8">
        <f>IF($A1548="",0,ROUND($E1548*$F1548,2))</f>
        <v/>
      </c>
    </row>
    <row r="1549">
      <c r="B1549" s="7" t="n"/>
      <c r="F1549" s="8" t="n"/>
      <c r="G1549" s="8">
        <f>IF($A1549="",0,ROUND($E1549*$F1549,2))</f>
        <v/>
      </c>
    </row>
    <row r="1550">
      <c r="B1550" s="7" t="n"/>
      <c r="F1550" s="8" t="n"/>
      <c r="G1550" s="8">
        <f>IF($A1550="",0,ROUND($E1550*$F1550,2))</f>
        <v/>
      </c>
    </row>
    <row r="1551">
      <c r="B1551" s="7" t="n"/>
      <c r="F1551" s="8" t="n"/>
      <c r="G1551" s="8">
        <f>IF($A1551="",0,ROUND($E1551*$F1551,2))</f>
        <v/>
      </c>
    </row>
    <row r="1552">
      <c r="B1552" s="7" t="n"/>
      <c r="F1552" s="8" t="n"/>
      <c r="G1552" s="8">
        <f>IF($A1552="",0,ROUND($E1552*$F1552,2))</f>
        <v/>
      </c>
    </row>
    <row r="1553">
      <c r="B1553" s="7" t="n"/>
      <c r="F1553" s="8" t="n"/>
      <c r="G1553" s="8">
        <f>IF($A1553="",0,ROUND($E1553*$F1553,2))</f>
        <v/>
      </c>
    </row>
    <row r="1554">
      <c r="B1554" s="7" t="n"/>
      <c r="F1554" s="8" t="n"/>
      <c r="G1554" s="8">
        <f>IF($A1554="",0,ROUND($E1554*$F1554,2))</f>
        <v/>
      </c>
    </row>
    <row r="1555">
      <c r="B1555" s="7" t="n"/>
      <c r="F1555" s="8" t="n"/>
      <c r="G1555" s="8">
        <f>IF($A1555="",0,ROUND($E1555*$F1555,2))</f>
        <v/>
      </c>
    </row>
    <row r="1556">
      <c r="B1556" s="7" t="n"/>
      <c r="F1556" s="8" t="n"/>
      <c r="G1556" s="8">
        <f>IF($A1556="",0,ROUND($E1556*$F1556,2))</f>
        <v/>
      </c>
    </row>
    <row r="1557">
      <c r="B1557" s="7" t="n"/>
      <c r="F1557" s="8" t="n"/>
      <c r="G1557" s="8">
        <f>IF($A1557="",0,ROUND($E1557*$F1557,2))</f>
        <v/>
      </c>
    </row>
    <row r="1558">
      <c r="B1558" s="7" t="n"/>
      <c r="F1558" s="8" t="n"/>
      <c r="G1558" s="8">
        <f>IF($A1558="",0,ROUND($E1558*$F1558,2))</f>
        <v/>
      </c>
    </row>
    <row r="1559">
      <c r="B1559" s="7" t="n"/>
      <c r="F1559" s="8" t="n"/>
      <c r="G1559" s="8">
        <f>IF($A1559="",0,ROUND($E1559*$F1559,2))</f>
        <v/>
      </c>
    </row>
    <row r="1560">
      <c r="B1560" s="7" t="n"/>
      <c r="F1560" s="8" t="n"/>
      <c r="G1560" s="8">
        <f>IF($A1560="",0,ROUND($E1560*$F1560,2))</f>
        <v/>
      </c>
    </row>
    <row r="1561">
      <c r="B1561" s="7" t="n"/>
      <c r="F1561" s="8" t="n"/>
      <c r="G1561" s="8">
        <f>IF($A1561="",0,ROUND($E1561*$F1561,2))</f>
        <v/>
      </c>
    </row>
    <row r="1562">
      <c r="B1562" s="7" t="n"/>
      <c r="F1562" s="8" t="n"/>
      <c r="G1562" s="8">
        <f>IF($A1562="",0,ROUND($E1562*$F1562,2))</f>
        <v/>
      </c>
    </row>
    <row r="1563">
      <c r="B1563" s="7" t="n"/>
      <c r="F1563" s="8" t="n"/>
      <c r="G1563" s="8">
        <f>IF($A1563="",0,ROUND($E1563*$F1563,2))</f>
        <v/>
      </c>
    </row>
    <row r="1564">
      <c r="B1564" s="7" t="n"/>
      <c r="F1564" s="8" t="n"/>
      <c r="G1564" s="8">
        <f>IF($A1564="",0,ROUND($E1564*$F1564,2))</f>
        <v/>
      </c>
    </row>
    <row r="1565">
      <c r="B1565" s="7" t="n"/>
      <c r="F1565" s="8" t="n"/>
      <c r="G1565" s="8">
        <f>IF($A1565="",0,ROUND($E1565*$F1565,2))</f>
        <v/>
      </c>
    </row>
    <row r="1566">
      <c r="B1566" s="7" t="n"/>
      <c r="F1566" s="8" t="n"/>
      <c r="G1566" s="8">
        <f>IF($A1566="",0,ROUND($E1566*$F1566,2))</f>
        <v/>
      </c>
    </row>
    <row r="1567">
      <c r="B1567" s="7" t="n"/>
      <c r="F1567" s="8" t="n"/>
      <c r="G1567" s="8">
        <f>IF($A1567="",0,ROUND($E1567*$F1567,2))</f>
        <v/>
      </c>
    </row>
    <row r="1568">
      <c r="B1568" s="7" t="n"/>
      <c r="F1568" s="8" t="n"/>
      <c r="G1568" s="8">
        <f>IF($A1568="",0,ROUND($E1568*$F1568,2))</f>
        <v/>
      </c>
    </row>
    <row r="1569">
      <c r="B1569" s="7" t="n"/>
      <c r="F1569" s="8" t="n"/>
      <c r="G1569" s="8">
        <f>IF($A1569="",0,ROUND($E1569*$F1569,2))</f>
        <v/>
      </c>
    </row>
    <row r="1570">
      <c r="B1570" s="7" t="n"/>
      <c r="F1570" s="8" t="n"/>
      <c r="G1570" s="8">
        <f>IF($A1570="",0,ROUND($E1570*$F1570,2))</f>
        <v/>
      </c>
    </row>
    <row r="1571">
      <c r="B1571" s="7" t="n"/>
      <c r="F1571" s="8" t="n"/>
      <c r="G1571" s="8">
        <f>IF($A1571="",0,ROUND($E1571*$F1571,2))</f>
        <v/>
      </c>
    </row>
    <row r="1572">
      <c r="B1572" s="7" t="n"/>
      <c r="F1572" s="8" t="n"/>
      <c r="G1572" s="8">
        <f>IF($A1572="",0,ROUND($E1572*$F1572,2))</f>
        <v/>
      </c>
    </row>
    <row r="1573">
      <c r="B1573" s="7" t="n"/>
      <c r="F1573" s="8" t="n"/>
      <c r="G1573" s="8">
        <f>IF($A1573="",0,ROUND($E1573*$F1573,2))</f>
        <v/>
      </c>
    </row>
    <row r="1574">
      <c r="B1574" s="7" t="n"/>
      <c r="F1574" s="8" t="n"/>
      <c r="G1574" s="8">
        <f>IF($A1574="",0,ROUND($E1574*$F1574,2))</f>
        <v/>
      </c>
    </row>
    <row r="1575">
      <c r="B1575" s="7" t="n"/>
      <c r="F1575" s="8" t="n"/>
      <c r="G1575" s="8">
        <f>IF($A1575="",0,ROUND($E1575*$F1575,2))</f>
        <v/>
      </c>
    </row>
    <row r="1576">
      <c r="B1576" s="7" t="n"/>
      <c r="F1576" s="8" t="n"/>
      <c r="G1576" s="8">
        <f>IF($A1576="",0,ROUND($E1576*$F1576,2))</f>
        <v/>
      </c>
    </row>
    <row r="1577">
      <c r="B1577" s="7" t="n"/>
      <c r="F1577" s="8" t="n"/>
      <c r="G1577" s="8">
        <f>IF($A1577="",0,ROUND($E1577*$F1577,2))</f>
        <v/>
      </c>
    </row>
    <row r="1578">
      <c r="B1578" s="7" t="n"/>
      <c r="F1578" s="8" t="n"/>
      <c r="G1578" s="8">
        <f>IF($A1578="",0,ROUND($E1578*$F1578,2))</f>
        <v/>
      </c>
    </row>
    <row r="1579">
      <c r="B1579" s="7" t="n"/>
      <c r="F1579" s="8" t="n"/>
      <c r="G1579" s="8">
        <f>IF($A1579="",0,ROUND($E1579*$F1579,2))</f>
        <v/>
      </c>
    </row>
    <row r="1580">
      <c r="B1580" s="7" t="n"/>
      <c r="F1580" s="8" t="n"/>
      <c r="G1580" s="8">
        <f>IF($A1580="",0,ROUND($E1580*$F1580,2))</f>
        <v/>
      </c>
    </row>
    <row r="1581">
      <c r="B1581" s="7" t="n"/>
      <c r="F1581" s="8" t="n"/>
      <c r="G1581" s="8">
        <f>IF($A1581="",0,ROUND($E1581*$F1581,2))</f>
        <v/>
      </c>
    </row>
    <row r="1582">
      <c r="B1582" s="7" t="n"/>
      <c r="F1582" s="8" t="n"/>
      <c r="G1582" s="8">
        <f>IF($A1582="",0,ROUND($E1582*$F1582,2))</f>
        <v/>
      </c>
    </row>
    <row r="1583">
      <c r="B1583" s="7" t="n"/>
      <c r="F1583" s="8" t="n"/>
      <c r="G1583" s="8">
        <f>IF($A1583="",0,ROUND($E1583*$F1583,2))</f>
        <v/>
      </c>
    </row>
    <row r="1584">
      <c r="B1584" s="7" t="n"/>
      <c r="F1584" s="8" t="n"/>
      <c r="G1584" s="8">
        <f>IF($A1584="",0,ROUND($E1584*$F1584,2))</f>
        <v/>
      </c>
    </row>
    <row r="1585">
      <c r="B1585" s="7" t="n"/>
      <c r="F1585" s="8" t="n"/>
      <c r="G1585" s="8">
        <f>IF($A1585="",0,ROUND($E1585*$F1585,2))</f>
        <v/>
      </c>
    </row>
    <row r="1586">
      <c r="B1586" s="7" t="n"/>
      <c r="F1586" s="8" t="n"/>
      <c r="G1586" s="8">
        <f>IF($A1586="",0,ROUND($E1586*$F1586,2))</f>
        <v/>
      </c>
    </row>
    <row r="1587">
      <c r="B1587" s="7" t="n"/>
      <c r="F1587" s="8" t="n"/>
      <c r="G1587" s="8">
        <f>IF($A1587="",0,ROUND($E1587*$F1587,2))</f>
        <v/>
      </c>
    </row>
    <row r="1588">
      <c r="B1588" s="7" t="n"/>
      <c r="F1588" s="8" t="n"/>
      <c r="G1588" s="8">
        <f>IF($A1588="",0,ROUND($E1588*$F1588,2))</f>
        <v/>
      </c>
    </row>
    <row r="1589">
      <c r="B1589" s="7" t="n"/>
      <c r="F1589" s="8" t="n"/>
      <c r="G1589" s="8">
        <f>IF($A1589="",0,ROUND($E1589*$F1589,2))</f>
        <v/>
      </c>
    </row>
    <row r="1590">
      <c r="B1590" s="7" t="n"/>
      <c r="F1590" s="8" t="n"/>
      <c r="G1590" s="8">
        <f>IF($A1590="",0,ROUND($E1590*$F1590,2))</f>
        <v/>
      </c>
    </row>
    <row r="1591">
      <c r="B1591" s="7" t="n"/>
      <c r="F1591" s="8" t="n"/>
      <c r="G1591" s="8">
        <f>IF($A1591="",0,ROUND($E1591*$F1591,2))</f>
        <v/>
      </c>
    </row>
    <row r="1592">
      <c r="B1592" s="7" t="n"/>
      <c r="F1592" s="8" t="n"/>
      <c r="G1592" s="8">
        <f>IF($A1592="",0,ROUND($E1592*$F1592,2))</f>
        <v/>
      </c>
    </row>
    <row r="1593">
      <c r="B1593" s="7" t="n"/>
      <c r="F1593" s="8" t="n"/>
      <c r="G1593" s="8">
        <f>IF($A1593="",0,ROUND($E1593*$F1593,2))</f>
        <v/>
      </c>
    </row>
    <row r="1594">
      <c r="B1594" s="7" t="n"/>
      <c r="F1594" s="8" t="n"/>
      <c r="G1594" s="8">
        <f>IF($A1594="",0,ROUND($E1594*$F1594,2))</f>
        <v/>
      </c>
    </row>
    <row r="1595">
      <c r="B1595" s="7" t="n"/>
      <c r="F1595" s="8" t="n"/>
      <c r="G1595" s="8">
        <f>IF($A1595="",0,ROUND($E1595*$F1595,2))</f>
        <v/>
      </c>
    </row>
    <row r="1596">
      <c r="B1596" s="7" t="n"/>
      <c r="F1596" s="8" t="n"/>
      <c r="G1596" s="8">
        <f>IF($A1596="",0,ROUND($E1596*$F1596,2))</f>
        <v/>
      </c>
    </row>
    <row r="1597">
      <c r="B1597" s="7" t="n"/>
      <c r="F1597" s="8" t="n"/>
      <c r="G1597" s="8">
        <f>IF($A1597="",0,ROUND($E1597*$F1597,2))</f>
        <v/>
      </c>
    </row>
    <row r="1598">
      <c r="B1598" s="7" t="n"/>
      <c r="F1598" s="8" t="n"/>
      <c r="G1598" s="8">
        <f>IF($A1598="",0,ROUND($E1598*$F1598,2))</f>
        <v/>
      </c>
    </row>
    <row r="1599">
      <c r="B1599" s="7" t="n"/>
      <c r="F1599" s="8" t="n"/>
      <c r="G1599" s="8">
        <f>IF($A1599="",0,ROUND($E1599*$F1599,2))</f>
        <v/>
      </c>
    </row>
    <row r="1600">
      <c r="B1600" s="7" t="n"/>
      <c r="F1600" s="8" t="n"/>
      <c r="G1600" s="8">
        <f>IF($A1600="",0,ROUND($E1600*$F1600,2))</f>
        <v/>
      </c>
    </row>
    <row r="1601">
      <c r="B1601" s="7" t="n"/>
      <c r="F1601" s="8" t="n"/>
      <c r="G1601" s="8">
        <f>IF($A1601="",0,ROUND($E1601*$F1601,2))</f>
        <v/>
      </c>
    </row>
    <row r="1602">
      <c r="B1602" s="7" t="n"/>
      <c r="F1602" s="8" t="n"/>
      <c r="G1602" s="8">
        <f>IF($A1602="",0,ROUND($E1602*$F1602,2))</f>
        <v/>
      </c>
    </row>
    <row r="1603">
      <c r="B1603" s="7" t="n"/>
      <c r="F1603" s="8" t="n"/>
      <c r="G1603" s="8">
        <f>IF($A1603="",0,ROUND($E1603*$F1603,2))</f>
        <v/>
      </c>
    </row>
    <row r="1604">
      <c r="B1604" s="7" t="n"/>
      <c r="F1604" s="8" t="n"/>
      <c r="G1604" s="8">
        <f>IF($A1604="",0,ROUND($E1604*$F1604,2))</f>
        <v/>
      </c>
    </row>
    <row r="1605">
      <c r="B1605" s="7" t="n"/>
      <c r="F1605" s="8" t="n"/>
      <c r="G1605" s="8">
        <f>IF($A1605="",0,ROUND($E1605*$F1605,2))</f>
        <v/>
      </c>
    </row>
    <row r="1606">
      <c r="B1606" s="7" t="n"/>
      <c r="F1606" s="8" t="n"/>
      <c r="G1606" s="8">
        <f>IF($A1606="",0,ROUND($E1606*$F1606,2))</f>
        <v/>
      </c>
    </row>
    <row r="1607">
      <c r="B1607" s="7" t="n"/>
      <c r="F1607" s="8" t="n"/>
      <c r="G1607" s="8">
        <f>IF($A1607="",0,ROUND($E1607*$F1607,2))</f>
        <v/>
      </c>
    </row>
    <row r="1608">
      <c r="B1608" s="7" t="n"/>
      <c r="F1608" s="8" t="n"/>
      <c r="G1608" s="8">
        <f>IF($A1608="",0,ROUND($E1608*$F1608,2))</f>
        <v/>
      </c>
    </row>
    <row r="1609">
      <c r="B1609" s="7" t="n"/>
      <c r="F1609" s="8" t="n"/>
      <c r="G1609" s="8">
        <f>IF($A1609="",0,ROUND($E1609*$F1609,2))</f>
        <v/>
      </c>
    </row>
    <row r="1610">
      <c r="B1610" s="7" t="n"/>
      <c r="F1610" s="8" t="n"/>
      <c r="G1610" s="8">
        <f>IF($A1610="",0,ROUND($E1610*$F1610,2))</f>
        <v/>
      </c>
    </row>
    <row r="1611">
      <c r="B1611" s="7" t="n"/>
      <c r="F1611" s="8" t="n"/>
      <c r="G1611" s="8">
        <f>IF($A1611="",0,ROUND($E1611*$F1611,2))</f>
        <v/>
      </c>
    </row>
    <row r="1612">
      <c r="B1612" s="7" t="n"/>
      <c r="F1612" s="8" t="n"/>
      <c r="G1612" s="8">
        <f>IF($A1612="",0,ROUND($E1612*$F1612,2))</f>
        <v/>
      </c>
    </row>
    <row r="1613">
      <c r="B1613" s="7" t="n"/>
      <c r="F1613" s="8" t="n"/>
      <c r="G1613" s="8">
        <f>IF($A1613="",0,ROUND($E1613*$F1613,2))</f>
        <v/>
      </c>
    </row>
    <row r="1614">
      <c r="B1614" s="7" t="n"/>
      <c r="F1614" s="8" t="n"/>
      <c r="G1614" s="8">
        <f>IF($A1614="",0,ROUND($E1614*$F1614,2))</f>
        <v/>
      </c>
    </row>
    <row r="1615">
      <c r="B1615" s="7" t="n"/>
      <c r="F1615" s="8" t="n"/>
      <c r="G1615" s="8">
        <f>IF($A1615="",0,ROUND($E1615*$F1615,2))</f>
        <v/>
      </c>
    </row>
    <row r="1616">
      <c r="B1616" s="7" t="n"/>
      <c r="F1616" s="8" t="n"/>
      <c r="G1616" s="8">
        <f>IF($A1616="",0,ROUND($E1616*$F1616,2))</f>
        <v/>
      </c>
    </row>
    <row r="1617">
      <c r="B1617" s="7" t="n"/>
      <c r="F1617" s="8" t="n"/>
      <c r="G1617" s="8">
        <f>IF($A1617="",0,ROUND($E1617*$F1617,2))</f>
        <v/>
      </c>
    </row>
    <row r="1618">
      <c r="B1618" s="7" t="n"/>
      <c r="F1618" s="8" t="n"/>
      <c r="G1618" s="8">
        <f>IF($A1618="",0,ROUND($E1618*$F1618,2))</f>
        <v/>
      </c>
    </row>
    <row r="1619">
      <c r="B1619" s="7" t="n"/>
      <c r="F1619" s="8" t="n"/>
      <c r="G1619" s="8">
        <f>IF($A1619="",0,ROUND($E1619*$F1619,2))</f>
        <v/>
      </c>
    </row>
    <row r="1620">
      <c r="B1620" s="7" t="n"/>
      <c r="F1620" s="8" t="n"/>
      <c r="G1620" s="8">
        <f>IF($A1620="",0,ROUND($E1620*$F1620,2))</f>
        <v/>
      </c>
    </row>
    <row r="1621">
      <c r="B1621" s="7" t="n"/>
      <c r="F1621" s="8" t="n"/>
      <c r="G1621" s="8">
        <f>IF($A1621="",0,ROUND($E1621*$F1621,2))</f>
        <v/>
      </c>
    </row>
    <row r="1622">
      <c r="B1622" s="7" t="n"/>
      <c r="F1622" s="8" t="n"/>
      <c r="G1622" s="8">
        <f>IF($A1622="",0,ROUND($E1622*$F1622,2))</f>
        <v/>
      </c>
    </row>
    <row r="1623">
      <c r="B1623" s="7" t="n"/>
      <c r="F1623" s="8" t="n"/>
      <c r="G1623" s="8">
        <f>IF($A1623="",0,ROUND($E1623*$F1623,2))</f>
        <v/>
      </c>
    </row>
    <row r="1624">
      <c r="B1624" s="7" t="n"/>
      <c r="F1624" s="8" t="n"/>
      <c r="G1624" s="8">
        <f>IF($A1624="",0,ROUND($E1624*$F1624,2))</f>
        <v/>
      </c>
    </row>
    <row r="1625">
      <c r="B1625" s="7" t="n"/>
      <c r="F1625" s="8" t="n"/>
      <c r="G1625" s="8">
        <f>IF($A1625="",0,ROUND($E1625*$F1625,2))</f>
        <v/>
      </c>
    </row>
    <row r="1626">
      <c r="B1626" s="7" t="n"/>
      <c r="F1626" s="8" t="n"/>
      <c r="G1626" s="8">
        <f>IF($A1626="",0,ROUND($E1626*$F1626,2))</f>
        <v/>
      </c>
    </row>
    <row r="1627">
      <c r="B1627" s="7" t="n"/>
      <c r="F1627" s="8" t="n"/>
      <c r="G1627" s="8">
        <f>IF($A1627="",0,ROUND($E1627*$F1627,2))</f>
        <v/>
      </c>
    </row>
    <row r="1628">
      <c r="B1628" s="7" t="n"/>
      <c r="F1628" s="8" t="n"/>
      <c r="G1628" s="8">
        <f>IF($A1628="",0,ROUND($E1628*$F1628,2))</f>
        <v/>
      </c>
    </row>
    <row r="1629">
      <c r="B1629" s="7" t="n"/>
      <c r="F1629" s="8" t="n"/>
      <c r="G1629" s="8">
        <f>IF($A1629="",0,ROUND($E1629*$F1629,2))</f>
        <v/>
      </c>
    </row>
    <row r="1630">
      <c r="B1630" s="7" t="n"/>
      <c r="F1630" s="8" t="n"/>
      <c r="G1630" s="8">
        <f>IF($A1630="",0,ROUND($E1630*$F1630,2))</f>
        <v/>
      </c>
    </row>
    <row r="1631">
      <c r="B1631" s="7" t="n"/>
      <c r="F1631" s="8" t="n"/>
      <c r="G1631" s="8">
        <f>IF($A1631="",0,ROUND($E1631*$F1631,2))</f>
        <v/>
      </c>
    </row>
    <row r="1632">
      <c r="B1632" s="7" t="n"/>
      <c r="F1632" s="8" t="n"/>
      <c r="G1632" s="8">
        <f>IF($A1632="",0,ROUND($E1632*$F1632,2))</f>
        <v/>
      </c>
    </row>
    <row r="1633">
      <c r="B1633" s="7" t="n"/>
      <c r="F1633" s="8" t="n"/>
      <c r="G1633" s="8">
        <f>IF($A1633="",0,ROUND($E1633*$F1633,2))</f>
        <v/>
      </c>
    </row>
    <row r="1634">
      <c r="B1634" s="7" t="n"/>
      <c r="F1634" s="8" t="n"/>
      <c r="G1634" s="8">
        <f>IF($A1634="",0,ROUND($E1634*$F1634,2))</f>
        <v/>
      </c>
    </row>
    <row r="1635">
      <c r="B1635" s="7" t="n"/>
      <c r="F1635" s="8" t="n"/>
      <c r="G1635" s="8">
        <f>IF($A1635="",0,ROUND($E1635*$F1635,2))</f>
        <v/>
      </c>
    </row>
    <row r="1636">
      <c r="B1636" s="7" t="n"/>
      <c r="F1636" s="8" t="n"/>
      <c r="G1636" s="8">
        <f>IF($A1636="",0,ROUND($E1636*$F1636,2))</f>
        <v/>
      </c>
    </row>
    <row r="1637">
      <c r="B1637" s="7" t="n"/>
      <c r="F1637" s="8" t="n"/>
      <c r="G1637" s="8">
        <f>IF($A1637="",0,ROUND($E1637*$F1637,2))</f>
        <v/>
      </c>
    </row>
    <row r="1638">
      <c r="B1638" s="7" t="n"/>
      <c r="F1638" s="8" t="n"/>
      <c r="G1638" s="8">
        <f>IF($A1638="",0,ROUND($E1638*$F1638,2))</f>
        <v/>
      </c>
    </row>
    <row r="1639">
      <c r="B1639" s="7" t="n"/>
      <c r="F1639" s="8" t="n"/>
      <c r="G1639" s="8">
        <f>IF($A1639="",0,ROUND($E1639*$F1639,2))</f>
        <v/>
      </c>
    </row>
    <row r="1640">
      <c r="B1640" s="7" t="n"/>
      <c r="F1640" s="8" t="n"/>
      <c r="G1640" s="8">
        <f>IF($A1640="",0,ROUND($E1640*$F1640,2))</f>
        <v/>
      </c>
    </row>
    <row r="1641">
      <c r="B1641" s="7" t="n"/>
      <c r="F1641" s="8" t="n"/>
      <c r="G1641" s="8">
        <f>IF($A1641="",0,ROUND($E1641*$F1641,2))</f>
        <v/>
      </c>
    </row>
    <row r="1642">
      <c r="B1642" s="7" t="n"/>
      <c r="F1642" s="8" t="n"/>
      <c r="G1642" s="8">
        <f>IF($A1642="",0,ROUND($E1642*$F1642,2))</f>
        <v/>
      </c>
    </row>
    <row r="1643">
      <c r="B1643" s="7" t="n"/>
      <c r="F1643" s="8" t="n"/>
      <c r="G1643" s="8">
        <f>IF($A1643="",0,ROUND($E1643*$F1643,2))</f>
        <v/>
      </c>
    </row>
    <row r="1644">
      <c r="B1644" s="7" t="n"/>
      <c r="F1644" s="8" t="n"/>
      <c r="G1644" s="8">
        <f>IF($A1644="",0,ROUND($E1644*$F1644,2))</f>
        <v/>
      </c>
    </row>
    <row r="1645">
      <c r="B1645" s="7" t="n"/>
      <c r="F1645" s="8" t="n"/>
      <c r="G1645" s="8">
        <f>IF($A1645="",0,ROUND($E1645*$F1645,2))</f>
        <v/>
      </c>
    </row>
    <row r="1646">
      <c r="B1646" s="7" t="n"/>
      <c r="F1646" s="8" t="n"/>
      <c r="G1646" s="8">
        <f>IF($A1646="",0,ROUND($E1646*$F1646,2))</f>
        <v/>
      </c>
    </row>
    <row r="1647">
      <c r="B1647" s="7" t="n"/>
      <c r="F1647" s="8" t="n"/>
      <c r="G1647" s="8">
        <f>IF($A1647="",0,ROUND($E1647*$F1647,2))</f>
        <v/>
      </c>
    </row>
    <row r="1648">
      <c r="B1648" s="7" t="n"/>
      <c r="F1648" s="8" t="n"/>
      <c r="G1648" s="8">
        <f>IF($A1648="",0,ROUND($E1648*$F1648,2))</f>
        <v/>
      </c>
    </row>
    <row r="1649">
      <c r="B1649" s="7" t="n"/>
      <c r="F1649" s="8" t="n"/>
      <c r="G1649" s="8">
        <f>IF($A1649="",0,ROUND($E1649*$F1649,2))</f>
        <v/>
      </c>
    </row>
    <row r="1650">
      <c r="B1650" s="7" t="n"/>
      <c r="F1650" s="8" t="n"/>
      <c r="G1650" s="8">
        <f>IF($A1650="",0,ROUND($E1650*$F1650,2))</f>
        <v/>
      </c>
    </row>
    <row r="1651">
      <c r="B1651" s="7" t="n"/>
      <c r="F1651" s="8" t="n"/>
      <c r="G1651" s="8">
        <f>IF($A1651="",0,ROUND($E1651*$F1651,2))</f>
        <v/>
      </c>
    </row>
    <row r="1652">
      <c r="B1652" s="7" t="n"/>
      <c r="F1652" s="8" t="n"/>
      <c r="G1652" s="8">
        <f>IF($A1652="",0,ROUND($E1652*$F1652,2))</f>
        <v/>
      </c>
    </row>
    <row r="1653">
      <c r="B1653" s="7" t="n"/>
      <c r="F1653" s="8" t="n"/>
      <c r="G1653" s="8">
        <f>IF($A1653="",0,ROUND($E1653*$F1653,2))</f>
        <v/>
      </c>
    </row>
    <row r="1654">
      <c r="B1654" s="7" t="n"/>
      <c r="F1654" s="8" t="n"/>
      <c r="G1654" s="8">
        <f>IF($A1654="",0,ROUND($E1654*$F1654,2))</f>
        <v/>
      </c>
    </row>
    <row r="1655">
      <c r="B1655" s="7" t="n"/>
      <c r="F1655" s="8" t="n"/>
      <c r="G1655" s="8">
        <f>IF($A1655="",0,ROUND($E1655*$F1655,2))</f>
        <v/>
      </c>
    </row>
    <row r="1656">
      <c r="B1656" s="7" t="n"/>
      <c r="F1656" s="8" t="n"/>
      <c r="G1656" s="8">
        <f>IF($A1656="",0,ROUND($E1656*$F1656,2))</f>
        <v/>
      </c>
    </row>
    <row r="1657">
      <c r="B1657" s="7" t="n"/>
      <c r="F1657" s="8" t="n"/>
      <c r="G1657" s="8">
        <f>IF($A1657="",0,ROUND($E1657*$F1657,2))</f>
        <v/>
      </c>
    </row>
    <row r="1658">
      <c r="B1658" s="7" t="n"/>
      <c r="F1658" s="8" t="n"/>
      <c r="G1658" s="8">
        <f>IF($A1658="",0,ROUND($E1658*$F1658,2))</f>
        <v/>
      </c>
    </row>
    <row r="1659">
      <c r="B1659" s="7" t="n"/>
      <c r="F1659" s="8" t="n"/>
      <c r="G1659" s="8">
        <f>IF($A1659="",0,ROUND($E1659*$F1659,2))</f>
        <v/>
      </c>
    </row>
    <row r="1660">
      <c r="B1660" s="7" t="n"/>
      <c r="F1660" s="8" t="n"/>
      <c r="G1660" s="8">
        <f>IF($A1660="",0,ROUND($E1660*$F1660,2))</f>
        <v/>
      </c>
    </row>
    <row r="1661">
      <c r="B1661" s="7" t="n"/>
      <c r="F1661" s="8" t="n"/>
      <c r="G1661" s="8">
        <f>IF($A1661="",0,ROUND($E1661*$F1661,2))</f>
        <v/>
      </c>
    </row>
    <row r="1662">
      <c r="B1662" s="7" t="n"/>
      <c r="F1662" s="8" t="n"/>
      <c r="G1662" s="8">
        <f>IF($A1662="",0,ROUND($E1662*$F1662,2))</f>
        <v/>
      </c>
    </row>
    <row r="1663">
      <c r="B1663" s="7" t="n"/>
      <c r="F1663" s="8" t="n"/>
      <c r="G1663" s="8">
        <f>IF($A1663="",0,ROUND($E1663*$F1663,2))</f>
        <v/>
      </c>
    </row>
    <row r="1664">
      <c r="B1664" s="7" t="n"/>
      <c r="F1664" s="8" t="n"/>
      <c r="G1664" s="8">
        <f>IF($A1664="",0,ROUND($E1664*$F1664,2))</f>
        <v/>
      </c>
    </row>
    <row r="1665">
      <c r="B1665" s="7" t="n"/>
      <c r="F1665" s="8" t="n"/>
      <c r="G1665" s="8">
        <f>IF($A1665="",0,ROUND($E1665*$F1665,2))</f>
        <v/>
      </c>
    </row>
    <row r="1666">
      <c r="B1666" s="7" t="n"/>
      <c r="F1666" s="8" t="n"/>
      <c r="G1666" s="8">
        <f>IF($A1666="",0,ROUND($E1666*$F1666,2))</f>
        <v/>
      </c>
    </row>
    <row r="1667">
      <c r="B1667" s="7" t="n"/>
      <c r="F1667" s="8" t="n"/>
      <c r="G1667" s="8">
        <f>IF($A1667="",0,ROUND($E1667*$F1667,2))</f>
        <v/>
      </c>
    </row>
    <row r="1668">
      <c r="B1668" s="7" t="n"/>
      <c r="F1668" s="8" t="n"/>
      <c r="G1668" s="8">
        <f>IF($A1668="",0,ROUND($E1668*$F1668,2))</f>
        <v/>
      </c>
    </row>
    <row r="1669">
      <c r="B1669" s="7" t="n"/>
      <c r="F1669" s="8" t="n"/>
      <c r="G1669" s="8">
        <f>IF($A1669="",0,ROUND($E1669*$F1669,2))</f>
        <v/>
      </c>
    </row>
    <row r="1670">
      <c r="B1670" s="7" t="n"/>
      <c r="F1670" s="8" t="n"/>
      <c r="G1670" s="8">
        <f>IF($A1670="",0,ROUND($E1670*$F1670,2))</f>
        <v/>
      </c>
    </row>
    <row r="1671">
      <c r="B1671" s="7" t="n"/>
      <c r="F1671" s="8" t="n"/>
      <c r="G1671" s="8">
        <f>IF($A1671="",0,ROUND($E1671*$F1671,2))</f>
        <v/>
      </c>
    </row>
    <row r="1672">
      <c r="B1672" s="7" t="n"/>
      <c r="F1672" s="8" t="n"/>
      <c r="G1672" s="8">
        <f>IF($A1672="",0,ROUND($E1672*$F1672,2))</f>
        <v/>
      </c>
    </row>
    <row r="1673">
      <c r="B1673" s="7" t="n"/>
      <c r="F1673" s="8" t="n"/>
      <c r="G1673" s="8">
        <f>IF($A1673="",0,ROUND($E1673*$F1673,2))</f>
        <v/>
      </c>
    </row>
    <row r="1674">
      <c r="B1674" s="7" t="n"/>
      <c r="F1674" s="8" t="n"/>
      <c r="G1674" s="8">
        <f>IF($A1674="",0,ROUND($E1674*$F1674,2))</f>
        <v/>
      </c>
    </row>
    <row r="1675">
      <c r="B1675" s="7" t="n"/>
      <c r="F1675" s="8" t="n"/>
      <c r="G1675" s="8">
        <f>IF($A1675="",0,ROUND($E1675*$F1675,2))</f>
        <v/>
      </c>
    </row>
    <row r="1676">
      <c r="B1676" s="7" t="n"/>
      <c r="F1676" s="8" t="n"/>
      <c r="G1676" s="8">
        <f>IF($A1676="",0,ROUND($E1676*$F1676,2))</f>
        <v/>
      </c>
    </row>
    <row r="1677">
      <c r="B1677" s="7" t="n"/>
      <c r="F1677" s="8" t="n"/>
      <c r="G1677" s="8">
        <f>IF($A1677="",0,ROUND($E1677*$F1677,2))</f>
        <v/>
      </c>
    </row>
    <row r="1678">
      <c r="B1678" s="7" t="n"/>
      <c r="F1678" s="8" t="n"/>
      <c r="G1678" s="8">
        <f>IF($A1678="",0,ROUND($E1678*$F1678,2))</f>
        <v/>
      </c>
    </row>
    <row r="1679">
      <c r="B1679" s="7" t="n"/>
      <c r="F1679" s="8" t="n"/>
      <c r="G1679" s="8">
        <f>IF($A1679="",0,ROUND($E1679*$F1679,2))</f>
        <v/>
      </c>
    </row>
    <row r="1680">
      <c r="B1680" s="7" t="n"/>
      <c r="F1680" s="8" t="n"/>
      <c r="G1680" s="8">
        <f>IF($A1680="",0,ROUND($E1680*$F1680,2))</f>
        <v/>
      </c>
    </row>
    <row r="1681">
      <c r="B1681" s="7" t="n"/>
      <c r="F1681" s="8" t="n"/>
      <c r="G1681" s="8">
        <f>IF($A1681="",0,ROUND($E1681*$F1681,2))</f>
        <v/>
      </c>
    </row>
    <row r="1682">
      <c r="B1682" s="7" t="n"/>
      <c r="F1682" s="8" t="n"/>
      <c r="G1682" s="8">
        <f>IF($A1682="",0,ROUND($E1682*$F1682,2))</f>
        <v/>
      </c>
    </row>
    <row r="1683">
      <c r="B1683" s="7" t="n"/>
      <c r="F1683" s="8" t="n"/>
      <c r="G1683" s="8">
        <f>IF($A1683="",0,ROUND($E1683*$F1683,2))</f>
        <v/>
      </c>
    </row>
    <row r="1684">
      <c r="B1684" s="7" t="n"/>
      <c r="F1684" s="8" t="n"/>
      <c r="G1684" s="8">
        <f>IF($A1684="",0,ROUND($E1684*$F1684,2))</f>
        <v/>
      </c>
    </row>
    <row r="1685">
      <c r="B1685" s="7" t="n"/>
      <c r="F1685" s="8" t="n"/>
      <c r="G1685" s="8">
        <f>IF($A1685="",0,ROUND($E1685*$F1685,2))</f>
        <v/>
      </c>
    </row>
    <row r="1686">
      <c r="B1686" s="7" t="n"/>
      <c r="F1686" s="8" t="n"/>
      <c r="G1686" s="8">
        <f>IF($A1686="",0,ROUND($E1686*$F1686,2))</f>
        <v/>
      </c>
    </row>
    <row r="1687">
      <c r="B1687" s="7" t="n"/>
      <c r="F1687" s="8" t="n"/>
      <c r="G1687" s="8">
        <f>IF($A1687="",0,ROUND($E1687*$F1687,2))</f>
        <v/>
      </c>
    </row>
    <row r="1688">
      <c r="B1688" s="7" t="n"/>
      <c r="F1688" s="8" t="n"/>
      <c r="G1688" s="8">
        <f>IF($A1688="",0,ROUND($E1688*$F1688,2))</f>
        <v/>
      </c>
    </row>
    <row r="1689">
      <c r="B1689" s="7" t="n"/>
      <c r="F1689" s="8" t="n"/>
      <c r="G1689" s="8">
        <f>IF($A1689="",0,ROUND($E1689*$F1689,2))</f>
        <v/>
      </c>
    </row>
    <row r="1690">
      <c r="B1690" s="7" t="n"/>
      <c r="F1690" s="8" t="n"/>
      <c r="G1690" s="8">
        <f>IF($A1690="",0,ROUND($E1690*$F1690,2))</f>
        <v/>
      </c>
    </row>
    <row r="1691">
      <c r="B1691" s="7" t="n"/>
      <c r="F1691" s="8" t="n"/>
      <c r="G1691" s="8">
        <f>IF($A1691="",0,ROUND($E1691*$F1691,2))</f>
        <v/>
      </c>
    </row>
    <row r="1692">
      <c r="B1692" s="7" t="n"/>
      <c r="F1692" s="8" t="n"/>
      <c r="G1692" s="8">
        <f>IF($A1692="",0,ROUND($E1692*$F1692,2))</f>
        <v/>
      </c>
    </row>
    <row r="1693">
      <c r="B1693" s="7" t="n"/>
      <c r="F1693" s="8" t="n"/>
      <c r="G1693" s="8">
        <f>IF($A1693="",0,ROUND($E1693*$F1693,2))</f>
        <v/>
      </c>
    </row>
    <row r="1694">
      <c r="B1694" s="7" t="n"/>
      <c r="F1694" s="8" t="n"/>
      <c r="G1694" s="8">
        <f>IF($A1694="",0,ROUND($E1694*$F1694,2))</f>
        <v/>
      </c>
    </row>
    <row r="1695">
      <c r="B1695" s="7" t="n"/>
      <c r="F1695" s="8" t="n"/>
      <c r="G1695" s="8">
        <f>IF($A1695="",0,ROUND($E1695*$F1695,2))</f>
        <v/>
      </c>
    </row>
    <row r="1696">
      <c r="B1696" s="7" t="n"/>
      <c r="F1696" s="8" t="n"/>
      <c r="G1696" s="8">
        <f>IF($A1696="",0,ROUND($E1696*$F1696,2))</f>
        <v/>
      </c>
    </row>
    <row r="1697">
      <c r="B1697" s="7" t="n"/>
      <c r="F1697" s="8" t="n"/>
      <c r="G1697" s="8">
        <f>IF($A1697="",0,ROUND($E1697*$F1697,2))</f>
        <v/>
      </c>
    </row>
    <row r="1698">
      <c r="B1698" s="7" t="n"/>
      <c r="F1698" s="8" t="n"/>
      <c r="G1698" s="8">
        <f>IF($A1698="",0,ROUND($E1698*$F1698,2))</f>
        <v/>
      </c>
    </row>
    <row r="1699">
      <c r="B1699" s="7" t="n"/>
      <c r="F1699" s="8" t="n"/>
      <c r="G1699" s="8">
        <f>IF($A1699="",0,ROUND($E1699*$F1699,2))</f>
        <v/>
      </c>
    </row>
    <row r="1700">
      <c r="B1700" s="7" t="n"/>
      <c r="F1700" s="8" t="n"/>
      <c r="G1700" s="8">
        <f>IF($A1700="",0,ROUND($E1700*$F1700,2))</f>
        <v/>
      </c>
    </row>
    <row r="1701">
      <c r="B1701" s="7" t="n"/>
      <c r="F1701" s="8" t="n"/>
      <c r="G1701" s="8">
        <f>IF($A1701="",0,ROUND($E1701*$F1701,2))</f>
        <v/>
      </c>
    </row>
    <row r="1702">
      <c r="B1702" s="7" t="n"/>
      <c r="F1702" s="8" t="n"/>
      <c r="G1702" s="8">
        <f>IF($A1702="",0,ROUND($E1702*$F1702,2))</f>
        <v/>
      </c>
    </row>
    <row r="1703">
      <c r="B1703" s="7" t="n"/>
      <c r="F1703" s="8" t="n"/>
      <c r="G1703" s="8">
        <f>IF($A1703="",0,ROUND($E1703*$F1703,2))</f>
        <v/>
      </c>
    </row>
    <row r="1704">
      <c r="B1704" s="7" t="n"/>
      <c r="F1704" s="8" t="n"/>
      <c r="G1704" s="8">
        <f>IF($A1704="",0,ROUND($E1704*$F1704,2))</f>
        <v/>
      </c>
    </row>
    <row r="1705">
      <c r="B1705" s="7" t="n"/>
      <c r="F1705" s="8" t="n"/>
      <c r="G1705" s="8">
        <f>IF($A1705="",0,ROUND($E1705*$F1705,2))</f>
        <v/>
      </c>
    </row>
    <row r="1706">
      <c r="B1706" s="7" t="n"/>
      <c r="F1706" s="8" t="n"/>
      <c r="G1706" s="8">
        <f>IF($A1706="",0,ROUND($E1706*$F1706,2))</f>
        <v/>
      </c>
    </row>
    <row r="1707">
      <c r="B1707" s="7" t="n"/>
      <c r="F1707" s="8" t="n"/>
      <c r="G1707" s="8">
        <f>IF($A1707="",0,ROUND($E1707*$F1707,2))</f>
        <v/>
      </c>
    </row>
    <row r="1708">
      <c r="B1708" s="7" t="n"/>
      <c r="F1708" s="8" t="n"/>
      <c r="G1708" s="8">
        <f>IF($A1708="",0,ROUND($E1708*$F1708,2))</f>
        <v/>
      </c>
    </row>
    <row r="1709">
      <c r="B1709" s="7" t="n"/>
      <c r="F1709" s="8" t="n"/>
      <c r="G1709" s="8">
        <f>IF($A1709="",0,ROUND($E1709*$F1709,2))</f>
        <v/>
      </c>
    </row>
    <row r="1710">
      <c r="B1710" s="7" t="n"/>
      <c r="F1710" s="8" t="n"/>
      <c r="G1710" s="8">
        <f>IF($A1710="",0,ROUND($E1710*$F1710,2))</f>
        <v/>
      </c>
    </row>
    <row r="1711">
      <c r="B1711" s="7" t="n"/>
      <c r="F1711" s="8" t="n"/>
      <c r="G1711" s="8">
        <f>IF($A1711="",0,ROUND($E1711*$F1711,2))</f>
        <v/>
      </c>
    </row>
    <row r="1712">
      <c r="B1712" s="7" t="n"/>
      <c r="F1712" s="8" t="n"/>
      <c r="G1712" s="8">
        <f>IF($A1712="",0,ROUND($E1712*$F1712,2))</f>
        <v/>
      </c>
    </row>
    <row r="1713">
      <c r="B1713" s="7" t="n"/>
      <c r="F1713" s="8" t="n"/>
      <c r="G1713" s="8">
        <f>IF($A1713="",0,ROUND($E1713*$F1713,2))</f>
        <v/>
      </c>
    </row>
    <row r="1714">
      <c r="B1714" s="7" t="n"/>
      <c r="F1714" s="8" t="n"/>
      <c r="G1714" s="8">
        <f>IF($A1714="",0,ROUND($E1714*$F1714,2))</f>
        <v/>
      </c>
    </row>
    <row r="1715">
      <c r="B1715" s="7" t="n"/>
      <c r="F1715" s="8" t="n"/>
      <c r="G1715" s="8">
        <f>IF($A1715="",0,ROUND($E1715*$F1715,2))</f>
        <v/>
      </c>
    </row>
    <row r="1716">
      <c r="B1716" s="7" t="n"/>
      <c r="F1716" s="8" t="n"/>
      <c r="G1716" s="8">
        <f>IF($A1716="",0,ROUND($E1716*$F1716,2))</f>
        <v/>
      </c>
    </row>
    <row r="1717">
      <c r="B1717" s="7" t="n"/>
      <c r="F1717" s="8" t="n"/>
      <c r="G1717" s="8">
        <f>IF($A1717="",0,ROUND($E1717*$F1717,2))</f>
        <v/>
      </c>
    </row>
    <row r="1718">
      <c r="B1718" s="7" t="n"/>
      <c r="F1718" s="8" t="n"/>
      <c r="G1718" s="8">
        <f>IF($A1718="",0,ROUND($E1718*$F1718,2))</f>
        <v/>
      </c>
    </row>
    <row r="1719">
      <c r="B1719" s="7" t="n"/>
      <c r="F1719" s="8" t="n"/>
      <c r="G1719" s="8">
        <f>IF($A1719="",0,ROUND($E1719*$F1719,2))</f>
        <v/>
      </c>
    </row>
    <row r="1720">
      <c r="B1720" s="7" t="n"/>
      <c r="F1720" s="8" t="n"/>
      <c r="G1720" s="8">
        <f>IF($A1720="",0,ROUND($E1720*$F1720,2))</f>
        <v/>
      </c>
    </row>
    <row r="1721">
      <c r="B1721" s="7" t="n"/>
      <c r="F1721" s="8" t="n"/>
      <c r="G1721" s="8">
        <f>IF($A1721="",0,ROUND($E1721*$F1721,2))</f>
        <v/>
      </c>
    </row>
    <row r="1722">
      <c r="B1722" s="7" t="n"/>
      <c r="F1722" s="8" t="n"/>
      <c r="G1722" s="8">
        <f>IF($A1722="",0,ROUND($E1722*$F1722,2))</f>
        <v/>
      </c>
    </row>
    <row r="1723">
      <c r="B1723" s="7" t="n"/>
      <c r="F1723" s="8" t="n"/>
      <c r="G1723" s="8">
        <f>IF($A1723="",0,ROUND($E1723*$F1723,2))</f>
        <v/>
      </c>
    </row>
    <row r="1724">
      <c r="B1724" s="7" t="n"/>
      <c r="F1724" s="8" t="n"/>
      <c r="G1724" s="8">
        <f>IF($A1724="",0,ROUND($E1724*$F1724,2))</f>
        <v/>
      </c>
    </row>
    <row r="1725">
      <c r="B1725" s="7" t="n"/>
      <c r="F1725" s="8" t="n"/>
      <c r="G1725" s="8">
        <f>IF($A1725="",0,ROUND($E1725*$F1725,2))</f>
        <v/>
      </c>
    </row>
    <row r="1726">
      <c r="B1726" s="7" t="n"/>
      <c r="F1726" s="8" t="n"/>
      <c r="G1726" s="8">
        <f>IF($A1726="",0,ROUND($E1726*$F1726,2))</f>
        <v/>
      </c>
    </row>
    <row r="1727">
      <c r="B1727" s="7" t="n"/>
      <c r="F1727" s="8" t="n"/>
      <c r="G1727" s="8">
        <f>IF($A1727="",0,ROUND($E1727*$F1727,2))</f>
        <v/>
      </c>
    </row>
    <row r="1728">
      <c r="B1728" s="7" t="n"/>
      <c r="F1728" s="8" t="n"/>
      <c r="G1728" s="8">
        <f>IF($A1728="",0,ROUND($E1728*$F1728,2))</f>
        <v/>
      </c>
    </row>
    <row r="1729">
      <c r="B1729" s="7" t="n"/>
      <c r="F1729" s="8" t="n"/>
      <c r="G1729" s="8">
        <f>IF($A1729="",0,ROUND($E1729*$F1729,2))</f>
        <v/>
      </c>
    </row>
    <row r="1730">
      <c r="B1730" s="7" t="n"/>
      <c r="F1730" s="8" t="n"/>
      <c r="G1730" s="8">
        <f>IF($A1730="",0,ROUND($E1730*$F1730,2))</f>
        <v/>
      </c>
    </row>
    <row r="1731">
      <c r="B1731" s="7" t="n"/>
      <c r="F1731" s="8" t="n"/>
      <c r="G1731" s="8">
        <f>IF($A1731="",0,ROUND($E1731*$F1731,2))</f>
        <v/>
      </c>
    </row>
    <row r="1732">
      <c r="B1732" s="7" t="n"/>
      <c r="F1732" s="8" t="n"/>
      <c r="G1732" s="8">
        <f>IF($A1732="",0,ROUND($E1732*$F1732,2))</f>
        <v/>
      </c>
    </row>
    <row r="1733">
      <c r="B1733" s="7" t="n"/>
      <c r="F1733" s="8" t="n"/>
      <c r="G1733" s="8">
        <f>IF($A1733="",0,ROUND($E1733*$F1733,2))</f>
        <v/>
      </c>
    </row>
    <row r="1734">
      <c r="B1734" s="7" t="n"/>
      <c r="F1734" s="8" t="n"/>
      <c r="G1734" s="8">
        <f>IF($A1734="",0,ROUND($E1734*$F1734,2))</f>
        <v/>
      </c>
    </row>
    <row r="1735">
      <c r="B1735" s="7" t="n"/>
      <c r="F1735" s="8" t="n"/>
      <c r="G1735" s="8">
        <f>IF($A1735="",0,ROUND($E1735*$F1735,2))</f>
        <v/>
      </c>
    </row>
    <row r="1736">
      <c r="B1736" s="7" t="n"/>
      <c r="F1736" s="8" t="n"/>
      <c r="G1736" s="8">
        <f>IF($A1736="",0,ROUND($E1736*$F1736,2))</f>
        <v/>
      </c>
    </row>
    <row r="1737">
      <c r="B1737" s="7" t="n"/>
      <c r="F1737" s="8" t="n"/>
      <c r="G1737" s="8">
        <f>IF($A1737="",0,ROUND($E1737*$F1737,2))</f>
        <v/>
      </c>
    </row>
    <row r="1738">
      <c r="B1738" s="7" t="n"/>
      <c r="F1738" s="8" t="n"/>
      <c r="G1738" s="8">
        <f>IF($A1738="",0,ROUND($E1738*$F1738,2))</f>
        <v/>
      </c>
    </row>
    <row r="1739">
      <c r="B1739" s="7" t="n"/>
      <c r="F1739" s="8" t="n"/>
      <c r="G1739" s="8">
        <f>IF($A1739="",0,ROUND($E1739*$F1739,2))</f>
        <v/>
      </c>
    </row>
    <row r="1740">
      <c r="B1740" s="7" t="n"/>
      <c r="F1740" s="8" t="n"/>
      <c r="G1740" s="8">
        <f>IF($A1740="",0,ROUND($E1740*$F1740,2))</f>
        <v/>
      </c>
    </row>
    <row r="1741">
      <c r="B1741" s="7" t="n"/>
      <c r="F1741" s="8" t="n"/>
      <c r="G1741" s="8">
        <f>IF($A1741="",0,ROUND($E1741*$F1741,2))</f>
        <v/>
      </c>
    </row>
    <row r="1742">
      <c r="B1742" s="7" t="n"/>
      <c r="F1742" s="8" t="n"/>
      <c r="G1742" s="8">
        <f>IF($A1742="",0,ROUND($E1742*$F1742,2))</f>
        <v/>
      </c>
    </row>
    <row r="1743">
      <c r="B1743" s="7" t="n"/>
      <c r="F1743" s="8" t="n"/>
      <c r="G1743" s="8">
        <f>IF($A1743="",0,ROUND($E1743*$F1743,2))</f>
        <v/>
      </c>
    </row>
    <row r="1744">
      <c r="B1744" s="7" t="n"/>
      <c r="F1744" s="8" t="n"/>
      <c r="G1744" s="8">
        <f>IF($A1744="",0,ROUND($E1744*$F1744,2))</f>
        <v/>
      </c>
    </row>
    <row r="1745">
      <c r="B1745" s="7" t="n"/>
      <c r="F1745" s="8" t="n"/>
      <c r="G1745" s="8">
        <f>IF($A1745="",0,ROUND($E1745*$F1745,2))</f>
        <v/>
      </c>
    </row>
    <row r="1746">
      <c r="B1746" s="7" t="n"/>
      <c r="F1746" s="8" t="n"/>
      <c r="G1746" s="8">
        <f>IF($A1746="",0,ROUND($E1746*$F1746,2))</f>
        <v/>
      </c>
    </row>
    <row r="1747">
      <c r="B1747" s="7" t="n"/>
      <c r="F1747" s="8" t="n"/>
      <c r="G1747" s="8">
        <f>IF($A1747="",0,ROUND($E1747*$F1747,2))</f>
        <v/>
      </c>
    </row>
    <row r="1748">
      <c r="B1748" s="7" t="n"/>
      <c r="F1748" s="8" t="n"/>
      <c r="G1748" s="8">
        <f>IF($A1748="",0,ROUND($E1748*$F1748,2))</f>
        <v/>
      </c>
    </row>
    <row r="1749">
      <c r="B1749" s="7" t="n"/>
      <c r="F1749" s="8" t="n"/>
      <c r="G1749" s="8">
        <f>IF($A1749="",0,ROUND($E1749*$F1749,2))</f>
        <v/>
      </c>
    </row>
    <row r="1750">
      <c r="B1750" s="7" t="n"/>
      <c r="F1750" s="8" t="n"/>
      <c r="G1750" s="8">
        <f>IF($A1750="",0,ROUND($E1750*$F1750,2))</f>
        <v/>
      </c>
    </row>
    <row r="1751">
      <c r="B1751" s="7" t="n"/>
      <c r="F1751" s="8" t="n"/>
      <c r="G1751" s="8">
        <f>IF($A1751="",0,ROUND($E1751*$F1751,2))</f>
        <v/>
      </c>
    </row>
    <row r="1752">
      <c r="B1752" s="7" t="n"/>
      <c r="F1752" s="8" t="n"/>
      <c r="G1752" s="8">
        <f>IF($A1752="",0,ROUND($E1752*$F1752,2))</f>
        <v/>
      </c>
    </row>
    <row r="1753">
      <c r="B1753" s="7" t="n"/>
      <c r="F1753" s="8" t="n"/>
      <c r="G1753" s="8">
        <f>IF($A1753="",0,ROUND($E1753*$F1753,2))</f>
        <v/>
      </c>
    </row>
    <row r="1754">
      <c r="B1754" s="7" t="n"/>
      <c r="F1754" s="8" t="n"/>
      <c r="G1754" s="8">
        <f>IF($A1754="",0,ROUND($E1754*$F1754,2))</f>
        <v/>
      </c>
    </row>
    <row r="1755">
      <c r="B1755" s="7" t="n"/>
      <c r="F1755" s="8" t="n"/>
      <c r="G1755" s="8">
        <f>IF($A1755="",0,ROUND($E1755*$F1755,2))</f>
        <v/>
      </c>
    </row>
    <row r="1756">
      <c r="B1756" s="7" t="n"/>
      <c r="F1756" s="8" t="n"/>
      <c r="G1756" s="8">
        <f>IF($A1756="",0,ROUND($E1756*$F1756,2))</f>
        <v/>
      </c>
    </row>
    <row r="1757">
      <c r="B1757" s="7" t="n"/>
      <c r="F1757" s="8" t="n"/>
      <c r="G1757" s="8">
        <f>IF($A1757="",0,ROUND($E1757*$F1757,2))</f>
        <v/>
      </c>
    </row>
    <row r="1758">
      <c r="B1758" s="7" t="n"/>
      <c r="F1758" s="8" t="n"/>
      <c r="G1758" s="8">
        <f>IF($A1758="",0,ROUND($E1758*$F1758,2))</f>
        <v/>
      </c>
    </row>
    <row r="1759">
      <c r="B1759" s="7" t="n"/>
      <c r="F1759" s="8" t="n"/>
      <c r="G1759" s="8">
        <f>IF($A1759="",0,ROUND($E1759*$F1759,2))</f>
        <v/>
      </c>
    </row>
    <row r="1760">
      <c r="B1760" s="7" t="n"/>
      <c r="F1760" s="8" t="n"/>
      <c r="G1760" s="8">
        <f>IF($A1760="",0,ROUND($E1760*$F1760,2))</f>
        <v/>
      </c>
    </row>
    <row r="1761">
      <c r="B1761" s="7" t="n"/>
      <c r="F1761" s="8" t="n"/>
      <c r="G1761" s="8">
        <f>IF($A1761="",0,ROUND($E1761*$F1761,2))</f>
        <v/>
      </c>
    </row>
    <row r="1762">
      <c r="B1762" s="7" t="n"/>
      <c r="F1762" s="8" t="n"/>
      <c r="G1762" s="8">
        <f>IF($A1762="",0,ROUND($E1762*$F1762,2))</f>
        <v/>
      </c>
    </row>
    <row r="1763">
      <c r="B1763" s="7" t="n"/>
      <c r="F1763" s="8" t="n"/>
      <c r="G1763" s="8">
        <f>IF($A1763="",0,ROUND($E1763*$F1763,2))</f>
        <v/>
      </c>
    </row>
    <row r="1764">
      <c r="B1764" s="7" t="n"/>
      <c r="F1764" s="8" t="n"/>
      <c r="G1764" s="8">
        <f>IF($A1764="",0,ROUND($E1764*$F1764,2))</f>
        <v/>
      </c>
    </row>
    <row r="1765">
      <c r="B1765" s="7" t="n"/>
      <c r="F1765" s="8" t="n"/>
      <c r="G1765" s="8">
        <f>IF($A1765="",0,ROUND($E1765*$F1765,2))</f>
        <v/>
      </c>
    </row>
    <row r="1766">
      <c r="B1766" s="7" t="n"/>
      <c r="F1766" s="8" t="n"/>
      <c r="G1766" s="8">
        <f>IF($A1766="",0,ROUND($E1766*$F1766,2))</f>
        <v/>
      </c>
    </row>
    <row r="1767">
      <c r="B1767" s="7" t="n"/>
      <c r="F1767" s="8" t="n"/>
      <c r="G1767" s="8">
        <f>IF($A1767="",0,ROUND($E1767*$F1767,2))</f>
        <v/>
      </c>
    </row>
    <row r="1768">
      <c r="B1768" s="7" t="n"/>
      <c r="F1768" s="8" t="n"/>
      <c r="G1768" s="8">
        <f>IF($A1768="",0,ROUND($E1768*$F1768,2))</f>
        <v/>
      </c>
    </row>
    <row r="1769">
      <c r="B1769" s="7" t="n"/>
      <c r="F1769" s="8" t="n"/>
      <c r="G1769" s="8">
        <f>IF($A1769="",0,ROUND($E1769*$F1769,2))</f>
        <v/>
      </c>
    </row>
    <row r="1770">
      <c r="B1770" s="7" t="n"/>
      <c r="F1770" s="8" t="n"/>
      <c r="G1770" s="8">
        <f>IF($A1770="",0,ROUND($E1770*$F1770,2))</f>
        <v/>
      </c>
    </row>
    <row r="1771">
      <c r="B1771" s="7" t="n"/>
      <c r="F1771" s="8" t="n"/>
      <c r="G1771" s="8">
        <f>IF($A1771="",0,ROUND($E1771*$F1771,2))</f>
        <v/>
      </c>
    </row>
    <row r="1772">
      <c r="B1772" s="7" t="n"/>
      <c r="F1772" s="8" t="n"/>
      <c r="G1772" s="8">
        <f>IF($A1772="",0,ROUND($E1772*$F1772,2))</f>
        <v/>
      </c>
    </row>
    <row r="1773">
      <c r="B1773" s="7" t="n"/>
      <c r="F1773" s="8" t="n"/>
      <c r="G1773" s="8">
        <f>IF($A1773="",0,ROUND($E1773*$F1773,2))</f>
        <v/>
      </c>
    </row>
    <row r="1774">
      <c r="B1774" s="7" t="n"/>
      <c r="F1774" s="8" t="n"/>
      <c r="G1774" s="8">
        <f>IF($A1774="",0,ROUND($E1774*$F1774,2))</f>
        <v/>
      </c>
    </row>
    <row r="1775">
      <c r="B1775" s="7" t="n"/>
      <c r="F1775" s="8" t="n"/>
      <c r="G1775" s="8">
        <f>IF($A1775="",0,ROUND($E1775*$F1775,2))</f>
        <v/>
      </c>
    </row>
    <row r="1776">
      <c r="B1776" s="7" t="n"/>
      <c r="F1776" s="8" t="n"/>
      <c r="G1776" s="8">
        <f>IF($A1776="",0,ROUND($E1776*$F1776,2))</f>
        <v/>
      </c>
    </row>
    <row r="1777">
      <c r="B1777" s="7" t="n"/>
      <c r="F1777" s="8" t="n"/>
      <c r="G1777" s="8">
        <f>IF($A1777="",0,ROUND($E1777*$F1777,2))</f>
        <v/>
      </c>
    </row>
    <row r="1778">
      <c r="B1778" s="7" t="n"/>
      <c r="F1778" s="8" t="n"/>
      <c r="G1778" s="8">
        <f>IF($A1778="",0,ROUND($E1778*$F1778,2))</f>
        <v/>
      </c>
    </row>
    <row r="1779">
      <c r="B1779" s="7" t="n"/>
      <c r="F1779" s="8" t="n"/>
      <c r="G1779" s="8">
        <f>IF($A1779="",0,ROUND($E1779*$F1779,2))</f>
        <v/>
      </c>
    </row>
    <row r="1780">
      <c r="B1780" s="7" t="n"/>
      <c r="F1780" s="8" t="n"/>
      <c r="G1780" s="8">
        <f>IF($A1780="",0,ROUND($E1780*$F1780,2))</f>
        <v/>
      </c>
    </row>
    <row r="1781">
      <c r="B1781" s="7" t="n"/>
      <c r="F1781" s="8" t="n"/>
      <c r="G1781" s="8">
        <f>IF($A1781="",0,ROUND($E1781*$F1781,2))</f>
        <v/>
      </c>
    </row>
    <row r="1782">
      <c r="B1782" s="7" t="n"/>
      <c r="F1782" s="8" t="n"/>
      <c r="G1782" s="8">
        <f>IF($A1782="",0,ROUND($E1782*$F1782,2))</f>
        <v/>
      </c>
    </row>
    <row r="1783">
      <c r="B1783" s="7" t="n"/>
      <c r="F1783" s="8" t="n"/>
      <c r="G1783" s="8">
        <f>IF($A1783="",0,ROUND($E1783*$F1783,2))</f>
        <v/>
      </c>
    </row>
    <row r="1784">
      <c r="B1784" s="7" t="n"/>
      <c r="F1784" s="8" t="n"/>
      <c r="G1784" s="8">
        <f>IF($A1784="",0,ROUND($E1784*$F1784,2))</f>
        <v/>
      </c>
    </row>
    <row r="1785">
      <c r="B1785" s="7" t="n"/>
      <c r="F1785" s="8" t="n"/>
      <c r="G1785" s="8">
        <f>IF($A1785="",0,ROUND($E1785*$F1785,2))</f>
        <v/>
      </c>
    </row>
    <row r="1786">
      <c r="B1786" s="7" t="n"/>
      <c r="F1786" s="8" t="n"/>
      <c r="G1786" s="8">
        <f>IF($A1786="",0,ROUND($E1786*$F1786,2))</f>
        <v/>
      </c>
    </row>
    <row r="1787">
      <c r="B1787" s="7" t="n"/>
      <c r="F1787" s="8" t="n"/>
      <c r="G1787" s="8">
        <f>IF($A1787="",0,ROUND($E1787*$F1787,2))</f>
        <v/>
      </c>
    </row>
    <row r="1788">
      <c r="B1788" s="7" t="n"/>
      <c r="F1788" s="8" t="n"/>
      <c r="G1788" s="8">
        <f>IF($A1788="",0,ROUND($E1788*$F1788,2))</f>
        <v/>
      </c>
    </row>
    <row r="1789">
      <c r="B1789" s="7" t="n"/>
      <c r="F1789" s="8" t="n"/>
      <c r="G1789" s="8">
        <f>IF($A1789="",0,ROUND($E1789*$F1789,2))</f>
        <v/>
      </c>
    </row>
    <row r="1790">
      <c r="B1790" s="7" t="n"/>
      <c r="F1790" s="8" t="n"/>
      <c r="G1790" s="8">
        <f>IF($A1790="",0,ROUND($E1790*$F1790,2))</f>
        <v/>
      </c>
    </row>
    <row r="1791">
      <c r="B1791" s="7" t="n"/>
      <c r="F1791" s="8" t="n"/>
      <c r="G1791" s="8">
        <f>IF($A1791="",0,ROUND($E1791*$F1791,2))</f>
        <v/>
      </c>
    </row>
    <row r="1792">
      <c r="B1792" s="7" t="n"/>
      <c r="F1792" s="8" t="n"/>
      <c r="G1792" s="8">
        <f>IF($A1792="",0,ROUND($E1792*$F1792,2))</f>
        <v/>
      </c>
    </row>
    <row r="1793">
      <c r="B1793" s="7" t="n"/>
      <c r="F1793" s="8" t="n"/>
      <c r="G1793" s="8">
        <f>IF($A1793="",0,ROUND($E1793*$F1793,2))</f>
        <v/>
      </c>
    </row>
    <row r="1794">
      <c r="B1794" s="7" t="n"/>
      <c r="F1794" s="8" t="n"/>
      <c r="G1794" s="8">
        <f>IF($A1794="",0,ROUND($E1794*$F1794,2))</f>
        <v/>
      </c>
    </row>
    <row r="1795">
      <c r="B1795" s="7" t="n"/>
      <c r="F1795" s="8" t="n"/>
      <c r="G1795" s="8">
        <f>IF($A1795="",0,ROUND($E1795*$F1795,2))</f>
        <v/>
      </c>
    </row>
    <row r="1796">
      <c r="B1796" s="7" t="n"/>
      <c r="F1796" s="8" t="n"/>
      <c r="G1796" s="8">
        <f>IF($A1796="",0,ROUND($E1796*$F1796,2))</f>
        <v/>
      </c>
    </row>
    <row r="1797">
      <c r="B1797" s="7" t="n"/>
      <c r="F1797" s="8" t="n"/>
      <c r="G1797" s="8">
        <f>IF($A1797="",0,ROUND($E1797*$F1797,2))</f>
        <v/>
      </c>
    </row>
    <row r="1798">
      <c r="B1798" s="7" t="n"/>
      <c r="F1798" s="8" t="n"/>
      <c r="G1798" s="8">
        <f>IF($A1798="",0,ROUND($E1798*$F1798,2))</f>
        <v/>
      </c>
    </row>
    <row r="1799">
      <c r="B1799" s="7" t="n"/>
      <c r="F1799" s="8" t="n"/>
      <c r="G1799" s="8">
        <f>IF($A1799="",0,ROUND($E1799*$F1799,2))</f>
        <v/>
      </c>
    </row>
    <row r="1800">
      <c r="B1800" s="7" t="n"/>
      <c r="F1800" s="8" t="n"/>
      <c r="G1800" s="8">
        <f>IF($A1800="",0,ROUND($E1800*$F1800,2))</f>
        <v/>
      </c>
    </row>
    <row r="1801">
      <c r="B1801" s="7" t="n"/>
      <c r="F1801" s="8" t="n"/>
      <c r="G1801" s="8">
        <f>IF($A1801="",0,ROUND($E1801*$F1801,2))</f>
        <v/>
      </c>
    </row>
    <row r="1802">
      <c r="B1802" s="7" t="n"/>
      <c r="F1802" s="8" t="n"/>
      <c r="G1802" s="8">
        <f>IF($A1802="",0,ROUND($E1802*$F1802,2))</f>
        <v/>
      </c>
    </row>
    <row r="1803">
      <c r="B1803" s="7" t="n"/>
      <c r="F1803" s="8" t="n"/>
      <c r="G1803" s="8">
        <f>IF($A1803="",0,ROUND($E1803*$F1803,2))</f>
        <v/>
      </c>
    </row>
    <row r="1804">
      <c r="B1804" s="7" t="n"/>
      <c r="F1804" s="8" t="n"/>
      <c r="G1804" s="8">
        <f>IF($A1804="",0,ROUND($E1804*$F1804,2))</f>
        <v/>
      </c>
    </row>
    <row r="1805">
      <c r="B1805" s="7" t="n"/>
      <c r="F1805" s="8" t="n"/>
      <c r="G1805" s="8">
        <f>IF($A1805="",0,ROUND($E1805*$F1805,2))</f>
        <v/>
      </c>
    </row>
    <row r="1806">
      <c r="B1806" s="7" t="n"/>
      <c r="F1806" s="8" t="n"/>
      <c r="G1806" s="8">
        <f>IF($A1806="",0,ROUND($E1806*$F1806,2))</f>
        <v/>
      </c>
    </row>
    <row r="1807">
      <c r="B1807" s="7" t="n"/>
      <c r="F1807" s="8" t="n"/>
      <c r="G1807" s="8">
        <f>IF($A1807="",0,ROUND($E1807*$F1807,2))</f>
        <v/>
      </c>
    </row>
    <row r="1808">
      <c r="B1808" s="7" t="n"/>
      <c r="F1808" s="8" t="n"/>
      <c r="G1808" s="8">
        <f>IF($A1808="",0,ROUND($E1808*$F1808,2))</f>
        <v/>
      </c>
    </row>
    <row r="1809">
      <c r="B1809" s="7" t="n"/>
      <c r="F1809" s="8" t="n"/>
      <c r="G1809" s="8">
        <f>IF($A1809="",0,ROUND($E1809*$F1809,2))</f>
        <v/>
      </c>
    </row>
    <row r="1810">
      <c r="B1810" s="7" t="n"/>
      <c r="F1810" s="8" t="n"/>
      <c r="G1810" s="8">
        <f>IF($A1810="",0,ROUND($E1810*$F1810,2))</f>
        <v/>
      </c>
    </row>
    <row r="1811">
      <c r="B1811" s="7" t="n"/>
      <c r="F1811" s="8" t="n"/>
      <c r="G1811" s="8">
        <f>IF($A1811="",0,ROUND($E1811*$F1811,2))</f>
        <v/>
      </c>
    </row>
    <row r="1812">
      <c r="B1812" s="7" t="n"/>
      <c r="F1812" s="8" t="n"/>
      <c r="G1812" s="8">
        <f>IF($A1812="",0,ROUND($E1812*$F1812,2))</f>
        <v/>
      </c>
    </row>
    <row r="1813">
      <c r="B1813" s="7" t="n"/>
      <c r="F1813" s="8" t="n"/>
      <c r="G1813" s="8">
        <f>IF($A1813="",0,ROUND($E1813*$F1813,2))</f>
        <v/>
      </c>
    </row>
    <row r="1814">
      <c r="B1814" s="7" t="n"/>
      <c r="F1814" s="8" t="n"/>
      <c r="G1814" s="8">
        <f>IF($A1814="",0,ROUND($E1814*$F1814,2))</f>
        <v/>
      </c>
    </row>
    <row r="1815">
      <c r="B1815" s="7" t="n"/>
      <c r="F1815" s="8" t="n"/>
      <c r="G1815" s="8">
        <f>IF($A1815="",0,ROUND($E1815*$F1815,2))</f>
        <v/>
      </c>
    </row>
    <row r="1816">
      <c r="B1816" s="7" t="n"/>
      <c r="F1816" s="8" t="n"/>
      <c r="G1816" s="8">
        <f>IF($A1816="",0,ROUND($E1816*$F1816,2))</f>
        <v/>
      </c>
    </row>
    <row r="1817">
      <c r="B1817" s="7" t="n"/>
      <c r="F1817" s="8" t="n"/>
      <c r="G1817" s="8">
        <f>IF($A1817="",0,ROUND($E1817*$F1817,2))</f>
        <v/>
      </c>
    </row>
    <row r="1818">
      <c r="B1818" s="7" t="n"/>
      <c r="F1818" s="8" t="n"/>
      <c r="G1818" s="8">
        <f>IF($A1818="",0,ROUND($E1818*$F1818,2))</f>
        <v/>
      </c>
    </row>
    <row r="1819">
      <c r="B1819" s="7" t="n"/>
      <c r="F1819" s="8" t="n"/>
      <c r="G1819" s="8">
        <f>IF($A1819="",0,ROUND($E1819*$F1819,2))</f>
        <v/>
      </c>
    </row>
    <row r="1820">
      <c r="B1820" s="7" t="n"/>
      <c r="F1820" s="8" t="n"/>
      <c r="G1820" s="8">
        <f>IF($A1820="",0,ROUND($E1820*$F1820,2))</f>
        <v/>
      </c>
    </row>
    <row r="1821">
      <c r="B1821" s="7" t="n"/>
      <c r="F1821" s="8" t="n"/>
      <c r="G1821" s="8">
        <f>IF($A1821="",0,ROUND($E1821*$F1821,2))</f>
        <v/>
      </c>
    </row>
    <row r="1822">
      <c r="B1822" s="7" t="n"/>
      <c r="F1822" s="8" t="n"/>
      <c r="G1822" s="8">
        <f>IF($A1822="",0,ROUND($E1822*$F1822,2))</f>
        <v/>
      </c>
    </row>
    <row r="1823">
      <c r="B1823" s="7" t="n"/>
      <c r="F1823" s="8" t="n"/>
      <c r="G1823" s="8">
        <f>IF($A1823="",0,ROUND($E1823*$F1823,2))</f>
        <v/>
      </c>
    </row>
    <row r="1824">
      <c r="B1824" s="7" t="n"/>
      <c r="F1824" s="8" t="n"/>
      <c r="G1824" s="8">
        <f>IF($A1824="",0,ROUND($E1824*$F1824,2))</f>
        <v/>
      </c>
    </row>
    <row r="1825">
      <c r="B1825" s="7" t="n"/>
      <c r="F1825" s="8" t="n"/>
      <c r="G1825" s="8">
        <f>IF($A1825="",0,ROUND($E1825*$F1825,2))</f>
        <v/>
      </c>
    </row>
    <row r="1826">
      <c r="B1826" s="7" t="n"/>
      <c r="F1826" s="8" t="n"/>
      <c r="G1826" s="8">
        <f>IF($A1826="",0,ROUND($E1826*$F1826,2))</f>
        <v/>
      </c>
    </row>
    <row r="1827">
      <c r="B1827" s="7" t="n"/>
      <c r="F1827" s="8" t="n"/>
      <c r="G1827" s="8">
        <f>IF($A1827="",0,ROUND($E1827*$F1827,2))</f>
        <v/>
      </c>
    </row>
    <row r="1828">
      <c r="B1828" s="7" t="n"/>
      <c r="F1828" s="8" t="n"/>
      <c r="G1828" s="8">
        <f>IF($A1828="",0,ROUND($E1828*$F1828,2))</f>
        <v/>
      </c>
    </row>
    <row r="1829">
      <c r="B1829" s="7" t="n"/>
      <c r="F1829" s="8" t="n"/>
      <c r="G1829" s="8">
        <f>IF($A1829="",0,ROUND($E1829*$F1829,2))</f>
        <v/>
      </c>
    </row>
    <row r="1830">
      <c r="B1830" s="7" t="n"/>
      <c r="F1830" s="8" t="n"/>
      <c r="G1830" s="8">
        <f>IF($A1830="",0,ROUND($E1830*$F1830,2))</f>
        <v/>
      </c>
    </row>
    <row r="1831">
      <c r="B1831" s="7" t="n"/>
      <c r="F1831" s="8" t="n"/>
      <c r="G1831" s="8">
        <f>IF($A1831="",0,ROUND($E1831*$F1831,2))</f>
        <v/>
      </c>
    </row>
    <row r="1832">
      <c r="B1832" s="7" t="n"/>
      <c r="F1832" s="8" t="n"/>
      <c r="G1832" s="8">
        <f>IF($A1832="",0,ROUND($E1832*$F1832,2))</f>
        <v/>
      </c>
    </row>
    <row r="1833">
      <c r="B1833" s="7" t="n"/>
      <c r="F1833" s="8" t="n"/>
      <c r="G1833" s="8">
        <f>IF($A1833="",0,ROUND($E1833*$F1833,2))</f>
        <v/>
      </c>
    </row>
    <row r="1834">
      <c r="B1834" s="7" t="n"/>
      <c r="F1834" s="8" t="n"/>
      <c r="G1834" s="8">
        <f>IF($A1834="",0,ROUND($E1834*$F1834,2))</f>
        <v/>
      </c>
    </row>
    <row r="1835">
      <c r="B1835" s="7" t="n"/>
      <c r="F1835" s="8" t="n"/>
      <c r="G1835" s="8">
        <f>IF($A1835="",0,ROUND($E1835*$F1835,2))</f>
        <v/>
      </c>
    </row>
    <row r="1836">
      <c r="B1836" s="7" t="n"/>
      <c r="F1836" s="8" t="n"/>
      <c r="G1836" s="8">
        <f>IF($A1836="",0,ROUND($E1836*$F1836,2))</f>
        <v/>
      </c>
    </row>
    <row r="1837">
      <c r="B1837" s="7" t="n"/>
      <c r="F1837" s="8" t="n"/>
      <c r="G1837" s="8">
        <f>IF($A1837="",0,ROUND($E1837*$F1837,2))</f>
        <v/>
      </c>
    </row>
    <row r="1838">
      <c r="B1838" s="7" t="n"/>
      <c r="F1838" s="8" t="n"/>
      <c r="G1838" s="8">
        <f>IF($A1838="",0,ROUND($E1838*$F1838,2))</f>
        <v/>
      </c>
    </row>
    <row r="1839">
      <c r="B1839" s="7" t="n"/>
      <c r="F1839" s="8" t="n"/>
      <c r="G1839" s="8">
        <f>IF($A1839="",0,ROUND($E1839*$F1839,2))</f>
        <v/>
      </c>
    </row>
    <row r="1840">
      <c r="B1840" s="7" t="n"/>
      <c r="F1840" s="8" t="n"/>
      <c r="G1840" s="8">
        <f>IF($A1840="",0,ROUND($E1840*$F1840,2))</f>
        <v/>
      </c>
    </row>
    <row r="1841">
      <c r="B1841" s="7" t="n"/>
      <c r="F1841" s="8" t="n"/>
      <c r="G1841" s="8">
        <f>IF($A1841="",0,ROUND($E1841*$F1841,2))</f>
        <v/>
      </c>
    </row>
    <row r="1842">
      <c r="B1842" s="7" t="n"/>
      <c r="F1842" s="8" t="n"/>
      <c r="G1842" s="8">
        <f>IF($A1842="",0,ROUND($E1842*$F1842,2))</f>
        <v/>
      </c>
    </row>
    <row r="1843">
      <c r="B1843" s="7" t="n"/>
      <c r="F1843" s="8" t="n"/>
      <c r="G1843" s="8">
        <f>IF($A1843="",0,ROUND($E1843*$F1843,2))</f>
        <v/>
      </c>
    </row>
    <row r="1844">
      <c r="B1844" s="7" t="n"/>
      <c r="F1844" s="8" t="n"/>
      <c r="G1844" s="8">
        <f>IF($A1844="",0,ROUND($E1844*$F1844,2))</f>
        <v/>
      </c>
    </row>
    <row r="1845">
      <c r="B1845" s="7" t="n"/>
      <c r="F1845" s="8" t="n"/>
      <c r="G1845" s="8">
        <f>IF($A1845="",0,ROUND($E1845*$F1845,2))</f>
        <v/>
      </c>
    </row>
    <row r="1846">
      <c r="B1846" s="7" t="n"/>
      <c r="F1846" s="8" t="n"/>
      <c r="G1846" s="8">
        <f>IF($A1846="",0,ROUND($E1846*$F1846,2))</f>
        <v/>
      </c>
    </row>
    <row r="1847">
      <c r="B1847" s="7" t="n"/>
      <c r="F1847" s="8" t="n"/>
      <c r="G1847" s="8">
        <f>IF($A1847="",0,ROUND($E1847*$F1847,2))</f>
        <v/>
      </c>
    </row>
    <row r="1848">
      <c r="B1848" s="7" t="n"/>
      <c r="F1848" s="8" t="n"/>
      <c r="G1848" s="8">
        <f>IF($A1848="",0,ROUND($E1848*$F1848,2))</f>
        <v/>
      </c>
    </row>
    <row r="1849">
      <c r="B1849" s="7" t="n"/>
      <c r="F1849" s="8" t="n"/>
      <c r="G1849" s="8">
        <f>IF($A1849="",0,ROUND($E1849*$F1849,2))</f>
        <v/>
      </c>
    </row>
    <row r="1850">
      <c r="B1850" s="7" t="n"/>
      <c r="F1850" s="8" t="n"/>
      <c r="G1850" s="8">
        <f>IF($A1850="",0,ROUND($E1850*$F1850,2))</f>
        <v/>
      </c>
    </row>
    <row r="1851">
      <c r="B1851" s="7" t="n"/>
      <c r="F1851" s="8" t="n"/>
      <c r="G1851" s="8">
        <f>IF($A1851="",0,ROUND($E1851*$F1851,2))</f>
        <v/>
      </c>
    </row>
    <row r="1852">
      <c r="B1852" s="7" t="n"/>
      <c r="F1852" s="8" t="n"/>
      <c r="G1852" s="8">
        <f>IF($A1852="",0,ROUND($E1852*$F1852,2))</f>
        <v/>
      </c>
    </row>
    <row r="1853">
      <c r="B1853" s="7" t="n"/>
      <c r="F1853" s="8" t="n"/>
      <c r="G1853" s="8">
        <f>IF($A1853="",0,ROUND($E1853*$F1853,2))</f>
        <v/>
      </c>
    </row>
    <row r="1854">
      <c r="B1854" s="7" t="n"/>
      <c r="F1854" s="8" t="n"/>
      <c r="G1854" s="8">
        <f>IF($A1854="",0,ROUND($E1854*$F1854,2))</f>
        <v/>
      </c>
    </row>
    <row r="1855">
      <c r="B1855" s="7" t="n"/>
      <c r="F1855" s="8" t="n"/>
      <c r="G1855" s="8">
        <f>IF($A1855="",0,ROUND($E1855*$F1855,2))</f>
        <v/>
      </c>
    </row>
    <row r="1856">
      <c r="B1856" s="7" t="n"/>
      <c r="F1856" s="8" t="n"/>
      <c r="G1856" s="8">
        <f>IF($A1856="",0,ROUND($E1856*$F1856,2))</f>
        <v/>
      </c>
    </row>
    <row r="1857">
      <c r="B1857" s="7" t="n"/>
      <c r="F1857" s="8" t="n"/>
      <c r="G1857" s="8">
        <f>IF($A1857="",0,ROUND($E1857*$F1857,2))</f>
        <v/>
      </c>
    </row>
    <row r="1858">
      <c r="B1858" s="7" t="n"/>
      <c r="F1858" s="8" t="n"/>
      <c r="G1858" s="8">
        <f>IF($A1858="",0,ROUND($E1858*$F1858,2))</f>
        <v/>
      </c>
    </row>
    <row r="1859">
      <c r="B1859" s="7" t="n"/>
      <c r="F1859" s="8" t="n"/>
      <c r="G1859" s="8">
        <f>IF($A1859="",0,ROUND($E1859*$F1859,2))</f>
        <v/>
      </c>
    </row>
    <row r="1860">
      <c r="B1860" s="7" t="n"/>
      <c r="F1860" s="8" t="n"/>
      <c r="G1860" s="8">
        <f>IF($A1860="",0,ROUND($E1860*$F1860,2))</f>
        <v/>
      </c>
    </row>
    <row r="1861">
      <c r="B1861" s="7" t="n"/>
      <c r="F1861" s="8" t="n"/>
      <c r="G1861" s="8">
        <f>IF($A1861="",0,ROUND($E1861*$F1861,2))</f>
        <v/>
      </c>
    </row>
    <row r="1862">
      <c r="B1862" s="7" t="n"/>
      <c r="F1862" s="8" t="n"/>
      <c r="G1862" s="8">
        <f>IF($A1862="",0,ROUND($E1862*$F1862,2))</f>
        <v/>
      </c>
    </row>
    <row r="1863">
      <c r="B1863" s="7" t="n"/>
      <c r="F1863" s="8" t="n"/>
      <c r="G1863" s="8">
        <f>IF($A1863="",0,ROUND($E1863*$F1863,2))</f>
        <v/>
      </c>
    </row>
    <row r="1864">
      <c r="B1864" s="7" t="n"/>
      <c r="F1864" s="8" t="n"/>
      <c r="G1864" s="8">
        <f>IF($A1864="",0,ROUND($E1864*$F1864,2))</f>
        <v/>
      </c>
    </row>
    <row r="1865">
      <c r="B1865" s="7" t="n"/>
      <c r="F1865" s="8" t="n"/>
      <c r="G1865" s="8">
        <f>IF($A1865="",0,ROUND($E1865*$F1865,2))</f>
        <v/>
      </c>
    </row>
    <row r="1866">
      <c r="B1866" s="7" t="n"/>
      <c r="F1866" s="8" t="n"/>
      <c r="G1866" s="8">
        <f>IF($A1866="",0,ROUND($E1866*$F1866,2))</f>
        <v/>
      </c>
    </row>
    <row r="1867">
      <c r="B1867" s="7" t="n"/>
      <c r="F1867" s="8" t="n"/>
      <c r="G1867" s="8">
        <f>IF($A1867="",0,ROUND($E1867*$F1867,2))</f>
        <v/>
      </c>
    </row>
    <row r="1868">
      <c r="B1868" s="7" t="n"/>
      <c r="F1868" s="8" t="n"/>
      <c r="G1868" s="8">
        <f>IF($A1868="",0,ROUND($E1868*$F1868,2))</f>
        <v/>
      </c>
    </row>
    <row r="1869">
      <c r="B1869" s="7" t="n"/>
      <c r="F1869" s="8" t="n"/>
      <c r="G1869" s="8">
        <f>IF($A1869="",0,ROUND($E1869*$F1869,2))</f>
        <v/>
      </c>
    </row>
    <row r="1870">
      <c r="B1870" s="7" t="n"/>
      <c r="F1870" s="8" t="n"/>
      <c r="G1870" s="8">
        <f>IF($A1870="",0,ROUND($E1870*$F1870,2))</f>
        <v/>
      </c>
    </row>
    <row r="1871">
      <c r="B1871" s="7" t="n"/>
      <c r="F1871" s="8" t="n"/>
      <c r="G1871" s="8">
        <f>IF($A1871="",0,ROUND($E1871*$F1871,2))</f>
        <v/>
      </c>
    </row>
    <row r="1872">
      <c r="B1872" s="7" t="n"/>
      <c r="F1872" s="8" t="n"/>
      <c r="G1872" s="8">
        <f>IF($A1872="",0,ROUND($E1872*$F1872,2))</f>
        <v/>
      </c>
    </row>
    <row r="1873">
      <c r="B1873" s="7" t="n"/>
      <c r="F1873" s="8" t="n"/>
      <c r="G1873" s="8">
        <f>IF($A1873="",0,ROUND($E1873*$F1873,2))</f>
        <v/>
      </c>
    </row>
    <row r="1874">
      <c r="B1874" s="7" t="n"/>
      <c r="F1874" s="8" t="n"/>
      <c r="G1874" s="8">
        <f>IF($A1874="",0,ROUND($E1874*$F1874,2))</f>
        <v/>
      </c>
    </row>
    <row r="1875">
      <c r="B1875" s="7" t="n"/>
      <c r="F1875" s="8" t="n"/>
      <c r="G1875" s="8">
        <f>IF($A1875="",0,ROUND($E1875*$F1875,2))</f>
        <v/>
      </c>
    </row>
    <row r="1876">
      <c r="B1876" s="7" t="n"/>
      <c r="F1876" s="8" t="n"/>
      <c r="G1876" s="8">
        <f>IF($A1876="",0,ROUND($E1876*$F1876,2))</f>
        <v/>
      </c>
    </row>
    <row r="1877">
      <c r="B1877" s="7" t="n"/>
      <c r="F1877" s="8" t="n"/>
      <c r="G1877" s="8">
        <f>IF($A1877="",0,ROUND($E1877*$F1877,2))</f>
        <v/>
      </c>
    </row>
    <row r="1878">
      <c r="B1878" s="7" t="n"/>
      <c r="F1878" s="8" t="n"/>
      <c r="G1878" s="8">
        <f>IF($A1878="",0,ROUND($E1878*$F1878,2))</f>
        <v/>
      </c>
    </row>
    <row r="1879">
      <c r="B1879" s="7" t="n"/>
      <c r="F1879" s="8" t="n"/>
      <c r="G1879" s="8">
        <f>IF($A1879="",0,ROUND($E1879*$F1879,2))</f>
        <v/>
      </c>
    </row>
    <row r="1880">
      <c r="B1880" s="7" t="n"/>
      <c r="F1880" s="8" t="n"/>
      <c r="G1880" s="8">
        <f>IF($A1880="",0,ROUND($E1880*$F1880,2))</f>
        <v/>
      </c>
    </row>
    <row r="1881">
      <c r="B1881" s="7" t="n"/>
      <c r="F1881" s="8" t="n"/>
      <c r="G1881" s="8">
        <f>IF($A1881="",0,ROUND($E1881*$F1881,2))</f>
        <v/>
      </c>
    </row>
    <row r="1882">
      <c r="B1882" s="7" t="n"/>
      <c r="F1882" s="8" t="n"/>
      <c r="G1882" s="8">
        <f>IF($A1882="",0,ROUND($E1882*$F1882,2))</f>
        <v/>
      </c>
    </row>
    <row r="1883">
      <c r="B1883" s="7" t="n"/>
      <c r="F1883" s="8" t="n"/>
      <c r="G1883" s="8">
        <f>IF($A1883="",0,ROUND($E1883*$F1883,2))</f>
        <v/>
      </c>
    </row>
    <row r="1884">
      <c r="B1884" s="7" t="n"/>
      <c r="F1884" s="8" t="n"/>
      <c r="G1884" s="8">
        <f>IF($A1884="",0,ROUND($E1884*$F1884,2))</f>
        <v/>
      </c>
    </row>
    <row r="1885">
      <c r="B1885" s="7" t="n"/>
      <c r="F1885" s="8" t="n"/>
      <c r="G1885" s="8">
        <f>IF($A1885="",0,ROUND($E1885*$F1885,2))</f>
        <v/>
      </c>
    </row>
    <row r="1886">
      <c r="B1886" s="7" t="n"/>
      <c r="F1886" s="8" t="n"/>
      <c r="G1886" s="8">
        <f>IF($A1886="",0,ROUND($E1886*$F1886,2))</f>
        <v/>
      </c>
    </row>
    <row r="1887">
      <c r="B1887" s="7" t="n"/>
      <c r="F1887" s="8" t="n"/>
      <c r="G1887" s="8">
        <f>IF($A1887="",0,ROUND($E1887*$F1887,2))</f>
        <v/>
      </c>
    </row>
    <row r="1888">
      <c r="B1888" s="7" t="n"/>
      <c r="F1888" s="8" t="n"/>
      <c r="G1888" s="8">
        <f>IF($A1888="",0,ROUND($E1888*$F1888,2))</f>
        <v/>
      </c>
    </row>
    <row r="1889">
      <c r="B1889" s="7" t="n"/>
      <c r="F1889" s="8" t="n"/>
      <c r="G1889" s="8">
        <f>IF($A1889="",0,ROUND($E1889*$F1889,2))</f>
        <v/>
      </c>
    </row>
    <row r="1890">
      <c r="B1890" s="7" t="n"/>
      <c r="F1890" s="8" t="n"/>
      <c r="G1890" s="8">
        <f>IF($A1890="",0,ROUND($E1890*$F1890,2))</f>
        <v/>
      </c>
    </row>
    <row r="1891">
      <c r="B1891" s="7" t="n"/>
      <c r="F1891" s="8" t="n"/>
      <c r="G1891" s="8">
        <f>IF($A1891="",0,ROUND($E1891*$F1891,2))</f>
        <v/>
      </c>
    </row>
    <row r="1892">
      <c r="B1892" s="7" t="n"/>
      <c r="F1892" s="8" t="n"/>
      <c r="G1892" s="8">
        <f>IF($A1892="",0,ROUND($E1892*$F1892,2))</f>
        <v/>
      </c>
    </row>
    <row r="1893">
      <c r="B1893" s="7" t="n"/>
      <c r="F1893" s="8" t="n"/>
      <c r="G1893" s="8">
        <f>IF($A1893="",0,ROUND($E1893*$F1893,2))</f>
        <v/>
      </c>
    </row>
    <row r="1894">
      <c r="B1894" s="7" t="n"/>
      <c r="F1894" s="8" t="n"/>
      <c r="G1894" s="8">
        <f>IF($A1894="",0,ROUND($E1894*$F1894,2))</f>
        <v/>
      </c>
    </row>
    <row r="1895">
      <c r="B1895" s="7" t="n"/>
      <c r="F1895" s="8" t="n"/>
      <c r="G1895" s="8">
        <f>IF($A1895="",0,ROUND($E1895*$F1895,2))</f>
        <v/>
      </c>
    </row>
    <row r="1896">
      <c r="B1896" s="7" t="n"/>
      <c r="F1896" s="8" t="n"/>
      <c r="G1896" s="8">
        <f>IF($A1896="",0,ROUND($E1896*$F1896,2))</f>
        <v/>
      </c>
    </row>
    <row r="1897">
      <c r="B1897" s="7" t="n"/>
      <c r="F1897" s="8" t="n"/>
      <c r="G1897" s="8">
        <f>IF($A1897="",0,ROUND($E1897*$F1897,2))</f>
        <v/>
      </c>
    </row>
    <row r="1898">
      <c r="B1898" s="7" t="n"/>
      <c r="F1898" s="8" t="n"/>
      <c r="G1898" s="8">
        <f>IF($A1898="",0,ROUND($E1898*$F1898,2))</f>
        <v/>
      </c>
    </row>
    <row r="1899">
      <c r="B1899" s="7" t="n"/>
      <c r="F1899" s="8" t="n"/>
      <c r="G1899" s="8">
        <f>IF($A1899="",0,ROUND($E1899*$F1899,2))</f>
        <v/>
      </c>
    </row>
    <row r="1900">
      <c r="B1900" s="7" t="n"/>
      <c r="F1900" s="8" t="n"/>
      <c r="G1900" s="8">
        <f>IF($A1900="",0,ROUND($E1900*$F1900,2))</f>
        <v/>
      </c>
    </row>
    <row r="1901">
      <c r="B1901" s="7" t="n"/>
      <c r="F1901" s="8" t="n"/>
      <c r="G1901" s="8">
        <f>IF($A1901="",0,ROUND($E1901*$F1901,2))</f>
        <v/>
      </c>
    </row>
    <row r="1902">
      <c r="B1902" s="7" t="n"/>
      <c r="F1902" s="8" t="n"/>
      <c r="G1902" s="8">
        <f>IF($A1902="",0,ROUND($E1902*$F1902,2))</f>
        <v/>
      </c>
    </row>
    <row r="1903">
      <c r="B1903" s="7" t="n"/>
      <c r="F1903" s="8" t="n"/>
      <c r="G1903" s="8">
        <f>IF($A1903="",0,ROUND($E1903*$F1903,2))</f>
        <v/>
      </c>
    </row>
    <row r="1904">
      <c r="B1904" s="7" t="n"/>
      <c r="F1904" s="8" t="n"/>
      <c r="G1904" s="8">
        <f>IF($A1904="",0,ROUND($E1904*$F1904,2))</f>
        <v/>
      </c>
    </row>
    <row r="1905">
      <c r="B1905" s="7" t="n"/>
      <c r="F1905" s="8" t="n"/>
      <c r="G1905" s="8">
        <f>IF($A1905="",0,ROUND($E1905*$F1905,2))</f>
        <v/>
      </c>
    </row>
    <row r="1906">
      <c r="B1906" s="7" t="n"/>
      <c r="F1906" s="8" t="n"/>
      <c r="G1906" s="8">
        <f>IF($A1906="",0,ROUND($E1906*$F1906,2))</f>
        <v/>
      </c>
    </row>
    <row r="1907">
      <c r="B1907" s="7" t="n"/>
      <c r="F1907" s="8" t="n"/>
      <c r="G1907" s="8">
        <f>IF($A1907="",0,ROUND($E1907*$F1907,2))</f>
        <v/>
      </c>
    </row>
    <row r="1908">
      <c r="B1908" s="7" t="n"/>
      <c r="F1908" s="8" t="n"/>
      <c r="G1908" s="8">
        <f>IF($A1908="",0,ROUND($E1908*$F1908,2))</f>
        <v/>
      </c>
    </row>
    <row r="1909">
      <c r="B1909" s="7" t="n"/>
      <c r="F1909" s="8" t="n"/>
      <c r="G1909" s="8">
        <f>IF($A1909="",0,ROUND($E1909*$F1909,2))</f>
        <v/>
      </c>
    </row>
    <row r="1910">
      <c r="B1910" s="7" t="n"/>
      <c r="F1910" s="8" t="n"/>
      <c r="G1910" s="8">
        <f>IF($A1910="",0,ROUND($E1910*$F1910,2))</f>
        <v/>
      </c>
    </row>
    <row r="1911">
      <c r="B1911" s="7" t="n"/>
      <c r="F1911" s="8" t="n"/>
      <c r="G1911" s="8">
        <f>IF($A1911="",0,ROUND($E1911*$F1911,2))</f>
        <v/>
      </c>
    </row>
    <row r="1912">
      <c r="B1912" s="7" t="n"/>
      <c r="F1912" s="8" t="n"/>
      <c r="G1912" s="8">
        <f>IF($A1912="",0,ROUND($E1912*$F1912,2))</f>
        <v/>
      </c>
    </row>
    <row r="1913">
      <c r="B1913" s="7" t="n"/>
      <c r="F1913" s="8" t="n"/>
      <c r="G1913" s="8">
        <f>IF($A1913="",0,ROUND($E1913*$F1913,2))</f>
        <v/>
      </c>
    </row>
    <row r="1914">
      <c r="B1914" s="7" t="n"/>
      <c r="F1914" s="8" t="n"/>
      <c r="G1914" s="8">
        <f>IF($A1914="",0,ROUND($E1914*$F1914,2))</f>
        <v/>
      </c>
    </row>
    <row r="1915">
      <c r="B1915" s="7" t="n"/>
      <c r="F1915" s="8" t="n"/>
      <c r="G1915" s="8">
        <f>IF($A1915="",0,ROUND($E1915*$F1915,2))</f>
        <v/>
      </c>
    </row>
    <row r="1916">
      <c r="B1916" s="7" t="n"/>
      <c r="F1916" s="8" t="n"/>
      <c r="G1916" s="8">
        <f>IF($A1916="",0,ROUND($E1916*$F1916,2))</f>
        <v/>
      </c>
    </row>
    <row r="1917">
      <c r="B1917" s="7" t="n"/>
      <c r="F1917" s="8" t="n"/>
      <c r="G1917" s="8">
        <f>IF($A1917="",0,ROUND($E1917*$F1917,2))</f>
        <v/>
      </c>
    </row>
    <row r="1918">
      <c r="B1918" s="7" t="n"/>
      <c r="F1918" s="8" t="n"/>
      <c r="G1918" s="8">
        <f>IF($A1918="",0,ROUND($E1918*$F1918,2))</f>
        <v/>
      </c>
    </row>
    <row r="1919">
      <c r="B1919" s="7" t="n"/>
      <c r="F1919" s="8" t="n"/>
      <c r="G1919" s="8">
        <f>IF($A1919="",0,ROUND($E1919*$F1919,2))</f>
        <v/>
      </c>
    </row>
    <row r="1920">
      <c r="B1920" s="7" t="n"/>
      <c r="F1920" s="8" t="n"/>
      <c r="G1920" s="8">
        <f>IF($A1920="",0,ROUND($E1920*$F1920,2))</f>
        <v/>
      </c>
    </row>
    <row r="1921">
      <c r="B1921" s="7" t="n"/>
      <c r="F1921" s="8" t="n"/>
      <c r="G1921" s="8">
        <f>IF($A1921="",0,ROUND($E1921*$F1921,2))</f>
        <v/>
      </c>
    </row>
    <row r="1922">
      <c r="B1922" s="7" t="n"/>
      <c r="F1922" s="8" t="n"/>
      <c r="G1922" s="8">
        <f>IF($A1922="",0,ROUND($E1922*$F1922,2))</f>
        <v/>
      </c>
    </row>
    <row r="1923">
      <c r="B1923" s="7" t="n"/>
      <c r="F1923" s="8" t="n"/>
      <c r="G1923" s="8">
        <f>IF($A1923="",0,ROUND($E1923*$F1923,2))</f>
        <v/>
      </c>
    </row>
    <row r="1924">
      <c r="B1924" s="7" t="n"/>
      <c r="F1924" s="8" t="n"/>
      <c r="G1924" s="8">
        <f>IF($A1924="",0,ROUND($E1924*$F1924,2))</f>
        <v/>
      </c>
    </row>
    <row r="1925">
      <c r="B1925" s="7" t="n"/>
      <c r="F1925" s="8" t="n"/>
      <c r="G1925" s="8">
        <f>IF($A1925="",0,ROUND($E1925*$F1925,2))</f>
        <v/>
      </c>
    </row>
    <row r="1926">
      <c r="B1926" s="7" t="n"/>
      <c r="F1926" s="8" t="n"/>
      <c r="G1926" s="8">
        <f>IF($A1926="",0,ROUND($E1926*$F1926,2))</f>
        <v/>
      </c>
    </row>
    <row r="1927">
      <c r="B1927" s="7" t="n"/>
      <c r="F1927" s="8" t="n"/>
      <c r="G1927" s="8">
        <f>IF($A1927="",0,ROUND($E1927*$F1927,2))</f>
        <v/>
      </c>
    </row>
    <row r="1928">
      <c r="B1928" s="7" t="n"/>
      <c r="F1928" s="8" t="n"/>
      <c r="G1928" s="8">
        <f>IF($A1928="",0,ROUND($E1928*$F1928,2))</f>
        <v/>
      </c>
    </row>
    <row r="1929">
      <c r="B1929" s="7" t="n"/>
      <c r="F1929" s="8" t="n"/>
      <c r="G1929" s="8">
        <f>IF($A1929="",0,ROUND($E1929*$F1929,2))</f>
        <v/>
      </c>
    </row>
    <row r="1930">
      <c r="B1930" s="7" t="n"/>
      <c r="F1930" s="8" t="n"/>
      <c r="G1930" s="8">
        <f>IF($A1930="",0,ROUND($E1930*$F1930,2))</f>
        <v/>
      </c>
    </row>
    <row r="1931">
      <c r="B1931" s="7" t="n"/>
      <c r="F1931" s="8" t="n"/>
      <c r="G1931" s="8">
        <f>IF($A1931="",0,ROUND($E1931*$F1931,2))</f>
        <v/>
      </c>
    </row>
    <row r="1932">
      <c r="B1932" s="7" t="n"/>
      <c r="F1932" s="8" t="n"/>
      <c r="G1932" s="8">
        <f>IF($A1932="",0,ROUND($E1932*$F1932,2))</f>
        <v/>
      </c>
    </row>
    <row r="1933">
      <c r="B1933" s="7" t="n"/>
      <c r="F1933" s="8" t="n"/>
      <c r="G1933" s="8">
        <f>IF($A1933="",0,ROUND($E1933*$F1933,2))</f>
        <v/>
      </c>
    </row>
    <row r="1934">
      <c r="B1934" s="7" t="n"/>
      <c r="F1934" s="8" t="n"/>
      <c r="G1934" s="8">
        <f>IF($A1934="",0,ROUND($E1934*$F1934,2))</f>
        <v/>
      </c>
    </row>
    <row r="1935">
      <c r="B1935" s="7" t="n"/>
      <c r="F1935" s="8" t="n"/>
      <c r="G1935" s="8">
        <f>IF($A1935="",0,ROUND($E1935*$F1935,2))</f>
        <v/>
      </c>
    </row>
    <row r="1936">
      <c r="B1936" s="7" t="n"/>
      <c r="F1936" s="8" t="n"/>
      <c r="G1936" s="8">
        <f>IF($A1936="",0,ROUND($E1936*$F1936,2))</f>
        <v/>
      </c>
    </row>
    <row r="1937">
      <c r="B1937" s="7" t="n"/>
      <c r="F1937" s="8" t="n"/>
      <c r="G1937" s="8">
        <f>IF($A1937="",0,ROUND($E1937*$F1937,2))</f>
        <v/>
      </c>
    </row>
    <row r="1938">
      <c r="B1938" s="7" t="n"/>
      <c r="F1938" s="8" t="n"/>
      <c r="G1938" s="8">
        <f>IF($A1938="",0,ROUND($E1938*$F1938,2))</f>
        <v/>
      </c>
    </row>
    <row r="1939">
      <c r="B1939" s="7" t="n"/>
      <c r="F1939" s="8" t="n"/>
      <c r="G1939" s="8">
        <f>IF($A1939="",0,ROUND($E1939*$F1939,2))</f>
        <v/>
      </c>
    </row>
    <row r="1940">
      <c r="B1940" s="7" t="n"/>
      <c r="F1940" s="8" t="n"/>
      <c r="G1940" s="8">
        <f>IF($A1940="",0,ROUND($E1940*$F1940,2))</f>
        <v/>
      </c>
    </row>
    <row r="1941">
      <c r="B1941" s="7" t="n"/>
      <c r="F1941" s="8" t="n"/>
      <c r="G1941" s="8">
        <f>IF($A1941="",0,ROUND($E1941*$F1941,2))</f>
        <v/>
      </c>
    </row>
    <row r="1942">
      <c r="B1942" s="7" t="n"/>
      <c r="F1942" s="8" t="n"/>
      <c r="G1942" s="8">
        <f>IF($A1942="",0,ROUND($E1942*$F1942,2))</f>
        <v/>
      </c>
    </row>
    <row r="1943">
      <c r="B1943" s="7" t="n"/>
      <c r="F1943" s="8" t="n"/>
      <c r="G1943" s="8">
        <f>IF($A1943="",0,ROUND($E1943*$F1943,2))</f>
        <v/>
      </c>
    </row>
    <row r="1944">
      <c r="B1944" s="7" t="n"/>
      <c r="F1944" s="8" t="n"/>
      <c r="G1944" s="8">
        <f>IF($A1944="",0,ROUND($E1944*$F1944,2))</f>
        <v/>
      </c>
    </row>
    <row r="1945">
      <c r="B1945" s="7" t="n"/>
      <c r="F1945" s="8" t="n"/>
      <c r="G1945" s="8">
        <f>IF($A1945="",0,ROUND($E1945*$F1945,2))</f>
        <v/>
      </c>
    </row>
    <row r="1946">
      <c r="B1946" s="7" t="n"/>
      <c r="F1946" s="8" t="n"/>
      <c r="G1946" s="8">
        <f>IF($A1946="",0,ROUND($E1946*$F1946,2))</f>
        <v/>
      </c>
    </row>
    <row r="1947">
      <c r="B1947" s="7" t="n"/>
      <c r="F1947" s="8" t="n"/>
      <c r="G1947" s="8">
        <f>IF($A1947="",0,ROUND($E1947*$F1947,2))</f>
        <v/>
      </c>
    </row>
    <row r="1948">
      <c r="B1948" s="7" t="n"/>
      <c r="F1948" s="8" t="n"/>
      <c r="G1948" s="8">
        <f>IF($A1948="",0,ROUND($E1948*$F1948,2))</f>
        <v/>
      </c>
    </row>
    <row r="1949">
      <c r="B1949" s="7" t="n"/>
      <c r="F1949" s="8" t="n"/>
      <c r="G1949" s="8">
        <f>IF($A1949="",0,ROUND($E1949*$F1949,2))</f>
        <v/>
      </c>
    </row>
    <row r="1950">
      <c r="B1950" s="7" t="n"/>
      <c r="F1950" s="8" t="n"/>
      <c r="G1950" s="8">
        <f>IF($A1950="",0,ROUND($E1950*$F1950,2))</f>
        <v/>
      </c>
    </row>
    <row r="1951">
      <c r="B1951" s="7" t="n"/>
      <c r="F1951" s="8" t="n"/>
      <c r="G1951" s="8">
        <f>IF($A1951="",0,ROUND($E1951*$F1951,2))</f>
        <v/>
      </c>
    </row>
    <row r="1952">
      <c r="B1952" s="7" t="n"/>
      <c r="F1952" s="8" t="n"/>
      <c r="G1952" s="8">
        <f>IF($A1952="",0,ROUND($E1952*$F1952,2))</f>
        <v/>
      </c>
    </row>
    <row r="1953">
      <c r="B1953" s="7" t="n"/>
      <c r="F1953" s="8" t="n"/>
      <c r="G1953" s="8">
        <f>IF($A1953="",0,ROUND($E1953*$F1953,2))</f>
        <v/>
      </c>
    </row>
    <row r="1954">
      <c r="B1954" s="7" t="n"/>
      <c r="F1954" s="8" t="n"/>
      <c r="G1954" s="8">
        <f>IF($A1954="",0,ROUND($E1954*$F1954,2))</f>
        <v/>
      </c>
    </row>
    <row r="1955">
      <c r="B1955" s="7" t="n"/>
      <c r="F1955" s="8" t="n"/>
      <c r="G1955" s="8">
        <f>IF($A1955="",0,ROUND($E1955*$F1955,2))</f>
        <v/>
      </c>
    </row>
    <row r="1956">
      <c r="B1956" s="7" t="n"/>
      <c r="F1956" s="8" t="n"/>
      <c r="G1956" s="8">
        <f>IF($A1956="",0,ROUND($E1956*$F1956,2))</f>
        <v/>
      </c>
    </row>
    <row r="1957">
      <c r="B1957" s="7" t="n"/>
      <c r="F1957" s="8" t="n"/>
      <c r="G1957" s="8">
        <f>IF($A1957="",0,ROUND($E1957*$F1957,2))</f>
        <v/>
      </c>
    </row>
    <row r="1958">
      <c r="B1958" s="7" t="n"/>
      <c r="F1958" s="8" t="n"/>
      <c r="G1958" s="8">
        <f>IF($A1958="",0,ROUND($E1958*$F1958,2))</f>
        <v/>
      </c>
    </row>
    <row r="1959">
      <c r="B1959" s="7" t="n"/>
      <c r="F1959" s="8" t="n"/>
      <c r="G1959" s="8">
        <f>IF($A1959="",0,ROUND($E1959*$F1959,2))</f>
        <v/>
      </c>
    </row>
    <row r="1960">
      <c r="B1960" s="7" t="n"/>
      <c r="F1960" s="8" t="n"/>
      <c r="G1960" s="8">
        <f>IF($A1960="",0,ROUND($E1960*$F1960,2))</f>
        <v/>
      </c>
    </row>
    <row r="1961">
      <c r="B1961" s="7" t="n"/>
      <c r="F1961" s="8" t="n"/>
      <c r="G1961" s="8">
        <f>IF($A1961="",0,ROUND($E1961*$F1961,2))</f>
        <v/>
      </c>
    </row>
    <row r="1962">
      <c r="B1962" s="7" t="n"/>
      <c r="F1962" s="8" t="n"/>
      <c r="G1962" s="8">
        <f>IF($A1962="",0,ROUND($E1962*$F1962,2))</f>
        <v/>
      </c>
    </row>
    <row r="1963">
      <c r="B1963" s="7" t="n"/>
      <c r="F1963" s="8" t="n"/>
      <c r="G1963" s="8">
        <f>IF($A1963="",0,ROUND($E1963*$F1963,2))</f>
        <v/>
      </c>
    </row>
    <row r="1964">
      <c r="B1964" s="7" t="n"/>
      <c r="F1964" s="8" t="n"/>
      <c r="G1964" s="8">
        <f>IF($A1964="",0,ROUND($E1964*$F1964,2))</f>
        <v/>
      </c>
    </row>
    <row r="1965">
      <c r="B1965" s="7" t="n"/>
      <c r="F1965" s="8" t="n"/>
      <c r="G1965" s="8">
        <f>IF($A1965="",0,ROUND($E1965*$F1965,2))</f>
        <v/>
      </c>
    </row>
    <row r="1966">
      <c r="B1966" s="7" t="n"/>
      <c r="F1966" s="8" t="n"/>
      <c r="G1966" s="8">
        <f>IF($A1966="",0,ROUND($E1966*$F1966,2))</f>
        <v/>
      </c>
    </row>
    <row r="1967">
      <c r="B1967" s="7" t="n"/>
      <c r="F1967" s="8" t="n"/>
      <c r="G1967" s="8">
        <f>IF($A1967="",0,ROUND($E1967*$F1967,2))</f>
        <v/>
      </c>
    </row>
    <row r="1968">
      <c r="B1968" s="7" t="n"/>
      <c r="F1968" s="8" t="n"/>
      <c r="G1968" s="8">
        <f>IF($A1968="",0,ROUND($E1968*$F1968,2))</f>
        <v/>
      </c>
    </row>
    <row r="1969">
      <c r="B1969" s="7" t="n"/>
      <c r="F1969" s="8" t="n"/>
      <c r="G1969" s="8">
        <f>IF($A1969="",0,ROUND($E1969*$F1969,2))</f>
        <v/>
      </c>
    </row>
    <row r="1970">
      <c r="B1970" s="7" t="n"/>
      <c r="F1970" s="8" t="n"/>
      <c r="G1970" s="8">
        <f>IF($A1970="",0,ROUND($E1970*$F1970,2))</f>
        <v/>
      </c>
    </row>
    <row r="1971">
      <c r="B1971" s="7" t="n"/>
      <c r="F1971" s="8" t="n"/>
      <c r="G1971" s="8">
        <f>IF($A1971="",0,ROUND($E1971*$F1971,2))</f>
        <v/>
      </c>
    </row>
    <row r="1972">
      <c r="B1972" s="7" t="n"/>
      <c r="F1972" s="8" t="n"/>
      <c r="G1972" s="8">
        <f>IF($A1972="",0,ROUND($E1972*$F1972,2))</f>
        <v/>
      </c>
    </row>
    <row r="1973">
      <c r="B1973" s="7" t="n"/>
      <c r="F1973" s="8" t="n"/>
      <c r="G1973" s="8">
        <f>IF($A1973="",0,ROUND($E1973*$F1973,2))</f>
        <v/>
      </c>
    </row>
    <row r="1974">
      <c r="B1974" s="7" t="n"/>
      <c r="F1974" s="8" t="n"/>
      <c r="G1974" s="8">
        <f>IF($A1974="",0,ROUND($E1974*$F1974,2))</f>
        <v/>
      </c>
    </row>
    <row r="1975">
      <c r="B1975" s="7" t="n"/>
      <c r="F1975" s="8" t="n"/>
      <c r="G1975" s="8">
        <f>IF($A1975="",0,ROUND($E1975*$F1975,2))</f>
        <v/>
      </c>
    </row>
    <row r="1976">
      <c r="B1976" s="7" t="n"/>
      <c r="F1976" s="8" t="n"/>
      <c r="G1976" s="8">
        <f>IF($A1976="",0,ROUND($E1976*$F1976,2))</f>
        <v/>
      </c>
    </row>
    <row r="1977">
      <c r="B1977" s="7" t="n"/>
      <c r="F1977" s="8" t="n"/>
      <c r="G1977" s="8">
        <f>IF($A1977="",0,ROUND($E1977*$F1977,2))</f>
        <v/>
      </c>
    </row>
    <row r="1978">
      <c r="B1978" s="7" t="n"/>
      <c r="F1978" s="8" t="n"/>
      <c r="G1978" s="8">
        <f>IF($A1978="",0,ROUND($E1978*$F1978,2))</f>
        <v/>
      </c>
    </row>
    <row r="1979">
      <c r="B1979" s="7" t="n"/>
      <c r="F1979" s="8" t="n"/>
      <c r="G1979" s="8">
        <f>IF($A1979="",0,ROUND($E1979*$F1979,2))</f>
        <v/>
      </c>
    </row>
    <row r="1980">
      <c r="B1980" s="7" t="n"/>
      <c r="F1980" s="8" t="n"/>
      <c r="G1980" s="8">
        <f>IF($A1980="",0,ROUND($E1980*$F1980,2))</f>
        <v/>
      </c>
    </row>
    <row r="1981">
      <c r="B1981" s="7" t="n"/>
      <c r="F1981" s="8" t="n"/>
      <c r="G1981" s="8">
        <f>IF($A1981="",0,ROUND($E1981*$F1981,2))</f>
        <v/>
      </c>
    </row>
    <row r="1982">
      <c r="B1982" s="7" t="n"/>
      <c r="F1982" s="8" t="n"/>
      <c r="G1982" s="8">
        <f>IF($A1982="",0,ROUND($E1982*$F1982,2))</f>
        <v/>
      </c>
    </row>
    <row r="1983">
      <c r="B1983" s="7" t="n"/>
      <c r="F1983" s="8" t="n"/>
      <c r="G1983" s="8">
        <f>IF($A1983="",0,ROUND($E1983*$F1983,2))</f>
        <v/>
      </c>
    </row>
    <row r="1984">
      <c r="B1984" s="7" t="n"/>
      <c r="F1984" s="8" t="n"/>
      <c r="G1984" s="8">
        <f>IF($A1984="",0,ROUND($E1984*$F1984,2))</f>
        <v/>
      </c>
    </row>
    <row r="1985">
      <c r="B1985" s="7" t="n"/>
      <c r="F1985" s="8" t="n"/>
      <c r="G1985" s="8">
        <f>IF($A1985="",0,ROUND($E1985*$F1985,2))</f>
        <v/>
      </c>
    </row>
    <row r="1986">
      <c r="B1986" s="7" t="n"/>
      <c r="F1986" s="8" t="n"/>
      <c r="G1986" s="8">
        <f>IF($A1986="",0,ROUND($E1986*$F1986,2))</f>
        <v/>
      </c>
    </row>
    <row r="1987">
      <c r="B1987" s="7" t="n"/>
      <c r="F1987" s="8" t="n"/>
      <c r="G1987" s="8">
        <f>IF($A1987="",0,ROUND($E1987*$F1987,2))</f>
        <v/>
      </c>
    </row>
    <row r="1988">
      <c r="B1988" s="7" t="n"/>
      <c r="F1988" s="8" t="n"/>
      <c r="G1988" s="8">
        <f>IF($A1988="",0,ROUND($E1988*$F1988,2))</f>
        <v/>
      </c>
    </row>
    <row r="1989">
      <c r="B1989" s="7" t="n"/>
      <c r="F1989" s="8" t="n"/>
      <c r="G1989" s="8">
        <f>IF($A1989="",0,ROUND($E1989*$F1989,2))</f>
        <v/>
      </c>
    </row>
    <row r="1990">
      <c r="B1990" s="7" t="n"/>
      <c r="F1990" s="8" t="n"/>
      <c r="G1990" s="8">
        <f>IF($A1990="",0,ROUND($E1990*$F1990,2))</f>
        <v/>
      </c>
    </row>
    <row r="1991">
      <c r="B1991" s="7" t="n"/>
      <c r="F1991" s="8" t="n"/>
      <c r="G1991" s="8">
        <f>IF($A1991="",0,ROUND($E1991*$F1991,2))</f>
        <v/>
      </c>
    </row>
    <row r="1992">
      <c r="B1992" s="7" t="n"/>
      <c r="F1992" s="8" t="n"/>
      <c r="G1992" s="8">
        <f>IF($A1992="",0,ROUND($E1992*$F1992,2))</f>
        <v/>
      </c>
    </row>
    <row r="1993">
      <c r="B1993" s="7" t="n"/>
      <c r="F1993" s="8" t="n"/>
      <c r="G1993" s="8">
        <f>IF($A1993="",0,ROUND($E1993*$F1993,2))</f>
        <v/>
      </c>
    </row>
    <row r="1994">
      <c r="B1994" s="7" t="n"/>
      <c r="F1994" s="8" t="n"/>
      <c r="G1994" s="8">
        <f>IF($A1994="",0,ROUND($E1994*$F1994,2))</f>
        <v/>
      </c>
    </row>
    <row r="1995">
      <c r="B1995" s="7" t="n"/>
      <c r="F1995" s="8" t="n"/>
      <c r="G1995" s="8">
        <f>IF($A1995="",0,ROUND($E1995*$F1995,2))</f>
        <v/>
      </c>
    </row>
    <row r="1996">
      <c r="B1996" s="7" t="n"/>
      <c r="F1996" s="8" t="n"/>
      <c r="G1996" s="8">
        <f>IF($A1996="",0,ROUND($E1996*$F1996,2))</f>
        <v/>
      </c>
    </row>
    <row r="1997">
      <c r="B1997" s="7" t="n"/>
      <c r="F1997" s="8" t="n"/>
      <c r="G1997" s="8">
        <f>IF($A1997="",0,ROUND($E1997*$F1997,2))</f>
        <v/>
      </c>
    </row>
    <row r="1998">
      <c r="B1998" s="7" t="n"/>
      <c r="F1998" s="8" t="n"/>
      <c r="G1998" s="8">
        <f>IF($A1998="",0,ROUND($E1998*$F1998,2))</f>
        <v/>
      </c>
    </row>
    <row r="1999">
      <c r="B1999" s="7" t="n"/>
      <c r="F1999" s="8" t="n"/>
      <c r="G1999" s="8">
        <f>IF($A1999="",0,ROUND($E1999*$F1999,2))</f>
        <v/>
      </c>
    </row>
    <row r="2000">
      <c r="B2000" s="7" t="n"/>
      <c r="F2000" s="8" t="n"/>
      <c r="G2000" s="8">
        <f>IF($A2000="",0,ROUND($E2000*$F2000,2))</f>
        <v/>
      </c>
    </row>
    <row r="2001">
      <c r="B2001" s="7" t="n"/>
      <c r="F2001" s="8" t="n"/>
      <c r="G2001" s="8">
        <f>IF($A2001="",0,ROUND($E2001*$F2001,2))</f>
        <v/>
      </c>
    </row>
    <row r="2002">
      <c r="B2002" s="7" t="n"/>
      <c r="F2002" s="8" t="n"/>
      <c r="G2002" s="8">
        <f>IF($A2002="",0,ROUND($E2002*$F2002,2))</f>
        <v/>
      </c>
    </row>
    <row r="2003">
      <c r="B2003" s="7" t="n"/>
      <c r="F2003" s="8" t="n"/>
      <c r="G2003" s="8">
        <f>IF($A2003="",0,ROUND($E2003*$F2003,2))</f>
        <v/>
      </c>
    </row>
    <row r="2004">
      <c r="B2004" s="7" t="n"/>
      <c r="F2004" s="8" t="n"/>
      <c r="G2004" s="8">
        <f>IF($A2004="",0,ROUND($E2004*$F2004,2))</f>
        <v/>
      </c>
    </row>
    <row r="2005">
      <c r="B2005" s="7" t="n"/>
      <c r="F2005" s="8" t="n"/>
      <c r="G2005" s="8">
        <f>IF($A2005="",0,ROUND($E2005*$F2005,2))</f>
        <v/>
      </c>
    </row>
    <row r="2006">
      <c r="B2006" s="7" t="n"/>
      <c r="F2006" s="8" t="n"/>
      <c r="G2006" s="8">
        <f>IF($A2006="",0,ROUND($E2006*$F2006,2))</f>
        <v/>
      </c>
    </row>
    <row r="2007">
      <c r="B2007" s="7" t="n"/>
      <c r="F2007" s="8" t="n"/>
      <c r="G2007" s="8">
        <f>IF($A2007="",0,ROUND($E2007*$F2007,2))</f>
        <v/>
      </c>
    </row>
    <row r="2008">
      <c r="B2008" s="7" t="n"/>
      <c r="F2008" s="8" t="n"/>
      <c r="G2008" s="8">
        <f>IF($A2008="",0,ROUND($E2008*$F2008,2))</f>
        <v/>
      </c>
    </row>
    <row r="2009">
      <c r="B2009" s="7" t="n"/>
      <c r="F2009" s="8" t="n"/>
      <c r="G2009" s="8">
        <f>IF($A2009="",0,ROUND($E2009*$F2009,2))</f>
        <v/>
      </c>
    </row>
    <row r="2010">
      <c r="B2010" s="7" t="n"/>
      <c r="F2010" s="8" t="n"/>
      <c r="G2010" s="8">
        <f>IF($A2010="",0,ROUND($E2010*$F2010,2))</f>
        <v/>
      </c>
    </row>
    <row r="2011">
      <c r="B2011" s="7" t="n"/>
      <c r="F2011" s="8" t="n"/>
      <c r="G2011" s="8">
        <f>IF($A2011="",0,ROUND($E2011*$F2011,2))</f>
        <v/>
      </c>
    </row>
    <row r="2012">
      <c r="B2012" s="7" t="n"/>
      <c r="F2012" s="8" t="n"/>
      <c r="G2012" s="8">
        <f>IF($A2012="",0,ROUND($E2012*$F2012,2))</f>
        <v/>
      </c>
    </row>
    <row r="2013">
      <c r="B2013" s="7" t="n"/>
      <c r="F2013" s="8" t="n"/>
      <c r="G2013" s="8">
        <f>IF($A2013="",0,ROUND($E2013*$F2013,2))</f>
        <v/>
      </c>
    </row>
    <row r="2014">
      <c r="B2014" s="7" t="n"/>
      <c r="F2014" s="8" t="n"/>
      <c r="G2014" s="8">
        <f>IF($A2014="",0,ROUND($E2014*$F2014,2))</f>
        <v/>
      </c>
    </row>
    <row r="2015">
      <c r="B2015" s="7" t="n"/>
      <c r="F2015" s="8" t="n"/>
      <c r="G2015" s="8">
        <f>IF($A2015="",0,ROUND($E2015*$F2015,2))</f>
        <v/>
      </c>
    </row>
    <row r="2016">
      <c r="B2016" s="7" t="n"/>
      <c r="F2016" s="8" t="n"/>
      <c r="G2016" s="8">
        <f>IF($A2016="",0,ROUND($E2016*$F2016,2))</f>
        <v/>
      </c>
    </row>
    <row r="2017">
      <c r="B2017" s="7" t="n"/>
      <c r="F2017" s="8" t="n"/>
      <c r="G2017" s="8">
        <f>IF($A2017="",0,ROUND($E2017*$F2017,2))</f>
        <v/>
      </c>
    </row>
    <row r="2018">
      <c r="B2018" s="7" t="n"/>
      <c r="F2018" s="8" t="n"/>
      <c r="G2018" s="8">
        <f>IF($A2018="",0,ROUND($E2018*$F2018,2))</f>
        <v/>
      </c>
    </row>
    <row r="2019">
      <c r="B2019" s="7" t="n"/>
      <c r="F2019" s="8" t="n"/>
      <c r="G2019" s="8">
        <f>IF($A2019="",0,ROUND($E2019*$F2019,2))</f>
        <v/>
      </c>
    </row>
    <row r="2020">
      <c r="B2020" s="7" t="n"/>
      <c r="F2020" s="8" t="n"/>
      <c r="G2020" s="8">
        <f>IF($A2020="",0,ROUND($E2020*$F2020,2))</f>
        <v/>
      </c>
    </row>
    <row r="2021">
      <c r="B2021" s="7" t="n"/>
      <c r="F2021" s="8" t="n"/>
      <c r="G2021" s="8">
        <f>IF($A2021="",0,ROUND($E2021*$F2021,2))</f>
        <v/>
      </c>
    </row>
    <row r="2022">
      <c r="B2022" s="7" t="n"/>
      <c r="F2022" s="8" t="n"/>
      <c r="G2022" s="8">
        <f>IF($A2022="",0,ROUND($E2022*$F2022,2))</f>
        <v/>
      </c>
    </row>
    <row r="2023">
      <c r="B2023" s="7" t="n"/>
      <c r="F2023" s="8" t="n"/>
      <c r="G2023" s="8">
        <f>IF($A2023="",0,ROUND($E2023*$F2023,2))</f>
        <v/>
      </c>
    </row>
    <row r="2024">
      <c r="B2024" s="7" t="n"/>
      <c r="F2024" s="8" t="n"/>
      <c r="G2024" s="8">
        <f>IF($A2024="",0,ROUND($E2024*$F2024,2))</f>
        <v/>
      </c>
    </row>
    <row r="2025">
      <c r="B2025" s="7" t="n"/>
      <c r="F2025" s="8" t="n"/>
      <c r="G2025" s="8">
        <f>IF($A2025="",0,ROUND($E2025*$F2025,2))</f>
        <v/>
      </c>
    </row>
    <row r="2026">
      <c r="B2026" s="7" t="n"/>
      <c r="F2026" s="8" t="n"/>
      <c r="G2026" s="8">
        <f>IF($A2026="",0,ROUND($E2026*$F2026,2))</f>
        <v/>
      </c>
    </row>
    <row r="2027">
      <c r="B2027" s="7" t="n"/>
      <c r="F2027" s="8" t="n"/>
      <c r="G2027" s="8">
        <f>IF($A2027="",0,ROUND($E2027*$F2027,2))</f>
        <v/>
      </c>
    </row>
    <row r="2028">
      <c r="B2028" s="7" t="n"/>
      <c r="F2028" s="8" t="n"/>
      <c r="G2028" s="8">
        <f>IF($A2028="",0,ROUND($E2028*$F2028,2))</f>
        <v/>
      </c>
    </row>
    <row r="2029">
      <c r="B2029" s="7" t="n"/>
      <c r="F2029" s="8" t="n"/>
      <c r="G2029" s="8">
        <f>IF($A2029="",0,ROUND($E2029*$F2029,2))</f>
        <v/>
      </c>
    </row>
    <row r="2030">
      <c r="B2030" s="7" t="n"/>
      <c r="F2030" s="8" t="n"/>
      <c r="G2030" s="8">
        <f>IF($A2030="",0,ROUND($E2030*$F2030,2))</f>
        <v/>
      </c>
    </row>
    <row r="2031">
      <c r="B2031" s="7" t="n"/>
      <c r="F2031" s="8" t="n"/>
      <c r="G2031" s="8">
        <f>IF($A2031="",0,ROUND($E2031*$F2031,2))</f>
        <v/>
      </c>
    </row>
    <row r="2032">
      <c r="B2032" s="7" t="n"/>
      <c r="F2032" s="8" t="n"/>
      <c r="G2032" s="8">
        <f>IF($A2032="",0,ROUND($E2032*$F2032,2))</f>
        <v/>
      </c>
    </row>
    <row r="2033">
      <c r="B2033" s="7" t="n"/>
      <c r="F2033" s="8" t="n"/>
      <c r="G2033" s="8">
        <f>IF($A2033="",0,ROUND($E2033*$F2033,2))</f>
        <v/>
      </c>
    </row>
    <row r="2034">
      <c r="B2034" s="7" t="n"/>
      <c r="F2034" s="8" t="n"/>
      <c r="G2034" s="8">
        <f>IF($A2034="",0,ROUND($E2034*$F2034,2))</f>
        <v/>
      </c>
    </row>
    <row r="2035">
      <c r="B2035" s="7" t="n"/>
      <c r="F2035" s="8" t="n"/>
      <c r="G2035" s="8">
        <f>IF($A2035="",0,ROUND($E2035*$F2035,2))</f>
        <v/>
      </c>
    </row>
    <row r="2036">
      <c r="B2036" s="7" t="n"/>
      <c r="F2036" s="8" t="n"/>
      <c r="G2036" s="8">
        <f>IF($A2036="",0,ROUND($E2036*$F2036,2))</f>
        <v/>
      </c>
    </row>
    <row r="2037">
      <c r="B2037" s="7" t="n"/>
      <c r="F2037" s="8" t="n"/>
      <c r="G2037" s="8">
        <f>IF($A2037="",0,ROUND($E2037*$F2037,2))</f>
        <v/>
      </c>
    </row>
    <row r="2038">
      <c r="B2038" s="7" t="n"/>
      <c r="F2038" s="8" t="n"/>
      <c r="G2038" s="8">
        <f>IF($A2038="",0,ROUND($E2038*$F2038,2))</f>
        <v/>
      </c>
    </row>
    <row r="2039">
      <c r="B2039" s="7" t="n"/>
      <c r="F2039" s="8" t="n"/>
      <c r="G2039" s="8">
        <f>IF($A2039="",0,ROUND($E2039*$F2039,2))</f>
        <v/>
      </c>
    </row>
    <row r="2040">
      <c r="B2040" s="7" t="n"/>
      <c r="F2040" s="8" t="n"/>
      <c r="G2040" s="8">
        <f>IF($A2040="",0,ROUND($E2040*$F2040,2))</f>
        <v/>
      </c>
    </row>
    <row r="2041">
      <c r="B2041" s="7" t="n"/>
      <c r="F2041" s="8" t="n"/>
      <c r="G2041" s="8">
        <f>IF($A2041="",0,ROUND($E2041*$F2041,2))</f>
        <v/>
      </c>
    </row>
    <row r="2042">
      <c r="B2042" s="7" t="n"/>
      <c r="F2042" s="8" t="n"/>
      <c r="G2042" s="8">
        <f>IF($A2042="",0,ROUND($E2042*$F2042,2))</f>
        <v/>
      </c>
    </row>
    <row r="2043">
      <c r="B2043" s="7" t="n"/>
      <c r="F2043" s="8" t="n"/>
      <c r="G2043" s="8">
        <f>IF($A2043="",0,ROUND($E2043*$F2043,2))</f>
        <v/>
      </c>
    </row>
    <row r="2044">
      <c r="B2044" s="7" t="n"/>
      <c r="F2044" s="8" t="n"/>
      <c r="G2044" s="8">
        <f>IF($A2044="",0,ROUND($E2044*$F2044,2))</f>
        <v/>
      </c>
    </row>
    <row r="2045">
      <c r="B2045" s="7" t="n"/>
      <c r="F2045" s="8" t="n"/>
      <c r="G2045" s="8">
        <f>IF($A2045="",0,ROUND($E2045*$F2045,2))</f>
        <v/>
      </c>
    </row>
    <row r="2046">
      <c r="B2046" s="7" t="n"/>
      <c r="F2046" s="8" t="n"/>
      <c r="G2046" s="8">
        <f>IF($A2046="",0,ROUND($E2046*$F2046,2))</f>
        <v/>
      </c>
    </row>
    <row r="2047">
      <c r="B2047" s="7" t="n"/>
      <c r="F2047" s="8" t="n"/>
      <c r="G2047" s="8">
        <f>IF($A2047="",0,ROUND($E2047*$F2047,2))</f>
        <v/>
      </c>
    </row>
    <row r="2048">
      <c r="B2048" s="7" t="n"/>
      <c r="F2048" s="8" t="n"/>
      <c r="G2048" s="8">
        <f>IF($A2048="",0,ROUND($E2048*$F2048,2))</f>
        <v/>
      </c>
    </row>
    <row r="2049">
      <c r="B2049" s="7" t="n"/>
      <c r="F2049" s="8" t="n"/>
      <c r="G2049" s="8">
        <f>IF($A2049="",0,ROUND($E2049*$F2049,2))</f>
        <v/>
      </c>
    </row>
    <row r="2050">
      <c r="B2050" s="7" t="n"/>
      <c r="F2050" s="8" t="n"/>
      <c r="G2050" s="8">
        <f>IF($A2050="",0,ROUND($E2050*$F2050,2))</f>
        <v/>
      </c>
    </row>
    <row r="2051">
      <c r="B2051" s="7" t="n"/>
      <c r="F2051" s="8" t="n"/>
      <c r="G2051" s="8">
        <f>IF($A2051="",0,ROUND($E2051*$F2051,2))</f>
        <v/>
      </c>
    </row>
    <row r="2052">
      <c r="B2052" s="7" t="n"/>
      <c r="F2052" s="8" t="n"/>
      <c r="G2052" s="8">
        <f>IF($A2052="",0,ROUND($E2052*$F2052,2))</f>
        <v/>
      </c>
    </row>
    <row r="2053">
      <c r="B2053" s="7" t="n"/>
      <c r="F2053" s="8" t="n"/>
      <c r="G2053" s="8">
        <f>IF($A2053="",0,ROUND($E2053*$F2053,2))</f>
        <v/>
      </c>
    </row>
    <row r="2054">
      <c r="B2054" s="7" t="n"/>
      <c r="F2054" s="8" t="n"/>
      <c r="G2054" s="8">
        <f>IF($A2054="",0,ROUND($E2054*$F2054,2))</f>
        <v/>
      </c>
    </row>
    <row r="2055">
      <c r="B2055" s="7" t="n"/>
      <c r="F2055" s="8" t="n"/>
      <c r="G2055" s="8">
        <f>IF($A2055="",0,ROUND($E2055*$F2055,2))</f>
        <v/>
      </c>
    </row>
    <row r="2056">
      <c r="B2056" s="7" t="n"/>
      <c r="F2056" s="8" t="n"/>
      <c r="G2056" s="8">
        <f>IF($A2056="",0,ROUND($E2056*$F2056,2))</f>
        <v/>
      </c>
    </row>
    <row r="2057">
      <c r="B2057" s="7" t="n"/>
      <c r="F2057" s="8" t="n"/>
      <c r="G2057" s="8">
        <f>IF($A2057="",0,ROUND($E2057*$F2057,2))</f>
        <v/>
      </c>
    </row>
    <row r="2058">
      <c r="B2058" s="7" t="n"/>
      <c r="F2058" s="8" t="n"/>
      <c r="G2058" s="8">
        <f>IF($A2058="",0,ROUND($E2058*$F2058,2))</f>
        <v/>
      </c>
    </row>
    <row r="2059">
      <c r="B2059" s="7" t="n"/>
      <c r="F2059" s="8" t="n"/>
      <c r="G2059" s="8">
        <f>IF($A2059="",0,ROUND($E2059*$F2059,2))</f>
        <v/>
      </c>
    </row>
    <row r="2060">
      <c r="B2060" s="7" t="n"/>
      <c r="F2060" s="8" t="n"/>
      <c r="G2060" s="8">
        <f>IF($A2060="",0,ROUND($E2060*$F2060,2))</f>
        <v/>
      </c>
    </row>
    <row r="2061">
      <c r="B2061" s="7" t="n"/>
      <c r="F2061" s="8" t="n"/>
      <c r="G2061" s="8">
        <f>IF($A2061="",0,ROUND($E2061*$F2061,2))</f>
        <v/>
      </c>
    </row>
    <row r="2062">
      <c r="B2062" s="7" t="n"/>
      <c r="F2062" s="8" t="n"/>
      <c r="G2062" s="8">
        <f>IF($A2062="",0,ROUND($E2062*$F2062,2))</f>
        <v/>
      </c>
    </row>
    <row r="2063">
      <c r="B2063" s="7" t="n"/>
      <c r="F2063" s="8" t="n"/>
      <c r="G2063" s="8">
        <f>IF($A2063="",0,ROUND($E2063*$F2063,2))</f>
        <v/>
      </c>
    </row>
    <row r="2064">
      <c r="B2064" s="7" t="n"/>
      <c r="F2064" s="8" t="n"/>
      <c r="G2064" s="8">
        <f>IF($A2064="",0,ROUND($E2064*$F2064,2))</f>
        <v/>
      </c>
    </row>
    <row r="2065">
      <c r="B2065" s="7" t="n"/>
      <c r="F2065" s="8" t="n"/>
      <c r="G2065" s="8">
        <f>IF($A2065="",0,ROUND($E2065*$F2065,2))</f>
        <v/>
      </c>
    </row>
    <row r="2066">
      <c r="B2066" s="7" t="n"/>
      <c r="F2066" s="8" t="n"/>
      <c r="G2066" s="8">
        <f>IF($A2066="",0,ROUND($E2066*$F2066,2))</f>
        <v/>
      </c>
    </row>
    <row r="2067">
      <c r="B2067" s="7" t="n"/>
      <c r="F2067" s="8" t="n"/>
      <c r="G2067" s="8">
        <f>IF($A2067="",0,ROUND($E2067*$F2067,2))</f>
        <v/>
      </c>
    </row>
    <row r="2068">
      <c r="B2068" s="7" t="n"/>
      <c r="F2068" s="8" t="n"/>
      <c r="G2068" s="8">
        <f>IF($A2068="",0,ROUND($E2068*$F2068,2))</f>
        <v/>
      </c>
    </row>
    <row r="2069">
      <c r="B2069" s="7" t="n"/>
      <c r="F2069" s="8" t="n"/>
      <c r="G2069" s="8">
        <f>IF($A2069="",0,ROUND($E2069*$F2069,2))</f>
        <v/>
      </c>
    </row>
    <row r="2070">
      <c r="B2070" s="7" t="n"/>
      <c r="F2070" s="8" t="n"/>
      <c r="G2070" s="8">
        <f>IF($A2070="",0,ROUND($E2070*$F2070,2))</f>
        <v/>
      </c>
    </row>
    <row r="2071">
      <c r="B2071" s="7" t="n"/>
      <c r="F2071" s="8" t="n"/>
      <c r="G2071" s="8">
        <f>IF($A2071="",0,ROUND($E2071*$F2071,2))</f>
        <v/>
      </c>
    </row>
    <row r="2072">
      <c r="B2072" s="7" t="n"/>
      <c r="F2072" s="8" t="n"/>
      <c r="G2072" s="8">
        <f>IF($A2072="",0,ROUND($E2072*$F2072,2))</f>
        <v/>
      </c>
    </row>
    <row r="2073">
      <c r="B2073" s="7" t="n"/>
      <c r="F2073" s="8" t="n"/>
      <c r="G2073" s="8">
        <f>IF($A2073="",0,ROUND($E2073*$F2073,2))</f>
        <v/>
      </c>
    </row>
    <row r="2074">
      <c r="B2074" s="7" t="n"/>
      <c r="F2074" s="8" t="n"/>
      <c r="G2074" s="8">
        <f>IF($A2074="",0,ROUND($E2074*$F2074,2))</f>
        <v/>
      </c>
    </row>
    <row r="2075">
      <c r="B2075" s="7" t="n"/>
      <c r="F2075" s="8" t="n"/>
      <c r="G2075" s="8">
        <f>IF($A2075="",0,ROUND($E2075*$F2075,2))</f>
        <v/>
      </c>
    </row>
    <row r="2076">
      <c r="B2076" s="7" t="n"/>
      <c r="F2076" s="8" t="n"/>
      <c r="G2076" s="8">
        <f>IF($A2076="",0,ROUND($E2076*$F2076,2))</f>
        <v/>
      </c>
    </row>
    <row r="2077">
      <c r="B2077" s="7" t="n"/>
      <c r="F2077" s="8" t="n"/>
      <c r="G2077" s="8">
        <f>IF($A2077="",0,ROUND($E2077*$F2077,2))</f>
        <v/>
      </c>
    </row>
    <row r="2078">
      <c r="B2078" s="7" t="n"/>
      <c r="F2078" s="8" t="n"/>
      <c r="G2078" s="8">
        <f>IF($A2078="",0,ROUND($E2078*$F2078,2))</f>
        <v/>
      </c>
    </row>
    <row r="2079">
      <c r="B2079" s="7" t="n"/>
      <c r="F2079" s="8" t="n"/>
      <c r="G2079" s="8">
        <f>IF($A2079="",0,ROUND($E2079*$F2079,2))</f>
        <v/>
      </c>
    </row>
    <row r="2080">
      <c r="B2080" s="7" t="n"/>
      <c r="F2080" s="8" t="n"/>
      <c r="G2080" s="8">
        <f>IF($A2080="",0,ROUND($E2080*$F2080,2))</f>
        <v/>
      </c>
    </row>
    <row r="2081">
      <c r="B2081" s="7" t="n"/>
      <c r="F2081" s="8" t="n"/>
      <c r="G2081" s="8">
        <f>IF($A2081="",0,ROUND($E2081*$F2081,2))</f>
        <v/>
      </c>
    </row>
    <row r="2082">
      <c r="B2082" s="7" t="n"/>
      <c r="F2082" s="8" t="n"/>
      <c r="G2082" s="8">
        <f>IF($A2082="",0,ROUND($E2082*$F2082,2))</f>
        <v/>
      </c>
    </row>
    <row r="2083">
      <c r="B2083" s="7" t="n"/>
      <c r="F2083" s="8" t="n"/>
      <c r="G2083" s="8">
        <f>IF($A2083="",0,ROUND($E2083*$F2083,2))</f>
        <v/>
      </c>
    </row>
    <row r="2084">
      <c r="B2084" s="7" t="n"/>
      <c r="F2084" s="8" t="n"/>
      <c r="G2084" s="8">
        <f>IF($A2084="",0,ROUND($E2084*$F2084,2))</f>
        <v/>
      </c>
    </row>
    <row r="2085">
      <c r="B2085" s="7" t="n"/>
      <c r="F2085" s="8" t="n"/>
      <c r="G2085" s="8">
        <f>IF($A2085="",0,ROUND($E2085*$F2085,2))</f>
        <v/>
      </c>
    </row>
    <row r="2086">
      <c r="B2086" s="7" t="n"/>
      <c r="F2086" s="8" t="n"/>
      <c r="G2086" s="8">
        <f>IF($A2086="",0,ROUND($E2086*$F2086,2))</f>
        <v/>
      </c>
    </row>
    <row r="2087">
      <c r="B2087" s="7" t="n"/>
      <c r="F2087" s="8" t="n"/>
      <c r="G2087" s="8">
        <f>IF($A2087="",0,ROUND($E2087*$F2087,2))</f>
        <v/>
      </c>
    </row>
    <row r="2088">
      <c r="B2088" s="7" t="n"/>
      <c r="F2088" s="8" t="n"/>
      <c r="G2088" s="8">
        <f>IF($A2088="",0,ROUND($E2088*$F2088,2))</f>
        <v/>
      </c>
    </row>
    <row r="2089">
      <c r="B2089" s="7" t="n"/>
      <c r="F2089" s="8" t="n"/>
      <c r="G2089" s="8">
        <f>IF($A2089="",0,ROUND($E2089*$F2089,2))</f>
        <v/>
      </c>
    </row>
    <row r="2090">
      <c r="B2090" s="7" t="n"/>
      <c r="F2090" s="8" t="n"/>
      <c r="G2090" s="8">
        <f>IF($A2090="",0,ROUND($E2090*$F2090,2))</f>
        <v/>
      </c>
    </row>
    <row r="2091">
      <c r="B2091" s="7" t="n"/>
      <c r="F2091" s="8" t="n"/>
      <c r="G2091" s="8">
        <f>IF($A2091="",0,ROUND($E2091*$F2091,2))</f>
        <v/>
      </c>
    </row>
    <row r="2092">
      <c r="B2092" s="7" t="n"/>
      <c r="F2092" s="8" t="n"/>
      <c r="G2092" s="8">
        <f>IF($A2092="",0,ROUND($E2092*$F2092,2))</f>
        <v/>
      </c>
    </row>
    <row r="2093">
      <c r="B2093" s="7" t="n"/>
      <c r="F2093" s="8" t="n"/>
      <c r="G2093" s="8">
        <f>IF($A2093="",0,ROUND($E2093*$F2093,2))</f>
        <v/>
      </c>
    </row>
    <row r="2094">
      <c r="B2094" s="7" t="n"/>
      <c r="F2094" s="8" t="n"/>
      <c r="G2094" s="8">
        <f>IF($A2094="",0,ROUND($E2094*$F2094,2))</f>
        <v/>
      </c>
    </row>
    <row r="2095">
      <c r="B2095" s="7" t="n"/>
      <c r="F2095" s="8" t="n"/>
      <c r="G2095" s="8">
        <f>IF($A2095="",0,ROUND($E2095*$F2095,2))</f>
        <v/>
      </c>
    </row>
    <row r="2096">
      <c r="B2096" s="7" t="n"/>
      <c r="F2096" s="8" t="n"/>
      <c r="G2096" s="8">
        <f>IF($A2096="",0,ROUND($E2096*$F2096,2))</f>
        <v/>
      </c>
    </row>
    <row r="2097">
      <c r="B2097" s="7" t="n"/>
      <c r="F2097" s="8" t="n"/>
      <c r="G2097" s="8">
        <f>IF($A2097="",0,ROUND($E2097*$F2097,2))</f>
        <v/>
      </c>
    </row>
    <row r="2098">
      <c r="B2098" s="7" t="n"/>
      <c r="F2098" s="8" t="n"/>
      <c r="G2098" s="8">
        <f>IF($A2098="",0,ROUND($E2098*$F2098,2))</f>
        <v/>
      </c>
    </row>
    <row r="2099">
      <c r="B2099" s="7" t="n"/>
      <c r="F2099" s="8" t="n"/>
      <c r="G2099" s="8">
        <f>IF($A2099="",0,ROUND($E2099*$F2099,2))</f>
        <v/>
      </c>
    </row>
    <row r="2100">
      <c r="B2100" s="7" t="n"/>
      <c r="F2100" s="8" t="n"/>
      <c r="G2100" s="8">
        <f>IF($A2100="",0,ROUND($E2100*$F2100,2))</f>
        <v/>
      </c>
    </row>
    <row r="2101">
      <c r="B2101" s="7" t="n"/>
      <c r="F2101" s="8" t="n"/>
      <c r="G2101" s="8">
        <f>IF($A2101="",0,ROUND($E2101*$F2101,2))</f>
        <v/>
      </c>
    </row>
    <row r="2102">
      <c r="B2102" s="7" t="n"/>
      <c r="F2102" s="8" t="n"/>
      <c r="G2102" s="8">
        <f>IF($A2102="",0,ROUND($E2102*$F2102,2))</f>
        <v/>
      </c>
    </row>
    <row r="2103">
      <c r="B2103" s="7" t="n"/>
      <c r="F2103" s="8" t="n"/>
      <c r="G2103" s="8">
        <f>IF($A2103="",0,ROUND($E2103*$F2103,2))</f>
        <v/>
      </c>
    </row>
    <row r="2104">
      <c r="B2104" s="7" t="n"/>
      <c r="F2104" s="8" t="n"/>
      <c r="G2104" s="8">
        <f>IF($A2104="",0,ROUND($E2104*$F2104,2))</f>
        <v/>
      </c>
    </row>
    <row r="2105">
      <c r="B2105" s="7" t="n"/>
      <c r="F2105" s="8" t="n"/>
      <c r="G2105" s="8">
        <f>IF($A2105="",0,ROUND($E2105*$F2105,2))</f>
        <v/>
      </c>
    </row>
    <row r="2106">
      <c r="B2106" s="7" t="n"/>
      <c r="F2106" s="8" t="n"/>
      <c r="G2106" s="8">
        <f>IF($A2106="",0,ROUND($E2106*$F2106,2))</f>
        <v/>
      </c>
    </row>
    <row r="2107">
      <c r="B2107" s="7" t="n"/>
      <c r="F2107" s="8" t="n"/>
      <c r="G2107" s="8">
        <f>IF($A2107="",0,ROUND($E2107*$F2107,2))</f>
        <v/>
      </c>
    </row>
    <row r="2108">
      <c r="B2108" s="7" t="n"/>
      <c r="F2108" s="8" t="n"/>
      <c r="G2108" s="8">
        <f>IF($A2108="",0,ROUND($E2108*$F2108,2))</f>
        <v/>
      </c>
    </row>
    <row r="2109">
      <c r="B2109" s="7" t="n"/>
      <c r="F2109" s="8" t="n"/>
      <c r="G2109" s="8">
        <f>IF($A2109="",0,ROUND($E2109*$F2109,2))</f>
        <v/>
      </c>
    </row>
    <row r="2110">
      <c r="B2110" s="7" t="n"/>
      <c r="F2110" s="8" t="n"/>
      <c r="G2110" s="8">
        <f>IF($A2110="",0,ROUND($E2110*$F2110,2))</f>
        <v/>
      </c>
    </row>
    <row r="2111">
      <c r="B2111" s="7" t="n"/>
      <c r="F2111" s="8" t="n"/>
      <c r="G2111" s="8">
        <f>IF($A2111="",0,ROUND($E2111*$F2111,2))</f>
        <v/>
      </c>
    </row>
    <row r="2112">
      <c r="B2112" s="7" t="n"/>
      <c r="F2112" s="8" t="n"/>
      <c r="G2112" s="8">
        <f>IF($A2112="",0,ROUND($E2112*$F2112,2))</f>
        <v/>
      </c>
    </row>
    <row r="2113">
      <c r="B2113" s="7" t="n"/>
      <c r="F2113" s="8" t="n"/>
      <c r="G2113" s="8">
        <f>IF($A2113="",0,ROUND($E2113*$F2113,2))</f>
        <v/>
      </c>
    </row>
    <row r="2114">
      <c r="B2114" s="7" t="n"/>
      <c r="F2114" s="8" t="n"/>
      <c r="G2114" s="8">
        <f>IF($A2114="",0,ROUND($E2114*$F2114,2))</f>
        <v/>
      </c>
    </row>
    <row r="2115">
      <c r="B2115" s="7" t="n"/>
      <c r="F2115" s="8" t="n"/>
      <c r="G2115" s="8">
        <f>IF($A2115="",0,ROUND($E2115*$F2115,2))</f>
        <v/>
      </c>
    </row>
    <row r="2116">
      <c r="B2116" s="7" t="n"/>
      <c r="F2116" s="8" t="n"/>
      <c r="G2116" s="8">
        <f>IF($A2116="",0,ROUND($E2116*$F2116,2))</f>
        <v/>
      </c>
    </row>
    <row r="2117">
      <c r="B2117" s="7" t="n"/>
      <c r="F2117" s="8" t="n"/>
      <c r="G2117" s="8">
        <f>IF($A2117="",0,ROUND($E2117*$F2117,2))</f>
        <v/>
      </c>
    </row>
    <row r="2118">
      <c r="B2118" s="7" t="n"/>
      <c r="F2118" s="8" t="n"/>
      <c r="G2118" s="8">
        <f>IF($A2118="",0,ROUND($E2118*$F2118,2))</f>
        <v/>
      </c>
    </row>
    <row r="2119">
      <c r="B2119" s="7" t="n"/>
      <c r="F2119" s="8" t="n"/>
      <c r="G2119" s="8">
        <f>IF($A2119="",0,ROUND($E2119*$F2119,2))</f>
        <v/>
      </c>
    </row>
    <row r="2120">
      <c r="B2120" s="7" t="n"/>
      <c r="F2120" s="8" t="n"/>
      <c r="G2120" s="8">
        <f>IF($A2120="",0,ROUND($E2120*$F2120,2))</f>
        <v/>
      </c>
    </row>
    <row r="2121">
      <c r="B2121" s="7" t="n"/>
      <c r="F2121" s="8" t="n"/>
      <c r="G2121" s="8">
        <f>IF($A2121="",0,ROUND($E2121*$F2121,2))</f>
        <v/>
      </c>
    </row>
    <row r="2122">
      <c r="B2122" s="7" t="n"/>
      <c r="F2122" s="8" t="n"/>
      <c r="G2122" s="8">
        <f>IF($A2122="",0,ROUND($E2122*$F2122,2))</f>
        <v/>
      </c>
    </row>
    <row r="2123">
      <c r="B2123" s="7" t="n"/>
      <c r="F2123" s="8" t="n"/>
      <c r="G2123" s="8">
        <f>IF($A2123="",0,ROUND($E2123*$F2123,2))</f>
        <v/>
      </c>
    </row>
    <row r="2124">
      <c r="B2124" s="7" t="n"/>
      <c r="F2124" s="8" t="n"/>
      <c r="G2124" s="8">
        <f>IF($A2124="",0,ROUND($E2124*$F2124,2))</f>
        <v/>
      </c>
    </row>
    <row r="2125">
      <c r="B2125" s="7" t="n"/>
      <c r="F2125" s="8" t="n"/>
      <c r="G2125" s="8">
        <f>IF($A2125="",0,ROUND($E2125*$F2125,2))</f>
        <v/>
      </c>
    </row>
    <row r="2126">
      <c r="B2126" s="7" t="n"/>
      <c r="F2126" s="8" t="n"/>
      <c r="G2126" s="8">
        <f>IF($A2126="",0,ROUND($E2126*$F2126,2))</f>
        <v/>
      </c>
    </row>
    <row r="2127">
      <c r="B2127" s="7" t="n"/>
      <c r="F2127" s="8" t="n"/>
      <c r="G2127" s="8">
        <f>IF($A2127="",0,ROUND($E2127*$F2127,2))</f>
        <v/>
      </c>
    </row>
    <row r="2128">
      <c r="B2128" s="7" t="n"/>
      <c r="F2128" s="8" t="n"/>
      <c r="G2128" s="8">
        <f>IF($A2128="",0,ROUND($E2128*$F2128,2))</f>
        <v/>
      </c>
    </row>
    <row r="2129">
      <c r="B2129" s="7" t="n"/>
      <c r="F2129" s="8" t="n"/>
      <c r="G2129" s="8">
        <f>IF($A2129="",0,ROUND($E2129*$F2129,2))</f>
        <v/>
      </c>
    </row>
    <row r="2130">
      <c r="B2130" s="7" t="n"/>
      <c r="F2130" s="8" t="n"/>
      <c r="G2130" s="8">
        <f>IF($A2130="",0,ROUND($E2130*$F2130,2))</f>
        <v/>
      </c>
    </row>
    <row r="2131">
      <c r="B2131" s="7" t="n"/>
      <c r="F2131" s="8" t="n"/>
      <c r="G2131" s="8">
        <f>IF($A2131="",0,ROUND($E2131*$F2131,2))</f>
        <v/>
      </c>
    </row>
    <row r="2132">
      <c r="B2132" s="7" t="n"/>
      <c r="F2132" s="8" t="n"/>
      <c r="G2132" s="8">
        <f>IF($A2132="",0,ROUND($E2132*$F2132,2))</f>
        <v/>
      </c>
    </row>
    <row r="2133">
      <c r="B2133" s="7" t="n"/>
      <c r="F2133" s="8" t="n"/>
      <c r="G2133" s="8">
        <f>IF($A2133="",0,ROUND($E2133*$F2133,2))</f>
        <v/>
      </c>
    </row>
    <row r="2134">
      <c r="B2134" s="7" t="n"/>
      <c r="F2134" s="8" t="n"/>
      <c r="G2134" s="8">
        <f>IF($A2134="",0,ROUND($E2134*$F2134,2))</f>
        <v/>
      </c>
    </row>
    <row r="2135">
      <c r="B2135" s="7" t="n"/>
      <c r="F2135" s="8" t="n"/>
      <c r="G2135" s="8">
        <f>IF($A2135="",0,ROUND($E2135*$F2135,2))</f>
        <v/>
      </c>
    </row>
    <row r="2136">
      <c r="B2136" s="7" t="n"/>
      <c r="F2136" s="8" t="n"/>
      <c r="G2136" s="8">
        <f>IF($A2136="",0,ROUND($E2136*$F2136,2))</f>
        <v/>
      </c>
    </row>
    <row r="2137">
      <c r="B2137" s="7" t="n"/>
      <c r="F2137" s="8" t="n"/>
      <c r="G2137" s="8">
        <f>IF($A2137="",0,ROUND($E2137*$F2137,2))</f>
        <v/>
      </c>
    </row>
    <row r="2138">
      <c r="B2138" s="7" t="n"/>
      <c r="F2138" s="8" t="n"/>
      <c r="G2138" s="8">
        <f>IF($A2138="",0,ROUND($E2138*$F2138,2))</f>
        <v/>
      </c>
    </row>
    <row r="2139">
      <c r="B2139" s="7" t="n"/>
      <c r="F2139" s="8" t="n"/>
      <c r="G2139" s="8">
        <f>IF($A2139="",0,ROUND($E2139*$F2139,2))</f>
        <v/>
      </c>
    </row>
    <row r="2140">
      <c r="B2140" s="7" t="n"/>
      <c r="F2140" s="8" t="n"/>
      <c r="G2140" s="8">
        <f>IF($A2140="",0,ROUND($E2140*$F2140,2))</f>
        <v/>
      </c>
    </row>
    <row r="2141">
      <c r="B2141" s="7" t="n"/>
      <c r="F2141" s="8" t="n"/>
      <c r="G2141" s="8">
        <f>IF($A2141="",0,ROUND($E2141*$F2141,2))</f>
        <v/>
      </c>
    </row>
    <row r="2142">
      <c r="B2142" s="7" t="n"/>
      <c r="F2142" s="8" t="n"/>
      <c r="G2142" s="8">
        <f>IF($A2142="",0,ROUND($E2142*$F2142,2))</f>
        <v/>
      </c>
    </row>
    <row r="2143">
      <c r="B2143" s="7" t="n"/>
      <c r="F2143" s="8" t="n"/>
      <c r="G2143" s="8">
        <f>IF($A2143="",0,ROUND($E2143*$F2143,2))</f>
        <v/>
      </c>
    </row>
    <row r="2144">
      <c r="B2144" s="7" t="n"/>
      <c r="F2144" s="8" t="n"/>
      <c r="G2144" s="8">
        <f>IF($A2144="",0,ROUND($E2144*$F2144,2))</f>
        <v/>
      </c>
    </row>
    <row r="2145">
      <c r="B2145" s="7" t="n"/>
      <c r="F2145" s="8" t="n"/>
      <c r="G2145" s="8">
        <f>IF($A2145="",0,ROUND($E2145*$F2145,2))</f>
        <v/>
      </c>
    </row>
    <row r="2146">
      <c r="B2146" s="7" t="n"/>
      <c r="F2146" s="8" t="n"/>
      <c r="G2146" s="8">
        <f>IF($A2146="",0,ROUND($E2146*$F2146,2))</f>
        <v/>
      </c>
    </row>
    <row r="2147">
      <c r="B2147" s="7" t="n"/>
      <c r="F2147" s="8" t="n"/>
      <c r="G2147" s="8">
        <f>IF($A2147="",0,ROUND($E2147*$F2147,2))</f>
        <v/>
      </c>
    </row>
    <row r="2148">
      <c r="B2148" s="7" t="n"/>
      <c r="F2148" s="8" t="n"/>
      <c r="G2148" s="8">
        <f>IF($A2148="",0,ROUND($E2148*$F2148,2))</f>
        <v/>
      </c>
    </row>
    <row r="2149">
      <c r="B2149" s="7" t="n"/>
      <c r="F2149" s="8" t="n"/>
      <c r="G2149" s="8">
        <f>IF($A2149="",0,ROUND($E2149*$F2149,2))</f>
        <v/>
      </c>
    </row>
    <row r="2150">
      <c r="B2150" s="7" t="n"/>
      <c r="F2150" s="8" t="n"/>
      <c r="G2150" s="8">
        <f>IF($A2150="",0,ROUND($E2150*$F2150,2))</f>
        <v/>
      </c>
    </row>
    <row r="2151">
      <c r="B2151" s="7" t="n"/>
      <c r="F2151" s="8" t="n"/>
      <c r="G2151" s="8">
        <f>IF($A2151="",0,ROUND($E2151*$F2151,2))</f>
        <v/>
      </c>
    </row>
    <row r="2152">
      <c r="B2152" s="7" t="n"/>
      <c r="F2152" s="8" t="n"/>
      <c r="G2152" s="8">
        <f>IF($A2152="",0,ROUND($E2152*$F2152,2))</f>
        <v/>
      </c>
    </row>
    <row r="2153">
      <c r="B2153" s="7" t="n"/>
      <c r="F2153" s="8" t="n"/>
      <c r="G2153" s="8">
        <f>IF($A2153="",0,ROUND($E2153*$F2153,2))</f>
        <v/>
      </c>
    </row>
    <row r="2154">
      <c r="B2154" s="7" t="n"/>
      <c r="F2154" s="8" t="n"/>
      <c r="G2154" s="8">
        <f>IF($A2154="",0,ROUND($E2154*$F2154,2))</f>
        <v/>
      </c>
    </row>
    <row r="2155">
      <c r="B2155" s="7" t="n"/>
      <c r="F2155" s="8" t="n"/>
      <c r="G2155" s="8">
        <f>IF($A2155="",0,ROUND($E2155*$F2155,2))</f>
        <v/>
      </c>
    </row>
    <row r="2156">
      <c r="B2156" s="7" t="n"/>
      <c r="F2156" s="8" t="n"/>
      <c r="G2156" s="8">
        <f>IF($A2156="",0,ROUND($E2156*$F2156,2))</f>
        <v/>
      </c>
    </row>
    <row r="2157">
      <c r="B2157" s="7" t="n"/>
      <c r="F2157" s="8" t="n"/>
      <c r="G2157" s="8">
        <f>IF($A2157="",0,ROUND($E2157*$F2157,2))</f>
        <v/>
      </c>
    </row>
    <row r="2158">
      <c r="B2158" s="7" t="n"/>
      <c r="F2158" s="8" t="n"/>
      <c r="G2158" s="8">
        <f>IF($A2158="",0,ROUND($E2158*$F2158,2))</f>
        <v/>
      </c>
    </row>
    <row r="2159">
      <c r="B2159" s="7" t="n"/>
      <c r="F2159" s="8" t="n"/>
      <c r="G2159" s="8">
        <f>IF($A2159="",0,ROUND($E2159*$F2159,2))</f>
        <v/>
      </c>
    </row>
    <row r="2160">
      <c r="B2160" s="7" t="n"/>
      <c r="F2160" s="8" t="n"/>
      <c r="G2160" s="8">
        <f>IF($A2160="",0,ROUND($E2160*$F2160,2))</f>
        <v/>
      </c>
    </row>
    <row r="2161">
      <c r="B2161" s="7" t="n"/>
      <c r="F2161" s="8" t="n"/>
      <c r="G2161" s="8">
        <f>IF($A2161="",0,ROUND($E2161*$F2161,2))</f>
        <v/>
      </c>
    </row>
    <row r="2162">
      <c r="B2162" s="7" t="n"/>
      <c r="F2162" s="8" t="n"/>
      <c r="G2162" s="8">
        <f>IF($A2162="",0,ROUND($E2162*$F2162,2))</f>
        <v/>
      </c>
    </row>
    <row r="2163">
      <c r="B2163" s="7" t="n"/>
      <c r="F2163" s="8" t="n"/>
      <c r="G2163" s="8">
        <f>IF($A2163="",0,ROUND($E2163*$F2163,2))</f>
        <v/>
      </c>
    </row>
    <row r="2164">
      <c r="B2164" s="7" t="n"/>
      <c r="F2164" s="8" t="n"/>
      <c r="G2164" s="8">
        <f>IF($A2164="",0,ROUND($E2164*$F2164,2))</f>
        <v/>
      </c>
    </row>
    <row r="2165">
      <c r="B2165" s="7" t="n"/>
      <c r="F2165" s="8" t="n"/>
      <c r="G2165" s="8">
        <f>IF($A2165="",0,ROUND($E2165*$F2165,2))</f>
        <v/>
      </c>
    </row>
    <row r="2166">
      <c r="B2166" s="7" t="n"/>
      <c r="F2166" s="8" t="n"/>
      <c r="G2166" s="8">
        <f>IF($A2166="",0,ROUND($E2166*$F2166,2))</f>
        <v/>
      </c>
    </row>
    <row r="2167">
      <c r="B2167" s="7" t="n"/>
      <c r="F2167" s="8" t="n"/>
      <c r="G2167" s="8">
        <f>IF($A2167="",0,ROUND($E2167*$F2167,2))</f>
        <v/>
      </c>
    </row>
    <row r="2168">
      <c r="B2168" s="7" t="n"/>
      <c r="F2168" s="8" t="n"/>
      <c r="G2168" s="8">
        <f>IF($A2168="",0,ROUND($E2168*$F2168,2))</f>
        <v/>
      </c>
    </row>
    <row r="2169">
      <c r="B2169" s="7" t="n"/>
      <c r="F2169" s="8" t="n"/>
      <c r="G2169" s="8">
        <f>IF($A2169="",0,ROUND($E2169*$F2169,2))</f>
        <v/>
      </c>
    </row>
    <row r="2170">
      <c r="B2170" s="7" t="n"/>
      <c r="F2170" s="8" t="n"/>
      <c r="G2170" s="8">
        <f>IF($A2170="",0,ROUND($E2170*$F2170,2))</f>
        <v/>
      </c>
    </row>
    <row r="2171">
      <c r="B2171" s="7" t="n"/>
      <c r="F2171" s="8" t="n"/>
      <c r="G2171" s="8">
        <f>IF($A2171="",0,ROUND($E2171*$F2171,2))</f>
        <v/>
      </c>
    </row>
    <row r="2172">
      <c r="B2172" s="7" t="n"/>
      <c r="F2172" s="8" t="n"/>
      <c r="G2172" s="8">
        <f>IF($A2172="",0,ROUND($E2172*$F2172,2))</f>
        <v/>
      </c>
    </row>
    <row r="2173">
      <c r="B2173" s="7" t="n"/>
      <c r="F2173" s="8" t="n"/>
      <c r="G2173" s="8">
        <f>IF($A2173="",0,ROUND($E2173*$F2173,2))</f>
        <v/>
      </c>
    </row>
    <row r="2174">
      <c r="B2174" s="7" t="n"/>
      <c r="F2174" s="8" t="n"/>
      <c r="G2174" s="8">
        <f>IF($A2174="",0,ROUND($E2174*$F2174,2))</f>
        <v/>
      </c>
    </row>
    <row r="2175">
      <c r="B2175" s="7" t="n"/>
      <c r="F2175" s="8" t="n"/>
      <c r="G2175" s="8">
        <f>IF($A2175="",0,ROUND($E2175*$F2175,2))</f>
        <v/>
      </c>
    </row>
    <row r="2176">
      <c r="B2176" s="7" t="n"/>
      <c r="F2176" s="8" t="n"/>
      <c r="G2176" s="8">
        <f>IF($A2176="",0,ROUND($E2176*$F2176,2))</f>
        <v/>
      </c>
    </row>
    <row r="2177">
      <c r="B2177" s="7" t="n"/>
      <c r="F2177" s="8" t="n"/>
      <c r="G2177" s="8">
        <f>IF($A2177="",0,ROUND($E2177*$F2177,2))</f>
        <v/>
      </c>
    </row>
    <row r="2178">
      <c r="B2178" s="7" t="n"/>
      <c r="F2178" s="8" t="n"/>
      <c r="G2178" s="8">
        <f>IF($A2178="",0,ROUND($E2178*$F2178,2))</f>
        <v/>
      </c>
    </row>
    <row r="2179">
      <c r="B2179" s="7" t="n"/>
      <c r="F2179" s="8" t="n"/>
      <c r="G2179" s="8">
        <f>IF($A2179="",0,ROUND($E2179*$F2179,2))</f>
        <v/>
      </c>
    </row>
    <row r="2180">
      <c r="B2180" s="7" t="n"/>
      <c r="F2180" s="8" t="n"/>
      <c r="G2180" s="8">
        <f>IF($A2180="",0,ROUND($E2180*$F2180,2))</f>
        <v/>
      </c>
    </row>
    <row r="2181">
      <c r="B2181" s="7" t="n"/>
      <c r="F2181" s="8" t="n"/>
      <c r="G2181" s="8">
        <f>IF($A2181="",0,ROUND($E2181*$F2181,2))</f>
        <v/>
      </c>
    </row>
    <row r="2182">
      <c r="B2182" s="7" t="n"/>
      <c r="F2182" s="8" t="n"/>
      <c r="G2182" s="8">
        <f>IF($A2182="",0,ROUND($E2182*$F2182,2))</f>
        <v/>
      </c>
    </row>
    <row r="2183">
      <c r="B2183" s="7" t="n"/>
      <c r="F2183" s="8" t="n"/>
      <c r="G2183" s="8">
        <f>IF($A2183="",0,ROUND($E2183*$F2183,2))</f>
        <v/>
      </c>
    </row>
    <row r="2184">
      <c r="B2184" s="7" t="n"/>
      <c r="F2184" s="8" t="n"/>
      <c r="G2184" s="8">
        <f>IF($A2184="",0,ROUND($E2184*$F2184,2))</f>
        <v/>
      </c>
    </row>
    <row r="2185">
      <c r="B2185" s="7" t="n"/>
      <c r="F2185" s="8" t="n"/>
      <c r="G2185" s="8">
        <f>IF($A2185="",0,ROUND($E2185*$F2185,2))</f>
        <v/>
      </c>
    </row>
    <row r="2186">
      <c r="B2186" s="7" t="n"/>
      <c r="F2186" s="8" t="n"/>
      <c r="G2186" s="8">
        <f>IF($A2186="",0,ROUND($E2186*$F2186,2))</f>
        <v/>
      </c>
    </row>
    <row r="2187">
      <c r="B2187" s="7" t="n"/>
      <c r="F2187" s="8" t="n"/>
      <c r="G2187" s="8">
        <f>IF($A2187="",0,ROUND($E2187*$F2187,2))</f>
        <v/>
      </c>
    </row>
    <row r="2188">
      <c r="B2188" s="7" t="n"/>
      <c r="F2188" s="8" t="n"/>
      <c r="G2188" s="8">
        <f>IF($A2188="",0,ROUND($E2188*$F2188,2))</f>
        <v/>
      </c>
    </row>
    <row r="2189">
      <c r="B2189" s="7" t="n"/>
      <c r="F2189" s="8" t="n"/>
      <c r="G2189" s="8">
        <f>IF($A2189="",0,ROUND($E2189*$F2189,2))</f>
        <v/>
      </c>
    </row>
    <row r="2190">
      <c r="B2190" s="7" t="n"/>
      <c r="F2190" s="8" t="n"/>
      <c r="G2190" s="8">
        <f>IF($A2190="",0,ROUND($E2190*$F2190,2))</f>
        <v/>
      </c>
    </row>
    <row r="2191">
      <c r="B2191" s="7" t="n"/>
      <c r="F2191" s="8" t="n"/>
      <c r="G2191" s="8">
        <f>IF($A2191="",0,ROUND($E2191*$F2191,2))</f>
        <v/>
      </c>
    </row>
    <row r="2192">
      <c r="B2192" s="7" t="n"/>
      <c r="F2192" s="8" t="n"/>
      <c r="G2192" s="8">
        <f>IF($A2192="",0,ROUND($E2192*$F2192,2))</f>
        <v/>
      </c>
    </row>
    <row r="2193">
      <c r="B2193" s="7" t="n"/>
      <c r="F2193" s="8" t="n"/>
      <c r="G2193" s="8">
        <f>IF($A2193="",0,ROUND($E2193*$F2193,2))</f>
        <v/>
      </c>
    </row>
    <row r="2194">
      <c r="B2194" s="7" t="n"/>
      <c r="F2194" s="8" t="n"/>
      <c r="G2194" s="8">
        <f>IF($A2194="",0,ROUND($E2194*$F2194,2))</f>
        <v/>
      </c>
    </row>
    <row r="2195">
      <c r="B2195" s="7" t="n"/>
      <c r="F2195" s="8" t="n"/>
      <c r="G2195" s="8">
        <f>IF($A2195="",0,ROUND($E2195*$F2195,2))</f>
        <v/>
      </c>
    </row>
    <row r="2196">
      <c r="B2196" s="7" t="n"/>
      <c r="F2196" s="8" t="n"/>
      <c r="G2196" s="8">
        <f>IF($A2196="",0,ROUND($E2196*$F2196,2))</f>
        <v/>
      </c>
    </row>
    <row r="2197">
      <c r="B2197" s="7" t="n"/>
      <c r="F2197" s="8" t="n"/>
      <c r="G2197" s="8">
        <f>IF($A2197="",0,ROUND($E2197*$F2197,2))</f>
        <v/>
      </c>
    </row>
    <row r="2198">
      <c r="B2198" s="7" t="n"/>
      <c r="F2198" s="8" t="n"/>
      <c r="G2198" s="8">
        <f>IF($A2198="",0,ROUND($E2198*$F2198,2))</f>
        <v/>
      </c>
    </row>
    <row r="2199">
      <c r="B2199" s="7" t="n"/>
      <c r="F2199" s="8" t="n"/>
      <c r="G2199" s="8">
        <f>IF($A2199="",0,ROUND($E2199*$F2199,2))</f>
        <v/>
      </c>
    </row>
    <row r="2200">
      <c r="B2200" s="7" t="n"/>
      <c r="F2200" s="8" t="n"/>
      <c r="G2200" s="8">
        <f>IF($A2200="",0,ROUND($E2200*$F2200,2))</f>
        <v/>
      </c>
    </row>
    <row r="2201">
      <c r="B2201" s="7" t="n"/>
      <c r="F2201" s="8" t="n"/>
      <c r="G2201" s="8">
        <f>IF($A2201="",0,ROUND($E2201*$F2201,2))</f>
        <v/>
      </c>
    </row>
    <row r="2202">
      <c r="B2202" s="7" t="n"/>
      <c r="F2202" s="8" t="n"/>
      <c r="G2202" s="8">
        <f>IF($A2202="",0,ROUND($E2202*$F2202,2))</f>
        <v/>
      </c>
    </row>
    <row r="2203">
      <c r="B2203" s="7" t="n"/>
      <c r="F2203" s="8" t="n"/>
      <c r="G2203" s="8">
        <f>IF($A2203="",0,ROUND($E2203*$F2203,2))</f>
        <v/>
      </c>
    </row>
    <row r="2204">
      <c r="B2204" s="7" t="n"/>
      <c r="F2204" s="8" t="n"/>
      <c r="G2204" s="8">
        <f>IF($A2204="",0,ROUND($E2204*$F2204,2))</f>
        <v/>
      </c>
    </row>
    <row r="2205">
      <c r="B2205" s="7" t="n"/>
      <c r="F2205" s="8" t="n"/>
      <c r="G2205" s="8">
        <f>IF($A2205="",0,ROUND($E2205*$F2205,2))</f>
        <v/>
      </c>
    </row>
    <row r="2206">
      <c r="B2206" s="7" t="n"/>
      <c r="F2206" s="8" t="n"/>
      <c r="G2206" s="8">
        <f>IF($A2206="",0,ROUND($E2206*$F2206,2))</f>
        <v/>
      </c>
    </row>
    <row r="2207">
      <c r="B2207" s="7" t="n"/>
      <c r="F2207" s="8" t="n"/>
      <c r="G2207" s="8">
        <f>IF($A2207="",0,ROUND($E2207*$F2207,2))</f>
        <v/>
      </c>
    </row>
    <row r="2208">
      <c r="B2208" s="7" t="n"/>
      <c r="F2208" s="8" t="n"/>
      <c r="G2208" s="8">
        <f>IF($A2208="",0,ROUND($E2208*$F2208,2))</f>
        <v/>
      </c>
    </row>
    <row r="2209">
      <c r="B2209" s="7" t="n"/>
      <c r="F2209" s="8" t="n"/>
      <c r="G2209" s="8">
        <f>IF($A2209="",0,ROUND($E2209*$F2209,2))</f>
        <v/>
      </c>
    </row>
    <row r="2210">
      <c r="B2210" s="7" t="n"/>
      <c r="F2210" s="8" t="n"/>
      <c r="G2210" s="8">
        <f>IF($A2210="",0,ROUND($E2210*$F2210,2))</f>
        <v/>
      </c>
    </row>
    <row r="2211">
      <c r="B2211" s="7" t="n"/>
      <c r="F2211" s="8" t="n"/>
      <c r="G2211" s="8">
        <f>IF($A2211="",0,ROUND($E2211*$F2211,2))</f>
        <v/>
      </c>
    </row>
    <row r="2212">
      <c r="B2212" s="7" t="n"/>
      <c r="F2212" s="8" t="n"/>
      <c r="G2212" s="8">
        <f>IF($A2212="",0,ROUND($E2212*$F2212,2))</f>
        <v/>
      </c>
    </row>
    <row r="2213">
      <c r="B2213" s="7" t="n"/>
      <c r="F2213" s="8" t="n"/>
      <c r="G2213" s="8">
        <f>IF($A2213="",0,ROUND($E2213*$F2213,2))</f>
        <v/>
      </c>
    </row>
    <row r="2214">
      <c r="B2214" s="7" t="n"/>
      <c r="F2214" s="8" t="n"/>
      <c r="G2214" s="8">
        <f>IF($A2214="",0,ROUND($E2214*$F2214,2))</f>
        <v/>
      </c>
    </row>
    <row r="2215">
      <c r="B2215" s="7" t="n"/>
      <c r="F2215" s="8" t="n"/>
      <c r="G2215" s="8">
        <f>IF($A2215="",0,ROUND($E2215*$F2215,2))</f>
        <v/>
      </c>
    </row>
    <row r="2216">
      <c r="B2216" s="7" t="n"/>
      <c r="F2216" s="8" t="n"/>
      <c r="G2216" s="8">
        <f>IF($A2216="",0,ROUND($E2216*$F2216,2))</f>
        <v/>
      </c>
    </row>
    <row r="2217">
      <c r="B2217" s="7" t="n"/>
      <c r="F2217" s="8" t="n"/>
      <c r="G2217" s="8">
        <f>IF($A2217="",0,ROUND($E2217*$F2217,2))</f>
        <v/>
      </c>
    </row>
    <row r="2218">
      <c r="B2218" s="7" t="n"/>
      <c r="F2218" s="8" t="n"/>
      <c r="G2218" s="8">
        <f>IF($A2218="",0,ROUND($E2218*$F2218,2))</f>
        <v/>
      </c>
    </row>
    <row r="2219">
      <c r="B2219" s="7" t="n"/>
      <c r="F2219" s="8" t="n"/>
      <c r="G2219" s="8">
        <f>IF($A2219="",0,ROUND($E2219*$F2219,2))</f>
        <v/>
      </c>
    </row>
    <row r="2220">
      <c r="B2220" s="7" t="n"/>
      <c r="F2220" s="8" t="n"/>
      <c r="G2220" s="8">
        <f>IF($A2220="",0,ROUND($E2220*$F2220,2))</f>
        <v/>
      </c>
    </row>
    <row r="2221">
      <c r="B2221" s="7" t="n"/>
      <c r="F2221" s="8" t="n"/>
      <c r="G2221" s="8">
        <f>IF($A2221="",0,ROUND($E2221*$F2221,2))</f>
        <v/>
      </c>
    </row>
    <row r="2222">
      <c r="B2222" s="7" t="n"/>
      <c r="F2222" s="8" t="n"/>
      <c r="G2222" s="8">
        <f>IF($A2222="",0,ROUND($E2222*$F2222,2))</f>
        <v/>
      </c>
    </row>
    <row r="2223">
      <c r="B2223" s="7" t="n"/>
      <c r="F2223" s="8" t="n"/>
      <c r="G2223" s="8">
        <f>IF($A2223="",0,ROUND($E2223*$F2223,2))</f>
        <v/>
      </c>
    </row>
    <row r="2224">
      <c r="B2224" s="7" t="n"/>
      <c r="F2224" s="8" t="n"/>
      <c r="G2224" s="8">
        <f>IF($A2224="",0,ROUND($E2224*$F2224,2))</f>
        <v/>
      </c>
    </row>
    <row r="2225">
      <c r="B2225" s="7" t="n"/>
      <c r="F2225" s="8" t="n"/>
      <c r="G2225" s="8">
        <f>IF($A2225="",0,ROUND($E2225*$F2225,2))</f>
        <v/>
      </c>
    </row>
    <row r="2226">
      <c r="B2226" s="7" t="n"/>
      <c r="F2226" s="8" t="n"/>
      <c r="G2226" s="8">
        <f>IF($A2226="",0,ROUND($E2226*$F2226,2))</f>
        <v/>
      </c>
    </row>
    <row r="2227">
      <c r="B2227" s="7" t="n"/>
      <c r="F2227" s="8" t="n"/>
      <c r="G2227" s="8">
        <f>IF($A2227="",0,ROUND($E2227*$F2227,2))</f>
        <v/>
      </c>
    </row>
    <row r="2228">
      <c r="B2228" s="7" t="n"/>
      <c r="F2228" s="8" t="n"/>
      <c r="G2228" s="8">
        <f>IF($A2228="",0,ROUND($E2228*$F2228,2))</f>
        <v/>
      </c>
    </row>
    <row r="2229">
      <c r="B2229" s="7" t="n"/>
      <c r="F2229" s="8" t="n"/>
      <c r="G2229" s="8">
        <f>IF($A2229="",0,ROUND($E2229*$F2229,2))</f>
        <v/>
      </c>
    </row>
    <row r="2230">
      <c r="B2230" s="7" t="n"/>
      <c r="F2230" s="8" t="n"/>
      <c r="G2230" s="8">
        <f>IF($A2230="",0,ROUND($E2230*$F2230,2))</f>
        <v/>
      </c>
    </row>
    <row r="2231">
      <c r="B2231" s="7" t="n"/>
      <c r="F2231" s="8" t="n"/>
      <c r="G2231" s="8">
        <f>IF($A2231="",0,ROUND($E2231*$F2231,2))</f>
        <v/>
      </c>
    </row>
    <row r="2232">
      <c r="B2232" s="7" t="n"/>
      <c r="F2232" s="8" t="n"/>
      <c r="G2232" s="8">
        <f>IF($A2232="",0,ROUND($E2232*$F2232,2))</f>
        <v/>
      </c>
    </row>
    <row r="2233">
      <c r="B2233" s="7" t="n"/>
      <c r="F2233" s="8" t="n"/>
      <c r="G2233" s="8">
        <f>IF($A2233="",0,ROUND($E2233*$F2233,2))</f>
        <v/>
      </c>
    </row>
    <row r="2234">
      <c r="B2234" s="7" t="n"/>
      <c r="F2234" s="8" t="n"/>
      <c r="G2234" s="8">
        <f>IF($A2234="",0,ROUND($E2234*$F2234,2))</f>
        <v/>
      </c>
    </row>
    <row r="2235">
      <c r="B2235" s="7" t="n"/>
      <c r="F2235" s="8" t="n"/>
      <c r="G2235" s="8">
        <f>IF($A2235="",0,ROUND($E2235*$F2235,2))</f>
        <v/>
      </c>
    </row>
    <row r="2236">
      <c r="B2236" s="7" t="n"/>
      <c r="F2236" s="8" t="n"/>
      <c r="G2236" s="8">
        <f>IF($A2236="",0,ROUND($E2236*$F2236,2))</f>
        <v/>
      </c>
    </row>
    <row r="2237">
      <c r="B2237" s="7" t="n"/>
      <c r="F2237" s="8" t="n"/>
      <c r="G2237" s="8">
        <f>IF($A2237="",0,ROUND($E2237*$F2237,2))</f>
        <v/>
      </c>
    </row>
    <row r="2238">
      <c r="B2238" s="7" t="n"/>
      <c r="F2238" s="8" t="n"/>
      <c r="G2238" s="8">
        <f>IF($A2238="",0,ROUND($E2238*$F2238,2))</f>
        <v/>
      </c>
    </row>
    <row r="2239">
      <c r="B2239" s="7" t="n"/>
      <c r="F2239" s="8" t="n"/>
      <c r="G2239" s="8">
        <f>IF($A2239="",0,ROUND($E2239*$F2239,2))</f>
        <v/>
      </c>
    </row>
    <row r="2240">
      <c r="B2240" s="7" t="n"/>
      <c r="F2240" s="8" t="n"/>
      <c r="G2240" s="8">
        <f>IF($A2240="",0,ROUND($E2240*$F2240,2))</f>
        <v/>
      </c>
    </row>
    <row r="2241">
      <c r="B2241" s="7" t="n"/>
      <c r="F2241" s="8" t="n"/>
      <c r="G2241" s="8">
        <f>IF($A2241="",0,ROUND($E2241*$F2241,2))</f>
        <v/>
      </c>
    </row>
    <row r="2242">
      <c r="B2242" s="7" t="n"/>
      <c r="F2242" s="8" t="n"/>
      <c r="G2242" s="8">
        <f>IF($A2242="",0,ROUND($E2242*$F2242,2))</f>
        <v/>
      </c>
    </row>
    <row r="2243">
      <c r="B2243" s="7" t="n"/>
      <c r="F2243" s="8" t="n"/>
      <c r="G2243" s="8">
        <f>IF($A2243="",0,ROUND($E2243*$F2243,2))</f>
        <v/>
      </c>
    </row>
    <row r="2244">
      <c r="B2244" s="7" t="n"/>
      <c r="F2244" s="8" t="n"/>
      <c r="G2244" s="8">
        <f>IF($A2244="",0,ROUND($E2244*$F2244,2))</f>
        <v/>
      </c>
    </row>
    <row r="2245">
      <c r="B2245" s="7" t="n"/>
      <c r="F2245" s="8" t="n"/>
      <c r="G2245" s="8">
        <f>IF($A2245="",0,ROUND($E2245*$F2245,2))</f>
        <v/>
      </c>
    </row>
    <row r="2246">
      <c r="B2246" s="7" t="n"/>
      <c r="F2246" s="8" t="n"/>
      <c r="G2246" s="8">
        <f>IF($A2246="",0,ROUND($E2246*$F2246,2))</f>
        <v/>
      </c>
    </row>
    <row r="2247">
      <c r="B2247" s="7" t="n"/>
      <c r="F2247" s="8" t="n"/>
      <c r="G2247" s="8">
        <f>IF($A2247="",0,ROUND($E2247*$F2247,2))</f>
        <v/>
      </c>
    </row>
    <row r="2248">
      <c r="B2248" s="7" t="n"/>
      <c r="F2248" s="8" t="n"/>
      <c r="G2248" s="8">
        <f>IF($A2248="",0,ROUND($E2248*$F2248,2))</f>
        <v/>
      </c>
    </row>
    <row r="2249">
      <c r="B2249" s="7" t="n"/>
      <c r="F2249" s="8" t="n"/>
      <c r="G2249" s="8">
        <f>IF($A2249="",0,ROUND($E2249*$F2249,2))</f>
        <v/>
      </c>
    </row>
    <row r="2250">
      <c r="B2250" s="7" t="n"/>
      <c r="F2250" s="8" t="n"/>
      <c r="G2250" s="8">
        <f>IF($A2250="",0,ROUND($E2250*$F2250,2))</f>
        <v/>
      </c>
    </row>
    <row r="2251">
      <c r="B2251" s="7" t="n"/>
      <c r="F2251" s="8" t="n"/>
      <c r="G2251" s="8">
        <f>IF($A2251="",0,ROUND($E2251*$F2251,2))</f>
        <v/>
      </c>
    </row>
    <row r="2252">
      <c r="B2252" s="7" t="n"/>
      <c r="F2252" s="8" t="n"/>
      <c r="G2252" s="8">
        <f>IF($A2252="",0,ROUND($E2252*$F2252,2))</f>
        <v/>
      </c>
    </row>
    <row r="2253">
      <c r="B2253" s="7" t="n"/>
      <c r="F2253" s="8" t="n"/>
      <c r="G2253" s="8">
        <f>IF($A2253="",0,ROUND($E2253*$F2253,2))</f>
        <v/>
      </c>
    </row>
    <row r="2254">
      <c r="B2254" s="7" t="n"/>
      <c r="F2254" s="8" t="n"/>
      <c r="G2254" s="8">
        <f>IF($A2254="",0,ROUND($E2254*$F2254,2))</f>
        <v/>
      </c>
    </row>
    <row r="2255">
      <c r="B2255" s="7" t="n"/>
      <c r="F2255" s="8" t="n"/>
      <c r="G2255" s="8">
        <f>IF($A2255="",0,ROUND($E2255*$F2255,2))</f>
        <v/>
      </c>
    </row>
    <row r="2256">
      <c r="B2256" s="7" t="n"/>
      <c r="F2256" s="8" t="n"/>
      <c r="G2256" s="8">
        <f>IF($A2256="",0,ROUND($E2256*$F2256,2))</f>
        <v/>
      </c>
    </row>
    <row r="2257">
      <c r="B2257" s="7" t="n"/>
      <c r="F2257" s="8" t="n"/>
      <c r="G2257" s="8">
        <f>IF($A2257="",0,ROUND($E2257*$F2257,2))</f>
        <v/>
      </c>
    </row>
    <row r="2258">
      <c r="B2258" s="7" t="n"/>
      <c r="F2258" s="8" t="n"/>
      <c r="G2258" s="8">
        <f>IF($A2258="",0,ROUND($E2258*$F2258,2))</f>
        <v/>
      </c>
    </row>
    <row r="2259">
      <c r="B2259" s="7" t="n"/>
      <c r="F2259" s="8" t="n"/>
      <c r="G2259" s="8">
        <f>IF($A2259="",0,ROUND($E2259*$F2259,2))</f>
        <v/>
      </c>
    </row>
    <row r="2260">
      <c r="B2260" s="7" t="n"/>
      <c r="F2260" s="8" t="n"/>
      <c r="G2260" s="8">
        <f>IF($A2260="",0,ROUND($E2260*$F2260,2))</f>
        <v/>
      </c>
    </row>
    <row r="2261">
      <c r="B2261" s="7" t="n"/>
      <c r="F2261" s="8" t="n"/>
      <c r="G2261" s="8">
        <f>IF($A2261="",0,ROUND($E2261*$F2261,2))</f>
        <v/>
      </c>
    </row>
    <row r="2262">
      <c r="B2262" s="7" t="n"/>
      <c r="F2262" s="8" t="n"/>
      <c r="G2262" s="8">
        <f>IF($A2262="",0,ROUND($E2262*$F2262,2))</f>
        <v/>
      </c>
    </row>
    <row r="2263">
      <c r="B2263" s="7" t="n"/>
      <c r="F2263" s="8" t="n"/>
      <c r="G2263" s="8">
        <f>IF($A2263="",0,ROUND($E2263*$F2263,2))</f>
        <v/>
      </c>
    </row>
    <row r="2264">
      <c r="B2264" s="7" t="n"/>
      <c r="F2264" s="8" t="n"/>
      <c r="G2264" s="8">
        <f>IF($A2264="",0,ROUND($E2264*$F2264,2))</f>
        <v/>
      </c>
    </row>
    <row r="2265">
      <c r="B2265" s="7" t="n"/>
      <c r="F2265" s="8" t="n"/>
      <c r="G2265" s="8">
        <f>IF($A2265="",0,ROUND($E2265*$F2265,2))</f>
        <v/>
      </c>
    </row>
    <row r="2266">
      <c r="B2266" s="7" t="n"/>
      <c r="F2266" s="8" t="n"/>
      <c r="G2266" s="8">
        <f>IF($A2266="",0,ROUND($E2266*$F2266,2))</f>
        <v/>
      </c>
    </row>
    <row r="2267">
      <c r="B2267" s="7" t="n"/>
      <c r="F2267" s="8" t="n"/>
      <c r="G2267" s="8">
        <f>IF($A2267="",0,ROUND($E2267*$F2267,2))</f>
        <v/>
      </c>
    </row>
    <row r="2268">
      <c r="B2268" s="7" t="n"/>
      <c r="F2268" s="8" t="n"/>
      <c r="G2268" s="8">
        <f>IF($A2268="",0,ROUND($E2268*$F2268,2))</f>
        <v/>
      </c>
    </row>
    <row r="2269">
      <c r="B2269" s="7" t="n"/>
      <c r="F2269" s="8" t="n"/>
      <c r="G2269" s="8">
        <f>IF($A2269="",0,ROUND($E2269*$F2269,2))</f>
        <v/>
      </c>
    </row>
    <row r="2270">
      <c r="B2270" s="7" t="n"/>
      <c r="F2270" s="8" t="n"/>
      <c r="G2270" s="8">
        <f>IF($A2270="",0,ROUND($E2270*$F2270,2))</f>
        <v/>
      </c>
    </row>
    <row r="2271">
      <c r="B2271" s="7" t="n"/>
      <c r="F2271" s="8" t="n"/>
      <c r="G2271" s="8">
        <f>IF($A2271="",0,ROUND($E2271*$F2271,2))</f>
        <v/>
      </c>
    </row>
    <row r="2272">
      <c r="B2272" s="7" t="n"/>
      <c r="F2272" s="8" t="n"/>
      <c r="G2272" s="8">
        <f>IF($A2272="",0,ROUND($E2272*$F2272,2))</f>
        <v/>
      </c>
    </row>
    <row r="2273">
      <c r="B2273" s="7" t="n"/>
      <c r="F2273" s="8" t="n"/>
      <c r="G2273" s="8">
        <f>IF($A2273="",0,ROUND($E2273*$F2273,2))</f>
        <v/>
      </c>
    </row>
    <row r="2274">
      <c r="B2274" s="7" t="n"/>
      <c r="F2274" s="8" t="n"/>
      <c r="G2274" s="8">
        <f>IF($A2274="",0,ROUND($E2274*$F2274,2))</f>
        <v/>
      </c>
    </row>
    <row r="2275">
      <c r="B2275" s="7" t="n"/>
      <c r="F2275" s="8" t="n"/>
      <c r="G2275" s="8">
        <f>IF($A2275="",0,ROUND($E2275*$F2275,2))</f>
        <v/>
      </c>
    </row>
    <row r="2276">
      <c r="B2276" s="7" t="n"/>
      <c r="F2276" s="8" t="n"/>
      <c r="G2276" s="8">
        <f>IF($A2276="",0,ROUND($E2276*$F2276,2))</f>
        <v/>
      </c>
    </row>
    <row r="2277">
      <c r="B2277" s="7" t="n"/>
      <c r="F2277" s="8" t="n"/>
      <c r="G2277" s="8">
        <f>IF($A2277="",0,ROUND($E2277*$F2277,2))</f>
        <v/>
      </c>
    </row>
    <row r="2278">
      <c r="B2278" s="7" t="n"/>
      <c r="F2278" s="8" t="n"/>
      <c r="G2278" s="8">
        <f>IF($A2278="",0,ROUND($E2278*$F2278,2))</f>
        <v/>
      </c>
    </row>
    <row r="2279">
      <c r="B2279" s="7" t="n"/>
      <c r="F2279" s="8" t="n"/>
      <c r="G2279" s="8">
        <f>IF($A2279="",0,ROUND($E2279*$F2279,2))</f>
        <v/>
      </c>
    </row>
    <row r="2280">
      <c r="B2280" s="7" t="n"/>
      <c r="F2280" s="8" t="n"/>
      <c r="G2280" s="8">
        <f>IF($A2280="",0,ROUND($E2280*$F2280,2))</f>
        <v/>
      </c>
    </row>
    <row r="2281">
      <c r="B2281" s="7" t="n"/>
      <c r="F2281" s="8" t="n"/>
      <c r="G2281" s="8">
        <f>IF($A2281="",0,ROUND($E2281*$F2281,2))</f>
        <v/>
      </c>
    </row>
    <row r="2282">
      <c r="B2282" s="7" t="n"/>
      <c r="F2282" s="8" t="n"/>
      <c r="G2282" s="8">
        <f>IF($A2282="",0,ROUND($E2282*$F2282,2))</f>
        <v/>
      </c>
    </row>
    <row r="2283">
      <c r="B2283" s="7" t="n"/>
      <c r="F2283" s="8" t="n"/>
      <c r="G2283" s="8">
        <f>IF($A2283="",0,ROUND($E2283*$F2283,2))</f>
        <v/>
      </c>
    </row>
    <row r="2284">
      <c r="B2284" s="7" t="n"/>
      <c r="F2284" s="8" t="n"/>
      <c r="G2284" s="8">
        <f>IF($A2284="",0,ROUND($E2284*$F2284,2))</f>
        <v/>
      </c>
    </row>
    <row r="2285">
      <c r="B2285" s="7" t="n"/>
      <c r="F2285" s="8" t="n"/>
      <c r="G2285" s="8">
        <f>IF($A2285="",0,ROUND($E2285*$F2285,2))</f>
        <v/>
      </c>
    </row>
    <row r="2286">
      <c r="B2286" s="7" t="n"/>
      <c r="F2286" s="8" t="n"/>
      <c r="G2286" s="8">
        <f>IF($A2286="",0,ROUND($E2286*$F2286,2))</f>
        <v/>
      </c>
    </row>
    <row r="2287">
      <c r="B2287" s="7" t="n"/>
      <c r="F2287" s="8" t="n"/>
      <c r="G2287" s="8">
        <f>IF($A2287="",0,ROUND($E2287*$F2287,2))</f>
        <v/>
      </c>
    </row>
    <row r="2288">
      <c r="B2288" s="7" t="n"/>
      <c r="F2288" s="8" t="n"/>
      <c r="G2288" s="8">
        <f>IF($A2288="",0,ROUND($E2288*$F2288,2))</f>
        <v/>
      </c>
    </row>
    <row r="2289">
      <c r="B2289" s="7" t="n"/>
      <c r="F2289" s="8" t="n"/>
      <c r="G2289" s="8">
        <f>IF($A2289="",0,ROUND($E2289*$F2289,2))</f>
        <v/>
      </c>
    </row>
    <row r="2290">
      <c r="B2290" s="7" t="n"/>
      <c r="F2290" s="8" t="n"/>
      <c r="G2290" s="8">
        <f>IF($A2290="",0,ROUND($E2290*$F2290,2))</f>
        <v/>
      </c>
    </row>
    <row r="2291">
      <c r="B2291" s="7" t="n"/>
      <c r="F2291" s="8" t="n"/>
      <c r="G2291" s="8">
        <f>IF($A2291="",0,ROUND($E2291*$F2291,2))</f>
        <v/>
      </c>
    </row>
    <row r="2292">
      <c r="B2292" s="7" t="n"/>
      <c r="F2292" s="8" t="n"/>
      <c r="G2292" s="8">
        <f>IF($A2292="",0,ROUND($E2292*$F2292,2))</f>
        <v/>
      </c>
    </row>
    <row r="2293">
      <c r="B2293" s="7" t="n"/>
      <c r="F2293" s="8" t="n"/>
      <c r="G2293" s="8">
        <f>IF($A2293="",0,ROUND($E2293*$F2293,2))</f>
        <v/>
      </c>
    </row>
    <row r="2294">
      <c r="B2294" s="7" t="n"/>
      <c r="F2294" s="8" t="n"/>
      <c r="G2294" s="8">
        <f>IF($A2294="",0,ROUND($E2294*$F2294,2))</f>
        <v/>
      </c>
    </row>
    <row r="2295">
      <c r="B2295" s="7" t="n"/>
      <c r="F2295" s="8" t="n"/>
      <c r="G2295" s="8">
        <f>IF($A2295="",0,ROUND($E2295*$F2295,2))</f>
        <v/>
      </c>
    </row>
    <row r="2296">
      <c r="B2296" s="7" t="n"/>
      <c r="F2296" s="8" t="n"/>
      <c r="G2296" s="8">
        <f>IF($A2296="",0,ROUND($E2296*$F2296,2))</f>
        <v/>
      </c>
    </row>
    <row r="2297">
      <c r="B2297" s="7" t="n"/>
      <c r="F2297" s="8" t="n"/>
      <c r="G2297" s="8">
        <f>IF($A2297="",0,ROUND($E2297*$F2297,2))</f>
        <v/>
      </c>
    </row>
    <row r="2298">
      <c r="B2298" s="7" t="n"/>
      <c r="F2298" s="8" t="n"/>
      <c r="G2298" s="8">
        <f>IF($A2298="",0,ROUND($E2298*$F2298,2))</f>
        <v/>
      </c>
    </row>
    <row r="2299">
      <c r="B2299" s="7" t="n"/>
      <c r="F2299" s="8" t="n"/>
      <c r="G2299" s="8">
        <f>IF($A2299="",0,ROUND($E2299*$F2299,2))</f>
        <v/>
      </c>
    </row>
    <row r="2300">
      <c r="B2300" s="7" t="n"/>
      <c r="F2300" s="8" t="n"/>
      <c r="G2300" s="8">
        <f>IF($A2300="",0,ROUND($E2300*$F2300,2))</f>
        <v/>
      </c>
    </row>
    <row r="2301">
      <c r="B2301" s="7" t="n"/>
      <c r="F2301" s="8" t="n"/>
      <c r="G2301" s="8">
        <f>IF($A2301="",0,ROUND($E2301*$F2301,2))</f>
        <v/>
      </c>
    </row>
    <row r="2302">
      <c r="B2302" s="7" t="n"/>
      <c r="F2302" s="8" t="n"/>
      <c r="G2302" s="8">
        <f>IF($A2302="",0,ROUND($E2302*$F2302,2))</f>
        <v/>
      </c>
    </row>
    <row r="2303">
      <c r="B2303" s="7" t="n"/>
      <c r="F2303" s="8" t="n"/>
      <c r="G2303" s="8">
        <f>IF($A2303="",0,ROUND($E2303*$F2303,2))</f>
        <v/>
      </c>
    </row>
    <row r="2304">
      <c r="B2304" s="7" t="n"/>
      <c r="F2304" s="8" t="n"/>
      <c r="G2304" s="8">
        <f>IF($A2304="",0,ROUND($E2304*$F2304,2))</f>
        <v/>
      </c>
    </row>
    <row r="2305">
      <c r="B2305" s="7" t="n"/>
      <c r="F2305" s="8" t="n"/>
      <c r="G2305" s="8">
        <f>IF($A2305="",0,ROUND($E2305*$F2305,2))</f>
        <v/>
      </c>
    </row>
    <row r="2306">
      <c r="B2306" s="7" t="n"/>
      <c r="F2306" s="8" t="n"/>
      <c r="G2306" s="8">
        <f>IF($A2306="",0,ROUND($E2306*$F2306,2))</f>
        <v/>
      </c>
    </row>
    <row r="2307">
      <c r="B2307" s="7" t="n"/>
      <c r="F2307" s="8" t="n"/>
      <c r="G2307" s="8">
        <f>IF($A2307="",0,ROUND($E2307*$F2307,2))</f>
        <v/>
      </c>
    </row>
    <row r="2308">
      <c r="B2308" s="7" t="n"/>
      <c r="F2308" s="8" t="n"/>
      <c r="G2308" s="8">
        <f>IF($A2308="",0,ROUND($E2308*$F2308,2))</f>
        <v/>
      </c>
    </row>
    <row r="2309">
      <c r="B2309" s="7" t="n"/>
      <c r="F2309" s="8" t="n"/>
      <c r="G2309" s="8">
        <f>IF($A2309="",0,ROUND($E2309*$F2309,2))</f>
        <v/>
      </c>
    </row>
    <row r="2310">
      <c r="B2310" s="7" t="n"/>
      <c r="F2310" s="8" t="n"/>
      <c r="G2310" s="8">
        <f>IF($A2310="",0,ROUND($E2310*$F2310,2))</f>
        <v/>
      </c>
    </row>
    <row r="2311">
      <c r="B2311" s="7" t="n"/>
      <c r="F2311" s="8" t="n"/>
      <c r="G2311" s="8">
        <f>IF($A2311="",0,ROUND($E2311*$F2311,2))</f>
        <v/>
      </c>
    </row>
    <row r="2312">
      <c r="B2312" s="7" t="n"/>
      <c r="F2312" s="8" t="n"/>
      <c r="G2312" s="8">
        <f>IF($A2312="",0,ROUND($E2312*$F2312,2))</f>
        <v/>
      </c>
    </row>
    <row r="2313">
      <c r="B2313" s="7" t="n"/>
      <c r="F2313" s="8" t="n"/>
      <c r="G2313" s="8">
        <f>IF($A2313="",0,ROUND($E2313*$F2313,2))</f>
        <v/>
      </c>
    </row>
    <row r="2314">
      <c r="B2314" s="7" t="n"/>
      <c r="F2314" s="8" t="n"/>
      <c r="G2314" s="8">
        <f>IF($A2314="",0,ROUND($E2314*$F2314,2))</f>
        <v/>
      </c>
    </row>
    <row r="2315">
      <c r="B2315" s="7" t="n"/>
      <c r="F2315" s="8" t="n"/>
      <c r="G2315" s="8">
        <f>IF($A2315="",0,ROUND($E2315*$F2315,2))</f>
        <v/>
      </c>
    </row>
    <row r="2316">
      <c r="B2316" s="7" t="n"/>
      <c r="F2316" s="8" t="n"/>
      <c r="G2316" s="8">
        <f>IF($A2316="",0,ROUND($E2316*$F2316,2))</f>
        <v/>
      </c>
    </row>
    <row r="2317">
      <c r="B2317" s="7" t="n"/>
      <c r="F2317" s="8" t="n"/>
      <c r="G2317" s="8">
        <f>IF($A2317="",0,ROUND($E2317*$F2317,2))</f>
        <v/>
      </c>
    </row>
    <row r="2318">
      <c r="B2318" s="7" t="n"/>
      <c r="F2318" s="8" t="n"/>
      <c r="G2318" s="8">
        <f>IF($A2318="",0,ROUND($E2318*$F2318,2))</f>
        <v/>
      </c>
    </row>
    <row r="2319">
      <c r="B2319" s="7" t="n"/>
      <c r="F2319" s="8" t="n"/>
      <c r="G2319" s="8">
        <f>IF($A2319="",0,ROUND($E2319*$F2319,2))</f>
        <v/>
      </c>
    </row>
    <row r="2320">
      <c r="B2320" s="7" t="n"/>
      <c r="F2320" s="8" t="n"/>
      <c r="G2320" s="8">
        <f>IF($A2320="",0,ROUND($E2320*$F2320,2))</f>
        <v/>
      </c>
    </row>
    <row r="2321">
      <c r="B2321" s="7" t="n"/>
      <c r="F2321" s="8" t="n"/>
      <c r="G2321" s="8">
        <f>IF($A2321="",0,ROUND($E2321*$F2321,2))</f>
        <v/>
      </c>
    </row>
    <row r="2322">
      <c r="B2322" s="7" t="n"/>
      <c r="F2322" s="8" t="n"/>
      <c r="G2322" s="8">
        <f>IF($A2322="",0,ROUND($E2322*$F2322,2))</f>
        <v/>
      </c>
    </row>
    <row r="2323">
      <c r="B2323" s="7" t="n"/>
      <c r="F2323" s="8" t="n"/>
      <c r="G2323" s="8">
        <f>IF($A2323="",0,ROUND($E2323*$F2323,2))</f>
        <v/>
      </c>
    </row>
    <row r="2324">
      <c r="B2324" s="7" t="n"/>
      <c r="F2324" s="8" t="n"/>
      <c r="G2324" s="8">
        <f>IF($A2324="",0,ROUND($E2324*$F2324,2))</f>
        <v/>
      </c>
    </row>
    <row r="2325">
      <c r="B2325" s="7" t="n"/>
      <c r="F2325" s="8" t="n"/>
      <c r="G2325" s="8">
        <f>IF($A2325="",0,ROUND($E2325*$F2325,2))</f>
        <v/>
      </c>
    </row>
    <row r="2326">
      <c r="B2326" s="7" t="n"/>
      <c r="F2326" s="8" t="n"/>
      <c r="G2326" s="8">
        <f>IF($A2326="",0,ROUND($E2326*$F2326,2))</f>
        <v/>
      </c>
    </row>
    <row r="2327">
      <c r="B2327" s="7" t="n"/>
      <c r="F2327" s="8" t="n"/>
      <c r="G2327" s="8">
        <f>IF($A2327="",0,ROUND($E2327*$F2327,2))</f>
        <v/>
      </c>
    </row>
    <row r="2328">
      <c r="B2328" s="7" t="n"/>
      <c r="F2328" s="8" t="n"/>
      <c r="G2328" s="8">
        <f>IF($A2328="",0,ROUND($E2328*$F2328,2))</f>
        <v/>
      </c>
    </row>
    <row r="2329">
      <c r="B2329" s="7" t="n"/>
      <c r="F2329" s="8" t="n"/>
      <c r="G2329" s="8">
        <f>IF($A2329="",0,ROUND($E2329*$F2329,2))</f>
        <v/>
      </c>
    </row>
    <row r="2330">
      <c r="B2330" s="7" t="n"/>
      <c r="F2330" s="8" t="n"/>
      <c r="G2330" s="8">
        <f>IF($A2330="",0,ROUND($E2330*$F2330,2))</f>
        <v/>
      </c>
    </row>
    <row r="2331">
      <c r="B2331" s="7" t="n"/>
      <c r="F2331" s="8" t="n"/>
      <c r="G2331" s="8">
        <f>IF($A2331="",0,ROUND($E2331*$F2331,2))</f>
        <v/>
      </c>
    </row>
    <row r="2332">
      <c r="B2332" s="7" t="n"/>
      <c r="F2332" s="8" t="n"/>
      <c r="G2332" s="8">
        <f>IF($A2332="",0,ROUND($E2332*$F2332,2))</f>
        <v/>
      </c>
    </row>
    <row r="2333">
      <c r="B2333" s="7" t="n"/>
      <c r="F2333" s="8" t="n"/>
      <c r="G2333" s="8">
        <f>IF($A2333="",0,ROUND($E2333*$F2333,2))</f>
        <v/>
      </c>
    </row>
    <row r="2334">
      <c r="B2334" s="7" t="n"/>
      <c r="F2334" s="8" t="n"/>
      <c r="G2334" s="8">
        <f>IF($A2334="",0,ROUND($E2334*$F2334,2))</f>
        <v/>
      </c>
    </row>
    <row r="2335">
      <c r="B2335" s="7" t="n"/>
      <c r="F2335" s="8" t="n"/>
      <c r="G2335" s="8">
        <f>IF($A2335="",0,ROUND($E2335*$F2335,2))</f>
        <v/>
      </c>
    </row>
    <row r="2336">
      <c r="B2336" s="7" t="n"/>
      <c r="F2336" s="8" t="n"/>
      <c r="G2336" s="8">
        <f>IF($A2336="",0,ROUND($E2336*$F2336,2))</f>
        <v/>
      </c>
    </row>
    <row r="2337">
      <c r="B2337" s="7" t="n"/>
      <c r="F2337" s="8" t="n"/>
      <c r="G2337" s="8">
        <f>IF($A2337="",0,ROUND($E2337*$F2337,2))</f>
        <v/>
      </c>
    </row>
    <row r="2338">
      <c r="B2338" s="7" t="n"/>
      <c r="F2338" s="8" t="n"/>
      <c r="G2338" s="8">
        <f>IF($A2338="",0,ROUND($E2338*$F2338,2))</f>
        <v/>
      </c>
    </row>
    <row r="2339">
      <c r="B2339" s="7" t="n"/>
      <c r="F2339" s="8" t="n"/>
      <c r="G2339" s="8">
        <f>IF($A2339="",0,ROUND($E2339*$F2339,2))</f>
        <v/>
      </c>
    </row>
    <row r="2340">
      <c r="B2340" s="7" t="n"/>
      <c r="F2340" s="8" t="n"/>
      <c r="G2340" s="8">
        <f>IF($A2340="",0,ROUND($E2340*$F2340,2))</f>
        <v/>
      </c>
    </row>
    <row r="2341">
      <c r="B2341" s="7" t="n"/>
      <c r="F2341" s="8" t="n"/>
      <c r="G2341" s="8">
        <f>IF($A2341="",0,ROUND($E2341*$F2341,2))</f>
        <v/>
      </c>
    </row>
    <row r="2342">
      <c r="B2342" s="7" t="n"/>
      <c r="F2342" s="8" t="n"/>
      <c r="G2342" s="8">
        <f>IF($A2342="",0,ROUND($E2342*$F2342,2))</f>
        <v/>
      </c>
    </row>
    <row r="2343">
      <c r="B2343" s="7" t="n"/>
      <c r="F2343" s="8" t="n"/>
      <c r="G2343" s="8">
        <f>IF($A2343="",0,ROUND($E2343*$F2343,2))</f>
        <v/>
      </c>
    </row>
    <row r="2344">
      <c r="B2344" s="7" t="n"/>
      <c r="F2344" s="8" t="n"/>
      <c r="G2344" s="8">
        <f>IF($A2344="",0,ROUND($E2344*$F2344,2))</f>
        <v/>
      </c>
    </row>
    <row r="2345">
      <c r="B2345" s="7" t="n"/>
      <c r="F2345" s="8" t="n"/>
      <c r="G2345" s="8">
        <f>IF($A2345="",0,ROUND($E2345*$F2345,2))</f>
        <v/>
      </c>
    </row>
    <row r="2346">
      <c r="B2346" s="7" t="n"/>
      <c r="F2346" s="8" t="n"/>
      <c r="G2346" s="8">
        <f>IF($A2346="",0,ROUND($E2346*$F2346,2))</f>
        <v/>
      </c>
    </row>
    <row r="2347">
      <c r="B2347" s="7" t="n"/>
      <c r="F2347" s="8" t="n"/>
      <c r="G2347" s="8">
        <f>IF($A2347="",0,ROUND($E2347*$F2347,2))</f>
        <v/>
      </c>
    </row>
    <row r="2348">
      <c r="B2348" s="7" t="n"/>
      <c r="F2348" s="8" t="n"/>
      <c r="G2348" s="8">
        <f>IF($A2348="",0,ROUND($E2348*$F2348,2))</f>
        <v/>
      </c>
    </row>
    <row r="2349">
      <c r="B2349" s="7" t="n"/>
      <c r="F2349" s="8" t="n"/>
      <c r="G2349" s="8">
        <f>IF($A2349="",0,ROUND($E2349*$F2349,2))</f>
        <v/>
      </c>
    </row>
    <row r="2350">
      <c r="B2350" s="7" t="n"/>
      <c r="F2350" s="8" t="n"/>
      <c r="G2350" s="8">
        <f>IF($A2350="",0,ROUND($E2350*$F2350,2))</f>
        <v/>
      </c>
    </row>
    <row r="2351">
      <c r="B2351" s="7" t="n"/>
      <c r="F2351" s="8" t="n"/>
      <c r="G2351" s="8">
        <f>IF($A2351="",0,ROUND($E2351*$F2351,2))</f>
        <v/>
      </c>
    </row>
    <row r="2352">
      <c r="B2352" s="7" t="n"/>
      <c r="F2352" s="8" t="n"/>
      <c r="G2352" s="8">
        <f>IF($A2352="",0,ROUND($E2352*$F2352,2))</f>
        <v/>
      </c>
    </row>
    <row r="2353">
      <c r="B2353" s="7" t="n"/>
      <c r="F2353" s="8" t="n"/>
      <c r="G2353" s="8">
        <f>IF($A2353="",0,ROUND($E2353*$F2353,2))</f>
        <v/>
      </c>
    </row>
    <row r="2354">
      <c r="B2354" s="7" t="n"/>
      <c r="F2354" s="8" t="n"/>
      <c r="G2354" s="8">
        <f>IF($A2354="",0,ROUND($E2354*$F2354,2))</f>
        <v/>
      </c>
    </row>
    <row r="2355">
      <c r="B2355" s="7" t="n"/>
      <c r="F2355" s="8" t="n"/>
      <c r="G2355" s="8">
        <f>IF($A2355="",0,ROUND($E2355*$F2355,2))</f>
        <v/>
      </c>
    </row>
    <row r="2356">
      <c r="B2356" s="7" t="n"/>
      <c r="F2356" s="8" t="n"/>
      <c r="G2356" s="8">
        <f>IF($A2356="",0,ROUND($E2356*$F2356,2))</f>
        <v/>
      </c>
    </row>
    <row r="2357">
      <c r="B2357" s="7" t="n"/>
      <c r="F2357" s="8" t="n"/>
      <c r="G2357" s="8">
        <f>IF($A2357="",0,ROUND($E2357*$F2357,2))</f>
        <v/>
      </c>
    </row>
    <row r="2358">
      <c r="B2358" s="7" t="n"/>
      <c r="F2358" s="8" t="n"/>
      <c r="G2358" s="8">
        <f>IF($A2358="",0,ROUND($E2358*$F2358,2))</f>
        <v/>
      </c>
    </row>
    <row r="2359">
      <c r="B2359" s="7" t="n"/>
      <c r="F2359" s="8" t="n"/>
      <c r="G2359" s="8">
        <f>IF($A2359="",0,ROUND($E2359*$F2359,2))</f>
        <v/>
      </c>
    </row>
    <row r="2360">
      <c r="B2360" s="7" t="n"/>
      <c r="F2360" s="8" t="n"/>
      <c r="G2360" s="8">
        <f>IF($A2360="",0,ROUND($E2360*$F2360,2))</f>
        <v/>
      </c>
    </row>
    <row r="2361">
      <c r="B2361" s="7" t="n"/>
      <c r="F2361" s="8" t="n"/>
      <c r="G2361" s="8">
        <f>IF($A2361="",0,ROUND($E2361*$F2361,2))</f>
        <v/>
      </c>
    </row>
    <row r="2362">
      <c r="B2362" s="7" t="n"/>
      <c r="F2362" s="8" t="n"/>
      <c r="G2362" s="8">
        <f>IF($A2362="",0,ROUND($E2362*$F2362,2))</f>
        <v/>
      </c>
    </row>
    <row r="2363">
      <c r="B2363" s="7" t="n"/>
      <c r="F2363" s="8" t="n"/>
      <c r="G2363" s="8">
        <f>IF($A2363="",0,ROUND($E2363*$F2363,2))</f>
        <v/>
      </c>
    </row>
    <row r="2364">
      <c r="B2364" s="7" t="n"/>
      <c r="F2364" s="8" t="n"/>
      <c r="G2364" s="8">
        <f>IF($A2364="",0,ROUND($E2364*$F2364,2))</f>
        <v/>
      </c>
    </row>
    <row r="2365">
      <c r="B2365" s="7" t="n"/>
      <c r="F2365" s="8" t="n"/>
      <c r="G2365" s="8">
        <f>IF($A2365="",0,ROUND($E2365*$F2365,2))</f>
        <v/>
      </c>
    </row>
    <row r="2366">
      <c r="B2366" s="7" t="n"/>
      <c r="F2366" s="8" t="n"/>
      <c r="G2366" s="8">
        <f>IF($A2366="",0,ROUND($E2366*$F2366,2))</f>
        <v/>
      </c>
    </row>
    <row r="2367">
      <c r="B2367" s="7" t="n"/>
      <c r="F2367" s="8" t="n"/>
      <c r="G2367" s="8">
        <f>IF($A2367="",0,ROUND($E2367*$F2367,2))</f>
        <v/>
      </c>
    </row>
    <row r="2368">
      <c r="B2368" s="7" t="n"/>
      <c r="F2368" s="8" t="n"/>
      <c r="G2368" s="8">
        <f>IF($A2368="",0,ROUND($E2368*$F2368,2))</f>
        <v/>
      </c>
    </row>
    <row r="2369">
      <c r="B2369" s="7" t="n"/>
      <c r="F2369" s="8" t="n"/>
      <c r="G2369" s="8">
        <f>IF($A2369="",0,ROUND($E2369*$F2369,2))</f>
        <v/>
      </c>
    </row>
    <row r="2370">
      <c r="B2370" s="7" t="n"/>
      <c r="F2370" s="8" t="n"/>
      <c r="G2370" s="8">
        <f>IF($A2370="",0,ROUND($E2370*$F2370,2))</f>
        <v/>
      </c>
    </row>
    <row r="2371">
      <c r="B2371" s="7" t="n"/>
      <c r="F2371" s="8" t="n"/>
      <c r="G2371" s="8">
        <f>IF($A2371="",0,ROUND($E2371*$F2371,2))</f>
        <v/>
      </c>
    </row>
    <row r="2372">
      <c r="B2372" s="7" t="n"/>
      <c r="F2372" s="8" t="n"/>
      <c r="G2372" s="8">
        <f>IF($A2372="",0,ROUND($E2372*$F2372,2))</f>
        <v/>
      </c>
    </row>
    <row r="2373">
      <c r="B2373" s="7" t="n"/>
      <c r="F2373" s="8" t="n"/>
      <c r="G2373" s="8">
        <f>IF($A2373="",0,ROUND($E2373*$F2373,2))</f>
        <v/>
      </c>
    </row>
    <row r="2374">
      <c r="B2374" s="7" t="n"/>
      <c r="F2374" s="8" t="n"/>
      <c r="G2374" s="8">
        <f>IF($A2374="",0,ROUND($E2374*$F2374,2))</f>
        <v/>
      </c>
    </row>
    <row r="2375">
      <c r="B2375" s="7" t="n"/>
      <c r="F2375" s="8" t="n"/>
      <c r="G2375" s="8">
        <f>IF($A2375="",0,ROUND($E2375*$F2375,2))</f>
        <v/>
      </c>
    </row>
    <row r="2376">
      <c r="B2376" s="7" t="n"/>
      <c r="F2376" s="8" t="n"/>
      <c r="G2376" s="8">
        <f>IF($A2376="",0,ROUND($E2376*$F2376,2))</f>
        <v/>
      </c>
    </row>
    <row r="2377">
      <c r="B2377" s="7" t="n"/>
      <c r="F2377" s="8" t="n"/>
      <c r="G2377" s="8">
        <f>IF($A2377="",0,ROUND($E2377*$F2377,2))</f>
        <v/>
      </c>
    </row>
    <row r="2378">
      <c r="B2378" s="7" t="n"/>
      <c r="F2378" s="8" t="n"/>
      <c r="G2378" s="8">
        <f>IF($A2378="",0,ROUND($E2378*$F2378,2))</f>
        <v/>
      </c>
    </row>
    <row r="2379">
      <c r="B2379" s="7" t="n"/>
      <c r="F2379" s="8" t="n"/>
      <c r="G2379" s="8">
        <f>IF($A2379="",0,ROUND($E2379*$F2379,2))</f>
        <v/>
      </c>
    </row>
    <row r="2380">
      <c r="B2380" s="7" t="n"/>
      <c r="F2380" s="8" t="n"/>
      <c r="G2380" s="8">
        <f>IF($A2380="",0,ROUND($E2380*$F2380,2))</f>
        <v/>
      </c>
    </row>
    <row r="2381">
      <c r="B2381" s="7" t="n"/>
      <c r="F2381" s="8" t="n"/>
      <c r="G2381" s="8">
        <f>IF($A2381="",0,ROUND($E2381*$F2381,2))</f>
        <v/>
      </c>
    </row>
    <row r="2382">
      <c r="B2382" s="7" t="n"/>
      <c r="F2382" s="8" t="n"/>
      <c r="G2382" s="8">
        <f>IF($A2382="",0,ROUND($E2382*$F2382,2))</f>
        <v/>
      </c>
    </row>
    <row r="2383">
      <c r="B2383" s="7" t="n"/>
      <c r="F2383" s="8" t="n"/>
      <c r="G2383" s="8">
        <f>IF($A2383="",0,ROUND($E2383*$F2383,2))</f>
        <v/>
      </c>
    </row>
    <row r="2384">
      <c r="B2384" s="7" t="n"/>
      <c r="F2384" s="8" t="n"/>
      <c r="G2384" s="8">
        <f>IF($A2384="",0,ROUND($E2384*$F2384,2))</f>
        <v/>
      </c>
    </row>
    <row r="2385">
      <c r="B2385" s="7" t="n"/>
      <c r="F2385" s="8" t="n"/>
      <c r="G2385" s="8">
        <f>IF($A2385="",0,ROUND($E2385*$F2385,2))</f>
        <v/>
      </c>
    </row>
    <row r="2386">
      <c r="B2386" s="7" t="n"/>
      <c r="F2386" s="8" t="n"/>
      <c r="G2386" s="8">
        <f>IF($A2386="",0,ROUND($E2386*$F2386,2))</f>
        <v/>
      </c>
    </row>
    <row r="2387">
      <c r="B2387" s="7" t="n"/>
      <c r="F2387" s="8" t="n"/>
      <c r="G2387" s="8">
        <f>IF($A2387="",0,ROUND($E2387*$F2387,2))</f>
        <v/>
      </c>
    </row>
    <row r="2388">
      <c r="B2388" s="7" t="n"/>
      <c r="F2388" s="8" t="n"/>
      <c r="G2388" s="8">
        <f>IF($A2388="",0,ROUND($E2388*$F2388,2))</f>
        <v/>
      </c>
    </row>
    <row r="2389">
      <c r="B2389" s="7" t="n"/>
      <c r="F2389" s="8" t="n"/>
      <c r="G2389" s="8">
        <f>IF($A2389="",0,ROUND($E2389*$F2389,2))</f>
        <v/>
      </c>
    </row>
    <row r="2390">
      <c r="B2390" s="7" t="n"/>
      <c r="F2390" s="8" t="n"/>
      <c r="G2390" s="8">
        <f>IF($A2390="",0,ROUND($E2390*$F2390,2))</f>
        <v/>
      </c>
    </row>
    <row r="2391">
      <c r="B2391" s="7" t="n"/>
      <c r="F2391" s="8" t="n"/>
      <c r="G2391" s="8">
        <f>IF($A2391="",0,ROUND($E2391*$F2391,2))</f>
        <v/>
      </c>
    </row>
    <row r="2392">
      <c r="B2392" s="7" t="n"/>
      <c r="F2392" s="8" t="n"/>
      <c r="G2392" s="8">
        <f>IF($A2392="",0,ROUND($E2392*$F2392,2))</f>
        <v/>
      </c>
    </row>
    <row r="2393">
      <c r="B2393" s="7" t="n"/>
      <c r="F2393" s="8" t="n"/>
      <c r="G2393" s="8">
        <f>IF($A2393="",0,ROUND($E2393*$F2393,2))</f>
        <v/>
      </c>
    </row>
    <row r="2394">
      <c r="B2394" s="7" t="n"/>
      <c r="F2394" s="8" t="n"/>
      <c r="G2394" s="8">
        <f>IF($A2394="",0,ROUND($E2394*$F2394,2))</f>
        <v/>
      </c>
    </row>
    <row r="2395">
      <c r="B2395" s="7" t="n"/>
      <c r="F2395" s="8" t="n"/>
      <c r="G2395" s="8">
        <f>IF($A2395="",0,ROUND($E2395*$F2395,2))</f>
        <v/>
      </c>
    </row>
    <row r="2396">
      <c r="B2396" s="7" t="n"/>
      <c r="F2396" s="8" t="n"/>
      <c r="G2396" s="8">
        <f>IF($A2396="",0,ROUND($E2396*$F2396,2))</f>
        <v/>
      </c>
    </row>
    <row r="2397">
      <c r="B2397" s="7" t="n"/>
      <c r="F2397" s="8" t="n"/>
      <c r="G2397" s="8">
        <f>IF($A2397="",0,ROUND($E2397*$F2397,2))</f>
        <v/>
      </c>
    </row>
    <row r="2398">
      <c r="B2398" s="7" t="n"/>
      <c r="F2398" s="8" t="n"/>
      <c r="G2398" s="8">
        <f>IF($A2398="",0,ROUND($E2398*$F2398,2))</f>
        <v/>
      </c>
    </row>
    <row r="2399">
      <c r="B2399" s="7" t="n"/>
      <c r="F2399" s="8" t="n"/>
      <c r="G2399" s="8">
        <f>IF($A2399="",0,ROUND($E2399*$F2399,2))</f>
        <v/>
      </c>
    </row>
    <row r="2400">
      <c r="B2400" s="7" t="n"/>
      <c r="F2400" s="8" t="n"/>
      <c r="G2400" s="8">
        <f>IF($A2400="",0,ROUND($E2400*$F2400,2))</f>
        <v/>
      </c>
    </row>
    <row r="2401">
      <c r="B2401" s="7" t="n"/>
      <c r="F2401" s="8" t="n"/>
      <c r="G2401" s="8">
        <f>IF($A2401="",0,ROUND($E2401*$F2401,2))</f>
        <v/>
      </c>
    </row>
    <row r="2402">
      <c r="B2402" s="7" t="n"/>
      <c r="F2402" s="8" t="n"/>
      <c r="G2402" s="8">
        <f>IF($A2402="",0,ROUND($E2402*$F2402,2))</f>
        <v/>
      </c>
    </row>
    <row r="2403">
      <c r="B2403" s="7" t="n"/>
      <c r="F2403" s="8" t="n"/>
      <c r="G2403" s="8">
        <f>IF($A2403="",0,ROUND($E2403*$F2403,2))</f>
        <v/>
      </c>
    </row>
    <row r="2404">
      <c r="B2404" s="7" t="n"/>
      <c r="F2404" s="8" t="n"/>
      <c r="G2404" s="8">
        <f>IF($A2404="",0,ROUND($E2404*$F2404,2))</f>
        <v/>
      </c>
    </row>
    <row r="2405">
      <c r="B2405" s="7" t="n"/>
      <c r="F2405" s="8" t="n"/>
      <c r="G2405" s="8">
        <f>IF($A2405="",0,ROUND($E2405*$F2405,2))</f>
        <v/>
      </c>
    </row>
    <row r="2406">
      <c r="B2406" s="7" t="n"/>
      <c r="F2406" s="8" t="n"/>
      <c r="G2406" s="8">
        <f>IF($A2406="",0,ROUND($E2406*$F2406,2))</f>
        <v/>
      </c>
    </row>
    <row r="2407">
      <c r="B2407" s="7" t="n"/>
      <c r="F2407" s="8" t="n"/>
      <c r="G2407" s="8">
        <f>IF($A2407="",0,ROUND($E2407*$F2407,2))</f>
        <v/>
      </c>
    </row>
    <row r="2408">
      <c r="B2408" s="7" t="n"/>
      <c r="F2408" s="8" t="n"/>
      <c r="G2408" s="8">
        <f>IF($A2408="",0,ROUND($E2408*$F2408,2))</f>
        <v/>
      </c>
    </row>
    <row r="2409">
      <c r="B2409" s="7" t="n"/>
      <c r="F2409" s="8" t="n"/>
      <c r="G2409" s="8">
        <f>IF($A2409="",0,ROUND($E2409*$F2409,2))</f>
        <v/>
      </c>
    </row>
    <row r="2410">
      <c r="B2410" s="7" t="n"/>
      <c r="F2410" s="8" t="n"/>
      <c r="G2410" s="8">
        <f>IF($A2410="",0,ROUND($E2410*$F2410,2))</f>
        <v/>
      </c>
    </row>
    <row r="2411">
      <c r="B2411" s="7" t="n"/>
      <c r="F2411" s="8" t="n"/>
      <c r="G2411" s="8">
        <f>IF($A2411="",0,ROUND($E2411*$F2411,2))</f>
        <v/>
      </c>
    </row>
    <row r="2412">
      <c r="B2412" s="7" t="n"/>
      <c r="F2412" s="8" t="n"/>
      <c r="G2412" s="8">
        <f>IF($A2412="",0,ROUND($E2412*$F2412,2))</f>
        <v/>
      </c>
    </row>
    <row r="2413">
      <c r="B2413" s="7" t="n"/>
      <c r="F2413" s="8" t="n"/>
      <c r="G2413" s="8">
        <f>IF($A2413="",0,ROUND($E2413*$F2413,2))</f>
        <v/>
      </c>
    </row>
    <row r="2414">
      <c r="B2414" s="7" t="n"/>
      <c r="F2414" s="8" t="n"/>
      <c r="G2414" s="8">
        <f>IF($A2414="",0,ROUND($E2414*$F2414,2))</f>
        <v/>
      </c>
    </row>
    <row r="2415">
      <c r="B2415" s="7" t="n"/>
      <c r="F2415" s="8" t="n"/>
      <c r="G2415" s="8">
        <f>IF($A2415="",0,ROUND($E2415*$F2415,2))</f>
        <v/>
      </c>
    </row>
    <row r="2416">
      <c r="B2416" s="7" t="n"/>
      <c r="F2416" s="8" t="n"/>
      <c r="G2416" s="8">
        <f>IF($A2416="",0,ROUND($E2416*$F2416,2))</f>
        <v/>
      </c>
    </row>
    <row r="2417">
      <c r="B2417" s="7" t="n"/>
      <c r="F2417" s="8" t="n"/>
      <c r="G2417" s="8">
        <f>IF($A2417="",0,ROUND($E2417*$F2417,2))</f>
        <v/>
      </c>
    </row>
    <row r="2418">
      <c r="B2418" s="7" t="n"/>
      <c r="F2418" s="8" t="n"/>
      <c r="G2418" s="8">
        <f>IF($A2418="",0,ROUND($E2418*$F2418,2))</f>
        <v/>
      </c>
    </row>
    <row r="2419">
      <c r="B2419" s="7" t="n"/>
      <c r="F2419" s="8" t="n"/>
      <c r="G2419" s="8">
        <f>IF($A2419="",0,ROUND($E2419*$F2419,2))</f>
        <v/>
      </c>
    </row>
    <row r="2420">
      <c r="B2420" s="7" t="n"/>
      <c r="F2420" s="8" t="n"/>
      <c r="G2420" s="8">
        <f>IF($A2420="",0,ROUND($E2420*$F2420,2))</f>
        <v/>
      </c>
    </row>
    <row r="2421">
      <c r="B2421" s="7" t="n"/>
      <c r="F2421" s="8" t="n"/>
      <c r="G2421" s="8">
        <f>IF($A2421="",0,ROUND($E2421*$F2421,2))</f>
        <v/>
      </c>
    </row>
    <row r="2422">
      <c r="B2422" s="7" t="n"/>
      <c r="F2422" s="8" t="n"/>
      <c r="G2422" s="8">
        <f>IF($A2422="",0,ROUND($E2422*$F2422,2))</f>
        <v/>
      </c>
    </row>
    <row r="2423">
      <c r="B2423" s="7" t="n"/>
      <c r="F2423" s="8" t="n"/>
      <c r="G2423" s="8">
        <f>IF($A2423="",0,ROUND($E2423*$F2423,2))</f>
        <v/>
      </c>
    </row>
    <row r="2424">
      <c r="B2424" s="7" t="n"/>
      <c r="F2424" s="8" t="n"/>
      <c r="G2424" s="8">
        <f>IF($A2424="",0,ROUND($E2424*$F2424,2))</f>
        <v/>
      </c>
    </row>
    <row r="2425">
      <c r="B2425" s="7" t="n"/>
      <c r="F2425" s="8" t="n"/>
      <c r="G2425" s="8">
        <f>IF($A2425="",0,ROUND($E2425*$F2425,2))</f>
        <v/>
      </c>
    </row>
    <row r="2426">
      <c r="B2426" s="7" t="n"/>
      <c r="F2426" s="8" t="n"/>
      <c r="G2426" s="8">
        <f>IF($A2426="",0,ROUND($E2426*$F2426,2))</f>
        <v/>
      </c>
    </row>
    <row r="2427">
      <c r="B2427" s="7" t="n"/>
      <c r="F2427" s="8" t="n"/>
      <c r="G2427" s="8">
        <f>IF($A2427="",0,ROUND($E2427*$F2427,2))</f>
        <v/>
      </c>
    </row>
    <row r="2428">
      <c r="B2428" s="7" t="n"/>
      <c r="F2428" s="8" t="n"/>
      <c r="G2428" s="8">
        <f>IF($A2428="",0,ROUND($E2428*$F2428,2))</f>
        <v/>
      </c>
    </row>
    <row r="2429">
      <c r="B2429" s="7" t="n"/>
      <c r="F2429" s="8" t="n"/>
      <c r="G2429" s="8">
        <f>IF($A2429="",0,ROUND($E2429*$F2429,2))</f>
        <v/>
      </c>
    </row>
    <row r="2430">
      <c r="B2430" s="7" t="n"/>
      <c r="F2430" s="8" t="n"/>
      <c r="G2430" s="8">
        <f>IF($A2430="",0,ROUND($E2430*$F2430,2))</f>
        <v/>
      </c>
    </row>
    <row r="2431">
      <c r="B2431" s="7" t="n"/>
      <c r="F2431" s="8" t="n"/>
      <c r="G2431" s="8">
        <f>IF($A2431="",0,ROUND($E2431*$F2431,2))</f>
        <v/>
      </c>
    </row>
    <row r="2432">
      <c r="B2432" s="7" t="n"/>
      <c r="F2432" s="8" t="n"/>
      <c r="G2432" s="8">
        <f>IF($A2432="",0,ROUND($E2432*$F2432,2))</f>
        <v/>
      </c>
    </row>
    <row r="2433">
      <c r="B2433" s="7" t="n"/>
      <c r="F2433" s="8" t="n"/>
      <c r="G2433" s="8">
        <f>IF($A2433="",0,ROUND($E2433*$F2433,2))</f>
        <v/>
      </c>
    </row>
    <row r="2434">
      <c r="B2434" s="7" t="n"/>
      <c r="F2434" s="8" t="n"/>
      <c r="G2434" s="8">
        <f>IF($A2434="",0,ROUND($E2434*$F2434,2))</f>
        <v/>
      </c>
    </row>
    <row r="2435">
      <c r="B2435" s="7" t="n"/>
      <c r="F2435" s="8" t="n"/>
      <c r="G2435" s="8">
        <f>IF($A2435="",0,ROUND($E2435*$F2435,2))</f>
        <v/>
      </c>
    </row>
    <row r="2436">
      <c r="B2436" s="7" t="n"/>
      <c r="F2436" s="8" t="n"/>
      <c r="G2436" s="8">
        <f>IF($A2436="",0,ROUND($E2436*$F2436,2))</f>
        <v/>
      </c>
    </row>
    <row r="2437">
      <c r="B2437" s="7" t="n"/>
      <c r="F2437" s="8" t="n"/>
      <c r="G2437" s="8">
        <f>IF($A2437="",0,ROUND($E2437*$F2437,2))</f>
        <v/>
      </c>
    </row>
    <row r="2438">
      <c r="B2438" s="7" t="n"/>
      <c r="F2438" s="8" t="n"/>
      <c r="G2438" s="8">
        <f>IF($A2438="",0,ROUND($E2438*$F2438,2))</f>
        <v/>
      </c>
    </row>
    <row r="2439">
      <c r="B2439" s="7" t="n"/>
      <c r="F2439" s="8" t="n"/>
      <c r="G2439" s="8">
        <f>IF($A2439="",0,ROUND($E2439*$F2439,2))</f>
        <v/>
      </c>
    </row>
    <row r="2440">
      <c r="B2440" s="7" t="n"/>
      <c r="F2440" s="8" t="n"/>
      <c r="G2440" s="8">
        <f>IF($A2440="",0,ROUND($E2440*$F2440,2))</f>
        <v/>
      </c>
    </row>
    <row r="2441">
      <c r="B2441" s="7" t="n"/>
      <c r="F2441" s="8" t="n"/>
      <c r="G2441" s="8">
        <f>IF($A2441="",0,ROUND($E2441*$F2441,2))</f>
        <v/>
      </c>
    </row>
    <row r="2442">
      <c r="B2442" s="7" t="n"/>
      <c r="F2442" s="8" t="n"/>
      <c r="G2442" s="8">
        <f>IF($A2442="",0,ROUND($E2442*$F2442,2))</f>
        <v/>
      </c>
    </row>
    <row r="2443">
      <c r="B2443" s="7" t="n"/>
      <c r="F2443" s="8" t="n"/>
      <c r="G2443" s="8">
        <f>IF($A2443="",0,ROUND($E2443*$F2443,2))</f>
        <v/>
      </c>
    </row>
    <row r="2444">
      <c r="B2444" s="7" t="n"/>
      <c r="F2444" s="8" t="n"/>
      <c r="G2444" s="8">
        <f>IF($A2444="",0,ROUND($E2444*$F2444,2))</f>
        <v/>
      </c>
    </row>
    <row r="2445">
      <c r="B2445" s="7" t="n"/>
      <c r="F2445" s="8" t="n"/>
      <c r="G2445" s="8">
        <f>IF($A2445="",0,ROUND($E2445*$F2445,2))</f>
        <v/>
      </c>
    </row>
    <row r="2446">
      <c r="B2446" s="7" t="n"/>
      <c r="F2446" s="8" t="n"/>
      <c r="G2446" s="8">
        <f>IF($A2446="",0,ROUND($E2446*$F2446,2))</f>
        <v/>
      </c>
    </row>
    <row r="2447">
      <c r="B2447" s="7" t="n"/>
      <c r="F2447" s="8" t="n"/>
      <c r="G2447" s="8">
        <f>IF($A2447="",0,ROUND($E2447*$F2447,2))</f>
        <v/>
      </c>
    </row>
    <row r="2448">
      <c r="B2448" s="7" t="n"/>
      <c r="F2448" s="8" t="n"/>
      <c r="G2448" s="8">
        <f>IF($A2448="",0,ROUND($E2448*$F2448,2))</f>
        <v/>
      </c>
    </row>
    <row r="2449">
      <c r="B2449" s="7" t="n"/>
      <c r="F2449" s="8" t="n"/>
      <c r="G2449" s="8">
        <f>IF($A2449="",0,ROUND($E2449*$F2449,2))</f>
        <v/>
      </c>
    </row>
    <row r="2450">
      <c r="B2450" s="7" t="n"/>
      <c r="F2450" s="8" t="n"/>
      <c r="G2450" s="8">
        <f>IF($A2450="",0,ROUND($E2450*$F2450,2))</f>
        <v/>
      </c>
    </row>
    <row r="2451">
      <c r="B2451" s="7" t="n"/>
      <c r="F2451" s="8" t="n"/>
      <c r="G2451" s="8">
        <f>IF($A2451="",0,ROUND($E2451*$F2451,2))</f>
        <v/>
      </c>
    </row>
    <row r="2452">
      <c r="B2452" s="7" t="n"/>
      <c r="F2452" s="8" t="n"/>
      <c r="G2452" s="8">
        <f>IF($A2452="",0,ROUND($E2452*$F2452,2))</f>
        <v/>
      </c>
    </row>
    <row r="2453">
      <c r="B2453" s="7" t="n"/>
      <c r="F2453" s="8" t="n"/>
      <c r="G2453" s="8">
        <f>IF($A2453="",0,ROUND($E2453*$F2453,2))</f>
        <v/>
      </c>
    </row>
    <row r="2454">
      <c r="B2454" s="7" t="n"/>
      <c r="F2454" s="8" t="n"/>
      <c r="G2454" s="8">
        <f>IF($A2454="",0,ROUND($E2454*$F2454,2))</f>
        <v/>
      </c>
    </row>
    <row r="2455">
      <c r="B2455" s="7" t="n"/>
      <c r="F2455" s="8" t="n"/>
      <c r="G2455" s="8">
        <f>IF($A2455="",0,ROUND($E2455*$F2455,2))</f>
        <v/>
      </c>
    </row>
    <row r="2456">
      <c r="B2456" s="7" t="n"/>
      <c r="F2456" s="8" t="n"/>
      <c r="G2456" s="8">
        <f>IF($A2456="",0,ROUND($E2456*$F2456,2))</f>
        <v/>
      </c>
    </row>
    <row r="2457">
      <c r="B2457" s="7" t="n"/>
      <c r="F2457" s="8" t="n"/>
      <c r="G2457" s="8">
        <f>IF($A2457="",0,ROUND($E2457*$F2457,2))</f>
        <v/>
      </c>
    </row>
    <row r="2458">
      <c r="B2458" s="7" t="n"/>
      <c r="F2458" s="8" t="n"/>
      <c r="G2458" s="8">
        <f>IF($A2458="",0,ROUND($E2458*$F2458,2))</f>
        <v/>
      </c>
    </row>
    <row r="2459">
      <c r="B2459" s="7" t="n"/>
      <c r="F2459" s="8" t="n"/>
      <c r="G2459" s="8">
        <f>IF($A2459="",0,ROUND($E2459*$F2459,2))</f>
        <v/>
      </c>
    </row>
    <row r="2460">
      <c r="B2460" s="7" t="n"/>
      <c r="F2460" s="8" t="n"/>
      <c r="G2460" s="8">
        <f>IF($A2460="",0,ROUND($E2460*$F2460,2))</f>
        <v/>
      </c>
    </row>
    <row r="2461">
      <c r="B2461" s="7" t="n"/>
      <c r="F2461" s="8" t="n"/>
      <c r="G2461" s="8">
        <f>IF($A2461="",0,ROUND($E2461*$F2461,2))</f>
        <v/>
      </c>
    </row>
    <row r="2462">
      <c r="B2462" s="7" t="n"/>
      <c r="F2462" s="8" t="n"/>
      <c r="G2462" s="8">
        <f>IF($A2462="",0,ROUND($E2462*$F2462,2))</f>
        <v/>
      </c>
    </row>
    <row r="2463">
      <c r="B2463" s="7" t="n"/>
      <c r="F2463" s="8" t="n"/>
      <c r="G2463" s="8">
        <f>IF($A2463="",0,ROUND($E2463*$F2463,2))</f>
        <v/>
      </c>
    </row>
    <row r="2464">
      <c r="B2464" s="7" t="n"/>
      <c r="F2464" s="8" t="n"/>
      <c r="G2464" s="8">
        <f>IF($A2464="",0,ROUND($E2464*$F2464,2))</f>
        <v/>
      </c>
    </row>
    <row r="2465">
      <c r="B2465" s="7" t="n"/>
      <c r="F2465" s="8" t="n"/>
      <c r="G2465" s="8">
        <f>IF($A2465="",0,ROUND($E2465*$F2465,2))</f>
        <v/>
      </c>
    </row>
    <row r="2466">
      <c r="B2466" s="7" t="n"/>
      <c r="F2466" s="8" t="n"/>
      <c r="G2466" s="8">
        <f>IF($A2466="",0,ROUND($E2466*$F2466,2))</f>
        <v/>
      </c>
    </row>
    <row r="2467">
      <c r="B2467" s="7" t="n"/>
      <c r="F2467" s="8" t="n"/>
      <c r="G2467" s="8">
        <f>IF($A2467="",0,ROUND($E2467*$F2467,2))</f>
        <v/>
      </c>
    </row>
    <row r="2468">
      <c r="B2468" s="7" t="n"/>
      <c r="F2468" s="8" t="n"/>
      <c r="G2468" s="8">
        <f>IF($A2468="",0,ROUND($E2468*$F2468,2))</f>
        <v/>
      </c>
    </row>
    <row r="2469">
      <c r="B2469" s="7" t="n"/>
      <c r="F2469" s="8" t="n"/>
      <c r="G2469" s="8">
        <f>IF($A2469="",0,ROUND($E2469*$F2469,2))</f>
        <v/>
      </c>
    </row>
    <row r="2470">
      <c r="B2470" s="7" t="n"/>
      <c r="F2470" s="8" t="n"/>
      <c r="G2470" s="8">
        <f>IF($A2470="",0,ROUND($E2470*$F2470,2))</f>
        <v/>
      </c>
    </row>
    <row r="2471">
      <c r="B2471" s="7" t="n"/>
      <c r="F2471" s="8" t="n"/>
      <c r="G2471" s="8">
        <f>IF($A2471="",0,ROUND($E2471*$F2471,2))</f>
        <v/>
      </c>
    </row>
    <row r="2472">
      <c r="B2472" s="7" t="n"/>
      <c r="F2472" s="8" t="n"/>
      <c r="G2472" s="8">
        <f>IF($A2472="",0,ROUND($E2472*$F2472,2))</f>
        <v/>
      </c>
    </row>
    <row r="2473">
      <c r="B2473" s="7" t="n"/>
      <c r="F2473" s="8" t="n"/>
      <c r="G2473" s="8">
        <f>IF($A2473="",0,ROUND($E2473*$F2473,2))</f>
        <v/>
      </c>
    </row>
    <row r="2474">
      <c r="B2474" s="7" t="n"/>
      <c r="F2474" s="8" t="n"/>
      <c r="G2474" s="8">
        <f>IF($A2474="",0,ROUND($E2474*$F2474,2))</f>
        <v/>
      </c>
    </row>
    <row r="2475">
      <c r="B2475" s="7" t="n"/>
      <c r="F2475" s="8" t="n"/>
      <c r="G2475" s="8">
        <f>IF($A2475="",0,ROUND($E2475*$F2475,2))</f>
        <v/>
      </c>
    </row>
    <row r="2476">
      <c r="B2476" s="7" t="n"/>
      <c r="F2476" s="8" t="n"/>
      <c r="G2476" s="8">
        <f>IF($A2476="",0,ROUND($E2476*$F2476,2))</f>
        <v/>
      </c>
    </row>
    <row r="2477">
      <c r="B2477" s="7" t="n"/>
      <c r="F2477" s="8" t="n"/>
      <c r="G2477" s="8">
        <f>IF($A2477="",0,ROUND($E2477*$F2477,2))</f>
        <v/>
      </c>
    </row>
    <row r="2478">
      <c r="B2478" s="7" t="n"/>
      <c r="F2478" s="8" t="n"/>
      <c r="G2478" s="8">
        <f>IF($A2478="",0,ROUND($E2478*$F2478,2))</f>
        <v/>
      </c>
    </row>
    <row r="2479">
      <c r="B2479" s="7" t="n"/>
      <c r="F2479" s="8" t="n"/>
      <c r="G2479" s="8">
        <f>IF($A2479="",0,ROUND($E2479*$F2479,2))</f>
        <v/>
      </c>
    </row>
    <row r="2480">
      <c r="B2480" s="7" t="n"/>
      <c r="F2480" s="8" t="n"/>
      <c r="G2480" s="8">
        <f>IF($A2480="",0,ROUND($E2480*$F2480,2))</f>
        <v/>
      </c>
    </row>
    <row r="2481">
      <c r="B2481" s="7" t="n"/>
      <c r="F2481" s="8" t="n"/>
      <c r="G2481" s="8">
        <f>IF($A2481="",0,ROUND($E2481*$F2481,2))</f>
        <v/>
      </c>
    </row>
    <row r="2482">
      <c r="B2482" s="7" t="n"/>
      <c r="F2482" s="8" t="n"/>
      <c r="G2482" s="8">
        <f>IF($A2482="",0,ROUND($E2482*$F2482,2))</f>
        <v/>
      </c>
    </row>
    <row r="2483">
      <c r="B2483" s="7" t="n"/>
      <c r="F2483" s="8" t="n"/>
      <c r="G2483" s="8">
        <f>IF($A2483="",0,ROUND($E2483*$F2483,2))</f>
        <v/>
      </c>
    </row>
    <row r="2484">
      <c r="B2484" s="7" t="n"/>
      <c r="F2484" s="8" t="n"/>
      <c r="G2484" s="8">
        <f>IF($A2484="",0,ROUND($E2484*$F2484,2))</f>
        <v/>
      </c>
    </row>
    <row r="2485">
      <c r="B2485" s="7" t="n"/>
      <c r="F2485" s="8" t="n"/>
      <c r="G2485" s="8">
        <f>IF($A2485="",0,ROUND($E2485*$F2485,2))</f>
        <v/>
      </c>
    </row>
    <row r="2486">
      <c r="B2486" s="7" t="n"/>
      <c r="F2486" s="8" t="n"/>
      <c r="G2486" s="8">
        <f>IF($A2486="",0,ROUND($E2486*$F2486,2))</f>
        <v/>
      </c>
    </row>
    <row r="2487">
      <c r="B2487" s="7" t="n"/>
      <c r="F2487" s="8" t="n"/>
      <c r="G2487" s="8">
        <f>IF($A2487="",0,ROUND($E2487*$F2487,2))</f>
        <v/>
      </c>
    </row>
    <row r="2488">
      <c r="B2488" s="7" t="n"/>
      <c r="F2488" s="8" t="n"/>
      <c r="G2488" s="8">
        <f>IF($A2488="",0,ROUND($E2488*$F2488,2))</f>
        <v/>
      </c>
    </row>
    <row r="2489">
      <c r="B2489" s="7" t="n"/>
      <c r="F2489" s="8" t="n"/>
      <c r="G2489" s="8">
        <f>IF($A2489="",0,ROUND($E2489*$F2489,2))</f>
        <v/>
      </c>
    </row>
    <row r="2490">
      <c r="B2490" s="7" t="n"/>
      <c r="F2490" s="8" t="n"/>
      <c r="G2490" s="8">
        <f>IF($A2490="",0,ROUND($E2490*$F2490,2))</f>
        <v/>
      </c>
    </row>
    <row r="2491">
      <c r="B2491" s="7" t="n"/>
      <c r="F2491" s="8" t="n"/>
      <c r="G2491" s="8">
        <f>IF($A2491="",0,ROUND($E2491*$F2491,2))</f>
        <v/>
      </c>
    </row>
    <row r="2492">
      <c r="B2492" s="7" t="n"/>
      <c r="F2492" s="8" t="n"/>
      <c r="G2492" s="8">
        <f>IF($A2492="",0,ROUND($E2492*$F2492,2))</f>
        <v/>
      </c>
    </row>
    <row r="2493">
      <c r="B2493" s="7" t="n"/>
      <c r="F2493" s="8" t="n"/>
      <c r="G2493" s="8">
        <f>IF($A2493="",0,ROUND($E2493*$F2493,2))</f>
        <v/>
      </c>
    </row>
    <row r="2494">
      <c r="B2494" s="7" t="n"/>
      <c r="F2494" s="8" t="n"/>
      <c r="G2494" s="8">
        <f>IF($A2494="",0,ROUND($E2494*$F2494,2))</f>
        <v/>
      </c>
    </row>
    <row r="2495">
      <c r="B2495" s="7" t="n"/>
      <c r="F2495" s="8" t="n"/>
      <c r="G2495" s="8">
        <f>IF($A2495="",0,ROUND($E2495*$F2495,2))</f>
        <v/>
      </c>
    </row>
    <row r="2496">
      <c r="B2496" s="7" t="n"/>
      <c r="F2496" s="8" t="n"/>
      <c r="G2496" s="8">
        <f>IF($A2496="",0,ROUND($E2496*$F2496,2))</f>
        <v/>
      </c>
    </row>
    <row r="2497">
      <c r="B2497" s="7" t="n"/>
      <c r="F2497" s="8" t="n"/>
      <c r="G2497" s="8">
        <f>IF($A2497="",0,ROUND($E2497*$F2497,2))</f>
        <v/>
      </c>
    </row>
    <row r="2498">
      <c r="B2498" s="7" t="n"/>
      <c r="F2498" s="8" t="n"/>
      <c r="G2498" s="8">
        <f>IF($A2498="",0,ROUND($E2498*$F2498,2))</f>
        <v/>
      </c>
    </row>
    <row r="2499">
      <c r="B2499" s="7" t="n"/>
      <c r="F2499" s="8" t="n"/>
      <c r="G2499" s="8">
        <f>IF($A2499="",0,ROUND($E2499*$F2499,2))</f>
        <v/>
      </c>
    </row>
    <row r="2500">
      <c r="B2500" s="7" t="n"/>
      <c r="F2500" s="8" t="n"/>
      <c r="G2500" s="8">
        <f>IF($A2500="",0,ROUND($E2500*$F2500,2))</f>
        <v/>
      </c>
    </row>
    <row r="2501">
      <c r="B2501" s="7" t="n"/>
      <c r="F2501" s="8" t="n"/>
      <c r="G2501" s="8">
        <f>IF($A2501="",0,ROUND($E2501*$F2501,2))</f>
        <v/>
      </c>
    </row>
    <row r="2502">
      <c r="B2502" s="7" t="n"/>
      <c r="F2502" s="8" t="n"/>
      <c r="G2502" s="8">
        <f>IF($A2502="",0,ROUND($E2502*$F2502,2))</f>
        <v/>
      </c>
    </row>
    <row r="2503">
      <c r="B2503" s="7" t="n"/>
      <c r="F2503" s="8" t="n"/>
      <c r="G2503" s="8">
        <f>IF($A2503="",0,ROUND($E2503*$F2503,2))</f>
        <v/>
      </c>
    </row>
    <row r="2504">
      <c r="B2504" s="7" t="n"/>
      <c r="F2504" s="8" t="n"/>
      <c r="G2504" s="8">
        <f>IF($A2504="",0,ROUND($E2504*$F2504,2))</f>
        <v/>
      </c>
    </row>
    <row r="2505">
      <c r="B2505" s="7" t="n"/>
      <c r="F2505" s="8" t="n"/>
      <c r="G2505" s="8">
        <f>IF($A2505="",0,ROUND($E2505*$F2505,2))</f>
        <v/>
      </c>
    </row>
    <row r="2506">
      <c r="B2506" s="7" t="n"/>
      <c r="F2506" s="8" t="n"/>
      <c r="G2506" s="8">
        <f>IF($A2506="",0,ROUND($E2506*$F2506,2))</f>
        <v/>
      </c>
    </row>
    <row r="2507">
      <c r="B2507" s="7" t="n"/>
      <c r="F2507" s="8" t="n"/>
      <c r="G2507" s="8">
        <f>IF($A2507="",0,ROUND($E2507*$F2507,2))</f>
        <v/>
      </c>
    </row>
    <row r="2508">
      <c r="B2508" s="7" t="n"/>
      <c r="F2508" s="8" t="n"/>
      <c r="G2508" s="8">
        <f>IF($A2508="",0,ROUND($E2508*$F2508,2))</f>
        <v/>
      </c>
    </row>
    <row r="2509">
      <c r="B2509" s="7" t="n"/>
      <c r="F2509" s="8" t="n"/>
      <c r="G2509" s="8">
        <f>IF($A2509="",0,ROUND($E2509*$F2509,2))</f>
        <v/>
      </c>
    </row>
    <row r="2510">
      <c r="B2510" s="7" t="n"/>
      <c r="F2510" s="8" t="n"/>
      <c r="G2510" s="8">
        <f>IF($A2510="",0,ROUND($E2510*$F2510,2))</f>
        <v/>
      </c>
    </row>
    <row r="2511">
      <c r="B2511" s="7" t="n"/>
      <c r="F2511" s="8" t="n"/>
      <c r="G2511" s="8">
        <f>IF($A2511="",0,ROUND($E2511*$F2511,2))</f>
        <v/>
      </c>
    </row>
    <row r="2512">
      <c r="B2512" s="7" t="n"/>
      <c r="F2512" s="8" t="n"/>
      <c r="G2512" s="8">
        <f>IF($A2512="",0,ROUND($E2512*$F2512,2))</f>
        <v/>
      </c>
    </row>
    <row r="2513">
      <c r="B2513" s="7" t="n"/>
      <c r="F2513" s="8" t="n"/>
      <c r="G2513" s="8">
        <f>IF($A2513="",0,ROUND($E2513*$F2513,2))</f>
        <v/>
      </c>
    </row>
    <row r="2514">
      <c r="B2514" s="7" t="n"/>
      <c r="F2514" s="8" t="n"/>
      <c r="G2514" s="8">
        <f>IF($A2514="",0,ROUND($E2514*$F2514,2))</f>
        <v/>
      </c>
    </row>
    <row r="2515">
      <c r="B2515" s="7" t="n"/>
      <c r="F2515" s="8" t="n"/>
      <c r="G2515" s="8">
        <f>IF($A2515="",0,ROUND($E2515*$F2515,2))</f>
        <v/>
      </c>
    </row>
    <row r="2516">
      <c r="B2516" s="7" t="n"/>
      <c r="F2516" s="8" t="n"/>
      <c r="G2516" s="8">
        <f>IF($A2516="",0,ROUND($E2516*$F2516,2))</f>
        <v/>
      </c>
    </row>
    <row r="2517">
      <c r="B2517" s="7" t="n"/>
      <c r="F2517" s="8" t="n"/>
      <c r="G2517" s="8">
        <f>IF($A2517="",0,ROUND($E2517*$F2517,2))</f>
        <v/>
      </c>
    </row>
    <row r="2518">
      <c r="B2518" s="7" t="n"/>
      <c r="F2518" s="8" t="n"/>
      <c r="G2518" s="8">
        <f>IF($A2518="",0,ROUND($E2518*$F2518,2))</f>
        <v/>
      </c>
    </row>
    <row r="2519">
      <c r="B2519" s="7" t="n"/>
      <c r="F2519" s="8" t="n"/>
      <c r="G2519" s="8">
        <f>IF($A2519="",0,ROUND($E2519*$F2519,2))</f>
        <v/>
      </c>
    </row>
    <row r="2520">
      <c r="B2520" s="7" t="n"/>
      <c r="F2520" s="8" t="n"/>
      <c r="G2520" s="8">
        <f>IF($A2520="",0,ROUND($E2520*$F2520,2))</f>
        <v/>
      </c>
    </row>
    <row r="2521">
      <c r="B2521" s="7" t="n"/>
      <c r="F2521" s="8" t="n"/>
      <c r="G2521" s="8">
        <f>IF($A2521="",0,ROUND($E2521*$F2521,2))</f>
        <v/>
      </c>
    </row>
    <row r="2522">
      <c r="B2522" s="7" t="n"/>
      <c r="F2522" s="8" t="n"/>
      <c r="G2522" s="8">
        <f>IF($A2522="",0,ROUND($E2522*$F2522,2))</f>
        <v/>
      </c>
    </row>
    <row r="2523">
      <c r="B2523" s="7" t="n"/>
      <c r="F2523" s="8" t="n"/>
      <c r="G2523" s="8">
        <f>IF($A2523="",0,ROUND($E2523*$F2523,2))</f>
        <v/>
      </c>
    </row>
    <row r="2524">
      <c r="B2524" s="7" t="n"/>
      <c r="F2524" s="8" t="n"/>
      <c r="G2524" s="8">
        <f>IF($A2524="",0,ROUND($E2524*$F2524,2))</f>
        <v/>
      </c>
    </row>
    <row r="2525">
      <c r="B2525" s="7" t="n"/>
      <c r="F2525" s="8" t="n"/>
      <c r="G2525" s="8">
        <f>IF($A2525="",0,ROUND($E2525*$F2525,2))</f>
        <v/>
      </c>
    </row>
    <row r="2526">
      <c r="B2526" s="7" t="n"/>
      <c r="F2526" s="8" t="n"/>
      <c r="G2526" s="8">
        <f>IF($A2526="",0,ROUND($E2526*$F2526,2))</f>
        <v/>
      </c>
    </row>
    <row r="2527">
      <c r="B2527" s="7" t="n"/>
      <c r="F2527" s="8" t="n"/>
      <c r="G2527" s="8">
        <f>IF($A2527="",0,ROUND($E2527*$F2527,2))</f>
        <v/>
      </c>
    </row>
    <row r="2528">
      <c r="B2528" s="7" t="n"/>
      <c r="F2528" s="8" t="n"/>
      <c r="G2528" s="8">
        <f>IF($A2528="",0,ROUND($E2528*$F2528,2))</f>
        <v/>
      </c>
    </row>
    <row r="2529">
      <c r="B2529" s="7" t="n"/>
      <c r="F2529" s="8" t="n"/>
      <c r="G2529" s="8">
        <f>IF($A2529="",0,ROUND($E2529*$F2529,2))</f>
        <v/>
      </c>
    </row>
    <row r="2530">
      <c r="B2530" s="7" t="n"/>
      <c r="F2530" s="8" t="n"/>
      <c r="G2530" s="8">
        <f>IF($A2530="",0,ROUND($E2530*$F2530,2))</f>
        <v/>
      </c>
    </row>
    <row r="2531">
      <c r="B2531" s="7" t="n"/>
      <c r="F2531" s="8" t="n"/>
      <c r="G2531" s="8">
        <f>IF($A2531="",0,ROUND($E2531*$F2531,2))</f>
        <v/>
      </c>
    </row>
    <row r="2532">
      <c r="B2532" s="7" t="n"/>
      <c r="F2532" s="8" t="n"/>
      <c r="G2532" s="8">
        <f>IF($A2532="",0,ROUND($E2532*$F2532,2))</f>
        <v/>
      </c>
    </row>
    <row r="2533">
      <c r="B2533" s="7" t="n"/>
      <c r="F2533" s="8" t="n"/>
      <c r="G2533" s="8">
        <f>IF($A2533="",0,ROUND($E2533*$F2533,2))</f>
        <v/>
      </c>
    </row>
    <row r="2534">
      <c r="B2534" s="7" t="n"/>
      <c r="F2534" s="8" t="n"/>
      <c r="G2534" s="8">
        <f>IF($A2534="",0,ROUND($E2534*$F2534,2))</f>
        <v/>
      </c>
    </row>
    <row r="2535">
      <c r="B2535" s="7" t="n"/>
      <c r="F2535" s="8" t="n"/>
      <c r="G2535" s="8">
        <f>IF($A2535="",0,ROUND($E2535*$F2535,2))</f>
        <v/>
      </c>
    </row>
    <row r="2536">
      <c r="B2536" s="7" t="n"/>
      <c r="F2536" s="8" t="n"/>
      <c r="G2536" s="8">
        <f>IF($A2536="",0,ROUND($E2536*$F2536,2))</f>
        <v/>
      </c>
    </row>
    <row r="2537">
      <c r="B2537" s="7" t="n"/>
      <c r="F2537" s="8" t="n"/>
      <c r="G2537" s="8">
        <f>IF($A2537="",0,ROUND($E2537*$F2537,2))</f>
        <v/>
      </c>
    </row>
    <row r="2538">
      <c r="B2538" s="7" t="n"/>
      <c r="F2538" s="8" t="n"/>
      <c r="G2538" s="8">
        <f>IF($A2538="",0,ROUND($E2538*$F2538,2))</f>
        <v/>
      </c>
    </row>
    <row r="2539">
      <c r="B2539" s="7" t="n"/>
      <c r="F2539" s="8" t="n"/>
      <c r="G2539" s="8">
        <f>IF($A2539="",0,ROUND($E2539*$F2539,2))</f>
        <v/>
      </c>
    </row>
    <row r="2540">
      <c r="B2540" s="7" t="n"/>
      <c r="F2540" s="8" t="n"/>
      <c r="G2540" s="8">
        <f>IF($A2540="",0,ROUND($E2540*$F2540,2))</f>
        <v/>
      </c>
    </row>
    <row r="2541">
      <c r="B2541" s="7" t="n"/>
      <c r="F2541" s="8" t="n"/>
      <c r="G2541" s="8">
        <f>IF($A2541="",0,ROUND($E2541*$F2541,2))</f>
        <v/>
      </c>
    </row>
    <row r="2542">
      <c r="B2542" s="7" t="n"/>
      <c r="F2542" s="8" t="n"/>
      <c r="G2542" s="8">
        <f>IF($A2542="",0,ROUND($E2542*$F2542,2))</f>
        <v/>
      </c>
    </row>
    <row r="2543">
      <c r="B2543" s="7" t="n"/>
      <c r="F2543" s="8" t="n"/>
      <c r="G2543" s="8">
        <f>IF($A2543="",0,ROUND($E2543*$F2543,2))</f>
        <v/>
      </c>
    </row>
    <row r="2544">
      <c r="B2544" s="7" t="n"/>
      <c r="F2544" s="8" t="n"/>
      <c r="G2544" s="8">
        <f>IF($A2544="",0,ROUND($E2544*$F2544,2))</f>
        <v/>
      </c>
    </row>
    <row r="2545">
      <c r="B2545" s="7" t="n"/>
      <c r="F2545" s="8" t="n"/>
      <c r="G2545" s="8">
        <f>IF($A2545="",0,ROUND($E2545*$F2545,2))</f>
        <v/>
      </c>
    </row>
    <row r="2546">
      <c r="B2546" s="7" t="n"/>
      <c r="F2546" s="8" t="n"/>
      <c r="G2546" s="8">
        <f>IF($A2546="",0,ROUND($E2546*$F2546,2))</f>
        <v/>
      </c>
    </row>
    <row r="2547">
      <c r="B2547" s="7" t="n"/>
      <c r="F2547" s="8" t="n"/>
      <c r="G2547" s="8">
        <f>IF($A2547="",0,ROUND($E2547*$F2547,2))</f>
        <v/>
      </c>
    </row>
    <row r="2548">
      <c r="B2548" s="7" t="n"/>
      <c r="F2548" s="8" t="n"/>
      <c r="G2548" s="8">
        <f>IF($A2548="",0,ROUND($E2548*$F2548,2))</f>
        <v/>
      </c>
    </row>
    <row r="2549">
      <c r="B2549" s="7" t="n"/>
      <c r="F2549" s="8" t="n"/>
      <c r="G2549" s="8">
        <f>IF($A2549="",0,ROUND($E2549*$F2549,2))</f>
        <v/>
      </c>
    </row>
    <row r="2550">
      <c r="B2550" s="7" t="n"/>
      <c r="F2550" s="8" t="n"/>
      <c r="G2550" s="8">
        <f>IF($A2550="",0,ROUND($E2550*$F2550,2))</f>
        <v/>
      </c>
    </row>
    <row r="2551">
      <c r="B2551" s="7" t="n"/>
      <c r="F2551" s="8" t="n"/>
      <c r="G2551" s="8">
        <f>IF($A2551="",0,ROUND($E2551*$F2551,2))</f>
        <v/>
      </c>
    </row>
    <row r="2552">
      <c r="B2552" s="7" t="n"/>
      <c r="F2552" s="8" t="n"/>
      <c r="G2552" s="8">
        <f>IF($A2552="",0,ROUND($E2552*$F2552,2))</f>
        <v/>
      </c>
    </row>
    <row r="2553">
      <c r="B2553" s="7" t="n"/>
      <c r="F2553" s="8" t="n"/>
      <c r="G2553" s="8">
        <f>IF($A2553="",0,ROUND($E2553*$F2553,2))</f>
        <v/>
      </c>
    </row>
    <row r="2554">
      <c r="B2554" s="7" t="n"/>
      <c r="F2554" s="8" t="n"/>
      <c r="G2554" s="8">
        <f>IF($A2554="",0,ROUND($E2554*$F2554,2))</f>
        <v/>
      </c>
    </row>
    <row r="2555">
      <c r="B2555" s="7" t="n"/>
      <c r="F2555" s="8" t="n"/>
      <c r="G2555" s="8">
        <f>IF($A2555="",0,ROUND($E2555*$F2555,2))</f>
        <v/>
      </c>
    </row>
    <row r="2556">
      <c r="B2556" s="7" t="n"/>
      <c r="F2556" s="8" t="n"/>
      <c r="G2556" s="8">
        <f>IF($A2556="",0,ROUND($E2556*$F2556,2))</f>
        <v/>
      </c>
    </row>
    <row r="2557">
      <c r="B2557" s="7" t="n"/>
      <c r="F2557" s="8" t="n"/>
      <c r="G2557" s="8">
        <f>IF($A2557="",0,ROUND($E2557*$F2557,2))</f>
        <v/>
      </c>
    </row>
    <row r="2558">
      <c r="B2558" s="7" t="n"/>
      <c r="F2558" s="8" t="n"/>
      <c r="G2558" s="8">
        <f>IF($A2558="",0,ROUND($E2558*$F2558,2))</f>
        <v/>
      </c>
    </row>
    <row r="2559">
      <c r="B2559" s="7" t="n"/>
      <c r="F2559" s="8" t="n"/>
      <c r="G2559" s="8">
        <f>IF($A2559="",0,ROUND($E2559*$F2559,2))</f>
        <v/>
      </c>
    </row>
    <row r="2560">
      <c r="B2560" s="7" t="n"/>
      <c r="F2560" s="8" t="n"/>
      <c r="G2560" s="8">
        <f>IF($A2560="",0,ROUND($E2560*$F2560,2))</f>
        <v/>
      </c>
    </row>
    <row r="2561">
      <c r="B2561" s="7" t="n"/>
      <c r="F2561" s="8" t="n"/>
      <c r="G2561" s="8">
        <f>IF($A2561="",0,ROUND($E2561*$F2561,2))</f>
        <v/>
      </c>
    </row>
    <row r="2562">
      <c r="B2562" s="7" t="n"/>
      <c r="F2562" s="8" t="n"/>
      <c r="G2562" s="8">
        <f>IF($A2562="",0,ROUND($E2562*$F2562,2))</f>
        <v/>
      </c>
    </row>
    <row r="2563">
      <c r="B2563" s="7" t="n"/>
      <c r="F2563" s="8" t="n"/>
      <c r="G2563" s="8">
        <f>IF($A2563="",0,ROUND($E2563*$F2563,2))</f>
        <v/>
      </c>
    </row>
    <row r="2564">
      <c r="B2564" s="7" t="n"/>
      <c r="F2564" s="8" t="n"/>
      <c r="G2564" s="8">
        <f>IF($A2564="",0,ROUND($E2564*$F2564,2))</f>
        <v/>
      </c>
    </row>
    <row r="2565">
      <c r="B2565" s="7" t="n"/>
      <c r="F2565" s="8" t="n"/>
      <c r="G2565" s="8">
        <f>IF($A2565="",0,ROUND($E2565*$F2565,2))</f>
        <v/>
      </c>
    </row>
    <row r="2566">
      <c r="B2566" s="7" t="n"/>
      <c r="F2566" s="8" t="n"/>
      <c r="G2566" s="8">
        <f>IF($A2566="",0,ROUND($E2566*$F2566,2))</f>
        <v/>
      </c>
    </row>
    <row r="2567">
      <c r="B2567" s="7" t="n"/>
      <c r="F2567" s="8" t="n"/>
      <c r="G2567" s="8">
        <f>IF($A2567="",0,ROUND($E2567*$F2567,2))</f>
        <v/>
      </c>
    </row>
    <row r="2568">
      <c r="B2568" s="7" t="n"/>
      <c r="F2568" s="8" t="n"/>
      <c r="G2568" s="8">
        <f>IF($A2568="",0,ROUND($E2568*$F2568,2))</f>
        <v/>
      </c>
    </row>
    <row r="2569">
      <c r="B2569" s="7" t="n"/>
      <c r="F2569" s="8" t="n"/>
      <c r="G2569" s="8">
        <f>IF($A2569="",0,ROUND($E2569*$F2569,2))</f>
        <v/>
      </c>
    </row>
    <row r="2570">
      <c r="B2570" s="7" t="n"/>
      <c r="F2570" s="8" t="n"/>
      <c r="G2570" s="8">
        <f>IF($A2570="",0,ROUND($E2570*$F2570,2))</f>
        <v/>
      </c>
    </row>
    <row r="2571">
      <c r="B2571" s="7" t="n"/>
      <c r="F2571" s="8" t="n"/>
      <c r="G2571" s="8">
        <f>IF($A2571="",0,ROUND($E2571*$F2571,2))</f>
        <v/>
      </c>
    </row>
    <row r="2572">
      <c r="B2572" s="7" t="n"/>
      <c r="F2572" s="8" t="n"/>
      <c r="G2572" s="8">
        <f>IF($A2572="",0,ROUND($E2572*$F2572,2))</f>
        <v/>
      </c>
    </row>
    <row r="2573">
      <c r="B2573" s="7" t="n"/>
      <c r="F2573" s="8" t="n"/>
      <c r="G2573" s="8">
        <f>IF($A2573="",0,ROUND($E2573*$F2573,2))</f>
        <v/>
      </c>
    </row>
    <row r="2574">
      <c r="B2574" s="7" t="n"/>
      <c r="F2574" s="8" t="n"/>
      <c r="G2574" s="8">
        <f>IF($A2574="",0,ROUND($E2574*$F2574,2))</f>
        <v/>
      </c>
    </row>
    <row r="2575">
      <c r="B2575" s="7" t="n"/>
      <c r="F2575" s="8" t="n"/>
      <c r="G2575" s="8">
        <f>IF($A2575="",0,ROUND($E2575*$F2575,2))</f>
        <v/>
      </c>
    </row>
    <row r="2576">
      <c r="B2576" s="7" t="n"/>
      <c r="F2576" s="8" t="n"/>
      <c r="G2576" s="8">
        <f>IF($A2576="",0,ROUND($E2576*$F2576,2))</f>
        <v/>
      </c>
    </row>
    <row r="2577">
      <c r="B2577" s="7" t="n"/>
      <c r="F2577" s="8" t="n"/>
      <c r="G2577" s="8">
        <f>IF($A2577="",0,ROUND($E2577*$F2577,2))</f>
        <v/>
      </c>
    </row>
    <row r="2578">
      <c r="B2578" s="7" t="n"/>
      <c r="F2578" s="8" t="n"/>
      <c r="G2578" s="8">
        <f>IF($A2578="",0,ROUND($E2578*$F2578,2))</f>
        <v/>
      </c>
    </row>
    <row r="2579">
      <c r="B2579" s="7" t="n"/>
      <c r="F2579" s="8" t="n"/>
      <c r="G2579" s="8">
        <f>IF($A2579="",0,ROUND($E2579*$F2579,2))</f>
        <v/>
      </c>
    </row>
    <row r="2580">
      <c r="B2580" s="7" t="n"/>
      <c r="F2580" s="8" t="n"/>
      <c r="G2580" s="8">
        <f>IF($A2580="",0,ROUND($E2580*$F2580,2))</f>
        <v/>
      </c>
    </row>
    <row r="2581">
      <c r="B2581" s="7" t="n"/>
      <c r="F2581" s="8" t="n"/>
      <c r="G2581" s="8">
        <f>IF($A2581="",0,ROUND($E2581*$F2581,2))</f>
        <v/>
      </c>
    </row>
    <row r="2582">
      <c r="B2582" s="7" t="n"/>
      <c r="F2582" s="8" t="n"/>
      <c r="G2582" s="8">
        <f>IF($A2582="",0,ROUND($E2582*$F2582,2))</f>
        <v/>
      </c>
    </row>
    <row r="2583">
      <c r="B2583" s="7" t="n"/>
      <c r="F2583" s="8" t="n"/>
      <c r="G2583" s="8">
        <f>IF($A2583="",0,ROUND($E2583*$F2583,2))</f>
        <v/>
      </c>
    </row>
    <row r="2584">
      <c r="B2584" s="7" t="n"/>
      <c r="F2584" s="8" t="n"/>
      <c r="G2584" s="8">
        <f>IF($A2584="",0,ROUND($E2584*$F2584,2))</f>
        <v/>
      </c>
    </row>
    <row r="2585">
      <c r="B2585" s="7" t="n"/>
      <c r="F2585" s="8" t="n"/>
      <c r="G2585" s="8">
        <f>IF($A2585="",0,ROUND($E2585*$F2585,2))</f>
        <v/>
      </c>
    </row>
    <row r="2586">
      <c r="B2586" s="7" t="n"/>
      <c r="F2586" s="8" t="n"/>
      <c r="G2586" s="8">
        <f>IF($A2586="",0,ROUND($E2586*$F2586,2))</f>
        <v/>
      </c>
    </row>
    <row r="2587">
      <c r="B2587" s="7" t="n"/>
      <c r="F2587" s="8" t="n"/>
      <c r="G2587" s="8">
        <f>IF($A2587="",0,ROUND($E2587*$F2587,2))</f>
        <v/>
      </c>
    </row>
    <row r="2588">
      <c r="B2588" s="7" t="n"/>
      <c r="F2588" s="8" t="n"/>
      <c r="G2588" s="8">
        <f>IF($A2588="",0,ROUND($E2588*$F2588,2))</f>
        <v/>
      </c>
    </row>
    <row r="2589">
      <c r="B2589" s="7" t="n"/>
      <c r="F2589" s="8" t="n"/>
      <c r="G2589" s="8">
        <f>IF($A2589="",0,ROUND($E2589*$F2589,2))</f>
        <v/>
      </c>
    </row>
    <row r="2590">
      <c r="B2590" s="7" t="n"/>
      <c r="F2590" s="8" t="n"/>
      <c r="G2590" s="8">
        <f>IF($A2590="",0,ROUND($E2590*$F2590,2))</f>
        <v/>
      </c>
    </row>
    <row r="2591">
      <c r="B2591" s="7" t="n"/>
      <c r="F2591" s="8" t="n"/>
      <c r="G2591" s="8">
        <f>IF($A2591="",0,ROUND($E2591*$F2591,2))</f>
        <v/>
      </c>
    </row>
    <row r="2592">
      <c r="B2592" s="7" t="n"/>
      <c r="F2592" s="8" t="n"/>
      <c r="G2592" s="8">
        <f>IF($A2592="",0,ROUND($E2592*$F2592,2))</f>
        <v/>
      </c>
    </row>
    <row r="2593">
      <c r="B2593" s="7" t="n"/>
      <c r="F2593" s="8" t="n"/>
      <c r="G2593" s="8">
        <f>IF($A2593="",0,ROUND($E2593*$F2593,2))</f>
        <v/>
      </c>
    </row>
    <row r="2594">
      <c r="B2594" s="7" t="n"/>
      <c r="F2594" s="8" t="n"/>
      <c r="G2594" s="8">
        <f>IF($A2594="",0,ROUND($E2594*$F2594,2))</f>
        <v/>
      </c>
    </row>
    <row r="2595">
      <c r="B2595" s="7" t="n"/>
      <c r="F2595" s="8" t="n"/>
      <c r="G2595" s="8">
        <f>IF($A2595="",0,ROUND($E2595*$F2595,2))</f>
        <v/>
      </c>
    </row>
    <row r="2596">
      <c r="B2596" s="7" t="n"/>
      <c r="F2596" s="8" t="n"/>
      <c r="G2596" s="8">
        <f>IF($A2596="",0,ROUND($E2596*$F2596,2))</f>
        <v/>
      </c>
    </row>
    <row r="2597">
      <c r="B2597" s="7" t="n"/>
      <c r="F2597" s="8" t="n"/>
      <c r="G2597" s="8">
        <f>IF($A2597="",0,ROUND($E2597*$F2597,2))</f>
        <v/>
      </c>
    </row>
    <row r="2598">
      <c r="B2598" s="7" t="n"/>
      <c r="F2598" s="8" t="n"/>
      <c r="G2598" s="8">
        <f>IF($A2598="",0,ROUND($E2598*$F2598,2))</f>
        <v/>
      </c>
    </row>
    <row r="2599">
      <c r="B2599" s="7" t="n"/>
      <c r="F2599" s="8" t="n"/>
      <c r="G2599" s="8">
        <f>IF($A2599="",0,ROUND($E2599*$F2599,2))</f>
        <v/>
      </c>
    </row>
    <row r="2600">
      <c r="B2600" s="7" t="n"/>
      <c r="F2600" s="8" t="n"/>
      <c r="G2600" s="8">
        <f>IF($A2600="",0,ROUND($E2600*$F2600,2))</f>
        <v/>
      </c>
    </row>
    <row r="2601">
      <c r="B2601" s="7" t="n"/>
      <c r="F2601" s="8" t="n"/>
      <c r="G2601" s="8">
        <f>IF($A2601="",0,ROUND($E2601*$F2601,2))</f>
        <v/>
      </c>
    </row>
    <row r="2602">
      <c r="B2602" s="7" t="n"/>
      <c r="F2602" s="8" t="n"/>
      <c r="G2602" s="8">
        <f>IF($A2602="",0,ROUND($E2602*$F2602,2))</f>
        <v/>
      </c>
    </row>
    <row r="2603">
      <c r="B2603" s="7" t="n"/>
      <c r="F2603" s="8" t="n"/>
      <c r="G2603" s="8">
        <f>IF($A2603="",0,ROUND($E2603*$F2603,2))</f>
        <v/>
      </c>
    </row>
    <row r="2604">
      <c r="B2604" s="7" t="n"/>
      <c r="F2604" s="8" t="n"/>
      <c r="G2604" s="8">
        <f>IF($A2604="",0,ROUND($E2604*$F2604,2))</f>
        <v/>
      </c>
    </row>
    <row r="2605">
      <c r="B2605" s="7" t="n"/>
      <c r="F2605" s="8" t="n"/>
      <c r="G2605" s="8">
        <f>IF($A2605="",0,ROUND($E2605*$F2605,2))</f>
        <v/>
      </c>
    </row>
    <row r="2606">
      <c r="B2606" s="7" t="n"/>
      <c r="F2606" s="8" t="n"/>
      <c r="G2606" s="8">
        <f>IF($A2606="",0,ROUND($E2606*$F2606,2))</f>
        <v/>
      </c>
    </row>
    <row r="2607">
      <c r="B2607" s="7" t="n"/>
      <c r="F2607" s="8" t="n"/>
      <c r="G2607" s="8">
        <f>IF($A2607="",0,ROUND($E2607*$F2607,2))</f>
        <v/>
      </c>
    </row>
    <row r="2608">
      <c r="B2608" s="7" t="n"/>
      <c r="F2608" s="8" t="n"/>
      <c r="G2608" s="8">
        <f>IF($A2608="",0,ROUND($E2608*$F2608,2))</f>
        <v/>
      </c>
    </row>
    <row r="2609">
      <c r="B2609" s="7" t="n"/>
      <c r="F2609" s="8" t="n"/>
      <c r="G2609" s="8">
        <f>IF($A2609="",0,ROUND($E2609*$F2609,2))</f>
        <v/>
      </c>
    </row>
    <row r="2610">
      <c r="B2610" s="7" t="n"/>
      <c r="F2610" s="8" t="n"/>
      <c r="G2610" s="8">
        <f>IF($A2610="",0,ROUND($E2610*$F2610,2))</f>
        <v/>
      </c>
    </row>
    <row r="2611">
      <c r="B2611" s="7" t="n"/>
      <c r="F2611" s="8" t="n"/>
      <c r="G2611" s="8">
        <f>IF($A2611="",0,ROUND($E2611*$F2611,2))</f>
        <v/>
      </c>
    </row>
    <row r="2612">
      <c r="B2612" s="7" t="n"/>
      <c r="F2612" s="8" t="n"/>
      <c r="G2612" s="8">
        <f>IF($A2612="",0,ROUND($E2612*$F2612,2))</f>
        <v/>
      </c>
    </row>
    <row r="2613">
      <c r="B2613" s="7" t="n"/>
      <c r="F2613" s="8" t="n"/>
      <c r="G2613" s="8">
        <f>IF($A2613="",0,ROUND($E2613*$F2613,2))</f>
        <v/>
      </c>
    </row>
    <row r="2614">
      <c r="B2614" s="7" t="n"/>
      <c r="F2614" s="8" t="n"/>
      <c r="G2614" s="8">
        <f>IF($A2614="",0,ROUND($E2614*$F2614,2))</f>
        <v/>
      </c>
    </row>
    <row r="2615">
      <c r="B2615" s="7" t="n"/>
      <c r="F2615" s="8" t="n"/>
      <c r="G2615" s="8">
        <f>IF($A2615="",0,ROUND($E2615*$F2615,2))</f>
        <v/>
      </c>
    </row>
    <row r="2616">
      <c r="B2616" s="7" t="n"/>
      <c r="F2616" s="8" t="n"/>
      <c r="G2616" s="8">
        <f>IF($A2616="",0,ROUND($E2616*$F2616,2))</f>
        <v/>
      </c>
    </row>
    <row r="2617">
      <c r="B2617" s="7" t="n"/>
      <c r="F2617" s="8" t="n"/>
      <c r="G2617" s="8">
        <f>IF($A2617="",0,ROUND($E2617*$F2617,2))</f>
        <v/>
      </c>
    </row>
    <row r="2618">
      <c r="B2618" s="7" t="n"/>
      <c r="F2618" s="8" t="n"/>
      <c r="G2618" s="8">
        <f>IF($A2618="",0,ROUND($E2618*$F2618,2))</f>
        <v/>
      </c>
    </row>
    <row r="2619">
      <c r="B2619" s="7" t="n"/>
      <c r="F2619" s="8" t="n"/>
      <c r="G2619" s="8">
        <f>IF($A2619="",0,ROUND($E2619*$F2619,2))</f>
        <v/>
      </c>
    </row>
    <row r="2620">
      <c r="B2620" s="7" t="n"/>
      <c r="F2620" s="8" t="n"/>
      <c r="G2620" s="8">
        <f>IF($A2620="",0,ROUND($E2620*$F2620,2))</f>
        <v/>
      </c>
    </row>
    <row r="2621">
      <c r="B2621" s="7" t="n"/>
      <c r="F2621" s="8" t="n"/>
      <c r="G2621" s="8">
        <f>IF($A2621="",0,ROUND($E2621*$F2621,2))</f>
        <v/>
      </c>
    </row>
    <row r="2622">
      <c r="B2622" s="7" t="n"/>
      <c r="F2622" s="8" t="n"/>
      <c r="G2622" s="8">
        <f>IF($A2622="",0,ROUND($E2622*$F2622,2))</f>
        <v/>
      </c>
    </row>
    <row r="2623">
      <c r="B2623" s="7" t="n"/>
      <c r="F2623" s="8" t="n"/>
      <c r="G2623" s="8">
        <f>IF($A2623="",0,ROUND($E2623*$F2623,2))</f>
        <v/>
      </c>
    </row>
    <row r="2624">
      <c r="B2624" s="7" t="n"/>
      <c r="F2624" s="8" t="n"/>
      <c r="G2624" s="8">
        <f>IF($A2624="",0,ROUND($E2624*$F2624,2))</f>
        <v/>
      </c>
    </row>
    <row r="2625">
      <c r="B2625" s="7" t="n"/>
      <c r="F2625" s="8" t="n"/>
      <c r="G2625" s="8">
        <f>IF($A2625="",0,ROUND($E2625*$F2625,2))</f>
        <v/>
      </c>
    </row>
    <row r="2626">
      <c r="B2626" s="7" t="n"/>
      <c r="F2626" s="8" t="n"/>
      <c r="G2626" s="8">
        <f>IF($A2626="",0,ROUND($E2626*$F2626,2))</f>
        <v/>
      </c>
    </row>
    <row r="2627">
      <c r="B2627" s="7" t="n"/>
      <c r="F2627" s="8" t="n"/>
      <c r="G2627" s="8">
        <f>IF($A2627="",0,ROUND($E2627*$F2627,2))</f>
        <v/>
      </c>
    </row>
    <row r="2628">
      <c r="B2628" s="7" t="n"/>
      <c r="F2628" s="8" t="n"/>
      <c r="G2628" s="8">
        <f>IF($A2628="",0,ROUND($E2628*$F2628,2))</f>
        <v/>
      </c>
    </row>
    <row r="2629">
      <c r="B2629" s="7" t="n"/>
      <c r="F2629" s="8" t="n"/>
      <c r="G2629" s="8">
        <f>IF($A2629="",0,ROUND($E2629*$F2629,2))</f>
        <v/>
      </c>
    </row>
    <row r="2630">
      <c r="B2630" s="7" t="n"/>
      <c r="F2630" s="8" t="n"/>
      <c r="G2630" s="8">
        <f>IF($A2630="",0,ROUND($E2630*$F2630,2))</f>
        <v/>
      </c>
    </row>
    <row r="2631">
      <c r="B2631" s="7" t="n"/>
      <c r="F2631" s="8" t="n"/>
      <c r="G2631" s="8">
        <f>IF($A2631="",0,ROUND($E2631*$F2631,2))</f>
        <v/>
      </c>
    </row>
    <row r="2632">
      <c r="B2632" s="7" t="n"/>
      <c r="F2632" s="8" t="n"/>
      <c r="G2632" s="8">
        <f>IF($A2632="",0,ROUND($E2632*$F2632,2))</f>
        <v/>
      </c>
    </row>
    <row r="2633">
      <c r="B2633" s="7" t="n"/>
      <c r="F2633" s="8" t="n"/>
      <c r="G2633" s="8">
        <f>IF($A2633="",0,ROUND($E2633*$F2633,2))</f>
        <v/>
      </c>
    </row>
    <row r="2634">
      <c r="B2634" s="7" t="n"/>
      <c r="F2634" s="8" t="n"/>
      <c r="G2634" s="8">
        <f>IF($A2634="",0,ROUND($E2634*$F2634,2))</f>
        <v/>
      </c>
    </row>
    <row r="2635">
      <c r="B2635" s="7" t="n"/>
      <c r="F2635" s="8" t="n"/>
      <c r="G2635" s="8">
        <f>IF($A2635="",0,ROUND($E2635*$F2635,2))</f>
        <v/>
      </c>
    </row>
    <row r="2636">
      <c r="B2636" s="7" t="n"/>
      <c r="F2636" s="8" t="n"/>
      <c r="G2636" s="8">
        <f>IF($A2636="",0,ROUND($E2636*$F2636,2))</f>
        <v/>
      </c>
    </row>
    <row r="2637">
      <c r="B2637" s="7" t="n"/>
      <c r="F2637" s="8" t="n"/>
      <c r="G2637" s="8">
        <f>IF($A2637="",0,ROUND($E2637*$F2637,2))</f>
        <v/>
      </c>
    </row>
    <row r="2638">
      <c r="B2638" s="7" t="n"/>
      <c r="F2638" s="8" t="n"/>
      <c r="G2638" s="8">
        <f>IF($A2638="",0,ROUND($E2638*$F2638,2))</f>
        <v/>
      </c>
    </row>
    <row r="2639">
      <c r="B2639" s="7" t="n"/>
      <c r="F2639" s="8" t="n"/>
      <c r="G2639" s="8">
        <f>IF($A2639="",0,ROUND($E2639*$F2639,2))</f>
        <v/>
      </c>
    </row>
    <row r="2640">
      <c r="B2640" s="7" t="n"/>
      <c r="F2640" s="8" t="n"/>
      <c r="G2640" s="8">
        <f>IF($A2640="",0,ROUND($E2640*$F2640,2))</f>
        <v/>
      </c>
    </row>
    <row r="2641">
      <c r="B2641" s="7" t="n"/>
      <c r="F2641" s="8" t="n"/>
      <c r="G2641" s="8">
        <f>IF($A2641="",0,ROUND($E2641*$F2641,2))</f>
        <v/>
      </c>
    </row>
    <row r="2642">
      <c r="B2642" s="7" t="n"/>
      <c r="F2642" s="8" t="n"/>
      <c r="G2642" s="8">
        <f>IF($A2642="",0,ROUND($E2642*$F2642,2))</f>
        <v/>
      </c>
    </row>
    <row r="2643">
      <c r="B2643" s="7" t="n"/>
      <c r="F2643" s="8" t="n"/>
      <c r="G2643" s="8">
        <f>IF($A2643="",0,ROUND($E2643*$F2643,2))</f>
        <v/>
      </c>
    </row>
    <row r="2644">
      <c r="B2644" s="7" t="n"/>
      <c r="F2644" s="8" t="n"/>
      <c r="G2644" s="8">
        <f>IF($A2644="",0,ROUND($E2644*$F2644,2))</f>
        <v/>
      </c>
    </row>
    <row r="2645">
      <c r="B2645" s="7" t="n"/>
      <c r="F2645" s="8" t="n"/>
      <c r="G2645" s="8">
        <f>IF($A2645="",0,ROUND($E2645*$F2645,2))</f>
        <v/>
      </c>
    </row>
    <row r="2646">
      <c r="B2646" s="7" t="n"/>
      <c r="F2646" s="8" t="n"/>
      <c r="G2646" s="8">
        <f>IF($A2646="",0,ROUND($E2646*$F2646,2))</f>
        <v/>
      </c>
    </row>
    <row r="2647">
      <c r="B2647" s="7" t="n"/>
      <c r="F2647" s="8" t="n"/>
      <c r="G2647" s="8">
        <f>IF($A2647="",0,ROUND($E2647*$F2647,2))</f>
        <v/>
      </c>
    </row>
    <row r="2648">
      <c r="B2648" s="7" t="n"/>
      <c r="F2648" s="8" t="n"/>
      <c r="G2648" s="8">
        <f>IF($A2648="",0,ROUND($E2648*$F2648,2))</f>
        <v/>
      </c>
    </row>
    <row r="2649">
      <c r="B2649" s="7" t="n"/>
      <c r="F2649" s="8" t="n"/>
      <c r="G2649" s="8">
        <f>IF($A2649="",0,ROUND($E2649*$F2649,2))</f>
        <v/>
      </c>
    </row>
    <row r="2650">
      <c r="B2650" s="7" t="n"/>
      <c r="F2650" s="8" t="n"/>
      <c r="G2650" s="8">
        <f>IF($A2650="",0,ROUND($E2650*$F2650,2))</f>
        <v/>
      </c>
    </row>
    <row r="2651">
      <c r="B2651" s="7" t="n"/>
      <c r="F2651" s="8" t="n"/>
      <c r="G2651" s="8">
        <f>IF($A2651="",0,ROUND($E2651*$F2651,2))</f>
        <v/>
      </c>
    </row>
    <row r="2652">
      <c r="B2652" s="7" t="n"/>
      <c r="F2652" s="8" t="n"/>
      <c r="G2652" s="8">
        <f>IF($A2652="",0,ROUND($E2652*$F2652,2))</f>
        <v/>
      </c>
    </row>
    <row r="2653">
      <c r="B2653" s="7" t="n"/>
      <c r="F2653" s="8" t="n"/>
      <c r="G2653" s="8">
        <f>IF($A2653="",0,ROUND($E2653*$F2653,2))</f>
        <v/>
      </c>
    </row>
    <row r="2654">
      <c r="B2654" s="7" t="n"/>
      <c r="F2654" s="8" t="n"/>
      <c r="G2654" s="8">
        <f>IF($A2654="",0,ROUND($E2654*$F2654,2))</f>
        <v/>
      </c>
    </row>
    <row r="2655">
      <c r="B2655" s="7" t="n"/>
      <c r="F2655" s="8" t="n"/>
      <c r="G2655" s="8">
        <f>IF($A2655="",0,ROUND($E2655*$F2655,2))</f>
        <v/>
      </c>
    </row>
    <row r="2656">
      <c r="B2656" s="7" t="n"/>
      <c r="F2656" s="8" t="n"/>
      <c r="G2656" s="8">
        <f>IF($A2656="",0,ROUND($E2656*$F2656,2))</f>
        <v/>
      </c>
    </row>
    <row r="2657">
      <c r="B2657" s="7" t="n"/>
      <c r="F2657" s="8" t="n"/>
      <c r="G2657" s="8">
        <f>IF($A2657="",0,ROUND($E2657*$F2657,2))</f>
        <v/>
      </c>
    </row>
    <row r="2658">
      <c r="B2658" s="7" t="n"/>
      <c r="F2658" s="8" t="n"/>
      <c r="G2658" s="8">
        <f>IF($A2658="",0,ROUND($E2658*$F2658,2))</f>
        <v/>
      </c>
    </row>
    <row r="2659">
      <c r="B2659" s="7" t="n"/>
      <c r="F2659" s="8" t="n"/>
      <c r="G2659" s="8">
        <f>IF($A2659="",0,ROUND($E2659*$F2659,2))</f>
        <v/>
      </c>
    </row>
    <row r="2660">
      <c r="B2660" s="7" t="n"/>
      <c r="F2660" s="8" t="n"/>
      <c r="G2660" s="8">
        <f>IF($A2660="",0,ROUND($E2660*$F2660,2))</f>
        <v/>
      </c>
    </row>
    <row r="2661">
      <c r="B2661" s="7" t="n"/>
      <c r="F2661" s="8" t="n"/>
      <c r="G2661" s="8">
        <f>IF($A2661="",0,ROUND($E2661*$F2661,2))</f>
        <v/>
      </c>
    </row>
    <row r="2662">
      <c r="B2662" s="7" t="n"/>
      <c r="F2662" s="8" t="n"/>
      <c r="G2662" s="8">
        <f>IF($A2662="",0,ROUND($E2662*$F2662,2))</f>
        <v/>
      </c>
    </row>
    <row r="2663">
      <c r="B2663" s="7" t="n"/>
      <c r="F2663" s="8" t="n"/>
      <c r="G2663" s="8">
        <f>IF($A2663="",0,ROUND($E2663*$F2663,2))</f>
        <v/>
      </c>
    </row>
    <row r="2664">
      <c r="B2664" s="7" t="n"/>
      <c r="F2664" s="8" t="n"/>
      <c r="G2664" s="8">
        <f>IF($A2664="",0,ROUND($E2664*$F2664,2))</f>
        <v/>
      </c>
    </row>
    <row r="2665">
      <c r="B2665" s="7" t="n"/>
      <c r="F2665" s="8" t="n"/>
      <c r="G2665" s="8">
        <f>IF($A2665="",0,ROUND($E2665*$F2665,2))</f>
        <v/>
      </c>
    </row>
    <row r="2666">
      <c r="B2666" s="7" t="n"/>
      <c r="F2666" s="8" t="n"/>
      <c r="G2666" s="8">
        <f>IF($A2666="",0,ROUND($E2666*$F2666,2))</f>
        <v/>
      </c>
    </row>
    <row r="2667">
      <c r="B2667" s="7" t="n"/>
      <c r="F2667" s="8" t="n"/>
      <c r="G2667" s="8">
        <f>IF($A2667="",0,ROUND($E2667*$F2667,2))</f>
        <v/>
      </c>
    </row>
    <row r="2668">
      <c r="B2668" s="7" t="n"/>
      <c r="F2668" s="8" t="n"/>
      <c r="G2668" s="8">
        <f>IF($A2668="",0,ROUND($E2668*$F2668,2))</f>
        <v/>
      </c>
    </row>
    <row r="2669">
      <c r="B2669" s="7" t="n"/>
      <c r="F2669" s="8" t="n"/>
      <c r="G2669" s="8">
        <f>IF($A2669="",0,ROUND($E2669*$F2669,2))</f>
        <v/>
      </c>
    </row>
    <row r="2670">
      <c r="B2670" s="7" t="n"/>
      <c r="F2670" s="8" t="n"/>
      <c r="G2670" s="8">
        <f>IF($A2670="",0,ROUND($E2670*$F2670,2))</f>
        <v/>
      </c>
    </row>
    <row r="2671">
      <c r="B2671" s="7" t="n"/>
      <c r="F2671" s="8" t="n"/>
      <c r="G2671" s="8">
        <f>IF($A2671="",0,ROUND($E2671*$F2671,2))</f>
        <v/>
      </c>
    </row>
    <row r="2672">
      <c r="B2672" s="7" t="n"/>
      <c r="F2672" s="8" t="n"/>
      <c r="G2672" s="8">
        <f>IF($A2672="",0,ROUND($E2672*$F2672,2))</f>
        <v/>
      </c>
    </row>
    <row r="2673">
      <c r="B2673" s="7" t="n"/>
      <c r="F2673" s="8" t="n"/>
      <c r="G2673" s="8">
        <f>IF($A2673="",0,ROUND($E2673*$F2673,2))</f>
        <v/>
      </c>
    </row>
    <row r="2674">
      <c r="B2674" s="7" t="n"/>
      <c r="F2674" s="8" t="n"/>
      <c r="G2674" s="8">
        <f>IF($A2674="",0,ROUND($E2674*$F2674,2))</f>
        <v/>
      </c>
    </row>
    <row r="2675">
      <c r="B2675" s="7" t="n"/>
      <c r="F2675" s="8" t="n"/>
      <c r="G2675" s="8">
        <f>IF($A2675="",0,ROUND($E2675*$F2675,2))</f>
        <v/>
      </c>
    </row>
    <row r="2676">
      <c r="B2676" s="7" t="n"/>
      <c r="F2676" s="8" t="n"/>
      <c r="G2676" s="8">
        <f>IF($A2676="",0,ROUND($E2676*$F2676,2))</f>
        <v/>
      </c>
    </row>
    <row r="2677">
      <c r="B2677" s="7" t="n"/>
      <c r="F2677" s="8" t="n"/>
      <c r="G2677" s="8">
        <f>IF($A2677="",0,ROUND($E2677*$F2677,2))</f>
        <v/>
      </c>
    </row>
    <row r="2678">
      <c r="B2678" s="7" t="n"/>
      <c r="F2678" s="8" t="n"/>
      <c r="G2678" s="8">
        <f>IF($A2678="",0,ROUND($E2678*$F2678,2))</f>
        <v/>
      </c>
    </row>
    <row r="2679">
      <c r="B2679" s="7" t="n"/>
      <c r="F2679" s="8" t="n"/>
      <c r="G2679" s="8">
        <f>IF($A2679="",0,ROUND($E2679*$F2679,2))</f>
        <v/>
      </c>
    </row>
    <row r="2680">
      <c r="B2680" s="7" t="n"/>
      <c r="F2680" s="8" t="n"/>
      <c r="G2680" s="8">
        <f>IF($A2680="",0,ROUND($E2680*$F2680,2))</f>
        <v/>
      </c>
    </row>
    <row r="2681">
      <c r="B2681" s="7" t="n"/>
      <c r="F2681" s="8" t="n"/>
      <c r="G2681" s="8">
        <f>IF($A2681="",0,ROUND($E2681*$F2681,2))</f>
        <v/>
      </c>
    </row>
    <row r="2682">
      <c r="B2682" s="7" t="n"/>
      <c r="F2682" s="8" t="n"/>
      <c r="G2682" s="8">
        <f>IF($A2682="",0,ROUND($E2682*$F2682,2))</f>
        <v/>
      </c>
    </row>
    <row r="2683">
      <c r="B2683" s="7" t="n"/>
      <c r="F2683" s="8" t="n"/>
      <c r="G2683" s="8">
        <f>IF($A2683="",0,ROUND($E2683*$F2683,2))</f>
        <v/>
      </c>
    </row>
    <row r="2684">
      <c r="B2684" s="7" t="n"/>
      <c r="F2684" s="8" t="n"/>
      <c r="G2684" s="8">
        <f>IF($A2684="",0,ROUND($E2684*$F2684,2))</f>
        <v/>
      </c>
    </row>
    <row r="2685">
      <c r="B2685" s="7" t="n"/>
      <c r="F2685" s="8" t="n"/>
      <c r="G2685" s="8">
        <f>IF($A2685="",0,ROUND($E2685*$F2685,2))</f>
        <v/>
      </c>
    </row>
    <row r="2686">
      <c r="B2686" s="7" t="n"/>
      <c r="F2686" s="8" t="n"/>
      <c r="G2686" s="8">
        <f>IF($A2686="",0,ROUND($E2686*$F2686,2))</f>
        <v/>
      </c>
    </row>
    <row r="2687">
      <c r="B2687" s="7" t="n"/>
      <c r="F2687" s="8" t="n"/>
      <c r="G2687" s="8">
        <f>IF($A2687="",0,ROUND($E2687*$F2687,2))</f>
        <v/>
      </c>
    </row>
    <row r="2688">
      <c r="B2688" s="7" t="n"/>
      <c r="F2688" s="8" t="n"/>
      <c r="G2688" s="8">
        <f>IF($A2688="",0,ROUND($E2688*$F2688,2))</f>
        <v/>
      </c>
    </row>
    <row r="2689">
      <c r="B2689" s="7" t="n"/>
      <c r="F2689" s="8" t="n"/>
      <c r="G2689" s="8">
        <f>IF($A2689="",0,ROUND($E2689*$F2689,2))</f>
        <v/>
      </c>
    </row>
    <row r="2690">
      <c r="B2690" s="7" t="n"/>
      <c r="F2690" s="8" t="n"/>
      <c r="G2690" s="8">
        <f>IF($A2690="",0,ROUND($E2690*$F2690,2))</f>
        <v/>
      </c>
    </row>
    <row r="2691">
      <c r="B2691" s="7" t="n"/>
      <c r="F2691" s="8" t="n"/>
      <c r="G2691" s="8">
        <f>IF($A2691="",0,ROUND($E2691*$F2691,2))</f>
        <v/>
      </c>
    </row>
    <row r="2692">
      <c r="B2692" s="7" t="n"/>
      <c r="F2692" s="8" t="n"/>
      <c r="G2692" s="8">
        <f>IF($A2692="",0,ROUND($E2692*$F2692,2))</f>
        <v/>
      </c>
    </row>
    <row r="2693">
      <c r="B2693" s="7" t="n"/>
      <c r="F2693" s="8" t="n"/>
      <c r="G2693" s="8">
        <f>IF($A2693="",0,ROUND($E2693*$F2693,2))</f>
        <v/>
      </c>
    </row>
    <row r="2694">
      <c r="B2694" s="7" t="n"/>
      <c r="F2694" s="8" t="n"/>
      <c r="G2694" s="8">
        <f>IF($A2694="",0,ROUND($E2694*$F2694,2))</f>
        <v/>
      </c>
    </row>
    <row r="2695">
      <c r="B2695" s="7" t="n"/>
      <c r="F2695" s="8" t="n"/>
      <c r="G2695" s="8">
        <f>IF($A2695="",0,ROUND($E2695*$F2695,2))</f>
        <v/>
      </c>
    </row>
    <row r="2696">
      <c r="B2696" s="7" t="n"/>
      <c r="F2696" s="8" t="n"/>
      <c r="G2696" s="8">
        <f>IF($A2696="",0,ROUND($E2696*$F2696,2))</f>
        <v/>
      </c>
    </row>
    <row r="2697">
      <c r="B2697" s="7" t="n"/>
      <c r="F2697" s="8" t="n"/>
      <c r="G2697" s="8">
        <f>IF($A2697="",0,ROUND($E2697*$F2697,2))</f>
        <v/>
      </c>
    </row>
    <row r="2698">
      <c r="B2698" s="7" t="n"/>
      <c r="F2698" s="8" t="n"/>
      <c r="G2698" s="8">
        <f>IF($A2698="",0,ROUND($E2698*$F2698,2))</f>
        <v/>
      </c>
    </row>
    <row r="2699">
      <c r="B2699" s="7" t="n"/>
      <c r="F2699" s="8" t="n"/>
      <c r="G2699" s="8">
        <f>IF($A2699="",0,ROUND($E2699*$F2699,2))</f>
        <v/>
      </c>
    </row>
    <row r="2700">
      <c r="B2700" s="7" t="n"/>
      <c r="F2700" s="8" t="n"/>
      <c r="G2700" s="8">
        <f>IF($A2700="",0,ROUND($E2700*$F2700,2))</f>
        <v/>
      </c>
    </row>
    <row r="2701">
      <c r="B2701" s="7" t="n"/>
      <c r="F2701" s="8" t="n"/>
      <c r="G2701" s="8">
        <f>IF($A2701="",0,ROUND($E2701*$F2701,2))</f>
        <v/>
      </c>
    </row>
    <row r="2702">
      <c r="B2702" s="7" t="n"/>
      <c r="F2702" s="8" t="n"/>
      <c r="G2702" s="8">
        <f>IF($A2702="",0,ROUND($E2702*$F2702,2))</f>
        <v/>
      </c>
    </row>
    <row r="2703">
      <c r="B2703" s="7" t="n"/>
      <c r="F2703" s="8" t="n"/>
      <c r="G2703" s="8">
        <f>IF($A2703="",0,ROUND($E2703*$F2703,2))</f>
        <v/>
      </c>
    </row>
    <row r="2704">
      <c r="B2704" s="7" t="n"/>
      <c r="F2704" s="8" t="n"/>
      <c r="G2704" s="8">
        <f>IF($A2704="",0,ROUND($E2704*$F2704,2))</f>
        <v/>
      </c>
    </row>
    <row r="2705">
      <c r="B2705" s="7" t="n"/>
      <c r="F2705" s="8" t="n"/>
      <c r="G2705" s="8">
        <f>IF($A2705="",0,ROUND($E2705*$F2705,2))</f>
        <v/>
      </c>
    </row>
    <row r="2706">
      <c r="B2706" s="7" t="n"/>
      <c r="F2706" s="8" t="n"/>
      <c r="G2706" s="8">
        <f>IF($A2706="",0,ROUND($E2706*$F2706,2))</f>
        <v/>
      </c>
    </row>
    <row r="2707">
      <c r="B2707" s="7" t="n"/>
      <c r="F2707" s="8" t="n"/>
      <c r="G2707" s="8">
        <f>IF($A2707="",0,ROUND($E2707*$F2707,2))</f>
        <v/>
      </c>
    </row>
    <row r="2708">
      <c r="B2708" s="7" t="n"/>
      <c r="F2708" s="8" t="n"/>
      <c r="G2708" s="8">
        <f>IF($A2708="",0,ROUND($E2708*$F2708,2))</f>
        <v/>
      </c>
    </row>
    <row r="2709">
      <c r="B2709" s="7" t="n"/>
      <c r="F2709" s="8" t="n"/>
      <c r="G2709" s="8">
        <f>IF($A2709="",0,ROUND($E2709*$F2709,2))</f>
        <v/>
      </c>
    </row>
    <row r="2710">
      <c r="B2710" s="7" t="n"/>
      <c r="F2710" s="8" t="n"/>
      <c r="G2710" s="8">
        <f>IF($A2710="",0,ROUND($E2710*$F2710,2))</f>
        <v/>
      </c>
    </row>
    <row r="2711">
      <c r="B2711" s="7" t="n"/>
      <c r="F2711" s="8" t="n"/>
      <c r="G2711" s="8">
        <f>IF($A2711="",0,ROUND($E2711*$F2711,2))</f>
        <v/>
      </c>
    </row>
    <row r="2712">
      <c r="B2712" s="7" t="n"/>
      <c r="F2712" s="8" t="n"/>
      <c r="G2712" s="8">
        <f>IF($A2712="",0,ROUND($E2712*$F2712,2))</f>
        <v/>
      </c>
    </row>
    <row r="2713">
      <c r="B2713" s="7" t="n"/>
      <c r="F2713" s="8" t="n"/>
      <c r="G2713" s="8">
        <f>IF($A2713="",0,ROUND($E2713*$F2713,2))</f>
        <v/>
      </c>
    </row>
    <row r="2714">
      <c r="B2714" s="7" t="n"/>
      <c r="F2714" s="8" t="n"/>
      <c r="G2714" s="8">
        <f>IF($A2714="",0,ROUND($E2714*$F2714,2))</f>
        <v/>
      </c>
    </row>
    <row r="2715">
      <c r="B2715" s="7" t="n"/>
      <c r="F2715" s="8" t="n"/>
      <c r="G2715" s="8">
        <f>IF($A2715="",0,ROUND($E2715*$F2715,2))</f>
        <v/>
      </c>
    </row>
    <row r="2716">
      <c r="B2716" s="7" t="n"/>
      <c r="F2716" s="8" t="n"/>
      <c r="G2716" s="8">
        <f>IF($A2716="",0,ROUND($E2716*$F2716,2))</f>
        <v/>
      </c>
    </row>
    <row r="2717">
      <c r="B2717" s="7" t="n"/>
      <c r="F2717" s="8" t="n"/>
      <c r="G2717" s="8">
        <f>IF($A2717="",0,ROUND($E2717*$F2717,2))</f>
        <v/>
      </c>
    </row>
    <row r="2718">
      <c r="B2718" s="7" t="n"/>
      <c r="F2718" s="8" t="n"/>
      <c r="G2718" s="8">
        <f>IF($A2718="",0,ROUND($E2718*$F2718,2))</f>
        <v/>
      </c>
    </row>
    <row r="2719">
      <c r="B2719" s="7" t="n"/>
      <c r="F2719" s="8" t="n"/>
      <c r="G2719" s="8">
        <f>IF($A2719="",0,ROUND($E2719*$F2719,2))</f>
        <v/>
      </c>
    </row>
    <row r="2720">
      <c r="B2720" s="7" t="n"/>
      <c r="F2720" s="8" t="n"/>
      <c r="G2720" s="8">
        <f>IF($A2720="",0,ROUND($E2720*$F2720,2))</f>
        <v/>
      </c>
    </row>
    <row r="2721">
      <c r="B2721" s="7" t="n"/>
      <c r="F2721" s="8" t="n"/>
      <c r="G2721" s="8">
        <f>IF($A2721="",0,ROUND($E2721*$F2721,2))</f>
        <v/>
      </c>
    </row>
    <row r="2722">
      <c r="B2722" s="7" t="n"/>
      <c r="F2722" s="8" t="n"/>
      <c r="G2722" s="8">
        <f>IF($A2722="",0,ROUND($E2722*$F2722,2))</f>
        <v/>
      </c>
    </row>
    <row r="2723">
      <c r="B2723" s="7" t="n"/>
      <c r="F2723" s="8" t="n"/>
      <c r="G2723" s="8">
        <f>IF($A2723="",0,ROUND($E2723*$F2723,2))</f>
        <v/>
      </c>
    </row>
    <row r="2724">
      <c r="B2724" s="7" t="n"/>
      <c r="F2724" s="8" t="n"/>
      <c r="G2724" s="8">
        <f>IF($A2724="",0,ROUND($E2724*$F2724,2))</f>
        <v/>
      </c>
    </row>
    <row r="2725">
      <c r="B2725" s="7" t="n"/>
      <c r="F2725" s="8" t="n"/>
      <c r="G2725" s="8">
        <f>IF($A2725="",0,ROUND($E2725*$F2725,2))</f>
        <v/>
      </c>
    </row>
    <row r="2726">
      <c r="B2726" s="7" t="n"/>
      <c r="F2726" s="8" t="n"/>
      <c r="G2726" s="8">
        <f>IF($A2726="",0,ROUND($E2726*$F2726,2))</f>
        <v/>
      </c>
    </row>
    <row r="2727">
      <c r="B2727" s="7" t="n"/>
      <c r="F2727" s="8" t="n"/>
      <c r="G2727" s="8">
        <f>IF($A2727="",0,ROUND($E2727*$F2727,2))</f>
        <v/>
      </c>
    </row>
    <row r="2728">
      <c r="B2728" s="7" t="n"/>
      <c r="F2728" s="8" t="n"/>
      <c r="G2728" s="8">
        <f>IF($A2728="",0,ROUND($E2728*$F2728,2))</f>
        <v/>
      </c>
    </row>
    <row r="2729">
      <c r="B2729" s="7" t="n"/>
      <c r="F2729" s="8" t="n"/>
      <c r="G2729" s="8">
        <f>IF($A2729="",0,ROUND($E2729*$F2729,2))</f>
        <v/>
      </c>
    </row>
    <row r="2730">
      <c r="B2730" s="7" t="n"/>
      <c r="F2730" s="8" t="n"/>
      <c r="G2730" s="8">
        <f>IF($A2730="",0,ROUND($E2730*$F2730,2))</f>
        <v/>
      </c>
    </row>
    <row r="2731">
      <c r="B2731" s="7" t="n"/>
      <c r="F2731" s="8" t="n"/>
      <c r="G2731" s="8">
        <f>IF($A2731="",0,ROUND($E2731*$F2731,2))</f>
        <v/>
      </c>
    </row>
    <row r="2732">
      <c r="B2732" s="7" t="n"/>
      <c r="F2732" s="8" t="n"/>
      <c r="G2732" s="8">
        <f>IF($A2732="",0,ROUND($E2732*$F2732,2))</f>
        <v/>
      </c>
    </row>
    <row r="2733">
      <c r="B2733" s="7" t="n"/>
      <c r="F2733" s="8" t="n"/>
      <c r="G2733" s="8">
        <f>IF($A2733="",0,ROUND($E2733*$F2733,2))</f>
        <v/>
      </c>
    </row>
    <row r="2734">
      <c r="B2734" s="7" t="n"/>
      <c r="F2734" s="8" t="n"/>
      <c r="G2734" s="8">
        <f>IF($A2734="",0,ROUND($E2734*$F2734,2))</f>
        <v/>
      </c>
    </row>
    <row r="2735">
      <c r="B2735" s="7" t="n"/>
      <c r="F2735" s="8" t="n"/>
      <c r="G2735" s="8">
        <f>IF($A2735="",0,ROUND($E2735*$F2735,2))</f>
        <v/>
      </c>
    </row>
    <row r="2736">
      <c r="B2736" s="7" t="n"/>
      <c r="F2736" s="8" t="n"/>
      <c r="G2736" s="8">
        <f>IF($A2736="",0,ROUND($E2736*$F2736,2))</f>
        <v/>
      </c>
    </row>
    <row r="2737">
      <c r="B2737" s="7" t="n"/>
      <c r="F2737" s="8" t="n"/>
      <c r="G2737" s="8">
        <f>IF($A2737="",0,ROUND($E2737*$F2737,2))</f>
        <v/>
      </c>
    </row>
    <row r="2738">
      <c r="B2738" s="7" t="n"/>
      <c r="F2738" s="8" t="n"/>
      <c r="G2738" s="8">
        <f>IF($A2738="",0,ROUND($E2738*$F2738,2))</f>
        <v/>
      </c>
    </row>
    <row r="2739">
      <c r="B2739" s="7" t="n"/>
      <c r="F2739" s="8" t="n"/>
      <c r="G2739" s="8">
        <f>IF($A2739="",0,ROUND($E2739*$F2739,2))</f>
        <v/>
      </c>
    </row>
    <row r="2740">
      <c r="B2740" s="7" t="n"/>
      <c r="F2740" s="8" t="n"/>
      <c r="G2740" s="8">
        <f>IF($A2740="",0,ROUND($E2740*$F2740,2))</f>
        <v/>
      </c>
    </row>
    <row r="2741">
      <c r="B2741" s="7" t="n"/>
      <c r="F2741" s="8" t="n"/>
      <c r="G2741" s="8">
        <f>IF($A2741="",0,ROUND($E2741*$F2741,2))</f>
        <v/>
      </c>
    </row>
    <row r="2742">
      <c r="B2742" s="7" t="n"/>
      <c r="F2742" s="8" t="n"/>
      <c r="G2742" s="8">
        <f>IF($A2742="",0,ROUND($E2742*$F2742,2))</f>
        <v/>
      </c>
    </row>
    <row r="2743">
      <c r="B2743" s="7" t="n"/>
      <c r="F2743" s="8" t="n"/>
      <c r="G2743" s="8">
        <f>IF($A2743="",0,ROUND($E2743*$F2743,2))</f>
        <v/>
      </c>
    </row>
    <row r="2744">
      <c r="B2744" s="7" t="n"/>
      <c r="F2744" s="8" t="n"/>
      <c r="G2744" s="8">
        <f>IF($A2744="",0,ROUND($E2744*$F2744,2))</f>
        <v/>
      </c>
    </row>
    <row r="2745">
      <c r="B2745" s="7" t="n"/>
      <c r="F2745" s="8" t="n"/>
      <c r="G2745" s="8">
        <f>IF($A2745="",0,ROUND($E2745*$F2745,2))</f>
        <v/>
      </c>
    </row>
    <row r="2746">
      <c r="B2746" s="7" t="n"/>
      <c r="F2746" s="8" t="n"/>
      <c r="G2746" s="8">
        <f>IF($A2746="",0,ROUND($E2746*$F2746,2))</f>
        <v/>
      </c>
    </row>
    <row r="2747">
      <c r="B2747" s="7" t="n"/>
      <c r="F2747" s="8" t="n"/>
      <c r="G2747" s="8">
        <f>IF($A2747="",0,ROUND($E2747*$F2747,2))</f>
        <v/>
      </c>
    </row>
    <row r="2748">
      <c r="B2748" s="7" t="n"/>
      <c r="F2748" s="8" t="n"/>
      <c r="G2748" s="8">
        <f>IF($A2748="",0,ROUND($E2748*$F2748,2))</f>
        <v/>
      </c>
    </row>
    <row r="2749">
      <c r="B2749" s="7" t="n"/>
      <c r="F2749" s="8" t="n"/>
      <c r="G2749" s="8">
        <f>IF($A2749="",0,ROUND($E2749*$F2749,2))</f>
        <v/>
      </c>
    </row>
    <row r="2750">
      <c r="B2750" s="7" t="n"/>
      <c r="F2750" s="8" t="n"/>
      <c r="G2750" s="8">
        <f>IF($A2750="",0,ROUND($E2750*$F2750,2))</f>
        <v/>
      </c>
    </row>
    <row r="2751">
      <c r="B2751" s="7" t="n"/>
      <c r="F2751" s="8" t="n"/>
      <c r="G2751" s="8">
        <f>IF($A2751="",0,ROUND($E2751*$F2751,2))</f>
        <v/>
      </c>
    </row>
    <row r="2752">
      <c r="B2752" s="7" t="n"/>
      <c r="F2752" s="8" t="n"/>
      <c r="G2752" s="8">
        <f>IF($A2752="",0,ROUND($E2752*$F2752,2))</f>
        <v/>
      </c>
    </row>
    <row r="2753">
      <c r="B2753" s="7" t="n"/>
      <c r="F2753" s="8" t="n"/>
      <c r="G2753" s="8">
        <f>IF($A2753="",0,ROUND($E2753*$F2753,2))</f>
        <v/>
      </c>
    </row>
    <row r="2754">
      <c r="B2754" s="7" t="n"/>
      <c r="F2754" s="8" t="n"/>
      <c r="G2754" s="8">
        <f>IF($A2754="",0,ROUND($E2754*$F2754,2))</f>
        <v/>
      </c>
    </row>
    <row r="2755">
      <c r="B2755" s="7" t="n"/>
      <c r="F2755" s="8" t="n"/>
      <c r="G2755" s="8">
        <f>IF($A2755="",0,ROUND($E2755*$F2755,2))</f>
        <v/>
      </c>
    </row>
    <row r="2756">
      <c r="B2756" s="7" t="n"/>
      <c r="F2756" s="8" t="n"/>
      <c r="G2756" s="8">
        <f>IF($A2756="",0,ROUND($E2756*$F2756,2))</f>
        <v/>
      </c>
    </row>
    <row r="2757">
      <c r="B2757" s="7" t="n"/>
      <c r="F2757" s="8" t="n"/>
      <c r="G2757" s="8">
        <f>IF($A2757="",0,ROUND($E2757*$F2757,2))</f>
        <v/>
      </c>
    </row>
    <row r="2758">
      <c r="B2758" s="7" t="n"/>
      <c r="F2758" s="8" t="n"/>
      <c r="G2758" s="8">
        <f>IF($A2758="",0,ROUND($E2758*$F2758,2))</f>
        <v/>
      </c>
    </row>
    <row r="2759">
      <c r="B2759" s="7" t="n"/>
      <c r="F2759" s="8" t="n"/>
      <c r="G2759" s="8">
        <f>IF($A2759="",0,ROUND($E2759*$F2759,2))</f>
        <v/>
      </c>
    </row>
    <row r="2760">
      <c r="B2760" s="7" t="n"/>
      <c r="F2760" s="8" t="n"/>
      <c r="G2760" s="8">
        <f>IF($A2760="",0,ROUND($E2760*$F2760,2))</f>
        <v/>
      </c>
    </row>
    <row r="2761">
      <c r="B2761" s="7" t="n"/>
      <c r="F2761" s="8" t="n"/>
      <c r="G2761" s="8">
        <f>IF($A2761="",0,ROUND($E2761*$F2761,2))</f>
        <v/>
      </c>
    </row>
    <row r="2762">
      <c r="B2762" s="7" t="n"/>
      <c r="F2762" s="8" t="n"/>
      <c r="G2762" s="8">
        <f>IF($A2762="",0,ROUND($E2762*$F2762,2))</f>
        <v/>
      </c>
    </row>
    <row r="2763">
      <c r="B2763" s="7" t="n"/>
      <c r="F2763" s="8" t="n"/>
      <c r="G2763" s="8">
        <f>IF($A2763="",0,ROUND($E2763*$F2763,2))</f>
        <v/>
      </c>
    </row>
    <row r="2764">
      <c r="B2764" s="7" t="n"/>
      <c r="F2764" s="8" t="n"/>
      <c r="G2764" s="8">
        <f>IF($A2764="",0,ROUND($E2764*$F2764,2))</f>
        <v/>
      </c>
    </row>
    <row r="2765">
      <c r="B2765" s="7" t="n"/>
      <c r="F2765" s="8" t="n"/>
      <c r="G2765" s="8">
        <f>IF($A2765="",0,ROUND($E2765*$F2765,2))</f>
        <v/>
      </c>
    </row>
    <row r="2766">
      <c r="B2766" s="7" t="n"/>
      <c r="F2766" s="8" t="n"/>
      <c r="G2766" s="8">
        <f>IF($A2766="",0,ROUND($E2766*$F2766,2))</f>
        <v/>
      </c>
    </row>
    <row r="2767">
      <c r="B2767" s="7" t="n"/>
      <c r="F2767" s="8" t="n"/>
      <c r="G2767" s="8">
        <f>IF($A2767="",0,ROUND($E2767*$F2767,2))</f>
        <v/>
      </c>
    </row>
    <row r="2768">
      <c r="B2768" s="7" t="n"/>
      <c r="F2768" s="8" t="n"/>
      <c r="G2768" s="8">
        <f>IF($A2768="",0,ROUND($E2768*$F2768,2))</f>
        <v/>
      </c>
    </row>
    <row r="2769">
      <c r="B2769" s="7" t="n"/>
      <c r="F2769" s="8" t="n"/>
      <c r="G2769" s="8">
        <f>IF($A2769="",0,ROUND($E2769*$F2769,2))</f>
        <v/>
      </c>
    </row>
    <row r="2770">
      <c r="B2770" s="7" t="n"/>
      <c r="F2770" s="8" t="n"/>
      <c r="G2770" s="8">
        <f>IF($A2770="",0,ROUND($E2770*$F2770,2))</f>
        <v/>
      </c>
    </row>
    <row r="2771">
      <c r="B2771" s="7" t="n"/>
      <c r="F2771" s="8" t="n"/>
      <c r="G2771" s="8">
        <f>IF($A2771="",0,ROUND($E2771*$F2771,2))</f>
        <v/>
      </c>
    </row>
    <row r="2772">
      <c r="B2772" s="7" t="n"/>
      <c r="F2772" s="8" t="n"/>
      <c r="G2772" s="8">
        <f>IF($A2772="",0,ROUND($E2772*$F2772,2))</f>
        <v/>
      </c>
    </row>
    <row r="2773">
      <c r="B2773" s="7" t="n"/>
      <c r="F2773" s="8" t="n"/>
      <c r="G2773" s="8">
        <f>IF($A2773="",0,ROUND($E2773*$F2773,2))</f>
        <v/>
      </c>
    </row>
    <row r="2774">
      <c r="B2774" s="7" t="n"/>
      <c r="F2774" s="8" t="n"/>
      <c r="G2774" s="8">
        <f>IF($A2774="",0,ROUND($E2774*$F2774,2))</f>
        <v/>
      </c>
    </row>
    <row r="2775">
      <c r="B2775" s="7" t="n"/>
      <c r="F2775" s="8" t="n"/>
      <c r="G2775" s="8">
        <f>IF($A2775="",0,ROUND($E2775*$F2775,2))</f>
        <v/>
      </c>
    </row>
    <row r="2776">
      <c r="B2776" s="7" t="n"/>
      <c r="F2776" s="8" t="n"/>
      <c r="G2776" s="8">
        <f>IF($A2776="",0,ROUND($E2776*$F2776,2))</f>
        <v/>
      </c>
    </row>
    <row r="2777">
      <c r="B2777" s="7" t="n"/>
      <c r="F2777" s="8" t="n"/>
      <c r="G2777" s="8">
        <f>IF($A2777="",0,ROUND($E2777*$F2777,2))</f>
        <v/>
      </c>
    </row>
    <row r="2778">
      <c r="B2778" s="7" t="n"/>
      <c r="F2778" s="8" t="n"/>
      <c r="G2778" s="8">
        <f>IF($A2778="",0,ROUND($E2778*$F2778,2))</f>
        <v/>
      </c>
    </row>
    <row r="2779">
      <c r="B2779" s="7" t="n"/>
      <c r="F2779" s="8" t="n"/>
      <c r="G2779" s="8">
        <f>IF($A2779="",0,ROUND($E2779*$F2779,2))</f>
        <v/>
      </c>
    </row>
    <row r="2780">
      <c r="B2780" s="7" t="n"/>
      <c r="F2780" s="8" t="n"/>
      <c r="G2780" s="8">
        <f>IF($A2780="",0,ROUND($E2780*$F2780,2))</f>
        <v/>
      </c>
    </row>
    <row r="2781">
      <c r="B2781" s="7" t="n"/>
      <c r="F2781" s="8" t="n"/>
      <c r="G2781" s="8">
        <f>IF($A2781="",0,ROUND($E2781*$F2781,2))</f>
        <v/>
      </c>
    </row>
    <row r="2782">
      <c r="B2782" s="7" t="n"/>
      <c r="F2782" s="8" t="n"/>
      <c r="G2782" s="8">
        <f>IF($A2782="",0,ROUND($E2782*$F2782,2))</f>
        <v/>
      </c>
    </row>
    <row r="2783">
      <c r="B2783" s="7" t="n"/>
      <c r="F2783" s="8" t="n"/>
      <c r="G2783" s="8">
        <f>IF($A2783="",0,ROUND($E2783*$F2783,2))</f>
        <v/>
      </c>
    </row>
    <row r="2784">
      <c r="B2784" s="7" t="n"/>
      <c r="F2784" s="8" t="n"/>
      <c r="G2784" s="8">
        <f>IF($A2784="",0,ROUND($E2784*$F2784,2))</f>
        <v/>
      </c>
    </row>
    <row r="2785">
      <c r="B2785" s="7" t="n"/>
      <c r="F2785" s="8" t="n"/>
      <c r="G2785" s="8">
        <f>IF($A2785="",0,ROUND($E2785*$F2785,2))</f>
        <v/>
      </c>
    </row>
    <row r="2786">
      <c r="B2786" s="7" t="n"/>
      <c r="F2786" s="8" t="n"/>
      <c r="G2786" s="8">
        <f>IF($A2786="",0,ROUND($E2786*$F2786,2))</f>
        <v/>
      </c>
    </row>
    <row r="2787">
      <c r="B2787" s="7" t="n"/>
      <c r="F2787" s="8" t="n"/>
      <c r="G2787" s="8">
        <f>IF($A2787="",0,ROUND($E2787*$F2787,2))</f>
        <v/>
      </c>
    </row>
    <row r="2788">
      <c r="B2788" s="7" t="n"/>
      <c r="F2788" s="8" t="n"/>
      <c r="G2788" s="8">
        <f>IF($A2788="",0,ROUND($E2788*$F2788,2))</f>
        <v/>
      </c>
    </row>
    <row r="2789">
      <c r="B2789" s="7" t="n"/>
      <c r="F2789" s="8" t="n"/>
      <c r="G2789" s="8">
        <f>IF($A2789="",0,ROUND($E2789*$F2789,2))</f>
        <v/>
      </c>
    </row>
    <row r="2790">
      <c r="B2790" s="7" t="n"/>
      <c r="F2790" s="8" t="n"/>
      <c r="G2790" s="8">
        <f>IF($A2790="",0,ROUND($E2790*$F2790,2))</f>
        <v/>
      </c>
    </row>
    <row r="2791">
      <c r="B2791" s="7" t="n"/>
      <c r="F2791" s="8" t="n"/>
      <c r="G2791" s="8">
        <f>IF($A2791="",0,ROUND($E2791*$F2791,2))</f>
        <v/>
      </c>
    </row>
    <row r="2792">
      <c r="B2792" s="7" t="n"/>
      <c r="F2792" s="8" t="n"/>
      <c r="G2792" s="8">
        <f>IF($A2792="",0,ROUND($E2792*$F2792,2))</f>
        <v/>
      </c>
    </row>
    <row r="2793">
      <c r="B2793" s="7" t="n"/>
      <c r="F2793" s="8" t="n"/>
      <c r="G2793" s="8">
        <f>IF($A2793="",0,ROUND($E2793*$F2793,2))</f>
        <v/>
      </c>
    </row>
    <row r="2794">
      <c r="B2794" s="7" t="n"/>
      <c r="F2794" s="8" t="n"/>
      <c r="G2794" s="8">
        <f>IF($A2794="",0,ROUND($E2794*$F2794,2))</f>
        <v/>
      </c>
    </row>
    <row r="2795">
      <c r="B2795" s="7" t="n"/>
      <c r="F2795" s="8" t="n"/>
      <c r="G2795" s="8">
        <f>IF($A2795="",0,ROUND($E2795*$F2795,2))</f>
        <v/>
      </c>
    </row>
    <row r="2796">
      <c r="B2796" s="7" t="n"/>
      <c r="F2796" s="8" t="n"/>
      <c r="G2796" s="8">
        <f>IF($A2796="",0,ROUND($E2796*$F2796,2))</f>
        <v/>
      </c>
    </row>
    <row r="2797">
      <c r="B2797" s="7" t="n"/>
      <c r="F2797" s="8" t="n"/>
      <c r="G2797" s="8">
        <f>IF($A2797="",0,ROUND($E2797*$F2797,2))</f>
        <v/>
      </c>
    </row>
    <row r="2798">
      <c r="B2798" s="7" t="n"/>
      <c r="F2798" s="8" t="n"/>
      <c r="G2798" s="8">
        <f>IF($A2798="",0,ROUND($E2798*$F2798,2))</f>
        <v/>
      </c>
    </row>
    <row r="2799">
      <c r="B2799" s="7" t="n"/>
      <c r="F2799" s="8" t="n"/>
      <c r="G2799" s="8">
        <f>IF($A2799="",0,ROUND($E2799*$F2799,2))</f>
        <v/>
      </c>
    </row>
    <row r="2800">
      <c r="B2800" s="7" t="n"/>
      <c r="F2800" s="8" t="n"/>
      <c r="G2800" s="8">
        <f>IF($A2800="",0,ROUND($E2800*$F2800,2))</f>
        <v/>
      </c>
    </row>
    <row r="2801">
      <c r="B2801" s="7" t="n"/>
      <c r="F2801" s="8" t="n"/>
      <c r="G2801" s="8">
        <f>IF($A2801="",0,ROUND($E2801*$F2801,2))</f>
        <v/>
      </c>
    </row>
    <row r="2802">
      <c r="B2802" s="7" t="n"/>
      <c r="F2802" s="8" t="n"/>
      <c r="G2802" s="8">
        <f>IF($A2802="",0,ROUND($E2802*$F2802,2))</f>
        <v/>
      </c>
    </row>
    <row r="2803">
      <c r="B2803" s="7" t="n"/>
      <c r="F2803" s="8" t="n"/>
      <c r="G2803" s="8">
        <f>IF($A2803="",0,ROUND($E2803*$F2803,2))</f>
        <v/>
      </c>
    </row>
    <row r="2804">
      <c r="B2804" s="7" t="n"/>
      <c r="F2804" s="8" t="n"/>
      <c r="G2804" s="8">
        <f>IF($A2804="",0,ROUND($E2804*$F2804,2))</f>
        <v/>
      </c>
    </row>
    <row r="2805">
      <c r="B2805" s="7" t="n"/>
      <c r="F2805" s="8" t="n"/>
      <c r="G2805" s="8">
        <f>IF($A2805="",0,ROUND($E2805*$F2805,2))</f>
        <v/>
      </c>
    </row>
    <row r="2806">
      <c r="B2806" s="7" t="n"/>
      <c r="F2806" s="8" t="n"/>
      <c r="G2806" s="8">
        <f>IF($A2806="",0,ROUND($E2806*$F2806,2))</f>
        <v/>
      </c>
    </row>
    <row r="2807">
      <c r="B2807" s="7" t="n"/>
      <c r="F2807" s="8" t="n"/>
      <c r="G2807" s="8">
        <f>IF($A2807="",0,ROUND($E2807*$F2807,2))</f>
        <v/>
      </c>
    </row>
    <row r="2808">
      <c r="B2808" s="7" t="n"/>
      <c r="F2808" s="8" t="n"/>
      <c r="G2808" s="8">
        <f>IF($A2808="",0,ROUND($E2808*$F2808,2))</f>
        <v/>
      </c>
    </row>
    <row r="2809">
      <c r="B2809" s="7" t="n"/>
      <c r="F2809" s="8" t="n"/>
      <c r="G2809" s="8">
        <f>IF($A2809="",0,ROUND($E2809*$F2809,2))</f>
        <v/>
      </c>
    </row>
    <row r="2810">
      <c r="B2810" s="7" t="n"/>
      <c r="F2810" s="8" t="n"/>
      <c r="G2810" s="8">
        <f>IF($A2810="",0,ROUND($E2810*$F2810,2))</f>
        <v/>
      </c>
    </row>
    <row r="2811">
      <c r="B2811" s="7" t="n"/>
      <c r="F2811" s="8" t="n"/>
      <c r="G2811" s="8">
        <f>IF($A2811="",0,ROUND($E2811*$F2811,2))</f>
        <v/>
      </c>
    </row>
    <row r="2812">
      <c r="B2812" s="7" t="n"/>
      <c r="F2812" s="8" t="n"/>
      <c r="G2812" s="8">
        <f>IF($A2812="",0,ROUND($E2812*$F2812,2))</f>
        <v/>
      </c>
    </row>
    <row r="2813">
      <c r="B2813" s="7" t="n"/>
      <c r="F2813" s="8" t="n"/>
      <c r="G2813" s="8">
        <f>IF($A2813="",0,ROUND($E2813*$F2813,2))</f>
        <v/>
      </c>
    </row>
    <row r="2814">
      <c r="B2814" s="7" t="n"/>
      <c r="F2814" s="8" t="n"/>
      <c r="G2814" s="8">
        <f>IF($A2814="",0,ROUND($E2814*$F2814,2))</f>
        <v/>
      </c>
    </row>
    <row r="2815">
      <c r="B2815" s="7" t="n"/>
      <c r="F2815" s="8" t="n"/>
      <c r="G2815" s="8">
        <f>IF($A2815="",0,ROUND($E2815*$F2815,2))</f>
        <v/>
      </c>
    </row>
    <row r="2816">
      <c r="B2816" s="7" t="n"/>
      <c r="F2816" s="8" t="n"/>
      <c r="G2816" s="8">
        <f>IF($A2816="",0,ROUND($E2816*$F2816,2))</f>
        <v/>
      </c>
    </row>
    <row r="2817">
      <c r="B2817" s="7" t="n"/>
      <c r="F2817" s="8" t="n"/>
      <c r="G2817" s="8">
        <f>IF($A2817="",0,ROUND($E2817*$F2817,2))</f>
        <v/>
      </c>
    </row>
    <row r="2818">
      <c r="B2818" s="7" t="n"/>
      <c r="F2818" s="8" t="n"/>
      <c r="G2818" s="8">
        <f>IF($A2818="",0,ROUND($E2818*$F2818,2))</f>
        <v/>
      </c>
    </row>
    <row r="2819">
      <c r="B2819" s="7" t="n"/>
      <c r="F2819" s="8" t="n"/>
      <c r="G2819" s="8">
        <f>IF($A2819="",0,ROUND($E2819*$F2819,2))</f>
        <v/>
      </c>
    </row>
    <row r="2820">
      <c r="B2820" s="7" t="n"/>
      <c r="F2820" s="8" t="n"/>
      <c r="G2820" s="8">
        <f>IF($A2820="",0,ROUND($E2820*$F2820,2))</f>
        <v/>
      </c>
    </row>
    <row r="2821">
      <c r="B2821" s="7" t="n"/>
      <c r="F2821" s="8" t="n"/>
      <c r="G2821" s="8">
        <f>IF($A2821="",0,ROUND($E2821*$F2821,2))</f>
        <v/>
      </c>
    </row>
    <row r="2822">
      <c r="B2822" s="7" t="n"/>
      <c r="F2822" s="8" t="n"/>
      <c r="G2822" s="8">
        <f>IF($A2822="",0,ROUND($E2822*$F2822,2))</f>
        <v/>
      </c>
    </row>
    <row r="2823">
      <c r="B2823" s="7" t="n"/>
      <c r="F2823" s="8" t="n"/>
      <c r="G2823" s="8">
        <f>IF($A2823="",0,ROUND($E2823*$F2823,2))</f>
        <v/>
      </c>
    </row>
    <row r="2824">
      <c r="B2824" s="7" t="n"/>
      <c r="F2824" s="8" t="n"/>
      <c r="G2824" s="8">
        <f>IF($A2824="",0,ROUND($E2824*$F2824,2))</f>
        <v/>
      </c>
    </row>
    <row r="2825">
      <c r="B2825" s="7" t="n"/>
      <c r="F2825" s="8" t="n"/>
      <c r="G2825" s="8">
        <f>IF($A2825="",0,ROUND($E2825*$F2825,2))</f>
        <v/>
      </c>
    </row>
    <row r="2826">
      <c r="B2826" s="7" t="n"/>
      <c r="F2826" s="8" t="n"/>
      <c r="G2826" s="8">
        <f>IF($A2826="",0,ROUND($E2826*$F2826,2))</f>
        <v/>
      </c>
    </row>
    <row r="2827">
      <c r="B2827" s="7" t="n"/>
      <c r="F2827" s="8" t="n"/>
      <c r="G2827" s="8">
        <f>IF($A2827="",0,ROUND($E2827*$F2827,2))</f>
        <v/>
      </c>
    </row>
    <row r="2828">
      <c r="B2828" s="7" t="n"/>
      <c r="F2828" s="8" t="n"/>
      <c r="G2828" s="8">
        <f>IF($A2828="",0,ROUND($E2828*$F2828,2))</f>
        <v/>
      </c>
    </row>
    <row r="2829">
      <c r="B2829" s="7" t="n"/>
      <c r="F2829" s="8" t="n"/>
      <c r="G2829" s="8">
        <f>IF($A2829="",0,ROUND($E2829*$F2829,2))</f>
        <v/>
      </c>
    </row>
    <row r="2830">
      <c r="B2830" s="7" t="n"/>
      <c r="F2830" s="8" t="n"/>
      <c r="G2830" s="8">
        <f>IF($A2830="",0,ROUND($E2830*$F2830,2))</f>
        <v/>
      </c>
    </row>
    <row r="2831">
      <c r="B2831" s="7" t="n"/>
      <c r="F2831" s="8" t="n"/>
      <c r="G2831" s="8">
        <f>IF($A2831="",0,ROUND($E2831*$F2831,2))</f>
        <v/>
      </c>
    </row>
    <row r="2832">
      <c r="B2832" s="7" t="n"/>
      <c r="F2832" s="8" t="n"/>
      <c r="G2832" s="8">
        <f>IF($A2832="",0,ROUND($E2832*$F2832,2))</f>
        <v/>
      </c>
    </row>
    <row r="2833">
      <c r="B2833" s="7" t="n"/>
      <c r="F2833" s="8" t="n"/>
      <c r="G2833" s="8">
        <f>IF($A2833="",0,ROUND($E2833*$F2833,2))</f>
        <v/>
      </c>
    </row>
    <row r="2834">
      <c r="B2834" s="7" t="n"/>
      <c r="F2834" s="8" t="n"/>
      <c r="G2834" s="8">
        <f>IF($A2834="",0,ROUND($E2834*$F2834,2))</f>
        <v/>
      </c>
    </row>
    <row r="2835">
      <c r="B2835" s="7" t="n"/>
      <c r="F2835" s="8" t="n"/>
      <c r="G2835" s="8">
        <f>IF($A2835="",0,ROUND($E2835*$F2835,2))</f>
        <v/>
      </c>
    </row>
    <row r="2836">
      <c r="B2836" s="7" t="n"/>
      <c r="F2836" s="8" t="n"/>
      <c r="G2836" s="8">
        <f>IF($A2836="",0,ROUND($E2836*$F2836,2))</f>
        <v/>
      </c>
    </row>
    <row r="2837">
      <c r="B2837" s="7" t="n"/>
      <c r="F2837" s="8" t="n"/>
      <c r="G2837" s="8">
        <f>IF($A2837="",0,ROUND($E2837*$F2837,2))</f>
        <v/>
      </c>
    </row>
    <row r="2838">
      <c r="B2838" s="7" t="n"/>
      <c r="F2838" s="8" t="n"/>
      <c r="G2838" s="8">
        <f>IF($A2838="",0,ROUND($E2838*$F2838,2))</f>
        <v/>
      </c>
    </row>
    <row r="2839">
      <c r="B2839" s="7" t="n"/>
      <c r="F2839" s="8" t="n"/>
      <c r="G2839" s="8">
        <f>IF($A2839="",0,ROUND($E2839*$F2839,2))</f>
        <v/>
      </c>
    </row>
    <row r="2840">
      <c r="B2840" s="7" t="n"/>
      <c r="F2840" s="8" t="n"/>
      <c r="G2840" s="8">
        <f>IF($A2840="",0,ROUND($E2840*$F2840,2))</f>
        <v/>
      </c>
    </row>
    <row r="2841">
      <c r="B2841" s="7" t="n"/>
      <c r="F2841" s="8" t="n"/>
      <c r="G2841" s="8">
        <f>IF($A2841="",0,ROUND($E2841*$F2841,2))</f>
        <v/>
      </c>
    </row>
    <row r="2842">
      <c r="B2842" s="7" t="n"/>
      <c r="F2842" s="8" t="n"/>
      <c r="G2842" s="8">
        <f>IF($A2842="",0,ROUND($E2842*$F2842,2))</f>
        <v/>
      </c>
    </row>
    <row r="2843">
      <c r="B2843" s="7" t="n"/>
      <c r="F2843" s="8" t="n"/>
      <c r="G2843" s="8">
        <f>IF($A2843="",0,ROUND($E2843*$F2843,2))</f>
        <v/>
      </c>
    </row>
    <row r="2844">
      <c r="B2844" s="7" t="n"/>
      <c r="F2844" s="8" t="n"/>
      <c r="G2844" s="8">
        <f>IF($A2844="",0,ROUND($E2844*$F2844,2))</f>
        <v/>
      </c>
    </row>
    <row r="2845">
      <c r="B2845" s="7" t="n"/>
      <c r="F2845" s="8" t="n"/>
      <c r="G2845" s="8">
        <f>IF($A2845="",0,ROUND($E2845*$F2845,2))</f>
        <v/>
      </c>
    </row>
    <row r="2846">
      <c r="B2846" s="7" t="n"/>
      <c r="F2846" s="8" t="n"/>
      <c r="G2846" s="8">
        <f>IF($A2846="",0,ROUND($E2846*$F2846,2))</f>
        <v/>
      </c>
    </row>
    <row r="2847">
      <c r="B2847" s="7" t="n"/>
      <c r="F2847" s="8" t="n"/>
      <c r="G2847" s="8">
        <f>IF($A2847="",0,ROUND($E2847*$F2847,2))</f>
        <v/>
      </c>
    </row>
    <row r="2848">
      <c r="B2848" s="7" t="n"/>
      <c r="F2848" s="8" t="n"/>
      <c r="G2848" s="8">
        <f>IF($A2848="",0,ROUND($E2848*$F2848,2))</f>
        <v/>
      </c>
    </row>
    <row r="2849">
      <c r="B2849" s="7" t="n"/>
      <c r="F2849" s="8" t="n"/>
      <c r="G2849" s="8">
        <f>IF($A2849="",0,ROUND($E2849*$F2849,2))</f>
        <v/>
      </c>
    </row>
    <row r="2850">
      <c r="B2850" s="7" t="n"/>
      <c r="F2850" s="8" t="n"/>
      <c r="G2850" s="8">
        <f>IF($A2850="",0,ROUND($E2850*$F2850,2))</f>
        <v/>
      </c>
    </row>
    <row r="2851">
      <c r="B2851" s="7" t="n"/>
      <c r="F2851" s="8" t="n"/>
      <c r="G2851" s="8">
        <f>IF($A2851="",0,ROUND($E2851*$F2851,2))</f>
        <v/>
      </c>
    </row>
    <row r="2852">
      <c r="B2852" s="7" t="n"/>
      <c r="F2852" s="8" t="n"/>
      <c r="G2852" s="8">
        <f>IF($A2852="",0,ROUND($E2852*$F2852,2))</f>
        <v/>
      </c>
    </row>
    <row r="2853">
      <c r="B2853" s="7" t="n"/>
      <c r="F2853" s="8" t="n"/>
      <c r="G2853" s="8">
        <f>IF($A2853="",0,ROUND($E2853*$F2853,2))</f>
        <v/>
      </c>
    </row>
    <row r="2854">
      <c r="B2854" s="7" t="n"/>
      <c r="F2854" s="8" t="n"/>
      <c r="G2854" s="8">
        <f>IF($A2854="",0,ROUND($E2854*$F2854,2))</f>
        <v/>
      </c>
    </row>
    <row r="2855">
      <c r="B2855" s="7" t="n"/>
      <c r="F2855" s="8" t="n"/>
      <c r="G2855" s="8">
        <f>IF($A2855="",0,ROUND($E2855*$F2855,2))</f>
        <v/>
      </c>
    </row>
    <row r="2856">
      <c r="B2856" s="7" t="n"/>
      <c r="F2856" s="8" t="n"/>
      <c r="G2856" s="8">
        <f>IF($A2856="",0,ROUND($E2856*$F2856,2))</f>
        <v/>
      </c>
    </row>
    <row r="2857">
      <c r="B2857" s="7" t="n"/>
      <c r="F2857" s="8" t="n"/>
      <c r="G2857" s="8">
        <f>IF($A2857="",0,ROUND($E2857*$F2857,2))</f>
        <v/>
      </c>
    </row>
    <row r="2858">
      <c r="B2858" s="7" t="n"/>
      <c r="F2858" s="8" t="n"/>
      <c r="G2858" s="8">
        <f>IF($A2858="",0,ROUND($E2858*$F2858,2))</f>
        <v/>
      </c>
    </row>
    <row r="2859">
      <c r="B2859" s="7" t="n"/>
      <c r="F2859" s="8" t="n"/>
      <c r="G2859" s="8">
        <f>IF($A2859="",0,ROUND($E2859*$F2859,2))</f>
        <v/>
      </c>
    </row>
    <row r="2860">
      <c r="B2860" s="7" t="n"/>
      <c r="F2860" s="8" t="n"/>
      <c r="G2860" s="8">
        <f>IF($A2860="",0,ROUND($E2860*$F2860,2))</f>
        <v/>
      </c>
    </row>
    <row r="2861">
      <c r="B2861" s="7" t="n"/>
      <c r="F2861" s="8" t="n"/>
      <c r="G2861" s="8">
        <f>IF($A2861="",0,ROUND($E2861*$F2861,2))</f>
        <v/>
      </c>
    </row>
    <row r="2862">
      <c r="B2862" s="7" t="n"/>
      <c r="F2862" s="8" t="n"/>
      <c r="G2862" s="8">
        <f>IF($A2862="",0,ROUND($E2862*$F2862,2))</f>
        <v/>
      </c>
    </row>
    <row r="2863">
      <c r="B2863" s="7" t="n"/>
      <c r="F2863" s="8" t="n"/>
      <c r="G2863" s="8">
        <f>IF($A2863="",0,ROUND($E2863*$F2863,2))</f>
        <v/>
      </c>
    </row>
    <row r="2864">
      <c r="B2864" s="7" t="n"/>
      <c r="F2864" s="8" t="n"/>
      <c r="G2864" s="8">
        <f>IF($A2864="",0,ROUND($E2864*$F2864,2))</f>
        <v/>
      </c>
    </row>
    <row r="2865">
      <c r="B2865" s="7" t="n"/>
      <c r="F2865" s="8" t="n"/>
      <c r="G2865" s="8">
        <f>IF($A2865="",0,ROUND($E2865*$F2865,2))</f>
        <v/>
      </c>
    </row>
    <row r="2866">
      <c r="B2866" s="7" t="n"/>
      <c r="F2866" s="8" t="n"/>
      <c r="G2866" s="8">
        <f>IF($A2866="",0,ROUND($E2866*$F2866,2))</f>
        <v/>
      </c>
    </row>
    <row r="2867">
      <c r="B2867" s="7" t="n"/>
      <c r="F2867" s="8" t="n"/>
      <c r="G2867" s="8">
        <f>IF($A2867="",0,ROUND($E2867*$F2867,2))</f>
        <v/>
      </c>
    </row>
    <row r="2868">
      <c r="B2868" s="7" t="n"/>
      <c r="F2868" s="8" t="n"/>
      <c r="G2868" s="8">
        <f>IF($A2868="",0,ROUND($E2868*$F2868,2))</f>
        <v/>
      </c>
    </row>
    <row r="2869">
      <c r="B2869" s="7" t="n"/>
      <c r="F2869" s="8" t="n"/>
      <c r="G2869" s="8">
        <f>IF($A2869="",0,ROUND($E2869*$F2869,2))</f>
        <v/>
      </c>
    </row>
    <row r="2870">
      <c r="B2870" s="7" t="n"/>
      <c r="F2870" s="8" t="n"/>
      <c r="G2870" s="8">
        <f>IF($A2870="",0,ROUND($E2870*$F2870,2))</f>
        <v/>
      </c>
    </row>
    <row r="2871">
      <c r="B2871" s="7" t="n"/>
      <c r="F2871" s="8" t="n"/>
      <c r="G2871" s="8">
        <f>IF($A2871="",0,ROUND($E2871*$F2871,2))</f>
        <v/>
      </c>
    </row>
    <row r="2872">
      <c r="B2872" s="7" t="n"/>
      <c r="F2872" s="8" t="n"/>
      <c r="G2872" s="8">
        <f>IF($A2872="",0,ROUND($E2872*$F2872,2))</f>
        <v/>
      </c>
    </row>
    <row r="2873">
      <c r="B2873" s="7" t="n"/>
      <c r="F2873" s="8" t="n"/>
      <c r="G2873" s="8">
        <f>IF($A2873="",0,ROUND($E2873*$F2873,2))</f>
        <v/>
      </c>
    </row>
    <row r="2874">
      <c r="B2874" s="7" t="n"/>
      <c r="F2874" s="8" t="n"/>
      <c r="G2874" s="8">
        <f>IF($A2874="",0,ROUND($E2874*$F2874,2))</f>
        <v/>
      </c>
    </row>
    <row r="2875">
      <c r="B2875" s="7" t="n"/>
      <c r="F2875" s="8" t="n"/>
      <c r="G2875" s="8">
        <f>IF($A2875="",0,ROUND($E2875*$F2875,2))</f>
        <v/>
      </c>
    </row>
    <row r="2876">
      <c r="B2876" s="7" t="n"/>
      <c r="F2876" s="8" t="n"/>
      <c r="G2876" s="8">
        <f>IF($A2876="",0,ROUND($E2876*$F2876,2))</f>
        <v/>
      </c>
    </row>
    <row r="2877">
      <c r="B2877" s="7" t="n"/>
      <c r="F2877" s="8" t="n"/>
      <c r="G2877" s="8">
        <f>IF($A2877="",0,ROUND($E2877*$F2877,2))</f>
        <v/>
      </c>
    </row>
    <row r="2878">
      <c r="B2878" s="7" t="n"/>
      <c r="F2878" s="8" t="n"/>
      <c r="G2878" s="8">
        <f>IF($A2878="",0,ROUND($E2878*$F2878,2))</f>
        <v/>
      </c>
    </row>
    <row r="2879">
      <c r="B2879" s="7" t="n"/>
      <c r="F2879" s="8" t="n"/>
      <c r="G2879" s="8">
        <f>IF($A2879="",0,ROUND($E2879*$F2879,2))</f>
        <v/>
      </c>
    </row>
    <row r="2880">
      <c r="B2880" s="7" t="n"/>
      <c r="F2880" s="8" t="n"/>
      <c r="G2880" s="8">
        <f>IF($A2880="",0,ROUND($E2880*$F2880,2))</f>
        <v/>
      </c>
    </row>
    <row r="2881">
      <c r="B2881" s="7" t="n"/>
      <c r="F2881" s="8" t="n"/>
      <c r="G2881" s="8">
        <f>IF($A2881="",0,ROUND($E2881*$F2881,2))</f>
        <v/>
      </c>
    </row>
    <row r="2882">
      <c r="B2882" s="7" t="n"/>
      <c r="F2882" s="8" t="n"/>
      <c r="G2882" s="8">
        <f>IF($A2882="",0,ROUND($E2882*$F2882,2))</f>
        <v/>
      </c>
    </row>
    <row r="2883">
      <c r="B2883" s="7" t="n"/>
      <c r="F2883" s="8" t="n"/>
      <c r="G2883" s="8">
        <f>IF($A2883="",0,ROUND($E2883*$F2883,2))</f>
        <v/>
      </c>
    </row>
    <row r="2884">
      <c r="B2884" s="7" t="n"/>
      <c r="F2884" s="8" t="n"/>
      <c r="G2884" s="8">
        <f>IF($A2884="",0,ROUND($E2884*$F2884,2))</f>
        <v/>
      </c>
    </row>
    <row r="2885">
      <c r="B2885" s="7" t="n"/>
      <c r="F2885" s="8" t="n"/>
      <c r="G2885" s="8">
        <f>IF($A2885="",0,ROUND($E2885*$F2885,2))</f>
        <v/>
      </c>
    </row>
    <row r="2886">
      <c r="B2886" s="7" t="n"/>
      <c r="F2886" s="8" t="n"/>
      <c r="G2886" s="8">
        <f>IF($A2886="",0,ROUND($E2886*$F2886,2))</f>
        <v/>
      </c>
    </row>
    <row r="2887">
      <c r="B2887" s="7" t="n"/>
      <c r="F2887" s="8" t="n"/>
      <c r="G2887" s="8">
        <f>IF($A2887="",0,ROUND($E2887*$F2887,2))</f>
        <v/>
      </c>
    </row>
    <row r="2888">
      <c r="B2888" s="7" t="n"/>
      <c r="F2888" s="8" t="n"/>
      <c r="G2888" s="8">
        <f>IF($A2888="",0,ROUND($E2888*$F2888,2))</f>
        <v/>
      </c>
    </row>
    <row r="2889">
      <c r="B2889" s="7" t="n"/>
      <c r="F2889" s="8" t="n"/>
      <c r="G2889" s="8">
        <f>IF($A2889="",0,ROUND($E2889*$F2889,2))</f>
        <v/>
      </c>
    </row>
    <row r="2890">
      <c r="B2890" s="7" t="n"/>
      <c r="F2890" s="8" t="n"/>
      <c r="G2890" s="8">
        <f>IF($A2890="",0,ROUND($E2890*$F2890,2))</f>
        <v/>
      </c>
    </row>
    <row r="2891">
      <c r="B2891" s="7" t="n"/>
      <c r="F2891" s="8" t="n"/>
      <c r="G2891" s="8">
        <f>IF($A2891="",0,ROUND($E2891*$F2891,2))</f>
        <v/>
      </c>
    </row>
    <row r="2892">
      <c r="B2892" s="7" t="n"/>
      <c r="F2892" s="8" t="n"/>
      <c r="G2892" s="8">
        <f>IF($A2892="",0,ROUND($E2892*$F2892,2))</f>
        <v/>
      </c>
    </row>
    <row r="2893">
      <c r="B2893" s="7" t="n"/>
      <c r="F2893" s="8" t="n"/>
      <c r="G2893" s="8">
        <f>IF($A2893="",0,ROUND($E2893*$F2893,2))</f>
        <v/>
      </c>
    </row>
    <row r="2894">
      <c r="B2894" s="7" t="n"/>
      <c r="F2894" s="8" t="n"/>
      <c r="G2894" s="8">
        <f>IF($A2894="",0,ROUND($E2894*$F2894,2))</f>
        <v/>
      </c>
    </row>
    <row r="2895">
      <c r="B2895" s="7" t="n"/>
      <c r="F2895" s="8" t="n"/>
      <c r="G2895" s="8">
        <f>IF($A2895="",0,ROUND($E2895*$F2895,2))</f>
        <v/>
      </c>
    </row>
    <row r="2896">
      <c r="B2896" s="7" t="n"/>
      <c r="F2896" s="8" t="n"/>
      <c r="G2896" s="8">
        <f>IF($A2896="",0,ROUND($E2896*$F2896,2))</f>
        <v/>
      </c>
    </row>
    <row r="2897">
      <c r="B2897" s="7" t="n"/>
      <c r="F2897" s="8" t="n"/>
      <c r="G2897" s="8">
        <f>IF($A2897="",0,ROUND($E2897*$F2897,2))</f>
        <v/>
      </c>
    </row>
    <row r="2898">
      <c r="B2898" s="7" t="n"/>
      <c r="F2898" s="8" t="n"/>
      <c r="G2898" s="8">
        <f>IF($A2898="",0,ROUND($E2898*$F2898,2))</f>
        <v/>
      </c>
    </row>
    <row r="2899">
      <c r="B2899" s="7" t="n"/>
      <c r="F2899" s="8" t="n"/>
      <c r="G2899" s="8">
        <f>IF($A2899="",0,ROUND($E2899*$F2899,2))</f>
        <v/>
      </c>
    </row>
    <row r="2900">
      <c r="B2900" s="7" t="n"/>
      <c r="F2900" s="8" t="n"/>
      <c r="G2900" s="8">
        <f>IF($A2900="",0,ROUND($E2900*$F2900,2))</f>
        <v/>
      </c>
    </row>
    <row r="2901">
      <c r="B2901" s="7" t="n"/>
      <c r="F2901" s="8" t="n"/>
      <c r="G2901" s="8">
        <f>IF($A2901="",0,ROUND($E2901*$F2901,2))</f>
        <v/>
      </c>
    </row>
    <row r="2902">
      <c r="B2902" s="7" t="n"/>
      <c r="F2902" s="8" t="n"/>
      <c r="G2902" s="8">
        <f>IF($A2902="",0,ROUND($E2902*$F2902,2))</f>
        <v/>
      </c>
    </row>
    <row r="2903">
      <c r="B2903" s="7" t="n"/>
      <c r="F2903" s="8" t="n"/>
      <c r="G2903" s="8">
        <f>IF($A2903="",0,ROUND($E2903*$F2903,2))</f>
        <v/>
      </c>
    </row>
    <row r="2904">
      <c r="B2904" s="7" t="n"/>
      <c r="F2904" s="8" t="n"/>
      <c r="G2904" s="8">
        <f>IF($A2904="",0,ROUND($E2904*$F2904,2))</f>
        <v/>
      </c>
    </row>
    <row r="2905">
      <c r="B2905" s="7" t="n"/>
      <c r="F2905" s="8" t="n"/>
      <c r="G2905" s="8">
        <f>IF($A2905="",0,ROUND($E2905*$F2905,2))</f>
        <v/>
      </c>
    </row>
    <row r="2906">
      <c r="B2906" s="7" t="n"/>
      <c r="F2906" s="8" t="n"/>
      <c r="G2906" s="8">
        <f>IF($A2906="",0,ROUND($E2906*$F2906,2))</f>
        <v/>
      </c>
    </row>
    <row r="2907">
      <c r="B2907" s="7" t="n"/>
      <c r="F2907" s="8" t="n"/>
      <c r="G2907" s="8">
        <f>IF($A2907="",0,ROUND($E2907*$F2907,2))</f>
        <v/>
      </c>
    </row>
    <row r="2908">
      <c r="B2908" s="7" t="n"/>
      <c r="F2908" s="8" t="n"/>
      <c r="G2908" s="8">
        <f>IF($A2908="",0,ROUND($E2908*$F2908,2))</f>
        <v/>
      </c>
    </row>
    <row r="2909">
      <c r="B2909" s="7" t="n"/>
      <c r="F2909" s="8" t="n"/>
      <c r="G2909" s="8">
        <f>IF($A2909="",0,ROUND($E2909*$F2909,2))</f>
        <v/>
      </c>
    </row>
    <row r="2910">
      <c r="B2910" s="7" t="n"/>
      <c r="F2910" s="8" t="n"/>
      <c r="G2910" s="8">
        <f>IF($A2910="",0,ROUND($E2910*$F2910,2))</f>
        <v/>
      </c>
    </row>
    <row r="2911">
      <c r="B2911" s="7" t="n"/>
      <c r="F2911" s="8" t="n"/>
      <c r="G2911" s="8">
        <f>IF($A2911="",0,ROUND($E2911*$F2911,2))</f>
        <v/>
      </c>
    </row>
    <row r="2912">
      <c r="B2912" s="7" t="n"/>
      <c r="F2912" s="8" t="n"/>
      <c r="G2912" s="8">
        <f>IF($A2912="",0,ROUND($E2912*$F2912,2))</f>
        <v/>
      </c>
    </row>
    <row r="2913">
      <c r="B2913" s="7" t="n"/>
      <c r="F2913" s="8" t="n"/>
      <c r="G2913" s="8">
        <f>IF($A2913="",0,ROUND($E2913*$F2913,2))</f>
        <v/>
      </c>
    </row>
    <row r="2914">
      <c r="B2914" s="7" t="n"/>
      <c r="F2914" s="8" t="n"/>
      <c r="G2914" s="8">
        <f>IF($A2914="",0,ROUND($E2914*$F2914,2))</f>
        <v/>
      </c>
    </row>
    <row r="2915">
      <c r="B2915" s="7" t="n"/>
      <c r="F2915" s="8" t="n"/>
      <c r="G2915" s="8">
        <f>IF($A2915="",0,ROUND($E2915*$F2915,2))</f>
        <v/>
      </c>
    </row>
    <row r="2916">
      <c r="B2916" s="7" t="n"/>
      <c r="F2916" s="8" t="n"/>
      <c r="G2916" s="8">
        <f>IF($A2916="",0,ROUND($E2916*$F2916,2))</f>
        <v/>
      </c>
    </row>
    <row r="2917">
      <c r="B2917" s="7" t="n"/>
      <c r="F2917" s="8" t="n"/>
      <c r="G2917" s="8">
        <f>IF($A2917="",0,ROUND($E2917*$F2917,2))</f>
        <v/>
      </c>
    </row>
    <row r="2918">
      <c r="B2918" s="7" t="n"/>
      <c r="F2918" s="8" t="n"/>
      <c r="G2918" s="8">
        <f>IF($A2918="",0,ROUND($E2918*$F2918,2))</f>
        <v/>
      </c>
    </row>
    <row r="2919">
      <c r="B2919" s="7" t="n"/>
      <c r="F2919" s="8" t="n"/>
      <c r="G2919" s="8">
        <f>IF($A2919="",0,ROUND($E2919*$F2919,2))</f>
        <v/>
      </c>
    </row>
    <row r="2920">
      <c r="B2920" s="7" t="n"/>
      <c r="F2920" s="8" t="n"/>
      <c r="G2920" s="8">
        <f>IF($A2920="",0,ROUND($E2920*$F2920,2))</f>
        <v/>
      </c>
    </row>
    <row r="2921">
      <c r="B2921" s="7" t="n"/>
      <c r="F2921" s="8" t="n"/>
      <c r="G2921" s="8">
        <f>IF($A2921="",0,ROUND($E2921*$F2921,2))</f>
        <v/>
      </c>
    </row>
    <row r="2922">
      <c r="B2922" s="7" t="n"/>
      <c r="F2922" s="8" t="n"/>
      <c r="G2922" s="8">
        <f>IF($A2922="",0,ROUND($E2922*$F2922,2))</f>
        <v/>
      </c>
    </row>
    <row r="2923">
      <c r="B2923" s="7" t="n"/>
      <c r="F2923" s="8" t="n"/>
      <c r="G2923" s="8">
        <f>IF($A2923="",0,ROUND($E2923*$F2923,2))</f>
        <v/>
      </c>
    </row>
    <row r="2924">
      <c r="B2924" s="7" t="n"/>
      <c r="F2924" s="8" t="n"/>
      <c r="G2924" s="8">
        <f>IF($A2924="",0,ROUND($E2924*$F2924,2))</f>
        <v/>
      </c>
    </row>
    <row r="2925">
      <c r="B2925" s="7" t="n"/>
      <c r="F2925" s="8" t="n"/>
      <c r="G2925" s="8">
        <f>IF($A2925="",0,ROUND($E2925*$F2925,2))</f>
        <v/>
      </c>
    </row>
    <row r="2926">
      <c r="B2926" s="7" t="n"/>
      <c r="F2926" s="8" t="n"/>
      <c r="G2926" s="8">
        <f>IF($A2926="",0,ROUND($E2926*$F2926,2))</f>
        <v/>
      </c>
    </row>
    <row r="2927">
      <c r="B2927" s="7" t="n"/>
      <c r="F2927" s="8" t="n"/>
      <c r="G2927" s="8">
        <f>IF($A2927="",0,ROUND($E2927*$F2927,2))</f>
        <v/>
      </c>
    </row>
    <row r="2928">
      <c r="B2928" s="7" t="n"/>
      <c r="F2928" s="8" t="n"/>
      <c r="G2928" s="8">
        <f>IF($A2928="",0,ROUND($E2928*$F2928,2))</f>
        <v/>
      </c>
    </row>
    <row r="2929">
      <c r="B2929" s="7" t="n"/>
      <c r="F2929" s="8" t="n"/>
      <c r="G2929" s="8">
        <f>IF($A2929="",0,ROUND($E2929*$F2929,2))</f>
        <v/>
      </c>
    </row>
    <row r="2930">
      <c r="B2930" s="7" t="n"/>
      <c r="F2930" s="8" t="n"/>
      <c r="G2930" s="8">
        <f>IF($A2930="",0,ROUND($E2930*$F2930,2))</f>
        <v/>
      </c>
    </row>
    <row r="2931">
      <c r="B2931" s="7" t="n"/>
      <c r="F2931" s="8" t="n"/>
      <c r="G2931" s="8">
        <f>IF($A2931="",0,ROUND($E2931*$F2931,2))</f>
        <v/>
      </c>
    </row>
    <row r="2932">
      <c r="B2932" s="7" t="n"/>
      <c r="F2932" s="8" t="n"/>
      <c r="G2932" s="8">
        <f>IF($A2932="",0,ROUND($E2932*$F2932,2))</f>
        <v/>
      </c>
    </row>
    <row r="2933">
      <c r="B2933" s="7" t="n"/>
      <c r="F2933" s="8" t="n"/>
      <c r="G2933" s="8">
        <f>IF($A2933="",0,ROUND($E2933*$F2933,2))</f>
        <v/>
      </c>
    </row>
    <row r="2934">
      <c r="B2934" s="7" t="n"/>
      <c r="F2934" s="8" t="n"/>
      <c r="G2934" s="8">
        <f>IF($A2934="",0,ROUND($E2934*$F2934,2))</f>
        <v/>
      </c>
    </row>
    <row r="2935">
      <c r="B2935" s="7" t="n"/>
      <c r="F2935" s="8" t="n"/>
      <c r="G2935" s="8">
        <f>IF($A2935="",0,ROUND($E2935*$F2935,2))</f>
        <v/>
      </c>
    </row>
    <row r="2936">
      <c r="B2936" s="7" t="n"/>
      <c r="F2936" s="8" t="n"/>
      <c r="G2936" s="8">
        <f>IF($A2936="",0,ROUND($E2936*$F2936,2))</f>
        <v/>
      </c>
    </row>
    <row r="2937">
      <c r="B2937" s="7" t="n"/>
      <c r="F2937" s="8" t="n"/>
      <c r="G2937" s="8">
        <f>IF($A2937="",0,ROUND($E2937*$F2937,2))</f>
        <v/>
      </c>
    </row>
    <row r="2938">
      <c r="B2938" s="7" t="n"/>
      <c r="F2938" s="8" t="n"/>
      <c r="G2938" s="8">
        <f>IF($A2938="",0,ROUND($E2938*$F2938,2))</f>
        <v/>
      </c>
    </row>
    <row r="2939">
      <c r="B2939" s="7" t="n"/>
      <c r="F2939" s="8" t="n"/>
      <c r="G2939" s="8">
        <f>IF($A2939="",0,ROUND($E2939*$F2939,2))</f>
        <v/>
      </c>
    </row>
    <row r="2940">
      <c r="B2940" s="7" t="n"/>
      <c r="F2940" s="8" t="n"/>
      <c r="G2940" s="8">
        <f>IF($A2940="",0,ROUND($E2940*$F2940,2))</f>
        <v/>
      </c>
    </row>
    <row r="2941">
      <c r="B2941" s="7" t="n"/>
      <c r="F2941" s="8" t="n"/>
      <c r="G2941" s="8">
        <f>IF($A2941="",0,ROUND($E2941*$F2941,2))</f>
        <v/>
      </c>
    </row>
    <row r="2942">
      <c r="B2942" s="7" t="n"/>
      <c r="F2942" s="8" t="n"/>
      <c r="G2942" s="8">
        <f>IF($A2942="",0,ROUND($E2942*$F2942,2))</f>
        <v/>
      </c>
    </row>
    <row r="2943">
      <c r="B2943" s="7" t="n"/>
      <c r="F2943" s="8" t="n"/>
      <c r="G2943" s="8">
        <f>IF($A2943="",0,ROUND($E2943*$F2943,2))</f>
        <v/>
      </c>
    </row>
    <row r="2944">
      <c r="B2944" s="7" t="n"/>
      <c r="F2944" s="8" t="n"/>
      <c r="G2944" s="8">
        <f>IF($A2944="",0,ROUND($E2944*$F2944,2))</f>
        <v/>
      </c>
    </row>
    <row r="2945">
      <c r="B2945" s="7" t="n"/>
      <c r="F2945" s="8" t="n"/>
      <c r="G2945" s="8">
        <f>IF($A2945="",0,ROUND($E2945*$F2945,2))</f>
        <v/>
      </c>
    </row>
    <row r="2946">
      <c r="B2946" s="7" t="n"/>
      <c r="F2946" s="8" t="n"/>
      <c r="G2946" s="8">
        <f>IF($A2946="",0,ROUND($E2946*$F2946,2))</f>
        <v/>
      </c>
    </row>
    <row r="2947">
      <c r="B2947" s="7" t="n"/>
      <c r="F2947" s="8" t="n"/>
      <c r="G2947" s="8">
        <f>IF($A2947="",0,ROUND($E2947*$F2947,2))</f>
        <v/>
      </c>
    </row>
    <row r="2948">
      <c r="B2948" s="7" t="n"/>
      <c r="F2948" s="8" t="n"/>
      <c r="G2948" s="8">
        <f>IF($A2948="",0,ROUND($E2948*$F2948,2))</f>
        <v/>
      </c>
    </row>
    <row r="2949">
      <c r="B2949" s="7" t="n"/>
      <c r="F2949" s="8" t="n"/>
      <c r="G2949" s="8">
        <f>IF($A2949="",0,ROUND($E2949*$F2949,2))</f>
        <v/>
      </c>
    </row>
    <row r="2950">
      <c r="B2950" s="7" t="n"/>
      <c r="F2950" s="8" t="n"/>
      <c r="G2950" s="8">
        <f>IF($A2950="",0,ROUND($E2950*$F2950,2))</f>
        <v/>
      </c>
    </row>
    <row r="2951">
      <c r="B2951" s="7" t="n"/>
      <c r="F2951" s="8" t="n"/>
      <c r="G2951" s="8">
        <f>IF($A2951="",0,ROUND($E2951*$F2951,2))</f>
        <v/>
      </c>
    </row>
    <row r="2952">
      <c r="B2952" s="7" t="n"/>
      <c r="F2952" s="8" t="n"/>
      <c r="G2952" s="8">
        <f>IF($A2952="",0,ROUND($E2952*$F2952,2))</f>
        <v/>
      </c>
    </row>
    <row r="2953">
      <c r="B2953" s="7" t="n"/>
      <c r="F2953" s="8" t="n"/>
      <c r="G2953" s="8">
        <f>IF($A2953="",0,ROUND($E2953*$F2953,2))</f>
        <v/>
      </c>
    </row>
    <row r="2954">
      <c r="B2954" s="7" t="n"/>
      <c r="F2954" s="8" t="n"/>
      <c r="G2954" s="8">
        <f>IF($A2954="",0,ROUND($E2954*$F2954,2))</f>
        <v/>
      </c>
    </row>
    <row r="2955">
      <c r="B2955" s="7" t="n"/>
      <c r="F2955" s="8" t="n"/>
      <c r="G2955" s="8">
        <f>IF($A2955="",0,ROUND($E2955*$F2955,2))</f>
        <v/>
      </c>
    </row>
    <row r="2956">
      <c r="B2956" s="7" t="n"/>
      <c r="F2956" s="8" t="n"/>
      <c r="G2956" s="8">
        <f>IF($A2956="",0,ROUND($E2956*$F2956,2))</f>
        <v/>
      </c>
    </row>
    <row r="2957">
      <c r="B2957" s="7" t="n"/>
      <c r="F2957" s="8" t="n"/>
      <c r="G2957" s="8">
        <f>IF($A2957="",0,ROUND($E2957*$F2957,2))</f>
        <v/>
      </c>
    </row>
    <row r="2958">
      <c r="B2958" s="7" t="n"/>
      <c r="F2958" s="8" t="n"/>
      <c r="G2958" s="8">
        <f>IF($A2958="",0,ROUND($E2958*$F2958,2))</f>
        <v/>
      </c>
    </row>
    <row r="2959">
      <c r="B2959" s="7" t="n"/>
      <c r="F2959" s="8" t="n"/>
      <c r="G2959" s="8">
        <f>IF($A2959="",0,ROUND($E2959*$F2959,2))</f>
        <v/>
      </c>
    </row>
    <row r="2960">
      <c r="B2960" s="7" t="n"/>
      <c r="F2960" s="8" t="n"/>
      <c r="G2960" s="8">
        <f>IF($A2960="",0,ROUND($E2960*$F2960,2))</f>
        <v/>
      </c>
    </row>
    <row r="2961">
      <c r="B2961" s="7" t="n"/>
      <c r="F2961" s="8" t="n"/>
      <c r="G2961" s="8">
        <f>IF($A2961="",0,ROUND($E2961*$F2961,2))</f>
        <v/>
      </c>
    </row>
    <row r="2962">
      <c r="B2962" s="7" t="n"/>
      <c r="F2962" s="8" t="n"/>
      <c r="G2962" s="8">
        <f>IF($A2962="",0,ROUND($E2962*$F2962,2))</f>
        <v/>
      </c>
    </row>
    <row r="2963">
      <c r="B2963" s="7" t="n"/>
      <c r="F2963" s="8" t="n"/>
      <c r="G2963" s="8">
        <f>IF($A2963="",0,ROUND($E2963*$F2963,2))</f>
        <v/>
      </c>
    </row>
    <row r="2964">
      <c r="B2964" s="7" t="n"/>
      <c r="F2964" s="8" t="n"/>
      <c r="G2964" s="8">
        <f>IF($A2964="",0,ROUND($E2964*$F2964,2))</f>
        <v/>
      </c>
    </row>
    <row r="2965">
      <c r="B2965" s="7" t="n"/>
      <c r="F2965" s="8" t="n"/>
      <c r="G2965" s="8">
        <f>IF($A2965="",0,ROUND($E2965*$F2965,2))</f>
        <v/>
      </c>
    </row>
    <row r="2966">
      <c r="B2966" s="7" t="n"/>
      <c r="F2966" s="8" t="n"/>
      <c r="G2966" s="8">
        <f>IF($A2966="",0,ROUND($E2966*$F2966,2))</f>
        <v/>
      </c>
    </row>
    <row r="2967">
      <c r="B2967" s="7" t="n"/>
      <c r="F2967" s="8" t="n"/>
      <c r="G2967" s="8">
        <f>IF($A2967="",0,ROUND($E2967*$F2967,2))</f>
        <v/>
      </c>
    </row>
    <row r="2968">
      <c r="B2968" s="7" t="n"/>
      <c r="F2968" s="8" t="n"/>
      <c r="G2968" s="8">
        <f>IF($A2968="",0,ROUND($E2968*$F2968,2))</f>
        <v/>
      </c>
    </row>
    <row r="2969">
      <c r="B2969" s="7" t="n"/>
      <c r="F2969" s="8" t="n"/>
      <c r="G2969" s="8">
        <f>IF($A2969="",0,ROUND($E2969*$F2969,2))</f>
        <v/>
      </c>
    </row>
    <row r="2970">
      <c r="B2970" s="7" t="n"/>
      <c r="F2970" s="8" t="n"/>
      <c r="G2970" s="8">
        <f>IF($A2970="",0,ROUND($E2970*$F2970,2))</f>
        <v/>
      </c>
    </row>
    <row r="2971">
      <c r="B2971" s="7" t="n"/>
      <c r="F2971" s="8" t="n"/>
      <c r="G2971" s="8">
        <f>IF($A2971="",0,ROUND($E2971*$F2971,2))</f>
        <v/>
      </c>
    </row>
    <row r="2972">
      <c r="B2972" s="7" t="n"/>
      <c r="F2972" s="8" t="n"/>
      <c r="G2972" s="8">
        <f>IF($A2972="",0,ROUND($E2972*$F2972,2))</f>
        <v/>
      </c>
    </row>
    <row r="2973">
      <c r="B2973" s="7" t="n"/>
      <c r="F2973" s="8" t="n"/>
      <c r="G2973" s="8">
        <f>IF($A2973="",0,ROUND($E2973*$F2973,2))</f>
        <v/>
      </c>
    </row>
    <row r="2974">
      <c r="B2974" s="7" t="n"/>
      <c r="F2974" s="8" t="n"/>
      <c r="G2974" s="8">
        <f>IF($A2974="",0,ROUND($E2974*$F2974,2))</f>
        <v/>
      </c>
    </row>
    <row r="2975">
      <c r="B2975" s="7" t="n"/>
      <c r="F2975" s="8" t="n"/>
      <c r="G2975" s="8">
        <f>IF($A2975="",0,ROUND($E2975*$F2975,2))</f>
        <v/>
      </c>
    </row>
    <row r="2976">
      <c r="B2976" s="7" t="n"/>
      <c r="F2976" s="8" t="n"/>
      <c r="G2976" s="8">
        <f>IF($A2976="",0,ROUND($E2976*$F2976,2))</f>
        <v/>
      </c>
    </row>
    <row r="2977">
      <c r="B2977" s="7" t="n"/>
      <c r="F2977" s="8" t="n"/>
      <c r="G2977" s="8">
        <f>IF($A2977="",0,ROUND($E2977*$F2977,2))</f>
        <v/>
      </c>
    </row>
    <row r="2978">
      <c r="B2978" s="7" t="n"/>
      <c r="F2978" s="8" t="n"/>
      <c r="G2978" s="8">
        <f>IF($A2978="",0,ROUND($E2978*$F2978,2))</f>
        <v/>
      </c>
    </row>
    <row r="2979">
      <c r="B2979" s="7" t="n"/>
      <c r="F2979" s="8" t="n"/>
      <c r="G2979" s="8">
        <f>IF($A2979="",0,ROUND($E2979*$F2979,2))</f>
        <v/>
      </c>
    </row>
    <row r="2980">
      <c r="B2980" s="7" t="n"/>
      <c r="F2980" s="8" t="n"/>
      <c r="G2980" s="8">
        <f>IF($A2980="",0,ROUND($E2980*$F2980,2))</f>
        <v/>
      </c>
    </row>
    <row r="2981">
      <c r="B2981" s="7" t="n"/>
      <c r="F2981" s="8" t="n"/>
      <c r="G2981" s="8">
        <f>IF($A2981="",0,ROUND($E2981*$F2981,2))</f>
        <v/>
      </c>
    </row>
    <row r="2982">
      <c r="B2982" s="7" t="n"/>
      <c r="F2982" s="8" t="n"/>
      <c r="G2982" s="8">
        <f>IF($A2982="",0,ROUND($E2982*$F2982,2))</f>
        <v/>
      </c>
    </row>
    <row r="2983">
      <c r="B2983" s="7" t="n"/>
      <c r="F2983" s="8" t="n"/>
      <c r="G2983" s="8">
        <f>IF($A2983="",0,ROUND($E2983*$F2983,2))</f>
        <v/>
      </c>
    </row>
    <row r="2984">
      <c r="B2984" s="7" t="n"/>
      <c r="F2984" s="8" t="n"/>
      <c r="G2984" s="8">
        <f>IF($A2984="",0,ROUND($E2984*$F2984,2))</f>
        <v/>
      </c>
    </row>
    <row r="2985">
      <c r="B2985" s="7" t="n"/>
      <c r="F2985" s="8" t="n"/>
      <c r="G2985" s="8">
        <f>IF($A2985="",0,ROUND($E2985*$F2985,2))</f>
        <v/>
      </c>
    </row>
    <row r="2986">
      <c r="B2986" s="7" t="n"/>
      <c r="F2986" s="8" t="n"/>
      <c r="G2986" s="8">
        <f>IF($A2986="",0,ROUND($E2986*$F2986,2))</f>
        <v/>
      </c>
    </row>
    <row r="2987">
      <c r="B2987" s="7" t="n"/>
      <c r="F2987" s="8" t="n"/>
      <c r="G2987" s="8">
        <f>IF($A2987="",0,ROUND($E2987*$F2987,2))</f>
        <v/>
      </c>
    </row>
    <row r="2988">
      <c r="B2988" s="7" t="n"/>
      <c r="F2988" s="8" t="n"/>
      <c r="G2988" s="8">
        <f>IF($A2988="",0,ROUND($E2988*$F2988,2))</f>
        <v/>
      </c>
    </row>
    <row r="2989">
      <c r="B2989" s="7" t="n"/>
      <c r="F2989" s="8" t="n"/>
      <c r="G2989" s="8">
        <f>IF($A2989="",0,ROUND($E2989*$F2989,2))</f>
        <v/>
      </c>
    </row>
    <row r="2990">
      <c r="B2990" s="7" t="n"/>
      <c r="F2990" s="8" t="n"/>
      <c r="G2990" s="8">
        <f>IF($A2990="",0,ROUND($E2990*$F2990,2))</f>
        <v/>
      </c>
    </row>
    <row r="2991">
      <c r="B2991" s="7" t="n"/>
      <c r="F2991" s="8" t="n"/>
      <c r="G2991" s="8">
        <f>IF($A2991="",0,ROUND($E2991*$F2991,2))</f>
        <v/>
      </c>
    </row>
    <row r="2992">
      <c r="B2992" s="7" t="n"/>
      <c r="F2992" s="8" t="n"/>
      <c r="G2992" s="8">
        <f>IF($A2992="",0,ROUND($E2992*$F2992,2))</f>
        <v/>
      </c>
    </row>
    <row r="2993">
      <c r="B2993" s="7" t="n"/>
      <c r="F2993" s="8" t="n"/>
      <c r="G2993" s="8">
        <f>IF($A2993="",0,ROUND($E2993*$F2993,2))</f>
        <v/>
      </c>
    </row>
    <row r="2994">
      <c r="B2994" s="7" t="n"/>
      <c r="F2994" s="8" t="n"/>
      <c r="G2994" s="8">
        <f>IF($A2994="",0,ROUND($E2994*$F2994,2))</f>
        <v/>
      </c>
    </row>
    <row r="2995">
      <c r="B2995" s="7" t="n"/>
      <c r="F2995" s="8" t="n"/>
      <c r="G2995" s="8">
        <f>IF($A2995="",0,ROUND($E2995*$F2995,2))</f>
        <v/>
      </c>
    </row>
    <row r="2996">
      <c r="B2996" s="7" t="n"/>
      <c r="F2996" s="8" t="n"/>
      <c r="G2996" s="8">
        <f>IF($A2996="",0,ROUND($E2996*$F2996,2))</f>
        <v/>
      </c>
    </row>
    <row r="2997">
      <c r="B2997" s="7" t="n"/>
      <c r="F2997" s="8" t="n"/>
      <c r="G2997" s="8">
        <f>IF($A2997="",0,ROUND($E2997*$F2997,2))</f>
        <v/>
      </c>
    </row>
    <row r="2998">
      <c r="B2998" s="7" t="n"/>
      <c r="F2998" s="8" t="n"/>
      <c r="G2998" s="8">
        <f>IF($A2998="",0,ROUND($E2998*$F2998,2))</f>
        <v/>
      </c>
    </row>
    <row r="2999">
      <c r="B2999" s="7" t="n"/>
      <c r="F2999" s="8" t="n"/>
      <c r="G2999" s="8">
        <f>IF($A2999="",0,ROUND($E2999*$F2999,2))</f>
        <v/>
      </c>
    </row>
    <row r="3000">
      <c r="B3000" s="7" t="n"/>
      <c r="F3000" s="8" t="n"/>
      <c r="G3000" s="8">
        <f>IF($A3000="",0,ROUND($E3000*$F3000,2))</f>
        <v/>
      </c>
    </row>
    <row r="3001">
      <c r="B3001" s="7" t="n"/>
      <c r="F3001" s="8" t="n"/>
      <c r="G3001" s="8">
        <f>IF($A3001="",0,ROUND($E3001*$F3001,2))</f>
        <v/>
      </c>
    </row>
    <row r="3002">
      <c r="B3002" s="7" t="n"/>
      <c r="F3002" s="8" t="n"/>
      <c r="G3002" s="8">
        <f>IF($A3002="",0,ROUND($E3002*$F3002,2))</f>
        <v/>
      </c>
    </row>
    <row r="3003">
      <c r="B3003" s="7" t="n"/>
      <c r="F3003" s="8" t="n"/>
      <c r="G3003" s="8">
        <f>IF($A3003="",0,ROUND($E3003*$F3003,2))</f>
        <v/>
      </c>
    </row>
    <row r="3004">
      <c r="B3004" s="7" t="n"/>
      <c r="F3004" s="8" t="n"/>
      <c r="G3004" s="8">
        <f>IF($A3004="",0,ROUND($E3004*$F3004,2))</f>
        <v/>
      </c>
    </row>
    <row r="3005">
      <c r="B3005" s="7" t="n"/>
      <c r="F3005" s="8" t="n"/>
      <c r="G3005" s="8">
        <f>IF($A3005="",0,ROUND($E3005*$F3005,2))</f>
        <v/>
      </c>
    </row>
    <row r="3006">
      <c r="B3006" s="7" t="n"/>
      <c r="F3006" s="8" t="n"/>
      <c r="G3006" s="8">
        <f>IF($A3006="",0,ROUND($E3006*$F3006,2))</f>
        <v/>
      </c>
    </row>
    <row r="3007">
      <c r="B3007" s="7" t="n"/>
      <c r="F3007" s="8" t="n"/>
      <c r="G3007" s="8">
        <f>IF($A3007="",0,ROUND($E3007*$F3007,2))</f>
        <v/>
      </c>
    </row>
    <row r="3008">
      <c r="B3008" s="7" t="n"/>
      <c r="F3008" s="8" t="n"/>
      <c r="G3008" s="8">
        <f>IF($A3008="",0,ROUND($E3008*$F3008,2))</f>
        <v/>
      </c>
    </row>
    <row r="3009">
      <c r="B3009" s="7" t="n"/>
      <c r="F3009" s="8" t="n"/>
      <c r="G3009" s="8">
        <f>IF($A3009="",0,ROUND($E3009*$F3009,2))</f>
        <v/>
      </c>
    </row>
    <row r="3010">
      <c r="B3010" s="7" t="n"/>
      <c r="F3010" s="8" t="n"/>
      <c r="G3010" s="8">
        <f>IF($A3010="",0,ROUND($E3010*$F3010,2))</f>
        <v/>
      </c>
    </row>
    <row r="3011">
      <c r="B3011" s="7" t="n"/>
      <c r="F3011" s="8" t="n"/>
      <c r="G3011" s="8">
        <f>IF($A3011="",0,ROUND($E3011*$F3011,2))</f>
        <v/>
      </c>
    </row>
    <row r="3012">
      <c r="B3012" s="7" t="n"/>
      <c r="F3012" s="8" t="n"/>
      <c r="G3012" s="8">
        <f>IF($A3012="",0,ROUND($E3012*$F3012,2))</f>
        <v/>
      </c>
    </row>
    <row r="3013">
      <c r="B3013" s="7" t="n"/>
      <c r="F3013" s="8" t="n"/>
      <c r="G3013" s="8">
        <f>IF($A3013="",0,ROUND($E3013*$F3013,2))</f>
        <v/>
      </c>
    </row>
    <row r="3014">
      <c r="B3014" s="7" t="n"/>
      <c r="F3014" s="8" t="n"/>
      <c r="G3014" s="8">
        <f>IF($A3014="",0,ROUND($E3014*$F3014,2))</f>
        <v/>
      </c>
    </row>
    <row r="3015">
      <c r="B3015" s="7" t="n"/>
      <c r="F3015" s="8" t="n"/>
      <c r="G3015" s="8">
        <f>IF($A3015="",0,ROUND($E3015*$F3015,2))</f>
        <v/>
      </c>
    </row>
    <row r="3016">
      <c r="B3016" s="7" t="n"/>
      <c r="F3016" s="8" t="n"/>
      <c r="G3016" s="8">
        <f>IF($A3016="",0,ROUND($E3016*$F3016,2))</f>
        <v/>
      </c>
    </row>
    <row r="3017">
      <c r="B3017" s="7" t="n"/>
      <c r="F3017" s="8" t="n"/>
      <c r="G3017" s="8">
        <f>IF($A3017="",0,ROUND($E3017*$F3017,2))</f>
        <v/>
      </c>
    </row>
    <row r="3018">
      <c r="B3018" s="7" t="n"/>
      <c r="F3018" s="8" t="n"/>
      <c r="G3018" s="8">
        <f>IF($A3018="",0,ROUND($E3018*$F3018,2))</f>
        <v/>
      </c>
    </row>
    <row r="3019">
      <c r="B3019" s="7" t="n"/>
      <c r="F3019" s="8" t="n"/>
      <c r="G3019" s="8">
        <f>IF($A3019="",0,ROUND($E3019*$F3019,2))</f>
        <v/>
      </c>
    </row>
    <row r="3020">
      <c r="B3020" s="7" t="n"/>
      <c r="F3020" s="8" t="n"/>
      <c r="G3020" s="8">
        <f>IF($A3020="",0,ROUND($E3020*$F3020,2))</f>
        <v/>
      </c>
    </row>
    <row r="3021">
      <c r="B3021" s="7" t="n"/>
      <c r="F3021" s="8" t="n"/>
      <c r="G3021" s="8">
        <f>IF($A3021="",0,ROUND($E3021*$F3021,2))</f>
        <v/>
      </c>
    </row>
    <row r="3022">
      <c r="B3022" s="7" t="n"/>
      <c r="F3022" s="8" t="n"/>
      <c r="G3022" s="8">
        <f>IF($A3022="",0,ROUND($E3022*$F3022,2))</f>
        <v/>
      </c>
    </row>
    <row r="3023">
      <c r="B3023" s="7" t="n"/>
      <c r="F3023" s="8" t="n"/>
      <c r="G3023" s="8">
        <f>IF($A3023="",0,ROUND($E3023*$F3023,2))</f>
        <v/>
      </c>
    </row>
    <row r="3024">
      <c r="B3024" s="7" t="n"/>
      <c r="F3024" s="8" t="n"/>
      <c r="G3024" s="8">
        <f>IF($A3024="",0,ROUND($E3024*$F3024,2))</f>
        <v/>
      </c>
    </row>
    <row r="3025">
      <c r="B3025" s="7" t="n"/>
      <c r="F3025" s="8" t="n"/>
      <c r="G3025" s="8">
        <f>IF($A3025="",0,ROUND($E3025*$F3025,2))</f>
        <v/>
      </c>
    </row>
    <row r="3026">
      <c r="B3026" s="7" t="n"/>
      <c r="F3026" s="8" t="n"/>
      <c r="G3026" s="8">
        <f>IF($A3026="",0,ROUND($E3026*$F3026,2))</f>
        <v/>
      </c>
    </row>
    <row r="3027">
      <c r="B3027" s="7" t="n"/>
      <c r="F3027" s="8" t="n"/>
      <c r="G3027" s="8">
        <f>IF($A3027="",0,ROUND($E3027*$F3027,2))</f>
        <v/>
      </c>
    </row>
    <row r="3028">
      <c r="B3028" s="7" t="n"/>
      <c r="F3028" s="8" t="n"/>
      <c r="G3028" s="8">
        <f>IF($A3028="",0,ROUND($E3028*$F3028,2))</f>
        <v/>
      </c>
    </row>
    <row r="3029">
      <c r="B3029" s="7" t="n"/>
      <c r="F3029" s="8" t="n"/>
      <c r="G3029" s="8">
        <f>IF($A3029="",0,ROUND($E3029*$F3029,2))</f>
        <v/>
      </c>
    </row>
    <row r="3030">
      <c r="B3030" s="7" t="n"/>
      <c r="F3030" s="8" t="n"/>
      <c r="G3030" s="8">
        <f>IF($A3030="",0,ROUND($E3030*$F3030,2))</f>
        <v/>
      </c>
    </row>
    <row r="3031">
      <c r="B3031" s="7" t="n"/>
      <c r="F3031" s="8" t="n"/>
      <c r="G3031" s="8">
        <f>IF($A3031="",0,ROUND($E3031*$F3031,2))</f>
        <v/>
      </c>
    </row>
    <row r="3032">
      <c r="B3032" s="7" t="n"/>
      <c r="F3032" s="8" t="n"/>
      <c r="G3032" s="8">
        <f>IF($A3032="",0,ROUND($E3032*$F3032,2))</f>
        <v/>
      </c>
    </row>
    <row r="3033">
      <c r="B3033" s="7" t="n"/>
      <c r="F3033" s="8" t="n"/>
      <c r="G3033" s="8">
        <f>IF($A3033="",0,ROUND($E3033*$F3033,2))</f>
        <v/>
      </c>
    </row>
    <row r="3034">
      <c r="B3034" s="7" t="n"/>
      <c r="F3034" s="8" t="n"/>
      <c r="G3034" s="8">
        <f>IF($A3034="",0,ROUND($E3034*$F3034,2))</f>
        <v/>
      </c>
    </row>
    <row r="3035">
      <c r="B3035" s="7" t="n"/>
      <c r="F3035" s="8" t="n"/>
      <c r="G3035" s="8">
        <f>IF($A3035="",0,ROUND($E3035*$F3035,2))</f>
        <v/>
      </c>
    </row>
    <row r="3036">
      <c r="B3036" s="7" t="n"/>
      <c r="F3036" s="8" t="n"/>
      <c r="G3036" s="8">
        <f>IF($A3036="",0,ROUND($E3036*$F3036,2))</f>
        <v/>
      </c>
    </row>
    <row r="3037">
      <c r="B3037" s="7" t="n"/>
      <c r="F3037" s="8" t="n"/>
      <c r="G3037" s="8">
        <f>IF($A3037="",0,ROUND($E3037*$F3037,2))</f>
        <v/>
      </c>
    </row>
    <row r="3038">
      <c r="B3038" s="7" t="n"/>
      <c r="F3038" s="8" t="n"/>
      <c r="G3038" s="8">
        <f>IF($A3038="",0,ROUND($E3038*$F3038,2))</f>
        <v/>
      </c>
    </row>
    <row r="3039">
      <c r="B3039" s="7" t="n"/>
      <c r="F3039" s="8" t="n"/>
      <c r="G3039" s="8">
        <f>IF($A3039="",0,ROUND($E3039*$F3039,2))</f>
        <v/>
      </c>
    </row>
    <row r="3040">
      <c r="B3040" s="7" t="n"/>
      <c r="F3040" s="8" t="n"/>
      <c r="G3040" s="8">
        <f>IF($A3040="",0,ROUND($E3040*$F3040,2))</f>
        <v/>
      </c>
    </row>
    <row r="3041">
      <c r="B3041" s="7" t="n"/>
      <c r="F3041" s="8" t="n"/>
      <c r="G3041" s="8">
        <f>IF($A3041="",0,ROUND($E3041*$F3041,2))</f>
        <v/>
      </c>
    </row>
    <row r="3042">
      <c r="B3042" s="7" t="n"/>
      <c r="F3042" s="8" t="n"/>
      <c r="G3042" s="8">
        <f>IF($A3042="",0,ROUND($E3042*$F3042,2))</f>
        <v/>
      </c>
    </row>
    <row r="3043">
      <c r="B3043" s="7" t="n"/>
      <c r="F3043" s="8" t="n"/>
      <c r="G3043" s="8">
        <f>IF($A3043="",0,ROUND($E3043*$F3043,2))</f>
        <v/>
      </c>
    </row>
    <row r="3044">
      <c r="B3044" s="7" t="n"/>
      <c r="F3044" s="8" t="n"/>
      <c r="G3044" s="8">
        <f>IF($A3044="",0,ROUND($E3044*$F3044,2))</f>
        <v/>
      </c>
    </row>
    <row r="3045">
      <c r="B3045" s="7" t="n"/>
      <c r="F3045" s="8" t="n"/>
      <c r="G3045" s="8">
        <f>IF($A3045="",0,ROUND($E3045*$F3045,2))</f>
        <v/>
      </c>
    </row>
    <row r="3046">
      <c r="B3046" s="7" t="n"/>
      <c r="F3046" s="8" t="n"/>
      <c r="G3046" s="8">
        <f>IF($A3046="",0,ROUND($E3046*$F3046,2))</f>
        <v/>
      </c>
    </row>
    <row r="3047">
      <c r="B3047" s="7" t="n"/>
      <c r="F3047" s="8" t="n"/>
      <c r="G3047" s="8">
        <f>IF($A3047="",0,ROUND($E3047*$F3047,2))</f>
        <v/>
      </c>
    </row>
    <row r="3048">
      <c r="B3048" s="7" t="n"/>
      <c r="F3048" s="8" t="n"/>
      <c r="G3048" s="8">
        <f>IF($A3048="",0,ROUND($E3048*$F3048,2))</f>
        <v/>
      </c>
    </row>
    <row r="3049">
      <c r="B3049" s="7" t="n"/>
      <c r="F3049" s="8" t="n"/>
      <c r="G3049" s="8">
        <f>IF($A3049="",0,ROUND($E3049*$F3049,2))</f>
        <v/>
      </c>
    </row>
    <row r="3050">
      <c r="B3050" s="7" t="n"/>
      <c r="F3050" s="8" t="n"/>
      <c r="G3050" s="8">
        <f>IF($A3050="",0,ROUND($E3050*$F3050,2))</f>
        <v/>
      </c>
    </row>
    <row r="3051">
      <c r="B3051" s="7" t="n"/>
      <c r="F3051" s="8" t="n"/>
      <c r="G3051" s="8">
        <f>IF($A3051="",0,ROUND($E3051*$F3051,2))</f>
        <v/>
      </c>
    </row>
    <row r="3052">
      <c r="B3052" s="7" t="n"/>
      <c r="F3052" s="8" t="n"/>
      <c r="G3052" s="8">
        <f>IF($A3052="",0,ROUND($E3052*$F3052,2))</f>
        <v/>
      </c>
    </row>
    <row r="3053">
      <c r="B3053" s="7" t="n"/>
      <c r="F3053" s="8" t="n"/>
      <c r="G3053" s="8">
        <f>IF($A3053="",0,ROUND($E3053*$F3053,2))</f>
        <v/>
      </c>
    </row>
    <row r="3054">
      <c r="B3054" s="7" t="n"/>
      <c r="F3054" s="8" t="n"/>
      <c r="G3054" s="8">
        <f>IF($A3054="",0,ROUND($E3054*$F3054,2))</f>
        <v/>
      </c>
    </row>
    <row r="3055">
      <c r="B3055" s="7" t="n"/>
      <c r="F3055" s="8" t="n"/>
      <c r="G3055" s="8">
        <f>IF($A3055="",0,ROUND($E3055*$F3055,2))</f>
        <v/>
      </c>
    </row>
    <row r="3056">
      <c r="B3056" s="7" t="n"/>
      <c r="F3056" s="8" t="n"/>
      <c r="G3056" s="8">
        <f>IF($A3056="",0,ROUND($E3056*$F3056,2))</f>
        <v/>
      </c>
    </row>
    <row r="3057">
      <c r="B3057" s="7" t="n"/>
      <c r="F3057" s="8" t="n"/>
      <c r="G3057" s="8">
        <f>IF($A3057="",0,ROUND($E3057*$F3057,2))</f>
        <v/>
      </c>
    </row>
    <row r="3058">
      <c r="B3058" s="7" t="n"/>
      <c r="F3058" s="8" t="n"/>
      <c r="G3058" s="8">
        <f>IF($A3058="",0,ROUND($E3058*$F3058,2))</f>
        <v/>
      </c>
    </row>
    <row r="3059">
      <c r="B3059" s="7" t="n"/>
      <c r="F3059" s="8" t="n"/>
      <c r="G3059" s="8">
        <f>IF($A3059="",0,ROUND($E3059*$F3059,2))</f>
        <v/>
      </c>
    </row>
    <row r="3060">
      <c r="B3060" s="7" t="n"/>
      <c r="F3060" s="8" t="n"/>
      <c r="G3060" s="8">
        <f>IF($A3060="",0,ROUND($E3060*$F3060,2))</f>
        <v/>
      </c>
    </row>
    <row r="3061">
      <c r="B3061" s="7" t="n"/>
      <c r="F3061" s="8" t="n"/>
      <c r="G3061" s="8">
        <f>IF($A3061="",0,ROUND($E3061*$F3061,2))</f>
        <v/>
      </c>
    </row>
    <row r="3062">
      <c r="B3062" s="7" t="n"/>
      <c r="F3062" s="8" t="n"/>
      <c r="G3062" s="8">
        <f>IF($A3062="",0,ROUND($E3062*$F3062,2))</f>
        <v/>
      </c>
    </row>
    <row r="3063">
      <c r="B3063" s="7" t="n"/>
      <c r="F3063" s="8" t="n"/>
      <c r="G3063" s="8">
        <f>IF($A3063="",0,ROUND($E3063*$F3063,2))</f>
        <v/>
      </c>
    </row>
    <row r="3064">
      <c r="B3064" s="7" t="n"/>
      <c r="F3064" s="8" t="n"/>
      <c r="G3064" s="8">
        <f>IF($A3064="",0,ROUND($E3064*$F3064,2))</f>
        <v/>
      </c>
    </row>
    <row r="3065">
      <c r="B3065" s="7" t="n"/>
      <c r="F3065" s="8" t="n"/>
      <c r="G3065" s="8">
        <f>IF($A3065="",0,ROUND($E3065*$F3065,2))</f>
        <v/>
      </c>
    </row>
    <row r="3066">
      <c r="B3066" s="7" t="n"/>
      <c r="F3066" s="8" t="n"/>
      <c r="G3066" s="8">
        <f>IF($A3066="",0,ROUND($E3066*$F3066,2))</f>
        <v/>
      </c>
    </row>
    <row r="3067">
      <c r="B3067" s="7" t="n"/>
      <c r="F3067" s="8" t="n"/>
      <c r="G3067" s="8">
        <f>IF($A3067="",0,ROUND($E3067*$F3067,2))</f>
        <v/>
      </c>
    </row>
    <row r="3068">
      <c r="B3068" s="7" t="n"/>
      <c r="F3068" s="8" t="n"/>
      <c r="G3068" s="8">
        <f>IF($A3068="",0,ROUND($E3068*$F3068,2))</f>
        <v/>
      </c>
    </row>
    <row r="3069">
      <c r="B3069" s="7" t="n"/>
      <c r="F3069" s="8" t="n"/>
      <c r="G3069" s="8">
        <f>IF($A3069="",0,ROUND($E3069*$F3069,2))</f>
        <v/>
      </c>
    </row>
    <row r="3070">
      <c r="B3070" s="7" t="n"/>
      <c r="F3070" s="8" t="n"/>
      <c r="G3070" s="8">
        <f>IF($A3070="",0,ROUND($E3070*$F3070,2))</f>
        <v/>
      </c>
    </row>
    <row r="3071">
      <c r="B3071" s="7" t="n"/>
      <c r="F3071" s="8" t="n"/>
      <c r="G3071" s="8">
        <f>IF($A3071="",0,ROUND($E3071*$F3071,2))</f>
        <v/>
      </c>
    </row>
    <row r="3072">
      <c r="B3072" s="7" t="n"/>
      <c r="F3072" s="8" t="n"/>
      <c r="G3072" s="8">
        <f>IF($A3072="",0,ROUND($E3072*$F3072,2))</f>
        <v/>
      </c>
    </row>
    <row r="3073">
      <c r="B3073" s="7" t="n"/>
      <c r="F3073" s="8" t="n"/>
      <c r="G3073" s="8">
        <f>IF($A3073="",0,ROUND($E3073*$F3073,2))</f>
        <v/>
      </c>
    </row>
    <row r="3074">
      <c r="B3074" s="7" t="n"/>
      <c r="F3074" s="8" t="n"/>
      <c r="G3074" s="8">
        <f>IF($A3074="",0,ROUND($E3074*$F3074,2))</f>
        <v/>
      </c>
    </row>
    <row r="3075">
      <c r="B3075" s="7" t="n"/>
      <c r="F3075" s="8" t="n"/>
      <c r="G3075" s="8">
        <f>IF($A3075="",0,ROUND($E3075*$F3075,2))</f>
        <v/>
      </c>
    </row>
    <row r="3076">
      <c r="B3076" s="7" t="n"/>
      <c r="F3076" s="8" t="n"/>
      <c r="G3076" s="8">
        <f>IF($A3076="",0,ROUND($E3076*$F3076,2))</f>
        <v/>
      </c>
    </row>
    <row r="3077">
      <c r="B3077" s="7" t="n"/>
      <c r="F3077" s="8" t="n"/>
      <c r="G3077" s="8">
        <f>IF($A3077="",0,ROUND($E3077*$F3077,2))</f>
        <v/>
      </c>
    </row>
    <row r="3078">
      <c r="B3078" s="7" t="n"/>
      <c r="F3078" s="8" t="n"/>
      <c r="G3078" s="8">
        <f>IF($A3078="",0,ROUND($E3078*$F3078,2))</f>
        <v/>
      </c>
    </row>
    <row r="3079">
      <c r="B3079" s="7" t="n"/>
      <c r="F3079" s="8" t="n"/>
      <c r="G3079" s="8">
        <f>IF($A3079="",0,ROUND($E3079*$F3079,2))</f>
        <v/>
      </c>
    </row>
    <row r="3080">
      <c r="B3080" s="7" t="n"/>
      <c r="F3080" s="8" t="n"/>
      <c r="G3080" s="8">
        <f>IF($A3080="",0,ROUND($E3080*$F3080,2))</f>
        <v/>
      </c>
    </row>
    <row r="3081">
      <c r="B3081" s="7" t="n"/>
      <c r="F3081" s="8" t="n"/>
      <c r="G3081" s="8">
        <f>IF($A3081="",0,ROUND($E3081*$F3081,2))</f>
        <v/>
      </c>
    </row>
    <row r="3082">
      <c r="B3082" s="7" t="n"/>
      <c r="F3082" s="8" t="n"/>
      <c r="G3082" s="8">
        <f>IF($A3082="",0,ROUND($E3082*$F3082,2))</f>
        <v/>
      </c>
    </row>
    <row r="3083">
      <c r="B3083" s="7" t="n"/>
      <c r="F3083" s="8" t="n"/>
      <c r="G3083" s="8">
        <f>IF($A3083="",0,ROUND($E3083*$F3083,2))</f>
        <v/>
      </c>
    </row>
    <row r="3084">
      <c r="B3084" s="7" t="n"/>
      <c r="F3084" s="8" t="n"/>
      <c r="G3084" s="8">
        <f>IF($A3084="",0,ROUND($E3084*$F3084,2))</f>
        <v/>
      </c>
    </row>
    <row r="3085">
      <c r="B3085" s="7" t="n"/>
      <c r="F3085" s="8" t="n"/>
      <c r="G3085" s="8">
        <f>IF($A3085="",0,ROUND($E3085*$F3085,2))</f>
        <v/>
      </c>
    </row>
    <row r="3086">
      <c r="B3086" s="7" t="n"/>
      <c r="F3086" s="8" t="n"/>
      <c r="G3086" s="8">
        <f>IF($A3086="",0,ROUND($E3086*$F3086,2))</f>
        <v/>
      </c>
    </row>
    <row r="3087">
      <c r="B3087" s="7" t="n"/>
      <c r="F3087" s="8" t="n"/>
      <c r="G3087" s="8">
        <f>IF($A3087="",0,ROUND($E3087*$F3087,2))</f>
        <v/>
      </c>
    </row>
    <row r="3088">
      <c r="B3088" s="7" t="n"/>
      <c r="F3088" s="8" t="n"/>
      <c r="G3088" s="8">
        <f>IF($A3088="",0,ROUND($E3088*$F3088,2))</f>
        <v/>
      </c>
    </row>
    <row r="3089">
      <c r="B3089" s="7" t="n"/>
      <c r="F3089" s="8" t="n"/>
      <c r="G3089" s="8">
        <f>IF($A3089="",0,ROUND($E3089*$F3089,2))</f>
        <v/>
      </c>
    </row>
    <row r="3090">
      <c r="B3090" s="7" t="n"/>
      <c r="F3090" s="8" t="n"/>
      <c r="G3090" s="8">
        <f>IF($A3090="",0,ROUND($E3090*$F3090,2))</f>
        <v/>
      </c>
    </row>
    <row r="3091">
      <c r="B3091" s="7" t="n"/>
      <c r="F3091" s="8" t="n"/>
      <c r="G3091" s="8">
        <f>IF($A3091="",0,ROUND($E3091*$F3091,2))</f>
        <v/>
      </c>
    </row>
    <row r="3092">
      <c r="B3092" s="7" t="n"/>
      <c r="F3092" s="8" t="n"/>
      <c r="G3092" s="8">
        <f>IF($A3092="",0,ROUND($E3092*$F3092,2))</f>
        <v/>
      </c>
    </row>
    <row r="3093">
      <c r="B3093" s="7" t="n"/>
      <c r="F3093" s="8" t="n"/>
      <c r="G3093" s="8">
        <f>IF($A3093="",0,ROUND($E3093*$F3093,2))</f>
        <v/>
      </c>
    </row>
    <row r="3094">
      <c r="B3094" s="7" t="n"/>
      <c r="F3094" s="8" t="n"/>
      <c r="G3094" s="8">
        <f>IF($A3094="",0,ROUND($E3094*$F3094,2))</f>
        <v/>
      </c>
    </row>
    <row r="3095">
      <c r="B3095" s="7" t="n"/>
      <c r="F3095" s="8" t="n"/>
      <c r="G3095" s="8">
        <f>IF($A3095="",0,ROUND($E3095*$F3095,2))</f>
        <v/>
      </c>
    </row>
    <row r="3096">
      <c r="B3096" s="7" t="n"/>
      <c r="F3096" s="8" t="n"/>
      <c r="G3096" s="8">
        <f>IF($A3096="",0,ROUND($E3096*$F3096,2))</f>
        <v/>
      </c>
    </row>
    <row r="3097">
      <c r="B3097" s="7" t="n"/>
      <c r="F3097" s="8" t="n"/>
      <c r="G3097" s="8">
        <f>IF($A3097="",0,ROUND($E3097*$F3097,2))</f>
        <v/>
      </c>
    </row>
    <row r="3098">
      <c r="B3098" s="7" t="n"/>
      <c r="F3098" s="8" t="n"/>
      <c r="G3098" s="8">
        <f>IF($A3098="",0,ROUND($E3098*$F3098,2))</f>
        <v/>
      </c>
    </row>
    <row r="3099">
      <c r="B3099" s="7" t="n"/>
      <c r="F3099" s="8" t="n"/>
      <c r="G3099" s="8">
        <f>IF($A3099="",0,ROUND($E3099*$F3099,2))</f>
        <v/>
      </c>
    </row>
    <row r="3100">
      <c r="B3100" s="7" t="n"/>
      <c r="F3100" s="8" t="n"/>
      <c r="G3100" s="8">
        <f>IF($A3100="",0,ROUND($E3100*$F3100,2))</f>
        <v/>
      </c>
    </row>
    <row r="3101">
      <c r="B3101" s="7" t="n"/>
      <c r="F3101" s="8" t="n"/>
      <c r="G3101" s="8">
        <f>IF($A3101="",0,ROUND($E3101*$F3101,2))</f>
        <v/>
      </c>
    </row>
    <row r="3102">
      <c r="B3102" s="7" t="n"/>
      <c r="F3102" s="8" t="n"/>
      <c r="G3102" s="8">
        <f>IF($A3102="",0,ROUND($E3102*$F3102,2))</f>
        <v/>
      </c>
    </row>
    <row r="3103">
      <c r="B3103" s="7" t="n"/>
      <c r="F3103" s="8" t="n"/>
      <c r="G3103" s="8">
        <f>IF($A3103="",0,ROUND($E3103*$F3103,2))</f>
        <v/>
      </c>
    </row>
    <row r="3104">
      <c r="B3104" s="7" t="n"/>
      <c r="F3104" s="8" t="n"/>
      <c r="G3104" s="8">
        <f>IF($A3104="",0,ROUND($E3104*$F3104,2))</f>
        <v/>
      </c>
    </row>
    <row r="3105">
      <c r="B3105" s="7" t="n"/>
      <c r="F3105" s="8" t="n"/>
      <c r="G3105" s="8">
        <f>IF($A3105="",0,ROUND($E3105*$F3105,2))</f>
        <v/>
      </c>
    </row>
    <row r="3106">
      <c r="B3106" s="7" t="n"/>
      <c r="F3106" s="8" t="n"/>
      <c r="G3106" s="8">
        <f>IF($A3106="",0,ROUND($E3106*$F3106,2))</f>
        <v/>
      </c>
    </row>
    <row r="3107">
      <c r="B3107" s="7" t="n"/>
      <c r="F3107" s="8" t="n"/>
      <c r="G3107" s="8">
        <f>IF($A3107="",0,ROUND($E3107*$F3107,2))</f>
        <v/>
      </c>
    </row>
    <row r="3108">
      <c r="B3108" s="7" t="n"/>
      <c r="F3108" s="8" t="n"/>
      <c r="G3108" s="8">
        <f>IF($A3108="",0,ROUND($E3108*$F3108,2))</f>
        <v/>
      </c>
    </row>
    <row r="3109">
      <c r="B3109" s="7" t="n"/>
      <c r="F3109" s="8" t="n"/>
      <c r="G3109" s="8">
        <f>IF($A3109="",0,ROUND($E3109*$F3109,2))</f>
        <v/>
      </c>
    </row>
    <row r="3110">
      <c r="B3110" s="7" t="n"/>
      <c r="F3110" s="8" t="n"/>
      <c r="G3110" s="8">
        <f>IF($A3110="",0,ROUND($E3110*$F3110,2))</f>
        <v/>
      </c>
    </row>
    <row r="3111">
      <c r="B3111" s="7" t="n"/>
      <c r="F3111" s="8" t="n"/>
      <c r="G3111" s="8">
        <f>IF($A3111="",0,ROUND($E3111*$F3111,2))</f>
        <v/>
      </c>
    </row>
    <row r="3112">
      <c r="B3112" s="7" t="n"/>
      <c r="F3112" s="8" t="n"/>
      <c r="G3112" s="8">
        <f>IF($A3112="",0,ROUND($E3112*$F3112,2))</f>
        <v/>
      </c>
    </row>
    <row r="3113">
      <c r="B3113" s="7" t="n"/>
      <c r="F3113" s="8" t="n"/>
      <c r="G3113" s="8">
        <f>IF($A3113="",0,ROUND($E3113*$F3113,2))</f>
        <v/>
      </c>
    </row>
    <row r="3114">
      <c r="B3114" s="7" t="n"/>
      <c r="F3114" s="8" t="n"/>
      <c r="G3114" s="8">
        <f>IF($A3114="",0,ROUND($E3114*$F3114,2))</f>
        <v/>
      </c>
    </row>
    <row r="3115">
      <c r="B3115" s="7" t="n"/>
      <c r="F3115" s="8" t="n"/>
      <c r="G3115" s="8">
        <f>IF($A3115="",0,ROUND($E3115*$F3115,2))</f>
        <v/>
      </c>
    </row>
    <row r="3116">
      <c r="B3116" s="7" t="n"/>
      <c r="F3116" s="8" t="n"/>
      <c r="G3116" s="8">
        <f>IF($A3116="",0,ROUND($E3116*$F3116,2))</f>
        <v/>
      </c>
    </row>
    <row r="3117">
      <c r="B3117" s="7" t="n"/>
      <c r="F3117" s="8" t="n"/>
      <c r="G3117" s="8">
        <f>IF($A3117="",0,ROUND($E3117*$F3117,2))</f>
        <v/>
      </c>
    </row>
    <row r="3118">
      <c r="B3118" s="7" t="n"/>
      <c r="F3118" s="8" t="n"/>
      <c r="G3118" s="8">
        <f>IF($A3118="",0,ROUND($E3118*$F3118,2))</f>
        <v/>
      </c>
    </row>
    <row r="3119">
      <c r="B3119" s="7" t="n"/>
      <c r="F3119" s="8" t="n"/>
      <c r="G3119" s="8">
        <f>IF($A3119="",0,ROUND($E3119*$F3119,2))</f>
        <v/>
      </c>
    </row>
    <row r="3120">
      <c r="B3120" s="7" t="n"/>
      <c r="F3120" s="8" t="n"/>
      <c r="G3120" s="8">
        <f>IF($A3120="",0,ROUND($E3120*$F3120,2))</f>
        <v/>
      </c>
    </row>
    <row r="3121">
      <c r="B3121" s="7" t="n"/>
      <c r="F3121" s="8" t="n"/>
      <c r="G3121" s="8">
        <f>IF($A3121="",0,ROUND($E3121*$F3121,2))</f>
        <v/>
      </c>
    </row>
    <row r="3122">
      <c r="B3122" s="7" t="n"/>
      <c r="F3122" s="8" t="n"/>
      <c r="G3122" s="8">
        <f>IF($A3122="",0,ROUND($E3122*$F3122,2))</f>
        <v/>
      </c>
    </row>
    <row r="3123">
      <c r="B3123" s="7" t="n"/>
      <c r="F3123" s="8" t="n"/>
      <c r="G3123" s="8">
        <f>IF($A3123="",0,ROUND($E3123*$F3123,2))</f>
        <v/>
      </c>
    </row>
    <row r="3124">
      <c r="B3124" s="7" t="n"/>
      <c r="F3124" s="8" t="n"/>
      <c r="G3124" s="8">
        <f>IF($A3124="",0,ROUND($E3124*$F3124,2))</f>
        <v/>
      </c>
    </row>
    <row r="3125">
      <c r="B3125" s="7" t="n"/>
      <c r="F3125" s="8" t="n"/>
      <c r="G3125" s="8">
        <f>IF($A3125="",0,ROUND($E3125*$F3125,2))</f>
        <v/>
      </c>
    </row>
    <row r="3126">
      <c r="B3126" s="7" t="n"/>
      <c r="F3126" s="8" t="n"/>
      <c r="G3126" s="8">
        <f>IF($A3126="",0,ROUND($E3126*$F3126,2))</f>
        <v/>
      </c>
    </row>
    <row r="3127">
      <c r="B3127" s="7" t="n"/>
      <c r="F3127" s="8" t="n"/>
      <c r="G3127" s="8">
        <f>IF($A3127="",0,ROUND($E3127*$F3127,2))</f>
        <v/>
      </c>
    </row>
    <row r="3128">
      <c r="B3128" s="7" t="n"/>
      <c r="F3128" s="8" t="n"/>
      <c r="G3128" s="8">
        <f>IF($A3128="",0,ROUND($E3128*$F3128,2))</f>
        <v/>
      </c>
    </row>
    <row r="3129">
      <c r="B3129" s="7" t="n"/>
      <c r="F3129" s="8" t="n"/>
      <c r="G3129" s="8">
        <f>IF($A3129="",0,ROUND($E3129*$F3129,2))</f>
        <v/>
      </c>
    </row>
    <row r="3130">
      <c r="B3130" s="7" t="n"/>
      <c r="F3130" s="8" t="n"/>
      <c r="G3130" s="8">
        <f>IF($A3130="",0,ROUND($E3130*$F3130,2))</f>
        <v/>
      </c>
    </row>
    <row r="3131">
      <c r="B3131" s="7" t="n"/>
      <c r="F3131" s="8" t="n"/>
      <c r="G3131" s="8">
        <f>IF($A3131="",0,ROUND($E3131*$F3131,2))</f>
        <v/>
      </c>
    </row>
    <row r="3132">
      <c r="B3132" s="7" t="n"/>
      <c r="F3132" s="8" t="n"/>
      <c r="G3132" s="8">
        <f>IF($A3132="",0,ROUND($E3132*$F3132,2))</f>
        <v/>
      </c>
    </row>
    <row r="3133">
      <c r="B3133" s="7" t="n"/>
      <c r="F3133" s="8" t="n"/>
      <c r="G3133" s="8">
        <f>IF($A3133="",0,ROUND($E3133*$F3133,2))</f>
        <v/>
      </c>
    </row>
    <row r="3134">
      <c r="B3134" s="7" t="n"/>
      <c r="F3134" s="8" t="n"/>
      <c r="G3134" s="8">
        <f>IF($A3134="",0,ROUND($E3134*$F3134,2))</f>
        <v/>
      </c>
    </row>
    <row r="3135">
      <c r="B3135" s="7" t="n"/>
      <c r="F3135" s="8" t="n"/>
      <c r="G3135" s="8">
        <f>IF($A3135="",0,ROUND($E3135*$F3135,2))</f>
        <v/>
      </c>
    </row>
    <row r="3136">
      <c r="B3136" s="7" t="n"/>
      <c r="F3136" s="8" t="n"/>
      <c r="G3136" s="8">
        <f>IF($A3136="",0,ROUND($E3136*$F3136,2))</f>
        <v/>
      </c>
    </row>
    <row r="3137">
      <c r="B3137" s="7" t="n"/>
      <c r="F3137" s="8" t="n"/>
      <c r="G3137" s="8">
        <f>IF($A3137="",0,ROUND($E3137*$F3137,2))</f>
        <v/>
      </c>
    </row>
    <row r="3138">
      <c r="B3138" s="7" t="n"/>
      <c r="F3138" s="8" t="n"/>
      <c r="G3138" s="8">
        <f>IF($A3138="",0,ROUND($E3138*$F3138,2))</f>
        <v/>
      </c>
    </row>
    <row r="3139">
      <c r="B3139" s="7" t="n"/>
      <c r="F3139" s="8" t="n"/>
      <c r="G3139" s="8">
        <f>IF($A3139="",0,ROUND($E3139*$F3139,2))</f>
        <v/>
      </c>
    </row>
    <row r="3140">
      <c r="B3140" s="7" t="n"/>
      <c r="F3140" s="8" t="n"/>
      <c r="G3140" s="8">
        <f>IF($A3140="",0,ROUND($E3140*$F3140,2))</f>
        <v/>
      </c>
    </row>
    <row r="3141">
      <c r="B3141" s="7" t="n"/>
      <c r="F3141" s="8" t="n"/>
      <c r="G3141" s="8">
        <f>IF($A3141="",0,ROUND($E3141*$F3141,2))</f>
        <v/>
      </c>
    </row>
    <row r="3142">
      <c r="B3142" s="7" t="n"/>
      <c r="F3142" s="8" t="n"/>
      <c r="G3142" s="8">
        <f>IF($A3142="",0,ROUND($E3142*$F3142,2))</f>
        <v/>
      </c>
    </row>
    <row r="3143">
      <c r="B3143" s="7" t="n"/>
      <c r="F3143" s="8" t="n"/>
      <c r="G3143" s="8">
        <f>IF($A3143="",0,ROUND($E3143*$F3143,2))</f>
        <v/>
      </c>
    </row>
    <row r="3144">
      <c r="B3144" s="7" t="n"/>
      <c r="F3144" s="8" t="n"/>
      <c r="G3144" s="8">
        <f>IF($A3144="",0,ROUND($E3144*$F3144,2))</f>
        <v/>
      </c>
    </row>
    <row r="3145">
      <c r="B3145" s="7" t="n"/>
      <c r="F3145" s="8" t="n"/>
      <c r="G3145" s="8">
        <f>IF($A3145="",0,ROUND($E3145*$F3145,2))</f>
        <v/>
      </c>
    </row>
    <row r="3146">
      <c r="B3146" s="7" t="n"/>
      <c r="F3146" s="8" t="n"/>
      <c r="G3146" s="8">
        <f>IF($A3146="",0,ROUND($E3146*$F3146,2))</f>
        <v/>
      </c>
    </row>
    <row r="3147">
      <c r="B3147" s="7" t="n"/>
      <c r="F3147" s="8" t="n"/>
      <c r="G3147" s="8">
        <f>IF($A3147="",0,ROUND($E3147*$F3147,2))</f>
        <v/>
      </c>
    </row>
    <row r="3148">
      <c r="B3148" s="7" t="n"/>
      <c r="F3148" s="8" t="n"/>
      <c r="G3148" s="8">
        <f>IF($A3148="",0,ROUND($E3148*$F3148,2))</f>
        <v/>
      </c>
    </row>
    <row r="3149">
      <c r="B3149" s="7" t="n"/>
      <c r="F3149" s="8" t="n"/>
      <c r="G3149" s="8">
        <f>IF($A3149="",0,ROUND($E3149*$F3149,2))</f>
        <v/>
      </c>
    </row>
    <row r="3150">
      <c r="B3150" s="7" t="n"/>
      <c r="F3150" s="8" t="n"/>
      <c r="G3150" s="8">
        <f>IF($A3150="",0,ROUND($E3150*$F3150,2))</f>
        <v/>
      </c>
    </row>
    <row r="3151">
      <c r="B3151" s="7" t="n"/>
      <c r="F3151" s="8" t="n"/>
      <c r="G3151" s="8">
        <f>IF($A3151="",0,ROUND($E3151*$F3151,2))</f>
        <v/>
      </c>
    </row>
    <row r="3152">
      <c r="B3152" s="7" t="n"/>
      <c r="F3152" s="8" t="n"/>
      <c r="G3152" s="8">
        <f>IF($A3152="",0,ROUND($E3152*$F3152,2))</f>
        <v/>
      </c>
    </row>
    <row r="3153">
      <c r="B3153" s="7" t="n"/>
      <c r="F3153" s="8" t="n"/>
      <c r="G3153" s="8">
        <f>IF($A3153="",0,ROUND($E3153*$F3153,2))</f>
        <v/>
      </c>
    </row>
    <row r="3154">
      <c r="B3154" s="7" t="n"/>
      <c r="F3154" s="8" t="n"/>
      <c r="G3154" s="8">
        <f>IF($A3154="",0,ROUND($E3154*$F3154,2))</f>
        <v/>
      </c>
    </row>
    <row r="3155">
      <c r="B3155" s="7" t="n"/>
      <c r="F3155" s="8" t="n"/>
      <c r="G3155" s="8">
        <f>IF($A3155="",0,ROUND($E3155*$F3155,2))</f>
        <v/>
      </c>
    </row>
    <row r="3156">
      <c r="B3156" s="7" t="n"/>
      <c r="F3156" s="8" t="n"/>
      <c r="G3156" s="8">
        <f>IF($A3156="",0,ROUND($E3156*$F3156,2))</f>
        <v/>
      </c>
    </row>
    <row r="3157">
      <c r="B3157" s="7" t="n"/>
      <c r="F3157" s="8" t="n"/>
      <c r="G3157" s="8">
        <f>IF($A3157="",0,ROUND($E3157*$F3157,2))</f>
        <v/>
      </c>
    </row>
    <row r="3158">
      <c r="B3158" s="7" t="n"/>
      <c r="F3158" s="8" t="n"/>
      <c r="G3158" s="8">
        <f>IF($A3158="",0,ROUND($E3158*$F3158,2))</f>
        <v/>
      </c>
    </row>
    <row r="3159">
      <c r="B3159" s="7" t="n"/>
      <c r="F3159" s="8" t="n"/>
      <c r="G3159" s="8">
        <f>IF($A3159="",0,ROUND($E3159*$F3159,2))</f>
        <v/>
      </c>
    </row>
    <row r="3160">
      <c r="B3160" s="7" t="n"/>
      <c r="F3160" s="8" t="n"/>
      <c r="G3160" s="8">
        <f>IF($A3160="",0,ROUND($E3160*$F3160,2))</f>
        <v/>
      </c>
    </row>
    <row r="3161">
      <c r="B3161" s="7" t="n"/>
      <c r="F3161" s="8" t="n"/>
      <c r="G3161" s="8">
        <f>IF($A3161="",0,ROUND($E3161*$F3161,2))</f>
        <v/>
      </c>
    </row>
    <row r="3162">
      <c r="B3162" s="7" t="n"/>
      <c r="F3162" s="8" t="n"/>
      <c r="G3162" s="8">
        <f>IF($A3162="",0,ROUND($E3162*$F3162,2))</f>
        <v/>
      </c>
    </row>
    <row r="3163">
      <c r="B3163" s="7" t="n"/>
      <c r="F3163" s="8" t="n"/>
      <c r="G3163" s="8">
        <f>IF($A3163="",0,ROUND($E3163*$F3163,2))</f>
        <v/>
      </c>
    </row>
    <row r="3164">
      <c r="B3164" s="7" t="n"/>
      <c r="F3164" s="8" t="n"/>
      <c r="G3164" s="8">
        <f>IF($A3164="",0,ROUND($E3164*$F3164,2))</f>
        <v/>
      </c>
    </row>
    <row r="3165">
      <c r="B3165" s="7" t="n"/>
      <c r="F3165" s="8" t="n"/>
      <c r="G3165" s="8">
        <f>IF($A3165="",0,ROUND($E3165*$F3165,2))</f>
        <v/>
      </c>
    </row>
    <row r="3166">
      <c r="B3166" s="7" t="n"/>
      <c r="F3166" s="8" t="n"/>
      <c r="G3166" s="8">
        <f>IF($A3166="",0,ROUND($E3166*$F3166,2))</f>
        <v/>
      </c>
    </row>
    <row r="3167">
      <c r="B3167" s="7" t="n"/>
      <c r="F3167" s="8" t="n"/>
      <c r="G3167" s="8">
        <f>IF($A3167="",0,ROUND($E3167*$F3167,2))</f>
        <v/>
      </c>
    </row>
    <row r="3168">
      <c r="B3168" s="7" t="n"/>
      <c r="F3168" s="8" t="n"/>
      <c r="G3168" s="8">
        <f>IF($A3168="",0,ROUND($E3168*$F3168,2))</f>
        <v/>
      </c>
    </row>
    <row r="3169">
      <c r="B3169" s="7" t="n"/>
      <c r="F3169" s="8" t="n"/>
      <c r="G3169" s="8">
        <f>IF($A3169="",0,ROUND($E3169*$F3169,2))</f>
        <v/>
      </c>
    </row>
    <row r="3170">
      <c r="B3170" s="7" t="n"/>
      <c r="F3170" s="8" t="n"/>
      <c r="G3170" s="8">
        <f>IF($A3170="",0,ROUND($E3170*$F3170,2))</f>
        <v/>
      </c>
    </row>
    <row r="3171">
      <c r="B3171" s="7" t="n"/>
      <c r="F3171" s="8" t="n"/>
      <c r="G3171" s="8">
        <f>IF($A3171="",0,ROUND($E3171*$F3171,2))</f>
        <v/>
      </c>
    </row>
    <row r="3172">
      <c r="B3172" s="7" t="n"/>
      <c r="F3172" s="8" t="n"/>
      <c r="G3172" s="8">
        <f>IF($A3172="",0,ROUND($E3172*$F3172,2))</f>
        <v/>
      </c>
    </row>
    <row r="3173">
      <c r="B3173" s="7" t="n"/>
      <c r="F3173" s="8" t="n"/>
      <c r="G3173" s="8">
        <f>IF($A3173="",0,ROUND($E3173*$F3173,2))</f>
        <v/>
      </c>
    </row>
    <row r="3174">
      <c r="B3174" s="7" t="n"/>
      <c r="F3174" s="8" t="n"/>
      <c r="G3174" s="8">
        <f>IF($A3174="",0,ROUND($E3174*$F3174,2))</f>
        <v/>
      </c>
    </row>
    <row r="3175">
      <c r="B3175" s="7" t="n"/>
      <c r="F3175" s="8" t="n"/>
      <c r="G3175" s="8">
        <f>IF($A3175="",0,ROUND($E3175*$F3175,2))</f>
        <v/>
      </c>
    </row>
    <row r="3176">
      <c r="B3176" s="7" t="n"/>
      <c r="F3176" s="8" t="n"/>
      <c r="G3176" s="8">
        <f>IF($A3176="",0,ROUND($E3176*$F3176,2))</f>
        <v/>
      </c>
    </row>
    <row r="3177">
      <c r="B3177" s="7" t="n"/>
      <c r="F3177" s="8" t="n"/>
      <c r="G3177" s="8">
        <f>IF($A3177="",0,ROUND($E3177*$F3177,2))</f>
        <v/>
      </c>
    </row>
    <row r="3178">
      <c r="B3178" s="7" t="n"/>
      <c r="F3178" s="8" t="n"/>
      <c r="G3178" s="8">
        <f>IF($A3178="",0,ROUND($E3178*$F3178,2))</f>
        <v/>
      </c>
    </row>
    <row r="3179">
      <c r="B3179" s="7" t="n"/>
      <c r="F3179" s="8" t="n"/>
      <c r="G3179" s="8">
        <f>IF($A3179="",0,ROUND($E3179*$F3179,2))</f>
        <v/>
      </c>
    </row>
    <row r="3180">
      <c r="B3180" s="7" t="n"/>
      <c r="F3180" s="8" t="n"/>
      <c r="G3180" s="8">
        <f>IF($A3180="",0,ROUND($E3180*$F3180,2))</f>
        <v/>
      </c>
    </row>
    <row r="3181">
      <c r="B3181" s="7" t="n"/>
      <c r="F3181" s="8" t="n"/>
      <c r="G3181" s="8">
        <f>IF($A3181="",0,ROUND($E3181*$F3181,2))</f>
        <v/>
      </c>
    </row>
    <row r="3182">
      <c r="B3182" s="7" t="n"/>
      <c r="F3182" s="8" t="n"/>
      <c r="G3182" s="8">
        <f>IF($A3182="",0,ROUND($E3182*$F3182,2))</f>
        <v/>
      </c>
    </row>
    <row r="3183">
      <c r="B3183" s="7" t="n"/>
      <c r="F3183" s="8" t="n"/>
      <c r="G3183" s="8">
        <f>IF($A3183="",0,ROUND($E3183*$F3183,2))</f>
        <v/>
      </c>
    </row>
    <row r="3184">
      <c r="B3184" s="7" t="n"/>
      <c r="F3184" s="8" t="n"/>
      <c r="G3184" s="8">
        <f>IF($A3184="",0,ROUND($E3184*$F3184,2))</f>
        <v/>
      </c>
    </row>
    <row r="3185">
      <c r="B3185" s="7" t="n"/>
      <c r="F3185" s="8" t="n"/>
      <c r="G3185" s="8">
        <f>IF($A3185="",0,ROUND($E3185*$F3185,2))</f>
        <v/>
      </c>
    </row>
    <row r="3186">
      <c r="B3186" s="7" t="n"/>
      <c r="F3186" s="8" t="n"/>
      <c r="G3186" s="8">
        <f>IF($A3186="",0,ROUND($E3186*$F3186,2))</f>
        <v/>
      </c>
    </row>
    <row r="3187">
      <c r="B3187" s="7" t="n"/>
      <c r="F3187" s="8" t="n"/>
      <c r="G3187" s="8">
        <f>IF($A3187="",0,ROUND($E3187*$F3187,2))</f>
        <v/>
      </c>
    </row>
    <row r="3188">
      <c r="B3188" s="7" t="n"/>
      <c r="F3188" s="8" t="n"/>
      <c r="G3188" s="8">
        <f>IF($A3188="",0,ROUND($E3188*$F3188,2))</f>
        <v/>
      </c>
    </row>
    <row r="3189">
      <c r="B3189" s="7" t="n"/>
      <c r="F3189" s="8" t="n"/>
      <c r="G3189" s="8">
        <f>IF($A3189="",0,ROUND($E3189*$F3189,2))</f>
        <v/>
      </c>
    </row>
    <row r="3190">
      <c r="B3190" s="7" t="n"/>
      <c r="F3190" s="8" t="n"/>
      <c r="G3190" s="8">
        <f>IF($A3190="",0,ROUND($E3190*$F3190,2))</f>
        <v/>
      </c>
    </row>
    <row r="3191">
      <c r="B3191" s="7" t="n"/>
      <c r="F3191" s="8" t="n"/>
      <c r="G3191" s="8">
        <f>IF($A3191="",0,ROUND($E3191*$F3191,2))</f>
        <v/>
      </c>
    </row>
    <row r="3192">
      <c r="B3192" s="7" t="n"/>
      <c r="F3192" s="8" t="n"/>
      <c r="G3192" s="8">
        <f>IF($A3192="",0,ROUND($E3192*$F3192,2))</f>
        <v/>
      </c>
    </row>
    <row r="3193">
      <c r="B3193" s="7" t="n"/>
      <c r="F3193" s="8" t="n"/>
      <c r="G3193" s="8">
        <f>IF($A3193="",0,ROUND($E3193*$F3193,2))</f>
        <v/>
      </c>
    </row>
    <row r="3194">
      <c r="B3194" s="7" t="n"/>
      <c r="F3194" s="8" t="n"/>
      <c r="G3194" s="8">
        <f>IF($A3194="",0,ROUND($E3194*$F3194,2))</f>
        <v/>
      </c>
    </row>
    <row r="3195">
      <c r="B3195" s="7" t="n"/>
      <c r="F3195" s="8" t="n"/>
      <c r="G3195" s="8">
        <f>IF($A3195="",0,ROUND($E3195*$F3195,2))</f>
        <v/>
      </c>
    </row>
    <row r="3196">
      <c r="B3196" s="7" t="n"/>
      <c r="F3196" s="8" t="n"/>
      <c r="G3196" s="8">
        <f>IF($A3196="",0,ROUND($E3196*$F3196,2))</f>
        <v/>
      </c>
    </row>
    <row r="3197">
      <c r="B3197" s="7" t="n"/>
      <c r="F3197" s="8" t="n"/>
      <c r="G3197" s="8">
        <f>IF($A3197="",0,ROUND($E3197*$F3197,2))</f>
        <v/>
      </c>
    </row>
    <row r="3198">
      <c r="B3198" s="7" t="n"/>
      <c r="F3198" s="8" t="n"/>
      <c r="G3198" s="8">
        <f>IF($A3198="",0,ROUND($E3198*$F3198,2))</f>
        <v/>
      </c>
    </row>
    <row r="3199">
      <c r="B3199" s="7" t="n"/>
      <c r="F3199" s="8" t="n"/>
      <c r="G3199" s="8">
        <f>IF($A3199="",0,ROUND($E3199*$F3199,2))</f>
        <v/>
      </c>
    </row>
    <row r="3200">
      <c r="B3200" s="7" t="n"/>
      <c r="F3200" s="8" t="n"/>
      <c r="G3200" s="8">
        <f>IF($A3200="",0,ROUND($E3200*$F3200,2))</f>
        <v/>
      </c>
    </row>
    <row r="3201">
      <c r="B3201" s="7" t="n"/>
      <c r="F3201" s="8" t="n"/>
      <c r="G3201" s="8">
        <f>IF($A3201="",0,ROUND($E3201*$F3201,2))</f>
        <v/>
      </c>
    </row>
    <row r="3202">
      <c r="B3202" s="7" t="n"/>
      <c r="F3202" s="8" t="n"/>
      <c r="G3202" s="8">
        <f>IF($A3202="",0,ROUND($E3202*$F3202,2))</f>
        <v/>
      </c>
    </row>
    <row r="3203">
      <c r="B3203" s="7" t="n"/>
      <c r="F3203" s="8" t="n"/>
      <c r="G3203" s="8">
        <f>IF($A3203="",0,ROUND($E3203*$F3203,2))</f>
        <v/>
      </c>
    </row>
    <row r="3204">
      <c r="B3204" s="7" t="n"/>
      <c r="F3204" s="8" t="n"/>
      <c r="G3204" s="8">
        <f>IF($A3204="",0,ROUND($E3204*$F3204,2))</f>
        <v/>
      </c>
    </row>
    <row r="3205">
      <c r="B3205" s="7" t="n"/>
      <c r="F3205" s="8" t="n"/>
      <c r="G3205" s="8">
        <f>IF($A3205="",0,ROUND($E3205*$F3205,2))</f>
        <v/>
      </c>
    </row>
    <row r="3206">
      <c r="B3206" s="7" t="n"/>
      <c r="F3206" s="8" t="n"/>
      <c r="G3206" s="8">
        <f>IF($A3206="",0,ROUND($E3206*$F3206,2))</f>
        <v/>
      </c>
    </row>
    <row r="3207">
      <c r="B3207" s="7" t="n"/>
      <c r="F3207" s="8" t="n"/>
      <c r="G3207" s="8">
        <f>IF($A3207="",0,ROUND($E3207*$F3207,2))</f>
        <v/>
      </c>
    </row>
    <row r="3208">
      <c r="B3208" s="7" t="n"/>
      <c r="F3208" s="8" t="n"/>
      <c r="G3208" s="8">
        <f>IF($A3208="",0,ROUND($E3208*$F3208,2))</f>
        <v/>
      </c>
    </row>
    <row r="3209">
      <c r="B3209" s="7" t="n"/>
      <c r="F3209" s="8" t="n"/>
      <c r="G3209" s="8">
        <f>IF($A3209="",0,ROUND($E3209*$F3209,2))</f>
        <v/>
      </c>
    </row>
    <row r="3210">
      <c r="B3210" s="7" t="n"/>
      <c r="F3210" s="8" t="n"/>
      <c r="G3210" s="8">
        <f>IF($A3210="",0,ROUND($E3210*$F3210,2))</f>
        <v/>
      </c>
    </row>
    <row r="3211">
      <c r="B3211" s="7" t="n"/>
      <c r="F3211" s="8" t="n"/>
      <c r="G3211" s="8">
        <f>IF($A3211="",0,ROUND($E3211*$F3211,2))</f>
        <v/>
      </c>
    </row>
    <row r="3212">
      <c r="B3212" s="7" t="n"/>
      <c r="F3212" s="8" t="n"/>
      <c r="G3212" s="8">
        <f>IF($A3212="",0,ROUND($E3212*$F3212,2))</f>
        <v/>
      </c>
    </row>
    <row r="3213">
      <c r="B3213" s="7" t="n"/>
      <c r="F3213" s="8" t="n"/>
      <c r="G3213" s="8">
        <f>IF($A3213="",0,ROUND($E3213*$F3213,2))</f>
        <v/>
      </c>
    </row>
    <row r="3214">
      <c r="B3214" s="7" t="n"/>
      <c r="F3214" s="8" t="n"/>
      <c r="G3214" s="8">
        <f>IF($A3214="",0,ROUND($E3214*$F3214,2))</f>
        <v/>
      </c>
    </row>
    <row r="3215">
      <c r="B3215" s="7" t="n"/>
      <c r="F3215" s="8" t="n"/>
      <c r="G3215" s="8">
        <f>IF($A3215="",0,ROUND($E3215*$F3215,2))</f>
        <v/>
      </c>
    </row>
    <row r="3216">
      <c r="B3216" s="7" t="n"/>
      <c r="F3216" s="8" t="n"/>
      <c r="G3216" s="8">
        <f>IF($A3216="",0,ROUND($E3216*$F3216,2))</f>
        <v/>
      </c>
    </row>
    <row r="3217">
      <c r="B3217" s="7" t="n"/>
      <c r="F3217" s="8" t="n"/>
      <c r="G3217" s="8">
        <f>IF($A3217="",0,ROUND($E3217*$F3217,2))</f>
        <v/>
      </c>
    </row>
    <row r="3218">
      <c r="B3218" s="7" t="n"/>
      <c r="F3218" s="8" t="n"/>
      <c r="G3218" s="8">
        <f>IF($A3218="",0,ROUND($E3218*$F3218,2))</f>
        <v/>
      </c>
    </row>
    <row r="3219">
      <c r="B3219" s="7" t="n"/>
      <c r="F3219" s="8" t="n"/>
      <c r="G3219" s="8">
        <f>IF($A3219="",0,ROUND($E3219*$F3219,2))</f>
        <v/>
      </c>
    </row>
    <row r="3220">
      <c r="B3220" s="7" t="n"/>
      <c r="F3220" s="8" t="n"/>
      <c r="G3220" s="8">
        <f>IF($A3220="",0,ROUND($E3220*$F3220,2))</f>
        <v/>
      </c>
    </row>
    <row r="3221">
      <c r="B3221" s="7" t="n"/>
      <c r="F3221" s="8" t="n"/>
      <c r="G3221" s="8">
        <f>IF($A3221="",0,ROUND($E3221*$F3221,2))</f>
        <v/>
      </c>
    </row>
    <row r="3222">
      <c r="B3222" s="7" t="n"/>
      <c r="F3222" s="8" t="n"/>
      <c r="G3222" s="8">
        <f>IF($A3222="",0,ROUND($E3222*$F3222,2))</f>
        <v/>
      </c>
    </row>
    <row r="3223">
      <c r="B3223" s="7" t="n"/>
      <c r="F3223" s="8" t="n"/>
      <c r="G3223" s="8">
        <f>IF($A3223="",0,ROUND($E3223*$F3223,2))</f>
        <v/>
      </c>
    </row>
    <row r="3224">
      <c r="B3224" s="7" t="n"/>
      <c r="F3224" s="8" t="n"/>
      <c r="G3224" s="8">
        <f>IF($A3224="",0,ROUND($E3224*$F3224,2))</f>
        <v/>
      </c>
    </row>
    <row r="3225">
      <c r="B3225" s="7" t="n"/>
      <c r="F3225" s="8" t="n"/>
      <c r="G3225" s="8">
        <f>IF($A3225="",0,ROUND($E3225*$F3225,2))</f>
        <v/>
      </c>
    </row>
    <row r="3226">
      <c r="B3226" s="7" t="n"/>
      <c r="F3226" s="8" t="n"/>
      <c r="G3226" s="8">
        <f>IF($A3226="",0,ROUND($E3226*$F3226,2))</f>
        <v/>
      </c>
    </row>
    <row r="3227">
      <c r="B3227" s="7" t="n"/>
      <c r="F3227" s="8" t="n"/>
      <c r="G3227" s="8">
        <f>IF($A3227="",0,ROUND($E3227*$F3227,2))</f>
        <v/>
      </c>
    </row>
    <row r="3228">
      <c r="B3228" s="7" t="n"/>
      <c r="F3228" s="8" t="n"/>
      <c r="G3228" s="8">
        <f>IF($A3228="",0,ROUND($E3228*$F3228,2))</f>
        <v/>
      </c>
    </row>
    <row r="3229">
      <c r="B3229" s="7" t="n"/>
      <c r="F3229" s="8" t="n"/>
      <c r="G3229" s="8">
        <f>IF($A3229="",0,ROUND($E3229*$F3229,2))</f>
        <v/>
      </c>
    </row>
    <row r="3230">
      <c r="B3230" s="7" t="n"/>
      <c r="F3230" s="8" t="n"/>
      <c r="G3230" s="8">
        <f>IF($A3230="",0,ROUND($E3230*$F3230,2))</f>
        <v/>
      </c>
    </row>
    <row r="3231">
      <c r="B3231" s="7" t="n"/>
      <c r="F3231" s="8" t="n"/>
      <c r="G3231" s="8">
        <f>IF($A3231="",0,ROUND($E3231*$F3231,2))</f>
        <v/>
      </c>
    </row>
    <row r="3232">
      <c r="B3232" s="7" t="n"/>
      <c r="F3232" s="8" t="n"/>
      <c r="G3232" s="8">
        <f>IF($A3232="",0,ROUND($E3232*$F3232,2))</f>
        <v/>
      </c>
    </row>
    <row r="3233">
      <c r="B3233" s="7" t="n"/>
      <c r="F3233" s="8" t="n"/>
      <c r="G3233" s="8">
        <f>IF($A3233="",0,ROUND($E3233*$F3233,2))</f>
        <v/>
      </c>
    </row>
    <row r="3234">
      <c r="B3234" s="7" t="n"/>
      <c r="F3234" s="8" t="n"/>
      <c r="G3234" s="8">
        <f>IF($A3234="",0,ROUND($E3234*$F3234,2))</f>
        <v/>
      </c>
    </row>
    <row r="3235">
      <c r="B3235" s="7" t="n"/>
      <c r="F3235" s="8" t="n"/>
      <c r="G3235" s="8">
        <f>IF($A3235="",0,ROUND($E3235*$F3235,2))</f>
        <v/>
      </c>
    </row>
    <row r="3236">
      <c r="B3236" s="7" t="n"/>
      <c r="F3236" s="8" t="n"/>
      <c r="G3236" s="8">
        <f>IF($A3236="",0,ROUND($E3236*$F3236,2))</f>
        <v/>
      </c>
    </row>
    <row r="3237">
      <c r="B3237" s="7" t="n"/>
      <c r="F3237" s="8" t="n"/>
      <c r="G3237" s="8">
        <f>IF($A3237="",0,ROUND($E3237*$F3237,2))</f>
        <v/>
      </c>
    </row>
    <row r="3238">
      <c r="B3238" s="7" t="n"/>
      <c r="F3238" s="8" t="n"/>
      <c r="G3238" s="8">
        <f>IF($A3238="",0,ROUND($E3238*$F3238,2))</f>
        <v/>
      </c>
    </row>
    <row r="3239">
      <c r="B3239" s="7" t="n"/>
      <c r="F3239" s="8" t="n"/>
      <c r="G3239" s="8">
        <f>IF($A3239="",0,ROUND($E3239*$F3239,2))</f>
        <v/>
      </c>
    </row>
    <row r="3240">
      <c r="B3240" s="7" t="n"/>
      <c r="F3240" s="8" t="n"/>
      <c r="G3240" s="8">
        <f>IF($A3240="",0,ROUND($E3240*$F3240,2))</f>
        <v/>
      </c>
    </row>
    <row r="3241">
      <c r="B3241" s="7" t="n"/>
      <c r="F3241" s="8" t="n"/>
      <c r="G3241" s="8">
        <f>IF($A3241="",0,ROUND($E3241*$F3241,2))</f>
        <v/>
      </c>
    </row>
    <row r="3242">
      <c r="B3242" s="7" t="n"/>
      <c r="F3242" s="8" t="n"/>
      <c r="G3242" s="8">
        <f>IF($A3242="",0,ROUND($E3242*$F3242,2))</f>
        <v/>
      </c>
    </row>
    <row r="3243">
      <c r="B3243" s="7" t="n"/>
      <c r="F3243" s="8" t="n"/>
      <c r="G3243" s="8">
        <f>IF($A3243="",0,ROUND($E3243*$F3243,2))</f>
        <v/>
      </c>
    </row>
    <row r="3244">
      <c r="B3244" s="7" t="n"/>
      <c r="F3244" s="8" t="n"/>
      <c r="G3244" s="8">
        <f>IF($A3244="",0,ROUND($E3244*$F3244,2))</f>
        <v/>
      </c>
    </row>
    <row r="3245">
      <c r="B3245" s="7" t="n"/>
      <c r="F3245" s="8" t="n"/>
      <c r="G3245" s="8">
        <f>IF($A3245="",0,ROUND($E3245*$F3245,2))</f>
        <v/>
      </c>
    </row>
    <row r="3246">
      <c r="B3246" s="7" t="n"/>
      <c r="F3246" s="8" t="n"/>
      <c r="G3246" s="8">
        <f>IF($A3246="",0,ROUND($E3246*$F3246,2))</f>
        <v/>
      </c>
    </row>
    <row r="3247">
      <c r="B3247" s="7" t="n"/>
      <c r="F3247" s="8" t="n"/>
      <c r="G3247" s="8">
        <f>IF($A3247="",0,ROUND($E3247*$F3247,2))</f>
        <v/>
      </c>
    </row>
    <row r="3248">
      <c r="B3248" s="7" t="n"/>
      <c r="F3248" s="8" t="n"/>
      <c r="G3248" s="8">
        <f>IF($A3248="",0,ROUND($E3248*$F3248,2))</f>
        <v/>
      </c>
    </row>
    <row r="3249">
      <c r="B3249" s="7" t="n"/>
      <c r="F3249" s="8" t="n"/>
      <c r="G3249" s="8">
        <f>IF($A3249="",0,ROUND($E3249*$F3249,2))</f>
        <v/>
      </c>
    </row>
    <row r="3250">
      <c r="B3250" s="7" t="n"/>
      <c r="F3250" s="8" t="n"/>
      <c r="G3250" s="8">
        <f>IF($A3250="",0,ROUND($E3250*$F3250,2))</f>
        <v/>
      </c>
    </row>
    <row r="3251">
      <c r="B3251" s="7" t="n"/>
      <c r="F3251" s="8" t="n"/>
      <c r="G3251" s="8">
        <f>IF($A3251="",0,ROUND($E3251*$F3251,2))</f>
        <v/>
      </c>
    </row>
    <row r="3252">
      <c r="B3252" s="7" t="n"/>
      <c r="F3252" s="8" t="n"/>
      <c r="G3252" s="8">
        <f>IF($A3252="",0,ROUND($E3252*$F3252,2))</f>
        <v/>
      </c>
    </row>
    <row r="3253">
      <c r="B3253" s="7" t="n"/>
      <c r="F3253" s="8" t="n"/>
      <c r="G3253" s="8">
        <f>IF($A3253="",0,ROUND($E3253*$F3253,2))</f>
        <v/>
      </c>
    </row>
    <row r="3254">
      <c r="B3254" s="7" t="n"/>
      <c r="F3254" s="8" t="n"/>
      <c r="G3254" s="8">
        <f>IF($A3254="",0,ROUND($E3254*$F3254,2))</f>
        <v/>
      </c>
    </row>
    <row r="3255">
      <c r="B3255" s="7" t="n"/>
      <c r="F3255" s="8" t="n"/>
      <c r="G3255" s="8">
        <f>IF($A3255="",0,ROUND($E3255*$F3255,2))</f>
        <v/>
      </c>
    </row>
    <row r="3256">
      <c r="B3256" s="7" t="n"/>
      <c r="F3256" s="8" t="n"/>
      <c r="G3256" s="8">
        <f>IF($A3256="",0,ROUND($E3256*$F3256,2))</f>
        <v/>
      </c>
    </row>
    <row r="3257">
      <c r="B3257" s="7" t="n"/>
      <c r="F3257" s="8" t="n"/>
      <c r="G3257" s="8">
        <f>IF($A3257="",0,ROUND($E3257*$F3257,2))</f>
        <v/>
      </c>
    </row>
    <row r="3258">
      <c r="B3258" s="7" t="n"/>
      <c r="F3258" s="8" t="n"/>
      <c r="G3258" s="8">
        <f>IF($A3258="",0,ROUND($E3258*$F3258,2))</f>
        <v/>
      </c>
    </row>
    <row r="3259">
      <c r="B3259" s="7" t="n"/>
      <c r="F3259" s="8" t="n"/>
      <c r="G3259" s="8">
        <f>IF($A3259="",0,ROUND($E3259*$F3259,2))</f>
        <v/>
      </c>
    </row>
    <row r="3260">
      <c r="B3260" s="7" t="n"/>
      <c r="F3260" s="8" t="n"/>
      <c r="G3260" s="8">
        <f>IF($A3260="",0,ROUND($E3260*$F3260,2))</f>
        <v/>
      </c>
    </row>
    <row r="3261">
      <c r="B3261" s="7" t="n"/>
      <c r="F3261" s="8" t="n"/>
      <c r="G3261" s="8">
        <f>IF($A3261="",0,ROUND($E3261*$F3261,2))</f>
        <v/>
      </c>
    </row>
    <row r="3262">
      <c r="B3262" s="7" t="n"/>
      <c r="F3262" s="8" t="n"/>
      <c r="G3262" s="8">
        <f>IF($A3262="",0,ROUND($E3262*$F3262,2))</f>
        <v/>
      </c>
    </row>
    <row r="3263">
      <c r="B3263" s="7" t="n"/>
      <c r="F3263" s="8" t="n"/>
      <c r="G3263" s="8">
        <f>IF($A3263="",0,ROUND($E3263*$F3263,2))</f>
        <v/>
      </c>
    </row>
    <row r="3264">
      <c r="B3264" s="7" t="n"/>
      <c r="F3264" s="8" t="n"/>
      <c r="G3264" s="8">
        <f>IF($A3264="",0,ROUND($E3264*$F3264,2))</f>
        <v/>
      </c>
    </row>
    <row r="3265">
      <c r="B3265" s="7" t="n"/>
      <c r="F3265" s="8" t="n"/>
      <c r="G3265" s="8">
        <f>IF($A3265="",0,ROUND($E3265*$F3265,2))</f>
        <v/>
      </c>
    </row>
    <row r="3266">
      <c r="B3266" s="7" t="n"/>
      <c r="F3266" s="8" t="n"/>
      <c r="G3266" s="8">
        <f>IF($A3266="",0,ROUND($E3266*$F3266,2))</f>
        <v/>
      </c>
    </row>
    <row r="3267">
      <c r="B3267" s="7" t="n"/>
      <c r="F3267" s="8" t="n"/>
      <c r="G3267" s="8">
        <f>IF($A3267="",0,ROUND($E3267*$F3267,2))</f>
        <v/>
      </c>
    </row>
    <row r="3268">
      <c r="B3268" s="7" t="n"/>
      <c r="F3268" s="8" t="n"/>
      <c r="G3268" s="8">
        <f>IF($A3268="",0,ROUND($E3268*$F3268,2))</f>
        <v/>
      </c>
    </row>
    <row r="3269">
      <c r="B3269" s="7" t="n"/>
      <c r="F3269" s="8" t="n"/>
      <c r="G3269" s="8">
        <f>IF($A3269="",0,ROUND($E3269*$F3269,2))</f>
        <v/>
      </c>
    </row>
    <row r="3270">
      <c r="B3270" s="7" t="n"/>
      <c r="F3270" s="8" t="n"/>
      <c r="G3270" s="8">
        <f>IF($A3270="",0,ROUND($E3270*$F3270,2))</f>
        <v/>
      </c>
    </row>
    <row r="3271">
      <c r="B3271" s="7" t="n"/>
      <c r="F3271" s="8" t="n"/>
      <c r="G3271" s="8">
        <f>IF($A3271="",0,ROUND($E3271*$F3271,2))</f>
        <v/>
      </c>
    </row>
    <row r="3272">
      <c r="B3272" s="7" t="n"/>
      <c r="F3272" s="8" t="n"/>
      <c r="G3272" s="8">
        <f>IF($A3272="",0,ROUND($E3272*$F3272,2))</f>
        <v/>
      </c>
    </row>
    <row r="3273">
      <c r="B3273" s="7" t="n"/>
      <c r="F3273" s="8" t="n"/>
      <c r="G3273" s="8">
        <f>IF($A3273="",0,ROUND($E3273*$F3273,2))</f>
        <v/>
      </c>
    </row>
    <row r="3274">
      <c r="B3274" s="7" t="n"/>
      <c r="F3274" s="8" t="n"/>
      <c r="G3274" s="8">
        <f>IF($A3274="",0,ROUND($E3274*$F3274,2))</f>
        <v/>
      </c>
    </row>
    <row r="3275">
      <c r="B3275" s="7" t="n"/>
      <c r="F3275" s="8" t="n"/>
      <c r="G3275" s="8">
        <f>IF($A3275="",0,ROUND($E3275*$F3275,2))</f>
        <v/>
      </c>
    </row>
    <row r="3276">
      <c r="B3276" s="7" t="n"/>
      <c r="F3276" s="8" t="n"/>
      <c r="G3276" s="8">
        <f>IF($A3276="",0,ROUND($E3276*$F3276,2))</f>
        <v/>
      </c>
    </row>
    <row r="3277">
      <c r="B3277" s="7" t="n"/>
      <c r="F3277" s="8" t="n"/>
      <c r="G3277" s="8">
        <f>IF($A3277="",0,ROUND($E3277*$F3277,2))</f>
        <v/>
      </c>
    </row>
    <row r="3278">
      <c r="B3278" s="7" t="n"/>
      <c r="F3278" s="8" t="n"/>
      <c r="G3278" s="8">
        <f>IF($A3278="",0,ROUND($E3278*$F3278,2))</f>
        <v/>
      </c>
    </row>
    <row r="3279">
      <c r="B3279" s="7" t="n"/>
      <c r="F3279" s="8" t="n"/>
      <c r="G3279" s="8">
        <f>IF($A3279="",0,ROUND($E3279*$F3279,2))</f>
        <v/>
      </c>
    </row>
    <row r="3280">
      <c r="B3280" s="7" t="n"/>
      <c r="F3280" s="8" t="n"/>
      <c r="G3280" s="8">
        <f>IF($A3280="",0,ROUND($E3280*$F3280,2))</f>
        <v/>
      </c>
    </row>
    <row r="3281">
      <c r="B3281" s="7" t="n"/>
      <c r="F3281" s="8" t="n"/>
      <c r="G3281" s="8">
        <f>IF($A3281="",0,ROUND($E3281*$F3281,2))</f>
        <v/>
      </c>
    </row>
    <row r="3282">
      <c r="B3282" s="7" t="n"/>
      <c r="F3282" s="8" t="n"/>
      <c r="G3282" s="8">
        <f>IF($A3282="",0,ROUND($E3282*$F3282,2))</f>
        <v/>
      </c>
    </row>
    <row r="3283">
      <c r="B3283" s="7" t="n"/>
      <c r="F3283" s="8" t="n"/>
      <c r="G3283" s="8">
        <f>IF($A3283="",0,ROUND($E3283*$F3283,2))</f>
        <v/>
      </c>
    </row>
    <row r="3284">
      <c r="B3284" s="7" t="n"/>
      <c r="F3284" s="8" t="n"/>
      <c r="G3284" s="8">
        <f>IF($A3284="",0,ROUND($E3284*$F3284,2))</f>
        <v/>
      </c>
    </row>
    <row r="3285">
      <c r="B3285" s="7" t="n"/>
      <c r="F3285" s="8" t="n"/>
      <c r="G3285" s="8">
        <f>IF($A3285="",0,ROUND($E3285*$F3285,2))</f>
        <v/>
      </c>
    </row>
    <row r="3286">
      <c r="B3286" s="7" t="n"/>
      <c r="F3286" s="8" t="n"/>
      <c r="G3286" s="8">
        <f>IF($A3286="",0,ROUND($E3286*$F3286,2))</f>
        <v/>
      </c>
    </row>
    <row r="3287">
      <c r="B3287" s="7" t="n"/>
      <c r="F3287" s="8" t="n"/>
      <c r="G3287" s="8">
        <f>IF($A3287="",0,ROUND($E3287*$F3287,2))</f>
        <v/>
      </c>
    </row>
    <row r="3288">
      <c r="B3288" s="7" t="n"/>
      <c r="F3288" s="8" t="n"/>
      <c r="G3288" s="8">
        <f>IF($A3288="",0,ROUND($E3288*$F3288,2))</f>
        <v/>
      </c>
    </row>
    <row r="3289">
      <c r="B3289" s="7" t="n"/>
      <c r="F3289" s="8" t="n"/>
      <c r="G3289" s="8">
        <f>IF($A3289="",0,ROUND($E3289*$F3289,2))</f>
        <v/>
      </c>
    </row>
    <row r="3290">
      <c r="B3290" s="7" t="n"/>
      <c r="F3290" s="8" t="n"/>
      <c r="G3290" s="8">
        <f>IF($A3290="",0,ROUND($E3290*$F3290,2))</f>
        <v/>
      </c>
    </row>
    <row r="3291">
      <c r="B3291" s="7" t="n"/>
      <c r="F3291" s="8" t="n"/>
      <c r="G3291" s="8">
        <f>IF($A3291="",0,ROUND($E3291*$F3291,2))</f>
        <v/>
      </c>
    </row>
    <row r="3292">
      <c r="B3292" s="7" t="n"/>
      <c r="F3292" s="8" t="n"/>
      <c r="G3292" s="8">
        <f>IF($A3292="",0,ROUND($E3292*$F3292,2))</f>
        <v/>
      </c>
    </row>
    <row r="3293">
      <c r="B3293" s="7" t="n"/>
      <c r="F3293" s="8" t="n"/>
      <c r="G3293" s="8">
        <f>IF($A3293="",0,ROUND($E3293*$F3293,2))</f>
        <v/>
      </c>
    </row>
    <row r="3294">
      <c r="B3294" s="7" t="n"/>
      <c r="F3294" s="8" t="n"/>
      <c r="G3294" s="8">
        <f>IF($A3294="",0,ROUND($E3294*$F3294,2))</f>
        <v/>
      </c>
    </row>
    <row r="3295">
      <c r="B3295" s="7" t="n"/>
      <c r="F3295" s="8" t="n"/>
      <c r="G3295" s="8">
        <f>IF($A3295="",0,ROUND($E3295*$F3295,2))</f>
        <v/>
      </c>
    </row>
    <row r="3296">
      <c r="B3296" s="7" t="n"/>
      <c r="F3296" s="8" t="n"/>
      <c r="G3296" s="8">
        <f>IF($A3296="",0,ROUND($E3296*$F3296,2))</f>
        <v/>
      </c>
    </row>
    <row r="3297">
      <c r="B3297" s="7" t="n"/>
      <c r="F3297" s="8" t="n"/>
      <c r="G3297" s="8">
        <f>IF($A3297="",0,ROUND($E3297*$F3297,2))</f>
        <v/>
      </c>
    </row>
    <row r="3298">
      <c r="B3298" s="7" t="n"/>
      <c r="F3298" s="8" t="n"/>
      <c r="G3298" s="8">
        <f>IF($A3298="",0,ROUND($E3298*$F3298,2))</f>
        <v/>
      </c>
    </row>
    <row r="3299">
      <c r="B3299" s="7" t="n"/>
      <c r="F3299" s="8" t="n"/>
      <c r="G3299" s="8">
        <f>IF($A3299="",0,ROUND($E3299*$F3299,2))</f>
        <v/>
      </c>
    </row>
    <row r="3300">
      <c r="B3300" s="7" t="n"/>
      <c r="F3300" s="8" t="n"/>
      <c r="G3300" s="8">
        <f>IF($A3300="",0,ROUND($E3300*$F3300,2))</f>
        <v/>
      </c>
    </row>
    <row r="3301">
      <c r="B3301" s="7" t="n"/>
      <c r="F3301" s="8" t="n"/>
      <c r="G3301" s="8">
        <f>IF($A3301="",0,ROUND($E3301*$F3301,2))</f>
        <v/>
      </c>
    </row>
    <row r="3302">
      <c r="B3302" s="7" t="n"/>
      <c r="F3302" s="8" t="n"/>
      <c r="G3302" s="8">
        <f>IF($A3302="",0,ROUND($E3302*$F3302,2))</f>
        <v/>
      </c>
    </row>
    <row r="3303">
      <c r="B3303" s="7" t="n"/>
      <c r="F3303" s="8" t="n"/>
      <c r="G3303" s="8">
        <f>IF($A3303="",0,ROUND($E3303*$F3303,2))</f>
        <v/>
      </c>
    </row>
    <row r="3304">
      <c r="B3304" s="7" t="n"/>
      <c r="F3304" s="8" t="n"/>
      <c r="G3304" s="8">
        <f>IF($A3304="",0,ROUND($E3304*$F3304,2))</f>
        <v/>
      </c>
    </row>
    <row r="3305">
      <c r="B3305" s="7" t="n"/>
      <c r="F3305" s="8" t="n"/>
      <c r="G3305" s="8">
        <f>IF($A3305="",0,ROUND($E3305*$F3305,2))</f>
        <v/>
      </c>
    </row>
    <row r="3306">
      <c r="B3306" s="7" t="n"/>
      <c r="F3306" s="8" t="n"/>
      <c r="G3306" s="8">
        <f>IF($A3306="",0,ROUND($E3306*$F3306,2))</f>
        <v/>
      </c>
    </row>
    <row r="3307">
      <c r="B3307" s="7" t="n"/>
      <c r="F3307" s="8" t="n"/>
      <c r="G3307" s="8">
        <f>IF($A3307="",0,ROUND($E3307*$F3307,2))</f>
        <v/>
      </c>
    </row>
    <row r="3308">
      <c r="B3308" s="7" t="n"/>
      <c r="F3308" s="8" t="n"/>
      <c r="G3308" s="8">
        <f>IF($A3308="",0,ROUND($E3308*$F3308,2))</f>
        <v/>
      </c>
    </row>
    <row r="3309">
      <c r="B3309" s="7" t="n"/>
      <c r="F3309" s="8" t="n"/>
      <c r="G3309" s="8">
        <f>IF($A3309="",0,ROUND($E3309*$F3309,2))</f>
        <v/>
      </c>
    </row>
    <row r="3310">
      <c r="B3310" s="7" t="n"/>
      <c r="F3310" s="8" t="n"/>
      <c r="G3310" s="8">
        <f>IF($A3310="",0,ROUND($E3310*$F3310,2))</f>
        <v/>
      </c>
    </row>
    <row r="3311">
      <c r="B3311" s="7" t="n"/>
      <c r="F3311" s="8" t="n"/>
      <c r="G3311" s="8">
        <f>IF($A3311="",0,ROUND($E3311*$F3311,2))</f>
        <v/>
      </c>
    </row>
    <row r="3312">
      <c r="B3312" s="7" t="n"/>
      <c r="F3312" s="8" t="n"/>
      <c r="G3312" s="8">
        <f>IF($A3312="",0,ROUND($E3312*$F3312,2))</f>
        <v/>
      </c>
    </row>
    <row r="3313">
      <c r="B3313" s="7" t="n"/>
      <c r="F3313" s="8" t="n"/>
      <c r="G3313" s="8">
        <f>IF($A3313="",0,ROUND($E3313*$F3313,2))</f>
        <v/>
      </c>
    </row>
    <row r="3314">
      <c r="B3314" s="7" t="n"/>
      <c r="F3314" s="8" t="n"/>
      <c r="G3314" s="8">
        <f>IF($A3314="",0,ROUND($E3314*$F3314,2))</f>
        <v/>
      </c>
    </row>
    <row r="3315">
      <c r="B3315" s="7" t="n"/>
      <c r="F3315" s="8" t="n"/>
      <c r="G3315" s="8">
        <f>IF($A3315="",0,ROUND($E3315*$F3315,2))</f>
        <v/>
      </c>
    </row>
    <row r="3316">
      <c r="B3316" s="7" t="n"/>
      <c r="F3316" s="8" t="n"/>
      <c r="G3316" s="8">
        <f>IF($A3316="",0,ROUND($E3316*$F3316,2))</f>
        <v/>
      </c>
    </row>
    <row r="3317">
      <c r="B3317" s="7" t="n"/>
      <c r="F3317" s="8" t="n"/>
      <c r="G3317" s="8">
        <f>IF($A3317="",0,ROUND($E3317*$F3317,2))</f>
        <v/>
      </c>
    </row>
    <row r="3318">
      <c r="B3318" s="7" t="n"/>
      <c r="F3318" s="8" t="n"/>
      <c r="G3318" s="8">
        <f>IF($A3318="",0,ROUND($E3318*$F3318,2))</f>
        <v/>
      </c>
    </row>
    <row r="3319">
      <c r="B3319" s="7" t="n"/>
      <c r="F3319" s="8" t="n"/>
      <c r="G3319" s="8">
        <f>IF($A3319="",0,ROUND($E3319*$F3319,2))</f>
        <v/>
      </c>
    </row>
    <row r="3320">
      <c r="B3320" s="7" t="n"/>
      <c r="F3320" s="8" t="n"/>
      <c r="G3320" s="8">
        <f>IF($A3320="",0,ROUND($E3320*$F3320,2))</f>
        <v/>
      </c>
    </row>
    <row r="3321">
      <c r="B3321" s="7" t="n"/>
      <c r="F3321" s="8" t="n"/>
      <c r="G3321" s="8">
        <f>IF($A3321="",0,ROUND($E3321*$F3321,2))</f>
        <v/>
      </c>
    </row>
    <row r="3322">
      <c r="B3322" s="7" t="n"/>
      <c r="F3322" s="8" t="n"/>
      <c r="G3322" s="8">
        <f>IF($A3322="",0,ROUND($E3322*$F3322,2))</f>
        <v/>
      </c>
    </row>
    <row r="3323">
      <c r="B3323" s="7" t="n"/>
      <c r="F3323" s="8" t="n"/>
      <c r="G3323" s="8">
        <f>IF($A3323="",0,ROUND($E3323*$F3323,2))</f>
        <v/>
      </c>
    </row>
    <row r="3324">
      <c r="B3324" s="7" t="n"/>
      <c r="F3324" s="8" t="n"/>
      <c r="G3324" s="8">
        <f>IF($A3324="",0,ROUND($E3324*$F3324,2))</f>
        <v/>
      </c>
    </row>
    <row r="3325">
      <c r="B3325" s="7" t="n"/>
      <c r="F3325" s="8" t="n"/>
      <c r="G3325" s="8">
        <f>IF($A3325="",0,ROUND($E3325*$F3325,2))</f>
        <v/>
      </c>
    </row>
    <row r="3326">
      <c r="B3326" s="7" t="n"/>
      <c r="F3326" s="8" t="n"/>
      <c r="G3326" s="8">
        <f>IF($A3326="",0,ROUND($E3326*$F3326,2))</f>
        <v/>
      </c>
    </row>
    <row r="3327">
      <c r="B3327" s="7" t="n"/>
      <c r="F3327" s="8" t="n"/>
      <c r="G3327" s="8">
        <f>IF($A3327="",0,ROUND($E3327*$F3327,2))</f>
        <v/>
      </c>
    </row>
    <row r="3328">
      <c r="B3328" s="7" t="n"/>
      <c r="F3328" s="8" t="n"/>
      <c r="G3328" s="8">
        <f>IF($A3328="",0,ROUND($E3328*$F3328,2))</f>
        <v/>
      </c>
    </row>
    <row r="3329">
      <c r="B3329" s="7" t="n"/>
      <c r="F3329" s="8" t="n"/>
      <c r="G3329" s="8">
        <f>IF($A3329="",0,ROUND($E3329*$F3329,2))</f>
        <v/>
      </c>
    </row>
    <row r="3330">
      <c r="B3330" s="7" t="n"/>
      <c r="F3330" s="8" t="n"/>
      <c r="G3330" s="8">
        <f>IF($A3330="",0,ROUND($E3330*$F3330,2))</f>
        <v/>
      </c>
    </row>
    <row r="3331">
      <c r="B3331" s="7" t="n"/>
      <c r="F3331" s="8" t="n"/>
      <c r="G3331" s="8">
        <f>IF($A3331="",0,ROUND($E3331*$F3331,2))</f>
        <v/>
      </c>
    </row>
    <row r="3332">
      <c r="B3332" s="7" t="n"/>
      <c r="F3332" s="8" t="n"/>
      <c r="G3332" s="8">
        <f>IF($A3332="",0,ROUND($E3332*$F3332,2))</f>
        <v/>
      </c>
    </row>
    <row r="3333">
      <c r="B3333" s="7" t="n"/>
      <c r="F3333" s="8" t="n"/>
      <c r="G3333" s="8">
        <f>IF($A3333="",0,ROUND($E3333*$F3333,2))</f>
        <v/>
      </c>
    </row>
    <row r="3334">
      <c r="B3334" s="7" t="n"/>
      <c r="F3334" s="8" t="n"/>
      <c r="G3334" s="8">
        <f>IF($A3334="",0,ROUND($E3334*$F3334,2))</f>
        <v/>
      </c>
    </row>
    <row r="3335">
      <c r="B3335" s="7" t="n"/>
      <c r="F3335" s="8" t="n"/>
      <c r="G3335" s="8">
        <f>IF($A3335="",0,ROUND($E3335*$F3335,2))</f>
        <v/>
      </c>
    </row>
    <row r="3336">
      <c r="B3336" s="7" t="n"/>
      <c r="F3336" s="8" t="n"/>
      <c r="G3336" s="8">
        <f>IF($A3336="",0,ROUND($E3336*$F3336,2))</f>
        <v/>
      </c>
    </row>
    <row r="3337">
      <c r="B3337" s="7" t="n"/>
      <c r="F3337" s="8" t="n"/>
      <c r="G3337" s="8">
        <f>IF($A3337="",0,ROUND($E3337*$F3337,2))</f>
        <v/>
      </c>
    </row>
    <row r="3338">
      <c r="B3338" s="7" t="n"/>
      <c r="F3338" s="8" t="n"/>
      <c r="G3338" s="8">
        <f>IF($A3338="",0,ROUND($E3338*$F3338,2))</f>
        <v/>
      </c>
    </row>
    <row r="3339">
      <c r="B3339" s="7" t="n"/>
      <c r="F3339" s="8" t="n"/>
      <c r="G3339" s="8">
        <f>IF($A3339="",0,ROUND($E3339*$F3339,2))</f>
        <v/>
      </c>
    </row>
    <row r="3340">
      <c r="B3340" s="7" t="n"/>
      <c r="F3340" s="8" t="n"/>
      <c r="G3340" s="8">
        <f>IF($A3340="",0,ROUND($E3340*$F3340,2))</f>
        <v/>
      </c>
    </row>
    <row r="3341">
      <c r="B3341" s="7" t="n"/>
      <c r="F3341" s="8" t="n"/>
      <c r="G3341" s="8">
        <f>IF($A3341="",0,ROUND($E3341*$F3341,2))</f>
        <v/>
      </c>
    </row>
    <row r="3342">
      <c r="B3342" s="7" t="n"/>
      <c r="F3342" s="8" t="n"/>
      <c r="G3342" s="8">
        <f>IF($A3342="",0,ROUND($E3342*$F3342,2))</f>
        <v/>
      </c>
    </row>
    <row r="3343">
      <c r="B3343" s="7" t="n"/>
      <c r="F3343" s="8" t="n"/>
      <c r="G3343" s="8">
        <f>IF($A3343="",0,ROUND($E3343*$F3343,2))</f>
        <v/>
      </c>
    </row>
    <row r="3344">
      <c r="B3344" s="7" t="n"/>
      <c r="F3344" s="8" t="n"/>
      <c r="G3344" s="8">
        <f>IF($A3344="",0,ROUND($E3344*$F3344,2))</f>
        <v/>
      </c>
    </row>
    <row r="3345">
      <c r="B3345" s="7" t="n"/>
      <c r="F3345" s="8" t="n"/>
      <c r="G3345" s="8">
        <f>IF($A3345="",0,ROUND($E3345*$F3345,2))</f>
        <v/>
      </c>
    </row>
    <row r="3346">
      <c r="B3346" s="7" t="n"/>
      <c r="F3346" s="8" t="n"/>
      <c r="G3346" s="8">
        <f>IF($A3346="",0,ROUND($E3346*$F3346,2))</f>
        <v/>
      </c>
    </row>
    <row r="3347">
      <c r="B3347" s="7" t="n"/>
      <c r="F3347" s="8" t="n"/>
      <c r="G3347" s="8">
        <f>IF($A3347="",0,ROUND($E3347*$F3347,2))</f>
        <v/>
      </c>
    </row>
    <row r="3348">
      <c r="B3348" s="7" t="n"/>
      <c r="F3348" s="8" t="n"/>
      <c r="G3348" s="8">
        <f>IF($A3348="",0,ROUND($E3348*$F3348,2))</f>
        <v/>
      </c>
    </row>
    <row r="3349">
      <c r="B3349" s="7" t="n"/>
      <c r="F3349" s="8" t="n"/>
      <c r="G3349" s="8">
        <f>IF($A3349="",0,ROUND($E3349*$F3349,2))</f>
        <v/>
      </c>
    </row>
    <row r="3350">
      <c r="B3350" s="7" t="n"/>
      <c r="F3350" s="8" t="n"/>
      <c r="G3350" s="8">
        <f>IF($A3350="",0,ROUND($E3350*$F3350,2))</f>
        <v/>
      </c>
    </row>
    <row r="3351">
      <c r="B3351" s="7" t="n"/>
      <c r="F3351" s="8" t="n"/>
      <c r="G3351" s="8">
        <f>IF($A3351="",0,ROUND($E3351*$F3351,2))</f>
        <v/>
      </c>
    </row>
    <row r="3352">
      <c r="B3352" s="7" t="n"/>
      <c r="F3352" s="8" t="n"/>
      <c r="G3352" s="8">
        <f>IF($A3352="",0,ROUND($E3352*$F3352,2))</f>
        <v/>
      </c>
    </row>
    <row r="3353">
      <c r="B3353" s="7" t="n"/>
      <c r="F3353" s="8" t="n"/>
      <c r="G3353" s="8">
        <f>IF($A3353="",0,ROUND($E3353*$F3353,2))</f>
        <v/>
      </c>
    </row>
    <row r="3354">
      <c r="B3354" s="7" t="n"/>
      <c r="F3354" s="8" t="n"/>
      <c r="G3354" s="8">
        <f>IF($A3354="",0,ROUND($E3354*$F3354,2))</f>
        <v/>
      </c>
    </row>
    <row r="3355">
      <c r="B3355" s="7" t="n"/>
      <c r="F3355" s="8" t="n"/>
      <c r="G3355" s="8">
        <f>IF($A3355="",0,ROUND($E3355*$F3355,2))</f>
        <v/>
      </c>
    </row>
    <row r="3356">
      <c r="B3356" s="7" t="n"/>
      <c r="F3356" s="8" t="n"/>
      <c r="G3356" s="8">
        <f>IF($A3356="",0,ROUND($E3356*$F3356,2))</f>
        <v/>
      </c>
    </row>
    <row r="3357">
      <c r="B3357" s="7" t="n"/>
      <c r="F3357" s="8" t="n"/>
      <c r="G3357" s="8">
        <f>IF($A3357="",0,ROUND($E3357*$F3357,2))</f>
        <v/>
      </c>
    </row>
    <row r="3358">
      <c r="B3358" s="7" t="n"/>
      <c r="F3358" s="8" t="n"/>
      <c r="G3358" s="8">
        <f>IF($A3358="",0,ROUND($E3358*$F3358,2))</f>
        <v/>
      </c>
    </row>
    <row r="3359">
      <c r="B3359" s="7" t="n"/>
      <c r="F3359" s="8" t="n"/>
      <c r="G3359" s="8">
        <f>IF($A3359="",0,ROUND($E3359*$F3359,2))</f>
        <v/>
      </c>
    </row>
    <row r="3360">
      <c r="B3360" s="7" t="n"/>
      <c r="F3360" s="8" t="n"/>
      <c r="G3360" s="8">
        <f>IF($A3360="",0,ROUND($E3360*$F3360,2))</f>
        <v/>
      </c>
    </row>
    <row r="3361">
      <c r="B3361" s="7" t="n"/>
      <c r="F3361" s="8" t="n"/>
      <c r="G3361" s="8">
        <f>IF($A3361="",0,ROUND($E3361*$F3361,2))</f>
        <v/>
      </c>
    </row>
    <row r="3362">
      <c r="B3362" s="7" t="n"/>
      <c r="F3362" s="8" t="n"/>
      <c r="G3362" s="8">
        <f>IF($A3362="",0,ROUND($E3362*$F3362,2))</f>
        <v/>
      </c>
    </row>
    <row r="3363">
      <c r="B3363" s="7" t="n"/>
      <c r="F3363" s="8" t="n"/>
      <c r="G3363" s="8">
        <f>IF($A3363="",0,ROUND($E3363*$F3363,2))</f>
        <v/>
      </c>
    </row>
    <row r="3364">
      <c r="B3364" s="7" t="n"/>
      <c r="F3364" s="8" t="n"/>
      <c r="G3364" s="8">
        <f>IF($A3364="",0,ROUND($E3364*$F3364,2))</f>
        <v/>
      </c>
    </row>
    <row r="3365">
      <c r="B3365" s="7" t="n"/>
      <c r="F3365" s="8" t="n"/>
      <c r="G3365" s="8">
        <f>IF($A3365="",0,ROUND($E3365*$F3365,2))</f>
        <v/>
      </c>
    </row>
    <row r="3366">
      <c r="B3366" s="7" t="n"/>
      <c r="F3366" s="8" t="n"/>
      <c r="G3366" s="8">
        <f>IF($A3366="",0,ROUND($E3366*$F3366,2))</f>
        <v/>
      </c>
    </row>
    <row r="3367">
      <c r="B3367" s="7" t="n"/>
      <c r="F3367" s="8" t="n"/>
      <c r="G3367" s="8">
        <f>IF($A3367="",0,ROUND($E3367*$F3367,2))</f>
        <v/>
      </c>
    </row>
    <row r="3368">
      <c r="B3368" s="7" t="n"/>
      <c r="F3368" s="8" t="n"/>
      <c r="G3368" s="8">
        <f>IF($A3368="",0,ROUND($E3368*$F3368,2))</f>
        <v/>
      </c>
    </row>
    <row r="3369">
      <c r="B3369" s="7" t="n"/>
      <c r="F3369" s="8" t="n"/>
      <c r="G3369" s="8">
        <f>IF($A3369="",0,ROUND($E3369*$F3369,2))</f>
        <v/>
      </c>
    </row>
    <row r="3370">
      <c r="B3370" s="7" t="n"/>
      <c r="F3370" s="8" t="n"/>
      <c r="G3370" s="8">
        <f>IF($A3370="",0,ROUND($E3370*$F3370,2))</f>
        <v/>
      </c>
    </row>
    <row r="3371">
      <c r="B3371" s="7" t="n"/>
      <c r="F3371" s="8" t="n"/>
      <c r="G3371" s="8">
        <f>IF($A3371="",0,ROUND($E3371*$F3371,2))</f>
        <v/>
      </c>
    </row>
    <row r="3372">
      <c r="B3372" s="7" t="n"/>
      <c r="F3372" s="8" t="n"/>
      <c r="G3372" s="8">
        <f>IF($A3372="",0,ROUND($E3372*$F3372,2))</f>
        <v/>
      </c>
    </row>
    <row r="3373">
      <c r="B3373" s="7" t="n"/>
      <c r="F3373" s="8" t="n"/>
      <c r="G3373" s="8">
        <f>IF($A3373="",0,ROUND($E3373*$F3373,2))</f>
        <v/>
      </c>
    </row>
    <row r="3374">
      <c r="B3374" s="7" t="n"/>
      <c r="F3374" s="8" t="n"/>
      <c r="G3374" s="8">
        <f>IF($A3374="",0,ROUND($E3374*$F3374,2))</f>
        <v/>
      </c>
    </row>
    <row r="3375">
      <c r="B3375" s="7" t="n"/>
      <c r="F3375" s="8" t="n"/>
      <c r="G3375" s="8">
        <f>IF($A3375="",0,ROUND($E3375*$F3375,2))</f>
        <v/>
      </c>
    </row>
    <row r="3376">
      <c r="B3376" s="7" t="n"/>
      <c r="F3376" s="8" t="n"/>
      <c r="G3376" s="8">
        <f>IF($A3376="",0,ROUND($E3376*$F3376,2))</f>
        <v/>
      </c>
    </row>
    <row r="3377">
      <c r="B3377" s="7" t="n"/>
      <c r="F3377" s="8" t="n"/>
      <c r="G3377" s="8">
        <f>IF($A3377="",0,ROUND($E3377*$F3377,2))</f>
        <v/>
      </c>
    </row>
    <row r="3378">
      <c r="B3378" s="7" t="n"/>
      <c r="F3378" s="8" t="n"/>
      <c r="G3378" s="8">
        <f>IF($A3378="",0,ROUND($E3378*$F3378,2))</f>
        <v/>
      </c>
    </row>
    <row r="3379">
      <c r="B3379" s="7" t="n"/>
      <c r="F3379" s="8" t="n"/>
      <c r="G3379" s="8">
        <f>IF($A3379="",0,ROUND($E3379*$F3379,2))</f>
        <v/>
      </c>
    </row>
    <row r="3380">
      <c r="B3380" s="7" t="n"/>
      <c r="F3380" s="8" t="n"/>
      <c r="G3380" s="8">
        <f>IF($A3380="",0,ROUND($E3380*$F3380,2))</f>
        <v/>
      </c>
    </row>
    <row r="3381">
      <c r="B3381" s="7" t="n"/>
      <c r="F3381" s="8" t="n"/>
      <c r="G3381" s="8">
        <f>IF($A3381="",0,ROUND($E3381*$F3381,2))</f>
        <v/>
      </c>
    </row>
    <row r="3382">
      <c r="B3382" s="7" t="n"/>
      <c r="F3382" s="8" t="n"/>
      <c r="G3382" s="8">
        <f>IF($A3382="",0,ROUND($E3382*$F3382,2))</f>
        <v/>
      </c>
    </row>
    <row r="3383">
      <c r="B3383" s="7" t="n"/>
      <c r="F3383" s="8" t="n"/>
      <c r="G3383" s="8">
        <f>IF($A3383="",0,ROUND($E3383*$F3383,2))</f>
        <v/>
      </c>
    </row>
    <row r="3384">
      <c r="B3384" s="7" t="n"/>
      <c r="F3384" s="8" t="n"/>
      <c r="G3384" s="8">
        <f>IF($A3384="",0,ROUND($E3384*$F3384,2))</f>
        <v/>
      </c>
    </row>
    <row r="3385">
      <c r="B3385" s="7" t="n"/>
      <c r="F3385" s="8" t="n"/>
      <c r="G3385" s="8">
        <f>IF($A3385="",0,ROUND($E3385*$F3385,2))</f>
        <v/>
      </c>
    </row>
    <row r="3386">
      <c r="B3386" s="7" t="n"/>
      <c r="F3386" s="8" t="n"/>
      <c r="G3386" s="8">
        <f>IF($A3386="",0,ROUND($E3386*$F3386,2))</f>
        <v/>
      </c>
    </row>
    <row r="3387">
      <c r="B3387" s="7" t="n"/>
      <c r="F3387" s="8" t="n"/>
      <c r="G3387" s="8">
        <f>IF($A3387="",0,ROUND($E3387*$F3387,2))</f>
        <v/>
      </c>
    </row>
    <row r="3388">
      <c r="B3388" s="7" t="n"/>
      <c r="F3388" s="8" t="n"/>
      <c r="G3388" s="8">
        <f>IF($A3388="",0,ROUND($E3388*$F3388,2))</f>
        <v/>
      </c>
    </row>
    <row r="3389">
      <c r="B3389" s="7" t="n"/>
      <c r="F3389" s="8" t="n"/>
      <c r="G3389" s="8">
        <f>IF($A3389="",0,ROUND($E3389*$F3389,2))</f>
        <v/>
      </c>
    </row>
    <row r="3390">
      <c r="B3390" s="7" t="n"/>
      <c r="F3390" s="8" t="n"/>
      <c r="G3390" s="8">
        <f>IF($A3390="",0,ROUND($E3390*$F3390,2))</f>
        <v/>
      </c>
    </row>
    <row r="3391">
      <c r="B3391" s="7" t="n"/>
      <c r="F3391" s="8" t="n"/>
      <c r="G3391" s="8">
        <f>IF($A3391="",0,ROUND($E3391*$F3391,2))</f>
        <v/>
      </c>
    </row>
    <row r="3392">
      <c r="B3392" s="7" t="n"/>
      <c r="F3392" s="8" t="n"/>
      <c r="G3392" s="8">
        <f>IF($A3392="",0,ROUND($E3392*$F3392,2))</f>
        <v/>
      </c>
    </row>
    <row r="3393">
      <c r="B3393" s="7" t="n"/>
      <c r="F3393" s="8" t="n"/>
      <c r="G3393" s="8">
        <f>IF($A3393="",0,ROUND($E3393*$F3393,2))</f>
        <v/>
      </c>
    </row>
    <row r="3394">
      <c r="B3394" s="7" t="n"/>
      <c r="F3394" s="8" t="n"/>
      <c r="G3394" s="8">
        <f>IF($A3394="",0,ROUND($E3394*$F3394,2))</f>
        <v/>
      </c>
    </row>
    <row r="3395">
      <c r="B3395" s="7" t="n"/>
      <c r="F3395" s="8" t="n"/>
      <c r="G3395" s="8">
        <f>IF($A3395="",0,ROUND($E3395*$F3395,2))</f>
        <v/>
      </c>
    </row>
    <row r="3396">
      <c r="B3396" s="7" t="n"/>
      <c r="F3396" s="8" t="n"/>
      <c r="G3396" s="8">
        <f>IF($A3396="",0,ROUND($E3396*$F3396,2))</f>
        <v/>
      </c>
    </row>
    <row r="3397">
      <c r="B3397" s="7" t="n"/>
      <c r="F3397" s="8" t="n"/>
      <c r="G3397" s="8">
        <f>IF($A3397="",0,ROUND($E3397*$F3397,2))</f>
        <v/>
      </c>
    </row>
    <row r="3398">
      <c r="B3398" s="7" t="n"/>
      <c r="F3398" s="8" t="n"/>
      <c r="G3398" s="8">
        <f>IF($A3398="",0,ROUND($E3398*$F3398,2))</f>
        <v/>
      </c>
    </row>
    <row r="3399">
      <c r="B3399" s="7" t="n"/>
      <c r="F3399" s="8" t="n"/>
      <c r="G3399" s="8">
        <f>IF($A3399="",0,ROUND($E3399*$F3399,2))</f>
        <v/>
      </c>
    </row>
    <row r="3400">
      <c r="B3400" s="7" t="n"/>
      <c r="F3400" s="8" t="n"/>
      <c r="G3400" s="8">
        <f>IF($A3400="",0,ROUND($E3400*$F3400,2))</f>
        <v/>
      </c>
    </row>
    <row r="3401">
      <c r="B3401" s="7" t="n"/>
      <c r="F3401" s="8" t="n"/>
      <c r="G3401" s="8">
        <f>IF($A3401="",0,ROUND($E3401*$F3401,2))</f>
        <v/>
      </c>
    </row>
    <row r="3402">
      <c r="B3402" s="7" t="n"/>
      <c r="F3402" s="8" t="n"/>
      <c r="G3402" s="8">
        <f>IF($A3402="",0,ROUND($E3402*$F3402,2))</f>
        <v/>
      </c>
    </row>
    <row r="3403">
      <c r="B3403" s="7" t="n"/>
      <c r="F3403" s="8" t="n"/>
      <c r="G3403" s="8">
        <f>IF($A3403="",0,ROUND($E3403*$F3403,2))</f>
        <v/>
      </c>
    </row>
    <row r="3404">
      <c r="B3404" s="7" t="n"/>
      <c r="F3404" s="8" t="n"/>
      <c r="G3404" s="8">
        <f>IF($A3404="",0,ROUND($E3404*$F3404,2))</f>
        <v/>
      </c>
    </row>
    <row r="3405">
      <c r="B3405" s="7" t="n"/>
      <c r="F3405" s="8" t="n"/>
      <c r="G3405" s="8">
        <f>IF($A3405="",0,ROUND($E3405*$F3405,2))</f>
        <v/>
      </c>
    </row>
    <row r="3406">
      <c r="B3406" s="7" t="n"/>
      <c r="F3406" s="8" t="n"/>
      <c r="G3406" s="8">
        <f>IF($A3406="",0,ROUND($E3406*$F3406,2))</f>
        <v/>
      </c>
    </row>
    <row r="3407">
      <c r="B3407" s="7" t="n"/>
      <c r="F3407" s="8" t="n"/>
      <c r="G3407" s="8">
        <f>IF($A3407="",0,ROUND($E3407*$F3407,2))</f>
        <v/>
      </c>
    </row>
    <row r="3408">
      <c r="B3408" s="7" t="n"/>
      <c r="F3408" s="8" t="n"/>
      <c r="G3408" s="8">
        <f>IF($A3408="",0,ROUND($E3408*$F3408,2))</f>
        <v/>
      </c>
    </row>
    <row r="3409">
      <c r="B3409" s="7" t="n"/>
      <c r="F3409" s="8" t="n"/>
      <c r="G3409" s="8">
        <f>IF($A3409="",0,ROUND($E3409*$F3409,2))</f>
        <v/>
      </c>
    </row>
    <row r="3410">
      <c r="B3410" s="7" t="n"/>
      <c r="F3410" s="8" t="n"/>
      <c r="G3410" s="8">
        <f>IF($A3410="",0,ROUND($E3410*$F3410,2))</f>
        <v/>
      </c>
    </row>
    <row r="3411">
      <c r="B3411" s="7" t="n"/>
      <c r="F3411" s="8" t="n"/>
      <c r="G3411" s="8">
        <f>IF($A3411="",0,ROUND($E3411*$F3411,2))</f>
        <v/>
      </c>
    </row>
    <row r="3412">
      <c r="B3412" s="7" t="n"/>
      <c r="F3412" s="8" t="n"/>
      <c r="G3412" s="8">
        <f>IF($A3412="",0,ROUND($E3412*$F3412,2))</f>
        <v/>
      </c>
    </row>
    <row r="3413">
      <c r="B3413" s="7" t="n"/>
      <c r="F3413" s="8" t="n"/>
      <c r="G3413" s="8">
        <f>IF($A3413="",0,ROUND($E3413*$F3413,2))</f>
        <v/>
      </c>
    </row>
    <row r="3414">
      <c r="B3414" s="7" t="n"/>
      <c r="F3414" s="8" t="n"/>
      <c r="G3414" s="8">
        <f>IF($A3414="",0,ROUND($E3414*$F3414,2))</f>
        <v/>
      </c>
    </row>
    <row r="3415">
      <c r="B3415" s="7" t="n"/>
      <c r="F3415" s="8" t="n"/>
      <c r="G3415" s="8">
        <f>IF($A3415="",0,ROUND($E3415*$F3415,2))</f>
        <v/>
      </c>
    </row>
    <row r="3416">
      <c r="B3416" s="7" t="n"/>
      <c r="F3416" s="8" t="n"/>
      <c r="G3416" s="8">
        <f>IF($A3416="",0,ROUND($E3416*$F3416,2))</f>
        <v/>
      </c>
    </row>
    <row r="3417">
      <c r="B3417" s="7" t="n"/>
      <c r="F3417" s="8" t="n"/>
      <c r="G3417" s="8">
        <f>IF($A3417="",0,ROUND($E3417*$F3417,2))</f>
        <v/>
      </c>
    </row>
    <row r="3418">
      <c r="B3418" s="7" t="n"/>
      <c r="F3418" s="8" t="n"/>
      <c r="G3418" s="8">
        <f>IF($A3418="",0,ROUND($E3418*$F3418,2))</f>
        <v/>
      </c>
    </row>
    <row r="3419">
      <c r="B3419" s="7" t="n"/>
      <c r="F3419" s="8" t="n"/>
      <c r="G3419" s="8">
        <f>IF($A3419="",0,ROUND($E3419*$F3419,2))</f>
        <v/>
      </c>
    </row>
    <row r="3420">
      <c r="B3420" s="7" t="n"/>
      <c r="F3420" s="8" t="n"/>
      <c r="G3420" s="8">
        <f>IF($A3420="",0,ROUND($E3420*$F3420,2))</f>
        <v/>
      </c>
    </row>
    <row r="3421">
      <c r="B3421" s="7" t="n"/>
      <c r="F3421" s="8" t="n"/>
      <c r="G3421" s="8">
        <f>IF($A3421="",0,ROUND($E3421*$F3421,2))</f>
        <v/>
      </c>
    </row>
    <row r="3422">
      <c r="B3422" s="7" t="n"/>
      <c r="F3422" s="8" t="n"/>
      <c r="G3422" s="8">
        <f>IF($A3422="",0,ROUND($E3422*$F3422,2))</f>
        <v/>
      </c>
    </row>
    <row r="3423">
      <c r="B3423" s="7" t="n"/>
      <c r="F3423" s="8" t="n"/>
      <c r="G3423" s="8">
        <f>IF($A3423="",0,ROUND($E3423*$F3423,2))</f>
        <v/>
      </c>
    </row>
    <row r="3424">
      <c r="B3424" s="7" t="n"/>
      <c r="F3424" s="8" t="n"/>
      <c r="G3424" s="8">
        <f>IF($A3424="",0,ROUND($E3424*$F3424,2))</f>
        <v/>
      </c>
    </row>
    <row r="3425">
      <c r="B3425" s="7" t="n"/>
      <c r="F3425" s="8" t="n"/>
      <c r="G3425" s="8">
        <f>IF($A3425="",0,ROUND($E3425*$F3425,2))</f>
        <v/>
      </c>
    </row>
    <row r="3426">
      <c r="B3426" s="7" t="n"/>
      <c r="F3426" s="8" t="n"/>
      <c r="G3426" s="8">
        <f>IF($A3426="",0,ROUND($E3426*$F3426,2))</f>
        <v/>
      </c>
    </row>
    <row r="3427">
      <c r="B3427" s="7" t="n"/>
      <c r="F3427" s="8" t="n"/>
      <c r="G3427" s="8">
        <f>IF($A3427="",0,ROUND($E3427*$F3427,2))</f>
        <v/>
      </c>
    </row>
    <row r="3428">
      <c r="B3428" s="7" t="n"/>
      <c r="F3428" s="8" t="n"/>
      <c r="G3428" s="8">
        <f>IF($A3428="",0,ROUND($E3428*$F3428,2))</f>
        <v/>
      </c>
    </row>
    <row r="3429">
      <c r="B3429" s="7" t="n"/>
      <c r="F3429" s="8" t="n"/>
      <c r="G3429" s="8">
        <f>IF($A3429="",0,ROUND($E3429*$F3429,2))</f>
        <v/>
      </c>
    </row>
    <row r="3430">
      <c r="B3430" s="7" t="n"/>
      <c r="F3430" s="8" t="n"/>
      <c r="G3430" s="8">
        <f>IF($A3430="",0,ROUND($E3430*$F3430,2))</f>
        <v/>
      </c>
    </row>
    <row r="3431">
      <c r="B3431" s="7" t="n"/>
      <c r="F3431" s="8" t="n"/>
      <c r="G3431" s="8">
        <f>IF($A3431="",0,ROUND($E3431*$F3431,2))</f>
        <v/>
      </c>
    </row>
    <row r="3432">
      <c r="B3432" s="7" t="n"/>
      <c r="F3432" s="8" t="n"/>
      <c r="G3432" s="8">
        <f>IF($A3432="",0,ROUND($E3432*$F3432,2))</f>
        <v/>
      </c>
    </row>
    <row r="3433">
      <c r="B3433" s="7" t="n"/>
      <c r="F3433" s="8" t="n"/>
      <c r="G3433" s="8">
        <f>IF($A3433="",0,ROUND($E3433*$F3433,2))</f>
        <v/>
      </c>
    </row>
    <row r="3434">
      <c r="B3434" s="7" t="n"/>
      <c r="F3434" s="8" t="n"/>
      <c r="G3434" s="8">
        <f>IF($A3434="",0,ROUND($E3434*$F3434,2))</f>
        <v/>
      </c>
    </row>
    <row r="3435">
      <c r="B3435" s="7" t="n"/>
      <c r="F3435" s="8" t="n"/>
      <c r="G3435" s="8">
        <f>IF($A3435="",0,ROUND($E3435*$F3435,2))</f>
        <v/>
      </c>
    </row>
    <row r="3436">
      <c r="B3436" s="7" t="n"/>
      <c r="F3436" s="8" t="n"/>
      <c r="G3436" s="8">
        <f>IF($A3436="",0,ROUND($E3436*$F3436,2))</f>
        <v/>
      </c>
    </row>
    <row r="3437">
      <c r="B3437" s="7" t="n"/>
      <c r="F3437" s="8" t="n"/>
      <c r="G3437" s="8">
        <f>IF($A3437="",0,ROUND($E3437*$F3437,2))</f>
        <v/>
      </c>
    </row>
    <row r="3438">
      <c r="B3438" s="7" t="n"/>
      <c r="F3438" s="8" t="n"/>
      <c r="G3438" s="8">
        <f>IF($A3438="",0,ROUND($E3438*$F3438,2))</f>
        <v/>
      </c>
    </row>
    <row r="3439">
      <c r="B3439" s="7" t="n"/>
      <c r="F3439" s="8" t="n"/>
      <c r="G3439" s="8">
        <f>IF($A3439="",0,ROUND($E3439*$F3439,2))</f>
        <v/>
      </c>
    </row>
    <row r="3440">
      <c r="B3440" s="7" t="n"/>
      <c r="F3440" s="8" t="n"/>
      <c r="G3440" s="8">
        <f>IF($A3440="",0,ROUND($E3440*$F3440,2))</f>
        <v/>
      </c>
    </row>
    <row r="3441">
      <c r="B3441" s="7" t="n"/>
      <c r="F3441" s="8" t="n"/>
      <c r="G3441" s="8">
        <f>IF($A3441="",0,ROUND($E3441*$F3441,2))</f>
        <v/>
      </c>
    </row>
    <row r="3442">
      <c r="B3442" s="7" t="n"/>
      <c r="F3442" s="8" t="n"/>
      <c r="G3442" s="8">
        <f>IF($A3442="",0,ROUND($E3442*$F3442,2))</f>
        <v/>
      </c>
    </row>
    <row r="3443">
      <c r="B3443" s="7" t="n"/>
      <c r="F3443" s="8" t="n"/>
      <c r="G3443" s="8">
        <f>IF($A3443="",0,ROUND($E3443*$F3443,2))</f>
        <v/>
      </c>
    </row>
    <row r="3444">
      <c r="B3444" s="7" t="n"/>
      <c r="F3444" s="8" t="n"/>
      <c r="G3444" s="8">
        <f>IF($A3444="",0,ROUND($E3444*$F3444,2))</f>
        <v/>
      </c>
    </row>
    <row r="3445">
      <c r="B3445" s="7" t="n"/>
      <c r="F3445" s="8" t="n"/>
      <c r="G3445" s="8">
        <f>IF($A3445="",0,ROUND($E3445*$F3445,2))</f>
        <v/>
      </c>
    </row>
    <row r="3446">
      <c r="B3446" s="7" t="n"/>
      <c r="F3446" s="8" t="n"/>
      <c r="G3446" s="8">
        <f>IF($A3446="",0,ROUND($E3446*$F3446,2))</f>
        <v/>
      </c>
    </row>
    <row r="3447">
      <c r="B3447" s="7" t="n"/>
      <c r="F3447" s="8" t="n"/>
      <c r="G3447" s="8">
        <f>IF($A3447="",0,ROUND($E3447*$F3447,2))</f>
        <v/>
      </c>
    </row>
    <row r="3448">
      <c r="B3448" s="7" t="n"/>
      <c r="F3448" s="8" t="n"/>
      <c r="G3448" s="8">
        <f>IF($A3448="",0,ROUND($E3448*$F3448,2))</f>
        <v/>
      </c>
    </row>
    <row r="3449">
      <c r="B3449" s="7" t="n"/>
      <c r="F3449" s="8" t="n"/>
      <c r="G3449" s="8">
        <f>IF($A3449="",0,ROUND($E3449*$F3449,2))</f>
        <v/>
      </c>
    </row>
    <row r="3450">
      <c r="B3450" s="7" t="n"/>
      <c r="F3450" s="8" t="n"/>
      <c r="G3450" s="8">
        <f>IF($A3450="",0,ROUND($E3450*$F3450,2))</f>
        <v/>
      </c>
    </row>
    <row r="3451">
      <c r="B3451" s="7" t="n"/>
      <c r="F3451" s="8" t="n"/>
      <c r="G3451" s="8">
        <f>IF($A3451="",0,ROUND($E3451*$F3451,2))</f>
        <v/>
      </c>
    </row>
    <row r="3452">
      <c r="B3452" s="7" t="n"/>
      <c r="F3452" s="8" t="n"/>
      <c r="G3452" s="8">
        <f>IF($A3452="",0,ROUND($E3452*$F3452,2))</f>
        <v/>
      </c>
    </row>
    <row r="3453">
      <c r="B3453" s="7" t="n"/>
      <c r="F3453" s="8" t="n"/>
      <c r="G3453" s="8">
        <f>IF($A3453="",0,ROUND($E3453*$F3453,2))</f>
        <v/>
      </c>
    </row>
    <row r="3454">
      <c r="B3454" s="7" t="n"/>
      <c r="F3454" s="8" t="n"/>
      <c r="G3454" s="8">
        <f>IF($A3454="",0,ROUND($E3454*$F3454,2))</f>
        <v/>
      </c>
    </row>
    <row r="3455">
      <c r="B3455" s="7" t="n"/>
      <c r="F3455" s="8" t="n"/>
      <c r="G3455" s="8">
        <f>IF($A3455="",0,ROUND($E3455*$F3455,2))</f>
        <v/>
      </c>
    </row>
    <row r="3456">
      <c r="B3456" s="7" t="n"/>
      <c r="F3456" s="8" t="n"/>
      <c r="G3456" s="8">
        <f>IF($A3456="",0,ROUND($E3456*$F3456,2))</f>
        <v/>
      </c>
    </row>
    <row r="3457">
      <c r="B3457" s="7" t="n"/>
      <c r="F3457" s="8" t="n"/>
      <c r="G3457" s="8">
        <f>IF($A3457="",0,ROUND($E3457*$F3457,2))</f>
        <v/>
      </c>
    </row>
    <row r="3458">
      <c r="B3458" s="7" t="n"/>
      <c r="F3458" s="8" t="n"/>
      <c r="G3458" s="8">
        <f>IF($A3458="",0,ROUND($E3458*$F3458,2))</f>
        <v/>
      </c>
    </row>
    <row r="3459">
      <c r="B3459" s="7" t="n"/>
      <c r="F3459" s="8" t="n"/>
      <c r="G3459" s="8">
        <f>IF($A3459="",0,ROUND($E3459*$F3459,2))</f>
        <v/>
      </c>
    </row>
    <row r="3460">
      <c r="B3460" s="7" t="n"/>
      <c r="F3460" s="8" t="n"/>
      <c r="G3460" s="8">
        <f>IF($A3460="",0,ROUND($E3460*$F3460,2))</f>
        <v/>
      </c>
    </row>
    <row r="3461">
      <c r="B3461" s="7" t="n"/>
      <c r="F3461" s="8" t="n"/>
      <c r="G3461" s="8">
        <f>IF($A3461="",0,ROUND($E3461*$F3461,2))</f>
        <v/>
      </c>
    </row>
    <row r="3462">
      <c r="B3462" s="7" t="n"/>
      <c r="F3462" s="8" t="n"/>
      <c r="G3462" s="8">
        <f>IF($A3462="",0,ROUND($E3462*$F3462,2))</f>
        <v/>
      </c>
    </row>
    <row r="3463">
      <c r="B3463" s="7" t="n"/>
      <c r="F3463" s="8" t="n"/>
      <c r="G3463" s="8">
        <f>IF($A3463="",0,ROUND($E3463*$F3463,2))</f>
        <v/>
      </c>
    </row>
    <row r="3464">
      <c r="B3464" s="7" t="n"/>
      <c r="F3464" s="8" t="n"/>
      <c r="G3464" s="8">
        <f>IF($A3464="",0,ROUND($E3464*$F3464,2))</f>
        <v/>
      </c>
    </row>
    <row r="3465">
      <c r="B3465" s="7" t="n"/>
      <c r="F3465" s="8" t="n"/>
      <c r="G3465" s="8">
        <f>IF($A3465="",0,ROUND($E3465*$F3465,2))</f>
        <v/>
      </c>
    </row>
    <row r="3466">
      <c r="B3466" s="7" t="n"/>
      <c r="F3466" s="8" t="n"/>
      <c r="G3466" s="8">
        <f>IF($A3466="",0,ROUND($E3466*$F3466,2))</f>
        <v/>
      </c>
    </row>
    <row r="3467">
      <c r="B3467" s="7" t="n"/>
      <c r="F3467" s="8" t="n"/>
      <c r="G3467" s="8">
        <f>IF($A3467="",0,ROUND($E3467*$F3467,2))</f>
        <v/>
      </c>
    </row>
    <row r="3468">
      <c r="B3468" s="7" t="n"/>
      <c r="F3468" s="8" t="n"/>
      <c r="G3468" s="8">
        <f>IF($A3468="",0,ROUND($E3468*$F3468,2))</f>
        <v/>
      </c>
    </row>
    <row r="3469">
      <c r="B3469" s="7" t="n"/>
      <c r="F3469" s="8" t="n"/>
      <c r="G3469" s="8">
        <f>IF($A3469="",0,ROUND($E3469*$F3469,2))</f>
        <v/>
      </c>
    </row>
    <row r="3470">
      <c r="B3470" s="7" t="n"/>
      <c r="F3470" s="8" t="n"/>
      <c r="G3470" s="8">
        <f>IF($A3470="",0,ROUND($E3470*$F3470,2))</f>
        <v/>
      </c>
    </row>
    <row r="3471">
      <c r="B3471" s="7" t="n"/>
      <c r="F3471" s="8" t="n"/>
      <c r="G3471" s="8">
        <f>IF($A3471="",0,ROUND($E3471*$F3471,2))</f>
        <v/>
      </c>
    </row>
    <row r="3472">
      <c r="B3472" s="7" t="n"/>
      <c r="F3472" s="8" t="n"/>
      <c r="G3472" s="8">
        <f>IF($A3472="",0,ROUND($E3472*$F3472,2))</f>
        <v/>
      </c>
    </row>
    <row r="3473">
      <c r="B3473" s="7" t="n"/>
      <c r="F3473" s="8" t="n"/>
      <c r="G3473" s="8">
        <f>IF($A3473="",0,ROUND($E3473*$F3473,2))</f>
        <v/>
      </c>
    </row>
    <row r="3474">
      <c r="B3474" s="7" t="n"/>
      <c r="F3474" s="8" t="n"/>
      <c r="G3474" s="8">
        <f>IF($A3474="",0,ROUND($E3474*$F3474,2))</f>
        <v/>
      </c>
    </row>
    <row r="3475">
      <c r="B3475" s="7" t="n"/>
      <c r="F3475" s="8" t="n"/>
      <c r="G3475" s="8">
        <f>IF($A3475="",0,ROUND($E3475*$F3475,2))</f>
        <v/>
      </c>
    </row>
    <row r="3476">
      <c r="B3476" s="7" t="n"/>
      <c r="F3476" s="8" t="n"/>
      <c r="G3476" s="8">
        <f>IF($A3476="",0,ROUND($E3476*$F3476,2))</f>
        <v/>
      </c>
    </row>
    <row r="3477">
      <c r="B3477" s="7" t="n"/>
      <c r="F3477" s="8" t="n"/>
      <c r="G3477" s="8">
        <f>IF($A3477="",0,ROUND($E3477*$F3477,2))</f>
        <v/>
      </c>
    </row>
    <row r="3478">
      <c r="B3478" s="7" t="n"/>
      <c r="F3478" s="8" t="n"/>
      <c r="G3478" s="8">
        <f>IF($A3478="",0,ROUND($E3478*$F3478,2))</f>
        <v/>
      </c>
    </row>
    <row r="3479">
      <c r="B3479" s="7" t="n"/>
      <c r="F3479" s="8" t="n"/>
      <c r="G3479" s="8">
        <f>IF($A3479="",0,ROUND($E3479*$F3479,2))</f>
        <v/>
      </c>
    </row>
    <row r="3480">
      <c r="B3480" s="7" t="n"/>
      <c r="F3480" s="8" t="n"/>
      <c r="G3480" s="8">
        <f>IF($A3480="",0,ROUND($E3480*$F3480,2))</f>
        <v/>
      </c>
    </row>
    <row r="3481">
      <c r="B3481" s="7" t="n"/>
      <c r="F3481" s="8" t="n"/>
      <c r="G3481" s="8">
        <f>IF($A3481="",0,ROUND($E3481*$F3481,2))</f>
        <v/>
      </c>
    </row>
    <row r="3482">
      <c r="B3482" s="7" t="n"/>
      <c r="F3482" s="8" t="n"/>
      <c r="G3482" s="8">
        <f>IF($A3482="",0,ROUND($E3482*$F3482,2))</f>
        <v/>
      </c>
    </row>
    <row r="3483">
      <c r="B3483" s="7" t="n"/>
      <c r="F3483" s="8" t="n"/>
      <c r="G3483" s="8">
        <f>IF($A3483="",0,ROUND($E3483*$F3483,2))</f>
        <v/>
      </c>
    </row>
    <row r="3484">
      <c r="B3484" s="7" t="n"/>
      <c r="F3484" s="8" t="n"/>
      <c r="G3484" s="8">
        <f>IF($A3484="",0,ROUND($E3484*$F3484,2))</f>
        <v/>
      </c>
    </row>
    <row r="3485">
      <c r="B3485" s="7" t="n"/>
      <c r="F3485" s="8" t="n"/>
      <c r="G3485" s="8">
        <f>IF($A3485="",0,ROUND($E3485*$F3485,2))</f>
        <v/>
      </c>
    </row>
    <row r="3486">
      <c r="B3486" s="7" t="n"/>
      <c r="F3486" s="8" t="n"/>
      <c r="G3486" s="8">
        <f>IF($A3486="",0,ROUND($E3486*$F3486,2))</f>
        <v/>
      </c>
    </row>
    <row r="3487">
      <c r="B3487" s="7" t="n"/>
      <c r="F3487" s="8" t="n"/>
      <c r="G3487" s="8">
        <f>IF($A3487="",0,ROUND($E3487*$F3487,2))</f>
        <v/>
      </c>
    </row>
    <row r="3488">
      <c r="B3488" s="7" t="n"/>
      <c r="F3488" s="8" t="n"/>
      <c r="G3488" s="8">
        <f>IF($A3488="",0,ROUND($E3488*$F3488,2))</f>
        <v/>
      </c>
    </row>
    <row r="3489">
      <c r="B3489" s="7" t="n"/>
      <c r="F3489" s="8" t="n"/>
      <c r="G3489" s="8">
        <f>IF($A3489="",0,ROUND($E3489*$F3489,2))</f>
        <v/>
      </c>
    </row>
    <row r="3490">
      <c r="B3490" s="7" t="n"/>
      <c r="F3490" s="8" t="n"/>
      <c r="G3490" s="8">
        <f>IF($A3490="",0,ROUND($E3490*$F3490,2))</f>
        <v/>
      </c>
    </row>
    <row r="3491">
      <c r="B3491" s="7" t="n"/>
      <c r="F3491" s="8" t="n"/>
      <c r="G3491" s="8">
        <f>IF($A3491="",0,ROUND($E3491*$F3491,2))</f>
        <v/>
      </c>
    </row>
    <row r="3492">
      <c r="B3492" s="7" t="n"/>
      <c r="F3492" s="8" t="n"/>
      <c r="G3492" s="8">
        <f>IF($A3492="",0,ROUND($E3492*$F3492,2))</f>
        <v/>
      </c>
    </row>
    <row r="3493">
      <c r="B3493" s="7" t="n"/>
      <c r="F3493" s="8" t="n"/>
      <c r="G3493" s="8">
        <f>IF($A3493="",0,ROUND($E3493*$F3493,2))</f>
        <v/>
      </c>
    </row>
    <row r="3494">
      <c r="B3494" s="7" t="n"/>
      <c r="F3494" s="8" t="n"/>
      <c r="G3494" s="8">
        <f>IF($A3494="",0,ROUND($E3494*$F3494,2))</f>
        <v/>
      </c>
    </row>
    <row r="3495">
      <c r="B3495" s="7" t="n"/>
      <c r="F3495" s="8" t="n"/>
      <c r="G3495" s="8">
        <f>IF($A3495="",0,ROUND($E3495*$F3495,2))</f>
        <v/>
      </c>
    </row>
    <row r="3496">
      <c r="B3496" s="7" t="n"/>
      <c r="F3496" s="8" t="n"/>
      <c r="G3496" s="8">
        <f>IF($A3496="",0,ROUND($E3496*$F3496,2))</f>
        <v/>
      </c>
    </row>
    <row r="3497">
      <c r="B3497" s="7" t="n"/>
      <c r="F3497" s="8" t="n"/>
      <c r="G3497" s="8">
        <f>IF($A3497="",0,ROUND($E3497*$F3497,2))</f>
        <v/>
      </c>
    </row>
    <row r="3498">
      <c r="B3498" s="7" t="n"/>
      <c r="F3498" s="8" t="n"/>
      <c r="G3498" s="8">
        <f>IF($A3498="",0,ROUND($E3498*$F3498,2))</f>
        <v/>
      </c>
    </row>
    <row r="3499">
      <c r="B3499" s="7" t="n"/>
      <c r="F3499" s="8" t="n"/>
      <c r="G3499" s="8">
        <f>IF($A3499="",0,ROUND($E3499*$F3499,2))</f>
        <v/>
      </c>
    </row>
    <row r="3500">
      <c r="B3500" s="7" t="n"/>
      <c r="F3500" s="8" t="n"/>
      <c r="G3500" s="8">
        <f>IF($A3500="",0,ROUND($E3500*$F3500,2))</f>
        <v/>
      </c>
    </row>
    <row r="3501">
      <c r="B3501" s="7" t="n"/>
      <c r="F3501" s="8" t="n"/>
      <c r="G3501" s="8">
        <f>IF($A3501="",0,ROUND($E3501*$F3501,2))</f>
        <v/>
      </c>
    </row>
    <row r="3502">
      <c r="B3502" s="7" t="n"/>
      <c r="F3502" s="8" t="n"/>
      <c r="G3502" s="8">
        <f>IF($A3502="",0,ROUND($E3502*$F3502,2))</f>
        <v/>
      </c>
    </row>
    <row r="3503">
      <c r="B3503" s="7" t="n"/>
      <c r="F3503" s="8" t="n"/>
      <c r="G3503" s="8">
        <f>IF($A3503="",0,ROUND($E3503*$F3503,2))</f>
        <v/>
      </c>
    </row>
    <row r="3504">
      <c r="B3504" s="7" t="n"/>
      <c r="F3504" s="8" t="n"/>
      <c r="G3504" s="8">
        <f>IF($A3504="",0,ROUND($E3504*$F3504,2))</f>
        <v/>
      </c>
    </row>
    <row r="3505">
      <c r="B3505" s="7" t="n"/>
      <c r="F3505" s="8" t="n"/>
      <c r="G3505" s="8">
        <f>IF($A3505="",0,ROUND($E3505*$F3505,2))</f>
        <v/>
      </c>
    </row>
    <row r="3506">
      <c r="B3506" s="7" t="n"/>
      <c r="F3506" s="8" t="n"/>
      <c r="G3506" s="8">
        <f>IF($A3506="",0,ROUND($E3506*$F3506,2))</f>
        <v/>
      </c>
    </row>
    <row r="3507">
      <c r="B3507" s="7" t="n"/>
      <c r="F3507" s="8" t="n"/>
      <c r="G3507" s="8">
        <f>IF($A3507="",0,ROUND($E3507*$F3507,2))</f>
        <v/>
      </c>
    </row>
    <row r="3508">
      <c r="B3508" s="7" t="n"/>
      <c r="F3508" s="8" t="n"/>
      <c r="G3508" s="8">
        <f>IF($A3508="",0,ROUND($E3508*$F3508,2))</f>
        <v/>
      </c>
    </row>
    <row r="3509">
      <c r="B3509" s="7" t="n"/>
      <c r="F3509" s="8" t="n"/>
      <c r="G3509" s="8">
        <f>IF($A3509="",0,ROUND($E3509*$F3509,2))</f>
        <v/>
      </c>
    </row>
    <row r="3510">
      <c r="B3510" s="7" t="n"/>
      <c r="F3510" s="8" t="n"/>
      <c r="G3510" s="8">
        <f>IF($A3510="",0,ROUND($E3510*$F3510,2))</f>
        <v/>
      </c>
    </row>
    <row r="3511">
      <c r="B3511" s="7" t="n"/>
      <c r="F3511" s="8" t="n"/>
      <c r="G3511" s="8">
        <f>IF($A3511="",0,ROUND($E3511*$F3511,2))</f>
        <v/>
      </c>
    </row>
    <row r="3512">
      <c r="B3512" s="7" t="n"/>
      <c r="F3512" s="8" t="n"/>
      <c r="G3512" s="8">
        <f>IF($A3512="",0,ROUND($E3512*$F3512,2))</f>
        <v/>
      </c>
    </row>
    <row r="3513">
      <c r="B3513" s="7" t="n"/>
      <c r="F3513" s="8" t="n"/>
      <c r="G3513" s="8">
        <f>IF($A3513="",0,ROUND($E3513*$F3513,2))</f>
        <v/>
      </c>
    </row>
    <row r="3514">
      <c r="B3514" s="7" t="n"/>
      <c r="F3514" s="8" t="n"/>
      <c r="G3514" s="8">
        <f>IF($A3514="",0,ROUND($E3514*$F3514,2))</f>
        <v/>
      </c>
    </row>
    <row r="3515">
      <c r="B3515" s="7" t="n"/>
      <c r="F3515" s="8" t="n"/>
      <c r="G3515" s="8">
        <f>IF($A3515="",0,ROUND($E3515*$F3515,2))</f>
        <v/>
      </c>
    </row>
    <row r="3516">
      <c r="B3516" s="7" t="n"/>
      <c r="F3516" s="8" t="n"/>
      <c r="G3516" s="8">
        <f>IF($A3516="",0,ROUND($E3516*$F3516,2))</f>
        <v/>
      </c>
    </row>
    <row r="3517">
      <c r="B3517" s="7" t="n"/>
      <c r="F3517" s="8" t="n"/>
      <c r="G3517" s="8">
        <f>IF($A3517="",0,ROUND($E3517*$F3517,2))</f>
        <v/>
      </c>
    </row>
    <row r="3518">
      <c r="B3518" s="7" t="n"/>
      <c r="F3518" s="8" t="n"/>
      <c r="G3518" s="8">
        <f>IF($A3518="",0,ROUND($E3518*$F3518,2))</f>
        <v/>
      </c>
    </row>
    <row r="3519">
      <c r="B3519" s="7" t="n"/>
      <c r="F3519" s="8" t="n"/>
      <c r="G3519" s="8">
        <f>IF($A3519="",0,ROUND($E3519*$F3519,2))</f>
        <v/>
      </c>
    </row>
    <row r="3520">
      <c r="B3520" s="7" t="n"/>
      <c r="F3520" s="8" t="n"/>
      <c r="G3520" s="8">
        <f>IF($A3520="",0,ROUND($E3520*$F3520,2))</f>
        <v/>
      </c>
    </row>
    <row r="3521">
      <c r="B3521" s="7" t="n"/>
      <c r="F3521" s="8" t="n"/>
      <c r="G3521" s="8">
        <f>IF($A3521="",0,ROUND($E3521*$F3521,2))</f>
        <v/>
      </c>
    </row>
    <row r="3522">
      <c r="B3522" s="7" t="n"/>
      <c r="F3522" s="8" t="n"/>
      <c r="G3522" s="8">
        <f>IF($A3522="",0,ROUND($E3522*$F3522,2))</f>
        <v/>
      </c>
    </row>
    <row r="3523">
      <c r="B3523" s="7" t="n"/>
      <c r="F3523" s="8" t="n"/>
      <c r="G3523" s="8">
        <f>IF($A3523="",0,ROUND($E3523*$F3523,2))</f>
        <v/>
      </c>
    </row>
    <row r="3524">
      <c r="B3524" s="7" t="n"/>
      <c r="F3524" s="8" t="n"/>
      <c r="G3524" s="8">
        <f>IF($A3524="",0,ROUND($E3524*$F3524,2))</f>
        <v/>
      </c>
    </row>
    <row r="3525">
      <c r="B3525" s="7" t="n"/>
      <c r="F3525" s="8" t="n"/>
      <c r="G3525" s="8">
        <f>IF($A3525="",0,ROUND($E3525*$F3525,2))</f>
        <v/>
      </c>
    </row>
    <row r="3526">
      <c r="B3526" s="7" t="n"/>
      <c r="F3526" s="8" t="n"/>
      <c r="G3526" s="8">
        <f>IF($A3526="",0,ROUND($E3526*$F3526,2))</f>
        <v/>
      </c>
    </row>
    <row r="3527">
      <c r="B3527" s="7" t="n"/>
      <c r="F3527" s="8" t="n"/>
      <c r="G3527" s="8">
        <f>IF($A3527="",0,ROUND($E3527*$F3527,2))</f>
        <v/>
      </c>
    </row>
    <row r="3528">
      <c r="B3528" s="7" t="n"/>
      <c r="F3528" s="8" t="n"/>
      <c r="G3528" s="8">
        <f>IF($A3528="",0,ROUND($E3528*$F3528,2))</f>
        <v/>
      </c>
    </row>
    <row r="3529">
      <c r="B3529" s="7" t="n"/>
      <c r="F3529" s="8" t="n"/>
      <c r="G3529" s="8">
        <f>IF($A3529="",0,ROUND($E3529*$F3529,2))</f>
        <v/>
      </c>
    </row>
    <row r="3530">
      <c r="B3530" s="7" t="n"/>
      <c r="F3530" s="8" t="n"/>
      <c r="G3530" s="8">
        <f>IF($A3530="",0,ROUND($E3530*$F3530,2))</f>
        <v/>
      </c>
    </row>
    <row r="3531">
      <c r="B3531" s="7" t="n"/>
      <c r="F3531" s="8" t="n"/>
      <c r="G3531" s="8">
        <f>IF($A3531="",0,ROUND($E3531*$F3531,2))</f>
        <v/>
      </c>
    </row>
    <row r="3532">
      <c r="B3532" s="7" t="n"/>
      <c r="F3532" s="8" t="n"/>
      <c r="G3532" s="8">
        <f>IF($A3532="",0,ROUND($E3532*$F3532,2))</f>
        <v/>
      </c>
    </row>
    <row r="3533">
      <c r="B3533" s="7" t="n"/>
      <c r="F3533" s="8" t="n"/>
      <c r="G3533" s="8">
        <f>IF($A3533="",0,ROUND($E3533*$F3533,2))</f>
        <v/>
      </c>
    </row>
    <row r="3534">
      <c r="B3534" s="7" t="n"/>
      <c r="F3534" s="8" t="n"/>
      <c r="G3534" s="8">
        <f>IF($A3534="",0,ROUND($E3534*$F3534,2))</f>
        <v/>
      </c>
    </row>
    <row r="3535">
      <c r="B3535" s="7" t="n"/>
      <c r="F3535" s="8" t="n"/>
      <c r="G3535" s="8">
        <f>IF($A3535="",0,ROUND($E3535*$F3535,2))</f>
        <v/>
      </c>
    </row>
    <row r="3536">
      <c r="B3536" s="7" t="n"/>
      <c r="F3536" s="8" t="n"/>
      <c r="G3536" s="8">
        <f>IF($A3536="",0,ROUND($E3536*$F3536,2))</f>
        <v/>
      </c>
    </row>
    <row r="3537">
      <c r="B3537" s="7" t="n"/>
      <c r="F3537" s="8" t="n"/>
      <c r="G3537" s="8">
        <f>IF($A3537="",0,ROUND($E3537*$F3537,2))</f>
        <v/>
      </c>
    </row>
    <row r="3538">
      <c r="B3538" s="7" t="n"/>
      <c r="F3538" s="8" t="n"/>
      <c r="G3538" s="8">
        <f>IF($A3538="",0,ROUND($E3538*$F3538,2))</f>
        <v/>
      </c>
    </row>
    <row r="3539">
      <c r="B3539" s="7" t="n"/>
      <c r="F3539" s="8" t="n"/>
      <c r="G3539" s="8">
        <f>IF($A3539="",0,ROUND($E3539*$F3539,2))</f>
        <v/>
      </c>
    </row>
    <row r="3540">
      <c r="B3540" s="7" t="n"/>
      <c r="F3540" s="8" t="n"/>
      <c r="G3540" s="8">
        <f>IF($A3540="",0,ROUND($E3540*$F3540,2))</f>
        <v/>
      </c>
    </row>
    <row r="3541">
      <c r="B3541" s="7" t="n"/>
      <c r="F3541" s="8" t="n"/>
      <c r="G3541" s="8">
        <f>IF($A3541="",0,ROUND($E3541*$F3541,2))</f>
        <v/>
      </c>
    </row>
    <row r="3542">
      <c r="B3542" s="7" t="n"/>
      <c r="F3542" s="8" t="n"/>
      <c r="G3542" s="8">
        <f>IF($A3542="",0,ROUND($E3542*$F3542,2))</f>
        <v/>
      </c>
    </row>
    <row r="3543">
      <c r="B3543" s="7" t="n"/>
      <c r="F3543" s="8" t="n"/>
      <c r="G3543" s="8">
        <f>IF($A3543="",0,ROUND($E3543*$F3543,2))</f>
        <v/>
      </c>
    </row>
    <row r="3544">
      <c r="B3544" s="7" t="n"/>
      <c r="F3544" s="8" t="n"/>
      <c r="G3544" s="8">
        <f>IF($A3544="",0,ROUND($E3544*$F3544,2))</f>
        <v/>
      </c>
    </row>
    <row r="3545">
      <c r="B3545" s="7" t="n"/>
      <c r="F3545" s="8" t="n"/>
      <c r="G3545" s="8">
        <f>IF($A3545="",0,ROUND($E3545*$F3545,2))</f>
        <v/>
      </c>
    </row>
    <row r="3546">
      <c r="B3546" s="7" t="n"/>
      <c r="F3546" s="8" t="n"/>
      <c r="G3546" s="8">
        <f>IF($A3546="",0,ROUND($E3546*$F3546,2))</f>
        <v/>
      </c>
    </row>
    <row r="3547">
      <c r="B3547" s="7" t="n"/>
      <c r="F3547" s="8" t="n"/>
      <c r="G3547" s="8">
        <f>IF($A3547="",0,ROUND($E3547*$F3547,2))</f>
        <v/>
      </c>
    </row>
    <row r="3548">
      <c r="B3548" s="7" t="n"/>
      <c r="F3548" s="8" t="n"/>
      <c r="G3548" s="8">
        <f>IF($A3548="",0,ROUND($E3548*$F3548,2))</f>
        <v/>
      </c>
    </row>
    <row r="3549">
      <c r="B3549" s="7" t="n"/>
      <c r="F3549" s="8" t="n"/>
      <c r="G3549" s="8">
        <f>IF($A3549="",0,ROUND($E3549*$F3549,2))</f>
        <v/>
      </c>
    </row>
    <row r="3550">
      <c r="B3550" s="7" t="n"/>
      <c r="F3550" s="8" t="n"/>
      <c r="G3550" s="8">
        <f>IF($A3550="",0,ROUND($E3550*$F3550,2))</f>
        <v/>
      </c>
    </row>
    <row r="3551">
      <c r="B3551" s="7" t="n"/>
      <c r="F3551" s="8" t="n"/>
      <c r="G3551" s="8">
        <f>IF($A3551="",0,ROUND($E3551*$F3551,2))</f>
        <v/>
      </c>
    </row>
    <row r="3552">
      <c r="B3552" s="7" t="n"/>
      <c r="F3552" s="8" t="n"/>
      <c r="G3552" s="8">
        <f>IF($A3552="",0,ROUND($E3552*$F3552,2))</f>
        <v/>
      </c>
    </row>
    <row r="3553">
      <c r="B3553" s="7" t="n"/>
      <c r="F3553" s="8" t="n"/>
      <c r="G3553" s="8">
        <f>IF($A3553="",0,ROUND($E3553*$F3553,2))</f>
        <v/>
      </c>
    </row>
    <row r="3554">
      <c r="B3554" s="7" t="n"/>
      <c r="F3554" s="8" t="n"/>
      <c r="G3554" s="8">
        <f>IF($A3554="",0,ROUND($E3554*$F3554,2))</f>
        <v/>
      </c>
    </row>
    <row r="3555">
      <c r="B3555" s="7" t="n"/>
      <c r="F3555" s="8" t="n"/>
      <c r="G3555" s="8">
        <f>IF($A3555="",0,ROUND($E3555*$F3555,2))</f>
        <v/>
      </c>
    </row>
    <row r="3556">
      <c r="B3556" s="7" t="n"/>
      <c r="F3556" s="8" t="n"/>
      <c r="G3556" s="8">
        <f>IF($A3556="",0,ROUND($E3556*$F3556,2))</f>
        <v/>
      </c>
    </row>
    <row r="3557">
      <c r="B3557" s="7" t="n"/>
      <c r="F3557" s="8" t="n"/>
      <c r="G3557" s="8">
        <f>IF($A3557="",0,ROUND($E3557*$F3557,2))</f>
        <v/>
      </c>
    </row>
    <row r="3558">
      <c r="B3558" s="7" t="n"/>
      <c r="F3558" s="8" t="n"/>
      <c r="G3558" s="8">
        <f>IF($A3558="",0,ROUND($E3558*$F3558,2))</f>
        <v/>
      </c>
    </row>
    <row r="3559">
      <c r="B3559" s="7" t="n"/>
      <c r="F3559" s="8" t="n"/>
      <c r="G3559" s="8">
        <f>IF($A3559="",0,ROUND($E3559*$F3559,2))</f>
        <v/>
      </c>
    </row>
    <row r="3560">
      <c r="B3560" s="7" t="n"/>
      <c r="F3560" s="8" t="n"/>
      <c r="G3560" s="8">
        <f>IF($A3560="",0,ROUND($E3560*$F3560,2))</f>
        <v/>
      </c>
    </row>
    <row r="3561">
      <c r="B3561" s="7" t="n"/>
      <c r="F3561" s="8" t="n"/>
      <c r="G3561" s="8">
        <f>IF($A3561="",0,ROUND($E3561*$F3561,2))</f>
        <v/>
      </c>
    </row>
    <row r="3562">
      <c r="B3562" s="7" t="n"/>
      <c r="F3562" s="8" t="n"/>
      <c r="G3562" s="8">
        <f>IF($A3562="",0,ROUND($E3562*$F3562,2))</f>
        <v/>
      </c>
    </row>
    <row r="3563">
      <c r="B3563" s="7" t="n"/>
      <c r="F3563" s="8" t="n"/>
      <c r="G3563" s="8">
        <f>IF($A3563="",0,ROUND($E3563*$F3563,2))</f>
        <v/>
      </c>
    </row>
    <row r="3564">
      <c r="B3564" s="7" t="n"/>
      <c r="F3564" s="8" t="n"/>
      <c r="G3564" s="8">
        <f>IF($A3564="",0,ROUND($E3564*$F3564,2))</f>
        <v/>
      </c>
    </row>
    <row r="3565">
      <c r="B3565" s="7" t="n"/>
      <c r="F3565" s="8" t="n"/>
      <c r="G3565" s="8">
        <f>IF($A3565="",0,ROUND($E3565*$F3565,2))</f>
        <v/>
      </c>
    </row>
    <row r="3566">
      <c r="B3566" s="7" t="n"/>
      <c r="F3566" s="8" t="n"/>
      <c r="G3566" s="8">
        <f>IF($A3566="",0,ROUND($E3566*$F3566,2))</f>
        <v/>
      </c>
    </row>
    <row r="3567">
      <c r="B3567" s="7" t="n"/>
      <c r="F3567" s="8" t="n"/>
      <c r="G3567" s="8">
        <f>IF($A3567="",0,ROUND($E3567*$F3567,2))</f>
        <v/>
      </c>
    </row>
    <row r="3568">
      <c r="B3568" s="7" t="n"/>
      <c r="F3568" s="8" t="n"/>
      <c r="G3568" s="8">
        <f>IF($A3568="",0,ROUND($E3568*$F3568,2))</f>
        <v/>
      </c>
    </row>
    <row r="3569">
      <c r="B3569" s="7" t="n"/>
      <c r="F3569" s="8" t="n"/>
      <c r="G3569" s="8">
        <f>IF($A3569="",0,ROUND($E3569*$F3569,2))</f>
        <v/>
      </c>
    </row>
    <row r="3570">
      <c r="B3570" s="7" t="n"/>
      <c r="F3570" s="8" t="n"/>
      <c r="G3570" s="8">
        <f>IF($A3570="",0,ROUND($E3570*$F3570,2))</f>
        <v/>
      </c>
    </row>
    <row r="3571">
      <c r="B3571" s="7" t="n"/>
      <c r="F3571" s="8" t="n"/>
      <c r="G3571" s="8">
        <f>IF($A3571="",0,ROUND($E3571*$F3571,2))</f>
        <v/>
      </c>
    </row>
    <row r="3572">
      <c r="B3572" s="7" t="n"/>
      <c r="F3572" s="8" t="n"/>
      <c r="G3572" s="8">
        <f>IF($A3572="",0,ROUND($E3572*$F3572,2))</f>
        <v/>
      </c>
    </row>
    <row r="3573">
      <c r="B3573" s="7" t="n"/>
      <c r="F3573" s="8" t="n"/>
      <c r="G3573" s="8">
        <f>IF($A3573="",0,ROUND($E3573*$F3573,2))</f>
        <v/>
      </c>
    </row>
    <row r="3574">
      <c r="B3574" s="7" t="n"/>
      <c r="F3574" s="8" t="n"/>
      <c r="G3574" s="8">
        <f>IF($A3574="",0,ROUND($E3574*$F3574,2))</f>
        <v/>
      </c>
    </row>
    <row r="3575">
      <c r="B3575" s="7" t="n"/>
      <c r="F3575" s="8" t="n"/>
      <c r="G3575" s="8">
        <f>IF($A3575="",0,ROUND($E3575*$F3575,2))</f>
        <v/>
      </c>
    </row>
    <row r="3576">
      <c r="B3576" s="7" t="n"/>
      <c r="F3576" s="8" t="n"/>
      <c r="G3576" s="8">
        <f>IF($A3576="",0,ROUND($E3576*$F3576,2))</f>
        <v/>
      </c>
    </row>
    <row r="3577">
      <c r="B3577" s="7" t="n"/>
      <c r="F3577" s="8" t="n"/>
      <c r="G3577" s="8">
        <f>IF($A3577="",0,ROUND($E3577*$F3577,2))</f>
        <v/>
      </c>
    </row>
    <row r="3578">
      <c r="B3578" s="7" t="n"/>
      <c r="F3578" s="8" t="n"/>
      <c r="G3578" s="8">
        <f>IF($A3578="",0,ROUND($E3578*$F3578,2))</f>
        <v/>
      </c>
    </row>
    <row r="3579">
      <c r="B3579" s="7" t="n"/>
      <c r="F3579" s="8" t="n"/>
      <c r="G3579" s="8">
        <f>IF($A3579="",0,ROUND($E3579*$F3579,2))</f>
        <v/>
      </c>
    </row>
    <row r="3580">
      <c r="B3580" s="7" t="n"/>
      <c r="F3580" s="8" t="n"/>
      <c r="G3580" s="8">
        <f>IF($A3580="",0,ROUND($E3580*$F3580,2))</f>
        <v/>
      </c>
    </row>
    <row r="3581">
      <c r="B3581" s="7" t="n"/>
      <c r="F3581" s="8" t="n"/>
      <c r="G3581" s="8">
        <f>IF($A3581="",0,ROUND($E3581*$F3581,2))</f>
        <v/>
      </c>
    </row>
    <row r="3582">
      <c r="B3582" s="7" t="n"/>
      <c r="F3582" s="8" t="n"/>
      <c r="G3582" s="8">
        <f>IF($A3582="",0,ROUND($E3582*$F3582,2))</f>
        <v/>
      </c>
    </row>
    <row r="3583">
      <c r="B3583" s="7" t="n"/>
      <c r="F3583" s="8" t="n"/>
      <c r="G3583" s="8">
        <f>IF($A3583="",0,ROUND($E3583*$F3583,2))</f>
        <v/>
      </c>
    </row>
    <row r="3584">
      <c r="B3584" s="7" t="n"/>
      <c r="F3584" s="8" t="n"/>
      <c r="G3584" s="8">
        <f>IF($A3584="",0,ROUND($E3584*$F3584,2))</f>
        <v/>
      </c>
    </row>
    <row r="3585">
      <c r="B3585" s="7" t="n"/>
      <c r="F3585" s="8" t="n"/>
      <c r="G3585" s="8">
        <f>IF($A3585="",0,ROUND($E3585*$F3585,2))</f>
        <v/>
      </c>
    </row>
    <row r="3586">
      <c r="B3586" s="7" t="n"/>
      <c r="F3586" s="8" t="n"/>
      <c r="G3586" s="8">
        <f>IF($A3586="",0,ROUND($E3586*$F3586,2))</f>
        <v/>
      </c>
    </row>
    <row r="3587">
      <c r="B3587" s="7" t="n"/>
      <c r="F3587" s="8" t="n"/>
      <c r="G3587" s="8">
        <f>IF($A3587="",0,ROUND($E3587*$F3587,2))</f>
        <v/>
      </c>
    </row>
    <row r="3588">
      <c r="B3588" s="7" t="n"/>
      <c r="F3588" s="8" t="n"/>
      <c r="G3588" s="8">
        <f>IF($A3588="",0,ROUND($E3588*$F3588,2))</f>
        <v/>
      </c>
    </row>
    <row r="3589">
      <c r="B3589" s="7" t="n"/>
      <c r="F3589" s="8" t="n"/>
      <c r="G3589" s="8">
        <f>IF($A3589="",0,ROUND($E3589*$F3589,2))</f>
        <v/>
      </c>
    </row>
    <row r="3590">
      <c r="B3590" s="7" t="n"/>
      <c r="F3590" s="8" t="n"/>
      <c r="G3590" s="8">
        <f>IF($A3590="",0,ROUND($E3590*$F3590,2))</f>
        <v/>
      </c>
    </row>
    <row r="3591">
      <c r="B3591" s="7" t="n"/>
      <c r="F3591" s="8" t="n"/>
      <c r="G3591" s="8">
        <f>IF($A3591="",0,ROUND($E3591*$F3591,2))</f>
        <v/>
      </c>
    </row>
    <row r="3592">
      <c r="B3592" s="7" t="n"/>
      <c r="F3592" s="8" t="n"/>
      <c r="G3592" s="8">
        <f>IF($A3592="",0,ROUND($E3592*$F3592,2))</f>
        <v/>
      </c>
    </row>
    <row r="3593">
      <c r="B3593" s="7" t="n"/>
      <c r="F3593" s="8" t="n"/>
      <c r="G3593" s="8">
        <f>IF($A3593="",0,ROUND($E3593*$F3593,2))</f>
        <v/>
      </c>
    </row>
    <row r="3594">
      <c r="B3594" s="7" t="n"/>
      <c r="F3594" s="8" t="n"/>
      <c r="G3594" s="8">
        <f>IF($A3594="",0,ROUND($E3594*$F3594,2))</f>
        <v/>
      </c>
    </row>
    <row r="3595">
      <c r="B3595" s="7" t="n"/>
      <c r="F3595" s="8" t="n"/>
      <c r="G3595" s="8">
        <f>IF($A3595="",0,ROUND($E3595*$F3595,2))</f>
        <v/>
      </c>
    </row>
    <row r="3596">
      <c r="B3596" s="7" t="n"/>
      <c r="F3596" s="8" t="n"/>
      <c r="G3596" s="8">
        <f>IF($A3596="",0,ROUND($E3596*$F3596,2))</f>
        <v/>
      </c>
    </row>
    <row r="3597">
      <c r="B3597" s="7" t="n"/>
      <c r="F3597" s="8" t="n"/>
      <c r="G3597" s="8">
        <f>IF($A3597="",0,ROUND($E3597*$F3597,2))</f>
        <v/>
      </c>
    </row>
    <row r="3598">
      <c r="B3598" s="7" t="n"/>
      <c r="F3598" s="8" t="n"/>
      <c r="G3598" s="8">
        <f>IF($A3598="",0,ROUND($E3598*$F3598,2))</f>
        <v/>
      </c>
    </row>
    <row r="3599">
      <c r="B3599" s="7" t="n"/>
      <c r="F3599" s="8" t="n"/>
      <c r="G3599" s="8">
        <f>IF($A3599="",0,ROUND($E3599*$F3599,2))</f>
        <v/>
      </c>
    </row>
    <row r="3600">
      <c r="B3600" s="7" t="n"/>
      <c r="F3600" s="8" t="n"/>
      <c r="G3600" s="8">
        <f>IF($A3600="",0,ROUND($E3600*$F3600,2))</f>
        <v/>
      </c>
    </row>
    <row r="3601">
      <c r="B3601" s="7" t="n"/>
      <c r="F3601" s="8" t="n"/>
      <c r="G3601" s="8">
        <f>IF($A3601="",0,ROUND($E3601*$F3601,2))</f>
        <v/>
      </c>
    </row>
    <row r="3602">
      <c r="B3602" s="7" t="n"/>
      <c r="F3602" s="8" t="n"/>
      <c r="G3602" s="8">
        <f>IF($A3602="",0,ROUND($E3602*$F3602,2))</f>
        <v/>
      </c>
    </row>
    <row r="3603">
      <c r="B3603" s="7" t="n"/>
      <c r="F3603" s="8" t="n"/>
      <c r="G3603" s="8">
        <f>IF($A3603="",0,ROUND($E3603*$F3603,2))</f>
        <v/>
      </c>
    </row>
    <row r="3604">
      <c r="B3604" s="7" t="n"/>
      <c r="F3604" s="8" t="n"/>
      <c r="G3604" s="8">
        <f>IF($A3604="",0,ROUND($E3604*$F3604,2))</f>
        <v/>
      </c>
    </row>
    <row r="3605">
      <c r="B3605" s="7" t="n"/>
      <c r="F3605" s="8" t="n"/>
      <c r="G3605" s="8">
        <f>IF($A3605="",0,ROUND($E3605*$F3605,2))</f>
        <v/>
      </c>
    </row>
    <row r="3606">
      <c r="B3606" s="7" t="n"/>
      <c r="F3606" s="8" t="n"/>
      <c r="G3606" s="8">
        <f>IF($A3606="",0,ROUND($E3606*$F3606,2))</f>
        <v/>
      </c>
    </row>
    <row r="3607">
      <c r="B3607" s="7" t="n"/>
      <c r="F3607" s="8" t="n"/>
      <c r="G3607" s="8">
        <f>IF($A3607="",0,ROUND($E3607*$F3607,2))</f>
        <v/>
      </c>
    </row>
    <row r="3608">
      <c r="B3608" s="7" t="n"/>
      <c r="F3608" s="8" t="n"/>
      <c r="G3608" s="8">
        <f>IF($A3608="",0,ROUND($E3608*$F3608,2))</f>
        <v/>
      </c>
    </row>
    <row r="3609">
      <c r="B3609" s="7" t="n"/>
      <c r="F3609" s="8" t="n"/>
      <c r="G3609" s="8">
        <f>IF($A3609="",0,ROUND($E3609*$F3609,2))</f>
        <v/>
      </c>
    </row>
    <row r="3610">
      <c r="B3610" s="7" t="n"/>
      <c r="F3610" s="8" t="n"/>
      <c r="G3610" s="8">
        <f>IF($A3610="",0,ROUND($E3610*$F3610,2))</f>
        <v/>
      </c>
    </row>
    <row r="3611">
      <c r="B3611" s="7" t="n"/>
      <c r="F3611" s="8" t="n"/>
      <c r="G3611" s="8">
        <f>IF($A3611="",0,ROUND($E3611*$F3611,2))</f>
        <v/>
      </c>
    </row>
    <row r="3612">
      <c r="B3612" s="7" t="n"/>
      <c r="F3612" s="8" t="n"/>
      <c r="G3612" s="8">
        <f>IF($A3612="",0,ROUND($E3612*$F3612,2))</f>
        <v/>
      </c>
    </row>
    <row r="3613">
      <c r="B3613" s="7" t="n"/>
      <c r="F3613" s="8" t="n"/>
      <c r="G3613" s="8">
        <f>IF($A3613="",0,ROUND($E3613*$F3613,2))</f>
        <v/>
      </c>
    </row>
    <row r="3614">
      <c r="B3614" s="7" t="n"/>
      <c r="F3614" s="8" t="n"/>
      <c r="G3614" s="8">
        <f>IF($A3614="",0,ROUND($E3614*$F3614,2))</f>
        <v/>
      </c>
    </row>
    <row r="3615">
      <c r="B3615" s="7" t="n"/>
      <c r="F3615" s="8" t="n"/>
      <c r="G3615" s="8">
        <f>IF($A3615="",0,ROUND($E3615*$F3615,2))</f>
        <v/>
      </c>
    </row>
    <row r="3616">
      <c r="B3616" s="7" t="n"/>
      <c r="F3616" s="8" t="n"/>
      <c r="G3616" s="8">
        <f>IF($A3616="",0,ROUND($E3616*$F3616,2))</f>
        <v/>
      </c>
    </row>
    <row r="3617">
      <c r="B3617" s="7" t="n"/>
      <c r="F3617" s="8" t="n"/>
      <c r="G3617" s="8">
        <f>IF($A3617="",0,ROUND($E3617*$F3617,2))</f>
        <v/>
      </c>
    </row>
    <row r="3618">
      <c r="B3618" s="7" t="n"/>
      <c r="F3618" s="8" t="n"/>
      <c r="G3618" s="8">
        <f>IF($A3618="",0,ROUND($E3618*$F3618,2))</f>
        <v/>
      </c>
    </row>
    <row r="3619">
      <c r="B3619" s="7" t="n"/>
      <c r="F3619" s="8" t="n"/>
      <c r="G3619" s="8">
        <f>IF($A3619="",0,ROUND($E3619*$F3619,2))</f>
        <v/>
      </c>
    </row>
    <row r="3620">
      <c r="B3620" s="7" t="n"/>
      <c r="F3620" s="8" t="n"/>
      <c r="G3620" s="8">
        <f>IF($A3620="",0,ROUND($E3620*$F3620,2))</f>
        <v/>
      </c>
    </row>
    <row r="3621">
      <c r="B3621" s="7" t="n"/>
      <c r="F3621" s="8" t="n"/>
      <c r="G3621" s="8">
        <f>IF($A3621="",0,ROUND($E3621*$F3621,2))</f>
        <v/>
      </c>
    </row>
    <row r="3622">
      <c r="B3622" s="7" t="n"/>
      <c r="F3622" s="8" t="n"/>
      <c r="G3622" s="8">
        <f>IF($A3622="",0,ROUND($E3622*$F3622,2))</f>
        <v/>
      </c>
    </row>
    <row r="3623">
      <c r="B3623" s="7" t="n"/>
      <c r="F3623" s="8" t="n"/>
      <c r="G3623" s="8">
        <f>IF($A3623="",0,ROUND($E3623*$F3623,2))</f>
        <v/>
      </c>
    </row>
    <row r="3624">
      <c r="B3624" s="7" t="n"/>
      <c r="F3624" s="8" t="n"/>
      <c r="G3624" s="8">
        <f>IF($A3624="",0,ROUND($E3624*$F3624,2))</f>
        <v/>
      </c>
    </row>
    <row r="3625">
      <c r="B3625" s="7" t="n"/>
      <c r="F3625" s="8" t="n"/>
      <c r="G3625" s="8">
        <f>IF($A3625="",0,ROUND($E3625*$F3625,2))</f>
        <v/>
      </c>
    </row>
    <row r="3626">
      <c r="B3626" s="7" t="n"/>
      <c r="F3626" s="8" t="n"/>
      <c r="G3626" s="8">
        <f>IF($A3626="",0,ROUND($E3626*$F3626,2))</f>
        <v/>
      </c>
    </row>
    <row r="3627">
      <c r="B3627" s="7" t="n"/>
      <c r="F3627" s="8" t="n"/>
      <c r="G3627" s="8">
        <f>IF($A3627="",0,ROUND($E3627*$F3627,2))</f>
        <v/>
      </c>
    </row>
    <row r="3628">
      <c r="B3628" s="7" t="n"/>
      <c r="F3628" s="8" t="n"/>
      <c r="G3628" s="8">
        <f>IF($A3628="",0,ROUND($E3628*$F3628,2))</f>
        <v/>
      </c>
    </row>
    <row r="3629">
      <c r="B3629" s="7" t="n"/>
      <c r="F3629" s="8" t="n"/>
      <c r="G3629" s="8">
        <f>IF($A3629="",0,ROUND($E3629*$F3629,2))</f>
        <v/>
      </c>
    </row>
    <row r="3630">
      <c r="B3630" s="7" t="n"/>
      <c r="F3630" s="8" t="n"/>
      <c r="G3630" s="8">
        <f>IF($A3630="",0,ROUND($E3630*$F3630,2))</f>
        <v/>
      </c>
    </row>
    <row r="3631">
      <c r="B3631" s="7" t="n"/>
      <c r="F3631" s="8" t="n"/>
      <c r="G3631" s="8">
        <f>IF($A3631="",0,ROUND($E3631*$F3631,2))</f>
        <v/>
      </c>
    </row>
    <row r="3632">
      <c r="B3632" s="7" t="n"/>
      <c r="F3632" s="8" t="n"/>
      <c r="G3632" s="8">
        <f>IF($A3632="",0,ROUND($E3632*$F3632,2))</f>
        <v/>
      </c>
    </row>
    <row r="3633">
      <c r="B3633" s="7" t="n"/>
      <c r="F3633" s="8" t="n"/>
      <c r="G3633" s="8">
        <f>IF($A3633="",0,ROUND($E3633*$F3633,2))</f>
        <v/>
      </c>
    </row>
    <row r="3634">
      <c r="B3634" s="7" t="n"/>
      <c r="F3634" s="8" t="n"/>
      <c r="G3634" s="8">
        <f>IF($A3634="",0,ROUND($E3634*$F3634,2))</f>
        <v/>
      </c>
    </row>
    <row r="3635">
      <c r="B3635" s="7" t="n"/>
      <c r="F3635" s="8" t="n"/>
      <c r="G3635" s="8">
        <f>IF($A3635="",0,ROUND($E3635*$F3635,2))</f>
        <v/>
      </c>
    </row>
    <row r="3636">
      <c r="B3636" s="7" t="n"/>
      <c r="F3636" s="8" t="n"/>
      <c r="G3636" s="8">
        <f>IF($A3636="",0,ROUND($E3636*$F3636,2))</f>
        <v/>
      </c>
    </row>
    <row r="3637">
      <c r="B3637" s="7" t="n"/>
      <c r="F3637" s="8" t="n"/>
      <c r="G3637" s="8">
        <f>IF($A3637="",0,ROUND($E3637*$F3637,2))</f>
        <v/>
      </c>
    </row>
    <row r="3638">
      <c r="B3638" s="7" t="n"/>
      <c r="F3638" s="8" t="n"/>
      <c r="G3638" s="8">
        <f>IF($A3638="",0,ROUND($E3638*$F3638,2))</f>
        <v/>
      </c>
    </row>
    <row r="3639">
      <c r="B3639" s="7" t="n"/>
      <c r="F3639" s="8" t="n"/>
      <c r="G3639" s="8">
        <f>IF($A3639="",0,ROUND($E3639*$F3639,2))</f>
        <v/>
      </c>
    </row>
    <row r="3640">
      <c r="B3640" s="7" t="n"/>
      <c r="F3640" s="8" t="n"/>
      <c r="G3640" s="8">
        <f>IF($A3640="",0,ROUND($E3640*$F3640,2))</f>
        <v/>
      </c>
    </row>
    <row r="3641">
      <c r="B3641" s="7" t="n"/>
      <c r="F3641" s="8" t="n"/>
      <c r="G3641" s="8">
        <f>IF($A3641="",0,ROUND($E3641*$F3641,2))</f>
        <v/>
      </c>
    </row>
    <row r="3642">
      <c r="B3642" s="7" t="n"/>
      <c r="F3642" s="8" t="n"/>
      <c r="G3642" s="8">
        <f>IF($A3642="",0,ROUND($E3642*$F3642,2))</f>
        <v/>
      </c>
    </row>
    <row r="3643">
      <c r="B3643" s="7" t="n"/>
      <c r="F3643" s="8" t="n"/>
      <c r="G3643" s="8">
        <f>IF($A3643="",0,ROUND($E3643*$F3643,2))</f>
        <v/>
      </c>
    </row>
    <row r="3644">
      <c r="B3644" s="7" t="n"/>
      <c r="F3644" s="8" t="n"/>
      <c r="G3644" s="8">
        <f>IF($A3644="",0,ROUND($E3644*$F3644,2))</f>
        <v/>
      </c>
    </row>
    <row r="3645">
      <c r="B3645" s="7" t="n"/>
      <c r="F3645" s="8" t="n"/>
      <c r="G3645" s="8">
        <f>IF($A3645="",0,ROUND($E3645*$F3645,2))</f>
        <v/>
      </c>
    </row>
    <row r="3646">
      <c r="B3646" s="7" t="n"/>
      <c r="F3646" s="8" t="n"/>
      <c r="G3646" s="8">
        <f>IF($A3646="",0,ROUND($E3646*$F3646,2))</f>
        <v/>
      </c>
    </row>
    <row r="3647">
      <c r="B3647" s="7" t="n"/>
      <c r="F3647" s="8" t="n"/>
      <c r="G3647" s="8">
        <f>IF($A3647="",0,ROUND($E3647*$F3647,2))</f>
        <v/>
      </c>
    </row>
    <row r="3648">
      <c r="B3648" s="7" t="n"/>
      <c r="F3648" s="8" t="n"/>
      <c r="G3648" s="8">
        <f>IF($A3648="",0,ROUND($E3648*$F3648,2))</f>
        <v/>
      </c>
    </row>
    <row r="3649">
      <c r="B3649" s="7" t="n"/>
      <c r="F3649" s="8" t="n"/>
      <c r="G3649" s="8">
        <f>IF($A3649="",0,ROUND($E3649*$F3649,2))</f>
        <v/>
      </c>
    </row>
    <row r="3650">
      <c r="B3650" s="7" t="n"/>
      <c r="F3650" s="8" t="n"/>
      <c r="G3650" s="8">
        <f>IF($A3650="",0,ROUND($E3650*$F3650,2))</f>
        <v/>
      </c>
    </row>
    <row r="3651">
      <c r="B3651" s="7" t="n"/>
      <c r="F3651" s="8" t="n"/>
      <c r="G3651" s="8">
        <f>IF($A3651="",0,ROUND($E3651*$F3651,2))</f>
        <v/>
      </c>
    </row>
    <row r="3652">
      <c r="B3652" s="7" t="n"/>
      <c r="F3652" s="8" t="n"/>
      <c r="G3652" s="8">
        <f>IF($A3652="",0,ROUND($E3652*$F3652,2))</f>
        <v/>
      </c>
    </row>
    <row r="3653">
      <c r="B3653" s="7" t="n"/>
      <c r="F3653" s="8" t="n"/>
      <c r="G3653" s="8">
        <f>IF($A3653="",0,ROUND($E3653*$F3653,2))</f>
        <v/>
      </c>
    </row>
    <row r="3654">
      <c r="B3654" s="7" t="n"/>
      <c r="F3654" s="8" t="n"/>
      <c r="G3654" s="8">
        <f>IF($A3654="",0,ROUND($E3654*$F3654,2))</f>
        <v/>
      </c>
    </row>
    <row r="3655">
      <c r="B3655" s="7" t="n"/>
      <c r="F3655" s="8" t="n"/>
      <c r="G3655" s="8">
        <f>IF($A3655="",0,ROUND($E3655*$F3655,2))</f>
        <v/>
      </c>
    </row>
    <row r="3656">
      <c r="B3656" s="7" t="n"/>
      <c r="F3656" s="8" t="n"/>
      <c r="G3656" s="8">
        <f>IF($A3656="",0,ROUND($E3656*$F3656,2))</f>
        <v/>
      </c>
    </row>
    <row r="3657">
      <c r="B3657" s="7" t="n"/>
      <c r="F3657" s="8" t="n"/>
      <c r="G3657" s="8">
        <f>IF($A3657="",0,ROUND($E3657*$F3657,2))</f>
        <v/>
      </c>
    </row>
    <row r="3658">
      <c r="B3658" s="7" t="n"/>
      <c r="F3658" s="8" t="n"/>
      <c r="G3658" s="8">
        <f>IF($A3658="",0,ROUND($E3658*$F3658,2))</f>
        <v/>
      </c>
    </row>
    <row r="3659">
      <c r="B3659" s="7" t="n"/>
      <c r="F3659" s="8" t="n"/>
      <c r="G3659" s="8">
        <f>IF($A3659="",0,ROUND($E3659*$F3659,2))</f>
        <v/>
      </c>
    </row>
    <row r="3660">
      <c r="B3660" s="7" t="n"/>
      <c r="F3660" s="8" t="n"/>
      <c r="G3660" s="8">
        <f>IF($A3660="",0,ROUND($E3660*$F3660,2))</f>
        <v/>
      </c>
    </row>
    <row r="3661">
      <c r="B3661" s="7" t="n"/>
      <c r="F3661" s="8" t="n"/>
      <c r="G3661" s="8">
        <f>IF($A3661="",0,ROUND($E3661*$F3661,2))</f>
        <v/>
      </c>
    </row>
    <row r="3662">
      <c r="B3662" s="7" t="n"/>
      <c r="F3662" s="8" t="n"/>
      <c r="G3662" s="8">
        <f>IF($A3662="",0,ROUND($E3662*$F3662,2))</f>
        <v/>
      </c>
    </row>
    <row r="3663">
      <c r="B3663" s="7" t="n"/>
      <c r="F3663" s="8" t="n"/>
      <c r="G3663" s="8">
        <f>IF($A3663="",0,ROUND($E3663*$F3663,2))</f>
        <v/>
      </c>
    </row>
    <row r="3664">
      <c r="B3664" s="7" t="n"/>
      <c r="F3664" s="8" t="n"/>
      <c r="G3664" s="8">
        <f>IF($A3664="",0,ROUND($E3664*$F3664,2))</f>
        <v/>
      </c>
    </row>
    <row r="3665">
      <c r="B3665" s="7" t="n"/>
      <c r="F3665" s="8" t="n"/>
      <c r="G3665" s="8">
        <f>IF($A3665="",0,ROUND($E3665*$F3665,2))</f>
        <v/>
      </c>
    </row>
    <row r="3666">
      <c r="B3666" s="7" t="n"/>
      <c r="F3666" s="8" t="n"/>
      <c r="G3666" s="8">
        <f>IF($A3666="",0,ROUND($E3666*$F3666,2))</f>
        <v/>
      </c>
    </row>
    <row r="3667">
      <c r="B3667" s="7" t="n"/>
      <c r="F3667" s="8" t="n"/>
      <c r="G3667" s="8">
        <f>IF($A3667="",0,ROUND($E3667*$F3667,2))</f>
        <v/>
      </c>
    </row>
    <row r="3668">
      <c r="B3668" s="7" t="n"/>
      <c r="F3668" s="8" t="n"/>
      <c r="G3668" s="8">
        <f>IF($A3668="",0,ROUND($E3668*$F3668,2))</f>
        <v/>
      </c>
    </row>
    <row r="3669">
      <c r="B3669" s="7" t="n"/>
      <c r="F3669" s="8" t="n"/>
      <c r="G3669" s="8">
        <f>IF($A3669="",0,ROUND($E3669*$F3669,2))</f>
        <v/>
      </c>
    </row>
    <row r="3670">
      <c r="B3670" s="7" t="n"/>
      <c r="F3670" s="8" t="n"/>
      <c r="G3670" s="8">
        <f>IF($A3670="",0,ROUND($E3670*$F3670,2))</f>
        <v/>
      </c>
    </row>
    <row r="3671">
      <c r="B3671" s="7" t="n"/>
      <c r="F3671" s="8" t="n"/>
      <c r="G3671" s="8">
        <f>IF($A3671="",0,ROUND($E3671*$F3671,2))</f>
        <v/>
      </c>
    </row>
    <row r="3672">
      <c r="B3672" s="7" t="n"/>
      <c r="F3672" s="8" t="n"/>
      <c r="G3672" s="8">
        <f>IF($A3672="",0,ROUND($E3672*$F3672,2))</f>
        <v/>
      </c>
    </row>
    <row r="3673">
      <c r="B3673" s="7" t="n"/>
      <c r="F3673" s="8" t="n"/>
      <c r="G3673" s="8">
        <f>IF($A3673="",0,ROUND($E3673*$F3673,2))</f>
        <v/>
      </c>
    </row>
    <row r="3674">
      <c r="B3674" s="7" t="n"/>
      <c r="F3674" s="8" t="n"/>
      <c r="G3674" s="8">
        <f>IF($A3674="",0,ROUND($E3674*$F3674,2))</f>
        <v/>
      </c>
    </row>
    <row r="3675">
      <c r="B3675" s="7" t="n"/>
      <c r="F3675" s="8" t="n"/>
      <c r="G3675" s="8">
        <f>IF($A3675="",0,ROUND($E3675*$F3675,2))</f>
        <v/>
      </c>
    </row>
    <row r="3676">
      <c r="B3676" s="7" t="n"/>
      <c r="F3676" s="8" t="n"/>
      <c r="G3676" s="8">
        <f>IF($A3676="",0,ROUND($E3676*$F3676,2))</f>
        <v/>
      </c>
    </row>
    <row r="3677">
      <c r="B3677" s="7" t="n"/>
      <c r="F3677" s="8" t="n"/>
      <c r="G3677" s="8">
        <f>IF($A3677="",0,ROUND($E3677*$F3677,2))</f>
        <v/>
      </c>
    </row>
    <row r="3678">
      <c r="B3678" s="7" t="n"/>
      <c r="F3678" s="8" t="n"/>
      <c r="G3678" s="8">
        <f>IF($A3678="",0,ROUND($E3678*$F3678,2))</f>
        <v/>
      </c>
    </row>
    <row r="3679">
      <c r="B3679" s="7" t="n"/>
      <c r="F3679" s="8" t="n"/>
      <c r="G3679" s="8">
        <f>IF($A3679="",0,ROUND($E3679*$F3679,2))</f>
        <v/>
      </c>
    </row>
    <row r="3680">
      <c r="B3680" s="7" t="n"/>
      <c r="F3680" s="8" t="n"/>
      <c r="G3680" s="8">
        <f>IF($A3680="",0,ROUND($E3680*$F3680,2))</f>
        <v/>
      </c>
    </row>
    <row r="3681">
      <c r="B3681" s="7" t="n"/>
      <c r="F3681" s="8" t="n"/>
      <c r="G3681" s="8">
        <f>IF($A3681="",0,ROUND($E3681*$F3681,2))</f>
        <v/>
      </c>
    </row>
    <row r="3682">
      <c r="B3682" s="7" t="n"/>
      <c r="F3682" s="8" t="n"/>
      <c r="G3682" s="8">
        <f>IF($A3682="",0,ROUND($E3682*$F3682,2))</f>
        <v/>
      </c>
    </row>
    <row r="3683">
      <c r="B3683" s="7" t="n"/>
      <c r="F3683" s="8" t="n"/>
      <c r="G3683" s="8">
        <f>IF($A3683="",0,ROUND($E3683*$F3683,2))</f>
        <v/>
      </c>
    </row>
    <row r="3684">
      <c r="B3684" s="7" t="n"/>
      <c r="F3684" s="8" t="n"/>
      <c r="G3684" s="8">
        <f>IF($A3684="",0,ROUND($E3684*$F3684,2))</f>
        <v/>
      </c>
    </row>
    <row r="3685">
      <c r="B3685" s="7" t="n"/>
      <c r="F3685" s="8" t="n"/>
      <c r="G3685" s="8">
        <f>IF($A3685="",0,ROUND($E3685*$F3685,2))</f>
        <v/>
      </c>
    </row>
    <row r="3686">
      <c r="B3686" s="7" t="n"/>
      <c r="F3686" s="8" t="n"/>
      <c r="G3686" s="8">
        <f>IF($A3686="",0,ROUND($E3686*$F3686,2))</f>
        <v/>
      </c>
    </row>
    <row r="3687">
      <c r="B3687" s="7" t="n"/>
      <c r="F3687" s="8" t="n"/>
      <c r="G3687" s="8">
        <f>IF($A3687="",0,ROUND($E3687*$F3687,2))</f>
        <v/>
      </c>
    </row>
    <row r="3688">
      <c r="B3688" s="7" t="n"/>
      <c r="F3688" s="8" t="n"/>
      <c r="G3688" s="8">
        <f>IF($A3688="",0,ROUND($E3688*$F3688,2))</f>
        <v/>
      </c>
    </row>
    <row r="3689">
      <c r="B3689" s="7" t="n"/>
      <c r="F3689" s="8" t="n"/>
      <c r="G3689" s="8">
        <f>IF($A3689="",0,ROUND($E3689*$F3689,2))</f>
        <v/>
      </c>
    </row>
    <row r="3690">
      <c r="B3690" s="7" t="n"/>
      <c r="F3690" s="8" t="n"/>
      <c r="G3690" s="8">
        <f>IF($A3690="",0,ROUND($E3690*$F3690,2))</f>
        <v/>
      </c>
    </row>
    <row r="3691">
      <c r="B3691" s="7" t="n"/>
      <c r="F3691" s="8" t="n"/>
      <c r="G3691" s="8">
        <f>IF($A3691="",0,ROUND($E3691*$F3691,2))</f>
        <v/>
      </c>
    </row>
    <row r="3692">
      <c r="B3692" s="7" t="n"/>
      <c r="F3692" s="8" t="n"/>
      <c r="G3692" s="8">
        <f>IF($A3692="",0,ROUND($E3692*$F3692,2))</f>
        <v/>
      </c>
    </row>
    <row r="3693">
      <c r="B3693" s="7" t="n"/>
      <c r="F3693" s="8" t="n"/>
      <c r="G3693" s="8">
        <f>IF($A3693="",0,ROUND($E3693*$F3693,2))</f>
        <v/>
      </c>
    </row>
    <row r="3694">
      <c r="B3694" s="7" t="n"/>
      <c r="F3694" s="8" t="n"/>
      <c r="G3694" s="8">
        <f>IF($A3694="",0,ROUND($E3694*$F3694,2))</f>
        <v/>
      </c>
    </row>
    <row r="3695">
      <c r="B3695" s="7" t="n"/>
      <c r="F3695" s="8" t="n"/>
      <c r="G3695" s="8">
        <f>IF($A3695="",0,ROUND($E3695*$F3695,2))</f>
        <v/>
      </c>
    </row>
    <row r="3696">
      <c r="B3696" s="7" t="n"/>
      <c r="F3696" s="8" t="n"/>
      <c r="G3696" s="8">
        <f>IF($A3696="",0,ROUND($E3696*$F3696,2))</f>
        <v/>
      </c>
    </row>
    <row r="3697">
      <c r="B3697" s="7" t="n"/>
      <c r="F3697" s="8" t="n"/>
      <c r="G3697" s="8">
        <f>IF($A3697="",0,ROUND($E3697*$F3697,2))</f>
        <v/>
      </c>
    </row>
    <row r="3698">
      <c r="B3698" s="7" t="n"/>
      <c r="F3698" s="8" t="n"/>
      <c r="G3698" s="8">
        <f>IF($A3698="",0,ROUND($E3698*$F3698,2))</f>
        <v/>
      </c>
    </row>
    <row r="3699">
      <c r="B3699" s="7" t="n"/>
      <c r="F3699" s="8" t="n"/>
      <c r="G3699" s="8">
        <f>IF($A3699="",0,ROUND($E3699*$F3699,2))</f>
        <v/>
      </c>
    </row>
    <row r="3700">
      <c r="B3700" s="7" t="n"/>
      <c r="F3700" s="8" t="n"/>
      <c r="G3700" s="8">
        <f>IF($A3700="",0,ROUND($E3700*$F3700,2))</f>
        <v/>
      </c>
    </row>
    <row r="3701">
      <c r="B3701" s="7" t="n"/>
      <c r="F3701" s="8" t="n"/>
      <c r="G3701" s="8">
        <f>IF($A3701="",0,ROUND($E3701*$F3701,2))</f>
        <v/>
      </c>
    </row>
    <row r="3702">
      <c r="B3702" s="7" t="n"/>
      <c r="F3702" s="8" t="n"/>
      <c r="G3702" s="8">
        <f>IF($A3702="",0,ROUND($E3702*$F3702,2))</f>
        <v/>
      </c>
    </row>
    <row r="3703">
      <c r="B3703" s="7" t="n"/>
      <c r="F3703" s="8" t="n"/>
      <c r="G3703" s="8">
        <f>IF($A3703="",0,ROUND($E3703*$F3703,2))</f>
        <v/>
      </c>
    </row>
    <row r="3704">
      <c r="B3704" s="7" t="n"/>
      <c r="F3704" s="8" t="n"/>
      <c r="G3704" s="8">
        <f>IF($A3704="",0,ROUND($E3704*$F3704,2))</f>
        <v/>
      </c>
    </row>
    <row r="3705">
      <c r="B3705" s="7" t="n"/>
      <c r="F3705" s="8" t="n"/>
      <c r="G3705" s="8">
        <f>IF($A3705="",0,ROUND($E3705*$F3705,2))</f>
        <v/>
      </c>
    </row>
    <row r="3706">
      <c r="B3706" s="7" t="n"/>
      <c r="F3706" s="8" t="n"/>
      <c r="G3706" s="8">
        <f>IF($A3706="",0,ROUND($E3706*$F3706,2))</f>
        <v/>
      </c>
    </row>
    <row r="3707">
      <c r="B3707" s="7" t="n"/>
      <c r="F3707" s="8" t="n"/>
      <c r="G3707" s="8">
        <f>IF($A3707="",0,ROUND($E3707*$F3707,2))</f>
        <v/>
      </c>
    </row>
    <row r="3708">
      <c r="B3708" s="7" t="n"/>
      <c r="F3708" s="8" t="n"/>
      <c r="G3708" s="8">
        <f>IF($A3708="",0,ROUND($E3708*$F3708,2))</f>
        <v/>
      </c>
    </row>
    <row r="3709">
      <c r="B3709" s="7" t="n"/>
      <c r="F3709" s="8" t="n"/>
      <c r="G3709" s="8">
        <f>IF($A3709="",0,ROUND($E3709*$F3709,2))</f>
        <v/>
      </c>
    </row>
    <row r="3710">
      <c r="B3710" s="7" t="n"/>
      <c r="F3710" s="8" t="n"/>
      <c r="G3710" s="8">
        <f>IF($A3710="",0,ROUND($E3710*$F3710,2))</f>
        <v/>
      </c>
    </row>
    <row r="3711">
      <c r="B3711" s="7" t="n"/>
      <c r="F3711" s="8" t="n"/>
      <c r="G3711" s="8">
        <f>IF($A3711="",0,ROUND($E3711*$F3711,2))</f>
        <v/>
      </c>
    </row>
    <row r="3712">
      <c r="B3712" s="7" t="n"/>
      <c r="F3712" s="8" t="n"/>
      <c r="G3712" s="8">
        <f>IF($A3712="",0,ROUND($E3712*$F3712,2))</f>
        <v/>
      </c>
    </row>
    <row r="3713">
      <c r="B3713" s="7" t="n"/>
      <c r="F3713" s="8" t="n"/>
      <c r="G3713" s="8">
        <f>IF($A3713="",0,ROUND($E3713*$F3713,2))</f>
        <v/>
      </c>
    </row>
    <row r="3714">
      <c r="B3714" s="7" t="n"/>
      <c r="F3714" s="8" t="n"/>
      <c r="G3714" s="8">
        <f>IF($A3714="",0,ROUND($E3714*$F3714,2))</f>
        <v/>
      </c>
    </row>
    <row r="3715">
      <c r="B3715" s="7" t="n"/>
      <c r="F3715" s="8" t="n"/>
      <c r="G3715" s="8">
        <f>IF($A3715="",0,ROUND($E3715*$F3715,2))</f>
        <v/>
      </c>
    </row>
    <row r="3716">
      <c r="B3716" s="7" t="n"/>
      <c r="F3716" s="8" t="n"/>
      <c r="G3716" s="8">
        <f>IF($A3716="",0,ROUND($E3716*$F3716,2))</f>
        <v/>
      </c>
    </row>
    <row r="3717">
      <c r="B3717" s="7" t="n"/>
      <c r="F3717" s="8" t="n"/>
      <c r="G3717" s="8">
        <f>IF($A3717="",0,ROUND($E3717*$F3717,2))</f>
        <v/>
      </c>
    </row>
    <row r="3718">
      <c r="B3718" s="7" t="n"/>
      <c r="F3718" s="8" t="n"/>
      <c r="G3718" s="8">
        <f>IF($A3718="",0,ROUND($E3718*$F3718,2))</f>
        <v/>
      </c>
    </row>
    <row r="3719">
      <c r="B3719" s="7" t="n"/>
      <c r="F3719" s="8" t="n"/>
      <c r="G3719" s="8">
        <f>IF($A3719="",0,ROUND($E3719*$F3719,2))</f>
        <v/>
      </c>
    </row>
    <row r="3720">
      <c r="B3720" s="7" t="n"/>
      <c r="F3720" s="8" t="n"/>
      <c r="G3720" s="8">
        <f>IF($A3720="",0,ROUND($E3720*$F3720,2))</f>
        <v/>
      </c>
    </row>
    <row r="3721">
      <c r="B3721" s="7" t="n"/>
      <c r="F3721" s="8" t="n"/>
      <c r="G3721" s="8">
        <f>IF($A3721="",0,ROUND($E3721*$F3721,2))</f>
        <v/>
      </c>
    </row>
    <row r="3722">
      <c r="B3722" s="7" t="n"/>
      <c r="F3722" s="8" t="n"/>
      <c r="G3722" s="8">
        <f>IF($A3722="",0,ROUND($E3722*$F3722,2))</f>
        <v/>
      </c>
    </row>
    <row r="3723">
      <c r="B3723" s="7" t="n"/>
      <c r="F3723" s="8" t="n"/>
      <c r="G3723" s="8">
        <f>IF($A3723="",0,ROUND($E3723*$F3723,2))</f>
        <v/>
      </c>
    </row>
    <row r="3724">
      <c r="B3724" s="7" t="n"/>
      <c r="F3724" s="8" t="n"/>
      <c r="G3724" s="8">
        <f>IF($A3724="",0,ROUND($E3724*$F3724,2))</f>
        <v/>
      </c>
    </row>
    <row r="3725">
      <c r="B3725" s="7" t="n"/>
      <c r="F3725" s="8" t="n"/>
      <c r="G3725" s="8">
        <f>IF($A3725="",0,ROUND($E3725*$F3725,2))</f>
        <v/>
      </c>
    </row>
    <row r="3726">
      <c r="B3726" s="7" t="n"/>
      <c r="F3726" s="8" t="n"/>
      <c r="G3726" s="8">
        <f>IF($A3726="",0,ROUND($E3726*$F3726,2))</f>
        <v/>
      </c>
    </row>
    <row r="3727">
      <c r="B3727" s="7" t="n"/>
      <c r="F3727" s="8" t="n"/>
      <c r="G3727" s="8">
        <f>IF($A3727="",0,ROUND($E3727*$F3727,2))</f>
        <v/>
      </c>
    </row>
    <row r="3728">
      <c r="B3728" s="7" t="n"/>
      <c r="F3728" s="8" t="n"/>
      <c r="G3728" s="8">
        <f>IF($A3728="",0,ROUND($E3728*$F3728,2))</f>
        <v/>
      </c>
    </row>
    <row r="3729">
      <c r="B3729" s="7" t="n"/>
      <c r="F3729" s="8" t="n"/>
      <c r="G3729" s="8">
        <f>IF($A3729="",0,ROUND($E3729*$F3729,2))</f>
        <v/>
      </c>
    </row>
    <row r="3730">
      <c r="B3730" s="7" t="n"/>
      <c r="F3730" s="8" t="n"/>
      <c r="G3730" s="8">
        <f>IF($A3730="",0,ROUND($E3730*$F3730,2))</f>
        <v/>
      </c>
    </row>
    <row r="3731">
      <c r="B3731" s="7" t="n"/>
      <c r="F3731" s="8" t="n"/>
      <c r="G3731" s="8">
        <f>IF($A3731="",0,ROUND($E3731*$F3731,2))</f>
        <v/>
      </c>
    </row>
    <row r="3732">
      <c r="B3732" s="7" t="n"/>
      <c r="F3732" s="8" t="n"/>
      <c r="G3732" s="8">
        <f>IF($A3732="",0,ROUND($E3732*$F3732,2))</f>
        <v/>
      </c>
    </row>
    <row r="3733">
      <c r="B3733" s="7" t="n"/>
      <c r="F3733" s="8" t="n"/>
      <c r="G3733" s="8">
        <f>IF($A3733="",0,ROUND($E3733*$F3733,2))</f>
        <v/>
      </c>
    </row>
    <row r="3734">
      <c r="B3734" s="7" t="n"/>
      <c r="F3734" s="8" t="n"/>
      <c r="G3734" s="8">
        <f>IF($A3734="",0,ROUND($E3734*$F3734,2))</f>
        <v/>
      </c>
    </row>
    <row r="3735">
      <c r="B3735" s="7" t="n"/>
      <c r="F3735" s="8" t="n"/>
      <c r="G3735" s="8">
        <f>IF($A3735="",0,ROUND($E3735*$F3735,2))</f>
        <v/>
      </c>
    </row>
    <row r="3736">
      <c r="B3736" s="7" t="n"/>
      <c r="F3736" s="8" t="n"/>
      <c r="G3736" s="8">
        <f>IF($A3736="",0,ROUND($E3736*$F3736,2))</f>
        <v/>
      </c>
    </row>
    <row r="3737">
      <c r="B3737" s="7" t="n"/>
      <c r="F3737" s="8" t="n"/>
      <c r="G3737" s="8">
        <f>IF($A3737="",0,ROUND($E3737*$F3737,2))</f>
        <v/>
      </c>
    </row>
    <row r="3738">
      <c r="B3738" s="7" t="n"/>
      <c r="F3738" s="8" t="n"/>
      <c r="G3738" s="8">
        <f>IF($A3738="",0,ROUND($E3738*$F3738,2))</f>
        <v/>
      </c>
    </row>
    <row r="3739">
      <c r="B3739" s="7" t="n"/>
      <c r="F3739" s="8" t="n"/>
      <c r="G3739" s="8">
        <f>IF($A3739="",0,ROUND($E3739*$F3739,2))</f>
        <v/>
      </c>
    </row>
    <row r="3740">
      <c r="B3740" s="7" t="n"/>
      <c r="F3740" s="8" t="n"/>
      <c r="G3740" s="8">
        <f>IF($A3740="",0,ROUND($E3740*$F3740,2))</f>
        <v/>
      </c>
    </row>
    <row r="3741">
      <c r="B3741" s="7" t="n"/>
      <c r="F3741" s="8" t="n"/>
      <c r="G3741" s="8">
        <f>IF($A3741="",0,ROUND($E3741*$F3741,2))</f>
        <v/>
      </c>
    </row>
    <row r="3742">
      <c r="B3742" s="7" t="n"/>
      <c r="F3742" s="8" t="n"/>
      <c r="G3742" s="8">
        <f>IF($A3742="",0,ROUND($E3742*$F3742,2))</f>
        <v/>
      </c>
    </row>
    <row r="3743">
      <c r="B3743" s="7" t="n"/>
      <c r="F3743" s="8" t="n"/>
      <c r="G3743" s="8">
        <f>IF($A3743="",0,ROUND($E3743*$F3743,2))</f>
        <v/>
      </c>
    </row>
    <row r="3744">
      <c r="B3744" s="7" t="n"/>
      <c r="F3744" s="8" t="n"/>
      <c r="G3744" s="8">
        <f>IF($A3744="",0,ROUND($E3744*$F3744,2))</f>
        <v/>
      </c>
    </row>
    <row r="3745">
      <c r="B3745" s="7" t="n"/>
      <c r="F3745" s="8" t="n"/>
      <c r="G3745" s="8">
        <f>IF($A3745="",0,ROUND($E3745*$F3745,2))</f>
        <v/>
      </c>
    </row>
    <row r="3746">
      <c r="B3746" s="7" t="n"/>
      <c r="F3746" s="8" t="n"/>
      <c r="G3746" s="8">
        <f>IF($A3746="",0,ROUND($E3746*$F3746,2))</f>
        <v/>
      </c>
    </row>
    <row r="3747">
      <c r="B3747" s="7" t="n"/>
      <c r="F3747" s="8" t="n"/>
      <c r="G3747" s="8">
        <f>IF($A3747="",0,ROUND($E3747*$F3747,2))</f>
        <v/>
      </c>
    </row>
    <row r="3748">
      <c r="B3748" s="7" t="n"/>
      <c r="F3748" s="8" t="n"/>
      <c r="G3748" s="8">
        <f>IF($A3748="",0,ROUND($E3748*$F3748,2))</f>
        <v/>
      </c>
    </row>
    <row r="3749">
      <c r="B3749" s="7" t="n"/>
      <c r="F3749" s="8" t="n"/>
      <c r="G3749" s="8">
        <f>IF($A3749="",0,ROUND($E3749*$F3749,2))</f>
        <v/>
      </c>
    </row>
    <row r="3750">
      <c r="B3750" s="7" t="n"/>
      <c r="F3750" s="8" t="n"/>
      <c r="G3750" s="8">
        <f>IF($A3750="",0,ROUND($E3750*$F3750,2))</f>
        <v/>
      </c>
    </row>
    <row r="3751">
      <c r="B3751" s="7" t="n"/>
      <c r="F3751" s="8" t="n"/>
      <c r="G3751" s="8">
        <f>IF($A3751="",0,ROUND($E3751*$F3751,2))</f>
        <v/>
      </c>
    </row>
    <row r="3752">
      <c r="B3752" s="7" t="n"/>
      <c r="F3752" s="8" t="n"/>
      <c r="G3752" s="8">
        <f>IF($A3752="",0,ROUND($E3752*$F3752,2))</f>
        <v/>
      </c>
    </row>
    <row r="3753">
      <c r="B3753" s="7" t="n"/>
      <c r="F3753" s="8" t="n"/>
      <c r="G3753" s="8">
        <f>IF($A3753="",0,ROUND($E3753*$F3753,2))</f>
        <v/>
      </c>
    </row>
    <row r="3754">
      <c r="B3754" s="7" t="n"/>
      <c r="F3754" s="8" t="n"/>
      <c r="G3754" s="8">
        <f>IF($A3754="",0,ROUND($E3754*$F3754,2))</f>
        <v/>
      </c>
    </row>
    <row r="3755">
      <c r="B3755" s="7" t="n"/>
      <c r="F3755" s="8" t="n"/>
      <c r="G3755" s="8">
        <f>IF($A3755="",0,ROUND($E3755*$F3755,2))</f>
        <v/>
      </c>
    </row>
    <row r="3756">
      <c r="B3756" s="7" t="n"/>
      <c r="F3756" s="8" t="n"/>
      <c r="G3756" s="8">
        <f>IF($A3756="",0,ROUND($E3756*$F3756,2))</f>
        <v/>
      </c>
    </row>
    <row r="3757">
      <c r="B3757" s="7" t="n"/>
      <c r="F3757" s="8" t="n"/>
      <c r="G3757" s="8">
        <f>IF($A3757="",0,ROUND($E3757*$F3757,2))</f>
        <v/>
      </c>
    </row>
    <row r="3758">
      <c r="B3758" s="7" t="n"/>
      <c r="F3758" s="8" t="n"/>
      <c r="G3758" s="8">
        <f>IF($A3758="",0,ROUND($E3758*$F3758,2))</f>
        <v/>
      </c>
    </row>
    <row r="3759">
      <c r="B3759" s="7" t="n"/>
      <c r="F3759" s="8" t="n"/>
      <c r="G3759" s="8">
        <f>IF($A3759="",0,ROUND($E3759*$F3759,2))</f>
        <v/>
      </c>
    </row>
    <row r="3760">
      <c r="B3760" s="7" t="n"/>
      <c r="F3760" s="8" t="n"/>
      <c r="G3760" s="8">
        <f>IF($A3760="",0,ROUND($E3760*$F3760,2))</f>
        <v/>
      </c>
    </row>
    <row r="3761">
      <c r="B3761" s="7" t="n"/>
      <c r="F3761" s="8" t="n"/>
      <c r="G3761" s="8">
        <f>IF($A3761="",0,ROUND($E3761*$F3761,2))</f>
        <v/>
      </c>
    </row>
    <row r="3762">
      <c r="B3762" s="7" t="n"/>
      <c r="F3762" s="8" t="n"/>
      <c r="G3762" s="8">
        <f>IF($A3762="",0,ROUND($E3762*$F3762,2))</f>
        <v/>
      </c>
    </row>
    <row r="3763">
      <c r="B3763" s="7" t="n"/>
      <c r="F3763" s="8" t="n"/>
      <c r="G3763" s="8">
        <f>IF($A3763="",0,ROUND($E3763*$F3763,2))</f>
        <v/>
      </c>
    </row>
    <row r="3764">
      <c r="B3764" s="7" t="n"/>
      <c r="F3764" s="8" t="n"/>
      <c r="G3764" s="8">
        <f>IF($A3764="",0,ROUND($E3764*$F3764,2))</f>
        <v/>
      </c>
    </row>
    <row r="3765">
      <c r="B3765" s="7" t="n"/>
      <c r="F3765" s="8" t="n"/>
      <c r="G3765" s="8">
        <f>IF($A3765="",0,ROUND($E3765*$F3765,2))</f>
        <v/>
      </c>
    </row>
    <row r="3766">
      <c r="B3766" s="7" t="n"/>
      <c r="F3766" s="8" t="n"/>
      <c r="G3766" s="8">
        <f>IF($A3766="",0,ROUND($E3766*$F3766,2))</f>
        <v/>
      </c>
    </row>
    <row r="3767">
      <c r="B3767" s="7" t="n"/>
      <c r="F3767" s="8" t="n"/>
      <c r="G3767" s="8">
        <f>IF($A3767="",0,ROUND($E3767*$F3767,2))</f>
        <v/>
      </c>
    </row>
    <row r="3768">
      <c r="B3768" s="7" t="n"/>
      <c r="F3768" s="8" t="n"/>
      <c r="G3768" s="8">
        <f>IF($A3768="",0,ROUND($E3768*$F3768,2))</f>
        <v/>
      </c>
    </row>
    <row r="3769">
      <c r="B3769" s="7" t="n"/>
      <c r="F3769" s="8" t="n"/>
      <c r="G3769" s="8">
        <f>IF($A3769="",0,ROUND($E3769*$F3769,2))</f>
        <v/>
      </c>
    </row>
    <row r="3770">
      <c r="B3770" s="7" t="n"/>
      <c r="F3770" s="8" t="n"/>
      <c r="G3770" s="8">
        <f>IF($A3770="",0,ROUND($E3770*$F3770,2))</f>
        <v/>
      </c>
    </row>
    <row r="3771">
      <c r="B3771" s="7" t="n"/>
      <c r="F3771" s="8" t="n"/>
      <c r="G3771" s="8">
        <f>IF($A3771="",0,ROUND($E3771*$F3771,2))</f>
        <v/>
      </c>
    </row>
    <row r="3772">
      <c r="B3772" s="7" t="n"/>
      <c r="F3772" s="8" t="n"/>
      <c r="G3772" s="8">
        <f>IF($A3772="",0,ROUND($E3772*$F3772,2))</f>
        <v/>
      </c>
    </row>
    <row r="3773">
      <c r="B3773" s="7" t="n"/>
      <c r="F3773" s="8" t="n"/>
      <c r="G3773" s="8">
        <f>IF($A3773="",0,ROUND($E3773*$F3773,2))</f>
        <v/>
      </c>
    </row>
    <row r="3774">
      <c r="B3774" s="7" t="n"/>
      <c r="F3774" s="8" t="n"/>
      <c r="G3774" s="8">
        <f>IF($A3774="",0,ROUND($E3774*$F3774,2))</f>
        <v/>
      </c>
    </row>
    <row r="3775">
      <c r="B3775" s="7" t="n"/>
      <c r="F3775" s="8" t="n"/>
      <c r="G3775" s="8">
        <f>IF($A3775="",0,ROUND($E3775*$F3775,2))</f>
        <v/>
      </c>
    </row>
    <row r="3776">
      <c r="B3776" s="7" t="n"/>
      <c r="F3776" s="8" t="n"/>
      <c r="G3776" s="8">
        <f>IF($A3776="",0,ROUND($E3776*$F3776,2))</f>
        <v/>
      </c>
    </row>
    <row r="3777">
      <c r="B3777" s="7" t="n"/>
      <c r="F3777" s="8" t="n"/>
      <c r="G3777" s="8">
        <f>IF($A3777="",0,ROUND($E3777*$F3777,2))</f>
        <v/>
      </c>
    </row>
    <row r="3778">
      <c r="B3778" s="7" t="n"/>
      <c r="F3778" s="8" t="n"/>
      <c r="G3778" s="8">
        <f>IF($A3778="",0,ROUND($E3778*$F3778,2))</f>
        <v/>
      </c>
    </row>
    <row r="3779">
      <c r="B3779" s="7" t="n"/>
      <c r="F3779" s="8" t="n"/>
      <c r="G3779" s="8">
        <f>IF($A3779="",0,ROUND($E3779*$F3779,2))</f>
        <v/>
      </c>
    </row>
    <row r="3780">
      <c r="B3780" s="7" t="n"/>
      <c r="F3780" s="8" t="n"/>
      <c r="G3780" s="8">
        <f>IF($A3780="",0,ROUND($E3780*$F3780,2))</f>
        <v/>
      </c>
    </row>
    <row r="3781">
      <c r="B3781" s="7" t="n"/>
      <c r="F3781" s="8" t="n"/>
      <c r="G3781" s="8">
        <f>IF($A3781="",0,ROUND($E3781*$F3781,2))</f>
        <v/>
      </c>
    </row>
    <row r="3782">
      <c r="B3782" s="7" t="n"/>
      <c r="F3782" s="8" t="n"/>
      <c r="G3782" s="8">
        <f>IF($A3782="",0,ROUND($E3782*$F3782,2))</f>
        <v/>
      </c>
    </row>
    <row r="3783">
      <c r="B3783" s="7" t="n"/>
      <c r="F3783" s="8" t="n"/>
      <c r="G3783" s="8">
        <f>IF($A3783="",0,ROUND($E3783*$F3783,2))</f>
        <v/>
      </c>
    </row>
    <row r="3784">
      <c r="B3784" s="7" t="n"/>
      <c r="F3784" s="8" t="n"/>
      <c r="G3784" s="8">
        <f>IF($A3784="",0,ROUND($E3784*$F3784,2))</f>
        <v/>
      </c>
    </row>
    <row r="3785">
      <c r="B3785" s="7" t="n"/>
      <c r="F3785" s="8" t="n"/>
      <c r="G3785" s="8">
        <f>IF($A3785="",0,ROUND($E3785*$F3785,2))</f>
        <v/>
      </c>
    </row>
    <row r="3786">
      <c r="B3786" s="7" t="n"/>
      <c r="F3786" s="8" t="n"/>
      <c r="G3786" s="8">
        <f>IF($A3786="",0,ROUND($E3786*$F3786,2))</f>
        <v/>
      </c>
    </row>
    <row r="3787">
      <c r="B3787" s="7" t="n"/>
      <c r="F3787" s="8" t="n"/>
      <c r="G3787" s="8">
        <f>IF($A3787="",0,ROUND($E3787*$F3787,2))</f>
        <v/>
      </c>
    </row>
    <row r="3788">
      <c r="B3788" s="7" t="n"/>
      <c r="F3788" s="8" t="n"/>
      <c r="G3788" s="8">
        <f>IF($A3788="",0,ROUND($E3788*$F3788,2))</f>
        <v/>
      </c>
    </row>
    <row r="3789">
      <c r="B3789" s="7" t="n"/>
      <c r="F3789" s="8" t="n"/>
      <c r="G3789" s="8">
        <f>IF($A3789="",0,ROUND($E3789*$F3789,2))</f>
        <v/>
      </c>
    </row>
    <row r="3790">
      <c r="B3790" s="7" t="n"/>
      <c r="F3790" s="8" t="n"/>
      <c r="G3790" s="8">
        <f>IF($A3790="",0,ROUND($E3790*$F3790,2))</f>
        <v/>
      </c>
    </row>
    <row r="3791">
      <c r="B3791" s="7" t="n"/>
      <c r="F3791" s="8" t="n"/>
      <c r="G3791" s="8">
        <f>IF($A3791="",0,ROUND($E3791*$F3791,2))</f>
        <v/>
      </c>
    </row>
    <row r="3792">
      <c r="B3792" s="7" t="n"/>
      <c r="F3792" s="8" t="n"/>
      <c r="G3792" s="8">
        <f>IF($A3792="",0,ROUND($E3792*$F3792,2))</f>
        <v/>
      </c>
    </row>
    <row r="3793">
      <c r="B3793" s="7" t="n"/>
      <c r="F3793" s="8" t="n"/>
      <c r="G3793" s="8">
        <f>IF($A3793="",0,ROUND($E3793*$F3793,2))</f>
        <v/>
      </c>
    </row>
    <row r="3794">
      <c r="B3794" s="7" t="n"/>
      <c r="F3794" s="8" t="n"/>
      <c r="G3794" s="8">
        <f>IF($A3794="",0,ROUND($E3794*$F3794,2))</f>
        <v/>
      </c>
    </row>
    <row r="3795">
      <c r="B3795" s="7" t="n"/>
      <c r="F3795" s="8" t="n"/>
      <c r="G3795" s="8">
        <f>IF($A3795="",0,ROUND($E3795*$F3795,2))</f>
        <v/>
      </c>
    </row>
    <row r="3796">
      <c r="B3796" s="7" t="n"/>
      <c r="F3796" s="8" t="n"/>
      <c r="G3796" s="8">
        <f>IF($A3796="",0,ROUND($E3796*$F3796,2))</f>
        <v/>
      </c>
    </row>
    <row r="3797">
      <c r="B3797" s="7" t="n"/>
      <c r="F3797" s="8" t="n"/>
      <c r="G3797" s="8">
        <f>IF($A3797="",0,ROUND($E3797*$F3797,2))</f>
        <v/>
      </c>
    </row>
    <row r="3798">
      <c r="B3798" s="7" t="n"/>
      <c r="F3798" s="8" t="n"/>
      <c r="G3798" s="8">
        <f>IF($A3798="",0,ROUND($E3798*$F3798,2))</f>
        <v/>
      </c>
    </row>
    <row r="3799">
      <c r="B3799" s="7" t="n"/>
      <c r="F3799" s="8" t="n"/>
      <c r="G3799" s="8">
        <f>IF($A3799="",0,ROUND($E3799*$F3799,2))</f>
        <v/>
      </c>
    </row>
    <row r="3800">
      <c r="B3800" s="7" t="n"/>
      <c r="F3800" s="8" t="n"/>
      <c r="G3800" s="8">
        <f>IF($A3800="",0,ROUND($E3800*$F3800,2))</f>
        <v/>
      </c>
    </row>
    <row r="3801">
      <c r="B3801" s="7" t="n"/>
      <c r="F3801" s="8" t="n"/>
      <c r="G3801" s="8">
        <f>IF($A3801="",0,ROUND($E3801*$F3801,2))</f>
        <v/>
      </c>
    </row>
    <row r="3802">
      <c r="B3802" s="7" t="n"/>
      <c r="F3802" s="8" t="n"/>
      <c r="G3802" s="8">
        <f>IF($A3802="",0,ROUND($E3802*$F3802,2))</f>
        <v/>
      </c>
    </row>
    <row r="3803">
      <c r="B3803" s="7" t="n"/>
      <c r="F3803" s="8" t="n"/>
      <c r="G3803" s="8">
        <f>IF($A3803="",0,ROUND($E3803*$F3803,2))</f>
        <v/>
      </c>
    </row>
    <row r="3804">
      <c r="B3804" s="7" t="n"/>
      <c r="F3804" s="8" t="n"/>
      <c r="G3804" s="8">
        <f>IF($A3804="",0,ROUND($E3804*$F3804,2))</f>
        <v/>
      </c>
    </row>
    <row r="3805">
      <c r="B3805" s="7" t="n"/>
      <c r="F3805" s="8" t="n"/>
      <c r="G3805" s="8">
        <f>IF($A3805="",0,ROUND($E3805*$F3805,2))</f>
        <v/>
      </c>
    </row>
    <row r="3806">
      <c r="B3806" s="7" t="n"/>
      <c r="F3806" s="8" t="n"/>
      <c r="G3806" s="8">
        <f>IF($A3806="",0,ROUND($E3806*$F3806,2))</f>
        <v/>
      </c>
    </row>
    <row r="3807">
      <c r="B3807" s="7" t="n"/>
      <c r="F3807" s="8" t="n"/>
      <c r="G3807" s="8">
        <f>IF($A3807="",0,ROUND($E3807*$F3807,2))</f>
        <v/>
      </c>
    </row>
    <row r="3808">
      <c r="B3808" s="7" t="n"/>
      <c r="F3808" s="8" t="n"/>
      <c r="G3808" s="8">
        <f>IF($A3808="",0,ROUND($E3808*$F3808,2))</f>
        <v/>
      </c>
    </row>
    <row r="3809">
      <c r="B3809" s="7" t="n"/>
      <c r="F3809" s="8" t="n"/>
      <c r="G3809" s="8">
        <f>IF($A3809="",0,ROUND($E3809*$F3809,2))</f>
        <v/>
      </c>
    </row>
    <row r="3810">
      <c r="B3810" s="7" t="n"/>
      <c r="F3810" s="8" t="n"/>
      <c r="G3810" s="8">
        <f>IF($A3810="",0,ROUND($E3810*$F3810,2))</f>
        <v/>
      </c>
    </row>
    <row r="3811">
      <c r="B3811" s="7" t="n"/>
      <c r="F3811" s="8" t="n"/>
      <c r="G3811" s="8">
        <f>IF($A3811="",0,ROUND($E3811*$F3811,2))</f>
        <v/>
      </c>
    </row>
    <row r="3812">
      <c r="B3812" s="7" t="n"/>
      <c r="F3812" s="8" t="n"/>
      <c r="G3812" s="8">
        <f>IF($A3812="",0,ROUND($E3812*$F3812,2))</f>
        <v/>
      </c>
    </row>
    <row r="3813">
      <c r="B3813" s="7" t="n"/>
      <c r="F3813" s="8" t="n"/>
      <c r="G3813" s="8">
        <f>IF($A3813="",0,ROUND($E3813*$F3813,2))</f>
        <v/>
      </c>
    </row>
    <row r="3814">
      <c r="B3814" s="7" t="n"/>
      <c r="F3814" s="8" t="n"/>
      <c r="G3814" s="8">
        <f>IF($A3814="",0,ROUND($E3814*$F3814,2))</f>
        <v/>
      </c>
    </row>
    <row r="3815">
      <c r="B3815" s="7" t="n"/>
      <c r="F3815" s="8" t="n"/>
      <c r="G3815" s="8">
        <f>IF($A3815="",0,ROUND($E3815*$F3815,2))</f>
        <v/>
      </c>
    </row>
    <row r="3816">
      <c r="B3816" s="7" t="n"/>
      <c r="F3816" s="8" t="n"/>
      <c r="G3816" s="8">
        <f>IF($A3816="",0,ROUND($E3816*$F3816,2))</f>
        <v/>
      </c>
    </row>
    <row r="3817">
      <c r="B3817" s="7" t="n"/>
      <c r="F3817" s="8" t="n"/>
      <c r="G3817" s="8">
        <f>IF($A3817="",0,ROUND($E3817*$F3817,2))</f>
        <v/>
      </c>
    </row>
    <row r="3818">
      <c r="B3818" s="7" t="n"/>
      <c r="F3818" s="8" t="n"/>
      <c r="G3818" s="8">
        <f>IF($A3818="",0,ROUND($E3818*$F3818,2))</f>
        <v/>
      </c>
    </row>
    <row r="3819">
      <c r="B3819" s="7" t="n"/>
      <c r="F3819" s="8" t="n"/>
      <c r="G3819" s="8">
        <f>IF($A3819="",0,ROUND($E3819*$F3819,2))</f>
        <v/>
      </c>
    </row>
    <row r="3820">
      <c r="B3820" s="7" t="n"/>
      <c r="F3820" s="8" t="n"/>
      <c r="G3820" s="8">
        <f>IF($A3820="",0,ROUND($E3820*$F3820,2))</f>
        <v/>
      </c>
    </row>
    <row r="3821">
      <c r="B3821" s="7" t="n"/>
      <c r="F3821" s="8" t="n"/>
      <c r="G3821" s="8">
        <f>IF($A3821="",0,ROUND($E3821*$F3821,2))</f>
        <v/>
      </c>
    </row>
    <row r="3822">
      <c r="B3822" s="7" t="n"/>
      <c r="F3822" s="8" t="n"/>
      <c r="G3822" s="8">
        <f>IF($A3822="",0,ROUND($E3822*$F3822,2))</f>
        <v/>
      </c>
    </row>
    <row r="3823">
      <c r="B3823" s="7" t="n"/>
      <c r="F3823" s="8" t="n"/>
      <c r="G3823" s="8">
        <f>IF($A3823="",0,ROUND($E3823*$F3823,2))</f>
        <v/>
      </c>
    </row>
    <row r="3824">
      <c r="B3824" s="7" t="n"/>
      <c r="F3824" s="8" t="n"/>
      <c r="G3824" s="8">
        <f>IF($A3824="",0,ROUND($E3824*$F3824,2))</f>
        <v/>
      </c>
    </row>
    <row r="3825">
      <c r="B3825" s="7" t="n"/>
      <c r="F3825" s="8" t="n"/>
      <c r="G3825" s="8">
        <f>IF($A3825="",0,ROUND($E3825*$F3825,2))</f>
        <v/>
      </c>
    </row>
    <row r="3826">
      <c r="B3826" s="7" t="n"/>
      <c r="F3826" s="8" t="n"/>
      <c r="G3826" s="8">
        <f>IF($A3826="",0,ROUND($E3826*$F3826,2))</f>
        <v/>
      </c>
    </row>
    <row r="3827">
      <c r="B3827" s="7" t="n"/>
      <c r="F3827" s="8" t="n"/>
      <c r="G3827" s="8">
        <f>IF($A3827="",0,ROUND($E3827*$F3827,2))</f>
        <v/>
      </c>
    </row>
    <row r="3828">
      <c r="B3828" s="7" t="n"/>
      <c r="F3828" s="8" t="n"/>
      <c r="G3828" s="8">
        <f>IF($A3828="",0,ROUND($E3828*$F3828,2))</f>
        <v/>
      </c>
    </row>
    <row r="3829">
      <c r="B3829" s="7" t="n"/>
      <c r="F3829" s="8" t="n"/>
      <c r="G3829" s="8">
        <f>IF($A3829="",0,ROUND($E3829*$F3829,2))</f>
        <v/>
      </c>
    </row>
    <row r="3830">
      <c r="B3830" s="7" t="n"/>
      <c r="F3830" s="8" t="n"/>
      <c r="G3830" s="8">
        <f>IF($A3830="",0,ROUND($E3830*$F3830,2))</f>
        <v/>
      </c>
    </row>
    <row r="3831">
      <c r="B3831" s="7" t="n"/>
      <c r="F3831" s="8" t="n"/>
      <c r="G3831" s="8">
        <f>IF($A3831="",0,ROUND($E3831*$F3831,2))</f>
        <v/>
      </c>
    </row>
    <row r="3832">
      <c r="B3832" s="7" t="n"/>
      <c r="F3832" s="8" t="n"/>
      <c r="G3832" s="8">
        <f>IF($A3832="",0,ROUND($E3832*$F3832,2))</f>
        <v/>
      </c>
    </row>
    <row r="3833">
      <c r="B3833" s="7" t="n"/>
      <c r="F3833" s="8" t="n"/>
      <c r="G3833" s="8">
        <f>IF($A3833="",0,ROUND($E3833*$F3833,2))</f>
        <v/>
      </c>
    </row>
    <row r="3834">
      <c r="B3834" s="7" t="n"/>
      <c r="F3834" s="8" t="n"/>
      <c r="G3834" s="8">
        <f>IF($A3834="",0,ROUND($E3834*$F3834,2))</f>
        <v/>
      </c>
    </row>
    <row r="3835">
      <c r="B3835" s="7" t="n"/>
      <c r="F3835" s="8" t="n"/>
      <c r="G3835" s="8">
        <f>IF($A3835="",0,ROUND($E3835*$F3835,2))</f>
        <v/>
      </c>
    </row>
    <row r="3836">
      <c r="B3836" s="7" t="n"/>
      <c r="F3836" s="8" t="n"/>
      <c r="G3836" s="8">
        <f>IF($A3836="",0,ROUND($E3836*$F3836,2))</f>
        <v/>
      </c>
    </row>
    <row r="3837">
      <c r="B3837" s="7" t="n"/>
      <c r="F3837" s="8" t="n"/>
      <c r="G3837" s="8">
        <f>IF($A3837="",0,ROUND($E3837*$F3837,2))</f>
        <v/>
      </c>
    </row>
    <row r="3838">
      <c r="B3838" s="7" t="n"/>
      <c r="F3838" s="8" t="n"/>
      <c r="G3838" s="8">
        <f>IF($A3838="",0,ROUND($E3838*$F3838,2))</f>
        <v/>
      </c>
    </row>
    <row r="3839">
      <c r="B3839" s="7" t="n"/>
      <c r="F3839" s="8" t="n"/>
      <c r="G3839" s="8">
        <f>IF($A3839="",0,ROUND($E3839*$F3839,2))</f>
        <v/>
      </c>
    </row>
    <row r="3840">
      <c r="B3840" s="7" t="n"/>
      <c r="F3840" s="8" t="n"/>
      <c r="G3840" s="8">
        <f>IF($A3840="",0,ROUND($E3840*$F3840,2))</f>
        <v/>
      </c>
    </row>
    <row r="3841">
      <c r="B3841" s="7" t="n"/>
      <c r="F3841" s="8" t="n"/>
      <c r="G3841" s="8">
        <f>IF($A3841="",0,ROUND($E3841*$F3841,2))</f>
        <v/>
      </c>
    </row>
    <row r="3842">
      <c r="B3842" s="7" t="n"/>
      <c r="F3842" s="8" t="n"/>
      <c r="G3842" s="8">
        <f>IF($A3842="",0,ROUND($E3842*$F3842,2))</f>
        <v/>
      </c>
    </row>
    <row r="3843">
      <c r="B3843" s="7" t="n"/>
      <c r="F3843" s="8" t="n"/>
      <c r="G3843" s="8">
        <f>IF($A3843="",0,ROUND($E3843*$F3843,2))</f>
        <v/>
      </c>
    </row>
    <row r="3844">
      <c r="B3844" s="7" t="n"/>
      <c r="F3844" s="8" t="n"/>
      <c r="G3844" s="8">
        <f>IF($A3844="",0,ROUND($E3844*$F3844,2))</f>
        <v/>
      </c>
    </row>
    <row r="3845">
      <c r="B3845" s="7" t="n"/>
      <c r="F3845" s="8" t="n"/>
      <c r="G3845" s="8">
        <f>IF($A3845="",0,ROUND($E3845*$F3845,2))</f>
        <v/>
      </c>
    </row>
    <row r="3846">
      <c r="B3846" s="7" t="n"/>
      <c r="F3846" s="8" t="n"/>
      <c r="G3846" s="8">
        <f>IF($A3846="",0,ROUND($E3846*$F3846,2))</f>
        <v/>
      </c>
    </row>
    <row r="3847">
      <c r="B3847" s="7" t="n"/>
      <c r="F3847" s="8" t="n"/>
      <c r="G3847" s="8">
        <f>IF($A3847="",0,ROUND($E3847*$F3847,2))</f>
        <v/>
      </c>
    </row>
    <row r="3848">
      <c r="B3848" s="7" t="n"/>
      <c r="F3848" s="8" t="n"/>
      <c r="G3848" s="8">
        <f>IF($A3848="",0,ROUND($E3848*$F3848,2))</f>
        <v/>
      </c>
    </row>
    <row r="3849">
      <c r="B3849" s="7" t="n"/>
      <c r="F3849" s="8" t="n"/>
      <c r="G3849" s="8">
        <f>IF($A3849="",0,ROUND($E3849*$F3849,2))</f>
        <v/>
      </c>
    </row>
    <row r="3850">
      <c r="B3850" s="7" t="n"/>
      <c r="F3850" s="8" t="n"/>
      <c r="G3850" s="8">
        <f>IF($A3850="",0,ROUND($E3850*$F3850,2))</f>
        <v/>
      </c>
    </row>
    <row r="3851">
      <c r="B3851" s="7" t="n"/>
      <c r="F3851" s="8" t="n"/>
      <c r="G3851" s="8">
        <f>IF($A3851="",0,ROUND($E3851*$F3851,2))</f>
        <v/>
      </c>
    </row>
    <row r="3852">
      <c r="B3852" s="7" t="n"/>
      <c r="F3852" s="8" t="n"/>
      <c r="G3852" s="8">
        <f>IF($A3852="",0,ROUND($E3852*$F3852,2))</f>
        <v/>
      </c>
    </row>
    <row r="3853">
      <c r="B3853" s="7" t="n"/>
      <c r="F3853" s="8" t="n"/>
      <c r="G3853" s="8">
        <f>IF($A3853="",0,ROUND($E3853*$F3853,2))</f>
        <v/>
      </c>
    </row>
    <row r="3854">
      <c r="B3854" s="7" t="n"/>
      <c r="F3854" s="8" t="n"/>
      <c r="G3854" s="8">
        <f>IF($A3854="",0,ROUND($E3854*$F3854,2))</f>
        <v/>
      </c>
    </row>
    <row r="3855">
      <c r="B3855" s="7" t="n"/>
      <c r="F3855" s="8" t="n"/>
      <c r="G3855" s="8">
        <f>IF($A3855="",0,ROUND($E3855*$F3855,2))</f>
        <v/>
      </c>
    </row>
    <row r="3856">
      <c r="B3856" s="7" t="n"/>
      <c r="F3856" s="8" t="n"/>
      <c r="G3856" s="8">
        <f>IF($A3856="",0,ROUND($E3856*$F3856,2))</f>
        <v/>
      </c>
    </row>
    <row r="3857">
      <c r="B3857" s="7" t="n"/>
      <c r="F3857" s="8" t="n"/>
      <c r="G3857" s="8">
        <f>IF($A3857="",0,ROUND($E3857*$F3857,2))</f>
        <v/>
      </c>
    </row>
    <row r="3858">
      <c r="B3858" s="7" t="n"/>
      <c r="F3858" s="8" t="n"/>
      <c r="G3858" s="8">
        <f>IF($A3858="",0,ROUND($E3858*$F3858,2))</f>
        <v/>
      </c>
    </row>
    <row r="3859">
      <c r="B3859" s="7" t="n"/>
      <c r="F3859" s="8" t="n"/>
      <c r="G3859" s="8">
        <f>IF($A3859="",0,ROUND($E3859*$F3859,2))</f>
        <v/>
      </c>
    </row>
    <row r="3860">
      <c r="B3860" s="7" t="n"/>
      <c r="F3860" s="8" t="n"/>
      <c r="G3860" s="8">
        <f>IF($A3860="",0,ROUND($E3860*$F3860,2))</f>
        <v/>
      </c>
    </row>
    <row r="3861">
      <c r="B3861" s="7" t="n"/>
      <c r="F3861" s="8" t="n"/>
      <c r="G3861" s="8">
        <f>IF($A3861="",0,ROUND($E3861*$F3861,2))</f>
        <v/>
      </c>
    </row>
    <row r="3862">
      <c r="B3862" s="7" t="n"/>
      <c r="F3862" s="8" t="n"/>
      <c r="G3862" s="8">
        <f>IF($A3862="",0,ROUND($E3862*$F3862,2))</f>
        <v/>
      </c>
    </row>
    <row r="3863">
      <c r="B3863" s="7" t="n"/>
      <c r="F3863" s="8" t="n"/>
      <c r="G3863" s="8">
        <f>IF($A3863="",0,ROUND($E3863*$F3863,2))</f>
        <v/>
      </c>
    </row>
    <row r="3864">
      <c r="B3864" s="7" t="n"/>
      <c r="F3864" s="8" t="n"/>
      <c r="G3864" s="8">
        <f>IF($A3864="",0,ROUND($E3864*$F3864,2))</f>
        <v/>
      </c>
    </row>
    <row r="3865">
      <c r="B3865" s="7" t="n"/>
      <c r="F3865" s="8" t="n"/>
      <c r="G3865" s="8">
        <f>IF($A3865="",0,ROUND($E3865*$F3865,2))</f>
        <v/>
      </c>
    </row>
    <row r="3866">
      <c r="B3866" s="7" t="n"/>
      <c r="F3866" s="8" t="n"/>
      <c r="G3866" s="8">
        <f>IF($A3866="",0,ROUND($E3866*$F3866,2))</f>
        <v/>
      </c>
    </row>
    <row r="3867">
      <c r="B3867" s="7" t="n"/>
      <c r="F3867" s="8" t="n"/>
      <c r="G3867" s="8">
        <f>IF($A3867="",0,ROUND($E3867*$F3867,2))</f>
        <v/>
      </c>
    </row>
    <row r="3868">
      <c r="B3868" s="7" t="n"/>
      <c r="F3868" s="8" t="n"/>
      <c r="G3868" s="8">
        <f>IF($A3868="",0,ROUND($E3868*$F3868,2))</f>
        <v/>
      </c>
    </row>
    <row r="3869">
      <c r="B3869" s="7" t="n"/>
      <c r="F3869" s="8" t="n"/>
      <c r="G3869" s="8">
        <f>IF($A3869="",0,ROUND($E3869*$F3869,2))</f>
        <v/>
      </c>
    </row>
    <row r="3870">
      <c r="B3870" s="7" t="n"/>
      <c r="F3870" s="8" t="n"/>
      <c r="G3870" s="8">
        <f>IF($A3870="",0,ROUND($E3870*$F3870,2))</f>
        <v/>
      </c>
    </row>
    <row r="3871">
      <c r="B3871" s="7" t="n"/>
      <c r="F3871" s="8" t="n"/>
      <c r="G3871" s="8">
        <f>IF($A3871="",0,ROUND($E3871*$F3871,2))</f>
        <v/>
      </c>
    </row>
    <row r="3872">
      <c r="B3872" s="7" t="n"/>
      <c r="F3872" s="8" t="n"/>
      <c r="G3872" s="8">
        <f>IF($A3872="",0,ROUND($E3872*$F3872,2))</f>
        <v/>
      </c>
    </row>
    <row r="3873">
      <c r="B3873" s="7" t="n"/>
      <c r="F3873" s="8" t="n"/>
      <c r="G3873" s="8">
        <f>IF($A3873="",0,ROUND($E3873*$F3873,2))</f>
        <v/>
      </c>
    </row>
    <row r="3874">
      <c r="B3874" s="7" t="n"/>
      <c r="F3874" s="8" t="n"/>
      <c r="G3874" s="8">
        <f>IF($A3874="",0,ROUND($E3874*$F3874,2))</f>
        <v/>
      </c>
    </row>
    <row r="3875">
      <c r="B3875" s="7" t="n"/>
      <c r="F3875" s="8" t="n"/>
      <c r="G3875" s="8">
        <f>IF($A3875="",0,ROUND($E3875*$F3875,2))</f>
        <v/>
      </c>
    </row>
    <row r="3876">
      <c r="B3876" s="7" t="n"/>
      <c r="F3876" s="8" t="n"/>
      <c r="G3876" s="8">
        <f>IF($A3876="",0,ROUND($E3876*$F3876,2))</f>
        <v/>
      </c>
    </row>
    <row r="3877">
      <c r="B3877" s="7" t="n"/>
      <c r="F3877" s="8" t="n"/>
      <c r="G3877" s="8">
        <f>IF($A3877="",0,ROUND($E3877*$F3877,2))</f>
        <v/>
      </c>
    </row>
    <row r="3878">
      <c r="B3878" s="7" t="n"/>
      <c r="F3878" s="8" t="n"/>
      <c r="G3878" s="8">
        <f>IF($A3878="",0,ROUND($E3878*$F3878,2))</f>
        <v/>
      </c>
    </row>
    <row r="3879">
      <c r="B3879" s="7" t="n"/>
      <c r="F3879" s="8" t="n"/>
      <c r="G3879" s="8">
        <f>IF($A3879="",0,ROUND($E3879*$F3879,2))</f>
        <v/>
      </c>
    </row>
    <row r="3880">
      <c r="B3880" s="7" t="n"/>
      <c r="F3880" s="8" t="n"/>
      <c r="G3880" s="8">
        <f>IF($A3880="",0,ROUND($E3880*$F3880,2))</f>
        <v/>
      </c>
    </row>
    <row r="3881">
      <c r="B3881" s="7" t="n"/>
      <c r="F3881" s="8" t="n"/>
      <c r="G3881" s="8">
        <f>IF($A3881="",0,ROUND($E3881*$F3881,2))</f>
        <v/>
      </c>
    </row>
    <row r="3882">
      <c r="B3882" s="7" t="n"/>
      <c r="F3882" s="8" t="n"/>
      <c r="G3882" s="8">
        <f>IF($A3882="",0,ROUND($E3882*$F3882,2))</f>
        <v/>
      </c>
    </row>
    <row r="3883">
      <c r="B3883" s="7" t="n"/>
      <c r="F3883" s="8" t="n"/>
      <c r="G3883" s="8">
        <f>IF($A3883="",0,ROUND($E3883*$F3883,2))</f>
        <v/>
      </c>
    </row>
    <row r="3884">
      <c r="B3884" s="7" t="n"/>
      <c r="F3884" s="8" t="n"/>
      <c r="G3884" s="8">
        <f>IF($A3884="",0,ROUND($E3884*$F3884,2))</f>
        <v/>
      </c>
    </row>
    <row r="3885">
      <c r="B3885" s="7" t="n"/>
      <c r="F3885" s="8" t="n"/>
      <c r="G3885" s="8">
        <f>IF($A3885="",0,ROUND($E3885*$F3885,2))</f>
        <v/>
      </c>
    </row>
    <row r="3886">
      <c r="B3886" s="7" t="n"/>
      <c r="F3886" s="8" t="n"/>
      <c r="G3886" s="8">
        <f>IF($A3886="",0,ROUND($E3886*$F3886,2))</f>
        <v/>
      </c>
    </row>
    <row r="3887">
      <c r="B3887" s="7" t="n"/>
      <c r="F3887" s="8" t="n"/>
      <c r="G3887" s="8">
        <f>IF($A3887="",0,ROUND($E3887*$F3887,2))</f>
        <v/>
      </c>
    </row>
    <row r="3888">
      <c r="B3888" s="7" t="n"/>
      <c r="F3888" s="8" t="n"/>
      <c r="G3888" s="8">
        <f>IF($A3888="",0,ROUND($E3888*$F3888,2))</f>
        <v/>
      </c>
    </row>
    <row r="3889">
      <c r="B3889" s="7" t="n"/>
      <c r="F3889" s="8" t="n"/>
      <c r="G3889" s="8">
        <f>IF($A3889="",0,ROUND($E3889*$F3889,2))</f>
        <v/>
      </c>
    </row>
    <row r="3890">
      <c r="B3890" s="7" t="n"/>
      <c r="F3890" s="8" t="n"/>
      <c r="G3890" s="8">
        <f>IF($A3890="",0,ROUND($E3890*$F3890,2))</f>
        <v/>
      </c>
    </row>
    <row r="3891">
      <c r="B3891" s="7" t="n"/>
      <c r="F3891" s="8" t="n"/>
      <c r="G3891" s="8">
        <f>IF($A3891="",0,ROUND($E3891*$F3891,2))</f>
        <v/>
      </c>
    </row>
    <row r="3892">
      <c r="B3892" s="7" t="n"/>
      <c r="F3892" s="8" t="n"/>
      <c r="G3892" s="8">
        <f>IF($A3892="",0,ROUND($E3892*$F3892,2))</f>
        <v/>
      </c>
    </row>
    <row r="3893">
      <c r="B3893" s="7" t="n"/>
      <c r="F3893" s="8" t="n"/>
      <c r="G3893" s="8">
        <f>IF($A3893="",0,ROUND($E3893*$F3893,2))</f>
        <v/>
      </c>
    </row>
    <row r="3894">
      <c r="B3894" s="7" t="n"/>
      <c r="F3894" s="8" t="n"/>
      <c r="G3894" s="8">
        <f>IF($A3894="",0,ROUND($E3894*$F3894,2))</f>
        <v/>
      </c>
    </row>
    <row r="3895">
      <c r="B3895" s="7" t="n"/>
      <c r="F3895" s="8" t="n"/>
      <c r="G3895" s="8">
        <f>IF($A3895="",0,ROUND($E3895*$F3895,2))</f>
        <v/>
      </c>
    </row>
    <row r="3896">
      <c r="B3896" s="7" t="n"/>
      <c r="F3896" s="8" t="n"/>
      <c r="G3896" s="8">
        <f>IF($A3896="",0,ROUND($E3896*$F3896,2))</f>
        <v/>
      </c>
    </row>
    <row r="3897">
      <c r="B3897" s="7" t="n"/>
      <c r="F3897" s="8" t="n"/>
      <c r="G3897" s="8">
        <f>IF($A3897="",0,ROUND($E3897*$F3897,2))</f>
        <v/>
      </c>
    </row>
    <row r="3898">
      <c r="B3898" s="7" t="n"/>
      <c r="F3898" s="8" t="n"/>
      <c r="G3898" s="8">
        <f>IF($A3898="",0,ROUND($E3898*$F3898,2))</f>
        <v/>
      </c>
    </row>
    <row r="3899">
      <c r="B3899" s="7" t="n"/>
      <c r="F3899" s="8" t="n"/>
      <c r="G3899" s="8">
        <f>IF($A3899="",0,ROUND($E3899*$F3899,2))</f>
        <v/>
      </c>
    </row>
    <row r="3900">
      <c r="B3900" s="7" t="n"/>
      <c r="F3900" s="8" t="n"/>
      <c r="G3900" s="8">
        <f>IF($A3900="",0,ROUND($E3900*$F3900,2))</f>
        <v/>
      </c>
    </row>
    <row r="3901">
      <c r="B3901" s="7" t="n"/>
      <c r="F3901" s="8" t="n"/>
      <c r="G3901" s="8">
        <f>IF($A3901="",0,ROUND($E3901*$F3901,2))</f>
        <v/>
      </c>
    </row>
    <row r="3902">
      <c r="B3902" s="7" t="n"/>
      <c r="F3902" s="8" t="n"/>
      <c r="G3902" s="8">
        <f>IF($A3902="",0,ROUND($E3902*$F3902,2))</f>
        <v/>
      </c>
    </row>
    <row r="3903">
      <c r="B3903" s="7" t="n"/>
      <c r="F3903" s="8" t="n"/>
      <c r="G3903" s="8">
        <f>IF($A3903="",0,ROUND($E3903*$F3903,2))</f>
        <v/>
      </c>
    </row>
    <row r="3904">
      <c r="B3904" s="7" t="n"/>
      <c r="F3904" s="8" t="n"/>
      <c r="G3904" s="8">
        <f>IF($A3904="",0,ROUND($E3904*$F3904,2))</f>
        <v/>
      </c>
    </row>
    <row r="3905">
      <c r="B3905" s="7" t="n"/>
      <c r="F3905" s="8" t="n"/>
      <c r="G3905" s="8">
        <f>IF($A3905="",0,ROUND($E3905*$F3905,2))</f>
        <v/>
      </c>
    </row>
    <row r="3906">
      <c r="B3906" s="7" t="n"/>
      <c r="F3906" s="8" t="n"/>
      <c r="G3906" s="8">
        <f>IF($A3906="",0,ROUND($E3906*$F3906,2))</f>
        <v/>
      </c>
    </row>
    <row r="3907">
      <c r="B3907" s="7" t="n"/>
      <c r="F3907" s="8" t="n"/>
      <c r="G3907" s="8">
        <f>IF($A3907="",0,ROUND($E3907*$F3907,2))</f>
        <v/>
      </c>
    </row>
    <row r="3908">
      <c r="B3908" s="7" t="n"/>
      <c r="F3908" s="8" t="n"/>
      <c r="G3908" s="8">
        <f>IF($A3908="",0,ROUND($E3908*$F3908,2))</f>
        <v/>
      </c>
    </row>
    <row r="3909">
      <c r="B3909" s="7" t="n"/>
      <c r="F3909" s="8" t="n"/>
      <c r="G3909" s="8">
        <f>IF($A3909="",0,ROUND($E3909*$F3909,2))</f>
        <v/>
      </c>
    </row>
    <row r="3910">
      <c r="B3910" s="7" t="n"/>
      <c r="F3910" s="8" t="n"/>
      <c r="G3910" s="8">
        <f>IF($A3910="",0,ROUND($E3910*$F3910,2))</f>
        <v/>
      </c>
    </row>
    <row r="3911">
      <c r="B3911" s="7" t="n"/>
      <c r="F3911" s="8" t="n"/>
      <c r="G3911" s="8">
        <f>IF($A3911="",0,ROUND($E3911*$F3911,2))</f>
        <v/>
      </c>
    </row>
    <row r="3912">
      <c r="B3912" s="7" t="n"/>
      <c r="F3912" s="8" t="n"/>
      <c r="G3912" s="8">
        <f>IF($A3912="",0,ROUND($E3912*$F3912,2))</f>
        <v/>
      </c>
    </row>
    <row r="3913">
      <c r="B3913" s="7" t="n"/>
      <c r="F3913" s="8" t="n"/>
      <c r="G3913" s="8">
        <f>IF($A3913="",0,ROUND($E3913*$F3913,2))</f>
        <v/>
      </c>
    </row>
    <row r="3914">
      <c r="B3914" s="7" t="n"/>
      <c r="F3914" s="8" t="n"/>
      <c r="G3914" s="8">
        <f>IF($A3914="",0,ROUND($E3914*$F3914,2))</f>
        <v/>
      </c>
    </row>
    <row r="3915">
      <c r="B3915" s="7" t="n"/>
      <c r="F3915" s="8" t="n"/>
      <c r="G3915" s="8">
        <f>IF($A3915="",0,ROUND($E3915*$F3915,2))</f>
        <v/>
      </c>
    </row>
    <row r="3916">
      <c r="B3916" s="7" t="n"/>
      <c r="F3916" s="8" t="n"/>
      <c r="G3916" s="8">
        <f>IF($A3916="",0,ROUND($E3916*$F3916,2))</f>
        <v/>
      </c>
    </row>
    <row r="3917">
      <c r="B3917" s="7" t="n"/>
      <c r="F3917" s="8" t="n"/>
      <c r="G3917" s="8">
        <f>IF($A3917="",0,ROUND($E3917*$F3917,2))</f>
        <v/>
      </c>
    </row>
    <row r="3918">
      <c r="B3918" s="7" t="n"/>
      <c r="F3918" s="8" t="n"/>
      <c r="G3918" s="8">
        <f>IF($A3918="",0,ROUND($E3918*$F3918,2))</f>
        <v/>
      </c>
    </row>
    <row r="3919">
      <c r="B3919" s="7" t="n"/>
      <c r="F3919" s="8" t="n"/>
      <c r="G3919" s="8">
        <f>IF($A3919="",0,ROUND($E3919*$F3919,2))</f>
        <v/>
      </c>
    </row>
    <row r="3920">
      <c r="B3920" s="7" t="n"/>
      <c r="F3920" s="8" t="n"/>
      <c r="G3920" s="8">
        <f>IF($A3920="",0,ROUND($E3920*$F3920,2))</f>
        <v/>
      </c>
    </row>
    <row r="3921">
      <c r="B3921" s="7" t="n"/>
      <c r="F3921" s="8" t="n"/>
      <c r="G3921" s="8">
        <f>IF($A3921="",0,ROUND($E3921*$F3921,2))</f>
        <v/>
      </c>
    </row>
    <row r="3922">
      <c r="B3922" s="7" t="n"/>
      <c r="F3922" s="8" t="n"/>
      <c r="G3922" s="8">
        <f>IF($A3922="",0,ROUND($E3922*$F3922,2))</f>
        <v/>
      </c>
    </row>
    <row r="3923">
      <c r="B3923" s="7" t="n"/>
      <c r="F3923" s="8" t="n"/>
      <c r="G3923" s="8">
        <f>IF($A3923="",0,ROUND($E3923*$F3923,2))</f>
        <v/>
      </c>
    </row>
    <row r="3924">
      <c r="B3924" s="7" t="n"/>
      <c r="F3924" s="8" t="n"/>
      <c r="G3924" s="8">
        <f>IF($A3924="",0,ROUND($E3924*$F3924,2))</f>
        <v/>
      </c>
    </row>
    <row r="3925">
      <c r="B3925" s="7" t="n"/>
      <c r="F3925" s="8" t="n"/>
      <c r="G3925" s="8">
        <f>IF($A3925="",0,ROUND($E3925*$F3925,2))</f>
        <v/>
      </c>
    </row>
    <row r="3926">
      <c r="B3926" s="7" t="n"/>
      <c r="F3926" s="8" t="n"/>
      <c r="G3926" s="8">
        <f>IF($A3926="",0,ROUND($E3926*$F3926,2))</f>
        <v/>
      </c>
    </row>
    <row r="3927">
      <c r="B3927" s="7" t="n"/>
      <c r="F3927" s="8" t="n"/>
      <c r="G3927" s="8">
        <f>IF($A3927="",0,ROUND($E3927*$F3927,2))</f>
        <v/>
      </c>
    </row>
    <row r="3928">
      <c r="B3928" s="7" t="n"/>
      <c r="F3928" s="8" t="n"/>
      <c r="G3928" s="8">
        <f>IF($A3928="",0,ROUND($E3928*$F3928,2))</f>
        <v/>
      </c>
    </row>
    <row r="3929">
      <c r="B3929" s="7" t="n"/>
      <c r="F3929" s="8" t="n"/>
      <c r="G3929" s="8">
        <f>IF($A3929="",0,ROUND($E3929*$F3929,2))</f>
        <v/>
      </c>
    </row>
    <row r="3930">
      <c r="B3930" s="7" t="n"/>
      <c r="F3930" s="8" t="n"/>
      <c r="G3930" s="8">
        <f>IF($A3930="",0,ROUND($E3930*$F3930,2))</f>
        <v/>
      </c>
    </row>
    <row r="3931">
      <c r="B3931" s="7" t="n"/>
      <c r="F3931" s="8" t="n"/>
      <c r="G3931" s="8">
        <f>IF($A3931="",0,ROUND($E3931*$F3931,2))</f>
        <v/>
      </c>
    </row>
    <row r="3932">
      <c r="B3932" s="7" t="n"/>
      <c r="F3932" s="8" t="n"/>
      <c r="G3932" s="8">
        <f>IF($A3932="",0,ROUND($E3932*$F3932,2))</f>
        <v/>
      </c>
    </row>
    <row r="3933">
      <c r="B3933" s="7" t="n"/>
      <c r="F3933" s="8" t="n"/>
      <c r="G3933" s="8">
        <f>IF($A3933="",0,ROUND($E3933*$F3933,2))</f>
        <v/>
      </c>
    </row>
    <row r="3934">
      <c r="B3934" s="7" t="n"/>
      <c r="F3934" s="8" t="n"/>
      <c r="G3934" s="8">
        <f>IF($A3934="",0,ROUND($E3934*$F3934,2))</f>
        <v/>
      </c>
    </row>
    <row r="3935">
      <c r="B3935" s="7" t="n"/>
      <c r="F3935" s="8" t="n"/>
      <c r="G3935" s="8">
        <f>IF($A3935="",0,ROUND($E3935*$F3935,2))</f>
        <v/>
      </c>
    </row>
    <row r="3936">
      <c r="B3936" s="7" t="n"/>
      <c r="F3936" s="8" t="n"/>
      <c r="G3936" s="8">
        <f>IF($A3936="",0,ROUND($E3936*$F3936,2))</f>
        <v/>
      </c>
    </row>
    <row r="3937">
      <c r="B3937" s="7" t="n"/>
      <c r="F3937" s="8" t="n"/>
      <c r="G3937" s="8">
        <f>IF($A3937="",0,ROUND($E3937*$F3937,2))</f>
        <v/>
      </c>
    </row>
    <row r="3938">
      <c r="B3938" s="7" t="n"/>
      <c r="F3938" s="8" t="n"/>
      <c r="G3938" s="8">
        <f>IF($A3938="",0,ROUND($E3938*$F3938,2))</f>
        <v/>
      </c>
    </row>
    <row r="3939">
      <c r="B3939" s="7" t="n"/>
      <c r="F3939" s="8" t="n"/>
      <c r="G3939" s="8">
        <f>IF($A3939="",0,ROUND($E3939*$F3939,2))</f>
        <v/>
      </c>
    </row>
    <row r="3940">
      <c r="B3940" s="7" t="n"/>
      <c r="F3940" s="8" t="n"/>
      <c r="G3940" s="8">
        <f>IF($A3940="",0,ROUND($E3940*$F3940,2))</f>
        <v/>
      </c>
    </row>
    <row r="3941">
      <c r="B3941" s="7" t="n"/>
      <c r="F3941" s="8" t="n"/>
      <c r="G3941" s="8">
        <f>IF($A3941="",0,ROUND($E3941*$F3941,2))</f>
        <v/>
      </c>
    </row>
    <row r="3942">
      <c r="B3942" s="7" t="n"/>
      <c r="F3942" s="8" t="n"/>
      <c r="G3942" s="8">
        <f>IF($A3942="",0,ROUND($E3942*$F3942,2))</f>
        <v/>
      </c>
    </row>
    <row r="3943">
      <c r="B3943" s="7" t="n"/>
      <c r="F3943" s="8" t="n"/>
      <c r="G3943" s="8">
        <f>IF($A3943="",0,ROUND($E3943*$F3943,2))</f>
        <v/>
      </c>
    </row>
    <row r="3944">
      <c r="B3944" s="7" t="n"/>
      <c r="F3944" s="8" t="n"/>
      <c r="G3944" s="8">
        <f>IF($A3944="",0,ROUND($E3944*$F3944,2))</f>
        <v/>
      </c>
    </row>
    <row r="3945">
      <c r="B3945" s="7" t="n"/>
      <c r="F3945" s="8" t="n"/>
      <c r="G3945" s="8">
        <f>IF($A3945="",0,ROUND($E3945*$F3945,2))</f>
        <v/>
      </c>
    </row>
    <row r="3946">
      <c r="B3946" s="7" t="n"/>
      <c r="F3946" s="8" t="n"/>
      <c r="G3946" s="8">
        <f>IF($A3946="",0,ROUND($E3946*$F3946,2))</f>
        <v/>
      </c>
    </row>
    <row r="3947">
      <c r="B3947" s="7" t="n"/>
      <c r="F3947" s="8" t="n"/>
      <c r="G3947" s="8">
        <f>IF($A3947="",0,ROUND($E3947*$F3947,2))</f>
        <v/>
      </c>
    </row>
    <row r="3948">
      <c r="B3948" s="7" t="n"/>
      <c r="F3948" s="8" t="n"/>
      <c r="G3948" s="8">
        <f>IF($A3948="",0,ROUND($E3948*$F3948,2))</f>
        <v/>
      </c>
    </row>
    <row r="3949">
      <c r="B3949" s="7" t="n"/>
      <c r="F3949" s="8" t="n"/>
      <c r="G3949" s="8">
        <f>IF($A3949="",0,ROUND($E3949*$F3949,2))</f>
        <v/>
      </c>
    </row>
    <row r="3950">
      <c r="B3950" s="7" t="n"/>
      <c r="F3950" s="8" t="n"/>
      <c r="G3950" s="8">
        <f>IF($A3950="",0,ROUND($E3950*$F3950,2))</f>
        <v/>
      </c>
    </row>
    <row r="3951">
      <c r="B3951" s="7" t="n"/>
      <c r="F3951" s="8" t="n"/>
      <c r="G3951" s="8">
        <f>IF($A3951="",0,ROUND($E3951*$F3951,2))</f>
        <v/>
      </c>
    </row>
    <row r="3952">
      <c r="B3952" s="7" t="n"/>
      <c r="F3952" s="8" t="n"/>
      <c r="G3952" s="8">
        <f>IF($A3952="",0,ROUND($E3952*$F3952,2))</f>
        <v/>
      </c>
    </row>
    <row r="3953">
      <c r="B3953" s="7" t="n"/>
      <c r="F3953" s="8" t="n"/>
      <c r="G3953" s="8">
        <f>IF($A3953="",0,ROUND($E3953*$F3953,2))</f>
        <v/>
      </c>
    </row>
    <row r="3954">
      <c r="B3954" s="7" t="n"/>
      <c r="F3954" s="8" t="n"/>
      <c r="G3954" s="8">
        <f>IF($A3954="",0,ROUND($E3954*$F3954,2))</f>
        <v/>
      </c>
    </row>
    <row r="3955">
      <c r="B3955" s="7" t="n"/>
      <c r="F3955" s="8" t="n"/>
      <c r="G3955" s="8">
        <f>IF($A3955="",0,ROUND($E3955*$F3955,2))</f>
        <v/>
      </c>
    </row>
    <row r="3956">
      <c r="B3956" s="7" t="n"/>
      <c r="F3956" s="8" t="n"/>
      <c r="G3956" s="8">
        <f>IF($A3956="",0,ROUND($E3956*$F3956,2))</f>
        <v/>
      </c>
    </row>
    <row r="3957">
      <c r="B3957" s="7" t="n"/>
      <c r="F3957" s="8" t="n"/>
      <c r="G3957" s="8">
        <f>IF($A3957="",0,ROUND($E3957*$F3957,2))</f>
        <v/>
      </c>
    </row>
    <row r="3958">
      <c r="B3958" s="7" t="n"/>
      <c r="F3958" s="8" t="n"/>
      <c r="G3958" s="8">
        <f>IF($A3958="",0,ROUND($E3958*$F3958,2))</f>
        <v/>
      </c>
    </row>
    <row r="3959">
      <c r="B3959" s="7" t="n"/>
      <c r="F3959" s="8" t="n"/>
      <c r="G3959" s="8">
        <f>IF($A3959="",0,ROUND($E3959*$F3959,2))</f>
        <v/>
      </c>
    </row>
    <row r="3960">
      <c r="B3960" s="7" t="n"/>
      <c r="F3960" s="8" t="n"/>
      <c r="G3960" s="8">
        <f>IF($A3960="",0,ROUND($E3960*$F3960,2))</f>
        <v/>
      </c>
    </row>
    <row r="3961">
      <c r="B3961" s="7" t="n"/>
      <c r="F3961" s="8" t="n"/>
      <c r="G3961" s="8">
        <f>IF($A3961="",0,ROUND($E3961*$F3961,2))</f>
        <v/>
      </c>
    </row>
    <row r="3962">
      <c r="B3962" s="7" t="n"/>
      <c r="F3962" s="8" t="n"/>
      <c r="G3962" s="8">
        <f>IF($A3962="",0,ROUND($E3962*$F3962,2))</f>
        <v/>
      </c>
    </row>
    <row r="3963">
      <c r="B3963" s="7" t="n"/>
      <c r="F3963" s="8" t="n"/>
      <c r="G3963" s="8">
        <f>IF($A3963="",0,ROUND($E3963*$F3963,2))</f>
        <v/>
      </c>
    </row>
    <row r="3964">
      <c r="B3964" s="7" t="n"/>
      <c r="F3964" s="8" t="n"/>
      <c r="G3964" s="8">
        <f>IF($A3964="",0,ROUND($E3964*$F3964,2))</f>
        <v/>
      </c>
    </row>
    <row r="3965">
      <c r="B3965" s="7" t="n"/>
      <c r="F3965" s="8" t="n"/>
      <c r="G3965" s="8">
        <f>IF($A3965="",0,ROUND($E3965*$F3965,2))</f>
        <v/>
      </c>
    </row>
    <row r="3966">
      <c r="B3966" s="7" t="n"/>
      <c r="F3966" s="8" t="n"/>
      <c r="G3966" s="8">
        <f>IF($A3966="",0,ROUND($E3966*$F3966,2))</f>
        <v/>
      </c>
    </row>
    <row r="3967">
      <c r="B3967" s="7" t="n"/>
      <c r="F3967" s="8" t="n"/>
      <c r="G3967" s="8">
        <f>IF($A3967="",0,ROUND($E3967*$F3967,2))</f>
        <v/>
      </c>
    </row>
    <row r="3968">
      <c r="B3968" s="7" t="n"/>
      <c r="F3968" s="8" t="n"/>
      <c r="G3968" s="8">
        <f>IF($A3968="",0,ROUND($E3968*$F3968,2))</f>
        <v/>
      </c>
    </row>
    <row r="3969">
      <c r="B3969" s="7" t="n"/>
      <c r="F3969" s="8" t="n"/>
      <c r="G3969" s="8">
        <f>IF($A3969="",0,ROUND($E3969*$F3969,2))</f>
        <v/>
      </c>
    </row>
    <row r="3970">
      <c r="B3970" s="7" t="n"/>
      <c r="F3970" s="8" t="n"/>
      <c r="G3970" s="8">
        <f>IF($A3970="",0,ROUND($E3970*$F3970,2))</f>
        <v/>
      </c>
    </row>
    <row r="3971">
      <c r="B3971" s="7" t="n"/>
      <c r="F3971" s="8" t="n"/>
      <c r="G3971" s="8">
        <f>IF($A3971="",0,ROUND($E3971*$F3971,2))</f>
        <v/>
      </c>
    </row>
    <row r="3972">
      <c r="B3972" s="7" t="n"/>
      <c r="F3972" s="8" t="n"/>
      <c r="G3972" s="8">
        <f>IF($A3972="",0,ROUND($E3972*$F3972,2))</f>
        <v/>
      </c>
    </row>
    <row r="3973">
      <c r="B3973" s="7" t="n"/>
      <c r="F3973" s="8" t="n"/>
      <c r="G3973" s="8">
        <f>IF($A3973="",0,ROUND($E3973*$F3973,2))</f>
        <v/>
      </c>
    </row>
    <row r="3974">
      <c r="B3974" s="7" t="n"/>
      <c r="F3974" s="8" t="n"/>
      <c r="G3974" s="8">
        <f>IF($A3974="",0,ROUND($E3974*$F3974,2))</f>
        <v/>
      </c>
    </row>
    <row r="3975">
      <c r="B3975" s="7" t="n"/>
      <c r="F3975" s="8" t="n"/>
      <c r="G3975" s="8">
        <f>IF($A3975="",0,ROUND($E3975*$F3975,2))</f>
        <v/>
      </c>
    </row>
    <row r="3976">
      <c r="B3976" s="7" t="n"/>
      <c r="F3976" s="8" t="n"/>
      <c r="G3976" s="8">
        <f>IF($A3976="",0,ROUND($E3976*$F3976,2))</f>
        <v/>
      </c>
    </row>
    <row r="3977">
      <c r="B3977" s="7" t="n"/>
      <c r="F3977" s="8" t="n"/>
      <c r="G3977" s="8">
        <f>IF($A3977="",0,ROUND($E3977*$F3977,2))</f>
        <v/>
      </c>
    </row>
    <row r="3978">
      <c r="B3978" s="7" t="n"/>
      <c r="F3978" s="8" t="n"/>
      <c r="G3978" s="8">
        <f>IF($A3978="",0,ROUND($E3978*$F3978,2))</f>
        <v/>
      </c>
    </row>
    <row r="3979">
      <c r="B3979" s="7" t="n"/>
      <c r="F3979" s="8" t="n"/>
      <c r="G3979" s="8">
        <f>IF($A3979="",0,ROUND($E3979*$F3979,2))</f>
        <v/>
      </c>
    </row>
    <row r="3980">
      <c r="B3980" s="7" t="n"/>
      <c r="F3980" s="8" t="n"/>
      <c r="G3980" s="8">
        <f>IF($A3980="",0,ROUND($E3980*$F3980,2))</f>
        <v/>
      </c>
    </row>
    <row r="3981">
      <c r="B3981" s="7" t="n"/>
      <c r="F3981" s="8" t="n"/>
      <c r="G3981" s="8">
        <f>IF($A3981="",0,ROUND($E3981*$F3981,2))</f>
        <v/>
      </c>
    </row>
    <row r="3982">
      <c r="B3982" s="7" t="n"/>
      <c r="F3982" s="8" t="n"/>
      <c r="G3982" s="8">
        <f>IF($A3982="",0,ROUND($E3982*$F3982,2))</f>
        <v/>
      </c>
    </row>
    <row r="3983">
      <c r="B3983" s="7" t="n"/>
      <c r="F3983" s="8" t="n"/>
      <c r="G3983" s="8">
        <f>IF($A3983="",0,ROUND($E3983*$F3983,2))</f>
        <v/>
      </c>
    </row>
    <row r="3984">
      <c r="B3984" s="7" t="n"/>
      <c r="F3984" s="8" t="n"/>
      <c r="G3984" s="8">
        <f>IF($A3984="",0,ROUND($E3984*$F3984,2))</f>
        <v/>
      </c>
    </row>
    <row r="3985">
      <c r="B3985" s="7" t="n"/>
      <c r="F3985" s="8" t="n"/>
      <c r="G3985" s="8">
        <f>IF($A3985="",0,ROUND($E3985*$F3985,2))</f>
        <v/>
      </c>
    </row>
    <row r="3986">
      <c r="B3986" s="7" t="n"/>
      <c r="F3986" s="8" t="n"/>
      <c r="G3986" s="8">
        <f>IF($A3986="",0,ROUND($E3986*$F3986,2))</f>
        <v/>
      </c>
    </row>
    <row r="3987">
      <c r="B3987" s="7" t="n"/>
      <c r="F3987" s="8" t="n"/>
      <c r="G3987" s="8">
        <f>IF($A3987="",0,ROUND($E3987*$F3987,2))</f>
        <v/>
      </c>
    </row>
    <row r="3988">
      <c r="B3988" s="7" t="n"/>
      <c r="F3988" s="8" t="n"/>
      <c r="G3988" s="8">
        <f>IF($A3988="",0,ROUND($E3988*$F3988,2))</f>
        <v/>
      </c>
    </row>
    <row r="3989">
      <c r="B3989" s="7" t="n"/>
      <c r="F3989" s="8" t="n"/>
      <c r="G3989" s="8">
        <f>IF($A3989="",0,ROUND($E3989*$F3989,2))</f>
        <v/>
      </c>
    </row>
    <row r="3990">
      <c r="B3990" s="7" t="n"/>
      <c r="F3990" s="8" t="n"/>
      <c r="G3990" s="8">
        <f>IF($A3990="",0,ROUND($E3990*$F3990,2))</f>
        <v/>
      </c>
    </row>
    <row r="3991">
      <c r="B3991" s="7" t="n"/>
      <c r="F3991" s="8" t="n"/>
      <c r="G3991" s="8">
        <f>IF($A3991="",0,ROUND($E3991*$F3991,2))</f>
        <v/>
      </c>
    </row>
    <row r="3992">
      <c r="B3992" s="7" t="n"/>
      <c r="F3992" s="8" t="n"/>
      <c r="G3992" s="8">
        <f>IF($A3992="",0,ROUND($E3992*$F3992,2))</f>
        <v/>
      </c>
    </row>
    <row r="3993">
      <c r="B3993" s="7" t="n"/>
      <c r="F3993" s="8" t="n"/>
      <c r="G3993" s="8">
        <f>IF($A3993="",0,ROUND($E3993*$F3993,2))</f>
        <v/>
      </c>
    </row>
    <row r="3994">
      <c r="B3994" s="7" t="n"/>
      <c r="F3994" s="8" t="n"/>
      <c r="G3994" s="8">
        <f>IF($A3994="",0,ROUND($E3994*$F3994,2))</f>
        <v/>
      </c>
    </row>
    <row r="3995">
      <c r="B3995" s="7" t="n"/>
      <c r="F3995" s="8" t="n"/>
      <c r="G3995" s="8">
        <f>IF($A3995="",0,ROUND($E3995*$F3995,2))</f>
        <v/>
      </c>
    </row>
    <row r="3996">
      <c r="B3996" s="7" t="n"/>
      <c r="F3996" s="8" t="n"/>
      <c r="G3996" s="8">
        <f>IF($A3996="",0,ROUND($E3996*$F3996,2))</f>
        <v/>
      </c>
    </row>
    <row r="3997">
      <c r="B3997" s="7" t="n"/>
      <c r="F3997" s="8" t="n"/>
      <c r="G3997" s="8">
        <f>IF($A3997="",0,ROUND($E3997*$F3997,2))</f>
        <v/>
      </c>
    </row>
    <row r="3998">
      <c r="B3998" s="7" t="n"/>
      <c r="F3998" s="8" t="n"/>
      <c r="G3998" s="8">
        <f>IF($A3998="",0,ROUND($E3998*$F3998,2))</f>
        <v/>
      </c>
    </row>
    <row r="3999">
      <c r="B3999" s="7" t="n"/>
      <c r="F3999" s="8" t="n"/>
      <c r="G3999" s="8">
        <f>IF($A3999="",0,ROUND($E3999*$F3999,2))</f>
        <v/>
      </c>
    </row>
    <row r="4000">
      <c r="B4000" s="7" t="n"/>
      <c r="F4000" s="8" t="n"/>
      <c r="G4000" s="8">
        <f>IF($A4000="",0,ROUND($E4000*$F4000,2))</f>
        <v/>
      </c>
    </row>
    <row r="4001">
      <c r="B4001" s="7" t="n"/>
      <c r="F4001" s="8" t="n"/>
      <c r="G4001" s="8">
        <f>IF($A4001="",0,ROUND($E4001*$F4001,2))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2" customWidth="1" min="3" max="3"/>
    <col width="12" customWidth="1" min="4" max="4"/>
    <col width="12" customWidth="1" min="5" max="5"/>
    <col width="13" customWidth="1" min="6" max="6"/>
    <col width="12" customWidth="1" min="7" max="7"/>
    <col width="12" customWidth="1" min="8" max="8"/>
    <col width="10" customWidth="1" min="9" max="9"/>
  </cols>
  <sheetData>
    <row r="1">
      <c r="A1" s="6" t="inlineStr">
        <is>
          <t>Inv No</t>
        </is>
      </c>
      <c r="B1" s="6" t="inlineStr">
        <is>
          <t>Date</t>
        </is>
      </c>
      <c r="C1" s="6" t="inlineStr">
        <is>
          <t>Customer</t>
        </is>
      </c>
      <c r="D1" s="6" t="inlineStr">
        <is>
          <t>Subtotal</t>
        </is>
      </c>
      <c r="E1" s="6" t="inlineStr">
        <is>
          <t>GST 18%</t>
        </is>
      </c>
      <c r="F1" s="6" t="inlineStr">
        <is>
          <t>Grand Total</t>
        </is>
      </c>
      <c r="G1" s="6" t="inlineStr">
        <is>
          <t>Paid</t>
        </is>
      </c>
      <c r="H1" s="6" t="inlineStr">
        <is>
          <t>Balance</t>
        </is>
      </c>
      <c r="I1" s="6" t="inlineStr">
        <is>
          <t>Status</t>
        </is>
      </c>
    </row>
    <row r="2">
      <c r="A2" t="inlineStr">
        <is>
          <t>INV-2026-0001</t>
        </is>
      </c>
      <c r="B2" s="7" t="n">
        <v>46113</v>
      </c>
      <c r="C2" t="inlineStr">
        <is>
          <t>Ganga Boys Hostel</t>
        </is>
      </c>
      <c r="D2" s="8">
        <f>IF($A2="",0,ROUND(SUMIFS(InvoiceLines!$G$2:$G$4001,InvoiceLines!$A$2:$A$4001,$A2),2))</f>
        <v/>
      </c>
      <c r="E2" s="8">
        <f>IF($A2="",0,ROUND($D2*18%,2))</f>
        <v/>
      </c>
      <c r="F2" s="8">
        <f>IF($A2="",0,$D2+$E2)</f>
        <v/>
      </c>
      <c r="G2" s="8" t="n">
        <v>30090</v>
      </c>
      <c r="H2" s="8">
        <f>IF($A2="",0,$F2-$G2)</f>
        <v/>
      </c>
      <c r="I2">
        <f>IF($A2="","",IF($H2=0,"Paid",IF($G2=0,"Unpaid","Partial")))</f>
        <v/>
      </c>
    </row>
    <row r="3">
      <c r="A3" t="inlineStr">
        <is>
          <t>INV-2026-0002</t>
        </is>
      </c>
      <c r="B3" s="7" t="n">
        <v>46114</v>
      </c>
      <c r="C3" t="inlineStr">
        <is>
          <t>Wedding Palace Events</t>
        </is>
      </c>
      <c r="D3" s="8">
        <f>IF($A3="",0,ROUND(SUMIFS(InvoiceLines!$G$2:$G$4001,InvoiceLines!$A$2:$A$4001,$A3),2))</f>
        <v/>
      </c>
      <c r="E3" s="8">
        <f>IF($A3="",0,ROUND($D3*18%,2))</f>
        <v/>
      </c>
      <c r="F3" s="8">
        <f>IF($A3="",0,$D3+$E3)</f>
        <v/>
      </c>
      <c r="G3" s="8" t="n">
        <v>2056.03</v>
      </c>
      <c r="H3" s="8">
        <f>IF($A3="",0,$F3-$G3)</f>
        <v/>
      </c>
      <c r="I3">
        <f>IF($A3="","",IF($H3=0,"Paid",IF($G3=0,"Unpaid","Partial")))</f>
        <v/>
      </c>
    </row>
    <row r="4">
      <c r="A4" t="inlineStr">
        <is>
          <t>INV-2026-0003</t>
        </is>
      </c>
      <c r="B4" s="7" t="n">
        <v>46115</v>
      </c>
      <c r="C4" t="inlineStr">
        <is>
          <t>TechPark Canteen</t>
        </is>
      </c>
      <c r="D4" s="8">
        <f>IF($A4="",0,ROUND(SUMIFS(InvoiceLines!$G$2:$G$4001,InvoiceLines!$A$2:$A$4001,$A4),2))</f>
        <v/>
      </c>
      <c r="E4" s="8">
        <f>IF($A4="",0,ROUND($D4*18%,2))</f>
        <v/>
      </c>
      <c r="F4" s="8">
        <f>IF($A4="",0,$D4+$E4)</f>
        <v/>
      </c>
      <c r="G4" s="8" t="n">
        <v>8991.6</v>
      </c>
      <c r="H4" s="8">
        <f>IF($A4="",0,$F4-$G4)</f>
        <v/>
      </c>
      <c r="I4">
        <f>IF($A4="","",IF($H4=0,"Paid",IF($G4=0,"Unpaid","Partial")))</f>
        <v/>
      </c>
    </row>
    <row r="5">
      <c r="A5" t="inlineStr">
        <is>
          <t>INV-2026-0004</t>
        </is>
      </c>
      <c r="B5" s="7" t="n">
        <v>46116</v>
      </c>
      <c r="C5" t="inlineStr">
        <is>
          <t>Sharma Tea Stall</t>
        </is>
      </c>
      <c r="D5" s="8">
        <f>IF($A5="",0,ROUND(SUMIFS(InvoiceLines!$G$2:$G$4001,InvoiceLines!$A$2:$A$4001,$A5),2))</f>
        <v/>
      </c>
      <c r="E5" s="8">
        <f>IF($A5="",0,ROUND($D5*18%,2))</f>
        <v/>
      </c>
      <c r="F5" s="8">
        <f>IF($A5="",0,$D5+$E5)</f>
        <v/>
      </c>
      <c r="G5" s="8" t="n">
        <v>3634.4</v>
      </c>
      <c r="H5" s="8">
        <f>IF($A5="",0,$F5-$G5)</f>
        <v/>
      </c>
      <c r="I5">
        <f>IF($A5="","",IF($H5=0,"Paid",IF($G5=0,"Unpaid","Partial")))</f>
        <v/>
      </c>
    </row>
    <row r="6">
      <c r="A6" t="inlineStr">
        <is>
          <t>INV-2026-0005</t>
        </is>
      </c>
      <c r="B6" s="7" t="n">
        <v>46116</v>
      </c>
      <c r="C6" t="inlineStr">
        <is>
          <t>Wedding Palace Events</t>
        </is>
      </c>
      <c r="D6" s="8">
        <f>IF($A6="",0,ROUND(SUMIFS(InvoiceLines!$G$2:$G$4001,InvoiceLines!$A$2:$A$4001,$A6),2))</f>
        <v/>
      </c>
      <c r="E6" s="8">
        <f>IF($A6="",0,ROUND($D6*18%,2))</f>
        <v/>
      </c>
      <c r="F6" s="8">
        <f>IF($A6="",0,$D6+$E6)</f>
        <v/>
      </c>
      <c r="G6" s="8" t="n">
        <v>10754.52</v>
      </c>
      <c r="H6" s="8">
        <f>IF($A6="",0,$F6-$G6)</f>
        <v/>
      </c>
      <c r="I6">
        <f>IF($A6="","",IF($H6=0,"Paid",IF($G6=0,"Unpaid","Partial")))</f>
        <v/>
      </c>
    </row>
    <row r="7">
      <c r="A7" t="inlineStr">
        <is>
          <t>INV-2026-0006</t>
        </is>
      </c>
      <c r="B7" s="7" t="n">
        <v>46118</v>
      </c>
      <c r="C7" t="inlineStr">
        <is>
          <t>MediCare Clinic</t>
        </is>
      </c>
      <c r="D7" s="8">
        <f>IF($A7="",0,ROUND(SUMIFS(InvoiceLines!$G$2:$G$4001,InvoiceLines!$A$2:$A$4001,$A7),2))</f>
        <v/>
      </c>
      <c r="E7" s="8">
        <f>IF($A7="",0,ROUND($D7*18%,2))</f>
        <v/>
      </c>
      <c r="F7" s="8">
        <f>IF($A7="",0,$D7+$E7)</f>
        <v/>
      </c>
      <c r="G7" s="8" t="n">
        <v>5711.2</v>
      </c>
      <c r="H7" s="8">
        <f>IF($A7="",0,$F7-$G7)</f>
        <v/>
      </c>
      <c r="I7">
        <f>IF($A7="","",IF($H7=0,"Paid",IF($G7=0,"Unpaid","Partial")))</f>
        <v/>
      </c>
    </row>
    <row r="8">
      <c r="A8" t="inlineStr">
        <is>
          <t>INV-2026-0007</t>
        </is>
      </c>
      <c r="B8" s="7" t="n">
        <v>46118</v>
      </c>
      <c r="C8" t="inlineStr">
        <is>
          <t>City Gym</t>
        </is>
      </c>
      <c r="D8" s="8">
        <f>IF($A8="",0,ROUND(SUMIFS(InvoiceLines!$G$2:$G$4001,InvoiceLines!$A$2:$A$4001,$A8),2))</f>
        <v/>
      </c>
      <c r="E8" s="8">
        <f>IF($A8="",0,ROUND($D8*18%,2))</f>
        <v/>
      </c>
      <c r="F8" s="8">
        <f>IF($A8="",0,$D8+$E8)</f>
        <v/>
      </c>
      <c r="G8" s="8" t="n">
        <v>2147.6</v>
      </c>
      <c r="H8" s="8">
        <f>IF($A8="",0,$F8-$G8)</f>
        <v/>
      </c>
      <c r="I8">
        <f>IF($A8="","",IF($H8=0,"Paid",IF($G8=0,"Unpaid","Partial")))</f>
        <v/>
      </c>
    </row>
    <row r="9">
      <c r="A9" t="inlineStr">
        <is>
          <t>INV-2026-0008</t>
        </is>
      </c>
      <c r="B9" s="7" t="n">
        <v>46118</v>
      </c>
      <c r="C9" t="inlineStr">
        <is>
          <t>Bright School Canteen</t>
        </is>
      </c>
      <c r="D9" s="8">
        <f>IF($A9="",0,ROUND(SUMIFS(InvoiceLines!$G$2:$G$4001,InvoiceLines!$A$2:$A$4001,$A9),2))</f>
        <v/>
      </c>
      <c r="E9" s="8">
        <f>IF($A9="",0,ROUND($D9*18%,2))</f>
        <v/>
      </c>
      <c r="F9" s="8">
        <f>IF($A9="",0,$D9+$E9)</f>
        <v/>
      </c>
      <c r="G9" s="8" t="n">
        <v>15788.4</v>
      </c>
      <c r="H9" s="8">
        <f>IF($A9="",0,$F9-$G9)</f>
        <v/>
      </c>
      <c r="I9">
        <f>IF($A9="","",IF($H9=0,"Paid",IF($G9=0,"Unpaid","Partial")))</f>
        <v/>
      </c>
    </row>
    <row r="10">
      <c r="A10" t="inlineStr">
        <is>
          <t>INV-2026-0009</t>
        </is>
      </c>
      <c r="B10" s="7" t="n">
        <v>46119</v>
      </c>
      <c r="C10" t="inlineStr">
        <is>
          <t>Sharma Tea Stall</t>
        </is>
      </c>
      <c r="D10" s="8">
        <f>IF($A10="",0,ROUND(SUMIFS(InvoiceLines!$G$2:$G$4001,InvoiceLines!$A$2:$A$4001,$A10),2))</f>
        <v/>
      </c>
      <c r="E10" s="8">
        <f>IF($A10="",0,ROUND($D10*18%,2))</f>
        <v/>
      </c>
      <c r="F10" s="8">
        <f>IF($A10="",0,$D10+$E10)</f>
        <v/>
      </c>
      <c r="G10" s="8" t="n">
        <v>0</v>
      </c>
      <c r="H10" s="8">
        <f>IF($A10="",0,$F10-$G10)</f>
        <v/>
      </c>
      <c r="I10">
        <f>IF($A10="","",IF($H10=0,"Paid",IF($G10=0,"Unpaid","Partial")))</f>
        <v/>
      </c>
    </row>
    <row r="11">
      <c r="A11" t="inlineStr">
        <is>
          <t>INV-2026-0010</t>
        </is>
      </c>
      <c r="B11" s="7" t="n">
        <v>46119</v>
      </c>
      <c r="C11" t="inlineStr">
        <is>
          <t>Cafe Brewlane</t>
        </is>
      </c>
      <c r="D11" s="8">
        <f>IF($A11="",0,ROUND(SUMIFS(InvoiceLines!$G$2:$G$4001,InvoiceLines!$A$2:$A$4001,$A11),2))</f>
        <v/>
      </c>
      <c r="E11" s="8">
        <f>IF($A11="",0,ROUND($D11*18%,2))</f>
        <v/>
      </c>
      <c r="F11" s="8">
        <f>IF($A11="",0,$D11+$E11)</f>
        <v/>
      </c>
      <c r="G11" s="8" t="n">
        <v>8892.48</v>
      </c>
      <c r="H11" s="8">
        <f>IF($A11="",0,$F11-$G11)</f>
        <v/>
      </c>
      <c r="I11">
        <f>IF($A11="","",IF($H11=0,"Paid",IF($G11=0,"Unpaid","Partial")))</f>
        <v/>
      </c>
    </row>
    <row r="12">
      <c r="A12" t="inlineStr">
        <is>
          <t>INV-2026-0011</t>
        </is>
      </c>
      <c r="B12" s="7" t="n">
        <v>46120</v>
      </c>
      <c r="C12" t="inlineStr">
        <is>
          <t>City Gym</t>
        </is>
      </c>
      <c r="D12" s="8">
        <f>IF($A12="",0,ROUND(SUMIFS(InvoiceLines!$G$2:$G$4001,InvoiceLines!$A$2:$A$4001,$A12),2))</f>
        <v/>
      </c>
      <c r="E12" s="8">
        <f>IF($A12="",0,ROUND($D12*18%,2))</f>
        <v/>
      </c>
      <c r="F12" s="8">
        <f>IF($A12="",0,$D12+$E12)</f>
        <v/>
      </c>
      <c r="G12" s="8" t="n">
        <v>10266</v>
      </c>
      <c r="H12" s="8">
        <f>IF($A12="",0,$F12-$G12)</f>
        <v/>
      </c>
      <c r="I12">
        <f>IF($A12="","",IF($H12=0,"Paid",IF($G12=0,"Unpaid","Partial")))</f>
        <v/>
      </c>
    </row>
    <row r="13">
      <c r="A13" t="inlineStr">
        <is>
          <t>INV-2026-0012</t>
        </is>
      </c>
      <c r="B13" s="7" t="n">
        <v>46121</v>
      </c>
      <c r="C13" t="inlineStr">
        <is>
          <t>Hotel Rajwada</t>
        </is>
      </c>
      <c r="D13" s="8">
        <f>IF($A13="",0,ROUND(SUMIFS(InvoiceLines!$G$2:$G$4001,InvoiceLines!$A$2:$A$4001,$A13),2))</f>
        <v/>
      </c>
      <c r="E13" s="8">
        <f>IF($A13="",0,ROUND($D13*18%,2))</f>
        <v/>
      </c>
      <c r="F13" s="8">
        <f>IF($A13="",0,$D13+$E13)</f>
        <v/>
      </c>
      <c r="G13" s="8" t="n">
        <v>5251</v>
      </c>
      <c r="H13" s="8">
        <f>IF($A13="",0,$F13-$G13)</f>
        <v/>
      </c>
      <c r="I13">
        <f>IF($A13="","",IF($H13=0,"Paid",IF($G13=0,"Unpaid","Partial")))</f>
        <v/>
      </c>
    </row>
    <row r="14">
      <c r="A14" t="inlineStr">
        <is>
          <t>INV-2026-0013</t>
        </is>
      </c>
      <c r="B14" s="7" t="n">
        <v>46122</v>
      </c>
      <c r="C14" t="inlineStr">
        <is>
          <t>Station Food Plaza</t>
        </is>
      </c>
      <c r="D14" s="8">
        <f>IF($A14="",0,ROUND(SUMIFS(InvoiceLines!$G$2:$G$4001,InvoiceLines!$A$2:$A$4001,$A14),2))</f>
        <v/>
      </c>
      <c r="E14" s="8">
        <f>IF($A14="",0,ROUND($D14*18%,2))</f>
        <v/>
      </c>
      <c r="F14" s="8">
        <f>IF($A14="",0,$D14+$E14)</f>
        <v/>
      </c>
      <c r="G14" s="8" t="n">
        <v>10460.7</v>
      </c>
      <c r="H14" s="8">
        <f>IF($A14="",0,$F14-$G14)</f>
        <v/>
      </c>
      <c r="I14">
        <f>IF($A14="","",IF($H14=0,"Paid",IF($G14=0,"Unpaid","Partial")))</f>
        <v/>
      </c>
    </row>
    <row r="15">
      <c r="A15" t="inlineStr">
        <is>
          <t>INV-2026-0014</t>
        </is>
      </c>
      <c r="B15" s="7" t="n">
        <v>46123</v>
      </c>
      <c r="C15" t="inlineStr">
        <is>
          <t>Ganga Boys Hostel</t>
        </is>
      </c>
      <c r="D15" s="8">
        <f>IF($A15="",0,ROUND(SUMIFS(InvoiceLines!$G$2:$G$4001,InvoiceLines!$A$2:$A$4001,$A15),2))</f>
        <v/>
      </c>
      <c r="E15" s="8">
        <f>IF($A15="",0,ROUND($D15*18%,2))</f>
        <v/>
      </c>
      <c r="F15" s="8">
        <f>IF($A15="",0,$D15+$E15)</f>
        <v/>
      </c>
      <c r="G15" s="8" t="n">
        <v>32851.2</v>
      </c>
      <c r="H15" s="8">
        <f>IF($A15="",0,$F15-$G15)</f>
        <v/>
      </c>
      <c r="I15">
        <f>IF($A15="","",IF($H15=0,"Paid",IF($G15=0,"Unpaid","Partial")))</f>
        <v/>
      </c>
    </row>
    <row r="16">
      <c r="A16" t="inlineStr">
        <is>
          <t>INV-2026-0015</t>
        </is>
      </c>
      <c r="B16" s="7" t="n">
        <v>46123</v>
      </c>
      <c r="C16" t="inlineStr">
        <is>
          <t>City Gym</t>
        </is>
      </c>
      <c r="D16" s="8">
        <f>IF($A16="",0,ROUND(SUMIFS(InvoiceLines!$G$2:$G$4001,InvoiceLines!$A$2:$A$4001,$A16),2))</f>
        <v/>
      </c>
      <c r="E16" s="8">
        <f>IF($A16="",0,ROUND($D16*18%,2))</f>
        <v/>
      </c>
      <c r="F16" s="8">
        <f>IF($A16="",0,$D16+$E16)</f>
        <v/>
      </c>
      <c r="G16" s="8" t="n">
        <v>0</v>
      </c>
      <c r="H16" s="8">
        <f>IF($A16="",0,$F16-$G16)</f>
        <v/>
      </c>
      <c r="I16">
        <f>IF($A16="","",IF($H16=0,"Paid",IF($G16=0,"Unpaid","Partial")))</f>
        <v/>
      </c>
    </row>
    <row r="17">
      <c r="A17" t="inlineStr">
        <is>
          <t>INV-2026-0016</t>
        </is>
      </c>
      <c r="B17" s="7" t="n">
        <v>46124</v>
      </c>
      <c r="C17" t="inlineStr">
        <is>
          <t>Sharma Tea Stall</t>
        </is>
      </c>
      <c r="D17" s="8">
        <f>IF($A17="",0,ROUND(SUMIFS(InvoiceLines!$G$2:$G$4001,InvoiceLines!$A$2:$A$4001,$A17),2))</f>
        <v/>
      </c>
      <c r="E17" s="8">
        <f>IF($A17="",0,ROUND($D17*18%,2))</f>
        <v/>
      </c>
      <c r="F17" s="8">
        <f>IF($A17="",0,$D17+$E17)</f>
        <v/>
      </c>
      <c r="G17" s="8" t="n">
        <v>468.34</v>
      </c>
      <c r="H17" s="8">
        <f>IF($A17="",0,$F17-$G17)</f>
        <v/>
      </c>
      <c r="I17">
        <f>IF($A17="","",IF($H17=0,"Paid",IF($G17=0,"Unpaid","Partial")))</f>
        <v/>
      </c>
    </row>
    <row r="18">
      <c r="A18" t="inlineStr">
        <is>
          <t>INV-2026-0017</t>
        </is>
      </c>
      <c r="B18" s="7" t="n">
        <v>46125</v>
      </c>
      <c r="C18" t="inlineStr">
        <is>
          <t>Bright School Canteen</t>
        </is>
      </c>
      <c r="D18" s="8">
        <f>IF($A18="",0,ROUND(SUMIFS(InvoiceLines!$G$2:$G$4001,InvoiceLines!$A$2:$A$4001,$A18),2))</f>
        <v/>
      </c>
      <c r="E18" s="8">
        <f>IF($A18="",0,ROUND($D18*18%,2))</f>
        <v/>
      </c>
      <c r="F18" s="8">
        <f>IF($A18="",0,$D18+$E18)</f>
        <v/>
      </c>
      <c r="G18" s="8" t="n">
        <v>3115.2</v>
      </c>
      <c r="H18" s="8">
        <f>IF($A18="",0,$F18-$G18)</f>
        <v/>
      </c>
      <c r="I18">
        <f>IF($A18="","",IF($H18=0,"Paid",IF($G18=0,"Unpaid","Partial")))</f>
        <v/>
      </c>
    </row>
    <row r="19">
      <c r="A19" t="inlineStr">
        <is>
          <t>INV-2026-0018</t>
        </is>
      </c>
      <c r="B19" s="7" t="n">
        <v>46126</v>
      </c>
      <c r="C19" t="inlineStr">
        <is>
          <t>FreshMart Store</t>
        </is>
      </c>
      <c r="D19" s="8">
        <f>IF($A19="",0,ROUND(SUMIFS(InvoiceLines!$G$2:$G$4001,InvoiceLines!$A$2:$A$4001,$A19),2))</f>
        <v/>
      </c>
      <c r="E19" s="8">
        <f>IF($A19="",0,ROUND($D19*18%,2))</f>
        <v/>
      </c>
      <c r="F19" s="8">
        <f>IF($A19="",0,$D19+$E19)</f>
        <v/>
      </c>
      <c r="G19" s="8" t="n">
        <v>10124.4</v>
      </c>
      <c r="H19" s="8">
        <f>IF($A19="",0,$F19-$G19)</f>
        <v/>
      </c>
      <c r="I19">
        <f>IF($A19="","",IF($H19=0,"Paid",IF($G19=0,"Unpaid","Partial")))</f>
        <v/>
      </c>
    </row>
    <row r="20">
      <c r="A20" t="inlineStr">
        <is>
          <t>INV-2026-0019</t>
        </is>
      </c>
      <c r="B20" s="7" t="n">
        <v>46127</v>
      </c>
      <c r="C20" t="inlineStr">
        <is>
          <t>FreshMart Store</t>
        </is>
      </c>
      <c r="D20" s="8">
        <f>IF($A20="",0,ROUND(SUMIFS(InvoiceLines!$G$2:$G$4001,InvoiceLines!$A$2:$A$4001,$A20),2))</f>
        <v/>
      </c>
      <c r="E20" s="8">
        <f>IF($A20="",0,ROUND($D20*18%,2))</f>
        <v/>
      </c>
      <c r="F20" s="8">
        <f>IF($A20="",0,$D20+$E20)</f>
        <v/>
      </c>
      <c r="G20" s="8" t="n">
        <v>0</v>
      </c>
      <c r="H20" s="8">
        <f>IF($A20="",0,$F20-$G20)</f>
        <v/>
      </c>
      <c r="I20">
        <f>IF($A20="","",IF($H20=0,"Paid",IF($G20=0,"Unpaid","Partial")))</f>
        <v/>
      </c>
    </row>
    <row r="21">
      <c r="A21" t="inlineStr">
        <is>
          <t>INV-2026-0020</t>
        </is>
      </c>
      <c r="B21" s="7" t="n">
        <v>46128</v>
      </c>
      <c r="C21" t="inlineStr">
        <is>
          <t>FreshMart Store</t>
        </is>
      </c>
      <c r="D21" s="8">
        <f>IF($A21="",0,ROUND(SUMIFS(InvoiceLines!$G$2:$G$4001,InvoiceLines!$A$2:$A$4001,$A21),2))</f>
        <v/>
      </c>
      <c r="E21" s="8">
        <f>IF($A21="",0,ROUND($D21*18%,2))</f>
        <v/>
      </c>
      <c r="F21" s="8">
        <f>IF($A21="",0,$D21+$E21)</f>
        <v/>
      </c>
      <c r="G21" s="8" t="n">
        <v>7292.4</v>
      </c>
      <c r="H21" s="8">
        <f>IF($A21="",0,$F21-$G21)</f>
        <v/>
      </c>
      <c r="I21">
        <f>IF($A21="","",IF($H21=0,"Paid",IF($G21=0,"Unpaid","Partial")))</f>
        <v/>
      </c>
    </row>
    <row r="22">
      <c r="A22" t="inlineStr">
        <is>
          <t>INV-2026-0021</t>
        </is>
      </c>
      <c r="B22" s="7" t="n">
        <v>46128</v>
      </c>
      <c r="C22" t="inlineStr">
        <is>
          <t>Sharma Tea Stall</t>
        </is>
      </c>
      <c r="D22" s="8">
        <f>IF($A22="",0,ROUND(SUMIFS(InvoiceLines!$G$2:$G$4001,InvoiceLines!$A$2:$A$4001,$A22),2))</f>
        <v/>
      </c>
      <c r="E22" s="8">
        <f>IF($A22="",0,ROUND($D22*18%,2))</f>
        <v/>
      </c>
      <c r="F22" s="8">
        <f>IF($A22="",0,$D22+$E22)</f>
        <v/>
      </c>
      <c r="G22" s="8" t="n">
        <v>13900.4</v>
      </c>
      <c r="H22" s="8">
        <f>IF($A22="",0,$F22-$G22)</f>
        <v/>
      </c>
      <c r="I22">
        <f>IF($A22="","",IF($H22=0,"Paid",IF($G22=0,"Unpaid","Partial")))</f>
        <v/>
      </c>
    </row>
    <row r="23">
      <c r="A23" t="inlineStr">
        <is>
          <t>INV-2026-0022</t>
        </is>
      </c>
      <c r="B23" s="7" t="n">
        <v>46129</v>
      </c>
      <c r="C23" t="inlineStr">
        <is>
          <t>MediCare Clinic</t>
        </is>
      </c>
      <c r="D23" s="8">
        <f>IF($A23="",0,ROUND(SUMIFS(InvoiceLines!$G$2:$G$4001,InvoiceLines!$A$2:$A$4001,$A23),2))</f>
        <v/>
      </c>
      <c r="E23" s="8">
        <f>IF($A23="",0,ROUND($D23*18%,2))</f>
        <v/>
      </c>
      <c r="F23" s="8">
        <f>IF($A23="",0,$D23+$E23)</f>
        <v/>
      </c>
      <c r="G23" s="8" t="n">
        <v>9156.799999999999</v>
      </c>
      <c r="H23" s="8">
        <f>IF($A23="",0,$F23-$G23)</f>
        <v/>
      </c>
      <c r="I23">
        <f>IF($A23="","",IF($H23=0,"Paid",IF($G23=0,"Unpaid","Partial")))</f>
        <v/>
      </c>
    </row>
    <row r="24">
      <c r="A24" t="inlineStr">
        <is>
          <t>INV-2026-0023</t>
        </is>
      </c>
      <c r="B24" s="7" t="n">
        <v>46130</v>
      </c>
      <c r="C24" t="inlineStr">
        <is>
          <t>City Gym</t>
        </is>
      </c>
      <c r="D24" s="8">
        <f>IF($A24="",0,ROUND(SUMIFS(InvoiceLines!$G$2:$G$4001,InvoiceLines!$A$2:$A$4001,$A24),2))</f>
        <v/>
      </c>
      <c r="E24" s="8">
        <f>IF($A24="",0,ROUND($D24*18%,2))</f>
        <v/>
      </c>
      <c r="F24" s="8">
        <f>IF($A24="",0,$D24+$E24)</f>
        <v/>
      </c>
      <c r="G24" s="8" t="n">
        <v>10030</v>
      </c>
      <c r="H24" s="8">
        <f>IF($A24="",0,$F24-$G24)</f>
        <v/>
      </c>
      <c r="I24">
        <f>IF($A24="","",IF($H24=0,"Paid",IF($G24=0,"Unpaid","Partial")))</f>
        <v/>
      </c>
    </row>
    <row r="25">
      <c r="A25" t="inlineStr">
        <is>
          <t>INV-2026-0024</t>
        </is>
      </c>
      <c r="B25" s="7" t="n">
        <v>46130</v>
      </c>
      <c r="C25" t="inlineStr">
        <is>
          <t>Hotel Rajwada</t>
        </is>
      </c>
      <c r="D25" s="8">
        <f>IF($A25="",0,ROUND(SUMIFS(InvoiceLines!$G$2:$G$4001,InvoiceLines!$A$2:$A$4001,$A25),2))</f>
        <v/>
      </c>
      <c r="E25" s="8">
        <f>IF($A25="",0,ROUND($D25*18%,2))</f>
        <v/>
      </c>
      <c r="F25" s="8">
        <f>IF($A25="",0,$D25+$E25)</f>
        <v/>
      </c>
      <c r="G25" s="8" t="n">
        <v>9133.200000000001</v>
      </c>
      <c r="H25" s="8">
        <f>IF($A25="",0,$F25-$G25)</f>
        <v/>
      </c>
      <c r="I25">
        <f>IF($A25="","",IF($H25=0,"Paid",IF($G25=0,"Unpaid","Partial")))</f>
        <v/>
      </c>
    </row>
    <row r="26">
      <c r="A26" t="inlineStr">
        <is>
          <t>INV-2026-0025</t>
        </is>
      </c>
      <c r="B26" s="7" t="n">
        <v>46133</v>
      </c>
      <c r="C26" t="inlineStr">
        <is>
          <t>City Gym</t>
        </is>
      </c>
      <c r="D26" s="8">
        <f>IF($A26="",0,ROUND(SUMIFS(InvoiceLines!$G$2:$G$4001,InvoiceLines!$A$2:$A$4001,$A26),2))</f>
        <v/>
      </c>
      <c r="E26" s="8">
        <f>IF($A26="",0,ROUND($D26*18%,2))</f>
        <v/>
      </c>
      <c r="F26" s="8">
        <f>IF($A26="",0,$D26+$E26)</f>
        <v/>
      </c>
      <c r="G26" s="8" t="n">
        <v>3610.8</v>
      </c>
      <c r="H26" s="8">
        <f>IF($A26="",0,$F26-$G26)</f>
        <v/>
      </c>
      <c r="I26">
        <f>IF($A26="","",IF($H26=0,"Paid",IF($G26=0,"Unpaid","Partial")))</f>
        <v/>
      </c>
    </row>
    <row r="27">
      <c r="A27" t="inlineStr">
        <is>
          <t>INV-2026-0026</t>
        </is>
      </c>
      <c r="B27" s="7" t="n">
        <v>46134</v>
      </c>
      <c r="C27" t="inlineStr">
        <is>
          <t>Wedding Palace Events</t>
        </is>
      </c>
      <c r="D27" s="8">
        <f>IF($A27="",0,ROUND(SUMIFS(InvoiceLines!$G$2:$G$4001,InvoiceLines!$A$2:$A$4001,$A27),2))</f>
        <v/>
      </c>
      <c r="E27" s="8">
        <f>IF($A27="",0,ROUND($D27*18%,2))</f>
        <v/>
      </c>
      <c r="F27" s="8">
        <f>IF($A27="",0,$D27+$E27)</f>
        <v/>
      </c>
      <c r="G27" s="8" t="n">
        <v>11021.2</v>
      </c>
      <c r="H27" s="8">
        <f>IF($A27="",0,$F27-$G27)</f>
        <v/>
      </c>
      <c r="I27">
        <f>IF($A27="","",IF($H27=0,"Paid",IF($G27=0,"Unpaid","Partial")))</f>
        <v/>
      </c>
    </row>
    <row r="28">
      <c r="A28" t="inlineStr">
        <is>
          <t>INV-2026-0027</t>
        </is>
      </c>
      <c r="B28" s="7" t="n">
        <v>46135</v>
      </c>
      <c r="C28" t="inlineStr">
        <is>
          <t>Cafe Brewlane</t>
        </is>
      </c>
      <c r="D28" s="8">
        <f>IF($A28="",0,ROUND(SUMIFS(InvoiceLines!$G$2:$G$4001,InvoiceLines!$A$2:$A$4001,$A28),2))</f>
        <v/>
      </c>
      <c r="E28" s="8">
        <f>IF($A28="",0,ROUND($D28*18%,2))</f>
        <v/>
      </c>
      <c r="F28" s="8">
        <f>IF($A28="",0,$D28+$E28)</f>
        <v/>
      </c>
      <c r="G28" s="8" t="n">
        <v>17251.6</v>
      </c>
      <c r="H28" s="8">
        <f>IF($A28="",0,$F28-$G28)</f>
        <v/>
      </c>
      <c r="I28">
        <f>IF($A28="","",IF($H28=0,"Paid",IF($G28=0,"Unpaid","Partial")))</f>
        <v/>
      </c>
    </row>
    <row r="29">
      <c r="A29" t="inlineStr">
        <is>
          <t>INV-2026-0028</t>
        </is>
      </c>
      <c r="B29" s="7" t="n">
        <v>46135</v>
      </c>
      <c r="C29" t="inlineStr">
        <is>
          <t>City Gym</t>
        </is>
      </c>
      <c r="D29" s="8">
        <f>IF($A29="",0,ROUND(SUMIFS(InvoiceLines!$G$2:$G$4001,InvoiceLines!$A$2:$A$4001,$A29),2))</f>
        <v/>
      </c>
      <c r="E29" s="8">
        <f>IF($A29="",0,ROUND($D29*18%,2))</f>
        <v/>
      </c>
      <c r="F29" s="8">
        <f>IF($A29="",0,$D29+$E29)</f>
        <v/>
      </c>
      <c r="G29" s="8" t="n">
        <v>10974</v>
      </c>
      <c r="H29" s="8">
        <f>IF($A29="",0,$F29-$G29)</f>
        <v/>
      </c>
      <c r="I29">
        <f>IF($A29="","",IF($H29=0,"Paid",IF($G29=0,"Unpaid","Partial")))</f>
        <v/>
      </c>
    </row>
    <row r="30">
      <c r="A30" t="inlineStr">
        <is>
          <t>INV-2026-0029</t>
        </is>
      </c>
      <c r="B30" s="7" t="n">
        <v>46136</v>
      </c>
      <c r="C30" t="inlineStr">
        <is>
          <t>Wedding Palace Events</t>
        </is>
      </c>
      <c r="D30" s="8">
        <f>IF($A30="",0,ROUND(SUMIFS(InvoiceLines!$G$2:$G$4001,InvoiceLines!$A$2:$A$4001,$A30),2))</f>
        <v/>
      </c>
      <c r="E30" s="8">
        <f>IF($A30="",0,ROUND($D30*18%,2))</f>
        <v/>
      </c>
      <c r="F30" s="8">
        <f>IF($A30="",0,$D30+$E30)</f>
        <v/>
      </c>
      <c r="G30" s="8" t="n">
        <v>8826.4</v>
      </c>
      <c r="H30" s="8">
        <f>IF($A30="",0,$F30-$G30)</f>
        <v/>
      </c>
      <c r="I30">
        <f>IF($A30="","",IF($H30=0,"Paid",IF($G30=0,"Unpaid","Partial")))</f>
        <v/>
      </c>
    </row>
    <row r="31">
      <c r="A31" t="inlineStr">
        <is>
          <t>INV-2026-0030</t>
        </is>
      </c>
      <c r="B31" s="7" t="n">
        <v>46137</v>
      </c>
      <c r="C31" t="inlineStr">
        <is>
          <t>City Gym</t>
        </is>
      </c>
      <c r="D31" s="8">
        <f>IF($A31="",0,ROUND(SUMIFS(InvoiceLines!$G$2:$G$4001,InvoiceLines!$A$2:$A$4001,$A31),2))</f>
        <v/>
      </c>
      <c r="E31" s="8">
        <f>IF($A31="",0,ROUND($D31*18%,2))</f>
        <v/>
      </c>
      <c r="F31" s="8">
        <f>IF($A31="",0,$D31+$E31)</f>
        <v/>
      </c>
      <c r="G31" s="8" t="n">
        <v>6584.4</v>
      </c>
      <c r="H31" s="8">
        <f>IF($A31="",0,$F31-$G31)</f>
        <v/>
      </c>
      <c r="I31">
        <f>IF($A31="","",IF($H31=0,"Paid",IF($G31=0,"Unpaid","Partial")))</f>
        <v/>
      </c>
    </row>
    <row r="32">
      <c r="A32" t="inlineStr">
        <is>
          <t>INV-2026-0031</t>
        </is>
      </c>
      <c r="B32" s="7" t="n">
        <v>46138</v>
      </c>
      <c r="C32" t="inlineStr">
        <is>
          <t>Wedding Palace Events</t>
        </is>
      </c>
      <c r="D32" s="8">
        <f>IF($A32="",0,ROUND(SUMIFS(InvoiceLines!$G$2:$G$4001,InvoiceLines!$A$2:$A$4001,$A32),2))</f>
        <v/>
      </c>
      <c r="E32" s="8">
        <f>IF($A32="",0,ROUND($D32*18%,2))</f>
        <v/>
      </c>
      <c r="F32" s="8">
        <f>IF($A32="",0,$D32+$E32)</f>
        <v/>
      </c>
      <c r="G32" s="8" t="n">
        <v>4177.2</v>
      </c>
      <c r="H32" s="8">
        <f>IF($A32="",0,$F32-$G32)</f>
        <v/>
      </c>
      <c r="I32">
        <f>IF($A32="","",IF($H32=0,"Paid",IF($G32=0,"Unpaid","Partial")))</f>
        <v/>
      </c>
    </row>
    <row r="33">
      <c r="A33" t="inlineStr">
        <is>
          <t>INV-2026-0032</t>
        </is>
      </c>
      <c r="B33" s="7" t="n">
        <v>46138</v>
      </c>
      <c r="C33" t="inlineStr">
        <is>
          <t>Sharma Tea Stall</t>
        </is>
      </c>
      <c r="D33" s="8">
        <f>IF($A33="",0,ROUND(SUMIFS(InvoiceLines!$G$2:$G$4001,InvoiceLines!$A$2:$A$4001,$A33),2))</f>
        <v/>
      </c>
      <c r="E33" s="8">
        <f>IF($A33="",0,ROUND($D33*18%,2))</f>
        <v/>
      </c>
      <c r="F33" s="8">
        <f>IF($A33="",0,$D33+$E33)</f>
        <v/>
      </c>
      <c r="G33" s="8" t="n">
        <v>15823.8</v>
      </c>
      <c r="H33" s="8">
        <f>IF($A33="",0,$F33-$G33)</f>
        <v/>
      </c>
      <c r="I33">
        <f>IF($A33="","",IF($H33=0,"Paid",IF($G33=0,"Unpaid","Partial")))</f>
        <v/>
      </c>
    </row>
    <row r="34">
      <c r="A34" t="inlineStr">
        <is>
          <t>INV-2026-0033</t>
        </is>
      </c>
      <c r="B34" s="7" t="n">
        <v>46138</v>
      </c>
      <c r="C34" t="inlineStr">
        <is>
          <t>City Gym</t>
        </is>
      </c>
      <c r="D34" s="8">
        <f>IF($A34="",0,ROUND(SUMIFS(InvoiceLines!$G$2:$G$4001,InvoiceLines!$A$2:$A$4001,$A34),2))</f>
        <v/>
      </c>
      <c r="E34" s="8">
        <f>IF($A34="",0,ROUND($D34*18%,2))</f>
        <v/>
      </c>
      <c r="F34" s="8">
        <f>IF($A34="",0,$D34+$E34)</f>
        <v/>
      </c>
      <c r="G34" s="8" t="n">
        <v>7504.8</v>
      </c>
      <c r="H34" s="8">
        <f>IF($A34="",0,$F34-$G34)</f>
        <v/>
      </c>
      <c r="I34">
        <f>IF($A34="","",IF($H34=0,"Paid",IF($G34=0,"Unpaid","Partial")))</f>
        <v/>
      </c>
    </row>
    <row r="35">
      <c r="A35" t="inlineStr">
        <is>
          <t>INV-2026-0034</t>
        </is>
      </c>
      <c r="B35" s="7" t="n">
        <v>46139</v>
      </c>
      <c r="C35" t="inlineStr">
        <is>
          <t>Hotel Rajwada</t>
        </is>
      </c>
      <c r="D35" s="8">
        <f>IF($A35="",0,ROUND(SUMIFS(InvoiceLines!$G$2:$G$4001,InvoiceLines!$A$2:$A$4001,$A35),2))</f>
        <v/>
      </c>
      <c r="E35" s="8">
        <f>IF($A35="",0,ROUND($D35*18%,2))</f>
        <v/>
      </c>
      <c r="F35" s="8">
        <f>IF($A35="",0,$D35+$E35)</f>
        <v/>
      </c>
      <c r="G35" s="8" t="n">
        <v>19800.4</v>
      </c>
      <c r="H35" s="8">
        <f>IF($A35="",0,$F35-$G35)</f>
        <v/>
      </c>
      <c r="I35">
        <f>IF($A35="","",IF($H35=0,"Paid",IF($G35=0,"Unpaid","Partial")))</f>
        <v/>
      </c>
    </row>
    <row r="36">
      <c r="A36" t="inlineStr">
        <is>
          <t>INV-2026-0035</t>
        </is>
      </c>
      <c r="B36" s="7" t="n">
        <v>46140</v>
      </c>
      <c r="C36" t="inlineStr">
        <is>
          <t>FreshMart Store</t>
        </is>
      </c>
      <c r="D36" s="8">
        <f>IF($A36="",0,ROUND(SUMIFS(InvoiceLines!$G$2:$G$4001,InvoiceLines!$A$2:$A$4001,$A36),2))</f>
        <v/>
      </c>
      <c r="E36" s="8">
        <f>IF($A36="",0,ROUND($D36*18%,2))</f>
        <v/>
      </c>
      <c r="F36" s="8">
        <f>IF($A36="",0,$D36+$E36)</f>
        <v/>
      </c>
      <c r="G36" s="8" t="n">
        <v>25393.6</v>
      </c>
      <c r="H36" s="8">
        <f>IF($A36="",0,$F36-$G36)</f>
        <v/>
      </c>
      <c r="I36">
        <f>IF($A36="","",IF($H36=0,"Paid",IF($G36=0,"Unpaid","Partial")))</f>
        <v/>
      </c>
    </row>
    <row r="37">
      <c r="A37" t="inlineStr">
        <is>
          <t>INV-2026-0036</t>
        </is>
      </c>
      <c r="B37" s="7" t="n">
        <v>46141</v>
      </c>
      <c r="C37" t="inlineStr">
        <is>
          <t>MediCare Clinic</t>
        </is>
      </c>
      <c r="D37" s="8">
        <f>IF($A37="",0,ROUND(SUMIFS(InvoiceLines!$G$2:$G$4001,InvoiceLines!$A$2:$A$4001,$A37),2))</f>
        <v/>
      </c>
      <c r="E37" s="8">
        <f>IF($A37="",0,ROUND($D37*18%,2))</f>
        <v/>
      </c>
      <c r="F37" s="8">
        <f>IF($A37="",0,$D37+$E37)</f>
        <v/>
      </c>
      <c r="G37" s="8" t="n">
        <v>10637.7</v>
      </c>
      <c r="H37" s="8">
        <f>IF($A37="",0,$F37-$G37)</f>
        <v/>
      </c>
      <c r="I37">
        <f>IF($A37="","",IF($H37=0,"Paid",IF($G37=0,"Unpaid","Partial")))</f>
        <v/>
      </c>
    </row>
    <row r="38">
      <c r="A38" t="inlineStr">
        <is>
          <t>INV-2026-0037</t>
        </is>
      </c>
      <c r="B38" s="7" t="n">
        <v>46142</v>
      </c>
      <c r="C38" t="inlineStr">
        <is>
          <t>Hotel Rajwada</t>
        </is>
      </c>
      <c r="D38" s="8">
        <f>IF($A38="",0,ROUND(SUMIFS(InvoiceLines!$G$2:$G$4001,InvoiceLines!$A$2:$A$4001,$A38),2))</f>
        <v/>
      </c>
      <c r="E38" s="8">
        <f>IF($A38="",0,ROUND($D38*18%,2))</f>
        <v/>
      </c>
      <c r="F38" s="8">
        <f>IF($A38="",0,$D38+$E38)</f>
        <v/>
      </c>
      <c r="G38" s="8" t="n">
        <v>18195.6</v>
      </c>
      <c r="H38" s="8">
        <f>IF($A38="",0,$F38-$G38)</f>
        <v/>
      </c>
      <c r="I38">
        <f>IF($A38="","",IF($H38=0,"Paid",IF($G38=0,"Unpaid","Partial")))</f>
        <v/>
      </c>
    </row>
    <row r="39">
      <c r="A39" t="inlineStr">
        <is>
          <t>INV-2026-0038</t>
        </is>
      </c>
      <c r="B39" s="7" t="n">
        <v>46143</v>
      </c>
      <c r="C39" t="inlineStr">
        <is>
          <t>Station Food Plaza</t>
        </is>
      </c>
      <c r="D39" s="8">
        <f>IF($A39="",0,ROUND(SUMIFS(InvoiceLines!$G$2:$G$4001,InvoiceLines!$A$2:$A$4001,$A39),2))</f>
        <v/>
      </c>
      <c r="E39" s="8">
        <f>IF($A39="",0,ROUND($D39*18%,2))</f>
        <v/>
      </c>
      <c r="F39" s="8">
        <f>IF($A39="",0,$D39+$E39)</f>
        <v/>
      </c>
      <c r="G39" s="8" t="n">
        <v>11598.69</v>
      </c>
      <c r="H39" s="8">
        <f>IF($A39="",0,$F39-$G39)</f>
        <v/>
      </c>
      <c r="I39">
        <f>IF($A39="","",IF($H39=0,"Paid",IF($G39=0,"Unpaid","Partial")))</f>
        <v/>
      </c>
    </row>
    <row r="40">
      <c r="A40" t="inlineStr">
        <is>
          <t>INV-2026-0039</t>
        </is>
      </c>
      <c r="B40" s="7" t="n">
        <v>46143</v>
      </c>
      <c r="C40" t="inlineStr">
        <is>
          <t>Bright School Canteen</t>
        </is>
      </c>
      <c r="D40" s="8">
        <f>IF($A40="",0,ROUND(SUMIFS(InvoiceLines!$G$2:$G$4001,InvoiceLines!$A$2:$A$4001,$A40),2))</f>
        <v/>
      </c>
      <c r="E40" s="8">
        <f>IF($A40="",0,ROUND($D40*18%,2))</f>
        <v/>
      </c>
      <c r="F40" s="8">
        <f>IF($A40="",0,$D40+$E40)</f>
        <v/>
      </c>
      <c r="G40" s="8" t="n">
        <v>1298</v>
      </c>
      <c r="H40" s="8">
        <f>IF($A40="",0,$F40-$G40)</f>
        <v/>
      </c>
      <c r="I40">
        <f>IF($A40="","",IF($H40=0,"Paid",IF($G40=0,"Unpaid","Partial")))</f>
        <v/>
      </c>
    </row>
    <row r="41">
      <c r="A41" t="inlineStr">
        <is>
          <t>INV-2026-0040</t>
        </is>
      </c>
      <c r="B41" s="7" t="n">
        <v>46144</v>
      </c>
      <c r="C41" t="inlineStr">
        <is>
          <t>Wedding Palace Events</t>
        </is>
      </c>
      <c r="D41" s="8">
        <f>IF($A41="",0,ROUND(SUMIFS(InvoiceLines!$G$2:$G$4001,InvoiceLines!$A$2:$A$4001,$A41),2))</f>
        <v/>
      </c>
      <c r="E41" s="8">
        <f>IF($A41="",0,ROUND($D41*18%,2))</f>
        <v/>
      </c>
      <c r="F41" s="8">
        <f>IF($A41="",0,$D41+$E41)</f>
        <v/>
      </c>
      <c r="G41" s="8" t="n">
        <v>24449.6</v>
      </c>
      <c r="H41" s="8">
        <f>IF($A41="",0,$F41-$G41)</f>
        <v/>
      </c>
      <c r="I41">
        <f>IF($A41="","",IF($H41=0,"Paid",IF($G41=0,"Unpaid","Partial")))</f>
        <v/>
      </c>
    </row>
    <row r="42">
      <c r="A42" t="inlineStr">
        <is>
          <t>INV-2026-0041</t>
        </is>
      </c>
      <c r="B42" s="7" t="n">
        <v>46145</v>
      </c>
      <c r="C42" t="inlineStr">
        <is>
          <t>FreshMart Store</t>
        </is>
      </c>
      <c r="D42" s="8">
        <f>IF($A42="",0,ROUND(SUMIFS(InvoiceLines!$G$2:$G$4001,InvoiceLines!$A$2:$A$4001,$A42),2))</f>
        <v/>
      </c>
      <c r="E42" s="8">
        <f>IF($A42="",0,ROUND($D42*18%,2))</f>
        <v/>
      </c>
      <c r="F42" s="8">
        <f>IF($A42="",0,$D42+$E42)</f>
        <v/>
      </c>
      <c r="G42" s="8" t="n">
        <v>6336.6</v>
      </c>
      <c r="H42" s="8">
        <f>IF($A42="",0,$F42-$G42)</f>
        <v/>
      </c>
      <c r="I42">
        <f>IF($A42="","",IF($H42=0,"Paid",IF($G42=0,"Unpaid","Partial")))</f>
        <v/>
      </c>
    </row>
    <row r="43">
      <c r="A43" t="inlineStr">
        <is>
          <t>INV-2026-0042</t>
        </is>
      </c>
      <c r="B43" s="7" t="n">
        <v>46146</v>
      </c>
      <c r="C43" t="inlineStr">
        <is>
          <t>TechPark Canteen</t>
        </is>
      </c>
      <c r="D43" s="8">
        <f>IF($A43="",0,ROUND(SUMIFS(InvoiceLines!$G$2:$G$4001,InvoiceLines!$A$2:$A$4001,$A43),2))</f>
        <v/>
      </c>
      <c r="E43" s="8">
        <f>IF($A43="",0,ROUND($D43*18%,2))</f>
        <v/>
      </c>
      <c r="F43" s="8">
        <f>IF($A43="",0,$D43+$E43)</f>
        <v/>
      </c>
      <c r="G43" s="8" t="n">
        <v>9892.879999999999</v>
      </c>
      <c r="H43" s="8">
        <f>IF($A43="",0,$F43-$G43)</f>
        <v/>
      </c>
      <c r="I43">
        <f>IF($A43="","",IF($H43=0,"Paid",IF($G43=0,"Unpaid","Partial")))</f>
        <v/>
      </c>
    </row>
    <row r="44">
      <c r="A44" t="inlineStr">
        <is>
          <t>INV-2026-0043</t>
        </is>
      </c>
      <c r="B44" s="7" t="n">
        <v>46147</v>
      </c>
      <c r="C44" t="inlineStr">
        <is>
          <t>Sharma Tea Stall</t>
        </is>
      </c>
      <c r="D44" s="8">
        <f>IF($A44="",0,ROUND(SUMIFS(InvoiceLines!$G$2:$G$4001,InvoiceLines!$A$2:$A$4001,$A44),2))</f>
        <v/>
      </c>
      <c r="E44" s="8">
        <f>IF($A44="",0,ROUND($D44*18%,2))</f>
        <v/>
      </c>
      <c r="F44" s="8">
        <f>IF($A44="",0,$D44+$E44)</f>
        <v/>
      </c>
      <c r="G44" s="8" t="n">
        <v>8637.6</v>
      </c>
      <c r="H44" s="8">
        <f>IF($A44="",0,$F44-$G44)</f>
        <v/>
      </c>
      <c r="I44">
        <f>IF($A44="","",IF($H44=0,"Paid",IF($G44=0,"Unpaid","Partial")))</f>
        <v/>
      </c>
    </row>
    <row r="45">
      <c r="A45" t="inlineStr">
        <is>
          <t>INV-2026-0044</t>
        </is>
      </c>
      <c r="B45" s="7" t="n">
        <v>46148</v>
      </c>
      <c r="C45" t="inlineStr">
        <is>
          <t>FreshMart Store</t>
        </is>
      </c>
      <c r="D45" s="8">
        <f>IF($A45="",0,ROUND(SUMIFS(InvoiceLines!$G$2:$G$4001,InvoiceLines!$A$2:$A$4001,$A45),2))</f>
        <v/>
      </c>
      <c r="E45" s="8">
        <f>IF($A45="",0,ROUND($D45*18%,2))</f>
        <v/>
      </c>
      <c r="F45" s="8">
        <f>IF($A45="",0,$D45+$E45)</f>
        <v/>
      </c>
      <c r="G45" s="8" t="n">
        <v>10384</v>
      </c>
      <c r="H45" s="8">
        <f>IF($A45="",0,$F45-$G45)</f>
        <v/>
      </c>
      <c r="I45">
        <f>IF($A45="","",IF($H45=0,"Paid",IF($G45=0,"Unpaid","Partial")))</f>
        <v/>
      </c>
    </row>
    <row r="46">
      <c r="A46" t="inlineStr">
        <is>
          <t>INV-2026-0045</t>
        </is>
      </c>
      <c r="B46" s="7" t="n">
        <v>46149</v>
      </c>
      <c r="C46" t="inlineStr">
        <is>
          <t>MediCare Clinic</t>
        </is>
      </c>
      <c r="D46" s="8">
        <f>IF($A46="",0,ROUND(SUMIFS(InvoiceLines!$G$2:$G$4001,InvoiceLines!$A$2:$A$4001,$A46),2))</f>
        <v/>
      </c>
      <c r="E46" s="8">
        <f>IF($A46="",0,ROUND($D46*18%,2))</f>
        <v/>
      </c>
      <c r="F46" s="8">
        <f>IF($A46="",0,$D46+$E46)</f>
        <v/>
      </c>
      <c r="G46" s="8" t="n">
        <v>10230.6</v>
      </c>
      <c r="H46" s="8">
        <f>IF($A46="",0,$F46-$G46)</f>
        <v/>
      </c>
      <c r="I46">
        <f>IF($A46="","",IF($H46=0,"Paid",IF($G46=0,"Unpaid","Partial")))</f>
        <v/>
      </c>
    </row>
    <row r="47">
      <c r="A47" t="inlineStr">
        <is>
          <t>INV-2026-0046</t>
        </is>
      </c>
      <c r="B47" s="7" t="n">
        <v>46150</v>
      </c>
      <c r="C47" t="inlineStr">
        <is>
          <t>OfficeHub Cowork</t>
        </is>
      </c>
      <c r="D47" s="8">
        <f>IF($A47="",0,ROUND(SUMIFS(InvoiceLines!$G$2:$G$4001,InvoiceLines!$A$2:$A$4001,$A47),2))</f>
        <v/>
      </c>
      <c r="E47" s="8">
        <f>IF($A47="",0,ROUND($D47*18%,2))</f>
        <v/>
      </c>
      <c r="F47" s="8">
        <f>IF($A47="",0,$D47+$E47)</f>
        <v/>
      </c>
      <c r="G47" s="8" t="n">
        <v>8037.22</v>
      </c>
      <c r="H47" s="8">
        <f>IF($A47="",0,$F47-$G47)</f>
        <v/>
      </c>
      <c r="I47">
        <f>IF($A47="","",IF($H47=0,"Paid",IF($G47=0,"Unpaid","Partial")))</f>
        <v/>
      </c>
    </row>
    <row r="48">
      <c r="A48" t="inlineStr">
        <is>
          <t>INV-2026-0047</t>
        </is>
      </c>
      <c r="B48" s="7" t="n">
        <v>46151</v>
      </c>
      <c r="C48" t="inlineStr">
        <is>
          <t>MediCare Clinic</t>
        </is>
      </c>
      <c r="D48" s="8">
        <f>IF($A48="",0,ROUND(SUMIFS(InvoiceLines!$G$2:$G$4001,InvoiceLines!$A$2:$A$4001,$A48),2))</f>
        <v/>
      </c>
      <c r="E48" s="8">
        <f>IF($A48="",0,ROUND($D48*18%,2))</f>
        <v/>
      </c>
      <c r="F48" s="8">
        <f>IF($A48="",0,$D48+$E48)</f>
        <v/>
      </c>
      <c r="G48" s="8" t="n">
        <v>10195.2</v>
      </c>
      <c r="H48" s="8">
        <f>IF($A48="",0,$F48-$G48)</f>
        <v/>
      </c>
      <c r="I48">
        <f>IF($A48="","",IF($H48=0,"Paid",IF($G48=0,"Unpaid","Partial")))</f>
        <v/>
      </c>
    </row>
    <row r="49">
      <c r="A49" t="inlineStr">
        <is>
          <t>INV-2026-0048</t>
        </is>
      </c>
      <c r="B49" s="7" t="n">
        <v>46152</v>
      </c>
      <c r="C49" t="inlineStr">
        <is>
          <t>Ganga Boys Hostel</t>
        </is>
      </c>
      <c r="D49" s="8">
        <f>IF($A49="",0,ROUND(SUMIFS(InvoiceLines!$G$2:$G$4001,InvoiceLines!$A$2:$A$4001,$A49),2))</f>
        <v/>
      </c>
      <c r="E49" s="8">
        <f>IF($A49="",0,ROUND($D49*18%,2))</f>
        <v/>
      </c>
      <c r="F49" s="8">
        <f>IF($A49="",0,$D49+$E49)</f>
        <v/>
      </c>
      <c r="G49" s="8" t="n">
        <v>8496</v>
      </c>
      <c r="H49" s="8">
        <f>IF($A49="",0,$F49-$G49)</f>
        <v/>
      </c>
      <c r="I49">
        <f>IF($A49="","",IF($H49=0,"Paid",IF($G49=0,"Unpaid","Partial")))</f>
        <v/>
      </c>
    </row>
    <row r="50">
      <c r="A50" t="inlineStr">
        <is>
          <t>INV-2026-0049</t>
        </is>
      </c>
      <c r="B50" s="7" t="n">
        <v>46155</v>
      </c>
      <c r="C50" t="inlineStr">
        <is>
          <t>OfficeHub Cowork</t>
        </is>
      </c>
      <c r="D50" s="8">
        <f>IF($A50="",0,ROUND(SUMIFS(InvoiceLines!$G$2:$G$4001,InvoiceLines!$A$2:$A$4001,$A50),2))</f>
        <v/>
      </c>
      <c r="E50" s="8">
        <f>IF($A50="",0,ROUND($D50*18%,2))</f>
        <v/>
      </c>
      <c r="F50" s="8">
        <f>IF($A50="",0,$D50+$E50)</f>
        <v/>
      </c>
      <c r="G50" s="8" t="n">
        <v>3132.9</v>
      </c>
      <c r="H50" s="8">
        <f>IF($A50="",0,$F50-$G50)</f>
        <v/>
      </c>
      <c r="I50">
        <f>IF($A50="","",IF($H50=0,"Paid",IF($G50=0,"Unpaid","Partial")))</f>
        <v/>
      </c>
    </row>
    <row r="51">
      <c r="A51" t="inlineStr">
        <is>
          <t>INV-2026-0050</t>
        </is>
      </c>
      <c r="B51" s="7" t="n">
        <v>46155</v>
      </c>
      <c r="C51" t="inlineStr">
        <is>
          <t>OfficeHub Cowork</t>
        </is>
      </c>
      <c r="D51" s="8">
        <f>IF($A51="",0,ROUND(SUMIFS(InvoiceLines!$G$2:$G$4001,InvoiceLines!$A$2:$A$4001,$A51),2))</f>
        <v/>
      </c>
      <c r="E51" s="8">
        <f>IF($A51="",0,ROUND($D51*18%,2))</f>
        <v/>
      </c>
      <c r="F51" s="8">
        <f>IF($A51="",0,$D51+$E51)</f>
        <v/>
      </c>
      <c r="G51" s="8" t="n">
        <v>0</v>
      </c>
      <c r="H51" s="8">
        <f>IF($A51="",0,$F51-$G51)</f>
        <v/>
      </c>
      <c r="I51">
        <f>IF($A51="","",IF($H51=0,"Paid",IF($G51=0,"Unpaid","Partial")))</f>
        <v/>
      </c>
    </row>
    <row r="52">
      <c r="A52" t="inlineStr">
        <is>
          <t>INV-2026-0051</t>
        </is>
      </c>
      <c r="B52" s="7" t="n">
        <v>46156</v>
      </c>
      <c r="C52" t="inlineStr">
        <is>
          <t>City Gym</t>
        </is>
      </c>
      <c r="D52" s="8">
        <f>IF($A52="",0,ROUND(SUMIFS(InvoiceLines!$G$2:$G$4001,InvoiceLines!$A$2:$A$4001,$A52),2))</f>
        <v/>
      </c>
      <c r="E52" s="8">
        <f>IF($A52="",0,ROUND($D52*18%,2))</f>
        <v/>
      </c>
      <c r="F52" s="8">
        <f>IF($A52="",0,$D52+$E52)</f>
        <v/>
      </c>
      <c r="G52" s="8" t="n">
        <v>20614.6</v>
      </c>
      <c r="H52" s="8">
        <f>IF($A52="",0,$F52-$G52)</f>
        <v/>
      </c>
      <c r="I52">
        <f>IF($A52="","",IF($H52=0,"Paid",IF($G52=0,"Unpaid","Partial")))</f>
        <v/>
      </c>
    </row>
    <row r="53">
      <c r="A53" t="inlineStr">
        <is>
          <t>INV-2026-0052</t>
        </is>
      </c>
      <c r="B53" s="7" t="n">
        <v>46157</v>
      </c>
      <c r="C53" t="inlineStr">
        <is>
          <t>TechPark Canteen</t>
        </is>
      </c>
      <c r="D53" s="8">
        <f>IF($A53="",0,ROUND(SUMIFS(InvoiceLines!$G$2:$G$4001,InvoiceLines!$A$2:$A$4001,$A53),2))</f>
        <v/>
      </c>
      <c r="E53" s="8">
        <f>IF($A53="",0,ROUND($D53*18%,2))</f>
        <v/>
      </c>
      <c r="F53" s="8">
        <f>IF($A53="",0,$D53+$E53)</f>
        <v/>
      </c>
      <c r="G53" s="8" t="n">
        <v>13292.7</v>
      </c>
      <c r="H53" s="8">
        <f>IF($A53="",0,$F53-$G53)</f>
        <v/>
      </c>
      <c r="I53">
        <f>IF($A53="","",IF($H53=0,"Paid",IF($G53=0,"Unpaid","Partial")))</f>
        <v/>
      </c>
    </row>
    <row r="54">
      <c r="A54" t="inlineStr">
        <is>
          <t>INV-2026-0053</t>
        </is>
      </c>
      <c r="B54" s="7" t="n">
        <v>46157</v>
      </c>
      <c r="C54" t="inlineStr">
        <is>
          <t>Wedding Palace Events</t>
        </is>
      </c>
      <c r="D54" s="8">
        <f>IF($A54="",0,ROUND(SUMIFS(InvoiceLines!$G$2:$G$4001,InvoiceLines!$A$2:$A$4001,$A54),2))</f>
        <v/>
      </c>
      <c r="E54" s="8">
        <f>IF($A54="",0,ROUND($D54*18%,2))</f>
        <v/>
      </c>
      <c r="F54" s="8">
        <f>IF($A54="",0,$D54+$E54)</f>
        <v/>
      </c>
      <c r="G54" s="8" t="n">
        <v>0</v>
      </c>
      <c r="H54" s="8">
        <f>IF($A54="",0,$F54-$G54)</f>
        <v/>
      </c>
      <c r="I54">
        <f>IF($A54="","",IF($H54=0,"Paid",IF($G54=0,"Unpaid","Partial")))</f>
        <v/>
      </c>
    </row>
    <row r="55">
      <c r="A55" t="inlineStr">
        <is>
          <t>INV-2026-0054</t>
        </is>
      </c>
      <c r="B55" s="7" t="n">
        <v>46157</v>
      </c>
      <c r="C55" t="inlineStr">
        <is>
          <t>City Gym</t>
        </is>
      </c>
      <c r="D55" s="8">
        <f>IF($A55="",0,ROUND(SUMIFS(InvoiceLines!$G$2:$G$4001,InvoiceLines!$A$2:$A$4001,$A55),2))</f>
        <v/>
      </c>
      <c r="E55" s="8">
        <f>IF($A55="",0,ROUND($D55*18%,2))</f>
        <v/>
      </c>
      <c r="F55" s="8">
        <f>IF($A55="",0,$D55+$E55)</f>
        <v/>
      </c>
      <c r="G55" s="8" t="n">
        <v>10365.12</v>
      </c>
      <c r="H55" s="8">
        <f>IF($A55="",0,$F55-$G55)</f>
        <v/>
      </c>
      <c r="I55">
        <f>IF($A55="","",IF($H55=0,"Paid",IF($G55=0,"Unpaid","Partial")))</f>
        <v/>
      </c>
    </row>
    <row r="56">
      <c r="A56" t="inlineStr">
        <is>
          <t>INV-2026-0055</t>
        </is>
      </c>
      <c r="B56" s="7" t="n">
        <v>46158</v>
      </c>
      <c r="C56" t="inlineStr">
        <is>
          <t>Wedding Palace Events</t>
        </is>
      </c>
      <c r="D56" s="8">
        <f>IF($A56="",0,ROUND(SUMIFS(InvoiceLines!$G$2:$G$4001,InvoiceLines!$A$2:$A$4001,$A56),2))</f>
        <v/>
      </c>
      <c r="E56" s="8">
        <f>IF($A56="",0,ROUND($D56*18%,2))</f>
        <v/>
      </c>
      <c r="F56" s="8">
        <f>IF($A56="",0,$D56+$E56)</f>
        <v/>
      </c>
      <c r="G56" s="8" t="n">
        <v>3327.6</v>
      </c>
      <c r="H56" s="8">
        <f>IF($A56="",0,$F56-$G56)</f>
        <v/>
      </c>
      <c r="I56">
        <f>IF($A56="","",IF($H56=0,"Paid",IF($G56=0,"Unpaid","Partial")))</f>
        <v/>
      </c>
    </row>
    <row r="57">
      <c r="A57" t="inlineStr">
        <is>
          <t>INV-2026-0056</t>
        </is>
      </c>
      <c r="B57" s="7" t="n">
        <v>46160</v>
      </c>
      <c r="C57" t="inlineStr">
        <is>
          <t>Sharma Tea Stall</t>
        </is>
      </c>
      <c r="D57" s="8">
        <f>IF($A57="",0,ROUND(SUMIFS(InvoiceLines!$G$2:$G$4001,InvoiceLines!$A$2:$A$4001,$A57),2))</f>
        <v/>
      </c>
      <c r="E57" s="8">
        <f>IF($A57="",0,ROUND($D57*18%,2))</f>
        <v/>
      </c>
      <c r="F57" s="8">
        <f>IF($A57="",0,$D57+$E57)</f>
        <v/>
      </c>
      <c r="G57" s="8" t="n">
        <v>2803.68</v>
      </c>
      <c r="H57" s="8">
        <f>IF($A57="",0,$F57-$G57)</f>
        <v/>
      </c>
      <c r="I57">
        <f>IF($A57="","",IF($H57=0,"Paid",IF($G57=0,"Unpaid","Partial")))</f>
        <v/>
      </c>
    </row>
    <row r="58">
      <c r="A58" t="inlineStr">
        <is>
          <t>INV-2026-0057</t>
        </is>
      </c>
      <c r="B58" s="7" t="n">
        <v>46160</v>
      </c>
      <c r="C58" t="inlineStr">
        <is>
          <t>City Gym</t>
        </is>
      </c>
      <c r="D58" s="8">
        <f>IF($A58="",0,ROUND(SUMIFS(InvoiceLines!$G$2:$G$4001,InvoiceLines!$A$2:$A$4001,$A58),2))</f>
        <v/>
      </c>
      <c r="E58" s="8">
        <f>IF($A58="",0,ROUND($D58*18%,2))</f>
        <v/>
      </c>
      <c r="F58" s="8">
        <f>IF($A58="",0,$D58+$E58)</f>
        <v/>
      </c>
      <c r="G58" s="8" t="n">
        <v>0</v>
      </c>
      <c r="H58" s="8">
        <f>IF($A58="",0,$F58-$G58)</f>
        <v/>
      </c>
      <c r="I58">
        <f>IF($A58="","",IF($H58=0,"Paid",IF($G58=0,"Unpaid","Partial")))</f>
        <v/>
      </c>
    </row>
    <row r="59">
      <c r="A59" t="inlineStr">
        <is>
          <t>INV-2026-0058</t>
        </is>
      </c>
      <c r="B59" s="7" t="n">
        <v>46162</v>
      </c>
      <c r="C59" t="inlineStr">
        <is>
          <t>Bright School Canteen</t>
        </is>
      </c>
      <c r="D59" s="8">
        <f>IF($A59="",0,ROUND(SUMIFS(InvoiceLines!$G$2:$G$4001,InvoiceLines!$A$2:$A$4001,$A59),2))</f>
        <v/>
      </c>
      <c r="E59" s="8">
        <f>IF($A59="",0,ROUND($D59*18%,2))</f>
        <v/>
      </c>
      <c r="F59" s="8">
        <f>IF($A59="",0,$D59+$E59)</f>
        <v/>
      </c>
      <c r="G59" s="8" t="n">
        <v>6048.68</v>
      </c>
      <c r="H59" s="8">
        <f>IF($A59="",0,$F59-$G59)</f>
        <v/>
      </c>
      <c r="I59">
        <f>IF($A59="","",IF($H59=0,"Paid",IF($G59=0,"Unpaid","Partial")))</f>
        <v/>
      </c>
    </row>
    <row r="60">
      <c r="A60" t="inlineStr">
        <is>
          <t>INV-2026-0059</t>
        </is>
      </c>
      <c r="B60" s="7" t="n">
        <v>46163</v>
      </c>
      <c r="C60" t="inlineStr">
        <is>
          <t>Bright School Canteen</t>
        </is>
      </c>
      <c r="D60" s="8">
        <f>IF($A60="",0,ROUND(SUMIFS(InvoiceLines!$G$2:$G$4001,InvoiceLines!$A$2:$A$4001,$A60),2))</f>
        <v/>
      </c>
      <c r="E60" s="8">
        <f>IF($A60="",0,ROUND($D60*18%,2))</f>
        <v/>
      </c>
      <c r="F60" s="8">
        <f>IF($A60="",0,$D60+$E60)</f>
        <v/>
      </c>
      <c r="G60" s="8" t="n">
        <v>8212.799999999999</v>
      </c>
      <c r="H60" s="8">
        <f>IF($A60="",0,$F60-$G60)</f>
        <v/>
      </c>
      <c r="I60">
        <f>IF($A60="","",IF($H60=0,"Paid",IF($G60=0,"Unpaid","Partial")))</f>
        <v/>
      </c>
    </row>
    <row r="61">
      <c r="A61" t="inlineStr">
        <is>
          <t>INV-2026-0060</t>
        </is>
      </c>
      <c r="B61" s="7" t="n">
        <v>46163</v>
      </c>
      <c r="C61" t="inlineStr">
        <is>
          <t>Wedding Palace Events</t>
        </is>
      </c>
      <c r="D61" s="8">
        <f>IF($A61="",0,ROUND(SUMIFS(InvoiceLines!$G$2:$G$4001,InvoiceLines!$A$2:$A$4001,$A61),2))</f>
        <v/>
      </c>
      <c r="E61" s="8">
        <f>IF($A61="",0,ROUND($D61*18%,2))</f>
        <v/>
      </c>
      <c r="F61" s="8">
        <f>IF($A61="",0,$D61+$E61)</f>
        <v/>
      </c>
      <c r="G61" s="8" t="n">
        <v>1651.06</v>
      </c>
      <c r="H61" s="8">
        <f>IF($A61="",0,$F61-$G61)</f>
        <v/>
      </c>
      <c r="I61">
        <f>IF($A61="","",IF($H61=0,"Paid",IF($G61=0,"Unpaid","Partial")))</f>
        <v/>
      </c>
    </row>
    <row r="62">
      <c r="A62" t="inlineStr">
        <is>
          <t>INV-2026-0061</t>
        </is>
      </c>
      <c r="B62" s="7" t="n">
        <v>46164</v>
      </c>
      <c r="C62" t="inlineStr">
        <is>
          <t>City Gym</t>
        </is>
      </c>
      <c r="D62" s="8">
        <f>IF($A62="",0,ROUND(SUMIFS(InvoiceLines!$G$2:$G$4001,InvoiceLines!$A$2:$A$4001,$A62),2))</f>
        <v/>
      </c>
      <c r="E62" s="8">
        <f>IF($A62="",0,ROUND($D62*18%,2))</f>
        <v/>
      </c>
      <c r="F62" s="8">
        <f>IF($A62="",0,$D62+$E62)</f>
        <v/>
      </c>
      <c r="G62" s="8" t="n">
        <v>5482.04</v>
      </c>
      <c r="H62" s="8">
        <f>IF($A62="",0,$F62-$G62)</f>
        <v/>
      </c>
      <c r="I62">
        <f>IF($A62="","",IF($H62=0,"Paid",IF($G62=0,"Unpaid","Partial")))</f>
        <v/>
      </c>
    </row>
    <row r="63">
      <c r="A63" t="inlineStr">
        <is>
          <t>INV-2026-0062</t>
        </is>
      </c>
      <c r="B63" s="7" t="n">
        <v>46165</v>
      </c>
      <c r="C63" t="inlineStr">
        <is>
          <t>OfficeHub Cowork</t>
        </is>
      </c>
      <c r="D63" s="8">
        <f>IF($A63="",0,ROUND(SUMIFS(InvoiceLines!$G$2:$G$4001,InvoiceLines!$A$2:$A$4001,$A63),2))</f>
        <v/>
      </c>
      <c r="E63" s="8">
        <f>IF($A63="",0,ROUND($D63*18%,2))</f>
        <v/>
      </c>
      <c r="F63" s="8">
        <f>IF($A63="",0,$D63+$E63)</f>
        <v/>
      </c>
      <c r="G63" s="8" t="n">
        <v>30538.4</v>
      </c>
      <c r="H63" s="8">
        <f>IF($A63="",0,$F63-$G63)</f>
        <v/>
      </c>
      <c r="I63">
        <f>IF($A63="","",IF($H63=0,"Paid",IF($G63=0,"Unpaid","Partial")))</f>
        <v/>
      </c>
    </row>
    <row r="64">
      <c r="A64" t="inlineStr">
        <is>
          <t>INV-2026-0063</t>
        </is>
      </c>
      <c r="B64" s="7" t="n">
        <v>46166</v>
      </c>
      <c r="C64" t="inlineStr">
        <is>
          <t>FreshMart Store</t>
        </is>
      </c>
      <c r="D64" s="8">
        <f>IF($A64="",0,ROUND(SUMIFS(InvoiceLines!$G$2:$G$4001,InvoiceLines!$A$2:$A$4001,$A64),2))</f>
        <v/>
      </c>
      <c r="E64" s="8">
        <f>IF($A64="",0,ROUND($D64*18%,2))</f>
        <v/>
      </c>
      <c r="F64" s="8">
        <f>IF($A64="",0,$D64+$E64)</f>
        <v/>
      </c>
      <c r="G64" s="8" t="n">
        <v>5681.7</v>
      </c>
      <c r="H64" s="8">
        <f>IF($A64="",0,$F64-$G64)</f>
        <v/>
      </c>
      <c r="I64">
        <f>IF($A64="","",IF($H64=0,"Paid",IF($G64=0,"Unpaid","Partial")))</f>
        <v/>
      </c>
    </row>
    <row r="65">
      <c r="A65" t="inlineStr">
        <is>
          <t>INV-2026-0064</t>
        </is>
      </c>
      <c r="B65" s="7" t="n">
        <v>46168</v>
      </c>
      <c r="C65" t="inlineStr">
        <is>
          <t>MediCare Clinic</t>
        </is>
      </c>
      <c r="D65" s="8">
        <f>IF($A65="",0,ROUND(SUMIFS(InvoiceLines!$G$2:$G$4001,InvoiceLines!$A$2:$A$4001,$A65),2))</f>
        <v/>
      </c>
      <c r="E65" s="8">
        <f>IF($A65="",0,ROUND($D65*18%,2))</f>
        <v/>
      </c>
      <c r="F65" s="8">
        <f>IF($A65="",0,$D65+$E65)</f>
        <v/>
      </c>
      <c r="G65" s="8" t="n">
        <v>10242.4</v>
      </c>
      <c r="H65" s="8">
        <f>IF($A65="",0,$F65-$G65)</f>
        <v/>
      </c>
      <c r="I65">
        <f>IF($A65="","",IF($H65=0,"Paid",IF($G65=0,"Unpaid","Partial")))</f>
        <v/>
      </c>
    </row>
    <row r="66">
      <c r="A66" t="inlineStr">
        <is>
          <t>INV-2026-0065</t>
        </is>
      </c>
      <c r="B66" s="7" t="n">
        <v>46169</v>
      </c>
      <c r="C66" t="inlineStr">
        <is>
          <t>City Gym</t>
        </is>
      </c>
      <c r="D66" s="8">
        <f>IF($A66="",0,ROUND(SUMIFS(InvoiceLines!$G$2:$G$4001,InvoiceLines!$A$2:$A$4001,$A66),2))</f>
        <v/>
      </c>
      <c r="E66" s="8">
        <f>IF($A66="",0,ROUND($D66*18%,2))</f>
        <v/>
      </c>
      <c r="F66" s="8">
        <f>IF($A66="",0,$D66+$E66)</f>
        <v/>
      </c>
      <c r="G66" s="8" t="n">
        <v>13924</v>
      </c>
      <c r="H66" s="8">
        <f>IF($A66="",0,$F66-$G66)</f>
        <v/>
      </c>
      <c r="I66">
        <f>IF($A66="","",IF($H66=0,"Paid",IF($G66=0,"Unpaid","Partial")))</f>
        <v/>
      </c>
    </row>
    <row r="67">
      <c r="A67" t="inlineStr">
        <is>
          <t>INV-2026-0066</t>
        </is>
      </c>
      <c r="B67" s="7" t="n">
        <v>46170</v>
      </c>
      <c r="C67" t="inlineStr">
        <is>
          <t>City Gym</t>
        </is>
      </c>
      <c r="D67" s="8">
        <f>IF($A67="",0,ROUND(SUMIFS(InvoiceLines!$G$2:$G$4001,InvoiceLines!$A$2:$A$4001,$A67),2))</f>
        <v/>
      </c>
      <c r="E67" s="8">
        <f>IF($A67="",0,ROUND($D67*18%,2))</f>
        <v/>
      </c>
      <c r="F67" s="8">
        <f>IF($A67="",0,$D67+$E67)</f>
        <v/>
      </c>
      <c r="G67" s="8" t="n">
        <v>900.58</v>
      </c>
      <c r="H67" s="8">
        <f>IF($A67="",0,$F67-$G67)</f>
        <v/>
      </c>
      <c r="I67">
        <f>IF($A67="","",IF($H67=0,"Paid",IF($G67=0,"Unpaid","Partial")))</f>
        <v/>
      </c>
    </row>
    <row r="68">
      <c r="A68" t="inlineStr">
        <is>
          <t>INV-2026-0067</t>
        </is>
      </c>
      <c r="B68" s="7" t="n">
        <v>46170</v>
      </c>
      <c r="C68" t="inlineStr">
        <is>
          <t>City Gym</t>
        </is>
      </c>
      <c r="D68" s="8">
        <f>IF($A68="",0,ROUND(SUMIFS(InvoiceLines!$G$2:$G$4001,InvoiceLines!$A$2:$A$4001,$A68),2))</f>
        <v/>
      </c>
      <c r="E68" s="8">
        <f>IF($A68="",0,ROUND($D68*18%,2))</f>
        <v/>
      </c>
      <c r="F68" s="8">
        <f>IF($A68="",0,$D68+$E68)</f>
        <v/>
      </c>
      <c r="G68" s="8" t="n">
        <v>4559.52</v>
      </c>
      <c r="H68" s="8">
        <f>IF($A68="",0,$F68-$G68)</f>
        <v/>
      </c>
      <c r="I68">
        <f>IF($A68="","",IF($H68=0,"Paid",IF($G68=0,"Unpaid","Partial")))</f>
        <v/>
      </c>
    </row>
    <row r="69">
      <c r="A69" t="inlineStr">
        <is>
          <t>INV-2026-0068</t>
        </is>
      </c>
      <c r="B69" s="7" t="n">
        <v>46171</v>
      </c>
      <c r="C69" t="inlineStr">
        <is>
          <t>Bright School Canteen</t>
        </is>
      </c>
      <c r="D69" s="8">
        <f>IF($A69="",0,ROUND(SUMIFS(InvoiceLines!$G$2:$G$4001,InvoiceLines!$A$2:$A$4001,$A69),2))</f>
        <v/>
      </c>
      <c r="E69" s="8">
        <f>IF($A69="",0,ROUND($D69*18%,2))</f>
        <v/>
      </c>
      <c r="F69" s="8">
        <f>IF($A69="",0,$D69+$E69)</f>
        <v/>
      </c>
      <c r="G69" s="8" t="n">
        <v>7894.2</v>
      </c>
      <c r="H69" s="8">
        <f>IF($A69="",0,$F69-$G69)</f>
        <v/>
      </c>
      <c r="I69">
        <f>IF($A69="","",IF($H69=0,"Paid",IF($G69=0,"Unpaid","Partial")))</f>
        <v/>
      </c>
    </row>
    <row r="70">
      <c r="A70" t="inlineStr">
        <is>
          <t>INV-2026-0069</t>
        </is>
      </c>
      <c r="B70" s="7" t="n">
        <v>46172</v>
      </c>
      <c r="C70" t="inlineStr">
        <is>
          <t>Hotel Rajwada</t>
        </is>
      </c>
      <c r="D70" s="8">
        <f>IF($A70="",0,ROUND(SUMIFS(InvoiceLines!$G$2:$G$4001,InvoiceLines!$A$2:$A$4001,$A70),2))</f>
        <v/>
      </c>
      <c r="E70" s="8">
        <f>IF($A70="",0,ROUND($D70*18%,2))</f>
        <v/>
      </c>
      <c r="F70" s="8">
        <f>IF($A70="",0,$D70+$E70)</f>
        <v/>
      </c>
      <c r="G70" s="8" t="n">
        <v>10549.2</v>
      </c>
      <c r="H70" s="8">
        <f>IF($A70="",0,$F70-$G70)</f>
        <v/>
      </c>
      <c r="I70">
        <f>IF($A70="","",IF($H70=0,"Paid",IF($G70=0,"Unpaid","Partial")))</f>
        <v/>
      </c>
    </row>
    <row r="71">
      <c r="A71" t="inlineStr">
        <is>
          <t>INV-2026-0070</t>
        </is>
      </c>
      <c r="B71" s="7" t="n">
        <v>46172</v>
      </c>
      <c r="C71" t="inlineStr">
        <is>
          <t>MediCare Clinic</t>
        </is>
      </c>
      <c r="D71" s="8">
        <f>IF($A71="",0,ROUND(SUMIFS(InvoiceLines!$G$2:$G$4001,InvoiceLines!$A$2:$A$4001,$A71),2))</f>
        <v/>
      </c>
      <c r="E71" s="8">
        <f>IF($A71="",0,ROUND($D71*18%,2))</f>
        <v/>
      </c>
      <c r="F71" s="8">
        <f>IF($A71="",0,$D71+$E71)</f>
        <v/>
      </c>
      <c r="G71" s="8" t="n">
        <v>3752.4</v>
      </c>
      <c r="H71" s="8">
        <f>IF($A71="",0,$F71-$G71)</f>
        <v/>
      </c>
      <c r="I71">
        <f>IF($A71="","",IF($H71=0,"Paid",IF($G71=0,"Unpaid","Partial")))</f>
        <v/>
      </c>
    </row>
    <row r="72">
      <c r="A72" t="inlineStr">
        <is>
          <t>INV-2026-0071</t>
        </is>
      </c>
      <c r="B72" s="7" t="n">
        <v>46173</v>
      </c>
      <c r="C72" t="inlineStr">
        <is>
          <t>City Gym</t>
        </is>
      </c>
      <c r="D72" s="8">
        <f>IF($A72="",0,ROUND(SUMIFS(InvoiceLines!$G$2:$G$4001,InvoiceLines!$A$2:$A$4001,$A72),2))</f>
        <v/>
      </c>
      <c r="E72" s="8">
        <f>IF($A72="",0,ROUND($D72*18%,2))</f>
        <v/>
      </c>
      <c r="F72" s="8">
        <f>IF($A72="",0,$D72+$E72)</f>
        <v/>
      </c>
      <c r="G72" s="8" t="n">
        <v>743.4</v>
      </c>
      <c r="H72" s="8">
        <f>IF($A72="",0,$F72-$G72)</f>
        <v/>
      </c>
      <c r="I72">
        <f>IF($A72="","",IF($H72=0,"Paid",IF($G72=0,"Unpaid","Partial")))</f>
        <v/>
      </c>
    </row>
    <row r="73">
      <c r="A73" t="inlineStr">
        <is>
          <t>INV-2026-0072</t>
        </is>
      </c>
      <c r="B73" s="7" t="n">
        <v>46175</v>
      </c>
      <c r="C73" t="inlineStr">
        <is>
          <t>TechPark Canteen</t>
        </is>
      </c>
      <c r="D73" s="8">
        <f>IF($A73="",0,ROUND(SUMIFS(InvoiceLines!$G$2:$G$4001,InvoiceLines!$A$2:$A$4001,$A73),2))</f>
        <v/>
      </c>
      <c r="E73" s="8">
        <f>IF($A73="",0,ROUND($D73*18%,2))</f>
        <v/>
      </c>
      <c r="F73" s="8">
        <f>IF($A73="",0,$D73+$E73)</f>
        <v/>
      </c>
      <c r="G73" s="8" t="n">
        <v>19222.2</v>
      </c>
      <c r="H73" s="8">
        <f>IF($A73="",0,$F73-$G73)</f>
        <v/>
      </c>
      <c r="I73">
        <f>IF($A73="","",IF($H73=0,"Paid",IF($G73=0,"Unpaid","Partial")))</f>
        <v/>
      </c>
    </row>
    <row r="74">
      <c r="A74" t="inlineStr">
        <is>
          <t>INV-2026-0073</t>
        </is>
      </c>
      <c r="B74" s="7" t="n">
        <v>46176</v>
      </c>
      <c r="C74" t="inlineStr">
        <is>
          <t>Sharma Tea Stall</t>
        </is>
      </c>
      <c r="D74" s="8">
        <f>IF($A74="",0,ROUND(SUMIFS(InvoiceLines!$G$2:$G$4001,InvoiceLines!$A$2:$A$4001,$A74),2))</f>
        <v/>
      </c>
      <c r="E74" s="8">
        <f>IF($A74="",0,ROUND($D74*18%,2))</f>
        <v/>
      </c>
      <c r="F74" s="8">
        <f>IF($A74="",0,$D74+$E74)</f>
        <v/>
      </c>
      <c r="G74" s="8" t="n">
        <v>6230.4</v>
      </c>
      <c r="H74" s="8">
        <f>IF($A74="",0,$F74-$G74)</f>
        <v/>
      </c>
      <c r="I74">
        <f>IF($A74="","",IF($H74=0,"Paid",IF($G74=0,"Unpaid","Partial")))</f>
        <v/>
      </c>
    </row>
    <row r="75">
      <c r="A75" t="inlineStr">
        <is>
          <t>INV-2026-0074</t>
        </is>
      </c>
      <c r="B75" s="7" t="n">
        <v>46177</v>
      </c>
      <c r="C75" t="inlineStr">
        <is>
          <t>City Gym</t>
        </is>
      </c>
      <c r="D75" s="8">
        <f>IF($A75="",0,ROUND(SUMIFS(InvoiceLines!$G$2:$G$4001,InvoiceLines!$A$2:$A$4001,$A75),2))</f>
        <v/>
      </c>
      <c r="E75" s="8">
        <f>IF($A75="",0,ROUND($D75*18%,2))</f>
        <v/>
      </c>
      <c r="F75" s="8">
        <f>IF($A75="",0,$D75+$E75)</f>
        <v/>
      </c>
      <c r="G75" s="8" t="n">
        <v>2708.1</v>
      </c>
      <c r="H75" s="8">
        <f>IF($A75="",0,$F75-$G75)</f>
        <v/>
      </c>
      <c r="I75">
        <f>IF($A75="","",IF($H75=0,"Paid",IF($G75=0,"Unpaid","Partial")))</f>
        <v/>
      </c>
    </row>
    <row r="76">
      <c r="A76" t="inlineStr">
        <is>
          <t>INV-2026-0075</t>
        </is>
      </c>
      <c r="B76" s="7" t="n">
        <v>46179</v>
      </c>
      <c r="C76" t="inlineStr">
        <is>
          <t>Cafe Brewlane</t>
        </is>
      </c>
      <c r="D76" s="8">
        <f>IF($A76="",0,ROUND(SUMIFS(InvoiceLines!$G$2:$G$4001,InvoiceLines!$A$2:$A$4001,$A76),2))</f>
        <v/>
      </c>
      <c r="E76" s="8">
        <f>IF($A76="",0,ROUND($D76*18%,2))</f>
        <v/>
      </c>
      <c r="F76" s="8">
        <f>IF($A76="",0,$D76+$E76)</f>
        <v/>
      </c>
      <c r="G76" s="8" t="n">
        <v>8212.799999999999</v>
      </c>
      <c r="H76" s="8">
        <f>IF($A76="",0,$F76-$G76)</f>
        <v/>
      </c>
      <c r="I76">
        <f>IF($A76="","",IF($H76=0,"Paid",IF($G76=0,"Unpaid","Partial")))</f>
        <v/>
      </c>
    </row>
    <row r="77">
      <c r="A77" t="inlineStr">
        <is>
          <t>INV-2026-0076</t>
        </is>
      </c>
      <c r="B77" s="7" t="n">
        <v>46180</v>
      </c>
      <c r="C77" t="inlineStr">
        <is>
          <t>OfficeHub Cowork</t>
        </is>
      </c>
      <c r="D77" s="8">
        <f>IF($A77="",0,ROUND(SUMIFS(InvoiceLines!$G$2:$G$4001,InvoiceLines!$A$2:$A$4001,$A77),2))</f>
        <v/>
      </c>
      <c r="E77" s="8">
        <f>IF($A77="",0,ROUND($D77*18%,2))</f>
        <v/>
      </c>
      <c r="F77" s="8">
        <f>IF($A77="",0,$D77+$E77)</f>
        <v/>
      </c>
      <c r="G77" s="8" t="n">
        <v>6910.08</v>
      </c>
      <c r="H77" s="8">
        <f>IF($A77="",0,$F77-$G77)</f>
        <v/>
      </c>
      <c r="I77">
        <f>IF($A77="","",IF($H77=0,"Paid",IF($G77=0,"Unpaid","Partial")))</f>
        <v/>
      </c>
    </row>
    <row r="78">
      <c r="A78" t="inlineStr">
        <is>
          <t>INV-2026-0077</t>
        </is>
      </c>
      <c r="B78" s="7" t="n">
        <v>46181</v>
      </c>
      <c r="C78" t="inlineStr">
        <is>
          <t>Cafe Brewlane</t>
        </is>
      </c>
      <c r="D78" s="8">
        <f>IF($A78="",0,ROUND(SUMIFS(InvoiceLines!$G$2:$G$4001,InvoiceLines!$A$2:$A$4001,$A78),2))</f>
        <v/>
      </c>
      <c r="E78" s="8">
        <f>IF($A78="",0,ROUND($D78*18%,2))</f>
        <v/>
      </c>
      <c r="F78" s="8">
        <f>IF($A78="",0,$D78+$E78)</f>
        <v/>
      </c>
      <c r="G78" s="8" t="n">
        <v>2220.29</v>
      </c>
      <c r="H78" s="8">
        <f>IF($A78="",0,$F78-$G78)</f>
        <v/>
      </c>
      <c r="I78">
        <f>IF($A78="","",IF($H78=0,"Paid",IF($G78=0,"Unpaid","Partial")))</f>
        <v/>
      </c>
    </row>
    <row r="79">
      <c r="A79" t="inlineStr">
        <is>
          <t>INV-2026-0078</t>
        </is>
      </c>
      <c r="B79" s="7" t="n">
        <v>46181</v>
      </c>
      <c r="C79" t="inlineStr">
        <is>
          <t>Wedding Palace Events</t>
        </is>
      </c>
      <c r="D79" s="8">
        <f>IF($A79="",0,ROUND(SUMIFS(InvoiceLines!$G$2:$G$4001,InvoiceLines!$A$2:$A$4001,$A79),2))</f>
        <v/>
      </c>
      <c r="E79" s="8">
        <f>IF($A79="",0,ROUND($D79*18%,2))</f>
        <v/>
      </c>
      <c r="F79" s="8">
        <f>IF($A79="",0,$D79+$E79)</f>
        <v/>
      </c>
      <c r="G79" s="8" t="n">
        <v>0</v>
      </c>
      <c r="H79" s="8">
        <f>IF($A79="",0,$F79-$G79)</f>
        <v/>
      </c>
      <c r="I79">
        <f>IF($A79="","",IF($H79=0,"Paid",IF($G79=0,"Unpaid","Partial")))</f>
        <v/>
      </c>
    </row>
    <row r="80">
      <c r="A80" t="inlineStr">
        <is>
          <t>INV-2026-0079</t>
        </is>
      </c>
      <c r="B80" s="7" t="n">
        <v>46182</v>
      </c>
      <c r="C80" t="inlineStr">
        <is>
          <t>MediCare Clinic</t>
        </is>
      </c>
      <c r="D80" s="8">
        <f>IF($A80="",0,ROUND(SUMIFS(InvoiceLines!$G$2:$G$4001,InvoiceLines!$A$2:$A$4001,$A80),2))</f>
        <v/>
      </c>
      <c r="E80" s="8">
        <f>IF($A80="",0,ROUND($D80*18%,2))</f>
        <v/>
      </c>
      <c r="F80" s="8">
        <f>IF($A80="",0,$D80+$E80)</f>
        <v/>
      </c>
      <c r="G80" s="8" t="n">
        <v>14679.2</v>
      </c>
      <c r="H80" s="8">
        <f>IF($A80="",0,$F80-$G80)</f>
        <v/>
      </c>
      <c r="I80">
        <f>IF($A80="","",IF($H80=0,"Paid",IF($G80=0,"Unpaid","Partial")))</f>
        <v/>
      </c>
    </row>
    <row r="81">
      <c r="A81" t="inlineStr">
        <is>
          <t>INV-2026-0080</t>
        </is>
      </c>
      <c r="B81" s="7" t="n">
        <v>46182</v>
      </c>
      <c r="C81" t="inlineStr">
        <is>
          <t>Station Food Plaza</t>
        </is>
      </c>
      <c r="D81" s="8">
        <f>IF($A81="",0,ROUND(SUMIFS(InvoiceLines!$G$2:$G$4001,InvoiceLines!$A$2:$A$4001,$A81),2))</f>
        <v/>
      </c>
      <c r="E81" s="8">
        <f>IF($A81="",0,ROUND($D81*18%,2))</f>
        <v/>
      </c>
      <c r="F81" s="8">
        <f>IF($A81="",0,$D81+$E81)</f>
        <v/>
      </c>
      <c r="G81" s="8" t="n">
        <v>849.6</v>
      </c>
      <c r="H81" s="8">
        <f>IF($A81="",0,$F81-$G81)</f>
        <v/>
      </c>
      <c r="I81">
        <f>IF($A81="","",IF($H81=0,"Paid",IF($G81=0,"Unpaid","Partial")))</f>
        <v/>
      </c>
    </row>
    <row r="82">
      <c r="A82" t="inlineStr">
        <is>
          <t>INV-2026-0081</t>
        </is>
      </c>
      <c r="B82" s="7" t="n">
        <v>46184</v>
      </c>
      <c r="C82" t="inlineStr">
        <is>
          <t>City Gym</t>
        </is>
      </c>
      <c r="D82" s="8">
        <f>IF($A82="",0,ROUND(SUMIFS(InvoiceLines!$G$2:$G$4001,InvoiceLines!$A$2:$A$4001,$A82),2))</f>
        <v/>
      </c>
      <c r="E82" s="8">
        <f>IF($A82="",0,ROUND($D82*18%,2))</f>
        <v/>
      </c>
      <c r="F82" s="8">
        <f>IF($A82="",0,$D82+$E82)</f>
        <v/>
      </c>
      <c r="G82" s="8" t="n">
        <v>0</v>
      </c>
      <c r="H82" s="8">
        <f>IF($A82="",0,$F82-$G82)</f>
        <v/>
      </c>
      <c r="I82">
        <f>IF($A82="","",IF($H82=0,"Paid",IF($G82=0,"Unpaid","Partial")))</f>
        <v/>
      </c>
    </row>
    <row r="83">
      <c r="A83" t="inlineStr">
        <is>
          <t>INV-2026-0082</t>
        </is>
      </c>
      <c r="B83" s="7" t="n">
        <v>46185</v>
      </c>
      <c r="C83" t="inlineStr">
        <is>
          <t>Cafe Brewlane</t>
        </is>
      </c>
      <c r="D83" s="8">
        <f>IF($A83="",0,ROUND(SUMIFS(InvoiceLines!$G$2:$G$4001,InvoiceLines!$A$2:$A$4001,$A83),2))</f>
        <v/>
      </c>
      <c r="E83" s="8">
        <f>IF($A83="",0,ROUND($D83*18%,2))</f>
        <v/>
      </c>
      <c r="F83" s="8">
        <f>IF($A83="",0,$D83+$E83)</f>
        <v/>
      </c>
      <c r="G83" s="8" t="n">
        <v>5970.8</v>
      </c>
      <c r="H83" s="8">
        <f>IF($A83="",0,$F83-$G83)</f>
        <v/>
      </c>
      <c r="I83">
        <f>IF($A83="","",IF($H83=0,"Paid",IF($G83=0,"Unpaid","Partial")))</f>
        <v/>
      </c>
    </row>
    <row r="84">
      <c r="A84" t="inlineStr">
        <is>
          <t>INV-2026-0083</t>
        </is>
      </c>
      <c r="B84" s="7" t="n">
        <v>46188</v>
      </c>
      <c r="C84" t="inlineStr">
        <is>
          <t>FreshMart Store</t>
        </is>
      </c>
      <c r="D84" s="8">
        <f>IF($A84="",0,ROUND(SUMIFS(InvoiceLines!$G$2:$G$4001,InvoiceLines!$A$2:$A$4001,$A84),2))</f>
        <v/>
      </c>
      <c r="E84" s="8">
        <f>IF($A84="",0,ROUND($D84*18%,2))</f>
        <v/>
      </c>
      <c r="F84" s="8">
        <f>IF($A84="",0,$D84+$E84)</f>
        <v/>
      </c>
      <c r="G84" s="8" t="n">
        <v>2336.4</v>
      </c>
      <c r="H84" s="8">
        <f>IF($A84="",0,$F84-$G84)</f>
        <v/>
      </c>
      <c r="I84">
        <f>IF($A84="","",IF($H84=0,"Paid",IF($G84=0,"Unpaid","Partial")))</f>
        <v/>
      </c>
    </row>
    <row r="85">
      <c r="A85" t="inlineStr">
        <is>
          <t>INV-2026-0084</t>
        </is>
      </c>
      <c r="B85" s="7" t="n">
        <v>46188</v>
      </c>
      <c r="C85" t="inlineStr">
        <is>
          <t>Station Food Plaza</t>
        </is>
      </c>
      <c r="D85" s="8">
        <f>IF($A85="",0,ROUND(SUMIFS(InvoiceLines!$G$2:$G$4001,InvoiceLines!$A$2:$A$4001,$A85),2))</f>
        <v/>
      </c>
      <c r="E85" s="8">
        <f>IF($A85="",0,ROUND($D85*18%,2))</f>
        <v/>
      </c>
      <c r="F85" s="8">
        <f>IF($A85="",0,$D85+$E85)</f>
        <v/>
      </c>
      <c r="G85" s="8" t="n">
        <v>4658.99</v>
      </c>
      <c r="H85" s="8">
        <f>IF($A85="",0,$F85-$G85)</f>
        <v/>
      </c>
      <c r="I85">
        <f>IF($A85="","",IF($H85=0,"Paid",IF($G85=0,"Unpaid","Partial")))</f>
        <v/>
      </c>
    </row>
    <row r="86">
      <c r="A86" t="inlineStr">
        <is>
          <t>INV-2026-0085</t>
        </is>
      </c>
      <c r="B86" s="7" t="n">
        <v>46188</v>
      </c>
      <c r="C86" t="inlineStr">
        <is>
          <t>Cafe Brewlane</t>
        </is>
      </c>
      <c r="D86" s="8">
        <f>IF($A86="",0,ROUND(SUMIFS(InvoiceLines!$G$2:$G$4001,InvoiceLines!$A$2:$A$4001,$A86),2))</f>
        <v/>
      </c>
      <c r="E86" s="8">
        <f>IF($A86="",0,ROUND($D86*18%,2))</f>
        <v/>
      </c>
      <c r="F86" s="8">
        <f>IF($A86="",0,$D86+$E86)</f>
        <v/>
      </c>
      <c r="G86" s="8" t="n">
        <v>12354.6</v>
      </c>
      <c r="H86" s="8">
        <f>IF($A86="",0,$F86-$G86)</f>
        <v/>
      </c>
      <c r="I86">
        <f>IF($A86="","",IF($H86=0,"Paid",IF($G86=0,"Unpaid","Partial")))</f>
        <v/>
      </c>
    </row>
    <row r="87">
      <c r="A87" t="inlineStr">
        <is>
          <t>INV-2026-0086</t>
        </is>
      </c>
      <c r="B87" s="7" t="n">
        <v>46189</v>
      </c>
      <c r="C87" t="inlineStr">
        <is>
          <t>TechPark Canteen</t>
        </is>
      </c>
      <c r="D87" s="8">
        <f>IF($A87="",0,ROUND(SUMIFS(InvoiceLines!$G$2:$G$4001,InvoiceLines!$A$2:$A$4001,$A87),2))</f>
        <v/>
      </c>
      <c r="E87" s="8">
        <f>IF($A87="",0,ROUND($D87*18%,2))</f>
        <v/>
      </c>
      <c r="F87" s="8">
        <f>IF($A87="",0,$D87+$E87)</f>
        <v/>
      </c>
      <c r="G87" s="8" t="n">
        <v>4791.74</v>
      </c>
      <c r="H87" s="8">
        <f>IF($A87="",0,$F87-$G87)</f>
        <v/>
      </c>
      <c r="I87">
        <f>IF($A87="","",IF($H87=0,"Paid",IF($G87=0,"Unpaid","Partial")))</f>
        <v/>
      </c>
    </row>
    <row r="88">
      <c r="A88" t="inlineStr">
        <is>
          <t>INV-2026-0087</t>
        </is>
      </c>
      <c r="B88" s="7" t="n">
        <v>46190</v>
      </c>
      <c r="C88" t="inlineStr">
        <is>
          <t>FreshMart Store</t>
        </is>
      </c>
      <c r="D88" s="8">
        <f>IF($A88="",0,ROUND(SUMIFS(InvoiceLines!$G$2:$G$4001,InvoiceLines!$A$2:$A$4001,$A88),2))</f>
        <v/>
      </c>
      <c r="E88" s="8">
        <f>IF($A88="",0,ROUND($D88*18%,2))</f>
        <v/>
      </c>
      <c r="F88" s="8">
        <f>IF($A88="",0,$D88+$E88)</f>
        <v/>
      </c>
      <c r="G88" s="8" t="n">
        <v>10030</v>
      </c>
      <c r="H88" s="8">
        <f>IF($A88="",0,$F88-$G88)</f>
        <v/>
      </c>
      <c r="I88">
        <f>IF($A88="","",IF($H88=0,"Paid",IF($G88=0,"Unpaid","Partial")))</f>
        <v/>
      </c>
    </row>
    <row r="89">
      <c r="A89" t="inlineStr">
        <is>
          <t>INV-2026-0088</t>
        </is>
      </c>
      <c r="B89" s="7" t="n">
        <v>46191</v>
      </c>
      <c r="C89" t="inlineStr">
        <is>
          <t>City Gym</t>
        </is>
      </c>
      <c r="D89" s="8">
        <f>IF($A89="",0,ROUND(SUMIFS(InvoiceLines!$G$2:$G$4001,InvoiceLines!$A$2:$A$4001,$A89),2))</f>
        <v/>
      </c>
      <c r="E89" s="8">
        <f>IF($A89="",0,ROUND($D89*18%,2))</f>
        <v/>
      </c>
      <c r="F89" s="8">
        <f>IF($A89="",0,$D89+$E89)</f>
        <v/>
      </c>
      <c r="G89" s="8" t="n">
        <v>4415.8</v>
      </c>
      <c r="H89" s="8">
        <f>IF($A89="",0,$F89-$G89)</f>
        <v/>
      </c>
      <c r="I89">
        <f>IF($A89="","",IF($H89=0,"Paid",IF($G89=0,"Unpaid","Partial")))</f>
        <v/>
      </c>
    </row>
    <row r="90">
      <c r="A90" t="inlineStr">
        <is>
          <t>INV-2026-0089</t>
        </is>
      </c>
      <c r="B90" s="7" t="n">
        <v>46192</v>
      </c>
      <c r="C90" t="inlineStr">
        <is>
          <t>MediCare Clinic</t>
        </is>
      </c>
      <c r="D90" s="8">
        <f>IF($A90="",0,ROUND(SUMIFS(InvoiceLines!$G$2:$G$4001,InvoiceLines!$A$2:$A$4001,$A90),2))</f>
        <v/>
      </c>
      <c r="E90" s="8">
        <f>IF($A90="",0,ROUND($D90*18%,2))</f>
        <v/>
      </c>
      <c r="F90" s="8">
        <f>IF($A90="",0,$D90+$E90)</f>
        <v/>
      </c>
      <c r="G90" s="8" t="n">
        <v>11044.8</v>
      </c>
      <c r="H90" s="8">
        <f>IF($A90="",0,$F90-$G90)</f>
        <v/>
      </c>
      <c r="I90">
        <f>IF($A90="","",IF($H90=0,"Paid",IF($G90=0,"Unpaid","Partial")))</f>
        <v/>
      </c>
    </row>
    <row r="91">
      <c r="A91" t="inlineStr">
        <is>
          <t>INV-2026-0090</t>
        </is>
      </c>
      <c r="B91" s="7" t="n">
        <v>46193</v>
      </c>
      <c r="C91" t="inlineStr">
        <is>
          <t>MediCare Clinic</t>
        </is>
      </c>
      <c r="D91" s="8">
        <f>IF($A91="",0,ROUND(SUMIFS(InvoiceLines!$G$2:$G$4001,InvoiceLines!$A$2:$A$4001,$A91),2))</f>
        <v/>
      </c>
      <c r="E91" s="8">
        <f>IF($A91="",0,ROUND($D91*18%,2))</f>
        <v/>
      </c>
      <c r="F91" s="8">
        <f>IF($A91="",0,$D91+$E91)</f>
        <v/>
      </c>
      <c r="G91" s="8" t="n">
        <v>0</v>
      </c>
      <c r="H91" s="8">
        <f>IF($A91="",0,$F91-$G91)</f>
        <v/>
      </c>
      <c r="I91">
        <f>IF($A91="","",IF($H91=0,"Paid",IF($G91=0,"Unpaid","Partial")))</f>
        <v/>
      </c>
    </row>
    <row r="92">
      <c r="A92" t="inlineStr">
        <is>
          <t>INV-2026-0091</t>
        </is>
      </c>
      <c r="B92" s="7" t="n">
        <v>46193</v>
      </c>
      <c r="C92" t="inlineStr">
        <is>
          <t>Ganga Boys Hostel</t>
        </is>
      </c>
      <c r="D92" s="8">
        <f>IF($A92="",0,ROUND(SUMIFS(InvoiceLines!$G$2:$G$4001,InvoiceLines!$A$2:$A$4001,$A92),2))</f>
        <v/>
      </c>
      <c r="E92" s="8">
        <f>IF($A92="",0,ROUND($D92*18%,2))</f>
        <v/>
      </c>
      <c r="F92" s="8">
        <f>IF($A92="",0,$D92+$E92)</f>
        <v/>
      </c>
      <c r="G92" s="8" t="n">
        <v>20909.6</v>
      </c>
      <c r="H92" s="8">
        <f>IF($A92="",0,$F92-$G92)</f>
        <v/>
      </c>
      <c r="I92">
        <f>IF($A92="","",IF($H92=0,"Paid",IF($G92=0,"Unpaid","Partial")))</f>
        <v/>
      </c>
    </row>
    <row r="93">
      <c r="A93" t="inlineStr">
        <is>
          <t>INV-2026-0092</t>
        </is>
      </c>
      <c r="B93" s="7" t="n">
        <v>46195</v>
      </c>
      <c r="C93" t="inlineStr">
        <is>
          <t>Sharma Tea Stall</t>
        </is>
      </c>
      <c r="D93" s="8">
        <f>IF($A93="",0,ROUND(SUMIFS(InvoiceLines!$G$2:$G$4001,InvoiceLines!$A$2:$A$4001,$A93),2))</f>
        <v/>
      </c>
      <c r="E93" s="8">
        <f>IF($A93="",0,ROUND($D93*18%,2))</f>
        <v/>
      </c>
      <c r="F93" s="8">
        <f>IF($A93="",0,$D93+$E93)</f>
        <v/>
      </c>
      <c r="G93" s="8" t="n">
        <v>1168.2</v>
      </c>
      <c r="H93" s="8">
        <f>IF($A93="",0,$F93-$G93)</f>
        <v/>
      </c>
      <c r="I93">
        <f>IF($A93="","",IF($H93=0,"Paid",IF($G93=0,"Unpaid","Partial")))</f>
        <v/>
      </c>
    </row>
    <row r="94">
      <c r="A94" t="inlineStr">
        <is>
          <t>INV-2026-0093</t>
        </is>
      </c>
      <c r="B94" s="7" t="n">
        <v>46196</v>
      </c>
      <c r="C94" t="inlineStr">
        <is>
          <t>TechPark Canteen</t>
        </is>
      </c>
      <c r="D94" s="8">
        <f>IF($A94="",0,ROUND(SUMIFS(InvoiceLines!$G$2:$G$4001,InvoiceLines!$A$2:$A$4001,$A94),2))</f>
        <v/>
      </c>
      <c r="E94" s="8">
        <f>IF($A94="",0,ROUND($D94*18%,2))</f>
        <v/>
      </c>
      <c r="F94" s="8">
        <f>IF($A94="",0,$D94+$E94)</f>
        <v/>
      </c>
      <c r="G94" s="8" t="n">
        <v>12602.4</v>
      </c>
      <c r="H94" s="8">
        <f>IF($A94="",0,$F94-$G94)</f>
        <v/>
      </c>
      <c r="I94">
        <f>IF($A94="","",IF($H94=0,"Paid",IF($G94=0,"Unpaid","Partial")))</f>
        <v/>
      </c>
    </row>
    <row r="95">
      <c r="A95" t="inlineStr">
        <is>
          <t>INV-2026-0094</t>
        </is>
      </c>
      <c r="B95" s="7" t="n">
        <v>46197</v>
      </c>
      <c r="C95" t="inlineStr">
        <is>
          <t>OfficeHub Cowork</t>
        </is>
      </c>
      <c r="D95" s="8">
        <f>IF($A95="",0,ROUND(SUMIFS(InvoiceLines!$G$2:$G$4001,InvoiceLines!$A$2:$A$4001,$A95),2))</f>
        <v/>
      </c>
      <c r="E95" s="8">
        <f>IF($A95="",0,ROUND($D95*18%,2))</f>
        <v/>
      </c>
      <c r="F95" s="8">
        <f>IF($A95="",0,$D95+$E95)</f>
        <v/>
      </c>
      <c r="G95" s="8" t="n">
        <v>0</v>
      </c>
      <c r="H95" s="8">
        <f>IF($A95="",0,$F95-$G95)</f>
        <v/>
      </c>
      <c r="I95">
        <f>IF($A95="","",IF($H95=0,"Paid",IF($G95=0,"Unpaid","Partial")))</f>
        <v/>
      </c>
    </row>
    <row r="96">
      <c r="A96" t="inlineStr">
        <is>
          <t>INV-2026-0095</t>
        </is>
      </c>
      <c r="B96" s="7" t="n">
        <v>46198</v>
      </c>
      <c r="C96" t="inlineStr">
        <is>
          <t>Hotel Rajwada</t>
        </is>
      </c>
      <c r="D96" s="8">
        <f>IF($A96="",0,ROUND(SUMIFS(InvoiceLines!$G$2:$G$4001,InvoiceLines!$A$2:$A$4001,$A96),2))</f>
        <v/>
      </c>
      <c r="E96" s="8">
        <f>IF($A96="",0,ROUND($D96*18%,2))</f>
        <v/>
      </c>
      <c r="F96" s="8">
        <f>IF($A96="",0,$D96+$E96)</f>
        <v/>
      </c>
      <c r="G96" s="8" t="n">
        <v>0</v>
      </c>
      <c r="H96" s="8">
        <f>IF($A96="",0,$F96-$G96)</f>
        <v/>
      </c>
      <c r="I96">
        <f>IF($A96="","",IF($H96=0,"Paid",IF($G96=0,"Unpaid","Partial")))</f>
        <v/>
      </c>
    </row>
    <row r="97">
      <c r="A97" t="inlineStr">
        <is>
          <t>INV-2026-0096</t>
        </is>
      </c>
      <c r="B97" s="7" t="n">
        <v>46199</v>
      </c>
      <c r="C97" t="inlineStr">
        <is>
          <t>Wedding Palace Events</t>
        </is>
      </c>
      <c r="D97" s="8">
        <f>IF($A97="",0,ROUND(SUMIFS(InvoiceLines!$G$2:$G$4001,InvoiceLines!$A$2:$A$4001,$A97),2))</f>
        <v/>
      </c>
      <c r="E97" s="8">
        <f>IF($A97="",0,ROUND($D97*18%,2))</f>
        <v/>
      </c>
      <c r="F97" s="8">
        <f>IF($A97="",0,$D97+$E97)</f>
        <v/>
      </c>
      <c r="G97" s="8" t="n">
        <v>19399.2</v>
      </c>
      <c r="H97" s="8">
        <f>IF($A97="",0,$F97-$G97)</f>
        <v/>
      </c>
      <c r="I97">
        <f>IF($A97="","",IF($H97=0,"Paid",IF($G97=0,"Unpaid","Partial")))</f>
        <v/>
      </c>
    </row>
    <row r="98">
      <c r="A98" t="inlineStr">
        <is>
          <t>INV-2026-0097</t>
        </is>
      </c>
      <c r="B98" s="7" t="n">
        <v>46199</v>
      </c>
      <c r="C98" t="inlineStr">
        <is>
          <t>Bright School Canteen</t>
        </is>
      </c>
      <c r="D98" s="8">
        <f>IF($A98="",0,ROUND(SUMIFS(InvoiceLines!$G$2:$G$4001,InvoiceLines!$A$2:$A$4001,$A98),2))</f>
        <v/>
      </c>
      <c r="E98" s="8">
        <f>IF($A98="",0,ROUND($D98*18%,2))</f>
        <v/>
      </c>
      <c r="F98" s="8">
        <f>IF($A98="",0,$D98+$E98)</f>
        <v/>
      </c>
      <c r="G98" s="8" t="n">
        <v>6324.8</v>
      </c>
      <c r="H98" s="8">
        <f>IF($A98="",0,$F98-$G98)</f>
        <v/>
      </c>
      <c r="I98">
        <f>IF($A98="","",IF($H98=0,"Paid",IF($G98=0,"Unpaid","Partial")))</f>
        <v/>
      </c>
    </row>
    <row r="99">
      <c r="A99" t="inlineStr">
        <is>
          <t>INV-2026-0098</t>
        </is>
      </c>
      <c r="B99" s="7" t="n">
        <v>46203</v>
      </c>
      <c r="C99" t="inlineStr">
        <is>
          <t>MediCare Clinic</t>
        </is>
      </c>
      <c r="D99" s="8">
        <f>IF($A99="",0,ROUND(SUMIFS(InvoiceLines!$G$2:$G$4001,InvoiceLines!$A$2:$A$4001,$A99),2))</f>
        <v/>
      </c>
      <c r="E99" s="8">
        <f>IF($A99="",0,ROUND($D99*18%,2))</f>
        <v/>
      </c>
      <c r="F99" s="8">
        <f>IF($A99="",0,$D99+$E99)</f>
        <v/>
      </c>
      <c r="G99" s="8" t="n">
        <v>0</v>
      </c>
      <c r="H99" s="8">
        <f>IF($A99="",0,$F99-$G99)</f>
        <v/>
      </c>
      <c r="I99">
        <f>IF($A99="","",IF($H99=0,"Paid",IF($G99=0,"Unpaid","Partial")))</f>
        <v/>
      </c>
    </row>
    <row r="100">
      <c r="A100" t="inlineStr">
        <is>
          <t>INV-2026-0099</t>
        </is>
      </c>
      <c r="B100" s="7" t="n">
        <v>46204</v>
      </c>
      <c r="C100" t="inlineStr">
        <is>
          <t>Ganga Boys Hostel</t>
        </is>
      </c>
      <c r="D100" s="8">
        <f>IF($A100="",0,ROUND(SUMIFS(InvoiceLines!$G$2:$G$4001,InvoiceLines!$A$2:$A$4001,$A100),2))</f>
        <v/>
      </c>
      <c r="E100" s="8">
        <f>IF($A100="",0,ROUND($D100*18%,2))</f>
        <v/>
      </c>
      <c r="F100" s="8">
        <f>IF($A100="",0,$D100+$E100)</f>
        <v/>
      </c>
      <c r="G100" s="8" t="n">
        <v>2478</v>
      </c>
      <c r="H100" s="8">
        <f>IF($A100="",0,$F100-$G100)</f>
        <v/>
      </c>
      <c r="I100">
        <f>IF($A100="","",IF($H100=0,"Paid",IF($G100=0,"Unpaid","Partial")))</f>
        <v/>
      </c>
    </row>
    <row r="101">
      <c r="A101" t="inlineStr">
        <is>
          <t>INV-2026-0100</t>
        </is>
      </c>
      <c r="B101" s="7" t="n">
        <v>46205</v>
      </c>
      <c r="C101" t="inlineStr">
        <is>
          <t>City Gym</t>
        </is>
      </c>
      <c r="D101" s="8">
        <f>IF($A101="",0,ROUND(SUMIFS(InvoiceLines!$G$2:$G$4001,InvoiceLines!$A$2:$A$4001,$A101),2))</f>
        <v/>
      </c>
      <c r="E101" s="8">
        <f>IF($A101="",0,ROUND($D101*18%,2))</f>
        <v/>
      </c>
      <c r="F101" s="8">
        <f>IF($A101="",0,$D101+$E101)</f>
        <v/>
      </c>
      <c r="G101" s="8" t="n">
        <v>1433.7</v>
      </c>
      <c r="H101" s="8">
        <f>IF($A101="",0,$F101-$G101)</f>
        <v/>
      </c>
      <c r="I101">
        <f>IF($A101="","",IF($H101=0,"Paid",IF($G101=0,"Unpaid","Partial")))</f>
        <v/>
      </c>
    </row>
    <row r="102">
      <c r="A102" t="inlineStr">
        <is>
          <t>INV-2026-0101</t>
        </is>
      </c>
      <c r="B102" s="7" t="n">
        <v>46207</v>
      </c>
      <c r="C102" t="inlineStr">
        <is>
          <t>Cafe Brewlane</t>
        </is>
      </c>
      <c r="D102" s="8">
        <f>IF($A102="",0,ROUND(SUMIFS(InvoiceLines!$G$2:$G$4001,InvoiceLines!$A$2:$A$4001,$A102),2))</f>
        <v/>
      </c>
      <c r="E102" s="8">
        <f>IF($A102="",0,ROUND($D102*18%,2))</f>
        <v/>
      </c>
      <c r="F102" s="8">
        <f>IF($A102="",0,$D102+$E102)</f>
        <v/>
      </c>
      <c r="G102" s="8" t="n">
        <v>14490.4</v>
      </c>
      <c r="H102" s="8">
        <f>IF($A102="",0,$F102-$G102)</f>
        <v/>
      </c>
      <c r="I102">
        <f>IF($A102="","",IF($H102=0,"Paid",IF($G102=0,"Unpaid","Partial")))</f>
        <v/>
      </c>
    </row>
    <row r="103">
      <c r="A103" t="inlineStr">
        <is>
          <t>INV-2026-0102</t>
        </is>
      </c>
      <c r="B103" s="7" t="n">
        <v>46207</v>
      </c>
      <c r="C103" t="inlineStr">
        <is>
          <t>Wedding Palace Events</t>
        </is>
      </c>
      <c r="D103" s="8">
        <f>IF($A103="",0,ROUND(SUMIFS(InvoiceLines!$G$2:$G$4001,InvoiceLines!$A$2:$A$4001,$A103),2))</f>
        <v/>
      </c>
      <c r="E103" s="8">
        <f>IF($A103="",0,ROUND($D103*18%,2))</f>
        <v/>
      </c>
      <c r="F103" s="8">
        <f>IF($A103="",0,$D103+$E103)</f>
        <v/>
      </c>
      <c r="G103" s="8" t="n">
        <v>2265.6</v>
      </c>
      <c r="H103" s="8">
        <f>IF($A103="",0,$F103-$G103)</f>
        <v/>
      </c>
      <c r="I103">
        <f>IF($A103="","",IF($H103=0,"Paid",IF($G103=0,"Unpaid","Partial")))</f>
        <v/>
      </c>
    </row>
    <row r="104">
      <c r="A104" t="inlineStr">
        <is>
          <t>INV-2026-0103</t>
        </is>
      </c>
      <c r="B104" s="7" t="n">
        <v>46209</v>
      </c>
      <c r="C104" t="inlineStr">
        <is>
          <t>MediCare Clinic</t>
        </is>
      </c>
      <c r="D104" s="8">
        <f>IF($A104="",0,ROUND(SUMIFS(InvoiceLines!$G$2:$G$4001,InvoiceLines!$A$2:$A$4001,$A104),2))</f>
        <v/>
      </c>
      <c r="E104" s="8">
        <f>IF($A104="",0,ROUND($D104*18%,2))</f>
        <v/>
      </c>
      <c r="F104" s="8">
        <f>IF($A104="",0,$D104+$E104)</f>
        <v/>
      </c>
      <c r="G104" s="8" t="n">
        <v>12419.5</v>
      </c>
      <c r="H104" s="8">
        <f>IF($A104="",0,$F104-$G104)</f>
        <v/>
      </c>
      <c r="I104">
        <f>IF($A104="","",IF($H104=0,"Paid",IF($G104=0,"Unpaid","Partial")))</f>
        <v/>
      </c>
    </row>
    <row r="105">
      <c r="A105" t="inlineStr">
        <is>
          <t>INV-2026-0104</t>
        </is>
      </c>
      <c r="B105" s="7" t="n">
        <v>46210</v>
      </c>
      <c r="C105" t="inlineStr">
        <is>
          <t>Sharma Tea Stall</t>
        </is>
      </c>
      <c r="D105" s="8">
        <f>IF($A105="",0,ROUND(SUMIFS(InvoiceLines!$G$2:$G$4001,InvoiceLines!$A$2:$A$4001,$A105),2))</f>
        <v/>
      </c>
      <c r="E105" s="8">
        <f>IF($A105="",0,ROUND($D105*18%,2))</f>
        <v/>
      </c>
      <c r="F105" s="8">
        <f>IF($A105="",0,$D105+$E105)</f>
        <v/>
      </c>
      <c r="G105" s="8" t="n">
        <v>2342.42</v>
      </c>
      <c r="H105" s="8">
        <f>IF($A105="",0,$F105-$G105)</f>
        <v/>
      </c>
      <c r="I105">
        <f>IF($A105="","",IF($H105=0,"Paid",IF($G105=0,"Unpaid","Partial")))</f>
        <v/>
      </c>
    </row>
    <row r="106">
      <c r="A106" t="inlineStr">
        <is>
          <t>INV-2026-0105</t>
        </is>
      </c>
      <c r="B106" s="7" t="n">
        <v>46211</v>
      </c>
      <c r="C106" t="inlineStr">
        <is>
          <t>Sharma Tea Stall</t>
        </is>
      </c>
      <c r="D106" s="8">
        <f>IF($A106="",0,ROUND(SUMIFS(InvoiceLines!$G$2:$G$4001,InvoiceLines!$A$2:$A$4001,$A106),2))</f>
        <v/>
      </c>
      <c r="E106" s="8">
        <f>IF($A106="",0,ROUND($D106*18%,2))</f>
        <v/>
      </c>
      <c r="F106" s="8">
        <f>IF($A106="",0,$D106+$E106)</f>
        <v/>
      </c>
      <c r="G106" s="8" t="n">
        <v>708</v>
      </c>
      <c r="H106" s="8">
        <f>IF($A106="",0,$F106-$G106)</f>
        <v/>
      </c>
      <c r="I106">
        <f>IF($A106="","",IF($H106=0,"Paid",IF($G106=0,"Unpaid","Partial")))</f>
        <v/>
      </c>
    </row>
    <row r="107">
      <c r="A107" t="inlineStr">
        <is>
          <t>INV-2026-0106</t>
        </is>
      </c>
      <c r="B107" s="7" t="n">
        <v>46212</v>
      </c>
      <c r="C107" t="inlineStr">
        <is>
          <t>OfficeHub Cowork</t>
        </is>
      </c>
      <c r="D107" s="8">
        <f>IF($A107="",0,ROUND(SUMIFS(InvoiceLines!$G$2:$G$4001,InvoiceLines!$A$2:$A$4001,$A107),2))</f>
        <v/>
      </c>
      <c r="E107" s="8">
        <f>IF($A107="",0,ROUND($D107*18%,2))</f>
        <v/>
      </c>
      <c r="F107" s="8">
        <f>IF($A107="",0,$D107+$E107)</f>
        <v/>
      </c>
      <c r="G107" s="8" t="n">
        <v>2920.5</v>
      </c>
      <c r="H107" s="8">
        <f>IF($A107="",0,$F107-$G107)</f>
        <v/>
      </c>
      <c r="I107">
        <f>IF($A107="","",IF($H107=0,"Paid",IF($G107=0,"Unpaid","Partial")))</f>
        <v/>
      </c>
    </row>
    <row r="108">
      <c r="A108" t="inlineStr">
        <is>
          <t>INV-2026-0107</t>
        </is>
      </c>
      <c r="B108" s="7" t="n">
        <v>46213</v>
      </c>
      <c r="C108" t="inlineStr">
        <is>
          <t>MediCare Clinic</t>
        </is>
      </c>
      <c r="D108" s="8">
        <f>IF($A108="",0,ROUND(SUMIFS(InvoiceLines!$G$2:$G$4001,InvoiceLines!$A$2:$A$4001,$A108),2))</f>
        <v/>
      </c>
      <c r="E108" s="8">
        <f>IF($A108="",0,ROUND($D108*18%,2))</f>
        <v/>
      </c>
      <c r="F108" s="8">
        <f>IF($A108="",0,$D108+$E108)</f>
        <v/>
      </c>
      <c r="G108" s="8" t="n">
        <v>0</v>
      </c>
      <c r="H108" s="8">
        <f>IF($A108="",0,$F108-$G108)</f>
        <v/>
      </c>
      <c r="I108">
        <f>IF($A108="","",IF($H108=0,"Paid",IF($G108=0,"Unpaid","Partial")))</f>
        <v/>
      </c>
    </row>
    <row r="109">
      <c r="A109" t="inlineStr">
        <is>
          <t>INV-2026-0108</t>
        </is>
      </c>
      <c r="B109" s="7" t="n">
        <v>46214</v>
      </c>
      <c r="C109" t="inlineStr">
        <is>
          <t>FreshMart Store</t>
        </is>
      </c>
      <c r="D109" s="8">
        <f>IF($A109="",0,ROUND(SUMIFS(InvoiceLines!$G$2:$G$4001,InvoiceLines!$A$2:$A$4001,$A109),2))</f>
        <v/>
      </c>
      <c r="E109" s="8">
        <f>IF($A109="",0,ROUND($D109*18%,2))</f>
        <v/>
      </c>
      <c r="F109" s="8">
        <f>IF($A109="",0,$D109+$E109)</f>
        <v/>
      </c>
      <c r="G109" s="8" t="n">
        <v>0</v>
      </c>
      <c r="H109" s="8">
        <f>IF($A109="",0,$F109-$G109)</f>
        <v/>
      </c>
      <c r="I109">
        <f>IF($A109="","",IF($H109=0,"Paid",IF($G109=0,"Unpaid","Partial")))</f>
        <v/>
      </c>
    </row>
    <row r="110">
      <c r="A110" t="inlineStr">
        <is>
          <t>INV-2026-0109</t>
        </is>
      </c>
      <c r="B110" s="7" t="n">
        <v>46215</v>
      </c>
      <c r="C110" t="inlineStr">
        <is>
          <t>City Gym</t>
        </is>
      </c>
      <c r="D110" s="8">
        <f>IF($A110="",0,ROUND(SUMIFS(InvoiceLines!$G$2:$G$4001,InvoiceLines!$A$2:$A$4001,$A110),2))</f>
        <v/>
      </c>
      <c r="E110" s="8">
        <f>IF($A110="",0,ROUND($D110*18%,2))</f>
        <v/>
      </c>
      <c r="F110" s="8">
        <f>IF($A110="",0,$D110+$E110)</f>
        <v/>
      </c>
      <c r="G110" s="8" t="n">
        <v>1631.23</v>
      </c>
      <c r="H110" s="8">
        <f>IF($A110="",0,$F110-$G110)</f>
        <v/>
      </c>
      <c r="I110">
        <f>IF($A110="","",IF($H110=0,"Paid",IF($G110=0,"Unpaid","Partial")))</f>
        <v/>
      </c>
    </row>
    <row r="111">
      <c r="A111" t="inlineStr">
        <is>
          <t>INV-2026-0110</t>
        </is>
      </c>
      <c r="B111" s="7" t="n">
        <v>46217</v>
      </c>
      <c r="C111" t="inlineStr">
        <is>
          <t>Station Food Plaza</t>
        </is>
      </c>
      <c r="D111" s="8">
        <f>IF($A111="",0,ROUND(SUMIFS(InvoiceLines!$G$2:$G$4001,InvoiceLines!$A$2:$A$4001,$A111),2))</f>
        <v/>
      </c>
      <c r="E111" s="8">
        <f>IF($A111="",0,ROUND($D111*18%,2))</f>
        <v/>
      </c>
      <c r="F111" s="8">
        <f>IF($A111="",0,$D111+$E111)</f>
        <v/>
      </c>
      <c r="G111" s="8" t="n">
        <v>6726</v>
      </c>
      <c r="H111" s="8">
        <f>IF($A111="",0,$F111-$G111)</f>
        <v/>
      </c>
      <c r="I111">
        <f>IF($A111="","",IF($H111=0,"Paid",IF($G111=0,"Unpaid","Partial")))</f>
        <v/>
      </c>
    </row>
    <row r="112">
      <c r="A112" t="inlineStr">
        <is>
          <t>INV-2026-0111</t>
        </is>
      </c>
      <c r="B112" s="7" t="n">
        <v>46217</v>
      </c>
      <c r="C112" t="inlineStr">
        <is>
          <t>Wedding Palace Events</t>
        </is>
      </c>
      <c r="D112" s="8">
        <f>IF($A112="",0,ROUND(SUMIFS(InvoiceLines!$G$2:$G$4001,InvoiceLines!$A$2:$A$4001,$A112),2))</f>
        <v/>
      </c>
      <c r="E112" s="8">
        <f>IF($A112="",0,ROUND($D112*18%,2))</f>
        <v/>
      </c>
      <c r="F112" s="8">
        <f>IF($A112="",0,$D112+$E112)</f>
        <v/>
      </c>
      <c r="G112" s="8" t="n">
        <v>0</v>
      </c>
      <c r="H112" s="8">
        <f>IF($A112="",0,$F112-$G112)</f>
        <v/>
      </c>
      <c r="I112">
        <f>IF($A112="","",IF($H112=0,"Paid",IF($G112=0,"Unpaid","Partial")))</f>
        <v/>
      </c>
    </row>
    <row r="113">
      <c r="A113" t="inlineStr">
        <is>
          <t>INV-2026-0112</t>
        </is>
      </c>
      <c r="B113" s="7" t="n">
        <v>46218</v>
      </c>
      <c r="C113" t="inlineStr">
        <is>
          <t>MediCare Clinic</t>
        </is>
      </c>
      <c r="D113" s="8">
        <f>IF($A113="",0,ROUND(SUMIFS(InvoiceLines!$G$2:$G$4001,InvoiceLines!$A$2:$A$4001,$A113),2))</f>
        <v/>
      </c>
      <c r="E113" s="8">
        <f>IF($A113="",0,ROUND($D113*18%,2))</f>
        <v/>
      </c>
      <c r="F113" s="8">
        <f>IF($A113="",0,$D113+$E113)</f>
        <v/>
      </c>
      <c r="G113" s="8" t="n">
        <v>1486.8</v>
      </c>
      <c r="H113" s="8">
        <f>IF($A113="",0,$F113-$G113)</f>
        <v/>
      </c>
      <c r="I113">
        <f>IF($A113="","",IF($H113=0,"Paid",IF($G113=0,"Unpaid","Partial")))</f>
        <v/>
      </c>
    </row>
    <row r="114">
      <c r="A114" t="inlineStr">
        <is>
          <t>INV-2026-0113</t>
        </is>
      </c>
      <c r="B114" s="7" t="n">
        <v>46218</v>
      </c>
      <c r="C114" t="inlineStr">
        <is>
          <t>Station Food Plaza</t>
        </is>
      </c>
      <c r="D114" s="8">
        <f>IF($A114="",0,ROUND(SUMIFS(InvoiceLines!$G$2:$G$4001,InvoiceLines!$A$2:$A$4001,$A114),2))</f>
        <v/>
      </c>
      <c r="E114" s="8">
        <f>IF($A114="",0,ROUND($D114*18%,2))</f>
        <v/>
      </c>
      <c r="F114" s="8">
        <f>IF($A114="",0,$D114+$E114)</f>
        <v/>
      </c>
      <c r="G114" s="8" t="n">
        <v>3469.2</v>
      </c>
      <c r="H114" s="8">
        <f>IF($A114="",0,$F114-$G114)</f>
        <v/>
      </c>
      <c r="I114">
        <f>IF($A114="","",IF($H114=0,"Paid",IF($G114=0,"Unpaid","Partial")))</f>
        <v/>
      </c>
    </row>
    <row r="115">
      <c r="A115" t="inlineStr">
        <is>
          <t>INV-2026-0114</t>
        </is>
      </c>
      <c r="B115" s="7" t="n">
        <v>46218</v>
      </c>
      <c r="C115" t="inlineStr">
        <is>
          <t>FreshMart Store</t>
        </is>
      </c>
      <c r="D115" s="8">
        <f>IF($A115="",0,ROUND(SUMIFS(InvoiceLines!$G$2:$G$4001,InvoiceLines!$A$2:$A$4001,$A115),2))</f>
        <v/>
      </c>
      <c r="E115" s="8">
        <f>IF($A115="",0,ROUND($D115*18%,2))</f>
        <v/>
      </c>
      <c r="F115" s="8">
        <f>IF($A115="",0,$D115+$E115)</f>
        <v/>
      </c>
      <c r="G115" s="8" t="n">
        <v>4076.31</v>
      </c>
      <c r="H115" s="8">
        <f>IF($A115="",0,$F115-$G115)</f>
        <v/>
      </c>
      <c r="I115">
        <f>IF($A115="","",IF($H115=0,"Paid",IF($G115=0,"Unpaid","Partial")))</f>
        <v/>
      </c>
    </row>
    <row r="116">
      <c r="A116" t="inlineStr">
        <is>
          <t>INV-2026-0115</t>
        </is>
      </c>
      <c r="B116" s="7" t="n">
        <v>46219</v>
      </c>
      <c r="C116" t="inlineStr">
        <is>
          <t>City Gym</t>
        </is>
      </c>
      <c r="D116" s="8">
        <f>IF($A116="",0,ROUND(SUMIFS(InvoiceLines!$G$2:$G$4001,InvoiceLines!$A$2:$A$4001,$A116),2))</f>
        <v/>
      </c>
      <c r="E116" s="8">
        <f>IF($A116="",0,ROUND($D116*18%,2))</f>
        <v/>
      </c>
      <c r="F116" s="8">
        <f>IF($A116="",0,$D116+$E116)</f>
        <v/>
      </c>
      <c r="G116" s="8" t="n">
        <v>2442.6</v>
      </c>
      <c r="H116" s="8">
        <f>IF($A116="",0,$F116-$G116)</f>
        <v/>
      </c>
      <c r="I116">
        <f>IF($A116="","",IF($H116=0,"Paid",IF($G116=0,"Unpaid","Partial")))</f>
        <v/>
      </c>
    </row>
    <row r="117">
      <c r="A117" t="inlineStr">
        <is>
          <t>INV-2026-0116</t>
        </is>
      </c>
      <c r="B117" s="7" t="n">
        <v>46220</v>
      </c>
      <c r="C117" t="inlineStr">
        <is>
          <t>Wedding Palace Events</t>
        </is>
      </c>
      <c r="D117" s="8">
        <f>IF($A117="",0,ROUND(SUMIFS(InvoiceLines!$G$2:$G$4001,InvoiceLines!$A$2:$A$4001,$A117),2))</f>
        <v/>
      </c>
      <c r="E117" s="8">
        <f>IF($A117="",0,ROUND($D117*18%,2))</f>
        <v/>
      </c>
      <c r="F117" s="8">
        <f>IF($A117="",0,$D117+$E117)</f>
        <v/>
      </c>
      <c r="G117" s="8" t="n">
        <v>12978.82</v>
      </c>
      <c r="H117" s="8">
        <f>IF($A117="",0,$F117-$G117)</f>
        <v/>
      </c>
      <c r="I117">
        <f>IF($A117="","",IF($H117=0,"Paid",IF($G117=0,"Unpaid","Partial")))</f>
        <v/>
      </c>
    </row>
    <row r="118">
      <c r="A118" t="inlineStr">
        <is>
          <t>INV-2026-0117</t>
        </is>
      </c>
      <c r="B118" s="7" t="n">
        <v>46221</v>
      </c>
      <c r="C118" t="inlineStr">
        <is>
          <t>Ganga Boys Hostel</t>
        </is>
      </c>
      <c r="D118" s="8">
        <f>IF($A118="",0,ROUND(SUMIFS(InvoiceLines!$G$2:$G$4001,InvoiceLines!$A$2:$A$4001,$A118),2))</f>
        <v/>
      </c>
      <c r="E118" s="8">
        <f>IF($A118="",0,ROUND($D118*18%,2))</f>
        <v/>
      </c>
      <c r="F118" s="8">
        <f>IF($A118="",0,$D118+$E118)</f>
        <v/>
      </c>
      <c r="G118" s="8" t="n">
        <v>3540</v>
      </c>
      <c r="H118" s="8">
        <f>IF($A118="",0,$F118-$G118)</f>
        <v/>
      </c>
      <c r="I118">
        <f>IF($A118="","",IF($H118=0,"Paid",IF($G118=0,"Unpaid","Partial")))</f>
        <v/>
      </c>
    </row>
    <row r="119">
      <c r="A119" t="inlineStr">
        <is>
          <t>INV-2026-0118</t>
        </is>
      </c>
      <c r="B119" s="7" t="n">
        <v>46221</v>
      </c>
      <c r="C119" t="inlineStr">
        <is>
          <t>Bright School Canteen</t>
        </is>
      </c>
      <c r="D119" s="8">
        <f>IF($A119="",0,ROUND(SUMIFS(InvoiceLines!$G$2:$G$4001,InvoiceLines!$A$2:$A$4001,$A119),2))</f>
        <v/>
      </c>
      <c r="E119" s="8">
        <f>IF($A119="",0,ROUND($D119*18%,2))</f>
        <v/>
      </c>
      <c r="F119" s="8">
        <f>IF($A119="",0,$D119+$E119)</f>
        <v/>
      </c>
      <c r="G119" s="8" t="n">
        <v>14000.7</v>
      </c>
      <c r="H119" s="8">
        <f>IF($A119="",0,$F119-$G119)</f>
        <v/>
      </c>
      <c r="I119">
        <f>IF($A119="","",IF($H119=0,"Paid",IF($G119=0,"Unpaid","Partial")))</f>
        <v/>
      </c>
    </row>
    <row r="120">
      <c r="A120" t="inlineStr">
        <is>
          <t>INV-2026-0119</t>
        </is>
      </c>
      <c r="B120" s="7" t="n">
        <v>46221</v>
      </c>
      <c r="C120" t="inlineStr">
        <is>
          <t>MediCare Clinic</t>
        </is>
      </c>
      <c r="D120" s="8">
        <f>IF($A120="",0,ROUND(SUMIFS(InvoiceLines!$G$2:$G$4001,InvoiceLines!$A$2:$A$4001,$A120),2))</f>
        <v/>
      </c>
      <c r="E120" s="8">
        <f>IF($A120="",0,ROUND($D120*18%,2))</f>
        <v/>
      </c>
      <c r="F120" s="8">
        <f>IF($A120="",0,$D120+$E120)</f>
        <v/>
      </c>
      <c r="G120" s="8" t="n">
        <v>7186.2</v>
      </c>
      <c r="H120" s="8">
        <f>IF($A120="",0,$F120-$G120)</f>
        <v/>
      </c>
      <c r="I120">
        <f>IF($A120="","",IF($H120=0,"Paid",IF($G120=0,"Unpaid","Partial")))</f>
        <v/>
      </c>
    </row>
    <row r="121">
      <c r="A121" t="inlineStr">
        <is>
          <t>INV-2026-0120</t>
        </is>
      </c>
      <c r="B121" s="7" t="n">
        <v>46222</v>
      </c>
      <c r="C121" t="inlineStr">
        <is>
          <t>Bright School Canteen</t>
        </is>
      </c>
      <c r="D121" s="8">
        <f>IF($A121="",0,ROUND(SUMIFS(InvoiceLines!$G$2:$G$4001,InvoiceLines!$A$2:$A$4001,$A121),2))</f>
        <v/>
      </c>
      <c r="E121" s="8">
        <f>IF($A121="",0,ROUND($D121*18%,2))</f>
        <v/>
      </c>
      <c r="F121" s="8">
        <f>IF($A121="",0,$D121+$E121)</f>
        <v/>
      </c>
      <c r="G121" s="8" t="n">
        <v>10797</v>
      </c>
      <c r="H121" s="8">
        <f>IF($A121="",0,$F121-$G121)</f>
        <v/>
      </c>
      <c r="I121">
        <f>IF($A121="","",IF($H121=0,"Paid",IF($G121=0,"Unpaid","Partial")))</f>
        <v/>
      </c>
    </row>
    <row r="122">
      <c r="A122" t="inlineStr">
        <is>
          <t>INV-2026-0121</t>
        </is>
      </c>
      <c r="B122" s="7" t="n">
        <v>46222</v>
      </c>
      <c r="C122" t="inlineStr">
        <is>
          <t>TechPark Canteen</t>
        </is>
      </c>
      <c r="D122" s="8">
        <f>IF($A122="",0,ROUND(SUMIFS(InvoiceLines!$G$2:$G$4001,InvoiceLines!$A$2:$A$4001,$A122),2))</f>
        <v/>
      </c>
      <c r="E122" s="8">
        <f>IF($A122="",0,ROUND($D122*18%,2))</f>
        <v/>
      </c>
      <c r="F122" s="8">
        <f>IF($A122="",0,$D122+$E122)</f>
        <v/>
      </c>
      <c r="G122" s="8" t="n">
        <v>6301.2</v>
      </c>
      <c r="H122" s="8">
        <f>IF($A122="",0,$F122-$G122)</f>
        <v/>
      </c>
      <c r="I122">
        <f>IF($A122="","",IF($H122=0,"Paid",IF($G122=0,"Unpaid","Partial")))</f>
        <v/>
      </c>
    </row>
    <row r="123">
      <c r="A123" t="inlineStr">
        <is>
          <t>INV-2026-0122</t>
        </is>
      </c>
      <c r="B123" s="7" t="n">
        <v>46223</v>
      </c>
      <c r="C123" t="inlineStr">
        <is>
          <t>Cafe Brewlane</t>
        </is>
      </c>
      <c r="D123" s="8">
        <f>IF($A123="",0,ROUND(SUMIFS(InvoiceLines!$G$2:$G$4001,InvoiceLines!$A$2:$A$4001,$A123),2))</f>
        <v/>
      </c>
      <c r="E123" s="8">
        <f>IF($A123="",0,ROUND($D123*18%,2))</f>
        <v/>
      </c>
      <c r="F123" s="8">
        <f>IF($A123="",0,$D123+$E123)</f>
        <v/>
      </c>
      <c r="G123" s="8" t="n">
        <v>7646.4</v>
      </c>
      <c r="H123" s="8">
        <f>IF($A123="",0,$F123-$G123)</f>
        <v/>
      </c>
      <c r="I123">
        <f>IF($A123="","",IF($H123=0,"Paid",IF($G123=0,"Unpaid","Partial")))</f>
        <v/>
      </c>
    </row>
    <row r="124">
      <c r="A124" t="inlineStr">
        <is>
          <t>INV-2026-0123</t>
        </is>
      </c>
      <c r="B124" s="7" t="n">
        <v>46224</v>
      </c>
      <c r="C124" t="inlineStr">
        <is>
          <t>Hotel Rajwada</t>
        </is>
      </c>
      <c r="D124" s="8">
        <f>IF($A124="",0,ROUND(SUMIFS(InvoiceLines!$G$2:$G$4001,InvoiceLines!$A$2:$A$4001,$A124),2))</f>
        <v/>
      </c>
      <c r="E124" s="8">
        <f>IF($A124="",0,ROUND($D124*18%,2))</f>
        <v/>
      </c>
      <c r="F124" s="8">
        <f>IF($A124="",0,$D124+$E124)</f>
        <v/>
      </c>
      <c r="G124" s="8" t="n">
        <v>8322.299999999999</v>
      </c>
      <c r="H124" s="8">
        <f>IF($A124="",0,$F124-$G124)</f>
        <v/>
      </c>
      <c r="I124">
        <f>IF($A124="","",IF($H124=0,"Paid",IF($G124=0,"Unpaid","Partial")))</f>
        <v/>
      </c>
    </row>
    <row r="125">
      <c r="A125" t="inlineStr">
        <is>
          <t>INV-2026-0124</t>
        </is>
      </c>
      <c r="B125" s="7" t="n">
        <v>46224</v>
      </c>
      <c r="C125" t="inlineStr">
        <is>
          <t>Cafe Brewlane</t>
        </is>
      </c>
      <c r="D125" s="8">
        <f>IF($A125="",0,ROUND(SUMIFS(InvoiceLines!$G$2:$G$4001,InvoiceLines!$A$2:$A$4001,$A125),2))</f>
        <v/>
      </c>
      <c r="E125" s="8">
        <f>IF($A125="",0,ROUND($D125*18%,2))</f>
        <v/>
      </c>
      <c r="F125" s="8">
        <f>IF($A125="",0,$D125+$E125)</f>
        <v/>
      </c>
      <c r="G125" s="8" t="n">
        <v>3964.8</v>
      </c>
      <c r="H125" s="8">
        <f>IF($A125="",0,$F125-$G125)</f>
        <v/>
      </c>
      <c r="I125">
        <f>IF($A125="","",IF($H125=0,"Paid",IF($G125=0,"Unpaid","Partial")))</f>
        <v/>
      </c>
    </row>
    <row r="126">
      <c r="A126" t="inlineStr">
        <is>
          <t>INV-2026-0125</t>
        </is>
      </c>
      <c r="B126" s="7" t="n">
        <v>46224</v>
      </c>
      <c r="C126" t="inlineStr">
        <is>
          <t>Ganga Boys Hostel</t>
        </is>
      </c>
      <c r="D126" s="8">
        <f>IF($A126="",0,ROUND(SUMIFS(InvoiceLines!$G$2:$G$4001,InvoiceLines!$A$2:$A$4001,$A126),2))</f>
        <v/>
      </c>
      <c r="E126" s="8">
        <f>IF($A126="",0,ROUND($D126*18%,2))</f>
        <v/>
      </c>
      <c r="F126" s="8">
        <f>IF($A126="",0,$D126+$E126)</f>
        <v/>
      </c>
      <c r="G126" s="8" t="n">
        <v>849.6</v>
      </c>
      <c r="H126" s="8">
        <f>IF($A126="",0,$F126-$G126)</f>
        <v/>
      </c>
      <c r="I126">
        <f>IF($A126="","",IF($H126=0,"Paid",IF($G126=0,"Unpaid","Partial")))</f>
        <v/>
      </c>
    </row>
    <row r="127">
      <c r="A127" t="inlineStr">
        <is>
          <t>INV-2026-0126</t>
        </is>
      </c>
      <c r="B127" s="7" t="n">
        <v>46225</v>
      </c>
      <c r="C127" t="inlineStr">
        <is>
          <t>Bright School Canteen</t>
        </is>
      </c>
      <c r="D127" s="8">
        <f>IF($A127="",0,ROUND(SUMIFS(InvoiceLines!$G$2:$G$4001,InvoiceLines!$A$2:$A$4001,$A127),2))</f>
        <v/>
      </c>
      <c r="E127" s="8">
        <f>IF($A127="",0,ROUND($D127*18%,2))</f>
        <v/>
      </c>
      <c r="F127" s="8">
        <f>IF($A127="",0,$D127+$E127)</f>
        <v/>
      </c>
      <c r="G127" s="8" t="n">
        <v>11965.2</v>
      </c>
      <c r="H127" s="8">
        <f>IF($A127="",0,$F127-$G127)</f>
        <v/>
      </c>
      <c r="I127">
        <f>IF($A127="","",IF($H127=0,"Paid",IF($G127=0,"Unpaid","Partial")))</f>
        <v/>
      </c>
    </row>
    <row r="128">
      <c r="A128" t="inlineStr">
        <is>
          <t>INV-2026-0127</t>
        </is>
      </c>
      <c r="B128" s="7" t="n">
        <v>46225</v>
      </c>
      <c r="C128" t="inlineStr">
        <is>
          <t>Bright School Canteen</t>
        </is>
      </c>
      <c r="D128" s="8">
        <f>IF($A128="",0,ROUND(SUMIFS(InvoiceLines!$G$2:$G$4001,InvoiceLines!$A$2:$A$4001,$A128),2))</f>
        <v/>
      </c>
      <c r="E128" s="8">
        <f>IF($A128="",0,ROUND($D128*18%,2))</f>
        <v/>
      </c>
      <c r="F128" s="8">
        <f>IF($A128="",0,$D128+$E128)</f>
        <v/>
      </c>
      <c r="G128" s="8" t="n">
        <v>3469.2</v>
      </c>
      <c r="H128" s="8">
        <f>IF($A128="",0,$F128-$G128)</f>
        <v/>
      </c>
      <c r="I128">
        <f>IF($A128="","",IF($H128=0,"Paid",IF($G128=0,"Unpaid","Partial")))</f>
        <v/>
      </c>
    </row>
    <row r="129">
      <c r="A129" t="inlineStr">
        <is>
          <t>INV-2026-0128</t>
        </is>
      </c>
      <c r="B129" s="7" t="n">
        <v>46228</v>
      </c>
      <c r="C129" t="inlineStr">
        <is>
          <t>Bright School Canteen</t>
        </is>
      </c>
      <c r="D129" s="8">
        <f>IF($A129="",0,ROUND(SUMIFS(InvoiceLines!$G$2:$G$4001,InvoiceLines!$A$2:$A$4001,$A129),2))</f>
        <v/>
      </c>
      <c r="E129" s="8">
        <f>IF($A129="",0,ROUND($D129*18%,2))</f>
        <v/>
      </c>
      <c r="F129" s="8">
        <f>IF($A129="",0,$D129+$E129)</f>
        <v/>
      </c>
      <c r="G129" s="8" t="n">
        <v>778.8</v>
      </c>
      <c r="H129" s="8">
        <f>IF($A129="",0,$F129-$G129)</f>
        <v/>
      </c>
      <c r="I129">
        <f>IF($A129="","",IF($H129=0,"Paid",IF($G129=0,"Unpaid","Partial")))</f>
        <v/>
      </c>
    </row>
    <row r="130">
      <c r="A130" t="inlineStr">
        <is>
          <t>INV-2026-0129</t>
        </is>
      </c>
      <c r="B130" s="7" t="n">
        <v>46228</v>
      </c>
      <c r="C130" t="inlineStr">
        <is>
          <t>Hotel Rajwada</t>
        </is>
      </c>
      <c r="D130" s="8">
        <f>IF($A130="",0,ROUND(SUMIFS(InvoiceLines!$G$2:$G$4001,InvoiceLines!$A$2:$A$4001,$A130),2))</f>
        <v/>
      </c>
      <c r="E130" s="8">
        <f>IF($A130="",0,ROUND($D130*18%,2))</f>
        <v/>
      </c>
      <c r="F130" s="8">
        <f>IF($A130="",0,$D130+$E130)</f>
        <v/>
      </c>
      <c r="G130" s="8" t="n">
        <v>17015.6</v>
      </c>
      <c r="H130" s="8">
        <f>IF($A130="",0,$F130-$G130)</f>
        <v/>
      </c>
      <c r="I130">
        <f>IF($A130="","",IF($H130=0,"Paid",IF($G130=0,"Unpaid","Partial")))</f>
        <v/>
      </c>
    </row>
    <row r="131">
      <c r="A131" t="inlineStr">
        <is>
          <t>INV-2026-0130</t>
        </is>
      </c>
      <c r="B131" s="7" t="n">
        <v>46230</v>
      </c>
      <c r="C131" t="inlineStr">
        <is>
          <t>Wedding Palace Events</t>
        </is>
      </c>
      <c r="D131" s="8">
        <f>IF($A131="",0,ROUND(SUMIFS(InvoiceLines!$G$2:$G$4001,InvoiceLines!$A$2:$A$4001,$A131),2))</f>
        <v/>
      </c>
      <c r="E131" s="8">
        <f>IF($A131="",0,ROUND($D131*18%,2))</f>
        <v/>
      </c>
      <c r="F131" s="8">
        <f>IF($A131="",0,$D131+$E131)</f>
        <v/>
      </c>
      <c r="G131" s="8" t="n">
        <v>356.83</v>
      </c>
      <c r="H131" s="8">
        <f>IF($A131="",0,$F131-$G131)</f>
        <v/>
      </c>
      <c r="I131">
        <f>IF($A131="","",IF($H131=0,"Paid",IF($G131=0,"Unpaid","Partial")))</f>
        <v/>
      </c>
    </row>
    <row r="132">
      <c r="A132" t="inlineStr">
        <is>
          <t>INV-2026-0131</t>
        </is>
      </c>
      <c r="B132" s="7" t="n">
        <v>46230</v>
      </c>
      <c r="C132" t="inlineStr">
        <is>
          <t>Cafe Brewlane</t>
        </is>
      </c>
      <c r="D132" s="8">
        <f>IF($A132="",0,ROUND(SUMIFS(InvoiceLines!$G$2:$G$4001,InvoiceLines!$A$2:$A$4001,$A132),2))</f>
        <v/>
      </c>
      <c r="E132" s="8">
        <f>IF($A132="",0,ROUND($D132*18%,2))</f>
        <v/>
      </c>
      <c r="F132" s="8">
        <f>IF($A132="",0,$D132+$E132)</f>
        <v/>
      </c>
      <c r="G132" s="8" t="n">
        <v>9227.6</v>
      </c>
      <c r="H132" s="8">
        <f>IF($A132="",0,$F132-$G132)</f>
        <v/>
      </c>
      <c r="I132">
        <f>IF($A132="","",IF($H132=0,"Paid",IF($G132=0,"Unpaid","Partial")))</f>
        <v/>
      </c>
    </row>
    <row r="133">
      <c r="A133" t="inlineStr">
        <is>
          <t>INV-2026-0132</t>
        </is>
      </c>
      <c r="B133" s="7" t="n">
        <v>46230</v>
      </c>
      <c r="C133" t="inlineStr">
        <is>
          <t>Cafe Brewlane</t>
        </is>
      </c>
      <c r="D133" s="8">
        <f>IF($A133="",0,ROUND(SUMIFS(InvoiceLines!$G$2:$G$4001,InvoiceLines!$A$2:$A$4001,$A133),2))</f>
        <v/>
      </c>
      <c r="E133" s="8">
        <f>IF($A133="",0,ROUND($D133*18%,2))</f>
        <v/>
      </c>
      <c r="F133" s="8">
        <f>IF($A133="",0,$D133+$E133)</f>
        <v/>
      </c>
      <c r="G133" s="8" t="n">
        <v>6460.5</v>
      </c>
      <c r="H133" s="8">
        <f>IF($A133="",0,$F133-$G133)</f>
        <v/>
      </c>
      <c r="I133">
        <f>IF($A133="","",IF($H133=0,"Paid",IF($G133=0,"Unpaid","Partial")))</f>
        <v/>
      </c>
    </row>
    <row r="134">
      <c r="A134" t="inlineStr">
        <is>
          <t>INV-2026-0133</t>
        </is>
      </c>
      <c r="B134" s="7" t="n">
        <v>46233</v>
      </c>
      <c r="C134" t="inlineStr">
        <is>
          <t>Ganga Boys Hostel</t>
        </is>
      </c>
      <c r="D134" s="8">
        <f>IF($A134="",0,ROUND(SUMIFS(InvoiceLines!$G$2:$G$4001,InvoiceLines!$A$2:$A$4001,$A134),2))</f>
        <v/>
      </c>
      <c r="E134" s="8">
        <f>IF($A134="",0,ROUND($D134*18%,2))</f>
        <v/>
      </c>
      <c r="F134" s="8">
        <f>IF($A134="",0,$D134+$E134)</f>
        <v/>
      </c>
      <c r="G134" s="8" t="n">
        <v>8330.33</v>
      </c>
      <c r="H134" s="8">
        <f>IF($A134="",0,$F134-$G134)</f>
        <v/>
      </c>
      <c r="I134">
        <f>IF($A134="","",IF($H134=0,"Paid",IF($G134=0,"Unpaid","Partial")))</f>
        <v/>
      </c>
    </row>
    <row r="135">
      <c r="A135" t="inlineStr">
        <is>
          <t>INV-2026-0134</t>
        </is>
      </c>
      <c r="B135" s="7" t="n">
        <v>46234</v>
      </c>
      <c r="C135" t="inlineStr">
        <is>
          <t>Bright School Canteen</t>
        </is>
      </c>
      <c r="D135" s="8">
        <f>IF($A135="",0,ROUND(SUMIFS(InvoiceLines!$G$2:$G$4001,InvoiceLines!$A$2:$A$4001,$A135),2))</f>
        <v/>
      </c>
      <c r="E135" s="8">
        <f>IF($A135="",0,ROUND($D135*18%,2))</f>
        <v/>
      </c>
      <c r="F135" s="8">
        <f>IF($A135="",0,$D135+$E135)</f>
        <v/>
      </c>
      <c r="G135" s="8" t="n">
        <v>1911.6</v>
      </c>
      <c r="H135" s="8">
        <f>IF($A135="",0,$F135-$G135)</f>
        <v/>
      </c>
      <c r="I135">
        <f>IF($A135="","",IF($H135=0,"Paid",IF($G135=0,"Unpaid","Partial")))</f>
        <v/>
      </c>
    </row>
    <row r="136">
      <c r="A136" t="inlineStr">
        <is>
          <t>INV-2026-0135</t>
        </is>
      </c>
      <c r="B136" s="7" t="n">
        <v>46237</v>
      </c>
      <c r="C136" t="inlineStr">
        <is>
          <t>MediCare Clinic</t>
        </is>
      </c>
      <c r="D136" s="8">
        <f>IF($A136="",0,ROUND(SUMIFS(InvoiceLines!$G$2:$G$4001,InvoiceLines!$A$2:$A$4001,$A136),2))</f>
        <v/>
      </c>
      <c r="E136" s="8">
        <f>IF($A136="",0,ROUND($D136*18%,2))</f>
        <v/>
      </c>
      <c r="F136" s="8">
        <f>IF($A136="",0,$D136+$E136)</f>
        <v/>
      </c>
      <c r="G136" s="8" t="n">
        <v>2407.2</v>
      </c>
      <c r="H136" s="8">
        <f>IF($A136="",0,$F136-$G136)</f>
        <v/>
      </c>
      <c r="I136">
        <f>IF($A136="","",IF($H136=0,"Paid",IF($G136=0,"Unpaid","Partial")))</f>
        <v/>
      </c>
    </row>
    <row r="137">
      <c r="A137" t="inlineStr">
        <is>
          <t>INV-2026-0136</t>
        </is>
      </c>
      <c r="B137" s="7" t="n">
        <v>46238</v>
      </c>
      <c r="C137" t="inlineStr">
        <is>
          <t>MediCare Clinic</t>
        </is>
      </c>
      <c r="D137" s="8">
        <f>IF($A137="",0,ROUND(SUMIFS(InvoiceLines!$G$2:$G$4001,InvoiceLines!$A$2:$A$4001,$A137),2))</f>
        <v/>
      </c>
      <c r="E137" s="8">
        <f>IF($A137="",0,ROUND($D137*18%,2))</f>
        <v/>
      </c>
      <c r="F137" s="8">
        <f>IF($A137="",0,$D137+$E137)</f>
        <v/>
      </c>
      <c r="G137" s="8" t="n">
        <v>6881.76</v>
      </c>
      <c r="H137" s="8">
        <f>IF($A137="",0,$F137-$G137)</f>
        <v/>
      </c>
      <c r="I137">
        <f>IF($A137="","",IF($H137=0,"Paid",IF($G137=0,"Unpaid","Partial")))</f>
        <v/>
      </c>
    </row>
    <row r="138">
      <c r="A138" t="inlineStr">
        <is>
          <t>INV-2026-0137</t>
        </is>
      </c>
      <c r="B138" s="7" t="n">
        <v>46239</v>
      </c>
      <c r="C138" t="inlineStr">
        <is>
          <t>OfficeHub Cowork</t>
        </is>
      </c>
      <c r="D138" s="8">
        <f>IF($A138="",0,ROUND(SUMIFS(InvoiceLines!$G$2:$G$4001,InvoiceLines!$A$2:$A$4001,$A138),2))</f>
        <v/>
      </c>
      <c r="E138" s="8">
        <f>IF($A138="",0,ROUND($D138*18%,2))</f>
        <v/>
      </c>
      <c r="F138" s="8">
        <f>IF($A138="",0,$D138+$E138)</f>
        <v/>
      </c>
      <c r="G138" s="8" t="n">
        <v>4170.83</v>
      </c>
      <c r="H138" s="8">
        <f>IF($A138="",0,$F138-$G138)</f>
        <v/>
      </c>
      <c r="I138">
        <f>IF($A138="","",IF($H138=0,"Paid",IF($G138=0,"Unpaid","Partial")))</f>
        <v/>
      </c>
    </row>
    <row r="139">
      <c r="A139" t="inlineStr">
        <is>
          <t>INV-2026-0138</t>
        </is>
      </c>
      <c r="B139" s="7" t="n">
        <v>46240</v>
      </c>
      <c r="C139" t="inlineStr">
        <is>
          <t>Station Food Plaza</t>
        </is>
      </c>
      <c r="D139" s="8">
        <f>IF($A139="",0,ROUND(SUMIFS(InvoiceLines!$G$2:$G$4001,InvoiceLines!$A$2:$A$4001,$A139),2))</f>
        <v/>
      </c>
      <c r="E139" s="8">
        <f>IF($A139="",0,ROUND($D139*18%,2))</f>
        <v/>
      </c>
      <c r="F139" s="8">
        <f>IF($A139="",0,$D139+$E139)</f>
        <v/>
      </c>
      <c r="G139" s="8" t="n">
        <v>4932.4</v>
      </c>
      <c r="H139" s="8">
        <f>IF($A139="",0,$F139-$G139)</f>
        <v/>
      </c>
      <c r="I139">
        <f>IF($A139="","",IF($H139=0,"Paid",IF($G139=0,"Unpaid","Partial")))</f>
        <v/>
      </c>
    </row>
    <row r="140">
      <c r="A140" t="inlineStr">
        <is>
          <t>INV-2026-0139</t>
        </is>
      </c>
      <c r="B140" s="7" t="n">
        <v>46240</v>
      </c>
      <c r="C140" t="inlineStr">
        <is>
          <t>Hotel Rajwada</t>
        </is>
      </c>
      <c r="D140" s="8">
        <f>IF($A140="",0,ROUND(SUMIFS(InvoiceLines!$G$2:$G$4001,InvoiceLines!$A$2:$A$4001,$A140),2))</f>
        <v/>
      </c>
      <c r="E140" s="8">
        <f>IF($A140="",0,ROUND($D140*18%,2))</f>
        <v/>
      </c>
      <c r="F140" s="8">
        <f>IF($A140="",0,$D140+$E140)</f>
        <v/>
      </c>
      <c r="G140" s="8" t="n">
        <v>23765.2</v>
      </c>
      <c r="H140" s="8">
        <f>IF($A140="",0,$F140-$G140)</f>
        <v/>
      </c>
      <c r="I140">
        <f>IF($A140="","",IF($H140=0,"Paid",IF($G140=0,"Unpaid","Partial")))</f>
        <v/>
      </c>
    </row>
    <row r="141">
      <c r="A141" t="inlineStr">
        <is>
          <t>INV-2026-0140</t>
        </is>
      </c>
      <c r="B141" s="7" t="n">
        <v>46241</v>
      </c>
      <c r="C141" t="inlineStr">
        <is>
          <t>FreshMart Store</t>
        </is>
      </c>
      <c r="D141" s="8">
        <f>IF($A141="",0,ROUND(SUMIFS(InvoiceLines!$G$2:$G$4001,InvoiceLines!$A$2:$A$4001,$A141),2))</f>
        <v/>
      </c>
      <c r="E141" s="8">
        <f>IF($A141="",0,ROUND($D141*18%,2))</f>
        <v/>
      </c>
      <c r="F141" s="8">
        <f>IF($A141="",0,$D141+$E141)</f>
        <v/>
      </c>
      <c r="G141" s="8" t="n">
        <v>5192</v>
      </c>
      <c r="H141" s="8">
        <f>IF($A141="",0,$F141-$G141)</f>
        <v/>
      </c>
      <c r="I141">
        <f>IF($A141="","",IF($H141=0,"Paid",IF($G141=0,"Unpaid","Partial")))</f>
        <v/>
      </c>
    </row>
    <row r="142">
      <c r="A142" t="inlineStr">
        <is>
          <t>INV-2026-0141</t>
        </is>
      </c>
      <c r="B142" s="7" t="n">
        <v>46244</v>
      </c>
      <c r="C142" t="inlineStr">
        <is>
          <t>MediCare Clinic</t>
        </is>
      </c>
      <c r="D142" s="8">
        <f>IF($A142="",0,ROUND(SUMIFS(InvoiceLines!$G$2:$G$4001,InvoiceLines!$A$2:$A$4001,$A142),2))</f>
        <v/>
      </c>
      <c r="E142" s="8">
        <f>IF($A142="",0,ROUND($D142*18%,2))</f>
        <v/>
      </c>
      <c r="F142" s="8">
        <f>IF($A142="",0,$D142+$E142)</f>
        <v/>
      </c>
      <c r="G142" s="8" t="n">
        <v>0</v>
      </c>
      <c r="H142" s="8">
        <f>IF($A142="",0,$F142-$G142)</f>
        <v/>
      </c>
      <c r="I142">
        <f>IF($A142="","",IF($H142=0,"Paid",IF($G142=0,"Unpaid","Partial")))</f>
        <v/>
      </c>
    </row>
    <row r="143">
      <c r="A143" t="inlineStr">
        <is>
          <t>INV-2026-0142</t>
        </is>
      </c>
      <c r="B143" s="7" t="n">
        <v>46245</v>
      </c>
      <c r="C143" t="inlineStr">
        <is>
          <t>Bright School Canteen</t>
        </is>
      </c>
      <c r="D143" s="8">
        <f>IF($A143="",0,ROUND(SUMIFS(InvoiceLines!$G$2:$G$4001,InvoiceLines!$A$2:$A$4001,$A143),2))</f>
        <v/>
      </c>
      <c r="E143" s="8">
        <f>IF($A143="",0,ROUND($D143*18%,2))</f>
        <v/>
      </c>
      <c r="F143" s="8">
        <f>IF($A143="",0,$D143+$E143)</f>
        <v/>
      </c>
      <c r="G143" s="8" t="n">
        <v>3610.8</v>
      </c>
      <c r="H143" s="8">
        <f>IF($A143="",0,$F143-$G143)</f>
        <v/>
      </c>
      <c r="I143">
        <f>IF($A143="","",IF($H143=0,"Paid",IF($G143=0,"Unpaid","Partial")))</f>
        <v/>
      </c>
    </row>
    <row r="144">
      <c r="A144" t="inlineStr">
        <is>
          <t>INV-2026-0143</t>
        </is>
      </c>
      <c r="B144" s="7" t="n">
        <v>46246</v>
      </c>
      <c r="C144" t="inlineStr">
        <is>
          <t>TechPark Canteen</t>
        </is>
      </c>
      <c r="D144" s="8">
        <f>IF($A144="",0,ROUND(SUMIFS(InvoiceLines!$G$2:$G$4001,InvoiceLines!$A$2:$A$4001,$A144),2))</f>
        <v/>
      </c>
      <c r="E144" s="8">
        <f>IF($A144="",0,ROUND($D144*18%,2))</f>
        <v/>
      </c>
      <c r="F144" s="8">
        <f>IF($A144="",0,$D144+$E144)</f>
        <v/>
      </c>
      <c r="G144" s="8" t="n">
        <v>2566.5</v>
      </c>
      <c r="H144" s="8">
        <f>IF($A144="",0,$F144-$G144)</f>
        <v/>
      </c>
      <c r="I144">
        <f>IF($A144="","",IF($H144=0,"Paid",IF($G144=0,"Unpaid","Partial")))</f>
        <v/>
      </c>
    </row>
    <row r="145">
      <c r="A145" t="inlineStr">
        <is>
          <t>INV-2026-0144</t>
        </is>
      </c>
      <c r="B145" s="7" t="n">
        <v>46246</v>
      </c>
      <c r="C145" t="inlineStr">
        <is>
          <t>Sharma Tea Stall</t>
        </is>
      </c>
      <c r="D145" s="8">
        <f>IF($A145="",0,ROUND(SUMIFS(InvoiceLines!$G$2:$G$4001,InvoiceLines!$A$2:$A$4001,$A145),2))</f>
        <v/>
      </c>
      <c r="E145" s="8">
        <f>IF($A145="",0,ROUND($D145*18%,2))</f>
        <v/>
      </c>
      <c r="F145" s="8">
        <f>IF($A145="",0,$D145+$E145)</f>
        <v/>
      </c>
      <c r="G145" s="8" t="n">
        <v>1923.64</v>
      </c>
      <c r="H145" s="8">
        <f>IF($A145="",0,$F145-$G145)</f>
        <v/>
      </c>
      <c r="I145">
        <f>IF($A145="","",IF($H145=0,"Paid",IF($G145=0,"Unpaid","Partial")))</f>
        <v/>
      </c>
    </row>
    <row r="146">
      <c r="A146" t="inlineStr">
        <is>
          <t>INV-2026-0145</t>
        </is>
      </c>
      <c r="B146" s="7" t="n">
        <v>46246</v>
      </c>
      <c r="C146" t="inlineStr">
        <is>
          <t>Ganga Boys Hostel</t>
        </is>
      </c>
      <c r="D146" s="8">
        <f>IF($A146="",0,ROUND(SUMIFS(InvoiceLines!$G$2:$G$4001,InvoiceLines!$A$2:$A$4001,$A146),2))</f>
        <v/>
      </c>
      <c r="E146" s="8">
        <f>IF($A146="",0,ROUND($D146*18%,2))</f>
        <v/>
      </c>
      <c r="F146" s="8">
        <f>IF($A146="",0,$D146+$E146)</f>
        <v/>
      </c>
      <c r="G146" s="8" t="n">
        <v>6987.96</v>
      </c>
      <c r="H146" s="8">
        <f>IF($A146="",0,$F146-$G146)</f>
        <v/>
      </c>
      <c r="I146">
        <f>IF($A146="","",IF($H146=0,"Paid",IF($G146=0,"Unpaid","Partial")))</f>
        <v/>
      </c>
    </row>
    <row r="147">
      <c r="A147" t="inlineStr">
        <is>
          <t>INV-2026-0146</t>
        </is>
      </c>
      <c r="B147" s="7" t="n">
        <v>46247</v>
      </c>
      <c r="C147" t="inlineStr">
        <is>
          <t>FreshMart Store</t>
        </is>
      </c>
      <c r="D147" s="8">
        <f>IF($A147="",0,ROUND(SUMIFS(InvoiceLines!$G$2:$G$4001,InvoiceLines!$A$2:$A$4001,$A147),2))</f>
        <v/>
      </c>
      <c r="E147" s="8">
        <f>IF($A147="",0,ROUND($D147*18%,2))</f>
        <v/>
      </c>
      <c r="F147" s="8">
        <f>IF($A147="",0,$D147+$E147)</f>
        <v/>
      </c>
      <c r="G147" s="8" t="n">
        <v>304.44</v>
      </c>
      <c r="H147" s="8">
        <f>IF($A147="",0,$F147-$G147)</f>
        <v/>
      </c>
      <c r="I147">
        <f>IF($A147="","",IF($H147=0,"Paid",IF($G147=0,"Unpaid","Partial")))</f>
        <v/>
      </c>
    </row>
    <row r="148">
      <c r="A148" t="inlineStr">
        <is>
          <t>INV-2026-0147</t>
        </is>
      </c>
      <c r="B148" s="7" t="n">
        <v>46248</v>
      </c>
      <c r="C148" t="inlineStr">
        <is>
          <t>City Gym</t>
        </is>
      </c>
      <c r="D148" s="8">
        <f>IF($A148="",0,ROUND(SUMIFS(InvoiceLines!$G$2:$G$4001,InvoiceLines!$A$2:$A$4001,$A148),2))</f>
        <v/>
      </c>
      <c r="E148" s="8">
        <f>IF($A148="",0,ROUND($D148*18%,2))</f>
        <v/>
      </c>
      <c r="F148" s="8">
        <f>IF($A148="",0,$D148+$E148)</f>
        <v/>
      </c>
      <c r="G148" s="8" t="n">
        <v>8035.8</v>
      </c>
      <c r="H148" s="8">
        <f>IF($A148="",0,$F148-$G148)</f>
        <v/>
      </c>
      <c r="I148">
        <f>IF($A148="","",IF($H148=0,"Paid",IF($G148=0,"Unpaid","Partial")))</f>
        <v/>
      </c>
    </row>
    <row r="149">
      <c r="A149" t="inlineStr">
        <is>
          <t>INV-2026-0148</t>
        </is>
      </c>
      <c r="B149" s="7" t="n">
        <v>46248</v>
      </c>
      <c r="C149" t="inlineStr">
        <is>
          <t>Bright School Canteen</t>
        </is>
      </c>
      <c r="D149" s="8">
        <f>IF($A149="",0,ROUND(SUMIFS(InvoiceLines!$G$2:$G$4001,InvoiceLines!$A$2:$A$4001,$A149),2))</f>
        <v/>
      </c>
      <c r="E149" s="8">
        <f>IF($A149="",0,ROUND($D149*18%,2))</f>
        <v/>
      </c>
      <c r="F149" s="8">
        <f>IF($A149="",0,$D149+$E149)</f>
        <v/>
      </c>
      <c r="G149" s="8" t="n">
        <v>3557.7</v>
      </c>
      <c r="H149" s="8">
        <f>IF($A149="",0,$F149-$G149)</f>
        <v/>
      </c>
      <c r="I149">
        <f>IF($A149="","",IF($H149=0,"Paid",IF($G149=0,"Unpaid","Partial")))</f>
        <v/>
      </c>
    </row>
    <row r="150">
      <c r="A150" t="inlineStr">
        <is>
          <t>INV-2026-0149</t>
        </is>
      </c>
      <c r="B150" s="7" t="n">
        <v>46248</v>
      </c>
      <c r="C150" t="inlineStr">
        <is>
          <t>Station Food Plaza</t>
        </is>
      </c>
      <c r="D150" s="8">
        <f>IF($A150="",0,ROUND(SUMIFS(InvoiceLines!$G$2:$G$4001,InvoiceLines!$A$2:$A$4001,$A150),2))</f>
        <v/>
      </c>
      <c r="E150" s="8">
        <f>IF($A150="",0,ROUND($D150*18%,2))</f>
        <v/>
      </c>
      <c r="F150" s="8">
        <f>IF($A150="",0,$D150+$E150)</f>
        <v/>
      </c>
      <c r="G150" s="8" t="n">
        <v>4243.75</v>
      </c>
      <c r="H150" s="8">
        <f>IF($A150="",0,$F150-$G150)</f>
        <v/>
      </c>
      <c r="I150">
        <f>IF($A150="","",IF($H150=0,"Paid",IF($G150=0,"Unpaid","Partial")))</f>
        <v/>
      </c>
    </row>
    <row r="151">
      <c r="A151" t="inlineStr">
        <is>
          <t>INV-2026-0150</t>
        </is>
      </c>
      <c r="B151" s="7" t="n">
        <v>46249</v>
      </c>
      <c r="C151" t="inlineStr">
        <is>
          <t>Cafe Brewlane</t>
        </is>
      </c>
      <c r="D151" s="8">
        <f>IF($A151="",0,ROUND(SUMIFS(InvoiceLines!$G$2:$G$4001,InvoiceLines!$A$2:$A$4001,$A151),2))</f>
        <v/>
      </c>
      <c r="E151" s="8">
        <f>IF($A151="",0,ROUND($D151*18%,2))</f>
        <v/>
      </c>
      <c r="F151" s="8">
        <f>IF($A151="",0,$D151+$E151)</f>
        <v/>
      </c>
      <c r="G151" s="8" t="n">
        <v>14207.2</v>
      </c>
      <c r="H151" s="8">
        <f>IF($A151="",0,$F151-$G151)</f>
        <v/>
      </c>
      <c r="I151">
        <f>IF($A151="","",IF($H151=0,"Paid",IF($G151=0,"Unpaid","Partial")))</f>
        <v/>
      </c>
    </row>
    <row r="152">
      <c r="A152" t="inlineStr">
        <is>
          <t>INV-2026-0151</t>
        </is>
      </c>
      <c r="B152" s="7" t="n">
        <v>46251</v>
      </c>
      <c r="C152" t="inlineStr">
        <is>
          <t>Sharma Tea Stall</t>
        </is>
      </c>
      <c r="D152" s="8">
        <f>IF($A152="",0,ROUND(SUMIFS(InvoiceLines!$G$2:$G$4001,InvoiceLines!$A$2:$A$4001,$A152),2))</f>
        <v/>
      </c>
      <c r="E152" s="8">
        <f>IF($A152="",0,ROUND($D152*18%,2))</f>
        <v/>
      </c>
      <c r="F152" s="8">
        <f>IF($A152="",0,$D152+$E152)</f>
        <v/>
      </c>
      <c r="G152" s="8" t="n">
        <v>5773.03</v>
      </c>
      <c r="H152" s="8">
        <f>IF($A152="",0,$F152-$G152)</f>
        <v/>
      </c>
      <c r="I152">
        <f>IF($A152="","",IF($H152=0,"Paid",IF($G152=0,"Unpaid","Partial")))</f>
        <v/>
      </c>
    </row>
    <row r="153">
      <c r="A153" t="inlineStr">
        <is>
          <t>INV-2026-0152</t>
        </is>
      </c>
      <c r="B153" s="7" t="n">
        <v>46252</v>
      </c>
      <c r="C153" t="inlineStr">
        <is>
          <t>TechPark Canteen</t>
        </is>
      </c>
      <c r="D153" s="8">
        <f>IF($A153="",0,ROUND(SUMIFS(InvoiceLines!$G$2:$G$4001,InvoiceLines!$A$2:$A$4001,$A153),2))</f>
        <v/>
      </c>
      <c r="E153" s="8">
        <f>IF($A153="",0,ROUND($D153*18%,2))</f>
        <v/>
      </c>
      <c r="F153" s="8">
        <f>IF($A153="",0,$D153+$E153)</f>
        <v/>
      </c>
      <c r="G153" s="8" t="n">
        <v>13050.8</v>
      </c>
      <c r="H153" s="8">
        <f>IF($A153="",0,$F153-$G153)</f>
        <v/>
      </c>
      <c r="I153">
        <f>IF($A153="","",IF($H153=0,"Paid",IF($G153=0,"Unpaid","Partial")))</f>
        <v/>
      </c>
    </row>
    <row r="154">
      <c r="A154" t="inlineStr">
        <is>
          <t>INV-2026-0153</t>
        </is>
      </c>
      <c r="B154" s="7" t="n">
        <v>46253</v>
      </c>
      <c r="C154" t="inlineStr">
        <is>
          <t>FreshMart Store</t>
        </is>
      </c>
      <c r="D154" s="8">
        <f>IF($A154="",0,ROUND(SUMIFS(InvoiceLines!$G$2:$G$4001,InvoiceLines!$A$2:$A$4001,$A154),2))</f>
        <v/>
      </c>
      <c r="E154" s="8">
        <f>IF($A154="",0,ROUND($D154*18%,2))</f>
        <v/>
      </c>
      <c r="F154" s="8">
        <f>IF($A154="",0,$D154+$E154)</f>
        <v/>
      </c>
      <c r="G154" s="8" t="n">
        <v>17110</v>
      </c>
      <c r="H154" s="8">
        <f>IF($A154="",0,$F154-$G154)</f>
        <v/>
      </c>
      <c r="I154">
        <f>IF($A154="","",IF($H154=0,"Paid",IF($G154=0,"Unpaid","Partial")))</f>
        <v/>
      </c>
    </row>
    <row r="155">
      <c r="A155" t="inlineStr">
        <is>
          <t>INV-2026-0154</t>
        </is>
      </c>
      <c r="B155" s="7" t="n">
        <v>46254</v>
      </c>
      <c r="C155" t="inlineStr">
        <is>
          <t>FreshMart Store</t>
        </is>
      </c>
      <c r="D155" s="8">
        <f>IF($A155="",0,ROUND(SUMIFS(InvoiceLines!$G$2:$G$4001,InvoiceLines!$A$2:$A$4001,$A155),2))</f>
        <v/>
      </c>
      <c r="E155" s="8">
        <f>IF($A155="",0,ROUND($D155*18%,2))</f>
        <v/>
      </c>
      <c r="F155" s="8">
        <f>IF($A155="",0,$D155+$E155)</f>
        <v/>
      </c>
      <c r="G155" s="8" t="n">
        <v>0</v>
      </c>
      <c r="H155" s="8">
        <f>IF($A155="",0,$F155-$G155)</f>
        <v/>
      </c>
      <c r="I155">
        <f>IF($A155="","",IF($H155=0,"Paid",IF($G155=0,"Unpaid","Partial")))</f>
        <v/>
      </c>
    </row>
    <row r="156">
      <c r="A156" t="inlineStr">
        <is>
          <t>INV-2026-0155</t>
        </is>
      </c>
      <c r="B156" s="7" t="n">
        <v>46254</v>
      </c>
      <c r="C156" t="inlineStr">
        <is>
          <t>TechPark Canteen</t>
        </is>
      </c>
      <c r="D156" s="8">
        <f>IF($A156="",0,ROUND(SUMIFS(InvoiceLines!$G$2:$G$4001,InvoiceLines!$A$2:$A$4001,$A156),2))</f>
        <v/>
      </c>
      <c r="E156" s="8">
        <f>IF($A156="",0,ROUND($D156*18%,2))</f>
        <v/>
      </c>
      <c r="F156" s="8">
        <f>IF($A156="",0,$D156+$E156)</f>
        <v/>
      </c>
      <c r="G156" s="8" t="n">
        <v>3964.8</v>
      </c>
      <c r="H156" s="8">
        <f>IF($A156="",0,$F156-$G156)</f>
        <v/>
      </c>
      <c r="I156">
        <f>IF($A156="","",IF($H156=0,"Paid",IF($G156=0,"Unpaid","Partial")))</f>
        <v/>
      </c>
    </row>
    <row r="157">
      <c r="A157" t="inlineStr">
        <is>
          <t>INV-2026-0156</t>
        </is>
      </c>
      <c r="B157" s="7" t="n">
        <v>46255</v>
      </c>
      <c r="C157" t="inlineStr">
        <is>
          <t>MediCare Clinic</t>
        </is>
      </c>
      <c r="D157" s="8">
        <f>IF($A157="",0,ROUND(SUMIFS(InvoiceLines!$G$2:$G$4001,InvoiceLines!$A$2:$A$4001,$A157),2))</f>
        <v/>
      </c>
      <c r="E157" s="8">
        <f>IF($A157="",0,ROUND($D157*18%,2))</f>
        <v/>
      </c>
      <c r="F157" s="8">
        <f>IF($A157="",0,$D157+$E157)</f>
        <v/>
      </c>
      <c r="G157" s="8" t="n">
        <v>2880.14</v>
      </c>
      <c r="H157" s="8">
        <f>IF($A157="",0,$F157-$G157)</f>
        <v/>
      </c>
      <c r="I157">
        <f>IF($A157="","",IF($H157=0,"Paid",IF($G157=0,"Unpaid","Partial")))</f>
        <v/>
      </c>
    </row>
    <row r="158">
      <c r="A158" t="inlineStr">
        <is>
          <t>INV-2026-0157</t>
        </is>
      </c>
      <c r="B158" s="7" t="n">
        <v>46255</v>
      </c>
      <c r="C158" t="inlineStr">
        <is>
          <t>Wedding Palace Events</t>
        </is>
      </c>
      <c r="D158" s="8">
        <f>IF($A158="",0,ROUND(SUMIFS(InvoiceLines!$G$2:$G$4001,InvoiceLines!$A$2:$A$4001,$A158),2))</f>
        <v/>
      </c>
      <c r="E158" s="8">
        <f>IF($A158="",0,ROUND($D158*18%,2))</f>
        <v/>
      </c>
      <c r="F158" s="8">
        <f>IF($A158="",0,$D158+$E158)</f>
        <v/>
      </c>
      <c r="G158" s="8" t="n">
        <v>12980</v>
      </c>
      <c r="H158" s="8">
        <f>IF($A158="",0,$F158-$G158)</f>
        <v/>
      </c>
      <c r="I158">
        <f>IF($A158="","",IF($H158=0,"Paid",IF($G158=0,"Unpaid","Partial")))</f>
        <v/>
      </c>
    </row>
    <row r="159">
      <c r="A159" t="inlineStr">
        <is>
          <t>INV-2026-0158</t>
        </is>
      </c>
      <c r="B159" s="7" t="n">
        <v>46258</v>
      </c>
      <c r="C159" t="inlineStr">
        <is>
          <t>Wedding Palace Events</t>
        </is>
      </c>
      <c r="D159" s="8">
        <f>IF($A159="",0,ROUND(SUMIFS(InvoiceLines!$G$2:$G$4001,InvoiceLines!$A$2:$A$4001,$A159),2))</f>
        <v/>
      </c>
      <c r="E159" s="8">
        <f>IF($A159="",0,ROUND($D159*18%,2))</f>
        <v/>
      </c>
      <c r="F159" s="8">
        <f>IF($A159="",0,$D159+$E159)</f>
        <v/>
      </c>
      <c r="G159" s="8" t="n">
        <v>3894</v>
      </c>
      <c r="H159" s="8">
        <f>IF($A159="",0,$F159-$G159)</f>
        <v/>
      </c>
      <c r="I159">
        <f>IF($A159="","",IF($H159=0,"Paid",IF($G159=0,"Unpaid","Partial")))</f>
        <v/>
      </c>
    </row>
    <row r="160">
      <c r="A160" t="inlineStr">
        <is>
          <t>INV-2026-0159</t>
        </is>
      </c>
      <c r="B160" s="7" t="n">
        <v>46259</v>
      </c>
      <c r="C160" t="inlineStr">
        <is>
          <t>Wedding Palace Events</t>
        </is>
      </c>
      <c r="D160" s="8">
        <f>IF($A160="",0,ROUND(SUMIFS(InvoiceLines!$G$2:$G$4001,InvoiceLines!$A$2:$A$4001,$A160),2))</f>
        <v/>
      </c>
      <c r="E160" s="8">
        <f>IF($A160="",0,ROUND($D160*18%,2))</f>
        <v/>
      </c>
      <c r="F160" s="8">
        <f>IF($A160="",0,$D160+$E160)</f>
        <v/>
      </c>
      <c r="G160" s="8" t="n">
        <v>692.96</v>
      </c>
      <c r="H160" s="8">
        <f>IF($A160="",0,$F160-$G160)</f>
        <v/>
      </c>
      <c r="I160">
        <f>IF($A160="","",IF($H160=0,"Paid",IF($G160=0,"Unpaid","Partial")))</f>
        <v/>
      </c>
    </row>
    <row r="161">
      <c r="A161" t="inlineStr">
        <is>
          <t>INV-2026-0160</t>
        </is>
      </c>
      <c r="B161" s="7" t="n">
        <v>46260</v>
      </c>
      <c r="C161" t="inlineStr">
        <is>
          <t>Sharma Tea Stall</t>
        </is>
      </c>
      <c r="D161" s="8">
        <f>IF($A161="",0,ROUND(SUMIFS(InvoiceLines!$G$2:$G$4001,InvoiceLines!$A$2:$A$4001,$A161),2))</f>
        <v/>
      </c>
      <c r="E161" s="8">
        <f>IF($A161="",0,ROUND($D161*18%,2))</f>
        <v/>
      </c>
      <c r="F161" s="8">
        <f>IF($A161="",0,$D161+$E161)</f>
        <v/>
      </c>
      <c r="G161" s="8" t="n">
        <v>10535.04</v>
      </c>
      <c r="H161" s="8">
        <f>IF($A161="",0,$F161-$G161)</f>
        <v/>
      </c>
      <c r="I161">
        <f>IF($A161="","",IF($H161=0,"Paid",IF($G161=0,"Unpaid","Partial")))</f>
        <v/>
      </c>
    </row>
    <row r="162">
      <c r="A162" t="inlineStr">
        <is>
          <t>INV-2026-0161</t>
        </is>
      </c>
      <c r="B162" s="7" t="n">
        <v>46261</v>
      </c>
      <c r="C162" t="inlineStr">
        <is>
          <t>FreshMart Store</t>
        </is>
      </c>
      <c r="D162" s="8">
        <f>IF($A162="",0,ROUND(SUMIFS(InvoiceLines!$G$2:$G$4001,InvoiceLines!$A$2:$A$4001,$A162),2))</f>
        <v/>
      </c>
      <c r="E162" s="8">
        <f>IF($A162="",0,ROUND($D162*18%,2))</f>
        <v/>
      </c>
      <c r="F162" s="8">
        <f>IF($A162="",0,$D162+$E162)</f>
        <v/>
      </c>
      <c r="G162" s="8" t="n">
        <v>2017.8</v>
      </c>
      <c r="H162" s="8">
        <f>IF($A162="",0,$F162-$G162)</f>
        <v/>
      </c>
      <c r="I162">
        <f>IF($A162="","",IF($H162=0,"Paid",IF($G162=0,"Unpaid","Partial")))</f>
        <v/>
      </c>
    </row>
    <row r="163">
      <c r="A163" t="inlineStr">
        <is>
          <t>INV-2026-0162</t>
        </is>
      </c>
      <c r="B163" s="7" t="n">
        <v>46261</v>
      </c>
      <c r="C163" t="inlineStr">
        <is>
          <t>Station Food Plaza</t>
        </is>
      </c>
      <c r="D163" s="8">
        <f>IF($A163="",0,ROUND(SUMIFS(InvoiceLines!$G$2:$G$4001,InvoiceLines!$A$2:$A$4001,$A163),2))</f>
        <v/>
      </c>
      <c r="E163" s="8">
        <f>IF($A163="",0,ROUND($D163*18%,2))</f>
        <v/>
      </c>
      <c r="F163" s="8">
        <f>IF($A163="",0,$D163+$E163)</f>
        <v/>
      </c>
      <c r="G163" s="8" t="n">
        <v>752.84</v>
      </c>
      <c r="H163" s="8">
        <f>IF($A163="",0,$F163-$G163)</f>
        <v/>
      </c>
      <c r="I163">
        <f>IF($A163="","",IF($H163=0,"Paid",IF($G163=0,"Unpaid","Partial")))</f>
        <v/>
      </c>
    </row>
    <row r="164">
      <c r="A164" t="inlineStr">
        <is>
          <t>INV-2026-0163</t>
        </is>
      </c>
      <c r="B164" s="7" t="n">
        <v>46262</v>
      </c>
      <c r="C164" t="inlineStr">
        <is>
          <t>OfficeHub Cowork</t>
        </is>
      </c>
      <c r="D164" s="8">
        <f>IF($A164="",0,ROUND(SUMIFS(InvoiceLines!$G$2:$G$4001,InvoiceLines!$A$2:$A$4001,$A164),2))</f>
        <v/>
      </c>
      <c r="E164" s="8">
        <f>IF($A164="",0,ROUND($D164*18%,2))</f>
        <v/>
      </c>
      <c r="F164" s="8">
        <f>IF($A164="",0,$D164+$E164)</f>
        <v/>
      </c>
      <c r="G164" s="8" t="n">
        <v>4932.4</v>
      </c>
      <c r="H164" s="8">
        <f>IF($A164="",0,$F164-$G164)</f>
        <v/>
      </c>
      <c r="I164">
        <f>IF($A164="","",IF($H164=0,"Paid",IF($G164=0,"Unpaid","Partial")))</f>
        <v/>
      </c>
    </row>
    <row r="165">
      <c r="A165" t="inlineStr">
        <is>
          <t>INV-2026-0164</t>
        </is>
      </c>
      <c r="B165" s="7" t="n">
        <v>46263</v>
      </c>
      <c r="C165" t="inlineStr">
        <is>
          <t>City Gym</t>
        </is>
      </c>
      <c r="D165" s="8">
        <f>IF($A165="",0,ROUND(SUMIFS(InvoiceLines!$G$2:$G$4001,InvoiceLines!$A$2:$A$4001,$A165),2))</f>
        <v/>
      </c>
      <c r="E165" s="8">
        <f>IF($A165="",0,ROUND($D165*18%,2))</f>
        <v/>
      </c>
      <c r="F165" s="8">
        <f>IF($A165="",0,$D165+$E165)</f>
        <v/>
      </c>
      <c r="G165" s="8" t="n">
        <v>10237.21</v>
      </c>
      <c r="H165" s="8">
        <f>IF($A165="",0,$F165-$G165)</f>
        <v/>
      </c>
      <c r="I165">
        <f>IF($A165="","",IF($H165=0,"Paid",IF($G165=0,"Unpaid","Partial")))</f>
        <v/>
      </c>
    </row>
    <row r="166">
      <c r="A166" t="inlineStr">
        <is>
          <t>INV-2026-0165</t>
        </is>
      </c>
      <c r="B166" s="7" t="n">
        <v>46264</v>
      </c>
      <c r="C166" t="inlineStr">
        <is>
          <t>Ganga Boys Hostel</t>
        </is>
      </c>
      <c r="D166" s="8">
        <f>IF($A166="",0,ROUND(SUMIFS(InvoiceLines!$G$2:$G$4001,InvoiceLines!$A$2:$A$4001,$A166),2))</f>
        <v/>
      </c>
      <c r="E166" s="8">
        <f>IF($A166="",0,ROUND($D166*18%,2))</f>
        <v/>
      </c>
      <c r="F166" s="8">
        <f>IF($A166="",0,$D166+$E166)</f>
        <v/>
      </c>
      <c r="G166" s="8" t="n">
        <v>9345.6</v>
      </c>
      <c r="H166" s="8">
        <f>IF($A166="",0,$F166-$G166)</f>
        <v/>
      </c>
      <c r="I166">
        <f>IF($A166="","",IF($H166=0,"Paid",IF($G166=0,"Unpaid","Partial")))</f>
        <v/>
      </c>
    </row>
    <row r="167">
      <c r="A167" t="inlineStr">
        <is>
          <t>INV-2026-0166</t>
        </is>
      </c>
      <c r="B167" s="7" t="n">
        <v>46265</v>
      </c>
      <c r="C167" t="inlineStr">
        <is>
          <t>TechPark Canteen</t>
        </is>
      </c>
      <c r="D167" s="8">
        <f>IF($A167="",0,ROUND(SUMIFS(InvoiceLines!$G$2:$G$4001,InvoiceLines!$A$2:$A$4001,$A167),2))</f>
        <v/>
      </c>
      <c r="E167" s="8">
        <f>IF($A167="",0,ROUND($D167*18%,2))</f>
        <v/>
      </c>
      <c r="F167" s="8">
        <f>IF($A167="",0,$D167+$E167)</f>
        <v/>
      </c>
      <c r="G167" s="8" t="n">
        <v>6230.4</v>
      </c>
      <c r="H167" s="8">
        <f>IF($A167="",0,$F167-$G167)</f>
        <v/>
      </c>
      <c r="I167">
        <f>IF($A167="","",IF($H167=0,"Paid",IF($G167=0,"Unpaid","Partial")))</f>
        <v/>
      </c>
    </row>
    <row r="168">
      <c r="A168" t="inlineStr">
        <is>
          <t>INV-2026-0167</t>
        </is>
      </c>
      <c r="B168" s="7" t="n">
        <v>46266</v>
      </c>
      <c r="C168" t="inlineStr">
        <is>
          <t>FreshMart Store</t>
        </is>
      </c>
      <c r="D168" s="8">
        <f>IF($A168="",0,ROUND(SUMIFS(InvoiceLines!$G$2:$G$4001,InvoiceLines!$A$2:$A$4001,$A168),2))</f>
        <v/>
      </c>
      <c r="E168" s="8">
        <f>IF($A168="",0,ROUND($D168*18%,2))</f>
        <v/>
      </c>
      <c r="F168" s="8">
        <f>IF($A168="",0,$D168+$E168)</f>
        <v/>
      </c>
      <c r="G168" s="8" t="n">
        <v>584.1</v>
      </c>
      <c r="H168" s="8">
        <f>IF($A168="",0,$F168-$G168)</f>
        <v/>
      </c>
      <c r="I168">
        <f>IF($A168="","",IF($H168=0,"Paid",IF($G168=0,"Unpaid","Partial")))</f>
        <v/>
      </c>
    </row>
    <row r="169">
      <c r="A169" t="inlineStr">
        <is>
          <t>INV-2026-0168</t>
        </is>
      </c>
      <c r="B169" s="7" t="n">
        <v>46266</v>
      </c>
      <c r="C169" t="inlineStr">
        <is>
          <t>City Gym</t>
        </is>
      </c>
      <c r="D169" s="8">
        <f>IF($A169="",0,ROUND(SUMIFS(InvoiceLines!$G$2:$G$4001,InvoiceLines!$A$2:$A$4001,$A169),2))</f>
        <v/>
      </c>
      <c r="E169" s="8">
        <f>IF($A169="",0,ROUND($D169*18%,2))</f>
        <v/>
      </c>
      <c r="F169" s="8">
        <f>IF($A169="",0,$D169+$E169)</f>
        <v/>
      </c>
      <c r="G169" s="8" t="n">
        <v>3398.4</v>
      </c>
      <c r="H169" s="8">
        <f>IF($A169="",0,$F169-$G169)</f>
        <v/>
      </c>
      <c r="I169">
        <f>IF($A169="","",IF($H169=0,"Paid",IF($G169=0,"Unpaid","Partial")))</f>
        <v/>
      </c>
    </row>
    <row r="170">
      <c r="A170" t="inlineStr">
        <is>
          <t>INV-2026-0169</t>
        </is>
      </c>
      <c r="B170" s="7" t="n">
        <v>46267</v>
      </c>
      <c r="C170" t="inlineStr">
        <is>
          <t>City Gym</t>
        </is>
      </c>
      <c r="D170" s="8">
        <f>IF($A170="",0,ROUND(SUMIFS(InvoiceLines!$G$2:$G$4001,InvoiceLines!$A$2:$A$4001,$A170),2))</f>
        <v/>
      </c>
      <c r="E170" s="8">
        <f>IF($A170="",0,ROUND($D170*18%,2))</f>
        <v/>
      </c>
      <c r="F170" s="8">
        <f>IF($A170="",0,$D170+$E170)</f>
        <v/>
      </c>
      <c r="G170" s="8" t="n">
        <v>16425.6</v>
      </c>
      <c r="H170" s="8">
        <f>IF($A170="",0,$F170-$G170)</f>
        <v/>
      </c>
      <c r="I170">
        <f>IF($A170="","",IF($H170=0,"Paid",IF($G170=0,"Unpaid","Partial")))</f>
        <v/>
      </c>
    </row>
    <row r="171">
      <c r="A171" t="inlineStr">
        <is>
          <t>INV-2026-0170</t>
        </is>
      </c>
      <c r="B171" s="7" t="n">
        <v>46267</v>
      </c>
      <c r="C171" t="inlineStr">
        <is>
          <t>OfficeHub Cowork</t>
        </is>
      </c>
      <c r="D171" s="8">
        <f>IF($A171="",0,ROUND(SUMIFS(InvoiceLines!$G$2:$G$4001,InvoiceLines!$A$2:$A$4001,$A171),2))</f>
        <v/>
      </c>
      <c r="E171" s="8">
        <f>IF($A171="",0,ROUND($D171*18%,2))</f>
        <v/>
      </c>
      <c r="F171" s="8">
        <f>IF($A171="",0,$D171+$E171)</f>
        <v/>
      </c>
      <c r="G171" s="8" t="n">
        <v>9558</v>
      </c>
      <c r="H171" s="8">
        <f>IF($A171="",0,$F171-$G171)</f>
        <v/>
      </c>
      <c r="I171">
        <f>IF($A171="","",IF($H171=0,"Paid",IF($G171=0,"Unpaid","Partial")))</f>
        <v/>
      </c>
    </row>
    <row r="172">
      <c r="A172" t="inlineStr">
        <is>
          <t>INV-2026-0171</t>
        </is>
      </c>
      <c r="B172" s="7" t="n">
        <v>46269</v>
      </c>
      <c r="C172" t="inlineStr">
        <is>
          <t>Sharma Tea Stall</t>
        </is>
      </c>
      <c r="D172" s="8">
        <f>IF($A172="",0,ROUND(SUMIFS(InvoiceLines!$G$2:$G$4001,InvoiceLines!$A$2:$A$4001,$A172),2))</f>
        <v/>
      </c>
      <c r="E172" s="8">
        <f>IF($A172="",0,ROUND($D172*18%,2))</f>
        <v/>
      </c>
      <c r="F172" s="8">
        <f>IF($A172="",0,$D172+$E172)</f>
        <v/>
      </c>
      <c r="G172" s="8" t="n">
        <v>4814.4</v>
      </c>
      <c r="H172" s="8">
        <f>IF($A172="",0,$F172-$G172)</f>
        <v/>
      </c>
      <c r="I172">
        <f>IF($A172="","",IF($H172=0,"Paid",IF($G172=0,"Unpaid","Partial")))</f>
        <v/>
      </c>
    </row>
    <row r="173">
      <c r="A173" t="inlineStr">
        <is>
          <t>INV-2026-0172</t>
        </is>
      </c>
      <c r="B173" s="7" t="n">
        <v>46270</v>
      </c>
      <c r="C173" t="inlineStr">
        <is>
          <t>Cafe Brewlane</t>
        </is>
      </c>
      <c r="D173" s="8">
        <f>IF($A173="",0,ROUND(SUMIFS(InvoiceLines!$G$2:$G$4001,InvoiceLines!$A$2:$A$4001,$A173),2))</f>
        <v/>
      </c>
      <c r="E173" s="8">
        <f>IF($A173="",0,ROUND($D173*18%,2))</f>
        <v/>
      </c>
      <c r="F173" s="8">
        <f>IF($A173="",0,$D173+$E173)</f>
        <v/>
      </c>
      <c r="G173" s="8" t="n">
        <v>7929.6</v>
      </c>
      <c r="H173" s="8">
        <f>IF($A173="",0,$F173-$G173)</f>
        <v/>
      </c>
      <c r="I173">
        <f>IF($A173="","",IF($H173=0,"Paid",IF($G173=0,"Unpaid","Partial")))</f>
        <v/>
      </c>
    </row>
    <row r="174">
      <c r="A174" t="inlineStr">
        <is>
          <t>INV-2026-0173</t>
        </is>
      </c>
      <c r="B174" s="7" t="n">
        <v>46274</v>
      </c>
      <c r="C174" t="inlineStr">
        <is>
          <t>Sharma Tea Stall</t>
        </is>
      </c>
      <c r="D174" s="8">
        <f>IF($A174="",0,ROUND(SUMIFS(InvoiceLines!$G$2:$G$4001,InvoiceLines!$A$2:$A$4001,$A174),2))</f>
        <v/>
      </c>
      <c r="E174" s="8">
        <f>IF($A174="",0,ROUND($D174*18%,2))</f>
        <v/>
      </c>
      <c r="F174" s="8">
        <f>IF($A174="",0,$D174+$E174)</f>
        <v/>
      </c>
      <c r="G174" s="8" t="n">
        <v>2572.87</v>
      </c>
      <c r="H174" s="8">
        <f>IF($A174="",0,$F174-$G174)</f>
        <v/>
      </c>
      <c r="I174">
        <f>IF($A174="","",IF($H174=0,"Paid",IF($G174=0,"Unpaid","Partial")))</f>
        <v/>
      </c>
    </row>
    <row r="175">
      <c r="A175" t="inlineStr">
        <is>
          <t>INV-2026-0174</t>
        </is>
      </c>
      <c r="B175" s="7" t="n">
        <v>46274</v>
      </c>
      <c r="C175" t="inlineStr">
        <is>
          <t>Sharma Tea Stall</t>
        </is>
      </c>
      <c r="D175" s="8">
        <f>IF($A175="",0,ROUND(SUMIFS(InvoiceLines!$G$2:$G$4001,InvoiceLines!$A$2:$A$4001,$A175),2))</f>
        <v/>
      </c>
      <c r="E175" s="8">
        <f>IF($A175="",0,ROUND($D175*18%,2))</f>
        <v/>
      </c>
      <c r="F175" s="8">
        <f>IF($A175="",0,$D175+$E175)</f>
        <v/>
      </c>
      <c r="G175" s="8" t="n">
        <v>8779.200000000001</v>
      </c>
      <c r="H175" s="8">
        <f>IF($A175="",0,$F175-$G175)</f>
        <v/>
      </c>
      <c r="I175">
        <f>IF($A175="","",IF($H175=0,"Paid",IF($G175=0,"Unpaid","Partial")))</f>
        <v/>
      </c>
    </row>
    <row r="176">
      <c r="A176" t="inlineStr">
        <is>
          <t>INV-2026-0175</t>
        </is>
      </c>
      <c r="B176" s="7" t="n">
        <v>46275</v>
      </c>
      <c r="C176" t="inlineStr">
        <is>
          <t>Ganga Boys Hostel</t>
        </is>
      </c>
      <c r="D176" s="8">
        <f>IF($A176="",0,ROUND(SUMIFS(InvoiceLines!$G$2:$G$4001,InvoiceLines!$A$2:$A$4001,$A176),2))</f>
        <v/>
      </c>
      <c r="E176" s="8">
        <f>IF($A176="",0,ROUND($D176*18%,2))</f>
        <v/>
      </c>
      <c r="F176" s="8">
        <f>IF($A176="",0,$D176+$E176)</f>
        <v/>
      </c>
      <c r="G176" s="8" t="n">
        <v>12673.2</v>
      </c>
      <c r="H176" s="8">
        <f>IF($A176="",0,$F176-$G176)</f>
        <v/>
      </c>
      <c r="I176">
        <f>IF($A176="","",IF($H176=0,"Paid",IF($G176=0,"Unpaid","Partial")))</f>
        <v/>
      </c>
    </row>
    <row r="177">
      <c r="A177" t="inlineStr">
        <is>
          <t>INV-2026-0176</t>
        </is>
      </c>
      <c r="B177" s="7" t="n">
        <v>46275</v>
      </c>
      <c r="C177" t="inlineStr">
        <is>
          <t>Hotel Rajwada</t>
        </is>
      </c>
      <c r="D177" s="8">
        <f>IF($A177="",0,ROUND(SUMIFS(InvoiceLines!$G$2:$G$4001,InvoiceLines!$A$2:$A$4001,$A177),2))</f>
        <v/>
      </c>
      <c r="E177" s="8">
        <f>IF($A177="",0,ROUND($D177*18%,2))</f>
        <v/>
      </c>
      <c r="F177" s="8">
        <f>IF($A177="",0,$D177+$E177)</f>
        <v/>
      </c>
      <c r="G177" s="8" t="n">
        <v>2265.6</v>
      </c>
      <c r="H177" s="8">
        <f>IF($A177="",0,$F177-$G177)</f>
        <v/>
      </c>
      <c r="I177">
        <f>IF($A177="","",IF($H177=0,"Paid",IF($G177=0,"Unpaid","Partial")))</f>
        <v/>
      </c>
    </row>
    <row r="178">
      <c r="A178" t="inlineStr">
        <is>
          <t>INV-2026-0177</t>
        </is>
      </c>
      <c r="B178" s="7" t="n">
        <v>46275</v>
      </c>
      <c r="C178" t="inlineStr">
        <is>
          <t>Station Food Plaza</t>
        </is>
      </c>
      <c r="D178" s="8">
        <f>IF($A178="",0,ROUND(SUMIFS(InvoiceLines!$G$2:$G$4001,InvoiceLines!$A$2:$A$4001,$A178),2))</f>
        <v/>
      </c>
      <c r="E178" s="8">
        <f>IF($A178="",0,ROUND($D178*18%,2))</f>
        <v/>
      </c>
      <c r="F178" s="8">
        <f>IF($A178="",0,$D178+$E178)</f>
        <v/>
      </c>
      <c r="G178" s="8" t="n">
        <v>6560.8</v>
      </c>
      <c r="H178" s="8">
        <f>IF($A178="",0,$F178-$G178)</f>
        <v/>
      </c>
      <c r="I178">
        <f>IF($A178="","",IF($H178=0,"Paid",IF($G178=0,"Unpaid","Partial")))</f>
        <v/>
      </c>
    </row>
    <row r="179">
      <c r="A179" t="inlineStr">
        <is>
          <t>INV-2026-0178</t>
        </is>
      </c>
      <c r="B179" s="7" t="n">
        <v>46276</v>
      </c>
      <c r="C179" t="inlineStr">
        <is>
          <t>TechPark Canteen</t>
        </is>
      </c>
      <c r="D179" s="8">
        <f>IF($A179="",0,ROUND(SUMIFS(InvoiceLines!$G$2:$G$4001,InvoiceLines!$A$2:$A$4001,$A179),2))</f>
        <v/>
      </c>
      <c r="E179" s="8">
        <f>IF($A179="",0,ROUND($D179*18%,2))</f>
        <v/>
      </c>
      <c r="F179" s="8">
        <f>IF($A179="",0,$D179+$E179)</f>
        <v/>
      </c>
      <c r="G179" s="8" t="n">
        <v>1557.6</v>
      </c>
      <c r="H179" s="8">
        <f>IF($A179="",0,$F179-$G179)</f>
        <v/>
      </c>
      <c r="I179">
        <f>IF($A179="","",IF($H179=0,"Paid",IF($G179=0,"Unpaid","Partial")))</f>
        <v/>
      </c>
    </row>
    <row r="180">
      <c r="A180" t="inlineStr">
        <is>
          <t>INV-2026-0179</t>
        </is>
      </c>
      <c r="B180" s="7" t="n">
        <v>46277</v>
      </c>
      <c r="C180" t="inlineStr">
        <is>
          <t>FreshMart Store</t>
        </is>
      </c>
      <c r="D180" s="8">
        <f>IF($A180="",0,ROUND(SUMIFS(InvoiceLines!$G$2:$G$4001,InvoiceLines!$A$2:$A$4001,$A180),2))</f>
        <v/>
      </c>
      <c r="E180" s="8">
        <f>IF($A180="",0,ROUND($D180*18%,2))</f>
        <v/>
      </c>
      <c r="F180" s="8">
        <f>IF($A180="",0,$D180+$E180)</f>
        <v/>
      </c>
      <c r="G180" s="8" t="n">
        <v>12885.6</v>
      </c>
      <c r="H180" s="8">
        <f>IF($A180="",0,$F180-$G180)</f>
        <v/>
      </c>
      <c r="I180">
        <f>IF($A180="","",IF($H180=0,"Paid",IF($G180=0,"Unpaid","Partial")))</f>
        <v/>
      </c>
    </row>
    <row r="181">
      <c r="A181" t="inlineStr">
        <is>
          <t>INV-2026-0180</t>
        </is>
      </c>
      <c r="B181" s="7" t="n">
        <v>46279</v>
      </c>
      <c r="C181" t="inlineStr">
        <is>
          <t>TechPark Canteen</t>
        </is>
      </c>
      <c r="D181" s="8">
        <f>IF($A181="",0,ROUND(SUMIFS(InvoiceLines!$G$2:$G$4001,InvoiceLines!$A$2:$A$4001,$A181),2))</f>
        <v/>
      </c>
      <c r="E181" s="8">
        <f>IF($A181="",0,ROUND($D181*18%,2))</f>
        <v/>
      </c>
      <c r="F181" s="8">
        <f>IF($A181="",0,$D181+$E181)</f>
        <v/>
      </c>
      <c r="G181" s="8" t="n">
        <v>9628.799999999999</v>
      </c>
      <c r="H181" s="8">
        <f>IF($A181="",0,$F181-$G181)</f>
        <v/>
      </c>
      <c r="I181">
        <f>IF($A181="","",IF($H181=0,"Paid",IF($G181=0,"Unpaid","Partial")))</f>
        <v/>
      </c>
    </row>
    <row r="182">
      <c r="A182" t="inlineStr">
        <is>
          <t>INV-2026-0181</t>
        </is>
      </c>
      <c r="B182" s="7" t="n">
        <v>46280</v>
      </c>
      <c r="C182" t="inlineStr">
        <is>
          <t>FreshMart Store</t>
        </is>
      </c>
      <c r="D182" s="8">
        <f>IF($A182="",0,ROUND(SUMIFS(InvoiceLines!$G$2:$G$4001,InvoiceLines!$A$2:$A$4001,$A182),2))</f>
        <v/>
      </c>
      <c r="E182" s="8">
        <f>IF($A182="",0,ROUND($D182*18%,2))</f>
        <v/>
      </c>
      <c r="F182" s="8">
        <f>IF($A182="",0,$D182+$E182)</f>
        <v/>
      </c>
      <c r="G182" s="8" t="n">
        <v>13083.84</v>
      </c>
      <c r="H182" s="8">
        <f>IF($A182="",0,$F182-$G182)</f>
        <v/>
      </c>
      <c r="I182">
        <f>IF($A182="","",IF($H182=0,"Paid",IF($G182=0,"Unpaid","Partial")))</f>
        <v/>
      </c>
    </row>
    <row r="183">
      <c r="A183" t="inlineStr">
        <is>
          <t>INV-2026-0182</t>
        </is>
      </c>
      <c r="B183" s="7" t="n">
        <v>46282</v>
      </c>
      <c r="C183" t="inlineStr">
        <is>
          <t>Cafe Brewlane</t>
        </is>
      </c>
      <c r="D183" s="8">
        <f>IF($A183="",0,ROUND(SUMIFS(InvoiceLines!$G$2:$G$4001,InvoiceLines!$A$2:$A$4001,$A183),2))</f>
        <v/>
      </c>
      <c r="E183" s="8">
        <f>IF($A183="",0,ROUND($D183*18%,2))</f>
        <v/>
      </c>
      <c r="F183" s="8">
        <f>IF($A183="",0,$D183+$E183)</f>
        <v/>
      </c>
      <c r="G183" s="8" t="n">
        <v>15576</v>
      </c>
      <c r="H183" s="8">
        <f>IF($A183="",0,$F183-$G183)</f>
        <v/>
      </c>
      <c r="I183">
        <f>IF($A183="","",IF($H183=0,"Paid",IF($G183=0,"Unpaid","Partial")))</f>
        <v/>
      </c>
    </row>
    <row r="184">
      <c r="A184" t="inlineStr">
        <is>
          <t>INV-2026-0183</t>
        </is>
      </c>
      <c r="B184" s="7" t="n">
        <v>46282</v>
      </c>
      <c r="C184" t="inlineStr">
        <is>
          <t>Hotel Rajwada</t>
        </is>
      </c>
      <c r="D184" s="8">
        <f>IF($A184="",0,ROUND(SUMIFS(InvoiceLines!$G$2:$G$4001,InvoiceLines!$A$2:$A$4001,$A184),2))</f>
        <v/>
      </c>
      <c r="E184" s="8">
        <f>IF($A184="",0,ROUND($D184*18%,2))</f>
        <v/>
      </c>
      <c r="F184" s="8">
        <f>IF($A184="",0,$D184+$E184)</f>
        <v/>
      </c>
      <c r="G184" s="8" t="n">
        <v>15859.2</v>
      </c>
      <c r="H184" s="8">
        <f>IF($A184="",0,$F184-$G184)</f>
        <v/>
      </c>
      <c r="I184">
        <f>IF($A184="","",IF($H184=0,"Paid",IF($G184=0,"Unpaid","Partial")))</f>
        <v/>
      </c>
    </row>
    <row r="185">
      <c r="A185" t="inlineStr">
        <is>
          <t>INV-2026-0184</t>
        </is>
      </c>
      <c r="B185" s="7" t="n">
        <v>46283</v>
      </c>
      <c r="C185" t="inlineStr">
        <is>
          <t>Station Food Plaza</t>
        </is>
      </c>
      <c r="D185" s="8">
        <f>IF($A185="",0,ROUND(SUMIFS(InvoiceLines!$G$2:$G$4001,InvoiceLines!$A$2:$A$4001,$A185),2))</f>
        <v/>
      </c>
      <c r="E185" s="8">
        <f>IF($A185="",0,ROUND($D185*18%,2))</f>
        <v/>
      </c>
      <c r="F185" s="8">
        <f>IF($A185="",0,$D185+$E185)</f>
        <v/>
      </c>
      <c r="G185" s="8" t="n">
        <v>7528.4</v>
      </c>
      <c r="H185" s="8">
        <f>IF($A185="",0,$F185-$G185)</f>
        <v/>
      </c>
      <c r="I185">
        <f>IF($A185="","",IF($H185=0,"Paid",IF($G185=0,"Unpaid","Partial")))</f>
        <v/>
      </c>
    </row>
    <row r="186">
      <c r="A186" t="inlineStr">
        <is>
          <t>INV-2026-0185</t>
        </is>
      </c>
      <c r="B186" s="7" t="n">
        <v>46283</v>
      </c>
      <c r="C186" t="inlineStr">
        <is>
          <t>FreshMart Store</t>
        </is>
      </c>
      <c r="D186" s="8">
        <f>IF($A186="",0,ROUND(SUMIFS(InvoiceLines!$G$2:$G$4001,InvoiceLines!$A$2:$A$4001,$A186),2))</f>
        <v/>
      </c>
      <c r="E186" s="8">
        <f>IF($A186="",0,ROUND($D186*18%,2))</f>
        <v/>
      </c>
      <c r="F186" s="8">
        <f>IF($A186="",0,$D186+$E186)</f>
        <v/>
      </c>
      <c r="G186" s="8" t="n">
        <v>8566.799999999999</v>
      </c>
      <c r="H186" s="8">
        <f>IF($A186="",0,$F186-$G186)</f>
        <v/>
      </c>
      <c r="I186">
        <f>IF($A186="","",IF($H186=0,"Paid",IF($G186=0,"Unpaid","Partial")))</f>
        <v/>
      </c>
    </row>
    <row r="187">
      <c r="A187" t="inlineStr">
        <is>
          <t>INV-2026-0186</t>
        </is>
      </c>
      <c r="B187" s="7" t="n">
        <v>46284</v>
      </c>
      <c r="C187" t="inlineStr">
        <is>
          <t>OfficeHub Cowork</t>
        </is>
      </c>
      <c r="D187" s="8">
        <f>IF($A187="",0,ROUND(SUMIFS(InvoiceLines!$G$2:$G$4001,InvoiceLines!$A$2:$A$4001,$A187),2))</f>
        <v/>
      </c>
      <c r="E187" s="8">
        <f>IF($A187="",0,ROUND($D187*18%,2))</f>
        <v/>
      </c>
      <c r="F187" s="8">
        <f>IF($A187="",0,$D187+$E187)</f>
        <v/>
      </c>
      <c r="G187" s="8" t="n">
        <v>4248</v>
      </c>
      <c r="H187" s="8">
        <f>IF($A187="",0,$F187-$G187)</f>
        <v/>
      </c>
      <c r="I187">
        <f>IF($A187="","",IF($H187=0,"Paid",IF($G187=0,"Unpaid","Partial")))</f>
        <v/>
      </c>
    </row>
    <row r="188">
      <c r="A188" t="inlineStr">
        <is>
          <t>INV-2026-0187</t>
        </is>
      </c>
      <c r="B188" s="7" t="n">
        <v>46285</v>
      </c>
      <c r="C188" t="inlineStr">
        <is>
          <t>MediCare Clinic</t>
        </is>
      </c>
      <c r="D188" s="8">
        <f>IF($A188="",0,ROUND(SUMIFS(InvoiceLines!$G$2:$G$4001,InvoiceLines!$A$2:$A$4001,$A188),2))</f>
        <v/>
      </c>
      <c r="E188" s="8">
        <f>IF($A188="",0,ROUND($D188*18%,2))</f>
        <v/>
      </c>
      <c r="F188" s="8">
        <f>IF($A188="",0,$D188+$E188)</f>
        <v/>
      </c>
      <c r="G188" s="8" t="n">
        <v>7754.96</v>
      </c>
      <c r="H188" s="8">
        <f>IF($A188="",0,$F188-$G188)</f>
        <v/>
      </c>
      <c r="I188">
        <f>IF($A188="","",IF($H188=0,"Paid",IF($G188=0,"Unpaid","Partial")))</f>
        <v/>
      </c>
    </row>
    <row r="189">
      <c r="A189" t="inlineStr">
        <is>
          <t>INV-2026-0188</t>
        </is>
      </c>
      <c r="B189" s="7" t="n">
        <v>46286</v>
      </c>
      <c r="C189" t="inlineStr">
        <is>
          <t>Bright School Canteen</t>
        </is>
      </c>
      <c r="D189" s="8">
        <f>IF($A189="",0,ROUND(SUMIFS(InvoiceLines!$G$2:$G$4001,InvoiceLines!$A$2:$A$4001,$A189),2))</f>
        <v/>
      </c>
      <c r="E189" s="8">
        <f>IF($A189="",0,ROUND($D189*18%,2))</f>
        <v/>
      </c>
      <c r="F189" s="8">
        <f>IF($A189="",0,$D189+$E189)</f>
        <v/>
      </c>
      <c r="G189" s="8" t="n">
        <v>2336.4</v>
      </c>
      <c r="H189" s="8">
        <f>IF($A189="",0,$F189-$G189)</f>
        <v/>
      </c>
      <c r="I189">
        <f>IF($A189="","",IF($H189=0,"Paid",IF($G189=0,"Unpaid","Partial")))</f>
        <v/>
      </c>
    </row>
    <row r="190">
      <c r="A190" t="inlineStr">
        <is>
          <t>INV-2026-0189</t>
        </is>
      </c>
      <c r="B190" s="7" t="n">
        <v>46287</v>
      </c>
      <c r="C190" t="inlineStr">
        <is>
          <t>TechPark Canteen</t>
        </is>
      </c>
      <c r="D190" s="8">
        <f>IF($A190="",0,ROUND(SUMIFS(InvoiceLines!$G$2:$G$4001,InvoiceLines!$A$2:$A$4001,$A190),2))</f>
        <v/>
      </c>
      <c r="E190" s="8">
        <f>IF($A190="",0,ROUND($D190*18%,2))</f>
        <v/>
      </c>
      <c r="F190" s="8">
        <f>IF($A190="",0,$D190+$E190)</f>
        <v/>
      </c>
      <c r="G190" s="8" t="n">
        <v>0</v>
      </c>
      <c r="H190" s="8">
        <f>IF($A190="",0,$F190-$G190)</f>
        <v/>
      </c>
      <c r="I190">
        <f>IF($A190="","",IF($H190=0,"Paid",IF($G190=0,"Unpaid","Partial")))</f>
        <v/>
      </c>
    </row>
    <row r="191">
      <c r="A191" t="inlineStr">
        <is>
          <t>INV-2026-0190</t>
        </is>
      </c>
      <c r="B191" s="7" t="n">
        <v>46287</v>
      </c>
      <c r="C191" t="inlineStr">
        <is>
          <t>OfficeHub Cowork</t>
        </is>
      </c>
      <c r="D191" s="8">
        <f>IF($A191="",0,ROUND(SUMIFS(InvoiceLines!$G$2:$G$4001,InvoiceLines!$A$2:$A$4001,$A191),2))</f>
        <v/>
      </c>
      <c r="E191" s="8">
        <f>IF($A191="",0,ROUND($D191*18%,2))</f>
        <v/>
      </c>
      <c r="F191" s="8">
        <f>IF($A191="",0,$D191+$E191)</f>
        <v/>
      </c>
      <c r="G191" s="8" t="n">
        <v>12230.7</v>
      </c>
      <c r="H191" s="8">
        <f>IF($A191="",0,$F191-$G191)</f>
        <v/>
      </c>
      <c r="I191">
        <f>IF($A191="","",IF($H191=0,"Paid",IF($G191=0,"Unpaid","Partial")))</f>
        <v/>
      </c>
    </row>
    <row r="192">
      <c r="A192" t="inlineStr">
        <is>
          <t>INV-2026-0191</t>
        </is>
      </c>
      <c r="B192" s="7" t="n">
        <v>46287</v>
      </c>
      <c r="C192" t="inlineStr">
        <is>
          <t>MediCare Clinic</t>
        </is>
      </c>
      <c r="D192" s="8">
        <f>IF($A192="",0,ROUND(SUMIFS(InvoiceLines!$G$2:$G$4001,InvoiceLines!$A$2:$A$4001,$A192),2))</f>
        <v/>
      </c>
      <c r="E192" s="8">
        <f>IF($A192="",0,ROUND($D192*18%,2))</f>
        <v/>
      </c>
      <c r="F192" s="8">
        <f>IF($A192="",0,$D192+$E192)</f>
        <v/>
      </c>
      <c r="G192" s="8" t="n">
        <v>8614</v>
      </c>
      <c r="H192" s="8">
        <f>IF($A192="",0,$F192-$G192)</f>
        <v/>
      </c>
      <c r="I192">
        <f>IF($A192="","",IF($H192=0,"Paid",IF($G192=0,"Unpaid","Partial")))</f>
        <v/>
      </c>
    </row>
    <row r="193">
      <c r="A193" t="inlineStr">
        <is>
          <t>INV-2026-0192</t>
        </is>
      </c>
      <c r="B193" s="7" t="n">
        <v>46288</v>
      </c>
      <c r="C193" t="inlineStr">
        <is>
          <t>Ganga Boys Hostel</t>
        </is>
      </c>
      <c r="D193" s="8">
        <f>IF($A193="",0,ROUND(SUMIFS(InvoiceLines!$G$2:$G$4001,InvoiceLines!$A$2:$A$4001,$A193),2))</f>
        <v/>
      </c>
      <c r="E193" s="8">
        <f>IF($A193="",0,ROUND($D193*18%,2))</f>
        <v/>
      </c>
      <c r="F193" s="8">
        <f>IF($A193="",0,$D193+$E193)</f>
        <v/>
      </c>
      <c r="G193" s="8" t="n">
        <v>23316.8</v>
      </c>
      <c r="H193" s="8">
        <f>IF($A193="",0,$F193-$G193)</f>
        <v/>
      </c>
      <c r="I193">
        <f>IF($A193="","",IF($H193=0,"Paid",IF($G193=0,"Unpaid","Partial")))</f>
        <v/>
      </c>
    </row>
    <row r="194">
      <c r="A194" t="inlineStr">
        <is>
          <t>INV-2026-0193</t>
        </is>
      </c>
      <c r="B194" s="7" t="n">
        <v>46288</v>
      </c>
      <c r="C194" t="inlineStr">
        <is>
          <t>FreshMart Store</t>
        </is>
      </c>
      <c r="D194" s="8">
        <f>IF($A194="",0,ROUND(SUMIFS(InvoiceLines!$G$2:$G$4001,InvoiceLines!$A$2:$A$4001,$A194),2))</f>
        <v/>
      </c>
      <c r="E194" s="8">
        <f>IF($A194="",0,ROUND($D194*18%,2))</f>
        <v/>
      </c>
      <c r="F194" s="8">
        <f>IF($A194="",0,$D194+$E194)</f>
        <v/>
      </c>
      <c r="G194" s="8" t="n">
        <v>7127.2</v>
      </c>
      <c r="H194" s="8">
        <f>IF($A194="",0,$F194-$G194)</f>
        <v/>
      </c>
      <c r="I194">
        <f>IF($A194="","",IF($H194=0,"Paid",IF($G194=0,"Unpaid","Partial")))</f>
        <v/>
      </c>
    </row>
    <row r="195">
      <c r="A195" t="inlineStr">
        <is>
          <t>INV-2026-0194</t>
        </is>
      </c>
      <c r="B195" s="7" t="n">
        <v>46288</v>
      </c>
      <c r="C195" t="inlineStr">
        <is>
          <t>Station Food Plaza</t>
        </is>
      </c>
      <c r="D195" s="8">
        <f>IF($A195="",0,ROUND(SUMIFS(InvoiceLines!$G$2:$G$4001,InvoiceLines!$A$2:$A$4001,$A195),2))</f>
        <v/>
      </c>
      <c r="E195" s="8">
        <f>IF($A195="",0,ROUND($D195*18%,2))</f>
        <v/>
      </c>
      <c r="F195" s="8">
        <f>IF($A195="",0,$D195+$E195)</f>
        <v/>
      </c>
      <c r="G195" s="8" t="n">
        <v>9221.700000000001</v>
      </c>
      <c r="H195" s="8">
        <f>IF($A195="",0,$F195-$G195)</f>
        <v/>
      </c>
      <c r="I195">
        <f>IF($A195="","",IF($H195=0,"Paid",IF($G195=0,"Unpaid","Partial")))</f>
        <v/>
      </c>
    </row>
    <row r="196">
      <c r="A196" t="inlineStr">
        <is>
          <t>INV-2026-0195</t>
        </is>
      </c>
      <c r="B196" s="7" t="n">
        <v>46289</v>
      </c>
      <c r="C196" t="inlineStr">
        <is>
          <t>City Gym</t>
        </is>
      </c>
      <c r="D196" s="8">
        <f>IF($A196="",0,ROUND(SUMIFS(InvoiceLines!$G$2:$G$4001,InvoiceLines!$A$2:$A$4001,$A196),2))</f>
        <v/>
      </c>
      <c r="E196" s="8">
        <f>IF($A196="",0,ROUND($D196*18%,2))</f>
        <v/>
      </c>
      <c r="F196" s="8">
        <f>IF($A196="",0,$D196+$E196)</f>
        <v/>
      </c>
      <c r="G196" s="8" t="n">
        <v>11540.4</v>
      </c>
      <c r="H196" s="8">
        <f>IF($A196="",0,$F196-$G196)</f>
        <v/>
      </c>
      <c r="I196">
        <f>IF($A196="","",IF($H196=0,"Paid",IF($G196=0,"Unpaid","Partial")))</f>
        <v/>
      </c>
    </row>
    <row r="197">
      <c r="A197" t="inlineStr">
        <is>
          <t>INV-2026-0196</t>
        </is>
      </c>
      <c r="B197" s="7" t="n">
        <v>46290</v>
      </c>
      <c r="C197" t="inlineStr">
        <is>
          <t>OfficeHub Cowork</t>
        </is>
      </c>
      <c r="D197" s="8">
        <f>IF($A197="",0,ROUND(SUMIFS(InvoiceLines!$G$2:$G$4001,InvoiceLines!$A$2:$A$4001,$A197),2))</f>
        <v/>
      </c>
      <c r="E197" s="8">
        <f>IF($A197="",0,ROUND($D197*18%,2))</f>
        <v/>
      </c>
      <c r="F197" s="8">
        <f>IF($A197="",0,$D197+$E197)</f>
        <v/>
      </c>
      <c r="G197" s="8" t="n">
        <v>1416</v>
      </c>
      <c r="H197" s="8">
        <f>IF($A197="",0,$F197-$G197)</f>
        <v/>
      </c>
      <c r="I197">
        <f>IF($A197="","",IF($H197=0,"Paid",IF($G197=0,"Unpaid","Partial")))</f>
        <v/>
      </c>
    </row>
    <row r="198">
      <c r="A198" t="inlineStr">
        <is>
          <t>INV-2026-0197</t>
        </is>
      </c>
      <c r="B198" s="7" t="n">
        <v>46291</v>
      </c>
      <c r="C198" t="inlineStr">
        <is>
          <t>Cafe Brewlane</t>
        </is>
      </c>
      <c r="D198" s="8">
        <f>IF($A198="",0,ROUND(SUMIFS(InvoiceLines!$G$2:$G$4001,InvoiceLines!$A$2:$A$4001,$A198),2))</f>
        <v/>
      </c>
      <c r="E198" s="8">
        <f>IF($A198="",0,ROUND($D198*18%,2))</f>
        <v/>
      </c>
      <c r="F198" s="8">
        <f>IF($A198="",0,$D198+$E198)</f>
        <v/>
      </c>
      <c r="G198" s="8" t="n">
        <v>4920.6</v>
      </c>
      <c r="H198" s="8">
        <f>IF($A198="",0,$F198-$G198)</f>
        <v/>
      </c>
      <c r="I198">
        <f>IF($A198="","",IF($H198=0,"Paid",IF($G198=0,"Unpaid","Partial")))</f>
        <v/>
      </c>
    </row>
    <row r="199">
      <c r="A199" t="inlineStr">
        <is>
          <t>INV-2026-0198</t>
        </is>
      </c>
      <c r="B199" s="7" t="n">
        <v>46293</v>
      </c>
      <c r="C199" t="inlineStr">
        <is>
          <t>Ganga Boys Hostel</t>
        </is>
      </c>
      <c r="D199" s="8">
        <f>IF($A199="",0,ROUND(SUMIFS(InvoiceLines!$G$2:$G$4001,InvoiceLines!$A$2:$A$4001,$A199),2))</f>
        <v/>
      </c>
      <c r="E199" s="8">
        <f>IF($A199="",0,ROUND($D199*18%,2))</f>
        <v/>
      </c>
      <c r="F199" s="8">
        <f>IF($A199="",0,$D199+$E199)</f>
        <v/>
      </c>
      <c r="G199" s="8" t="n">
        <v>0</v>
      </c>
      <c r="H199" s="8">
        <f>IF($A199="",0,$F199-$G199)</f>
        <v/>
      </c>
      <c r="I199">
        <f>IF($A199="","",IF($H199=0,"Paid",IF($G199=0,"Unpaid","Partial")))</f>
        <v/>
      </c>
    </row>
    <row r="200">
      <c r="A200" t="inlineStr">
        <is>
          <t>INV-2026-0199</t>
        </is>
      </c>
      <c r="B200" s="7" t="n">
        <v>46294</v>
      </c>
      <c r="C200" t="inlineStr">
        <is>
          <t>Hotel Rajwada</t>
        </is>
      </c>
      <c r="D200" s="8">
        <f>IF($A200="",0,ROUND(SUMIFS(InvoiceLines!$G$2:$G$4001,InvoiceLines!$A$2:$A$4001,$A200),2))</f>
        <v/>
      </c>
      <c r="E200" s="8">
        <f>IF($A200="",0,ROUND($D200*18%,2))</f>
        <v/>
      </c>
      <c r="F200" s="8">
        <f>IF($A200="",0,$D200+$E200)</f>
        <v/>
      </c>
      <c r="G200" s="8" t="n">
        <v>1801.15</v>
      </c>
      <c r="H200" s="8">
        <f>IF($A200="",0,$F200-$G200)</f>
        <v/>
      </c>
      <c r="I200">
        <f>IF($A200="","",IF($H200=0,"Paid",IF($G200=0,"Unpaid","Partial")))</f>
        <v/>
      </c>
    </row>
    <row r="201">
      <c r="A201" t="inlineStr">
        <is>
          <t>INV-2026-0200</t>
        </is>
      </c>
      <c r="B201" s="7" t="n">
        <v>46294</v>
      </c>
      <c r="C201" t="inlineStr">
        <is>
          <t>Bright School Canteen</t>
        </is>
      </c>
      <c r="D201" s="8">
        <f>IF($A201="",0,ROUND(SUMIFS(InvoiceLines!$G$2:$G$4001,InvoiceLines!$A$2:$A$4001,$A201),2))</f>
        <v/>
      </c>
      <c r="E201" s="8">
        <f>IF($A201="",0,ROUND($D201*18%,2))</f>
        <v/>
      </c>
      <c r="F201" s="8">
        <f>IF($A201="",0,$D201+$E201)</f>
        <v/>
      </c>
      <c r="G201" s="8" t="n">
        <v>1863.46</v>
      </c>
      <c r="H201" s="8">
        <f>IF($A201="",0,$F201-$G201)</f>
        <v/>
      </c>
      <c r="I201">
        <f>IF($A201="","",IF($H201=0,"Paid",IF($G201=0,"Unpaid","Partial")))</f>
        <v/>
      </c>
    </row>
    <row r="202">
      <c r="A202" t="inlineStr">
        <is>
          <t>INV-2026-0201</t>
        </is>
      </c>
      <c r="B202" s="7" t="n">
        <v>46295</v>
      </c>
      <c r="C202" t="inlineStr">
        <is>
          <t>Hotel Rajwada</t>
        </is>
      </c>
      <c r="D202" s="8">
        <f>IF($A202="",0,ROUND(SUMIFS(InvoiceLines!$G$2:$G$4001,InvoiceLines!$A$2:$A$4001,$A202),2))</f>
        <v/>
      </c>
      <c r="E202" s="8">
        <f>IF($A202="",0,ROUND($D202*18%,2))</f>
        <v/>
      </c>
      <c r="F202" s="8">
        <f>IF($A202="",0,$D202+$E202)</f>
        <v/>
      </c>
      <c r="G202" s="8" t="n">
        <v>8850</v>
      </c>
      <c r="H202" s="8">
        <f>IF($A202="",0,$F202-$G202)</f>
        <v/>
      </c>
      <c r="I202">
        <f>IF($A202="","",IF($H202=0,"Paid",IF($G202=0,"Unpaid","Partial")))</f>
        <v/>
      </c>
    </row>
    <row r="203">
      <c r="A203" t="inlineStr">
        <is>
          <t>INV-2026-0202</t>
        </is>
      </c>
      <c r="B203" s="7" t="n">
        <v>46295</v>
      </c>
      <c r="C203" t="inlineStr">
        <is>
          <t>OfficeHub Cowork</t>
        </is>
      </c>
      <c r="D203" s="8">
        <f>IF($A203="",0,ROUND(SUMIFS(InvoiceLines!$G$2:$G$4001,InvoiceLines!$A$2:$A$4001,$A203),2))</f>
        <v/>
      </c>
      <c r="E203" s="8">
        <f>IF($A203="",0,ROUND($D203*18%,2))</f>
        <v/>
      </c>
      <c r="F203" s="8">
        <f>IF($A203="",0,$D203+$E203)</f>
        <v/>
      </c>
      <c r="G203" s="8" t="n">
        <v>7239.3</v>
      </c>
      <c r="H203" s="8">
        <f>IF($A203="",0,$F203-$G203)</f>
        <v/>
      </c>
      <c r="I203">
        <f>IF($A203="","",IF($H203=0,"Paid",IF($G203=0,"Unpaid","Partial")))</f>
        <v/>
      </c>
    </row>
    <row r="204">
      <c r="B204" s="7" t="n"/>
      <c r="D204" s="8">
        <f>IF($A204="",0,ROUND(SUMIFS(InvoiceLines!$G$2:$G$4001,InvoiceLines!$A$2:$A$4001,$A204),2))</f>
        <v/>
      </c>
      <c r="E204" s="8">
        <f>IF($A204="",0,ROUND($D204*18%,2))</f>
        <v/>
      </c>
      <c r="F204" s="8">
        <f>IF($A204="",0,$D204+$E204)</f>
        <v/>
      </c>
      <c r="G204" s="8" t="n"/>
      <c r="H204" s="8">
        <f>IF($A204="",0,$F204-$G204)</f>
        <v/>
      </c>
      <c r="I204">
        <f>IF($A204="","",IF($H204=0,"Paid",IF($G204=0,"Unpaid","Partial")))</f>
        <v/>
      </c>
    </row>
    <row r="205">
      <c r="B205" s="7" t="n"/>
      <c r="D205" s="8">
        <f>IF($A205="",0,ROUND(SUMIFS(InvoiceLines!$G$2:$G$4001,InvoiceLines!$A$2:$A$4001,$A205),2))</f>
        <v/>
      </c>
      <c r="E205" s="8">
        <f>IF($A205="",0,ROUND($D205*18%,2))</f>
        <v/>
      </c>
      <c r="F205" s="8">
        <f>IF($A205="",0,$D205+$E205)</f>
        <v/>
      </c>
      <c r="G205" s="8" t="n"/>
      <c r="H205" s="8">
        <f>IF($A205="",0,$F205-$G205)</f>
        <v/>
      </c>
      <c r="I205">
        <f>IF($A205="","",IF($H205=0,"Paid",IF($G205=0,"Unpaid","Partial")))</f>
        <v/>
      </c>
    </row>
    <row r="206">
      <c r="B206" s="7" t="n"/>
      <c r="D206" s="8">
        <f>IF($A206="",0,ROUND(SUMIFS(InvoiceLines!$G$2:$G$4001,InvoiceLines!$A$2:$A$4001,$A206),2))</f>
        <v/>
      </c>
      <c r="E206" s="8">
        <f>IF($A206="",0,ROUND($D206*18%,2))</f>
        <v/>
      </c>
      <c r="F206" s="8">
        <f>IF($A206="",0,$D206+$E206)</f>
        <v/>
      </c>
      <c r="G206" s="8" t="n"/>
      <c r="H206" s="8">
        <f>IF($A206="",0,$F206-$G206)</f>
        <v/>
      </c>
      <c r="I206">
        <f>IF($A206="","",IF($H206=0,"Paid",IF($G206=0,"Unpaid","Partial")))</f>
        <v/>
      </c>
    </row>
    <row r="207">
      <c r="B207" s="7" t="n"/>
      <c r="D207" s="8">
        <f>IF($A207="",0,ROUND(SUMIFS(InvoiceLines!$G$2:$G$4001,InvoiceLines!$A$2:$A$4001,$A207),2))</f>
        <v/>
      </c>
      <c r="E207" s="8">
        <f>IF($A207="",0,ROUND($D207*18%,2))</f>
        <v/>
      </c>
      <c r="F207" s="8">
        <f>IF($A207="",0,$D207+$E207)</f>
        <v/>
      </c>
      <c r="G207" s="8" t="n"/>
      <c r="H207" s="8">
        <f>IF($A207="",0,$F207-$G207)</f>
        <v/>
      </c>
      <c r="I207">
        <f>IF($A207="","",IF($H207=0,"Paid",IF($G207=0,"Unpaid","Partial")))</f>
        <v/>
      </c>
    </row>
    <row r="208">
      <c r="B208" s="7" t="n"/>
      <c r="D208" s="8">
        <f>IF($A208="",0,ROUND(SUMIFS(InvoiceLines!$G$2:$G$4001,InvoiceLines!$A$2:$A$4001,$A208),2))</f>
        <v/>
      </c>
      <c r="E208" s="8">
        <f>IF($A208="",0,ROUND($D208*18%,2))</f>
        <v/>
      </c>
      <c r="F208" s="8">
        <f>IF($A208="",0,$D208+$E208)</f>
        <v/>
      </c>
      <c r="G208" s="8" t="n"/>
      <c r="H208" s="8">
        <f>IF($A208="",0,$F208-$G208)</f>
        <v/>
      </c>
      <c r="I208">
        <f>IF($A208="","",IF($H208=0,"Paid",IF($G208=0,"Unpaid","Partial")))</f>
        <v/>
      </c>
    </row>
    <row r="209">
      <c r="B209" s="7" t="n"/>
      <c r="D209" s="8">
        <f>IF($A209="",0,ROUND(SUMIFS(InvoiceLines!$G$2:$G$4001,InvoiceLines!$A$2:$A$4001,$A209),2))</f>
        <v/>
      </c>
      <c r="E209" s="8">
        <f>IF($A209="",0,ROUND($D209*18%,2))</f>
        <v/>
      </c>
      <c r="F209" s="8">
        <f>IF($A209="",0,$D209+$E209)</f>
        <v/>
      </c>
      <c r="G209" s="8" t="n"/>
      <c r="H209" s="8">
        <f>IF($A209="",0,$F209-$G209)</f>
        <v/>
      </c>
      <c r="I209">
        <f>IF($A209="","",IF($H209=0,"Paid",IF($G209=0,"Unpaid","Partial")))</f>
        <v/>
      </c>
    </row>
    <row r="210">
      <c r="B210" s="7" t="n"/>
      <c r="D210" s="8">
        <f>IF($A210="",0,ROUND(SUMIFS(InvoiceLines!$G$2:$G$4001,InvoiceLines!$A$2:$A$4001,$A210),2))</f>
        <v/>
      </c>
      <c r="E210" s="8">
        <f>IF($A210="",0,ROUND($D210*18%,2))</f>
        <v/>
      </c>
      <c r="F210" s="8">
        <f>IF($A210="",0,$D210+$E210)</f>
        <v/>
      </c>
      <c r="G210" s="8" t="n"/>
      <c r="H210" s="8">
        <f>IF($A210="",0,$F210-$G210)</f>
        <v/>
      </c>
      <c r="I210">
        <f>IF($A210="","",IF($H210=0,"Paid",IF($G210=0,"Unpaid","Partial")))</f>
        <v/>
      </c>
    </row>
    <row r="211">
      <c r="B211" s="7" t="n"/>
      <c r="D211" s="8">
        <f>IF($A211="",0,ROUND(SUMIFS(InvoiceLines!$G$2:$G$4001,InvoiceLines!$A$2:$A$4001,$A211),2))</f>
        <v/>
      </c>
      <c r="E211" s="8">
        <f>IF($A211="",0,ROUND($D211*18%,2))</f>
        <v/>
      </c>
      <c r="F211" s="8">
        <f>IF($A211="",0,$D211+$E211)</f>
        <v/>
      </c>
      <c r="G211" s="8" t="n"/>
      <c r="H211" s="8">
        <f>IF($A211="",0,$F211-$G211)</f>
        <v/>
      </c>
      <c r="I211">
        <f>IF($A211="","",IF($H211=0,"Paid",IF($G211=0,"Unpaid","Partial")))</f>
        <v/>
      </c>
    </row>
    <row r="212">
      <c r="B212" s="7" t="n"/>
      <c r="D212" s="8">
        <f>IF($A212="",0,ROUND(SUMIFS(InvoiceLines!$G$2:$G$4001,InvoiceLines!$A$2:$A$4001,$A212),2))</f>
        <v/>
      </c>
      <c r="E212" s="8">
        <f>IF($A212="",0,ROUND($D212*18%,2))</f>
        <v/>
      </c>
      <c r="F212" s="8">
        <f>IF($A212="",0,$D212+$E212)</f>
        <v/>
      </c>
      <c r="G212" s="8" t="n"/>
      <c r="H212" s="8">
        <f>IF($A212="",0,$F212-$G212)</f>
        <v/>
      </c>
      <c r="I212">
        <f>IF($A212="","",IF($H212=0,"Paid",IF($G212=0,"Unpaid","Partial")))</f>
        <v/>
      </c>
    </row>
    <row r="213">
      <c r="B213" s="7" t="n"/>
      <c r="D213" s="8">
        <f>IF($A213="",0,ROUND(SUMIFS(InvoiceLines!$G$2:$G$4001,InvoiceLines!$A$2:$A$4001,$A213),2))</f>
        <v/>
      </c>
      <c r="E213" s="8">
        <f>IF($A213="",0,ROUND($D213*18%,2))</f>
        <v/>
      </c>
      <c r="F213" s="8">
        <f>IF($A213="",0,$D213+$E213)</f>
        <v/>
      </c>
      <c r="G213" s="8" t="n"/>
      <c r="H213" s="8">
        <f>IF($A213="",0,$F213-$G213)</f>
        <v/>
      </c>
      <c r="I213">
        <f>IF($A213="","",IF($H213=0,"Paid",IF($G213=0,"Unpaid","Partial")))</f>
        <v/>
      </c>
    </row>
    <row r="214">
      <c r="B214" s="7" t="n"/>
      <c r="D214" s="8">
        <f>IF($A214="",0,ROUND(SUMIFS(InvoiceLines!$G$2:$G$4001,InvoiceLines!$A$2:$A$4001,$A214),2))</f>
        <v/>
      </c>
      <c r="E214" s="8">
        <f>IF($A214="",0,ROUND($D214*18%,2))</f>
        <v/>
      </c>
      <c r="F214" s="8">
        <f>IF($A214="",0,$D214+$E214)</f>
        <v/>
      </c>
      <c r="G214" s="8" t="n"/>
      <c r="H214" s="8">
        <f>IF($A214="",0,$F214-$G214)</f>
        <v/>
      </c>
      <c r="I214">
        <f>IF($A214="","",IF($H214=0,"Paid",IF($G214=0,"Unpaid","Partial")))</f>
        <v/>
      </c>
    </row>
    <row r="215">
      <c r="B215" s="7" t="n"/>
      <c r="D215" s="8">
        <f>IF($A215="",0,ROUND(SUMIFS(InvoiceLines!$G$2:$G$4001,InvoiceLines!$A$2:$A$4001,$A215),2))</f>
        <v/>
      </c>
      <c r="E215" s="8">
        <f>IF($A215="",0,ROUND($D215*18%,2))</f>
        <v/>
      </c>
      <c r="F215" s="8">
        <f>IF($A215="",0,$D215+$E215)</f>
        <v/>
      </c>
      <c r="G215" s="8" t="n"/>
      <c r="H215" s="8">
        <f>IF($A215="",0,$F215-$G215)</f>
        <v/>
      </c>
      <c r="I215">
        <f>IF($A215="","",IF($H215=0,"Paid",IF($G215=0,"Unpaid","Partial")))</f>
        <v/>
      </c>
    </row>
    <row r="216">
      <c r="B216" s="7" t="n"/>
      <c r="D216" s="8">
        <f>IF($A216="",0,ROUND(SUMIFS(InvoiceLines!$G$2:$G$4001,InvoiceLines!$A$2:$A$4001,$A216),2))</f>
        <v/>
      </c>
      <c r="E216" s="8">
        <f>IF($A216="",0,ROUND($D216*18%,2))</f>
        <v/>
      </c>
      <c r="F216" s="8">
        <f>IF($A216="",0,$D216+$E216)</f>
        <v/>
      </c>
      <c r="G216" s="8" t="n"/>
      <c r="H216" s="8">
        <f>IF($A216="",0,$F216-$G216)</f>
        <v/>
      </c>
      <c r="I216">
        <f>IF($A216="","",IF($H216=0,"Paid",IF($G216=0,"Unpaid","Partial")))</f>
        <v/>
      </c>
    </row>
    <row r="217">
      <c r="B217" s="7" t="n"/>
      <c r="D217" s="8">
        <f>IF($A217="",0,ROUND(SUMIFS(InvoiceLines!$G$2:$G$4001,InvoiceLines!$A$2:$A$4001,$A217),2))</f>
        <v/>
      </c>
      <c r="E217" s="8">
        <f>IF($A217="",0,ROUND($D217*18%,2))</f>
        <v/>
      </c>
      <c r="F217" s="8">
        <f>IF($A217="",0,$D217+$E217)</f>
        <v/>
      </c>
      <c r="G217" s="8" t="n"/>
      <c r="H217" s="8">
        <f>IF($A217="",0,$F217-$G217)</f>
        <v/>
      </c>
      <c r="I217">
        <f>IF($A217="","",IF($H217=0,"Paid",IF($G217=0,"Unpaid","Partial")))</f>
        <v/>
      </c>
    </row>
    <row r="218">
      <c r="B218" s="7" t="n"/>
      <c r="D218" s="8">
        <f>IF($A218="",0,ROUND(SUMIFS(InvoiceLines!$G$2:$G$4001,InvoiceLines!$A$2:$A$4001,$A218),2))</f>
        <v/>
      </c>
      <c r="E218" s="8">
        <f>IF($A218="",0,ROUND($D218*18%,2))</f>
        <v/>
      </c>
      <c r="F218" s="8">
        <f>IF($A218="",0,$D218+$E218)</f>
        <v/>
      </c>
      <c r="G218" s="8" t="n"/>
      <c r="H218" s="8">
        <f>IF($A218="",0,$F218-$G218)</f>
        <v/>
      </c>
      <c r="I218">
        <f>IF($A218="","",IF($H218=0,"Paid",IF($G218=0,"Unpaid","Partial")))</f>
        <v/>
      </c>
    </row>
    <row r="219">
      <c r="B219" s="7" t="n"/>
      <c r="D219" s="8">
        <f>IF($A219="",0,ROUND(SUMIFS(InvoiceLines!$G$2:$G$4001,InvoiceLines!$A$2:$A$4001,$A219),2))</f>
        <v/>
      </c>
      <c r="E219" s="8">
        <f>IF($A219="",0,ROUND($D219*18%,2))</f>
        <v/>
      </c>
      <c r="F219" s="8">
        <f>IF($A219="",0,$D219+$E219)</f>
        <v/>
      </c>
      <c r="G219" s="8" t="n"/>
      <c r="H219" s="8">
        <f>IF($A219="",0,$F219-$G219)</f>
        <v/>
      </c>
      <c r="I219">
        <f>IF($A219="","",IF($H219=0,"Paid",IF($G219=0,"Unpaid","Partial")))</f>
        <v/>
      </c>
    </row>
    <row r="220">
      <c r="B220" s="7" t="n"/>
      <c r="D220" s="8">
        <f>IF($A220="",0,ROUND(SUMIFS(InvoiceLines!$G$2:$G$4001,InvoiceLines!$A$2:$A$4001,$A220),2))</f>
        <v/>
      </c>
      <c r="E220" s="8">
        <f>IF($A220="",0,ROUND($D220*18%,2))</f>
        <v/>
      </c>
      <c r="F220" s="8">
        <f>IF($A220="",0,$D220+$E220)</f>
        <v/>
      </c>
      <c r="G220" s="8" t="n"/>
      <c r="H220" s="8">
        <f>IF($A220="",0,$F220-$G220)</f>
        <v/>
      </c>
      <c r="I220">
        <f>IF($A220="","",IF($H220=0,"Paid",IF($G220=0,"Unpaid","Partial")))</f>
        <v/>
      </c>
    </row>
    <row r="221">
      <c r="B221" s="7" t="n"/>
      <c r="D221" s="8">
        <f>IF($A221="",0,ROUND(SUMIFS(InvoiceLines!$G$2:$G$4001,InvoiceLines!$A$2:$A$4001,$A221),2))</f>
        <v/>
      </c>
      <c r="E221" s="8">
        <f>IF($A221="",0,ROUND($D221*18%,2))</f>
        <v/>
      </c>
      <c r="F221" s="8">
        <f>IF($A221="",0,$D221+$E221)</f>
        <v/>
      </c>
      <c r="G221" s="8" t="n"/>
      <c r="H221" s="8">
        <f>IF($A221="",0,$F221-$G221)</f>
        <v/>
      </c>
      <c r="I221">
        <f>IF($A221="","",IF($H221=0,"Paid",IF($G221=0,"Unpaid","Partial")))</f>
        <v/>
      </c>
    </row>
    <row r="222">
      <c r="B222" s="7" t="n"/>
      <c r="D222" s="8">
        <f>IF($A222="",0,ROUND(SUMIFS(InvoiceLines!$G$2:$G$4001,InvoiceLines!$A$2:$A$4001,$A222),2))</f>
        <v/>
      </c>
      <c r="E222" s="8">
        <f>IF($A222="",0,ROUND($D222*18%,2))</f>
        <v/>
      </c>
      <c r="F222" s="8">
        <f>IF($A222="",0,$D222+$E222)</f>
        <v/>
      </c>
      <c r="G222" s="8" t="n"/>
      <c r="H222" s="8">
        <f>IF($A222="",0,$F222-$G222)</f>
        <v/>
      </c>
      <c r="I222">
        <f>IF($A222="","",IF($H222=0,"Paid",IF($G222=0,"Unpaid","Partial")))</f>
        <v/>
      </c>
    </row>
    <row r="223">
      <c r="B223" s="7" t="n"/>
      <c r="D223" s="8">
        <f>IF($A223="",0,ROUND(SUMIFS(InvoiceLines!$G$2:$G$4001,InvoiceLines!$A$2:$A$4001,$A223),2))</f>
        <v/>
      </c>
      <c r="E223" s="8">
        <f>IF($A223="",0,ROUND($D223*18%,2))</f>
        <v/>
      </c>
      <c r="F223" s="8">
        <f>IF($A223="",0,$D223+$E223)</f>
        <v/>
      </c>
      <c r="G223" s="8" t="n"/>
      <c r="H223" s="8">
        <f>IF($A223="",0,$F223-$G223)</f>
        <v/>
      </c>
      <c r="I223">
        <f>IF($A223="","",IF($H223=0,"Paid",IF($G223=0,"Unpaid","Partial")))</f>
        <v/>
      </c>
    </row>
    <row r="224">
      <c r="B224" s="7" t="n"/>
      <c r="D224" s="8">
        <f>IF($A224="",0,ROUND(SUMIFS(InvoiceLines!$G$2:$G$4001,InvoiceLines!$A$2:$A$4001,$A224),2))</f>
        <v/>
      </c>
      <c r="E224" s="8">
        <f>IF($A224="",0,ROUND($D224*18%,2))</f>
        <v/>
      </c>
      <c r="F224" s="8">
        <f>IF($A224="",0,$D224+$E224)</f>
        <v/>
      </c>
      <c r="G224" s="8" t="n"/>
      <c r="H224" s="8">
        <f>IF($A224="",0,$F224-$G224)</f>
        <v/>
      </c>
      <c r="I224">
        <f>IF($A224="","",IF($H224=0,"Paid",IF($G224=0,"Unpaid","Partial")))</f>
        <v/>
      </c>
    </row>
    <row r="225">
      <c r="B225" s="7" t="n"/>
      <c r="D225" s="8">
        <f>IF($A225="",0,ROUND(SUMIFS(InvoiceLines!$G$2:$G$4001,InvoiceLines!$A$2:$A$4001,$A225),2))</f>
        <v/>
      </c>
      <c r="E225" s="8">
        <f>IF($A225="",0,ROUND($D225*18%,2))</f>
        <v/>
      </c>
      <c r="F225" s="8">
        <f>IF($A225="",0,$D225+$E225)</f>
        <v/>
      </c>
      <c r="G225" s="8" t="n"/>
      <c r="H225" s="8">
        <f>IF($A225="",0,$F225-$G225)</f>
        <v/>
      </c>
      <c r="I225">
        <f>IF($A225="","",IF($H225=0,"Paid",IF($G225=0,"Unpaid","Partial")))</f>
        <v/>
      </c>
    </row>
    <row r="226">
      <c r="B226" s="7" t="n"/>
      <c r="D226" s="8">
        <f>IF($A226="",0,ROUND(SUMIFS(InvoiceLines!$G$2:$G$4001,InvoiceLines!$A$2:$A$4001,$A226),2))</f>
        <v/>
      </c>
      <c r="E226" s="8">
        <f>IF($A226="",0,ROUND($D226*18%,2))</f>
        <v/>
      </c>
      <c r="F226" s="8">
        <f>IF($A226="",0,$D226+$E226)</f>
        <v/>
      </c>
      <c r="G226" s="8" t="n"/>
      <c r="H226" s="8">
        <f>IF($A226="",0,$F226-$G226)</f>
        <v/>
      </c>
      <c r="I226">
        <f>IF($A226="","",IF($H226=0,"Paid",IF($G226=0,"Unpaid","Partial")))</f>
        <v/>
      </c>
    </row>
    <row r="227">
      <c r="B227" s="7" t="n"/>
      <c r="D227" s="8">
        <f>IF($A227="",0,ROUND(SUMIFS(InvoiceLines!$G$2:$G$4001,InvoiceLines!$A$2:$A$4001,$A227),2))</f>
        <v/>
      </c>
      <c r="E227" s="8">
        <f>IF($A227="",0,ROUND($D227*18%,2))</f>
        <v/>
      </c>
      <c r="F227" s="8">
        <f>IF($A227="",0,$D227+$E227)</f>
        <v/>
      </c>
      <c r="G227" s="8" t="n"/>
      <c r="H227" s="8">
        <f>IF($A227="",0,$F227-$G227)</f>
        <v/>
      </c>
      <c r="I227">
        <f>IF($A227="","",IF($H227=0,"Paid",IF($G227=0,"Unpaid","Partial")))</f>
        <v/>
      </c>
    </row>
    <row r="228">
      <c r="B228" s="7" t="n"/>
      <c r="D228" s="8">
        <f>IF($A228="",0,ROUND(SUMIFS(InvoiceLines!$G$2:$G$4001,InvoiceLines!$A$2:$A$4001,$A228),2))</f>
        <v/>
      </c>
      <c r="E228" s="8">
        <f>IF($A228="",0,ROUND($D228*18%,2))</f>
        <v/>
      </c>
      <c r="F228" s="8">
        <f>IF($A228="",0,$D228+$E228)</f>
        <v/>
      </c>
      <c r="G228" s="8" t="n"/>
      <c r="H228" s="8">
        <f>IF($A228="",0,$F228-$G228)</f>
        <v/>
      </c>
      <c r="I228">
        <f>IF($A228="","",IF($H228=0,"Paid",IF($G228=0,"Unpaid","Partial")))</f>
        <v/>
      </c>
    </row>
    <row r="229">
      <c r="B229" s="7" t="n"/>
      <c r="D229" s="8">
        <f>IF($A229="",0,ROUND(SUMIFS(InvoiceLines!$G$2:$G$4001,InvoiceLines!$A$2:$A$4001,$A229),2))</f>
        <v/>
      </c>
      <c r="E229" s="8">
        <f>IF($A229="",0,ROUND($D229*18%,2))</f>
        <v/>
      </c>
      <c r="F229" s="8">
        <f>IF($A229="",0,$D229+$E229)</f>
        <v/>
      </c>
      <c r="G229" s="8" t="n"/>
      <c r="H229" s="8">
        <f>IF($A229="",0,$F229-$G229)</f>
        <v/>
      </c>
      <c r="I229">
        <f>IF($A229="","",IF($H229=0,"Paid",IF($G229=0,"Unpaid","Partial")))</f>
        <v/>
      </c>
    </row>
    <row r="230">
      <c r="B230" s="7" t="n"/>
      <c r="D230" s="8">
        <f>IF($A230="",0,ROUND(SUMIFS(InvoiceLines!$G$2:$G$4001,InvoiceLines!$A$2:$A$4001,$A230),2))</f>
        <v/>
      </c>
      <c r="E230" s="8">
        <f>IF($A230="",0,ROUND($D230*18%,2))</f>
        <v/>
      </c>
      <c r="F230" s="8">
        <f>IF($A230="",0,$D230+$E230)</f>
        <v/>
      </c>
      <c r="G230" s="8" t="n"/>
      <c r="H230" s="8">
        <f>IF($A230="",0,$F230-$G230)</f>
        <v/>
      </c>
      <c r="I230">
        <f>IF($A230="","",IF($H230=0,"Paid",IF($G230=0,"Unpaid","Partial")))</f>
        <v/>
      </c>
    </row>
    <row r="231">
      <c r="B231" s="7" t="n"/>
      <c r="D231" s="8">
        <f>IF($A231="",0,ROUND(SUMIFS(InvoiceLines!$G$2:$G$4001,InvoiceLines!$A$2:$A$4001,$A231),2))</f>
        <v/>
      </c>
      <c r="E231" s="8">
        <f>IF($A231="",0,ROUND($D231*18%,2))</f>
        <v/>
      </c>
      <c r="F231" s="8">
        <f>IF($A231="",0,$D231+$E231)</f>
        <v/>
      </c>
      <c r="G231" s="8" t="n"/>
      <c r="H231" s="8">
        <f>IF($A231="",0,$F231-$G231)</f>
        <v/>
      </c>
      <c r="I231">
        <f>IF($A231="","",IF($H231=0,"Paid",IF($G231=0,"Unpaid","Partial")))</f>
        <v/>
      </c>
    </row>
    <row r="232">
      <c r="B232" s="7" t="n"/>
      <c r="D232" s="8">
        <f>IF($A232="",0,ROUND(SUMIFS(InvoiceLines!$G$2:$G$4001,InvoiceLines!$A$2:$A$4001,$A232),2))</f>
        <v/>
      </c>
      <c r="E232" s="8">
        <f>IF($A232="",0,ROUND($D232*18%,2))</f>
        <v/>
      </c>
      <c r="F232" s="8">
        <f>IF($A232="",0,$D232+$E232)</f>
        <v/>
      </c>
      <c r="G232" s="8" t="n"/>
      <c r="H232" s="8">
        <f>IF($A232="",0,$F232-$G232)</f>
        <v/>
      </c>
      <c r="I232">
        <f>IF($A232="","",IF($H232=0,"Paid",IF($G232=0,"Unpaid","Partial")))</f>
        <v/>
      </c>
    </row>
    <row r="233">
      <c r="B233" s="7" t="n"/>
      <c r="D233" s="8">
        <f>IF($A233="",0,ROUND(SUMIFS(InvoiceLines!$G$2:$G$4001,InvoiceLines!$A$2:$A$4001,$A233),2))</f>
        <v/>
      </c>
      <c r="E233" s="8">
        <f>IF($A233="",0,ROUND($D233*18%,2))</f>
        <v/>
      </c>
      <c r="F233" s="8">
        <f>IF($A233="",0,$D233+$E233)</f>
        <v/>
      </c>
      <c r="G233" s="8" t="n"/>
      <c r="H233" s="8">
        <f>IF($A233="",0,$F233-$G233)</f>
        <v/>
      </c>
      <c r="I233">
        <f>IF($A233="","",IF($H233=0,"Paid",IF($G233=0,"Unpaid","Partial")))</f>
        <v/>
      </c>
    </row>
    <row r="234">
      <c r="B234" s="7" t="n"/>
      <c r="D234" s="8">
        <f>IF($A234="",0,ROUND(SUMIFS(InvoiceLines!$G$2:$G$4001,InvoiceLines!$A$2:$A$4001,$A234),2))</f>
        <v/>
      </c>
      <c r="E234" s="8">
        <f>IF($A234="",0,ROUND($D234*18%,2))</f>
        <v/>
      </c>
      <c r="F234" s="8">
        <f>IF($A234="",0,$D234+$E234)</f>
        <v/>
      </c>
      <c r="G234" s="8" t="n"/>
      <c r="H234" s="8">
        <f>IF($A234="",0,$F234-$G234)</f>
        <v/>
      </c>
      <c r="I234">
        <f>IF($A234="","",IF($H234=0,"Paid",IF($G234=0,"Unpaid","Partial")))</f>
        <v/>
      </c>
    </row>
    <row r="235">
      <c r="B235" s="7" t="n"/>
      <c r="D235" s="8">
        <f>IF($A235="",0,ROUND(SUMIFS(InvoiceLines!$G$2:$G$4001,InvoiceLines!$A$2:$A$4001,$A235),2))</f>
        <v/>
      </c>
      <c r="E235" s="8">
        <f>IF($A235="",0,ROUND($D235*18%,2))</f>
        <v/>
      </c>
      <c r="F235" s="8">
        <f>IF($A235="",0,$D235+$E235)</f>
        <v/>
      </c>
      <c r="G235" s="8" t="n"/>
      <c r="H235" s="8">
        <f>IF($A235="",0,$F235-$G235)</f>
        <v/>
      </c>
      <c r="I235">
        <f>IF($A235="","",IF($H235=0,"Paid",IF($G235=0,"Unpaid","Partial")))</f>
        <v/>
      </c>
    </row>
    <row r="236">
      <c r="B236" s="7" t="n"/>
      <c r="D236" s="8">
        <f>IF($A236="",0,ROUND(SUMIFS(InvoiceLines!$G$2:$G$4001,InvoiceLines!$A$2:$A$4001,$A236),2))</f>
        <v/>
      </c>
      <c r="E236" s="8">
        <f>IF($A236="",0,ROUND($D236*18%,2))</f>
        <v/>
      </c>
      <c r="F236" s="8">
        <f>IF($A236="",0,$D236+$E236)</f>
        <v/>
      </c>
      <c r="G236" s="8" t="n"/>
      <c r="H236" s="8">
        <f>IF($A236="",0,$F236-$G236)</f>
        <v/>
      </c>
      <c r="I236">
        <f>IF($A236="","",IF($H236=0,"Paid",IF($G236=0,"Unpaid","Partial")))</f>
        <v/>
      </c>
    </row>
    <row r="237">
      <c r="B237" s="7" t="n"/>
      <c r="D237" s="8">
        <f>IF($A237="",0,ROUND(SUMIFS(InvoiceLines!$G$2:$G$4001,InvoiceLines!$A$2:$A$4001,$A237),2))</f>
        <v/>
      </c>
      <c r="E237" s="8">
        <f>IF($A237="",0,ROUND($D237*18%,2))</f>
        <v/>
      </c>
      <c r="F237" s="8">
        <f>IF($A237="",0,$D237+$E237)</f>
        <v/>
      </c>
      <c r="G237" s="8" t="n"/>
      <c r="H237" s="8">
        <f>IF($A237="",0,$F237-$G237)</f>
        <v/>
      </c>
      <c r="I237">
        <f>IF($A237="","",IF($H237=0,"Paid",IF($G237=0,"Unpaid","Partial")))</f>
        <v/>
      </c>
    </row>
    <row r="238">
      <c r="B238" s="7" t="n"/>
      <c r="D238" s="8">
        <f>IF($A238="",0,ROUND(SUMIFS(InvoiceLines!$G$2:$G$4001,InvoiceLines!$A$2:$A$4001,$A238),2))</f>
        <v/>
      </c>
      <c r="E238" s="8">
        <f>IF($A238="",0,ROUND($D238*18%,2))</f>
        <v/>
      </c>
      <c r="F238" s="8">
        <f>IF($A238="",0,$D238+$E238)</f>
        <v/>
      </c>
      <c r="G238" s="8" t="n"/>
      <c r="H238" s="8">
        <f>IF($A238="",0,$F238-$G238)</f>
        <v/>
      </c>
      <c r="I238">
        <f>IF($A238="","",IF($H238=0,"Paid",IF($G238=0,"Unpaid","Partial")))</f>
        <v/>
      </c>
    </row>
    <row r="239">
      <c r="B239" s="7" t="n"/>
      <c r="D239" s="8">
        <f>IF($A239="",0,ROUND(SUMIFS(InvoiceLines!$G$2:$G$4001,InvoiceLines!$A$2:$A$4001,$A239),2))</f>
        <v/>
      </c>
      <c r="E239" s="8">
        <f>IF($A239="",0,ROUND($D239*18%,2))</f>
        <v/>
      </c>
      <c r="F239" s="8">
        <f>IF($A239="",0,$D239+$E239)</f>
        <v/>
      </c>
      <c r="G239" s="8" t="n"/>
      <c r="H239" s="8">
        <f>IF($A239="",0,$F239-$G239)</f>
        <v/>
      </c>
      <c r="I239">
        <f>IF($A239="","",IF($H239=0,"Paid",IF($G239=0,"Unpaid","Partial")))</f>
        <v/>
      </c>
    </row>
    <row r="240">
      <c r="B240" s="7" t="n"/>
      <c r="D240" s="8">
        <f>IF($A240="",0,ROUND(SUMIFS(InvoiceLines!$G$2:$G$4001,InvoiceLines!$A$2:$A$4001,$A240),2))</f>
        <v/>
      </c>
      <c r="E240" s="8">
        <f>IF($A240="",0,ROUND($D240*18%,2))</f>
        <v/>
      </c>
      <c r="F240" s="8">
        <f>IF($A240="",0,$D240+$E240)</f>
        <v/>
      </c>
      <c r="G240" s="8" t="n"/>
      <c r="H240" s="8">
        <f>IF($A240="",0,$F240-$G240)</f>
        <v/>
      </c>
      <c r="I240">
        <f>IF($A240="","",IF($H240=0,"Paid",IF($G240=0,"Unpaid","Partial")))</f>
        <v/>
      </c>
    </row>
    <row r="241">
      <c r="B241" s="7" t="n"/>
      <c r="D241" s="8">
        <f>IF($A241="",0,ROUND(SUMIFS(InvoiceLines!$G$2:$G$4001,InvoiceLines!$A$2:$A$4001,$A241),2))</f>
        <v/>
      </c>
      <c r="E241" s="8">
        <f>IF($A241="",0,ROUND($D241*18%,2))</f>
        <v/>
      </c>
      <c r="F241" s="8">
        <f>IF($A241="",0,$D241+$E241)</f>
        <v/>
      </c>
      <c r="G241" s="8" t="n"/>
      <c r="H241" s="8">
        <f>IF($A241="",0,$F241-$G241)</f>
        <v/>
      </c>
      <c r="I241">
        <f>IF($A241="","",IF($H241=0,"Paid",IF($G241=0,"Unpaid","Partial")))</f>
        <v/>
      </c>
    </row>
    <row r="242">
      <c r="B242" s="7" t="n"/>
      <c r="D242" s="8">
        <f>IF($A242="",0,ROUND(SUMIFS(InvoiceLines!$G$2:$G$4001,InvoiceLines!$A$2:$A$4001,$A242),2))</f>
        <v/>
      </c>
      <c r="E242" s="8">
        <f>IF($A242="",0,ROUND($D242*18%,2))</f>
        <v/>
      </c>
      <c r="F242" s="8">
        <f>IF($A242="",0,$D242+$E242)</f>
        <v/>
      </c>
      <c r="G242" s="8" t="n"/>
      <c r="H242" s="8">
        <f>IF($A242="",0,$F242-$G242)</f>
        <v/>
      </c>
      <c r="I242">
        <f>IF($A242="","",IF($H242=0,"Paid",IF($G242=0,"Unpaid","Partial")))</f>
        <v/>
      </c>
    </row>
    <row r="243">
      <c r="B243" s="7" t="n"/>
      <c r="D243" s="8">
        <f>IF($A243="",0,ROUND(SUMIFS(InvoiceLines!$G$2:$G$4001,InvoiceLines!$A$2:$A$4001,$A243),2))</f>
        <v/>
      </c>
      <c r="E243" s="8">
        <f>IF($A243="",0,ROUND($D243*18%,2))</f>
        <v/>
      </c>
      <c r="F243" s="8">
        <f>IF($A243="",0,$D243+$E243)</f>
        <v/>
      </c>
      <c r="G243" s="8" t="n"/>
      <c r="H243" s="8">
        <f>IF($A243="",0,$F243-$G243)</f>
        <v/>
      </c>
      <c r="I243">
        <f>IF($A243="","",IF($H243=0,"Paid",IF($G243=0,"Unpaid","Partial")))</f>
        <v/>
      </c>
    </row>
    <row r="244">
      <c r="B244" s="7" t="n"/>
      <c r="D244" s="8">
        <f>IF($A244="",0,ROUND(SUMIFS(InvoiceLines!$G$2:$G$4001,InvoiceLines!$A$2:$A$4001,$A244),2))</f>
        <v/>
      </c>
      <c r="E244" s="8">
        <f>IF($A244="",0,ROUND($D244*18%,2))</f>
        <v/>
      </c>
      <c r="F244" s="8">
        <f>IF($A244="",0,$D244+$E244)</f>
        <v/>
      </c>
      <c r="G244" s="8" t="n"/>
      <c r="H244" s="8">
        <f>IF($A244="",0,$F244-$G244)</f>
        <v/>
      </c>
      <c r="I244">
        <f>IF($A244="","",IF($H244=0,"Paid",IF($G244=0,"Unpaid","Partial")))</f>
        <v/>
      </c>
    </row>
    <row r="245">
      <c r="B245" s="7" t="n"/>
      <c r="D245" s="8">
        <f>IF($A245="",0,ROUND(SUMIFS(InvoiceLines!$G$2:$G$4001,InvoiceLines!$A$2:$A$4001,$A245),2))</f>
        <v/>
      </c>
      <c r="E245" s="8">
        <f>IF($A245="",0,ROUND($D245*18%,2))</f>
        <v/>
      </c>
      <c r="F245" s="8">
        <f>IF($A245="",0,$D245+$E245)</f>
        <v/>
      </c>
      <c r="G245" s="8" t="n"/>
      <c r="H245" s="8">
        <f>IF($A245="",0,$F245-$G245)</f>
        <v/>
      </c>
      <c r="I245">
        <f>IF($A245="","",IF($H245=0,"Paid",IF($G245=0,"Unpaid","Partial")))</f>
        <v/>
      </c>
    </row>
    <row r="246">
      <c r="B246" s="7" t="n"/>
      <c r="D246" s="8">
        <f>IF($A246="",0,ROUND(SUMIFS(InvoiceLines!$G$2:$G$4001,InvoiceLines!$A$2:$A$4001,$A246),2))</f>
        <v/>
      </c>
      <c r="E246" s="8">
        <f>IF($A246="",0,ROUND($D246*18%,2))</f>
        <v/>
      </c>
      <c r="F246" s="8">
        <f>IF($A246="",0,$D246+$E246)</f>
        <v/>
      </c>
      <c r="G246" s="8" t="n"/>
      <c r="H246" s="8">
        <f>IF($A246="",0,$F246-$G246)</f>
        <v/>
      </c>
      <c r="I246">
        <f>IF($A246="","",IF($H246=0,"Paid",IF($G246=0,"Unpaid","Partial")))</f>
        <v/>
      </c>
    </row>
    <row r="247">
      <c r="B247" s="7" t="n"/>
      <c r="D247" s="8">
        <f>IF($A247="",0,ROUND(SUMIFS(InvoiceLines!$G$2:$G$4001,InvoiceLines!$A$2:$A$4001,$A247),2))</f>
        <v/>
      </c>
      <c r="E247" s="8">
        <f>IF($A247="",0,ROUND($D247*18%,2))</f>
        <v/>
      </c>
      <c r="F247" s="8">
        <f>IF($A247="",0,$D247+$E247)</f>
        <v/>
      </c>
      <c r="G247" s="8" t="n"/>
      <c r="H247" s="8">
        <f>IF($A247="",0,$F247-$G247)</f>
        <v/>
      </c>
      <c r="I247">
        <f>IF($A247="","",IF($H247=0,"Paid",IF($G247=0,"Unpaid","Partial")))</f>
        <v/>
      </c>
    </row>
    <row r="248">
      <c r="B248" s="7" t="n"/>
      <c r="D248" s="8">
        <f>IF($A248="",0,ROUND(SUMIFS(InvoiceLines!$G$2:$G$4001,InvoiceLines!$A$2:$A$4001,$A248),2))</f>
        <v/>
      </c>
      <c r="E248" s="8">
        <f>IF($A248="",0,ROUND($D248*18%,2))</f>
        <v/>
      </c>
      <c r="F248" s="8">
        <f>IF($A248="",0,$D248+$E248)</f>
        <v/>
      </c>
      <c r="G248" s="8" t="n"/>
      <c r="H248" s="8">
        <f>IF($A248="",0,$F248-$G248)</f>
        <v/>
      </c>
      <c r="I248">
        <f>IF($A248="","",IF($H248=0,"Paid",IF($G248=0,"Unpaid","Partial")))</f>
        <v/>
      </c>
    </row>
    <row r="249">
      <c r="B249" s="7" t="n"/>
      <c r="D249" s="8">
        <f>IF($A249="",0,ROUND(SUMIFS(InvoiceLines!$G$2:$G$4001,InvoiceLines!$A$2:$A$4001,$A249),2))</f>
        <v/>
      </c>
      <c r="E249" s="8">
        <f>IF($A249="",0,ROUND($D249*18%,2))</f>
        <v/>
      </c>
      <c r="F249" s="8">
        <f>IF($A249="",0,$D249+$E249)</f>
        <v/>
      </c>
      <c r="G249" s="8" t="n"/>
      <c r="H249" s="8">
        <f>IF($A249="",0,$F249-$G249)</f>
        <v/>
      </c>
      <c r="I249">
        <f>IF($A249="","",IF($H249=0,"Paid",IF($G249=0,"Unpaid","Partial")))</f>
        <v/>
      </c>
    </row>
    <row r="250">
      <c r="B250" s="7" t="n"/>
      <c r="D250" s="8">
        <f>IF($A250="",0,ROUND(SUMIFS(InvoiceLines!$G$2:$G$4001,InvoiceLines!$A$2:$A$4001,$A250),2))</f>
        <v/>
      </c>
      <c r="E250" s="8">
        <f>IF($A250="",0,ROUND($D250*18%,2))</f>
        <v/>
      </c>
      <c r="F250" s="8">
        <f>IF($A250="",0,$D250+$E250)</f>
        <v/>
      </c>
      <c r="G250" s="8" t="n"/>
      <c r="H250" s="8">
        <f>IF($A250="",0,$F250-$G250)</f>
        <v/>
      </c>
      <c r="I250">
        <f>IF($A250="","",IF($H250=0,"Paid",IF($G250=0,"Unpaid","Partial")))</f>
        <v/>
      </c>
    </row>
    <row r="251">
      <c r="B251" s="7" t="n"/>
      <c r="D251" s="8">
        <f>IF($A251="",0,ROUND(SUMIFS(InvoiceLines!$G$2:$G$4001,InvoiceLines!$A$2:$A$4001,$A251),2))</f>
        <v/>
      </c>
      <c r="E251" s="8">
        <f>IF($A251="",0,ROUND($D251*18%,2))</f>
        <v/>
      </c>
      <c r="F251" s="8">
        <f>IF($A251="",0,$D251+$E251)</f>
        <v/>
      </c>
      <c r="G251" s="8" t="n"/>
      <c r="H251" s="8">
        <f>IF($A251="",0,$F251-$G251)</f>
        <v/>
      </c>
      <c r="I251">
        <f>IF($A251="","",IF($H251=0,"Paid",IF($G251=0,"Unpaid","Partial")))</f>
        <v/>
      </c>
    </row>
    <row r="252">
      <c r="B252" s="7" t="n"/>
      <c r="D252" s="8">
        <f>IF($A252="",0,ROUND(SUMIFS(InvoiceLines!$G$2:$G$4001,InvoiceLines!$A$2:$A$4001,$A252),2))</f>
        <v/>
      </c>
      <c r="E252" s="8">
        <f>IF($A252="",0,ROUND($D252*18%,2))</f>
        <v/>
      </c>
      <c r="F252" s="8">
        <f>IF($A252="",0,$D252+$E252)</f>
        <v/>
      </c>
      <c r="G252" s="8" t="n"/>
      <c r="H252" s="8">
        <f>IF($A252="",0,$F252-$G252)</f>
        <v/>
      </c>
      <c r="I252">
        <f>IF($A252="","",IF($H252=0,"Paid",IF($G252=0,"Unpaid","Partial")))</f>
        <v/>
      </c>
    </row>
    <row r="253">
      <c r="B253" s="7" t="n"/>
      <c r="D253" s="8">
        <f>IF($A253="",0,ROUND(SUMIFS(InvoiceLines!$G$2:$G$4001,InvoiceLines!$A$2:$A$4001,$A253),2))</f>
        <v/>
      </c>
      <c r="E253" s="8">
        <f>IF($A253="",0,ROUND($D253*18%,2))</f>
        <v/>
      </c>
      <c r="F253" s="8">
        <f>IF($A253="",0,$D253+$E253)</f>
        <v/>
      </c>
      <c r="G253" s="8" t="n"/>
      <c r="H253" s="8">
        <f>IF($A253="",0,$F253-$G253)</f>
        <v/>
      </c>
      <c r="I253">
        <f>IF($A253="","",IF($H253=0,"Paid",IF($G253=0,"Unpaid","Partial")))</f>
        <v/>
      </c>
    </row>
    <row r="254">
      <c r="B254" s="7" t="n"/>
      <c r="D254" s="8">
        <f>IF($A254="",0,ROUND(SUMIFS(InvoiceLines!$G$2:$G$4001,InvoiceLines!$A$2:$A$4001,$A254),2))</f>
        <v/>
      </c>
      <c r="E254" s="8">
        <f>IF($A254="",0,ROUND($D254*18%,2))</f>
        <v/>
      </c>
      <c r="F254" s="8">
        <f>IF($A254="",0,$D254+$E254)</f>
        <v/>
      </c>
      <c r="G254" s="8" t="n"/>
      <c r="H254" s="8">
        <f>IF($A254="",0,$F254-$G254)</f>
        <v/>
      </c>
      <c r="I254">
        <f>IF($A254="","",IF($H254=0,"Paid",IF($G254=0,"Unpaid","Partial")))</f>
        <v/>
      </c>
    </row>
    <row r="255">
      <c r="B255" s="7" t="n"/>
      <c r="D255" s="8">
        <f>IF($A255="",0,ROUND(SUMIFS(InvoiceLines!$G$2:$G$4001,InvoiceLines!$A$2:$A$4001,$A255),2))</f>
        <v/>
      </c>
      <c r="E255" s="8">
        <f>IF($A255="",0,ROUND($D255*18%,2))</f>
        <v/>
      </c>
      <c r="F255" s="8">
        <f>IF($A255="",0,$D255+$E255)</f>
        <v/>
      </c>
      <c r="G255" s="8" t="n"/>
      <c r="H255" s="8">
        <f>IF($A255="",0,$F255-$G255)</f>
        <v/>
      </c>
      <c r="I255">
        <f>IF($A255="","",IF($H255=0,"Paid",IF($G255=0,"Unpaid","Partial")))</f>
        <v/>
      </c>
    </row>
    <row r="256">
      <c r="B256" s="7" t="n"/>
      <c r="D256" s="8">
        <f>IF($A256="",0,ROUND(SUMIFS(InvoiceLines!$G$2:$G$4001,InvoiceLines!$A$2:$A$4001,$A256),2))</f>
        <v/>
      </c>
      <c r="E256" s="8">
        <f>IF($A256="",0,ROUND($D256*18%,2))</f>
        <v/>
      </c>
      <c r="F256" s="8">
        <f>IF($A256="",0,$D256+$E256)</f>
        <v/>
      </c>
      <c r="G256" s="8" t="n"/>
      <c r="H256" s="8">
        <f>IF($A256="",0,$F256-$G256)</f>
        <v/>
      </c>
      <c r="I256">
        <f>IF($A256="","",IF($H256=0,"Paid",IF($G256=0,"Unpaid","Partial")))</f>
        <v/>
      </c>
    </row>
    <row r="257">
      <c r="B257" s="7" t="n"/>
      <c r="D257" s="8">
        <f>IF($A257="",0,ROUND(SUMIFS(InvoiceLines!$G$2:$G$4001,InvoiceLines!$A$2:$A$4001,$A257),2))</f>
        <v/>
      </c>
      <c r="E257" s="8">
        <f>IF($A257="",0,ROUND($D257*18%,2))</f>
        <v/>
      </c>
      <c r="F257" s="8">
        <f>IF($A257="",0,$D257+$E257)</f>
        <v/>
      </c>
      <c r="G257" s="8" t="n"/>
      <c r="H257" s="8">
        <f>IF($A257="",0,$F257-$G257)</f>
        <v/>
      </c>
      <c r="I257">
        <f>IF($A257="","",IF($H257=0,"Paid",IF($G257=0,"Unpaid","Partial")))</f>
        <v/>
      </c>
    </row>
    <row r="258">
      <c r="B258" s="7" t="n"/>
      <c r="D258" s="8">
        <f>IF($A258="",0,ROUND(SUMIFS(InvoiceLines!$G$2:$G$4001,InvoiceLines!$A$2:$A$4001,$A258),2))</f>
        <v/>
      </c>
      <c r="E258" s="8">
        <f>IF($A258="",0,ROUND($D258*18%,2))</f>
        <v/>
      </c>
      <c r="F258" s="8">
        <f>IF($A258="",0,$D258+$E258)</f>
        <v/>
      </c>
      <c r="G258" s="8" t="n"/>
      <c r="H258" s="8">
        <f>IF($A258="",0,$F258-$G258)</f>
        <v/>
      </c>
      <c r="I258">
        <f>IF($A258="","",IF($H258=0,"Paid",IF($G258=0,"Unpaid","Partial")))</f>
        <v/>
      </c>
    </row>
    <row r="259">
      <c r="B259" s="7" t="n"/>
      <c r="D259" s="8">
        <f>IF($A259="",0,ROUND(SUMIFS(InvoiceLines!$G$2:$G$4001,InvoiceLines!$A$2:$A$4001,$A259),2))</f>
        <v/>
      </c>
      <c r="E259" s="8">
        <f>IF($A259="",0,ROUND($D259*18%,2))</f>
        <v/>
      </c>
      <c r="F259" s="8">
        <f>IF($A259="",0,$D259+$E259)</f>
        <v/>
      </c>
      <c r="G259" s="8" t="n"/>
      <c r="H259" s="8">
        <f>IF($A259="",0,$F259-$G259)</f>
        <v/>
      </c>
      <c r="I259">
        <f>IF($A259="","",IF($H259=0,"Paid",IF($G259=0,"Unpaid","Partial")))</f>
        <v/>
      </c>
    </row>
    <row r="260">
      <c r="B260" s="7" t="n"/>
      <c r="D260" s="8">
        <f>IF($A260="",0,ROUND(SUMIFS(InvoiceLines!$G$2:$G$4001,InvoiceLines!$A$2:$A$4001,$A260),2))</f>
        <v/>
      </c>
      <c r="E260" s="8">
        <f>IF($A260="",0,ROUND($D260*18%,2))</f>
        <v/>
      </c>
      <c r="F260" s="8">
        <f>IF($A260="",0,$D260+$E260)</f>
        <v/>
      </c>
      <c r="G260" s="8" t="n"/>
      <c r="H260" s="8">
        <f>IF($A260="",0,$F260-$G260)</f>
        <v/>
      </c>
      <c r="I260">
        <f>IF($A260="","",IF($H260=0,"Paid",IF($G260=0,"Unpaid","Partial")))</f>
        <v/>
      </c>
    </row>
    <row r="261">
      <c r="B261" s="7" t="n"/>
      <c r="D261" s="8">
        <f>IF($A261="",0,ROUND(SUMIFS(InvoiceLines!$G$2:$G$4001,InvoiceLines!$A$2:$A$4001,$A261),2))</f>
        <v/>
      </c>
      <c r="E261" s="8">
        <f>IF($A261="",0,ROUND($D261*18%,2))</f>
        <v/>
      </c>
      <c r="F261" s="8">
        <f>IF($A261="",0,$D261+$E261)</f>
        <v/>
      </c>
      <c r="G261" s="8" t="n"/>
      <c r="H261" s="8">
        <f>IF($A261="",0,$F261-$G261)</f>
        <v/>
      </c>
      <c r="I261">
        <f>IF($A261="","",IF($H261=0,"Paid",IF($G261=0,"Unpaid","Partial")))</f>
        <v/>
      </c>
    </row>
    <row r="262">
      <c r="B262" s="7" t="n"/>
      <c r="D262" s="8">
        <f>IF($A262="",0,ROUND(SUMIFS(InvoiceLines!$G$2:$G$4001,InvoiceLines!$A$2:$A$4001,$A262),2))</f>
        <v/>
      </c>
      <c r="E262" s="8">
        <f>IF($A262="",0,ROUND($D262*18%,2))</f>
        <v/>
      </c>
      <c r="F262" s="8">
        <f>IF($A262="",0,$D262+$E262)</f>
        <v/>
      </c>
      <c r="G262" s="8" t="n"/>
      <c r="H262" s="8">
        <f>IF($A262="",0,$F262-$G262)</f>
        <v/>
      </c>
      <c r="I262">
        <f>IF($A262="","",IF($H262=0,"Paid",IF($G262=0,"Unpaid","Partial")))</f>
        <v/>
      </c>
    </row>
    <row r="263">
      <c r="B263" s="7" t="n"/>
      <c r="D263" s="8">
        <f>IF($A263="",0,ROUND(SUMIFS(InvoiceLines!$G$2:$G$4001,InvoiceLines!$A$2:$A$4001,$A263),2))</f>
        <v/>
      </c>
      <c r="E263" s="8">
        <f>IF($A263="",0,ROUND($D263*18%,2))</f>
        <v/>
      </c>
      <c r="F263" s="8">
        <f>IF($A263="",0,$D263+$E263)</f>
        <v/>
      </c>
      <c r="G263" s="8" t="n"/>
      <c r="H263" s="8">
        <f>IF($A263="",0,$F263-$G263)</f>
        <v/>
      </c>
      <c r="I263">
        <f>IF($A263="","",IF($H263=0,"Paid",IF($G263=0,"Unpaid","Partial")))</f>
        <v/>
      </c>
    </row>
    <row r="264">
      <c r="B264" s="7" t="n"/>
      <c r="D264" s="8">
        <f>IF($A264="",0,ROUND(SUMIFS(InvoiceLines!$G$2:$G$4001,InvoiceLines!$A$2:$A$4001,$A264),2))</f>
        <v/>
      </c>
      <c r="E264" s="8">
        <f>IF($A264="",0,ROUND($D264*18%,2))</f>
        <v/>
      </c>
      <c r="F264" s="8">
        <f>IF($A264="",0,$D264+$E264)</f>
        <v/>
      </c>
      <c r="G264" s="8" t="n"/>
      <c r="H264" s="8">
        <f>IF($A264="",0,$F264-$G264)</f>
        <v/>
      </c>
      <c r="I264">
        <f>IF($A264="","",IF($H264=0,"Paid",IF($G264=0,"Unpaid","Partial")))</f>
        <v/>
      </c>
    </row>
    <row r="265">
      <c r="B265" s="7" t="n"/>
      <c r="D265" s="8">
        <f>IF($A265="",0,ROUND(SUMIFS(InvoiceLines!$G$2:$G$4001,InvoiceLines!$A$2:$A$4001,$A265),2))</f>
        <v/>
      </c>
      <c r="E265" s="8">
        <f>IF($A265="",0,ROUND($D265*18%,2))</f>
        <v/>
      </c>
      <c r="F265" s="8">
        <f>IF($A265="",0,$D265+$E265)</f>
        <v/>
      </c>
      <c r="G265" s="8" t="n"/>
      <c r="H265" s="8">
        <f>IF($A265="",0,$F265-$G265)</f>
        <v/>
      </c>
      <c r="I265">
        <f>IF($A265="","",IF($H265=0,"Paid",IF($G265=0,"Unpaid","Partial")))</f>
        <v/>
      </c>
    </row>
    <row r="266">
      <c r="B266" s="7" t="n"/>
      <c r="D266" s="8">
        <f>IF($A266="",0,ROUND(SUMIFS(InvoiceLines!$G$2:$G$4001,InvoiceLines!$A$2:$A$4001,$A266),2))</f>
        <v/>
      </c>
      <c r="E266" s="8">
        <f>IF($A266="",0,ROUND($D266*18%,2))</f>
        <v/>
      </c>
      <c r="F266" s="8">
        <f>IF($A266="",0,$D266+$E266)</f>
        <v/>
      </c>
      <c r="G266" s="8" t="n"/>
      <c r="H266" s="8">
        <f>IF($A266="",0,$F266-$G266)</f>
        <v/>
      </c>
      <c r="I266">
        <f>IF($A266="","",IF($H266=0,"Paid",IF($G266=0,"Unpaid","Partial")))</f>
        <v/>
      </c>
    </row>
    <row r="267">
      <c r="B267" s="7" t="n"/>
      <c r="D267" s="8">
        <f>IF($A267="",0,ROUND(SUMIFS(InvoiceLines!$G$2:$G$4001,InvoiceLines!$A$2:$A$4001,$A267),2))</f>
        <v/>
      </c>
      <c r="E267" s="8">
        <f>IF($A267="",0,ROUND($D267*18%,2))</f>
        <v/>
      </c>
      <c r="F267" s="8">
        <f>IF($A267="",0,$D267+$E267)</f>
        <v/>
      </c>
      <c r="G267" s="8" t="n"/>
      <c r="H267" s="8">
        <f>IF($A267="",0,$F267-$G267)</f>
        <v/>
      </c>
      <c r="I267">
        <f>IF($A267="","",IF($H267=0,"Paid",IF($G267=0,"Unpaid","Partial")))</f>
        <v/>
      </c>
    </row>
    <row r="268">
      <c r="B268" s="7" t="n"/>
      <c r="D268" s="8">
        <f>IF($A268="",0,ROUND(SUMIFS(InvoiceLines!$G$2:$G$4001,InvoiceLines!$A$2:$A$4001,$A268),2))</f>
        <v/>
      </c>
      <c r="E268" s="8">
        <f>IF($A268="",0,ROUND($D268*18%,2))</f>
        <v/>
      </c>
      <c r="F268" s="8">
        <f>IF($A268="",0,$D268+$E268)</f>
        <v/>
      </c>
      <c r="G268" s="8" t="n"/>
      <c r="H268" s="8">
        <f>IF($A268="",0,$F268-$G268)</f>
        <v/>
      </c>
      <c r="I268">
        <f>IF($A268="","",IF($H268=0,"Paid",IF($G268=0,"Unpaid","Partial")))</f>
        <v/>
      </c>
    </row>
    <row r="269">
      <c r="B269" s="7" t="n"/>
      <c r="D269" s="8">
        <f>IF($A269="",0,ROUND(SUMIFS(InvoiceLines!$G$2:$G$4001,InvoiceLines!$A$2:$A$4001,$A269),2))</f>
        <v/>
      </c>
      <c r="E269" s="8">
        <f>IF($A269="",0,ROUND($D269*18%,2))</f>
        <v/>
      </c>
      <c r="F269" s="8">
        <f>IF($A269="",0,$D269+$E269)</f>
        <v/>
      </c>
      <c r="G269" s="8" t="n"/>
      <c r="H269" s="8">
        <f>IF($A269="",0,$F269-$G269)</f>
        <v/>
      </c>
      <c r="I269">
        <f>IF($A269="","",IF($H269=0,"Paid",IF($G269=0,"Unpaid","Partial")))</f>
        <v/>
      </c>
    </row>
    <row r="270">
      <c r="B270" s="7" t="n"/>
      <c r="D270" s="8">
        <f>IF($A270="",0,ROUND(SUMIFS(InvoiceLines!$G$2:$G$4001,InvoiceLines!$A$2:$A$4001,$A270),2))</f>
        <v/>
      </c>
      <c r="E270" s="8">
        <f>IF($A270="",0,ROUND($D270*18%,2))</f>
        <v/>
      </c>
      <c r="F270" s="8">
        <f>IF($A270="",0,$D270+$E270)</f>
        <v/>
      </c>
      <c r="G270" s="8" t="n"/>
      <c r="H270" s="8">
        <f>IF($A270="",0,$F270-$G270)</f>
        <v/>
      </c>
      <c r="I270">
        <f>IF($A270="","",IF($H270=0,"Paid",IF($G270=0,"Unpaid","Partial")))</f>
        <v/>
      </c>
    </row>
    <row r="271">
      <c r="B271" s="7" t="n"/>
      <c r="D271" s="8">
        <f>IF($A271="",0,ROUND(SUMIFS(InvoiceLines!$G$2:$G$4001,InvoiceLines!$A$2:$A$4001,$A271),2))</f>
        <v/>
      </c>
      <c r="E271" s="8">
        <f>IF($A271="",0,ROUND($D271*18%,2))</f>
        <v/>
      </c>
      <c r="F271" s="8">
        <f>IF($A271="",0,$D271+$E271)</f>
        <v/>
      </c>
      <c r="G271" s="8" t="n"/>
      <c r="H271" s="8">
        <f>IF($A271="",0,$F271-$G271)</f>
        <v/>
      </c>
      <c r="I271">
        <f>IF($A271="","",IF($H271=0,"Paid",IF($G271=0,"Unpaid","Partial")))</f>
        <v/>
      </c>
    </row>
    <row r="272">
      <c r="B272" s="7" t="n"/>
      <c r="D272" s="8">
        <f>IF($A272="",0,ROUND(SUMIFS(InvoiceLines!$G$2:$G$4001,InvoiceLines!$A$2:$A$4001,$A272),2))</f>
        <v/>
      </c>
      <c r="E272" s="8">
        <f>IF($A272="",0,ROUND($D272*18%,2))</f>
        <v/>
      </c>
      <c r="F272" s="8">
        <f>IF($A272="",0,$D272+$E272)</f>
        <v/>
      </c>
      <c r="G272" s="8" t="n"/>
      <c r="H272" s="8">
        <f>IF($A272="",0,$F272-$G272)</f>
        <v/>
      </c>
      <c r="I272">
        <f>IF($A272="","",IF($H272=0,"Paid",IF($G272=0,"Unpaid","Partial")))</f>
        <v/>
      </c>
    </row>
    <row r="273">
      <c r="B273" s="7" t="n"/>
      <c r="D273" s="8">
        <f>IF($A273="",0,ROUND(SUMIFS(InvoiceLines!$G$2:$G$4001,InvoiceLines!$A$2:$A$4001,$A273),2))</f>
        <v/>
      </c>
      <c r="E273" s="8">
        <f>IF($A273="",0,ROUND($D273*18%,2))</f>
        <v/>
      </c>
      <c r="F273" s="8">
        <f>IF($A273="",0,$D273+$E273)</f>
        <v/>
      </c>
      <c r="G273" s="8" t="n"/>
      <c r="H273" s="8">
        <f>IF($A273="",0,$F273-$G273)</f>
        <v/>
      </c>
      <c r="I273">
        <f>IF($A273="","",IF($H273=0,"Paid",IF($G273=0,"Unpaid","Partial")))</f>
        <v/>
      </c>
    </row>
    <row r="274">
      <c r="B274" s="7" t="n"/>
      <c r="D274" s="8">
        <f>IF($A274="",0,ROUND(SUMIFS(InvoiceLines!$G$2:$G$4001,InvoiceLines!$A$2:$A$4001,$A274),2))</f>
        <v/>
      </c>
      <c r="E274" s="8">
        <f>IF($A274="",0,ROUND($D274*18%,2))</f>
        <v/>
      </c>
      <c r="F274" s="8">
        <f>IF($A274="",0,$D274+$E274)</f>
        <v/>
      </c>
      <c r="G274" s="8" t="n"/>
      <c r="H274" s="8">
        <f>IF($A274="",0,$F274-$G274)</f>
        <v/>
      </c>
      <c r="I274">
        <f>IF($A274="","",IF($H274=0,"Paid",IF($G274=0,"Unpaid","Partial")))</f>
        <v/>
      </c>
    </row>
    <row r="275">
      <c r="B275" s="7" t="n"/>
      <c r="D275" s="8">
        <f>IF($A275="",0,ROUND(SUMIFS(InvoiceLines!$G$2:$G$4001,InvoiceLines!$A$2:$A$4001,$A275),2))</f>
        <v/>
      </c>
      <c r="E275" s="8">
        <f>IF($A275="",0,ROUND($D275*18%,2))</f>
        <v/>
      </c>
      <c r="F275" s="8">
        <f>IF($A275="",0,$D275+$E275)</f>
        <v/>
      </c>
      <c r="G275" s="8" t="n"/>
      <c r="H275" s="8">
        <f>IF($A275="",0,$F275-$G275)</f>
        <v/>
      </c>
      <c r="I275">
        <f>IF($A275="","",IF($H275=0,"Paid",IF($G275=0,"Unpaid","Partial")))</f>
        <v/>
      </c>
    </row>
    <row r="276">
      <c r="B276" s="7" t="n"/>
      <c r="D276" s="8">
        <f>IF($A276="",0,ROUND(SUMIFS(InvoiceLines!$G$2:$G$4001,InvoiceLines!$A$2:$A$4001,$A276),2))</f>
        <v/>
      </c>
      <c r="E276" s="8">
        <f>IF($A276="",0,ROUND($D276*18%,2))</f>
        <v/>
      </c>
      <c r="F276" s="8">
        <f>IF($A276="",0,$D276+$E276)</f>
        <v/>
      </c>
      <c r="G276" s="8" t="n"/>
      <c r="H276" s="8">
        <f>IF($A276="",0,$F276-$G276)</f>
        <v/>
      </c>
      <c r="I276">
        <f>IF($A276="","",IF($H276=0,"Paid",IF($G276=0,"Unpaid","Partial")))</f>
        <v/>
      </c>
    </row>
    <row r="277">
      <c r="B277" s="7" t="n"/>
      <c r="D277" s="8">
        <f>IF($A277="",0,ROUND(SUMIFS(InvoiceLines!$G$2:$G$4001,InvoiceLines!$A$2:$A$4001,$A277),2))</f>
        <v/>
      </c>
      <c r="E277" s="8">
        <f>IF($A277="",0,ROUND($D277*18%,2))</f>
        <v/>
      </c>
      <c r="F277" s="8">
        <f>IF($A277="",0,$D277+$E277)</f>
        <v/>
      </c>
      <c r="G277" s="8" t="n"/>
      <c r="H277" s="8">
        <f>IF($A277="",0,$F277-$G277)</f>
        <v/>
      </c>
      <c r="I277">
        <f>IF($A277="","",IF($H277=0,"Paid",IF($G277=0,"Unpaid","Partial")))</f>
        <v/>
      </c>
    </row>
    <row r="278">
      <c r="B278" s="7" t="n"/>
      <c r="D278" s="8">
        <f>IF($A278="",0,ROUND(SUMIFS(InvoiceLines!$G$2:$G$4001,InvoiceLines!$A$2:$A$4001,$A278),2))</f>
        <v/>
      </c>
      <c r="E278" s="8">
        <f>IF($A278="",0,ROUND($D278*18%,2))</f>
        <v/>
      </c>
      <c r="F278" s="8">
        <f>IF($A278="",0,$D278+$E278)</f>
        <v/>
      </c>
      <c r="G278" s="8" t="n"/>
      <c r="H278" s="8">
        <f>IF($A278="",0,$F278-$G278)</f>
        <v/>
      </c>
      <c r="I278">
        <f>IF($A278="","",IF($H278=0,"Paid",IF($G278=0,"Unpaid","Partial")))</f>
        <v/>
      </c>
    </row>
    <row r="279">
      <c r="B279" s="7" t="n"/>
      <c r="D279" s="8">
        <f>IF($A279="",0,ROUND(SUMIFS(InvoiceLines!$G$2:$G$4001,InvoiceLines!$A$2:$A$4001,$A279),2))</f>
        <v/>
      </c>
      <c r="E279" s="8">
        <f>IF($A279="",0,ROUND($D279*18%,2))</f>
        <v/>
      </c>
      <c r="F279" s="8">
        <f>IF($A279="",0,$D279+$E279)</f>
        <v/>
      </c>
      <c r="G279" s="8" t="n"/>
      <c r="H279" s="8">
        <f>IF($A279="",0,$F279-$G279)</f>
        <v/>
      </c>
      <c r="I279">
        <f>IF($A279="","",IF($H279=0,"Paid",IF($G279=0,"Unpaid","Partial")))</f>
        <v/>
      </c>
    </row>
    <row r="280">
      <c r="B280" s="7" t="n"/>
      <c r="D280" s="8">
        <f>IF($A280="",0,ROUND(SUMIFS(InvoiceLines!$G$2:$G$4001,InvoiceLines!$A$2:$A$4001,$A280),2))</f>
        <v/>
      </c>
      <c r="E280" s="8">
        <f>IF($A280="",0,ROUND($D280*18%,2))</f>
        <v/>
      </c>
      <c r="F280" s="8">
        <f>IF($A280="",0,$D280+$E280)</f>
        <v/>
      </c>
      <c r="G280" s="8" t="n"/>
      <c r="H280" s="8">
        <f>IF($A280="",0,$F280-$G280)</f>
        <v/>
      </c>
      <c r="I280">
        <f>IF($A280="","",IF($H280=0,"Paid",IF($G280=0,"Unpaid","Partial")))</f>
        <v/>
      </c>
    </row>
    <row r="281">
      <c r="B281" s="7" t="n"/>
      <c r="D281" s="8">
        <f>IF($A281="",0,ROUND(SUMIFS(InvoiceLines!$G$2:$G$4001,InvoiceLines!$A$2:$A$4001,$A281),2))</f>
        <v/>
      </c>
      <c r="E281" s="8">
        <f>IF($A281="",0,ROUND($D281*18%,2))</f>
        <v/>
      </c>
      <c r="F281" s="8">
        <f>IF($A281="",0,$D281+$E281)</f>
        <v/>
      </c>
      <c r="G281" s="8" t="n"/>
      <c r="H281" s="8">
        <f>IF($A281="",0,$F281-$G281)</f>
        <v/>
      </c>
      <c r="I281">
        <f>IF($A281="","",IF($H281=0,"Paid",IF($G281=0,"Unpaid","Partial")))</f>
        <v/>
      </c>
    </row>
    <row r="282">
      <c r="B282" s="7" t="n"/>
      <c r="D282" s="8">
        <f>IF($A282="",0,ROUND(SUMIFS(InvoiceLines!$G$2:$G$4001,InvoiceLines!$A$2:$A$4001,$A282),2))</f>
        <v/>
      </c>
      <c r="E282" s="8">
        <f>IF($A282="",0,ROUND($D282*18%,2))</f>
        <v/>
      </c>
      <c r="F282" s="8">
        <f>IF($A282="",0,$D282+$E282)</f>
        <v/>
      </c>
      <c r="G282" s="8" t="n"/>
      <c r="H282" s="8">
        <f>IF($A282="",0,$F282-$G282)</f>
        <v/>
      </c>
      <c r="I282">
        <f>IF($A282="","",IF($H282=0,"Paid",IF($G282=0,"Unpaid","Partial")))</f>
        <v/>
      </c>
    </row>
    <row r="283">
      <c r="B283" s="7" t="n"/>
      <c r="D283" s="8">
        <f>IF($A283="",0,ROUND(SUMIFS(InvoiceLines!$G$2:$G$4001,InvoiceLines!$A$2:$A$4001,$A283),2))</f>
        <v/>
      </c>
      <c r="E283" s="8">
        <f>IF($A283="",0,ROUND($D283*18%,2))</f>
        <v/>
      </c>
      <c r="F283" s="8">
        <f>IF($A283="",0,$D283+$E283)</f>
        <v/>
      </c>
      <c r="G283" s="8" t="n"/>
      <c r="H283" s="8">
        <f>IF($A283="",0,$F283-$G283)</f>
        <v/>
      </c>
      <c r="I283">
        <f>IF($A283="","",IF($H283=0,"Paid",IF($G283=0,"Unpaid","Partial")))</f>
        <v/>
      </c>
    </row>
    <row r="284">
      <c r="B284" s="7" t="n"/>
      <c r="D284" s="8">
        <f>IF($A284="",0,ROUND(SUMIFS(InvoiceLines!$G$2:$G$4001,InvoiceLines!$A$2:$A$4001,$A284),2))</f>
        <v/>
      </c>
      <c r="E284" s="8">
        <f>IF($A284="",0,ROUND($D284*18%,2))</f>
        <v/>
      </c>
      <c r="F284" s="8">
        <f>IF($A284="",0,$D284+$E284)</f>
        <v/>
      </c>
      <c r="G284" s="8" t="n"/>
      <c r="H284" s="8">
        <f>IF($A284="",0,$F284-$G284)</f>
        <v/>
      </c>
      <c r="I284">
        <f>IF($A284="","",IF($H284=0,"Paid",IF($G284=0,"Unpaid","Partial")))</f>
        <v/>
      </c>
    </row>
    <row r="285">
      <c r="B285" s="7" t="n"/>
      <c r="D285" s="8">
        <f>IF($A285="",0,ROUND(SUMIFS(InvoiceLines!$G$2:$G$4001,InvoiceLines!$A$2:$A$4001,$A285),2))</f>
        <v/>
      </c>
      <c r="E285" s="8">
        <f>IF($A285="",0,ROUND($D285*18%,2))</f>
        <v/>
      </c>
      <c r="F285" s="8">
        <f>IF($A285="",0,$D285+$E285)</f>
        <v/>
      </c>
      <c r="G285" s="8" t="n"/>
      <c r="H285" s="8">
        <f>IF($A285="",0,$F285-$G285)</f>
        <v/>
      </c>
      <c r="I285">
        <f>IF($A285="","",IF($H285=0,"Paid",IF($G285=0,"Unpaid","Partial")))</f>
        <v/>
      </c>
    </row>
    <row r="286">
      <c r="B286" s="7" t="n"/>
      <c r="D286" s="8">
        <f>IF($A286="",0,ROUND(SUMIFS(InvoiceLines!$G$2:$G$4001,InvoiceLines!$A$2:$A$4001,$A286),2))</f>
        <v/>
      </c>
      <c r="E286" s="8">
        <f>IF($A286="",0,ROUND($D286*18%,2))</f>
        <v/>
      </c>
      <c r="F286" s="8">
        <f>IF($A286="",0,$D286+$E286)</f>
        <v/>
      </c>
      <c r="G286" s="8" t="n"/>
      <c r="H286" s="8">
        <f>IF($A286="",0,$F286-$G286)</f>
        <v/>
      </c>
      <c r="I286">
        <f>IF($A286="","",IF($H286=0,"Paid",IF($G286=0,"Unpaid","Partial")))</f>
        <v/>
      </c>
    </row>
    <row r="287">
      <c r="B287" s="7" t="n"/>
      <c r="D287" s="8">
        <f>IF($A287="",0,ROUND(SUMIFS(InvoiceLines!$G$2:$G$4001,InvoiceLines!$A$2:$A$4001,$A287),2))</f>
        <v/>
      </c>
      <c r="E287" s="8">
        <f>IF($A287="",0,ROUND($D287*18%,2))</f>
        <v/>
      </c>
      <c r="F287" s="8">
        <f>IF($A287="",0,$D287+$E287)</f>
        <v/>
      </c>
      <c r="G287" s="8" t="n"/>
      <c r="H287" s="8">
        <f>IF($A287="",0,$F287-$G287)</f>
        <v/>
      </c>
      <c r="I287">
        <f>IF($A287="","",IF($H287=0,"Paid",IF($G287=0,"Unpaid","Partial")))</f>
        <v/>
      </c>
    </row>
    <row r="288">
      <c r="B288" s="7" t="n"/>
      <c r="D288" s="8">
        <f>IF($A288="",0,ROUND(SUMIFS(InvoiceLines!$G$2:$G$4001,InvoiceLines!$A$2:$A$4001,$A288),2))</f>
        <v/>
      </c>
      <c r="E288" s="8">
        <f>IF($A288="",0,ROUND($D288*18%,2))</f>
        <v/>
      </c>
      <c r="F288" s="8">
        <f>IF($A288="",0,$D288+$E288)</f>
        <v/>
      </c>
      <c r="G288" s="8" t="n"/>
      <c r="H288" s="8">
        <f>IF($A288="",0,$F288-$G288)</f>
        <v/>
      </c>
      <c r="I288">
        <f>IF($A288="","",IF($H288=0,"Paid",IF($G288=0,"Unpaid","Partial")))</f>
        <v/>
      </c>
    </row>
    <row r="289">
      <c r="B289" s="7" t="n"/>
      <c r="D289" s="8">
        <f>IF($A289="",0,ROUND(SUMIFS(InvoiceLines!$G$2:$G$4001,InvoiceLines!$A$2:$A$4001,$A289),2))</f>
        <v/>
      </c>
      <c r="E289" s="8">
        <f>IF($A289="",0,ROUND($D289*18%,2))</f>
        <v/>
      </c>
      <c r="F289" s="8">
        <f>IF($A289="",0,$D289+$E289)</f>
        <v/>
      </c>
      <c r="G289" s="8" t="n"/>
      <c r="H289" s="8">
        <f>IF($A289="",0,$F289-$G289)</f>
        <v/>
      </c>
      <c r="I289">
        <f>IF($A289="","",IF($H289=0,"Paid",IF($G289=0,"Unpaid","Partial")))</f>
        <v/>
      </c>
    </row>
    <row r="290">
      <c r="B290" s="7" t="n"/>
      <c r="D290" s="8">
        <f>IF($A290="",0,ROUND(SUMIFS(InvoiceLines!$G$2:$G$4001,InvoiceLines!$A$2:$A$4001,$A290),2))</f>
        <v/>
      </c>
      <c r="E290" s="8">
        <f>IF($A290="",0,ROUND($D290*18%,2))</f>
        <v/>
      </c>
      <c r="F290" s="8">
        <f>IF($A290="",0,$D290+$E290)</f>
        <v/>
      </c>
      <c r="G290" s="8" t="n"/>
      <c r="H290" s="8">
        <f>IF($A290="",0,$F290-$G290)</f>
        <v/>
      </c>
      <c r="I290">
        <f>IF($A290="","",IF($H290=0,"Paid",IF($G290=0,"Unpaid","Partial")))</f>
        <v/>
      </c>
    </row>
    <row r="291">
      <c r="B291" s="7" t="n"/>
      <c r="D291" s="8">
        <f>IF($A291="",0,ROUND(SUMIFS(InvoiceLines!$G$2:$G$4001,InvoiceLines!$A$2:$A$4001,$A291),2))</f>
        <v/>
      </c>
      <c r="E291" s="8">
        <f>IF($A291="",0,ROUND($D291*18%,2))</f>
        <v/>
      </c>
      <c r="F291" s="8">
        <f>IF($A291="",0,$D291+$E291)</f>
        <v/>
      </c>
      <c r="G291" s="8" t="n"/>
      <c r="H291" s="8">
        <f>IF($A291="",0,$F291-$G291)</f>
        <v/>
      </c>
      <c r="I291">
        <f>IF($A291="","",IF($H291=0,"Paid",IF($G291=0,"Unpaid","Partial")))</f>
        <v/>
      </c>
    </row>
    <row r="292">
      <c r="B292" s="7" t="n"/>
      <c r="D292" s="8">
        <f>IF($A292="",0,ROUND(SUMIFS(InvoiceLines!$G$2:$G$4001,InvoiceLines!$A$2:$A$4001,$A292),2))</f>
        <v/>
      </c>
      <c r="E292" s="8">
        <f>IF($A292="",0,ROUND($D292*18%,2))</f>
        <v/>
      </c>
      <c r="F292" s="8">
        <f>IF($A292="",0,$D292+$E292)</f>
        <v/>
      </c>
      <c r="G292" s="8" t="n"/>
      <c r="H292" s="8">
        <f>IF($A292="",0,$F292-$G292)</f>
        <v/>
      </c>
      <c r="I292">
        <f>IF($A292="","",IF($H292=0,"Paid",IF($G292=0,"Unpaid","Partial")))</f>
        <v/>
      </c>
    </row>
    <row r="293">
      <c r="B293" s="7" t="n"/>
      <c r="D293" s="8">
        <f>IF($A293="",0,ROUND(SUMIFS(InvoiceLines!$G$2:$G$4001,InvoiceLines!$A$2:$A$4001,$A293),2))</f>
        <v/>
      </c>
      <c r="E293" s="8">
        <f>IF($A293="",0,ROUND($D293*18%,2))</f>
        <v/>
      </c>
      <c r="F293" s="8">
        <f>IF($A293="",0,$D293+$E293)</f>
        <v/>
      </c>
      <c r="G293" s="8" t="n"/>
      <c r="H293" s="8">
        <f>IF($A293="",0,$F293-$G293)</f>
        <v/>
      </c>
      <c r="I293">
        <f>IF($A293="","",IF($H293=0,"Paid",IF($G293=0,"Unpaid","Partial")))</f>
        <v/>
      </c>
    </row>
    <row r="294">
      <c r="B294" s="7" t="n"/>
      <c r="D294" s="8">
        <f>IF($A294="",0,ROUND(SUMIFS(InvoiceLines!$G$2:$G$4001,InvoiceLines!$A$2:$A$4001,$A294),2))</f>
        <v/>
      </c>
      <c r="E294" s="8">
        <f>IF($A294="",0,ROUND($D294*18%,2))</f>
        <v/>
      </c>
      <c r="F294" s="8">
        <f>IF($A294="",0,$D294+$E294)</f>
        <v/>
      </c>
      <c r="G294" s="8" t="n"/>
      <c r="H294" s="8">
        <f>IF($A294="",0,$F294-$G294)</f>
        <v/>
      </c>
      <c r="I294">
        <f>IF($A294="","",IF($H294=0,"Paid",IF($G294=0,"Unpaid","Partial")))</f>
        <v/>
      </c>
    </row>
    <row r="295">
      <c r="B295" s="7" t="n"/>
      <c r="D295" s="8">
        <f>IF($A295="",0,ROUND(SUMIFS(InvoiceLines!$G$2:$G$4001,InvoiceLines!$A$2:$A$4001,$A295),2))</f>
        <v/>
      </c>
      <c r="E295" s="8">
        <f>IF($A295="",0,ROUND($D295*18%,2))</f>
        <v/>
      </c>
      <c r="F295" s="8">
        <f>IF($A295="",0,$D295+$E295)</f>
        <v/>
      </c>
      <c r="G295" s="8" t="n"/>
      <c r="H295" s="8">
        <f>IF($A295="",0,$F295-$G295)</f>
        <v/>
      </c>
      <c r="I295">
        <f>IF($A295="","",IF($H295=0,"Paid",IF($G295=0,"Unpaid","Partial")))</f>
        <v/>
      </c>
    </row>
    <row r="296">
      <c r="B296" s="7" t="n"/>
      <c r="D296" s="8">
        <f>IF($A296="",0,ROUND(SUMIFS(InvoiceLines!$G$2:$G$4001,InvoiceLines!$A$2:$A$4001,$A296),2))</f>
        <v/>
      </c>
      <c r="E296" s="8">
        <f>IF($A296="",0,ROUND($D296*18%,2))</f>
        <v/>
      </c>
      <c r="F296" s="8">
        <f>IF($A296="",0,$D296+$E296)</f>
        <v/>
      </c>
      <c r="G296" s="8" t="n"/>
      <c r="H296" s="8">
        <f>IF($A296="",0,$F296-$G296)</f>
        <v/>
      </c>
      <c r="I296">
        <f>IF($A296="","",IF($H296=0,"Paid",IF($G296=0,"Unpaid","Partial")))</f>
        <v/>
      </c>
    </row>
    <row r="297">
      <c r="B297" s="7" t="n"/>
      <c r="D297" s="8">
        <f>IF($A297="",0,ROUND(SUMIFS(InvoiceLines!$G$2:$G$4001,InvoiceLines!$A$2:$A$4001,$A297),2))</f>
        <v/>
      </c>
      <c r="E297" s="8">
        <f>IF($A297="",0,ROUND($D297*18%,2))</f>
        <v/>
      </c>
      <c r="F297" s="8">
        <f>IF($A297="",0,$D297+$E297)</f>
        <v/>
      </c>
      <c r="G297" s="8" t="n"/>
      <c r="H297" s="8">
        <f>IF($A297="",0,$F297-$G297)</f>
        <v/>
      </c>
      <c r="I297">
        <f>IF($A297="","",IF($H297=0,"Paid",IF($G297=0,"Unpaid","Partial")))</f>
        <v/>
      </c>
    </row>
    <row r="298">
      <c r="B298" s="7" t="n"/>
      <c r="D298" s="8">
        <f>IF($A298="",0,ROUND(SUMIFS(InvoiceLines!$G$2:$G$4001,InvoiceLines!$A$2:$A$4001,$A298),2))</f>
        <v/>
      </c>
      <c r="E298" s="8">
        <f>IF($A298="",0,ROUND($D298*18%,2))</f>
        <v/>
      </c>
      <c r="F298" s="8">
        <f>IF($A298="",0,$D298+$E298)</f>
        <v/>
      </c>
      <c r="G298" s="8" t="n"/>
      <c r="H298" s="8">
        <f>IF($A298="",0,$F298-$G298)</f>
        <v/>
      </c>
      <c r="I298">
        <f>IF($A298="","",IF($H298=0,"Paid",IF($G298=0,"Unpaid","Partial")))</f>
        <v/>
      </c>
    </row>
    <row r="299">
      <c r="B299" s="7" t="n"/>
      <c r="D299" s="8">
        <f>IF($A299="",0,ROUND(SUMIFS(InvoiceLines!$G$2:$G$4001,InvoiceLines!$A$2:$A$4001,$A299),2))</f>
        <v/>
      </c>
      <c r="E299" s="8">
        <f>IF($A299="",0,ROUND($D299*18%,2))</f>
        <v/>
      </c>
      <c r="F299" s="8">
        <f>IF($A299="",0,$D299+$E299)</f>
        <v/>
      </c>
      <c r="G299" s="8" t="n"/>
      <c r="H299" s="8">
        <f>IF($A299="",0,$F299-$G299)</f>
        <v/>
      </c>
      <c r="I299">
        <f>IF($A299="","",IF($H299=0,"Paid",IF($G299=0,"Unpaid","Partial")))</f>
        <v/>
      </c>
    </row>
    <row r="300">
      <c r="B300" s="7" t="n"/>
      <c r="D300" s="8">
        <f>IF($A300="",0,ROUND(SUMIFS(InvoiceLines!$G$2:$G$4001,InvoiceLines!$A$2:$A$4001,$A300),2))</f>
        <v/>
      </c>
      <c r="E300" s="8">
        <f>IF($A300="",0,ROUND($D300*18%,2))</f>
        <v/>
      </c>
      <c r="F300" s="8">
        <f>IF($A300="",0,$D300+$E300)</f>
        <v/>
      </c>
      <c r="G300" s="8" t="n"/>
      <c r="H300" s="8">
        <f>IF($A300="",0,$F300-$G300)</f>
        <v/>
      </c>
      <c r="I300">
        <f>IF($A300="","",IF($H300=0,"Paid",IF($G300=0,"Unpaid","Partial")))</f>
        <v/>
      </c>
    </row>
    <row r="301">
      <c r="B301" s="7" t="n"/>
      <c r="D301" s="8">
        <f>IF($A301="",0,ROUND(SUMIFS(InvoiceLines!$G$2:$G$4001,InvoiceLines!$A$2:$A$4001,$A301),2))</f>
        <v/>
      </c>
      <c r="E301" s="8">
        <f>IF($A301="",0,ROUND($D301*18%,2))</f>
        <v/>
      </c>
      <c r="F301" s="8">
        <f>IF($A301="",0,$D301+$E301)</f>
        <v/>
      </c>
      <c r="G301" s="8" t="n"/>
      <c r="H301" s="8">
        <f>IF($A301="",0,$F301-$G301)</f>
        <v/>
      </c>
      <c r="I301">
        <f>IF($A301="","",IF($H301=0,"Paid",IF($G301=0,"Unpaid","Partial")))</f>
        <v/>
      </c>
    </row>
    <row r="302">
      <c r="B302" s="7" t="n"/>
      <c r="D302" s="8">
        <f>IF($A302="",0,ROUND(SUMIFS(InvoiceLines!$G$2:$G$4001,InvoiceLines!$A$2:$A$4001,$A302),2))</f>
        <v/>
      </c>
      <c r="E302" s="8">
        <f>IF($A302="",0,ROUND($D302*18%,2))</f>
        <v/>
      </c>
      <c r="F302" s="8">
        <f>IF($A302="",0,$D302+$E302)</f>
        <v/>
      </c>
      <c r="G302" s="8" t="n"/>
      <c r="H302" s="8">
        <f>IF($A302="",0,$F302-$G302)</f>
        <v/>
      </c>
      <c r="I302">
        <f>IF($A302="","",IF($H302=0,"Paid",IF($G302=0,"Unpaid","Partial")))</f>
        <v/>
      </c>
    </row>
    <row r="303">
      <c r="B303" s="7" t="n"/>
      <c r="D303" s="8">
        <f>IF($A303="",0,ROUND(SUMIFS(InvoiceLines!$G$2:$G$4001,InvoiceLines!$A$2:$A$4001,$A303),2))</f>
        <v/>
      </c>
      <c r="E303" s="8">
        <f>IF($A303="",0,ROUND($D303*18%,2))</f>
        <v/>
      </c>
      <c r="F303" s="8">
        <f>IF($A303="",0,$D303+$E303)</f>
        <v/>
      </c>
      <c r="G303" s="8" t="n"/>
      <c r="H303" s="8">
        <f>IF($A303="",0,$F303-$G303)</f>
        <v/>
      </c>
      <c r="I303">
        <f>IF($A303="","",IF($H303=0,"Paid",IF($G303=0,"Unpaid","Partial")))</f>
        <v/>
      </c>
    </row>
    <row r="304">
      <c r="B304" s="7" t="n"/>
      <c r="D304" s="8">
        <f>IF($A304="",0,ROUND(SUMIFS(InvoiceLines!$G$2:$G$4001,InvoiceLines!$A$2:$A$4001,$A304),2))</f>
        <v/>
      </c>
      <c r="E304" s="8">
        <f>IF($A304="",0,ROUND($D304*18%,2))</f>
        <v/>
      </c>
      <c r="F304" s="8">
        <f>IF($A304="",0,$D304+$E304)</f>
        <v/>
      </c>
      <c r="G304" s="8" t="n"/>
      <c r="H304" s="8">
        <f>IF($A304="",0,$F304-$G304)</f>
        <v/>
      </c>
      <c r="I304">
        <f>IF($A304="","",IF($H304=0,"Paid",IF($G304=0,"Unpaid","Partial")))</f>
        <v/>
      </c>
    </row>
    <row r="305">
      <c r="B305" s="7" t="n"/>
      <c r="D305" s="8">
        <f>IF($A305="",0,ROUND(SUMIFS(InvoiceLines!$G$2:$G$4001,InvoiceLines!$A$2:$A$4001,$A305),2))</f>
        <v/>
      </c>
      <c r="E305" s="8">
        <f>IF($A305="",0,ROUND($D305*18%,2))</f>
        <v/>
      </c>
      <c r="F305" s="8">
        <f>IF($A305="",0,$D305+$E305)</f>
        <v/>
      </c>
      <c r="G305" s="8" t="n"/>
      <c r="H305" s="8">
        <f>IF($A305="",0,$F305-$G305)</f>
        <v/>
      </c>
      <c r="I305">
        <f>IF($A305="","",IF($H305=0,"Paid",IF($G305=0,"Unpaid","Partial")))</f>
        <v/>
      </c>
    </row>
    <row r="306">
      <c r="B306" s="7" t="n"/>
      <c r="D306" s="8">
        <f>IF($A306="",0,ROUND(SUMIFS(InvoiceLines!$G$2:$G$4001,InvoiceLines!$A$2:$A$4001,$A306),2))</f>
        <v/>
      </c>
      <c r="E306" s="8">
        <f>IF($A306="",0,ROUND($D306*18%,2))</f>
        <v/>
      </c>
      <c r="F306" s="8">
        <f>IF($A306="",0,$D306+$E306)</f>
        <v/>
      </c>
      <c r="G306" s="8" t="n"/>
      <c r="H306" s="8">
        <f>IF($A306="",0,$F306-$G306)</f>
        <v/>
      </c>
      <c r="I306">
        <f>IF($A306="","",IF($H306=0,"Paid",IF($G306=0,"Unpaid","Partial")))</f>
        <v/>
      </c>
    </row>
    <row r="307">
      <c r="B307" s="7" t="n"/>
      <c r="D307" s="8">
        <f>IF($A307="",0,ROUND(SUMIFS(InvoiceLines!$G$2:$G$4001,InvoiceLines!$A$2:$A$4001,$A307),2))</f>
        <v/>
      </c>
      <c r="E307" s="8">
        <f>IF($A307="",0,ROUND($D307*18%,2))</f>
        <v/>
      </c>
      <c r="F307" s="8">
        <f>IF($A307="",0,$D307+$E307)</f>
        <v/>
      </c>
      <c r="G307" s="8" t="n"/>
      <c r="H307" s="8">
        <f>IF($A307="",0,$F307-$G307)</f>
        <v/>
      </c>
      <c r="I307">
        <f>IF($A307="","",IF($H307=0,"Paid",IF($G307=0,"Unpaid","Partial")))</f>
        <v/>
      </c>
    </row>
    <row r="308">
      <c r="B308" s="7" t="n"/>
      <c r="D308" s="8">
        <f>IF($A308="",0,ROUND(SUMIFS(InvoiceLines!$G$2:$G$4001,InvoiceLines!$A$2:$A$4001,$A308),2))</f>
        <v/>
      </c>
      <c r="E308" s="8">
        <f>IF($A308="",0,ROUND($D308*18%,2))</f>
        <v/>
      </c>
      <c r="F308" s="8">
        <f>IF($A308="",0,$D308+$E308)</f>
        <v/>
      </c>
      <c r="G308" s="8" t="n"/>
      <c r="H308" s="8">
        <f>IF($A308="",0,$F308-$G308)</f>
        <v/>
      </c>
      <c r="I308">
        <f>IF($A308="","",IF($H308=0,"Paid",IF($G308=0,"Unpaid","Partial")))</f>
        <v/>
      </c>
    </row>
    <row r="309">
      <c r="B309" s="7" t="n"/>
      <c r="D309" s="8">
        <f>IF($A309="",0,ROUND(SUMIFS(InvoiceLines!$G$2:$G$4001,InvoiceLines!$A$2:$A$4001,$A309),2))</f>
        <v/>
      </c>
      <c r="E309" s="8">
        <f>IF($A309="",0,ROUND($D309*18%,2))</f>
        <v/>
      </c>
      <c r="F309" s="8">
        <f>IF($A309="",0,$D309+$E309)</f>
        <v/>
      </c>
      <c r="G309" s="8" t="n"/>
      <c r="H309" s="8">
        <f>IF($A309="",0,$F309-$G309)</f>
        <v/>
      </c>
      <c r="I309">
        <f>IF($A309="","",IF($H309=0,"Paid",IF($G309=0,"Unpaid","Partial")))</f>
        <v/>
      </c>
    </row>
    <row r="310">
      <c r="B310" s="7" t="n"/>
      <c r="D310" s="8">
        <f>IF($A310="",0,ROUND(SUMIFS(InvoiceLines!$G$2:$G$4001,InvoiceLines!$A$2:$A$4001,$A310),2))</f>
        <v/>
      </c>
      <c r="E310" s="8">
        <f>IF($A310="",0,ROUND($D310*18%,2))</f>
        <v/>
      </c>
      <c r="F310" s="8">
        <f>IF($A310="",0,$D310+$E310)</f>
        <v/>
      </c>
      <c r="G310" s="8" t="n"/>
      <c r="H310" s="8">
        <f>IF($A310="",0,$F310-$G310)</f>
        <v/>
      </c>
      <c r="I310">
        <f>IF($A310="","",IF($H310=0,"Paid",IF($G310=0,"Unpaid","Partial")))</f>
        <v/>
      </c>
    </row>
    <row r="311">
      <c r="B311" s="7" t="n"/>
      <c r="D311" s="8">
        <f>IF($A311="",0,ROUND(SUMIFS(InvoiceLines!$G$2:$G$4001,InvoiceLines!$A$2:$A$4001,$A311),2))</f>
        <v/>
      </c>
      <c r="E311" s="8">
        <f>IF($A311="",0,ROUND($D311*18%,2))</f>
        <v/>
      </c>
      <c r="F311" s="8">
        <f>IF($A311="",0,$D311+$E311)</f>
        <v/>
      </c>
      <c r="G311" s="8" t="n"/>
      <c r="H311" s="8">
        <f>IF($A311="",0,$F311-$G311)</f>
        <v/>
      </c>
      <c r="I311">
        <f>IF($A311="","",IF($H311=0,"Paid",IF($G311=0,"Unpaid","Partial")))</f>
        <v/>
      </c>
    </row>
    <row r="312">
      <c r="B312" s="7" t="n"/>
      <c r="D312" s="8">
        <f>IF($A312="",0,ROUND(SUMIFS(InvoiceLines!$G$2:$G$4001,InvoiceLines!$A$2:$A$4001,$A312),2))</f>
        <v/>
      </c>
      <c r="E312" s="8">
        <f>IF($A312="",0,ROUND($D312*18%,2))</f>
        <v/>
      </c>
      <c r="F312" s="8">
        <f>IF($A312="",0,$D312+$E312)</f>
        <v/>
      </c>
      <c r="G312" s="8" t="n"/>
      <c r="H312" s="8">
        <f>IF($A312="",0,$F312-$G312)</f>
        <v/>
      </c>
      <c r="I312">
        <f>IF($A312="","",IF($H312=0,"Paid",IF($G312=0,"Unpaid","Partial")))</f>
        <v/>
      </c>
    </row>
    <row r="313">
      <c r="B313" s="7" t="n"/>
      <c r="D313" s="8">
        <f>IF($A313="",0,ROUND(SUMIFS(InvoiceLines!$G$2:$G$4001,InvoiceLines!$A$2:$A$4001,$A313),2))</f>
        <v/>
      </c>
      <c r="E313" s="8">
        <f>IF($A313="",0,ROUND($D313*18%,2))</f>
        <v/>
      </c>
      <c r="F313" s="8">
        <f>IF($A313="",0,$D313+$E313)</f>
        <v/>
      </c>
      <c r="G313" s="8" t="n"/>
      <c r="H313" s="8">
        <f>IF($A313="",0,$F313-$G313)</f>
        <v/>
      </c>
      <c r="I313">
        <f>IF($A313="","",IF($H313=0,"Paid",IF($G313=0,"Unpaid","Partial")))</f>
        <v/>
      </c>
    </row>
    <row r="314">
      <c r="B314" s="7" t="n"/>
      <c r="D314" s="8">
        <f>IF($A314="",0,ROUND(SUMIFS(InvoiceLines!$G$2:$G$4001,InvoiceLines!$A$2:$A$4001,$A314),2))</f>
        <v/>
      </c>
      <c r="E314" s="8">
        <f>IF($A314="",0,ROUND($D314*18%,2))</f>
        <v/>
      </c>
      <c r="F314" s="8">
        <f>IF($A314="",0,$D314+$E314)</f>
        <v/>
      </c>
      <c r="G314" s="8" t="n"/>
      <c r="H314" s="8">
        <f>IF($A314="",0,$F314-$G314)</f>
        <v/>
      </c>
      <c r="I314">
        <f>IF($A314="","",IF($H314=0,"Paid",IF($G314=0,"Unpaid","Partial")))</f>
        <v/>
      </c>
    </row>
    <row r="315">
      <c r="B315" s="7" t="n"/>
      <c r="D315" s="8">
        <f>IF($A315="",0,ROUND(SUMIFS(InvoiceLines!$G$2:$G$4001,InvoiceLines!$A$2:$A$4001,$A315),2))</f>
        <v/>
      </c>
      <c r="E315" s="8">
        <f>IF($A315="",0,ROUND($D315*18%,2))</f>
        <v/>
      </c>
      <c r="F315" s="8">
        <f>IF($A315="",0,$D315+$E315)</f>
        <v/>
      </c>
      <c r="G315" s="8" t="n"/>
      <c r="H315" s="8">
        <f>IF($A315="",0,$F315-$G315)</f>
        <v/>
      </c>
      <c r="I315">
        <f>IF($A315="","",IF($H315=0,"Paid",IF($G315=0,"Unpaid","Partial")))</f>
        <v/>
      </c>
    </row>
    <row r="316">
      <c r="B316" s="7" t="n"/>
      <c r="D316" s="8">
        <f>IF($A316="",0,ROUND(SUMIFS(InvoiceLines!$G$2:$G$4001,InvoiceLines!$A$2:$A$4001,$A316),2))</f>
        <v/>
      </c>
      <c r="E316" s="8">
        <f>IF($A316="",0,ROUND($D316*18%,2))</f>
        <v/>
      </c>
      <c r="F316" s="8">
        <f>IF($A316="",0,$D316+$E316)</f>
        <v/>
      </c>
      <c r="G316" s="8" t="n"/>
      <c r="H316" s="8">
        <f>IF($A316="",0,$F316-$G316)</f>
        <v/>
      </c>
      <c r="I316">
        <f>IF($A316="","",IF($H316=0,"Paid",IF($G316=0,"Unpaid","Partial")))</f>
        <v/>
      </c>
    </row>
    <row r="317">
      <c r="B317" s="7" t="n"/>
      <c r="D317" s="8">
        <f>IF($A317="",0,ROUND(SUMIFS(InvoiceLines!$G$2:$G$4001,InvoiceLines!$A$2:$A$4001,$A317),2))</f>
        <v/>
      </c>
      <c r="E317" s="8">
        <f>IF($A317="",0,ROUND($D317*18%,2))</f>
        <v/>
      </c>
      <c r="F317" s="8">
        <f>IF($A317="",0,$D317+$E317)</f>
        <v/>
      </c>
      <c r="G317" s="8" t="n"/>
      <c r="H317" s="8">
        <f>IF($A317="",0,$F317-$G317)</f>
        <v/>
      </c>
      <c r="I317">
        <f>IF($A317="","",IF($H317=0,"Paid",IF($G317=0,"Unpaid","Partial")))</f>
        <v/>
      </c>
    </row>
    <row r="318">
      <c r="B318" s="7" t="n"/>
      <c r="D318" s="8">
        <f>IF($A318="",0,ROUND(SUMIFS(InvoiceLines!$G$2:$G$4001,InvoiceLines!$A$2:$A$4001,$A318),2))</f>
        <v/>
      </c>
      <c r="E318" s="8">
        <f>IF($A318="",0,ROUND($D318*18%,2))</f>
        <v/>
      </c>
      <c r="F318" s="8">
        <f>IF($A318="",0,$D318+$E318)</f>
        <v/>
      </c>
      <c r="G318" s="8" t="n"/>
      <c r="H318" s="8">
        <f>IF($A318="",0,$F318-$G318)</f>
        <v/>
      </c>
      <c r="I318">
        <f>IF($A318="","",IF($H318=0,"Paid",IF($G318=0,"Unpaid","Partial")))</f>
        <v/>
      </c>
    </row>
    <row r="319">
      <c r="B319" s="7" t="n"/>
      <c r="D319" s="8">
        <f>IF($A319="",0,ROUND(SUMIFS(InvoiceLines!$G$2:$G$4001,InvoiceLines!$A$2:$A$4001,$A319),2))</f>
        <v/>
      </c>
      <c r="E319" s="8">
        <f>IF($A319="",0,ROUND($D319*18%,2))</f>
        <v/>
      </c>
      <c r="F319" s="8">
        <f>IF($A319="",0,$D319+$E319)</f>
        <v/>
      </c>
      <c r="G319" s="8" t="n"/>
      <c r="H319" s="8">
        <f>IF($A319="",0,$F319-$G319)</f>
        <v/>
      </c>
      <c r="I319">
        <f>IF($A319="","",IF($H319=0,"Paid",IF($G319=0,"Unpaid","Partial")))</f>
        <v/>
      </c>
    </row>
    <row r="320">
      <c r="B320" s="7" t="n"/>
      <c r="D320" s="8">
        <f>IF($A320="",0,ROUND(SUMIFS(InvoiceLines!$G$2:$G$4001,InvoiceLines!$A$2:$A$4001,$A320),2))</f>
        <v/>
      </c>
      <c r="E320" s="8">
        <f>IF($A320="",0,ROUND($D320*18%,2))</f>
        <v/>
      </c>
      <c r="F320" s="8">
        <f>IF($A320="",0,$D320+$E320)</f>
        <v/>
      </c>
      <c r="G320" s="8" t="n"/>
      <c r="H320" s="8">
        <f>IF($A320="",0,$F320-$G320)</f>
        <v/>
      </c>
      <c r="I320">
        <f>IF($A320="","",IF($H320=0,"Paid",IF($G320=0,"Unpaid","Partial")))</f>
        <v/>
      </c>
    </row>
    <row r="321">
      <c r="B321" s="7" t="n"/>
      <c r="D321" s="8">
        <f>IF($A321="",0,ROUND(SUMIFS(InvoiceLines!$G$2:$G$4001,InvoiceLines!$A$2:$A$4001,$A321),2))</f>
        <v/>
      </c>
      <c r="E321" s="8">
        <f>IF($A321="",0,ROUND($D321*18%,2))</f>
        <v/>
      </c>
      <c r="F321" s="8">
        <f>IF($A321="",0,$D321+$E321)</f>
        <v/>
      </c>
      <c r="G321" s="8" t="n"/>
      <c r="H321" s="8">
        <f>IF($A321="",0,$F321-$G321)</f>
        <v/>
      </c>
      <c r="I321">
        <f>IF($A321="","",IF($H321=0,"Paid",IF($G321=0,"Unpaid","Partial")))</f>
        <v/>
      </c>
    </row>
    <row r="322">
      <c r="B322" s="7" t="n"/>
      <c r="D322" s="8">
        <f>IF($A322="",0,ROUND(SUMIFS(InvoiceLines!$G$2:$G$4001,InvoiceLines!$A$2:$A$4001,$A322),2))</f>
        <v/>
      </c>
      <c r="E322" s="8">
        <f>IF($A322="",0,ROUND($D322*18%,2))</f>
        <v/>
      </c>
      <c r="F322" s="8">
        <f>IF($A322="",0,$D322+$E322)</f>
        <v/>
      </c>
      <c r="G322" s="8" t="n"/>
      <c r="H322" s="8">
        <f>IF($A322="",0,$F322-$G322)</f>
        <v/>
      </c>
      <c r="I322">
        <f>IF($A322="","",IF($H322=0,"Paid",IF($G322=0,"Unpaid","Partial")))</f>
        <v/>
      </c>
    </row>
    <row r="323">
      <c r="B323" s="7" t="n"/>
      <c r="D323" s="8">
        <f>IF($A323="",0,ROUND(SUMIFS(InvoiceLines!$G$2:$G$4001,InvoiceLines!$A$2:$A$4001,$A323),2))</f>
        <v/>
      </c>
      <c r="E323" s="8">
        <f>IF($A323="",0,ROUND($D323*18%,2))</f>
        <v/>
      </c>
      <c r="F323" s="8">
        <f>IF($A323="",0,$D323+$E323)</f>
        <v/>
      </c>
      <c r="G323" s="8" t="n"/>
      <c r="H323" s="8">
        <f>IF($A323="",0,$F323-$G323)</f>
        <v/>
      </c>
      <c r="I323">
        <f>IF($A323="","",IF($H323=0,"Paid",IF($G323=0,"Unpaid","Partial")))</f>
        <v/>
      </c>
    </row>
    <row r="324">
      <c r="B324" s="7" t="n"/>
      <c r="D324" s="8">
        <f>IF($A324="",0,ROUND(SUMIFS(InvoiceLines!$G$2:$G$4001,InvoiceLines!$A$2:$A$4001,$A324),2))</f>
        <v/>
      </c>
      <c r="E324" s="8">
        <f>IF($A324="",0,ROUND($D324*18%,2))</f>
        <v/>
      </c>
      <c r="F324" s="8">
        <f>IF($A324="",0,$D324+$E324)</f>
        <v/>
      </c>
      <c r="G324" s="8" t="n"/>
      <c r="H324" s="8">
        <f>IF($A324="",0,$F324-$G324)</f>
        <v/>
      </c>
      <c r="I324">
        <f>IF($A324="","",IF($H324=0,"Paid",IF($G324=0,"Unpaid","Partial")))</f>
        <v/>
      </c>
    </row>
    <row r="325">
      <c r="B325" s="7" t="n"/>
      <c r="D325" s="8">
        <f>IF($A325="",0,ROUND(SUMIFS(InvoiceLines!$G$2:$G$4001,InvoiceLines!$A$2:$A$4001,$A325),2))</f>
        <v/>
      </c>
      <c r="E325" s="8">
        <f>IF($A325="",0,ROUND($D325*18%,2))</f>
        <v/>
      </c>
      <c r="F325" s="8">
        <f>IF($A325="",0,$D325+$E325)</f>
        <v/>
      </c>
      <c r="G325" s="8" t="n"/>
      <c r="H325" s="8">
        <f>IF($A325="",0,$F325-$G325)</f>
        <v/>
      </c>
      <c r="I325">
        <f>IF($A325="","",IF($H325=0,"Paid",IF($G325=0,"Unpaid","Partial")))</f>
        <v/>
      </c>
    </row>
    <row r="326">
      <c r="B326" s="7" t="n"/>
      <c r="D326" s="8">
        <f>IF($A326="",0,ROUND(SUMIFS(InvoiceLines!$G$2:$G$4001,InvoiceLines!$A$2:$A$4001,$A326),2))</f>
        <v/>
      </c>
      <c r="E326" s="8">
        <f>IF($A326="",0,ROUND($D326*18%,2))</f>
        <v/>
      </c>
      <c r="F326" s="8">
        <f>IF($A326="",0,$D326+$E326)</f>
        <v/>
      </c>
      <c r="G326" s="8" t="n"/>
      <c r="H326" s="8">
        <f>IF($A326="",0,$F326-$G326)</f>
        <v/>
      </c>
      <c r="I326">
        <f>IF($A326="","",IF($H326=0,"Paid",IF($G326=0,"Unpaid","Partial")))</f>
        <v/>
      </c>
    </row>
    <row r="327">
      <c r="B327" s="7" t="n"/>
      <c r="D327" s="8">
        <f>IF($A327="",0,ROUND(SUMIFS(InvoiceLines!$G$2:$G$4001,InvoiceLines!$A$2:$A$4001,$A327),2))</f>
        <v/>
      </c>
      <c r="E327" s="8">
        <f>IF($A327="",0,ROUND($D327*18%,2))</f>
        <v/>
      </c>
      <c r="F327" s="8">
        <f>IF($A327="",0,$D327+$E327)</f>
        <v/>
      </c>
      <c r="G327" s="8" t="n"/>
      <c r="H327" s="8">
        <f>IF($A327="",0,$F327-$G327)</f>
        <v/>
      </c>
      <c r="I327">
        <f>IF($A327="","",IF($H327=0,"Paid",IF($G327=0,"Unpaid","Partial")))</f>
        <v/>
      </c>
    </row>
    <row r="328">
      <c r="B328" s="7" t="n"/>
      <c r="D328" s="8">
        <f>IF($A328="",0,ROUND(SUMIFS(InvoiceLines!$G$2:$G$4001,InvoiceLines!$A$2:$A$4001,$A328),2))</f>
        <v/>
      </c>
      <c r="E328" s="8">
        <f>IF($A328="",0,ROUND($D328*18%,2))</f>
        <v/>
      </c>
      <c r="F328" s="8">
        <f>IF($A328="",0,$D328+$E328)</f>
        <v/>
      </c>
      <c r="G328" s="8" t="n"/>
      <c r="H328" s="8">
        <f>IF($A328="",0,$F328-$G328)</f>
        <v/>
      </c>
      <c r="I328">
        <f>IF($A328="","",IF($H328=0,"Paid",IF($G328=0,"Unpaid","Partial")))</f>
        <v/>
      </c>
    </row>
    <row r="329">
      <c r="B329" s="7" t="n"/>
      <c r="D329" s="8">
        <f>IF($A329="",0,ROUND(SUMIFS(InvoiceLines!$G$2:$G$4001,InvoiceLines!$A$2:$A$4001,$A329),2))</f>
        <v/>
      </c>
      <c r="E329" s="8">
        <f>IF($A329="",0,ROUND($D329*18%,2))</f>
        <v/>
      </c>
      <c r="F329" s="8">
        <f>IF($A329="",0,$D329+$E329)</f>
        <v/>
      </c>
      <c r="G329" s="8" t="n"/>
      <c r="H329" s="8">
        <f>IF($A329="",0,$F329-$G329)</f>
        <v/>
      </c>
      <c r="I329">
        <f>IF($A329="","",IF($H329=0,"Paid",IF($G329=0,"Unpaid","Partial")))</f>
        <v/>
      </c>
    </row>
    <row r="330">
      <c r="B330" s="7" t="n"/>
      <c r="D330" s="8">
        <f>IF($A330="",0,ROUND(SUMIFS(InvoiceLines!$G$2:$G$4001,InvoiceLines!$A$2:$A$4001,$A330),2))</f>
        <v/>
      </c>
      <c r="E330" s="8">
        <f>IF($A330="",0,ROUND($D330*18%,2))</f>
        <v/>
      </c>
      <c r="F330" s="8">
        <f>IF($A330="",0,$D330+$E330)</f>
        <v/>
      </c>
      <c r="G330" s="8" t="n"/>
      <c r="H330" s="8">
        <f>IF($A330="",0,$F330-$G330)</f>
        <v/>
      </c>
      <c r="I330">
        <f>IF($A330="","",IF($H330=0,"Paid",IF($G330=0,"Unpaid","Partial")))</f>
        <v/>
      </c>
    </row>
    <row r="331">
      <c r="B331" s="7" t="n"/>
      <c r="D331" s="8">
        <f>IF($A331="",0,ROUND(SUMIFS(InvoiceLines!$G$2:$G$4001,InvoiceLines!$A$2:$A$4001,$A331),2))</f>
        <v/>
      </c>
      <c r="E331" s="8">
        <f>IF($A331="",0,ROUND($D331*18%,2))</f>
        <v/>
      </c>
      <c r="F331" s="8">
        <f>IF($A331="",0,$D331+$E331)</f>
        <v/>
      </c>
      <c r="G331" s="8" t="n"/>
      <c r="H331" s="8">
        <f>IF($A331="",0,$F331-$G331)</f>
        <v/>
      </c>
      <c r="I331">
        <f>IF($A331="","",IF($H331=0,"Paid",IF($G331=0,"Unpaid","Partial")))</f>
        <v/>
      </c>
    </row>
    <row r="332">
      <c r="B332" s="7" t="n"/>
      <c r="D332" s="8">
        <f>IF($A332="",0,ROUND(SUMIFS(InvoiceLines!$G$2:$G$4001,InvoiceLines!$A$2:$A$4001,$A332),2))</f>
        <v/>
      </c>
      <c r="E332" s="8">
        <f>IF($A332="",0,ROUND($D332*18%,2))</f>
        <v/>
      </c>
      <c r="F332" s="8">
        <f>IF($A332="",0,$D332+$E332)</f>
        <v/>
      </c>
      <c r="G332" s="8" t="n"/>
      <c r="H332" s="8">
        <f>IF($A332="",0,$F332-$G332)</f>
        <v/>
      </c>
      <c r="I332">
        <f>IF($A332="","",IF($H332=0,"Paid",IF($G332=0,"Unpaid","Partial")))</f>
        <v/>
      </c>
    </row>
    <row r="333">
      <c r="B333" s="7" t="n"/>
      <c r="D333" s="8">
        <f>IF($A333="",0,ROUND(SUMIFS(InvoiceLines!$G$2:$G$4001,InvoiceLines!$A$2:$A$4001,$A333),2))</f>
        <v/>
      </c>
      <c r="E333" s="8">
        <f>IF($A333="",0,ROUND($D333*18%,2))</f>
        <v/>
      </c>
      <c r="F333" s="8">
        <f>IF($A333="",0,$D333+$E333)</f>
        <v/>
      </c>
      <c r="G333" s="8" t="n"/>
      <c r="H333" s="8">
        <f>IF($A333="",0,$F333-$G333)</f>
        <v/>
      </c>
      <c r="I333">
        <f>IF($A333="","",IF($H333=0,"Paid",IF($G333=0,"Unpaid","Partial")))</f>
        <v/>
      </c>
    </row>
    <row r="334">
      <c r="B334" s="7" t="n"/>
      <c r="D334" s="8">
        <f>IF($A334="",0,ROUND(SUMIFS(InvoiceLines!$G$2:$G$4001,InvoiceLines!$A$2:$A$4001,$A334),2))</f>
        <v/>
      </c>
      <c r="E334" s="8">
        <f>IF($A334="",0,ROUND($D334*18%,2))</f>
        <v/>
      </c>
      <c r="F334" s="8">
        <f>IF($A334="",0,$D334+$E334)</f>
        <v/>
      </c>
      <c r="G334" s="8" t="n"/>
      <c r="H334" s="8">
        <f>IF($A334="",0,$F334-$G334)</f>
        <v/>
      </c>
      <c r="I334">
        <f>IF($A334="","",IF($H334=0,"Paid",IF($G334=0,"Unpaid","Partial")))</f>
        <v/>
      </c>
    </row>
    <row r="335">
      <c r="B335" s="7" t="n"/>
      <c r="D335" s="8">
        <f>IF($A335="",0,ROUND(SUMIFS(InvoiceLines!$G$2:$G$4001,InvoiceLines!$A$2:$A$4001,$A335),2))</f>
        <v/>
      </c>
      <c r="E335" s="8">
        <f>IF($A335="",0,ROUND($D335*18%,2))</f>
        <v/>
      </c>
      <c r="F335" s="8">
        <f>IF($A335="",0,$D335+$E335)</f>
        <v/>
      </c>
      <c r="G335" s="8" t="n"/>
      <c r="H335" s="8">
        <f>IF($A335="",0,$F335-$G335)</f>
        <v/>
      </c>
      <c r="I335">
        <f>IF($A335="","",IF($H335=0,"Paid",IF($G335=0,"Unpaid","Partial")))</f>
        <v/>
      </c>
    </row>
    <row r="336">
      <c r="B336" s="7" t="n"/>
      <c r="D336" s="8">
        <f>IF($A336="",0,ROUND(SUMIFS(InvoiceLines!$G$2:$G$4001,InvoiceLines!$A$2:$A$4001,$A336),2))</f>
        <v/>
      </c>
      <c r="E336" s="8">
        <f>IF($A336="",0,ROUND($D336*18%,2))</f>
        <v/>
      </c>
      <c r="F336" s="8">
        <f>IF($A336="",0,$D336+$E336)</f>
        <v/>
      </c>
      <c r="G336" s="8" t="n"/>
      <c r="H336" s="8">
        <f>IF($A336="",0,$F336-$G336)</f>
        <v/>
      </c>
      <c r="I336">
        <f>IF($A336="","",IF($H336=0,"Paid",IF($G336=0,"Unpaid","Partial")))</f>
        <v/>
      </c>
    </row>
    <row r="337">
      <c r="B337" s="7" t="n"/>
      <c r="D337" s="8">
        <f>IF($A337="",0,ROUND(SUMIFS(InvoiceLines!$G$2:$G$4001,InvoiceLines!$A$2:$A$4001,$A337),2))</f>
        <v/>
      </c>
      <c r="E337" s="8">
        <f>IF($A337="",0,ROUND($D337*18%,2))</f>
        <v/>
      </c>
      <c r="F337" s="8">
        <f>IF($A337="",0,$D337+$E337)</f>
        <v/>
      </c>
      <c r="G337" s="8" t="n"/>
      <c r="H337" s="8">
        <f>IF($A337="",0,$F337-$G337)</f>
        <v/>
      </c>
      <c r="I337">
        <f>IF($A337="","",IF($H337=0,"Paid",IF($G337=0,"Unpaid","Partial")))</f>
        <v/>
      </c>
    </row>
    <row r="338">
      <c r="B338" s="7" t="n"/>
      <c r="D338" s="8">
        <f>IF($A338="",0,ROUND(SUMIFS(InvoiceLines!$G$2:$G$4001,InvoiceLines!$A$2:$A$4001,$A338),2))</f>
        <v/>
      </c>
      <c r="E338" s="8">
        <f>IF($A338="",0,ROUND($D338*18%,2))</f>
        <v/>
      </c>
      <c r="F338" s="8">
        <f>IF($A338="",0,$D338+$E338)</f>
        <v/>
      </c>
      <c r="G338" s="8" t="n"/>
      <c r="H338" s="8">
        <f>IF($A338="",0,$F338-$G338)</f>
        <v/>
      </c>
      <c r="I338">
        <f>IF($A338="","",IF($H338=0,"Paid",IF($G338=0,"Unpaid","Partial")))</f>
        <v/>
      </c>
    </row>
    <row r="339">
      <c r="B339" s="7" t="n"/>
      <c r="D339" s="8">
        <f>IF($A339="",0,ROUND(SUMIFS(InvoiceLines!$G$2:$G$4001,InvoiceLines!$A$2:$A$4001,$A339),2))</f>
        <v/>
      </c>
      <c r="E339" s="8">
        <f>IF($A339="",0,ROUND($D339*18%,2))</f>
        <v/>
      </c>
      <c r="F339" s="8">
        <f>IF($A339="",0,$D339+$E339)</f>
        <v/>
      </c>
      <c r="G339" s="8" t="n"/>
      <c r="H339" s="8">
        <f>IF($A339="",0,$F339-$G339)</f>
        <v/>
      </c>
      <c r="I339">
        <f>IF($A339="","",IF($H339=0,"Paid",IF($G339=0,"Unpaid","Partial")))</f>
        <v/>
      </c>
    </row>
    <row r="340">
      <c r="B340" s="7" t="n"/>
      <c r="D340" s="8">
        <f>IF($A340="",0,ROUND(SUMIFS(InvoiceLines!$G$2:$G$4001,InvoiceLines!$A$2:$A$4001,$A340),2))</f>
        <v/>
      </c>
      <c r="E340" s="8">
        <f>IF($A340="",0,ROUND($D340*18%,2))</f>
        <v/>
      </c>
      <c r="F340" s="8">
        <f>IF($A340="",0,$D340+$E340)</f>
        <v/>
      </c>
      <c r="G340" s="8" t="n"/>
      <c r="H340" s="8">
        <f>IF($A340="",0,$F340-$G340)</f>
        <v/>
      </c>
      <c r="I340">
        <f>IF($A340="","",IF($H340=0,"Paid",IF($G340=0,"Unpaid","Partial")))</f>
        <v/>
      </c>
    </row>
    <row r="341">
      <c r="B341" s="7" t="n"/>
      <c r="D341" s="8">
        <f>IF($A341="",0,ROUND(SUMIFS(InvoiceLines!$G$2:$G$4001,InvoiceLines!$A$2:$A$4001,$A341),2))</f>
        <v/>
      </c>
      <c r="E341" s="8">
        <f>IF($A341="",0,ROUND($D341*18%,2))</f>
        <v/>
      </c>
      <c r="F341" s="8">
        <f>IF($A341="",0,$D341+$E341)</f>
        <v/>
      </c>
      <c r="G341" s="8" t="n"/>
      <c r="H341" s="8">
        <f>IF($A341="",0,$F341-$G341)</f>
        <v/>
      </c>
      <c r="I341">
        <f>IF($A341="","",IF($H341=0,"Paid",IF($G341=0,"Unpaid","Partial")))</f>
        <v/>
      </c>
    </row>
    <row r="342">
      <c r="B342" s="7" t="n"/>
      <c r="D342" s="8">
        <f>IF($A342="",0,ROUND(SUMIFS(InvoiceLines!$G$2:$G$4001,InvoiceLines!$A$2:$A$4001,$A342),2))</f>
        <v/>
      </c>
      <c r="E342" s="8">
        <f>IF($A342="",0,ROUND($D342*18%,2))</f>
        <v/>
      </c>
      <c r="F342" s="8">
        <f>IF($A342="",0,$D342+$E342)</f>
        <v/>
      </c>
      <c r="G342" s="8" t="n"/>
      <c r="H342" s="8">
        <f>IF($A342="",0,$F342-$G342)</f>
        <v/>
      </c>
      <c r="I342">
        <f>IF($A342="","",IF($H342=0,"Paid",IF($G342=0,"Unpaid","Partial")))</f>
        <v/>
      </c>
    </row>
    <row r="343">
      <c r="B343" s="7" t="n"/>
      <c r="D343" s="8">
        <f>IF($A343="",0,ROUND(SUMIFS(InvoiceLines!$G$2:$G$4001,InvoiceLines!$A$2:$A$4001,$A343),2))</f>
        <v/>
      </c>
      <c r="E343" s="8">
        <f>IF($A343="",0,ROUND($D343*18%,2))</f>
        <v/>
      </c>
      <c r="F343" s="8">
        <f>IF($A343="",0,$D343+$E343)</f>
        <v/>
      </c>
      <c r="G343" s="8" t="n"/>
      <c r="H343" s="8">
        <f>IF($A343="",0,$F343-$G343)</f>
        <v/>
      </c>
      <c r="I343">
        <f>IF($A343="","",IF($H343=0,"Paid",IF($G343=0,"Unpaid","Partial")))</f>
        <v/>
      </c>
    </row>
    <row r="344">
      <c r="B344" s="7" t="n"/>
      <c r="D344" s="8">
        <f>IF($A344="",0,ROUND(SUMIFS(InvoiceLines!$G$2:$G$4001,InvoiceLines!$A$2:$A$4001,$A344),2))</f>
        <v/>
      </c>
      <c r="E344" s="8">
        <f>IF($A344="",0,ROUND($D344*18%,2))</f>
        <v/>
      </c>
      <c r="F344" s="8">
        <f>IF($A344="",0,$D344+$E344)</f>
        <v/>
      </c>
      <c r="G344" s="8" t="n"/>
      <c r="H344" s="8">
        <f>IF($A344="",0,$F344-$G344)</f>
        <v/>
      </c>
      <c r="I344">
        <f>IF($A344="","",IF($H344=0,"Paid",IF($G344=0,"Unpaid","Partial")))</f>
        <v/>
      </c>
    </row>
    <row r="345">
      <c r="B345" s="7" t="n"/>
      <c r="D345" s="8">
        <f>IF($A345="",0,ROUND(SUMIFS(InvoiceLines!$G$2:$G$4001,InvoiceLines!$A$2:$A$4001,$A345),2))</f>
        <v/>
      </c>
      <c r="E345" s="8">
        <f>IF($A345="",0,ROUND($D345*18%,2))</f>
        <v/>
      </c>
      <c r="F345" s="8">
        <f>IF($A345="",0,$D345+$E345)</f>
        <v/>
      </c>
      <c r="G345" s="8" t="n"/>
      <c r="H345" s="8">
        <f>IF($A345="",0,$F345-$G345)</f>
        <v/>
      </c>
      <c r="I345">
        <f>IF($A345="","",IF($H345=0,"Paid",IF($G345=0,"Unpaid","Partial")))</f>
        <v/>
      </c>
    </row>
    <row r="346">
      <c r="B346" s="7" t="n"/>
      <c r="D346" s="8">
        <f>IF($A346="",0,ROUND(SUMIFS(InvoiceLines!$G$2:$G$4001,InvoiceLines!$A$2:$A$4001,$A346),2))</f>
        <v/>
      </c>
      <c r="E346" s="8">
        <f>IF($A346="",0,ROUND($D346*18%,2))</f>
        <v/>
      </c>
      <c r="F346" s="8">
        <f>IF($A346="",0,$D346+$E346)</f>
        <v/>
      </c>
      <c r="G346" s="8" t="n"/>
      <c r="H346" s="8">
        <f>IF($A346="",0,$F346-$G346)</f>
        <v/>
      </c>
      <c r="I346">
        <f>IF($A346="","",IF($H346=0,"Paid",IF($G346=0,"Unpaid","Partial")))</f>
        <v/>
      </c>
    </row>
    <row r="347">
      <c r="B347" s="7" t="n"/>
      <c r="D347" s="8">
        <f>IF($A347="",0,ROUND(SUMIFS(InvoiceLines!$G$2:$G$4001,InvoiceLines!$A$2:$A$4001,$A347),2))</f>
        <v/>
      </c>
      <c r="E347" s="8">
        <f>IF($A347="",0,ROUND($D347*18%,2))</f>
        <v/>
      </c>
      <c r="F347" s="8">
        <f>IF($A347="",0,$D347+$E347)</f>
        <v/>
      </c>
      <c r="G347" s="8" t="n"/>
      <c r="H347" s="8">
        <f>IF($A347="",0,$F347-$G347)</f>
        <v/>
      </c>
      <c r="I347">
        <f>IF($A347="","",IF($H347=0,"Paid",IF($G347=0,"Unpaid","Partial")))</f>
        <v/>
      </c>
    </row>
    <row r="348">
      <c r="B348" s="7" t="n"/>
      <c r="D348" s="8">
        <f>IF($A348="",0,ROUND(SUMIFS(InvoiceLines!$G$2:$G$4001,InvoiceLines!$A$2:$A$4001,$A348),2))</f>
        <v/>
      </c>
      <c r="E348" s="8">
        <f>IF($A348="",0,ROUND($D348*18%,2))</f>
        <v/>
      </c>
      <c r="F348" s="8">
        <f>IF($A348="",0,$D348+$E348)</f>
        <v/>
      </c>
      <c r="G348" s="8" t="n"/>
      <c r="H348" s="8">
        <f>IF($A348="",0,$F348-$G348)</f>
        <v/>
      </c>
      <c r="I348">
        <f>IF($A348="","",IF($H348=0,"Paid",IF($G348=0,"Unpaid","Partial")))</f>
        <v/>
      </c>
    </row>
    <row r="349">
      <c r="B349" s="7" t="n"/>
      <c r="D349" s="8">
        <f>IF($A349="",0,ROUND(SUMIFS(InvoiceLines!$G$2:$G$4001,InvoiceLines!$A$2:$A$4001,$A349),2))</f>
        <v/>
      </c>
      <c r="E349" s="8">
        <f>IF($A349="",0,ROUND($D349*18%,2))</f>
        <v/>
      </c>
      <c r="F349" s="8">
        <f>IF($A349="",0,$D349+$E349)</f>
        <v/>
      </c>
      <c r="G349" s="8" t="n"/>
      <c r="H349" s="8">
        <f>IF($A349="",0,$F349-$G349)</f>
        <v/>
      </c>
      <c r="I349">
        <f>IF($A349="","",IF($H349=0,"Paid",IF($G349=0,"Unpaid","Partial")))</f>
        <v/>
      </c>
    </row>
    <row r="350">
      <c r="B350" s="7" t="n"/>
      <c r="D350" s="8">
        <f>IF($A350="",0,ROUND(SUMIFS(InvoiceLines!$G$2:$G$4001,InvoiceLines!$A$2:$A$4001,$A350),2))</f>
        <v/>
      </c>
      <c r="E350" s="8">
        <f>IF($A350="",0,ROUND($D350*18%,2))</f>
        <v/>
      </c>
      <c r="F350" s="8">
        <f>IF($A350="",0,$D350+$E350)</f>
        <v/>
      </c>
      <c r="G350" s="8" t="n"/>
      <c r="H350" s="8">
        <f>IF($A350="",0,$F350-$G350)</f>
        <v/>
      </c>
      <c r="I350">
        <f>IF($A350="","",IF($H350=0,"Paid",IF($G350=0,"Unpaid","Partial")))</f>
        <v/>
      </c>
    </row>
    <row r="351">
      <c r="B351" s="7" t="n"/>
      <c r="D351" s="8">
        <f>IF($A351="",0,ROUND(SUMIFS(InvoiceLines!$G$2:$G$4001,InvoiceLines!$A$2:$A$4001,$A351),2))</f>
        <v/>
      </c>
      <c r="E351" s="8">
        <f>IF($A351="",0,ROUND($D351*18%,2))</f>
        <v/>
      </c>
      <c r="F351" s="8">
        <f>IF($A351="",0,$D351+$E351)</f>
        <v/>
      </c>
      <c r="G351" s="8" t="n"/>
      <c r="H351" s="8">
        <f>IF($A351="",0,$F351-$G351)</f>
        <v/>
      </c>
      <c r="I351">
        <f>IF($A351="","",IF($H351=0,"Paid",IF($G351=0,"Unpaid","Partial")))</f>
        <v/>
      </c>
    </row>
    <row r="352">
      <c r="B352" s="7" t="n"/>
      <c r="D352" s="8">
        <f>IF($A352="",0,ROUND(SUMIFS(InvoiceLines!$G$2:$G$4001,InvoiceLines!$A$2:$A$4001,$A352),2))</f>
        <v/>
      </c>
      <c r="E352" s="8">
        <f>IF($A352="",0,ROUND($D352*18%,2))</f>
        <v/>
      </c>
      <c r="F352" s="8">
        <f>IF($A352="",0,$D352+$E352)</f>
        <v/>
      </c>
      <c r="G352" s="8" t="n"/>
      <c r="H352" s="8">
        <f>IF($A352="",0,$F352-$G352)</f>
        <v/>
      </c>
      <c r="I352">
        <f>IF($A352="","",IF($H352=0,"Paid",IF($G352=0,"Unpaid","Partial")))</f>
        <v/>
      </c>
    </row>
    <row r="353">
      <c r="B353" s="7" t="n"/>
      <c r="D353" s="8">
        <f>IF($A353="",0,ROUND(SUMIFS(InvoiceLines!$G$2:$G$4001,InvoiceLines!$A$2:$A$4001,$A353),2))</f>
        <v/>
      </c>
      <c r="E353" s="8">
        <f>IF($A353="",0,ROUND($D353*18%,2))</f>
        <v/>
      </c>
      <c r="F353" s="8">
        <f>IF($A353="",0,$D353+$E353)</f>
        <v/>
      </c>
      <c r="G353" s="8" t="n"/>
      <c r="H353" s="8">
        <f>IF($A353="",0,$F353-$G353)</f>
        <v/>
      </c>
      <c r="I353">
        <f>IF($A353="","",IF($H353=0,"Paid",IF($G353=0,"Unpaid","Partial")))</f>
        <v/>
      </c>
    </row>
    <row r="354">
      <c r="B354" s="7" t="n"/>
      <c r="D354" s="8">
        <f>IF($A354="",0,ROUND(SUMIFS(InvoiceLines!$G$2:$G$4001,InvoiceLines!$A$2:$A$4001,$A354),2))</f>
        <v/>
      </c>
      <c r="E354" s="8">
        <f>IF($A354="",0,ROUND($D354*18%,2))</f>
        <v/>
      </c>
      <c r="F354" s="8">
        <f>IF($A354="",0,$D354+$E354)</f>
        <v/>
      </c>
      <c r="G354" s="8" t="n"/>
      <c r="H354" s="8">
        <f>IF($A354="",0,$F354-$G354)</f>
        <v/>
      </c>
      <c r="I354">
        <f>IF($A354="","",IF($H354=0,"Paid",IF($G354=0,"Unpaid","Partial")))</f>
        <v/>
      </c>
    </row>
    <row r="355">
      <c r="B355" s="7" t="n"/>
      <c r="D355" s="8">
        <f>IF($A355="",0,ROUND(SUMIFS(InvoiceLines!$G$2:$G$4001,InvoiceLines!$A$2:$A$4001,$A355),2))</f>
        <v/>
      </c>
      <c r="E355" s="8">
        <f>IF($A355="",0,ROUND($D355*18%,2))</f>
        <v/>
      </c>
      <c r="F355" s="8">
        <f>IF($A355="",0,$D355+$E355)</f>
        <v/>
      </c>
      <c r="G355" s="8" t="n"/>
      <c r="H355" s="8">
        <f>IF($A355="",0,$F355-$G355)</f>
        <v/>
      </c>
      <c r="I355">
        <f>IF($A355="","",IF($H355=0,"Paid",IF($G355=0,"Unpaid","Partial")))</f>
        <v/>
      </c>
    </row>
    <row r="356">
      <c r="B356" s="7" t="n"/>
      <c r="D356" s="8">
        <f>IF($A356="",0,ROUND(SUMIFS(InvoiceLines!$G$2:$G$4001,InvoiceLines!$A$2:$A$4001,$A356),2))</f>
        <v/>
      </c>
      <c r="E356" s="8">
        <f>IF($A356="",0,ROUND($D356*18%,2))</f>
        <v/>
      </c>
      <c r="F356" s="8">
        <f>IF($A356="",0,$D356+$E356)</f>
        <v/>
      </c>
      <c r="G356" s="8" t="n"/>
      <c r="H356" s="8">
        <f>IF($A356="",0,$F356-$G356)</f>
        <v/>
      </c>
      <c r="I356">
        <f>IF($A356="","",IF($H356=0,"Paid",IF($G356=0,"Unpaid","Partial")))</f>
        <v/>
      </c>
    </row>
    <row r="357">
      <c r="B357" s="7" t="n"/>
      <c r="D357" s="8">
        <f>IF($A357="",0,ROUND(SUMIFS(InvoiceLines!$G$2:$G$4001,InvoiceLines!$A$2:$A$4001,$A357),2))</f>
        <v/>
      </c>
      <c r="E357" s="8">
        <f>IF($A357="",0,ROUND($D357*18%,2))</f>
        <v/>
      </c>
      <c r="F357" s="8">
        <f>IF($A357="",0,$D357+$E357)</f>
        <v/>
      </c>
      <c r="G357" s="8" t="n"/>
      <c r="H357" s="8">
        <f>IF($A357="",0,$F357-$G357)</f>
        <v/>
      </c>
      <c r="I357">
        <f>IF($A357="","",IF($H357=0,"Paid",IF($G357=0,"Unpaid","Partial")))</f>
        <v/>
      </c>
    </row>
    <row r="358">
      <c r="B358" s="7" t="n"/>
      <c r="D358" s="8">
        <f>IF($A358="",0,ROUND(SUMIFS(InvoiceLines!$G$2:$G$4001,InvoiceLines!$A$2:$A$4001,$A358),2))</f>
        <v/>
      </c>
      <c r="E358" s="8">
        <f>IF($A358="",0,ROUND($D358*18%,2))</f>
        <v/>
      </c>
      <c r="F358" s="8">
        <f>IF($A358="",0,$D358+$E358)</f>
        <v/>
      </c>
      <c r="G358" s="8" t="n"/>
      <c r="H358" s="8">
        <f>IF($A358="",0,$F358-$G358)</f>
        <v/>
      </c>
      <c r="I358">
        <f>IF($A358="","",IF($H358=0,"Paid",IF($G358=0,"Unpaid","Partial")))</f>
        <v/>
      </c>
    </row>
    <row r="359">
      <c r="B359" s="7" t="n"/>
      <c r="D359" s="8">
        <f>IF($A359="",0,ROUND(SUMIFS(InvoiceLines!$G$2:$G$4001,InvoiceLines!$A$2:$A$4001,$A359),2))</f>
        <v/>
      </c>
      <c r="E359" s="8">
        <f>IF($A359="",0,ROUND($D359*18%,2))</f>
        <v/>
      </c>
      <c r="F359" s="8">
        <f>IF($A359="",0,$D359+$E359)</f>
        <v/>
      </c>
      <c r="G359" s="8" t="n"/>
      <c r="H359" s="8">
        <f>IF($A359="",0,$F359-$G359)</f>
        <v/>
      </c>
      <c r="I359">
        <f>IF($A359="","",IF($H359=0,"Paid",IF($G359=0,"Unpaid","Partial")))</f>
        <v/>
      </c>
    </row>
    <row r="360">
      <c r="B360" s="7" t="n"/>
      <c r="D360" s="8">
        <f>IF($A360="",0,ROUND(SUMIFS(InvoiceLines!$G$2:$G$4001,InvoiceLines!$A$2:$A$4001,$A360),2))</f>
        <v/>
      </c>
      <c r="E360" s="8">
        <f>IF($A360="",0,ROUND($D360*18%,2))</f>
        <v/>
      </c>
      <c r="F360" s="8">
        <f>IF($A360="",0,$D360+$E360)</f>
        <v/>
      </c>
      <c r="G360" s="8" t="n"/>
      <c r="H360" s="8">
        <f>IF($A360="",0,$F360-$G360)</f>
        <v/>
      </c>
      <c r="I360">
        <f>IF($A360="","",IF($H360=0,"Paid",IF($G360=0,"Unpaid","Partial")))</f>
        <v/>
      </c>
    </row>
    <row r="361">
      <c r="B361" s="7" t="n"/>
      <c r="D361" s="8">
        <f>IF($A361="",0,ROUND(SUMIFS(InvoiceLines!$G$2:$G$4001,InvoiceLines!$A$2:$A$4001,$A361),2))</f>
        <v/>
      </c>
      <c r="E361" s="8">
        <f>IF($A361="",0,ROUND($D361*18%,2))</f>
        <v/>
      </c>
      <c r="F361" s="8">
        <f>IF($A361="",0,$D361+$E361)</f>
        <v/>
      </c>
      <c r="G361" s="8" t="n"/>
      <c r="H361" s="8">
        <f>IF($A361="",0,$F361-$G361)</f>
        <v/>
      </c>
      <c r="I361">
        <f>IF($A361="","",IF($H361=0,"Paid",IF($G361=0,"Unpaid","Partial")))</f>
        <v/>
      </c>
    </row>
    <row r="362">
      <c r="B362" s="7" t="n"/>
      <c r="D362" s="8">
        <f>IF($A362="",0,ROUND(SUMIFS(InvoiceLines!$G$2:$G$4001,InvoiceLines!$A$2:$A$4001,$A362),2))</f>
        <v/>
      </c>
      <c r="E362" s="8">
        <f>IF($A362="",0,ROUND($D362*18%,2))</f>
        <v/>
      </c>
      <c r="F362" s="8">
        <f>IF($A362="",0,$D362+$E362)</f>
        <v/>
      </c>
      <c r="G362" s="8" t="n"/>
      <c r="H362" s="8">
        <f>IF($A362="",0,$F362-$G362)</f>
        <v/>
      </c>
      <c r="I362">
        <f>IF($A362="","",IF($H362=0,"Paid",IF($G362=0,"Unpaid","Partial")))</f>
        <v/>
      </c>
    </row>
    <row r="363">
      <c r="B363" s="7" t="n"/>
      <c r="D363" s="8">
        <f>IF($A363="",0,ROUND(SUMIFS(InvoiceLines!$G$2:$G$4001,InvoiceLines!$A$2:$A$4001,$A363),2))</f>
        <v/>
      </c>
      <c r="E363" s="8">
        <f>IF($A363="",0,ROUND($D363*18%,2))</f>
        <v/>
      </c>
      <c r="F363" s="8">
        <f>IF($A363="",0,$D363+$E363)</f>
        <v/>
      </c>
      <c r="G363" s="8" t="n"/>
      <c r="H363" s="8">
        <f>IF($A363="",0,$F363-$G363)</f>
        <v/>
      </c>
      <c r="I363">
        <f>IF($A363="","",IF($H363=0,"Paid",IF($G363=0,"Unpaid","Partial")))</f>
        <v/>
      </c>
    </row>
    <row r="364">
      <c r="B364" s="7" t="n"/>
      <c r="D364" s="8">
        <f>IF($A364="",0,ROUND(SUMIFS(InvoiceLines!$G$2:$G$4001,InvoiceLines!$A$2:$A$4001,$A364),2))</f>
        <v/>
      </c>
      <c r="E364" s="8">
        <f>IF($A364="",0,ROUND($D364*18%,2))</f>
        <v/>
      </c>
      <c r="F364" s="8">
        <f>IF($A364="",0,$D364+$E364)</f>
        <v/>
      </c>
      <c r="G364" s="8" t="n"/>
      <c r="H364" s="8">
        <f>IF($A364="",0,$F364-$G364)</f>
        <v/>
      </c>
      <c r="I364">
        <f>IF($A364="","",IF($H364=0,"Paid",IF($G364=0,"Unpaid","Partial")))</f>
        <v/>
      </c>
    </row>
    <row r="365">
      <c r="B365" s="7" t="n"/>
      <c r="D365" s="8">
        <f>IF($A365="",0,ROUND(SUMIFS(InvoiceLines!$G$2:$G$4001,InvoiceLines!$A$2:$A$4001,$A365),2))</f>
        <v/>
      </c>
      <c r="E365" s="8">
        <f>IF($A365="",0,ROUND($D365*18%,2))</f>
        <v/>
      </c>
      <c r="F365" s="8">
        <f>IF($A365="",0,$D365+$E365)</f>
        <v/>
      </c>
      <c r="G365" s="8" t="n"/>
      <c r="H365" s="8">
        <f>IF($A365="",0,$F365-$G365)</f>
        <v/>
      </c>
      <c r="I365">
        <f>IF($A365="","",IF($H365=0,"Paid",IF($G365=0,"Unpaid","Partial")))</f>
        <v/>
      </c>
    </row>
    <row r="366">
      <c r="B366" s="7" t="n"/>
      <c r="D366" s="8">
        <f>IF($A366="",0,ROUND(SUMIFS(InvoiceLines!$G$2:$G$4001,InvoiceLines!$A$2:$A$4001,$A366),2))</f>
        <v/>
      </c>
      <c r="E366" s="8">
        <f>IF($A366="",0,ROUND($D366*18%,2))</f>
        <v/>
      </c>
      <c r="F366" s="8">
        <f>IF($A366="",0,$D366+$E366)</f>
        <v/>
      </c>
      <c r="G366" s="8" t="n"/>
      <c r="H366" s="8">
        <f>IF($A366="",0,$F366-$G366)</f>
        <v/>
      </c>
      <c r="I366">
        <f>IF($A366="","",IF($H366=0,"Paid",IF($G366=0,"Unpaid","Partial")))</f>
        <v/>
      </c>
    </row>
    <row r="367">
      <c r="B367" s="7" t="n"/>
      <c r="D367" s="8">
        <f>IF($A367="",0,ROUND(SUMIFS(InvoiceLines!$G$2:$G$4001,InvoiceLines!$A$2:$A$4001,$A367),2))</f>
        <v/>
      </c>
      <c r="E367" s="8">
        <f>IF($A367="",0,ROUND($D367*18%,2))</f>
        <v/>
      </c>
      <c r="F367" s="8">
        <f>IF($A367="",0,$D367+$E367)</f>
        <v/>
      </c>
      <c r="G367" s="8" t="n"/>
      <c r="H367" s="8">
        <f>IF($A367="",0,$F367-$G367)</f>
        <v/>
      </c>
      <c r="I367">
        <f>IF($A367="","",IF($H367=0,"Paid",IF($G367=0,"Unpaid","Partial")))</f>
        <v/>
      </c>
    </row>
    <row r="368">
      <c r="B368" s="7" t="n"/>
      <c r="D368" s="8">
        <f>IF($A368="",0,ROUND(SUMIFS(InvoiceLines!$G$2:$G$4001,InvoiceLines!$A$2:$A$4001,$A368),2))</f>
        <v/>
      </c>
      <c r="E368" s="8">
        <f>IF($A368="",0,ROUND($D368*18%,2))</f>
        <v/>
      </c>
      <c r="F368" s="8">
        <f>IF($A368="",0,$D368+$E368)</f>
        <v/>
      </c>
      <c r="G368" s="8" t="n"/>
      <c r="H368" s="8">
        <f>IF($A368="",0,$F368-$G368)</f>
        <v/>
      </c>
      <c r="I368">
        <f>IF($A368="","",IF($H368=0,"Paid",IF($G368=0,"Unpaid","Partial")))</f>
        <v/>
      </c>
    </row>
    <row r="369">
      <c r="B369" s="7" t="n"/>
      <c r="D369" s="8">
        <f>IF($A369="",0,ROUND(SUMIFS(InvoiceLines!$G$2:$G$4001,InvoiceLines!$A$2:$A$4001,$A369),2))</f>
        <v/>
      </c>
      <c r="E369" s="8">
        <f>IF($A369="",0,ROUND($D369*18%,2))</f>
        <v/>
      </c>
      <c r="F369" s="8">
        <f>IF($A369="",0,$D369+$E369)</f>
        <v/>
      </c>
      <c r="G369" s="8" t="n"/>
      <c r="H369" s="8">
        <f>IF($A369="",0,$F369-$G369)</f>
        <v/>
      </c>
      <c r="I369">
        <f>IF($A369="","",IF($H369=0,"Paid",IF($G369=0,"Unpaid","Partial")))</f>
        <v/>
      </c>
    </row>
    <row r="370">
      <c r="B370" s="7" t="n"/>
      <c r="D370" s="8">
        <f>IF($A370="",0,ROUND(SUMIFS(InvoiceLines!$G$2:$G$4001,InvoiceLines!$A$2:$A$4001,$A370),2))</f>
        <v/>
      </c>
      <c r="E370" s="8">
        <f>IF($A370="",0,ROUND($D370*18%,2))</f>
        <v/>
      </c>
      <c r="F370" s="8">
        <f>IF($A370="",0,$D370+$E370)</f>
        <v/>
      </c>
      <c r="G370" s="8" t="n"/>
      <c r="H370" s="8">
        <f>IF($A370="",0,$F370-$G370)</f>
        <v/>
      </c>
      <c r="I370">
        <f>IF($A370="","",IF($H370=0,"Paid",IF($G370=0,"Unpaid","Partial")))</f>
        <v/>
      </c>
    </row>
    <row r="371">
      <c r="B371" s="7" t="n"/>
      <c r="D371" s="8">
        <f>IF($A371="",0,ROUND(SUMIFS(InvoiceLines!$G$2:$G$4001,InvoiceLines!$A$2:$A$4001,$A371),2))</f>
        <v/>
      </c>
      <c r="E371" s="8">
        <f>IF($A371="",0,ROUND($D371*18%,2))</f>
        <v/>
      </c>
      <c r="F371" s="8">
        <f>IF($A371="",0,$D371+$E371)</f>
        <v/>
      </c>
      <c r="G371" s="8" t="n"/>
      <c r="H371" s="8">
        <f>IF($A371="",0,$F371-$G371)</f>
        <v/>
      </c>
      <c r="I371">
        <f>IF($A371="","",IF($H371=0,"Paid",IF($G371=0,"Unpaid","Partial")))</f>
        <v/>
      </c>
    </row>
    <row r="372">
      <c r="B372" s="7" t="n"/>
      <c r="D372" s="8">
        <f>IF($A372="",0,ROUND(SUMIFS(InvoiceLines!$G$2:$G$4001,InvoiceLines!$A$2:$A$4001,$A372),2))</f>
        <v/>
      </c>
      <c r="E372" s="8">
        <f>IF($A372="",0,ROUND($D372*18%,2))</f>
        <v/>
      </c>
      <c r="F372" s="8">
        <f>IF($A372="",0,$D372+$E372)</f>
        <v/>
      </c>
      <c r="G372" s="8" t="n"/>
      <c r="H372" s="8">
        <f>IF($A372="",0,$F372-$G372)</f>
        <v/>
      </c>
      <c r="I372">
        <f>IF($A372="","",IF($H372=0,"Paid",IF($G372=0,"Unpaid","Partial")))</f>
        <v/>
      </c>
    </row>
    <row r="373">
      <c r="B373" s="7" t="n"/>
      <c r="D373" s="8">
        <f>IF($A373="",0,ROUND(SUMIFS(InvoiceLines!$G$2:$G$4001,InvoiceLines!$A$2:$A$4001,$A373),2))</f>
        <v/>
      </c>
      <c r="E373" s="8">
        <f>IF($A373="",0,ROUND($D373*18%,2))</f>
        <v/>
      </c>
      <c r="F373" s="8">
        <f>IF($A373="",0,$D373+$E373)</f>
        <v/>
      </c>
      <c r="G373" s="8" t="n"/>
      <c r="H373" s="8">
        <f>IF($A373="",0,$F373-$G373)</f>
        <v/>
      </c>
      <c r="I373">
        <f>IF($A373="","",IF($H373=0,"Paid",IF($G373=0,"Unpaid","Partial")))</f>
        <v/>
      </c>
    </row>
    <row r="374">
      <c r="B374" s="7" t="n"/>
      <c r="D374" s="8">
        <f>IF($A374="",0,ROUND(SUMIFS(InvoiceLines!$G$2:$G$4001,InvoiceLines!$A$2:$A$4001,$A374),2))</f>
        <v/>
      </c>
      <c r="E374" s="8">
        <f>IF($A374="",0,ROUND($D374*18%,2))</f>
        <v/>
      </c>
      <c r="F374" s="8">
        <f>IF($A374="",0,$D374+$E374)</f>
        <v/>
      </c>
      <c r="G374" s="8" t="n"/>
      <c r="H374" s="8">
        <f>IF($A374="",0,$F374-$G374)</f>
        <v/>
      </c>
      <c r="I374">
        <f>IF($A374="","",IF($H374=0,"Paid",IF($G374=0,"Unpaid","Partial")))</f>
        <v/>
      </c>
    </row>
    <row r="375">
      <c r="B375" s="7" t="n"/>
      <c r="D375" s="8">
        <f>IF($A375="",0,ROUND(SUMIFS(InvoiceLines!$G$2:$G$4001,InvoiceLines!$A$2:$A$4001,$A375),2))</f>
        <v/>
      </c>
      <c r="E375" s="8">
        <f>IF($A375="",0,ROUND($D375*18%,2))</f>
        <v/>
      </c>
      <c r="F375" s="8">
        <f>IF($A375="",0,$D375+$E375)</f>
        <v/>
      </c>
      <c r="G375" s="8" t="n"/>
      <c r="H375" s="8">
        <f>IF($A375="",0,$F375-$G375)</f>
        <v/>
      </c>
      <c r="I375">
        <f>IF($A375="","",IF($H375=0,"Paid",IF($G375=0,"Unpaid","Partial")))</f>
        <v/>
      </c>
    </row>
    <row r="376">
      <c r="B376" s="7" t="n"/>
      <c r="D376" s="8">
        <f>IF($A376="",0,ROUND(SUMIFS(InvoiceLines!$G$2:$G$4001,InvoiceLines!$A$2:$A$4001,$A376),2))</f>
        <v/>
      </c>
      <c r="E376" s="8">
        <f>IF($A376="",0,ROUND($D376*18%,2))</f>
        <v/>
      </c>
      <c r="F376" s="8">
        <f>IF($A376="",0,$D376+$E376)</f>
        <v/>
      </c>
      <c r="G376" s="8" t="n"/>
      <c r="H376" s="8">
        <f>IF($A376="",0,$F376-$G376)</f>
        <v/>
      </c>
      <c r="I376">
        <f>IF($A376="","",IF($H376=0,"Paid",IF($G376=0,"Unpaid","Partial")))</f>
        <v/>
      </c>
    </row>
    <row r="377">
      <c r="B377" s="7" t="n"/>
      <c r="D377" s="8">
        <f>IF($A377="",0,ROUND(SUMIFS(InvoiceLines!$G$2:$G$4001,InvoiceLines!$A$2:$A$4001,$A377),2))</f>
        <v/>
      </c>
      <c r="E377" s="8">
        <f>IF($A377="",0,ROUND($D377*18%,2))</f>
        <v/>
      </c>
      <c r="F377" s="8">
        <f>IF($A377="",0,$D377+$E377)</f>
        <v/>
      </c>
      <c r="G377" s="8" t="n"/>
      <c r="H377" s="8">
        <f>IF($A377="",0,$F377-$G377)</f>
        <v/>
      </c>
      <c r="I377">
        <f>IF($A377="","",IF($H377=0,"Paid",IF($G377=0,"Unpaid","Partial")))</f>
        <v/>
      </c>
    </row>
    <row r="378">
      <c r="B378" s="7" t="n"/>
      <c r="D378" s="8">
        <f>IF($A378="",0,ROUND(SUMIFS(InvoiceLines!$G$2:$G$4001,InvoiceLines!$A$2:$A$4001,$A378),2))</f>
        <v/>
      </c>
      <c r="E378" s="8">
        <f>IF($A378="",0,ROUND($D378*18%,2))</f>
        <v/>
      </c>
      <c r="F378" s="8">
        <f>IF($A378="",0,$D378+$E378)</f>
        <v/>
      </c>
      <c r="G378" s="8" t="n"/>
      <c r="H378" s="8">
        <f>IF($A378="",0,$F378-$G378)</f>
        <v/>
      </c>
      <c r="I378">
        <f>IF($A378="","",IF($H378=0,"Paid",IF($G378=0,"Unpaid","Partial")))</f>
        <v/>
      </c>
    </row>
    <row r="379">
      <c r="B379" s="7" t="n"/>
      <c r="D379" s="8">
        <f>IF($A379="",0,ROUND(SUMIFS(InvoiceLines!$G$2:$G$4001,InvoiceLines!$A$2:$A$4001,$A379),2))</f>
        <v/>
      </c>
      <c r="E379" s="8">
        <f>IF($A379="",0,ROUND($D379*18%,2))</f>
        <v/>
      </c>
      <c r="F379" s="8">
        <f>IF($A379="",0,$D379+$E379)</f>
        <v/>
      </c>
      <c r="G379" s="8" t="n"/>
      <c r="H379" s="8">
        <f>IF($A379="",0,$F379-$G379)</f>
        <v/>
      </c>
      <c r="I379">
        <f>IF($A379="","",IF($H379=0,"Paid",IF($G379=0,"Unpaid","Partial")))</f>
        <v/>
      </c>
    </row>
    <row r="380">
      <c r="B380" s="7" t="n"/>
      <c r="D380" s="8">
        <f>IF($A380="",0,ROUND(SUMIFS(InvoiceLines!$G$2:$G$4001,InvoiceLines!$A$2:$A$4001,$A380),2))</f>
        <v/>
      </c>
      <c r="E380" s="8">
        <f>IF($A380="",0,ROUND($D380*18%,2))</f>
        <v/>
      </c>
      <c r="F380" s="8">
        <f>IF($A380="",0,$D380+$E380)</f>
        <v/>
      </c>
      <c r="G380" s="8" t="n"/>
      <c r="H380" s="8">
        <f>IF($A380="",0,$F380-$G380)</f>
        <v/>
      </c>
      <c r="I380">
        <f>IF($A380="","",IF($H380=0,"Paid",IF($G380=0,"Unpaid","Partial")))</f>
        <v/>
      </c>
    </row>
    <row r="381">
      <c r="B381" s="7" t="n"/>
      <c r="D381" s="8">
        <f>IF($A381="",0,ROUND(SUMIFS(InvoiceLines!$G$2:$G$4001,InvoiceLines!$A$2:$A$4001,$A381),2))</f>
        <v/>
      </c>
      <c r="E381" s="8">
        <f>IF($A381="",0,ROUND($D381*18%,2))</f>
        <v/>
      </c>
      <c r="F381" s="8">
        <f>IF($A381="",0,$D381+$E381)</f>
        <v/>
      </c>
      <c r="G381" s="8" t="n"/>
      <c r="H381" s="8">
        <f>IF($A381="",0,$F381-$G381)</f>
        <v/>
      </c>
      <c r="I381">
        <f>IF($A381="","",IF($H381=0,"Paid",IF($G381=0,"Unpaid","Partial")))</f>
        <v/>
      </c>
    </row>
    <row r="382">
      <c r="B382" s="7" t="n"/>
      <c r="D382" s="8">
        <f>IF($A382="",0,ROUND(SUMIFS(InvoiceLines!$G$2:$G$4001,InvoiceLines!$A$2:$A$4001,$A382),2))</f>
        <v/>
      </c>
      <c r="E382" s="8">
        <f>IF($A382="",0,ROUND($D382*18%,2))</f>
        <v/>
      </c>
      <c r="F382" s="8">
        <f>IF($A382="",0,$D382+$E382)</f>
        <v/>
      </c>
      <c r="G382" s="8" t="n"/>
      <c r="H382" s="8">
        <f>IF($A382="",0,$F382-$G382)</f>
        <v/>
      </c>
      <c r="I382">
        <f>IF($A382="","",IF($H382=0,"Paid",IF($G382=0,"Unpaid","Partial")))</f>
        <v/>
      </c>
    </row>
    <row r="383">
      <c r="B383" s="7" t="n"/>
      <c r="D383" s="8">
        <f>IF($A383="",0,ROUND(SUMIFS(InvoiceLines!$G$2:$G$4001,InvoiceLines!$A$2:$A$4001,$A383),2))</f>
        <v/>
      </c>
      <c r="E383" s="8">
        <f>IF($A383="",0,ROUND($D383*18%,2))</f>
        <v/>
      </c>
      <c r="F383" s="8">
        <f>IF($A383="",0,$D383+$E383)</f>
        <v/>
      </c>
      <c r="G383" s="8" t="n"/>
      <c r="H383" s="8">
        <f>IF($A383="",0,$F383-$G383)</f>
        <v/>
      </c>
      <c r="I383">
        <f>IF($A383="","",IF($H383=0,"Paid",IF($G383=0,"Unpaid","Partial")))</f>
        <v/>
      </c>
    </row>
    <row r="384">
      <c r="B384" s="7" t="n"/>
      <c r="D384" s="8">
        <f>IF($A384="",0,ROUND(SUMIFS(InvoiceLines!$G$2:$G$4001,InvoiceLines!$A$2:$A$4001,$A384),2))</f>
        <v/>
      </c>
      <c r="E384" s="8">
        <f>IF($A384="",0,ROUND($D384*18%,2))</f>
        <v/>
      </c>
      <c r="F384" s="8">
        <f>IF($A384="",0,$D384+$E384)</f>
        <v/>
      </c>
      <c r="G384" s="8" t="n"/>
      <c r="H384" s="8">
        <f>IF($A384="",0,$F384-$G384)</f>
        <v/>
      </c>
      <c r="I384">
        <f>IF($A384="","",IF($H384=0,"Paid",IF($G384=0,"Unpaid","Partial")))</f>
        <v/>
      </c>
    </row>
    <row r="385">
      <c r="B385" s="7" t="n"/>
      <c r="D385" s="8">
        <f>IF($A385="",0,ROUND(SUMIFS(InvoiceLines!$G$2:$G$4001,InvoiceLines!$A$2:$A$4001,$A385),2))</f>
        <v/>
      </c>
      <c r="E385" s="8">
        <f>IF($A385="",0,ROUND($D385*18%,2))</f>
        <v/>
      </c>
      <c r="F385" s="8">
        <f>IF($A385="",0,$D385+$E385)</f>
        <v/>
      </c>
      <c r="G385" s="8" t="n"/>
      <c r="H385" s="8">
        <f>IF($A385="",0,$F385-$G385)</f>
        <v/>
      </c>
      <c r="I385">
        <f>IF($A385="","",IF($H385=0,"Paid",IF($G385=0,"Unpaid","Partial")))</f>
        <v/>
      </c>
    </row>
    <row r="386">
      <c r="B386" s="7" t="n"/>
      <c r="D386" s="8">
        <f>IF($A386="",0,ROUND(SUMIFS(InvoiceLines!$G$2:$G$4001,InvoiceLines!$A$2:$A$4001,$A386),2))</f>
        <v/>
      </c>
      <c r="E386" s="8">
        <f>IF($A386="",0,ROUND($D386*18%,2))</f>
        <v/>
      </c>
      <c r="F386" s="8">
        <f>IF($A386="",0,$D386+$E386)</f>
        <v/>
      </c>
      <c r="G386" s="8" t="n"/>
      <c r="H386" s="8">
        <f>IF($A386="",0,$F386-$G386)</f>
        <v/>
      </c>
      <c r="I386">
        <f>IF($A386="","",IF($H386=0,"Paid",IF($G386=0,"Unpaid","Partial")))</f>
        <v/>
      </c>
    </row>
    <row r="387">
      <c r="B387" s="7" t="n"/>
      <c r="D387" s="8">
        <f>IF($A387="",0,ROUND(SUMIFS(InvoiceLines!$G$2:$G$4001,InvoiceLines!$A$2:$A$4001,$A387),2))</f>
        <v/>
      </c>
      <c r="E387" s="8">
        <f>IF($A387="",0,ROUND($D387*18%,2))</f>
        <v/>
      </c>
      <c r="F387" s="8">
        <f>IF($A387="",0,$D387+$E387)</f>
        <v/>
      </c>
      <c r="G387" s="8" t="n"/>
      <c r="H387" s="8">
        <f>IF($A387="",0,$F387-$G387)</f>
        <v/>
      </c>
      <c r="I387">
        <f>IF($A387="","",IF($H387=0,"Paid",IF($G387=0,"Unpaid","Partial")))</f>
        <v/>
      </c>
    </row>
    <row r="388">
      <c r="B388" s="7" t="n"/>
      <c r="D388" s="8">
        <f>IF($A388="",0,ROUND(SUMIFS(InvoiceLines!$G$2:$G$4001,InvoiceLines!$A$2:$A$4001,$A388),2))</f>
        <v/>
      </c>
      <c r="E388" s="8">
        <f>IF($A388="",0,ROUND($D388*18%,2))</f>
        <v/>
      </c>
      <c r="F388" s="8">
        <f>IF($A388="",0,$D388+$E388)</f>
        <v/>
      </c>
      <c r="G388" s="8" t="n"/>
      <c r="H388" s="8">
        <f>IF($A388="",0,$F388-$G388)</f>
        <v/>
      </c>
      <c r="I388">
        <f>IF($A388="","",IF($H388=0,"Paid",IF($G388=0,"Unpaid","Partial")))</f>
        <v/>
      </c>
    </row>
    <row r="389">
      <c r="B389" s="7" t="n"/>
      <c r="D389" s="8">
        <f>IF($A389="",0,ROUND(SUMIFS(InvoiceLines!$G$2:$G$4001,InvoiceLines!$A$2:$A$4001,$A389),2))</f>
        <v/>
      </c>
      <c r="E389" s="8">
        <f>IF($A389="",0,ROUND($D389*18%,2))</f>
        <v/>
      </c>
      <c r="F389" s="8">
        <f>IF($A389="",0,$D389+$E389)</f>
        <v/>
      </c>
      <c r="G389" s="8" t="n"/>
      <c r="H389" s="8">
        <f>IF($A389="",0,$F389-$G389)</f>
        <v/>
      </c>
      <c r="I389">
        <f>IF($A389="","",IF($H389=0,"Paid",IF($G389=0,"Unpaid","Partial")))</f>
        <v/>
      </c>
    </row>
    <row r="390">
      <c r="B390" s="7" t="n"/>
      <c r="D390" s="8">
        <f>IF($A390="",0,ROUND(SUMIFS(InvoiceLines!$G$2:$G$4001,InvoiceLines!$A$2:$A$4001,$A390),2))</f>
        <v/>
      </c>
      <c r="E390" s="8">
        <f>IF($A390="",0,ROUND($D390*18%,2))</f>
        <v/>
      </c>
      <c r="F390" s="8">
        <f>IF($A390="",0,$D390+$E390)</f>
        <v/>
      </c>
      <c r="G390" s="8" t="n"/>
      <c r="H390" s="8">
        <f>IF($A390="",0,$F390-$G390)</f>
        <v/>
      </c>
      <c r="I390">
        <f>IF($A390="","",IF($H390=0,"Paid",IF($G390=0,"Unpaid","Partial")))</f>
        <v/>
      </c>
    </row>
    <row r="391">
      <c r="B391" s="7" t="n"/>
      <c r="D391" s="8">
        <f>IF($A391="",0,ROUND(SUMIFS(InvoiceLines!$G$2:$G$4001,InvoiceLines!$A$2:$A$4001,$A391),2))</f>
        <v/>
      </c>
      <c r="E391" s="8">
        <f>IF($A391="",0,ROUND($D391*18%,2))</f>
        <v/>
      </c>
      <c r="F391" s="8">
        <f>IF($A391="",0,$D391+$E391)</f>
        <v/>
      </c>
      <c r="G391" s="8" t="n"/>
      <c r="H391" s="8">
        <f>IF($A391="",0,$F391-$G391)</f>
        <v/>
      </c>
      <c r="I391">
        <f>IF($A391="","",IF($H391=0,"Paid",IF($G391=0,"Unpaid","Partial")))</f>
        <v/>
      </c>
    </row>
    <row r="392">
      <c r="B392" s="7" t="n"/>
      <c r="D392" s="8">
        <f>IF($A392="",0,ROUND(SUMIFS(InvoiceLines!$G$2:$G$4001,InvoiceLines!$A$2:$A$4001,$A392),2))</f>
        <v/>
      </c>
      <c r="E392" s="8">
        <f>IF($A392="",0,ROUND($D392*18%,2))</f>
        <v/>
      </c>
      <c r="F392" s="8">
        <f>IF($A392="",0,$D392+$E392)</f>
        <v/>
      </c>
      <c r="G392" s="8" t="n"/>
      <c r="H392" s="8">
        <f>IF($A392="",0,$F392-$G392)</f>
        <v/>
      </c>
      <c r="I392">
        <f>IF($A392="","",IF($H392=0,"Paid",IF($G392=0,"Unpaid","Partial")))</f>
        <v/>
      </c>
    </row>
    <row r="393">
      <c r="B393" s="7" t="n"/>
      <c r="D393" s="8">
        <f>IF($A393="",0,ROUND(SUMIFS(InvoiceLines!$G$2:$G$4001,InvoiceLines!$A$2:$A$4001,$A393),2))</f>
        <v/>
      </c>
      <c r="E393" s="8">
        <f>IF($A393="",0,ROUND($D393*18%,2))</f>
        <v/>
      </c>
      <c r="F393" s="8">
        <f>IF($A393="",0,$D393+$E393)</f>
        <v/>
      </c>
      <c r="G393" s="8" t="n"/>
      <c r="H393" s="8">
        <f>IF($A393="",0,$F393-$G393)</f>
        <v/>
      </c>
      <c r="I393">
        <f>IF($A393="","",IF($H393=0,"Paid",IF($G393=0,"Unpaid","Partial")))</f>
        <v/>
      </c>
    </row>
    <row r="394">
      <c r="B394" s="7" t="n"/>
      <c r="D394" s="8">
        <f>IF($A394="",0,ROUND(SUMIFS(InvoiceLines!$G$2:$G$4001,InvoiceLines!$A$2:$A$4001,$A394),2))</f>
        <v/>
      </c>
      <c r="E394" s="8">
        <f>IF($A394="",0,ROUND($D394*18%,2))</f>
        <v/>
      </c>
      <c r="F394" s="8">
        <f>IF($A394="",0,$D394+$E394)</f>
        <v/>
      </c>
      <c r="G394" s="8" t="n"/>
      <c r="H394" s="8">
        <f>IF($A394="",0,$F394-$G394)</f>
        <v/>
      </c>
      <c r="I394">
        <f>IF($A394="","",IF($H394=0,"Paid",IF($G394=0,"Unpaid","Partial")))</f>
        <v/>
      </c>
    </row>
    <row r="395">
      <c r="B395" s="7" t="n"/>
      <c r="D395" s="8">
        <f>IF($A395="",0,ROUND(SUMIFS(InvoiceLines!$G$2:$G$4001,InvoiceLines!$A$2:$A$4001,$A395),2))</f>
        <v/>
      </c>
      <c r="E395" s="8">
        <f>IF($A395="",0,ROUND($D395*18%,2))</f>
        <v/>
      </c>
      <c r="F395" s="8">
        <f>IF($A395="",0,$D395+$E395)</f>
        <v/>
      </c>
      <c r="G395" s="8" t="n"/>
      <c r="H395" s="8">
        <f>IF($A395="",0,$F395-$G395)</f>
        <v/>
      </c>
      <c r="I395">
        <f>IF($A395="","",IF($H395=0,"Paid",IF($G395=0,"Unpaid","Partial")))</f>
        <v/>
      </c>
    </row>
    <row r="396">
      <c r="B396" s="7" t="n"/>
      <c r="D396" s="8">
        <f>IF($A396="",0,ROUND(SUMIFS(InvoiceLines!$G$2:$G$4001,InvoiceLines!$A$2:$A$4001,$A396),2))</f>
        <v/>
      </c>
      <c r="E396" s="8">
        <f>IF($A396="",0,ROUND($D396*18%,2))</f>
        <v/>
      </c>
      <c r="F396" s="8">
        <f>IF($A396="",0,$D396+$E396)</f>
        <v/>
      </c>
      <c r="G396" s="8" t="n"/>
      <c r="H396" s="8">
        <f>IF($A396="",0,$F396-$G396)</f>
        <v/>
      </c>
      <c r="I396">
        <f>IF($A396="","",IF($H396=0,"Paid",IF($G396=0,"Unpaid","Partial")))</f>
        <v/>
      </c>
    </row>
    <row r="397">
      <c r="B397" s="7" t="n"/>
      <c r="D397" s="8">
        <f>IF($A397="",0,ROUND(SUMIFS(InvoiceLines!$G$2:$G$4001,InvoiceLines!$A$2:$A$4001,$A397),2))</f>
        <v/>
      </c>
      <c r="E397" s="8">
        <f>IF($A397="",0,ROUND($D397*18%,2))</f>
        <v/>
      </c>
      <c r="F397" s="8">
        <f>IF($A397="",0,$D397+$E397)</f>
        <v/>
      </c>
      <c r="G397" s="8" t="n"/>
      <c r="H397" s="8">
        <f>IF($A397="",0,$F397-$G397)</f>
        <v/>
      </c>
      <c r="I397">
        <f>IF($A397="","",IF($H397=0,"Paid",IF($G397=0,"Unpaid","Partial")))</f>
        <v/>
      </c>
    </row>
    <row r="398">
      <c r="B398" s="7" t="n"/>
      <c r="D398" s="8">
        <f>IF($A398="",0,ROUND(SUMIFS(InvoiceLines!$G$2:$G$4001,InvoiceLines!$A$2:$A$4001,$A398),2))</f>
        <v/>
      </c>
      <c r="E398" s="8">
        <f>IF($A398="",0,ROUND($D398*18%,2))</f>
        <v/>
      </c>
      <c r="F398" s="8">
        <f>IF($A398="",0,$D398+$E398)</f>
        <v/>
      </c>
      <c r="G398" s="8" t="n"/>
      <c r="H398" s="8">
        <f>IF($A398="",0,$F398-$G398)</f>
        <v/>
      </c>
      <c r="I398">
        <f>IF($A398="","",IF($H398=0,"Paid",IF($G398=0,"Unpaid","Partial")))</f>
        <v/>
      </c>
    </row>
    <row r="399">
      <c r="B399" s="7" t="n"/>
      <c r="D399" s="8">
        <f>IF($A399="",0,ROUND(SUMIFS(InvoiceLines!$G$2:$G$4001,InvoiceLines!$A$2:$A$4001,$A399),2))</f>
        <v/>
      </c>
      <c r="E399" s="8">
        <f>IF($A399="",0,ROUND($D399*18%,2))</f>
        <v/>
      </c>
      <c r="F399" s="8">
        <f>IF($A399="",0,$D399+$E399)</f>
        <v/>
      </c>
      <c r="G399" s="8" t="n"/>
      <c r="H399" s="8">
        <f>IF($A399="",0,$F399-$G399)</f>
        <v/>
      </c>
      <c r="I399">
        <f>IF($A399="","",IF($H399=0,"Paid",IF($G399=0,"Unpaid","Partial")))</f>
        <v/>
      </c>
    </row>
    <row r="400">
      <c r="B400" s="7" t="n"/>
      <c r="D400" s="8">
        <f>IF($A400="",0,ROUND(SUMIFS(InvoiceLines!$G$2:$G$4001,InvoiceLines!$A$2:$A$4001,$A400),2))</f>
        <v/>
      </c>
      <c r="E400" s="8">
        <f>IF($A400="",0,ROUND($D400*18%,2))</f>
        <v/>
      </c>
      <c r="F400" s="8">
        <f>IF($A400="",0,$D400+$E400)</f>
        <v/>
      </c>
      <c r="G400" s="8" t="n"/>
      <c r="H400" s="8">
        <f>IF($A400="",0,$F400-$G400)</f>
        <v/>
      </c>
      <c r="I400">
        <f>IF($A400="","",IF($H400=0,"Paid",IF($G400=0,"Unpaid","Partial")))</f>
        <v/>
      </c>
    </row>
    <row r="401">
      <c r="B401" s="7" t="n"/>
      <c r="D401" s="8">
        <f>IF($A401="",0,ROUND(SUMIFS(InvoiceLines!$G$2:$G$4001,InvoiceLines!$A$2:$A$4001,$A401),2))</f>
        <v/>
      </c>
      <c r="E401" s="8">
        <f>IF($A401="",0,ROUND($D401*18%,2))</f>
        <v/>
      </c>
      <c r="F401" s="8">
        <f>IF($A401="",0,$D401+$E401)</f>
        <v/>
      </c>
      <c r="G401" s="8" t="n"/>
      <c r="H401" s="8">
        <f>IF($A401="",0,$F401-$G401)</f>
        <v/>
      </c>
      <c r="I401">
        <f>IF($A401="","",IF($H401=0,"Paid",IF($G401=0,"Unpaid","Partial")))</f>
        <v/>
      </c>
    </row>
    <row r="402">
      <c r="B402" s="7" t="n"/>
      <c r="D402" s="8">
        <f>IF($A402="",0,ROUND(SUMIFS(InvoiceLines!$G$2:$G$4001,InvoiceLines!$A$2:$A$4001,$A402),2))</f>
        <v/>
      </c>
      <c r="E402" s="8">
        <f>IF($A402="",0,ROUND($D402*18%,2))</f>
        <v/>
      </c>
      <c r="F402" s="8">
        <f>IF($A402="",0,$D402+$E402)</f>
        <v/>
      </c>
      <c r="G402" s="8" t="n"/>
      <c r="H402" s="8">
        <f>IF($A402="",0,$F402-$G402)</f>
        <v/>
      </c>
      <c r="I402">
        <f>IF($A402="","",IF($H402=0,"Paid",IF($G402=0,"Unpaid","Partial")))</f>
        <v/>
      </c>
    </row>
    <row r="403">
      <c r="B403" s="7" t="n"/>
      <c r="D403" s="8">
        <f>IF($A403="",0,ROUND(SUMIFS(InvoiceLines!$G$2:$G$4001,InvoiceLines!$A$2:$A$4001,$A403),2))</f>
        <v/>
      </c>
      <c r="E403" s="8">
        <f>IF($A403="",0,ROUND($D403*18%,2))</f>
        <v/>
      </c>
      <c r="F403" s="8">
        <f>IF($A403="",0,$D403+$E403)</f>
        <v/>
      </c>
      <c r="G403" s="8" t="n"/>
      <c r="H403" s="8">
        <f>IF($A403="",0,$F403-$G403)</f>
        <v/>
      </c>
      <c r="I403">
        <f>IF($A403="","",IF($H403=0,"Paid",IF($G403=0,"Unpaid","Partial")))</f>
        <v/>
      </c>
    </row>
    <row r="404">
      <c r="B404" s="7" t="n"/>
      <c r="D404" s="8">
        <f>IF($A404="",0,ROUND(SUMIFS(InvoiceLines!$G$2:$G$4001,InvoiceLines!$A$2:$A$4001,$A404),2))</f>
        <v/>
      </c>
      <c r="E404" s="8">
        <f>IF($A404="",0,ROUND($D404*18%,2))</f>
        <v/>
      </c>
      <c r="F404" s="8">
        <f>IF($A404="",0,$D404+$E404)</f>
        <v/>
      </c>
      <c r="G404" s="8" t="n"/>
      <c r="H404" s="8">
        <f>IF($A404="",0,$F404-$G404)</f>
        <v/>
      </c>
      <c r="I404">
        <f>IF($A404="","",IF($H404=0,"Paid",IF($G404=0,"Unpaid","Partial")))</f>
        <v/>
      </c>
    </row>
    <row r="405">
      <c r="B405" s="7" t="n"/>
      <c r="D405" s="8">
        <f>IF($A405="",0,ROUND(SUMIFS(InvoiceLines!$G$2:$G$4001,InvoiceLines!$A$2:$A$4001,$A405),2))</f>
        <v/>
      </c>
      <c r="E405" s="8">
        <f>IF($A405="",0,ROUND($D405*18%,2))</f>
        <v/>
      </c>
      <c r="F405" s="8">
        <f>IF($A405="",0,$D405+$E405)</f>
        <v/>
      </c>
      <c r="G405" s="8" t="n"/>
      <c r="H405" s="8">
        <f>IF($A405="",0,$F405-$G405)</f>
        <v/>
      </c>
      <c r="I405">
        <f>IF($A405="","",IF($H405=0,"Paid",IF($G405=0,"Unpaid","Partial")))</f>
        <v/>
      </c>
    </row>
    <row r="406">
      <c r="B406" s="7" t="n"/>
      <c r="D406" s="8">
        <f>IF($A406="",0,ROUND(SUMIFS(InvoiceLines!$G$2:$G$4001,InvoiceLines!$A$2:$A$4001,$A406),2))</f>
        <v/>
      </c>
      <c r="E406" s="8">
        <f>IF($A406="",0,ROUND($D406*18%,2))</f>
        <v/>
      </c>
      <c r="F406" s="8">
        <f>IF($A406="",0,$D406+$E406)</f>
        <v/>
      </c>
      <c r="G406" s="8" t="n"/>
      <c r="H406" s="8">
        <f>IF($A406="",0,$F406-$G406)</f>
        <v/>
      </c>
      <c r="I406">
        <f>IF($A406="","",IF($H406=0,"Paid",IF($G406=0,"Unpaid","Partial")))</f>
        <v/>
      </c>
    </row>
    <row r="407">
      <c r="B407" s="7" t="n"/>
      <c r="D407" s="8">
        <f>IF($A407="",0,ROUND(SUMIFS(InvoiceLines!$G$2:$G$4001,InvoiceLines!$A$2:$A$4001,$A407),2))</f>
        <v/>
      </c>
      <c r="E407" s="8">
        <f>IF($A407="",0,ROUND($D407*18%,2))</f>
        <v/>
      </c>
      <c r="F407" s="8">
        <f>IF($A407="",0,$D407+$E407)</f>
        <v/>
      </c>
      <c r="G407" s="8" t="n"/>
      <c r="H407" s="8">
        <f>IF($A407="",0,$F407-$G407)</f>
        <v/>
      </c>
      <c r="I407">
        <f>IF($A407="","",IF($H407=0,"Paid",IF($G407=0,"Unpaid","Partial")))</f>
        <v/>
      </c>
    </row>
    <row r="408">
      <c r="B408" s="7" t="n"/>
      <c r="D408" s="8">
        <f>IF($A408="",0,ROUND(SUMIFS(InvoiceLines!$G$2:$G$4001,InvoiceLines!$A$2:$A$4001,$A408),2))</f>
        <v/>
      </c>
      <c r="E408" s="8">
        <f>IF($A408="",0,ROUND($D408*18%,2))</f>
        <v/>
      </c>
      <c r="F408" s="8">
        <f>IF($A408="",0,$D408+$E408)</f>
        <v/>
      </c>
      <c r="G408" s="8" t="n"/>
      <c r="H408" s="8">
        <f>IF($A408="",0,$F408-$G408)</f>
        <v/>
      </c>
      <c r="I408">
        <f>IF($A408="","",IF($H408=0,"Paid",IF($G408=0,"Unpaid","Partial")))</f>
        <v/>
      </c>
    </row>
    <row r="409">
      <c r="B409" s="7" t="n"/>
      <c r="D409" s="8">
        <f>IF($A409="",0,ROUND(SUMIFS(InvoiceLines!$G$2:$G$4001,InvoiceLines!$A$2:$A$4001,$A409),2))</f>
        <v/>
      </c>
      <c r="E409" s="8">
        <f>IF($A409="",0,ROUND($D409*18%,2))</f>
        <v/>
      </c>
      <c r="F409" s="8">
        <f>IF($A409="",0,$D409+$E409)</f>
        <v/>
      </c>
      <c r="G409" s="8" t="n"/>
      <c r="H409" s="8">
        <f>IF($A409="",0,$F409-$G409)</f>
        <v/>
      </c>
      <c r="I409">
        <f>IF($A409="","",IF($H409=0,"Paid",IF($G409=0,"Unpaid","Partial")))</f>
        <v/>
      </c>
    </row>
    <row r="410">
      <c r="B410" s="7" t="n"/>
      <c r="D410" s="8">
        <f>IF($A410="",0,ROUND(SUMIFS(InvoiceLines!$G$2:$G$4001,InvoiceLines!$A$2:$A$4001,$A410),2))</f>
        <v/>
      </c>
      <c r="E410" s="8">
        <f>IF($A410="",0,ROUND($D410*18%,2))</f>
        <v/>
      </c>
      <c r="F410" s="8">
        <f>IF($A410="",0,$D410+$E410)</f>
        <v/>
      </c>
      <c r="G410" s="8" t="n"/>
      <c r="H410" s="8">
        <f>IF($A410="",0,$F410-$G410)</f>
        <v/>
      </c>
      <c r="I410">
        <f>IF($A410="","",IF($H410=0,"Paid",IF($G410=0,"Unpaid","Partial")))</f>
        <v/>
      </c>
    </row>
    <row r="411">
      <c r="B411" s="7" t="n"/>
      <c r="D411" s="8">
        <f>IF($A411="",0,ROUND(SUMIFS(InvoiceLines!$G$2:$G$4001,InvoiceLines!$A$2:$A$4001,$A411),2))</f>
        <v/>
      </c>
      <c r="E411" s="8">
        <f>IF($A411="",0,ROUND($D411*18%,2))</f>
        <v/>
      </c>
      <c r="F411" s="8">
        <f>IF($A411="",0,$D411+$E411)</f>
        <v/>
      </c>
      <c r="G411" s="8" t="n"/>
      <c r="H411" s="8">
        <f>IF($A411="",0,$F411-$G411)</f>
        <v/>
      </c>
      <c r="I411">
        <f>IF($A411="","",IF($H411=0,"Paid",IF($G411=0,"Unpaid","Partial")))</f>
        <v/>
      </c>
    </row>
    <row r="412">
      <c r="B412" s="7" t="n"/>
      <c r="D412" s="8">
        <f>IF($A412="",0,ROUND(SUMIFS(InvoiceLines!$G$2:$G$4001,InvoiceLines!$A$2:$A$4001,$A412),2))</f>
        <v/>
      </c>
      <c r="E412" s="8">
        <f>IF($A412="",0,ROUND($D412*18%,2))</f>
        <v/>
      </c>
      <c r="F412" s="8">
        <f>IF($A412="",0,$D412+$E412)</f>
        <v/>
      </c>
      <c r="G412" s="8" t="n"/>
      <c r="H412" s="8">
        <f>IF($A412="",0,$F412-$G412)</f>
        <v/>
      </c>
      <c r="I412">
        <f>IF($A412="","",IF($H412=0,"Paid",IF($G412=0,"Unpaid","Partial")))</f>
        <v/>
      </c>
    </row>
    <row r="413">
      <c r="B413" s="7" t="n"/>
      <c r="D413" s="8">
        <f>IF($A413="",0,ROUND(SUMIFS(InvoiceLines!$G$2:$G$4001,InvoiceLines!$A$2:$A$4001,$A413),2))</f>
        <v/>
      </c>
      <c r="E413" s="8">
        <f>IF($A413="",0,ROUND($D413*18%,2))</f>
        <v/>
      </c>
      <c r="F413" s="8">
        <f>IF($A413="",0,$D413+$E413)</f>
        <v/>
      </c>
      <c r="G413" s="8" t="n"/>
      <c r="H413" s="8">
        <f>IF($A413="",0,$F413-$G413)</f>
        <v/>
      </c>
      <c r="I413">
        <f>IF($A413="","",IF($H413=0,"Paid",IF($G413=0,"Unpaid","Partial")))</f>
        <v/>
      </c>
    </row>
    <row r="414">
      <c r="B414" s="7" t="n"/>
      <c r="D414" s="8">
        <f>IF($A414="",0,ROUND(SUMIFS(InvoiceLines!$G$2:$G$4001,InvoiceLines!$A$2:$A$4001,$A414),2))</f>
        <v/>
      </c>
      <c r="E414" s="8">
        <f>IF($A414="",0,ROUND($D414*18%,2))</f>
        <v/>
      </c>
      <c r="F414" s="8">
        <f>IF($A414="",0,$D414+$E414)</f>
        <v/>
      </c>
      <c r="G414" s="8" t="n"/>
      <c r="H414" s="8">
        <f>IF($A414="",0,$F414-$G414)</f>
        <v/>
      </c>
      <c r="I414">
        <f>IF($A414="","",IF($H414=0,"Paid",IF($G414=0,"Unpaid","Partial")))</f>
        <v/>
      </c>
    </row>
    <row r="415">
      <c r="B415" s="7" t="n"/>
      <c r="D415" s="8">
        <f>IF($A415="",0,ROUND(SUMIFS(InvoiceLines!$G$2:$G$4001,InvoiceLines!$A$2:$A$4001,$A415),2))</f>
        <v/>
      </c>
      <c r="E415" s="8">
        <f>IF($A415="",0,ROUND($D415*18%,2))</f>
        <v/>
      </c>
      <c r="F415" s="8">
        <f>IF($A415="",0,$D415+$E415)</f>
        <v/>
      </c>
      <c r="G415" s="8" t="n"/>
      <c r="H415" s="8">
        <f>IF($A415="",0,$F415-$G415)</f>
        <v/>
      </c>
      <c r="I415">
        <f>IF($A415="","",IF($H415=0,"Paid",IF($G415=0,"Unpaid","Partial")))</f>
        <v/>
      </c>
    </row>
    <row r="416">
      <c r="B416" s="7" t="n"/>
      <c r="D416" s="8">
        <f>IF($A416="",0,ROUND(SUMIFS(InvoiceLines!$G$2:$G$4001,InvoiceLines!$A$2:$A$4001,$A416),2))</f>
        <v/>
      </c>
      <c r="E416" s="8">
        <f>IF($A416="",0,ROUND($D416*18%,2))</f>
        <v/>
      </c>
      <c r="F416" s="8">
        <f>IF($A416="",0,$D416+$E416)</f>
        <v/>
      </c>
      <c r="G416" s="8" t="n"/>
      <c r="H416" s="8">
        <f>IF($A416="",0,$F416-$G416)</f>
        <v/>
      </c>
      <c r="I416">
        <f>IF($A416="","",IF($H416=0,"Paid",IF($G416=0,"Unpaid","Partial")))</f>
        <v/>
      </c>
    </row>
    <row r="417">
      <c r="B417" s="7" t="n"/>
      <c r="D417" s="8">
        <f>IF($A417="",0,ROUND(SUMIFS(InvoiceLines!$G$2:$G$4001,InvoiceLines!$A$2:$A$4001,$A417),2))</f>
        <v/>
      </c>
      <c r="E417" s="8">
        <f>IF($A417="",0,ROUND($D417*18%,2))</f>
        <v/>
      </c>
      <c r="F417" s="8">
        <f>IF($A417="",0,$D417+$E417)</f>
        <v/>
      </c>
      <c r="G417" s="8" t="n"/>
      <c r="H417" s="8">
        <f>IF($A417="",0,$F417-$G417)</f>
        <v/>
      </c>
      <c r="I417">
        <f>IF($A417="","",IF($H417=0,"Paid",IF($G417=0,"Unpaid","Partial")))</f>
        <v/>
      </c>
    </row>
    <row r="418">
      <c r="B418" s="7" t="n"/>
      <c r="D418" s="8">
        <f>IF($A418="",0,ROUND(SUMIFS(InvoiceLines!$G$2:$G$4001,InvoiceLines!$A$2:$A$4001,$A418),2))</f>
        <v/>
      </c>
      <c r="E418" s="8">
        <f>IF($A418="",0,ROUND($D418*18%,2))</f>
        <v/>
      </c>
      <c r="F418" s="8">
        <f>IF($A418="",0,$D418+$E418)</f>
        <v/>
      </c>
      <c r="G418" s="8" t="n"/>
      <c r="H418" s="8">
        <f>IF($A418="",0,$F418-$G418)</f>
        <v/>
      </c>
      <c r="I418">
        <f>IF($A418="","",IF($H418=0,"Paid",IF($G418=0,"Unpaid","Partial")))</f>
        <v/>
      </c>
    </row>
    <row r="419">
      <c r="B419" s="7" t="n"/>
      <c r="D419" s="8">
        <f>IF($A419="",0,ROUND(SUMIFS(InvoiceLines!$G$2:$G$4001,InvoiceLines!$A$2:$A$4001,$A419),2))</f>
        <v/>
      </c>
      <c r="E419" s="8">
        <f>IF($A419="",0,ROUND($D419*18%,2))</f>
        <v/>
      </c>
      <c r="F419" s="8">
        <f>IF($A419="",0,$D419+$E419)</f>
        <v/>
      </c>
      <c r="G419" s="8" t="n"/>
      <c r="H419" s="8">
        <f>IF($A419="",0,$F419-$G419)</f>
        <v/>
      </c>
      <c r="I419">
        <f>IF($A419="","",IF($H419=0,"Paid",IF($G419=0,"Unpaid","Partial")))</f>
        <v/>
      </c>
    </row>
    <row r="420">
      <c r="B420" s="7" t="n"/>
      <c r="D420" s="8">
        <f>IF($A420="",0,ROUND(SUMIFS(InvoiceLines!$G$2:$G$4001,InvoiceLines!$A$2:$A$4001,$A420),2))</f>
        <v/>
      </c>
      <c r="E420" s="8">
        <f>IF($A420="",0,ROUND($D420*18%,2))</f>
        <v/>
      </c>
      <c r="F420" s="8">
        <f>IF($A420="",0,$D420+$E420)</f>
        <v/>
      </c>
      <c r="G420" s="8" t="n"/>
      <c r="H420" s="8">
        <f>IF($A420="",0,$F420-$G420)</f>
        <v/>
      </c>
      <c r="I420">
        <f>IF($A420="","",IF($H420=0,"Paid",IF($G420=0,"Unpaid","Partial")))</f>
        <v/>
      </c>
    </row>
    <row r="421">
      <c r="B421" s="7" t="n"/>
      <c r="D421" s="8">
        <f>IF($A421="",0,ROUND(SUMIFS(InvoiceLines!$G$2:$G$4001,InvoiceLines!$A$2:$A$4001,$A421),2))</f>
        <v/>
      </c>
      <c r="E421" s="8">
        <f>IF($A421="",0,ROUND($D421*18%,2))</f>
        <v/>
      </c>
      <c r="F421" s="8">
        <f>IF($A421="",0,$D421+$E421)</f>
        <v/>
      </c>
      <c r="G421" s="8" t="n"/>
      <c r="H421" s="8">
        <f>IF($A421="",0,$F421-$G421)</f>
        <v/>
      </c>
      <c r="I421">
        <f>IF($A421="","",IF($H421=0,"Paid",IF($G421=0,"Unpaid","Partial")))</f>
        <v/>
      </c>
    </row>
    <row r="422">
      <c r="B422" s="7" t="n"/>
      <c r="D422" s="8">
        <f>IF($A422="",0,ROUND(SUMIFS(InvoiceLines!$G$2:$G$4001,InvoiceLines!$A$2:$A$4001,$A422),2))</f>
        <v/>
      </c>
      <c r="E422" s="8">
        <f>IF($A422="",0,ROUND($D422*18%,2))</f>
        <v/>
      </c>
      <c r="F422" s="8">
        <f>IF($A422="",0,$D422+$E422)</f>
        <v/>
      </c>
      <c r="G422" s="8" t="n"/>
      <c r="H422" s="8">
        <f>IF($A422="",0,$F422-$G422)</f>
        <v/>
      </c>
      <c r="I422">
        <f>IF($A422="","",IF($H422=0,"Paid",IF($G422=0,"Unpaid","Partial")))</f>
        <v/>
      </c>
    </row>
    <row r="423">
      <c r="B423" s="7" t="n"/>
      <c r="D423" s="8">
        <f>IF($A423="",0,ROUND(SUMIFS(InvoiceLines!$G$2:$G$4001,InvoiceLines!$A$2:$A$4001,$A423),2))</f>
        <v/>
      </c>
      <c r="E423" s="8">
        <f>IF($A423="",0,ROUND($D423*18%,2))</f>
        <v/>
      </c>
      <c r="F423" s="8">
        <f>IF($A423="",0,$D423+$E423)</f>
        <v/>
      </c>
      <c r="G423" s="8" t="n"/>
      <c r="H423" s="8">
        <f>IF($A423="",0,$F423-$G423)</f>
        <v/>
      </c>
      <c r="I423">
        <f>IF($A423="","",IF($H423=0,"Paid",IF($G423=0,"Unpaid","Partial")))</f>
        <v/>
      </c>
    </row>
    <row r="424">
      <c r="B424" s="7" t="n"/>
      <c r="D424" s="8">
        <f>IF($A424="",0,ROUND(SUMIFS(InvoiceLines!$G$2:$G$4001,InvoiceLines!$A$2:$A$4001,$A424),2))</f>
        <v/>
      </c>
      <c r="E424" s="8">
        <f>IF($A424="",0,ROUND($D424*18%,2))</f>
        <v/>
      </c>
      <c r="F424" s="8">
        <f>IF($A424="",0,$D424+$E424)</f>
        <v/>
      </c>
      <c r="G424" s="8" t="n"/>
      <c r="H424" s="8">
        <f>IF($A424="",0,$F424-$G424)</f>
        <v/>
      </c>
      <c r="I424">
        <f>IF($A424="","",IF($H424=0,"Paid",IF($G424=0,"Unpaid","Partial")))</f>
        <v/>
      </c>
    </row>
    <row r="425">
      <c r="B425" s="7" t="n"/>
      <c r="D425" s="8">
        <f>IF($A425="",0,ROUND(SUMIFS(InvoiceLines!$G$2:$G$4001,InvoiceLines!$A$2:$A$4001,$A425),2))</f>
        <v/>
      </c>
      <c r="E425" s="8">
        <f>IF($A425="",0,ROUND($D425*18%,2))</f>
        <v/>
      </c>
      <c r="F425" s="8">
        <f>IF($A425="",0,$D425+$E425)</f>
        <v/>
      </c>
      <c r="G425" s="8" t="n"/>
      <c r="H425" s="8">
        <f>IF($A425="",0,$F425-$G425)</f>
        <v/>
      </c>
      <c r="I425">
        <f>IF($A425="","",IF($H425=0,"Paid",IF($G425=0,"Unpaid","Partial")))</f>
        <v/>
      </c>
    </row>
    <row r="426">
      <c r="B426" s="7" t="n"/>
      <c r="D426" s="8">
        <f>IF($A426="",0,ROUND(SUMIFS(InvoiceLines!$G$2:$G$4001,InvoiceLines!$A$2:$A$4001,$A426),2))</f>
        <v/>
      </c>
      <c r="E426" s="8">
        <f>IF($A426="",0,ROUND($D426*18%,2))</f>
        <v/>
      </c>
      <c r="F426" s="8">
        <f>IF($A426="",0,$D426+$E426)</f>
        <v/>
      </c>
      <c r="G426" s="8" t="n"/>
      <c r="H426" s="8">
        <f>IF($A426="",0,$F426-$G426)</f>
        <v/>
      </c>
      <c r="I426">
        <f>IF($A426="","",IF($H426=0,"Paid",IF($G426=0,"Unpaid","Partial")))</f>
        <v/>
      </c>
    </row>
    <row r="427">
      <c r="B427" s="7" t="n"/>
      <c r="D427" s="8">
        <f>IF($A427="",0,ROUND(SUMIFS(InvoiceLines!$G$2:$G$4001,InvoiceLines!$A$2:$A$4001,$A427),2))</f>
        <v/>
      </c>
      <c r="E427" s="8">
        <f>IF($A427="",0,ROUND($D427*18%,2))</f>
        <v/>
      </c>
      <c r="F427" s="8">
        <f>IF($A427="",0,$D427+$E427)</f>
        <v/>
      </c>
      <c r="G427" s="8" t="n"/>
      <c r="H427" s="8">
        <f>IF($A427="",0,$F427-$G427)</f>
        <v/>
      </c>
      <c r="I427">
        <f>IF($A427="","",IF($H427=0,"Paid",IF($G427=0,"Unpaid","Partial")))</f>
        <v/>
      </c>
    </row>
    <row r="428">
      <c r="B428" s="7" t="n"/>
      <c r="D428" s="8">
        <f>IF($A428="",0,ROUND(SUMIFS(InvoiceLines!$G$2:$G$4001,InvoiceLines!$A$2:$A$4001,$A428),2))</f>
        <v/>
      </c>
      <c r="E428" s="8">
        <f>IF($A428="",0,ROUND($D428*18%,2))</f>
        <v/>
      </c>
      <c r="F428" s="8">
        <f>IF($A428="",0,$D428+$E428)</f>
        <v/>
      </c>
      <c r="G428" s="8" t="n"/>
      <c r="H428" s="8">
        <f>IF($A428="",0,$F428-$G428)</f>
        <v/>
      </c>
      <c r="I428">
        <f>IF($A428="","",IF($H428=0,"Paid",IF($G428=0,"Unpaid","Partial")))</f>
        <v/>
      </c>
    </row>
    <row r="429">
      <c r="B429" s="7" t="n"/>
      <c r="D429" s="8">
        <f>IF($A429="",0,ROUND(SUMIFS(InvoiceLines!$G$2:$G$4001,InvoiceLines!$A$2:$A$4001,$A429),2))</f>
        <v/>
      </c>
      <c r="E429" s="8">
        <f>IF($A429="",0,ROUND($D429*18%,2))</f>
        <v/>
      </c>
      <c r="F429" s="8">
        <f>IF($A429="",0,$D429+$E429)</f>
        <v/>
      </c>
      <c r="G429" s="8" t="n"/>
      <c r="H429" s="8">
        <f>IF($A429="",0,$F429-$G429)</f>
        <v/>
      </c>
      <c r="I429">
        <f>IF($A429="","",IF($H429=0,"Paid",IF($G429=0,"Unpaid","Partial")))</f>
        <v/>
      </c>
    </row>
    <row r="430">
      <c r="B430" s="7" t="n"/>
      <c r="D430" s="8">
        <f>IF($A430="",0,ROUND(SUMIFS(InvoiceLines!$G$2:$G$4001,InvoiceLines!$A$2:$A$4001,$A430),2))</f>
        <v/>
      </c>
      <c r="E430" s="8">
        <f>IF($A430="",0,ROUND($D430*18%,2))</f>
        <v/>
      </c>
      <c r="F430" s="8">
        <f>IF($A430="",0,$D430+$E430)</f>
        <v/>
      </c>
      <c r="G430" s="8" t="n"/>
      <c r="H430" s="8">
        <f>IF($A430="",0,$F430-$G430)</f>
        <v/>
      </c>
      <c r="I430">
        <f>IF($A430="","",IF($H430=0,"Paid",IF($G430=0,"Unpaid","Partial")))</f>
        <v/>
      </c>
    </row>
    <row r="431">
      <c r="B431" s="7" t="n"/>
      <c r="D431" s="8">
        <f>IF($A431="",0,ROUND(SUMIFS(InvoiceLines!$G$2:$G$4001,InvoiceLines!$A$2:$A$4001,$A431),2))</f>
        <v/>
      </c>
      <c r="E431" s="8">
        <f>IF($A431="",0,ROUND($D431*18%,2))</f>
        <v/>
      </c>
      <c r="F431" s="8">
        <f>IF($A431="",0,$D431+$E431)</f>
        <v/>
      </c>
      <c r="G431" s="8" t="n"/>
      <c r="H431" s="8">
        <f>IF($A431="",0,$F431-$G431)</f>
        <v/>
      </c>
      <c r="I431">
        <f>IF($A431="","",IF($H431=0,"Paid",IF($G431=0,"Unpaid","Partial")))</f>
        <v/>
      </c>
    </row>
    <row r="432">
      <c r="B432" s="7" t="n"/>
      <c r="D432" s="8">
        <f>IF($A432="",0,ROUND(SUMIFS(InvoiceLines!$G$2:$G$4001,InvoiceLines!$A$2:$A$4001,$A432),2))</f>
        <v/>
      </c>
      <c r="E432" s="8">
        <f>IF($A432="",0,ROUND($D432*18%,2))</f>
        <v/>
      </c>
      <c r="F432" s="8">
        <f>IF($A432="",0,$D432+$E432)</f>
        <v/>
      </c>
      <c r="G432" s="8" t="n"/>
      <c r="H432" s="8">
        <f>IF($A432="",0,$F432-$G432)</f>
        <v/>
      </c>
      <c r="I432">
        <f>IF($A432="","",IF($H432=0,"Paid",IF($G432=0,"Unpaid","Partial")))</f>
        <v/>
      </c>
    </row>
    <row r="433">
      <c r="B433" s="7" t="n"/>
      <c r="D433" s="8">
        <f>IF($A433="",0,ROUND(SUMIFS(InvoiceLines!$G$2:$G$4001,InvoiceLines!$A$2:$A$4001,$A433),2))</f>
        <v/>
      </c>
      <c r="E433" s="8">
        <f>IF($A433="",0,ROUND($D433*18%,2))</f>
        <v/>
      </c>
      <c r="F433" s="8">
        <f>IF($A433="",0,$D433+$E433)</f>
        <v/>
      </c>
      <c r="G433" s="8" t="n"/>
      <c r="H433" s="8">
        <f>IF($A433="",0,$F433-$G433)</f>
        <v/>
      </c>
      <c r="I433">
        <f>IF($A433="","",IF($H433=0,"Paid",IF($G433=0,"Unpaid","Partial")))</f>
        <v/>
      </c>
    </row>
    <row r="434">
      <c r="B434" s="7" t="n"/>
      <c r="D434" s="8">
        <f>IF($A434="",0,ROUND(SUMIFS(InvoiceLines!$G$2:$G$4001,InvoiceLines!$A$2:$A$4001,$A434),2))</f>
        <v/>
      </c>
      <c r="E434" s="8">
        <f>IF($A434="",0,ROUND($D434*18%,2))</f>
        <v/>
      </c>
      <c r="F434" s="8">
        <f>IF($A434="",0,$D434+$E434)</f>
        <v/>
      </c>
      <c r="G434" s="8" t="n"/>
      <c r="H434" s="8">
        <f>IF($A434="",0,$F434-$G434)</f>
        <v/>
      </c>
      <c r="I434">
        <f>IF($A434="","",IF($H434=0,"Paid",IF($G434=0,"Unpaid","Partial")))</f>
        <v/>
      </c>
    </row>
    <row r="435">
      <c r="B435" s="7" t="n"/>
      <c r="D435" s="8">
        <f>IF($A435="",0,ROUND(SUMIFS(InvoiceLines!$G$2:$G$4001,InvoiceLines!$A$2:$A$4001,$A435),2))</f>
        <v/>
      </c>
      <c r="E435" s="8">
        <f>IF($A435="",0,ROUND($D435*18%,2))</f>
        <v/>
      </c>
      <c r="F435" s="8">
        <f>IF($A435="",0,$D435+$E435)</f>
        <v/>
      </c>
      <c r="G435" s="8" t="n"/>
      <c r="H435" s="8">
        <f>IF($A435="",0,$F435-$G435)</f>
        <v/>
      </c>
      <c r="I435">
        <f>IF($A435="","",IF($H435=0,"Paid",IF($G435=0,"Unpaid","Partial")))</f>
        <v/>
      </c>
    </row>
    <row r="436">
      <c r="B436" s="7" t="n"/>
      <c r="D436" s="8">
        <f>IF($A436="",0,ROUND(SUMIFS(InvoiceLines!$G$2:$G$4001,InvoiceLines!$A$2:$A$4001,$A436),2))</f>
        <v/>
      </c>
      <c r="E436" s="8">
        <f>IF($A436="",0,ROUND($D436*18%,2))</f>
        <v/>
      </c>
      <c r="F436" s="8">
        <f>IF($A436="",0,$D436+$E436)</f>
        <v/>
      </c>
      <c r="G436" s="8" t="n"/>
      <c r="H436" s="8">
        <f>IF($A436="",0,$F436-$G436)</f>
        <v/>
      </c>
      <c r="I436">
        <f>IF($A436="","",IF($H436=0,"Paid",IF($G436=0,"Unpaid","Partial")))</f>
        <v/>
      </c>
    </row>
    <row r="437">
      <c r="B437" s="7" t="n"/>
      <c r="D437" s="8">
        <f>IF($A437="",0,ROUND(SUMIFS(InvoiceLines!$G$2:$G$4001,InvoiceLines!$A$2:$A$4001,$A437),2))</f>
        <v/>
      </c>
      <c r="E437" s="8">
        <f>IF($A437="",0,ROUND($D437*18%,2))</f>
        <v/>
      </c>
      <c r="F437" s="8">
        <f>IF($A437="",0,$D437+$E437)</f>
        <v/>
      </c>
      <c r="G437" s="8" t="n"/>
      <c r="H437" s="8">
        <f>IF($A437="",0,$F437-$G437)</f>
        <v/>
      </c>
      <c r="I437">
        <f>IF($A437="","",IF($H437=0,"Paid",IF($G437=0,"Unpaid","Partial")))</f>
        <v/>
      </c>
    </row>
    <row r="438">
      <c r="B438" s="7" t="n"/>
      <c r="D438" s="8">
        <f>IF($A438="",0,ROUND(SUMIFS(InvoiceLines!$G$2:$G$4001,InvoiceLines!$A$2:$A$4001,$A438),2))</f>
        <v/>
      </c>
      <c r="E438" s="8">
        <f>IF($A438="",0,ROUND($D438*18%,2))</f>
        <v/>
      </c>
      <c r="F438" s="8">
        <f>IF($A438="",0,$D438+$E438)</f>
        <v/>
      </c>
      <c r="G438" s="8" t="n"/>
      <c r="H438" s="8">
        <f>IF($A438="",0,$F438-$G438)</f>
        <v/>
      </c>
      <c r="I438">
        <f>IF($A438="","",IF($H438=0,"Paid",IF($G438=0,"Unpaid","Partial")))</f>
        <v/>
      </c>
    </row>
    <row r="439">
      <c r="B439" s="7" t="n"/>
      <c r="D439" s="8">
        <f>IF($A439="",0,ROUND(SUMIFS(InvoiceLines!$G$2:$G$4001,InvoiceLines!$A$2:$A$4001,$A439),2))</f>
        <v/>
      </c>
      <c r="E439" s="8">
        <f>IF($A439="",0,ROUND($D439*18%,2))</f>
        <v/>
      </c>
      <c r="F439" s="8">
        <f>IF($A439="",0,$D439+$E439)</f>
        <v/>
      </c>
      <c r="G439" s="8" t="n"/>
      <c r="H439" s="8">
        <f>IF($A439="",0,$F439-$G439)</f>
        <v/>
      </c>
      <c r="I439">
        <f>IF($A439="","",IF($H439=0,"Paid",IF($G439=0,"Unpaid","Partial")))</f>
        <v/>
      </c>
    </row>
    <row r="440">
      <c r="B440" s="7" t="n"/>
      <c r="D440" s="8">
        <f>IF($A440="",0,ROUND(SUMIFS(InvoiceLines!$G$2:$G$4001,InvoiceLines!$A$2:$A$4001,$A440),2))</f>
        <v/>
      </c>
      <c r="E440" s="8">
        <f>IF($A440="",0,ROUND($D440*18%,2))</f>
        <v/>
      </c>
      <c r="F440" s="8">
        <f>IF($A440="",0,$D440+$E440)</f>
        <v/>
      </c>
      <c r="G440" s="8" t="n"/>
      <c r="H440" s="8">
        <f>IF($A440="",0,$F440-$G440)</f>
        <v/>
      </c>
      <c r="I440">
        <f>IF($A440="","",IF($H440=0,"Paid",IF($G440=0,"Unpaid","Partial")))</f>
        <v/>
      </c>
    </row>
    <row r="441">
      <c r="B441" s="7" t="n"/>
      <c r="D441" s="8">
        <f>IF($A441="",0,ROUND(SUMIFS(InvoiceLines!$G$2:$G$4001,InvoiceLines!$A$2:$A$4001,$A441),2))</f>
        <v/>
      </c>
      <c r="E441" s="8">
        <f>IF($A441="",0,ROUND($D441*18%,2))</f>
        <v/>
      </c>
      <c r="F441" s="8">
        <f>IF($A441="",0,$D441+$E441)</f>
        <v/>
      </c>
      <c r="G441" s="8" t="n"/>
      <c r="H441" s="8">
        <f>IF($A441="",0,$F441-$G441)</f>
        <v/>
      </c>
      <c r="I441">
        <f>IF($A441="","",IF($H441=0,"Paid",IF($G441=0,"Unpaid","Partial")))</f>
        <v/>
      </c>
    </row>
    <row r="442">
      <c r="B442" s="7" t="n"/>
      <c r="D442" s="8">
        <f>IF($A442="",0,ROUND(SUMIFS(InvoiceLines!$G$2:$G$4001,InvoiceLines!$A$2:$A$4001,$A442),2))</f>
        <v/>
      </c>
      <c r="E442" s="8">
        <f>IF($A442="",0,ROUND($D442*18%,2))</f>
        <v/>
      </c>
      <c r="F442" s="8">
        <f>IF($A442="",0,$D442+$E442)</f>
        <v/>
      </c>
      <c r="G442" s="8" t="n"/>
      <c r="H442" s="8">
        <f>IF($A442="",0,$F442-$G442)</f>
        <v/>
      </c>
      <c r="I442">
        <f>IF($A442="","",IF($H442=0,"Paid",IF($G442=0,"Unpaid","Partial")))</f>
        <v/>
      </c>
    </row>
    <row r="443">
      <c r="B443" s="7" t="n"/>
      <c r="D443" s="8">
        <f>IF($A443="",0,ROUND(SUMIFS(InvoiceLines!$G$2:$G$4001,InvoiceLines!$A$2:$A$4001,$A443),2))</f>
        <v/>
      </c>
      <c r="E443" s="8">
        <f>IF($A443="",0,ROUND($D443*18%,2))</f>
        <v/>
      </c>
      <c r="F443" s="8">
        <f>IF($A443="",0,$D443+$E443)</f>
        <v/>
      </c>
      <c r="G443" s="8" t="n"/>
      <c r="H443" s="8">
        <f>IF($A443="",0,$F443-$G443)</f>
        <v/>
      </c>
      <c r="I443">
        <f>IF($A443="","",IF($H443=0,"Paid",IF($G443=0,"Unpaid","Partial")))</f>
        <v/>
      </c>
    </row>
    <row r="444">
      <c r="B444" s="7" t="n"/>
      <c r="D444" s="8">
        <f>IF($A444="",0,ROUND(SUMIFS(InvoiceLines!$G$2:$G$4001,InvoiceLines!$A$2:$A$4001,$A444),2))</f>
        <v/>
      </c>
      <c r="E444" s="8">
        <f>IF($A444="",0,ROUND($D444*18%,2))</f>
        <v/>
      </c>
      <c r="F444" s="8">
        <f>IF($A444="",0,$D444+$E444)</f>
        <v/>
      </c>
      <c r="G444" s="8" t="n"/>
      <c r="H444" s="8">
        <f>IF($A444="",0,$F444-$G444)</f>
        <v/>
      </c>
      <c r="I444">
        <f>IF($A444="","",IF($H444=0,"Paid",IF($G444=0,"Unpaid","Partial")))</f>
        <v/>
      </c>
    </row>
    <row r="445">
      <c r="B445" s="7" t="n"/>
      <c r="D445" s="8">
        <f>IF($A445="",0,ROUND(SUMIFS(InvoiceLines!$G$2:$G$4001,InvoiceLines!$A$2:$A$4001,$A445),2))</f>
        <v/>
      </c>
      <c r="E445" s="8">
        <f>IF($A445="",0,ROUND($D445*18%,2))</f>
        <v/>
      </c>
      <c r="F445" s="8">
        <f>IF($A445="",0,$D445+$E445)</f>
        <v/>
      </c>
      <c r="G445" s="8" t="n"/>
      <c r="H445" s="8">
        <f>IF($A445="",0,$F445-$G445)</f>
        <v/>
      </c>
      <c r="I445">
        <f>IF($A445="","",IF($H445=0,"Paid",IF($G445=0,"Unpaid","Partial")))</f>
        <v/>
      </c>
    </row>
    <row r="446">
      <c r="B446" s="7" t="n"/>
      <c r="D446" s="8">
        <f>IF($A446="",0,ROUND(SUMIFS(InvoiceLines!$G$2:$G$4001,InvoiceLines!$A$2:$A$4001,$A446),2))</f>
        <v/>
      </c>
      <c r="E446" s="8">
        <f>IF($A446="",0,ROUND($D446*18%,2))</f>
        <v/>
      </c>
      <c r="F446" s="8">
        <f>IF($A446="",0,$D446+$E446)</f>
        <v/>
      </c>
      <c r="G446" s="8" t="n"/>
      <c r="H446" s="8">
        <f>IF($A446="",0,$F446-$G446)</f>
        <v/>
      </c>
      <c r="I446">
        <f>IF($A446="","",IF($H446=0,"Paid",IF($G446=0,"Unpaid","Partial")))</f>
        <v/>
      </c>
    </row>
    <row r="447">
      <c r="B447" s="7" t="n"/>
      <c r="D447" s="8">
        <f>IF($A447="",0,ROUND(SUMIFS(InvoiceLines!$G$2:$G$4001,InvoiceLines!$A$2:$A$4001,$A447),2))</f>
        <v/>
      </c>
      <c r="E447" s="8">
        <f>IF($A447="",0,ROUND($D447*18%,2))</f>
        <v/>
      </c>
      <c r="F447" s="8">
        <f>IF($A447="",0,$D447+$E447)</f>
        <v/>
      </c>
      <c r="G447" s="8" t="n"/>
      <c r="H447" s="8">
        <f>IF($A447="",0,$F447-$G447)</f>
        <v/>
      </c>
      <c r="I447">
        <f>IF($A447="","",IF($H447=0,"Paid",IF($G447=0,"Unpaid","Partial")))</f>
        <v/>
      </c>
    </row>
    <row r="448">
      <c r="B448" s="7" t="n"/>
      <c r="D448" s="8">
        <f>IF($A448="",0,ROUND(SUMIFS(InvoiceLines!$G$2:$G$4001,InvoiceLines!$A$2:$A$4001,$A448),2))</f>
        <v/>
      </c>
      <c r="E448" s="8">
        <f>IF($A448="",0,ROUND($D448*18%,2))</f>
        <v/>
      </c>
      <c r="F448" s="8">
        <f>IF($A448="",0,$D448+$E448)</f>
        <v/>
      </c>
      <c r="G448" s="8" t="n"/>
      <c r="H448" s="8">
        <f>IF($A448="",0,$F448-$G448)</f>
        <v/>
      </c>
      <c r="I448">
        <f>IF($A448="","",IF($H448=0,"Paid",IF($G448=0,"Unpaid","Partial")))</f>
        <v/>
      </c>
    </row>
    <row r="449">
      <c r="B449" s="7" t="n"/>
      <c r="D449" s="8">
        <f>IF($A449="",0,ROUND(SUMIFS(InvoiceLines!$G$2:$G$4001,InvoiceLines!$A$2:$A$4001,$A449),2))</f>
        <v/>
      </c>
      <c r="E449" s="8">
        <f>IF($A449="",0,ROUND($D449*18%,2))</f>
        <v/>
      </c>
      <c r="F449" s="8">
        <f>IF($A449="",0,$D449+$E449)</f>
        <v/>
      </c>
      <c r="G449" s="8" t="n"/>
      <c r="H449" s="8">
        <f>IF($A449="",0,$F449-$G449)</f>
        <v/>
      </c>
      <c r="I449">
        <f>IF($A449="","",IF($H449=0,"Paid",IF($G449=0,"Unpaid","Partial")))</f>
        <v/>
      </c>
    </row>
    <row r="450">
      <c r="B450" s="7" t="n"/>
      <c r="D450" s="8">
        <f>IF($A450="",0,ROUND(SUMIFS(InvoiceLines!$G$2:$G$4001,InvoiceLines!$A$2:$A$4001,$A450),2))</f>
        <v/>
      </c>
      <c r="E450" s="8">
        <f>IF($A450="",0,ROUND($D450*18%,2))</f>
        <v/>
      </c>
      <c r="F450" s="8">
        <f>IF($A450="",0,$D450+$E450)</f>
        <v/>
      </c>
      <c r="G450" s="8" t="n"/>
      <c r="H450" s="8">
        <f>IF($A450="",0,$F450-$G450)</f>
        <v/>
      </c>
      <c r="I450">
        <f>IF($A450="","",IF($H450=0,"Paid",IF($G450=0,"Unpaid","Partial")))</f>
        <v/>
      </c>
    </row>
    <row r="451">
      <c r="B451" s="7" t="n"/>
      <c r="D451" s="8">
        <f>IF($A451="",0,ROUND(SUMIFS(InvoiceLines!$G$2:$G$4001,InvoiceLines!$A$2:$A$4001,$A451),2))</f>
        <v/>
      </c>
      <c r="E451" s="8">
        <f>IF($A451="",0,ROUND($D451*18%,2))</f>
        <v/>
      </c>
      <c r="F451" s="8">
        <f>IF($A451="",0,$D451+$E451)</f>
        <v/>
      </c>
      <c r="G451" s="8" t="n"/>
      <c r="H451" s="8">
        <f>IF($A451="",0,$F451-$G451)</f>
        <v/>
      </c>
      <c r="I451">
        <f>IF($A451="","",IF($H451=0,"Paid",IF($G451=0,"Unpaid","Partial")))</f>
        <v/>
      </c>
    </row>
    <row r="452">
      <c r="B452" s="7" t="n"/>
      <c r="D452" s="8">
        <f>IF($A452="",0,ROUND(SUMIFS(InvoiceLines!$G$2:$G$4001,InvoiceLines!$A$2:$A$4001,$A452),2))</f>
        <v/>
      </c>
      <c r="E452" s="8">
        <f>IF($A452="",0,ROUND($D452*18%,2))</f>
        <v/>
      </c>
      <c r="F452" s="8">
        <f>IF($A452="",0,$D452+$E452)</f>
        <v/>
      </c>
      <c r="G452" s="8" t="n"/>
      <c r="H452" s="8">
        <f>IF($A452="",0,$F452-$G452)</f>
        <v/>
      </c>
      <c r="I452">
        <f>IF($A452="","",IF($H452=0,"Paid",IF($G452=0,"Unpaid","Partial")))</f>
        <v/>
      </c>
    </row>
    <row r="453">
      <c r="B453" s="7" t="n"/>
      <c r="D453" s="8">
        <f>IF($A453="",0,ROUND(SUMIFS(InvoiceLines!$G$2:$G$4001,InvoiceLines!$A$2:$A$4001,$A453),2))</f>
        <v/>
      </c>
      <c r="E453" s="8">
        <f>IF($A453="",0,ROUND($D453*18%,2))</f>
        <v/>
      </c>
      <c r="F453" s="8">
        <f>IF($A453="",0,$D453+$E453)</f>
        <v/>
      </c>
      <c r="G453" s="8" t="n"/>
      <c r="H453" s="8">
        <f>IF($A453="",0,$F453-$G453)</f>
        <v/>
      </c>
      <c r="I453">
        <f>IF($A453="","",IF($H453=0,"Paid",IF($G453=0,"Unpaid","Partial")))</f>
        <v/>
      </c>
    </row>
    <row r="454">
      <c r="B454" s="7" t="n"/>
      <c r="D454" s="8">
        <f>IF($A454="",0,ROUND(SUMIFS(InvoiceLines!$G$2:$G$4001,InvoiceLines!$A$2:$A$4001,$A454),2))</f>
        <v/>
      </c>
      <c r="E454" s="8">
        <f>IF($A454="",0,ROUND($D454*18%,2))</f>
        <v/>
      </c>
      <c r="F454" s="8">
        <f>IF($A454="",0,$D454+$E454)</f>
        <v/>
      </c>
      <c r="G454" s="8" t="n"/>
      <c r="H454" s="8">
        <f>IF($A454="",0,$F454-$G454)</f>
        <v/>
      </c>
      <c r="I454">
        <f>IF($A454="","",IF($H454=0,"Paid",IF($G454=0,"Unpaid","Partial")))</f>
        <v/>
      </c>
    </row>
    <row r="455">
      <c r="B455" s="7" t="n"/>
      <c r="D455" s="8">
        <f>IF($A455="",0,ROUND(SUMIFS(InvoiceLines!$G$2:$G$4001,InvoiceLines!$A$2:$A$4001,$A455),2))</f>
        <v/>
      </c>
      <c r="E455" s="8">
        <f>IF($A455="",0,ROUND($D455*18%,2))</f>
        <v/>
      </c>
      <c r="F455" s="8">
        <f>IF($A455="",0,$D455+$E455)</f>
        <v/>
      </c>
      <c r="G455" s="8" t="n"/>
      <c r="H455" s="8">
        <f>IF($A455="",0,$F455-$G455)</f>
        <v/>
      </c>
      <c r="I455">
        <f>IF($A455="","",IF($H455=0,"Paid",IF($G455=0,"Unpaid","Partial")))</f>
        <v/>
      </c>
    </row>
    <row r="456">
      <c r="B456" s="7" t="n"/>
      <c r="D456" s="8">
        <f>IF($A456="",0,ROUND(SUMIFS(InvoiceLines!$G$2:$G$4001,InvoiceLines!$A$2:$A$4001,$A456),2))</f>
        <v/>
      </c>
      <c r="E456" s="8">
        <f>IF($A456="",0,ROUND($D456*18%,2))</f>
        <v/>
      </c>
      <c r="F456" s="8">
        <f>IF($A456="",0,$D456+$E456)</f>
        <v/>
      </c>
      <c r="G456" s="8" t="n"/>
      <c r="H456" s="8">
        <f>IF($A456="",0,$F456-$G456)</f>
        <v/>
      </c>
      <c r="I456">
        <f>IF($A456="","",IF($H456=0,"Paid",IF($G456=0,"Unpaid","Partial")))</f>
        <v/>
      </c>
    </row>
    <row r="457">
      <c r="B457" s="7" t="n"/>
      <c r="D457" s="8">
        <f>IF($A457="",0,ROUND(SUMIFS(InvoiceLines!$G$2:$G$4001,InvoiceLines!$A$2:$A$4001,$A457),2))</f>
        <v/>
      </c>
      <c r="E457" s="8">
        <f>IF($A457="",0,ROUND($D457*18%,2))</f>
        <v/>
      </c>
      <c r="F457" s="8">
        <f>IF($A457="",0,$D457+$E457)</f>
        <v/>
      </c>
      <c r="G457" s="8" t="n"/>
      <c r="H457" s="8">
        <f>IF($A457="",0,$F457-$G457)</f>
        <v/>
      </c>
      <c r="I457">
        <f>IF($A457="","",IF($H457=0,"Paid",IF($G457=0,"Unpaid","Partial")))</f>
        <v/>
      </c>
    </row>
    <row r="458">
      <c r="B458" s="7" t="n"/>
      <c r="D458" s="8">
        <f>IF($A458="",0,ROUND(SUMIFS(InvoiceLines!$G$2:$G$4001,InvoiceLines!$A$2:$A$4001,$A458),2))</f>
        <v/>
      </c>
      <c r="E458" s="8">
        <f>IF($A458="",0,ROUND($D458*18%,2))</f>
        <v/>
      </c>
      <c r="F458" s="8">
        <f>IF($A458="",0,$D458+$E458)</f>
        <v/>
      </c>
      <c r="G458" s="8" t="n"/>
      <c r="H458" s="8">
        <f>IF($A458="",0,$F458-$G458)</f>
        <v/>
      </c>
      <c r="I458">
        <f>IF($A458="","",IF($H458=0,"Paid",IF($G458=0,"Unpaid","Partial")))</f>
        <v/>
      </c>
    </row>
    <row r="459">
      <c r="B459" s="7" t="n"/>
      <c r="D459" s="8">
        <f>IF($A459="",0,ROUND(SUMIFS(InvoiceLines!$G$2:$G$4001,InvoiceLines!$A$2:$A$4001,$A459),2))</f>
        <v/>
      </c>
      <c r="E459" s="8">
        <f>IF($A459="",0,ROUND($D459*18%,2))</f>
        <v/>
      </c>
      <c r="F459" s="8">
        <f>IF($A459="",0,$D459+$E459)</f>
        <v/>
      </c>
      <c r="G459" s="8" t="n"/>
      <c r="H459" s="8">
        <f>IF($A459="",0,$F459-$G459)</f>
        <v/>
      </c>
      <c r="I459">
        <f>IF($A459="","",IF($H459=0,"Paid",IF($G459=0,"Unpaid","Partial")))</f>
        <v/>
      </c>
    </row>
    <row r="460">
      <c r="B460" s="7" t="n"/>
      <c r="D460" s="8">
        <f>IF($A460="",0,ROUND(SUMIFS(InvoiceLines!$G$2:$G$4001,InvoiceLines!$A$2:$A$4001,$A460),2))</f>
        <v/>
      </c>
      <c r="E460" s="8">
        <f>IF($A460="",0,ROUND($D460*18%,2))</f>
        <v/>
      </c>
      <c r="F460" s="8">
        <f>IF($A460="",0,$D460+$E460)</f>
        <v/>
      </c>
      <c r="G460" s="8" t="n"/>
      <c r="H460" s="8">
        <f>IF($A460="",0,$F460-$G460)</f>
        <v/>
      </c>
      <c r="I460">
        <f>IF($A460="","",IF($H460=0,"Paid",IF($G460=0,"Unpaid","Partial")))</f>
        <v/>
      </c>
    </row>
    <row r="461">
      <c r="B461" s="7" t="n"/>
      <c r="D461" s="8">
        <f>IF($A461="",0,ROUND(SUMIFS(InvoiceLines!$G$2:$G$4001,InvoiceLines!$A$2:$A$4001,$A461),2))</f>
        <v/>
      </c>
      <c r="E461" s="8">
        <f>IF($A461="",0,ROUND($D461*18%,2))</f>
        <v/>
      </c>
      <c r="F461" s="8">
        <f>IF($A461="",0,$D461+$E461)</f>
        <v/>
      </c>
      <c r="G461" s="8" t="n"/>
      <c r="H461" s="8">
        <f>IF($A461="",0,$F461-$G461)</f>
        <v/>
      </c>
      <c r="I461">
        <f>IF($A461="","",IF($H461=0,"Paid",IF($G461=0,"Unpaid","Partial")))</f>
        <v/>
      </c>
    </row>
    <row r="462">
      <c r="B462" s="7" t="n"/>
      <c r="D462" s="8">
        <f>IF($A462="",0,ROUND(SUMIFS(InvoiceLines!$G$2:$G$4001,InvoiceLines!$A$2:$A$4001,$A462),2))</f>
        <v/>
      </c>
      <c r="E462" s="8">
        <f>IF($A462="",0,ROUND($D462*18%,2))</f>
        <v/>
      </c>
      <c r="F462" s="8">
        <f>IF($A462="",0,$D462+$E462)</f>
        <v/>
      </c>
      <c r="G462" s="8" t="n"/>
      <c r="H462" s="8">
        <f>IF($A462="",0,$F462-$G462)</f>
        <v/>
      </c>
      <c r="I462">
        <f>IF($A462="","",IF($H462=0,"Paid",IF($G462=0,"Unpaid","Partial")))</f>
        <v/>
      </c>
    </row>
    <row r="463">
      <c r="B463" s="7" t="n"/>
      <c r="D463" s="8">
        <f>IF($A463="",0,ROUND(SUMIFS(InvoiceLines!$G$2:$G$4001,InvoiceLines!$A$2:$A$4001,$A463),2))</f>
        <v/>
      </c>
      <c r="E463" s="8">
        <f>IF($A463="",0,ROUND($D463*18%,2))</f>
        <v/>
      </c>
      <c r="F463" s="8">
        <f>IF($A463="",0,$D463+$E463)</f>
        <v/>
      </c>
      <c r="G463" s="8" t="n"/>
      <c r="H463" s="8">
        <f>IF($A463="",0,$F463-$G463)</f>
        <v/>
      </c>
      <c r="I463">
        <f>IF($A463="","",IF($H463=0,"Paid",IF($G463=0,"Unpaid","Partial")))</f>
        <v/>
      </c>
    </row>
    <row r="464">
      <c r="B464" s="7" t="n"/>
      <c r="D464" s="8">
        <f>IF($A464="",0,ROUND(SUMIFS(InvoiceLines!$G$2:$G$4001,InvoiceLines!$A$2:$A$4001,$A464),2))</f>
        <v/>
      </c>
      <c r="E464" s="8">
        <f>IF($A464="",0,ROUND($D464*18%,2))</f>
        <v/>
      </c>
      <c r="F464" s="8">
        <f>IF($A464="",0,$D464+$E464)</f>
        <v/>
      </c>
      <c r="G464" s="8" t="n"/>
      <c r="H464" s="8">
        <f>IF($A464="",0,$F464-$G464)</f>
        <v/>
      </c>
      <c r="I464">
        <f>IF($A464="","",IF($H464=0,"Paid",IF($G464=0,"Unpaid","Partial")))</f>
        <v/>
      </c>
    </row>
    <row r="465">
      <c r="B465" s="7" t="n"/>
      <c r="D465" s="8">
        <f>IF($A465="",0,ROUND(SUMIFS(InvoiceLines!$G$2:$G$4001,InvoiceLines!$A$2:$A$4001,$A465),2))</f>
        <v/>
      </c>
      <c r="E465" s="8">
        <f>IF($A465="",0,ROUND($D465*18%,2))</f>
        <v/>
      </c>
      <c r="F465" s="8">
        <f>IF($A465="",0,$D465+$E465)</f>
        <v/>
      </c>
      <c r="G465" s="8" t="n"/>
      <c r="H465" s="8">
        <f>IF($A465="",0,$F465-$G465)</f>
        <v/>
      </c>
      <c r="I465">
        <f>IF($A465="","",IF($H465=0,"Paid",IF($G465=0,"Unpaid","Partial")))</f>
        <v/>
      </c>
    </row>
    <row r="466">
      <c r="B466" s="7" t="n"/>
      <c r="D466" s="8">
        <f>IF($A466="",0,ROUND(SUMIFS(InvoiceLines!$G$2:$G$4001,InvoiceLines!$A$2:$A$4001,$A466),2))</f>
        <v/>
      </c>
      <c r="E466" s="8">
        <f>IF($A466="",0,ROUND($D466*18%,2))</f>
        <v/>
      </c>
      <c r="F466" s="8">
        <f>IF($A466="",0,$D466+$E466)</f>
        <v/>
      </c>
      <c r="G466" s="8" t="n"/>
      <c r="H466" s="8">
        <f>IF($A466="",0,$F466-$G466)</f>
        <v/>
      </c>
      <c r="I466">
        <f>IF($A466="","",IF($H466=0,"Paid",IF($G466=0,"Unpaid","Partial")))</f>
        <v/>
      </c>
    </row>
    <row r="467">
      <c r="B467" s="7" t="n"/>
      <c r="D467" s="8">
        <f>IF($A467="",0,ROUND(SUMIFS(InvoiceLines!$G$2:$G$4001,InvoiceLines!$A$2:$A$4001,$A467),2))</f>
        <v/>
      </c>
      <c r="E467" s="8">
        <f>IF($A467="",0,ROUND($D467*18%,2))</f>
        <v/>
      </c>
      <c r="F467" s="8">
        <f>IF($A467="",0,$D467+$E467)</f>
        <v/>
      </c>
      <c r="G467" s="8" t="n"/>
      <c r="H467" s="8">
        <f>IF($A467="",0,$F467-$G467)</f>
        <v/>
      </c>
      <c r="I467">
        <f>IF($A467="","",IF($H467=0,"Paid",IF($G467=0,"Unpaid","Partial")))</f>
        <v/>
      </c>
    </row>
    <row r="468">
      <c r="B468" s="7" t="n"/>
      <c r="D468" s="8">
        <f>IF($A468="",0,ROUND(SUMIFS(InvoiceLines!$G$2:$G$4001,InvoiceLines!$A$2:$A$4001,$A468),2))</f>
        <v/>
      </c>
      <c r="E468" s="8">
        <f>IF($A468="",0,ROUND($D468*18%,2))</f>
        <v/>
      </c>
      <c r="F468" s="8">
        <f>IF($A468="",0,$D468+$E468)</f>
        <v/>
      </c>
      <c r="G468" s="8" t="n"/>
      <c r="H468" s="8">
        <f>IF($A468="",0,$F468-$G468)</f>
        <v/>
      </c>
      <c r="I468">
        <f>IF($A468="","",IF($H468=0,"Paid",IF($G468=0,"Unpaid","Partial")))</f>
        <v/>
      </c>
    </row>
    <row r="469">
      <c r="B469" s="7" t="n"/>
      <c r="D469" s="8">
        <f>IF($A469="",0,ROUND(SUMIFS(InvoiceLines!$G$2:$G$4001,InvoiceLines!$A$2:$A$4001,$A469),2))</f>
        <v/>
      </c>
      <c r="E469" s="8">
        <f>IF($A469="",0,ROUND($D469*18%,2))</f>
        <v/>
      </c>
      <c r="F469" s="8">
        <f>IF($A469="",0,$D469+$E469)</f>
        <v/>
      </c>
      <c r="G469" s="8" t="n"/>
      <c r="H469" s="8">
        <f>IF($A469="",0,$F469-$G469)</f>
        <v/>
      </c>
      <c r="I469">
        <f>IF($A469="","",IF($H469=0,"Paid",IF($G469=0,"Unpaid","Partial")))</f>
        <v/>
      </c>
    </row>
    <row r="470">
      <c r="B470" s="7" t="n"/>
      <c r="D470" s="8">
        <f>IF($A470="",0,ROUND(SUMIFS(InvoiceLines!$G$2:$G$4001,InvoiceLines!$A$2:$A$4001,$A470),2))</f>
        <v/>
      </c>
      <c r="E470" s="8">
        <f>IF($A470="",0,ROUND($D470*18%,2))</f>
        <v/>
      </c>
      <c r="F470" s="8">
        <f>IF($A470="",0,$D470+$E470)</f>
        <v/>
      </c>
      <c r="G470" s="8" t="n"/>
      <c r="H470" s="8">
        <f>IF($A470="",0,$F470-$G470)</f>
        <v/>
      </c>
      <c r="I470">
        <f>IF($A470="","",IF($H470=0,"Paid",IF($G470=0,"Unpaid","Partial")))</f>
        <v/>
      </c>
    </row>
    <row r="471">
      <c r="B471" s="7" t="n"/>
      <c r="D471" s="8">
        <f>IF($A471="",0,ROUND(SUMIFS(InvoiceLines!$G$2:$G$4001,InvoiceLines!$A$2:$A$4001,$A471),2))</f>
        <v/>
      </c>
      <c r="E471" s="8">
        <f>IF($A471="",0,ROUND($D471*18%,2))</f>
        <v/>
      </c>
      <c r="F471" s="8">
        <f>IF($A471="",0,$D471+$E471)</f>
        <v/>
      </c>
      <c r="G471" s="8" t="n"/>
      <c r="H471" s="8">
        <f>IF($A471="",0,$F471-$G471)</f>
        <v/>
      </c>
      <c r="I471">
        <f>IF($A471="","",IF($H471=0,"Paid",IF($G471=0,"Unpaid","Partial")))</f>
        <v/>
      </c>
    </row>
    <row r="472">
      <c r="B472" s="7" t="n"/>
      <c r="D472" s="8">
        <f>IF($A472="",0,ROUND(SUMIFS(InvoiceLines!$G$2:$G$4001,InvoiceLines!$A$2:$A$4001,$A472),2))</f>
        <v/>
      </c>
      <c r="E472" s="8">
        <f>IF($A472="",0,ROUND($D472*18%,2))</f>
        <v/>
      </c>
      <c r="F472" s="8">
        <f>IF($A472="",0,$D472+$E472)</f>
        <v/>
      </c>
      <c r="G472" s="8" t="n"/>
      <c r="H472" s="8">
        <f>IF($A472="",0,$F472-$G472)</f>
        <v/>
      </c>
      <c r="I472">
        <f>IF($A472="","",IF($H472=0,"Paid",IF($G472=0,"Unpaid","Partial")))</f>
        <v/>
      </c>
    </row>
    <row r="473">
      <c r="B473" s="7" t="n"/>
      <c r="D473" s="8">
        <f>IF($A473="",0,ROUND(SUMIFS(InvoiceLines!$G$2:$G$4001,InvoiceLines!$A$2:$A$4001,$A473),2))</f>
        <v/>
      </c>
      <c r="E473" s="8">
        <f>IF($A473="",0,ROUND($D473*18%,2))</f>
        <v/>
      </c>
      <c r="F473" s="8">
        <f>IF($A473="",0,$D473+$E473)</f>
        <v/>
      </c>
      <c r="G473" s="8" t="n"/>
      <c r="H473" s="8">
        <f>IF($A473="",0,$F473-$G473)</f>
        <v/>
      </c>
      <c r="I473">
        <f>IF($A473="","",IF($H473=0,"Paid",IF($G473=0,"Unpaid","Partial")))</f>
        <v/>
      </c>
    </row>
    <row r="474">
      <c r="B474" s="7" t="n"/>
      <c r="D474" s="8">
        <f>IF($A474="",0,ROUND(SUMIFS(InvoiceLines!$G$2:$G$4001,InvoiceLines!$A$2:$A$4001,$A474),2))</f>
        <v/>
      </c>
      <c r="E474" s="8">
        <f>IF($A474="",0,ROUND($D474*18%,2))</f>
        <v/>
      </c>
      <c r="F474" s="8">
        <f>IF($A474="",0,$D474+$E474)</f>
        <v/>
      </c>
      <c r="G474" s="8" t="n"/>
      <c r="H474" s="8">
        <f>IF($A474="",0,$F474-$G474)</f>
        <v/>
      </c>
      <c r="I474">
        <f>IF($A474="","",IF($H474=0,"Paid",IF($G474=0,"Unpaid","Partial")))</f>
        <v/>
      </c>
    </row>
    <row r="475">
      <c r="B475" s="7" t="n"/>
      <c r="D475" s="8">
        <f>IF($A475="",0,ROUND(SUMIFS(InvoiceLines!$G$2:$G$4001,InvoiceLines!$A$2:$A$4001,$A475),2))</f>
        <v/>
      </c>
      <c r="E475" s="8">
        <f>IF($A475="",0,ROUND($D475*18%,2))</f>
        <v/>
      </c>
      <c r="F475" s="8">
        <f>IF($A475="",0,$D475+$E475)</f>
        <v/>
      </c>
      <c r="G475" s="8" t="n"/>
      <c r="H475" s="8">
        <f>IF($A475="",0,$F475-$G475)</f>
        <v/>
      </c>
      <c r="I475">
        <f>IF($A475="","",IF($H475=0,"Paid",IF($G475=0,"Unpaid","Partial")))</f>
        <v/>
      </c>
    </row>
    <row r="476">
      <c r="B476" s="7" t="n"/>
      <c r="D476" s="8">
        <f>IF($A476="",0,ROUND(SUMIFS(InvoiceLines!$G$2:$G$4001,InvoiceLines!$A$2:$A$4001,$A476),2))</f>
        <v/>
      </c>
      <c r="E476" s="8">
        <f>IF($A476="",0,ROUND($D476*18%,2))</f>
        <v/>
      </c>
      <c r="F476" s="8">
        <f>IF($A476="",0,$D476+$E476)</f>
        <v/>
      </c>
      <c r="G476" s="8" t="n"/>
      <c r="H476" s="8">
        <f>IF($A476="",0,$F476-$G476)</f>
        <v/>
      </c>
      <c r="I476">
        <f>IF($A476="","",IF($H476=0,"Paid",IF($G476=0,"Unpaid","Partial")))</f>
        <v/>
      </c>
    </row>
    <row r="477">
      <c r="B477" s="7" t="n"/>
      <c r="D477" s="8">
        <f>IF($A477="",0,ROUND(SUMIFS(InvoiceLines!$G$2:$G$4001,InvoiceLines!$A$2:$A$4001,$A477),2))</f>
        <v/>
      </c>
      <c r="E477" s="8">
        <f>IF($A477="",0,ROUND($D477*18%,2))</f>
        <v/>
      </c>
      <c r="F477" s="8">
        <f>IF($A477="",0,$D477+$E477)</f>
        <v/>
      </c>
      <c r="G477" s="8" t="n"/>
      <c r="H477" s="8">
        <f>IF($A477="",0,$F477-$G477)</f>
        <v/>
      </c>
      <c r="I477">
        <f>IF($A477="","",IF($H477=0,"Paid",IF($G477=0,"Unpaid","Partial")))</f>
        <v/>
      </c>
    </row>
    <row r="478">
      <c r="B478" s="7" t="n"/>
      <c r="D478" s="8">
        <f>IF($A478="",0,ROUND(SUMIFS(InvoiceLines!$G$2:$G$4001,InvoiceLines!$A$2:$A$4001,$A478),2))</f>
        <v/>
      </c>
      <c r="E478" s="8">
        <f>IF($A478="",0,ROUND($D478*18%,2))</f>
        <v/>
      </c>
      <c r="F478" s="8">
        <f>IF($A478="",0,$D478+$E478)</f>
        <v/>
      </c>
      <c r="G478" s="8" t="n"/>
      <c r="H478" s="8">
        <f>IF($A478="",0,$F478-$G478)</f>
        <v/>
      </c>
      <c r="I478">
        <f>IF($A478="","",IF($H478=0,"Paid",IF($G478=0,"Unpaid","Partial")))</f>
        <v/>
      </c>
    </row>
    <row r="479">
      <c r="B479" s="7" t="n"/>
      <c r="D479" s="8">
        <f>IF($A479="",0,ROUND(SUMIFS(InvoiceLines!$G$2:$G$4001,InvoiceLines!$A$2:$A$4001,$A479),2))</f>
        <v/>
      </c>
      <c r="E479" s="8">
        <f>IF($A479="",0,ROUND($D479*18%,2))</f>
        <v/>
      </c>
      <c r="F479" s="8">
        <f>IF($A479="",0,$D479+$E479)</f>
        <v/>
      </c>
      <c r="G479" s="8" t="n"/>
      <c r="H479" s="8">
        <f>IF($A479="",0,$F479-$G479)</f>
        <v/>
      </c>
      <c r="I479">
        <f>IF($A479="","",IF($H479=0,"Paid",IF($G479=0,"Unpaid","Partial")))</f>
        <v/>
      </c>
    </row>
    <row r="480">
      <c r="B480" s="7" t="n"/>
      <c r="D480" s="8">
        <f>IF($A480="",0,ROUND(SUMIFS(InvoiceLines!$G$2:$G$4001,InvoiceLines!$A$2:$A$4001,$A480),2))</f>
        <v/>
      </c>
      <c r="E480" s="8">
        <f>IF($A480="",0,ROUND($D480*18%,2))</f>
        <v/>
      </c>
      <c r="F480" s="8">
        <f>IF($A480="",0,$D480+$E480)</f>
        <v/>
      </c>
      <c r="G480" s="8" t="n"/>
      <c r="H480" s="8">
        <f>IF($A480="",0,$F480-$G480)</f>
        <v/>
      </c>
      <c r="I480">
        <f>IF($A480="","",IF($H480=0,"Paid",IF($G480=0,"Unpaid","Partial")))</f>
        <v/>
      </c>
    </row>
    <row r="481">
      <c r="B481" s="7" t="n"/>
      <c r="D481" s="8">
        <f>IF($A481="",0,ROUND(SUMIFS(InvoiceLines!$G$2:$G$4001,InvoiceLines!$A$2:$A$4001,$A481),2))</f>
        <v/>
      </c>
      <c r="E481" s="8">
        <f>IF($A481="",0,ROUND($D481*18%,2))</f>
        <v/>
      </c>
      <c r="F481" s="8">
        <f>IF($A481="",0,$D481+$E481)</f>
        <v/>
      </c>
      <c r="G481" s="8" t="n"/>
      <c r="H481" s="8">
        <f>IF($A481="",0,$F481-$G481)</f>
        <v/>
      </c>
      <c r="I481">
        <f>IF($A481="","",IF($H481=0,"Paid",IF($G481=0,"Unpaid","Partial")))</f>
        <v/>
      </c>
    </row>
    <row r="482">
      <c r="B482" s="7" t="n"/>
      <c r="D482" s="8">
        <f>IF($A482="",0,ROUND(SUMIFS(InvoiceLines!$G$2:$G$4001,InvoiceLines!$A$2:$A$4001,$A482),2))</f>
        <v/>
      </c>
      <c r="E482" s="8">
        <f>IF($A482="",0,ROUND($D482*18%,2))</f>
        <v/>
      </c>
      <c r="F482" s="8">
        <f>IF($A482="",0,$D482+$E482)</f>
        <v/>
      </c>
      <c r="G482" s="8" t="n"/>
      <c r="H482" s="8">
        <f>IF($A482="",0,$F482-$G482)</f>
        <v/>
      </c>
      <c r="I482">
        <f>IF($A482="","",IF($H482=0,"Paid",IF($G482=0,"Unpaid","Partial")))</f>
        <v/>
      </c>
    </row>
    <row r="483">
      <c r="B483" s="7" t="n"/>
      <c r="D483" s="8">
        <f>IF($A483="",0,ROUND(SUMIFS(InvoiceLines!$G$2:$G$4001,InvoiceLines!$A$2:$A$4001,$A483),2))</f>
        <v/>
      </c>
      <c r="E483" s="8">
        <f>IF($A483="",0,ROUND($D483*18%,2))</f>
        <v/>
      </c>
      <c r="F483" s="8">
        <f>IF($A483="",0,$D483+$E483)</f>
        <v/>
      </c>
      <c r="G483" s="8" t="n"/>
      <c r="H483" s="8">
        <f>IF($A483="",0,$F483-$G483)</f>
        <v/>
      </c>
      <c r="I483">
        <f>IF($A483="","",IF($H483=0,"Paid",IF($G483=0,"Unpaid","Partial")))</f>
        <v/>
      </c>
    </row>
    <row r="484">
      <c r="B484" s="7" t="n"/>
      <c r="D484" s="8">
        <f>IF($A484="",0,ROUND(SUMIFS(InvoiceLines!$G$2:$G$4001,InvoiceLines!$A$2:$A$4001,$A484),2))</f>
        <v/>
      </c>
      <c r="E484" s="8">
        <f>IF($A484="",0,ROUND($D484*18%,2))</f>
        <v/>
      </c>
      <c r="F484" s="8">
        <f>IF($A484="",0,$D484+$E484)</f>
        <v/>
      </c>
      <c r="G484" s="8" t="n"/>
      <c r="H484" s="8">
        <f>IF($A484="",0,$F484-$G484)</f>
        <v/>
      </c>
      <c r="I484">
        <f>IF($A484="","",IF($H484=0,"Paid",IF($G484=0,"Unpaid","Partial")))</f>
        <v/>
      </c>
    </row>
    <row r="485">
      <c r="B485" s="7" t="n"/>
      <c r="D485" s="8">
        <f>IF($A485="",0,ROUND(SUMIFS(InvoiceLines!$G$2:$G$4001,InvoiceLines!$A$2:$A$4001,$A485),2))</f>
        <v/>
      </c>
      <c r="E485" s="8">
        <f>IF($A485="",0,ROUND($D485*18%,2))</f>
        <v/>
      </c>
      <c r="F485" s="8">
        <f>IF($A485="",0,$D485+$E485)</f>
        <v/>
      </c>
      <c r="G485" s="8" t="n"/>
      <c r="H485" s="8">
        <f>IF($A485="",0,$F485-$G485)</f>
        <v/>
      </c>
      <c r="I485">
        <f>IF($A485="","",IF($H485=0,"Paid",IF($G485=0,"Unpaid","Partial")))</f>
        <v/>
      </c>
    </row>
    <row r="486">
      <c r="B486" s="7" t="n"/>
      <c r="D486" s="8">
        <f>IF($A486="",0,ROUND(SUMIFS(InvoiceLines!$G$2:$G$4001,InvoiceLines!$A$2:$A$4001,$A486),2))</f>
        <v/>
      </c>
      <c r="E486" s="8">
        <f>IF($A486="",0,ROUND($D486*18%,2))</f>
        <v/>
      </c>
      <c r="F486" s="8">
        <f>IF($A486="",0,$D486+$E486)</f>
        <v/>
      </c>
      <c r="G486" s="8" t="n"/>
      <c r="H486" s="8">
        <f>IF($A486="",0,$F486-$G486)</f>
        <v/>
      </c>
      <c r="I486">
        <f>IF($A486="","",IF($H486=0,"Paid",IF($G486=0,"Unpaid","Partial")))</f>
        <v/>
      </c>
    </row>
    <row r="487">
      <c r="B487" s="7" t="n"/>
      <c r="D487" s="8">
        <f>IF($A487="",0,ROUND(SUMIFS(InvoiceLines!$G$2:$G$4001,InvoiceLines!$A$2:$A$4001,$A487),2))</f>
        <v/>
      </c>
      <c r="E487" s="8">
        <f>IF($A487="",0,ROUND($D487*18%,2))</f>
        <v/>
      </c>
      <c r="F487" s="8">
        <f>IF($A487="",0,$D487+$E487)</f>
        <v/>
      </c>
      <c r="G487" s="8" t="n"/>
      <c r="H487" s="8">
        <f>IF($A487="",0,$F487-$G487)</f>
        <v/>
      </c>
      <c r="I487">
        <f>IF($A487="","",IF($H487=0,"Paid",IF($G487=0,"Unpaid","Partial")))</f>
        <v/>
      </c>
    </row>
    <row r="488">
      <c r="B488" s="7" t="n"/>
      <c r="D488" s="8">
        <f>IF($A488="",0,ROUND(SUMIFS(InvoiceLines!$G$2:$G$4001,InvoiceLines!$A$2:$A$4001,$A488),2))</f>
        <v/>
      </c>
      <c r="E488" s="8">
        <f>IF($A488="",0,ROUND($D488*18%,2))</f>
        <v/>
      </c>
      <c r="F488" s="8">
        <f>IF($A488="",0,$D488+$E488)</f>
        <v/>
      </c>
      <c r="G488" s="8" t="n"/>
      <c r="H488" s="8">
        <f>IF($A488="",0,$F488-$G488)</f>
        <v/>
      </c>
      <c r="I488">
        <f>IF($A488="","",IF($H488=0,"Paid",IF($G488=0,"Unpaid","Partial")))</f>
        <v/>
      </c>
    </row>
    <row r="489">
      <c r="B489" s="7" t="n"/>
      <c r="D489" s="8">
        <f>IF($A489="",0,ROUND(SUMIFS(InvoiceLines!$G$2:$G$4001,InvoiceLines!$A$2:$A$4001,$A489),2))</f>
        <v/>
      </c>
      <c r="E489" s="8">
        <f>IF($A489="",0,ROUND($D489*18%,2))</f>
        <v/>
      </c>
      <c r="F489" s="8">
        <f>IF($A489="",0,$D489+$E489)</f>
        <v/>
      </c>
      <c r="G489" s="8" t="n"/>
      <c r="H489" s="8">
        <f>IF($A489="",0,$F489-$G489)</f>
        <v/>
      </c>
      <c r="I489">
        <f>IF($A489="","",IF($H489=0,"Paid",IF($G489=0,"Unpaid","Partial")))</f>
        <v/>
      </c>
    </row>
    <row r="490">
      <c r="B490" s="7" t="n"/>
      <c r="D490" s="8">
        <f>IF($A490="",0,ROUND(SUMIFS(InvoiceLines!$G$2:$G$4001,InvoiceLines!$A$2:$A$4001,$A490),2))</f>
        <v/>
      </c>
      <c r="E490" s="8">
        <f>IF($A490="",0,ROUND($D490*18%,2))</f>
        <v/>
      </c>
      <c r="F490" s="8">
        <f>IF($A490="",0,$D490+$E490)</f>
        <v/>
      </c>
      <c r="G490" s="8" t="n"/>
      <c r="H490" s="8">
        <f>IF($A490="",0,$F490-$G490)</f>
        <v/>
      </c>
      <c r="I490">
        <f>IF($A490="","",IF($H490=0,"Paid",IF($G490=0,"Unpaid","Partial")))</f>
        <v/>
      </c>
    </row>
    <row r="491">
      <c r="B491" s="7" t="n"/>
      <c r="D491" s="8">
        <f>IF($A491="",0,ROUND(SUMIFS(InvoiceLines!$G$2:$G$4001,InvoiceLines!$A$2:$A$4001,$A491),2))</f>
        <v/>
      </c>
      <c r="E491" s="8">
        <f>IF($A491="",0,ROUND($D491*18%,2))</f>
        <v/>
      </c>
      <c r="F491" s="8">
        <f>IF($A491="",0,$D491+$E491)</f>
        <v/>
      </c>
      <c r="G491" s="8" t="n"/>
      <c r="H491" s="8">
        <f>IF($A491="",0,$F491-$G491)</f>
        <v/>
      </c>
      <c r="I491">
        <f>IF($A491="","",IF($H491=0,"Paid",IF($G491=0,"Unpaid","Partial")))</f>
        <v/>
      </c>
    </row>
    <row r="492">
      <c r="B492" s="7" t="n"/>
      <c r="D492" s="8">
        <f>IF($A492="",0,ROUND(SUMIFS(InvoiceLines!$G$2:$G$4001,InvoiceLines!$A$2:$A$4001,$A492),2))</f>
        <v/>
      </c>
      <c r="E492" s="8">
        <f>IF($A492="",0,ROUND($D492*18%,2))</f>
        <v/>
      </c>
      <c r="F492" s="8">
        <f>IF($A492="",0,$D492+$E492)</f>
        <v/>
      </c>
      <c r="G492" s="8" t="n"/>
      <c r="H492" s="8">
        <f>IF($A492="",0,$F492-$G492)</f>
        <v/>
      </c>
      <c r="I492">
        <f>IF($A492="","",IF($H492=0,"Paid",IF($G492=0,"Unpaid","Partial")))</f>
        <v/>
      </c>
    </row>
    <row r="493">
      <c r="B493" s="7" t="n"/>
      <c r="D493" s="8">
        <f>IF($A493="",0,ROUND(SUMIFS(InvoiceLines!$G$2:$G$4001,InvoiceLines!$A$2:$A$4001,$A493),2))</f>
        <v/>
      </c>
      <c r="E493" s="8">
        <f>IF($A493="",0,ROUND($D493*18%,2))</f>
        <v/>
      </c>
      <c r="F493" s="8">
        <f>IF($A493="",0,$D493+$E493)</f>
        <v/>
      </c>
      <c r="G493" s="8" t="n"/>
      <c r="H493" s="8">
        <f>IF($A493="",0,$F493-$G493)</f>
        <v/>
      </c>
      <c r="I493">
        <f>IF($A493="","",IF($H493=0,"Paid",IF($G493=0,"Unpaid","Partial")))</f>
        <v/>
      </c>
    </row>
    <row r="494">
      <c r="B494" s="7" t="n"/>
      <c r="D494" s="8">
        <f>IF($A494="",0,ROUND(SUMIFS(InvoiceLines!$G$2:$G$4001,InvoiceLines!$A$2:$A$4001,$A494),2))</f>
        <v/>
      </c>
      <c r="E494" s="8">
        <f>IF($A494="",0,ROUND($D494*18%,2))</f>
        <v/>
      </c>
      <c r="F494" s="8">
        <f>IF($A494="",0,$D494+$E494)</f>
        <v/>
      </c>
      <c r="G494" s="8" t="n"/>
      <c r="H494" s="8">
        <f>IF($A494="",0,$F494-$G494)</f>
        <v/>
      </c>
      <c r="I494">
        <f>IF($A494="","",IF($H494=0,"Paid",IF($G494=0,"Unpaid","Partial")))</f>
        <v/>
      </c>
    </row>
    <row r="495">
      <c r="B495" s="7" t="n"/>
      <c r="D495" s="8">
        <f>IF($A495="",0,ROUND(SUMIFS(InvoiceLines!$G$2:$G$4001,InvoiceLines!$A$2:$A$4001,$A495),2))</f>
        <v/>
      </c>
      <c r="E495" s="8">
        <f>IF($A495="",0,ROUND($D495*18%,2))</f>
        <v/>
      </c>
      <c r="F495" s="8">
        <f>IF($A495="",0,$D495+$E495)</f>
        <v/>
      </c>
      <c r="G495" s="8" t="n"/>
      <c r="H495" s="8">
        <f>IF($A495="",0,$F495-$G495)</f>
        <v/>
      </c>
      <c r="I495">
        <f>IF($A495="","",IF($H495=0,"Paid",IF($G495=0,"Unpaid","Partial")))</f>
        <v/>
      </c>
    </row>
    <row r="496">
      <c r="B496" s="7" t="n"/>
      <c r="D496" s="8">
        <f>IF($A496="",0,ROUND(SUMIFS(InvoiceLines!$G$2:$G$4001,InvoiceLines!$A$2:$A$4001,$A496),2))</f>
        <v/>
      </c>
      <c r="E496" s="8">
        <f>IF($A496="",0,ROUND($D496*18%,2))</f>
        <v/>
      </c>
      <c r="F496" s="8">
        <f>IF($A496="",0,$D496+$E496)</f>
        <v/>
      </c>
      <c r="G496" s="8" t="n"/>
      <c r="H496" s="8">
        <f>IF($A496="",0,$F496-$G496)</f>
        <v/>
      </c>
      <c r="I496">
        <f>IF($A496="","",IF($H496=0,"Paid",IF($G496=0,"Unpaid","Partial")))</f>
        <v/>
      </c>
    </row>
    <row r="497">
      <c r="B497" s="7" t="n"/>
      <c r="D497" s="8">
        <f>IF($A497="",0,ROUND(SUMIFS(InvoiceLines!$G$2:$G$4001,InvoiceLines!$A$2:$A$4001,$A497),2))</f>
        <v/>
      </c>
      <c r="E497" s="8">
        <f>IF($A497="",0,ROUND($D497*18%,2))</f>
        <v/>
      </c>
      <c r="F497" s="8">
        <f>IF($A497="",0,$D497+$E497)</f>
        <v/>
      </c>
      <c r="G497" s="8" t="n"/>
      <c r="H497" s="8">
        <f>IF($A497="",0,$F497-$G497)</f>
        <v/>
      </c>
      <c r="I497">
        <f>IF($A497="","",IF($H497=0,"Paid",IF($G497=0,"Unpaid","Partial")))</f>
        <v/>
      </c>
    </row>
    <row r="498">
      <c r="B498" s="7" t="n"/>
      <c r="D498" s="8">
        <f>IF($A498="",0,ROUND(SUMIFS(InvoiceLines!$G$2:$G$4001,InvoiceLines!$A$2:$A$4001,$A498),2))</f>
        <v/>
      </c>
      <c r="E498" s="8">
        <f>IF($A498="",0,ROUND($D498*18%,2))</f>
        <v/>
      </c>
      <c r="F498" s="8">
        <f>IF($A498="",0,$D498+$E498)</f>
        <v/>
      </c>
      <c r="G498" s="8" t="n"/>
      <c r="H498" s="8">
        <f>IF($A498="",0,$F498-$G498)</f>
        <v/>
      </c>
      <c r="I498">
        <f>IF($A498="","",IF($H498=0,"Paid",IF($G498=0,"Unpaid","Partial")))</f>
        <v/>
      </c>
    </row>
    <row r="499">
      <c r="B499" s="7" t="n"/>
      <c r="D499" s="8">
        <f>IF($A499="",0,ROUND(SUMIFS(InvoiceLines!$G$2:$G$4001,InvoiceLines!$A$2:$A$4001,$A499),2))</f>
        <v/>
      </c>
      <c r="E499" s="8">
        <f>IF($A499="",0,ROUND($D499*18%,2))</f>
        <v/>
      </c>
      <c r="F499" s="8">
        <f>IF($A499="",0,$D499+$E499)</f>
        <v/>
      </c>
      <c r="G499" s="8" t="n"/>
      <c r="H499" s="8">
        <f>IF($A499="",0,$F499-$G499)</f>
        <v/>
      </c>
      <c r="I499">
        <f>IF($A499="","",IF($H499=0,"Paid",IF($G499=0,"Unpaid","Partial")))</f>
        <v/>
      </c>
    </row>
    <row r="500">
      <c r="B500" s="7" t="n"/>
      <c r="D500" s="8">
        <f>IF($A500="",0,ROUND(SUMIFS(InvoiceLines!$G$2:$G$4001,InvoiceLines!$A$2:$A$4001,$A500),2))</f>
        <v/>
      </c>
      <c r="E500" s="8">
        <f>IF($A500="",0,ROUND($D500*18%,2))</f>
        <v/>
      </c>
      <c r="F500" s="8">
        <f>IF($A500="",0,$D500+$E500)</f>
        <v/>
      </c>
      <c r="G500" s="8" t="n"/>
      <c r="H500" s="8">
        <f>IF($A500="",0,$F500-$G500)</f>
        <v/>
      </c>
      <c r="I500">
        <f>IF($A500="","",IF($H500=0,"Paid",IF($G500=0,"Unpaid","Partial")))</f>
        <v/>
      </c>
    </row>
    <row r="501">
      <c r="B501" s="7" t="n"/>
      <c r="D501" s="8">
        <f>IF($A501="",0,ROUND(SUMIFS(InvoiceLines!$G$2:$G$4001,InvoiceLines!$A$2:$A$4001,$A501),2))</f>
        <v/>
      </c>
      <c r="E501" s="8">
        <f>IF($A501="",0,ROUND($D501*18%,2))</f>
        <v/>
      </c>
      <c r="F501" s="8">
        <f>IF($A501="",0,$D501+$E501)</f>
        <v/>
      </c>
      <c r="G501" s="8" t="n"/>
      <c r="H501" s="8">
        <f>IF($A501="",0,$F501-$G501)</f>
        <v/>
      </c>
      <c r="I501">
        <f>IF($A501="","",IF($H501=0,"Paid",IF($G501=0,"Unpaid","Partial")))</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26" customWidth="1" min="1" max="1"/>
    <col width="14" customWidth="1" min="2" max="2"/>
    <col width="14" customWidth="1" min="3" max="3"/>
    <col width="13" customWidth="1" min="4" max="4"/>
    <col width="12" customWidth="1" min="5" max="5"/>
    <col width="13" customWidth="1" min="6" max="6"/>
    <col width="13" customWidth="1" min="7" max="7"/>
    <col width="14" customWidth="1" min="8" max="8"/>
    <col width="13" customWidth="1" min="9" max="9"/>
  </cols>
  <sheetData>
    <row r="1">
      <c r="A1" s="6" t="inlineStr">
        <is>
          <t>SKU</t>
        </is>
      </c>
      <c r="B1" s="6" t="inlineStr">
        <is>
          <t>Rate (ex-GST)</t>
        </is>
      </c>
      <c r="C1" s="6" t="inlineStr">
        <is>
          <t>Opening Stock</t>
        </is>
      </c>
      <c r="D1" s="6" t="inlineStr">
        <is>
          <t>Purchased In</t>
        </is>
      </c>
      <c r="E1" s="6" t="inlineStr">
        <is>
          <t>Sold Out</t>
        </is>
      </c>
      <c r="F1" s="6" t="inlineStr">
        <is>
          <t>Closing Stock</t>
        </is>
      </c>
      <c r="G1" s="6" t="inlineStr">
        <is>
          <t>Reorder Level</t>
        </is>
      </c>
      <c r="H1" s="6" t="inlineStr">
        <is>
          <t>Status</t>
        </is>
      </c>
      <c r="I1" s="6" t="inlineStr">
        <is>
          <t>Stock Value</t>
        </is>
      </c>
    </row>
    <row r="2">
      <c r="A2" t="inlineStr">
        <is>
          <t>20L Water Jar</t>
        </is>
      </c>
      <c r="B2" s="8" t="n">
        <v>60</v>
      </c>
      <c r="C2" t="n">
        <v>800</v>
      </c>
      <c r="D2">
        <f>IF($A2="",0,ROUND(SUMIFS(Purchases!$D$2:$D$201,Purchases!$B$2:$B$201,$A2),2))</f>
        <v/>
      </c>
      <c r="E2">
        <f>IF($A2="",0,ROUND(SUMIFS(InvoiceLines!$E$2:$E$4001,InvoiceLines!$D$2:$D$4001,$A2),2))</f>
        <v/>
      </c>
      <c r="F2">
        <f>IF($A2="",0,$C2+$D2-$E2)</f>
        <v/>
      </c>
      <c r="G2" t="n">
        <v>200</v>
      </c>
      <c r="H2">
        <f>IF($A2="","",IF($F2&lt;=0,"OUT OF STOCK",IF($F2&lt;=$G2,"REORDER","OK")))</f>
        <v/>
      </c>
      <c r="I2" s="8">
        <f>IF($A2="",0,ROUND($F2*$B2,2))</f>
        <v/>
      </c>
    </row>
    <row r="3">
      <c r="A3" t="inlineStr">
        <is>
          <t>1L Bottle Case (12 pc)</t>
        </is>
      </c>
      <c r="B3" s="8" t="n">
        <v>240</v>
      </c>
      <c r="C3" t="n">
        <v>500</v>
      </c>
      <c r="D3">
        <f>IF($A3="",0,ROUND(SUMIFS(Purchases!$D$2:$D$201,Purchases!$B$2:$B$201,$A3),2))</f>
        <v/>
      </c>
      <c r="E3">
        <f>IF($A3="",0,ROUND(SUMIFS(InvoiceLines!$E$2:$E$4001,InvoiceLines!$D$2:$D$4001,$A3),2))</f>
        <v/>
      </c>
      <c r="F3">
        <f>IF($A3="",0,$C3+$D3-$E3)</f>
        <v/>
      </c>
      <c r="G3" t="n">
        <v>150</v>
      </c>
      <c r="H3">
        <f>IF($A3="","",IF($F3&lt;=0,"OUT OF STOCK",IF($F3&lt;=$G3,"REORDER","OK")))</f>
        <v/>
      </c>
      <c r="I3" s="8">
        <f>IF($A3="",0,ROUND($F3*$B3,2))</f>
        <v/>
      </c>
    </row>
    <row r="4">
      <c r="A4" t="inlineStr">
        <is>
          <t>500ml Bottle Case (24 pc)</t>
        </is>
      </c>
      <c r="B4" s="8" t="n">
        <v>220</v>
      </c>
      <c r="C4" t="n">
        <v>600</v>
      </c>
      <c r="D4">
        <f>IF($A4="",0,ROUND(SUMIFS(Purchases!$D$2:$D$201,Purchases!$B$2:$B$201,$A4),2))</f>
        <v/>
      </c>
      <c r="E4">
        <f>IF($A4="",0,ROUND(SUMIFS(InvoiceLines!$E$2:$E$4001,InvoiceLines!$D$2:$D$4001,$A4),2))</f>
        <v/>
      </c>
      <c r="F4">
        <f>IF($A4="",0,$C4+$D4-$E4)</f>
        <v/>
      </c>
      <c r="G4" t="n">
        <v>150</v>
      </c>
      <c r="H4">
        <f>IF($A4="","",IF($F4&lt;=0,"OUT OF STOCK",IF($F4&lt;=$G4,"REORDER","OK")))</f>
        <v/>
      </c>
      <c r="I4" s="8">
        <f>IF($A4="",0,ROUND($F4*$B4,2))</f>
        <v/>
      </c>
    </row>
    <row r="5">
      <c r="A5" t="inlineStr">
        <is>
          <t>5L Water Jar</t>
        </is>
      </c>
      <c r="B5" s="8" t="n">
        <v>45</v>
      </c>
      <c r="C5" t="n">
        <v>400</v>
      </c>
      <c r="D5">
        <f>IF($A5="",0,ROUND(SUMIFS(Purchases!$D$2:$D$201,Purchases!$B$2:$B$201,$A5),2))</f>
        <v/>
      </c>
      <c r="E5">
        <f>IF($A5="",0,ROUND(SUMIFS(InvoiceLines!$E$2:$E$4001,InvoiceLines!$D$2:$D$4001,$A5),2))</f>
        <v/>
      </c>
      <c r="F5">
        <f>IF($A5="",0,$C5+$D5-$E5)</f>
        <v/>
      </c>
      <c r="G5" t="n">
        <v>100</v>
      </c>
      <c r="H5">
        <f>IF($A5="","",IF($F5&lt;=0,"OUT OF STOCK",IF($F5&lt;=$G5,"REORDER","OK")))</f>
        <v/>
      </c>
      <c r="I5" s="8">
        <f>IF($A5="",0,ROUND($F5*$B5,2))</f>
        <v/>
      </c>
    </row>
    <row r="6">
      <c r="A6" t="inlineStr">
        <is>
          <t>Paper Cups Pack (100 pc)</t>
        </is>
      </c>
      <c r="B6" s="8" t="n">
        <v>90</v>
      </c>
      <c r="C6" t="n">
        <v>1000</v>
      </c>
      <c r="D6">
        <f>IF($A6="",0,ROUND(SUMIFS(Purchases!$D$2:$D$201,Purchases!$B$2:$B$201,$A6),2))</f>
        <v/>
      </c>
      <c r="E6">
        <f>IF($A6="",0,ROUND(SUMIFS(InvoiceLines!$E$2:$E$4001,InvoiceLines!$D$2:$D$4001,$A6),2))</f>
        <v/>
      </c>
      <c r="F6">
        <f>IF($A6="",0,$C6+$D6-$E6)</f>
        <v/>
      </c>
      <c r="G6" t="n">
        <v>300</v>
      </c>
      <c r="H6">
        <f>IF($A6="","",IF($F6&lt;=0,"OUT OF STOCK",IF($F6&lt;=$G6,"REORDER","OK")))</f>
        <v/>
      </c>
      <c r="I6" s="8">
        <f>IF($A6="",0,ROUND($F6*$B6,2))</f>
        <v/>
      </c>
    </row>
    <row r="7">
      <c r="A7" t="inlineStr">
        <is>
          <t>Hot &amp; Cold Water Dispenser</t>
        </is>
      </c>
      <c r="B7" s="8" t="n">
        <v>8500</v>
      </c>
      <c r="C7" t="n">
        <v>25</v>
      </c>
      <c r="D7">
        <f>IF($A7="",0,ROUND(SUMIFS(Purchases!$D$2:$D$201,Purchases!$B$2:$B$201,$A7),2))</f>
        <v/>
      </c>
      <c r="E7">
        <f>IF($A7="",0,ROUND(SUMIFS(InvoiceLines!$E$2:$E$4001,InvoiceLines!$D$2:$D$4001,$A7),2))</f>
        <v/>
      </c>
      <c r="F7">
        <f>IF($A7="",0,$C7+$D7-$E7)</f>
        <v/>
      </c>
      <c r="G7" t="n">
        <v>5</v>
      </c>
      <c r="H7">
        <f>IF($A7="","",IF($F7&lt;=0,"OUT OF STOCK",IF($F7&lt;=$G7,"REORDER","OK")))</f>
        <v/>
      </c>
      <c r="I7" s="8">
        <f>IF($A7="",0,ROUND($F7*$B7,2))</f>
        <v/>
      </c>
    </row>
    <row r="8">
      <c r="B8" s="8" t="n"/>
      <c r="D8">
        <f>IF($A8="",0,ROUND(SUMIFS(Purchases!$D$2:$D$201,Purchases!$B$2:$B$201,$A8),2))</f>
        <v/>
      </c>
      <c r="E8">
        <f>IF($A8="",0,ROUND(SUMIFS(InvoiceLines!$E$2:$E$4001,InvoiceLines!$D$2:$D$4001,$A8),2))</f>
        <v/>
      </c>
      <c r="F8">
        <f>IF($A8="",0,$C8+$D8-$E8)</f>
        <v/>
      </c>
      <c r="H8">
        <f>IF($A8="","",IF($F8&lt;=0,"OUT OF STOCK",IF($F8&lt;=$G8,"REORDER","OK")))</f>
        <v/>
      </c>
      <c r="I8" s="8">
        <f>IF($A8="",0,ROUND($F8*$B8,2))</f>
        <v/>
      </c>
    </row>
    <row r="9">
      <c r="B9" s="8" t="n"/>
      <c r="D9">
        <f>IF($A9="",0,ROUND(SUMIFS(Purchases!$D$2:$D$201,Purchases!$B$2:$B$201,$A9),2))</f>
        <v/>
      </c>
      <c r="E9">
        <f>IF($A9="",0,ROUND(SUMIFS(InvoiceLines!$E$2:$E$4001,InvoiceLines!$D$2:$D$4001,$A9),2))</f>
        <v/>
      </c>
      <c r="F9">
        <f>IF($A9="",0,$C9+$D9-$E9)</f>
        <v/>
      </c>
      <c r="H9">
        <f>IF($A9="","",IF($F9&lt;=0,"OUT OF STOCK",IF($F9&lt;=$G9,"REORDER","OK")))</f>
        <v/>
      </c>
      <c r="I9" s="8">
        <f>IF($A9="",0,ROUND($F9*$B9,2))</f>
        <v/>
      </c>
    </row>
    <row r="10">
      <c r="B10" s="8" t="n"/>
      <c r="D10">
        <f>IF($A10="",0,ROUND(SUMIFS(Purchases!$D$2:$D$201,Purchases!$B$2:$B$201,$A10),2))</f>
        <v/>
      </c>
      <c r="E10">
        <f>IF($A10="",0,ROUND(SUMIFS(InvoiceLines!$E$2:$E$4001,InvoiceLines!$D$2:$D$4001,$A10),2))</f>
        <v/>
      </c>
      <c r="F10">
        <f>IF($A10="",0,$C10+$D10-$E10)</f>
        <v/>
      </c>
      <c r="H10">
        <f>IF($A10="","",IF($F10&lt;=0,"OUT OF STOCK",IF($F10&lt;=$G10,"REORDER","OK")))</f>
        <v/>
      </c>
      <c r="I10" s="8">
        <f>IF($A10="",0,ROUND($F10*$B10,2))</f>
        <v/>
      </c>
    </row>
    <row r="11">
      <c r="B11" s="8" t="n"/>
      <c r="D11">
        <f>IF($A11="",0,ROUND(SUMIFS(Purchases!$D$2:$D$201,Purchases!$B$2:$B$201,$A11),2))</f>
        <v/>
      </c>
      <c r="E11">
        <f>IF($A11="",0,ROUND(SUMIFS(InvoiceLines!$E$2:$E$4001,InvoiceLines!$D$2:$D$4001,$A11),2))</f>
        <v/>
      </c>
      <c r="F11">
        <f>IF($A11="",0,$C11+$D11-$E11)</f>
        <v/>
      </c>
      <c r="H11">
        <f>IF($A11="","",IF($F11&lt;=0,"OUT OF STOCK",IF($F11&lt;=$G11,"REORDER","OK")))</f>
        <v/>
      </c>
      <c r="I11" s="8">
        <f>IF($A11="",0,ROUND($F11*$B11,2))</f>
        <v/>
      </c>
    </row>
    <row r="12">
      <c r="B12" s="8" t="n"/>
      <c r="D12">
        <f>IF($A12="",0,ROUND(SUMIFS(Purchases!$D$2:$D$201,Purchases!$B$2:$B$201,$A12),2))</f>
        <v/>
      </c>
      <c r="E12">
        <f>IF($A12="",0,ROUND(SUMIFS(InvoiceLines!$E$2:$E$4001,InvoiceLines!$D$2:$D$4001,$A12),2))</f>
        <v/>
      </c>
      <c r="F12">
        <f>IF($A12="",0,$C12+$D12-$E12)</f>
        <v/>
      </c>
      <c r="H12">
        <f>IF($A12="","",IF($F12&lt;=0,"OUT OF STOCK",IF($F12&lt;=$G12,"REORDER","OK")))</f>
        <v/>
      </c>
      <c r="I12" s="8">
        <f>IF($A12="",0,ROUND($F12*$B12,2))</f>
        <v/>
      </c>
    </row>
    <row r="13">
      <c r="B13" s="8" t="n"/>
      <c r="D13">
        <f>IF($A13="",0,ROUND(SUMIFS(Purchases!$D$2:$D$201,Purchases!$B$2:$B$201,$A13),2))</f>
        <v/>
      </c>
      <c r="E13">
        <f>IF($A13="",0,ROUND(SUMIFS(InvoiceLines!$E$2:$E$4001,InvoiceLines!$D$2:$D$4001,$A13),2))</f>
        <v/>
      </c>
      <c r="F13">
        <f>IF($A13="",0,$C13+$D13-$E13)</f>
        <v/>
      </c>
      <c r="H13">
        <f>IF($A13="","",IF($F13&lt;=0,"OUT OF STOCK",IF($F13&lt;=$G13,"REORDER","OK")))</f>
        <v/>
      </c>
      <c r="I13" s="8">
        <f>IF($A13="",0,ROUND($F13*$B13,2))</f>
        <v/>
      </c>
    </row>
    <row r="14">
      <c r="B14" s="8" t="n"/>
      <c r="D14">
        <f>IF($A14="",0,ROUND(SUMIFS(Purchases!$D$2:$D$201,Purchases!$B$2:$B$201,$A14),2))</f>
        <v/>
      </c>
      <c r="E14">
        <f>IF($A14="",0,ROUND(SUMIFS(InvoiceLines!$E$2:$E$4001,InvoiceLines!$D$2:$D$4001,$A14),2))</f>
        <v/>
      </c>
      <c r="F14">
        <f>IF($A14="",0,$C14+$D14-$E14)</f>
        <v/>
      </c>
      <c r="H14">
        <f>IF($A14="","",IF($F14&lt;=0,"OUT OF STOCK",IF($F14&lt;=$G14,"REORDER","OK")))</f>
        <v/>
      </c>
      <c r="I14" s="8">
        <f>IF($A14="",0,ROUND($F14*$B14,2))</f>
        <v/>
      </c>
    </row>
    <row r="15">
      <c r="B15" s="8" t="n"/>
      <c r="D15">
        <f>IF($A15="",0,ROUND(SUMIFS(Purchases!$D$2:$D$201,Purchases!$B$2:$B$201,$A15),2))</f>
        <v/>
      </c>
      <c r="E15">
        <f>IF($A15="",0,ROUND(SUMIFS(InvoiceLines!$E$2:$E$4001,InvoiceLines!$D$2:$D$4001,$A15),2))</f>
        <v/>
      </c>
      <c r="F15">
        <f>IF($A15="",0,$C15+$D15-$E15)</f>
        <v/>
      </c>
      <c r="H15">
        <f>IF($A15="","",IF($F15&lt;=0,"OUT OF STOCK",IF($F15&lt;=$G15,"REORDER","OK")))</f>
        <v/>
      </c>
      <c r="I15" s="8">
        <f>IF($A15="",0,ROUND($F15*$B15,2))</f>
        <v/>
      </c>
    </row>
    <row r="16">
      <c r="B16" s="8" t="n"/>
      <c r="D16">
        <f>IF($A16="",0,ROUND(SUMIFS(Purchases!$D$2:$D$201,Purchases!$B$2:$B$201,$A16),2))</f>
        <v/>
      </c>
      <c r="E16">
        <f>IF($A16="",0,ROUND(SUMIFS(InvoiceLines!$E$2:$E$4001,InvoiceLines!$D$2:$D$4001,$A16),2))</f>
        <v/>
      </c>
      <c r="F16">
        <f>IF($A16="",0,$C16+$D16-$E16)</f>
        <v/>
      </c>
      <c r="H16">
        <f>IF($A16="","",IF($F16&lt;=0,"OUT OF STOCK",IF($F16&lt;=$G16,"REORDER","OK")))</f>
        <v/>
      </c>
      <c r="I16" s="8">
        <f>IF($A16="",0,ROUND($F16*$B16,2))</f>
        <v/>
      </c>
    </row>
    <row r="17">
      <c r="B17" s="8" t="n"/>
      <c r="D17">
        <f>IF($A17="",0,ROUND(SUMIFS(Purchases!$D$2:$D$201,Purchases!$B$2:$B$201,$A17),2))</f>
        <v/>
      </c>
      <c r="E17">
        <f>IF($A17="",0,ROUND(SUMIFS(InvoiceLines!$E$2:$E$4001,InvoiceLines!$D$2:$D$4001,$A17),2))</f>
        <v/>
      </c>
      <c r="F17">
        <f>IF($A17="",0,$C17+$D17-$E17)</f>
        <v/>
      </c>
      <c r="H17">
        <f>IF($A17="","",IF($F17&lt;=0,"OUT OF STOCK",IF($F17&lt;=$G17,"REORDER","OK")))</f>
        <v/>
      </c>
      <c r="I17" s="8">
        <f>IF($A17="",0,ROUND($F17*$B17,2))</f>
        <v/>
      </c>
    </row>
    <row r="18">
      <c r="B18" s="8" t="n"/>
      <c r="D18">
        <f>IF($A18="",0,ROUND(SUMIFS(Purchases!$D$2:$D$201,Purchases!$B$2:$B$201,$A18),2))</f>
        <v/>
      </c>
      <c r="E18">
        <f>IF($A18="",0,ROUND(SUMIFS(InvoiceLines!$E$2:$E$4001,InvoiceLines!$D$2:$D$4001,$A18),2))</f>
        <v/>
      </c>
      <c r="F18">
        <f>IF($A18="",0,$C18+$D18-$E18)</f>
        <v/>
      </c>
      <c r="H18">
        <f>IF($A18="","",IF($F18&lt;=0,"OUT OF STOCK",IF($F18&lt;=$G18,"REORDER","OK")))</f>
        <v/>
      </c>
      <c r="I18" s="8">
        <f>IF($A18="",0,ROUND($F18*$B18,2))</f>
        <v/>
      </c>
    </row>
    <row r="19">
      <c r="B19" s="8" t="n"/>
      <c r="D19">
        <f>IF($A19="",0,ROUND(SUMIFS(Purchases!$D$2:$D$201,Purchases!$B$2:$B$201,$A19),2))</f>
        <v/>
      </c>
      <c r="E19">
        <f>IF($A19="",0,ROUND(SUMIFS(InvoiceLines!$E$2:$E$4001,InvoiceLines!$D$2:$D$4001,$A19),2))</f>
        <v/>
      </c>
      <c r="F19">
        <f>IF($A19="",0,$C19+$D19-$E19)</f>
        <v/>
      </c>
      <c r="H19">
        <f>IF($A19="","",IF($F19&lt;=0,"OUT OF STOCK",IF($F19&lt;=$G19,"REORDER","OK")))</f>
        <v/>
      </c>
      <c r="I19" s="8">
        <f>IF($A19="",0,ROUND($F19*$B19,2))</f>
        <v/>
      </c>
    </row>
    <row r="20">
      <c r="B20" s="8" t="n"/>
      <c r="D20">
        <f>IF($A20="",0,ROUND(SUMIFS(Purchases!$D$2:$D$201,Purchases!$B$2:$B$201,$A20),2))</f>
        <v/>
      </c>
      <c r="E20">
        <f>IF($A20="",0,ROUND(SUMIFS(InvoiceLines!$E$2:$E$4001,InvoiceLines!$D$2:$D$4001,$A20),2))</f>
        <v/>
      </c>
      <c r="F20">
        <f>IF($A20="",0,$C20+$D20-$E20)</f>
        <v/>
      </c>
      <c r="H20">
        <f>IF($A20="","",IF($F20&lt;=0,"OUT OF STOCK",IF($F20&lt;=$G20,"REORDER","OK")))</f>
        <v/>
      </c>
      <c r="I20" s="8">
        <f>IF($A20="",0,ROUND($F20*$B20,2))</f>
        <v/>
      </c>
    </row>
    <row r="21">
      <c r="B21" s="8" t="n"/>
      <c r="D21">
        <f>IF($A21="",0,ROUND(SUMIFS(Purchases!$D$2:$D$201,Purchases!$B$2:$B$201,$A21),2))</f>
        <v/>
      </c>
      <c r="E21">
        <f>IF($A21="",0,ROUND(SUMIFS(InvoiceLines!$E$2:$E$4001,InvoiceLines!$D$2:$D$4001,$A21),2))</f>
        <v/>
      </c>
      <c r="F21">
        <f>IF($A21="",0,$C21+$D21-$E21)</f>
        <v/>
      </c>
      <c r="H21">
        <f>IF($A21="","",IF($F21&lt;=0,"OUT OF STOCK",IF($F21&lt;=$G21,"REORDER","OK")))</f>
        <v/>
      </c>
      <c r="I21" s="8">
        <f>IF($A21="",0,ROUND($F21*$B21,2))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8" customWidth="1" min="4" max="4"/>
    <col width="12" customWidth="1" min="5" max="5"/>
  </cols>
  <sheetData>
    <row r="1">
      <c r="A1" s="6" t="inlineStr">
        <is>
          <t>Date</t>
        </is>
      </c>
      <c r="B1" s="6" t="inlineStr">
        <is>
          <t>SKU</t>
        </is>
      </c>
      <c r="C1" s="6" t="inlineStr">
        <is>
          <t>Lot No</t>
        </is>
      </c>
      <c r="D1" s="6" t="inlineStr">
        <is>
          <t>Qty</t>
        </is>
      </c>
      <c r="E1" s="6" t="inlineStr">
        <is>
          <t>Rate</t>
        </is>
      </c>
    </row>
    <row r="2">
      <c r="A2" s="7" t="n">
        <v>46112</v>
      </c>
      <c r="B2" t="inlineStr">
        <is>
          <t>500ml Bottle Case (24 pc)</t>
        </is>
      </c>
      <c r="C2" t="inlineStr">
        <is>
          <t>LOT-027</t>
        </is>
      </c>
      <c r="D2" t="n">
        <v>857</v>
      </c>
      <c r="E2" s="8" t="n">
        <v>220</v>
      </c>
    </row>
    <row r="3">
      <c r="A3" s="7" t="n">
        <v>46112</v>
      </c>
      <c r="B3" t="inlineStr">
        <is>
          <t>1L Bottle Case (12 pc)</t>
        </is>
      </c>
      <c r="C3" t="inlineStr">
        <is>
          <t>LOT-028</t>
        </is>
      </c>
      <c r="D3" t="n">
        <v>917</v>
      </c>
      <c r="E3" s="8" t="n">
        <v>240</v>
      </c>
    </row>
    <row r="4">
      <c r="A4" s="7" t="n">
        <v>46112</v>
      </c>
      <c r="B4" t="inlineStr">
        <is>
          <t>20L Water Jar</t>
        </is>
      </c>
      <c r="C4" t="inlineStr">
        <is>
          <t>LOT-029</t>
        </is>
      </c>
      <c r="D4" t="n">
        <v>4356</v>
      </c>
      <c r="E4" s="8" t="n">
        <v>60</v>
      </c>
    </row>
    <row r="5">
      <c r="A5" s="7" t="n">
        <v>46125</v>
      </c>
      <c r="B5" t="inlineStr">
        <is>
          <t>5L Water Jar</t>
        </is>
      </c>
      <c r="C5" t="inlineStr">
        <is>
          <t>LOT-001</t>
        </is>
      </c>
      <c r="D5" t="n">
        <v>212</v>
      </c>
      <c r="E5" s="8" t="n">
        <v>45</v>
      </c>
    </row>
    <row r="6">
      <c r="A6" s="7" t="n">
        <v>46131</v>
      </c>
      <c r="B6" t="inlineStr">
        <is>
          <t>Paper Cups Pack (100 pc)</t>
        </is>
      </c>
      <c r="C6" t="inlineStr">
        <is>
          <t>LOT-002</t>
        </is>
      </c>
      <c r="D6" t="n">
        <v>87</v>
      </c>
      <c r="E6" s="8" t="n">
        <v>90</v>
      </c>
    </row>
    <row r="7">
      <c r="A7" s="7" t="n">
        <v>46131</v>
      </c>
      <c r="B7" t="inlineStr">
        <is>
          <t>5L Water Jar</t>
        </is>
      </c>
      <c r="C7" t="inlineStr">
        <is>
          <t>LOT-003</t>
        </is>
      </c>
      <c r="D7" t="n">
        <v>220</v>
      </c>
      <c r="E7" s="8" t="n">
        <v>45</v>
      </c>
    </row>
    <row r="8">
      <c r="A8" s="7" t="n">
        <v>46131</v>
      </c>
      <c r="B8" t="inlineStr">
        <is>
          <t>Hot &amp; Cold Water Dispenser</t>
        </is>
      </c>
      <c r="C8" t="inlineStr">
        <is>
          <t>LOT-004</t>
        </is>
      </c>
      <c r="D8" t="n">
        <v>6</v>
      </c>
      <c r="E8" s="8" t="n">
        <v>8500</v>
      </c>
    </row>
    <row r="9">
      <c r="A9" s="7" t="n">
        <v>46143</v>
      </c>
      <c r="B9" t="inlineStr">
        <is>
          <t>20L Water Jar</t>
        </is>
      </c>
      <c r="C9" t="inlineStr">
        <is>
          <t>LOT-005</t>
        </is>
      </c>
      <c r="D9" t="n">
        <v>40</v>
      </c>
      <c r="E9" s="8" t="n">
        <v>60</v>
      </c>
    </row>
    <row r="10">
      <c r="A10" s="7" t="n">
        <v>46143</v>
      </c>
      <c r="B10" t="inlineStr">
        <is>
          <t>1L Bottle Case (12 pc)</t>
        </is>
      </c>
      <c r="C10" t="inlineStr">
        <is>
          <t>LOT-006</t>
        </is>
      </c>
      <c r="D10" t="n">
        <v>15</v>
      </c>
      <c r="E10" s="8" t="n">
        <v>240</v>
      </c>
    </row>
    <row r="11">
      <c r="A11" s="7" t="n">
        <v>46143</v>
      </c>
      <c r="B11" t="inlineStr">
        <is>
          <t>Paper Cups Pack (100 pc)</t>
        </is>
      </c>
      <c r="C11" t="inlineStr">
        <is>
          <t>LOT-007</t>
        </is>
      </c>
      <c r="D11" t="n">
        <v>88</v>
      </c>
      <c r="E11" s="8" t="n">
        <v>90</v>
      </c>
    </row>
    <row r="12">
      <c r="A12" s="7" t="n">
        <v>46161</v>
      </c>
      <c r="B12" t="inlineStr">
        <is>
          <t>1L Bottle Case (12 pc)</t>
        </is>
      </c>
      <c r="C12" t="inlineStr">
        <is>
          <t>LOT-008</t>
        </is>
      </c>
      <c r="D12" t="n">
        <v>115</v>
      </c>
      <c r="E12" s="8" t="n">
        <v>240</v>
      </c>
    </row>
    <row r="13">
      <c r="A13" s="7" t="n">
        <v>46161</v>
      </c>
      <c r="B13" t="inlineStr">
        <is>
          <t>5L Water Jar</t>
        </is>
      </c>
      <c r="C13" t="inlineStr">
        <is>
          <t>LOT-009</t>
        </is>
      </c>
      <c r="D13" t="n">
        <v>160</v>
      </c>
      <c r="E13" s="8" t="n">
        <v>45</v>
      </c>
    </row>
    <row r="14">
      <c r="A14" s="7" t="n">
        <v>46173</v>
      </c>
      <c r="B14" t="inlineStr">
        <is>
          <t>20L Water Jar</t>
        </is>
      </c>
      <c r="C14" t="inlineStr">
        <is>
          <t>LOT-010</t>
        </is>
      </c>
      <c r="D14" t="n">
        <v>180</v>
      </c>
      <c r="E14" s="8" t="n">
        <v>60</v>
      </c>
    </row>
    <row r="15">
      <c r="A15" s="7" t="n">
        <v>46173</v>
      </c>
      <c r="B15" t="inlineStr">
        <is>
          <t>5L Water Jar</t>
        </is>
      </c>
      <c r="C15" t="inlineStr">
        <is>
          <t>LOT-011</t>
        </is>
      </c>
      <c r="D15" t="n">
        <v>72</v>
      </c>
      <c r="E15" s="8" t="n">
        <v>45</v>
      </c>
    </row>
    <row r="16">
      <c r="A16" s="7" t="n">
        <v>46173</v>
      </c>
      <c r="B16" t="inlineStr">
        <is>
          <t>Hot &amp; Cold Water Dispenser</t>
        </is>
      </c>
      <c r="C16" t="inlineStr">
        <is>
          <t>LOT-012</t>
        </is>
      </c>
      <c r="D16" t="n">
        <v>5</v>
      </c>
      <c r="E16" s="8" t="n">
        <v>8500</v>
      </c>
    </row>
    <row r="17">
      <c r="A17" s="7" t="n">
        <v>46203</v>
      </c>
      <c r="B17" t="inlineStr">
        <is>
          <t>1L Bottle Case (12 pc)</t>
        </is>
      </c>
      <c r="C17" t="inlineStr">
        <is>
          <t>LOT-013</t>
        </is>
      </c>
      <c r="D17" t="n">
        <v>174</v>
      </c>
      <c r="E17" s="8" t="n">
        <v>240</v>
      </c>
    </row>
    <row r="18">
      <c r="A18" s="7" t="n">
        <v>46203</v>
      </c>
      <c r="B18" t="inlineStr">
        <is>
          <t>Hot &amp; Cold Water Dispenser</t>
        </is>
      </c>
      <c r="C18" t="inlineStr">
        <is>
          <t>LOT-014</t>
        </is>
      </c>
      <c r="D18" t="n">
        <v>5</v>
      </c>
      <c r="E18" s="8" t="n">
        <v>8500</v>
      </c>
    </row>
    <row r="19">
      <c r="A19" s="7" t="n">
        <v>46209</v>
      </c>
      <c r="B19" t="inlineStr">
        <is>
          <t>5L Water Jar</t>
        </is>
      </c>
      <c r="C19" t="inlineStr">
        <is>
          <t>LOT-015</t>
        </is>
      </c>
      <c r="D19" t="n">
        <v>144</v>
      </c>
      <c r="E19" s="8" t="n">
        <v>45</v>
      </c>
    </row>
    <row r="20">
      <c r="A20" s="7" t="n">
        <v>46233</v>
      </c>
      <c r="B20" t="inlineStr">
        <is>
          <t>Paper Cups Pack (100 pc)</t>
        </is>
      </c>
      <c r="C20" t="inlineStr">
        <is>
          <t>LOT-016</t>
        </is>
      </c>
      <c r="D20" t="n">
        <v>92</v>
      </c>
      <c r="E20" s="8" t="n">
        <v>90</v>
      </c>
    </row>
    <row r="21">
      <c r="A21" s="7" t="n">
        <v>46233</v>
      </c>
      <c r="B21" t="inlineStr">
        <is>
          <t>20L Water Jar</t>
        </is>
      </c>
      <c r="C21" t="inlineStr">
        <is>
          <t>LOT-017</t>
        </is>
      </c>
      <c r="D21" t="n">
        <v>366</v>
      </c>
      <c r="E21" s="8" t="n">
        <v>60</v>
      </c>
    </row>
    <row r="22">
      <c r="A22" s="7" t="n">
        <v>46233</v>
      </c>
      <c r="B22" t="inlineStr">
        <is>
          <t>1L Bottle Case (12 pc)</t>
        </is>
      </c>
      <c r="C22" t="inlineStr">
        <is>
          <t>LOT-018</t>
        </is>
      </c>
      <c r="D22" t="n">
        <v>162</v>
      </c>
      <c r="E22" s="8" t="n">
        <v>240</v>
      </c>
    </row>
    <row r="23">
      <c r="A23" s="7" t="n">
        <v>46239</v>
      </c>
      <c r="B23" t="inlineStr">
        <is>
          <t>500ml Bottle Case (24 pc)</t>
        </is>
      </c>
      <c r="C23" t="inlineStr">
        <is>
          <t>LOT-019</t>
        </is>
      </c>
      <c r="D23" t="n">
        <v>95</v>
      </c>
      <c r="E23" s="8" t="n">
        <v>220</v>
      </c>
    </row>
    <row r="24">
      <c r="A24" s="7" t="n">
        <v>46239</v>
      </c>
      <c r="B24" t="inlineStr">
        <is>
          <t>5L Water Jar</t>
        </is>
      </c>
      <c r="C24" t="inlineStr">
        <is>
          <t>LOT-020</t>
        </is>
      </c>
      <c r="D24" t="n">
        <v>216</v>
      </c>
      <c r="E24" s="8" t="n">
        <v>45</v>
      </c>
    </row>
    <row r="25">
      <c r="A25" s="7" t="n">
        <v>46257</v>
      </c>
      <c r="B25" t="inlineStr">
        <is>
          <t>Paper Cups Pack (100 pc)</t>
        </is>
      </c>
      <c r="C25" t="inlineStr">
        <is>
          <t>LOT-021</t>
        </is>
      </c>
      <c r="D25" t="n">
        <v>75</v>
      </c>
      <c r="E25" s="8" t="n">
        <v>90</v>
      </c>
    </row>
    <row r="26">
      <c r="A26" s="7" t="n">
        <v>46257</v>
      </c>
      <c r="B26" t="inlineStr">
        <is>
          <t>Hot &amp; Cold Water Dispenser</t>
        </is>
      </c>
      <c r="C26" t="inlineStr">
        <is>
          <t>LOT-022</t>
        </is>
      </c>
      <c r="D26" t="n">
        <v>6</v>
      </c>
      <c r="E26" s="8" t="n">
        <v>8500</v>
      </c>
    </row>
    <row r="27">
      <c r="A27" s="7" t="n">
        <v>46257</v>
      </c>
      <c r="B27" t="inlineStr">
        <is>
          <t>1L Bottle Case (12 pc)</t>
        </is>
      </c>
      <c r="C27" t="inlineStr">
        <is>
          <t>LOT-023</t>
        </is>
      </c>
      <c r="D27" t="n">
        <v>204</v>
      </c>
      <c r="E27" s="8" t="n">
        <v>240</v>
      </c>
    </row>
    <row r="28">
      <c r="A28" s="7" t="n">
        <v>46287</v>
      </c>
      <c r="B28" t="inlineStr">
        <is>
          <t>5L Water Jar</t>
        </is>
      </c>
      <c r="C28" t="inlineStr">
        <is>
          <t>LOT-024</t>
        </is>
      </c>
      <c r="D28" t="n">
        <v>88</v>
      </c>
      <c r="E28" s="8" t="n">
        <v>45</v>
      </c>
    </row>
    <row r="29">
      <c r="A29" s="7" t="n">
        <v>46287</v>
      </c>
      <c r="B29" t="inlineStr">
        <is>
          <t>1L Bottle Case (12 pc)</t>
        </is>
      </c>
      <c r="C29" t="inlineStr">
        <is>
          <t>LOT-025</t>
        </is>
      </c>
      <c r="D29" t="n">
        <v>240</v>
      </c>
      <c r="E29" s="8" t="n">
        <v>240</v>
      </c>
    </row>
    <row r="30">
      <c r="A30" s="7" t="n">
        <v>46287</v>
      </c>
      <c r="B30" t="inlineStr">
        <is>
          <t>Paper Cups Pack (100 pc)</t>
        </is>
      </c>
      <c r="C30" t="inlineStr">
        <is>
          <t>LOT-026</t>
        </is>
      </c>
      <c r="D30" t="n">
        <v>78</v>
      </c>
      <c r="E30" s="8" t="n">
        <v>90</v>
      </c>
    </row>
    <row r="31">
      <c r="A31" s="7" t="n"/>
      <c r="E31" s="8" t="n"/>
    </row>
    <row r="32">
      <c r="A32" s="7" t="n"/>
      <c r="E32" s="8" t="n"/>
    </row>
    <row r="33">
      <c r="A33" s="7" t="n"/>
      <c r="E33" s="8" t="n"/>
    </row>
    <row r="34">
      <c r="A34" s="7" t="n"/>
      <c r="E34" s="8" t="n"/>
    </row>
    <row r="35">
      <c r="A35" s="7" t="n"/>
      <c r="E35" s="8" t="n"/>
    </row>
    <row r="36">
      <c r="A36" s="7" t="n"/>
      <c r="E36" s="8" t="n"/>
    </row>
    <row r="37">
      <c r="A37" s="7" t="n"/>
      <c r="E37" s="8" t="n"/>
    </row>
    <row r="38">
      <c r="A38" s="7" t="n"/>
      <c r="E38" s="8" t="n"/>
    </row>
    <row r="39">
      <c r="A39" s="7" t="n"/>
      <c r="E39" s="8" t="n"/>
    </row>
    <row r="40">
      <c r="A40" s="7" t="n"/>
      <c r="E40" s="8" t="n"/>
    </row>
    <row r="41">
      <c r="A41" s="7" t="n"/>
      <c r="E41" s="8" t="n"/>
    </row>
    <row r="42">
      <c r="A42" s="7" t="n"/>
      <c r="E42" s="8" t="n"/>
    </row>
    <row r="43">
      <c r="A43" s="7" t="n"/>
      <c r="E43" s="8" t="n"/>
    </row>
    <row r="44">
      <c r="A44" s="7" t="n"/>
      <c r="E44" s="8" t="n"/>
    </row>
    <row r="45">
      <c r="A45" s="7" t="n"/>
      <c r="E45" s="8" t="n"/>
    </row>
    <row r="46">
      <c r="A46" s="7" t="n"/>
      <c r="E46" s="8" t="n"/>
    </row>
    <row r="47">
      <c r="A47" s="7" t="n"/>
      <c r="E47" s="8" t="n"/>
    </row>
    <row r="48">
      <c r="A48" s="7" t="n"/>
      <c r="E48" s="8" t="n"/>
    </row>
    <row r="49">
      <c r="A49" s="7" t="n"/>
      <c r="E49" s="8" t="n"/>
    </row>
    <row r="50">
      <c r="A50" s="7" t="n"/>
      <c r="E50" s="8" t="n"/>
    </row>
    <row r="51">
      <c r="A51" s="7" t="n"/>
      <c r="E51" s="8" t="n"/>
    </row>
    <row r="52">
      <c r="A52" s="7" t="n"/>
      <c r="E52" s="8" t="n"/>
    </row>
    <row r="53">
      <c r="A53" s="7" t="n"/>
      <c r="E53" s="8" t="n"/>
    </row>
    <row r="54">
      <c r="A54" s="7" t="n"/>
      <c r="E54" s="8" t="n"/>
    </row>
    <row r="55">
      <c r="A55" s="7" t="n"/>
      <c r="E55" s="8" t="n"/>
    </row>
    <row r="56">
      <c r="A56" s="7" t="n"/>
      <c r="E56" s="8" t="n"/>
    </row>
    <row r="57">
      <c r="A57" s="7" t="n"/>
      <c r="E57" s="8" t="n"/>
    </row>
    <row r="58">
      <c r="A58" s="7" t="n"/>
      <c r="E58" s="8" t="n"/>
    </row>
    <row r="59">
      <c r="A59" s="7" t="n"/>
      <c r="E59" s="8" t="n"/>
    </row>
    <row r="60">
      <c r="A60" s="7" t="n"/>
      <c r="E60" s="8" t="n"/>
    </row>
    <row r="61">
      <c r="A61" s="7" t="n"/>
      <c r="E61" s="8" t="n"/>
    </row>
    <row r="62">
      <c r="A62" s="7" t="n"/>
      <c r="E62" s="8" t="n"/>
    </row>
    <row r="63">
      <c r="A63" s="7" t="n"/>
      <c r="E63" s="8" t="n"/>
    </row>
    <row r="64">
      <c r="A64" s="7" t="n"/>
      <c r="E64" s="8" t="n"/>
    </row>
    <row r="65">
      <c r="A65" s="7" t="n"/>
      <c r="E65" s="8" t="n"/>
    </row>
    <row r="66">
      <c r="A66" s="7" t="n"/>
      <c r="E66" s="8" t="n"/>
    </row>
    <row r="67">
      <c r="A67" s="7" t="n"/>
      <c r="E67" s="8" t="n"/>
    </row>
    <row r="68">
      <c r="A68" s="7" t="n"/>
      <c r="E68" s="8" t="n"/>
    </row>
    <row r="69">
      <c r="A69" s="7" t="n"/>
      <c r="E69" s="8" t="n"/>
    </row>
    <row r="70">
      <c r="A70" s="7" t="n"/>
      <c r="E70" s="8" t="n"/>
    </row>
    <row r="71">
      <c r="A71" s="7" t="n"/>
      <c r="E71" s="8" t="n"/>
    </row>
    <row r="72">
      <c r="A72" s="7" t="n"/>
      <c r="E72" s="8" t="n"/>
    </row>
    <row r="73">
      <c r="A73" s="7" t="n"/>
      <c r="E73" s="8" t="n"/>
    </row>
    <row r="74">
      <c r="A74" s="7" t="n"/>
      <c r="E74" s="8" t="n"/>
    </row>
    <row r="75">
      <c r="A75" s="7" t="n"/>
      <c r="E75" s="8" t="n"/>
    </row>
    <row r="76">
      <c r="A76" s="7" t="n"/>
      <c r="E76" s="8" t="n"/>
    </row>
    <row r="77">
      <c r="A77" s="7" t="n"/>
      <c r="E77" s="8" t="n"/>
    </row>
    <row r="78">
      <c r="A78" s="7" t="n"/>
      <c r="E78" s="8" t="n"/>
    </row>
    <row r="79">
      <c r="A79" s="7" t="n"/>
      <c r="E79" s="8" t="n"/>
    </row>
    <row r="80">
      <c r="A80" s="7" t="n"/>
      <c r="E80" s="8" t="n"/>
    </row>
    <row r="81">
      <c r="A81" s="7" t="n"/>
      <c r="E81" s="8" t="n"/>
    </row>
    <row r="82">
      <c r="A82" s="7" t="n"/>
      <c r="E82" s="8" t="n"/>
    </row>
    <row r="83">
      <c r="A83" s="7" t="n"/>
      <c r="E83" s="8" t="n"/>
    </row>
    <row r="84">
      <c r="A84" s="7" t="n"/>
      <c r="E84" s="8" t="n"/>
    </row>
    <row r="85">
      <c r="A85" s="7" t="n"/>
      <c r="E85" s="8" t="n"/>
    </row>
    <row r="86">
      <c r="A86" s="7" t="n"/>
      <c r="E86" s="8" t="n"/>
    </row>
    <row r="87">
      <c r="A87" s="7" t="n"/>
      <c r="E87" s="8" t="n"/>
    </row>
    <row r="88">
      <c r="A88" s="7" t="n"/>
      <c r="E88" s="8" t="n"/>
    </row>
    <row r="89">
      <c r="A89" s="7" t="n"/>
      <c r="E89" s="8" t="n"/>
    </row>
    <row r="90">
      <c r="A90" s="7" t="n"/>
      <c r="E90" s="8" t="n"/>
    </row>
    <row r="91">
      <c r="A91" s="7" t="n"/>
      <c r="E91" s="8" t="n"/>
    </row>
    <row r="92">
      <c r="A92" s="7" t="n"/>
      <c r="E92" s="8" t="n"/>
    </row>
    <row r="93">
      <c r="A93" s="7" t="n"/>
      <c r="E93" s="8" t="n"/>
    </row>
    <row r="94">
      <c r="A94" s="7" t="n"/>
      <c r="E94" s="8" t="n"/>
    </row>
    <row r="95">
      <c r="A95" s="7" t="n"/>
      <c r="E95" s="8" t="n"/>
    </row>
    <row r="96">
      <c r="A96" s="7" t="n"/>
      <c r="E96" s="8" t="n"/>
    </row>
    <row r="97">
      <c r="A97" s="7" t="n"/>
      <c r="E97" s="8" t="n"/>
    </row>
    <row r="98">
      <c r="A98" s="7" t="n"/>
      <c r="E98" s="8" t="n"/>
    </row>
    <row r="99">
      <c r="A99" s="7" t="n"/>
      <c r="E99" s="8" t="n"/>
    </row>
    <row r="100">
      <c r="A100" s="7" t="n"/>
      <c r="E100" s="8" t="n"/>
    </row>
    <row r="101">
      <c r="A101" s="7" t="n"/>
      <c r="E101" s="8" t="n"/>
    </row>
    <row r="102">
      <c r="A102" s="7" t="n"/>
      <c r="E102" s="8" t="n"/>
    </row>
    <row r="103">
      <c r="A103" s="7" t="n"/>
      <c r="E103" s="8" t="n"/>
    </row>
    <row r="104">
      <c r="A104" s="7" t="n"/>
      <c r="E104" s="8" t="n"/>
    </row>
    <row r="105">
      <c r="A105" s="7" t="n"/>
      <c r="E105" s="8" t="n"/>
    </row>
    <row r="106">
      <c r="A106" s="7" t="n"/>
      <c r="E106" s="8" t="n"/>
    </row>
    <row r="107">
      <c r="A107" s="7" t="n"/>
      <c r="E107" s="8" t="n"/>
    </row>
    <row r="108">
      <c r="A108" s="7" t="n"/>
      <c r="E108" s="8" t="n"/>
    </row>
    <row r="109">
      <c r="A109" s="7" t="n"/>
      <c r="E109" s="8" t="n"/>
    </row>
    <row r="110">
      <c r="A110" s="7" t="n"/>
      <c r="E110" s="8" t="n"/>
    </row>
    <row r="111">
      <c r="A111" s="7" t="n"/>
      <c r="E111" s="8" t="n"/>
    </row>
    <row r="112">
      <c r="A112" s="7" t="n"/>
      <c r="E112" s="8" t="n"/>
    </row>
    <row r="113">
      <c r="A113" s="7" t="n"/>
      <c r="E113" s="8" t="n"/>
    </row>
    <row r="114">
      <c r="A114" s="7" t="n"/>
      <c r="E114" s="8" t="n"/>
    </row>
    <row r="115">
      <c r="A115" s="7" t="n"/>
      <c r="E115" s="8" t="n"/>
    </row>
    <row r="116">
      <c r="A116" s="7" t="n"/>
      <c r="E116" s="8" t="n"/>
    </row>
    <row r="117">
      <c r="A117" s="7" t="n"/>
      <c r="E117" s="8" t="n"/>
    </row>
    <row r="118">
      <c r="A118" s="7" t="n"/>
      <c r="E118" s="8" t="n"/>
    </row>
    <row r="119">
      <c r="A119" s="7" t="n"/>
      <c r="E119" s="8" t="n"/>
    </row>
    <row r="120">
      <c r="A120" s="7" t="n"/>
      <c r="E120" s="8" t="n"/>
    </row>
    <row r="121">
      <c r="A121" s="7" t="n"/>
      <c r="E121" s="8" t="n"/>
    </row>
    <row r="122">
      <c r="A122" s="7" t="n"/>
      <c r="E122" s="8" t="n"/>
    </row>
    <row r="123">
      <c r="A123" s="7" t="n"/>
      <c r="E123" s="8" t="n"/>
    </row>
    <row r="124">
      <c r="A124" s="7" t="n"/>
      <c r="E124" s="8" t="n"/>
    </row>
    <row r="125">
      <c r="A125" s="7" t="n"/>
      <c r="E125" s="8" t="n"/>
    </row>
    <row r="126">
      <c r="A126" s="7" t="n"/>
      <c r="E126" s="8" t="n"/>
    </row>
    <row r="127">
      <c r="A127" s="7" t="n"/>
      <c r="E127" s="8" t="n"/>
    </row>
    <row r="128">
      <c r="A128" s="7" t="n"/>
      <c r="E128" s="8" t="n"/>
    </row>
    <row r="129">
      <c r="A129" s="7" t="n"/>
      <c r="E129" s="8" t="n"/>
    </row>
    <row r="130">
      <c r="A130" s="7" t="n"/>
      <c r="E130" s="8" t="n"/>
    </row>
    <row r="131">
      <c r="A131" s="7" t="n"/>
      <c r="E131" s="8" t="n"/>
    </row>
    <row r="132">
      <c r="A132" s="7" t="n"/>
      <c r="E132" s="8" t="n"/>
    </row>
    <row r="133">
      <c r="A133" s="7" t="n"/>
      <c r="E133" s="8" t="n"/>
    </row>
    <row r="134">
      <c r="A134" s="7" t="n"/>
      <c r="E134" s="8" t="n"/>
    </row>
    <row r="135">
      <c r="A135" s="7" t="n"/>
      <c r="E135" s="8" t="n"/>
    </row>
    <row r="136">
      <c r="A136" s="7" t="n"/>
      <c r="E136" s="8" t="n"/>
    </row>
    <row r="137">
      <c r="A137" s="7" t="n"/>
      <c r="E137" s="8" t="n"/>
    </row>
    <row r="138">
      <c r="A138" s="7" t="n"/>
      <c r="E138" s="8" t="n"/>
    </row>
    <row r="139">
      <c r="A139" s="7" t="n"/>
      <c r="E139" s="8" t="n"/>
    </row>
    <row r="140">
      <c r="A140" s="7" t="n"/>
      <c r="E140" s="8" t="n"/>
    </row>
    <row r="141">
      <c r="A141" s="7" t="n"/>
      <c r="E141" s="8" t="n"/>
    </row>
    <row r="142">
      <c r="A142" s="7" t="n"/>
      <c r="E142" s="8" t="n"/>
    </row>
    <row r="143">
      <c r="A143" s="7" t="n"/>
      <c r="E143" s="8" t="n"/>
    </row>
    <row r="144">
      <c r="A144" s="7" t="n"/>
      <c r="E144" s="8" t="n"/>
    </row>
    <row r="145">
      <c r="A145" s="7" t="n"/>
      <c r="E145" s="8" t="n"/>
    </row>
    <row r="146">
      <c r="A146" s="7" t="n"/>
      <c r="E146" s="8" t="n"/>
    </row>
    <row r="147">
      <c r="A147" s="7" t="n"/>
      <c r="E147" s="8" t="n"/>
    </row>
    <row r="148">
      <c r="A148" s="7" t="n"/>
      <c r="E148" s="8" t="n"/>
    </row>
    <row r="149">
      <c r="A149" s="7" t="n"/>
      <c r="E149" s="8" t="n"/>
    </row>
    <row r="150">
      <c r="A150" s="7" t="n"/>
      <c r="E150" s="8" t="n"/>
    </row>
    <row r="151">
      <c r="A151" s="7" t="n"/>
      <c r="E151" s="8" t="n"/>
    </row>
    <row r="152">
      <c r="A152" s="7" t="n"/>
      <c r="E152" s="8" t="n"/>
    </row>
    <row r="153">
      <c r="A153" s="7" t="n"/>
      <c r="E153" s="8" t="n"/>
    </row>
    <row r="154">
      <c r="A154" s="7" t="n"/>
      <c r="E154" s="8" t="n"/>
    </row>
    <row r="155">
      <c r="A155" s="7" t="n"/>
      <c r="E155" s="8" t="n"/>
    </row>
    <row r="156">
      <c r="A156" s="7" t="n"/>
      <c r="E156" s="8" t="n"/>
    </row>
    <row r="157">
      <c r="A157" s="7" t="n"/>
      <c r="E157" s="8" t="n"/>
    </row>
    <row r="158">
      <c r="A158" s="7" t="n"/>
      <c r="E158" s="8" t="n"/>
    </row>
    <row r="159">
      <c r="A159" s="7" t="n"/>
      <c r="E159" s="8" t="n"/>
    </row>
    <row r="160">
      <c r="A160" s="7" t="n"/>
      <c r="E160" s="8" t="n"/>
    </row>
    <row r="161">
      <c r="A161" s="7" t="n"/>
      <c r="E161" s="8" t="n"/>
    </row>
    <row r="162">
      <c r="A162" s="7" t="n"/>
      <c r="E162" s="8" t="n"/>
    </row>
    <row r="163">
      <c r="A163" s="7" t="n"/>
      <c r="E163" s="8" t="n"/>
    </row>
    <row r="164">
      <c r="A164" s="7" t="n"/>
      <c r="E164" s="8" t="n"/>
    </row>
    <row r="165">
      <c r="A165" s="7" t="n"/>
      <c r="E165" s="8" t="n"/>
    </row>
    <row r="166">
      <c r="A166" s="7" t="n"/>
      <c r="E166" s="8" t="n"/>
    </row>
    <row r="167">
      <c r="A167" s="7" t="n"/>
      <c r="E167" s="8" t="n"/>
    </row>
    <row r="168">
      <c r="A168" s="7" t="n"/>
      <c r="E168" s="8" t="n"/>
    </row>
    <row r="169">
      <c r="A169" s="7" t="n"/>
      <c r="E169" s="8" t="n"/>
    </row>
    <row r="170">
      <c r="A170" s="7" t="n"/>
      <c r="E170" s="8" t="n"/>
    </row>
    <row r="171">
      <c r="A171" s="7" t="n"/>
      <c r="E171" s="8" t="n"/>
    </row>
    <row r="172">
      <c r="A172" s="7" t="n"/>
      <c r="E172" s="8" t="n"/>
    </row>
    <row r="173">
      <c r="A173" s="7" t="n"/>
      <c r="E173" s="8" t="n"/>
    </row>
    <row r="174">
      <c r="A174" s="7" t="n"/>
      <c r="E174" s="8" t="n"/>
    </row>
    <row r="175">
      <c r="A175" s="7" t="n"/>
      <c r="E175" s="8" t="n"/>
    </row>
    <row r="176">
      <c r="A176" s="7" t="n"/>
      <c r="E176" s="8" t="n"/>
    </row>
    <row r="177">
      <c r="A177" s="7" t="n"/>
      <c r="E177" s="8" t="n"/>
    </row>
    <row r="178">
      <c r="A178" s="7" t="n"/>
      <c r="E178" s="8" t="n"/>
    </row>
    <row r="179">
      <c r="A179" s="7" t="n"/>
      <c r="E179" s="8" t="n"/>
    </row>
    <row r="180">
      <c r="A180" s="7" t="n"/>
      <c r="E180" s="8" t="n"/>
    </row>
    <row r="181">
      <c r="A181" s="7" t="n"/>
      <c r="E181" s="8" t="n"/>
    </row>
    <row r="182">
      <c r="A182" s="7" t="n"/>
      <c r="E182" s="8" t="n"/>
    </row>
    <row r="183">
      <c r="A183" s="7" t="n"/>
      <c r="E183" s="8" t="n"/>
    </row>
    <row r="184">
      <c r="A184" s="7" t="n"/>
      <c r="E184" s="8" t="n"/>
    </row>
    <row r="185">
      <c r="A185" s="7" t="n"/>
      <c r="E185" s="8" t="n"/>
    </row>
    <row r="186">
      <c r="A186" s="7" t="n"/>
      <c r="E186" s="8" t="n"/>
    </row>
    <row r="187">
      <c r="A187" s="7" t="n"/>
      <c r="E187" s="8" t="n"/>
    </row>
    <row r="188">
      <c r="A188" s="7" t="n"/>
      <c r="E188" s="8" t="n"/>
    </row>
    <row r="189">
      <c r="A189" s="7" t="n"/>
      <c r="E189" s="8" t="n"/>
    </row>
    <row r="190">
      <c r="A190" s="7" t="n"/>
      <c r="E190" s="8" t="n"/>
    </row>
    <row r="191">
      <c r="A191" s="7" t="n"/>
      <c r="E191" s="8" t="n"/>
    </row>
    <row r="192">
      <c r="A192" s="7" t="n"/>
      <c r="E192" s="8" t="n"/>
    </row>
    <row r="193">
      <c r="A193" s="7" t="n"/>
      <c r="E193" s="8" t="n"/>
    </row>
    <row r="194">
      <c r="A194" s="7" t="n"/>
      <c r="E194" s="8" t="n"/>
    </row>
    <row r="195">
      <c r="A195" s="7" t="n"/>
      <c r="E195" s="8" t="n"/>
    </row>
    <row r="196">
      <c r="A196" s="7" t="n"/>
      <c r="E196" s="8" t="n"/>
    </row>
    <row r="197">
      <c r="A197" s="7" t="n"/>
      <c r="E197" s="8" t="n"/>
    </row>
    <row r="198">
      <c r="A198" s="7" t="n"/>
      <c r="E198" s="8" t="n"/>
    </row>
    <row r="199">
      <c r="A199" s="7" t="n"/>
      <c r="E199" s="8" t="n"/>
    </row>
    <row r="200">
      <c r="A200" s="7" t="n"/>
      <c r="E200" s="8" t="n"/>
    </row>
    <row r="201">
      <c r="A201" s="7" t="n"/>
      <c r="E201" s="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15" customWidth="1" min="2" max="2"/>
    <col width="13" customWidth="1" min="3" max="3"/>
    <col width="13" customWidth="1" min="4" max="4"/>
    <col width="13" customWidth="1" min="5" max="5"/>
  </cols>
  <sheetData>
    <row r="1">
      <c r="A1" s="6" t="inlineStr">
        <is>
          <t>Month</t>
        </is>
      </c>
      <c r="B1" s="6" t="inlineStr">
        <is>
          <t>Taxable Value</t>
        </is>
      </c>
      <c r="C1" s="6" t="inlineStr">
        <is>
          <t>CGST 9%</t>
        </is>
      </c>
      <c r="D1" s="6" t="inlineStr">
        <is>
          <t>SGST 9%</t>
        </is>
      </c>
      <c r="E1" s="6" t="inlineStr">
        <is>
          <t>Total GST</t>
        </is>
      </c>
    </row>
    <row r="2">
      <c r="A2" s="9" t="n">
        <v>46113</v>
      </c>
      <c r="B2" s="8">
        <f>ROUND(SUMIFS(Invoices!$D$2:$D$501,Invoices!$B$2:$B$501,"&gt;="&amp;DATE(2026,4,1),Invoices!$B$2:$B$501,"&lt;"&amp;DATE(2026,5,1)),2)</f>
        <v/>
      </c>
      <c r="C2" s="8">
        <f>ROUND($B2*9%,2)</f>
        <v/>
      </c>
      <c r="D2" s="8">
        <f>ROUND($B2*9%,2)</f>
        <v/>
      </c>
      <c r="E2" s="8">
        <f>$C2+$D2</f>
        <v/>
      </c>
    </row>
    <row r="3">
      <c r="A3" s="9" t="n">
        <v>46143</v>
      </c>
      <c r="B3" s="8">
        <f>ROUND(SUMIFS(Invoices!$D$2:$D$501,Invoices!$B$2:$B$501,"&gt;="&amp;DATE(2026,5,1),Invoices!$B$2:$B$501,"&lt;"&amp;DATE(2026,6,1)),2)</f>
        <v/>
      </c>
      <c r="C3" s="8">
        <f>ROUND($B3*9%,2)</f>
        <v/>
      </c>
      <c r="D3" s="8">
        <f>ROUND($B3*9%,2)</f>
        <v/>
      </c>
      <c r="E3" s="8">
        <f>$C3+$D3</f>
        <v/>
      </c>
    </row>
    <row r="4">
      <c r="A4" s="9" t="n">
        <v>46174</v>
      </c>
      <c r="B4" s="8">
        <f>ROUND(SUMIFS(Invoices!$D$2:$D$501,Invoices!$B$2:$B$501,"&gt;="&amp;DATE(2026,6,1),Invoices!$B$2:$B$501,"&lt;"&amp;DATE(2026,7,1)),2)</f>
        <v/>
      </c>
      <c r="C4" s="8">
        <f>ROUND($B4*9%,2)</f>
        <v/>
      </c>
      <c r="D4" s="8">
        <f>ROUND($B4*9%,2)</f>
        <v/>
      </c>
      <c r="E4" s="8">
        <f>$C4+$D4</f>
        <v/>
      </c>
    </row>
    <row r="5">
      <c r="A5" s="9" t="n">
        <v>46204</v>
      </c>
      <c r="B5" s="8">
        <f>ROUND(SUMIFS(Invoices!$D$2:$D$501,Invoices!$B$2:$B$501,"&gt;="&amp;DATE(2026,7,1),Invoices!$B$2:$B$501,"&lt;"&amp;DATE(2026,8,1)),2)</f>
        <v/>
      </c>
      <c r="C5" s="8">
        <f>ROUND($B5*9%,2)</f>
        <v/>
      </c>
      <c r="D5" s="8">
        <f>ROUND($B5*9%,2)</f>
        <v/>
      </c>
      <c r="E5" s="8">
        <f>$C5+$D5</f>
        <v/>
      </c>
    </row>
    <row r="6">
      <c r="A6" s="9" t="n">
        <v>46235</v>
      </c>
      <c r="B6" s="8">
        <f>ROUND(SUMIFS(Invoices!$D$2:$D$501,Invoices!$B$2:$B$501,"&gt;="&amp;DATE(2026,8,1),Invoices!$B$2:$B$501,"&lt;"&amp;DATE(2026,9,1)),2)</f>
        <v/>
      </c>
      <c r="C6" s="8">
        <f>ROUND($B6*9%,2)</f>
        <v/>
      </c>
      <c r="D6" s="8">
        <f>ROUND($B6*9%,2)</f>
        <v/>
      </c>
      <c r="E6" s="8">
        <f>$C6+$D6</f>
        <v/>
      </c>
    </row>
    <row r="7">
      <c r="A7" s="9" t="n">
        <v>46266</v>
      </c>
      <c r="B7" s="8">
        <f>ROUND(SUMIFS(Invoices!$D$2:$D$501,Invoices!$B$2:$B$501,"&gt;="&amp;DATE(2026,9,1),Invoices!$B$2:$B$501,"&lt;"&amp;DATE(2026,10,1)),2)</f>
        <v/>
      </c>
      <c r="C7" s="8">
        <f>ROUND($B7*9%,2)</f>
        <v/>
      </c>
      <c r="D7" s="8">
        <f>ROUND($B7*9%,2)</f>
        <v/>
      </c>
      <c r="E7" s="8">
        <f>$C7+$D7</f>
        <v/>
      </c>
    </row>
    <row r="8">
      <c r="A8" s="3" t="inlineStr">
        <is>
          <t>TOTAL</t>
        </is>
      </c>
      <c r="B8" s="10">
        <f>SUM(B2:B7)</f>
        <v/>
      </c>
      <c r="C8" s="10">
        <f>SUM(C2:C7)</f>
        <v/>
      </c>
      <c r="D8" s="10">
        <f>SUM(D2:D7)</f>
        <v/>
      </c>
      <c r="E8" s="10">
        <f>SUM(E2:E7)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s>
  <sheetData>
    <row r="1">
      <c r="A1" s="6" t="inlineStr">
        <is>
          <t>Date</t>
        </is>
      </c>
      <c r="B1" s="6" t="inlineStr">
        <is>
          <t>Units Sold</t>
        </is>
      </c>
      <c r="C1" s="6" t="inlineStr">
        <is>
          <t>Revenue (ex-GST)</t>
        </is>
      </c>
    </row>
    <row r="2">
      <c r="A2" s="7" t="n">
        <v>46113</v>
      </c>
      <c r="B2">
        <f>IF($A2="",0,SUMIFS(InvoiceLines!$E$2:$E$4001,InvoiceLines!$B$2:$B$4001,$A2))</f>
        <v/>
      </c>
      <c r="C2" s="8">
        <f>IF($A2="",0,ROUND(SUMIFS(InvoiceLines!$G$2:$G$4001,InvoiceLines!$B$2:$B$4001,$A2),2))</f>
        <v/>
      </c>
    </row>
    <row r="3">
      <c r="A3" s="7" t="n">
        <v>46114</v>
      </c>
      <c r="B3">
        <f>IF($A3="",0,SUMIFS(InvoiceLines!$E$2:$E$4001,InvoiceLines!$B$2:$B$4001,$A3))</f>
        <v/>
      </c>
      <c r="C3" s="8">
        <f>IF($A3="",0,ROUND(SUMIFS(InvoiceLines!$G$2:$G$4001,InvoiceLines!$B$2:$B$4001,$A3),2))</f>
        <v/>
      </c>
    </row>
    <row r="4">
      <c r="A4" s="7" t="n">
        <v>46115</v>
      </c>
      <c r="B4">
        <f>IF($A4="",0,SUMIFS(InvoiceLines!$E$2:$E$4001,InvoiceLines!$B$2:$B$4001,$A4))</f>
        <v/>
      </c>
      <c r="C4" s="8">
        <f>IF($A4="",0,ROUND(SUMIFS(InvoiceLines!$G$2:$G$4001,InvoiceLines!$B$2:$B$4001,$A4),2))</f>
        <v/>
      </c>
    </row>
    <row r="5">
      <c r="A5" s="7" t="n">
        <v>46116</v>
      </c>
      <c r="B5">
        <f>IF($A5="",0,SUMIFS(InvoiceLines!$E$2:$E$4001,InvoiceLines!$B$2:$B$4001,$A5))</f>
        <v/>
      </c>
      <c r="C5" s="8">
        <f>IF($A5="",0,ROUND(SUMIFS(InvoiceLines!$G$2:$G$4001,InvoiceLines!$B$2:$B$4001,$A5),2))</f>
        <v/>
      </c>
    </row>
    <row r="6">
      <c r="A6" s="7" t="n">
        <v>46117</v>
      </c>
      <c r="B6">
        <f>IF($A6="",0,SUMIFS(InvoiceLines!$E$2:$E$4001,InvoiceLines!$B$2:$B$4001,$A6))</f>
        <v/>
      </c>
      <c r="C6" s="8">
        <f>IF($A6="",0,ROUND(SUMIFS(InvoiceLines!$G$2:$G$4001,InvoiceLines!$B$2:$B$4001,$A6),2))</f>
        <v/>
      </c>
    </row>
    <row r="7">
      <c r="A7" s="7" t="n">
        <v>46118</v>
      </c>
      <c r="B7">
        <f>IF($A7="",0,SUMIFS(InvoiceLines!$E$2:$E$4001,InvoiceLines!$B$2:$B$4001,$A7))</f>
        <v/>
      </c>
      <c r="C7" s="8">
        <f>IF($A7="",0,ROUND(SUMIFS(InvoiceLines!$G$2:$G$4001,InvoiceLines!$B$2:$B$4001,$A7),2))</f>
        <v/>
      </c>
    </row>
    <row r="8">
      <c r="A8" s="7" t="n">
        <v>46119</v>
      </c>
      <c r="B8">
        <f>IF($A8="",0,SUMIFS(InvoiceLines!$E$2:$E$4001,InvoiceLines!$B$2:$B$4001,$A8))</f>
        <v/>
      </c>
      <c r="C8" s="8">
        <f>IF($A8="",0,ROUND(SUMIFS(InvoiceLines!$G$2:$G$4001,InvoiceLines!$B$2:$B$4001,$A8),2))</f>
        <v/>
      </c>
    </row>
    <row r="9">
      <c r="A9" s="7" t="n">
        <v>46120</v>
      </c>
      <c r="B9">
        <f>IF($A9="",0,SUMIFS(InvoiceLines!$E$2:$E$4001,InvoiceLines!$B$2:$B$4001,$A9))</f>
        <v/>
      </c>
      <c r="C9" s="8">
        <f>IF($A9="",0,ROUND(SUMIFS(InvoiceLines!$G$2:$G$4001,InvoiceLines!$B$2:$B$4001,$A9),2))</f>
        <v/>
      </c>
    </row>
    <row r="10">
      <c r="A10" s="7" t="n">
        <v>46121</v>
      </c>
      <c r="B10">
        <f>IF($A10="",0,SUMIFS(InvoiceLines!$E$2:$E$4001,InvoiceLines!$B$2:$B$4001,$A10))</f>
        <v/>
      </c>
      <c r="C10" s="8">
        <f>IF($A10="",0,ROUND(SUMIFS(InvoiceLines!$G$2:$G$4001,InvoiceLines!$B$2:$B$4001,$A10),2))</f>
        <v/>
      </c>
    </row>
    <row r="11">
      <c r="A11" s="7" t="n">
        <v>46122</v>
      </c>
      <c r="B11">
        <f>IF($A11="",0,SUMIFS(InvoiceLines!$E$2:$E$4001,InvoiceLines!$B$2:$B$4001,$A11))</f>
        <v/>
      </c>
      <c r="C11" s="8">
        <f>IF($A11="",0,ROUND(SUMIFS(InvoiceLines!$G$2:$G$4001,InvoiceLines!$B$2:$B$4001,$A11),2))</f>
        <v/>
      </c>
    </row>
    <row r="12">
      <c r="A12" s="7" t="n">
        <v>46123</v>
      </c>
      <c r="B12">
        <f>IF($A12="",0,SUMIFS(InvoiceLines!$E$2:$E$4001,InvoiceLines!$B$2:$B$4001,$A12))</f>
        <v/>
      </c>
      <c r="C12" s="8">
        <f>IF($A12="",0,ROUND(SUMIFS(InvoiceLines!$G$2:$G$4001,InvoiceLines!$B$2:$B$4001,$A12),2))</f>
        <v/>
      </c>
    </row>
    <row r="13">
      <c r="A13" s="7" t="n">
        <v>46124</v>
      </c>
      <c r="B13">
        <f>IF($A13="",0,SUMIFS(InvoiceLines!$E$2:$E$4001,InvoiceLines!$B$2:$B$4001,$A13))</f>
        <v/>
      </c>
      <c r="C13" s="8">
        <f>IF($A13="",0,ROUND(SUMIFS(InvoiceLines!$G$2:$G$4001,InvoiceLines!$B$2:$B$4001,$A13),2))</f>
        <v/>
      </c>
    </row>
    <row r="14">
      <c r="A14" s="7" t="n">
        <v>46125</v>
      </c>
      <c r="B14">
        <f>IF($A14="",0,SUMIFS(InvoiceLines!$E$2:$E$4001,InvoiceLines!$B$2:$B$4001,$A14))</f>
        <v/>
      </c>
      <c r="C14" s="8">
        <f>IF($A14="",0,ROUND(SUMIFS(InvoiceLines!$G$2:$G$4001,InvoiceLines!$B$2:$B$4001,$A14),2))</f>
        <v/>
      </c>
    </row>
    <row r="15">
      <c r="A15" s="7" t="n">
        <v>46126</v>
      </c>
      <c r="B15">
        <f>IF($A15="",0,SUMIFS(InvoiceLines!$E$2:$E$4001,InvoiceLines!$B$2:$B$4001,$A15))</f>
        <v/>
      </c>
      <c r="C15" s="8">
        <f>IF($A15="",0,ROUND(SUMIFS(InvoiceLines!$G$2:$G$4001,InvoiceLines!$B$2:$B$4001,$A15),2))</f>
        <v/>
      </c>
    </row>
    <row r="16">
      <c r="A16" s="7" t="n">
        <v>46127</v>
      </c>
      <c r="B16">
        <f>IF($A16="",0,SUMIFS(InvoiceLines!$E$2:$E$4001,InvoiceLines!$B$2:$B$4001,$A16))</f>
        <v/>
      </c>
      <c r="C16" s="8">
        <f>IF($A16="",0,ROUND(SUMIFS(InvoiceLines!$G$2:$G$4001,InvoiceLines!$B$2:$B$4001,$A16),2))</f>
        <v/>
      </c>
    </row>
    <row r="17">
      <c r="A17" s="7" t="n">
        <v>46128</v>
      </c>
      <c r="B17">
        <f>IF($A17="",0,SUMIFS(InvoiceLines!$E$2:$E$4001,InvoiceLines!$B$2:$B$4001,$A17))</f>
        <v/>
      </c>
      <c r="C17" s="8">
        <f>IF($A17="",0,ROUND(SUMIFS(InvoiceLines!$G$2:$G$4001,InvoiceLines!$B$2:$B$4001,$A17),2))</f>
        <v/>
      </c>
    </row>
    <row r="18">
      <c r="A18" s="7" t="n">
        <v>46129</v>
      </c>
      <c r="B18">
        <f>IF($A18="",0,SUMIFS(InvoiceLines!$E$2:$E$4001,InvoiceLines!$B$2:$B$4001,$A18))</f>
        <v/>
      </c>
      <c r="C18" s="8">
        <f>IF($A18="",0,ROUND(SUMIFS(InvoiceLines!$G$2:$G$4001,InvoiceLines!$B$2:$B$4001,$A18),2))</f>
        <v/>
      </c>
    </row>
    <row r="19">
      <c r="A19" s="7" t="n">
        <v>46130</v>
      </c>
      <c r="B19">
        <f>IF($A19="",0,SUMIFS(InvoiceLines!$E$2:$E$4001,InvoiceLines!$B$2:$B$4001,$A19))</f>
        <v/>
      </c>
      <c r="C19" s="8">
        <f>IF($A19="",0,ROUND(SUMIFS(InvoiceLines!$G$2:$G$4001,InvoiceLines!$B$2:$B$4001,$A19),2))</f>
        <v/>
      </c>
    </row>
    <row r="20">
      <c r="A20" s="7" t="n">
        <v>46131</v>
      </c>
      <c r="B20">
        <f>IF($A20="",0,SUMIFS(InvoiceLines!$E$2:$E$4001,InvoiceLines!$B$2:$B$4001,$A20))</f>
        <v/>
      </c>
      <c r="C20" s="8">
        <f>IF($A20="",0,ROUND(SUMIFS(InvoiceLines!$G$2:$G$4001,InvoiceLines!$B$2:$B$4001,$A20),2))</f>
        <v/>
      </c>
    </row>
    <row r="21">
      <c r="A21" s="7" t="n">
        <v>46132</v>
      </c>
      <c r="B21">
        <f>IF($A21="",0,SUMIFS(InvoiceLines!$E$2:$E$4001,InvoiceLines!$B$2:$B$4001,$A21))</f>
        <v/>
      </c>
      <c r="C21" s="8">
        <f>IF($A21="",0,ROUND(SUMIFS(InvoiceLines!$G$2:$G$4001,InvoiceLines!$B$2:$B$4001,$A21),2))</f>
        <v/>
      </c>
    </row>
    <row r="22">
      <c r="A22" s="7" t="n">
        <v>46133</v>
      </c>
      <c r="B22">
        <f>IF($A22="",0,SUMIFS(InvoiceLines!$E$2:$E$4001,InvoiceLines!$B$2:$B$4001,$A22))</f>
        <v/>
      </c>
      <c r="C22" s="8">
        <f>IF($A22="",0,ROUND(SUMIFS(InvoiceLines!$G$2:$G$4001,InvoiceLines!$B$2:$B$4001,$A22),2))</f>
        <v/>
      </c>
    </row>
    <row r="23">
      <c r="A23" s="7" t="n">
        <v>46134</v>
      </c>
      <c r="B23">
        <f>IF($A23="",0,SUMIFS(InvoiceLines!$E$2:$E$4001,InvoiceLines!$B$2:$B$4001,$A23))</f>
        <v/>
      </c>
      <c r="C23" s="8">
        <f>IF($A23="",0,ROUND(SUMIFS(InvoiceLines!$G$2:$G$4001,InvoiceLines!$B$2:$B$4001,$A23),2))</f>
        <v/>
      </c>
    </row>
    <row r="24">
      <c r="A24" s="7" t="n">
        <v>46135</v>
      </c>
      <c r="B24">
        <f>IF($A24="",0,SUMIFS(InvoiceLines!$E$2:$E$4001,InvoiceLines!$B$2:$B$4001,$A24))</f>
        <v/>
      </c>
      <c r="C24" s="8">
        <f>IF($A24="",0,ROUND(SUMIFS(InvoiceLines!$G$2:$G$4001,InvoiceLines!$B$2:$B$4001,$A24),2))</f>
        <v/>
      </c>
    </row>
    <row r="25">
      <c r="A25" s="7" t="n">
        <v>46136</v>
      </c>
      <c r="B25">
        <f>IF($A25="",0,SUMIFS(InvoiceLines!$E$2:$E$4001,InvoiceLines!$B$2:$B$4001,$A25))</f>
        <v/>
      </c>
      <c r="C25" s="8">
        <f>IF($A25="",0,ROUND(SUMIFS(InvoiceLines!$G$2:$G$4001,InvoiceLines!$B$2:$B$4001,$A25),2))</f>
        <v/>
      </c>
    </row>
    <row r="26">
      <c r="A26" s="7" t="n">
        <v>46137</v>
      </c>
      <c r="B26">
        <f>IF($A26="",0,SUMIFS(InvoiceLines!$E$2:$E$4001,InvoiceLines!$B$2:$B$4001,$A26))</f>
        <v/>
      </c>
      <c r="C26" s="8">
        <f>IF($A26="",0,ROUND(SUMIFS(InvoiceLines!$G$2:$G$4001,InvoiceLines!$B$2:$B$4001,$A26),2))</f>
        <v/>
      </c>
    </row>
    <row r="27">
      <c r="A27" s="7" t="n">
        <v>46138</v>
      </c>
      <c r="B27">
        <f>IF($A27="",0,SUMIFS(InvoiceLines!$E$2:$E$4001,InvoiceLines!$B$2:$B$4001,$A27))</f>
        <v/>
      </c>
      <c r="C27" s="8">
        <f>IF($A27="",0,ROUND(SUMIFS(InvoiceLines!$G$2:$G$4001,InvoiceLines!$B$2:$B$4001,$A27),2))</f>
        <v/>
      </c>
    </row>
    <row r="28">
      <c r="A28" s="7" t="n">
        <v>46139</v>
      </c>
      <c r="B28">
        <f>IF($A28="",0,SUMIFS(InvoiceLines!$E$2:$E$4001,InvoiceLines!$B$2:$B$4001,$A28))</f>
        <v/>
      </c>
      <c r="C28" s="8">
        <f>IF($A28="",0,ROUND(SUMIFS(InvoiceLines!$G$2:$G$4001,InvoiceLines!$B$2:$B$4001,$A28),2))</f>
        <v/>
      </c>
    </row>
    <row r="29">
      <c r="A29" s="7" t="n">
        <v>46140</v>
      </c>
      <c r="B29">
        <f>IF($A29="",0,SUMIFS(InvoiceLines!$E$2:$E$4001,InvoiceLines!$B$2:$B$4001,$A29))</f>
        <v/>
      </c>
      <c r="C29" s="8">
        <f>IF($A29="",0,ROUND(SUMIFS(InvoiceLines!$G$2:$G$4001,InvoiceLines!$B$2:$B$4001,$A29),2))</f>
        <v/>
      </c>
    </row>
    <row r="30">
      <c r="A30" s="7" t="n">
        <v>46141</v>
      </c>
      <c r="B30">
        <f>IF($A30="",0,SUMIFS(InvoiceLines!$E$2:$E$4001,InvoiceLines!$B$2:$B$4001,$A30))</f>
        <v/>
      </c>
      <c r="C30" s="8">
        <f>IF($A30="",0,ROUND(SUMIFS(InvoiceLines!$G$2:$G$4001,InvoiceLines!$B$2:$B$4001,$A30),2))</f>
        <v/>
      </c>
    </row>
    <row r="31">
      <c r="A31" s="7" t="n">
        <v>46142</v>
      </c>
      <c r="B31">
        <f>IF($A31="",0,SUMIFS(InvoiceLines!$E$2:$E$4001,InvoiceLines!$B$2:$B$4001,$A31))</f>
        <v/>
      </c>
      <c r="C31" s="8">
        <f>IF($A31="",0,ROUND(SUMIFS(InvoiceLines!$G$2:$G$4001,InvoiceLines!$B$2:$B$4001,$A31),2))</f>
        <v/>
      </c>
    </row>
    <row r="32">
      <c r="A32" s="7" t="n">
        <v>46143</v>
      </c>
      <c r="B32">
        <f>IF($A32="",0,SUMIFS(InvoiceLines!$E$2:$E$4001,InvoiceLines!$B$2:$B$4001,$A32))</f>
        <v/>
      </c>
      <c r="C32" s="8">
        <f>IF($A32="",0,ROUND(SUMIFS(InvoiceLines!$G$2:$G$4001,InvoiceLines!$B$2:$B$4001,$A32),2))</f>
        <v/>
      </c>
    </row>
    <row r="33">
      <c r="A33" s="7" t="n">
        <v>46144</v>
      </c>
      <c r="B33">
        <f>IF($A33="",0,SUMIFS(InvoiceLines!$E$2:$E$4001,InvoiceLines!$B$2:$B$4001,$A33))</f>
        <v/>
      </c>
      <c r="C33" s="8">
        <f>IF($A33="",0,ROUND(SUMIFS(InvoiceLines!$G$2:$G$4001,InvoiceLines!$B$2:$B$4001,$A33),2))</f>
        <v/>
      </c>
    </row>
    <row r="34">
      <c r="A34" s="7" t="n">
        <v>46145</v>
      </c>
      <c r="B34">
        <f>IF($A34="",0,SUMIFS(InvoiceLines!$E$2:$E$4001,InvoiceLines!$B$2:$B$4001,$A34))</f>
        <v/>
      </c>
      <c r="C34" s="8">
        <f>IF($A34="",0,ROUND(SUMIFS(InvoiceLines!$G$2:$G$4001,InvoiceLines!$B$2:$B$4001,$A34),2))</f>
        <v/>
      </c>
    </row>
    <row r="35">
      <c r="A35" s="7" t="n">
        <v>46146</v>
      </c>
      <c r="B35">
        <f>IF($A35="",0,SUMIFS(InvoiceLines!$E$2:$E$4001,InvoiceLines!$B$2:$B$4001,$A35))</f>
        <v/>
      </c>
      <c r="C35" s="8">
        <f>IF($A35="",0,ROUND(SUMIFS(InvoiceLines!$G$2:$G$4001,InvoiceLines!$B$2:$B$4001,$A35),2))</f>
        <v/>
      </c>
    </row>
    <row r="36">
      <c r="A36" s="7" t="n">
        <v>46147</v>
      </c>
      <c r="B36">
        <f>IF($A36="",0,SUMIFS(InvoiceLines!$E$2:$E$4001,InvoiceLines!$B$2:$B$4001,$A36))</f>
        <v/>
      </c>
      <c r="C36" s="8">
        <f>IF($A36="",0,ROUND(SUMIFS(InvoiceLines!$G$2:$G$4001,InvoiceLines!$B$2:$B$4001,$A36),2))</f>
        <v/>
      </c>
    </row>
    <row r="37">
      <c r="A37" s="7" t="n">
        <v>46148</v>
      </c>
      <c r="B37">
        <f>IF($A37="",0,SUMIFS(InvoiceLines!$E$2:$E$4001,InvoiceLines!$B$2:$B$4001,$A37))</f>
        <v/>
      </c>
      <c r="C37" s="8">
        <f>IF($A37="",0,ROUND(SUMIFS(InvoiceLines!$G$2:$G$4001,InvoiceLines!$B$2:$B$4001,$A37),2))</f>
        <v/>
      </c>
    </row>
    <row r="38">
      <c r="A38" s="7" t="n">
        <v>46149</v>
      </c>
      <c r="B38">
        <f>IF($A38="",0,SUMIFS(InvoiceLines!$E$2:$E$4001,InvoiceLines!$B$2:$B$4001,$A38))</f>
        <v/>
      </c>
      <c r="C38" s="8">
        <f>IF($A38="",0,ROUND(SUMIFS(InvoiceLines!$G$2:$G$4001,InvoiceLines!$B$2:$B$4001,$A38),2))</f>
        <v/>
      </c>
    </row>
    <row r="39">
      <c r="A39" s="7" t="n">
        <v>46150</v>
      </c>
      <c r="B39">
        <f>IF($A39="",0,SUMIFS(InvoiceLines!$E$2:$E$4001,InvoiceLines!$B$2:$B$4001,$A39))</f>
        <v/>
      </c>
      <c r="C39" s="8">
        <f>IF($A39="",0,ROUND(SUMIFS(InvoiceLines!$G$2:$G$4001,InvoiceLines!$B$2:$B$4001,$A39),2))</f>
        <v/>
      </c>
    </row>
    <row r="40">
      <c r="A40" s="7" t="n">
        <v>46151</v>
      </c>
      <c r="B40">
        <f>IF($A40="",0,SUMIFS(InvoiceLines!$E$2:$E$4001,InvoiceLines!$B$2:$B$4001,$A40))</f>
        <v/>
      </c>
      <c r="C40" s="8">
        <f>IF($A40="",0,ROUND(SUMIFS(InvoiceLines!$G$2:$G$4001,InvoiceLines!$B$2:$B$4001,$A40),2))</f>
        <v/>
      </c>
    </row>
    <row r="41">
      <c r="A41" s="7" t="n">
        <v>46152</v>
      </c>
      <c r="B41">
        <f>IF($A41="",0,SUMIFS(InvoiceLines!$E$2:$E$4001,InvoiceLines!$B$2:$B$4001,$A41))</f>
        <v/>
      </c>
      <c r="C41" s="8">
        <f>IF($A41="",0,ROUND(SUMIFS(InvoiceLines!$G$2:$G$4001,InvoiceLines!$B$2:$B$4001,$A41),2))</f>
        <v/>
      </c>
    </row>
    <row r="42">
      <c r="A42" s="7" t="n">
        <v>46153</v>
      </c>
      <c r="B42">
        <f>IF($A42="",0,SUMIFS(InvoiceLines!$E$2:$E$4001,InvoiceLines!$B$2:$B$4001,$A42))</f>
        <v/>
      </c>
      <c r="C42" s="8">
        <f>IF($A42="",0,ROUND(SUMIFS(InvoiceLines!$G$2:$G$4001,InvoiceLines!$B$2:$B$4001,$A42),2))</f>
        <v/>
      </c>
    </row>
    <row r="43">
      <c r="A43" s="7" t="n">
        <v>46154</v>
      </c>
      <c r="B43">
        <f>IF($A43="",0,SUMIFS(InvoiceLines!$E$2:$E$4001,InvoiceLines!$B$2:$B$4001,$A43))</f>
        <v/>
      </c>
      <c r="C43" s="8">
        <f>IF($A43="",0,ROUND(SUMIFS(InvoiceLines!$G$2:$G$4001,InvoiceLines!$B$2:$B$4001,$A43),2))</f>
        <v/>
      </c>
    </row>
    <row r="44">
      <c r="A44" s="7" t="n">
        <v>46155</v>
      </c>
      <c r="B44">
        <f>IF($A44="",0,SUMIFS(InvoiceLines!$E$2:$E$4001,InvoiceLines!$B$2:$B$4001,$A44))</f>
        <v/>
      </c>
      <c r="C44" s="8">
        <f>IF($A44="",0,ROUND(SUMIFS(InvoiceLines!$G$2:$G$4001,InvoiceLines!$B$2:$B$4001,$A44),2))</f>
        <v/>
      </c>
    </row>
    <row r="45">
      <c r="A45" s="7" t="n">
        <v>46156</v>
      </c>
      <c r="B45">
        <f>IF($A45="",0,SUMIFS(InvoiceLines!$E$2:$E$4001,InvoiceLines!$B$2:$B$4001,$A45))</f>
        <v/>
      </c>
      <c r="C45" s="8">
        <f>IF($A45="",0,ROUND(SUMIFS(InvoiceLines!$G$2:$G$4001,InvoiceLines!$B$2:$B$4001,$A45),2))</f>
        <v/>
      </c>
    </row>
    <row r="46">
      <c r="A46" s="7" t="n">
        <v>46157</v>
      </c>
      <c r="B46">
        <f>IF($A46="",0,SUMIFS(InvoiceLines!$E$2:$E$4001,InvoiceLines!$B$2:$B$4001,$A46))</f>
        <v/>
      </c>
      <c r="C46" s="8">
        <f>IF($A46="",0,ROUND(SUMIFS(InvoiceLines!$G$2:$G$4001,InvoiceLines!$B$2:$B$4001,$A46),2))</f>
        <v/>
      </c>
    </row>
    <row r="47">
      <c r="A47" s="7" t="n">
        <v>46158</v>
      </c>
      <c r="B47">
        <f>IF($A47="",0,SUMIFS(InvoiceLines!$E$2:$E$4001,InvoiceLines!$B$2:$B$4001,$A47))</f>
        <v/>
      </c>
      <c r="C47" s="8">
        <f>IF($A47="",0,ROUND(SUMIFS(InvoiceLines!$G$2:$G$4001,InvoiceLines!$B$2:$B$4001,$A47),2))</f>
        <v/>
      </c>
    </row>
    <row r="48">
      <c r="A48" s="7" t="n">
        <v>46159</v>
      </c>
      <c r="B48">
        <f>IF($A48="",0,SUMIFS(InvoiceLines!$E$2:$E$4001,InvoiceLines!$B$2:$B$4001,$A48))</f>
        <v/>
      </c>
      <c r="C48" s="8">
        <f>IF($A48="",0,ROUND(SUMIFS(InvoiceLines!$G$2:$G$4001,InvoiceLines!$B$2:$B$4001,$A48),2))</f>
        <v/>
      </c>
    </row>
    <row r="49">
      <c r="A49" s="7" t="n">
        <v>46160</v>
      </c>
      <c r="B49">
        <f>IF($A49="",0,SUMIFS(InvoiceLines!$E$2:$E$4001,InvoiceLines!$B$2:$B$4001,$A49))</f>
        <v/>
      </c>
      <c r="C49" s="8">
        <f>IF($A49="",0,ROUND(SUMIFS(InvoiceLines!$G$2:$G$4001,InvoiceLines!$B$2:$B$4001,$A49),2))</f>
        <v/>
      </c>
    </row>
    <row r="50">
      <c r="A50" s="7" t="n">
        <v>46161</v>
      </c>
      <c r="B50">
        <f>IF($A50="",0,SUMIFS(InvoiceLines!$E$2:$E$4001,InvoiceLines!$B$2:$B$4001,$A50))</f>
        <v/>
      </c>
      <c r="C50" s="8">
        <f>IF($A50="",0,ROUND(SUMIFS(InvoiceLines!$G$2:$G$4001,InvoiceLines!$B$2:$B$4001,$A50),2))</f>
        <v/>
      </c>
    </row>
    <row r="51">
      <c r="A51" s="7" t="n">
        <v>46162</v>
      </c>
      <c r="B51">
        <f>IF($A51="",0,SUMIFS(InvoiceLines!$E$2:$E$4001,InvoiceLines!$B$2:$B$4001,$A51))</f>
        <v/>
      </c>
      <c r="C51" s="8">
        <f>IF($A51="",0,ROUND(SUMIFS(InvoiceLines!$G$2:$G$4001,InvoiceLines!$B$2:$B$4001,$A51),2))</f>
        <v/>
      </c>
    </row>
    <row r="52">
      <c r="A52" s="7" t="n">
        <v>46163</v>
      </c>
      <c r="B52">
        <f>IF($A52="",0,SUMIFS(InvoiceLines!$E$2:$E$4001,InvoiceLines!$B$2:$B$4001,$A52))</f>
        <v/>
      </c>
      <c r="C52" s="8">
        <f>IF($A52="",0,ROUND(SUMIFS(InvoiceLines!$G$2:$G$4001,InvoiceLines!$B$2:$B$4001,$A52),2))</f>
        <v/>
      </c>
    </row>
    <row r="53">
      <c r="A53" s="7" t="n">
        <v>46164</v>
      </c>
      <c r="B53">
        <f>IF($A53="",0,SUMIFS(InvoiceLines!$E$2:$E$4001,InvoiceLines!$B$2:$B$4001,$A53))</f>
        <v/>
      </c>
      <c r="C53" s="8">
        <f>IF($A53="",0,ROUND(SUMIFS(InvoiceLines!$G$2:$G$4001,InvoiceLines!$B$2:$B$4001,$A53),2))</f>
        <v/>
      </c>
    </row>
    <row r="54">
      <c r="A54" s="7" t="n">
        <v>46165</v>
      </c>
      <c r="B54">
        <f>IF($A54="",0,SUMIFS(InvoiceLines!$E$2:$E$4001,InvoiceLines!$B$2:$B$4001,$A54))</f>
        <v/>
      </c>
      <c r="C54" s="8">
        <f>IF($A54="",0,ROUND(SUMIFS(InvoiceLines!$G$2:$G$4001,InvoiceLines!$B$2:$B$4001,$A54),2))</f>
        <v/>
      </c>
    </row>
    <row r="55">
      <c r="A55" s="7" t="n">
        <v>46166</v>
      </c>
      <c r="B55">
        <f>IF($A55="",0,SUMIFS(InvoiceLines!$E$2:$E$4001,InvoiceLines!$B$2:$B$4001,$A55))</f>
        <v/>
      </c>
      <c r="C55" s="8">
        <f>IF($A55="",0,ROUND(SUMIFS(InvoiceLines!$G$2:$G$4001,InvoiceLines!$B$2:$B$4001,$A55),2))</f>
        <v/>
      </c>
    </row>
    <row r="56">
      <c r="A56" s="7" t="n">
        <v>46167</v>
      </c>
      <c r="B56">
        <f>IF($A56="",0,SUMIFS(InvoiceLines!$E$2:$E$4001,InvoiceLines!$B$2:$B$4001,$A56))</f>
        <v/>
      </c>
      <c r="C56" s="8">
        <f>IF($A56="",0,ROUND(SUMIFS(InvoiceLines!$G$2:$G$4001,InvoiceLines!$B$2:$B$4001,$A56),2))</f>
        <v/>
      </c>
    </row>
    <row r="57">
      <c r="A57" s="7" t="n">
        <v>46168</v>
      </c>
      <c r="B57">
        <f>IF($A57="",0,SUMIFS(InvoiceLines!$E$2:$E$4001,InvoiceLines!$B$2:$B$4001,$A57))</f>
        <v/>
      </c>
      <c r="C57" s="8">
        <f>IF($A57="",0,ROUND(SUMIFS(InvoiceLines!$G$2:$G$4001,InvoiceLines!$B$2:$B$4001,$A57),2))</f>
        <v/>
      </c>
    </row>
    <row r="58">
      <c r="A58" s="7" t="n">
        <v>46169</v>
      </c>
      <c r="B58">
        <f>IF($A58="",0,SUMIFS(InvoiceLines!$E$2:$E$4001,InvoiceLines!$B$2:$B$4001,$A58))</f>
        <v/>
      </c>
      <c r="C58" s="8">
        <f>IF($A58="",0,ROUND(SUMIFS(InvoiceLines!$G$2:$G$4001,InvoiceLines!$B$2:$B$4001,$A58),2))</f>
        <v/>
      </c>
    </row>
    <row r="59">
      <c r="A59" s="7" t="n">
        <v>46170</v>
      </c>
      <c r="B59">
        <f>IF($A59="",0,SUMIFS(InvoiceLines!$E$2:$E$4001,InvoiceLines!$B$2:$B$4001,$A59))</f>
        <v/>
      </c>
      <c r="C59" s="8">
        <f>IF($A59="",0,ROUND(SUMIFS(InvoiceLines!$G$2:$G$4001,InvoiceLines!$B$2:$B$4001,$A59),2))</f>
        <v/>
      </c>
    </row>
    <row r="60">
      <c r="A60" s="7" t="n">
        <v>46171</v>
      </c>
      <c r="B60">
        <f>IF($A60="",0,SUMIFS(InvoiceLines!$E$2:$E$4001,InvoiceLines!$B$2:$B$4001,$A60))</f>
        <v/>
      </c>
      <c r="C60" s="8">
        <f>IF($A60="",0,ROUND(SUMIFS(InvoiceLines!$G$2:$G$4001,InvoiceLines!$B$2:$B$4001,$A60),2))</f>
        <v/>
      </c>
    </row>
    <row r="61">
      <c r="A61" s="7" t="n">
        <v>46172</v>
      </c>
      <c r="B61">
        <f>IF($A61="",0,SUMIFS(InvoiceLines!$E$2:$E$4001,InvoiceLines!$B$2:$B$4001,$A61))</f>
        <v/>
      </c>
      <c r="C61" s="8">
        <f>IF($A61="",0,ROUND(SUMIFS(InvoiceLines!$G$2:$G$4001,InvoiceLines!$B$2:$B$4001,$A61),2))</f>
        <v/>
      </c>
    </row>
    <row r="62">
      <c r="A62" s="7" t="n">
        <v>46173</v>
      </c>
      <c r="B62">
        <f>IF($A62="",0,SUMIFS(InvoiceLines!$E$2:$E$4001,InvoiceLines!$B$2:$B$4001,$A62))</f>
        <v/>
      </c>
      <c r="C62" s="8">
        <f>IF($A62="",0,ROUND(SUMIFS(InvoiceLines!$G$2:$G$4001,InvoiceLines!$B$2:$B$4001,$A62),2))</f>
        <v/>
      </c>
    </row>
    <row r="63">
      <c r="A63" s="7" t="n">
        <v>46174</v>
      </c>
      <c r="B63">
        <f>IF($A63="",0,SUMIFS(InvoiceLines!$E$2:$E$4001,InvoiceLines!$B$2:$B$4001,$A63))</f>
        <v/>
      </c>
      <c r="C63" s="8">
        <f>IF($A63="",0,ROUND(SUMIFS(InvoiceLines!$G$2:$G$4001,InvoiceLines!$B$2:$B$4001,$A63),2))</f>
        <v/>
      </c>
    </row>
    <row r="64">
      <c r="A64" s="7" t="n">
        <v>46175</v>
      </c>
      <c r="B64">
        <f>IF($A64="",0,SUMIFS(InvoiceLines!$E$2:$E$4001,InvoiceLines!$B$2:$B$4001,$A64))</f>
        <v/>
      </c>
      <c r="C64" s="8">
        <f>IF($A64="",0,ROUND(SUMIFS(InvoiceLines!$G$2:$G$4001,InvoiceLines!$B$2:$B$4001,$A64),2))</f>
        <v/>
      </c>
    </row>
    <row r="65">
      <c r="A65" s="7" t="n">
        <v>46176</v>
      </c>
      <c r="B65">
        <f>IF($A65="",0,SUMIFS(InvoiceLines!$E$2:$E$4001,InvoiceLines!$B$2:$B$4001,$A65))</f>
        <v/>
      </c>
      <c r="C65" s="8">
        <f>IF($A65="",0,ROUND(SUMIFS(InvoiceLines!$G$2:$G$4001,InvoiceLines!$B$2:$B$4001,$A65),2))</f>
        <v/>
      </c>
    </row>
    <row r="66">
      <c r="A66" s="7" t="n">
        <v>46177</v>
      </c>
      <c r="B66">
        <f>IF($A66="",0,SUMIFS(InvoiceLines!$E$2:$E$4001,InvoiceLines!$B$2:$B$4001,$A66))</f>
        <v/>
      </c>
      <c r="C66" s="8">
        <f>IF($A66="",0,ROUND(SUMIFS(InvoiceLines!$G$2:$G$4001,InvoiceLines!$B$2:$B$4001,$A66),2))</f>
        <v/>
      </c>
    </row>
    <row r="67">
      <c r="A67" s="7" t="n">
        <v>46178</v>
      </c>
      <c r="B67">
        <f>IF($A67="",0,SUMIFS(InvoiceLines!$E$2:$E$4001,InvoiceLines!$B$2:$B$4001,$A67))</f>
        <v/>
      </c>
      <c r="C67" s="8">
        <f>IF($A67="",0,ROUND(SUMIFS(InvoiceLines!$G$2:$G$4001,InvoiceLines!$B$2:$B$4001,$A67),2))</f>
        <v/>
      </c>
    </row>
    <row r="68">
      <c r="A68" s="7" t="n">
        <v>46179</v>
      </c>
      <c r="B68">
        <f>IF($A68="",0,SUMIFS(InvoiceLines!$E$2:$E$4001,InvoiceLines!$B$2:$B$4001,$A68))</f>
        <v/>
      </c>
      <c r="C68" s="8">
        <f>IF($A68="",0,ROUND(SUMIFS(InvoiceLines!$G$2:$G$4001,InvoiceLines!$B$2:$B$4001,$A68),2))</f>
        <v/>
      </c>
    </row>
    <row r="69">
      <c r="A69" s="7" t="n">
        <v>46180</v>
      </c>
      <c r="B69">
        <f>IF($A69="",0,SUMIFS(InvoiceLines!$E$2:$E$4001,InvoiceLines!$B$2:$B$4001,$A69))</f>
        <v/>
      </c>
      <c r="C69" s="8">
        <f>IF($A69="",0,ROUND(SUMIFS(InvoiceLines!$G$2:$G$4001,InvoiceLines!$B$2:$B$4001,$A69),2))</f>
        <v/>
      </c>
    </row>
    <row r="70">
      <c r="A70" s="7" t="n">
        <v>46181</v>
      </c>
      <c r="B70">
        <f>IF($A70="",0,SUMIFS(InvoiceLines!$E$2:$E$4001,InvoiceLines!$B$2:$B$4001,$A70))</f>
        <v/>
      </c>
      <c r="C70" s="8">
        <f>IF($A70="",0,ROUND(SUMIFS(InvoiceLines!$G$2:$G$4001,InvoiceLines!$B$2:$B$4001,$A70),2))</f>
        <v/>
      </c>
    </row>
    <row r="71">
      <c r="A71" s="7" t="n">
        <v>46182</v>
      </c>
      <c r="B71">
        <f>IF($A71="",0,SUMIFS(InvoiceLines!$E$2:$E$4001,InvoiceLines!$B$2:$B$4001,$A71))</f>
        <v/>
      </c>
      <c r="C71" s="8">
        <f>IF($A71="",0,ROUND(SUMIFS(InvoiceLines!$G$2:$G$4001,InvoiceLines!$B$2:$B$4001,$A71),2))</f>
        <v/>
      </c>
    </row>
    <row r="72">
      <c r="A72" s="7" t="n">
        <v>46183</v>
      </c>
      <c r="B72">
        <f>IF($A72="",0,SUMIFS(InvoiceLines!$E$2:$E$4001,InvoiceLines!$B$2:$B$4001,$A72))</f>
        <v/>
      </c>
      <c r="C72" s="8">
        <f>IF($A72="",0,ROUND(SUMIFS(InvoiceLines!$G$2:$G$4001,InvoiceLines!$B$2:$B$4001,$A72),2))</f>
        <v/>
      </c>
    </row>
    <row r="73">
      <c r="A73" s="7" t="n">
        <v>46184</v>
      </c>
      <c r="B73">
        <f>IF($A73="",0,SUMIFS(InvoiceLines!$E$2:$E$4001,InvoiceLines!$B$2:$B$4001,$A73))</f>
        <v/>
      </c>
      <c r="C73" s="8">
        <f>IF($A73="",0,ROUND(SUMIFS(InvoiceLines!$G$2:$G$4001,InvoiceLines!$B$2:$B$4001,$A73),2))</f>
        <v/>
      </c>
    </row>
    <row r="74">
      <c r="A74" s="7" t="n">
        <v>46185</v>
      </c>
      <c r="B74">
        <f>IF($A74="",0,SUMIFS(InvoiceLines!$E$2:$E$4001,InvoiceLines!$B$2:$B$4001,$A74))</f>
        <v/>
      </c>
      <c r="C74" s="8">
        <f>IF($A74="",0,ROUND(SUMIFS(InvoiceLines!$G$2:$G$4001,InvoiceLines!$B$2:$B$4001,$A74),2))</f>
        <v/>
      </c>
    </row>
    <row r="75">
      <c r="A75" s="7" t="n">
        <v>46186</v>
      </c>
      <c r="B75">
        <f>IF($A75="",0,SUMIFS(InvoiceLines!$E$2:$E$4001,InvoiceLines!$B$2:$B$4001,$A75))</f>
        <v/>
      </c>
      <c r="C75" s="8">
        <f>IF($A75="",0,ROUND(SUMIFS(InvoiceLines!$G$2:$G$4001,InvoiceLines!$B$2:$B$4001,$A75),2))</f>
        <v/>
      </c>
    </row>
    <row r="76">
      <c r="A76" s="7" t="n">
        <v>46187</v>
      </c>
      <c r="B76">
        <f>IF($A76="",0,SUMIFS(InvoiceLines!$E$2:$E$4001,InvoiceLines!$B$2:$B$4001,$A76))</f>
        <v/>
      </c>
      <c r="C76" s="8">
        <f>IF($A76="",0,ROUND(SUMIFS(InvoiceLines!$G$2:$G$4001,InvoiceLines!$B$2:$B$4001,$A76),2))</f>
        <v/>
      </c>
    </row>
    <row r="77">
      <c r="A77" s="7" t="n">
        <v>46188</v>
      </c>
      <c r="B77">
        <f>IF($A77="",0,SUMIFS(InvoiceLines!$E$2:$E$4001,InvoiceLines!$B$2:$B$4001,$A77))</f>
        <v/>
      </c>
      <c r="C77" s="8">
        <f>IF($A77="",0,ROUND(SUMIFS(InvoiceLines!$G$2:$G$4001,InvoiceLines!$B$2:$B$4001,$A77),2))</f>
        <v/>
      </c>
    </row>
    <row r="78">
      <c r="A78" s="7" t="n">
        <v>46189</v>
      </c>
      <c r="B78">
        <f>IF($A78="",0,SUMIFS(InvoiceLines!$E$2:$E$4001,InvoiceLines!$B$2:$B$4001,$A78))</f>
        <v/>
      </c>
      <c r="C78" s="8">
        <f>IF($A78="",0,ROUND(SUMIFS(InvoiceLines!$G$2:$G$4001,InvoiceLines!$B$2:$B$4001,$A78),2))</f>
        <v/>
      </c>
    </row>
    <row r="79">
      <c r="A79" s="7" t="n">
        <v>46190</v>
      </c>
      <c r="B79">
        <f>IF($A79="",0,SUMIFS(InvoiceLines!$E$2:$E$4001,InvoiceLines!$B$2:$B$4001,$A79))</f>
        <v/>
      </c>
      <c r="C79" s="8">
        <f>IF($A79="",0,ROUND(SUMIFS(InvoiceLines!$G$2:$G$4001,InvoiceLines!$B$2:$B$4001,$A79),2))</f>
        <v/>
      </c>
    </row>
    <row r="80">
      <c r="A80" s="7" t="n">
        <v>46191</v>
      </c>
      <c r="B80">
        <f>IF($A80="",0,SUMIFS(InvoiceLines!$E$2:$E$4001,InvoiceLines!$B$2:$B$4001,$A80))</f>
        <v/>
      </c>
      <c r="C80" s="8">
        <f>IF($A80="",0,ROUND(SUMIFS(InvoiceLines!$G$2:$G$4001,InvoiceLines!$B$2:$B$4001,$A80),2))</f>
        <v/>
      </c>
    </row>
    <row r="81">
      <c r="A81" s="7" t="n">
        <v>46192</v>
      </c>
      <c r="B81">
        <f>IF($A81="",0,SUMIFS(InvoiceLines!$E$2:$E$4001,InvoiceLines!$B$2:$B$4001,$A81))</f>
        <v/>
      </c>
      <c r="C81" s="8">
        <f>IF($A81="",0,ROUND(SUMIFS(InvoiceLines!$G$2:$G$4001,InvoiceLines!$B$2:$B$4001,$A81),2))</f>
        <v/>
      </c>
    </row>
    <row r="82">
      <c r="A82" s="7" t="n">
        <v>46193</v>
      </c>
      <c r="B82">
        <f>IF($A82="",0,SUMIFS(InvoiceLines!$E$2:$E$4001,InvoiceLines!$B$2:$B$4001,$A82))</f>
        <v/>
      </c>
      <c r="C82" s="8">
        <f>IF($A82="",0,ROUND(SUMIFS(InvoiceLines!$G$2:$G$4001,InvoiceLines!$B$2:$B$4001,$A82),2))</f>
        <v/>
      </c>
    </row>
    <row r="83">
      <c r="A83" s="7" t="n">
        <v>46194</v>
      </c>
      <c r="B83">
        <f>IF($A83="",0,SUMIFS(InvoiceLines!$E$2:$E$4001,InvoiceLines!$B$2:$B$4001,$A83))</f>
        <v/>
      </c>
      <c r="C83" s="8">
        <f>IF($A83="",0,ROUND(SUMIFS(InvoiceLines!$G$2:$G$4001,InvoiceLines!$B$2:$B$4001,$A83),2))</f>
        <v/>
      </c>
    </row>
    <row r="84">
      <c r="A84" s="7" t="n">
        <v>46195</v>
      </c>
      <c r="B84">
        <f>IF($A84="",0,SUMIFS(InvoiceLines!$E$2:$E$4001,InvoiceLines!$B$2:$B$4001,$A84))</f>
        <v/>
      </c>
      <c r="C84" s="8">
        <f>IF($A84="",0,ROUND(SUMIFS(InvoiceLines!$G$2:$G$4001,InvoiceLines!$B$2:$B$4001,$A84),2))</f>
        <v/>
      </c>
    </row>
    <row r="85">
      <c r="A85" s="7" t="n">
        <v>46196</v>
      </c>
      <c r="B85">
        <f>IF($A85="",0,SUMIFS(InvoiceLines!$E$2:$E$4001,InvoiceLines!$B$2:$B$4001,$A85))</f>
        <v/>
      </c>
      <c r="C85" s="8">
        <f>IF($A85="",0,ROUND(SUMIFS(InvoiceLines!$G$2:$G$4001,InvoiceLines!$B$2:$B$4001,$A85),2))</f>
        <v/>
      </c>
    </row>
    <row r="86">
      <c r="A86" s="7" t="n">
        <v>46197</v>
      </c>
      <c r="B86">
        <f>IF($A86="",0,SUMIFS(InvoiceLines!$E$2:$E$4001,InvoiceLines!$B$2:$B$4001,$A86))</f>
        <v/>
      </c>
      <c r="C86" s="8">
        <f>IF($A86="",0,ROUND(SUMIFS(InvoiceLines!$G$2:$G$4001,InvoiceLines!$B$2:$B$4001,$A86),2))</f>
        <v/>
      </c>
    </row>
    <row r="87">
      <c r="A87" s="7" t="n">
        <v>46198</v>
      </c>
      <c r="B87">
        <f>IF($A87="",0,SUMIFS(InvoiceLines!$E$2:$E$4001,InvoiceLines!$B$2:$B$4001,$A87))</f>
        <v/>
      </c>
      <c r="C87" s="8">
        <f>IF($A87="",0,ROUND(SUMIFS(InvoiceLines!$G$2:$G$4001,InvoiceLines!$B$2:$B$4001,$A87),2))</f>
        <v/>
      </c>
    </row>
    <row r="88">
      <c r="A88" s="7" t="n">
        <v>46199</v>
      </c>
      <c r="B88">
        <f>IF($A88="",0,SUMIFS(InvoiceLines!$E$2:$E$4001,InvoiceLines!$B$2:$B$4001,$A88))</f>
        <v/>
      </c>
      <c r="C88" s="8">
        <f>IF($A88="",0,ROUND(SUMIFS(InvoiceLines!$G$2:$G$4001,InvoiceLines!$B$2:$B$4001,$A88),2))</f>
        <v/>
      </c>
    </row>
    <row r="89">
      <c r="A89" s="7" t="n">
        <v>46200</v>
      </c>
      <c r="B89">
        <f>IF($A89="",0,SUMIFS(InvoiceLines!$E$2:$E$4001,InvoiceLines!$B$2:$B$4001,$A89))</f>
        <v/>
      </c>
      <c r="C89" s="8">
        <f>IF($A89="",0,ROUND(SUMIFS(InvoiceLines!$G$2:$G$4001,InvoiceLines!$B$2:$B$4001,$A89),2))</f>
        <v/>
      </c>
    </row>
    <row r="90">
      <c r="A90" s="7" t="n">
        <v>46201</v>
      </c>
      <c r="B90">
        <f>IF($A90="",0,SUMIFS(InvoiceLines!$E$2:$E$4001,InvoiceLines!$B$2:$B$4001,$A90))</f>
        <v/>
      </c>
      <c r="C90" s="8">
        <f>IF($A90="",0,ROUND(SUMIFS(InvoiceLines!$G$2:$G$4001,InvoiceLines!$B$2:$B$4001,$A90),2))</f>
        <v/>
      </c>
    </row>
    <row r="91">
      <c r="A91" s="7" t="n">
        <v>46202</v>
      </c>
      <c r="B91">
        <f>IF($A91="",0,SUMIFS(InvoiceLines!$E$2:$E$4001,InvoiceLines!$B$2:$B$4001,$A91))</f>
        <v/>
      </c>
      <c r="C91" s="8">
        <f>IF($A91="",0,ROUND(SUMIFS(InvoiceLines!$G$2:$G$4001,InvoiceLines!$B$2:$B$4001,$A91),2))</f>
        <v/>
      </c>
    </row>
    <row r="92">
      <c r="A92" s="7" t="n">
        <v>46203</v>
      </c>
      <c r="B92">
        <f>IF($A92="",0,SUMIFS(InvoiceLines!$E$2:$E$4001,InvoiceLines!$B$2:$B$4001,$A92))</f>
        <v/>
      </c>
      <c r="C92" s="8">
        <f>IF($A92="",0,ROUND(SUMIFS(InvoiceLines!$G$2:$G$4001,InvoiceLines!$B$2:$B$4001,$A92),2))</f>
        <v/>
      </c>
    </row>
    <row r="93">
      <c r="A93" s="7" t="n">
        <v>46204</v>
      </c>
      <c r="B93">
        <f>IF($A93="",0,SUMIFS(InvoiceLines!$E$2:$E$4001,InvoiceLines!$B$2:$B$4001,$A93))</f>
        <v/>
      </c>
      <c r="C93" s="8">
        <f>IF($A93="",0,ROUND(SUMIFS(InvoiceLines!$G$2:$G$4001,InvoiceLines!$B$2:$B$4001,$A93),2))</f>
        <v/>
      </c>
    </row>
    <row r="94">
      <c r="A94" s="7" t="n">
        <v>46205</v>
      </c>
      <c r="B94">
        <f>IF($A94="",0,SUMIFS(InvoiceLines!$E$2:$E$4001,InvoiceLines!$B$2:$B$4001,$A94))</f>
        <v/>
      </c>
      <c r="C94" s="8">
        <f>IF($A94="",0,ROUND(SUMIFS(InvoiceLines!$G$2:$G$4001,InvoiceLines!$B$2:$B$4001,$A94),2))</f>
        <v/>
      </c>
    </row>
    <row r="95">
      <c r="A95" s="7" t="n">
        <v>46206</v>
      </c>
      <c r="B95">
        <f>IF($A95="",0,SUMIFS(InvoiceLines!$E$2:$E$4001,InvoiceLines!$B$2:$B$4001,$A95))</f>
        <v/>
      </c>
      <c r="C95" s="8">
        <f>IF($A95="",0,ROUND(SUMIFS(InvoiceLines!$G$2:$G$4001,InvoiceLines!$B$2:$B$4001,$A95),2))</f>
        <v/>
      </c>
    </row>
    <row r="96">
      <c r="A96" s="7" t="n">
        <v>46207</v>
      </c>
      <c r="B96">
        <f>IF($A96="",0,SUMIFS(InvoiceLines!$E$2:$E$4001,InvoiceLines!$B$2:$B$4001,$A96))</f>
        <v/>
      </c>
      <c r="C96" s="8">
        <f>IF($A96="",0,ROUND(SUMIFS(InvoiceLines!$G$2:$G$4001,InvoiceLines!$B$2:$B$4001,$A96),2))</f>
        <v/>
      </c>
    </row>
    <row r="97">
      <c r="A97" s="7" t="n">
        <v>46208</v>
      </c>
      <c r="B97">
        <f>IF($A97="",0,SUMIFS(InvoiceLines!$E$2:$E$4001,InvoiceLines!$B$2:$B$4001,$A97))</f>
        <v/>
      </c>
      <c r="C97" s="8">
        <f>IF($A97="",0,ROUND(SUMIFS(InvoiceLines!$G$2:$G$4001,InvoiceLines!$B$2:$B$4001,$A97),2))</f>
        <v/>
      </c>
    </row>
    <row r="98">
      <c r="A98" s="7" t="n">
        <v>46209</v>
      </c>
      <c r="B98">
        <f>IF($A98="",0,SUMIFS(InvoiceLines!$E$2:$E$4001,InvoiceLines!$B$2:$B$4001,$A98))</f>
        <v/>
      </c>
      <c r="C98" s="8">
        <f>IF($A98="",0,ROUND(SUMIFS(InvoiceLines!$G$2:$G$4001,InvoiceLines!$B$2:$B$4001,$A98),2))</f>
        <v/>
      </c>
    </row>
    <row r="99">
      <c r="A99" s="7" t="n">
        <v>46210</v>
      </c>
      <c r="B99">
        <f>IF($A99="",0,SUMIFS(InvoiceLines!$E$2:$E$4001,InvoiceLines!$B$2:$B$4001,$A99))</f>
        <v/>
      </c>
      <c r="C99" s="8">
        <f>IF($A99="",0,ROUND(SUMIFS(InvoiceLines!$G$2:$G$4001,InvoiceLines!$B$2:$B$4001,$A99),2))</f>
        <v/>
      </c>
    </row>
    <row r="100">
      <c r="A100" s="7" t="n">
        <v>46211</v>
      </c>
      <c r="B100">
        <f>IF($A100="",0,SUMIFS(InvoiceLines!$E$2:$E$4001,InvoiceLines!$B$2:$B$4001,$A100))</f>
        <v/>
      </c>
      <c r="C100" s="8">
        <f>IF($A100="",0,ROUND(SUMIFS(InvoiceLines!$G$2:$G$4001,InvoiceLines!$B$2:$B$4001,$A100),2))</f>
        <v/>
      </c>
    </row>
    <row r="101">
      <c r="A101" s="7" t="n">
        <v>46212</v>
      </c>
      <c r="B101">
        <f>IF($A101="",0,SUMIFS(InvoiceLines!$E$2:$E$4001,InvoiceLines!$B$2:$B$4001,$A101))</f>
        <v/>
      </c>
      <c r="C101" s="8">
        <f>IF($A101="",0,ROUND(SUMIFS(InvoiceLines!$G$2:$G$4001,InvoiceLines!$B$2:$B$4001,$A101),2))</f>
        <v/>
      </c>
    </row>
    <row r="102">
      <c r="A102" s="7" t="n">
        <v>46213</v>
      </c>
      <c r="B102">
        <f>IF($A102="",0,SUMIFS(InvoiceLines!$E$2:$E$4001,InvoiceLines!$B$2:$B$4001,$A102))</f>
        <v/>
      </c>
      <c r="C102" s="8">
        <f>IF($A102="",0,ROUND(SUMIFS(InvoiceLines!$G$2:$G$4001,InvoiceLines!$B$2:$B$4001,$A102),2))</f>
        <v/>
      </c>
    </row>
    <row r="103">
      <c r="A103" s="7" t="n">
        <v>46214</v>
      </c>
      <c r="B103">
        <f>IF($A103="",0,SUMIFS(InvoiceLines!$E$2:$E$4001,InvoiceLines!$B$2:$B$4001,$A103))</f>
        <v/>
      </c>
      <c r="C103" s="8">
        <f>IF($A103="",0,ROUND(SUMIFS(InvoiceLines!$G$2:$G$4001,InvoiceLines!$B$2:$B$4001,$A103),2))</f>
        <v/>
      </c>
    </row>
    <row r="104">
      <c r="A104" s="7" t="n">
        <v>46215</v>
      </c>
      <c r="B104">
        <f>IF($A104="",0,SUMIFS(InvoiceLines!$E$2:$E$4001,InvoiceLines!$B$2:$B$4001,$A104))</f>
        <v/>
      </c>
      <c r="C104" s="8">
        <f>IF($A104="",0,ROUND(SUMIFS(InvoiceLines!$G$2:$G$4001,InvoiceLines!$B$2:$B$4001,$A104),2))</f>
        <v/>
      </c>
    </row>
    <row r="105">
      <c r="A105" s="7" t="n">
        <v>46216</v>
      </c>
      <c r="B105">
        <f>IF($A105="",0,SUMIFS(InvoiceLines!$E$2:$E$4001,InvoiceLines!$B$2:$B$4001,$A105))</f>
        <v/>
      </c>
      <c r="C105" s="8">
        <f>IF($A105="",0,ROUND(SUMIFS(InvoiceLines!$G$2:$G$4001,InvoiceLines!$B$2:$B$4001,$A105),2))</f>
        <v/>
      </c>
    </row>
    <row r="106">
      <c r="A106" s="7" t="n">
        <v>46217</v>
      </c>
      <c r="B106">
        <f>IF($A106="",0,SUMIFS(InvoiceLines!$E$2:$E$4001,InvoiceLines!$B$2:$B$4001,$A106))</f>
        <v/>
      </c>
      <c r="C106" s="8">
        <f>IF($A106="",0,ROUND(SUMIFS(InvoiceLines!$G$2:$G$4001,InvoiceLines!$B$2:$B$4001,$A106),2))</f>
        <v/>
      </c>
    </row>
    <row r="107">
      <c r="A107" s="7" t="n">
        <v>46218</v>
      </c>
      <c r="B107">
        <f>IF($A107="",0,SUMIFS(InvoiceLines!$E$2:$E$4001,InvoiceLines!$B$2:$B$4001,$A107))</f>
        <v/>
      </c>
      <c r="C107" s="8">
        <f>IF($A107="",0,ROUND(SUMIFS(InvoiceLines!$G$2:$G$4001,InvoiceLines!$B$2:$B$4001,$A107),2))</f>
        <v/>
      </c>
    </row>
    <row r="108">
      <c r="A108" s="7" t="n">
        <v>46219</v>
      </c>
      <c r="B108">
        <f>IF($A108="",0,SUMIFS(InvoiceLines!$E$2:$E$4001,InvoiceLines!$B$2:$B$4001,$A108))</f>
        <v/>
      </c>
      <c r="C108" s="8">
        <f>IF($A108="",0,ROUND(SUMIFS(InvoiceLines!$G$2:$G$4001,InvoiceLines!$B$2:$B$4001,$A108),2))</f>
        <v/>
      </c>
    </row>
    <row r="109">
      <c r="A109" s="7" t="n">
        <v>46220</v>
      </c>
      <c r="B109">
        <f>IF($A109="",0,SUMIFS(InvoiceLines!$E$2:$E$4001,InvoiceLines!$B$2:$B$4001,$A109))</f>
        <v/>
      </c>
      <c r="C109" s="8">
        <f>IF($A109="",0,ROUND(SUMIFS(InvoiceLines!$G$2:$G$4001,InvoiceLines!$B$2:$B$4001,$A109),2))</f>
        <v/>
      </c>
    </row>
    <row r="110">
      <c r="A110" s="7" t="n">
        <v>46221</v>
      </c>
      <c r="B110">
        <f>IF($A110="",0,SUMIFS(InvoiceLines!$E$2:$E$4001,InvoiceLines!$B$2:$B$4001,$A110))</f>
        <v/>
      </c>
      <c r="C110" s="8">
        <f>IF($A110="",0,ROUND(SUMIFS(InvoiceLines!$G$2:$G$4001,InvoiceLines!$B$2:$B$4001,$A110),2))</f>
        <v/>
      </c>
    </row>
    <row r="111">
      <c r="A111" s="7" t="n">
        <v>46222</v>
      </c>
      <c r="B111">
        <f>IF($A111="",0,SUMIFS(InvoiceLines!$E$2:$E$4001,InvoiceLines!$B$2:$B$4001,$A111))</f>
        <v/>
      </c>
      <c r="C111" s="8">
        <f>IF($A111="",0,ROUND(SUMIFS(InvoiceLines!$G$2:$G$4001,InvoiceLines!$B$2:$B$4001,$A111),2))</f>
        <v/>
      </c>
    </row>
    <row r="112">
      <c r="A112" s="7" t="n">
        <v>46223</v>
      </c>
      <c r="B112">
        <f>IF($A112="",0,SUMIFS(InvoiceLines!$E$2:$E$4001,InvoiceLines!$B$2:$B$4001,$A112))</f>
        <v/>
      </c>
      <c r="C112" s="8">
        <f>IF($A112="",0,ROUND(SUMIFS(InvoiceLines!$G$2:$G$4001,InvoiceLines!$B$2:$B$4001,$A112),2))</f>
        <v/>
      </c>
    </row>
    <row r="113">
      <c r="A113" s="7" t="n">
        <v>46224</v>
      </c>
      <c r="B113">
        <f>IF($A113="",0,SUMIFS(InvoiceLines!$E$2:$E$4001,InvoiceLines!$B$2:$B$4001,$A113))</f>
        <v/>
      </c>
      <c r="C113" s="8">
        <f>IF($A113="",0,ROUND(SUMIFS(InvoiceLines!$G$2:$G$4001,InvoiceLines!$B$2:$B$4001,$A113),2))</f>
        <v/>
      </c>
    </row>
    <row r="114">
      <c r="A114" s="7" t="n">
        <v>46225</v>
      </c>
      <c r="B114">
        <f>IF($A114="",0,SUMIFS(InvoiceLines!$E$2:$E$4001,InvoiceLines!$B$2:$B$4001,$A114))</f>
        <v/>
      </c>
      <c r="C114" s="8">
        <f>IF($A114="",0,ROUND(SUMIFS(InvoiceLines!$G$2:$G$4001,InvoiceLines!$B$2:$B$4001,$A114),2))</f>
        <v/>
      </c>
    </row>
    <row r="115">
      <c r="A115" s="7" t="n">
        <v>46226</v>
      </c>
      <c r="B115">
        <f>IF($A115="",0,SUMIFS(InvoiceLines!$E$2:$E$4001,InvoiceLines!$B$2:$B$4001,$A115))</f>
        <v/>
      </c>
      <c r="C115" s="8">
        <f>IF($A115="",0,ROUND(SUMIFS(InvoiceLines!$G$2:$G$4001,InvoiceLines!$B$2:$B$4001,$A115),2))</f>
        <v/>
      </c>
    </row>
    <row r="116">
      <c r="A116" s="7" t="n">
        <v>46227</v>
      </c>
      <c r="B116">
        <f>IF($A116="",0,SUMIFS(InvoiceLines!$E$2:$E$4001,InvoiceLines!$B$2:$B$4001,$A116))</f>
        <v/>
      </c>
      <c r="C116" s="8">
        <f>IF($A116="",0,ROUND(SUMIFS(InvoiceLines!$G$2:$G$4001,InvoiceLines!$B$2:$B$4001,$A116),2))</f>
        <v/>
      </c>
    </row>
    <row r="117">
      <c r="A117" s="7" t="n">
        <v>46228</v>
      </c>
      <c r="B117">
        <f>IF($A117="",0,SUMIFS(InvoiceLines!$E$2:$E$4001,InvoiceLines!$B$2:$B$4001,$A117))</f>
        <v/>
      </c>
      <c r="C117" s="8">
        <f>IF($A117="",0,ROUND(SUMIFS(InvoiceLines!$G$2:$G$4001,InvoiceLines!$B$2:$B$4001,$A117),2))</f>
        <v/>
      </c>
    </row>
    <row r="118">
      <c r="A118" s="7" t="n">
        <v>46229</v>
      </c>
      <c r="B118">
        <f>IF($A118="",0,SUMIFS(InvoiceLines!$E$2:$E$4001,InvoiceLines!$B$2:$B$4001,$A118))</f>
        <v/>
      </c>
      <c r="C118" s="8">
        <f>IF($A118="",0,ROUND(SUMIFS(InvoiceLines!$G$2:$G$4001,InvoiceLines!$B$2:$B$4001,$A118),2))</f>
        <v/>
      </c>
    </row>
    <row r="119">
      <c r="A119" s="7" t="n">
        <v>46230</v>
      </c>
      <c r="B119">
        <f>IF($A119="",0,SUMIFS(InvoiceLines!$E$2:$E$4001,InvoiceLines!$B$2:$B$4001,$A119))</f>
        <v/>
      </c>
      <c r="C119" s="8">
        <f>IF($A119="",0,ROUND(SUMIFS(InvoiceLines!$G$2:$G$4001,InvoiceLines!$B$2:$B$4001,$A119),2))</f>
        <v/>
      </c>
    </row>
    <row r="120">
      <c r="A120" s="7" t="n">
        <v>46231</v>
      </c>
      <c r="B120">
        <f>IF($A120="",0,SUMIFS(InvoiceLines!$E$2:$E$4001,InvoiceLines!$B$2:$B$4001,$A120))</f>
        <v/>
      </c>
      <c r="C120" s="8">
        <f>IF($A120="",0,ROUND(SUMIFS(InvoiceLines!$G$2:$G$4001,InvoiceLines!$B$2:$B$4001,$A120),2))</f>
        <v/>
      </c>
    </row>
    <row r="121">
      <c r="A121" s="7" t="n">
        <v>46232</v>
      </c>
      <c r="B121">
        <f>IF($A121="",0,SUMIFS(InvoiceLines!$E$2:$E$4001,InvoiceLines!$B$2:$B$4001,$A121))</f>
        <v/>
      </c>
      <c r="C121" s="8">
        <f>IF($A121="",0,ROUND(SUMIFS(InvoiceLines!$G$2:$G$4001,InvoiceLines!$B$2:$B$4001,$A121),2))</f>
        <v/>
      </c>
    </row>
    <row r="122">
      <c r="A122" s="7" t="n">
        <v>46233</v>
      </c>
      <c r="B122">
        <f>IF($A122="",0,SUMIFS(InvoiceLines!$E$2:$E$4001,InvoiceLines!$B$2:$B$4001,$A122))</f>
        <v/>
      </c>
      <c r="C122" s="8">
        <f>IF($A122="",0,ROUND(SUMIFS(InvoiceLines!$G$2:$G$4001,InvoiceLines!$B$2:$B$4001,$A122),2))</f>
        <v/>
      </c>
    </row>
    <row r="123">
      <c r="A123" s="7" t="n">
        <v>46234</v>
      </c>
      <c r="B123">
        <f>IF($A123="",0,SUMIFS(InvoiceLines!$E$2:$E$4001,InvoiceLines!$B$2:$B$4001,$A123))</f>
        <v/>
      </c>
      <c r="C123" s="8">
        <f>IF($A123="",0,ROUND(SUMIFS(InvoiceLines!$G$2:$G$4001,InvoiceLines!$B$2:$B$4001,$A123),2))</f>
        <v/>
      </c>
    </row>
    <row r="124">
      <c r="A124" s="7" t="n">
        <v>46235</v>
      </c>
      <c r="B124">
        <f>IF($A124="",0,SUMIFS(InvoiceLines!$E$2:$E$4001,InvoiceLines!$B$2:$B$4001,$A124))</f>
        <v/>
      </c>
      <c r="C124" s="8">
        <f>IF($A124="",0,ROUND(SUMIFS(InvoiceLines!$G$2:$G$4001,InvoiceLines!$B$2:$B$4001,$A124),2))</f>
        <v/>
      </c>
    </row>
    <row r="125">
      <c r="A125" s="7" t="n">
        <v>46236</v>
      </c>
      <c r="B125">
        <f>IF($A125="",0,SUMIFS(InvoiceLines!$E$2:$E$4001,InvoiceLines!$B$2:$B$4001,$A125))</f>
        <v/>
      </c>
      <c r="C125" s="8">
        <f>IF($A125="",0,ROUND(SUMIFS(InvoiceLines!$G$2:$G$4001,InvoiceLines!$B$2:$B$4001,$A125),2))</f>
        <v/>
      </c>
    </row>
    <row r="126">
      <c r="A126" s="7" t="n">
        <v>46237</v>
      </c>
      <c r="B126">
        <f>IF($A126="",0,SUMIFS(InvoiceLines!$E$2:$E$4001,InvoiceLines!$B$2:$B$4001,$A126))</f>
        <v/>
      </c>
      <c r="C126" s="8">
        <f>IF($A126="",0,ROUND(SUMIFS(InvoiceLines!$G$2:$G$4001,InvoiceLines!$B$2:$B$4001,$A126),2))</f>
        <v/>
      </c>
    </row>
    <row r="127">
      <c r="A127" s="7" t="n">
        <v>46238</v>
      </c>
      <c r="B127">
        <f>IF($A127="",0,SUMIFS(InvoiceLines!$E$2:$E$4001,InvoiceLines!$B$2:$B$4001,$A127))</f>
        <v/>
      </c>
      <c r="C127" s="8">
        <f>IF($A127="",0,ROUND(SUMIFS(InvoiceLines!$G$2:$G$4001,InvoiceLines!$B$2:$B$4001,$A127),2))</f>
        <v/>
      </c>
    </row>
    <row r="128">
      <c r="A128" s="7" t="n">
        <v>46239</v>
      </c>
      <c r="B128">
        <f>IF($A128="",0,SUMIFS(InvoiceLines!$E$2:$E$4001,InvoiceLines!$B$2:$B$4001,$A128))</f>
        <v/>
      </c>
      <c r="C128" s="8">
        <f>IF($A128="",0,ROUND(SUMIFS(InvoiceLines!$G$2:$G$4001,InvoiceLines!$B$2:$B$4001,$A128),2))</f>
        <v/>
      </c>
    </row>
    <row r="129">
      <c r="A129" s="7" t="n">
        <v>46240</v>
      </c>
      <c r="B129">
        <f>IF($A129="",0,SUMIFS(InvoiceLines!$E$2:$E$4001,InvoiceLines!$B$2:$B$4001,$A129))</f>
        <v/>
      </c>
      <c r="C129" s="8">
        <f>IF($A129="",0,ROUND(SUMIFS(InvoiceLines!$G$2:$G$4001,InvoiceLines!$B$2:$B$4001,$A129),2))</f>
        <v/>
      </c>
    </row>
    <row r="130">
      <c r="A130" s="7" t="n">
        <v>46241</v>
      </c>
      <c r="B130">
        <f>IF($A130="",0,SUMIFS(InvoiceLines!$E$2:$E$4001,InvoiceLines!$B$2:$B$4001,$A130))</f>
        <v/>
      </c>
      <c r="C130" s="8">
        <f>IF($A130="",0,ROUND(SUMIFS(InvoiceLines!$G$2:$G$4001,InvoiceLines!$B$2:$B$4001,$A130),2))</f>
        <v/>
      </c>
    </row>
    <row r="131">
      <c r="A131" s="7" t="n">
        <v>46242</v>
      </c>
      <c r="B131">
        <f>IF($A131="",0,SUMIFS(InvoiceLines!$E$2:$E$4001,InvoiceLines!$B$2:$B$4001,$A131))</f>
        <v/>
      </c>
      <c r="C131" s="8">
        <f>IF($A131="",0,ROUND(SUMIFS(InvoiceLines!$G$2:$G$4001,InvoiceLines!$B$2:$B$4001,$A131),2))</f>
        <v/>
      </c>
    </row>
    <row r="132">
      <c r="A132" s="7" t="n">
        <v>46243</v>
      </c>
      <c r="B132">
        <f>IF($A132="",0,SUMIFS(InvoiceLines!$E$2:$E$4001,InvoiceLines!$B$2:$B$4001,$A132))</f>
        <v/>
      </c>
      <c r="C132" s="8">
        <f>IF($A132="",0,ROUND(SUMIFS(InvoiceLines!$G$2:$G$4001,InvoiceLines!$B$2:$B$4001,$A132),2))</f>
        <v/>
      </c>
    </row>
    <row r="133">
      <c r="A133" s="7" t="n">
        <v>46244</v>
      </c>
      <c r="B133">
        <f>IF($A133="",0,SUMIFS(InvoiceLines!$E$2:$E$4001,InvoiceLines!$B$2:$B$4001,$A133))</f>
        <v/>
      </c>
      <c r="C133" s="8">
        <f>IF($A133="",0,ROUND(SUMIFS(InvoiceLines!$G$2:$G$4001,InvoiceLines!$B$2:$B$4001,$A133),2))</f>
        <v/>
      </c>
    </row>
    <row r="134">
      <c r="A134" s="7" t="n">
        <v>46245</v>
      </c>
      <c r="B134">
        <f>IF($A134="",0,SUMIFS(InvoiceLines!$E$2:$E$4001,InvoiceLines!$B$2:$B$4001,$A134))</f>
        <v/>
      </c>
      <c r="C134" s="8">
        <f>IF($A134="",0,ROUND(SUMIFS(InvoiceLines!$G$2:$G$4001,InvoiceLines!$B$2:$B$4001,$A134),2))</f>
        <v/>
      </c>
    </row>
    <row r="135">
      <c r="A135" s="7" t="n">
        <v>46246</v>
      </c>
      <c r="B135">
        <f>IF($A135="",0,SUMIFS(InvoiceLines!$E$2:$E$4001,InvoiceLines!$B$2:$B$4001,$A135))</f>
        <v/>
      </c>
      <c r="C135" s="8">
        <f>IF($A135="",0,ROUND(SUMIFS(InvoiceLines!$G$2:$G$4001,InvoiceLines!$B$2:$B$4001,$A135),2))</f>
        <v/>
      </c>
    </row>
    <row r="136">
      <c r="A136" s="7" t="n">
        <v>46247</v>
      </c>
      <c r="B136">
        <f>IF($A136="",0,SUMIFS(InvoiceLines!$E$2:$E$4001,InvoiceLines!$B$2:$B$4001,$A136))</f>
        <v/>
      </c>
      <c r="C136" s="8">
        <f>IF($A136="",0,ROUND(SUMIFS(InvoiceLines!$G$2:$G$4001,InvoiceLines!$B$2:$B$4001,$A136),2))</f>
        <v/>
      </c>
    </row>
    <row r="137">
      <c r="A137" s="7" t="n">
        <v>46248</v>
      </c>
      <c r="B137">
        <f>IF($A137="",0,SUMIFS(InvoiceLines!$E$2:$E$4001,InvoiceLines!$B$2:$B$4001,$A137))</f>
        <v/>
      </c>
      <c r="C137" s="8">
        <f>IF($A137="",0,ROUND(SUMIFS(InvoiceLines!$G$2:$G$4001,InvoiceLines!$B$2:$B$4001,$A137),2))</f>
        <v/>
      </c>
    </row>
    <row r="138">
      <c r="A138" s="7" t="n">
        <v>46249</v>
      </c>
      <c r="B138">
        <f>IF($A138="",0,SUMIFS(InvoiceLines!$E$2:$E$4001,InvoiceLines!$B$2:$B$4001,$A138))</f>
        <v/>
      </c>
      <c r="C138" s="8">
        <f>IF($A138="",0,ROUND(SUMIFS(InvoiceLines!$G$2:$G$4001,InvoiceLines!$B$2:$B$4001,$A138),2))</f>
        <v/>
      </c>
    </row>
    <row r="139">
      <c r="A139" s="7" t="n">
        <v>46250</v>
      </c>
      <c r="B139">
        <f>IF($A139="",0,SUMIFS(InvoiceLines!$E$2:$E$4001,InvoiceLines!$B$2:$B$4001,$A139))</f>
        <v/>
      </c>
      <c r="C139" s="8">
        <f>IF($A139="",0,ROUND(SUMIFS(InvoiceLines!$G$2:$G$4001,InvoiceLines!$B$2:$B$4001,$A139),2))</f>
        <v/>
      </c>
    </row>
    <row r="140">
      <c r="A140" s="7" t="n">
        <v>46251</v>
      </c>
      <c r="B140">
        <f>IF($A140="",0,SUMIFS(InvoiceLines!$E$2:$E$4001,InvoiceLines!$B$2:$B$4001,$A140))</f>
        <v/>
      </c>
      <c r="C140" s="8">
        <f>IF($A140="",0,ROUND(SUMIFS(InvoiceLines!$G$2:$G$4001,InvoiceLines!$B$2:$B$4001,$A140),2))</f>
        <v/>
      </c>
    </row>
    <row r="141">
      <c r="A141" s="7" t="n">
        <v>46252</v>
      </c>
      <c r="B141">
        <f>IF($A141="",0,SUMIFS(InvoiceLines!$E$2:$E$4001,InvoiceLines!$B$2:$B$4001,$A141))</f>
        <v/>
      </c>
      <c r="C141" s="8">
        <f>IF($A141="",0,ROUND(SUMIFS(InvoiceLines!$G$2:$G$4001,InvoiceLines!$B$2:$B$4001,$A141),2))</f>
        <v/>
      </c>
    </row>
    <row r="142">
      <c r="A142" s="7" t="n">
        <v>46253</v>
      </c>
      <c r="B142">
        <f>IF($A142="",0,SUMIFS(InvoiceLines!$E$2:$E$4001,InvoiceLines!$B$2:$B$4001,$A142))</f>
        <v/>
      </c>
      <c r="C142" s="8">
        <f>IF($A142="",0,ROUND(SUMIFS(InvoiceLines!$G$2:$G$4001,InvoiceLines!$B$2:$B$4001,$A142),2))</f>
        <v/>
      </c>
    </row>
    <row r="143">
      <c r="A143" s="7" t="n">
        <v>46254</v>
      </c>
      <c r="B143">
        <f>IF($A143="",0,SUMIFS(InvoiceLines!$E$2:$E$4001,InvoiceLines!$B$2:$B$4001,$A143))</f>
        <v/>
      </c>
      <c r="C143" s="8">
        <f>IF($A143="",0,ROUND(SUMIFS(InvoiceLines!$G$2:$G$4001,InvoiceLines!$B$2:$B$4001,$A143),2))</f>
        <v/>
      </c>
    </row>
    <row r="144">
      <c r="A144" s="7" t="n">
        <v>46255</v>
      </c>
      <c r="B144">
        <f>IF($A144="",0,SUMIFS(InvoiceLines!$E$2:$E$4001,InvoiceLines!$B$2:$B$4001,$A144))</f>
        <v/>
      </c>
      <c r="C144" s="8">
        <f>IF($A144="",0,ROUND(SUMIFS(InvoiceLines!$G$2:$G$4001,InvoiceLines!$B$2:$B$4001,$A144),2))</f>
        <v/>
      </c>
    </row>
    <row r="145">
      <c r="A145" s="7" t="n">
        <v>46256</v>
      </c>
      <c r="B145">
        <f>IF($A145="",0,SUMIFS(InvoiceLines!$E$2:$E$4001,InvoiceLines!$B$2:$B$4001,$A145))</f>
        <v/>
      </c>
      <c r="C145" s="8">
        <f>IF($A145="",0,ROUND(SUMIFS(InvoiceLines!$G$2:$G$4001,InvoiceLines!$B$2:$B$4001,$A145),2))</f>
        <v/>
      </c>
    </row>
    <row r="146">
      <c r="A146" s="7" t="n">
        <v>46257</v>
      </c>
      <c r="B146">
        <f>IF($A146="",0,SUMIFS(InvoiceLines!$E$2:$E$4001,InvoiceLines!$B$2:$B$4001,$A146))</f>
        <v/>
      </c>
      <c r="C146" s="8">
        <f>IF($A146="",0,ROUND(SUMIFS(InvoiceLines!$G$2:$G$4001,InvoiceLines!$B$2:$B$4001,$A146),2))</f>
        <v/>
      </c>
    </row>
    <row r="147">
      <c r="A147" s="7" t="n">
        <v>46258</v>
      </c>
      <c r="B147">
        <f>IF($A147="",0,SUMIFS(InvoiceLines!$E$2:$E$4001,InvoiceLines!$B$2:$B$4001,$A147))</f>
        <v/>
      </c>
      <c r="C147" s="8">
        <f>IF($A147="",0,ROUND(SUMIFS(InvoiceLines!$G$2:$G$4001,InvoiceLines!$B$2:$B$4001,$A147),2))</f>
        <v/>
      </c>
    </row>
    <row r="148">
      <c r="A148" s="7" t="n">
        <v>46259</v>
      </c>
      <c r="B148">
        <f>IF($A148="",0,SUMIFS(InvoiceLines!$E$2:$E$4001,InvoiceLines!$B$2:$B$4001,$A148))</f>
        <v/>
      </c>
      <c r="C148" s="8">
        <f>IF($A148="",0,ROUND(SUMIFS(InvoiceLines!$G$2:$G$4001,InvoiceLines!$B$2:$B$4001,$A148),2))</f>
        <v/>
      </c>
    </row>
    <row r="149">
      <c r="A149" s="7" t="n">
        <v>46260</v>
      </c>
      <c r="B149">
        <f>IF($A149="",0,SUMIFS(InvoiceLines!$E$2:$E$4001,InvoiceLines!$B$2:$B$4001,$A149))</f>
        <v/>
      </c>
      <c r="C149" s="8">
        <f>IF($A149="",0,ROUND(SUMIFS(InvoiceLines!$G$2:$G$4001,InvoiceLines!$B$2:$B$4001,$A149),2))</f>
        <v/>
      </c>
    </row>
    <row r="150">
      <c r="A150" s="7" t="n">
        <v>46261</v>
      </c>
      <c r="B150">
        <f>IF($A150="",0,SUMIFS(InvoiceLines!$E$2:$E$4001,InvoiceLines!$B$2:$B$4001,$A150))</f>
        <v/>
      </c>
      <c r="C150" s="8">
        <f>IF($A150="",0,ROUND(SUMIFS(InvoiceLines!$G$2:$G$4001,InvoiceLines!$B$2:$B$4001,$A150),2))</f>
        <v/>
      </c>
    </row>
    <row r="151">
      <c r="A151" s="7" t="n">
        <v>46262</v>
      </c>
      <c r="B151">
        <f>IF($A151="",0,SUMIFS(InvoiceLines!$E$2:$E$4001,InvoiceLines!$B$2:$B$4001,$A151))</f>
        <v/>
      </c>
      <c r="C151" s="8">
        <f>IF($A151="",0,ROUND(SUMIFS(InvoiceLines!$G$2:$G$4001,InvoiceLines!$B$2:$B$4001,$A151),2))</f>
        <v/>
      </c>
    </row>
    <row r="152">
      <c r="A152" s="7" t="n">
        <v>46263</v>
      </c>
      <c r="B152">
        <f>IF($A152="",0,SUMIFS(InvoiceLines!$E$2:$E$4001,InvoiceLines!$B$2:$B$4001,$A152))</f>
        <v/>
      </c>
      <c r="C152" s="8">
        <f>IF($A152="",0,ROUND(SUMIFS(InvoiceLines!$G$2:$G$4001,InvoiceLines!$B$2:$B$4001,$A152),2))</f>
        <v/>
      </c>
    </row>
    <row r="153">
      <c r="A153" s="7" t="n">
        <v>46264</v>
      </c>
      <c r="B153">
        <f>IF($A153="",0,SUMIFS(InvoiceLines!$E$2:$E$4001,InvoiceLines!$B$2:$B$4001,$A153))</f>
        <v/>
      </c>
      <c r="C153" s="8">
        <f>IF($A153="",0,ROUND(SUMIFS(InvoiceLines!$G$2:$G$4001,InvoiceLines!$B$2:$B$4001,$A153),2))</f>
        <v/>
      </c>
    </row>
    <row r="154">
      <c r="A154" s="7" t="n">
        <v>46265</v>
      </c>
      <c r="B154">
        <f>IF($A154="",0,SUMIFS(InvoiceLines!$E$2:$E$4001,InvoiceLines!$B$2:$B$4001,$A154))</f>
        <v/>
      </c>
      <c r="C154" s="8">
        <f>IF($A154="",0,ROUND(SUMIFS(InvoiceLines!$G$2:$G$4001,InvoiceLines!$B$2:$B$4001,$A154),2))</f>
        <v/>
      </c>
    </row>
    <row r="155">
      <c r="A155" s="7" t="n">
        <v>46266</v>
      </c>
      <c r="B155">
        <f>IF($A155="",0,SUMIFS(InvoiceLines!$E$2:$E$4001,InvoiceLines!$B$2:$B$4001,$A155))</f>
        <v/>
      </c>
      <c r="C155" s="8">
        <f>IF($A155="",0,ROUND(SUMIFS(InvoiceLines!$G$2:$G$4001,InvoiceLines!$B$2:$B$4001,$A155),2))</f>
        <v/>
      </c>
    </row>
    <row r="156">
      <c r="A156" s="7" t="n">
        <v>46267</v>
      </c>
      <c r="B156">
        <f>IF($A156="",0,SUMIFS(InvoiceLines!$E$2:$E$4001,InvoiceLines!$B$2:$B$4001,$A156))</f>
        <v/>
      </c>
      <c r="C156" s="8">
        <f>IF($A156="",0,ROUND(SUMIFS(InvoiceLines!$G$2:$G$4001,InvoiceLines!$B$2:$B$4001,$A156),2))</f>
        <v/>
      </c>
    </row>
    <row r="157">
      <c r="A157" s="7" t="n">
        <v>46268</v>
      </c>
      <c r="B157">
        <f>IF($A157="",0,SUMIFS(InvoiceLines!$E$2:$E$4001,InvoiceLines!$B$2:$B$4001,$A157))</f>
        <v/>
      </c>
      <c r="C157" s="8">
        <f>IF($A157="",0,ROUND(SUMIFS(InvoiceLines!$G$2:$G$4001,InvoiceLines!$B$2:$B$4001,$A157),2))</f>
        <v/>
      </c>
    </row>
    <row r="158">
      <c r="A158" s="7" t="n">
        <v>46269</v>
      </c>
      <c r="B158">
        <f>IF($A158="",0,SUMIFS(InvoiceLines!$E$2:$E$4001,InvoiceLines!$B$2:$B$4001,$A158))</f>
        <v/>
      </c>
      <c r="C158" s="8">
        <f>IF($A158="",0,ROUND(SUMIFS(InvoiceLines!$G$2:$G$4001,InvoiceLines!$B$2:$B$4001,$A158),2))</f>
        <v/>
      </c>
    </row>
    <row r="159">
      <c r="A159" s="7" t="n">
        <v>46270</v>
      </c>
      <c r="B159">
        <f>IF($A159="",0,SUMIFS(InvoiceLines!$E$2:$E$4001,InvoiceLines!$B$2:$B$4001,$A159))</f>
        <v/>
      </c>
      <c r="C159" s="8">
        <f>IF($A159="",0,ROUND(SUMIFS(InvoiceLines!$G$2:$G$4001,InvoiceLines!$B$2:$B$4001,$A159),2))</f>
        <v/>
      </c>
    </row>
    <row r="160">
      <c r="A160" s="7" t="n">
        <v>46271</v>
      </c>
      <c r="B160">
        <f>IF($A160="",0,SUMIFS(InvoiceLines!$E$2:$E$4001,InvoiceLines!$B$2:$B$4001,$A160))</f>
        <v/>
      </c>
      <c r="C160" s="8">
        <f>IF($A160="",0,ROUND(SUMIFS(InvoiceLines!$G$2:$G$4001,InvoiceLines!$B$2:$B$4001,$A160),2))</f>
        <v/>
      </c>
    </row>
    <row r="161">
      <c r="A161" s="7" t="n">
        <v>46272</v>
      </c>
      <c r="B161">
        <f>IF($A161="",0,SUMIFS(InvoiceLines!$E$2:$E$4001,InvoiceLines!$B$2:$B$4001,$A161))</f>
        <v/>
      </c>
      <c r="C161" s="8">
        <f>IF($A161="",0,ROUND(SUMIFS(InvoiceLines!$G$2:$G$4001,InvoiceLines!$B$2:$B$4001,$A161),2))</f>
        <v/>
      </c>
    </row>
    <row r="162">
      <c r="A162" s="7" t="n">
        <v>46273</v>
      </c>
      <c r="B162">
        <f>IF($A162="",0,SUMIFS(InvoiceLines!$E$2:$E$4001,InvoiceLines!$B$2:$B$4001,$A162))</f>
        <v/>
      </c>
      <c r="C162" s="8">
        <f>IF($A162="",0,ROUND(SUMIFS(InvoiceLines!$G$2:$G$4001,InvoiceLines!$B$2:$B$4001,$A162),2))</f>
        <v/>
      </c>
    </row>
    <row r="163">
      <c r="A163" s="7" t="n">
        <v>46274</v>
      </c>
      <c r="B163">
        <f>IF($A163="",0,SUMIFS(InvoiceLines!$E$2:$E$4001,InvoiceLines!$B$2:$B$4001,$A163))</f>
        <v/>
      </c>
      <c r="C163" s="8">
        <f>IF($A163="",0,ROUND(SUMIFS(InvoiceLines!$G$2:$G$4001,InvoiceLines!$B$2:$B$4001,$A163),2))</f>
        <v/>
      </c>
    </row>
    <row r="164">
      <c r="A164" s="7" t="n">
        <v>46275</v>
      </c>
      <c r="B164">
        <f>IF($A164="",0,SUMIFS(InvoiceLines!$E$2:$E$4001,InvoiceLines!$B$2:$B$4001,$A164))</f>
        <v/>
      </c>
      <c r="C164" s="8">
        <f>IF($A164="",0,ROUND(SUMIFS(InvoiceLines!$G$2:$G$4001,InvoiceLines!$B$2:$B$4001,$A164),2))</f>
        <v/>
      </c>
    </row>
    <row r="165">
      <c r="A165" s="7" t="n">
        <v>46276</v>
      </c>
      <c r="B165">
        <f>IF($A165="",0,SUMIFS(InvoiceLines!$E$2:$E$4001,InvoiceLines!$B$2:$B$4001,$A165))</f>
        <v/>
      </c>
      <c r="C165" s="8">
        <f>IF($A165="",0,ROUND(SUMIFS(InvoiceLines!$G$2:$G$4001,InvoiceLines!$B$2:$B$4001,$A165),2))</f>
        <v/>
      </c>
    </row>
    <row r="166">
      <c r="A166" s="7" t="n">
        <v>46277</v>
      </c>
      <c r="B166">
        <f>IF($A166="",0,SUMIFS(InvoiceLines!$E$2:$E$4001,InvoiceLines!$B$2:$B$4001,$A166))</f>
        <v/>
      </c>
      <c r="C166" s="8">
        <f>IF($A166="",0,ROUND(SUMIFS(InvoiceLines!$G$2:$G$4001,InvoiceLines!$B$2:$B$4001,$A166),2))</f>
        <v/>
      </c>
    </row>
    <row r="167">
      <c r="A167" s="7" t="n">
        <v>46278</v>
      </c>
      <c r="B167">
        <f>IF($A167="",0,SUMIFS(InvoiceLines!$E$2:$E$4001,InvoiceLines!$B$2:$B$4001,$A167))</f>
        <v/>
      </c>
      <c r="C167" s="8">
        <f>IF($A167="",0,ROUND(SUMIFS(InvoiceLines!$G$2:$G$4001,InvoiceLines!$B$2:$B$4001,$A167),2))</f>
        <v/>
      </c>
    </row>
    <row r="168">
      <c r="A168" s="7" t="n">
        <v>46279</v>
      </c>
      <c r="B168">
        <f>IF($A168="",0,SUMIFS(InvoiceLines!$E$2:$E$4001,InvoiceLines!$B$2:$B$4001,$A168))</f>
        <v/>
      </c>
      <c r="C168" s="8">
        <f>IF($A168="",0,ROUND(SUMIFS(InvoiceLines!$G$2:$G$4001,InvoiceLines!$B$2:$B$4001,$A168),2))</f>
        <v/>
      </c>
    </row>
    <row r="169">
      <c r="A169" s="7" t="n">
        <v>46280</v>
      </c>
      <c r="B169">
        <f>IF($A169="",0,SUMIFS(InvoiceLines!$E$2:$E$4001,InvoiceLines!$B$2:$B$4001,$A169))</f>
        <v/>
      </c>
      <c r="C169" s="8">
        <f>IF($A169="",0,ROUND(SUMIFS(InvoiceLines!$G$2:$G$4001,InvoiceLines!$B$2:$B$4001,$A169),2))</f>
        <v/>
      </c>
    </row>
    <row r="170">
      <c r="A170" s="7" t="n">
        <v>46281</v>
      </c>
      <c r="B170">
        <f>IF($A170="",0,SUMIFS(InvoiceLines!$E$2:$E$4001,InvoiceLines!$B$2:$B$4001,$A170))</f>
        <v/>
      </c>
      <c r="C170" s="8">
        <f>IF($A170="",0,ROUND(SUMIFS(InvoiceLines!$G$2:$G$4001,InvoiceLines!$B$2:$B$4001,$A170),2))</f>
        <v/>
      </c>
    </row>
    <row r="171">
      <c r="A171" s="7" t="n">
        <v>46282</v>
      </c>
      <c r="B171">
        <f>IF($A171="",0,SUMIFS(InvoiceLines!$E$2:$E$4001,InvoiceLines!$B$2:$B$4001,$A171))</f>
        <v/>
      </c>
      <c r="C171" s="8">
        <f>IF($A171="",0,ROUND(SUMIFS(InvoiceLines!$G$2:$G$4001,InvoiceLines!$B$2:$B$4001,$A171),2))</f>
        <v/>
      </c>
    </row>
    <row r="172">
      <c r="A172" s="7" t="n">
        <v>46283</v>
      </c>
      <c r="B172">
        <f>IF($A172="",0,SUMIFS(InvoiceLines!$E$2:$E$4001,InvoiceLines!$B$2:$B$4001,$A172))</f>
        <v/>
      </c>
      <c r="C172" s="8">
        <f>IF($A172="",0,ROUND(SUMIFS(InvoiceLines!$G$2:$G$4001,InvoiceLines!$B$2:$B$4001,$A172),2))</f>
        <v/>
      </c>
    </row>
    <row r="173">
      <c r="A173" s="7" t="n">
        <v>46284</v>
      </c>
      <c r="B173">
        <f>IF($A173="",0,SUMIFS(InvoiceLines!$E$2:$E$4001,InvoiceLines!$B$2:$B$4001,$A173))</f>
        <v/>
      </c>
      <c r="C173" s="8">
        <f>IF($A173="",0,ROUND(SUMIFS(InvoiceLines!$G$2:$G$4001,InvoiceLines!$B$2:$B$4001,$A173),2))</f>
        <v/>
      </c>
    </row>
    <row r="174">
      <c r="A174" s="7" t="n">
        <v>46285</v>
      </c>
      <c r="B174">
        <f>IF($A174="",0,SUMIFS(InvoiceLines!$E$2:$E$4001,InvoiceLines!$B$2:$B$4001,$A174))</f>
        <v/>
      </c>
      <c r="C174" s="8">
        <f>IF($A174="",0,ROUND(SUMIFS(InvoiceLines!$G$2:$G$4001,InvoiceLines!$B$2:$B$4001,$A174),2))</f>
        <v/>
      </c>
    </row>
    <row r="175">
      <c r="A175" s="7" t="n">
        <v>46286</v>
      </c>
      <c r="B175">
        <f>IF($A175="",0,SUMIFS(InvoiceLines!$E$2:$E$4001,InvoiceLines!$B$2:$B$4001,$A175))</f>
        <v/>
      </c>
      <c r="C175" s="8">
        <f>IF($A175="",0,ROUND(SUMIFS(InvoiceLines!$G$2:$G$4001,InvoiceLines!$B$2:$B$4001,$A175),2))</f>
        <v/>
      </c>
    </row>
    <row r="176">
      <c r="A176" s="7" t="n">
        <v>46287</v>
      </c>
      <c r="B176">
        <f>IF($A176="",0,SUMIFS(InvoiceLines!$E$2:$E$4001,InvoiceLines!$B$2:$B$4001,$A176))</f>
        <v/>
      </c>
      <c r="C176" s="8">
        <f>IF($A176="",0,ROUND(SUMIFS(InvoiceLines!$G$2:$G$4001,InvoiceLines!$B$2:$B$4001,$A176),2))</f>
        <v/>
      </c>
    </row>
    <row r="177">
      <c r="A177" s="7" t="n">
        <v>46288</v>
      </c>
      <c r="B177">
        <f>IF($A177="",0,SUMIFS(InvoiceLines!$E$2:$E$4001,InvoiceLines!$B$2:$B$4001,$A177))</f>
        <v/>
      </c>
      <c r="C177" s="8">
        <f>IF($A177="",0,ROUND(SUMIFS(InvoiceLines!$G$2:$G$4001,InvoiceLines!$B$2:$B$4001,$A177),2))</f>
        <v/>
      </c>
    </row>
    <row r="178">
      <c r="A178" s="7" t="n">
        <v>46289</v>
      </c>
      <c r="B178">
        <f>IF($A178="",0,SUMIFS(InvoiceLines!$E$2:$E$4001,InvoiceLines!$B$2:$B$4001,$A178))</f>
        <v/>
      </c>
      <c r="C178" s="8">
        <f>IF($A178="",0,ROUND(SUMIFS(InvoiceLines!$G$2:$G$4001,InvoiceLines!$B$2:$B$4001,$A178),2))</f>
        <v/>
      </c>
    </row>
    <row r="179">
      <c r="A179" s="7" t="n">
        <v>46290</v>
      </c>
      <c r="B179">
        <f>IF($A179="",0,SUMIFS(InvoiceLines!$E$2:$E$4001,InvoiceLines!$B$2:$B$4001,$A179))</f>
        <v/>
      </c>
      <c r="C179" s="8">
        <f>IF($A179="",0,ROUND(SUMIFS(InvoiceLines!$G$2:$G$4001,InvoiceLines!$B$2:$B$4001,$A179),2))</f>
        <v/>
      </c>
    </row>
    <row r="180">
      <c r="A180" s="7" t="n">
        <v>46291</v>
      </c>
      <c r="B180">
        <f>IF($A180="",0,SUMIFS(InvoiceLines!$E$2:$E$4001,InvoiceLines!$B$2:$B$4001,$A180))</f>
        <v/>
      </c>
      <c r="C180" s="8">
        <f>IF($A180="",0,ROUND(SUMIFS(InvoiceLines!$G$2:$G$4001,InvoiceLines!$B$2:$B$4001,$A180),2))</f>
        <v/>
      </c>
    </row>
    <row r="181">
      <c r="A181" s="7" t="n">
        <v>46292</v>
      </c>
      <c r="B181">
        <f>IF($A181="",0,SUMIFS(InvoiceLines!$E$2:$E$4001,InvoiceLines!$B$2:$B$4001,$A181))</f>
        <v/>
      </c>
      <c r="C181" s="8">
        <f>IF($A181="",0,ROUND(SUMIFS(InvoiceLines!$G$2:$G$4001,InvoiceLines!$B$2:$B$4001,$A181),2))</f>
        <v/>
      </c>
    </row>
    <row r="182">
      <c r="A182" s="7" t="n">
        <v>46293</v>
      </c>
      <c r="B182">
        <f>IF($A182="",0,SUMIFS(InvoiceLines!$E$2:$E$4001,InvoiceLines!$B$2:$B$4001,$A182))</f>
        <v/>
      </c>
      <c r="C182" s="8">
        <f>IF($A182="",0,ROUND(SUMIFS(InvoiceLines!$G$2:$G$4001,InvoiceLines!$B$2:$B$4001,$A182),2))</f>
        <v/>
      </c>
    </row>
    <row r="183">
      <c r="A183" s="7" t="n">
        <v>46294</v>
      </c>
      <c r="B183">
        <f>IF($A183="",0,SUMIFS(InvoiceLines!$E$2:$E$4001,InvoiceLines!$B$2:$B$4001,$A183))</f>
        <v/>
      </c>
      <c r="C183" s="8">
        <f>IF($A183="",0,ROUND(SUMIFS(InvoiceLines!$G$2:$G$4001,InvoiceLines!$B$2:$B$4001,$A183),2))</f>
        <v/>
      </c>
    </row>
    <row r="184">
      <c r="A184" s="7" t="n">
        <v>46295</v>
      </c>
      <c r="B184">
        <f>IF($A184="",0,SUMIFS(InvoiceLines!$E$2:$E$4001,InvoiceLines!$B$2:$B$4001,$A184))</f>
        <v/>
      </c>
      <c r="C184" s="8">
        <f>IF($A184="",0,ROUND(SUMIFS(InvoiceLines!$G$2:$G$4001,InvoiceLines!$B$2:$B$4001,$A184),2))</f>
        <v/>
      </c>
    </row>
    <row r="185">
      <c r="A185" s="7">
        <f>IF(A184="","",A184+1)</f>
        <v/>
      </c>
      <c r="B185">
        <f>IF($A185="",0,SUMIFS(InvoiceLines!$E$2:$E$4001,InvoiceLines!$B$2:$B$4001,$A185))</f>
        <v/>
      </c>
      <c r="C185" s="8">
        <f>IF($A185="",0,ROUND(SUMIFS(InvoiceLines!$G$2:$G$4001,InvoiceLines!$B$2:$B$4001,$A185),2))</f>
        <v/>
      </c>
    </row>
    <row r="186">
      <c r="A186" s="7">
        <f>IF(A185="","",A185+1)</f>
        <v/>
      </c>
      <c r="B186">
        <f>IF($A186="",0,SUMIFS(InvoiceLines!$E$2:$E$4001,InvoiceLines!$B$2:$B$4001,$A186))</f>
        <v/>
      </c>
      <c r="C186" s="8">
        <f>IF($A186="",0,ROUND(SUMIFS(InvoiceLines!$G$2:$G$4001,InvoiceLines!$B$2:$B$4001,$A186),2))</f>
        <v/>
      </c>
    </row>
    <row r="187">
      <c r="A187" s="7">
        <f>IF(A186="","",A186+1)</f>
        <v/>
      </c>
      <c r="B187">
        <f>IF($A187="",0,SUMIFS(InvoiceLines!$E$2:$E$4001,InvoiceLines!$B$2:$B$4001,$A187))</f>
        <v/>
      </c>
      <c r="C187" s="8">
        <f>IF($A187="",0,ROUND(SUMIFS(InvoiceLines!$G$2:$G$4001,InvoiceLines!$B$2:$B$4001,$A187),2))</f>
        <v/>
      </c>
    </row>
    <row r="188">
      <c r="A188" s="7">
        <f>IF(A187="","",A187+1)</f>
        <v/>
      </c>
      <c r="B188">
        <f>IF($A188="",0,SUMIFS(InvoiceLines!$E$2:$E$4001,InvoiceLines!$B$2:$B$4001,$A188))</f>
        <v/>
      </c>
      <c r="C188" s="8">
        <f>IF($A188="",0,ROUND(SUMIFS(InvoiceLines!$G$2:$G$4001,InvoiceLines!$B$2:$B$4001,$A188),2))</f>
        <v/>
      </c>
    </row>
    <row r="189">
      <c r="A189" s="7">
        <f>IF(A188="","",A188+1)</f>
        <v/>
      </c>
      <c r="B189">
        <f>IF($A189="",0,SUMIFS(InvoiceLines!$E$2:$E$4001,InvoiceLines!$B$2:$B$4001,$A189))</f>
        <v/>
      </c>
      <c r="C189" s="8">
        <f>IF($A189="",0,ROUND(SUMIFS(InvoiceLines!$G$2:$G$4001,InvoiceLines!$B$2:$B$4001,$A189),2))</f>
        <v/>
      </c>
    </row>
    <row r="190">
      <c r="A190" s="7">
        <f>IF(A189="","",A189+1)</f>
        <v/>
      </c>
      <c r="B190">
        <f>IF($A190="",0,SUMIFS(InvoiceLines!$E$2:$E$4001,InvoiceLines!$B$2:$B$4001,$A190))</f>
        <v/>
      </c>
      <c r="C190" s="8">
        <f>IF($A190="",0,ROUND(SUMIFS(InvoiceLines!$G$2:$G$4001,InvoiceLines!$B$2:$B$4001,$A190),2))</f>
        <v/>
      </c>
    </row>
    <row r="191">
      <c r="A191" s="7">
        <f>IF(A190="","",A190+1)</f>
        <v/>
      </c>
      <c r="B191">
        <f>IF($A191="",0,SUMIFS(InvoiceLines!$E$2:$E$4001,InvoiceLines!$B$2:$B$4001,$A191))</f>
        <v/>
      </c>
      <c r="C191" s="8">
        <f>IF($A191="",0,ROUND(SUMIFS(InvoiceLines!$G$2:$G$4001,InvoiceLines!$B$2:$B$4001,$A191),2))</f>
        <v/>
      </c>
    </row>
    <row r="192">
      <c r="A192" s="7">
        <f>IF(A191="","",A191+1)</f>
        <v/>
      </c>
      <c r="B192">
        <f>IF($A192="",0,SUMIFS(InvoiceLines!$E$2:$E$4001,InvoiceLines!$B$2:$B$4001,$A192))</f>
        <v/>
      </c>
      <c r="C192" s="8">
        <f>IF($A192="",0,ROUND(SUMIFS(InvoiceLines!$G$2:$G$4001,InvoiceLines!$B$2:$B$4001,$A192),2))</f>
        <v/>
      </c>
    </row>
    <row r="193">
      <c r="A193" s="7">
        <f>IF(A192="","",A192+1)</f>
        <v/>
      </c>
      <c r="B193">
        <f>IF($A193="",0,SUMIFS(InvoiceLines!$E$2:$E$4001,InvoiceLines!$B$2:$B$4001,$A193))</f>
        <v/>
      </c>
      <c r="C193" s="8">
        <f>IF($A193="",0,ROUND(SUMIFS(InvoiceLines!$G$2:$G$4001,InvoiceLines!$B$2:$B$4001,$A193),2))</f>
        <v/>
      </c>
    </row>
    <row r="194">
      <c r="A194" s="7">
        <f>IF(A193="","",A193+1)</f>
        <v/>
      </c>
      <c r="B194">
        <f>IF($A194="",0,SUMIFS(InvoiceLines!$E$2:$E$4001,InvoiceLines!$B$2:$B$4001,$A194))</f>
        <v/>
      </c>
      <c r="C194" s="8">
        <f>IF($A194="",0,ROUND(SUMIFS(InvoiceLines!$G$2:$G$4001,InvoiceLines!$B$2:$B$4001,$A194),2))</f>
        <v/>
      </c>
    </row>
    <row r="195">
      <c r="A195" s="7">
        <f>IF(A194="","",A194+1)</f>
        <v/>
      </c>
      <c r="B195">
        <f>IF($A195="",0,SUMIFS(InvoiceLines!$E$2:$E$4001,InvoiceLines!$B$2:$B$4001,$A195))</f>
        <v/>
      </c>
      <c r="C195" s="8">
        <f>IF($A195="",0,ROUND(SUMIFS(InvoiceLines!$G$2:$G$4001,InvoiceLines!$B$2:$B$4001,$A195),2))</f>
        <v/>
      </c>
    </row>
    <row r="196">
      <c r="A196" s="7">
        <f>IF(A195="","",A195+1)</f>
        <v/>
      </c>
      <c r="B196">
        <f>IF($A196="",0,SUMIFS(InvoiceLines!$E$2:$E$4001,InvoiceLines!$B$2:$B$4001,$A196))</f>
        <v/>
      </c>
      <c r="C196" s="8">
        <f>IF($A196="",0,ROUND(SUMIFS(InvoiceLines!$G$2:$G$4001,InvoiceLines!$B$2:$B$4001,$A196),2))</f>
        <v/>
      </c>
    </row>
    <row r="197">
      <c r="A197" s="7">
        <f>IF(A196="","",A196+1)</f>
        <v/>
      </c>
      <c r="B197">
        <f>IF($A197="",0,SUMIFS(InvoiceLines!$E$2:$E$4001,InvoiceLines!$B$2:$B$4001,$A197))</f>
        <v/>
      </c>
      <c r="C197" s="8">
        <f>IF($A197="",0,ROUND(SUMIFS(InvoiceLines!$G$2:$G$4001,InvoiceLines!$B$2:$B$4001,$A197),2))</f>
        <v/>
      </c>
    </row>
    <row r="198">
      <c r="A198" s="7">
        <f>IF(A197="","",A197+1)</f>
        <v/>
      </c>
      <c r="B198">
        <f>IF($A198="",0,SUMIFS(InvoiceLines!$E$2:$E$4001,InvoiceLines!$B$2:$B$4001,$A198))</f>
        <v/>
      </c>
      <c r="C198" s="8">
        <f>IF($A198="",0,ROUND(SUMIFS(InvoiceLines!$G$2:$G$4001,InvoiceLines!$B$2:$B$4001,$A198),2))</f>
        <v/>
      </c>
    </row>
    <row r="199">
      <c r="A199" s="7">
        <f>IF(A198="","",A198+1)</f>
        <v/>
      </c>
      <c r="B199">
        <f>IF($A199="",0,SUMIFS(InvoiceLines!$E$2:$E$4001,InvoiceLines!$B$2:$B$4001,$A199))</f>
        <v/>
      </c>
      <c r="C199" s="8">
        <f>IF($A199="",0,ROUND(SUMIFS(InvoiceLines!$G$2:$G$4001,InvoiceLines!$B$2:$B$4001,$A199),2))</f>
        <v/>
      </c>
    </row>
    <row r="200">
      <c r="A200" s="7">
        <f>IF(A199="","",A199+1)</f>
        <v/>
      </c>
      <c r="B200">
        <f>IF($A200="",0,SUMIFS(InvoiceLines!$E$2:$E$4001,InvoiceLines!$B$2:$B$4001,$A200))</f>
        <v/>
      </c>
      <c r="C200" s="8">
        <f>IF($A200="",0,ROUND(SUMIFS(InvoiceLines!$G$2:$G$4001,InvoiceLines!$B$2:$B$4001,$A200),2))</f>
        <v/>
      </c>
    </row>
    <row r="201">
      <c r="A201" s="7">
        <f>IF(A200="","",A200+1)</f>
        <v/>
      </c>
      <c r="B201">
        <f>IF($A201="",0,SUMIFS(InvoiceLines!$E$2:$E$4001,InvoiceLines!$B$2:$B$4001,$A201))</f>
        <v/>
      </c>
      <c r="C201" s="8">
        <f>IF($A201="",0,ROUND(SUMIFS(InvoiceLines!$G$2:$G$4001,InvoiceLines!$B$2:$B$4001,$A201),2))</f>
        <v/>
      </c>
    </row>
    <row r="202">
      <c r="A202" s="7">
        <f>IF(A201="","",A201+1)</f>
        <v/>
      </c>
      <c r="B202">
        <f>IF($A202="",0,SUMIFS(InvoiceLines!$E$2:$E$4001,InvoiceLines!$B$2:$B$4001,$A202))</f>
        <v/>
      </c>
      <c r="C202" s="8">
        <f>IF($A202="",0,ROUND(SUMIFS(InvoiceLines!$G$2:$G$4001,InvoiceLines!$B$2:$B$4001,$A202),2))</f>
        <v/>
      </c>
    </row>
    <row r="203">
      <c r="A203" s="7">
        <f>IF(A202="","",A202+1)</f>
        <v/>
      </c>
      <c r="B203">
        <f>IF($A203="",0,SUMIFS(InvoiceLines!$E$2:$E$4001,InvoiceLines!$B$2:$B$4001,$A203))</f>
        <v/>
      </c>
      <c r="C203" s="8">
        <f>IF($A203="",0,ROUND(SUMIFS(InvoiceLines!$G$2:$G$4001,InvoiceLines!$B$2:$B$4001,$A203),2))</f>
        <v/>
      </c>
    </row>
    <row r="204">
      <c r="A204" s="7">
        <f>IF(A203="","",A203+1)</f>
        <v/>
      </c>
      <c r="B204">
        <f>IF($A204="",0,SUMIFS(InvoiceLines!$E$2:$E$4001,InvoiceLines!$B$2:$B$4001,$A204))</f>
        <v/>
      </c>
      <c r="C204" s="8">
        <f>IF($A204="",0,ROUND(SUMIFS(InvoiceLines!$G$2:$G$4001,InvoiceLines!$B$2:$B$4001,$A204),2))</f>
        <v/>
      </c>
    </row>
    <row r="205">
      <c r="A205" s="7">
        <f>IF(A204="","",A204+1)</f>
        <v/>
      </c>
      <c r="B205">
        <f>IF($A205="",0,SUMIFS(InvoiceLines!$E$2:$E$4001,InvoiceLines!$B$2:$B$4001,$A205))</f>
        <v/>
      </c>
      <c r="C205" s="8">
        <f>IF($A205="",0,ROUND(SUMIFS(InvoiceLines!$G$2:$G$4001,InvoiceLines!$B$2:$B$4001,$A205),2))</f>
        <v/>
      </c>
    </row>
    <row r="206">
      <c r="A206" s="7">
        <f>IF(A205="","",A205+1)</f>
        <v/>
      </c>
      <c r="B206">
        <f>IF($A206="",0,SUMIFS(InvoiceLines!$E$2:$E$4001,InvoiceLines!$B$2:$B$4001,$A206))</f>
        <v/>
      </c>
      <c r="C206" s="8">
        <f>IF($A206="",0,ROUND(SUMIFS(InvoiceLines!$G$2:$G$4001,InvoiceLines!$B$2:$B$4001,$A206),2))</f>
        <v/>
      </c>
    </row>
    <row r="207">
      <c r="A207" s="7">
        <f>IF(A206="","",A206+1)</f>
        <v/>
      </c>
      <c r="B207">
        <f>IF($A207="",0,SUMIFS(InvoiceLines!$E$2:$E$4001,InvoiceLines!$B$2:$B$4001,$A207))</f>
        <v/>
      </c>
      <c r="C207" s="8">
        <f>IF($A207="",0,ROUND(SUMIFS(InvoiceLines!$G$2:$G$4001,InvoiceLines!$B$2:$B$4001,$A207),2))</f>
        <v/>
      </c>
    </row>
    <row r="208">
      <c r="A208" s="7">
        <f>IF(A207="","",A207+1)</f>
        <v/>
      </c>
      <c r="B208">
        <f>IF($A208="",0,SUMIFS(InvoiceLines!$E$2:$E$4001,InvoiceLines!$B$2:$B$4001,$A208))</f>
        <v/>
      </c>
      <c r="C208" s="8">
        <f>IF($A208="",0,ROUND(SUMIFS(InvoiceLines!$G$2:$G$4001,InvoiceLines!$B$2:$B$4001,$A208),2))</f>
        <v/>
      </c>
    </row>
    <row r="209">
      <c r="A209" s="7">
        <f>IF(A208="","",A208+1)</f>
        <v/>
      </c>
      <c r="B209">
        <f>IF($A209="",0,SUMIFS(InvoiceLines!$E$2:$E$4001,InvoiceLines!$B$2:$B$4001,$A209))</f>
        <v/>
      </c>
      <c r="C209" s="8">
        <f>IF($A209="",0,ROUND(SUMIFS(InvoiceLines!$G$2:$G$4001,InvoiceLines!$B$2:$B$4001,$A209),2))</f>
        <v/>
      </c>
    </row>
    <row r="210">
      <c r="A210" s="7">
        <f>IF(A209="","",A209+1)</f>
        <v/>
      </c>
      <c r="B210">
        <f>IF($A210="",0,SUMIFS(InvoiceLines!$E$2:$E$4001,InvoiceLines!$B$2:$B$4001,$A210))</f>
        <v/>
      </c>
      <c r="C210" s="8">
        <f>IF($A210="",0,ROUND(SUMIFS(InvoiceLines!$G$2:$G$4001,InvoiceLines!$B$2:$B$4001,$A210),2))</f>
        <v/>
      </c>
    </row>
    <row r="211">
      <c r="A211" s="7">
        <f>IF(A210="","",A210+1)</f>
        <v/>
      </c>
      <c r="B211">
        <f>IF($A211="",0,SUMIFS(InvoiceLines!$E$2:$E$4001,InvoiceLines!$B$2:$B$4001,$A211))</f>
        <v/>
      </c>
      <c r="C211" s="8">
        <f>IF($A211="",0,ROUND(SUMIFS(InvoiceLines!$G$2:$G$4001,InvoiceLines!$B$2:$B$4001,$A211),2))</f>
        <v/>
      </c>
    </row>
    <row r="212">
      <c r="A212" s="7">
        <f>IF(A211="","",A211+1)</f>
        <v/>
      </c>
      <c r="B212">
        <f>IF($A212="",0,SUMIFS(InvoiceLines!$E$2:$E$4001,InvoiceLines!$B$2:$B$4001,$A212))</f>
        <v/>
      </c>
      <c r="C212" s="8">
        <f>IF($A212="",0,ROUND(SUMIFS(InvoiceLines!$G$2:$G$4001,InvoiceLines!$B$2:$B$4001,$A212),2))</f>
        <v/>
      </c>
    </row>
    <row r="213">
      <c r="A213" s="7">
        <f>IF(A212="","",A212+1)</f>
        <v/>
      </c>
      <c r="B213">
        <f>IF($A213="",0,SUMIFS(InvoiceLines!$E$2:$E$4001,InvoiceLines!$B$2:$B$4001,$A213))</f>
        <v/>
      </c>
      <c r="C213" s="8">
        <f>IF($A213="",0,ROUND(SUMIFS(InvoiceLines!$G$2:$G$4001,InvoiceLines!$B$2:$B$4001,$A213),2))</f>
        <v/>
      </c>
    </row>
    <row r="214">
      <c r="A214" s="7">
        <f>IF(A213="","",A213+1)</f>
        <v/>
      </c>
      <c r="B214">
        <f>IF($A214="",0,SUMIFS(InvoiceLines!$E$2:$E$4001,InvoiceLines!$B$2:$B$4001,$A214))</f>
        <v/>
      </c>
      <c r="C214" s="8">
        <f>IF($A214="",0,ROUND(SUMIFS(InvoiceLines!$G$2:$G$4001,InvoiceLines!$B$2:$B$4001,$A214),2))</f>
        <v/>
      </c>
    </row>
    <row r="215">
      <c r="A215" s="7">
        <f>IF(A214="","",A214+1)</f>
        <v/>
      </c>
      <c r="B215">
        <f>IF($A215="",0,SUMIFS(InvoiceLines!$E$2:$E$4001,InvoiceLines!$B$2:$B$4001,$A215))</f>
        <v/>
      </c>
      <c r="C215" s="8">
        <f>IF($A215="",0,ROUND(SUMIFS(InvoiceLines!$G$2:$G$4001,InvoiceLines!$B$2:$B$4001,$A215),2))</f>
        <v/>
      </c>
    </row>
    <row r="216">
      <c r="A216" s="7">
        <f>IF(A215="","",A215+1)</f>
        <v/>
      </c>
      <c r="B216">
        <f>IF($A216="",0,SUMIFS(InvoiceLines!$E$2:$E$4001,InvoiceLines!$B$2:$B$4001,$A216))</f>
        <v/>
      </c>
      <c r="C216" s="8">
        <f>IF($A216="",0,ROUND(SUMIFS(InvoiceLines!$G$2:$G$4001,InvoiceLines!$B$2:$B$4001,$A216),2))</f>
        <v/>
      </c>
    </row>
    <row r="217">
      <c r="A217" s="7">
        <f>IF(A216="","",A216+1)</f>
        <v/>
      </c>
      <c r="B217">
        <f>IF($A217="",0,SUMIFS(InvoiceLines!$E$2:$E$4001,InvoiceLines!$B$2:$B$4001,$A217))</f>
        <v/>
      </c>
      <c r="C217" s="8">
        <f>IF($A217="",0,ROUND(SUMIFS(InvoiceLines!$G$2:$G$4001,InvoiceLines!$B$2:$B$4001,$A217),2))</f>
        <v/>
      </c>
    </row>
    <row r="218">
      <c r="A218" s="7">
        <f>IF(A217="","",A217+1)</f>
        <v/>
      </c>
      <c r="B218">
        <f>IF($A218="",0,SUMIFS(InvoiceLines!$E$2:$E$4001,InvoiceLines!$B$2:$B$4001,$A218))</f>
        <v/>
      </c>
      <c r="C218" s="8">
        <f>IF($A218="",0,ROUND(SUMIFS(InvoiceLines!$G$2:$G$4001,InvoiceLines!$B$2:$B$4001,$A218),2))</f>
        <v/>
      </c>
    </row>
    <row r="219">
      <c r="A219" s="7">
        <f>IF(A218="","",A218+1)</f>
        <v/>
      </c>
      <c r="B219">
        <f>IF($A219="",0,SUMIFS(InvoiceLines!$E$2:$E$4001,InvoiceLines!$B$2:$B$4001,$A219))</f>
        <v/>
      </c>
      <c r="C219" s="8">
        <f>IF($A219="",0,ROUND(SUMIFS(InvoiceLines!$G$2:$G$4001,InvoiceLines!$B$2:$B$4001,$A219),2))</f>
        <v/>
      </c>
    </row>
    <row r="220">
      <c r="A220" s="7">
        <f>IF(A219="","",A219+1)</f>
        <v/>
      </c>
      <c r="B220">
        <f>IF($A220="",0,SUMIFS(InvoiceLines!$E$2:$E$4001,InvoiceLines!$B$2:$B$4001,$A220))</f>
        <v/>
      </c>
      <c r="C220" s="8">
        <f>IF($A220="",0,ROUND(SUMIFS(InvoiceLines!$G$2:$G$4001,InvoiceLines!$B$2:$B$4001,$A220),2))</f>
        <v/>
      </c>
    </row>
    <row r="221">
      <c r="A221" s="7">
        <f>IF(A220="","",A220+1)</f>
        <v/>
      </c>
      <c r="B221">
        <f>IF($A221="",0,SUMIFS(InvoiceLines!$E$2:$E$4001,InvoiceLines!$B$2:$B$4001,$A221))</f>
        <v/>
      </c>
      <c r="C221" s="8">
        <f>IF($A221="",0,ROUND(SUMIFS(InvoiceLines!$G$2:$G$4001,InvoiceLines!$B$2:$B$4001,$A221),2))</f>
        <v/>
      </c>
    </row>
    <row r="222">
      <c r="A222" s="7">
        <f>IF(A221="","",A221+1)</f>
        <v/>
      </c>
      <c r="B222">
        <f>IF($A222="",0,SUMIFS(InvoiceLines!$E$2:$E$4001,InvoiceLines!$B$2:$B$4001,$A222))</f>
        <v/>
      </c>
      <c r="C222" s="8">
        <f>IF($A222="",0,ROUND(SUMIFS(InvoiceLines!$G$2:$G$4001,InvoiceLines!$B$2:$B$4001,$A222),2))</f>
        <v/>
      </c>
    </row>
    <row r="223">
      <c r="A223" s="7">
        <f>IF(A222="","",A222+1)</f>
        <v/>
      </c>
      <c r="B223">
        <f>IF($A223="",0,SUMIFS(InvoiceLines!$E$2:$E$4001,InvoiceLines!$B$2:$B$4001,$A223))</f>
        <v/>
      </c>
      <c r="C223" s="8">
        <f>IF($A223="",0,ROUND(SUMIFS(InvoiceLines!$G$2:$G$4001,InvoiceLines!$B$2:$B$4001,$A223),2))</f>
        <v/>
      </c>
    </row>
    <row r="224">
      <c r="A224" s="7">
        <f>IF(A223="","",A223+1)</f>
        <v/>
      </c>
      <c r="B224">
        <f>IF($A224="",0,SUMIFS(InvoiceLines!$E$2:$E$4001,InvoiceLines!$B$2:$B$4001,$A224))</f>
        <v/>
      </c>
      <c r="C224" s="8">
        <f>IF($A224="",0,ROUND(SUMIFS(InvoiceLines!$G$2:$G$4001,InvoiceLines!$B$2:$B$4001,$A224),2))</f>
        <v/>
      </c>
    </row>
    <row r="225">
      <c r="A225" s="7">
        <f>IF(A224="","",A224+1)</f>
        <v/>
      </c>
      <c r="B225">
        <f>IF($A225="",0,SUMIFS(InvoiceLines!$E$2:$E$4001,InvoiceLines!$B$2:$B$4001,$A225))</f>
        <v/>
      </c>
      <c r="C225" s="8">
        <f>IF($A225="",0,ROUND(SUMIFS(InvoiceLines!$G$2:$G$4001,InvoiceLines!$B$2:$B$4001,$A225),2))</f>
        <v/>
      </c>
    </row>
    <row r="226">
      <c r="A226" s="7">
        <f>IF(A225="","",A225+1)</f>
        <v/>
      </c>
      <c r="B226">
        <f>IF($A226="",0,SUMIFS(InvoiceLines!$E$2:$E$4001,InvoiceLines!$B$2:$B$4001,$A226))</f>
        <v/>
      </c>
      <c r="C226" s="8">
        <f>IF($A226="",0,ROUND(SUMIFS(InvoiceLines!$G$2:$G$4001,InvoiceLines!$B$2:$B$4001,$A226),2))</f>
        <v/>
      </c>
    </row>
    <row r="227">
      <c r="A227" s="7">
        <f>IF(A226="","",A226+1)</f>
        <v/>
      </c>
      <c r="B227">
        <f>IF($A227="",0,SUMIFS(InvoiceLines!$E$2:$E$4001,InvoiceLines!$B$2:$B$4001,$A227))</f>
        <v/>
      </c>
      <c r="C227" s="8">
        <f>IF($A227="",0,ROUND(SUMIFS(InvoiceLines!$G$2:$G$4001,InvoiceLines!$B$2:$B$4001,$A227),2))</f>
        <v/>
      </c>
    </row>
    <row r="228">
      <c r="A228" s="7">
        <f>IF(A227="","",A227+1)</f>
        <v/>
      </c>
      <c r="B228">
        <f>IF($A228="",0,SUMIFS(InvoiceLines!$E$2:$E$4001,InvoiceLines!$B$2:$B$4001,$A228))</f>
        <v/>
      </c>
      <c r="C228" s="8">
        <f>IF($A228="",0,ROUND(SUMIFS(InvoiceLines!$G$2:$G$4001,InvoiceLines!$B$2:$B$4001,$A228),2))</f>
        <v/>
      </c>
    </row>
    <row r="229">
      <c r="A229" s="7">
        <f>IF(A228="","",A228+1)</f>
        <v/>
      </c>
      <c r="B229">
        <f>IF($A229="",0,SUMIFS(InvoiceLines!$E$2:$E$4001,InvoiceLines!$B$2:$B$4001,$A229))</f>
        <v/>
      </c>
      <c r="C229" s="8">
        <f>IF($A229="",0,ROUND(SUMIFS(InvoiceLines!$G$2:$G$4001,InvoiceLines!$B$2:$B$4001,$A229),2))</f>
        <v/>
      </c>
    </row>
    <row r="230">
      <c r="A230" s="7">
        <f>IF(A229="","",A229+1)</f>
        <v/>
      </c>
      <c r="B230">
        <f>IF($A230="",0,SUMIFS(InvoiceLines!$E$2:$E$4001,InvoiceLines!$B$2:$B$4001,$A230))</f>
        <v/>
      </c>
      <c r="C230" s="8">
        <f>IF($A230="",0,ROUND(SUMIFS(InvoiceLines!$G$2:$G$4001,InvoiceLines!$B$2:$B$4001,$A230),2))</f>
        <v/>
      </c>
    </row>
    <row r="231">
      <c r="A231" s="7">
        <f>IF(A230="","",A230+1)</f>
        <v/>
      </c>
      <c r="B231">
        <f>IF($A231="",0,SUMIFS(InvoiceLines!$E$2:$E$4001,InvoiceLines!$B$2:$B$4001,$A231))</f>
        <v/>
      </c>
      <c r="C231" s="8">
        <f>IF($A231="",0,ROUND(SUMIFS(InvoiceLines!$G$2:$G$4001,InvoiceLines!$B$2:$B$4001,$A231),2))</f>
        <v/>
      </c>
    </row>
    <row r="232">
      <c r="A232" s="7">
        <f>IF(A231="","",A231+1)</f>
        <v/>
      </c>
      <c r="B232">
        <f>IF($A232="",0,SUMIFS(InvoiceLines!$E$2:$E$4001,InvoiceLines!$B$2:$B$4001,$A232))</f>
        <v/>
      </c>
      <c r="C232" s="8">
        <f>IF($A232="",0,ROUND(SUMIFS(InvoiceLines!$G$2:$G$4001,InvoiceLines!$B$2:$B$4001,$A232),2))</f>
        <v/>
      </c>
    </row>
    <row r="233">
      <c r="A233" s="7">
        <f>IF(A232="","",A232+1)</f>
        <v/>
      </c>
      <c r="B233">
        <f>IF($A233="",0,SUMIFS(InvoiceLines!$E$2:$E$4001,InvoiceLines!$B$2:$B$4001,$A233))</f>
        <v/>
      </c>
      <c r="C233" s="8">
        <f>IF($A233="",0,ROUND(SUMIFS(InvoiceLines!$G$2:$G$4001,InvoiceLines!$B$2:$B$4001,$A233),2))</f>
        <v/>
      </c>
    </row>
    <row r="234">
      <c r="A234" s="7">
        <f>IF(A233="","",A233+1)</f>
        <v/>
      </c>
      <c r="B234">
        <f>IF($A234="",0,SUMIFS(InvoiceLines!$E$2:$E$4001,InvoiceLines!$B$2:$B$4001,$A234))</f>
        <v/>
      </c>
      <c r="C234" s="8">
        <f>IF($A234="",0,ROUND(SUMIFS(InvoiceLines!$G$2:$G$4001,InvoiceLines!$B$2:$B$4001,$A234),2))</f>
        <v/>
      </c>
    </row>
    <row r="235">
      <c r="A235" s="7">
        <f>IF(A234="","",A234+1)</f>
        <v/>
      </c>
      <c r="B235">
        <f>IF($A235="",0,SUMIFS(InvoiceLines!$E$2:$E$4001,InvoiceLines!$B$2:$B$4001,$A235))</f>
        <v/>
      </c>
      <c r="C235" s="8">
        <f>IF($A235="",0,ROUND(SUMIFS(InvoiceLines!$G$2:$G$4001,InvoiceLines!$B$2:$B$4001,$A235),2))</f>
        <v/>
      </c>
    </row>
    <row r="236">
      <c r="A236" s="7">
        <f>IF(A235="","",A235+1)</f>
        <v/>
      </c>
      <c r="B236">
        <f>IF($A236="",0,SUMIFS(InvoiceLines!$E$2:$E$4001,InvoiceLines!$B$2:$B$4001,$A236))</f>
        <v/>
      </c>
      <c r="C236" s="8">
        <f>IF($A236="",0,ROUND(SUMIFS(InvoiceLines!$G$2:$G$4001,InvoiceLines!$B$2:$B$4001,$A236),2))</f>
        <v/>
      </c>
    </row>
    <row r="237">
      <c r="A237" s="7">
        <f>IF(A236="","",A236+1)</f>
        <v/>
      </c>
      <c r="B237">
        <f>IF($A237="",0,SUMIFS(InvoiceLines!$E$2:$E$4001,InvoiceLines!$B$2:$B$4001,$A237))</f>
        <v/>
      </c>
      <c r="C237" s="8">
        <f>IF($A237="",0,ROUND(SUMIFS(InvoiceLines!$G$2:$G$4001,InvoiceLines!$B$2:$B$4001,$A237),2))</f>
        <v/>
      </c>
    </row>
    <row r="238">
      <c r="A238" s="7">
        <f>IF(A237="","",A237+1)</f>
        <v/>
      </c>
      <c r="B238">
        <f>IF($A238="",0,SUMIFS(InvoiceLines!$E$2:$E$4001,InvoiceLines!$B$2:$B$4001,$A238))</f>
        <v/>
      </c>
      <c r="C238" s="8">
        <f>IF($A238="",0,ROUND(SUMIFS(InvoiceLines!$G$2:$G$4001,InvoiceLines!$B$2:$B$4001,$A238),2))</f>
        <v/>
      </c>
    </row>
    <row r="239">
      <c r="A239" s="7">
        <f>IF(A238="","",A238+1)</f>
        <v/>
      </c>
      <c r="B239">
        <f>IF($A239="",0,SUMIFS(InvoiceLines!$E$2:$E$4001,InvoiceLines!$B$2:$B$4001,$A239))</f>
        <v/>
      </c>
      <c r="C239" s="8">
        <f>IF($A239="",0,ROUND(SUMIFS(InvoiceLines!$G$2:$G$4001,InvoiceLines!$B$2:$B$4001,$A239),2))</f>
        <v/>
      </c>
    </row>
    <row r="240">
      <c r="A240" s="7">
        <f>IF(A239="","",A239+1)</f>
        <v/>
      </c>
      <c r="B240">
        <f>IF($A240="",0,SUMIFS(InvoiceLines!$E$2:$E$4001,InvoiceLines!$B$2:$B$4001,$A240))</f>
        <v/>
      </c>
      <c r="C240" s="8">
        <f>IF($A240="",0,ROUND(SUMIFS(InvoiceLines!$G$2:$G$4001,InvoiceLines!$B$2:$B$4001,$A240),2))</f>
        <v/>
      </c>
    </row>
    <row r="241">
      <c r="A241" s="7">
        <f>IF(A240="","",A240+1)</f>
        <v/>
      </c>
      <c r="B241">
        <f>IF($A241="",0,SUMIFS(InvoiceLines!$E$2:$E$4001,InvoiceLines!$B$2:$B$4001,$A241))</f>
        <v/>
      </c>
      <c r="C241" s="8">
        <f>IF($A241="",0,ROUND(SUMIFS(InvoiceLines!$G$2:$G$4001,InvoiceLines!$B$2:$B$4001,$A241),2))</f>
        <v/>
      </c>
    </row>
    <row r="242">
      <c r="A242" s="7">
        <f>IF(A241="","",A241+1)</f>
        <v/>
      </c>
      <c r="B242">
        <f>IF($A242="",0,SUMIFS(InvoiceLines!$E$2:$E$4001,InvoiceLines!$B$2:$B$4001,$A242))</f>
        <v/>
      </c>
      <c r="C242" s="8">
        <f>IF($A242="",0,ROUND(SUMIFS(InvoiceLines!$G$2:$G$4001,InvoiceLines!$B$2:$B$4001,$A242),2))</f>
        <v/>
      </c>
    </row>
    <row r="243">
      <c r="A243" s="7">
        <f>IF(A242="","",A242+1)</f>
        <v/>
      </c>
      <c r="B243">
        <f>IF($A243="",0,SUMIFS(InvoiceLines!$E$2:$E$4001,InvoiceLines!$B$2:$B$4001,$A243))</f>
        <v/>
      </c>
      <c r="C243" s="8">
        <f>IF($A243="",0,ROUND(SUMIFS(InvoiceLines!$G$2:$G$4001,InvoiceLines!$B$2:$B$4001,$A243),2))</f>
        <v/>
      </c>
    </row>
    <row r="244">
      <c r="A244" s="7">
        <f>IF(A243="","",A243+1)</f>
        <v/>
      </c>
      <c r="B244">
        <f>IF($A244="",0,SUMIFS(InvoiceLines!$E$2:$E$4001,InvoiceLines!$B$2:$B$4001,$A244))</f>
        <v/>
      </c>
      <c r="C244" s="8">
        <f>IF($A244="",0,ROUND(SUMIFS(InvoiceLines!$G$2:$G$4001,InvoiceLines!$B$2:$B$4001,$A244),2))</f>
        <v/>
      </c>
    </row>
    <row r="245">
      <c r="A245" s="7">
        <f>IF(A244="","",A244+1)</f>
        <v/>
      </c>
      <c r="B245">
        <f>IF($A245="",0,SUMIFS(InvoiceLines!$E$2:$E$4001,InvoiceLines!$B$2:$B$4001,$A245))</f>
        <v/>
      </c>
      <c r="C245" s="8">
        <f>IF($A245="",0,ROUND(SUMIFS(InvoiceLines!$G$2:$G$4001,InvoiceLines!$B$2:$B$4001,$A245),2))</f>
        <v/>
      </c>
    </row>
    <row r="246">
      <c r="A246" s="7">
        <f>IF(A245="","",A245+1)</f>
        <v/>
      </c>
      <c r="B246">
        <f>IF($A246="",0,SUMIFS(InvoiceLines!$E$2:$E$4001,InvoiceLines!$B$2:$B$4001,$A246))</f>
        <v/>
      </c>
      <c r="C246" s="8">
        <f>IF($A246="",0,ROUND(SUMIFS(InvoiceLines!$G$2:$G$4001,InvoiceLines!$B$2:$B$4001,$A246),2))</f>
        <v/>
      </c>
    </row>
    <row r="247">
      <c r="A247" s="7">
        <f>IF(A246="","",A246+1)</f>
        <v/>
      </c>
      <c r="B247">
        <f>IF($A247="",0,SUMIFS(InvoiceLines!$E$2:$E$4001,InvoiceLines!$B$2:$B$4001,$A247))</f>
        <v/>
      </c>
      <c r="C247" s="8">
        <f>IF($A247="",0,ROUND(SUMIFS(InvoiceLines!$G$2:$G$4001,InvoiceLines!$B$2:$B$4001,$A247),2))</f>
        <v/>
      </c>
    </row>
    <row r="248">
      <c r="A248" s="7">
        <f>IF(A247="","",A247+1)</f>
        <v/>
      </c>
      <c r="B248">
        <f>IF($A248="",0,SUMIFS(InvoiceLines!$E$2:$E$4001,InvoiceLines!$B$2:$B$4001,$A248))</f>
        <v/>
      </c>
      <c r="C248" s="8">
        <f>IF($A248="",0,ROUND(SUMIFS(InvoiceLines!$G$2:$G$4001,InvoiceLines!$B$2:$B$4001,$A248),2))</f>
        <v/>
      </c>
    </row>
    <row r="249">
      <c r="A249" s="7">
        <f>IF(A248="","",A248+1)</f>
        <v/>
      </c>
      <c r="B249">
        <f>IF($A249="",0,SUMIFS(InvoiceLines!$E$2:$E$4001,InvoiceLines!$B$2:$B$4001,$A249))</f>
        <v/>
      </c>
      <c r="C249" s="8">
        <f>IF($A249="",0,ROUND(SUMIFS(InvoiceLines!$G$2:$G$4001,InvoiceLines!$B$2:$B$4001,$A249),2))</f>
        <v/>
      </c>
    </row>
    <row r="250">
      <c r="A250" s="7">
        <f>IF(A249="","",A249+1)</f>
        <v/>
      </c>
      <c r="B250">
        <f>IF($A250="",0,SUMIFS(InvoiceLines!$E$2:$E$4001,InvoiceLines!$B$2:$B$4001,$A250))</f>
        <v/>
      </c>
      <c r="C250" s="8">
        <f>IF($A250="",0,ROUND(SUMIFS(InvoiceLines!$G$2:$G$4001,InvoiceLines!$B$2:$B$4001,$A250),2))</f>
        <v/>
      </c>
    </row>
    <row r="251">
      <c r="A251" s="7">
        <f>IF(A250="","",A250+1)</f>
        <v/>
      </c>
      <c r="B251">
        <f>IF($A251="",0,SUMIFS(InvoiceLines!$E$2:$E$4001,InvoiceLines!$B$2:$B$4001,$A251))</f>
        <v/>
      </c>
      <c r="C251" s="8">
        <f>IF($A251="",0,ROUND(SUMIFS(InvoiceLines!$G$2:$G$4001,InvoiceLines!$B$2:$B$4001,$A251),2))</f>
        <v/>
      </c>
    </row>
    <row r="252">
      <c r="A252" s="7">
        <f>IF(A251="","",A251+1)</f>
        <v/>
      </c>
      <c r="B252">
        <f>IF($A252="",0,SUMIFS(InvoiceLines!$E$2:$E$4001,InvoiceLines!$B$2:$B$4001,$A252))</f>
        <v/>
      </c>
      <c r="C252" s="8">
        <f>IF($A252="",0,ROUND(SUMIFS(InvoiceLines!$G$2:$G$4001,InvoiceLines!$B$2:$B$4001,$A252),2))</f>
        <v/>
      </c>
    </row>
    <row r="253">
      <c r="A253" s="7">
        <f>IF(A252="","",A252+1)</f>
        <v/>
      </c>
      <c r="B253">
        <f>IF($A253="",0,SUMIFS(InvoiceLines!$E$2:$E$4001,InvoiceLines!$B$2:$B$4001,$A253))</f>
        <v/>
      </c>
      <c r="C253" s="8">
        <f>IF($A253="",0,ROUND(SUMIFS(InvoiceLines!$G$2:$G$4001,InvoiceLines!$B$2:$B$4001,$A253),2))</f>
        <v/>
      </c>
    </row>
    <row r="254">
      <c r="A254" s="7">
        <f>IF(A253="","",A253+1)</f>
        <v/>
      </c>
      <c r="B254">
        <f>IF($A254="",0,SUMIFS(InvoiceLines!$E$2:$E$4001,InvoiceLines!$B$2:$B$4001,$A254))</f>
        <v/>
      </c>
      <c r="C254" s="8">
        <f>IF($A254="",0,ROUND(SUMIFS(InvoiceLines!$G$2:$G$4001,InvoiceLines!$B$2:$B$4001,$A254),2))</f>
        <v/>
      </c>
    </row>
    <row r="255">
      <c r="A255" s="7">
        <f>IF(A254="","",A254+1)</f>
        <v/>
      </c>
      <c r="B255">
        <f>IF($A255="",0,SUMIFS(InvoiceLines!$E$2:$E$4001,InvoiceLines!$B$2:$B$4001,$A255))</f>
        <v/>
      </c>
      <c r="C255" s="8">
        <f>IF($A255="",0,ROUND(SUMIFS(InvoiceLines!$G$2:$G$4001,InvoiceLines!$B$2:$B$4001,$A255),2))</f>
        <v/>
      </c>
    </row>
    <row r="256">
      <c r="A256" s="7">
        <f>IF(A255="","",A255+1)</f>
        <v/>
      </c>
      <c r="B256">
        <f>IF($A256="",0,SUMIFS(InvoiceLines!$E$2:$E$4001,InvoiceLines!$B$2:$B$4001,$A256))</f>
        <v/>
      </c>
      <c r="C256" s="8">
        <f>IF($A256="",0,ROUND(SUMIFS(InvoiceLines!$G$2:$G$4001,InvoiceLines!$B$2:$B$4001,$A256),2))</f>
        <v/>
      </c>
    </row>
    <row r="257">
      <c r="A257" s="7">
        <f>IF(A256="","",A256+1)</f>
        <v/>
      </c>
      <c r="B257">
        <f>IF($A257="",0,SUMIFS(InvoiceLines!$E$2:$E$4001,InvoiceLines!$B$2:$B$4001,$A257))</f>
        <v/>
      </c>
      <c r="C257" s="8">
        <f>IF($A257="",0,ROUND(SUMIFS(InvoiceLines!$G$2:$G$4001,InvoiceLines!$B$2:$B$4001,$A257),2))</f>
        <v/>
      </c>
    </row>
    <row r="258">
      <c r="A258" s="7">
        <f>IF(A257="","",A257+1)</f>
        <v/>
      </c>
      <c r="B258">
        <f>IF($A258="",0,SUMIFS(InvoiceLines!$E$2:$E$4001,InvoiceLines!$B$2:$B$4001,$A258))</f>
        <v/>
      </c>
      <c r="C258" s="8">
        <f>IF($A258="",0,ROUND(SUMIFS(InvoiceLines!$G$2:$G$4001,InvoiceLines!$B$2:$B$4001,$A258),2))</f>
        <v/>
      </c>
    </row>
    <row r="259">
      <c r="A259" s="7">
        <f>IF(A258="","",A258+1)</f>
        <v/>
      </c>
      <c r="B259">
        <f>IF($A259="",0,SUMIFS(InvoiceLines!$E$2:$E$4001,InvoiceLines!$B$2:$B$4001,$A259))</f>
        <v/>
      </c>
      <c r="C259" s="8">
        <f>IF($A259="",0,ROUND(SUMIFS(InvoiceLines!$G$2:$G$4001,InvoiceLines!$B$2:$B$4001,$A259),2))</f>
        <v/>
      </c>
    </row>
    <row r="260">
      <c r="A260" s="7">
        <f>IF(A259="","",A259+1)</f>
        <v/>
      </c>
      <c r="B260">
        <f>IF($A260="",0,SUMIFS(InvoiceLines!$E$2:$E$4001,InvoiceLines!$B$2:$B$4001,$A260))</f>
        <v/>
      </c>
      <c r="C260" s="8">
        <f>IF($A260="",0,ROUND(SUMIFS(InvoiceLines!$G$2:$G$4001,InvoiceLines!$B$2:$B$4001,$A260),2))</f>
        <v/>
      </c>
    </row>
    <row r="261">
      <c r="A261" s="7">
        <f>IF(A260="","",A260+1)</f>
        <v/>
      </c>
      <c r="B261">
        <f>IF($A261="",0,SUMIFS(InvoiceLines!$E$2:$E$4001,InvoiceLines!$B$2:$B$4001,$A261))</f>
        <v/>
      </c>
      <c r="C261" s="8">
        <f>IF($A261="",0,ROUND(SUMIFS(InvoiceLines!$G$2:$G$4001,InvoiceLines!$B$2:$B$4001,$A261),2))</f>
        <v/>
      </c>
    </row>
    <row r="262">
      <c r="A262" s="7">
        <f>IF(A261="","",A261+1)</f>
        <v/>
      </c>
      <c r="B262">
        <f>IF($A262="",0,SUMIFS(InvoiceLines!$E$2:$E$4001,InvoiceLines!$B$2:$B$4001,$A262))</f>
        <v/>
      </c>
      <c r="C262" s="8">
        <f>IF($A262="",0,ROUND(SUMIFS(InvoiceLines!$G$2:$G$4001,InvoiceLines!$B$2:$B$4001,$A262),2))</f>
        <v/>
      </c>
    </row>
    <row r="263">
      <c r="A263" s="7">
        <f>IF(A262="","",A262+1)</f>
        <v/>
      </c>
      <c r="B263">
        <f>IF($A263="",0,SUMIFS(InvoiceLines!$E$2:$E$4001,InvoiceLines!$B$2:$B$4001,$A263))</f>
        <v/>
      </c>
      <c r="C263" s="8">
        <f>IF($A263="",0,ROUND(SUMIFS(InvoiceLines!$G$2:$G$4001,InvoiceLines!$B$2:$B$4001,$A263),2))</f>
        <v/>
      </c>
    </row>
    <row r="264">
      <c r="A264" s="7">
        <f>IF(A263="","",A263+1)</f>
        <v/>
      </c>
      <c r="B264">
        <f>IF($A264="",0,SUMIFS(InvoiceLines!$E$2:$E$4001,InvoiceLines!$B$2:$B$4001,$A264))</f>
        <v/>
      </c>
      <c r="C264" s="8">
        <f>IF($A264="",0,ROUND(SUMIFS(InvoiceLines!$G$2:$G$4001,InvoiceLines!$B$2:$B$4001,$A264),2))</f>
        <v/>
      </c>
    </row>
    <row r="265">
      <c r="A265" s="7">
        <f>IF(A264="","",A264+1)</f>
        <v/>
      </c>
      <c r="B265">
        <f>IF($A265="",0,SUMIFS(InvoiceLines!$E$2:$E$4001,InvoiceLines!$B$2:$B$4001,$A265))</f>
        <v/>
      </c>
      <c r="C265" s="8">
        <f>IF($A265="",0,ROUND(SUMIFS(InvoiceLines!$G$2:$G$4001,InvoiceLines!$B$2:$B$4001,$A265),2))</f>
        <v/>
      </c>
    </row>
    <row r="266">
      <c r="A266" s="7">
        <f>IF(A265="","",A265+1)</f>
        <v/>
      </c>
      <c r="B266">
        <f>IF($A266="",0,SUMIFS(InvoiceLines!$E$2:$E$4001,InvoiceLines!$B$2:$B$4001,$A266))</f>
        <v/>
      </c>
      <c r="C266" s="8">
        <f>IF($A266="",0,ROUND(SUMIFS(InvoiceLines!$G$2:$G$4001,InvoiceLines!$B$2:$B$4001,$A266),2))</f>
        <v/>
      </c>
    </row>
    <row r="267">
      <c r="A267" s="7">
        <f>IF(A266="","",A266+1)</f>
        <v/>
      </c>
      <c r="B267">
        <f>IF($A267="",0,SUMIFS(InvoiceLines!$E$2:$E$4001,InvoiceLines!$B$2:$B$4001,$A267))</f>
        <v/>
      </c>
      <c r="C267" s="8">
        <f>IF($A267="",0,ROUND(SUMIFS(InvoiceLines!$G$2:$G$4001,InvoiceLines!$B$2:$B$4001,$A267),2))</f>
        <v/>
      </c>
    </row>
    <row r="268">
      <c r="A268" s="7">
        <f>IF(A267="","",A267+1)</f>
        <v/>
      </c>
      <c r="B268">
        <f>IF($A268="",0,SUMIFS(InvoiceLines!$E$2:$E$4001,InvoiceLines!$B$2:$B$4001,$A268))</f>
        <v/>
      </c>
      <c r="C268" s="8">
        <f>IF($A268="",0,ROUND(SUMIFS(InvoiceLines!$G$2:$G$4001,InvoiceLines!$B$2:$B$4001,$A268),2))</f>
        <v/>
      </c>
    </row>
    <row r="269">
      <c r="A269" s="7">
        <f>IF(A268="","",A268+1)</f>
        <v/>
      </c>
      <c r="B269">
        <f>IF($A269="",0,SUMIFS(InvoiceLines!$E$2:$E$4001,InvoiceLines!$B$2:$B$4001,$A269))</f>
        <v/>
      </c>
      <c r="C269" s="8">
        <f>IF($A269="",0,ROUND(SUMIFS(InvoiceLines!$G$2:$G$4001,InvoiceLines!$B$2:$B$4001,$A269),2))</f>
        <v/>
      </c>
    </row>
    <row r="270">
      <c r="A270" s="7">
        <f>IF(A269="","",A269+1)</f>
        <v/>
      </c>
      <c r="B270">
        <f>IF($A270="",0,SUMIFS(InvoiceLines!$E$2:$E$4001,InvoiceLines!$B$2:$B$4001,$A270))</f>
        <v/>
      </c>
      <c r="C270" s="8">
        <f>IF($A270="",0,ROUND(SUMIFS(InvoiceLines!$G$2:$G$4001,InvoiceLines!$B$2:$B$4001,$A270),2))</f>
        <v/>
      </c>
    </row>
    <row r="271">
      <c r="A271" s="7">
        <f>IF(A270="","",A270+1)</f>
        <v/>
      </c>
      <c r="B271">
        <f>IF($A271="",0,SUMIFS(InvoiceLines!$E$2:$E$4001,InvoiceLines!$B$2:$B$4001,$A271))</f>
        <v/>
      </c>
      <c r="C271" s="8">
        <f>IF($A271="",0,ROUND(SUMIFS(InvoiceLines!$G$2:$G$4001,InvoiceLines!$B$2:$B$4001,$A271),2))</f>
        <v/>
      </c>
    </row>
    <row r="272">
      <c r="A272" s="7">
        <f>IF(A271="","",A271+1)</f>
        <v/>
      </c>
      <c r="B272">
        <f>IF($A272="",0,SUMIFS(InvoiceLines!$E$2:$E$4001,InvoiceLines!$B$2:$B$4001,$A272))</f>
        <v/>
      </c>
      <c r="C272" s="8">
        <f>IF($A272="",0,ROUND(SUMIFS(InvoiceLines!$G$2:$G$4001,InvoiceLines!$B$2:$B$4001,$A272),2))</f>
        <v/>
      </c>
    </row>
    <row r="273">
      <c r="A273" s="7">
        <f>IF(A272="","",A272+1)</f>
        <v/>
      </c>
      <c r="B273">
        <f>IF($A273="",0,SUMIFS(InvoiceLines!$E$2:$E$4001,InvoiceLines!$B$2:$B$4001,$A273))</f>
        <v/>
      </c>
      <c r="C273" s="8">
        <f>IF($A273="",0,ROUND(SUMIFS(InvoiceLines!$G$2:$G$4001,InvoiceLines!$B$2:$B$4001,$A273),2))</f>
        <v/>
      </c>
    </row>
    <row r="274">
      <c r="A274" s="7">
        <f>IF(A273="","",A273+1)</f>
        <v/>
      </c>
      <c r="B274">
        <f>IF($A274="",0,SUMIFS(InvoiceLines!$E$2:$E$4001,InvoiceLines!$B$2:$B$4001,$A274))</f>
        <v/>
      </c>
      <c r="C274" s="8">
        <f>IF($A274="",0,ROUND(SUMIFS(InvoiceLines!$G$2:$G$4001,InvoiceLines!$B$2:$B$4001,$A274),2))</f>
        <v/>
      </c>
    </row>
    <row r="275">
      <c r="A275" s="7">
        <f>IF(A274="","",A274+1)</f>
        <v/>
      </c>
      <c r="B275">
        <f>IF($A275="",0,SUMIFS(InvoiceLines!$E$2:$E$4001,InvoiceLines!$B$2:$B$4001,$A275))</f>
        <v/>
      </c>
      <c r="C275" s="8">
        <f>IF($A275="",0,ROUND(SUMIFS(InvoiceLines!$G$2:$G$4001,InvoiceLines!$B$2:$B$4001,$A275),2))</f>
        <v/>
      </c>
    </row>
    <row r="276">
      <c r="A276" s="7">
        <f>IF(A275="","",A275+1)</f>
        <v/>
      </c>
      <c r="B276">
        <f>IF($A276="",0,SUMIFS(InvoiceLines!$E$2:$E$4001,InvoiceLines!$B$2:$B$4001,$A276))</f>
        <v/>
      </c>
      <c r="C276" s="8">
        <f>IF($A276="",0,ROUND(SUMIFS(InvoiceLines!$G$2:$G$4001,InvoiceLines!$B$2:$B$4001,$A276),2))</f>
        <v/>
      </c>
    </row>
    <row r="277">
      <c r="A277" s="7">
        <f>IF(A276="","",A276+1)</f>
        <v/>
      </c>
      <c r="B277">
        <f>IF($A277="",0,SUMIFS(InvoiceLines!$E$2:$E$4001,InvoiceLines!$B$2:$B$4001,$A277))</f>
        <v/>
      </c>
      <c r="C277" s="8">
        <f>IF($A277="",0,ROUND(SUMIFS(InvoiceLines!$G$2:$G$4001,InvoiceLines!$B$2:$B$4001,$A277),2))</f>
        <v/>
      </c>
    </row>
    <row r="278">
      <c r="A278" s="7">
        <f>IF(A277="","",A277+1)</f>
        <v/>
      </c>
      <c r="B278">
        <f>IF($A278="",0,SUMIFS(InvoiceLines!$E$2:$E$4001,InvoiceLines!$B$2:$B$4001,$A278))</f>
        <v/>
      </c>
      <c r="C278" s="8">
        <f>IF($A278="",0,ROUND(SUMIFS(InvoiceLines!$G$2:$G$4001,InvoiceLines!$B$2:$B$4001,$A278),2))</f>
        <v/>
      </c>
    </row>
    <row r="279">
      <c r="A279" s="7">
        <f>IF(A278="","",A278+1)</f>
        <v/>
      </c>
      <c r="B279">
        <f>IF($A279="",0,SUMIFS(InvoiceLines!$E$2:$E$4001,InvoiceLines!$B$2:$B$4001,$A279))</f>
        <v/>
      </c>
      <c r="C279" s="8">
        <f>IF($A279="",0,ROUND(SUMIFS(InvoiceLines!$G$2:$G$4001,InvoiceLines!$B$2:$B$4001,$A279),2))</f>
        <v/>
      </c>
    </row>
    <row r="280">
      <c r="A280" s="7">
        <f>IF(A279="","",A279+1)</f>
        <v/>
      </c>
      <c r="B280">
        <f>IF($A280="",0,SUMIFS(InvoiceLines!$E$2:$E$4001,InvoiceLines!$B$2:$B$4001,$A280))</f>
        <v/>
      </c>
      <c r="C280" s="8">
        <f>IF($A280="",0,ROUND(SUMIFS(InvoiceLines!$G$2:$G$4001,InvoiceLines!$B$2:$B$4001,$A280),2))</f>
        <v/>
      </c>
    </row>
    <row r="281">
      <c r="A281" s="7">
        <f>IF(A280="","",A280+1)</f>
        <v/>
      </c>
      <c r="B281">
        <f>IF($A281="",0,SUMIFS(InvoiceLines!$E$2:$E$4001,InvoiceLines!$B$2:$B$4001,$A281))</f>
        <v/>
      </c>
      <c r="C281" s="8">
        <f>IF($A281="",0,ROUND(SUMIFS(InvoiceLines!$G$2:$G$4001,InvoiceLines!$B$2:$B$4001,$A281),2))</f>
        <v/>
      </c>
    </row>
    <row r="282">
      <c r="A282" s="7">
        <f>IF(A281="","",A281+1)</f>
        <v/>
      </c>
      <c r="B282">
        <f>IF($A282="",0,SUMIFS(InvoiceLines!$E$2:$E$4001,InvoiceLines!$B$2:$B$4001,$A282))</f>
        <v/>
      </c>
      <c r="C282" s="8">
        <f>IF($A282="",0,ROUND(SUMIFS(InvoiceLines!$G$2:$G$4001,InvoiceLines!$B$2:$B$4001,$A282),2))</f>
        <v/>
      </c>
    </row>
    <row r="283">
      <c r="A283" s="7">
        <f>IF(A282="","",A282+1)</f>
        <v/>
      </c>
      <c r="B283">
        <f>IF($A283="",0,SUMIFS(InvoiceLines!$E$2:$E$4001,InvoiceLines!$B$2:$B$4001,$A283))</f>
        <v/>
      </c>
      <c r="C283" s="8">
        <f>IF($A283="",0,ROUND(SUMIFS(InvoiceLines!$G$2:$G$4001,InvoiceLines!$B$2:$B$4001,$A283),2))</f>
        <v/>
      </c>
    </row>
    <row r="284">
      <c r="A284" s="7">
        <f>IF(A283="","",A283+1)</f>
        <v/>
      </c>
      <c r="B284">
        <f>IF($A284="",0,SUMIFS(InvoiceLines!$E$2:$E$4001,InvoiceLines!$B$2:$B$4001,$A284))</f>
        <v/>
      </c>
      <c r="C284" s="8">
        <f>IF($A284="",0,ROUND(SUMIFS(InvoiceLines!$G$2:$G$4001,InvoiceLines!$B$2:$B$4001,$A284),2))</f>
        <v/>
      </c>
    </row>
    <row r="285">
      <c r="A285" s="7">
        <f>IF(A284="","",A284+1)</f>
        <v/>
      </c>
      <c r="B285">
        <f>IF($A285="",0,SUMIFS(InvoiceLines!$E$2:$E$4001,InvoiceLines!$B$2:$B$4001,$A285))</f>
        <v/>
      </c>
      <c r="C285" s="8">
        <f>IF($A285="",0,ROUND(SUMIFS(InvoiceLines!$G$2:$G$4001,InvoiceLines!$B$2:$B$4001,$A285),2))</f>
        <v/>
      </c>
    </row>
    <row r="286">
      <c r="A286" s="7">
        <f>IF(A285="","",A285+1)</f>
        <v/>
      </c>
      <c r="B286">
        <f>IF($A286="",0,SUMIFS(InvoiceLines!$E$2:$E$4001,InvoiceLines!$B$2:$B$4001,$A286))</f>
        <v/>
      </c>
      <c r="C286" s="8">
        <f>IF($A286="",0,ROUND(SUMIFS(InvoiceLines!$G$2:$G$4001,InvoiceLines!$B$2:$B$4001,$A286),2))</f>
        <v/>
      </c>
    </row>
    <row r="287">
      <c r="A287" s="7">
        <f>IF(A286="","",A286+1)</f>
        <v/>
      </c>
      <c r="B287">
        <f>IF($A287="",0,SUMIFS(InvoiceLines!$E$2:$E$4001,InvoiceLines!$B$2:$B$4001,$A287))</f>
        <v/>
      </c>
      <c r="C287" s="8">
        <f>IF($A287="",0,ROUND(SUMIFS(InvoiceLines!$G$2:$G$4001,InvoiceLines!$B$2:$B$4001,$A287),2))</f>
        <v/>
      </c>
    </row>
    <row r="288">
      <c r="A288" s="7">
        <f>IF(A287="","",A287+1)</f>
        <v/>
      </c>
      <c r="B288">
        <f>IF($A288="",0,SUMIFS(InvoiceLines!$E$2:$E$4001,InvoiceLines!$B$2:$B$4001,$A288))</f>
        <v/>
      </c>
      <c r="C288" s="8">
        <f>IF($A288="",0,ROUND(SUMIFS(InvoiceLines!$G$2:$G$4001,InvoiceLines!$B$2:$B$4001,$A288),2))</f>
        <v/>
      </c>
    </row>
    <row r="289">
      <c r="A289" s="7">
        <f>IF(A288="","",A288+1)</f>
        <v/>
      </c>
      <c r="B289">
        <f>IF($A289="",0,SUMIFS(InvoiceLines!$E$2:$E$4001,InvoiceLines!$B$2:$B$4001,$A289))</f>
        <v/>
      </c>
      <c r="C289" s="8">
        <f>IF($A289="",0,ROUND(SUMIFS(InvoiceLines!$G$2:$G$4001,InvoiceLines!$B$2:$B$4001,$A289),2))</f>
        <v/>
      </c>
    </row>
    <row r="290">
      <c r="A290" s="7">
        <f>IF(A289="","",A289+1)</f>
        <v/>
      </c>
      <c r="B290">
        <f>IF($A290="",0,SUMIFS(InvoiceLines!$E$2:$E$4001,InvoiceLines!$B$2:$B$4001,$A290))</f>
        <v/>
      </c>
      <c r="C290" s="8">
        <f>IF($A290="",0,ROUND(SUMIFS(InvoiceLines!$G$2:$G$4001,InvoiceLines!$B$2:$B$4001,$A290),2))</f>
        <v/>
      </c>
    </row>
    <row r="291">
      <c r="A291" s="7">
        <f>IF(A290="","",A290+1)</f>
        <v/>
      </c>
      <c r="B291">
        <f>IF($A291="",0,SUMIFS(InvoiceLines!$E$2:$E$4001,InvoiceLines!$B$2:$B$4001,$A291))</f>
        <v/>
      </c>
      <c r="C291" s="8">
        <f>IF($A291="",0,ROUND(SUMIFS(InvoiceLines!$G$2:$G$4001,InvoiceLines!$B$2:$B$4001,$A291),2))</f>
        <v/>
      </c>
    </row>
    <row r="292">
      <c r="A292" s="7">
        <f>IF(A291="","",A291+1)</f>
        <v/>
      </c>
      <c r="B292">
        <f>IF($A292="",0,SUMIFS(InvoiceLines!$E$2:$E$4001,InvoiceLines!$B$2:$B$4001,$A292))</f>
        <v/>
      </c>
      <c r="C292" s="8">
        <f>IF($A292="",0,ROUND(SUMIFS(InvoiceLines!$G$2:$G$4001,InvoiceLines!$B$2:$B$4001,$A292),2))</f>
        <v/>
      </c>
    </row>
    <row r="293">
      <c r="A293" s="7">
        <f>IF(A292="","",A292+1)</f>
        <v/>
      </c>
      <c r="B293">
        <f>IF($A293="",0,SUMIFS(InvoiceLines!$E$2:$E$4001,InvoiceLines!$B$2:$B$4001,$A293))</f>
        <v/>
      </c>
      <c r="C293" s="8">
        <f>IF($A293="",0,ROUND(SUMIFS(InvoiceLines!$G$2:$G$4001,InvoiceLines!$B$2:$B$4001,$A293),2))</f>
        <v/>
      </c>
    </row>
    <row r="294">
      <c r="A294" s="7">
        <f>IF(A293="","",A293+1)</f>
        <v/>
      </c>
      <c r="B294">
        <f>IF($A294="",0,SUMIFS(InvoiceLines!$E$2:$E$4001,InvoiceLines!$B$2:$B$4001,$A294))</f>
        <v/>
      </c>
      <c r="C294" s="8">
        <f>IF($A294="",0,ROUND(SUMIFS(InvoiceLines!$G$2:$G$4001,InvoiceLines!$B$2:$B$4001,$A294),2))</f>
        <v/>
      </c>
    </row>
    <row r="295">
      <c r="A295" s="7">
        <f>IF(A294="","",A294+1)</f>
        <v/>
      </c>
      <c r="B295">
        <f>IF($A295="",0,SUMIFS(InvoiceLines!$E$2:$E$4001,InvoiceLines!$B$2:$B$4001,$A295))</f>
        <v/>
      </c>
      <c r="C295" s="8">
        <f>IF($A295="",0,ROUND(SUMIFS(InvoiceLines!$G$2:$G$4001,InvoiceLines!$B$2:$B$4001,$A295),2))</f>
        <v/>
      </c>
    </row>
    <row r="296">
      <c r="A296" s="7">
        <f>IF(A295="","",A295+1)</f>
        <v/>
      </c>
      <c r="B296">
        <f>IF($A296="",0,SUMIFS(InvoiceLines!$E$2:$E$4001,InvoiceLines!$B$2:$B$4001,$A296))</f>
        <v/>
      </c>
      <c r="C296" s="8">
        <f>IF($A296="",0,ROUND(SUMIFS(InvoiceLines!$G$2:$G$4001,InvoiceLines!$B$2:$B$4001,$A296),2))</f>
        <v/>
      </c>
    </row>
    <row r="297">
      <c r="A297" s="7">
        <f>IF(A296="","",A296+1)</f>
        <v/>
      </c>
      <c r="B297">
        <f>IF($A297="",0,SUMIFS(InvoiceLines!$E$2:$E$4001,InvoiceLines!$B$2:$B$4001,$A297))</f>
        <v/>
      </c>
      <c r="C297" s="8">
        <f>IF($A297="",0,ROUND(SUMIFS(InvoiceLines!$G$2:$G$4001,InvoiceLines!$B$2:$B$4001,$A297),2))</f>
        <v/>
      </c>
    </row>
    <row r="298">
      <c r="A298" s="7">
        <f>IF(A297="","",A297+1)</f>
        <v/>
      </c>
      <c r="B298">
        <f>IF($A298="",0,SUMIFS(InvoiceLines!$E$2:$E$4001,InvoiceLines!$B$2:$B$4001,$A298))</f>
        <v/>
      </c>
      <c r="C298" s="8">
        <f>IF($A298="",0,ROUND(SUMIFS(InvoiceLines!$G$2:$G$4001,InvoiceLines!$B$2:$B$4001,$A298),2))</f>
        <v/>
      </c>
    </row>
    <row r="299">
      <c r="A299" s="7">
        <f>IF(A298="","",A298+1)</f>
        <v/>
      </c>
      <c r="B299">
        <f>IF($A299="",0,SUMIFS(InvoiceLines!$E$2:$E$4001,InvoiceLines!$B$2:$B$4001,$A299))</f>
        <v/>
      </c>
      <c r="C299" s="8">
        <f>IF($A299="",0,ROUND(SUMIFS(InvoiceLines!$G$2:$G$4001,InvoiceLines!$B$2:$B$4001,$A299),2))</f>
        <v/>
      </c>
    </row>
    <row r="300">
      <c r="A300" s="7">
        <f>IF(A299="","",A299+1)</f>
        <v/>
      </c>
      <c r="B300">
        <f>IF($A300="",0,SUMIFS(InvoiceLines!$E$2:$E$4001,InvoiceLines!$B$2:$B$4001,$A300))</f>
        <v/>
      </c>
      <c r="C300" s="8">
        <f>IF($A300="",0,ROUND(SUMIFS(InvoiceLines!$G$2:$G$4001,InvoiceLines!$B$2:$B$4001,$A300),2))</f>
        <v/>
      </c>
    </row>
    <row r="301">
      <c r="A301" s="7">
        <f>IF(A300="","",A300+1)</f>
        <v/>
      </c>
      <c r="B301">
        <f>IF($A301="",0,SUMIFS(InvoiceLines!$E$2:$E$4001,InvoiceLines!$B$2:$B$4001,$A301))</f>
        <v/>
      </c>
      <c r="C301" s="8">
        <f>IF($A301="",0,ROUND(SUMIFS(InvoiceLines!$G$2:$G$4001,InvoiceLines!$B$2:$B$4001,$A301),2))</f>
        <v/>
      </c>
    </row>
    <row r="302">
      <c r="A302" s="7">
        <f>IF(A301="","",A301+1)</f>
        <v/>
      </c>
      <c r="B302">
        <f>IF($A302="",0,SUMIFS(InvoiceLines!$E$2:$E$4001,InvoiceLines!$B$2:$B$4001,$A302))</f>
        <v/>
      </c>
      <c r="C302" s="8">
        <f>IF($A302="",0,ROUND(SUMIFS(InvoiceLines!$G$2:$G$4001,InvoiceLines!$B$2:$B$4001,$A302),2))</f>
        <v/>
      </c>
    </row>
    <row r="303">
      <c r="A303" s="7">
        <f>IF(A302="","",A302+1)</f>
        <v/>
      </c>
      <c r="B303">
        <f>IF($A303="",0,SUMIFS(InvoiceLines!$E$2:$E$4001,InvoiceLines!$B$2:$B$4001,$A303))</f>
        <v/>
      </c>
      <c r="C303" s="8">
        <f>IF($A303="",0,ROUND(SUMIFS(InvoiceLines!$G$2:$G$4001,InvoiceLines!$B$2:$B$4001,$A303),2))</f>
        <v/>
      </c>
    </row>
    <row r="304">
      <c r="A304" s="7">
        <f>IF(A303="","",A303+1)</f>
        <v/>
      </c>
      <c r="B304">
        <f>IF($A304="",0,SUMIFS(InvoiceLines!$E$2:$E$4001,InvoiceLines!$B$2:$B$4001,$A304))</f>
        <v/>
      </c>
      <c r="C304" s="8">
        <f>IF($A304="",0,ROUND(SUMIFS(InvoiceLines!$G$2:$G$4001,InvoiceLines!$B$2:$B$4001,$A304),2))</f>
        <v/>
      </c>
    </row>
    <row r="305">
      <c r="A305" s="7">
        <f>IF(A304="","",A304+1)</f>
        <v/>
      </c>
      <c r="B305">
        <f>IF($A305="",0,SUMIFS(InvoiceLines!$E$2:$E$4001,InvoiceLines!$B$2:$B$4001,$A305))</f>
        <v/>
      </c>
      <c r="C305" s="8">
        <f>IF($A305="",0,ROUND(SUMIFS(InvoiceLines!$G$2:$G$4001,InvoiceLines!$B$2:$B$4001,$A305),2))</f>
        <v/>
      </c>
    </row>
    <row r="306">
      <c r="A306" s="7">
        <f>IF(A305="","",A305+1)</f>
        <v/>
      </c>
      <c r="B306">
        <f>IF($A306="",0,SUMIFS(InvoiceLines!$E$2:$E$4001,InvoiceLines!$B$2:$B$4001,$A306))</f>
        <v/>
      </c>
      <c r="C306" s="8">
        <f>IF($A306="",0,ROUND(SUMIFS(InvoiceLines!$G$2:$G$4001,InvoiceLines!$B$2:$B$4001,$A306),2))</f>
        <v/>
      </c>
    </row>
    <row r="307">
      <c r="A307" s="7">
        <f>IF(A306="","",A306+1)</f>
        <v/>
      </c>
      <c r="B307">
        <f>IF($A307="",0,SUMIFS(InvoiceLines!$E$2:$E$4001,InvoiceLines!$B$2:$B$4001,$A307))</f>
        <v/>
      </c>
      <c r="C307" s="8">
        <f>IF($A307="",0,ROUND(SUMIFS(InvoiceLines!$G$2:$G$4001,InvoiceLines!$B$2:$B$4001,$A307),2))</f>
        <v/>
      </c>
    </row>
    <row r="308">
      <c r="A308" s="7">
        <f>IF(A307="","",A307+1)</f>
        <v/>
      </c>
      <c r="B308">
        <f>IF($A308="",0,SUMIFS(InvoiceLines!$E$2:$E$4001,InvoiceLines!$B$2:$B$4001,$A308))</f>
        <v/>
      </c>
      <c r="C308" s="8">
        <f>IF($A308="",0,ROUND(SUMIFS(InvoiceLines!$G$2:$G$4001,InvoiceLines!$B$2:$B$4001,$A308),2))</f>
        <v/>
      </c>
    </row>
    <row r="309">
      <c r="A309" s="7">
        <f>IF(A308="","",A308+1)</f>
        <v/>
      </c>
      <c r="B309">
        <f>IF($A309="",0,SUMIFS(InvoiceLines!$E$2:$E$4001,InvoiceLines!$B$2:$B$4001,$A309))</f>
        <v/>
      </c>
      <c r="C309" s="8">
        <f>IF($A309="",0,ROUND(SUMIFS(InvoiceLines!$G$2:$G$4001,InvoiceLines!$B$2:$B$4001,$A309),2))</f>
        <v/>
      </c>
    </row>
    <row r="310">
      <c r="A310" s="7">
        <f>IF(A309="","",A309+1)</f>
        <v/>
      </c>
      <c r="B310">
        <f>IF($A310="",0,SUMIFS(InvoiceLines!$E$2:$E$4001,InvoiceLines!$B$2:$B$4001,$A310))</f>
        <v/>
      </c>
      <c r="C310" s="8">
        <f>IF($A310="",0,ROUND(SUMIFS(InvoiceLines!$G$2:$G$4001,InvoiceLines!$B$2:$B$4001,$A310),2))</f>
        <v/>
      </c>
    </row>
    <row r="311">
      <c r="A311" s="7">
        <f>IF(A310="","",A310+1)</f>
        <v/>
      </c>
      <c r="B311">
        <f>IF($A311="",0,SUMIFS(InvoiceLines!$E$2:$E$4001,InvoiceLines!$B$2:$B$4001,$A311))</f>
        <v/>
      </c>
      <c r="C311" s="8">
        <f>IF($A311="",0,ROUND(SUMIFS(InvoiceLines!$G$2:$G$4001,InvoiceLines!$B$2:$B$4001,$A311),2))</f>
        <v/>
      </c>
    </row>
    <row r="312">
      <c r="A312" s="7">
        <f>IF(A311="","",A311+1)</f>
        <v/>
      </c>
      <c r="B312">
        <f>IF($A312="",0,SUMIFS(InvoiceLines!$E$2:$E$4001,InvoiceLines!$B$2:$B$4001,$A312))</f>
        <v/>
      </c>
      <c r="C312" s="8">
        <f>IF($A312="",0,ROUND(SUMIFS(InvoiceLines!$G$2:$G$4001,InvoiceLines!$B$2:$B$4001,$A312),2))</f>
        <v/>
      </c>
    </row>
    <row r="313">
      <c r="A313" s="7">
        <f>IF(A312="","",A312+1)</f>
        <v/>
      </c>
      <c r="B313">
        <f>IF($A313="",0,SUMIFS(InvoiceLines!$E$2:$E$4001,InvoiceLines!$B$2:$B$4001,$A313))</f>
        <v/>
      </c>
      <c r="C313" s="8">
        <f>IF($A313="",0,ROUND(SUMIFS(InvoiceLines!$G$2:$G$4001,InvoiceLines!$B$2:$B$4001,$A313),2))</f>
        <v/>
      </c>
    </row>
    <row r="314">
      <c r="A314" s="7">
        <f>IF(A313="","",A313+1)</f>
        <v/>
      </c>
      <c r="B314">
        <f>IF($A314="",0,SUMIFS(InvoiceLines!$E$2:$E$4001,InvoiceLines!$B$2:$B$4001,$A314))</f>
        <v/>
      </c>
      <c r="C314" s="8">
        <f>IF($A314="",0,ROUND(SUMIFS(InvoiceLines!$G$2:$G$4001,InvoiceLines!$B$2:$B$4001,$A314),2))</f>
        <v/>
      </c>
    </row>
    <row r="315">
      <c r="A315" s="7">
        <f>IF(A314="","",A314+1)</f>
        <v/>
      </c>
      <c r="B315">
        <f>IF($A315="",0,SUMIFS(InvoiceLines!$E$2:$E$4001,InvoiceLines!$B$2:$B$4001,$A315))</f>
        <v/>
      </c>
      <c r="C315" s="8">
        <f>IF($A315="",0,ROUND(SUMIFS(InvoiceLines!$G$2:$G$4001,InvoiceLines!$B$2:$B$4001,$A315),2))</f>
        <v/>
      </c>
    </row>
    <row r="316">
      <c r="A316" s="7">
        <f>IF(A315="","",A315+1)</f>
        <v/>
      </c>
      <c r="B316">
        <f>IF($A316="",0,SUMIFS(InvoiceLines!$E$2:$E$4001,InvoiceLines!$B$2:$B$4001,$A316))</f>
        <v/>
      </c>
      <c r="C316" s="8">
        <f>IF($A316="",0,ROUND(SUMIFS(InvoiceLines!$G$2:$G$4001,InvoiceLines!$B$2:$B$4001,$A316),2))</f>
        <v/>
      </c>
    </row>
    <row r="317">
      <c r="A317" s="7">
        <f>IF(A316="","",A316+1)</f>
        <v/>
      </c>
      <c r="B317">
        <f>IF($A317="",0,SUMIFS(InvoiceLines!$E$2:$E$4001,InvoiceLines!$B$2:$B$4001,$A317))</f>
        <v/>
      </c>
      <c r="C317" s="8">
        <f>IF($A317="",0,ROUND(SUMIFS(InvoiceLines!$G$2:$G$4001,InvoiceLines!$B$2:$B$4001,$A317),2))</f>
        <v/>
      </c>
    </row>
    <row r="318">
      <c r="A318" s="7">
        <f>IF(A317="","",A317+1)</f>
        <v/>
      </c>
      <c r="B318">
        <f>IF($A318="",0,SUMIFS(InvoiceLines!$E$2:$E$4001,InvoiceLines!$B$2:$B$4001,$A318))</f>
        <v/>
      </c>
      <c r="C318" s="8">
        <f>IF($A318="",0,ROUND(SUMIFS(InvoiceLines!$G$2:$G$4001,InvoiceLines!$B$2:$B$4001,$A318),2))</f>
        <v/>
      </c>
    </row>
    <row r="319">
      <c r="A319" s="7">
        <f>IF(A318="","",A318+1)</f>
        <v/>
      </c>
      <c r="B319">
        <f>IF($A319="",0,SUMIFS(InvoiceLines!$E$2:$E$4001,InvoiceLines!$B$2:$B$4001,$A319))</f>
        <v/>
      </c>
      <c r="C319" s="8">
        <f>IF($A319="",0,ROUND(SUMIFS(InvoiceLines!$G$2:$G$4001,InvoiceLines!$B$2:$B$4001,$A319),2))</f>
        <v/>
      </c>
    </row>
    <row r="320">
      <c r="A320" s="7">
        <f>IF(A319="","",A319+1)</f>
        <v/>
      </c>
      <c r="B320">
        <f>IF($A320="",0,SUMIFS(InvoiceLines!$E$2:$E$4001,InvoiceLines!$B$2:$B$4001,$A320))</f>
        <v/>
      </c>
      <c r="C320" s="8">
        <f>IF($A320="",0,ROUND(SUMIFS(InvoiceLines!$G$2:$G$4001,InvoiceLines!$B$2:$B$4001,$A320),2))</f>
        <v/>
      </c>
    </row>
    <row r="321">
      <c r="A321" s="7">
        <f>IF(A320="","",A320+1)</f>
        <v/>
      </c>
      <c r="B321">
        <f>IF($A321="",0,SUMIFS(InvoiceLines!$E$2:$E$4001,InvoiceLines!$B$2:$B$4001,$A321))</f>
        <v/>
      </c>
      <c r="C321" s="8">
        <f>IF($A321="",0,ROUND(SUMIFS(InvoiceLines!$G$2:$G$4001,InvoiceLines!$B$2:$B$4001,$A321),2))</f>
        <v/>
      </c>
    </row>
    <row r="322">
      <c r="A322" s="7">
        <f>IF(A321="","",A321+1)</f>
        <v/>
      </c>
      <c r="B322">
        <f>IF($A322="",0,SUMIFS(InvoiceLines!$E$2:$E$4001,InvoiceLines!$B$2:$B$4001,$A322))</f>
        <v/>
      </c>
      <c r="C322" s="8">
        <f>IF($A322="",0,ROUND(SUMIFS(InvoiceLines!$G$2:$G$4001,InvoiceLines!$B$2:$B$4001,$A322),2))</f>
        <v/>
      </c>
    </row>
    <row r="323">
      <c r="A323" s="7">
        <f>IF(A322="","",A322+1)</f>
        <v/>
      </c>
      <c r="B323">
        <f>IF($A323="",0,SUMIFS(InvoiceLines!$E$2:$E$4001,InvoiceLines!$B$2:$B$4001,$A323))</f>
        <v/>
      </c>
      <c r="C323" s="8">
        <f>IF($A323="",0,ROUND(SUMIFS(InvoiceLines!$G$2:$G$4001,InvoiceLines!$B$2:$B$4001,$A323),2))</f>
        <v/>
      </c>
    </row>
    <row r="324">
      <c r="A324" s="7">
        <f>IF(A323="","",A323+1)</f>
        <v/>
      </c>
      <c r="B324">
        <f>IF($A324="",0,SUMIFS(InvoiceLines!$E$2:$E$4001,InvoiceLines!$B$2:$B$4001,$A324))</f>
        <v/>
      </c>
      <c r="C324" s="8">
        <f>IF($A324="",0,ROUND(SUMIFS(InvoiceLines!$G$2:$G$4001,InvoiceLines!$B$2:$B$4001,$A324),2))</f>
        <v/>
      </c>
    </row>
    <row r="325">
      <c r="A325" s="7">
        <f>IF(A324="","",A324+1)</f>
        <v/>
      </c>
      <c r="B325">
        <f>IF($A325="",0,SUMIFS(InvoiceLines!$E$2:$E$4001,InvoiceLines!$B$2:$B$4001,$A325))</f>
        <v/>
      </c>
      <c r="C325" s="8">
        <f>IF($A325="",0,ROUND(SUMIFS(InvoiceLines!$G$2:$G$4001,InvoiceLines!$B$2:$B$4001,$A325),2))</f>
        <v/>
      </c>
    </row>
    <row r="326">
      <c r="A326" s="7">
        <f>IF(A325="","",A325+1)</f>
        <v/>
      </c>
      <c r="B326">
        <f>IF($A326="",0,SUMIFS(InvoiceLines!$E$2:$E$4001,InvoiceLines!$B$2:$B$4001,$A326))</f>
        <v/>
      </c>
      <c r="C326" s="8">
        <f>IF($A326="",0,ROUND(SUMIFS(InvoiceLines!$G$2:$G$4001,InvoiceLines!$B$2:$B$4001,$A326),2))</f>
        <v/>
      </c>
    </row>
    <row r="327">
      <c r="A327" s="7">
        <f>IF(A326="","",A326+1)</f>
        <v/>
      </c>
      <c r="B327">
        <f>IF($A327="",0,SUMIFS(InvoiceLines!$E$2:$E$4001,InvoiceLines!$B$2:$B$4001,$A327))</f>
        <v/>
      </c>
      <c r="C327" s="8">
        <f>IF($A327="",0,ROUND(SUMIFS(InvoiceLines!$G$2:$G$4001,InvoiceLines!$B$2:$B$4001,$A327),2))</f>
        <v/>
      </c>
    </row>
    <row r="328">
      <c r="A328" s="7">
        <f>IF(A327="","",A327+1)</f>
        <v/>
      </c>
      <c r="B328">
        <f>IF($A328="",0,SUMIFS(InvoiceLines!$E$2:$E$4001,InvoiceLines!$B$2:$B$4001,$A328))</f>
        <v/>
      </c>
      <c r="C328" s="8">
        <f>IF($A328="",0,ROUND(SUMIFS(InvoiceLines!$G$2:$G$4001,InvoiceLines!$B$2:$B$4001,$A328),2))</f>
        <v/>
      </c>
    </row>
    <row r="329">
      <c r="A329" s="7">
        <f>IF(A328="","",A328+1)</f>
        <v/>
      </c>
      <c r="B329">
        <f>IF($A329="",0,SUMIFS(InvoiceLines!$E$2:$E$4001,InvoiceLines!$B$2:$B$4001,$A329))</f>
        <v/>
      </c>
      <c r="C329" s="8">
        <f>IF($A329="",0,ROUND(SUMIFS(InvoiceLines!$G$2:$G$4001,InvoiceLines!$B$2:$B$4001,$A329),2))</f>
        <v/>
      </c>
    </row>
    <row r="330">
      <c r="A330" s="7">
        <f>IF(A329="","",A329+1)</f>
        <v/>
      </c>
      <c r="B330">
        <f>IF($A330="",0,SUMIFS(InvoiceLines!$E$2:$E$4001,InvoiceLines!$B$2:$B$4001,$A330))</f>
        <v/>
      </c>
      <c r="C330" s="8">
        <f>IF($A330="",0,ROUND(SUMIFS(InvoiceLines!$G$2:$G$4001,InvoiceLines!$B$2:$B$4001,$A330),2))</f>
        <v/>
      </c>
    </row>
    <row r="331">
      <c r="A331" s="7">
        <f>IF(A330="","",A330+1)</f>
        <v/>
      </c>
      <c r="B331">
        <f>IF($A331="",0,SUMIFS(InvoiceLines!$E$2:$E$4001,InvoiceLines!$B$2:$B$4001,$A331))</f>
        <v/>
      </c>
      <c r="C331" s="8">
        <f>IF($A331="",0,ROUND(SUMIFS(InvoiceLines!$G$2:$G$4001,InvoiceLines!$B$2:$B$4001,$A331),2))</f>
        <v/>
      </c>
    </row>
    <row r="332">
      <c r="A332" s="7">
        <f>IF(A331="","",A331+1)</f>
        <v/>
      </c>
      <c r="B332">
        <f>IF($A332="",0,SUMIFS(InvoiceLines!$E$2:$E$4001,InvoiceLines!$B$2:$B$4001,$A332))</f>
        <v/>
      </c>
      <c r="C332" s="8">
        <f>IF($A332="",0,ROUND(SUMIFS(InvoiceLines!$G$2:$G$4001,InvoiceLines!$B$2:$B$4001,$A332),2))</f>
        <v/>
      </c>
    </row>
    <row r="333">
      <c r="A333" s="7">
        <f>IF(A332="","",A332+1)</f>
        <v/>
      </c>
      <c r="B333">
        <f>IF($A333="",0,SUMIFS(InvoiceLines!$E$2:$E$4001,InvoiceLines!$B$2:$B$4001,$A333))</f>
        <v/>
      </c>
      <c r="C333" s="8">
        <f>IF($A333="",0,ROUND(SUMIFS(InvoiceLines!$G$2:$G$4001,InvoiceLines!$B$2:$B$4001,$A333),2))</f>
        <v/>
      </c>
    </row>
    <row r="334">
      <c r="A334" s="7">
        <f>IF(A333="","",A333+1)</f>
        <v/>
      </c>
      <c r="B334">
        <f>IF($A334="",0,SUMIFS(InvoiceLines!$E$2:$E$4001,InvoiceLines!$B$2:$B$4001,$A334))</f>
        <v/>
      </c>
      <c r="C334" s="8">
        <f>IF($A334="",0,ROUND(SUMIFS(InvoiceLines!$G$2:$G$4001,InvoiceLines!$B$2:$B$4001,$A334),2))</f>
        <v/>
      </c>
    </row>
    <row r="335">
      <c r="A335" s="7">
        <f>IF(A334="","",A334+1)</f>
        <v/>
      </c>
      <c r="B335">
        <f>IF($A335="",0,SUMIFS(InvoiceLines!$E$2:$E$4001,InvoiceLines!$B$2:$B$4001,$A335))</f>
        <v/>
      </c>
      <c r="C335" s="8">
        <f>IF($A335="",0,ROUND(SUMIFS(InvoiceLines!$G$2:$G$4001,InvoiceLines!$B$2:$B$4001,$A335),2))</f>
        <v/>
      </c>
    </row>
    <row r="336">
      <c r="A336" s="7">
        <f>IF(A335="","",A335+1)</f>
        <v/>
      </c>
      <c r="B336">
        <f>IF($A336="",0,SUMIFS(InvoiceLines!$E$2:$E$4001,InvoiceLines!$B$2:$B$4001,$A336))</f>
        <v/>
      </c>
      <c r="C336" s="8">
        <f>IF($A336="",0,ROUND(SUMIFS(InvoiceLines!$G$2:$G$4001,InvoiceLines!$B$2:$B$4001,$A336),2))</f>
        <v/>
      </c>
    </row>
    <row r="337">
      <c r="A337" s="7">
        <f>IF(A336="","",A336+1)</f>
        <v/>
      </c>
      <c r="B337">
        <f>IF($A337="",0,SUMIFS(InvoiceLines!$E$2:$E$4001,InvoiceLines!$B$2:$B$4001,$A337))</f>
        <v/>
      </c>
      <c r="C337" s="8">
        <f>IF($A337="",0,ROUND(SUMIFS(InvoiceLines!$G$2:$G$4001,InvoiceLines!$B$2:$B$4001,$A337),2))</f>
        <v/>
      </c>
    </row>
    <row r="338">
      <c r="A338" s="7">
        <f>IF(A337="","",A337+1)</f>
        <v/>
      </c>
      <c r="B338">
        <f>IF($A338="",0,SUMIFS(InvoiceLines!$E$2:$E$4001,InvoiceLines!$B$2:$B$4001,$A338))</f>
        <v/>
      </c>
      <c r="C338" s="8">
        <f>IF($A338="",0,ROUND(SUMIFS(InvoiceLines!$G$2:$G$4001,InvoiceLines!$B$2:$B$4001,$A338),2))</f>
        <v/>
      </c>
    </row>
    <row r="339">
      <c r="A339" s="7">
        <f>IF(A338="","",A338+1)</f>
        <v/>
      </c>
      <c r="B339">
        <f>IF($A339="",0,SUMIFS(InvoiceLines!$E$2:$E$4001,InvoiceLines!$B$2:$B$4001,$A339))</f>
        <v/>
      </c>
      <c r="C339" s="8">
        <f>IF($A339="",0,ROUND(SUMIFS(InvoiceLines!$G$2:$G$4001,InvoiceLines!$B$2:$B$4001,$A339),2))</f>
        <v/>
      </c>
    </row>
    <row r="340">
      <c r="A340" s="7">
        <f>IF(A339="","",A339+1)</f>
        <v/>
      </c>
      <c r="B340">
        <f>IF($A340="",0,SUMIFS(InvoiceLines!$E$2:$E$4001,InvoiceLines!$B$2:$B$4001,$A340))</f>
        <v/>
      </c>
      <c r="C340" s="8">
        <f>IF($A340="",0,ROUND(SUMIFS(InvoiceLines!$G$2:$G$4001,InvoiceLines!$B$2:$B$4001,$A340),2))</f>
        <v/>
      </c>
    </row>
    <row r="341">
      <c r="A341" s="7">
        <f>IF(A340="","",A340+1)</f>
        <v/>
      </c>
      <c r="B341">
        <f>IF($A341="",0,SUMIFS(InvoiceLines!$E$2:$E$4001,InvoiceLines!$B$2:$B$4001,$A341))</f>
        <v/>
      </c>
      <c r="C341" s="8">
        <f>IF($A341="",0,ROUND(SUMIFS(InvoiceLines!$G$2:$G$4001,InvoiceLines!$B$2:$B$4001,$A341),2))</f>
        <v/>
      </c>
    </row>
    <row r="342">
      <c r="A342" s="7">
        <f>IF(A341="","",A341+1)</f>
        <v/>
      </c>
      <c r="B342">
        <f>IF($A342="",0,SUMIFS(InvoiceLines!$E$2:$E$4001,InvoiceLines!$B$2:$B$4001,$A342))</f>
        <v/>
      </c>
      <c r="C342" s="8">
        <f>IF($A342="",0,ROUND(SUMIFS(InvoiceLines!$G$2:$G$4001,InvoiceLines!$B$2:$B$4001,$A342),2))</f>
        <v/>
      </c>
    </row>
    <row r="343">
      <c r="A343" s="7">
        <f>IF(A342="","",A342+1)</f>
        <v/>
      </c>
      <c r="B343">
        <f>IF($A343="",0,SUMIFS(InvoiceLines!$E$2:$E$4001,InvoiceLines!$B$2:$B$4001,$A343))</f>
        <v/>
      </c>
      <c r="C343" s="8">
        <f>IF($A343="",0,ROUND(SUMIFS(InvoiceLines!$G$2:$G$4001,InvoiceLines!$B$2:$B$4001,$A343),2))</f>
        <v/>
      </c>
    </row>
    <row r="344">
      <c r="A344" s="7">
        <f>IF(A343="","",A343+1)</f>
        <v/>
      </c>
      <c r="B344">
        <f>IF($A344="",0,SUMIFS(InvoiceLines!$E$2:$E$4001,InvoiceLines!$B$2:$B$4001,$A344))</f>
        <v/>
      </c>
      <c r="C344" s="8">
        <f>IF($A344="",0,ROUND(SUMIFS(InvoiceLines!$G$2:$G$4001,InvoiceLines!$B$2:$B$4001,$A344),2))</f>
        <v/>
      </c>
    </row>
    <row r="345">
      <c r="A345" s="7">
        <f>IF(A344="","",A344+1)</f>
        <v/>
      </c>
      <c r="B345">
        <f>IF($A345="",0,SUMIFS(InvoiceLines!$E$2:$E$4001,InvoiceLines!$B$2:$B$4001,$A345))</f>
        <v/>
      </c>
      <c r="C345" s="8">
        <f>IF($A345="",0,ROUND(SUMIFS(InvoiceLines!$G$2:$G$4001,InvoiceLines!$B$2:$B$4001,$A345),2))</f>
        <v/>
      </c>
    </row>
    <row r="346">
      <c r="A346" s="7">
        <f>IF(A345="","",A345+1)</f>
        <v/>
      </c>
      <c r="B346">
        <f>IF($A346="",0,SUMIFS(InvoiceLines!$E$2:$E$4001,InvoiceLines!$B$2:$B$4001,$A346))</f>
        <v/>
      </c>
      <c r="C346" s="8">
        <f>IF($A346="",0,ROUND(SUMIFS(InvoiceLines!$G$2:$G$4001,InvoiceLines!$B$2:$B$4001,$A346),2))</f>
        <v/>
      </c>
    </row>
    <row r="347">
      <c r="A347" s="7">
        <f>IF(A346="","",A346+1)</f>
        <v/>
      </c>
      <c r="B347">
        <f>IF($A347="",0,SUMIFS(InvoiceLines!$E$2:$E$4001,InvoiceLines!$B$2:$B$4001,$A347))</f>
        <v/>
      </c>
      <c r="C347" s="8">
        <f>IF($A347="",0,ROUND(SUMIFS(InvoiceLines!$G$2:$G$4001,InvoiceLines!$B$2:$B$4001,$A347),2))</f>
        <v/>
      </c>
    </row>
    <row r="348">
      <c r="A348" s="7">
        <f>IF(A347="","",A347+1)</f>
        <v/>
      </c>
      <c r="B348">
        <f>IF($A348="",0,SUMIFS(InvoiceLines!$E$2:$E$4001,InvoiceLines!$B$2:$B$4001,$A348))</f>
        <v/>
      </c>
      <c r="C348" s="8">
        <f>IF($A348="",0,ROUND(SUMIFS(InvoiceLines!$G$2:$G$4001,InvoiceLines!$B$2:$B$4001,$A348),2))</f>
        <v/>
      </c>
    </row>
    <row r="349">
      <c r="A349" s="7">
        <f>IF(A348="","",A348+1)</f>
        <v/>
      </c>
      <c r="B349">
        <f>IF($A349="",0,SUMIFS(InvoiceLines!$E$2:$E$4001,InvoiceLines!$B$2:$B$4001,$A349))</f>
        <v/>
      </c>
      <c r="C349" s="8">
        <f>IF($A349="",0,ROUND(SUMIFS(InvoiceLines!$G$2:$G$4001,InvoiceLines!$B$2:$B$4001,$A349),2))</f>
        <v/>
      </c>
    </row>
    <row r="350">
      <c r="A350" s="7">
        <f>IF(A349="","",A349+1)</f>
        <v/>
      </c>
      <c r="B350">
        <f>IF($A350="",0,SUMIFS(InvoiceLines!$E$2:$E$4001,InvoiceLines!$B$2:$B$4001,$A350))</f>
        <v/>
      </c>
      <c r="C350" s="8">
        <f>IF($A350="",0,ROUND(SUMIFS(InvoiceLines!$G$2:$G$4001,InvoiceLines!$B$2:$B$4001,$A350),2))</f>
        <v/>
      </c>
    </row>
    <row r="351">
      <c r="A351" s="7">
        <f>IF(A350="","",A350+1)</f>
        <v/>
      </c>
      <c r="B351">
        <f>IF($A351="",0,SUMIFS(InvoiceLines!$E$2:$E$4001,InvoiceLines!$B$2:$B$4001,$A351))</f>
        <v/>
      </c>
      <c r="C351" s="8">
        <f>IF($A351="",0,ROUND(SUMIFS(InvoiceLines!$G$2:$G$4001,InvoiceLines!$B$2:$B$4001,$A351),2))</f>
        <v/>
      </c>
    </row>
    <row r="352">
      <c r="A352" s="7">
        <f>IF(A351="","",A351+1)</f>
        <v/>
      </c>
      <c r="B352">
        <f>IF($A352="",0,SUMIFS(InvoiceLines!$E$2:$E$4001,InvoiceLines!$B$2:$B$4001,$A352))</f>
        <v/>
      </c>
      <c r="C352" s="8">
        <f>IF($A352="",0,ROUND(SUMIFS(InvoiceLines!$G$2:$G$4001,InvoiceLines!$B$2:$B$4001,$A352),2))</f>
        <v/>
      </c>
    </row>
    <row r="353">
      <c r="A353" s="7">
        <f>IF(A352="","",A352+1)</f>
        <v/>
      </c>
      <c r="B353">
        <f>IF($A353="",0,SUMIFS(InvoiceLines!$E$2:$E$4001,InvoiceLines!$B$2:$B$4001,$A353))</f>
        <v/>
      </c>
      <c r="C353" s="8">
        <f>IF($A353="",0,ROUND(SUMIFS(InvoiceLines!$G$2:$G$4001,InvoiceLines!$B$2:$B$4001,$A353),2))</f>
        <v/>
      </c>
    </row>
    <row r="354">
      <c r="A354" s="7">
        <f>IF(A353="","",A353+1)</f>
        <v/>
      </c>
      <c r="B354">
        <f>IF($A354="",0,SUMIFS(InvoiceLines!$E$2:$E$4001,InvoiceLines!$B$2:$B$4001,$A354))</f>
        <v/>
      </c>
      <c r="C354" s="8">
        <f>IF($A354="",0,ROUND(SUMIFS(InvoiceLines!$G$2:$G$4001,InvoiceLines!$B$2:$B$4001,$A354),2))</f>
        <v/>
      </c>
    </row>
    <row r="355">
      <c r="A355" s="7">
        <f>IF(A354="","",A354+1)</f>
        <v/>
      </c>
      <c r="B355">
        <f>IF($A355="",0,SUMIFS(InvoiceLines!$E$2:$E$4001,InvoiceLines!$B$2:$B$4001,$A355))</f>
        <v/>
      </c>
      <c r="C355" s="8">
        <f>IF($A355="",0,ROUND(SUMIFS(InvoiceLines!$G$2:$G$4001,InvoiceLines!$B$2:$B$4001,$A355),2))</f>
        <v/>
      </c>
    </row>
    <row r="356">
      <c r="A356" s="7">
        <f>IF(A355="","",A355+1)</f>
        <v/>
      </c>
      <c r="B356">
        <f>IF($A356="",0,SUMIFS(InvoiceLines!$E$2:$E$4001,InvoiceLines!$B$2:$B$4001,$A356))</f>
        <v/>
      </c>
      <c r="C356" s="8">
        <f>IF($A356="",0,ROUND(SUMIFS(InvoiceLines!$G$2:$G$4001,InvoiceLines!$B$2:$B$4001,$A356),2))</f>
        <v/>
      </c>
    </row>
    <row r="357">
      <c r="A357" s="7">
        <f>IF(A356="","",A356+1)</f>
        <v/>
      </c>
      <c r="B357">
        <f>IF($A357="",0,SUMIFS(InvoiceLines!$E$2:$E$4001,InvoiceLines!$B$2:$B$4001,$A357))</f>
        <v/>
      </c>
      <c r="C357" s="8">
        <f>IF($A357="",0,ROUND(SUMIFS(InvoiceLines!$G$2:$G$4001,InvoiceLines!$B$2:$B$4001,$A357),2))</f>
        <v/>
      </c>
    </row>
    <row r="358">
      <c r="A358" s="7">
        <f>IF(A357="","",A357+1)</f>
        <v/>
      </c>
      <c r="B358">
        <f>IF($A358="",0,SUMIFS(InvoiceLines!$E$2:$E$4001,InvoiceLines!$B$2:$B$4001,$A358))</f>
        <v/>
      </c>
      <c r="C358" s="8">
        <f>IF($A358="",0,ROUND(SUMIFS(InvoiceLines!$G$2:$G$4001,InvoiceLines!$B$2:$B$4001,$A358),2))</f>
        <v/>
      </c>
    </row>
    <row r="359">
      <c r="A359" s="7">
        <f>IF(A358="","",A358+1)</f>
        <v/>
      </c>
      <c r="B359">
        <f>IF($A359="",0,SUMIFS(InvoiceLines!$E$2:$E$4001,InvoiceLines!$B$2:$B$4001,$A359))</f>
        <v/>
      </c>
      <c r="C359" s="8">
        <f>IF($A359="",0,ROUND(SUMIFS(InvoiceLines!$G$2:$G$4001,InvoiceLines!$B$2:$B$4001,$A359),2))</f>
        <v/>
      </c>
    </row>
    <row r="360">
      <c r="A360" s="7">
        <f>IF(A359="","",A359+1)</f>
        <v/>
      </c>
      <c r="B360">
        <f>IF($A360="",0,SUMIFS(InvoiceLines!$E$2:$E$4001,InvoiceLines!$B$2:$B$4001,$A360))</f>
        <v/>
      </c>
      <c r="C360" s="8">
        <f>IF($A360="",0,ROUND(SUMIFS(InvoiceLines!$G$2:$G$4001,InvoiceLines!$B$2:$B$4001,$A360),2))</f>
        <v/>
      </c>
    </row>
    <row r="361">
      <c r="A361" s="7">
        <f>IF(A360="","",A360+1)</f>
        <v/>
      </c>
      <c r="B361">
        <f>IF($A361="",0,SUMIFS(InvoiceLines!$E$2:$E$4001,InvoiceLines!$B$2:$B$4001,$A361))</f>
        <v/>
      </c>
      <c r="C361" s="8">
        <f>IF($A361="",0,ROUND(SUMIFS(InvoiceLines!$G$2:$G$4001,InvoiceLines!$B$2:$B$4001,$A361),2))</f>
        <v/>
      </c>
    </row>
    <row r="362">
      <c r="A362" s="7">
        <f>IF(A361="","",A361+1)</f>
        <v/>
      </c>
      <c r="B362">
        <f>IF($A362="",0,SUMIFS(InvoiceLines!$E$2:$E$4001,InvoiceLines!$B$2:$B$4001,$A362))</f>
        <v/>
      </c>
      <c r="C362" s="8">
        <f>IF($A362="",0,ROUND(SUMIFS(InvoiceLines!$G$2:$G$4001,InvoiceLines!$B$2:$B$4001,$A362),2))</f>
        <v/>
      </c>
    </row>
    <row r="363">
      <c r="A363" s="7">
        <f>IF(A362="","",A362+1)</f>
        <v/>
      </c>
      <c r="B363">
        <f>IF($A363="",0,SUMIFS(InvoiceLines!$E$2:$E$4001,InvoiceLines!$B$2:$B$4001,$A363))</f>
        <v/>
      </c>
      <c r="C363" s="8">
        <f>IF($A363="",0,ROUND(SUMIFS(InvoiceLines!$G$2:$G$4001,InvoiceLines!$B$2:$B$4001,$A363),2))</f>
        <v/>
      </c>
    </row>
    <row r="364">
      <c r="A364" s="7">
        <f>IF(A363="","",A363+1)</f>
        <v/>
      </c>
      <c r="B364">
        <f>IF($A364="",0,SUMIFS(InvoiceLines!$E$2:$E$4001,InvoiceLines!$B$2:$B$4001,$A364))</f>
        <v/>
      </c>
      <c r="C364" s="8">
        <f>IF($A364="",0,ROUND(SUMIFS(InvoiceLines!$G$2:$G$4001,InvoiceLines!$B$2:$B$4001,$A364),2))</f>
        <v/>
      </c>
    </row>
    <row r="365">
      <c r="A365" s="7">
        <f>IF(A364="","",A364+1)</f>
        <v/>
      </c>
      <c r="B365">
        <f>IF($A365="",0,SUMIFS(InvoiceLines!$E$2:$E$4001,InvoiceLines!$B$2:$B$4001,$A365))</f>
        <v/>
      </c>
      <c r="C365" s="8">
        <f>IF($A365="",0,ROUND(SUMIFS(InvoiceLines!$G$2:$G$4001,InvoiceLines!$B$2:$B$4001,$A365),2))</f>
        <v/>
      </c>
    </row>
    <row r="366">
      <c r="A366" s="7">
        <f>IF(A365="","",A365+1)</f>
        <v/>
      </c>
      <c r="B366">
        <f>IF($A366="",0,SUMIFS(InvoiceLines!$E$2:$E$4001,InvoiceLines!$B$2:$B$4001,$A366))</f>
        <v/>
      </c>
      <c r="C366" s="8">
        <f>IF($A366="",0,ROUND(SUMIFS(InvoiceLines!$G$2:$G$4001,InvoiceLines!$B$2:$B$4001,$A366),2))</f>
        <v/>
      </c>
    </row>
    <row r="367">
      <c r="A367" s="7">
        <f>IF(A366="","",A366+1)</f>
        <v/>
      </c>
      <c r="B367">
        <f>IF($A367="",0,SUMIFS(InvoiceLines!$E$2:$E$4001,InvoiceLines!$B$2:$B$4001,$A367))</f>
        <v/>
      </c>
      <c r="C367" s="8">
        <f>IF($A367="",0,ROUND(SUMIFS(InvoiceLines!$G$2:$G$4001,InvoiceLines!$B$2:$B$4001,$A367),2))</f>
        <v/>
      </c>
    </row>
    <row r="368">
      <c r="A368" s="7">
        <f>IF(A367="","",A367+1)</f>
        <v/>
      </c>
      <c r="B368">
        <f>IF($A368="",0,SUMIFS(InvoiceLines!$E$2:$E$4001,InvoiceLines!$B$2:$B$4001,$A368))</f>
        <v/>
      </c>
      <c r="C368" s="8">
        <f>IF($A368="",0,ROUND(SUMIFS(InvoiceLines!$G$2:$G$4001,InvoiceLines!$B$2:$B$4001,$A368),2))</f>
        <v/>
      </c>
    </row>
    <row r="369">
      <c r="A369" s="7">
        <f>IF(A368="","",A368+1)</f>
        <v/>
      </c>
      <c r="B369">
        <f>IF($A369="",0,SUMIFS(InvoiceLines!$E$2:$E$4001,InvoiceLines!$B$2:$B$4001,$A369))</f>
        <v/>
      </c>
      <c r="C369" s="8">
        <f>IF($A369="",0,ROUND(SUMIFS(InvoiceLines!$G$2:$G$4001,InvoiceLines!$B$2:$B$4001,$A369),2))</f>
        <v/>
      </c>
    </row>
    <row r="370">
      <c r="A370" s="7">
        <f>IF(A369="","",A369+1)</f>
        <v/>
      </c>
      <c r="B370">
        <f>IF($A370="",0,SUMIFS(InvoiceLines!$E$2:$E$4001,InvoiceLines!$B$2:$B$4001,$A370))</f>
        <v/>
      </c>
      <c r="C370" s="8">
        <f>IF($A370="",0,ROUND(SUMIFS(InvoiceLines!$G$2:$G$4001,InvoiceLines!$B$2:$B$4001,$A370),2))</f>
        <v/>
      </c>
    </row>
    <row r="371">
      <c r="A371" s="7">
        <f>IF(A370="","",A370+1)</f>
        <v/>
      </c>
      <c r="B371">
        <f>IF($A371="",0,SUMIFS(InvoiceLines!$E$2:$E$4001,InvoiceLines!$B$2:$B$4001,$A371))</f>
        <v/>
      </c>
      <c r="C371" s="8">
        <f>IF($A371="",0,ROUND(SUMIFS(InvoiceLines!$G$2:$G$4001,InvoiceLines!$B$2:$B$4001,$A371),2))</f>
        <v/>
      </c>
    </row>
    <row r="372">
      <c r="A372" s="7">
        <f>IF(A371="","",A371+1)</f>
        <v/>
      </c>
      <c r="B372">
        <f>IF($A372="",0,SUMIFS(InvoiceLines!$E$2:$E$4001,InvoiceLines!$B$2:$B$4001,$A372))</f>
        <v/>
      </c>
      <c r="C372" s="8">
        <f>IF($A372="",0,ROUND(SUMIFS(InvoiceLines!$G$2:$G$4001,InvoiceLines!$B$2:$B$4001,$A372),2))</f>
        <v/>
      </c>
    </row>
    <row r="373">
      <c r="A373" s="7">
        <f>IF(A372="","",A372+1)</f>
        <v/>
      </c>
      <c r="B373">
        <f>IF($A373="",0,SUMIFS(InvoiceLines!$E$2:$E$4001,InvoiceLines!$B$2:$B$4001,$A373))</f>
        <v/>
      </c>
      <c r="C373" s="8">
        <f>IF($A373="",0,ROUND(SUMIFS(InvoiceLines!$G$2:$G$4001,InvoiceLines!$B$2:$B$4001,$A373),2))</f>
        <v/>
      </c>
    </row>
    <row r="374">
      <c r="A374" s="7">
        <f>IF(A373="","",A373+1)</f>
        <v/>
      </c>
      <c r="B374">
        <f>IF($A374="",0,SUMIFS(InvoiceLines!$E$2:$E$4001,InvoiceLines!$B$2:$B$4001,$A374))</f>
        <v/>
      </c>
      <c r="C374" s="8">
        <f>IF($A374="",0,ROUND(SUMIFS(InvoiceLines!$G$2:$G$4001,InvoiceLines!$B$2:$B$4001,$A374),2))</f>
        <v/>
      </c>
    </row>
    <row r="375">
      <c r="A375" s="7">
        <f>IF(A374="","",A374+1)</f>
        <v/>
      </c>
      <c r="B375">
        <f>IF($A375="",0,SUMIFS(InvoiceLines!$E$2:$E$4001,InvoiceLines!$B$2:$B$4001,$A375))</f>
        <v/>
      </c>
      <c r="C375" s="8">
        <f>IF($A375="",0,ROUND(SUMIFS(InvoiceLines!$G$2:$G$4001,InvoiceLines!$B$2:$B$4001,$A375),2))</f>
        <v/>
      </c>
    </row>
    <row r="376">
      <c r="A376" s="7">
        <f>IF(A375="","",A375+1)</f>
        <v/>
      </c>
      <c r="B376">
        <f>IF($A376="",0,SUMIFS(InvoiceLines!$E$2:$E$4001,InvoiceLines!$B$2:$B$4001,$A376))</f>
        <v/>
      </c>
      <c r="C376" s="8">
        <f>IF($A376="",0,ROUND(SUMIFS(InvoiceLines!$G$2:$G$4001,InvoiceLines!$B$2:$B$4001,$A376),2))</f>
        <v/>
      </c>
    </row>
    <row r="377">
      <c r="A377" s="7">
        <f>IF(A376="","",A376+1)</f>
        <v/>
      </c>
      <c r="B377">
        <f>IF($A377="",0,SUMIFS(InvoiceLines!$E$2:$E$4001,InvoiceLines!$B$2:$B$4001,$A377))</f>
        <v/>
      </c>
      <c r="C377" s="8">
        <f>IF($A377="",0,ROUND(SUMIFS(InvoiceLines!$G$2:$G$4001,InvoiceLines!$B$2:$B$4001,$A377),2))</f>
        <v/>
      </c>
    </row>
    <row r="378">
      <c r="A378" s="7">
        <f>IF(A377="","",A377+1)</f>
        <v/>
      </c>
      <c r="B378">
        <f>IF($A378="",0,SUMIFS(InvoiceLines!$E$2:$E$4001,InvoiceLines!$B$2:$B$4001,$A378))</f>
        <v/>
      </c>
      <c r="C378" s="8">
        <f>IF($A378="",0,ROUND(SUMIFS(InvoiceLines!$G$2:$G$4001,InvoiceLines!$B$2:$B$4001,$A378),2))</f>
        <v/>
      </c>
    </row>
    <row r="379">
      <c r="A379" s="7">
        <f>IF(A378="","",A378+1)</f>
        <v/>
      </c>
      <c r="B379">
        <f>IF($A379="",0,SUMIFS(InvoiceLines!$E$2:$E$4001,InvoiceLines!$B$2:$B$4001,$A379))</f>
        <v/>
      </c>
      <c r="C379" s="8">
        <f>IF($A379="",0,ROUND(SUMIFS(InvoiceLines!$G$2:$G$4001,InvoiceLines!$B$2:$B$4001,$A379),2))</f>
        <v/>
      </c>
    </row>
    <row r="380">
      <c r="A380" s="7">
        <f>IF(A379="","",A379+1)</f>
        <v/>
      </c>
      <c r="B380">
        <f>IF($A380="",0,SUMIFS(InvoiceLines!$E$2:$E$4001,InvoiceLines!$B$2:$B$4001,$A380))</f>
        <v/>
      </c>
      <c r="C380" s="8">
        <f>IF($A380="",0,ROUND(SUMIFS(InvoiceLines!$G$2:$G$4001,InvoiceLines!$B$2:$B$4001,$A380),2))</f>
        <v/>
      </c>
    </row>
    <row r="381">
      <c r="A381" s="7">
        <f>IF(A380="","",A380+1)</f>
        <v/>
      </c>
      <c r="B381">
        <f>IF($A381="",0,SUMIFS(InvoiceLines!$E$2:$E$4001,InvoiceLines!$B$2:$B$4001,$A381))</f>
        <v/>
      </c>
      <c r="C381" s="8">
        <f>IF($A381="",0,ROUND(SUMIFS(InvoiceLines!$G$2:$G$4001,InvoiceLines!$B$2:$B$4001,$A381),2))</f>
        <v/>
      </c>
    </row>
    <row r="382">
      <c r="A382" s="7">
        <f>IF(A381="","",A381+1)</f>
        <v/>
      </c>
      <c r="B382">
        <f>IF($A382="",0,SUMIFS(InvoiceLines!$E$2:$E$4001,InvoiceLines!$B$2:$B$4001,$A382))</f>
        <v/>
      </c>
      <c r="C382" s="8">
        <f>IF($A382="",0,ROUND(SUMIFS(InvoiceLines!$G$2:$G$4001,InvoiceLines!$B$2:$B$4001,$A382),2))</f>
        <v/>
      </c>
    </row>
    <row r="383">
      <c r="A383" s="7">
        <f>IF(A382="","",A382+1)</f>
        <v/>
      </c>
      <c r="B383">
        <f>IF($A383="",0,SUMIFS(InvoiceLines!$E$2:$E$4001,InvoiceLines!$B$2:$B$4001,$A383))</f>
        <v/>
      </c>
      <c r="C383" s="8">
        <f>IF($A383="",0,ROUND(SUMIFS(InvoiceLines!$G$2:$G$4001,InvoiceLines!$B$2:$B$4001,$A383),2))</f>
        <v/>
      </c>
    </row>
    <row r="384">
      <c r="A384" s="7">
        <f>IF(A383="","",A383+1)</f>
        <v/>
      </c>
      <c r="B384">
        <f>IF($A384="",0,SUMIFS(InvoiceLines!$E$2:$E$4001,InvoiceLines!$B$2:$B$4001,$A384))</f>
        <v/>
      </c>
      <c r="C384" s="8">
        <f>IF($A384="",0,ROUND(SUMIFS(InvoiceLines!$G$2:$G$4001,InvoiceLines!$B$2:$B$4001,$A384),2))</f>
        <v/>
      </c>
    </row>
    <row r="385">
      <c r="A385" s="7">
        <f>IF(A384="","",A384+1)</f>
        <v/>
      </c>
      <c r="B385">
        <f>IF($A385="",0,SUMIFS(InvoiceLines!$E$2:$E$4001,InvoiceLines!$B$2:$B$4001,$A385))</f>
        <v/>
      </c>
      <c r="C385" s="8">
        <f>IF($A385="",0,ROUND(SUMIFS(InvoiceLines!$G$2:$G$4001,InvoiceLines!$B$2:$B$4001,$A385),2))</f>
        <v/>
      </c>
    </row>
    <row r="386">
      <c r="A386" s="7">
        <f>IF(A385="","",A385+1)</f>
        <v/>
      </c>
      <c r="B386">
        <f>IF($A386="",0,SUMIFS(InvoiceLines!$E$2:$E$4001,InvoiceLines!$B$2:$B$4001,$A386))</f>
        <v/>
      </c>
      <c r="C386" s="8">
        <f>IF($A386="",0,ROUND(SUMIFS(InvoiceLines!$G$2:$G$4001,InvoiceLines!$B$2:$B$4001,$A386),2))</f>
        <v/>
      </c>
    </row>
    <row r="387">
      <c r="A387" s="7">
        <f>IF(A386="","",A386+1)</f>
        <v/>
      </c>
      <c r="B387">
        <f>IF($A387="",0,SUMIFS(InvoiceLines!$E$2:$E$4001,InvoiceLines!$B$2:$B$4001,$A387))</f>
        <v/>
      </c>
      <c r="C387" s="8">
        <f>IF($A387="",0,ROUND(SUMIFS(InvoiceLines!$G$2:$G$4001,InvoiceLines!$B$2:$B$4001,$A387),2))</f>
        <v/>
      </c>
    </row>
    <row r="388">
      <c r="A388" s="7">
        <f>IF(A387="","",A387+1)</f>
        <v/>
      </c>
      <c r="B388">
        <f>IF($A388="",0,SUMIFS(InvoiceLines!$E$2:$E$4001,InvoiceLines!$B$2:$B$4001,$A388))</f>
        <v/>
      </c>
      <c r="C388" s="8">
        <f>IF($A388="",0,ROUND(SUMIFS(InvoiceLines!$G$2:$G$4001,InvoiceLines!$B$2:$B$4001,$A388),2))</f>
        <v/>
      </c>
    </row>
    <row r="389">
      <c r="A389" s="7">
        <f>IF(A388="","",A388+1)</f>
        <v/>
      </c>
      <c r="B389">
        <f>IF($A389="",0,SUMIFS(InvoiceLines!$E$2:$E$4001,InvoiceLines!$B$2:$B$4001,$A389))</f>
        <v/>
      </c>
      <c r="C389" s="8">
        <f>IF($A389="",0,ROUND(SUMIFS(InvoiceLines!$G$2:$G$4001,InvoiceLines!$B$2:$B$4001,$A389),2))</f>
        <v/>
      </c>
    </row>
    <row r="390">
      <c r="A390" s="7">
        <f>IF(A389="","",A389+1)</f>
        <v/>
      </c>
      <c r="B390">
        <f>IF($A390="",0,SUMIFS(InvoiceLines!$E$2:$E$4001,InvoiceLines!$B$2:$B$4001,$A390))</f>
        <v/>
      </c>
      <c r="C390" s="8">
        <f>IF($A390="",0,ROUND(SUMIFS(InvoiceLines!$G$2:$G$4001,InvoiceLines!$B$2:$B$4001,$A390),2))</f>
        <v/>
      </c>
    </row>
    <row r="391">
      <c r="A391" s="7">
        <f>IF(A390="","",A390+1)</f>
        <v/>
      </c>
      <c r="B391">
        <f>IF($A391="",0,SUMIFS(InvoiceLines!$E$2:$E$4001,InvoiceLines!$B$2:$B$4001,$A391))</f>
        <v/>
      </c>
      <c r="C391" s="8">
        <f>IF($A391="",0,ROUND(SUMIFS(InvoiceLines!$G$2:$G$4001,InvoiceLines!$B$2:$B$4001,$A391),2))</f>
        <v/>
      </c>
    </row>
    <row r="392">
      <c r="A392" s="7">
        <f>IF(A391="","",A391+1)</f>
        <v/>
      </c>
      <c r="B392">
        <f>IF($A392="",0,SUMIFS(InvoiceLines!$E$2:$E$4001,InvoiceLines!$B$2:$B$4001,$A392))</f>
        <v/>
      </c>
      <c r="C392" s="8">
        <f>IF($A392="",0,ROUND(SUMIFS(InvoiceLines!$G$2:$G$4001,InvoiceLines!$B$2:$B$4001,$A392),2))</f>
        <v/>
      </c>
    </row>
    <row r="393">
      <c r="A393" s="7">
        <f>IF(A392="","",A392+1)</f>
        <v/>
      </c>
      <c r="B393">
        <f>IF($A393="",0,SUMIFS(InvoiceLines!$E$2:$E$4001,InvoiceLines!$B$2:$B$4001,$A393))</f>
        <v/>
      </c>
      <c r="C393" s="8">
        <f>IF($A393="",0,ROUND(SUMIFS(InvoiceLines!$G$2:$G$4001,InvoiceLines!$B$2:$B$4001,$A393),2))</f>
        <v/>
      </c>
    </row>
    <row r="394">
      <c r="A394" s="7">
        <f>IF(A393="","",A393+1)</f>
        <v/>
      </c>
      <c r="B394">
        <f>IF($A394="",0,SUMIFS(InvoiceLines!$E$2:$E$4001,InvoiceLines!$B$2:$B$4001,$A394))</f>
        <v/>
      </c>
      <c r="C394" s="8">
        <f>IF($A394="",0,ROUND(SUMIFS(InvoiceLines!$G$2:$G$4001,InvoiceLines!$B$2:$B$4001,$A394),2))</f>
        <v/>
      </c>
    </row>
    <row r="395">
      <c r="A395" s="7">
        <f>IF(A394="","",A394+1)</f>
        <v/>
      </c>
      <c r="B395">
        <f>IF($A395="",0,SUMIFS(InvoiceLines!$E$2:$E$4001,InvoiceLines!$B$2:$B$4001,$A395))</f>
        <v/>
      </c>
      <c r="C395" s="8">
        <f>IF($A395="",0,ROUND(SUMIFS(InvoiceLines!$G$2:$G$4001,InvoiceLines!$B$2:$B$4001,$A395),2))</f>
        <v/>
      </c>
    </row>
    <row r="396">
      <c r="A396" s="7">
        <f>IF(A395="","",A395+1)</f>
        <v/>
      </c>
      <c r="B396">
        <f>IF($A396="",0,SUMIFS(InvoiceLines!$E$2:$E$4001,InvoiceLines!$B$2:$B$4001,$A396))</f>
        <v/>
      </c>
      <c r="C396" s="8">
        <f>IF($A396="",0,ROUND(SUMIFS(InvoiceLines!$G$2:$G$4001,InvoiceLines!$B$2:$B$4001,$A396),2))</f>
        <v/>
      </c>
    </row>
    <row r="397">
      <c r="A397" s="7">
        <f>IF(A396="","",A396+1)</f>
        <v/>
      </c>
      <c r="B397">
        <f>IF($A397="",0,SUMIFS(InvoiceLines!$E$2:$E$4001,InvoiceLines!$B$2:$B$4001,$A397))</f>
        <v/>
      </c>
      <c r="C397" s="8">
        <f>IF($A397="",0,ROUND(SUMIFS(InvoiceLines!$G$2:$G$4001,InvoiceLines!$B$2:$B$4001,$A397),2))</f>
        <v/>
      </c>
    </row>
    <row r="398">
      <c r="A398" s="7">
        <f>IF(A397="","",A397+1)</f>
        <v/>
      </c>
      <c r="B398">
        <f>IF($A398="",0,SUMIFS(InvoiceLines!$E$2:$E$4001,InvoiceLines!$B$2:$B$4001,$A398))</f>
        <v/>
      </c>
      <c r="C398" s="8">
        <f>IF($A398="",0,ROUND(SUMIFS(InvoiceLines!$G$2:$G$4001,InvoiceLines!$B$2:$B$4001,$A398),2))</f>
        <v/>
      </c>
    </row>
    <row r="399">
      <c r="A399" s="7">
        <f>IF(A398="","",A398+1)</f>
        <v/>
      </c>
      <c r="B399">
        <f>IF($A399="",0,SUMIFS(InvoiceLines!$E$2:$E$4001,InvoiceLines!$B$2:$B$4001,$A399))</f>
        <v/>
      </c>
      <c r="C399" s="8">
        <f>IF($A399="",0,ROUND(SUMIFS(InvoiceLines!$G$2:$G$4001,InvoiceLines!$B$2:$B$4001,$A399),2))</f>
        <v/>
      </c>
    </row>
    <row r="400">
      <c r="A400" s="7">
        <f>IF(A399="","",A399+1)</f>
        <v/>
      </c>
      <c r="B400">
        <f>IF($A400="",0,SUMIFS(InvoiceLines!$E$2:$E$4001,InvoiceLines!$B$2:$B$4001,$A400))</f>
        <v/>
      </c>
      <c r="C400" s="8">
        <f>IF($A400="",0,ROUND(SUMIFS(InvoiceLines!$G$2:$G$4001,InvoiceLines!$B$2:$B$4001,$A400),2))</f>
        <v/>
      </c>
    </row>
    <row r="401">
      <c r="A401" s="7">
        <f>IF(A400="","",A400+1)</f>
        <v/>
      </c>
      <c r="B401">
        <f>IF($A401="",0,SUMIFS(InvoiceLines!$E$2:$E$4001,InvoiceLines!$B$2:$B$4001,$A401))</f>
        <v/>
      </c>
      <c r="C401" s="8">
        <f>IF($A401="",0,ROUND(SUMIFS(InvoiceLines!$G$2:$G$4001,InvoiceLines!$B$2:$B$4001,$A401),2))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4" customWidth="1" min="1" max="1"/>
    <col width="10" customWidth="1" min="2" max="2"/>
    <col width="34" customWidth="1" min="3" max="3"/>
  </cols>
  <sheetData>
    <row r="1">
      <c r="A1" s="6" t="inlineStr">
        <is>
          <t>Check</t>
        </is>
      </c>
      <c r="B1" s="6" t="inlineStr">
        <is>
          <t>Result</t>
        </is>
      </c>
      <c r="C1" s="6" t="inlineStr">
        <is>
          <t>What it proves</t>
        </is>
      </c>
    </row>
    <row r="2">
      <c r="A2" t="inlineStr">
        <is>
          <t>Invoice grand totals = subtotal + GST</t>
        </is>
      </c>
      <c r="B2" s="11">
        <f>SUM(Invoices!$F$2:$F$501)=SUM(Invoices!$D$2:$D$501)+SUM(Invoices!$E$2:$E$501)</f>
        <v/>
      </c>
      <c r="C2" t="inlineStr">
        <is>
          <t>Register math ties out</t>
        </is>
      </c>
    </row>
    <row r="3">
      <c r="A3" t="inlineStr">
        <is>
          <t>Every line total = ROUND(qty × rate, 2)</t>
        </is>
      </c>
      <c r="B3" s="11">
        <f>SUMPRODUCT((InvoiceLines!$G$2:$G$4001&lt;&gt;ROUND(InvoiceLines!$E$2:$E$4001*InvoiceLines!$F$2:$F$4001,2))*(InvoiceLines!$A$2:$A$4001&lt;&gt;""))=0</f>
        <v/>
      </c>
      <c r="C3" t="inlineStr">
        <is>
          <t>No line-item pricing errors</t>
        </is>
      </c>
    </row>
    <row r="4">
      <c r="A4" t="inlineStr">
        <is>
          <t>GST ≈ 18% of taxable (within rounding)</t>
        </is>
      </c>
      <c r="B4" s="11">
        <f>ABS(SUM(Invoices!$E$2:$E$501)-SUM(Invoices!$D$2:$D$501)*0.18)&lt;0.5</f>
        <v/>
      </c>
      <c r="C4" t="inlineStr">
        <is>
          <t>Tax math sane</t>
        </is>
      </c>
    </row>
    <row r="5">
      <c r="A5" t="inlineStr">
        <is>
          <t>No negative closing stock</t>
        </is>
      </c>
      <c r="B5" s="11">
        <f>SUMPRODUCT((Inventory!$F$2:$F$21&lt;0)*1)=0</f>
        <v/>
      </c>
      <c r="C5" t="inlineStr">
        <is>
          <t>Stock counts consistent</t>
        </is>
      </c>
    </row>
    <row r="6">
      <c r="A6" t="inlineStr">
        <is>
          <t>Invoice numbers unique</t>
        </is>
      </c>
      <c r="B6" s="11">
        <f>SUMPRODUCT((COUNTIF(Invoices!$A$2:$A$501,Invoices!$A$2:$A$501)&gt;1)*(Invoices!$A$2:$A$501&lt;&gt;""))=0</f>
        <v/>
      </c>
      <c r="C6" t="inlineStr">
        <is>
          <t>No duplicate invoices</t>
        </is>
      </c>
    </row>
    <row r="7">
      <c r="A7" t="inlineStr">
        <is>
          <t>Balance = grand − paid on every invoice</t>
        </is>
      </c>
      <c r="B7" s="11">
        <f>SUMPRODUCT(ABS(Invoices!$H$2:$H$501-(Invoices!$F$2:$F$501-Invoices!$G$2:$G$501)))&lt;0.01</f>
        <v/>
      </c>
      <c r="C7" t="inlineStr">
        <is>
          <t>Receivables reconcile</t>
        </is>
      </c>
    </row>
    <row r="8">
      <c r="A8" t="inlineStr">
        <is>
          <t>GST summary ties to invoice register</t>
        </is>
      </c>
      <c r="B8" s="11">
        <f>ABS(SUM(GST_Summary!$B$2:$B$7)-SUM(Invoices!$D$2:$D$501))&lt;0.01</f>
        <v/>
      </c>
      <c r="C8" t="inlineStr">
        <is>
          <t>Monthly tax report reconciles</t>
        </is>
      </c>
    </row>
    <row r="9">
      <c r="A9" t="inlineStr">
        <is>
          <t>Daily revenue ties to invoice lines</t>
        </is>
      </c>
      <c r="B9" s="11">
        <f>ABS(SUM(Daily!$C$2:$C$401)-SUM(InvoiceLines!$G$2:$G$4001))&lt;0.01</f>
        <v/>
      </c>
      <c r="C9" t="inlineStr">
        <is>
          <t>Daily trend reconciles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30" customWidth="1" min="2" max="2"/>
  </cols>
  <sheetData>
    <row r="1">
      <c r="A1" s="12" t="inlineStr">
        <is>
          <t>AquaBill — operator guide (AquaPure Distributors, Patna)</t>
        </is>
      </c>
      <c r="B1" s="13" t="inlineStr"/>
    </row>
    <row r="2">
      <c r="A2" s="14" t="inlineStr"/>
      <c r="B2" s="13" t="inlineStr"/>
    </row>
    <row r="3">
      <c r="A3" s="14" t="inlineStr">
        <is>
          <t>What this is</t>
        </is>
      </c>
      <c r="B3" s="13" t="inlineStr">
        <is>
          <t>One workbook that runs billing, sales tracking and inventory for a packaged drinking-water distributor. Every figure is a live formula over the raw tables — paste new rows and the dashboard, GST summary and stock levels update.</t>
        </is>
      </c>
    </row>
    <row r="4">
      <c r="A4" s="14" t="inlineStr">
        <is>
          <t>Add an invoice</t>
        </is>
      </c>
      <c r="B4" s="13" t="inlineStr">
        <is>
          <t>1) Append one row per line item on InvoiceLines (Inv No, Date, Line, SKU, Qty, Rate). 2) Append one row on Invoices (Inv No, Date, Customer, Paid). Subtotal, GST, Grand, Balance and Status compute themselves.</t>
        </is>
      </c>
    </row>
    <row r="5">
      <c r="A5" s="14" t="inlineStr">
        <is>
          <t>Record stock-in</t>
        </is>
      </c>
      <c r="B5" s="13" t="inlineStr">
        <is>
          <t>Append rows on Purchases (Date, SKU, Lot No, Qty, Rate). Inventory 'Purchased In' and 'Closing Stock' update automatically.</t>
        </is>
      </c>
    </row>
    <row r="6">
      <c r="A6" s="14" t="inlineStr">
        <is>
          <t>Record a payment</t>
        </is>
      </c>
      <c r="B6" s="13" t="inlineStr">
        <is>
          <t>Update the Paid column on the invoice's row in Invoices. Balance and Status (Paid / Partial / Unpaid) recalc; Outstanding receivables on the dashboard follows.</t>
        </is>
      </c>
    </row>
    <row r="7">
      <c r="A7" s="14" t="inlineStr">
        <is>
          <t>Change the GST rate</t>
        </is>
      </c>
      <c r="B7" s="13" t="inlineStr">
        <is>
          <t>Find/replace '18%' in the Invoices sheet formulas (and 9% in GST_Summary). The Checks sheet will confirm the new rate ties out.</t>
        </is>
      </c>
    </row>
    <row r="8">
      <c r="A8" s="14" t="inlineStr">
        <is>
          <t>Trust but verify</t>
        </is>
      </c>
      <c r="B8" s="13" t="inlineStr">
        <is>
          <t>Open the Checks sheet after every paste — all 8 checks must read TRUE. They reconcile the register, tax, stock and daily trend against each other.</t>
        </is>
      </c>
    </row>
    <row r="9">
      <c r="A9" s="14" t="inlineStr">
        <is>
          <t>Note</t>
        </is>
      </c>
      <c r="B9" s="13" t="inlineStr">
        <is>
          <t>All customers, transactions and figures are fictional demo data generated deterministically (generate.py --seed 20261013) for evaluation.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2026-10-13T02:40:27+00:00Z</dcterms:created>
  <dcterms:modified xmlns:dcterms="http://purl.org/dc/terms/" xmlns:xsi="http://www.w3.org/2001/XMLSchema-instance" xsi:type="dcterms:W3CDTF">2026-10-13T02:40:27+00:00Z</dcterms:modified>
</cp:coreProperties>
</file>