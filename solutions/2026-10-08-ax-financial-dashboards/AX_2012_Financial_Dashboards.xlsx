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KPI Dashboard" sheetId="4" state="visible" r:id="rId4"/>
    <sheet xmlns:r="http://schemas.openxmlformats.org/officeDocument/2006/relationships" name="ChartData" sheetId="5" state="visible" r:id="rId5"/>
    <sheet xmlns:r="http://schemas.openxmlformats.org/officeDocument/2006/relationships"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1"/>
    </font>
    <font>
      <b val="1"/>
      <sz val="11"/>
    </font>
    <font>
      <i val="1"/>
    </font>
    <font>
      <b val="1"/>
      <color rgb="001F3864"/>
      <sz val="13"/>
    </font>
    <font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top style="thin">
        <color rgb="00BFBFBF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2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'ChartData'!$A$2:$A$13</f>
            </numRef>
          </cat>
          <val>
            <numRef>
              <f>'ChartData'!$B$2:$B$13</f>
            </numRef>
          </val>
        </ser>
        <ser>
          <idx val="1"/>
          <order val="1"/>
          <tx>
            <strRef>
              <f>'ChartData'!C1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'ChartData'!$A$2:$A$13</f>
            </numRef>
          </cat>
          <val>
            <numRef>
              <f>'ChartData'!$C$2:$C$13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Income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'ChartData'!$A$2:$A$13</f>
            </numRef>
          </cat>
          <val>
            <numRef>
              <f>'ChartData'!$D$2:$D$13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Expense Breakdown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'Income Statement'!$B$9:$B$18</f>
            </numRef>
          </cat>
          <val>
            <numRef>
              <f>'Income Statement'!$O$9:$O$18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24" customWidth="1" min="4" max="4"/>
    <col width="16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FiscalYear</t>
        </is>
      </c>
      <c r="B1" s="1" t="inlineStr">
        <is>
          <t>Period</t>
        </is>
      </c>
      <c r="C1" s="1" t="inlineStr">
        <is>
          <t>MainAccount</t>
        </is>
      </c>
      <c r="D1" s="1" t="inlineStr">
        <is>
          <t>AccountName</t>
        </is>
      </c>
      <c r="E1" s="1" t="inlineStr">
        <is>
          <t>AccountCategory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Signed</t>
        </is>
      </c>
    </row>
    <row r="2">
      <c r="A2" t="n">
        <v>2026</v>
      </c>
      <c r="B2" t="n">
        <v>1</v>
      </c>
      <c r="C2" t="inlineStr">
        <is>
          <t>401000</t>
        </is>
      </c>
      <c r="D2" t="inlineStr">
        <is>
          <t>Product Sales</t>
        </is>
      </c>
      <c r="E2" t="inlineStr">
        <is>
          <t>Revenue</t>
        </is>
      </c>
      <c r="F2" s="3" t="n">
        <v>0</v>
      </c>
      <c r="G2" s="3" t="n">
        <v>142367.1</v>
      </c>
      <c r="H2" s="3" t="n">
        <v>142367.1</v>
      </c>
    </row>
    <row r="3">
      <c r="A3" t="n">
        <v>2026</v>
      </c>
      <c r="B3" t="n">
        <v>1</v>
      </c>
      <c r="C3" t="inlineStr">
        <is>
          <t>402000</t>
        </is>
      </c>
      <c r="D3" t="inlineStr">
        <is>
          <t>Service Revenue</t>
        </is>
      </c>
      <c r="E3" t="inlineStr">
        <is>
          <t>Revenue</t>
        </is>
      </c>
      <c r="F3" s="3" t="n">
        <v>0</v>
      </c>
      <c r="G3" s="3" t="n">
        <v>34180.66</v>
      </c>
      <c r="H3" s="3" t="n">
        <v>34180.66</v>
      </c>
    </row>
    <row r="4">
      <c r="A4" t="n">
        <v>2026</v>
      </c>
      <c r="B4" t="n">
        <v>1</v>
      </c>
      <c r="C4" t="inlineStr">
        <is>
          <t>403000</t>
        </is>
      </c>
      <c r="D4" t="inlineStr">
        <is>
          <t>Other Income</t>
        </is>
      </c>
      <c r="E4" t="inlineStr">
        <is>
          <t>Revenue</t>
        </is>
      </c>
      <c r="F4" s="3" t="n">
        <v>0</v>
      </c>
      <c r="G4" s="3" t="n">
        <v>5813.09</v>
      </c>
      <c r="H4" s="3" t="n">
        <v>5813.09</v>
      </c>
    </row>
    <row r="5">
      <c r="A5" t="n">
        <v>2026</v>
      </c>
      <c r="B5" t="n">
        <v>1</v>
      </c>
      <c r="C5" t="inlineStr">
        <is>
          <t>501000</t>
        </is>
      </c>
      <c r="D5" t="inlineStr">
        <is>
          <t>Cost of Goods Sold</t>
        </is>
      </c>
      <c r="E5" t="inlineStr">
        <is>
          <t>Expense</t>
        </is>
      </c>
      <c r="F5" s="3" t="n">
        <v>76931.2</v>
      </c>
      <c r="G5" s="3" t="n">
        <v>0</v>
      </c>
      <c r="H5" s="3" t="n">
        <v>76931.2</v>
      </c>
    </row>
    <row r="6">
      <c r="A6" t="n">
        <v>2026</v>
      </c>
      <c r="B6" t="n">
        <v>1</v>
      </c>
      <c r="C6" t="inlineStr">
        <is>
          <t>502000</t>
        </is>
      </c>
      <c r="D6" t="inlineStr">
        <is>
          <t>Salaries &amp; Benefits</t>
        </is>
      </c>
      <c r="E6" t="inlineStr">
        <is>
          <t>Expense</t>
        </is>
      </c>
      <c r="F6" s="3" t="n">
        <v>48848.16</v>
      </c>
      <c r="G6" s="3" t="n">
        <v>0</v>
      </c>
      <c r="H6" s="3" t="n">
        <v>48848.16</v>
      </c>
    </row>
    <row r="7">
      <c r="A7" t="n">
        <v>2026</v>
      </c>
      <c r="B7" t="n">
        <v>1</v>
      </c>
      <c r="C7" t="inlineStr">
        <is>
          <t>503000</t>
        </is>
      </c>
      <c r="D7" t="inlineStr">
        <is>
          <t>Rent &amp; Facilities</t>
        </is>
      </c>
      <c r="E7" t="inlineStr">
        <is>
          <t>Expense</t>
        </is>
      </c>
      <c r="F7" s="3" t="n">
        <v>12000</v>
      </c>
      <c r="G7" s="3" t="n">
        <v>0</v>
      </c>
      <c r="H7" s="3" t="n">
        <v>12000</v>
      </c>
    </row>
    <row r="8">
      <c r="A8" t="n">
        <v>2026</v>
      </c>
      <c r="B8" t="n">
        <v>1</v>
      </c>
      <c r="C8" t="inlineStr">
        <is>
          <t>504000</t>
        </is>
      </c>
      <c r="D8" t="inlineStr">
        <is>
          <t>Marketing &amp; Advertising</t>
        </is>
      </c>
      <c r="E8" t="inlineStr">
        <is>
          <t>Expense</t>
        </is>
      </c>
      <c r="F8" s="3" t="n">
        <v>10411.85</v>
      </c>
      <c r="G8" s="3" t="n">
        <v>0</v>
      </c>
      <c r="H8" s="3" t="n">
        <v>10411.85</v>
      </c>
    </row>
    <row r="9">
      <c r="A9" t="n">
        <v>2026</v>
      </c>
      <c r="B9" t="n">
        <v>1</v>
      </c>
      <c r="C9" t="inlineStr">
        <is>
          <t>505000</t>
        </is>
      </c>
      <c r="D9" t="inlineStr">
        <is>
          <t>Travel &amp; Entertainment</t>
        </is>
      </c>
      <c r="E9" t="inlineStr">
        <is>
          <t>Expense</t>
        </is>
      </c>
      <c r="F9" s="3" t="n">
        <v>4760.82</v>
      </c>
      <c r="G9" s="3" t="n">
        <v>0</v>
      </c>
      <c r="H9" s="3" t="n">
        <v>4760.82</v>
      </c>
    </row>
    <row r="10">
      <c r="A10" t="n">
        <v>2026</v>
      </c>
      <c r="B10" t="n">
        <v>1</v>
      </c>
      <c r="C10" t="inlineStr">
        <is>
          <t>506000</t>
        </is>
      </c>
      <c r="D10" t="inlineStr">
        <is>
          <t>IT &amp; Software</t>
        </is>
      </c>
      <c r="E10" t="inlineStr">
        <is>
          <t>Expense</t>
        </is>
      </c>
      <c r="F10" s="3" t="n">
        <v>3937.54</v>
      </c>
      <c r="G10" s="3" t="n">
        <v>0</v>
      </c>
      <c r="H10" s="3" t="n">
        <v>3937.54</v>
      </c>
    </row>
    <row r="11">
      <c r="A11" t="n">
        <v>2026</v>
      </c>
      <c r="B11" t="n">
        <v>1</v>
      </c>
      <c r="C11" t="inlineStr">
        <is>
          <t>507000</t>
        </is>
      </c>
      <c r="D11" t="inlineStr">
        <is>
          <t>Utilities</t>
        </is>
      </c>
      <c r="E11" t="inlineStr">
        <is>
          <t>Expense</t>
        </is>
      </c>
      <c r="F11" s="3" t="n">
        <v>2264.9</v>
      </c>
      <c r="G11" s="3" t="n">
        <v>0</v>
      </c>
      <c r="H11" s="3" t="n">
        <v>2264.9</v>
      </c>
    </row>
    <row r="12">
      <c r="A12" t="n">
        <v>2026</v>
      </c>
      <c r="B12" t="n">
        <v>1</v>
      </c>
      <c r="C12" t="inlineStr">
        <is>
          <t>508000</t>
        </is>
      </c>
      <c r="D12" t="inlineStr">
        <is>
          <t>Depreciation</t>
        </is>
      </c>
      <c r="E12" t="inlineStr">
        <is>
          <t>Expense</t>
        </is>
      </c>
      <c r="F12" s="3" t="n">
        <v>7000</v>
      </c>
      <c r="G12" s="3" t="n">
        <v>0</v>
      </c>
      <c r="H12" s="3" t="n">
        <v>7000</v>
      </c>
    </row>
    <row r="13">
      <c r="A13" t="n">
        <v>2026</v>
      </c>
      <c r="B13" t="n">
        <v>1</v>
      </c>
      <c r="C13" t="inlineStr">
        <is>
          <t>509000</t>
        </is>
      </c>
      <c r="D13" t="inlineStr">
        <is>
          <t>Interest Expense</t>
        </is>
      </c>
      <c r="E13" t="inlineStr">
        <is>
          <t>Expense</t>
        </is>
      </c>
      <c r="F13" s="3" t="n">
        <v>3000</v>
      </c>
      <c r="G13" s="3" t="n">
        <v>0</v>
      </c>
      <c r="H13" s="3" t="n">
        <v>3000</v>
      </c>
    </row>
    <row r="14">
      <c r="A14" t="n">
        <v>2026</v>
      </c>
      <c r="B14" t="n">
        <v>1</v>
      </c>
      <c r="C14" t="inlineStr">
        <is>
          <t>510000</t>
        </is>
      </c>
      <c r="D14" t="inlineStr">
        <is>
          <t>Tax Provision</t>
        </is>
      </c>
      <c r="E14" t="inlineStr">
        <is>
          <t>Expense</t>
        </is>
      </c>
      <c r="F14" s="3" t="n">
        <v>2905.41</v>
      </c>
      <c r="G14" s="3" t="n">
        <v>0</v>
      </c>
      <c r="H14" s="3" t="n">
        <v>2905.41</v>
      </c>
    </row>
    <row r="15">
      <c r="A15" t="n">
        <v>2026</v>
      </c>
      <c r="B15" t="n">
        <v>1</v>
      </c>
      <c r="C15" t="inlineStr">
        <is>
          <t>101000</t>
        </is>
      </c>
      <c r="D15" t="inlineStr">
        <is>
          <t>Cash &amp; Bank</t>
        </is>
      </c>
      <c r="E15" t="inlineStr">
        <is>
          <t>Asset</t>
        </is>
      </c>
      <c r="F15" s="3" t="n">
        <v>84415.11</v>
      </c>
      <c r="G15" s="3" t="n">
        <v>0</v>
      </c>
      <c r="H15" s="3" t="n">
        <v>84415.11</v>
      </c>
    </row>
    <row r="16">
      <c r="A16" t="n">
        <v>2026</v>
      </c>
      <c r="B16" t="n">
        <v>1</v>
      </c>
      <c r="C16" t="inlineStr">
        <is>
          <t>102000</t>
        </is>
      </c>
      <c r="D16" t="inlineStr">
        <is>
          <t>Accounts Receivable</t>
        </is>
      </c>
      <c r="E16" t="inlineStr">
        <is>
          <t>Asset</t>
        </is>
      </c>
      <c r="F16" s="3" t="n">
        <v>25878.84</v>
      </c>
      <c r="G16" s="3" t="n">
        <v>0</v>
      </c>
      <c r="H16" s="3" t="n">
        <v>25878.84</v>
      </c>
    </row>
    <row r="17">
      <c r="A17" t="n">
        <v>2026</v>
      </c>
      <c r="B17" t="n">
        <v>1</v>
      </c>
      <c r="C17" t="inlineStr">
        <is>
          <t>103000</t>
        </is>
      </c>
      <c r="D17" t="inlineStr">
        <is>
          <t>Inventory</t>
        </is>
      </c>
      <c r="E17" t="inlineStr">
        <is>
          <t>Asset</t>
        </is>
      </c>
      <c r="F17" s="3" t="n">
        <v>90558.16</v>
      </c>
      <c r="G17" s="3" t="n">
        <v>0</v>
      </c>
      <c r="H17" s="3" t="n">
        <v>90558.16</v>
      </c>
    </row>
    <row r="18">
      <c r="A18" t="n">
        <v>2026</v>
      </c>
      <c r="B18" t="n">
        <v>1</v>
      </c>
      <c r="C18" t="inlineStr">
        <is>
          <t>104000</t>
        </is>
      </c>
      <c r="D18" t="inlineStr">
        <is>
          <t>Prepaid Expenses</t>
        </is>
      </c>
      <c r="E18" t="inlineStr">
        <is>
          <t>Asset</t>
        </is>
      </c>
      <c r="F18" s="3" t="n">
        <v>7600</v>
      </c>
      <c r="G18" s="3" t="n">
        <v>0</v>
      </c>
      <c r="H18" s="3" t="n">
        <v>7600</v>
      </c>
    </row>
    <row r="19">
      <c r="A19" t="n">
        <v>2026</v>
      </c>
      <c r="B19" t="n">
        <v>1</v>
      </c>
      <c r="C19" t="inlineStr">
        <is>
          <t>105000</t>
        </is>
      </c>
      <c r="D19" t="inlineStr">
        <is>
          <t>Fixed Assets (Gross)</t>
        </is>
      </c>
      <c r="E19" t="inlineStr">
        <is>
          <t>Asset</t>
        </is>
      </c>
      <c r="F19" s="3" t="n">
        <v>500000</v>
      </c>
      <c r="G19" s="3" t="n">
        <v>0</v>
      </c>
      <c r="H19" s="3" t="n">
        <v>500000</v>
      </c>
    </row>
    <row r="20">
      <c r="A20" t="n">
        <v>2026</v>
      </c>
      <c r="B20" t="n">
        <v>1</v>
      </c>
      <c r="C20" t="inlineStr">
        <is>
          <t>106000</t>
        </is>
      </c>
      <c r="D20" t="inlineStr">
        <is>
          <t>Accumulated Depreciation</t>
        </is>
      </c>
      <c r="E20" t="inlineStr">
        <is>
          <t>Asset-Contra</t>
        </is>
      </c>
      <c r="F20" s="3" t="n">
        <v>0</v>
      </c>
      <c r="G20" s="3" t="n">
        <v>42000</v>
      </c>
      <c r="H20" s="3" t="n">
        <v>-42000</v>
      </c>
    </row>
    <row r="21">
      <c r="A21" t="n">
        <v>2026</v>
      </c>
      <c r="B21" t="n">
        <v>1</v>
      </c>
      <c r="C21" t="inlineStr">
        <is>
          <t>201000</t>
        </is>
      </c>
      <c r="D21" t="inlineStr">
        <is>
          <t>Accounts Payable</t>
        </is>
      </c>
      <c r="E21" t="inlineStr">
        <is>
          <t>Liability</t>
        </is>
      </c>
      <c r="F21" s="3" t="n">
        <v>0</v>
      </c>
      <c r="G21" s="3" t="n">
        <v>28064.52</v>
      </c>
      <c r="H21" s="3" t="n">
        <v>28064.52</v>
      </c>
    </row>
    <row r="22">
      <c r="A22" t="n">
        <v>2026</v>
      </c>
      <c r="B22" t="n">
        <v>1</v>
      </c>
      <c r="C22" t="inlineStr">
        <is>
          <t>202000</t>
        </is>
      </c>
      <c r="D22" t="inlineStr">
        <is>
          <t>Accrued Expenses</t>
        </is>
      </c>
      <c r="E22" t="inlineStr">
        <is>
          <t>Liability</t>
        </is>
      </c>
      <c r="F22" s="3" t="n">
        <v>0</v>
      </c>
      <c r="G22" s="3" t="n">
        <v>11277.21</v>
      </c>
      <c r="H22" s="3" t="n">
        <v>11277.21</v>
      </c>
    </row>
    <row r="23">
      <c r="A23" t="n">
        <v>2026</v>
      </c>
      <c r="B23" t="n">
        <v>1</v>
      </c>
      <c r="C23" t="inlineStr">
        <is>
          <t>203000</t>
        </is>
      </c>
      <c r="D23" t="inlineStr">
        <is>
          <t>Short-Term Debt</t>
        </is>
      </c>
      <c r="E23" t="inlineStr">
        <is>
          <t>Liability</t>
        </is>
      </c>
      <c r="F23" s="3" t="n">
        <v>0</v>
      </c>
      <c r="G23" s="3" t="n">
        <v>50000</v>
      </c>
      <c r="H23" s="3" t="n">
        <v>50000</v>
      </c>
    </row>
    <row r="24">
      <c r="A24" t="n">
        <v>2026</v>
      </c>
      <c r="B24" t="n">
        <v>1</v>
      </c>
      <c r="C24" t="inlineStr">
        <is>
          <t>204000</t>
        </is>
      </c>
      <c r="D24" t="inlineStr">
        <is>
          <t>Long-Term Debt</t>
        </is>
      </c>
      <c r="E24" t="inlineStr">
        <is>
          <t>Liability</t>
        </is>
      </c>
      <c r="F24" s="3" t="n">
        <v>0</v>
      </c>
      <c r="G24" s="3" t="n">
        <v>198000</v>
      </c>
      <c r="H24" s="3" t="n">
        <v>198000</v>
      </c>
    </row>
    <row r="25">
      <c r="A25" t="n">
        <v>2026</v>
      </c>
      <c r="B25" t="n">
        <v>1</v>
      </c>
      <c r="C25" t="inlineStr">
        <is>
          <t>205000</t>
        </is>
      </c>
      <c r="D25" t="inlineStr">
        <is>
          <t>Taxes Payable</t>
        </is>
      </c>
      <c r="E25" t="inlineStr">
        <is>
          <t>Liability</t>
        </is>
      </c>
      <c r="F25" s="3" t="n">
        <v>0</v>
      </c>
      <c r="G25" s="3" t="n">
        <v>18809.38</v>
      </c>
      <c r="H25" s="3" t="n">
        <v>18809.38</v>
      </c>
    </row>
    <row r="26">
      <c r="A26" t="n">
        <v>2026</v>
      </c>
      <c r="B26" t="n">
        <v>1</v>
      </c>
      <c r="C26" t="inlineStr">
        <is>
          <t>301000</t>
        </is>
      </c>
      <c r="D26" t="inlineStr">
        <is>
          <t>Share Capital</t>
        </is>
      </c>
      <c r="E26" t="inlineStr">
        <is>
          <t>Equity</t>
        </is>
      </c>
      <c r="F26" s="3" t="n">
        <v>0</v>
      </c>
      <c r="G26" s="3" t="n">
        <v>300000</v>
      </c>
      <c r="H26" s="3" t="n">
        <v>300000</v>
      </c>
    </row>
    <row r="27">
      <c r="A27" t="n">
        <v>2026</v>
      </c>
      <c r="B27" t="n">
        <v>1</v>
      </c>
      <c r="C27" t="inlineStr">
        <is>
          <t>302000</t>
        </is>
      </c>
      <c r="D27" t="inlineStr">
        <is>
          <t>Retained Earnings</t>
        </is>
      </c>
      <c r="E27" t="inlineStr">
        <is>
          <t>Equity</t>
        </is>
      </c>
      <c r="F27" s="3" t="n">
        <v>0</v>
      </c>
      <c r="G27" s="3" t="n">
        <v>50000</v>
      </c>
      <c r="H27" s="3" t="n">
        <v>50000</v>
      </c>
    </row>
    <row r="28">
      <c r="A28" t="n">
        <v>2026</v>
      </c>
      <c r="B28" t="n">
        <v>2</v>
      </c>
      <c r="C28" t="inlineStr">
        <is>
          <t>401000</t>
        </is>
      </c>
      <c r="D28" t="inlineStr">
        <is>
          <t>Product Sales</t>
        </is>
      </c>
      <c r="E28" t="inlineStr">
        <is>
          <t>Revenue</t>
        </is>
      </c>
      <c r="F28" s="3" t="n">
        <v>0</v>
      </c>
      <c r="G28" s="3" t="n">
        <v>145269.1</v>
      </c>
      <c r="H28" s="3" t="n">
        <v>145269.1</v>
      </c>
    </row>
    <row r="29">
      <c r="A29" t="n">
        <v>2026</v>
      </c>
      <c r="B29" t="n">
        <v>2</v>
      </c>
      <c r="C29" t="inlineStr">
        <is>
          <t>402000</t>
        </is>
      </c>
      <c r="D29" t="inlineStr">
        <is>
          <t>Service Revenue</t>
        </is>
      </c>
      <c r="E29" t="inlineStr">
        <is>
          <t>Revenue</t>
        </is>
      </c>
      <c r="F29" s="3" t="n">
        <v>0</v>
      </c>
      <c r="G29" s="3" t="n">
        <v>36286.67</v>
      </c>
      <c r="H29" s="3" t="n">
        <v>36286.67</v>
      </c>
    </row>
    <row r="30">
      <c r="A30" t="n">
        <v>2026</v>
      </c>
      <c r="B30" t="n">
        <v>2</v>
      </c>
      <c r="C30" t="inlineStr">
        <is>
          <t>403000</t>
        </is>
      </c>
      <c r="D30" t="inlineStr">
        <is>
          <t>Other Income</t>
        </is>
      </c>
      <c r="E30" t="inlineStr">
        <is>
          <t>Revenue</t>
        </is>
      </c>
      <c r="F30" s="3" t="n">
        <v>0</v>
      </c>
      <c r="G30" s="3" t="n">
        <v>5008.98</v>
      </c>
      <c r="H30" s="3" t="n">
        <v>5008.98</v>
      </c>
    </row>
    <row r="31">
      <c r="A31" t="n">
        <v>2026</v>
      </c>
      <c r="B31" t="n">
        <v>2</v>
      </c>
      <c r="C31" t="inlineStr">
        <is>
          <t>501000</t>
        </is>
      </c>
      <c r="D31" t="inlineStr">
        <is>
          <t>Cost of Goods Sold</t>
        </is>
      </c>
      <c r="E31" t="inlineStr">
        <is>
          <t>Expense</t>
        </is>
      </c>
      <c r="F31" s="3" t="n">
        <v>79633.84</v>
      </c>
      <c r="G31" s="3" t="n">
        <v>0</v>
      </c>
      <c r="H31" s="3" t="n">
        <v>79633.84</v>
      </c>
    </row>
    <row r="32">
      <c r="A32" t="n">
        <v>2026</v>
      </c>
      <c r="B32" t="n">
        <v>2</v>
      </c>
      <c r="C32" t="inlineStr">
        <is>
          <t>502000</t>
        </is>
      </c>
      <c r="D32" t="inlineStr">
        <is>
          <t>Salaries &amp; Benefits</t>
        </is>
      </c>
      <c r="E32" t="inlineStr">
        <is>
          <t>Expense</t>
        </is>
      </c>
      <c r="F32" s="3" t="n">
        <v>49962.61</v>
      </c>
      <c r="G32" s="3" t="n">
        <v>0</v>
      </c>
      <c r="H32" s="3" t="n">
        <v>49962.61</v>
      </c>
    </row>
    <row r="33">
      <c r="A33" t="n">
        <v>2026</v>
      </c>
      <c r="B33" t="n">
        <v>2</v>
      </c>
      <c r="C33" t="inlineStr">
        <is>
          <t>503000</t>
        </is>
      </c>
      <c r="D33" t="inlineStr">
        <is>
          <t>Rent &amp; Facilities</t>
        </is>
      </c>
      <c r="E33" t="inlineStr">
        <is>
          <t>Expense</t>
        </is>
      </c>
      <c r="F33" s="3" t="n">
        <v>12000</v>
      </c>
      <c r="G33" s="3" t="n">
        <v>0</v>
      </c>
      <c r="H33" s="3" t="n">
        <v>12000</v>
      </c>
    </row>
    <row r="34">
      <c r="A34" t="n">
        <v>2026</v>
      </c>
      <c r="B34" t="n">
        <v>2</v>
      </c>
      <c r="C34" t="inlineStr">
        <is>
          <t>504000</t>
        </is>
      </c>
      <c r="D34" t="inlineStr">
        <is>
          <t>Marketing &amp; Advertising</t>
        </is>
      </c>
      <c r="E34" t="inlineStr">
        <is>
          <t>Expense</t>
        </is>
      </c>
      <c r="F34" s="3" t="n">
        <v>9713.299999999999</v>
      </c>
      <c r="G34" s="3" t="n">
        <v>0</v>
      </c>
      <c r="H34" s="3" t="n">
        <v>9713.299999999999</v>
      </c>
    </row>
    <row r="35">
      <c r="A35" t="n">
        <v>2026</v>
      </c>
      <c r="B35" t="n">
        <v>2</v>
      </c>
      <c r="C35" t="inlineStr">
        <is>
          <t>505000</t>
        </is>
      </c>
      <c r="D35" t="inlineStr">
        <is>
          <t>Travel &amp; Entertainment</t>
        </is>
      </c>
      <c r="E35" t="inlineStr">
        <is>
          <t>Expense</t>
        </is>
      </c>
      <c r="F35" s="3" t="n">
        <v>5520.75</v>
      </c>
      <c r="G35" s="3" t="n">
        <v>0</v>
      </c>
      <c r="H35" s="3" t="n">
        <v>5520.75</v>
      </c>
    </row>
    <row r="36">
      <c r="A36" t="n">
        <v>2026</v>
      </c>
      <c r="B36" t="n">
        <v>2</v>
      </c>
      <c r="C36" t="inlineStr">
        <is>
          <t>506000</t>
        </is>
      </c>
      <c r="D36" t="inlineStr">
        <is>
          <t>IT &amp; Software</t>
        </is>
      </c>
      <c r="E36" t="inlineStr">
        <is>
          <t>Expense</t>
        </is>
      </c>
      <c r="F36" s="3" t="n">
        <v>3724.38</v>
      </c>
      <c r="G36" s="3" t="n">
        <v>0</v>
      </c>
      <c r="H36" s="3" t="n">
        <v>3724.38</v>
      </c>
    </row>
    <row r="37">
      <c r="A37" t="n">
        <v>2026</v>
      </c>
      <c r="B37" t="n">
        <v>2</v>
      </c>
      <c r="C37" t="inlineStr">
        <is>
          <t>507000</t>
        </is>
      </c>
      <c r="D37" t="inlineStr">
        <is>
          <t>Utilities</t>
        </is>
      </c>
      <c r="E37" t="inlineStr">
        <is>
          <t>Expense</t>
        </is>
      </c>
      <c r="F37" s="3" t="n">
        <v>2728.61</v>
      </c>
      <c r="G37" s="3" t="n">
        <v>0</v>
      </c>
      <c r="H37" s="3" t="n">
        <v>2728.61</v>
      </c>
    </row>
    <row r="38">
      <c r="A38" t="n">
        <v>2026</v>
      </c>
      <c r="B38" t="n">
        <v>2</v>
      </c>
      <c r="C38" t="inlineStr">
        <is>
          <t>508000</t>
        </is>
      </c>
      <c r="D38" t="inlineStr">
        <is>
          <t>Depreciation</t>
        </is>
      </c>
      <c r="E38" t="inlineStr">
        <is>
          <t>Expense</t>
        </is>
      </c>
      <c r="F38" s="3" t="n">
        <v>7000</v>
      </c>
      <c r="G38" s="3" t="n">
        <v>0</v>
      </c>
      <c r="H38" s="3" t="n">
        <v>7000</v>
      </c>
    </row>
    <row r="39">
      <c r="A39" t="n">
        <v>2026</v>
      </c>
      <c r="B39" t="n">
        <v>2</v>
      </c>
      <c r="C39" t="inlineStr">
        <is>
          <t>509000</t>
        </is>
      </c>
      <c r="D39" t="inlineStr">
        <is>
          <t>Interest Expense</t>
        </is>
      </c>
      <c r="E39" t="inlineStr">
        <is>
          <t>Expense</t>
        </is>
      </c>
      <c r="F39" s="3" t="n">
        <v>3000</v>
      </c>
      <c r="G39" s="3" t="n">
        <v>0</v>
      </c>
      <c r="H39" s="3" t="n">
        <v>3000</v>
      </c>
    </row>
    <row r="40">
      <c r="A40" t="n">
        <v>2026</v>
      </c>
      <c r="B40" t="n">
        <v>2</v>
      </c>
      <c r="C40" t="inlineStr">
        <is>
          <t>510000</t>
        </is>
      </c>
      <c r="D40" t="inlineStr">
        <is>
          <t>Tax Provision</t>
        </is>
      </c>
      <c r="E40" t="inlineStr">
        <is>
          <t>Expense</t>
        </is>
      </c>
      <c r="F40" s="3" t="n">
        <v>2921.88</v>
      </c>
      <c r="G40" s="3" t="n">
        <v>0</v>
      </c>
      <c r="H40" s="3" t="n">
        <v>2921.88</v>
      </c>
    </row>
    <row r="41">
      <c r="A41" t="n">
        <v>2026</v>
      </c>
      <c r="B41" t="n">
        <v>2</v>
      </c>
      <c r="C41" t="inlineStr">
        <is>
          <t>101000</t>
        </is>
      </c>
      <c r="D41" t="inlineStr">
        <is>
          <t>Cash &amp; Bank</t>
        </is>
      </c>
      <c r="E41" t="inlineStr">
        <is>
          <t>Asset</t>
        </is>
      </c>
      <c r="F41" s="3" t="n">
        <v>95721.89</v>
      </c>
      <c r="G41" s="3" t="n">
        <v>0</v>
      </c>
      <c r="H41" s="3" t="n">
        <v>95721.89</v>
      </c>
    </row>
    <row r="42">
      <c r="A42" t="n">
        <v>2026</v>
      </c>
      <c r="B42" t="n">
        <v>2</v>
      </c>
      <c r="C42" t="inlineStr">
        <is>
          <t>102000</t>
        </is>
      </c>
      <c r="D42" t="inlineStr">
        <is>
          <t>Accounts Receivable</t>
        </is>
      </c>
      <c r="E42" t="inlineStr">
        <is>
          <t>Asset</t>
        </is>
      </c>
      <c r="F42" s="3" t="n">
        <v>26697.79</v>
      </c>
      <c r="G42" s="3" t="n">
        <v>0</v>
      </c>
      <c r="H42" s="3" t="n">
        <v>26697.79</v>
      </c>
    </row>
    <row r="43">
      <c r="A43" t="n">
        <v>2026</v>
      </c>
      <c r="B43" t="n">
        <v>2</v>
      </c>
      <c r="C43" t="inlineStr">
        <is>
          <t>103000</t>
        </is>
      </c>
      <c r="D43" t="inlineStr">
        <is>
          <t>Inventory</t>
        </is>
      </c>
      <c r="E43" t="inlineStr">
        <is>
          <t>Asset</t>
        </is>
      </c>
      <c r="F43" s="3" t="n">
        <v>86552.78</v>
      </c>
      <c r="G43" s="3" t="n">
        <v>0</v>
      </c>
      <c r="H43" s="3" t="n">
        <v>86552.78</v>
      </c>
    </row>
    <row r="44">
      <c r="A44" t="n">
        <v>2026</v>
      </c>
      <c r="B44" t="n">
        <v>2</v>
      </c>
      <c r="C44" t="inlineStr">
        <is>
          <t>104000</t>
        </is>
      </c>
      <c r="D44" t="inlineStr">
        <is>
          <t>Prepaid Expenses</t>
        </is>
      </c>
      <c r="E44" t="inlineStr">
        <is>
          <t>Asset</t>
        </is>
      </c>
      <c r="F44" s="3" t="n">
        <v>7200</v>
      </c>
      <c r="G44" s="3" t="n">
        <v>0</v>
      </c>
      <c r="H44" s="3" t="n">
        <v>7200</v>
      </c>
    </row>
    <row r="45">
      <c r="A45" t="n">
        <v>2026</v>
      </c>
      <c r="B45" t="n">
        <v>2</v>
      </c>
      <c r="C45" t="inlineStr">
        <is>
          <t>105000</t>
        </is>
      </c>
      <c r="D45" t="inlineStr">
        <is>
          <t>Fixed Assets (Gross)</t>
        </is>
      </c>
      <c r="E45" t="inlineStr">
        <is>
          <t>Asset</t>
        </is>
      </c>
      <c r="F45" s="3" t="n">
        <v>500000</v>
      </c>
      <c r="G45" s="3" t="n">
        <v>0</v>
      </c>
      <c r="H45" s="3" t="n">
        <v>500000</v>
      </c>
    </row>
    <row r="46">
      <c r="A46" t="n">
        <v>2026</v>
      </c>
      <c r="B46" t="n">
        <v>2</v>
      </c>
      <c r="C46" t="inlineStr">
        <is>
          <t>106000</t>
        </is>
      </c>
      <c r="D46" t="inlineStr">
        <is>
          <t>Accumulated Depreciation</t>
        </is>
      </c>
      <c r="E46" t="inlineStr">
        <is>
          <t>Asset-Contra</t>
        </is>
      </c>
      <c r="F46" s="3" t="n">
        <v>0</v>
      </c>
      <c r="G46" s="3" t="n">
        <v>49000</v>
      </c>
      <c r="H46" s="3" t="n">
        <v>-49000</v>
      </c>
    </row>
    <row r="47">
      <c r="A47" t="n">
        <v>2026</v>
      </c>
      <c r="B47" t="n">
        <v>2</v>
      </c>
      <c r="C47" t="inlineStr">
        <is>
          <t>201000</t>
        </is>
      </c>
      <c r="D47" t="inlineStr">
        <is>
          <t>Accounts Payable</t>
        </is>
      </c>
      <c r="E47" t="inlineStr">
        <is>
          <t>Liability</t>
        </is>
      </c>
      <c r="F47" s="3" t="n">
        <v>0</v>
      </c>
      <c r="G47" s="3" t="n">
        <v>29418.98</v>
      </c>
      <c r="H47" s="3" t="n">
        <v>29418.98</v>
      </c>
    </row>
    <row r="48">
      <c r="A48" t="n">
        <v>2026</v>
      </c>
      <c r="B48" t="n">
        <v>2</v>
      </c>
      <c r="C48" t="inlineStr">
        <is>
          <t>202000</t>
        </is>
      </c>
      <c r="D48" t="inlineStr">
        <is>
          <t>Accrued Expenses</t>
        </is>
      </c>
      <c r="E48" t="inlineStr">
        <is>
          <t>Liability</t>
        </is>
      </c>
      <c r="F48" s="3" t="n">
        <v>0</v>
      </c>
      <c r="G48" s="3" t="n">
        <v>12833.99</v>
      </c>
      <c r="H48" s="3" t="n">
        <v>12833.99</v>
      </c>
    </row>
    <row r="49">
      <c r="A49" t="n">
        <v>2026</v>
      </c>
      <c r="B49" t="n">
        <v>2</v>
      </c>
      <c r="C49" t="inlineStr">
        <is>
          <t>203000</t>
        </is>
      </c>
      <c r="D49" t="inlineStr">
        <is>
          <t>Short-Term Debt</t>
        </is>
      </c>
      <c r="E49" t="inlineStr">
        <is>
          <t>Liability</t>
        </is>
      </c>
      <c r="F49" s="3" t="n">
        <v>0</v>
      </c>
      <c r="G49" s="3" t="n">
        <v>50000</v>
      </c>
      <c r="H49" s="3" t="n">
        <v>50000</v>
      </c>
    </row>
    <row r="50">
      <c r="A50" t="n">
        <v>2026</v>
      </c>
      <c r="B50" t="n">
        <v>2</v>
      </c>
      <c r="C50" t="inlineStr">
        <is>
          <t>204000</t>
        </is>
      </c>
      <c r="D50" t="inlineStr">
        <is>
          <t>Long-Term Debt</t>
        </is>
      </c>
      <c r="E50" t="inlineStr">
        <is>
          <t>Liability</t>
        </is>
      </c>
      <c r="F50" s="3" t="n">
        <v>0</v>
      </c>
      <c r="G50" s="3" t="n">
        <v>196000</v>
      </c>
      <c r="H50" s="3" t="n">
        <v>196000</v>
      </c>
    </row>
    <row r="51">
      <c r="A51" t="n">
        <v>2026</v>
      </c>
      <c r="B51" t="n">
        <v>2</v>
      </c>
      <c r="C51" t="inlineStr">
        <is>
          <t>205000</t>
        </is>
      </c>
      <c r="D51" t="inlineStr">
        <is>
          <t>Taxes Payable</t>
        </is>
      </c>
      <c r="E51" t="inlineStr">
        <is>
          <t>Liability</t>
        </is>
      </c>
      <c r="F51" s="3" t="n">
        <v>0</v>
      </c>
      <c r="G51" s="3" t="n">
        <v>18560.12</v>
      </c>
      <c r="H51" s="3" t="n">
        <v>18560.12</v>
      </c>
    </row>
    <row r="52">
      <c r="A52" t="n">
        <v>2026</v>
      </c>
      <c r="B52" t="n">
        <v>2</v>
      </c>
      <c r="C52" t="inlineStr">
        <is>
          <t>301000</t>
        </is>
      </c>
      <c r="D52" t="inlineStr">
        <is>
          <t>Share Capital</t>
        </is>
      </c>
      <c r="E52" t="inlineStr">
        <is>
          <t>Equity</t>
        </is>
      </c>
      <c r="F52" s="3" t="n">
        <v>0</v>
      </c>
      <c r="G52" s="3" t="n">
        <v>300000</v>
      </c>
      <c r="H52" s="3" t="n">
        <v>300000</v>
      </c>
    </row>
    <row r="53">
      <c r="A53" t="n">
        <v>2026</v>
      </c>
      <c r="B53" t="n">
        <v>2</v>
      </c>
      <c r="C53" t="inlineStr">
        <is>
          <t>302000</t>
        </is>
      </c>
      <c r="D53" t="inlineStr">
        <is>
          <t>Retained Earnings</t>
        </is>
      </c>
      <c r="E53" t="inlineStr">
        <is>
          <t>Equity</t>
        </is>
      </c>
      <c r="F53" s="3" t="n">
        <v>0</v>
      </c>
      <c r="G53" s="3" t="n">
        <v>50000</v>
      </c>
      <c r="H53" s="3" t="n">
        <v>50000</v>
      </c>
    </row>
    <row r="54">
      <c r="A54" t="n">
        <v>2026</v>
      </c>
      <c r="B54" t="n">
        <v>3</v>
      </c>
      <c r="C54" t="inlineStr">
        <is>
          <t>401000</t>
        </is>
      </c>
      <c r="D54" t="inlineStr">
        <is>
          <t>Product Sales</t>
        </is>
      </c>
      <c r="E54" t="inlineStr">
        <is>
          <t>Revenue</t>
        </is>
      </c>
      <c r="F54" s="3" t="n">
        <v>0</v>
      </c>
      <c r="G54" s="3" t="n">
        <v>155381.76</v>
      </c>
      <c r="H54" s="3" t="n">
        <v>155381.76</v>
      </c>
    </row>
    <row r="55">
      <c r="A55" t="n">
        <v>2026</v>
      </c>
      <c r="B55" t="n">
        <v>3</v>
      </c>
      <c r="C55" t="inlineStr">
        <is>
          <t>402000</t>
        </is>
      </c>
      <c r="D55" t="inlineStr">
        <is>
          <t>Service Revenue</t>
        </is>
      </c>
      <c r="E55" t="inlineStr">
        <is>
          <t>Revenue</t>
        </is>
      </c>
      <c r="F55" s="3" t="n">
        <v>0</v>
      </c>
      <c r="G55" s="3" t="n">
        <v>39554.14</v>
      </c>
      <c r="H55" s="3" t="n">
        <v>39554.14</v>
      </c>
    </row>
    <row r="56">
      <c r="A56" t="n">
        <v>2026</v>
      </c>
      <c r="B56" t="n">
        <v>3</v>
      </c>
      <c r="C56" t="inlineStr">
        <is>
          <t>403000</t>
        </is>
      </c>
      <c r="D56" t="inlineStr">
        <is>
          <t>Other Income</t>
        </is>
      </c>
      <c r="E56" t="inlineStr">
        <is>
          <t>Revenue</t>
        </is>
      </c>
      <c r="F56" s="3" t="n">
        <v>0</v>
      </c>
      <c r="G56" s="3" t="n">
        <v>5818.39</v>
      </c>
      <c r="H56" s="3" t="n">
        <v>5818.39</v>
      </c>
    </row>
    <row r="57">
      <c r="A57" t="n">
        <v>2026</v>
      </c>
      <c r="B57" t="n">
        <v>3</v>
      </c>
      <c r="C57" t="inlineStr">
        <is>
          <t>501000</t>
        </is>
      </c>
      <c r="D57" t="inlineStr">
        <is>
          <t>Cost of Goods Sold</t>
        </is>
      </c>
      <c r="E57" t="inlineStr">
        <is>
          <t>Expense</t>
        </is>
      </c>
      <c r="F57" s="3" t="n">
        <v>92736.77</v>
      </c>
      <c r="G57" s="3" t="n">
        <v>0</v>
      </c>
      <c r="H57" s="3" t="n">
        <v>92736.77</v>
      </c>
    </row>
    <row r="58">
      <c r="A58" t="n">
        <v>2026</v>
      </c>
      <c r="B58" t="n">
        <v>3</v>
      </c>
      <c r="C58" t="inlineStr">
        <is>
          <t>502000</t>
        </is>
      </c>
      <c r="D58" t="inlineStr">
        <is>
          <t>Salaries &amp; Benefits</t>
        </is>
      </c>
      <c r="E58" t="inlineStr">
        <is>
          <t>Expense</t>
        </is>
      </c>
      <c r="F58" s="3" t="n">
        <v>49219.62</v>
      </c>
      <c r="G58" s="3" t="n">
        <v>0</v>
      </c>
      <c r="H58" s="3" t="n">
        <v>49219.62</v>
      </c>
    </row>
    <row r="59">
      <c r="A59" t="n">
        <v>2026</v>
      </c>
      <c r="B59" t="n">
        <v>3</v>
      </c>
      <c r="C59" t="inlineStr">
        <is>
          <t>503000</t>
        </is>
      </c>
      <c r="D59" t="inlineStr">
        <is>
          <t>Rent &amp; Facilities</t>
        </is>
      </c>
      <c r="E59" t="inlineStr">
        <is>
          <t>Expense</t>
        </is>
      </c>
      <c r="F59" s="3" t="n">
        <v>12000</v>
      </c>
      <c r="G59" s="3" t="n">
        <v>0</v>
      </c>
      <c r="H59" s="3" t="n">
        <v>12000</v>
      </c>
    </row>
    <row r="60">
      <c r="A60" t="n">
        <v>2026</v>
      </c>
      <c r="B60" t="n">
        <v>3</v>
      </c>
      <c r="C60" t="inlineStr">
        <is>
          <t>504000</t>
        </is>
      </c>
      <c r="D60" t="inlineStr">
        <is>
          <t>Marketing &amp; Advertising</t>
        </is>
      </c>
      <c r="E60" t="inlineStr">
        <is>
          <t>Expense</t>
        </is>
      </c>
      <c r="F60" s="3" t="n">
        <v>10185.86</v>
      </c>
      <c r="G60" s="3" t="n">
        <v>0</v>
      </c>
      <c r="H60" s="3" t="n">
        <v>10185.86</v>
      </c>
    </row>
    <row r="61">
      <c r="A61" t="n">
        <v>2026</v>
      </c>
      <c r="B61" t="n">
        <v>3</v>
      </c>
      <c r="C61" t="inlineStr">
        <is>
          <t>505000</t>
        </is>
      </c>
      <c r="D61" t="inlineStr">
        <is>
          <t>Travel &amp; Entertainment</t>
        </is>
      </c>
      <c r="E61" t="inlineStr">
        <is>
          <t>Expense</t>
        </is>
      </c>
      <c r="F61" s="3" t="n">
        <v>6355.56</v>
      </c>
      <c r="G61" s="3" t="n">
        <v>0</v>
      </c>
      <c r="H61" s="3" t="n">
        <v>6355.56</v>
      </c>
    </row>
    <row r="62">
      <c r="A62" t="n">
        <v>2026</v>
      </c>
      <c r="B62" t="n">
        <v>3</v>
      </c>
      <c r="C62" t="inlineStr">
        <is>
          <t>506000</t>
        </is>
      </c>
      <c r="D62" t="inlineStr">
        <is>
          <t>IT &amp; Software</t>
        </is>
      </c>
      <c r="E62" t="inlineStr">
        <is>
          <t>Expense</t>
        </is>
      </c>
      <c r="F62" s="3" t="n">
        <v>4289.37</v>
      </c>
      <c r="G62" s="3" t="n">
        <v>0</v>
      </c>
      <c r="H62" s="3" t="n">
        <v>4289.37</v>
      </c>
    </row>
    <row r="63">
      <c r="A63" t="n">
        <v>2026</v>
      </c>
      <c r="B63" t="n">
        <v>3</v>
      </c>
      <c r="C63" t="inlineStr">
        <is>
          <t>507000</t>
        </is>
      </c>
      <c r="D63" t="inlineStr">
        <is>
          <t>Utilities</t>
        </is>
      </c>
      <c r="E63" t="inlineStr">
        <is>
          <t>Expense</t>
        </is>
      </c>
      <c r="F63" s="3" t="n">
        <v>2538.68</v>
      </c>
      <c r="G63" s="3" t="n">
        <v>0</v>
      </c>
      <c r="H63" s="3" t="n">
        <v>2538.68</v>
      </c>
    </row>
    <row r="64">
      <c r="A64" t="n">
        <v>2026</v>
      </c>
      <c r="B64" t="n">
        <v>3</v>
      </c>
      <c r="C64" t="inlineStr">
        <is>
          <t>508000</t>
        </is>
      </c>
      <c r="D64" t="inlineStr">
        <is>
          <t>Depreciation</t>
        </is>
      </c>
      <c r="E64" t="inlineStr">
        <is>
          <t>Expense</t>
        </is>
      </c>
      <c r="F64" s="3" t="n">
        <v>7000</v>
      </c>
      <c r="G64" s="3" t="n">
        <v>0</v>
      </c>
      <c r="H64" s="3" t="n">
        <v>7000</v>
      </c>
    </row>
    <row r="65">
      <c r="A65" t="n">
        <v>2026</v>
      </c>
      <c r="B65" t="n">
        <v>3</v>
      </c>
      <c r="C65" t="inlineStr">
        <is>
          <t>509000</t>
        </is>
      </c>
      <c r="D65" t="inlineStr">
        <is>
          <t>Interest Expense</t>
        </is>
      </c>
      <c r="E65" t="inlineStr">
        <is>
          <t>Expense</t>
        </is>
      </c>
      <c r="F65" s="3" t="n">
        <v>3000</v>
      </c>
      <c r="G65" s="3" t="n">
        <v>0</v>
      </c>
      <c r="H65" s="3" t="n">
        <v>3000</v>
      </c>
    </row>
    <row r="66">
      <c r="A66" t="n">
        <v>2026</v>
      </c>
      <c r="B66" t="n">
        <v>3</v>
      </c>
      <c r="C66" t="inlineStr">
        <is>
          <t>510000</t>
        </is>
      </c>
      <c r="D66" t="inlineStr">
        <is>
          <t>Tax Provision</t>
        </is>
      </c>
      <c r="E66" t="inlineStr">
        <is>
          <t>Expense</t>
        </is>
      </c>
      <c r="F66" s="3" t="n">
        <v>2954.26</v>
      </c>
      <c r="G66" s="3" t="n">
        <v>0</v>
      </c>
      <c r="H66" s="3" t="n">
        <v>2954.26</v>
      </c>
    </row>
    <row r="67">
      <c r="A67" t="n">
        <v>2026</v>
      </c>
      <c r="B67" t="n">
        <v>3</v>
      </c>
      <c r="C67" t="inlineStr">
        <is>
          <t>101000</t>
        </is>
      </c>
      <c r="D67" t="inlineStr">
        <is>
          <t>Cash &amp; Bank</t>
        </is>
      </c>
      <c r="E67" t="inlineStr">
        <is>
          <t>Asset</t>
        </is>
      </c>
      <c r="F67" s="3" t="n">
        <v>94310.38</v>
      </c>
      <c r="G67" s="3" t="n">
        <v>0</v>
      </c>
      <c r="H67" s="3" t="n">
        <v>94310.38</v>
      </c>
    </row>
    <row r="68">
      <c r="A68" t="n">
        <v>2026</v>
      </c>
      <c r="B68" t="n">
        <v>3</v>
      </c>
      <c r="C68" t="inlineStr">
        <is>
          <t>102000</t>
        </is>
      </c>
      <c r="D68" t="inlineStr">
        <is>
          <t>Accounts Receivable</t>
        </is>
      </c>
      <c r="E68" t="inlineStr">
        <is>
          <t>Asset</t>
        </is>
      </c>
      <c r="F68" s="3" t="n">
        <v>31280.19</v>
      </c>
      <c r="G68" s="3" t="n">
        <v>0</v>
      </c>
      <c r="H68" s="3" t="n">
        <v>31280.19</v>
      </c>
    </row>
    <row r="69">
      <c r="A69" t="n">
        <v>2026</v>
      </c>
      <c r="B69" t="n">
        <v>3</v>
      </c>
      <c r="C69" t="inlineStr">
        <is>
          <t>103000</t>
        </is>
      </c>
      <c r="D69" t="inlineStr">
        <is>
          <t>Inventory</t>
        </is>
      </c>
      <c r="E69" t="inlineStr">
        <is>
          <t>Asset</t>
        </is>
      </c>
      <c r="F69" s="3" t="n">
        <v>86513.14999999999</v>
      </c>
      <c r="G69" s="3" t="n">
        <v>0</v>
      </c>
      <c r="H69" s="3" t="n">
        <v>86513.14999999999</v>
      </c>
    </row>
    <row r="70">
      <c r="A70" t="n">
        <v>2026</v>
      </c>
      <c r="B70" t="n">
        <v>3</v>
      </c>
      <c r="C70" t="inlineStr">
        <is>
          <t>104000</t>
        </is>
      </c>
      <c r="D70" t="inlineStr">
        <is>
          <t>Prepaid Expenses</t>
        </is>
      </c>
      <c r="E70" t="inlineStr">
        <is>
          <t>Asset</t>
        </is>
      </c>
      <c r="F70" s="3" t="n">
        <v>6800</v>
      </c>
      <c r="G70" s="3" t="n">
        <v>0</v>
      </c>
      <c r="H70" s="3" t="n">
        <v>6800</v>
      </c>
    </row>
    <row r="71">
      <c r="A71" t="n">
        <v>2026</v>
      </c>
      <c r="B71" t="n">
        <v>3</v>
      </c>
      <c r="C71" t="inlineStr">
        <is>
          <t>105000</t>
        </is>
      </c>
      <c r="D71" t="inlineStr">
        <is>
          <t>Fixed Assets (Gross)</t>
        </is>
      </c>
      <c r="E71" t="inlineStr">
        <is>
          <t>Asset</t>
        </is>
      </c>
      <c r="F71" s="3" t="n">
        <v>500000</v>
      </c>
      <c r="G71" s="3" t="n">
        <v>0</v>
      </c>
      <c r="H71" s="3" t="n">
        <v>500000</v>
      </c>
    </row>
    <row r="72">
      <c r="A72" t="n">
        <v>2026</v>
      </c>
      <c r="B72" t="n">
        <v>3</v>
      </c>
      <c r="C72" t="inlineStr">
        <is>
          <t>106000</t>
        </is>
      </c>
      <c r="D72" t="inlineStr">
        <is>
          <t>Accumulated Depreciation</t>
        </is>
      </c>
      <c r="E72" t="inlineStr">
        <is>
          <t>Asset-Contra</t>
        </is>
      </c>
      <c r="F72" s="3" t="n">
        <v>0</v>
      </c>
      <c r="G72" s="3" t="n">
        <v>56000</v>
      </c>
      <c r="H72" s="3" t="n">
        <v>-56000</v>
      </c>
    </row>
    <row r="73">
      <c r="A73" t="n">
        <v>2026</v>
      </c>
      <c r="B73" t="n">
        <v>3</v>
      </c>
      <c r="C73" t="inlineStr">
        <is>
          <t>201000</t>
        </is>
      </c>
      <c r="D73" t="inlineStr">
        <is>
          <t>Accounts Payable</t>
        </is>
      </c>
      <c r="E73" t="inlineStr">
        <is>
          <t>Liability</t>
        </is>
      </c>
      <c r="F73" s="3" t="n">
        <v>0</v>
      </c>
      <c r="G73" s="3" t="n">
        <v>31204.13</v>
      </c>
      <c r="H73" s="3" t="n">
        <v>31204.13</v>
      </c>
    </row>
    <row r="74">
      <c r="A74" t="n">
        <v>2026</v>
      </c>
      <c r="B74" t="n">
        <v>3</v>
      </c>
      <c r="C74" t="inlineStr">
        <is>
          <t>202000</t>
        </is>
      </c>
      <c r="D74" t="inlineStr">
        <is>
          <t>Accrued Expenses</t>
        </is>
      </c>
      <c r="E74" t="inlineStr">
        <is>
          <t>Liability</t>
        </is>
      </c>
      <c r="F74" s="3" t="n">
        <v>0</v>
      </c>
      <c r="G74" s="3" t="n">
        <v>11494.53</v>
      </c>
      <c r="H74" s="3" t="n">
        <v>11494.53</v>
      </c>
    </row>
    <row r="75">
      <c r="A75" t="n">
        <v>2026</v>
      </c>
      <c r="B75" t="n">
        <v>3</v>
      </c>
      <c r="C75" t="inlineStr">
        <is>
          <t>203000</t>
        </is>
      </c>
      <c r="D75" t="inlineStr">
        <is>
          <t>Short-Term Debt</t>
        </is>
      </c>
      <c r="E75" t="inlineStr">
        <is>
          <t>Liability</t>
        </is>
      </c>
      <c r="F75" s="3" t="n">
        <v>0</v>
      </c>
      <c r="G75" s="3" t="n">
        <v>50000</v>
      </c>
      <c r="H75" s="3" t="n">
        <v>50000</v>
      </c>
    </row>
    <row r="76">
      <c r="A76" t="n">
        <v>2026</v>
      </c>
      <c r="B76" t="n">
        <v>3</v>
      </c>
      <c r="C76" t="inlineStr">
        <is>
          <t>204000</t>
        </is>
      </c>
      <c r="D76" t="inlineStr">
        <is>
          <t>Long-Term Debt</t>
        </is>
      </c>
      <c r="E76" t="inlineStr">
        <is>
          <t>Liability</t>
        </is>
      </c>
      <c r="F76" s="3" t="n">
        <v>0</v>
      </c>
      <c r="G76" s="3" t="n">
        <v>194000</v>
      </c>
      <c r="H76" s="3" t="n">
        <v>194000</v>
      </c>
    </row>
    <row r="77">
      <c r="A77" t="n">
        <v>2026</v>
      </c>
      <c r="B77" t="n">
        <v>3</v>
      </c>
      <c r="C77" t="inlineStr">
        <is>
          <t>205000</t>
        </is>
      </c>
      <c r="D77" t="inlineStr">
        <is>
          <t>Taxes Payable</t>
        </is>
      </c>
      <c r="E77" t="inlineStr">
        <is>
          <t>Liability</t>
        </is>
      </c>
      <c r="F77" s="3" t="n">
        <v>0</v>
      </c>
      <c r="G77" s="3" t="n">
        <v>15730.88</v>
      </c>
      <c r="H77" s="3" t="n">
        <v>15730.88</v>
      </c>
    </row>
    <row r="78">
      <c r="A78" t="n">
        <v>2026</v>
      </c>
      <c r="B78" t="n">
        <v>3</v>
      </c>
      <c r="C78" t="inlineStr">
        <is>
          <t>301000</t>
        </is>
      </c>
      <c r="D78" t="inlineStr">
        <is>
          <t>Share Capital</t>
        </is>
      </c>
      <c r="E78" t="inlineStr">
        <is>
          <t>Equity</t>
        </is>
      </c>
      <c r="F78" s="3" t="n">
        <v>0</v>
      </c>
      <c r="G78" s="3" t="n">
        <v>300000</v>
      </c>
      <c r="H78" s="3" t="n">
        <v>300000</v>
      </c>
    </row>
    <row r="79">
      <c r="A79" t="n">
        <v>2026</v>
      </c>
      <c r="B79" t="n">
        <v>3</v>
      </c>
      <c r="C79" t="inlineStr">
        <is>
          <t>302000</t>
        </is>
      </c>
      <c r="D79" t="inlineStr">
        <is>
          <t>Retained Earnings</t>
        </is>
      </c>
      <c r="E79" t="inlineStr">
        <is>
          <t>Equity</t>
        </is>
      </c>
      <c r="F79" s="3" t="n">
        <v>0</v>
      </c>
      <c r="G79" s="3" t="n">
        <v>50000</v>
      </c>
      <c r="H79" s="3" t="n">
        <v>50000</v>
      </c>
    </row>
    <row r="80">
      <c r="A80" t="n">
        <v>2026</v>
      </c>
      <c r="B80" t="n">
        <v>4</v>
      </c>
      <c r="C80" t="inlineStr">
        <is>
          <t>401000</t>
        </is>
      </c>
      <c r="D80" t="inlineStr">
        <is>
          <t>Product Sales</t>
        </is>
      </c>
      <c r="E80" t="inlineStr">
        <is>
          <t>Revenue</t>
        </is>
      </c>
      <c r="F80" s="3" t="n">
        <v>0</v>
      </c>
      <c r="G80" s="3" t="n">
        <v>139152.36</v>
      </c>
      <c r="H80" s="3" t="n">
        <v>139152.36</v>
      </c>
    </row>
    <row r="81">
      <c r="A81" t="n">
        <v>2026</v>
      </c>
      <c r="B81" t="n">
        <v>4</v>
      </c>
      <c r="C81" t="inlineStr">
        <is>
          <t>402000</t>
        </is>
      </c>
      <c r="D81" t="inlineStr">
        <is>
          <t>Service Revenue</t>
        </is>
      </c>
      <c r="E81" t="inlineStr">
        <is>
          <t>Revenue</t>
        </is>
      </c>
      <c r="F81" s="3" t="n">
        <v>0</v>
      </c>
      <c r="G81" s="3" t="n">
        <v>34819.86</v>
      </c>
      <c r="H81" s="3" t="n">
        <v>34819.86</v>
      </c>
    </row>
    <row r="82">
      <c r="A82" t="n">
        <v>2026</v>
      </c>
      <c r="B82" t="n">
        <v>4</v>
      </c>
      <c r="C82" t="inlineStr">
        <is>
          <t>403000</t>
        </is>
      </c>
      <c r="D82" t="inlineStr">
        <is>
          <t>Other Income</t>
        </is>
      </c>
      <c r="E82" t="inlineStr">
        <is>
          <t>Revenue</t>
        </is>
      </c>
      <c r="F82" s="3" t="n">
        <v>0</v>
      </c>
      <c r="G82" s="3" t="n">
        <v>5277.64</v>
      </c>
      <c r="H82" s="3" t="n">
        <v>5277.64</v>
      </c>
    </row>
    <row r="83">
      <c r="A83" t="n">
        <v>2026</v>
      </c>
      <c r="B83" t="n">
        <v>4</v>
      </c>
      <c r="C83" t="inlineStr">
        <is>
          <t>501000</t>
        </is>
      </c>
      <c r="D83" t="inlineStr">
        <is>
          <t>Cost of Goods Sold</t>
        </is>
      </c>
      <c r="E83" t="inlineStr">
        <is>
          <t>Expense</t>
        </is>
      </c>
      <c r="F83" s="3" t="n">
        <v>76169.84</v>
      </c>
      <c r="G83" s="3" t="n">
        <v>0</v>
      </c>
      <c r="H83" s="3" t="n">
        <v>76169.84</v>
      </c>
    </row>
    <row r="84">
      <c r="A84" t="n">
        <v>2026</v>
      </c>
      <c r="B84" t="n">
        <v>4</v>
      </c>
      <c r="C84" t="inlineStr">
        <is>
          <t>502000</t>
        </is>
      </c>
      <c r="D84" t="inlineStr">
        <is>
          <t>Salaries &amp; Benefits</t>
        </is>
      </c>
      <c r="E84" t="inlineStr">
        <is>
          <t>Expense</t>
        </is>
      </c>
      <c r="F84" s="3" t="n">
        <v>48812.44</v>
      </c>
      <c r="G84" s="3" t="n">
        <v>0</v>
      </c>
      <c r="H84" s="3" t="n">
        <v>48812.44</v>
      </c>
    </row>
    <row r="85">
      <c r="A85" t="n">
        <v>2026</v>
      </c>
      <c r="B85" t="n">
        <v>4</v>
      </c>
      <c r="C85" t="inlineStr">
        <is>
          <t>503000</t>
        </is>
      </c>
      <c r="D85" t="inlineStr">
        <is>
          <t>Rent &amp; Facilities</t>
        </is>
      </c>
      <c r="E85" t="inlineStr">
        <is>
          <t>Expense</t>
        </is>
      </c>
      <c r="F85" s="3" t="n">
        <v>12000</v>
      </c>
      <c r="G85" s="3" t="n">
        <v>0</v>
      </c>
      <c r="H85" s="3" t="n">
        <v>12000</v>
      </c>
    </row>
    <row r="86">
      <c r="A86" t="n">
        <v>2026</v>
      </c>
      <c r="B86" t="n">
        <v>4</v>
      </c>
      <c r="C86" t="inlineStr">
        <is>
          <t>504000</t>
        </is>
      </c>
      <c r="D86" t="inlineStr">
        <is>
          <t>Marketing &amp; Advertising</t>
        </is>
      </c>
      <c r="E86" t="inlineStr">
        <is>
          <t>Expense</t>
        </is>
      </c>
      <c r="F86" s="3" t="n">
        <v>7954.23</v>
      </c>
      <c r="G86" s="3" t="n">
        <v>0</v>
      </c>
      <c r="H86" s="3" t="n">
        <v>7954.23</v>
      </c>
    </row>
    <row r="87">
      <c r="A87" t="n">
        <v>2026</v>
      </c>
      <c r="B87" t="n">
        <v>4</v>
      </c>
      <c r="C87" t="inlineStr">
        <is>
          <t>505000</t>
        </is>
      </c>
      <c r="D87" t="inlineStr">
        <is>
          <t>Travel &amp; Entertainment</t>
        </is>
      </c>
      <c r="E87" t="inlineStr">
        <is>
          <t>Expense</t>
        </is>
      </c>
      <c r="F87" s="3" t="n">
        <v>5300.93</v>
      </c>
      <c r="G87" s="3" t="n">
        <v>0</v>
      </c>
      <c r="H87" s="3" t="n">
        <v>5300.93</v>
      </c>
    </row>
    <row r="88">
      <c r="A88" t="n">
        <v>2026</v>
      </c>
      <c r="B88" t="n">
        <v>4</v>
      </c>
      <c r="C88" t="inlineStr">
        <is>
          <t>506000</t>
        </is>
      </c>
      <c r="D88" t="inlineStr">
        <is>
          <t>IT &amp; Software</t>
        </is>
      </c>
      <c r="E88" t="inlineStr">
        <is>
          <t>Expense</t>
        </is>
      </c>
      <c r="F88" s="3" t="n">
        <v>4349.32</v>
      </c>
      <c r="G88" s="3" t="n">
        <v>0</v>
      </c>
      <c r="H88" s="3" t="n">
        <v>4349.32</v>
      </c>
    </row>
    <row r="89">
      <c r="A89" t="n">
        <v>2026</v>
      </c>
      <c r="B89" t="n">
        <v>4</v>
      </c>
      <c r="C89" t="inlineStr">
        <is>
          <t>507000</t>
        </is>
      </c>
      <c r="D89" t="inlineStr">
        <is>
          <t>Utilities</t>
        </is>
      </c>
      <c r="E89" t="inlineStr">
        <is>
          <t>Expense</t>
        </is>
      </c>
      <c r="F89" s="3" t="n">
        <v>2574.02</v>
      </c>
      <c r="G89" s="3" t="n">
        <v>0</v>
      </c>
      <c r="H89" s="3" t="n">
        <v>2574.02</v>
      </c>
    </row>
    <row r="90">
      <c r="A90" t="n">
        <v>2026</v>
      </c>
      <c r="B90" t="n">
        <v>4</v>
      </c>
      <c r="C90" t="inlineStr">
        <is>
          <t>508000</t>
        </is>
      </c>
      <c r="D90" t="inlineStr">
        <is>
          <t>Depreciation</t>
        </is>
      </c>
      <c r="E90" t="inlineStr">
        <is>
          <t>Expense</t>
        </is>
      </c>
      <c r="F90" s="3" t="n">
        <v>7000</v>
      </c>
      <c r="G90" s="3" t="n">
        <v>0</v>
      </c>
      <c r="H90" s="3" t="n">
        <v>7000</v>
      </c>
    </row>
    <row r="91">
      <c r="A91" t="n">
        <v>2026</v>
      </c>
      <c r="B91" t="n">
        <v>4</v>
      </c>
      <c r="C91" t="inlineStr">
        <is>
          <t>509000</t>
        </is>
      </c>
      <c r="D91" t="inlineStr">
        <is>
          <t>Interest Expense</t>
        </is>
      </c>
      <c r="E91" t="inlineStr">
        <is>
          <t>Expense</t>
        </is>
      </c>
      <c r="F91" s="3" t="n">
        <v>3000</v>
      </c>
      <c r="G91" s="3" t="n">
        <v>0</v>
      </c>
      <c r="H91" s="3" t="n">
        <v>3000</v>
      </c>
    </row>
    <row r="92">
      <c r="A92" t="n">
        <v>2026</v>
      </c>
      <c r="B92" t="n">
        <v>4</v>
      </c>
      <c r="C92" t="inlineStr">
        <is>
          <t>510000</t>
        </is>
      </c>
      <c r="D92" t="inlineStr">
        <is>
          <t>Tax Provision</t>
        </is>
      </c>
      <c r="E92" t="inlineStr">
        <is>
          <t>Expense</t>
        </is>
      </c>
      <c r="F92" s="3" t="n">
        <v>2659.6</v>
      </c>
      <c r="G92" s="3" t="n">
        <v>0</v>
      </c>
      <c r="H92" s="3" t="n">
        <v>2659.6</v>
      </c>
    </row>
    <row r="93">
      <c r="A93" t="n">
        <v>2026</v>
      </c>
      <c r="B93" t="n">
        <v>4</v>
      </c>
      <c r="C93" t="inlineStr">
        <is>
          <t>101000</t>
        </is>
      </c>
      <c r="D93" t="inlineStr">
        <is>
          <t>Cash &amp; Bank</t>
        </is>
      </c>
      <c r="E93" t="inlineStr">
        <is>
          <t>Asset</t>
        </is>
      </c>
      <c r="F93" s="3" t="n">
        <v>105927.68</v>
      </c>
      <c r="G93" s="3" t="n">
        <v>0</v>
      </c>
      <c r="H93" s="3" t="n">
        <v>105927.68</v>
      </c>
    </row>
    <row r="94">
      <c r="A94" t="n">
        <v>2026</v>
      </c>
      <c r="B94" t="n">
        <v>4</v>
      </c>
      <c r="C94" t="inlineStr">
        <is>
          <t>102000</t>
        </is>
      </c>
      <c r="D94" t="inlineStr">
        <is>
          <t>Accounts Receivable</t>
        </is>
      </c>
      <c r="E94" t="inlineStr">
        <is>
          <t>Asset</t>
        </is>
      </c>
      <c r="F94" s="3" t="n">
        <v>27831.72</v>
      </c>
      <c r="G94" s="3" t="n">
        <v>0</v>
      </c>
      <c r="H94" s="3" t="n">
        <v>27831.72</v>
      </c>
    </row>
    <row r="95">
      <c r="A95" t="n">
        <v>2026</v>
      </c>
      <c r="B95" t="n">
        <v>4</v>
      </c>
      <c r="C95" t="inlineStr">
        <is>
          <t>103000</t>
        </is>
      </c>
      <c r="D95" t="inlineStr">
        <is>
          <t>Inventory</t>
        </is>
      </c>
      <c r="E95" t="inlineStr">
        <is>
          <t>Asset</t>
        </is>
      </c>
      <c r="F95" s="3" t="n">
        <v>88369.37</v>
      </c>
      <c r="G95" s="3" t="n">
        <v>0</v>
      </c>
      <c r="H95" s="3" t="n">
        <v>88369.37</v>
      </c>
    </row>
    <row r="96">
      <c r="A96" t="n">
        <v>2026</v>
      </c>
      <c r="B96" t="n">
        <v>4</v>
      </c>
      <c r="C96" t="inlineStr">
        <is>
          <t>104000</t>
        </is>
      </c>
      <c r="D96" t="inlineStr">
        <is>
          <t>Prepaid Expenses</t>
        </is>
      </c>
      <c r="E96" t="inlineStr">
        <is>
          <t>Asset</t>
        </is>
      </c>
      <c r="F96" s="3" t="n">
        <v>6400</v>
      </c>
      <c r="G96" s="3" t="n">
        <v>0</v>
      </c>
      <c r="H96" s="3" t="n">
        <v>6400</v>
      </c>
    </row>
    <row r="97">
      <c r="A97" t="n">
        <v>2026</v>
      </c>
      <c r="B97" t="n">
        <v>4</v>
      </c>
      <c r="C97" t="inlineStr">
        <is>
          <t>105000</t>
        </is>
      </c>
      <c r="D97" t="inlineStr">
        <is>
          <t>Fixed Assets (Gross)</t>
        </is>
      </c>
      <c r="E97" t="inlineStr">
        <is>
          <t>Asset</t>
        </is>
      </c>
      <c r="F97" s="3" t="n">
        <v>500000</v>
      </c>
      <c r="G97" s="3" t="n">
        <v>0</v>
      </c>
      <c r="H97" s="3" t="n">
        <v>500000</v>
      </c>
    </row>
    <row r="98">
      <c r="A98" t="n">
        <v>2026</v>
      </c>
      <c r="B98" t="n">
        <v>4</v>
      </c>
      <c r="C98" t="inlineStr">
        <is>
          <t>106000</t>
        </is>
      </c>
      <c r="D98" t="inlineStr">
        <is>
          <t>Accumulated Depreciation</t>
        </is>
      </c>
      <c r="E98" t="inlineStr">
        <is>
          <t>Asset-Contra</t>
        </is>
      </c>
      <c r="F98" s="3" t="n">
        <v>0</v>
      </c>
      <c r="G98" s="3" t="n">
        <v>63000</v>
      </c>
      <c r="H98" s="3" t="n">
        <v>-63000</v>
      </c>
    </row>
    <row r="99">
      <c r="A99" t="n">
        <v>2026</v>
      </c>
      <c r="B99" t="n">
        <v>4</v>
      </c>
      <c r="C99" t="inlineStr">
        <is>
          <t>201000</t>
        </is>
      </c>
      <c r="D99" t="inlineStr">
        <is>
          <t>Accounts Payable</t>
        </is>
      </c>
      <c r="E99" t="inlineStr">
        <is>
          <t>Liability</t>
        </is>
      </c>
      <c r="F99" s="3" t="n">
        <v>0</v>
      </c>
      <c r="G99" s="3" t="n">
        <v>35558.06</v>
      </c>
      <c r="H99" s="3" t="n">
        <v>35558.06</v>
      </c>
    </row>
    <row r="100">
      <c r="A100" t="n">
        <v>2026</v>
      </c>
      <c r="B100" t="n">
        <v>4</v>
      </c>
      <c r="C100" t="inlineStr">
        <is>
          <t>202000</t>
        </is>
      </c>
      <c r="D100" t="inlineStr">
        <is>
          <t>Accrued Expenses</t>
        </is>
      </c>
      <c r="E100" t="inlineStr">
        <is>
          <t>Liability</t>
        </is>
      </c>
      <c r="F100" s="3" t="n">
        <v>0</v>
      </c>
      <c r="G100" s="3" t="n">
        <v>11192.17</v>
      </c>
      <c r="H100" s="3" t="n">
        <v>11192.17</v>
      </c>
    </row>
    <row r="101">
      <c r="A101" t="n">
        <v>2026</v>
      </c>
      <c r="B101" t="n">
        <v>4</v>
      </c>
      <c r="C101" t="inlineStr">
        <is>
          <t>203000</t>
        </is>
      </c>
      <c r="D101" t="inlineStr">
        <is>
          <t>Short-Term Debt</t>
        </is>
      </c>
      <c r="E101" t="inlineStr">
        <is>
          <t>Liability</t>
        </is>
      </c>
      <c r="F101" s="3" t="n">
        <v>0</v>
      </c>
      <c r="G101" s="3" t="n">
        <v>50000</v>
      </c>
      <c r="H101" s="3" t="n">
        <v>50000</v>
      </c>
    </row>
    <row r="102">
      <c r="A102" t="n">
        <v>2026</v>
      </c>
      <c r="B102" t="n">
        <v>4</v>
      </c>
      <c r="C102" t="inlineStr">
        <is>
          <t>204000</t>
        </is>
      </c>
      <c r="D102" t="inlineStr">
        <is>
          <t>Long-Term Debt</t>
        </is>
      </c>
      <c r="E102" t="inlineStr">
        <is>
          <t>Liability</t>
        </is>
      </c>
      <c r="F102" s="3" t="n">
        <v>0</v>
      </c>
      <c r="G102" s="3" t="n">
        <v>192000</v>
      </c>
      <c r="H102" s="3" t="n">
        <v>192000</v>
      </c>
    </row>
    <row r="103">
      <c r="A103" t="n">
        <v>2026</v>
      </c>
      <c r="B103" t="n">
        <v>4</v>
      </c>
      <c r="C103" t="inlineStr">
        <is>
          <t>205000</t>
        </is>
      </c>
      <c r="D103" t="inlineStr">
        <is>
          <t>Taxes Payable</t>
        </is>
      </c>
      <c r="E103" t="inlineStr">
        <is>
          <t>Liability</t>
        </is>
      </c>
      <c r="F103" s="3" t="n">
        <v>0</v>
      </c>
      <c r="G103" s="3" t="n">
        <v>17349.06</v>
      </c>
      <c r="H103" s="3" t="n">
        <v>17349.06</v>
      </c>
    </row>
    <row r="104">
      <c r="A104" t="n">
        <v>2026</v>
      </c>
      <c r="B104" t="n">
        <v>4</v>
      </c>
      <c r="C104" t="inlineStr">
        <is>
          <t>301000</t>
        </is>
      </c>
      <c r="D104" t="inlineStr">
        <is>
          <t>Share Capital</t>
        </is>
      </c>
      <c r="E104" t="inlineStr">
        <is>
          <t>Equity</t>
        </is>
      </c>
      <c r="F104" s="3" t="n">
        <v>0</v>
      </c>
      <c r="G104" s="3" t="n">
        <v>300000</v>
      </c>
      <c r="H104" s="3" t="n">
        <v>300000</v>
      </c>
    </row>
    <row r="105">
      <c r="A105" t="n">
        <v>2026</v>
      </c>
      <c r="B105" t="n">
        <v>4</v>
      </c>
      <c r="C105" t="inlineStr">
        <is>
          <t>302000</t>
        </is>
      </c>
      <c r="D105" t="inlineStr">
        <is>
          <t>Retained Earnings</t>
        </is>
      </c>
      <c r="E105" t="inlineStr">
        <is>
          <t>Equity</t>
        </is>
      </c>
      <c r="F105" s="3" t="n">
        <v>0</v>
      </c>
      <c r="G105" s="3" t="n">
        <v>50000</v>
      </c>
      <c r="H105" s="3" t="n">
        <v>50000</v>
      </c>
    </row>
    <row r="106">
      <c r="A106" t="n">
        <v>2026</v>
      </c>
      <c r="B106" t="n">
        <v>5</v>
      </c>
      <c r="C106" t="inlineStr">
        <is>
          <t>401000</t>
        </is>
      </c>
      <c r="D106" t="inlineStr">
        <is>
          <t>Product Sales</t>
        </is>
      </c>
      <c r="E106" t="inlineStr">
        <is>
          <t>Revenue</t>
        </is>
      </c>
      <c r="F106" s="3" t="n">
        <v>0</v>
      </c>
      <c r="G106" s="3" t="n">
        <v>167422.52</v>
      </c>
      <c r="H106" s="3" t="n">
        <v>167422.52</v>
      </c>
    </row>
    <row r="107">
      <c r="A107" t="n">
        <v>2026</v>
      </c>
      <c r="B107" t="n">
        <v>5</v>
      </c>
      <c r="C107" t="inlineStr">
        <is>
          <t>402000</t>
        </is>
      </c>
      <c r="D107" t="inlineStr">
        <is>
          <t>Service Revenue</t>
        </is>
      </c>
      <c r="E107" t="inlineStr">
        <is>
          <t>Revenue</t>
        </is>
      </c>
      <c r="F107" s="3" t="n">
        <v>0</v>
      </c>
      <c r="G107" s="3" t="n">
        <v>41393.87</v>
      </c>
      <c r="H107" s="3" t="n">
        <v>41393.87</v>
      </c>
    </row>
    <row r="108">
      <c r="A108" t="n">
        <v>2026</v>
      </c>
      <c r="B108" t="n">
        <v>5</v>
      </c>
      <c r="C108" t="inlineStr">
        <is>
          <t>403000</t>
        </is>
      </c>
      <c r="D108" t="inlineStr">
        <is>
          <t>Other Income</t>
        </is>
      </c>
      <c r="E108" t="inlineStr">
        <is>
          <t>Revenue</t>
        </is>
      </c>
      <c r="F108" s="3" t="n">
        <v>0</v>
      </c>
      <c r="G108" s="3" t="n">
        <v>6857.44</v>
      </c>
      <c r="H108" s="3" t="n">
        <v>6857.44</v>
      </c>
    </row>
    <row r="109">
      <c r="A109" t="n">
        <v>2026</v>
      </c>
      <c r="B109" t="n">
        <v>5</v>
      </c>
      <c r="C109" t="inlineStr">
        <is>
          <t>501000</t>
        </is>
      </c>
      <c r="D109" t="inlineStr">
        <is>
          <t>Cost of Goods Sold</t>
        </is>
      </c>
      <c r="E109" t="inlineStr">
        <is>
          <t>Expense</t>
        </is>
      </c>
      <c r="F109" s="3" t="n">
        <v>98417.24000000001</v>
      </c>
      <c r="G109" s="3" t="n">
        <v>0</v>
      </c>
      <c r="H109" s="3" t="n">
        <v>98417.24000000001</v>
      </c>
    </row>
    <row r="110">
      <c r="A110" t="n">
        <v>2026</v>
      </c>
      <c r="B110" t="n">
        <v>5</v>
      </c>
      <c r="C110" t="inlineStr">
        <is>
          <t>502000</t>
        </is>
      </c>
      <c r="D110" t="inlineStr">
        <is>
          <t>Salaries &amp; Benefits</t>
        </is>
      </c>
      <c r="E110" t="inlineStr">
        <is>
          <t>Expense</t>
        </is>
      </c>
      <c r="F110" s="3" t="n">
        <v>51327.58</v>
      </c>
      <c r="G110" s="3" t="n">
        <v>0</v>
      </c>
      <c r="H110" s="3" t="n">
        <v>51327.58</v>
      </c>
    </row>
    <row r="111">
      <c r="A111" t="n">
        <v>2026</v>
      </c>
      <c r="B111" t="n">
        <v>5</v>
      </c>
      <c r="C111" t="inlineStr">
        <is>
          <t>503000</t>
        </is>
      </c>
      <c r="D111" t="inlineStr">
        <is>
          <t>Rent &amp; Facilities</t>
        </is>
      </c>
      <c r="E111" t="inlineStr">
        <is>
          <t>Expense</t>
        </is>
      </c>
      <c r="F111" s="3" t="n">
        <v>12000</v>
      </c>
      <c r="G111" s="3" t="n">
        <v>0</v>
      </c>
      <c r="H111" s="3" t="n">
        <v>12000</v>
      </c>
    </row>
    <row r="112">
      <c r="A112" t="n">
        <v>2026</v>
      </c>
      <c r="B112" t="n">
        <v>5</v>
      </c>
      <c r="C112" t="inlineStr">
        <is>
          <t>504000</t>
        </is>
      </c>
      <c r="D112" t="inlineStr">
        <is>
          <t>Marketing &amp; Advertising</t>
        </is>
      </c>
      <c r="E112" t="inlineStr">
        <is>
          <t>Expense</t>
        </is>
      </c>
      <c r="F112" s="3" t="n">
        <v>8024.57</v>
      </c>
      <c r="G112" s="3" t="n">
        <v>0</v>
      </c>
      <c r="H112" s="3" t="n">
        <v>8024.57</v>
      </c>
    </row>
    <row r="113">
      <c r="A113" t="n">
        <v>2026</v>
      </c>
      <c r="B113" t="n">
        <v>5</v>
      </c>
      <c r="C113" t="inlineStr">
        <is>
          <t>505000</t>
        </is>
      </c>
      <c r="D113" t="inlineStr">
        <is>
          <t>Travel &amp; Entertainment</t>
        </is>
      </c>
      <c r="E113" t="inlineStr">
        <is>
          <t>Expense</t>
        </is>
      </c>
      <c r="F113" s="3" t="n">
        <v>4596.3</v>
      </c>
      <c r="G113" s="3" t="n">
        <v>0</v>
      </c>
      <c r="H113" s="3" t="n">
        <v>4596.3</v>
      </c>
    </row>
    <row r="114">
      <c r="A114" t="n">
        <v>2026</v>
      </c>
      <c r="B114" t="n">
        <v>5</v>
      </c>
      <c r="C114" t="inlineStr">
        <is>
          <t>506000</t>
        </is>
      </c>
      <c r="D114" t="inlineStr">
        <is>
          <t>IT &amp; Software</t>
        </is>
      </c>
      <c r="E114" t="inlineStr">
        <is>
          <t>Expense</t>
        </is>
      </c>
      <c r="F114" s="3" t="n">
        <v>3852.36</v>
      </c>
      <c r="G114" s="3" t="n">
        <v>0</v>
      </c>
      <c r="H114" s="3" t="n">
        <v>3852.36</v>
      </c>
    </row>
    <row r="115">
      <c r="A115" t="n">
        <v>2026</v>
      </c>
      <c r="B115" t="n">
        <v>5</v>
      </c>
      <c r="C115" t="inlineStr">
        <is>
          <t>507000</t>
        </is>
      </c>
      <c r="D115" t="inlineStr">
        <is>
          <t>Utilities</t>
        </is>
      </c>
      <c r="E115" t="inlineStr">
        <is>
          <t>Expense</t>
        </is>
      </c>
      <c r="F115" s="3" t="n">
        <v>2383.87</v>
      </c>
      <c r="G115" s="3" t="n">
        <v>0</v>
      </c>
      <c r="H115" s="3" t="n">
        <v>2383.87</v>
      </c>
    </row>
    <row r="116">
      <c r="A116" t="n">
        <v>2026</v>
      </c>
      <c r="B116" t="n">
        <v>5</v>
      </c>
      <c r="C116" t="inlineStr">
        <is>
          <t>508000</t>
        </is>
      </c>
      <c r="D116" t="inlineStr">
        <is>
          <t>Depreciation</t>
        </is>
      </c>
      <c r="E116" t="inlineStr">
        <is>
          <t>Expense</t>
        </is>
      </c>
      <c r="F116" s="3" t="n">
        <v>7000</v>
      </c>
      <c r="G116" s="3" t="n">
        <v>0</v>
      </c>
      <c r="H116" s="3" t="n">
        <v>7000</v>
      </c>
    </row>
    <row r="117">
      <c r="A117" t="n">
        <v>2026</v>
      </c>
      <c r="B117" t="n">
        <v>5</v>
      </c>
      <c r="C117" t="inlineStr">
        <is>
          <t>509000</t>
        </is>
      </c>
      <c r="D117" t="inlineStr">
        <is>
          <t>Interest Expense</t>
        </is>
      </c>
      <c r="E117" t="inlineStr">
        <is>
          <t>Expense</t>
        </is>
      </c>
      <c r="F117" s="3" t="n">
        <v>3000</v>
      </c>
      <c r="G117" s="3" t="n">
        <v>0</v>
      </c>
      <c r="H117" s="3" t="n">
        <v>3000</v>
      </c>
    </row>
    <row r="118">
      <c r="A118" t="n">
        <v>2026</v>
      </c>
      <c r="B118" t="n">
        <v>5</v>
      </c>
      <c r="C118" t="inlineStr">
        <is>
          <t>510000</t>
        </is>
      </c>
      <c r="D118" t="inlineStr">
        <is>
          <t>Tax Provision</t>
        </is>
      </c>
      <c r="E118" t="inlineStr">
        <is>
          <t>Expense</t>
        </is>
      </c>
      <c r="F118" s="3" t="n">
        <v>5515.82</v>
      </c>
      <c r="G118" s="3" t="n">
        <v>0</v>
      </c>
      <c r="H118" s="3" t="n">
        <v>5515.82</v>
      </c>
    </row>
    <row r="119">
      <c r="A119" t="n">
        <v>2026</v>
      </c>
      <c r="B119" t="n">
        <v>5</v>
      </c>
      <c r="C119" t="inlineStr">
        <is>
          <t>101000</t>
        </is>
      </c>
      <c r="D119" t="inlineStr">
        <is>
          <t>Cash &amp; Bank</t>
        </is>
      </c>
      <c r="E119" t="inlineStr">
        <is>
          <t>Asset</t>
        </is>
      </c>
      <c r="F119" s="3" t="n">
        <v>114307.64</v>
      </c>
      <c r="G119" s="3" t="n">
        <v>0</v>
      </c>
      <c r="H119" s="3" t="n">
        <v>114307.64</v>
      </c>
    </row>
    <row r="120">
      <c r="A120" t="n">
        <v>2026</v>
      </c>
      <c r="B120" t="n">
        <v>5</v>
      </c>
      <c r="C120" t="inlineStr">
        <is>
          <t>102000</t>
        </is>
      </c>
      <c r="D120" t="inlineStr">
        <is>
          <t>Accounts Receivable</t>
        </is>
      </c>
      <c r="E120" t="inlineStr">
        <is>
          <t>Asset</t>
        </is>
      </c>
      <c r="F120" s="3" t="n">
        <v>29861.31</v>
      </c>
      <c r="G120" s="3" t="n">
        <v>0</v>
      </c>
      <c r="H120" s="3" t="n">
        <v>29861.31</v>
      </c>
    </row>
    <row r="121">
      <c r="A121" t="n">
        <v>2026</v>
      </c>
      <c r="B121" t="n">
        <v>5</v>
      </c>
      <c r="C121" t="inlineStr">
        <is>
          <t>103000</t>
        </is>
      </c>
      <c r="D121" t="inlineStr">
        <is>
          <t>Inventory</t>
        </is>
      </c>
      <c r="E121" t="inlineStr">
        <is>
          <t>Asset</t>
        </is>
      </c>
      <c r="F121" s="3" t="n">
        <v>97416.3</v>
      </c>
      <c r="G121" s="3" t="n">
        <v>0</v>
      </c>
      <c r="H121" s="3" t="n">
        <v>97416.3</v>
      </c>
    </row>
    <row r="122">
      <c r="A122" t="n">
        <v>2026</v>
      </c>
      <c r="B122" t="n">
        <v>5</v>
      </c>
      <c r="C122" t="inlineStr">
        <is>
          <t>104000</t>
        </is>
      </c>
      <c r="D122" t="inlineStr">
        <is>
          <t>Prepaid Expenses</t>
        </is>
      </c>
      <c r="E122" t="inlineStr">
        <is>
          <t>Asset</t>
        </is>
      </c>
      <c r="F122" s="3" t="n">
        <v>6000</v>
      </c>
      <c r="G122" s="3" t="n">
        <v>0</v>
      </c>
      <c r="H122" s="3" t="n">
        <v>6000</v>
      </c>
    </row>
    <row r="123">
      <c r="A123" t="n">
        <v>2026</v>
      </c>
      <c r="B123" t="n">
        <v>5</v>
      </c>
      <c r="C123" t="inlineStr">
        <is>
          <t>105000</t>
        </is>
      </c>
      <c r="D123" t="inlineStr">
        <is>
          <t>Fixed Assets (Gross)</t>
        </is>
      </c>
      <c r="E123" t="inlineStr">
        <is>
          <t>Asset</t>
        </is>
      </c>
      <c r="F123" s="3" t="n">
        <v>500000</v>
      </c>
      <c r="G123" s="3" t="n">
        <v>0</v>
      </c>
      <c r="H123" s="3" t="n">
        <v>500000</v>
      </c>
    </row>
    <row r="124">
      <c r="A124" t="n">
        <v>2026</v>
      </c>
      <c r="B124" t="n">
        <v>5</v>
      </c>
      <c r="C124" t="inlineStr">
        <is>
          <t>106000</t>
        </is>
      </c>
      <c r="D124" t="inlineStr">
        <is>
          <t>Accumulated Depreciation</t>
        </is>
      </c>
      <c r="E124" t="inlineStr">
        <is>
          <t>Asset-Contra</t>
        </is>
      </c>
      <c r="F124" s="3" t="n">
        <v>0</v>
      </c>
      <c r="G124" s="3" t="n">
        <v>70000</v>
      </c>
      <c r="H124" s="3" t="n">
        <v>-70000</v>
      </c>
    </row>
    <row r="125">
      <c r="A125" t="n">
        <v>2026</v>
      </c>
      <c r="B125" t="n">
        <v>5</v>
      </c>
      <c r="C125" t="inlineStr">
        <is>
          <t>201000</t>
        </is>
      </c>
      <c r="D125" t="inlineStr">
        <is>
          <t>Accounts Payable</t>
        </is>
      </c>
      <c r="E125" t="inlineStr">
        <is>
          <t>Liability</t>
        </is>
      </c>
      <c r="F125" s="3" t="n">
        <v>0</v>
      </c>
      <c r="G125" s="3" t="n">
        <v>37634.57</v>
      </c>
      <c r="H125" s="3" t="n">
        <v>37634.57</v>
      </c>
    </row>
    <row r="126">
      <c r="A126" t="n">
        <v>2026</v>
      </c>
      <c r="B126" t="n">
        <v>5</v>
      </c>
      <c r="C126" t="inlineStr">
        <is>
          <t>202000</t>
        </is>
      </c>
      <c r="D126" t="inlineStr">
        <is>
          <t>Accrued Expenses</t>
        </is>
      </c>
      <c r="E126" t="inlineStr">
        <is>
          <t>Liability</t>
        </is>
      </c>
      <c r="F126" s="3" t="n">
        <v>0</v>
      </c>
      <c r="G126" s="3" t="n">
        <v>11555.23</v>
      </c>
      <c r="H126" s="3" t="n">
        <v>11555.23</v>
      </c>
    </row>
    <row r="127">
      <c r="A127" t="n">
        <v>2026</v>
      </c>
      <c r="B127" t="n">
        <v>5</v>
      </c>
      <c r="C127" t="inlineStr">
        <is>
          <t>203000</t>
        </is>
      </c>
      <c r="D127" t="inlineStr">
        <is>
          <t>Short-Term Debt</t>
        </is>
      </c>
      <c r="E127" t="inlineStr">
        <is>
          <t>Liability</t>
        </is>
      </c>
      <c r="F127" s="3" t="n">
        <v>0</v>
      </c>
      <c r="G127" s="3" t="n">
        <v>50000</v>
      </c>
      <c r="H127" s="3" t="n">
        <v>50000</v>
      </c>
    </row>
    <row r="128">
      <c r="A128" t="n">
        <v>2026</v>
      </c>
      <c r="B128" t="n">
        <v>5</v>
      </c>
      <c r="C128" t="inlineStr">
        <is>
          <t>204000</t>
        </is>
      </c>
      <c r="D128" t="inlineStr">
        <is>
          <t>Long-Term Debt</t>
        </is>
      </c>
      <c r="E128" t="inlineStr">
        <is>
          <t>Liability</t>
        </is>
      </c>
      <c r="F128" s="3" t="n">
        <v>0</v>
      </c>
      <c r="G128" s="3" t="n">
        <v>190000</v>
      </c>
      <c r="H128" s="3" t="n">
        <v>190000</v>
      </c>
    </row>
    <row r="129">
      <c r="A129" t="n">
        <v>2026</v>
      </c>
      <c r="B129" t="n">
        <v>5</v>
      </c>
      <c r="C129" t="inlineStr">
        <is>
          <t>205000</t>
        </is>
      </c>
      <c r="D129" t="inlineStr">
        <is>
          <t>Taxes Payable</t>
        </is>
      </c>
      <c r="E129" t="inlineStr">
        <is>
          <t>Liability</t>
        </is>
      </c>
      <c r="F129" s="3" t="n">
        <v>0</v>
      </c>
      <c r="G129" s="3" t="n">
        <v>18839.37</v>
      </c>
      <c r="H129" s="3" t="n">
        <v>18839.37</v>
      </c>
    </row>
    <row r="130">
      <c r="A130" t="n">
        <v>2026</v>
      </c>
      <c r="B130" t="n">
        <v>5</v>
      </c>
      <c r="C130" t="inlineStr">
        <is>
          <t>301000</t>
        </is>
      </c>
      <c r="D130" t="inlineStr">
        <is>
          <t>Share Capital</t>
        </is>
      </c>
      <c r="E130" t="inlineStr">
        <is>
          <t>Equity</t>
        </is>
      </c>
      <c r="F130" s="3" t="n">
        <v>0</v>
      </c>
      <c r="G130" s="3" t="n">
        <v>300000</v>
      </c>
      <c r="H130" s="3" t="n">
        <v>300000</v>
      </c>
    </row>
    <row r="131">
      <c r="A131" t="n">
        <v>2026</v>
      </c>
      <c r="B131" t="n">
        <v>5</v>
      </c>
      <c r="C131" t="inlineStr">
        <is>
          <t>302000</t>
        </is>
      </c>
      <c r="D131" t="inlineStr">
        <is>
          <t>Retained Earnings</t>
        </is>
      </c>
      <c r="E131" t="inlineStr">
        <is>
          <t>Equity</t>
        </is>
      </c>
      <c r="F131" s="3" t="n">
        <v>0</v>
      </c>
      <c r="G131" s="3" t="n">
        <v>50000</v>
      </c>
      <c r="H131" s="3" t="n">
        <v>50000</v>
      </c>
    </row>
    <row r="132">
      <c r="A132" t="n">
        <v>2026</v>
      </c>
      <c r="B132" t="n">
        <v>6</v>
      </c>
      <c r="C132" t="inlineStr">
        <is>
          <t>401000</t>
        </is>
      </c>
      <c r="D132" t="inlineStr">
        <is>
          <t>Product Sales</t>
        </is>
      </c>
      <c r="E132" t="inlineStr">
        <is>
          <t>Revenue</t>
        </is>
      </c>
      <c r="F132" s="3" t="n">
        <v>0</v>
      </c>
      <c r="G132" s="3" t="n">
        <v>151402.54</v>
      </c>
      <c r="H132" s="3" t="n">
        <v>151402.54</v>
      </c>
    </row>
    <row r="133">
      <c r="A133" t="n">
        <v>2026</v>
      </c>
      <c r="B133" t="n">
        <v>6</v>
      </c>
      <c r="C133" t="inlineStr">
        <is>
          <t>402000</t>
        </is>
      </c>
      <c r="D133" t="inlineStr">
        <is>
          <t>Service Revenue</t>
        </is>
      </c>
      <c r="E133" t="inlineStr">
        <is>
          <t>Revenue</t>
        </is>
      </c>
      <c r="F133" s="3" t="n">
        <v>0</v>
      </c>
      <c r="G133" s="3" t="n">
        <v>36102.11</v>
      </c>
      <c r="H133" s="3" t="n">
        <v>36102.11</v>
      </c>
    </row>
    <row r="134">
      <c r="A134" t="n">
        <v>2026</v>
      </c>
      <c r="B134" t="n">
        <v>6</v>
      </c>
      <c r="C134" t="inlineStr">
        <is>
          <t>403000</t>
        </is>
      </c>
      <c r="D134" t="inlineStr">
        <is>
          <t>Other Income</t>
        </is>
      </c>
      <c r="E134" t="inlineStr">
        <is>
          <t>Revenue</t>
        </is>
      </c>
      <c r="F134" s="3" t="n">
        <v>0</v>
      </c>
      <c r="G134" s="3" t="n">
        <v>5541.77</v>
      </c>
      <c r="H134" s="3" t="n">
        <v>5541.77</v>
      </c>
    </row>
    <row r="135">
      <c r="A135" t="n">
        <v>2026</v>
      </c>
      <c r="B135" t="n">
        <v>6</v>
      </c>
      <c r="C135" t="inlineStr">
        <is>
          <t>501000</t>
        </is>
      </c>
      <c r="D135" t="inlineStr">
        <is>
          <t>Cost of Goods Sold</t>
        </is>
      </c>
      <c r="E135" t="inlineStr">
        <is>
          <t>Expense</t>
        </is>
      </c>
      <c r="F135" s="3" t="n">
        <v>93371.7</v>
      </c>
      <c r="G135" s="3" t="n">
        <v>0</v>
      </c>
      <c r="H135" s="3" t="n">
        <v>93371.7</v>
      </c>
    </row>
    <row r="136">
      <c r="A136" t="n">
        <v>2026</v>
      </c>
      <c r="B136" t="n">
        <v>6</v>
      </c>
      <c r="C136" t="inlineStr">
        <is>
          <t>502000</t>
        </is>
      </c>
      <c r="D136" t="inlineStr">
        <is>
          <t>Salaries &amp; Benefits</t>
        </is>
      </c>
      <c r="E136" t="inlineStr">
        <is>
          <t>Expense</t>
        </is>
      </c>
      <c r="F136" s="3" t="n">
        <v>50758.08</v>
      </c>
      <c r="G136" s="3" t="n">
        <v>0</v>
      </c>
      <c r="H136" s="3" t="n">
        <v>50758.08</v>
      </c>
    </row>
    <row r="137">
      <c r="A137" t="n">
        <v>2026</v>
      </c>
      <c r="B137" t="n">
        <v>6</v>
      </c>
      <c r="C137" t="inlineStr">
        <is>
          <t>503000</t>
        </is>
      </c>
      <c r="D137" t="inlineStr">
        <is>
          <t>Rent &amp; Facilities</t>
        </is>
      </c>
      <c r="E137" t="inlineStr">
        <is>
          <t>Expense</t>
        </is>
      </c>
      <c r="F137" s="3" t="n">
        <v>12000</v>
      </c>
      <c r="G137" s="3" t="n">
        <v>0</v>
      </c>
      <c r="H137" s="3" t="n">
        <v>12000</v>
      </c>
    </row>
    <row r="138">
      <c r="A138" t="n">
        <v>2026</v>
      </c>
      <c r="B138" t="n">
        <v>6</v>
      </c>
      <c r="C138" t="inlineStr">
        <is>
          <t>504000</t>
        </is>
      </c>
      <c r="D138" t="inlineStr">
        <is>
          <t>Marketing &amp; Advertising</t>
        </is>
      </c>
      <c r="E138" t="inlineStr">
        <is>
          <t>Expense</t>
        </is>
      </c>
      <c r="F138" s="3" t="n">
        <v>8145.87</v>
      </c>
      <c r="G138" s="3" t="n">
        <v>0</v>
      </c>
      <c r="H138" s="3" t="n">
        <v>8145.87</v>
      </c>
    </row>
    <row r="139">
      <c r="A139" t="n">
        <v>2026</v>
      </c>
      <c r="B139" t="n">
        <v>6</v>
      </c>
      <c r="C139" t="inlineStr">
        <is>
          <t>505000</t>
        </is>
      </c>
      <c r="D139" t="inlineStr">
        <is>
          <t>Travel &amp; Entertainment</t>
        </is>
      </c>
      <c r="E139" t="inlineStr">
        <is>
          <t>Expense</t>
        </is>
      </c>
      <c r="F139" s="3" t="n">
        <v>6253.76</v>
      </c>
      <c r="G139" s="3" t="n">
        <v>0</v>
      </c>
      <c r="H139" s="3" t="n">
        <v>6253.76</v>
      </c>
    </row>
    <row r="140">
      <c r="A140" t="n">
        <v>2026</v>
      </c>
      <c r="B140" t="n">
        <v>6</v>
      </c>
      <c r="C140" t="inlineStr">
        <is>
          <t>506000</t>
        </is>
      </c>
      <c r="D140" t="inlineStr">
        <is>
          <t>IT &amp; Software</t>
        </is>
      </c>
      <c r="E140" t="inlineStr">
        <is>
          <t>Expense</t>
        </is>
      </c>
      <c r="F140" s="3" t="n">
        <v>4318.26</v>
      </c>
      <c r="G140" s="3" t="n">
        <v>0</v>
      </c>
      <c r="H140" s="3" t="n">
        <v>4318.26</v>
      </c>
    </row>
    <row r="141">
      <c r="A141" t="n">
        <v>2026</v>
      </c>
      <c r="B141" t="n">
        <v>6</v>
      </c>
      <c r="C141" t="inlineStr">
        <is>
          <t>507000</t>
        </is>
      </c>
      <c r="D141" t="inlineStr">
        <is>
          <t>Utilities</t>
        </is>
      </c>
      <c r="E141" t="inlineStr">
        <is>
          <t>Expense</t>
        </is>
      </c>
      <c r="F141" s="3" t="n">
        <v>2449.7</v>
      </c>
      <c r="G141" s="3" t="n">
        <v>0</v>
      </c>
      <c r="H141" s="3" t="n">
        <v>2449.7</v>
      </c>
    </row>
    <row r="142">
      <c r="A142" t="n">
        <v>2026</v>
      </c>
      <c r="B142" t="n">
        <v>6</v>
      </c>
      <c r="C142" t="inlineStr">
        <is>
          <t>508000</t>
        </is>
      </c>
      <c r="D142" t="inlineStr">
        <is>
          <t>Depreciation</t>
        </is>
      </c>
      <c r="E142" t="inlineStr">
        <is>
          <t>Expense</t>
        </is>
      </c>
      <c r="F142" s="3" t="n">
        <v>7000</v>
      </c>
      <c r="G142" s="3" t="n">
        <v>0</v>
      </c>
      <c r="H142" s="3" t="n">
        <v>7000</v>
      </c>
    </row>
    <row r="143">
      <c r="A143" t="n">
        <v>2026</v>
      </c>
      <c r="B143" t="n">
        <v>6</v>
      </c>
      <c r="C143" t="inlineStr">
        <is>
          <t>509000</t>
        </is>
      </c>
      <c r="D143" t="inlineStr">
        <is>
          <t>Interest Expense</t>
        </is>
      </c>
      <c r="E143" t="inlineStr">
        <is>
          <t>Expense</t>
        </is>
      </c>
      <c r="F143" s="3" t="n">
        <v>3000</v>
      </c>
      <c r="G143" s="3" t="n">
        <v>0</v>
      </c>
      <c r="H143" s="3" t="n">
        <v>3000</v>
      </c>
    </row>
    <row r="144">
      <c r="A144" t="n">
        <v>2026</v>
      </c>
      <c r="B144" t="n">
        <v>6</v>
      </c>
      <c r="C144" t="inlineStr">
        <is>
          <t>510000</t>
        </is>
      </c>
      <c r="D144" t="inlineStr">
        <is>
          <t>Tax Provision</t>
        </is>
      </c>
      <c r="E144" t="inlineStr">
        <is>
          <t>Expense</t>
        </is>
      </c>
      <c r="F144" s="3" t="n">
        <v>1264.79</v>
      </c>
      <c r="G144" s="3" t="n">
        <v>0</v>
      </c>
      <c r="H144" s="3" t="n">
        <v>1264.79</v>
      </c>
    </row>
    <row r="145">
      <c r="A145" t="n">
        <v>2026</v>
      </c>
      <c r="B145" t="n">
        <v>6</v>
      </c>
      <c r="C145" t="inlineStr">
        <is>
          <t>101000</t>
        </is>
      </c>
      <c r="D145" t="inlineStr">
        <is>
          <t>Cash &amp; Bank</t>
        </is>
      </c>
      <c r="E145" t="inlineStr">
        <is>
          <t>Asset</t>
        </is>
      </c>
      <c r="F145" s="3" t="n">
        <v>100751.2</v>
      </c>
      <c r="G145" s="3" t="n">
        <v>0</v>
      </c>
      <c r="H145" s="3" t="n">
        <v>100751.2</v>
      </c>
    </row>
    <row r="146">
      <c r="A146" t="n">
        <v>2026</v>
      </c>
      <c r="B146" t="n">
        <v>6</v>
      </c>
      <c r="C146" t="inlineStr">
        <is>
          <t>102000</t>
        </is>
      </c>
      <c r="D146" t="inlineStr">
        <is>
          <t>Accounts Receivable</t>
        </is>
      </c>
      <c r="E146" t="inlineStr">
        <is>
          <t>Asset</t>
        </is>
      </c>
      <c r="F146" s="3" t="n">
        <v>27221.75</v>
      </c>
      <c r="G146" s="3" t="n">
        <v>0</v>
      </c>
      <c r="H146" s="3" t="n">
        <v>27221.75</v>
      </c>
    </row>
    <row r="147">
      <c r="A147" t="n">
        <v>2026</v>
      </c>
      <c r="B147" t="n">
        <v>6</v>
      </c>
      <c r="C147" t="inlineStr">
        <is>
          <t>103000</t>
        </is>
      </c>
      <c r="D147" t="inlineStr">
        <is>
          <t>Inventory</t>
        </is>
      </c>
      <c r="E147" t="inlineStr">
        <is>
          <t>Asset</t>
        </is>
      </c>
      <c r="F147" s="3" t="n">
        <v>98552.52</v>
      </c>
      <c r="G147" s="3" t="n">
        <v>0</v>
      </c>
      <c r="H147" s="3" t="n">
        <v>98552.52</v>
      </c>
    </row>
    <row r="148">
      <c r="A148" t="n">
        <v>2026</v>
      </c>
      <c r="B148" t="n">
        <v>6</v>
      </c>
      <c r="C148" t="inlineStr">
        <is>
          <t>104000</t>
        </is>
      </c>
      <c r="D148" t="inlineStr">
        <is>
          <t>Prepaid Expenses</t>
        </is>
      </c>
      <c r="E148" t="inlineStr">
        <is>
          <t>Asset</t>
        </is>
      </c>
      <c r="F148" s="3" t="n">
        <v>5600</v>
      </c>
      <c r="G148" s="3" t="n">
        <v>0</v>
      </c>
      <c r="H148" s="3" t="n">
        <v>5600</v>
      </c>
    </row>
    <row r="149">
      <c r="A149" t="n">
        <v>2026</v>
      </c>
      <c r="B149" t="n">
        <v>6</v>
      </c>
      <c r="C149" t="inlineStr">
        <is>
          <t>105000</t>
        </is>
      </c>
      <c r="D149" t="inlineStr">
        <is>
          <t>Fixed Assets (Gross)</t>
        </is>
      </c>
      <c r="E149" t="inlineStr">
        <is>
          <t>Asset</t>
        </is>
      </c>
      <c r="F149" s="3" t="n">
        <v>500000</v>
      </c>
      <c r="G149" s="3" t="n">
        <v>0</v>
      </c>
      <c r="H149" s="3" t="n">
        <v>500000</v>
      </c>
    </row>
    <row r="150">
      <c r="A150" t="n">
        <v>2026</v>
      </c>
      <c r="B150" t="n">
        <v>6</v>
      </c>
      <c r="C150" t="inlineStr">
        <is>
          <t>106000</t>
        </is>
      </c>
      <c r="D150" t="inlineStr">
        <is>
          <t>Accumulated Depreciation</t>
        </is>
      </c>
      <c r="E150" t="inlineStr">
        <is>
          <t>Asset-Contra</t>
        </is>
      </c>
      <c r="F150" s="3" t="n">
        <v>0</v>
      </c>
      <c r="G150" s="3" t="n">
        <v>77000</v>
      </c>
      <c r="H150" s="3" t="n">
        <v>-77000</v>
      </c>
    </row>
    <row r="151">
      <c r="A151" t="n">
        <v>2026</v>
      </c>
      <c r="B151" t="n">
        <v>6</v>
      </c>
      <c r="C151" t="inlineStr">
        <is>
          <t>201000</t>
        </is>
      </c>
      <c r="D151" t="inlineStr">
        <is>
          <t>Accounts Payable</t>
        </is>
      </c>
      <c r="E151" t="inlineStr">
        <is>
          <t>Liability</t>
        </is>
      </c>
      <c r="F151" s="3" t="n">
        <v>0</v>
      </c>
      <c r="G151" s="3" t="n">
        <v>36068.59</v>
      </c>
      <c r="H151" s="3" t="n">
        <v>36068.59</v>
      </c>
    </row>
    <row r="152">
      <c r="A152" t="n">
        <v>2026</v>
      </c>
      <c r="B152" t="n">
        <v>6</v>
      </c>
      <c r="C152" t="inlineStr">
        <is>
          <t>202000</t>
        </is>
      </c>
      <c r="D152" t="inlineStr">
        <is>
          <t>Accrued Expenses</t>
        </is>
      </c>
      <c r="E152" t="inlineStr">
        <is>
          <t>Liability</t>
        </is>
      </c>
      <c r="F152" s="3" t="n">
        <v>0</v>
      </c>
      <c r="G152" s="3" t="n">
        <v>11018.18</v>
      </c>
      <c r="H152" s="3" t="n">
        <v>11018.18</v>
      </c>
    </row>
    <row r="153">
      <c r="A153" t="n">
        <v>2026</v>
      </c>
      <c r="B153" t="n">
        <v>6</v>
      </c>
      <c r="C153" t="inlineStr">
        <is>
          <t>203000</t>
        </is>
      </c>
      <c r="D153" t="inlineStr">
        <is>
          <t>Short-Term Debt</t>
        </is>
      </c>
      <c r="E153" t="inlineStr">
        <is>
          <t>Liability</t>
        </is>
      </c>
      <c r="F153" s="3" t="n">
        <v>0</v>
      </c>
      <c r="G153" s="3" t="n">
        <v>50000</v>
      </c>
      <c r="H153" s="3" t="n">
        <v>50000</v>
      </c>
    </row>
    <row r="154">
      <c r="A154" t="n">
        <v>2026</v>
      </c>
      <c r="B154" t="n">
        <v>6</v>
      </c>
      <c r="C154" t="inlineStr">
        <is>
          <t>204000</t>
        </is>
      </c>
      <c r="D154" t="inlineStr">
        <is>
          <t>Long-Term Debt</t>
        </is>
      </c>
      <c r="E154" t="inlineStr">
        <is>
          <t>Liability</t>
        </is>
      </c>
      <c r="F154" s="3" t="n">
        <v>0</v>
      </c>
      <c r="G154" s="3" t="n">
        <v>188000</v>
      </c>
      <c r="H154" s="3" t="n">
        <v>188000</v>
      </c>
    </row>
    <row r="155">
      <c r="A155" t="n">
        <v>2026</v>
      </c>
      <c r="B155" t="n">
        <v>6</v>
      </c>
      <c r="C155" t="inlineStr">
        <is>
          <t>205000</t>
        </is>
      </c>
      <c r="D155" t="inlineStr">
        <is>
          <t>Taxes Payable</t>
        </is>
      </c>
      <c r="E155" t="inlineStr">
        <is>
          <t>Liability</t>
        </is>
      </c>
      <c r="F155" s="3" t="n">
        <v>0</v>
      </c>
      <c r="G155" s="3" t="n">
        <v>15554.43</v>
      </c>
      <c r="H155" s="3" t="n">
        <v>15554.43</v>
      </c>
    </row>
    <row r="156">
      <c r="A156" t="n">
        <v>2026</v>
      </c>
      <c r="B156" t="n">
        <v>6</v>
      </c>
      <c r="C156" t="inlineStr">
        <is>
          <t>301000</t>
        </is>
      </c>
      <c r="D156" t="inlineStr">
        <is>
          <t>Share Capital</t>
        </is>
      </c>
      <c r="E156" t="inlineStr">
        <is>
          <t>Equity</t>
        </is>
      </c>
      <c r="F156" s="3" t="n">
        <v>0</v>
      </c>
      <c r="G156" s="3" t="n">
        <v>300000</v>
      </c>
      <c r="H156" s="3" t="n">
        <v>300000</v>
      </c>
    </row>
    <row r="157">
      <c r="A157" t="n">
        <v>2026</v>
      </c>
      <c r="B157" t="n">
        <v>6</v>
      </c>
      <c r="C157" t="inlineStr">
        <is>
          <t>302000</t>
        </is>
      </c>
      <c r="D157" t="inlineStr">
        <is>
          <t>Retained Earnings</t>
        </is>
      </c>
      <c r="E157" t="inlineStr">
        <is>
          <t>Equity</t>
        </is>
      </c>
      <c r="F157" s="3" t="n">
        <v>0</v>
      </c>
      <c r="G157" s="3" t="n">
        <v>50000</v>
      </c>
      <c r="H157" s="3" t="n">
        <v>50000</v>
      </c>
    </row>
    <row r="158">
      <c r="A158" t="n">
        <v>2026</v>
      </c>
      <c r="B158" t="n">
        <v>7</v>
      </c>
      <c r="C158" t="inlineStr">
        <is>
          <t>401000</t>
        </is>
      </c>
      <c r="D158" t="inlineStr">
        <is>
          <t>Product Sales</t>
        </is>
      </c>
      <c r="E158" t="inlineStr">
        <is>
          <t>Revenue</t>
        </is>
      </c>
      <c r="F158" s="3" t="n">
        <v>0</v>
      </c>
      <c r="G158" s="3" t="n">
        <v>148323.85</v>
      </c>
      <c r="H158" s="3" t="n">
        <v>148323.85</v>
      </c>
    </row>
    <row r="159">
      <c r="A159" t="n">
        <v>2026</v>
      </c>
      <c r="B159" t="n">
        <v>7</v>
      </c>
      <c r="C159" t="inlineStr">
        <is>
          <t>402000</t>
        </is>
      </c>
      <c r="D159" t="inlineStr">
        <is>
          <t>Service Revenue</t>
        </is>
      </c>
      <c r="E159" t="inlineStr">
        <is>
          <t>Revenue</t>
        </is>
      </c>
      <c r="F159" s="3" t="n">
        <v>0</v>
      </c>
      <c r="G159" s="3" t="n">
        <v>35231.51</v>
      </c>
      <c r="H159" s="3" t="n">
        <v>35231.51</v>
      </c>
    </row>
    <row r="160">
      <c r="A160" t="n">
        <v>2026</v>
      </c>
      <c r="B160" t="n">
        <v>7</v>
      </c>
      <c r="C160" t="inlineStr">
        <is>
          <t>403000</t>
        </is>
      </c>
      <c r="D160" t="inlineStr">
        <is>
          <t>Other Income</t>
        </is>
      </c>
      <c r="E160" t="inlineStr">
        <is>
          <t>Revenue</t>
        </is>
      </c>
      <c r="F160" s="3" t="n">
        <v>0</v>
      </c>
      <c r="G160" s="3" t="n">
        <v>5117.09</v>
      </c>
      <c r="H160" s="3" t="n">
        <v>5117.09</v>
      </c>
    </row>
    <row r="161">
      <c r="A161" t="n">
        <v>2026</v>
      </c>
      <c r="B161" t="n">
        <v>7</v>
      </c>
      <c r="C161" t="inlineStr">
        <is>
          <t>501000</t>
        </is>
      </c>
      <c r="D161" t="inlineStr">
        <is>
          <t>Cost of Goods Sold</t>
        </is>
      </c>
      <c r="E161" t="inlineStr">
        <is>
          <t>Expense</t>
        </is>
      </c>
      <c r="F161" s="3" t="n">
        <v>85812.53</v>
      </c>
      <c r="G161" s="3" t="n">
        <v>0</v>
      </c>
      <c r="H161" s="3" t="n">
        <v>85812.53</v>
      </c>
    </row>
    <row r="162">
      <c r="A162" t="n">
        <v>2026</v>
      </c>
      <c r="B162" t="n">
        <v>7</v>
      </c>
      <c r="C162" t="inlineStr">
        <is>
          <t>502000</t>
        </is>
      </c>
      <c r="D162" t="inlineStr">
        <is>
          <t>Salaries &amp; Benefits</t>
        </is>
      </c>
      <c r="E162" t="inlineStr">
        <is>
          <t>Expense</t>
        </is>
      </c>
      <c r="F162" s="3" t="n">
        <v>50349.78</v>
      </c>
      <c r="G162" s="3" t="n">
        <v>0</v>
      </c>
      <c r="H162" s="3" t="n">
        <v>50349.78</v>
      </c>
    </row>
    <row r="163">
      <c r="A163" t="n">
        <v>2026</v>
      </c>
      <c r="B163" t="n">
        <v>7</v>
      </c>
      <c r="C163" t="inlineStr">
        <is>
          <t>503000</t>
        </is>
      </c>
      <c r="D163" t="inlineStr">
        <is>
          <t>Rent &amp; Facilities</t>
        </is>
      </c>
      <c r="E163" t="inlineStr">
        <is>
          <t>Expense</t>
        </is>
      </c>
      <c r="F163" s="3" t="n">
        <v>12000</v>
      </c>
      <c r="G163" s="3" t="n">
        <v>0</v>
      </c>
      <c r="H163" s="3" t="n">
        <v>12000</v>
      </c>
    </row>
    <row r="164">
      <c r="A164" t="n">
        <v>2026</v>
      </c>
      <c r="B164" t="n">
        <v>7</v>
      </c>
      <c r="C164" t="inlineStr">
        <is>
          <t>504000</t>
        </is>
      </c>
      <c r="D164" t="inlineStr">
        <is>
          <t>Marketing &amp; Advertising</t>
        </is>
      </c>
      <c r="E164" t="inlineStr">
        <is>
          <t>Expense</t>
        </is>
      </c>
      <c r="F164" s="3" t="n">
        <v>10786.04</v>
      </c>
      <c r="G164" s="3" t="n">
        <v>0</v>
      </c>
      <c r="H164" s="3" t="n">
        <v>10786.04</v>
      </c>
    </row>
    <row r="165">
      <c r="A165" t="n">
        <v>2026</v>
      </c>
      <c r="B165" t="n">
        <v>7</v>
      </c>
      <c r="C165" t="inlineStr">
        <is>
          <t>505000</t>
        </is>
      </c>
      <c r="D165" t="inlineStr">
        <is>
          <t>Travel &amp; Entertainment</t>
        </is>
      </c>
      <c r="E165" t="inlineStr">
        <is>
          <t>Expense</t>
        </is>
      </c>
      <c r="F165" s="3" t="n">
        <v>6087.34</v>
      </c>
      <c r="G165" s="3" t="n">
        <v>0</v>
      </c>
      <c r="H165" s="3" t="n">
        <v>6087.34</v>
      </c>
    </row>
    <row r="166">
      <c r="A166" t="n">
        <v>2026</v>
      </c>
      <c r="B166" t="n">
        <v>7</v>
      </c>
      <c r="C166" t="inlineStr">
        <is>
          <t>506000</t>
        </is>
      </c>
      <c r="D166" t="inlineStr">
        <is>
          <t>IT &amp; Software</t>
        </is>
      </c>
      <c r="E166" t="inlineStr">
        <is>
          <t>Expense</t>
        </is>
      </c>
      <c r="F166" s="3" t="n">
        <v>4376.86</v>
      </c>
      <c r="G166" s="3" t="n">
        <v>0</v>
      </c>
      <c r="H166" s="3" t="n">
        <v>4376.86</v>
      </c>
    </row>
    <row r="167">
      <c r="A167" t="n">
        <v>2026</v>
      </c>
      <c r="B167" t="n">
        <v>7</v>
      </c>
      <c r="C167" t="inlineStr">
        <is>
          <t>507000</t>
        </is>
      </c>
      <c r="D167" t="inlineStr">
        <is>
          <t>Utilities</t>
        </is>
      </c>
      <c r="E167" t="inlineStr">
        <is>
          <t>Expense</t>
        </is>
      </c>
      <c r="F167" s="3" t="n">
        <v>2680.39</v>
      </c>
      <c r="G167" s="3" t="n">
        <v>0</v>
      </c>
      <c r="H167" s="3" t="n">
        <v>2680.39</v>
      </c>
    </row>
    <row r="168">
      <c r="A168" t="n">
        <v>2026</v>
      </c>
      <c r="B168" t="n">
        <v>7</v>
      </c>
      <c r="C168" t="inlineStr">
        <is>
          <t>508000</t>
        </is>
      </c>
      <c r="D168" t="inlineStr">
        <is>
          <t>Depreciation</t>
        </is>
      </c>
      <c r="E168" t="inlineStr">
        <is>
          <t>Expense</t>
        </is>
      </c>
      <c r="F168" s="3" t="n">
        <v>7000</v>
      </c>
      <c r="G168" s="3" t="n">
        <v>0</v>
      </c>
      <c r="H168" s="3" t="n">
        <v>7000</v>
      </c>
    </row>
    <row r="169">
      <c r="A169" t="n">
        <v>2026</v>
      </c>
      <c r="B169" t="n">
        <v>7</v>
      </c>
      <c r="C169" t="inlineStr">
        <is>
          <t>509000</t>
        </is>
      </c>
      <c r="D169" t="inlineStr">
        <is>
          <t>Interest Expense</t>
        </is>
      </c>
      <c r="E169" t="inlineStr">
        <is>
          <t>Expense</t>
        </is>
      </c>
      <c r="F169" s="3" t="n">
        <v>3000</v>
      </c>
      <c r="G169" s="3" t="n">
        <v>0</v>
      </c>
      <c r="H169" s="3" t="n">
        <v>3000</v>
      </c>
    </row>
    <row r="170">
      <c r="A170" t="n">
        <v>2026</v>
      </c>
      <c r="B170" t="n">
        <v>7</v>
      </c>
      <c r="C170" t="inlineStr">
        <is>
          <t>510000</t>
        </is>
      </c>
      <c r="D170" t="inlineStr">
        <is>
          <t>Tax Provision</t>
        </is>
      </c>
      <c r="E170" t="inlineStr">
        <is>
          <t>Expense</t>
        </is>
      </c>
      <c r="F170" s="3" t="n">
        <v>1447.49</v>
      </c>
      <c r="G170" s="3" t="n">
        <v>0</v>
      </c>
      <c r="H170" s="3" t="n">
        <v>1447.49</v>
      </c>
    </row>
    <row r="171">
      <c r="A171" t="n">
        <v>2026</v>
      </c>
      <c r="B171" t="n">
        <v>7</v>
      </c>
      <c r="C171" t="inlineStr">
        <is>
          <t>101000</t>
        </is>
      </c>
      <c r="D171" t="inlineStr">
        <is>
          <t>Cash &amp; Bank</t>
        </is>
      </c>
      <c r="E171" t="inlineStr">
        <is>
          <t>Asset</t>
        </is>
      </c>
      <c r="F171" s="3" t="n">
        <v>116383.87</v>
      </c>
      <c r="G171" s="3" t="n">
        <v>0</v>
      </c>
      <c r="H171" s="3" t="n">
        <v>116383.87</v>
      </c>
    </row>
    <row r="172">
      <c r="A172" t="n">
        <v>2026</v>
      </c>
      <c r="B172" t="n">
        <v>7</v>
      </c>
      <c r="C172" t="inlineStr">
        <is>
          <t>102000</t>
        </is>
      </c>
      <c r="D172" t="inlineStr">
        <is>
          <t>Accounts Receivable</t>
        </is>
      </c>
      <c r="E172" t="inlineStr">
        <is>
          <t>Asset</t>
        </is>
      </c>
      <c r="F172" s="3" t="n">
        <v>24745.89</v>
      </c>
      <c r="G172" s="3" t="n">
        <v>0</v>
      </c>
      <c r="H172" s="3" t="n">
        <v>24745.89</v>
      </c>
    </row>
    <row r="173">
      <c r="A173" t="n">
        <v>2026</v>
      </c>
      <c r="B173" t="n">
        <v>7</v>
      </c>
      <c r="C173" t="inlineStr">
        <is>
          <t>103000</t>
        </is>
      </c>
      <c r="D173" t="inlineStr">
        <is>
          <t>Inventory</t>
        </is>
      </c>
      <c r="E173" t="inlineStr">
        <is>
          <t>Asset</t>
        </is>
      </c>
      <c r="F173" s="3" t="n">
        <v>95976.5</v>
      </c>
      <c r="G173" s="3" t="n">
        <v>0</v>
      </c>
      <c r="H173" s="3" t="n">
        <v>95976.5</v>
      </c>
    </row>
    <row r="174">
      <c r="A174" t="n">
        <v>2026</v>
      </c>
      <c r="B174" t="n">
        <v>7</v>
      </c>
      <c r="C174" t="inlineStr">
        <is>
          <t>104000</t>
        </is>
      </c>
      <c r="D174" t="inlineStr">
        <is>
          <t>Prepaid Expenses</t>
        </is>
      </c>
      <c r="E174" t="inlineStr">
        <is>
          <t>Asset</t>
        </is>
      </c>
      <c r="F174" s="3" t="n">
        <v>5200</v>
      </c>
      <c r="G174" s="3" t="n">
        <v>0</v>
      </c>
      <c r="H174" s="3" t="n">
        <v>5200</v>
      </c>
    </row>
    <row r="175">
      <c r="A175" t="n">
        <v>2026</v>
      </c>
      <c r="B175" t="n">
        <v>7</v>
      </c>
      <c r="C175" t="inlineStr">
        <is>
          <t>105000</t>
        </is>
      </c>
      <c r="D175" t="inlineStr">
        <is>
          <t>Fixed Assets (Gross)</t>
        </is>
      </c>
      <c r="E175" t="inlineStr">
        <is>
          <t>Asset</t>
        </is>
      </c>
      <c r="F175" s="3" t="n">
        <v>500000</v>
      </c>
      <c r="G175" s="3" t="n">
        <v>0</v>
      </c>
      <c r="H175" s="3" t="n">
        <v>500000</v>
      </c>
    </row>
    <row r="176">
      <c r="A176" t="n">
        <v>2026</v>
      </c>
      <c r="B176" t="n">
        <v>7</v>
      </c>
      <c r="C176" t="inlineStr">
        <is>
          <t>106000</t>
        </is>
      </c>
      <c r="D176" t="inlineStr">
        <is>
          <t>Accumulated Depreciation</t>
        </is>
      </c>
      <c r="E176" t="inlineStr">
        <is>
          <t>Asset-Contra</t>
        </is>
      </c>
      <c r="F176" s="3" t="n">
        <v>0</v>
      </c>
      <c r="G176" s="3" t="n">
        <v>84000</v>
      </c>
      <c r="H176" s="3" t="n">
        <v>-84000</v>
      </c>
    </row>
    <row r="177">
      <c r="A177" t="n">
        <v>2026</v>
      </c>
      <c r="B177" t="n">
        <v>7</v>
      </c>
      <c r="C177" t="inlineStr">
        <is>
          <t>201000</t>
        </is>
      </c>
      <c r="D177" t="inlineStr">
        <is>
          <t>Accounts Payable</t>
        </is>
      </c>
      <c r="E177" t="inlineStr">
        <is>
          <t>Liability</t>
        </is>
      </c>
      <c r="F177" s="3" t="n">
        <v>0</v>
      </c>
      <c r="G177" s="3" t="n">
        <v>38344.66</v>
      </c>
      <c r="H177" s="3" t="n">
        <v>38344.66</v>
      </c>
    </row>
    <row r="178">
      <c r="A178" t="n">
        <v>2026</v>
      </c>
      <c r="B178" t="n">
        <v>7</v>
      </c>
      <c r="C178" t="inlineStr">
        <is>
          <t>202000</t>
        </is>
      </c>
      <c r="D178" t="inlineStr">
        <is>
          <t>Accrued Expenses</t>
        </is>
      </c>
      <c r="E178" t="inlineStr">
        <is>
          <t>Liability</t>
        </is>
      </c>
      <c r="F178" s="3" t="n">
        <v>0</v>
      </c>
      <c r="G178" s="3" t="n">
        <v>12088.73</v>
      </c>
      <c r="H178" s="3" t="n">
        <v>12088.73</v>
      </c>
    </row>
    <row r="179">
      <c r="A179" t="n">
        <v>2026</v>
      </c>
      <c r="B179" t="n">
        <v>7</v>
      </c>
      <c r="C179" t="inlineStr">
        <is>
          <t>203000</t>
        </is>
      </c>
      <c r="D179" t="inlineStr">
        <is>
          <t>Short-Term Debt</t>
        </is>
      </c>
      <c r="E179" t="inlineStr">
        <is>
          <t>Liability</t>
        </is>
      </c>
      <c r="F179" s="3" t="n">
        <v>0</v>
      </c>
      <c r="G179" s="3" t="n">
        <v>50000</v>
      </c>
      <c r="H179" s="3" t="n">
        <v>50000</v>
      </c>
    </row>
    <row r="180">
      <c r="A180" t="n">
        <v>2026</v>
      </c>
      <c r="B180" t="n">
        <v>7</v>
      </c>
      <c r="C180" t="inlineStr">
        <is>
          <t>204000</t>
        </is>
      </c>
      <c r="D180" t="inlineStr">
        <is>
          <t>Long-Term Debt</t>
        </is>
      </c>
      <c r="E180" t="inlineStr">
        <is>
          <t>Liability</t>
        </is>
      </c>
      <c r="F180" s="3" t="n">
        <v>0</v>
      </c>
      <c r="G180" s="3" t="n">
        <v>186000</v>
      </c>
      <c r="H180" s="3" t="n">
        <v>186000</v>
      </c>
    </row>
    <row r="181">
      <c r="A181" t="n">
        <v>2026</v>
      </c>
      <c r="B181" t="n">
        <v>7</v>
      </c>
      <c r="C181" t="inlineStr">
        <is>
          <t>205000</t>
        </is>
      </c>
      <c r="D181" t="inlineStr">
        <is>
          <t>Taxes Payable</t>
        </is>
      </c>
      <c r="E181" t="inlineStr">
        <is>
          <t>Liability</t>
        </is>
      </c>
      <c r="F181" s="3" t="n">
        <v>0</v>
      </c>
      <c r="G181" s="3" t="n">
        <v>16740.86</v>
      </c>
      <c r="H181" s="3" t="n">
        <v>16740.86</v>
      </c>
    </row>
    <row r="182">
      <c r="A182" t="n">
        <v>2026</v>
      </c>
      <c r="B182" t="n">
        <v>7</v>
      </c>
      <c r="C182" t="inlineStr">
        <is>
          <t>301000</t>
        </is>
      </c>
      <c r="D182" t="inlineStr">
        <is>
          <t>Share Capital</t>
        </is>
      </c>
      <c r="E182" t="inlineStr">
        <is>
          <t>Equity</t>
        </is>
      </c>
      <c r="F182" s="3" t="n">
        <v>0</v>
      </c>
      <c r="G182" s="3" t="n">
        <v>300000</v>
      </c>
      <c r="H182" s="3" t="n">
        <v>300000</v>
      </c>
    </row>
    <row r="183">
      <c r="A183" t="n">
        <v>2026</v>
      </c>
      <c r="B183" t="n">
        <v>7</v>
      </c>
      <c r="C183" t="inlineStr">
        <is>
          <t>302000</t>
        </is>
      </c>
      <c r="D183" t="inlineStr">
        <is>
          <t>Retained Earnings</t>
        </is>
      </c>
      <c r="E183" t="inlineStr">
        <is>
          <t>Equity</t>
        </is>
      </c>
      <c r="F183" s="3" t="n">
        <v>0</v>
      </c>
      <c r="G183" s="3" t="n">
        <v>50000</v>
      </c>
      <c r="H183" s="3" t="n">
        <v>50000</v>
      </c>
    </row>
    <row r="184">
      <c r="A184" t="n">
        <v>2026</v>
      </c>
      <c r="B184" t="n">
        <v>8</v>
      </c>
      <c r="C184" t="inlineStr">
        <is>
          <t>401000</t>
        </is>
      </c>
      <c r="D184" t="inlineStr">
        <is>
          <t>Product Sales</t>
        </is>
      </c>
      <c r="E184" t="inlineStr">
        <is>
          <t>Revenue</t>
        </is>
      </c>
      <c r="F184" s="3" t="n">
        <v>0</v>
      </c>
      <c r="G184" s="3" t="n">
        <v>165173.16</v>
      </c>
      <c r="H184" s="3" t="n">
        <v>165173.16</v>
      </c>
    </row>
    <row r="185">
      <c r="A185" t="n">
        <v>2026</v>
      </c>
      <c r="B185" t="n">
        <v>8</v>
      </c>
      <c r="C185" t="inlineStr">
        <is>
          <t>402000</t>
        </is>
      </c>
      <c r="D185" t="inlineStr">
        <is>
          <t>Service Revenue</t>
        </is>
      </c>
      <c r="E185" t="inlineStr">
        <is>
          <t>Revenue</t>
        </is>
      </c>
      <c r="F185" s="3" t="n">
        <v>0</v>
      </c>
      <c r="G185" s="3" t="n">
        <v>40205.67</v>
      </c>
      <c r="H185" s="3" t="n">
        <v>40205.67</v>
      </c>
    </row>
    <row r="186">
      <c r="A186" t="n">
        <v>2026</v>
      </c>
      <c r="B186" t="n">
        <v>8</v>
      </c>
      <c r="C186" t="inlineStr">
        <is>
          <t>403000</t>
        </is>
      </c>
      <c r="D186" t="inlineStr">
        <is>
          <t>Other Income</t>
        </is>
      </c>
      <c r="E186" t="inlineStr">
        <is>
          <t>Revenue</t>
        </is>
      </c>
      <c r="F186" s="3" t="n">
        <v>0</v>
      </c>
      <c r="G186" s="3" t="n">
        <v>6956.64</v>
      </c>
      <c r="H186" s="3" t="n">
        <v>6956.64</v>
      </c>
    </row>
    <row r="187">
      <c r="A187" t="n">
        <v>2026</v>
      </c>
      <c r="B187" t="n">
        <v>8</v>
      </c>
      <c r="C187" t="inlineStr">
        <is>
          <t>501000</t>
        </is>
      </c>
      <c r="D187" t="inlineStr">
        <is>
          <t>Cost of Goods Sold</t>
        </is>
      </c>
      <c r="E187" t="inlineStr">
        <is>
          <t>Expense</t>
        </is>
      </c>
      <c r="F187" s="3" t="n">
        <v>89720.82000000001</v>
      </c>
      <c r="G187" s="3" t="n">
        <v>0</v>
      </c>
      <c r="H187" s="3" t="n">
        <v>89720.82000000001</v>
      </c>
    </row>
    <row r="188">
      <c r="A188" t="n">
        <v>2026</v>
      </c>
      <c r="B188" t="n">
        <v>8</v>
      </c>
      <c r="C188" t="inlineStr">
        <is>
          <t>502000</t>
        </is>
      </c>
      <c r="D188" t="inlineStr">
        <is>
          <t>Salaries &amp; Benefits</t>
        </is>
      </c>
      <c r="E188" t="inlineStr">
        <is>
          <t>Expense</t>
        </is>
      </c>
      <c r="F188" s="3" t="n">
        <v>53396.73</v>
      </c>
      <c r="G188" s="3" t="n">
        <v>0</v>
      </c>
      <c r="H188" s="3" t="n">
        <v>53396.73</v>
      </c>
    </row>
    <row r="189">
      <c r="A189" t="n">
        <v>2026</v>
      </c>
      <c r="B189" t="n">
        <v>8</v>
      </c>
      <c r="C189" t="inlineStr">
        <is>
          <t>503000</t>
        </is>
      </c>
      <c r="D189" t="inlineStr">
        <is>
          <t>Rent &amp; Facilities</t>
        </is>
      </c>
      <c r="E189" t="inlineStr">
        <is>
          <t>Expense</t>
        </is>
      </c>
      <c r="F189" s="3" t="n">
        <v>12000</v>
      </c>
      <c r="G189" s="3" t="n">
        <v>0</v>
      </c>
      <c r="H189" s="3" t="n">
        <v>12000</v>
      </c>
    </row>
    <row r="190">
      <c r="A190" t="n">
        <v>2026</v>
      </c>
      <c r="B190" t="n">
        <v>8</v>
      </c>
      <c r="C190" t="inlineStr">
        <is>
          <t>504000</t>
        </is>
      </c>
      <c r="D190" t="inlineStr">
        <is>
          <t>Marketing &amp; Advertising</t>
        </is>
      </c>
      <c r="E190" t="inlineStr">
        <is>
          <t>Expense</t>
        </is>
      </c>
      <c r="F190" s="3" t="n">
        <v>8148.2</v>
      </c>
      <c r="G190" s="3" t="n">
        <v>0</v>
      </c>
      <c r="H190" s="3" t="n">
        <v>8148.2</v>
      </c>
    </row>
    <row r="191">
      <c r="A191" t="n">
        <v>2026</v>
      </c>
      <c r="B191" t="n">
        <v>8</v>
      </c>
      <c r="C191" t="inlineStr">
        <is>
          <t>505000</t>
        </is>
      </c>
      <c r="D191" t="inlineStr">
        <is>
          <t>Travel &amp; Entertainment</t>
        </is>
      </c>
      <c r="E191" t="inlineStr">
        <is>
          <t>Expense</t>
        </is>
      </c>
      <c r="F191" s="3" t="n">
        <v>6001.76</v>
      </c>
      <c r="G191" s="3" t="n">
        <v>0</v>
      </c>
      <c r="H191" s="3" t="n">
        <v>6001.76</v>
      </c>
    </row>
    <row r="192">
      <c r="A192" t="n">
        <v>2026</v>
      </c>
      <c r="B192" t="n">
        <v>8</v>
      </c>
      <c r="C192" t="inlineStr">
        <is>
          <t>506000</t>
        </is>
      </c>
      <c r="D192" t="inlineStr">
        <is>
          <t>IT &amp; Software</t>
        </is>
      </c>
      <c r="E192" t="inlineStr">
        <is>
          <t>Expense</t>
        </is>
      </c>
      <c r="F192" s="3" t="n">
        <v>3742.92</v>
      </c>
      <c r="G192" s="3" t="n">
        <v>0</v>
      </c>
      <c r="H192" s="3" t="n">
        <v>3742.92</v>
      </c>
    </row>
    <row r="193">
      <c r="A193" t="n">
        <v>2026</v>
      </c>
      <c r="B193" t="n">
        <v>8</v>
      </c>
      <c r="C193" t="inlineStr">
        <is>
          <t>507000</t>
        </is>
      </c>
      <c r="D193" t="inlineStr">
        <is>
          <t>Utilities</t>
        </is>
      </c>
      <c r="E193" t="inlineStr">
        <is>
          <t>Expense</t>
        </is>
      </c>
      <c r="F193" s="3" t="n">
        <v>2706.31</v>
      </c>
      <c r="G193" s="3" t="n">
        <v>0</v>
      </c>
      <c r="H193" s="3" t="n">
        <v>2706.31</v>
      </c>
    </row>
    <row r="194">
      <c r="A194" t="n">
        <v>2026</v>
      </c>
      <c r="B194" t="n">
        <v>8</v>
      </c>
      <c r="C194" t="inlineStr">
        <is>
          <t>508000</t>
        </is>
      </c>
      <c r="D194" t="inlineStr">
        <is>
          <t>Depreciation</t>
        </is>
      </c>
      <c r="E194" t="inlineStr">
        <is>
          <t>Expense</t>
        </is>
      </c>
      <c r="F194" s="3" t="n">
        <v>7000</v>
      </c>
      <c r="G194" s="3" t="n">
        <v>0</v>
      </c>
      <c r="H194" s="3" t="n">
        <v>7000</v>
      </c>
    </row>
    <row r="195">
      <c r="A195" t="n">
        <v>2026</v>
      </c>
      <c r="B195" t="n">
        <v>8</v>
      </c>
      <c r="C195" t="inlineStr">
        <is>
          <t>509000</t>
        </is>
      </c>
      <c r="D195" t="inlineStr">
        <is>
          <t>Interest Expense</t>
        </is>
      </c>
      <c r="E195" t="inlineStr">
        <is>
          <t>Expense</t>
        </is>
      </c>
      <c r="F195" s="3" t="n">
        <v>3000</v>
      </c>
      <c r="G195" s="3" t="n">
        <v>0</v>
      </c>
      <c r="H195" s="3" t="n">
        <v>3000</v>
      </c>
    </row>
    <row r="196">
      <c r="A196" t="n">
        <v>2026</v>
      </c>
      <c r="B196" t="n">
        <v>8</v>
      </c>
      <c r="C196" t="inlineStr">
        <is>
          <t>510000</t>
        </is>
      </c>
      <c r="D196" t="inlineStr">
        <is>
          <t>Tax Provision</t>
        </is>
      </c>
      <c r="E196" t="inlineStr">
        <is>
          <t>Expense</t>
        </is>
      </c>
      <c r="F196" s="3" t="n">
        <v>5856.12</v>
      </c>
      <c r="G196" s="3" t="n">
        <v>0</v>
      </c>
      <c r="H196" s="3" t="n">
        <v>5856.12</v>
      </c>
    </row>
    <row r="197">
      <c r="A197" t="n">
        <v>2026</v>
      </c>
      <c r="B197" t="n">
        <v>8</v>
      </c>
      <c r="C197" t="inlineStr">
        <is>
          <t>101000</t>
        </is>
      </c>
      <c r="D197" t="inlineStr">
        <is>
          <t>Cash &amp; Bank</t>
        </is>
      </c>
      <c r="E197" t="inlineStr">
        <is>
          <t>Asset</t>
        </is>
      </c>
      <c r="F197" s="3" t="n">
        <v>131954.44</v>
      </c>
      <c r="G197" s="3" t="n">
        <v>0</v>
      </c>
      <c r="H197" s="3" t="n">
        <v>131954.44</v>
      </c>
    </row>
    <row r="198">
      <c r="A198" t="n">
        <v>2026</v>
      </c>
      <c r="B198" t="n">
        <v>8</v>
      </c>
      <c r="C198" t="inlineStr">
        <is>
          <t>102000</t>
        </is>
      </c>
      <c r="D198" t="inlineStr">
        <is>
          <t>Accounts Receivable</t>
        </is>
      </c>
      <c r="E198" t="inlineStr">
        <is>
          <t>Asset</t>
        </is>
      </c>
      <c r="F198" s="3" t="n">
        <v>34724.59</v>
      </c>
      <c r="G198" s="3" t="n">
        <v>0</v>
      </c>
      <c r="H198" s="3" t="n">
        <v>34724.59</v>
      </c>
    </row>
    <row r="199">
      <c r="A199" t="n">
        <v>2026</v>
      </c>
      <c r="B199" t="n">
        <v>8</v>
      </c>
      <c r="C199" t="inlineStr">
        <is>
          <t>103000</t>
        </is>
      </c>
      <c r="D199" t="inlineStr">
        <is>
          <t>Inventory</t>
        </is>
      </c>
      <c r="E199" t="inlineStr">
        <is>
          <t>Asset</t>
        </is>
      </c>
      <c r="F199" s="3" t="n">
        <v>91726.46000000001</v>
      </c>
      <c r="G199" s="3" t="n">
        <v>0</v>
      </c>
      <c r="H199" s="3" t="n">
        <v>91726.46000000001</v>
      </c>
    </row>
    <row r="200">
      <c r="A200" t="n">
        <v>2026</v>
      </c>
      <c r="B200" t="n">
        <v>8</v>
      </c>
      <c r="C200" t="inlineStr">
        <is>
          <t>104000</t>
        </is>
      </c>
      <c r="D200" t="inlineStr">
        <is>
          <t>Prepaid Expenses</t>
        </is>
      </c>
      <c r="E200" t="inlineStr">
        <is>
          <t>Asset</t>
        </is>
      </c>
      <c r="F200" s="3" t="n">
        <v>4800</v>
      </c>
      <c r="G200" s="3" t="n">
        <v>0</v>
      </c>
      <c r="H200" s="3" t="n">
        <v>4800</v>
      </c>
    </row>
    <row r="201">
      <c r="A201" t="n">
        <v>2026</v>
      </c>
      <c r="B201" t="n">
        <v>8</v>
      </c>
      <c r="C201" t="inlineStr">
        <is>
          <t>105000</t>
        </is>
      </c>
      <c r="D201" t="inlineStr">
        <is>
          <t>Fixed Assets (Gross)</t>
        </is>
      </c>
      <c r="E201" t="inlineStr">
        <is>
          <t>Asset</t>
        </is>
      </c>
      <c r="F201" s="3" t="n">
        <v>500000</v>
      </c>
      <c r="G201" s="3" t="n">
        <v>0</v>
      </c>
      <c r="H201" s="3" t="n">
        <v>500000</v>
      </c>
    </row>
    <row r="202">
      <c r="A202" t="n">
        <v>2026</v>
      </c>
      <c r="B202" t="n">
        <v>8</v>
      </c>
      <c r="C202" t="inlineStr">
        <is>
          <t>106000</t>
        </is>
      </c>
      <c r="D202" t="inlineStr">
        <is>
          <t>Accumulated Depreciation</t>
        </is>
      </c>
      <c r="E202" t="inlineStr">
        <is>
          <t>Asset-Contra</t>
        </is>
      </c>
      <c r="F202" s="3" t="n">
        <v>0</v>
      </c>
      <c r="G202" s="3" t="n">
        <v>91000</v>
      </c>
      <c r="H202" s="3" t="n">
        <v>-91000</v>
      </c>
    </row>
    <row r="203">
      <c r="A203" t="n">
        <v>2026</v>
      </c>
      <c r="B203" t="n">
        <v>8</v>
      </c>
      <c r="C203" t="inlineStr">
        <is>
          <t>201000</t>
        </is>
      </c>
      <c r="D203" t="inlineStr">
        <is>
          <t>Accounts Payable</t>
        </is>
      </c>
      <c r="E203" t="inlineStr">
        <is>
          <t>Liability</t>
        </is>
      </c>
      <c r="F203" s="3" t="n">
        <v>0</v>
      </c>
      <c r="G203" s="3" t="n">
        <v>39056.02</v>
      </c>
      <c r="H203" s="3" t="n">
        <v>39056.02</v>
      </c>
    </row>
    <row r="204">
      <c r="A204" t="n">
        <v>2026</v>
      </c>
      <c r="B204" t="n">
        <v>8</v>
      </c>
      <c r="C204" t="inlineStr">
        <is>
          <t>202000</t>
        </is>
      </c>
      <c r="D204" t="inlineStr">
        <is>
          <t>Accrued Expenses</t>
        </is>
      </c>
      <c r="E204" t="inlineStr">
        <is>
          <t>Liability</t>
        </is>
      </c>
      <c r="F204" s="3" t="n">
        <v>0</v>
      </c>
      <c r="G204" s="3" t="n">
        <v>12261.53</v>
      </c>
      <c r="H204" s="3" t="n">
        <v>12261.53</v>
      </c>
    </row>
    <row r="205">
      <c r="A205" t="n">
        <v>2026</v>
      </c>
      <c r="B205" t="n">
        <v>8</v>
      </c>
      <c r="C205" t="inlineStr">
        <is>
          <t>203000</t>
        </is>
      </c>
      <c r="D205" t="inlineStr">
        <is>
          <t>Short-Term Debt</t>
        </is>
      </c>
      <c r="E205" t="inlineStr">
        <is>
          <t>Liability</t>
        </is>
      </c>
      <c r="F205" s="3" t="n">
        <v>0</v>
      </c>
      <c r="G205" s="3" t="n">
        <v>50000</v>
      </c>
      <c r="H205" s="3" t="n">
        <v>50000</v>
      </c>
    </row>
    <row r="206">
      <c r="A206" t="n">
        <v>2026</v>
      </c>
      <c r="B206" t="n">
        <v>8</v>
      </c>
      <c r="C206" t="inlineStr">
        <is>
          <t>204000</t>
        </is>
      </c>
      <c r="D206" t="inlineStr">
        <is>
          <t>Long-Term Debt</t>
        </is>
      </c>
      <c r="E206" t="inlineStr">
        <is>
          <t>Liability</t>
        </is>
      </c>
      <c r="F206" s="3" t="n">
        <v>0</v>
      </c>
      <c r="G206" s="3" t="n">
        <v>184000</v>
      </c>
      <c r="H206" s="3" t="n">
        <v>184000</v>
      </c>
    </row>
    <row r="207">
      <c r="A207" t="n">
        <v>2026</v>
      </c>
      <c r="B207" t="n">
        <v>8</v>
      </c>
      <c r="C207" t="inlineStr">
        <is>
          <t>205000</t>
        </is>
      </c>
      <c r="D207" t="inlineStr">
        <is>
          <t>Taxes Payable</t>
        </is>
      </c>
      <c r="E207" t="inlineStr">
        <is>
          <t>Liability</t>
        </is>
      </c>
      <c r="F207" s="3" t="n">
        <v>0</v>
      </c>
      <c r="G207" s="3" t="n">
        <v>16125.33</v>
      </c>
      <c r="H207" s="3" t="n">
        <v>16125.33</v>
      </c>
    </row>
    <row r="208">
      <c r="A208" t="n">
        <v>2026</v>
      </c>
      <c r="B208" t="n">
        <v>8</v>
      </c>
      <c r="C208" t="inlineStr">
        <is>
          <t>301000</t>
        </is>
      </c>
      <c r="D208" t="inlineStr">
        <is>
          <t>Share Capital</t>
        </is>
      </c>
      <c r="E208" t="inlineStr">
        <is>
          <t>Equity</t>
        </is>
      </c>
      <c r="F208" s="3" t="n">
        <v>0</v>
      </c>
      <c r="G208" s="3" t="n">
        <v>300000</v>
      </c>
      <c r="H208" s="3" t="n">
        <v>300000</v>
      </c>
    </row>
    <row r="209">
      <c r="A209" t="n">
        <v>2026</v>
      </c>
      <c r="B209" t="n">
        <v>8</v>
      </c>
      <c r="C209" t="inlineStr">
        <is>
          <t>302000</t>
        </is>
      </c>
      <c r="D209" t="inlineStr">
        <is>
          <t>Retained Earnings</t>
        </is>
      </c>
      <c r="E209" t="inlineStr">
        <is>
          <t>Equity</t>
        </is>
      </c>
      <c r="F209" s="3" t="n">
        <v>0</v>
      </c>
      <c r="G209" s="3" t="n">
        <v>50000</v>
      </c>
      <c r="H209" s="3" t="n">
        <v>50000</v>
      </c>
    </row>
    <row r="210">
      <c r="A210" t="n">
        <v>2026</v>
      </c>
      <c r="B210" t="n">
        <v>9</v>
      </c>
      <c r="C210" t="inlineStr">
        <is>
          <t>401000</t>
        </is>
      </c>
      <c r="D210" t="inlineStr">
        <is>
          <t>Product Sales</t>
        </is>
      </c>
      <c r="E210" t="inlineStr">
        <is>
          <t>Revenue</t>
        </is>
      </c>
      <c r="F210" s="3" t="n">
        <v>0</v>
      </c>
      <c r="G210" s="3" t="n">
        <v>176032.08</v>
      </c>
      <c r="H210" s="3" t="n">
        <v>176032.08</v>
      </c>
    </row>
    <row r="211">
      <c r="A211" t="n">
        <v>2026</v>
      </c>
      <c r="B211" t="n">
        <v>9</v>
      </c>
      <c r="C211" t="inlineStr">
        <is>
          <t>402000</t>
        </is>
      </c>
      <c r="D211" t="inlineStr">
        <is>
          <t>Service Revenue</t>
        </is>
      </c>
      <c r="E211" t="inlineStr">
        <is>
          <t>Revenue</t>
        </is>
      </c>
      <c r="F211" s="3" t="n">
        <v>0</v>
      </c>
      <c r="G211" s="3" t="n">
        <v>42302.57</v>
      </c>
      <c r="H211" s="3" t="n">
        <v>42302.57</v>
      </c>
    </row>
    <row r="212">
      <c r="A212" t="n">
        <v>2026</v>
      </c>
      <c r="B212" t="n">
        <v>9</v>
      </c>
      <c r="C212" t="inlineStr">
        <is>
          <t>403000</t>
        </is>
      </c>
      <c r="D212" t="inlineStr">
        <is>
          <t>Other Income</t>
        </is>
      </c>
      <c r="E212" t="inlineStr">
        <is>
          <t>Revenue</t>
        </is>
      </c>
      <c r="F212" s="3" t="n">
        <v>0</v>
      </c>
      <c r="G212" s="3" t="n">
        <v>5993.99</v>
      </c>
      <c r="H212" s="3" t="n">
        <v>5993.99</v>
      </c>
    </row>
    <row r="213">
      <c r="A213" t="n">
        <v>2026</v>
      </c>
      <c r="B213" t="n">
        <v>9</v>
      </c>
      <c r="C213" t="inlineStr">
        <is>
          <t>501000</t>
        </is>
      </c>
      <c r="D213" t="inlineStr">
        <is>
          <t>Cost of Goods Sold</t>
        </is>
      </c>
      <c r="E213" t="inlineStr">
        <is>
          <t>Expense</t>
        </is>
      </c>
      <c r="F213" s="3" t="n">
        <v>100516.45</v>
      </c>
      <c r="G213" s="3" t="n">
        <v>0</v>
      </c>
      <c r="H213" s="3" t="n">
        <v>100516.45</v>
      </c>
    </row>
    <row r="214">
      <c r="A214" t="n">
        <v>2026</v>
      </c>
      <c r="B214" t="n">
        <v>9</v>
      </c>
      <c r="C214" t="inlineStr">
        <is>
          <t>502000</t>
        </is>
      </c>
      <c r="D214" t="inlineStr">
        <is>
          <t>Salaries &amp; Benefits</t>
        </is>
      </c>
      <c r="E214" t="inlineStr">
        <is>
          <t>Expense</t>
        </is>
      </c>
      <c r="F214" s="3" t="n">
        <v>51063.14</v>
      </c>
      <c r="G214" s="3" t="n">
        <v>0</v>
      </c>
      <c r="H214" s="3" t="n">
        <v>51063.14</v>
      </c>
    </row>
    <row r="215">
      <c r="A215" t="n">
        <v>2026</v>
      </c>
      <c r="B215" t="n">
        <v>9</v>
      </c>
      <c r="C215" t="inlineStr">
        <is>
          <t>503000</t>
        </is>
      </c>
      <c r="D215" t="inlineStr">
        <is>
          <t>Rent &amp; Facilities</t>
        </is>
      </c>
      <c r="E215" t="inlineStr">
        <is>
          <t>Expense</t>
        </is>
      </c>
      <c r="F215" s="3" t="n">
        <v>12000</v>
      </c>
      <c r="G215" s="3" t="n">
        <v>0</v>
      </c>
      <c r="H215" s="3" t="n">
        <v>12000</v>
      </c>
    </row>
    <row r="216">
      <c r="A216" t="n">
        <v>2026</v>
      </c>
      <c r="B216" t="n">
        <v>9</v>
      </c>
      <c r="C216" t="inlineStr">
        <is>
          <t>504000</t>
        </is>
      </c>
      <c r="D216" t="inlineStr">
        <is>
          <t>Marketing &amp; Advertising</t>
        </is>
      </c>
      <c r="E216" t="inlineStr">
        <is>
          <t>Expense</t>
        </is>
      </c>
      <c r="F216" s="3" t="n">
        <v>7270.12</v>
      </c>
      <c r="G216" s="3" t="n">
        <v>0</v>
      </c>
      <c r="H216" s="3" t="n">
        <v>7270.12</v>
      </c>
    </row>
    <row r="217">
      <c r="A217" t="n">
        <v>2026</v>
      </c>
      <c r="B217" t="n">
        <v>9</v>
      </c>
      <c r="C217" t="inlineStr">
        <is>
          <t>505000</t>
        </is>
      </c>
      <c r="D217" t="inlineStr">
        <is>
          <t>Travel &amp; Entertainment</t>
        </is>
      </c>
      <c r="E217" t="inlineStr">
        <is>
          <t>Expense</t>
        </is>
      </c>
      <c r="F217" s="3" t="n">
        <v>7287.3</v>
      </c>
      <c r="G217" s="3" t="n">
        <v>0</v>
      </c>
      <c r="H217" s="3" t="n">
        <v>7287.3</v>
      </c>
    </row>
    <row r="218">
      <c r="A218" t="n">
        <v>2026</v>
      </c>
      <c r="B218" t="n">
        <v>9</v>
      </c>
      <c r="C218" t="inlineStr">
        <is>
          <t>506000</t>
        </is>
      </c>
      <c r="D218" t="inlineStr">
        <is>
          <t>IT &amp; Software</t>
        </is>
      </c>
      <c r="E218" t="inlineStr">
        <is>
          <t>Expense</t>
        </is>
      </c>
      <c r="F218" s="3" t="n">
        <v>4302.98</v>
      </c>
      <c r="G218" s="3" t="n">
        <v>0</v>
      </c>
      <c r="H218" s="3" t="n">
        <v>4302.98</v>
      </c>
    </row>
    <row r="219">
      <c r="A219" t="n">
        <v>2026</v>
      </c>
      <c r="B219" t="n">
        <v>9</v>
      </c>
      <c r="C219" t="inlineStr">
        <is>
          <t>507000</t>
        </is>
      </c>
      <c r="D219" t="inlineStr">
        <is>
          <t>Utilities</t>
        </is>
      </c>
      <c r="E219" t="inlineStr">
        <is>
          <t>Expense</t>
        </is>
      </c>
      <c r="F219" s="3" t="n">
        <v>2665.83</v>
      </c>
      <c r="G219" s="3" t="n">
        <v>0</v>
      </c>
      <c r="H219" s="3" t="n">
        <v>2665.83</v>
      </c>
    </row>
    <row r="220">
      <c r="A220" t="n">
        <v>2026</v>
      </c>
      <c r="B220" t="n">
        <v>9</v>
      </c>
      <c r="C220" t="inlineStr">
        <is>
          <t>508000</t>
        </is>
      </c>
      <c r="D220" t="inlineStr">
        <is>
          <t>Depreciation</t>
        </is>
      </c>
      <c r="E220" t="inlineStr">
        <is>
          <t>Expense</t>
        </is>
      </c>
      <c r="F220" s="3" t="n">
        <v>7000</v>
      </c>
      <c r="G220" s="3" t="n">
        <v>0</v>
      </c>
      <c r="H220" s="3" t="n">
        <v>7000</v>
      </c>
    </row>
    <row r="221">
      <c r="A221" t="n">
        <v>2026</v>
      </c>
      <c r="B221" t="n">
        <v>9</v>
      </c>
      <c r="C221" t="inlineStr">
        <is>
          <t>509000</t>
        </is>
      </c>
      <c r="D221" t="inlineStr">
        <is>
          <t>Interest Expense</t>
        </is>
      </c>
      <c r="E221" t="inlineStr">
        <is>
          <t>Expense</t>
        </is>
      </c>
      <c r="F221" s="3" t="n">
        <v>3000</v>
      </c>
      <c r="G221" s="3" t="n">
        <v>0</v>
      </c>
      <c r="H221" s="3" t="n">
        <v>3000</v>
      </c>
    </row>
    <row r="222">
      <c r="A222" t="n">
        <v>2026</v>
      </c>
      <c r="B222" t="n">
        <v>9</v>
      </c>
      <c r="C222" t="inlineStr">
        <is>
          <t>510000</t>
        </is>
      </c>
      <c r="D222" t="inlineStr">
        <is>
          <t>Tax Provision</t>
        </is>
      </c>
      <c r="E222" t="inlineStr">
        <is>
          <t>Expense</t>
        </is>
      </c>
      <c r="F222" s="3" t="n">
        <v>6429.02</v>
      </c>
      <c r="G222" s="3" t="n">
        <v>0</v>
      </c>
      <c r="H222" s="3" t="n">
        <v>6429.02</v>
      </c>
    </row>
    <row r="223">
      <c r="A223" t="n">
        <v>2026</v>
      </c>
      <c r="B223" t="n">
        <v>9</v>
      </c>
      <c r="C223" t="inlineStr">
        <is>
          <t>101000</t>
        </is>
      </c>
      <c r="D223" t="inlineStr">
        <is>
          <t>Cash &amp; Bank</t>
        </is>
      </c>
      <c r="E223" t="inlineStr">
        <is>
          <t>Asset</t>
        </is>
      </c>
      <c r="F223" s="3" t="n">
        <v>147933.06</v>
      </c>
      <c r="G223" s="3" t="n">
        <v>0</v>
      </c>
      <c r="H223" s="3" t="n">
        <v>147933.06</v>
      </c>
    </row>
    <row r="224">
      <c r="A224" t="n">
        <v>2026</v>
      </c>
      <c r="B224" t="n">
        <v>9</v>
      </c>
      <c r="C224" t="inlineStr">
        <is>
          <t>102000</t>
        </is>
      </c>
      <c r="D224" t="inlineStr">
        <is>
          <t>Accounts Receivable</t>
        </is>
      </c>
      <c r="E224" t="inlineStr">
        <is>
          <t>Asset</t>
        </is>
      </c>
      <c r="F224" s="3" t="n">
        <v>31757.55</v>
      </c>
      <c r="G224" s="3" t="n">
        <v>0</v>
      </c>
      <c r="H224" s="3" t="n">
        <v>31757.55</v>
      </c>
    </row>
    <row r="225">
      <c r="A225" t="n">
        <v>2026</v>
      </c>
      <c r="B225" t="n">
        <v>9</v>
      </c>
      <c r="C225" t="inlineStr">
        <is>
          <t>103000</t>
        </is>
      </c>
      <c r="D225" t="inlineStr">
        <is>
          <t>Inventory</t>
        </is>
      </c>
      <c r="E225" t="inlineStr">
        <is>
          <t>Asset</t>
        </is>
      </c>
      <c r="F225" s="3" t="n">
        <v>89486.87</v>
      </c>
      <c r="G225" s="3" t="n">
        <v>0</v>
      </c>
      <c r="H225" s="3" t="n">
        <v>89486.87</v>
      </c>
    </row>
    <row r="226">
      <c r="A226" t="n">
        <v>2026</v>
      </c>
      <c r="B226" t="n">
        <v>9</v>
      </c>
      <c r="C226" t="inlineStr">
        <is>
          <t>104000</t>
        </is>
      </c>
      <c r="D226" t="inlineStr">
        <is>
          <t>Prepaid Expenses</t>
        </is>
      </c>
      <c r="E226" t="inlineStr">
        <is>
          <t>Asset</t>
        </is>
      </c>
      <c r="F226" s="3" t="n">
        <v>4400</v>
      </c>
      <c r="G226" s="3" t="n">
        <v>0</v>
      </c>
      <c r="H226" s="3" t="n">
        <v>4400</v>
      </c>
    </row>
    <row r="227">
      <c r="A227" t="n">
        <v>2026</v>
      </c>
      <c r="B227" t="n">
        <v>9</v>
      </c>
      <c r="C227" t="inlineStr">
        <is>
          <t>105000</t>
        </is>
      </c>
      <c r="D227" t="inlineStr">
        <is>
          <t>Fixed Assets (Gross)</t>
        </is>
      </c>
      <c r="E227" t="inlineStr">
        <is>
          <t>Asset</t>
        </is>
      </c>
      <c r="F227" s="3" t="n">
        <v>500000</v>
      </c>
      <c r="G227" s="3" t="n">
        <v>0</v>
      </c>
      <c r="H227" s="3" t="n">
        <v>500000</v>
      </c>
    </row>
    <row r="228">
      <c r="A228" t="n">
        <v>2026</v>
      </c>
      <c r="B228" t="n">
        <v>9</v>
      </c>
      <c r="C228" t="inlineStr">
        <is>
          <t>106000</t>
        </is>
      </c>
      <c r="D228" t="inlineStr">
        <is>
          <t>Accumulated Depreciation</t>
        </is>
      </c>
      <c r="E228" t="inlineStr">
        <is>
          <t>Asset-Contra</t>
        </is>
      </c>
      <c r="F228" s="3" t="n">
        <v>0</v>
      </c>
      <c r="G228" s="3" t="n">
        <v>98000</v>
      </c>
      <c r="H228" s="3" t="n">
        <v>-98000</v>
      </c>
    </row>
    <row r="229">
      <c r="A229" t="n">
        <v>2026</v>
      </c>
      <c r="B229" t="n">
        <v>9</v>
      </c>
      <c r="C229" t="inlineStr">
        <is>
          <t>201000</t>
        </is>
      </c>
      <c r="D229" t="inlineStr">
        <is>
          <t>Accounts Payable</t>
        </is>
      </c>
      <c r="E229" t="inlineStr">
        <is>
          <t>Liability</t>
        </is>
      </c>
      <c r="F229" s="3" t="n">
        <v>0</v>
      </c>
      <c r="G229" s="3" t="n">
        <v>41948.47</v>
      </c>
      <c r="H229" s="3" t="n">
        <v>41948.47</v>
      </c>
    </row>
    <row r="230">
      <c r="A230" t="n">
        <v>2026</v>
      </c>
      <c r="B230" t="n">
        <v>9</v>
      </c>
      <c r="C230" t="inlineStr">
        <is>
          <t>202000</t>
        </is>
      </c>
      <c r="D230" t="inlineStr">
        <is>
          <t>Accrued Expenses</t>
        </is>
      </c>
      <c r="E230" t="inlineStr">
        <is>
          <t>Liability</t>
        </is>
      </c>
      <c r="F230" s="3" t="n">
        <v>0</v>
      </c>
      <c r="G230" s="3" t="n">
        <v>13072.68</v>
      </c>
      <c r="H230" s="3" t="n">
        <v>13072.68</v>
      </c>
    </row>
    <row r="231">
      <c r="A231" t="n">
        <v>2026</v>
      </c>
      <c r="B231" t="n">
        <v>9</v>
      </c>
      <c r="C231" t="inlineStr">
        <is>
          <t>203000</t>
        </is>
      </c>
      <c r="D231" t="inlineStr">
        <is>
          <t>Short-Term Debt</t>
        </is>
      </c>
      <c r="E231" t="inlineStr">
        <is>
          <t>Liability</t>
        </is>
      </c>
      <c r="F231" s="3" t="n">
        <v>0</v>
      </c>
      <c r="G231" s="3" t="n">
        <v>50000</v>
      </c>
      <c r="H231" s="3" t="n">
        <v>50000</v>
      </c>
    </row>
    <row r="232">
      <c r="A232" t="n">
        <v>2026</v>
      </c>
      <c r="B232" t="n">
        <v>9</v>
      </c>
      <c r="C232" t="inlineStr">
        <is>
          <t>204000</t>
        </is>
      </c>
      <c r="D232" t="inlineStr">
        <is>
          <t>Long-Term Debt</t>
        </is>
      </c>
      <c r="E232" t="inlineStr">
        <is>
          <t>Liability</t>
        </is>
      </c>
      <c r="F232" s="3" t="n">
        <v>0</v>
      </c>
      <c r="G232" s="3" t="n">
        <v>182000</v>
      </c>
      <c r="H232" s="3" t="n">
        <v>182000</v>
      </c>
    </row>
    <row r="233">
      <c r="A233" t="n">
        <v>2026</v>
      </c>
      <c r="B233" t="n">
        <v>9</v>
      </c>
      <c r="C233" t="inlineStr">
        <is>
          <t>205000</t>
        </is>
      </c>
      <c r="D233" t="inlineStr">
        <is>
          <t>Taxes Payable</t>
        </is>
      </c>
      <c r="E233" t="inlineStr">
        <is>
          <t>Liability</t>
        </is>
      </c>
      <c r="F233" s="3" t="n">
        <v>0</v>
      </c>
      <c r="G233" s="3" t="n">
        <v>15762.53</v>
      </c>
      <c r="H233" s="3" t="n">
        <v>15762.53</v>
      </c>
    </row>
    <row r="234">
      <c r="A234" t="n">
        <v>2026</v>
      </c>
      <c r="B234" t="n">
        <v>9</v>
      </c>
      <c r="C234" t="inlineStr">
        <is>
          <t>301000</t>
        </is>
      </c>
      <c r="D234" t="inlineStr">
        <is>
          <t>Share Capital</t>
        </is>
      </c>
      <c r="E234" t="inlineStr">
        <is>
          <t>Equity</t>
        </is>
      </c>
      <c r="F234" s="3" t="n">
        <v>0</v>
      </c>
      <c r="G234" s="3" t="n">
        <v>300000</v>
      </c>
      <c r="H234" s="3" t="n">
        <v>300000</v>
      </c>
    </row>
    <row r="235">
      <c r="A235" t="n">
        <v>2026</v>
      </c>
      <c r="B235" t="n">
        <v>9</v>
      </c>
      <c r="C235" t="inlineStr">
        <is>
          <t>302000</t>
        </is>
      </c>
      <c r="D235" t="inlineStr">
        <is>
          <t>Retained Earnings</t>
        </is>
      </c>
      <c r="E235" t="inlineStr">
        <is>
          <t>Equity</t>
        </is>
      </c>
      <c r="F235" s="3" t="n">
        <v>0</v>
      </c>
      <c r="G235" s="3" t="n">
        <v>50000</v>
      </c>
      <c r="H235" s="3" t="n">
        <v>50000</v>
      </c>
    </row>
    <row r="236">
      <c r="A236" t="n">
        <v>2026</v>
      </c>
      <c r="B236" t="n">
        <v>10</v>
      </c>
      <c r="C236" t="inlineStr">
        <is>
          <t>401000</t>
        </is>
      </c>
      <c r="D236" t="inlineStr">
        <is>
          <t>Product Sales</t>
        </is>
      </c>
      <c r="E236" t="inlineStr">
        <is>
          <t>Revenue</t>
        </is>
      </c>
      <c r="F236" s="3" t="n">
        <v>0</v>
      </c>
      <c r="G236" s="3" t="n">
        <v>169937.11</v>
      </c>
      <c r="H236" s="3" t="n">
        <v>169937.11</v>
      </c>
    </row>
    <row r="237">
      <c r="A237" t="n">
        <v>2026</v>
      </c>
      <c r="B237" t="n">
        <v>10</v>
      </c>
      <c r="C237" t="inlineStr">
        <is>
          <t>402000</t>
        </is>
      </c>
      <c r="D237" t="inlineStr">
        <is>
          <t>Service Revenue</t>
        </is>
      </c>
      <c r="E237" t="inlineStr">
        <is>
          <t>Revenue</t>
        </is>
      </c>
      <c r="F237" s="3" t="n">
        <v>0</v>
      </c>
      <c r="G237" s="3" t="n">
        <v>41841.12</v>
      </c>
      <c r="H237" s="3" t="n">
        <v>41841.12</v>
      </c>
    </row>
    <row r="238">
      <c r="A238" t="n">
        <v>2026</v>
      </c>
      <c r="B238" t="n">
        <v>10</v>
      </c>
      <c r="C238" t="inlineStr">
        <is>
          <t>403000</t>
        </is>
      </c>
      <c r="D238" t="inlineStr">
        <is>
          <t>Other Income</t>
        </is>
      </c>
      <c r="E238" t="inlineStr">
        <is>
          <t>Revenue</t>
        </is>
      </c>
      <c r="F238" s="3" t="n">
        <v>0</v>
      </c>
      <c r="G238" s="3" t="n">
        <v>5957.13</v>
      </c>
      <c r="H238" s="3" t="n">
        <v>5957.13</v>
      </c>
    </row>
    <row r="239">
      <c r="A239" t="n">
        <v>2026</v>
      </c>
      <c r="B239" t="n">
        <v>10</v>
      </c>
      <c r="C239" t="inlineStr">
        <is>
          <t>501000</t>
        </is>
      </c>
      <c r="D239" t="inlineStr">
        <is>
          <t>Cost of Goods Sold</t>
        </is>
      </c>
      <c r="E239" t="inlineStr">
        <is>
          <t>Expense</t>
        </is>
      </c>
      <c r="F239" s="3" t="n">
        <v>89877.75</v>
      </c>
      <c r="G239" s="3" t="n">
        <v>0</v>
      </c>
      <c r="H239" s="3" t="n">
        <v>89877.75</v>
      </c>
    </row>
    <row r="240">
      <c r="A240" t="n">
        <v>2026</v>
      </c>
      <c r="B240" t="n">
        <v>10</v>
      </c>
      <c r="C240" t="inlineStr">
        <is>
          <t>502000</t>
        </is>
      </c>
      <c r="D240" t="inlineStr">
        <is>
          <t>Salaries &amp; Benefits</t>
        </is>
      </c>
      <c r="E240" t="inlineStr">
        <is>
          <t>Expense</t>
        </is>
      </c>
      <c r="F240" s="3" t="n">
        <v>52367.13</v>
      </c>
      <c r="G240" s="3" t="n">
        <v>0</v>
      </c>
      <c r="H240" s="3" t="n">
        <v>52367.13</v>
      </c>
    </row>
    <row r="241">
      <c r="A241" t="n">
        <v>2026</v>
      </c>
      <c r="B241" t="n">
        <v>10</v>
      </c>
      <c r="C241" t="inlineStr">
        <is>
          <t>503000</t>
        </is>
      </c>
      <c r="D241" t="inlineStr">
        <is>
          <t>Rent &amp; Facilities</t>
        </is>
      </c>
      <c r="E241" t="inlineStr">
        <is>
          <t>Expense</t>
        </is>
      </c>
      <c r="F241" s="3" t="n">
        <v>12000</v>
      </c>
      <c r="G241" s="3" t="n">
        <v>0</v>
      </c>
      <c r="H241" s="3" t="n">
        <v>12000</v>
      </c>
    </row>
    <row r="242">
      <c r="A242" t="n">
        <v>2026</v>
      </c>
      <c r="B242" t="n">
        <v>10</v>
      </c>
      <c r="C242" t="inlineStr">
        <is>
          <t>504000</t>
        </is>
      </c>
      <c r="D242" t="inlineStr">
        <is>
          <t>Marketing &amp; Advertising</t>
        </is>
      </c>
      <c r="E242" t="inlineStr">
        <is>
          <t>Expense</t>
        </is>
      </c>
      <c r="F242" s="3" t="n">
        <v>9179.290000000001</v>
      </c>
      <c r="G242" s="3" t="n">
        <v>0</v>
      </c>
      <c r="H242" s="3" t="n">
        <v>9179.290000000001</v>
      </c>
    </row>
    <row r="243">
      <c r="A243" t="n">
        <v>2026</v>
      </c>
      <c r="B243" t="n">
        <v>10</v>
      </c>
      <c r="C243" t="inlineStr">
        <is>
          <t>505000</t>
        </is>
      </c>
      <c r="D243" t="inlineStr">
        <is>
          <t>Travel &amp; Entertainment</t>
        </is>
      </c>
      <c r="E243" t="inlineStr">
        <is>
          <t>Expense</t>
        </is>
      </c>
      <c r="F243" s="3" t="n">
        <v>5295.17</v>
      </c>
      <c r="G243" s="3" t="n">
        <v>0</v>
      </c>
      <c r="H243" s="3" t="n">
        <v>5295.17</v>
      </c>
    </row>
    <row r="244">
      <c r="A244" t="n">
        <v>2026</v>
      </c>
      <c r="B244" t="n">
        <v>10</v>
      </c>
      <c r="C244" t="inlineStr">
        <is>
          <t>506000</t>
        </is>
      </c>
      <c r="D244" t="inlineStr">
        <is>
          <t>IT &amp; Software</t>
        </is>
      </c>
      <c r="E244" t="inlineStr">
        <is>
          <t>Expense</t>
        </is>
      </c>
      <c r="F244" s="3" t="n">
        <v>4297.95</v>
      </c>
      <c r="G244" s="3" t="n">
        <v>0</v>
      </c>
      <c r="H244" s="3" t="n">
        <v>4297.95</v>
      </c>
    </row>
    <row r="245">
      <c r="A245" t="n">
        <v>2026</v>
      </c>
      <c r="B245" t="n">
        <v>10</v>
      </c>
      <c r="C245" t="inlineStr">
        <is>
          <t>507000</t>
        </is>
      </c>
      <c r="D245" t="inlineStr">
        <is>
          <t>Utilities</t>
        </is>
      </c>
      <c r="E245" t="inlineStr">
        <is>
          <t>Expense</t>
        </is>
      </c>
      <c r="F245" s="3" t="n">
        <v>2461.57</v>
      </c>
      <c r="G245" s="3" t="n">
        <v>0</v>
      </c>
      <c r="H245" s="3" t="n">
        <v>2461.57</v>
      </c>
    </row>
    <row r="246">
      <c r="A246" t="n">
        <v>2026</v>
      </c>
      <c r="B246" t="n">
        <v>10</v>
      </c>
      <c r="C246" t="inlineStr">
        <is>
          <t>508000</t>
        </is>
      </c>
      <c r="D246" t="inlineStr">
        <is>
          <t>Depreciation</t>
        </is>
      </c>
      <c r="E246" t="inlineStr">
        <is>
          <t>Expense</t>
        </is>
      </c>
      <c r="F246" s="3" t="n">
        <v>7000</v>
      </c>
      <c r="G246" s="3" t="n">
        <v>0</v>
      </c>
      <c r="H246" s="3" t="n">
        <v>7000</v>
      </c>
    </row>
    <row r="247">
      <c r="A247" t="n">
        <v>2026</v>
      </c>
      <c r="B247" t="n">
        <v>10</v>
      </c>
      <c r="C247" t="inlineStr">
        <is>
          <t>509000</t>
        </is>
      </c>
      <c r="D247" t="inlineStr">
        <is>
          <t>Interest Expense</t>
        </is>
      </c>
      <c r="E247" t="inlineStr">
        <is>
          <t>Expense</t>
        </is>
      </c>
      <c r="F247" s="3" t="n">
        <v>3000</v>
      </c>
      <c r="G247" s="3" t="n">
        <v>0</v>
      </c>
      <c r="H247" s="3" t="n">
        <v>3000</v>
      </c>
    </row>
    <row r="248">
      <c r="A248" t="n">
        <v>2026</v>
      </c>
      <c r="B248" t="n">
        <v>10</v>
      </c>
      <c r="C248" t="inlineStr">
        <is>
          <t>510000</t>
        </is>
      </c>
      <c r="D248" t="inlineStr">
        <is>
          <t>Tax Provision</t>
        </is>
      </c>
      <c r="E248" t="inlineStr">
        <is>
          <t>Expense</t>
        </is>
      </c>
      <c r="F248" s="3" t="n">
        <v>7096.43</v>
      </c>
      <c r="G248" s="3" t="n">
        <v>0</v>
      </c>
      <c r="H248" s="3" t="n">
        <v>7096.43</v>
      </c>
    </row>
    <row r="249">
      <c r="A249" t="n">
        <v>2026</v>
      </c>
      <c r="B249" t="n">
        <v>10</v>
      </c>
      <c r="C249" t="inlineStr">
        <is>
          <t>101000</t>
        </is>
      </c>
      <c r="D249" t="inlineStr">
        <is>
          <t>Cash &amp; Bank</t>
        </is>
      </c>
      <c r="E249" t="inlineStr">
        <is>
          <t>Asset</t>
        </is>
      </c>
      <c r="F249" s="3" t="n">
        <v>150866.12</v>
      </c>
      <c r="G249" s="3" t="n">
        <v>0</v>
      </c>
      <c r="H249" s="3" t="n">
        <v>150866.12</v>
      </c>
    </row>
    <row r="250">
      <c r="A250" t="n">
        <v>2026</v>
      </c>
      <c r="B250" t="n">
        <v>10</v>
      </c>
      <c r="C250" t="inlineStr">
        <is>
          <t>102000</t>
        </is>
      </c>
      <c r="D250" t="inlineStr">
        <is>
          <t>Accounts Receivable</t>
        </is>
      </c>
      <c r="E250" t="inlineStr">
        <is>
          <t>Asset</t>
        </is>
      </c>
      <c r="F250" s="3" t="n">
        <v>29951.45</v>
      </c>
      <c r="G250" s="3" t="n">
        <v>0</v>
      </c>
      <c r="H250" s="3" t="n">
        <v>29951.45</v>
      </c>
    </row>
    <row r="251">
      <c r="A251" t="n">
        <v>2026</v>
      </c>
      <c r="B251" t="n">
        <v>10</v>
      </c>
      <c r="C251" t="inlineStr">
        <is>
          <t>103000</t>
        </is>
      </c>
      <c r="D251" t="inlineStr">
        <is>
          <t>Inventory</t>
        </is>
      </c>
      <c r="E251" t="inlineStr">
        <is>
          <t>Asset</t>
        </is>
      </c>
      <c r="F251" s="3" t="n">
        <v>95447.98</v>
      </c>
      <c r="G251" s="3" t="n">
        <v>0</v>
      </c>
      <c r="H251" s="3" t="n">
        <v>95447.98</v>
      </c>
    </row>
    <row r="252">
      <c r="A252" t="n">
        <v>2026</v>
      </c>
      <c r="B252" t="n">
        <v>10</v>
      </c>
      <c r="C252" t="inlineStr">
        <is>
          <t>104000</t>
        </is>
      </c>
      <c r="D252" t="inlineStr">
        <is>
          <t>Prepaid Expenses</t>
        </is>
      </c>
      <c r="E252" t="inlineStr">
        <is>
          <t>Asset</t>
        </is>
      </c>
      <c r="F252" s="3" t="n">
        <v>4000</v>
      </c>
      <c r="G252" s="3" t="n">
        <v>0</v>
      </c>
      <c r="H252" s="3" t="n">
        <v>4000</v>
      </c>
    </row>
    <row r="253">
      <c r="A253" t="n">
        <v>2026</v>
      </c>
      <c r="B253" t="n">
        <v>10</v>
      </c>
      <c r="C253" t="inlineStr">
        <is>
          <t>105000</t>
        </is>
      </c>
      <c r="D253" t="inlineStr">
        <is>
          <t>Fixed Assets (Gross)</t>
        </is>
      </c>
      <c r="E253" t="inlineStr">
        <is>
          <t>Asset</t>
        </is>
      </c>
      <c r="F253" s="3" t="n">
        <v>500000</v>
      </c>
      <c r="G253" s="3" t="n">
        <v>0</v>
      </c>
      <c r="H253" s="3" t="n">
        <v>500000</v>
      </c>
    </row>
    <row r="254">
      <c r="A254" t="n">
        <v>2026</v>
      </c>
      <c r="B254" t="n">
        <v>10</v>
      </c>
      <c r="C254" t="inlineStr">
        <is>
          <t>106000</t>
        </is>
      </c>
      <c r="D254" t="inlineStr">
        <is>
          <t>Accumulated Depreciation</t>
        </is>
      </c>
      <c r="E254" t="inlineStr">
        <is>
          <t>Asset-Contra</t>
        </is>
      </c>
      <c r="F254" s="3" t="n">
        <v>0</v>
      </c>
      <c r="G254" s="3" t="n">
        <v>105000</v>
      </c>
      <c r="H254" s="3" t="n">
        <v>-105000</v>
      </c>
    </row>
    <row r="255">
      <c r="A255" t="n">
        <v>2026</v>
      </c>
      <c r="B255" t="n">
        <v>10</v>
      </c>
      <c r="C255" t="inlineStr">
        <is>
          <t>201000</t>
        </is>
      </c>
      <c r="D255" t="inlineStr">
        <is>
          <t>Accounts Payable</t>
        </is>
      </c>
      <c r="E255" t="inlineStr">
        <is>
          <t>Liability</t>
        </is>
      </c>
      <c r="F255" s="3" t="n">
        <v>0</v>
      </c>
      <c r="G255" s="3" t="n">
        <v>41839.45</v>
      </c>
      <c r="H255" s="3" t="n">
        <v>41839.45</v>
      </c>
    </row>
    <row r="256">
      <c r="A256" t="n">
        <v>2026</v>
      </c>
      <c r="B256" t="n">
        <v>10</v>
      </c>
      <c r="C256" t="inlineStr">
        <is>
          <t>202000</t>
        </is>
      </c>
      <c r="D256" t="inlineStr">
        <is>
          <t>Accrued Expenses</t>
        </is>
      </c>
      <c r="E256" t="inlineStr">
        <is>
          <t>Liability</t>
        </is>
      </c>
      <c r="F256" s="3" t="n">
        <v>0</v>
      </c>
      <c r="G256" s="3" t="n">
        <v>11282.76</v>
      </c>
      <c r="H256" s="3" t="n">
        <v>11282.76</v>
      </c>
    </row>
    <row r="257">
      <c r="A257" t="n">
        <v>2026</v>
      </c>
      <c r="B257" t="n">
        <v>10</v>
      </c>
      <c r="C257" t="inlineStr">
        <is>
          <t>203000</t>
        </is>
      </c>
      <c r="D257" t="inlineStr">
        <is>
          <t>Short-Term Debt</t>
        </is>
      </c>
      <c r="E257" t="inlineStr">
        <is>
          <t>Liability</t>
        </is>
      </c>
      <c r="F257" s="3" t="n">
        <v>0</v>
      </c>
      <c r="G257" s="3" t="n">
        <v>50000</v>
      </c>
      <c r="H257" s="3" t="n">
        <v>50000</v>
      </c>
    </row>
    <row r="258">
      <c r="A258" t="n">
        <v>2026</v>
      </c>
      <c r="B258" t="n">
        <v>10</v>
      </c>
      <c r="C258" t="inlineStr">
        <is>
          <t>204000</t>
        </is>
      </c>
      <c r="D258" t="inlineStr">
        <is>
          <t>Long-Term Debt</t>
        </is>
      </c>
      <c r="E258" t="inlineStr">
        <is>
          <t>Liability</t>
        </is>
      </c>
      <c r="F258" s="3" t="n">
        <v>0</v>
      </c>
      <c r="G258" s="3" t="n">
        <v>180000</v>
      </c>
      <c r="H258" s="3" t="n">
        <v>180000</v>
      </c>
    </row>
    <row r="259">
      <c r="A259" t="n">
        <v>2026</v>
      </c>
      <c r="B259" t="n">
        <v>10</v>
      </c>
      <c r="C259" t="inlineStr">
        <is>
          <t>205000</t>
        </is>
      </c>
      <c r="D259" t="inlineStr">
        <is>
          <t>Taxes Payable</t>
        </is>
      </c>
      <c r="E259" t="inlineStr">
        <is>
          <t>Liability</t>
        </is>
      </c>
      <c r="F259" s="3" t="n">
        <v>0</v>
      </c>
      <c r="G259" s="3" t="n">
        <v>16983.27</v>
      </c>
      <c r="H259" s="3" t="n">
        <v>16983.27</v>
      </c>
    </row>
    <row r="260">
      <c r="A260" t="n">
        <v>2026</v>
      </c>
      <c r="B260" t="n">
        <v>10</v>
      </c>
      <c r="C260" t="inlineStr">
        <is>
          <t>301000</t>
        </is>
      </c>
      <c r="D260" t="inlineStr">
        <is>
          <t>Share Capital</t>
        </is>
      </c>
      <c r="E260" t="inlineStr">
        <is>
          <t>Equity</t>
        </is>
      </c>
      <c r="F260" s="3" t="n">
        <v>0</v>
      </c>
      <c r="G260" s="3" t="n">
        <v>300000</v>
      </c>
      <c r="H260" s="3" t="n">
        <v>300000</v>
      </c>
    </row>
    <row r="261">
      <c r="A261" t="n">
        <v>2026</v>
      </c>
      <c r="B261" t="n">
        <v>10</v>
      </c>
      <c r="C261" t="inlineStr">
        <is>
          <t>302000</t>
        </is>
      </c>
      <c r="D261" t="inlineStr">
        <is>
          <t>Retained Earnings</t>
        </is>
      </c>
      <c r="E261" t="inlineStr">
        <is>
          <t>Equity</t>
        </is>
      </c>
      <c r="F261" s="3" t="n">
        <v>0</v>
      </c>
      <c r="G261" s="3" t="n">
        <v>50000</v>
      </c>
      <c r="H261" s="3" t="n">
        <v>50000</v>
      </c>
    </row>
    <row r="262">
      <c r="A262" t="n">
        <v>2026</v>
      </c>
      <c r="B262" t="n">
        <v>11</v>
      </c>
      <c r="C262" t="inlineStr">
        <is>
          <t>401000</t>
        </is>
      </c>
      <c r="D262" t="inlineStr">
        <is>
          <t>Product Sales</t>
        </is>
      </c>
      <c r="E262" t="inlineStr">
        <is>
          <t>Revenue</t>
        </is>
      </c>
      <c r="F262" s="3" t="n">
        <v>0</v>
      </c>
      <c r="G262" s="3" t="n">
        <v>187396.88</v>
      </c>
      <c r="H262" s="3" t="n">
        <v>187396.88</v>
      </c>
    </row>
    <row r="263">
      <c r="A263" t="n">
        <v>2026</v>
      </c>
      <c r="B263" t="n">
        <v>11</v>
      </c>
      <c r="C263" t="inlineStr">
        <is>
          <t>402000</t>
        </is>
      </c>
      <c r="D263" t="inlineStr">
        <is>
          <t>Service Revenue</t>
        </is>
      </c>
      <c r="E263" t="inlineStr">
        <is>
          <t>Revenue</t>
        </is>
      </c>
      <c r="F263" s="3" t="n">
        <v>0</v>
      </c>
      <c r="G263" s="3" t="n">
        <v>45898.66</v>
      </c>
      <c r="H263" s="3" t="n">
        <v>45898.66</v>
      </c>
    </row>
    <row r="264">
      <c r="A264" t="n">
        <v>2026</v>
      </c>
      <c r="B264" t="n">
        <v>11</v>
      </c>
      <c r="C264" t="inlineStr">
        <is>
          <t>403000</t>
        </is>
      </c>
      <c r="D264" t="inlineStr">
        <is>
          <t>Other Income</t>
        </is>
      </c>
      <c r="E264" t="inlineStr">
        <is>
          <t>Revenue</t>
        </is>
      </c>
      <c r="F264" s="3" t="n">
        <v>0</v>
      </c>
      <c r="G264" s="3" t="n">
        <v>6686.08</v>
      </c>
      <c r="H264" s="3" t="n">
        <v>6686.08</v>
      </c>
    </row>
    <row r="265">
      <c r="A265" t="n">
        <v>2026</v>
      </c>
      <c r="B265" t="n">
        <v>11</v>
      </c>
      <c r="C265" t="inlineStr">
        <is>
          <t>501000</t>
        </is>
      </c>
      <c r="D265" t="inlineStr">
        <is>
          <t>Cost of Goods Sold</t>
        </is>
      </c>
      <c r="E265" t="inlineStr">
        <is>
          <t>Expense</t>
        </is>
      </c>
      <c r="F265" s="3" t="n">
        <v>111118.9</v>
      </c>
      <c r="G265" s="3" t="n">
        <v>0</v>
      </c>
      <c r="H265" s="3" t="n">
        <v>111118.9</v>
      </c>
    </row>
    <row r="266">
      <c r="A266" t="n">
        <v>2026</v>
      </c>
      <c r="B266" t="n">
        <v>11</v>
      </c>
      <c r="C266" t="inlineStr">
        <is>
          <t>502000</t>
        </is>
      </c>
      <c r="D266" t="inlineStr">
        <is>
          <t>Salaries &amp; Benefits</t>
        </is>
      </c>
      <c r="E266" t="inlineStr">
        <is>
          <t>Expense</t>
        </is>
      </c>
      <c r="F266" s="3" t="n">
        <v>51562.16</v>
      </c>
      <c r="G266" s="3" t="n">
        <v>0</v>
      </c>
      <c r="H266" s="3" t="n">
        <v>51562.16</v>
      </c>
    </row>
    <row r="267">
      <c r="A267" t="n">
        <v>2026</v>
      </c>
      <c r="B267" t="n">
        <v>11</v>
      </c>
      <c r="C267" t="inlineStr">
        <is>
          <t>503000</t>
        </is>
      </c>
      <c r="D267" t="inlineStr">
        <is>
          <t>Rent &amp; Facilities</t>
        </is>
      </c>
      <c r="E267" t="inlineStr">
        <is>
          <t>Expense</t>
        </is>
      </c>
      <c r="F267" s="3" t="n">
        <v>12000</v>
      </c>
      <c r="G267" s="3" t="n">
        <v>0</v>
      </c>
      <c r="H267" s="3" t="n">
        <v>12000</v>
      </c>
    </row>
    <row r="268">
      <c r="A268" t="n">
        <v>2026</v>
      </c>
      <c r="B268" t="n">
        <v>11</v>
      </c>
      <c r="C268" t="inlineStr">
        <is>
          <t>504000</t>
        </is>
      </c>
      <c r="D268" t="inlineStr">
        <is>
          <t>Marketing &amp; Advertising</t>
        </is>
      </c>
      <c r="E268" t="inlineStr">
        <is>
          <t>Expense</t>
        </is>
      </c>
      <c r="F268" s="3" t="n">
        <v>8417.110000000001</v>
      </c>
      <c r="G268" s="3" t="n">
        <v>0</v>
      </c>
      <c r="H268" s="3" t="n">
        <v>8417.110000000001</v>
      </c>
    </row>
    <row r="269">
      <c r="A269" t="n">
        <v>2026</v>
      </c>
      <c r="B269" t="n">
        <v>11</v>
      </c>
      <c r="C269" t="inlineStr">
        <is>
          <t>505000</t>
        </is>
      </c>
      <c r="D269" t="inlineStr">
        <is>
          <t>Travel &amp; Entertainment</t>
        </is>
      </c>
      <c r="E269" t="inlineStr">
        <is>
          <t>Expense</t>
        </is>
      </c>
      <c r="F269" s="3" t="n">
        <v>6264.93</v>
      </c>
      <c r="G269" s="3" t="n">
        <v>0</v>
      </c>
      <c r="H269" s="3" t="n">
        <v>6264.93</v>
      </c>
    </row>
    <row r="270">
      <c r="A270" t="n">
        <v>2026</v>
      </c>
      <c r="B270" t="n">
        <v>11</v>
      </c>
      <c r="C270" t="inlineStr">
        <is>
          <t>506000</t>
        </is>
      </c>
      <c r="D270" t="inlineStr">
        <is>
          <t>IT &amp; Software</t>
        </is>
      </c>
      <c r="E270" t="inlineStr">
        <is>
          <t>Expense</t>
        </is>
      </c>
      <c r="F270" s="3" t="n">
        <v>3784.09</v>
      </c>
      <c r="G270" s="3" t="n">
        <v>0</v>
      </c>
      <c r="H270" s="3" t="n">
        <v>3784.09</v>
      </c>
    </row>
    <row r="271">
      <c r="A271" t="n">
        <v>2026</v>
      </c>
      <c r="B271" t="n">
        <v>11</v>
      </c>
      <c r="C271" t="inlineStr">
        <is>
          <t>507000</t>
        </is>
      </c>
      <c r="D271" t="inlineStr">
        <is>
          <t>Utilities</t>
        </is>
      </c>
      <c r="E271" t="inlineStr">
        <is>
          <t>Expense</t>
        </is>
      </c>
      <c r="F271" s="3" t="n">
        <v>2360.11</v>
      </c>
      <c r="G271" s="3" t="n">
        <v>0</v>
      </c>
      <c r="H271" s="3" t="n">
        <v>2360.11</v>
      </c>
    </row>
    <row r="272">
      <c r="A272" t="n">
        <v>2026</v>
      </c>
      <c r="B272" t="n">
        <v>11</v>
      </c>
      <c r="C272" t="inlineStr">
        <is>
          <t>508000</t>
        </is>
      </c>
      <c r="D272" t="inlineStr">
        <is>
          <t>Depreciation</t>
        </is>
      </c>
      <c r="E272" t="inlineStr">
        <is>
          <t>Expense</t>
        </is>
      </c>
      <c r="F272" s="3" t="n">
        <v>7000</v>
      </c>
      <c r="G272" s="3" t="n">
        <v>0</v>
      </c>
      <c r="H272" s="3" t="n">
        <v>7000</v>
      </c>
    </row>
    <row r="273">
      <c r="A273" t="n">
        <v>2026</v>
      </c>
      <c r="B273" t="n">
        <v>11</v>
      </c>
      <c r="C273" t="inlineStr">
        <is>
          <t>509000</t>
        </is>
      </c>
      <c r="D273" t="inlineStr">
        <is>
          <t>Interest Expense</t>
        </is>
      </c>
      <c r="E273" t="inlineStr">
        <is>
          <t>Expense</t>
        </is>
      </c>
      <c r="F273" s="3" t="n">
        <v>3000</v>
      </c>
      <c r="G273" s="3" t="n">
        <v>0</v>
      </c>
      <c r="H273" s="3" t="n">
        <v>3000</v>
      </c>
    </row>
    <row r="274">
      <c r="A274" t="n">
        <v>2026</v>
      </c>
      <c r="B274" t="n">
        <v>11</v>
      </c>
      <c r="C274" t="inlineStr">
        <is>
          <t>510000</t>
        </is>
      </c>
      <c r="D274" t="inlineStr">
        <is>
          <t>Tax Provision</t>
        </is>
      </c>
      <c r="E274" t="inlineStr">
        <is>
          <t>Expense</t>
        </is>
      </c>
      <c r="F274" s="3" t="n">
        <v>7584.35</v>
      </c>
      <c r="G274" s="3" t="n">
        <v>0</v>
      </c>
      <c r="H274" s="3" t="n">
        <v>7584.35</v>
      </c>
    </row>
    <row r="275">
      <c r="A275" t="n">
        <v>2026</v>
      </c>
      <c r="B275" t="n">
        <v>11</v>
      </c>
      <c r="C275" t="inlineStr">
        <is>
          <t>101000</t>
        </is>
      </c>
      <c r="D275" t="inlineStr">
        <is>
          <t>Cash &amp; Bank</t>
        </is>
      </c>
      <c r="E275" t="inlineStr">
        <is>
          <t>Asset</t>
        </is>
      </c>
      <c r="F275" s="3" t="n">
        <v>155532.04</v>
      </c>
      <c r="G275" s="3" t="n">
        <v>0</v>
      </c>
      <c r="H275" s="3" t="n">
        <v>155532.04</v>
      </c>
    </row>
    <row r="276">
      <c r="A276" t="n">
        <v>2026</v>
      </c>
      <c r="B276" t="n">
        <v>11</v>
      </c>
      <c r="C276" t="inlineStr">
        <is>
          <t>102000</t>
        </is>
      </c>
      <c r="D276" t="inlineStr">
        <is>
          <t>Accounts Receivable</t>
        </is>
      </c>
      <c r="E276" t="inlineStr">
        <is>
          <t>Asset</t>
        </is>
      </c>
      <c r="F276" s="3" t="n">
        <v>32447.85</v>
      </c>
      <c r="G276" s="3" t="n">
        <v>0</v>
      </c>
      <c r="H276" s="3" t="n">
        <v>32447.85</v>
      </c>
    </row>
    <row r="277">
      <c r="A277" t="n">
        <v>2026</v>
      </c>
      <c r="B277" t="n">
        <v>11</v>
      </c>
      <c r="C277" t="inlineStr">
        <is>
          <t>103000</t>
        </is>
      </c>
      <c r="D277" t="inlineStr">
        <is>
          <t>Inventory</t>
        </is>
      </c>
      <c r="E277" t="inlineStr">
        <is>
          <t>Asset</t>
        </is>
      </c>
      <c r="F277" s="3" t="n">
        <v>97002.44</v>
      </c>
      <c r="G277" s="3" t="n">
        <v>0</v>
      </c>
      <c r="H277" s="3" t="n">
        <v>97002.44</v>
      </c>
    </row>
    <row r="278">
      <c r="A278" t="n">
        <v>2026</v>
      </c>
      <c r="B278" t="n">
        <v>11</v>
      </c>
      <c r="C278" t="inlineStr">
        <is>
          <t>104000</t>
        </is>
      </c>
      <c r="D278" t="inlineStr">
        <is>
          <t>Prepaid Expenses</t>
        </is>
      </c>
      <c r="E278" t="inlineStr">
        <is>
          <t>Asset</t>
        </is>
      </c>
      <c r="F278" s="3" t="n">
        <v>3600</v>
      </c>
      <c r="G278" s="3" t="n">
        <v>0</v>
      </c>
      <c r="H278" s="3" t="n">
        <v>3600</v>
      </c>
    </row>
    <row r="279">
      <c r="A279" t="n">
        <v>2026</v>
      </c>
      <c r="B279" t="n">
        <v>11</v>
      </c>
      <c r="C279" t="inlineStr">
        <is>
          <t>105000</t>
        </is>
      </c>
      <c r="D279" t="inlineStr">
        <is>
          <t>Fixed Assets (Gross)</t>
        </is>
      </c>
      <c r="E279" t="inlineStr">
        <is>
          <t>Asset</t>
        </is>
      </c>
      <c r="F279" s="3" t="n">
        <v>500000</v>
      </c>
      <c r="G279" s="3" t="n">
        <v>0</v>
      </c>
      <c r="H279" s="3" t="n">
        <v>500000</v>
      </c>
    </row>
    <row r="280">
      <c r="A280" t="n">
        <v>2026</v>
      </c>
      <c r="B280" t="n">
        <v>11</v>
      </c>
      <c r="C280" t="inlineStr">
        <is>
          <t>106000</t>
        </is>
      </c>
      <c r="D280" t="inlineStr">
        <is>
          <t>Accumulated Depreciation</t>
        </is>
      </c>
      <c r="E280" t="inlineStr">
        <is>
          <t>Asset-Contra</t>
        </is>
      </c>
      <c r="F280" s="3" t="n">
        <v>0</v>
      </c>
      <c r="G280" s="3" t="n">
        <v>112000</v>
      </c>
      <c r="H280" s="3" t="n">
        <v>-112000</v>
      </c>
    </row>
    <row r="281">
      <c r="A281" t="n">
        <v>2026</v>
      </c>
      <c r="B281" t="n">
        <v>11</v>
      </c>
      <c r="C281" t="inlineStr">
        <is>
          <t>201000</t>
        </is>
      </c>
      <c r="D281" t="inlineStr">
        <is>
          <t>Accounts Payable</t>
        </is>
      </c>
      <c r="E281" t="inlineStr">
        <is>
          <t>Liability</t>
        </is>
      </c>
      <c r="F281" s="3" t="n">
        <v>0</v>
      </c>
      <c r="G281" s="3" t="n">
        <v>38777.32</v>
      </c>
      <c r="H281" s="3" t="n">
        <v>38777.32</v>
      </c>
    </row>
    <row r="282">
      <c r="A282" t="n">
        <v>2026</v>
      </c>
      <c r="B282" t="n">
        <v>11</v>
      </c>
      <c r="C282" t="inlineStr">
        <is>
          <t>202000</t>
        </is>
      </c>
      <c r="D282" t="inlineStr">
        <is>
          <t>Accrued Expenses</t>
        </is>
      </c>
      <c r="E282" t="inlineStr">
        <is>
          <t>Liability</t>
        </is>
      </c>
      <c r="F282" s="3" t="n">
        <v>0</v>
      </c>
      <c r="G282" s="3" t="n">
        <v>12973.01</v>
      </c>
      <c r="H282" s="3" t="n">
        <v>12973.01</v>
      </c>
    </row>
    <row r="283">
      <c r="A283" t="n">
        <v>2026</v>
      </c>
      <c r="B283" t="n">
        <v>11</v>
      </c>
      <c r="C283" t="inlineStr">
        <is>
          <t>203000</t>
        </is>
      </c>
      <c r="D283" t="inlineStr">
        <is>
          <t>Short-Term Debt</t>
        </is>
      </c>
      <c r="E283" t="inlineStr">
        <is>
          <t>Liability</t>
        </is>
      </c>
      <c r="F283" s="3" t="n">
        <v>0</v>
      </c>
      <c r="G283" s="3" t="n">
        <v>50000</v>
      </c>
      <c r="H283" s="3" t="n">
        <v>50000</v>
      </c>
    </row>
    <row r="284">
      <c r="A284" t="n">
        <v>2026</v>
      </c>
      <c r="B284" t="n">
        <v>11</v>
      </c>
      <c r="C284" t="inlineStr">
        <is>
          <t>204000</t>
        </is>
      </c>
      <c r="D284" t="inlineStr">
        <is>
          <t>Long-Term Debt</t>
        </is>
      </c>
      <c r="E284" t="inlineStr">
        <is>
          <t>Liability</t>
        </is>
      </c>
      <c r="F284" s="3" t="n">
        <v>0</v>
      </c>
      <c r="G284" s="3" t="n">
        <v>178000</v>
      </c>
      <c r="H284" s="3" t="n">
        <v>178000</v>
      </c>
    </row>
    <row r="285">
      <c r="A285" t="n">
        <v>2026</v>
      </c>
      <c r="B285" t="n">
        <v>11</v>
      </c>
      <c r="C285" t="inlineStr">
        <is>
          <t>205000</t>
        </is>
      </c>
      <c r="D285" t="inlineStr">
        <is>
          <t>Taxes Payable</t>
        </is>
      </c>
      <c r="E285" t="inlineStr">
        <is>
          <t>Liability</t>
        </is>
      </c>
      <c r="F285" s="3" t="n">
        <v>0</v>
      </c>
      <c r="G285" s="3" t="n">
        <v>19942.03</v>
      </c>
      <c r="H285" s="3" t="n">
        <v>19942.03</v>
      </c>
    </row>
    <row r="286">
      <c r="A286" t="n">
        <v>2026</v>
      </c>
      <c r="B286" t="n">
        <v>11</v>
      </c>
      <c r="C286" t="inlineStr">
        <is>
          <t>301000</t>
        </is>
      </c>
      <c r="D286" t="inlineStr">
        <is>
          <t>Share Capital</t>
        </is>
      </c>
      <c r="E286" t="inlineStr">
        <is>
          <t>Equity</t>
        </is>
      </c>
      <c r="F286" s="3" t="n">
        <v>0</v>
      </c>
      <c r="G286" s="3" t="n">
        <v>300000</v>
      </c>
      <c r="H286" s="3" t="n">
        <v>300000</v>
      </c>
    </row>
    <row r="287">
      <c r="A287" t="n">
        <v>2026</v>
      </c>
      <c r="B287" t="n">
        <v>11</v>
      </c>
      <c r="C287" t="inlineStr">
        <is>
          <t>302000</t>
        </is>
      </c>
      <c r="D287" t="inlineStr">
        <is>
          <t>Retained Earnings</t>
        </is>
      </c>
      <c r="E287" t="inlineStr">
        <is>
          <t>Equity</t>
        </is>
      </c>
      <c r="F287" s="3" t="n">
        <v>0</v>
      </c>
      <c r="G287" s="3" t="n">
        <v>50000</v>
      </c>
      <c r="H287" s="3" t="n">
        <v>50000</v>
      </c>
    </row>
    <row r="288">
      <c r="A288" t="n">
        <v>2026</v>
      </c>
      <c r="B288" t="n">
        <v>12</v>
      </c>
      <c r="C288" t="inlineStr">
        <is>
          <t>401000</t>
        </is>
      </c>
      <c r="D288" t="inlineStr">
        <is>
          <t>Product Sales</t>
        </is>
      </c>
      <c r="E288" t="inlineStr">
        <is>
          <t>Revenue</t>
        </is>
      </c>
      <c r="F288" s="3" t="n">
        <v>0</v>
      </c>
      <c r="G288" s="3" t="n">
        <v>161204.68</v>
      </c>
      <c r="H288" s="3" t="n">
        <v>161204.68</v>
      </c>
    </row>
    <row r="289">
      <c r="A289" t="n">
        <v>2026</v>
      </c>
      <c r="B289" t="n">
        <v>12</v>
      </c>
      <c r="C289" t="inlineStr">
        <is>
          <t>402000</t>
        </is>
      </c>
      <c r="D289" t="inlineStr">
        <is>
          <t>Service Revenue</t>
        </is>
      </c>
      <c r="E289" t="inlineStr">
        <is>
          <t>Revenue</t>
        </is>
      </c>
      <c r="F289" s="3" t="n">
        <v>0</v>
      </c>
      <c r="G289" s="3" t="n">
        <v>37762.81</v>
      </c>
      <c r="H289" s="3" t="n">
        <v>37762.81</v>
      </c>
    </row>
    <row r="290">
      <c r="A290" t="n">
        <v>2026</v>
      </c>
      <c r="B290" t="n">
        <v>12</v>
      </c>
      <c r="C290" t="inlineStr">
        <is>
          <t>403000</t>
        </is>
      </c>
      <c r="D290" t="inlineStr">
        <is>
          <t>Other Income</t>
        </is>
      </c>
      <c r="E290" t="inlineStr">
        <is>
          <t>Revenue</t>
        </is>
      </c>
      <c r="F290" s="3" t="n">
        <v>0</v>
      </c>
      <c r="G290" s="3" t="n">
        <v>5686.58</v>
      </c>
      <c r="H290" s="3" t="n">
        <v>5686.58</v>
      </c>
    </row>
    <row r="291">
      <c r="A291" t="n">
        <v>2026</v>
      </c>
      <c r="B291" t="n">
        <v>12</v>
      </c>
      <c r="C291" t="inlineStr">
        <is>
          <t>501000</t>
        </is>
      </c>
      <c r="D291" t="inlineStr">
        <is>
          <t>Cost of Goods Sold</t>
        </is>
      </c>
      <c r="E291" t="inlineStr">
        <is>
          <t>Expense</t>
        </is>
      </c>
      <c r="F291" s="3" t="n">
        <v>88209.77</v>
      </c>
      <c r="G291" s="3" t="n">
        <v>0</v>
      </c>
      <c r="H291" s="3" t="n">
        <v>88209.77</v>
      </c>
    </row>
    <row r="292">
      <c r="A292" t="n">
        <v>2026</v>
      </c>
      <c r="B292" t="n">
        <v>12</v>
      </c>
      <c r="C292" t="inlineStr">
        <is>
          <t>502000</t>
        </is>
      </c>
      <c r="D292" t="inlineStr">
        <is>
          <t>Salaries &amp; Benefits</t>
        </is>
      </c>
      <c r="E292" t="inlineStr">
        <is>
          <t>Expense</t>
        </is>
      </c>
      <c r="F292" s="3" t="n">
        <v>55884.35</v>
      </c>
      <c r="G292" s="3" t="n">
        <v>0</v>
      </c>
      <c r="H292" s="3" t="n">
        <v>55884.35</v>
      </c>
    </row>
    <row r="293">
      <c r="A293" t="n">
        <v>2026</v>
      </c>
      <c r="B293" t="n">
        <v>12</v>
      </c>
      <c r="C293" t="inlineStr">
        <is>
          <t>503000</t>
        </is>
      </c>
      <c r="D293" t="inlineStr">
        <is>
          <t>Rent &amp; Facilities</t>
        </is>
      </c>
      <c r="E293" t="inlineStr">
        <is>
          <t>Expense</t>
        </is>
      </c>
      <c r="F293" s="3" t="n">
        <v>12000</v>
      </c>
      <c r="G293" s="3" t="n">
        <v>0</v>
      </c>
      <c r="H293" s="3" t="n">
        <v>12000</v>
      </c>
    </row>
    <row r="294">
      <c r="A294" t="n">
        <v>2026</v>
      </c>
      <c r="B294" t="n">
        <v>12</v>
      </c>
      <c r="C294" t="inlineStr">
        <is>
          <t>504000</t>
        </is>
      </c>
      <c r="D294" t="inlineStr">
        <is>
          <t>Marketing &amp; Advertising</t>
        </is>
      </c>
      <c r="E294" t="inlineStr">
        <is>
          <t>Expense</t>
        </is>
      </c>
      <c r="F294" s="3" t="n">
        <v>9255.76</v>
      </c>
      <c r="G294" s="3" t="n">
        <v>0</v>
      </c>
      <c r="H294" s="3" t="n">
        <v>9255.76</v>
      </c>
    </row>
    <row r="295">
      <c r="A295" t="n">
        <v>2026</v>
      </c>
      <c r="B295" t="n">
        <v>12</v>
      </c>
      <c r="C295" t="inlineStr">
        <is>
          <t>505000</t>
        </is>
      </c>
      <c r="D295" t="inlineStr">
        <is>
          <t>Travel &amp; Entertainment</t>
        </is>
      </c>
      <c r="E295" t="inlineStr">
        <is>
          <t>Expense</t>
        </is>
      </c>
      <c r="F295" s="3" t="n">
        <v>5918.01</v>
      </c>
      <c r="G295" s="3" t="n">
        <v>0</v>
      </c>
      <c r="H295" s="3" t="n">
        <v>5918.01</v>
      </c>
    </row>
    <row r="296">
      <c r="A296" t="n">
        <v>2026</v>
      </c>
      <c r="B296" t="n">
        <v>12</v>
      </c>
      <c r="C296" t="inlineStr">
        <is>
          <t>506000</t>
        </is>
      </c>
      <c r="D296" t="inlineStr">
        <is>
          <t>IT &amp; Software</t>
        </is>
      </c>
      <c r="E296" t="inlineStr">
        <is>
          <t>Expense</t>
        </is>
      </c>
      <c r="F296" s="3" t="n">
        <v>4227.7</v>
      </c>
      <c r="G296" s="3" t="n">
        <v>0</v>
      </c>
      <c r="H296" s="3" t="n">
        <v>4227.7</v>
      </c>
    </row>
    <row r="297">
      <c r="A297" t="n">
        <v>2026</v>
      </c>
      <c r="B297" t="n">
        <v>12</v>
      </c>
      <c r="C297" t="inlineStr">
        <is>
          <t>507000</t>
        </is>
      </c>
      <c r="D297" t="inlineStr">
        <is>
          <t>Utilities</t>
        </is>
      </c>
      <c r="E297" t="inlineStr">
        <is>
          <t>Expense</t>
        </is>
      </c>
      <c r="F297" s="3" t="n">
        <v>2653.75</v>
      </c>
      <c r="G297" s="3" t="n">
        <v>0</v>
      </c>
      <c r="H297" s="3" t="n">
        <v>2653.75</v>
      </c>
    </row>
    <row r="298">
      <c r="A298" t="n">
        <v>2026</v>
      </c>
      <c r="B298" t="n">
        <v>12</v>
      </c>
      <c r="C298" t="inlineStr">
        <is>
          <t>508000</t>
        </is>
      </c>
      <c r="D298" t="inlineStr">
        <is>
          <t>Depreciation</t>
        </is>
      </c>
      <c r="E298" t="inlineStr">
        <is>
          <t>Expense</t>
        </is>
      </c>
      <c r="F298" s="3" t="n">
        <v>7000</v>
      </c>
      <c r="G298" s="3" t="n">
        <v>0</v>
      </c>
      <c r="H298" s="3" t="n">
        <v>7000</v>
      </c>
    </row>
    <row r="299">
      <c r="A299" t="n">
        <v>2026</v>
      </c>
      <c r="B299" t="n">
        <v>12</v>
      </c>
      <c r="C299" t="inlineStr">
        <is>
          <t>509000</t>
        </is>
      </c>
      <c r="D299" t="inlineStr">
        <is>
          <t>Interest Expense</t>
        </is>
      </c>
      <c r="E299" t="inlineStr">
        <is>
          <t>Expense</t>
        </is>
      </c>
      <c r="F299" s="3" t="n">
        <v>3000</v>
      </c>
      <c r="G299" s="3" t="n">
        <v>0</v>
      </c>
      <c r="H299" s="3" t="n">
        <v>3000</v>
      </c>
    </row>
    <row r="300">
      <c r="A300" t="n">
        <v>2026</v>
      </c>
      <c r="B300" t="n">
        <v>12</v>
      </c>
      <c r="C300" t="inlineStr">
        <is>
          <t>510000</t>
        </is>
      </c>
      <c r="D300" t="inlineStr">
        <is>
          <t>Tax Provision</t>
        </is>
      </c>
      <c r="E300" t="inlineStr">
        <is>
          <t>Expense</t>
        </is>
      </c>
      <c r="F300" s="3" t="n">
        <v>3631.04</v>
      </c>
      <c r="G300" s="3" t="n">
        <v>0</v>
      </c>
      <c r="H300" s="3" t="n">
        <v>3631.04</v>
      </c>
    </row>
    <row r="301">
      <c r="A301" t="n">
        <v>2026</v>
      </c>
      <c r="B301" t="n">
        <v>12</v>
      </c>
      <c r="C301" t="inlineStr">
        <is>
          <t>101000</t>
        </is>
      </c>
      <c r="D301" t="inlineStr">
        <is>
          <t>Cash &amp; Bank</t>
        </is>
      </c>
      <c r="E301" t="inlineStr">
        <is>
          <t>Asset</t>
        </is>
      </c>
      <c r="F301" s="3" t="n">
        <v>155966.97</v>
      </c>
      <c r="G301" s="3" t="n">
        <v>0</v>
      </c>
      <c r="H301" s="3" t="n">
        <v>155966.97</v>
      </c>
    </row>
    <row r="302">
      <c r="A302" t="n">
        <v>2026</v>
      </c>
      <c r="B302" t="n">
        <v>12</v>
      </c>
      <c r="C302" t="inlineStr">
        <is>
          <t>102000</t>
        </is>
      </c>
      <c r="D302" t="inlineStr">
        <is>
          <t>Accounts Receivable</t>
        </is>
      </c>
      <c r="E302" t="inlineStr">
        <is>
          <t>Asset</t>
        </is>
      </c>
      <c r="F302" s="3" t="n">
        <v>28409.45</v>
      </c>
      <c r="G302" s="3" t="n">
        <v>0</v>
      </c>
      <c r="H302" s="3" t="n">
        <v>28409.45</v>
      </c>
    </row>
    <row r="303">
      <c r="A303" t="n">
        <v>2026</v>
      </c>
      <c r="B303" t="n">
        <v>12</v>
      </c>
      <c r="C303" t="inlineStr">
        <is>
          <t>103000</t>
        </is>
      </c>
      <c r="D303" t="inlineStr">
        <is>
          <t>Inventory</t>
        </is>
      </c>
      <c r="E303" t="inlineStr">
        <is>
          <t>Asset</t>
        </is>
      </c>
      <c r="F303" s="3" t="n">
        <v>91356.64</v>
      </c>
      <c r="G303" s="3" t="n">
        <v>0</v>
      </c>
      <c r="H303" s="3" t="n">
        <v>91356.64</v>
      </c>
    </row>
    <row r="304">
      <c r="A304" t="n">
        <v>2026</v>
      </c>
      <c r="B304" t="n">
        <v>12</v>
      </c>
      <c r="C304" t="inlineStr">
        <is>
          <t>104000</t>
        </is>
      </c>
      <c r="D304" t="inlineStr">
        <is>
          <t>Prepaid Expenses</t>
        </is>
      </c>
      <c r="E304" t="inlineStr">
        <is>
          <t>Asset</t>
        </is>
      </c>
      <c r="F304" s="3" t="n">
        <v>3200</v>
      </c>
      <c r="G304" s="3" t="n">
        <v>0</v>
      </c>
      <c r="H304" s="3" t="n">
        <v>3200</v>
      </c>
    </row>
    <row r="305">
      <c r="A305" t="n">
        <v>2026</v>
      </c>
      <c r="B305" t="n">
        <v>12</v>
      </c>
      <c r="C305" t="inlineStr">
        <is>
          <t>105000</t>
        </is>
      </c>
      <c r="D305" t="inlineStr">
        <is>
          <t>Fixed Assets (Gross)</t>
        </is>
      </c>
      <c r="E305" t="inlineStr">
        <is>
          <t>Asset</t>
        </is>
      </c>
      <c r="F305" s="3" t="n">
        <v>500000</v>
      </c>
      <c r="G305" s="3" t="n">
        <v>0</v>
      </c>
      <c r="H305" s="3" t="n">
        <v>500000</v>
      </c>
    </row>
    <row r="306">
      <c r="A306" t="n">
        <v>2026</v>
      </c>
      <c r="B306" t="n">
        <v>12</v>
      </c>
      <c r="C306" t="inlineStr">
        <is>
          <t>106000</t>
        </is>
      </c>
      <c r="D306" t="inlineStr">
        <is>
          <t>Accumulated Depreciation</t>
        </is>
      </c>
      <c r="E306" t="inlineStr">
        <is>
          <t>Asset-Contra</t>
        </is>
      </c>
      <c r="F306" s="3" t="n">
        <v>0</v>
      </c>
      <c r="G306" s="3" t="n">
        <v>119000</v>
      </c>
      <c r="H306" s="3" t="n">
        <v>-119000</v>
      </c>
    </row>
    <row r="307">
      <c r="A307" t="n">
        <v>2026</v>
      </c>
      <c r="B307" t="n">
        <v>12</v>
      </c>
      <c r="C307" t="inlineStr">
        <is>
          <t>201000</t>
        </is>
      </c>
      <c r="D307" t="inlineStr">
        <is>
          <t>Accounts Payable</t>
        </is>
      </c>
      <c r="E307" t="inlineStr">
        <is>
          <t>Liability</t>
        </is>
      </c>
      <c r="F307" s="3" t="n">
        <v>0</v>
      </c>
      <c r="G307" s="3" t="n">
        <v>41420.83</v>
      </c>
      <c r="H307" s="3" t="n">
        <v>41420.83</v>
      </c>
    </row>
    <row r="308">
      <c r="A308" t="n">
        <v>2026</v>
      </c>
      <c r="B308" t="n">
        <v>12</v>
      </c>
      <c r="C308" t="inlineStr">
        <is>
          <t>202000</t>
        </is>
      </c>
      <c r="D308" t="inlineStr">
        <is>
          <t>Accrued Expenses</t>
        </is>
      </c>
      <c r="E308" t="inlineStr">
        <is>
          <t>Liability</t>
        </is>
      </c>
      <c r="F308" s="3" t="n">
        <v>0</v>
      </c>
      <c r="G308" s="3" t="n">
        <v>11816.59</v>
      </c>
      <c r="H308" s="3" t="n">
        <v>11816.59</v>
      </c>
    </row>
    <row r="309">
      <c r="A309" t="n">
        <v>2026</v>
      </c>
      <c r="B309" t="n">
        <v>12</v>
      </c>
      <c r="C309" t="inlineStr">
        <is>
          <t>203000</t>
        </is>
      </c>
      <c r="D309" t="inlineStr">
        <is>
          <t>Short-Term Debt</t>
        </is>
      </c>
      <c r="E309" t="inlineStr">
        <is>
          <t>Liability</t>
        </is>
      </c>
      <c r="F309" s="3" t="n">
        <v>0</v>
      </c>
      <c r="G309" s="3" t="n">
        <v>50000</v>
      </c>
      <c r="H309" s="3" t="n">
        <v>50000</v>
      </c>
    </row>
    <row r="310">
      <c r="A310" t="n">
        <v>2026</v>
      </c>
      <c r="B310" t="n">
        <v>12</v>
      </c>
      <c r="C310" t="inlineStr">
        <is>
          <t>204000</t>
        </is>
      </c>
      <c r="D310" t="inlineStr">
        <is>
          <t>Long-Term Debt</t>
        </is>
      </c>
      <c r="E310" t="inlineStr">
        <is>
          <t>Liability</t>
        </is>
      </c>
      <c r="F310" s="3" t="n">
        <v>0</v>
      </c>
      <c r="G310" s="3" t="n">
        <v>176000</v>
      </c>
      <c r="H310" s="3" t="n">
        <v>176000</v>
      </c>
    </row>
    <row r="311">
      <c r="A311" t="n">
        <v>2026</v>
      </c>
      <c r="B311" t="n">
        <v>12</v>
      </c>
      <c r="C311" t="inlineStr">
        <is>
          <t>205000</t>
        </is>
      </c>
      <c r="D311" t="inlineStr">
        <is>
          <t>Taxes Payable</t>
        </is>
      </c>
      <c r="E311" t="inlineStr">
        <is>
          <t>Liability</t>
        </is>
      </c>
      <c r="F311" s="3" t="n">
        <v>0</v>
      </c>
      <c r="G311" s="3" t="n">
        <v>17821.93</v>
      </c>
      <c r="H311" s="3" t="n">
        <v>17821.93</v>
      </c>
    </row>
    <row r="312">
      <c r="A312" t="n">
        <v>2026</v>
      </c>
      <c r="B312" t="n">
        <v>12</v>
      </c>
      <c r="C312" t="inlineStr">
        <is>
          <t>301000</t>
        </is>
      </c>
      <c r="D312" t="inlineStr">
        <is>
          <t>Share Capital</t>
        </is>
      </c>
      <c r="E312" t="inlineStr">
        <is>
          <t>Equity</t>
        </is>
      </c>
      <c r="F312" s="3" t="n">
        <v>0</v>
      </c>
      <c r="G312" s="3" t="n">
        <v>300000</v>
      </c>
      <c r="H312" s="3" t="n">
        <v>300000</v>
      </c>
    </row>
    <row r="313">
      <c r="A313" t="n">
        <v>2026</v>
      </c>
      <c r="B313" t="n">
        <v>12</v>
      </c>
      <c r="C313" t="inlineStr">
        <is>
          <t>302000</t>
        </is>
      </c>
      <c r="D313" t="inlineStr">
        <is>
          <t>Retained Earnings</t>
        </is>
      </c>
      <c r="E313" t="inlineStr">
        <is>
          <t>Equity</t>
        </is>
      </c>
      <c r="F313" s="3" t="n">
        <v>0</v>
      </c>
      <c r="G313" s="3" t="n">
        <v>50000</v>
      </c>
      <c r="H313" s="3" t="n">
        <v>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>
      <c r="A1" s="1" t="inlineStr">
        <is>
          <t>Account</t>
        </is>
      </c>
      <c r="B1" s="1" t="inlineStr">
        <is>
          <t>Line Item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inlineStr">
        <is>
          <t>Total</t>
        </is>
      </c>
    </row>
    <row r="2">
      <c r="B2" s="4" t="inlineStr">
        <is>
          <t>Revenue</t>
        </is>
      </c>
    </row>
    <row r="3">
      <c r="A3" t="inlineStr">
        <is>
          <t>401000</t>
        </is>
      </c>
      <c r="B3" t="inlineStr">
        <is>
          <t>Product Sales</t>
        </is>
      </c>
      <c r="C3" s="3">
        <f>SUMIFS(Data!$H:$H,Data!$B:$B,C$1,Data!$C:$C,$A3)</f>
        <v/>
      </c>
      <c r="D3" s="3">
        <f>SUMIFS(Data!$H:$H,Data!$B:$B,D$1,Data!$C:$C,$A3)</f>
        <v/>
      </c>
      <c r="E3" s="3">
        <f>SUMIFS(Data!$H:$H,Data!$B:$B,E$1,Data!$C:$C,$A3)</f>
        <v/>
      </c>
      <c r="F3" s="3">
        <f>SUMIFS(Data!$H:$H,Data!$B:$B,F$1,Data!$C:$C,$A3)</f>
        <v/>
      </c>
      <c r="G3" s="3">
        <f>SUMIFS(Data!$H:$H,Data!$B:$B,G$1,Data!$C:$C,$A3)</f>
        <v/>
      </c>
      <c r="H3" s="3">
        <f>SUMIFS(Data!$H:$H,Data!$B:$B,H$1,Data!$C:$C,$A3)</f>
        <v/>
      </c>
      <c r="I3" s="3">
        <f>SUMIFS(Data!$H:$H,Data!$B:$B,I$1,Data!$C:$C,$A3)</f>
        <v/>
      </c>
      <c r="J3" s="3">
        <f>SUMIFS(Data!$H:$H,Data!$B:$B,J$1,Data!$C:$C,$A3)</f>
        <v/>
      </c>
      <c r="K3" s="3">
        <f>SUMIFS(Data!$H:$H,Data!$B:$B,K$1,Data!$C:$C,$A3)</f>
        <v/>
      </c>
      <c r="L3" s="3">
        <f>SUMIFS(Data!$H:$H,Data!$B:$B,L$1,Data!$C:$C,$A3)</f>
        <v/>
      </c>
      <c r="M3" s="3">
        <f>SUMIFS(Data!$H:$H,Data!$B:$B,M$1,Data!$C:$C,$A3)</f>
        <v/>
      </c>
      <c r="N3" s="3">
        <f>SUMIFS(Data!$H:$H,Data!$B:$B,N$1,Data!$C:$C,$A3)</f>
        <v/>
      </c>
      <c r="O3" s="3">
        <f>SUM(C3:N3)</f>
        <v/>
      </c>
    </row>
    <row r="4">
      <c r="A4" t="inlineStr">
        <is>
          <t>402000</t>
        </is>
      </c>
      <c r="B4" t="inlineStr">
        <is>
          <t>Service Revenue</t>
        </is>
      </c>
      <c r="C4" s="3">
        <f>SUMIFS(Data!$H:$H,Data!$B:$B,C$1,Data!$C:$C,$A4)</f>
        <v/>
      </c>
      <c r="D4" s="3">
        <f>SUMIFS(Data!$H:$H,Data!$B:$B,D$1,Data!$C:$C,$A4)</f>
        <v/>
      </c>
      <c r="E4" s="3">
        <f>SUMIFS(Data!$H:$H,Data!$B:$B,E$1,Data!$C:$C,$A4)</f>
        <v/>
      </c>
      <c r="F4" s="3">
        <f>SUMIFS(Data!$H:$H,Data!$B:$B,F$1,Data!$C:$C,$A4)</f>
        <v/>
      </c>
      <c r="G4" s="3">
        <f>SUMIFS(Data!$H:$H,Data!$B:$B,G$1,Data!$C:$C,$A4)</f>
        <v/>
      </c>
      <c r="H4" s="3">
        <f>SUMIFS(Data!$H:$H,Data!$B:$B,H$1,Data!$C:$C,$A4)</f>
        <v/>
      </c>
      <c r="I4" s="3">
        <f>SUMIFS(Data!$H:$H,Data!$B:$B,I$1,Data!$C:$C,$A4)</f>
        <v/>
      </c>
      <c r="J4" s="3">
        <f>SUMIFS(Data!$H:$H,Data!$B:$B,J$1,Data!$C:$C,$A4)</f>
        <v/>
      </c>
      <c r="K4" s="3">
        <f>SUMIFS(Data!$H:$H,Data!$B:$B,K$1,Data!$C:$C,$A4)</f>
        <v/>
      </c>
      <c r="L4" s="3">
        <f>SUMIFS(Data!$H:$H,Data!$B:$B,L$1,Data!$C:$C,$A4)</f>
        <v/>
      </c>
      <c r="M4" s="3">
        <f>SUMIFS(Data!$H:$H,Data!$B:$B,M$1,Data!$C:$C,$A4)</f>
        <v/>
      </c>
      <c r="N4" s="3">
        <f>SUMIFS(Data!$H:$H,Data!$B:$B,N$1,Data!$C:$C,$A4)</f>
        <v/>
      </c>
      <c r="O4" s="3">
        <f>SUM(C4:N4)</f>
        <v/>
      </c>
    </row>
    <row r="5">
      <c r="A5" t="inlineStr">
        <is>
          <t>403000</t>
        </is>
      </c>
      <c r="B5" t="inlineStr">
        <is>
          <t>Other Income</t>
        </is>
      </c>
      <c r="C5" s="3">
        <f>SUMIFS(Data!$H:$H,Data!$B:$B,C$1,Data!$C:$C,$A5)</f>
        <v/>
      </c>
      <c r="D5" s="3">
        <f>SUMIFS(Data!$H:$H,Data!$B:$B,D$1,Data!$C:$C,$A5)</f>
        <v/>
      </c>
      <c r="E5" s="3">
        <f>SUMIFS(Data!$H:$H,Data!$B:$B,E$1,Data!$C:$C,$A5)</f>
        <v/>
      </c>
      <c r="F5" s="3">
        <f>SUMIFS(Data!$H:$H,Data!$B:$B,F$1,Data!$C:$C,$A5)</f>
        <v/>
      </c>
      <c r="G5" s="3">
        <f>SUMIFS(Data!$H:$H,Data!$B:$B,G$1,Data!$C:$C,$A5)</f>
        <v/>
      </c>
      <c r="H5" s="3">
        <f>SUMIFS(Data!$H:$H,Data!$B:$B,H$1,Data!$C:$C,$A5)</f>
        <v/>
      </c>
      <c r="I5" s="3">
        <f>SUMIFS(Data!$H:$H,Data!$B:$B,I$1,Data!$C:$C,$A5)</f>
        <v/>
      </c>
      <c r="J5" s="3">
        <f>SUMIFS(Data!$H:$H,Data!$B:$B,J$1,Data!$C:$C,$A5)</f>
        <v/>
      </c>
      <c r="K5" s="3">
        <f>SUMIFS(Data!$H:$H,Data!$B:$B,K$1,Data!$C:$C,$A5)</f>
        <v/>
      </c>
      <c r="L5" s="3">
        <f>SUMIFS(Data!$H:$H,Data!$B:$B,L$1,Data!$C:$C,$A5)</f>
        <v/>
      </c>
      <c r="M5" s="3">
        <f>SUMIFS(Data!$H:$H,Data!$B:$B,M$1,Data!$C:$C,$A5)</f>
        <v/>
      </c>
      <c r="N5" s="3">
        <f>SUMIFS(Data!$H:$H,Data!$B:$B,N$1,Data!$C:$C,$A5)</f>
        <v/>
      </c>
      <c r="O5" s="3">
        <f>SUM(C5:N5)</f>
        <v/>
      </c>
    </row>
    <row r="6">
      <c r="A6" s="5" t="n"/>
      <c r="B6" s="5" t="inlineStr">
        <is>
          <t>Total Revenue</t>
        </is>
      </c>
      <c r="C6" s="6">
        <f>SUM(C3:C5)</f>
        <v/>
      </c>
      <c r="D6" s="6">
        <f>SUM(D3:D5)</f>
        <v/>
      </c>
      <c r="E6" s="6">
        <f>SUM(E3:E5)</f>
        <v/>
      </c>
      <c r="F6" s="6">
        <f>SUM(F3:F5)</f>
        <v/>
      </c>
      <c r="G6" s="6">
        <f>SUM(G3:G5)</f>
        <v/>
      </c>
      <c r="H6" s="6">
        <f>SUM(H3:H5)</f>
        <v/>
      </c>
      <c r="I6" s="6">
        <f>SUM(I3:I5)</f>
        <v/>
      </c>
      <c r="J6" s="6">
        <f>SUM(J3:J5)</f>
        <v/>
      </c>
      <c r="K6" s="6">
        <f>SUM(K3:K5)</f>
        <v/>
      </c>
      <c r="L6" s="6">
        <f>SUM(L3:L5)</f>
        <v/>
      </c>
      <c r="M6" s="6">
        <f>SUM(M3:M5)</f>
        <v/>
      </c>
      <c r="N6" s="6">
        <f>SUM(N3:N5)</f>
        <v/>
      </c>
      <c r="O6" s="6">
        <f>SUM(C6:N6)</f>
        <v/>
      </c>
    </row>
    <row r="8">
      <c r="B8" s="4" t="inlineStr">
        <is>
          <t>Operating Expenses</t>
        </is>
      </c>
    </row>
    <row r="9">
      <c r="A9" t="inlineStr">
        <is>
          <t>501000</t>
        </is>
      </c>
      <c r="B9" t="inlineStr">
        <is>
          <t>Cost of Goods Sold</t>
        </is>
      </c>
      <c r="C9" s="3">
        <f>SUMIFS(Data!$H:$H,Data!$B:$B,C$1,Data!$C:$C,$A9)</f>
        <v/>
      </c>
      <c r="D9" s="3">
        <f>SUMIFS(Data!$H:$H,Data!$B:$B,D$1,Data!$C:$C,$A9)</f>
        <v/>
      </c>
      <c r="E9" s="3">
        <f>SUMIFS(Data!$H:$H,Data!$B:$B,E$1,Data!$C:$C,$A9)</f>
        <v/>
      </c>
      <c r="F9" s="3">
        <f>SUMIFS(Data!$H:$H,Data!$B:$B,F$1,Data!$C:$C,$A9)</f>
        <v/>
      </c>
      <c r="G9" s="3">
        <f>SUMIFS(Data!$H:$H,Data!$B:$B,G$1,Data!$C:$C,$A9)</f>
        <v/>
      </c>
      <c r="H9" s="3">
        <f>SUMIFS(Data!$H:$H,Data!$B:$B,H$1,Data!$C:$C,$A9)</f>
        <v/>
      </c>
      <c r="I9" s="3">
        <f>SUMIFS(Data!$H:$H,Data!$B:$B,I$1,Data!$C:$C,$A9)</f>
        <v/>
      </c>
      <c r="J9" s="3">
        <f>SUMIFS(Data!$H:$H,Data!$B:$B,J$1,Data!$C:$C,$A9)</f>
        <v/>
      </c>
      <c r="K9" s="3">
        <f>SUMIFS(Data!$H:$H,Data!$B:$B,K$1,Data!$C:$C,$A9)</f>
        <v/>
      </c>
      <c r="L9" s="3">
        <f>SUMIFS(Data!$H:$H,Data!$B:$B,L$1,Data!$C:$C,$A9)</f>
        <v/>
      </c>
      <c r="M9" s="3">
        <f>SUMIFS(Data!$H:$H,Data!$B:$B,M$1,Data!$C:$C,$A9)</f>
        <v/>
      </c>
      <c r="N9" s="3">
        <f>SUMIFS(Data!$H:$H,Data!$B:$B,N$1,Data!$C:$C,$A9)</f>
        <v/>
      </c>
      <c r="O9" s="3">
        <f>SUM(C9:N9)</f>
        <v/>
      </c>
    </row>
    <row r="10">
      <c r="A10" t="inlineStr">
        <is>
          <t>502000</t>
        </is>
      </c>
      <c r="B10" t="inlineStr">
        <is>
          <t>Salaries &amp; Benefits</t>
        </is>
      </c>
      <c r="C10" s="3">
        <f>SUMIFS(Data!$H:$H,Data!$B:$B,C$1,Data!$C:$C,$A10)</f>
        <v/>
      </c>
      <c r="D10" s="3">
        <f>SUMIFS(Data!$H:$H,Data!$B:$B,D$1,Data!$C:$C,$A10)</f>
        <v/>
      </c>
      <c r="E10" s="3">
        <f>SUMIFS(Data!$H:$H,Data!$B:$B,E$1,Data!$C:$C,$A10)</f>
        <v/>
      </c>
      <c r="F10" s="3">
        <f>SUMIFS(Data!$H:$H,Data!$B:$B,F$1,Data!$C:$C,$A10)</f>
        <v/>
      </c>
      <c r="G10" s="3">
        <f>SUMIFS(Data!$H:$H,Data!$B:$B,G$1,Data!$C:$C,$A10)</f>
        <v/>
      </c>
      <c r="H10" s="3">
        <f>SUMIFS(Data!$H:$H,Data!$B:$B,H$1,Data!$C:$C,$A10)</f>
        <v/>
      </c>
      <c r="I10" s="3">
        <f>SUMIFS(Data!$H:$H,Data!$B:$B,I$1,Data!$C:$C,$A10)</f>
        <v/>
      </c>
      <c r="J10" s="3">
        <f>SUMIFS(Data!$H:$H,Data!$B:$B,J$1,Data!$C:$C,$A10)</f>
        <v/>
      </c>
      <c r="K10" s="3">
        <f>SUMIFS(Data!$H:$H,Data!$B:$B,K$1,Data!$C:$C,$A10)</f>
        <v/>
      </c>
      <c r="L10" s="3">
        <f>SUMIFS(Data!$H:$H,Data!$B:$B,L$1,Data!$C:$C,$A10)</f>
        <v/>
      </c>
      <c r="M10" s="3">
        <f>SUMIFS(Data!$H:$H,Data!$B:$B,M$1,Data!$C:$C,$A10)</f>
        <v/>
      </c>
      <c r="N10" s="3">
        <f>SUMIFS(Data!$H:$H,Data!$B:$B,N$1,Data!$C:$C,$A10)</f>
        <v/>
      </c>
      <c r="O10" s="3">
        <f>SUM(C10:N10)</f>
        <v/>
      </c>
    </row>
    <row r="11">
      <c r="A11" t="inlineStr">
        <is>
          <t>503000</t>
        </is>
      </c>
      <c r="B11" t="inlineStr">
        <is>
          <t>Rent &amp; Facilities</t>
        </is>
      </c>
      <c r="C11" s="3">
        <f>SUMIFS(Data!$H:$H,Data!$B:$B,C$1,Data!$C:$C,$A11)</f>
        <v/>
      </c>
      <c r="D11" s="3">
        <f>SUMIFS(Data!$H:$H,Data!$B:$B,D$1,Data!$C:$C,$A11)</f>
        <v/>
      </c>
      <c r="E11" s="3">
        <f>SUMIFS(Data!$H:$H,Data!$B:$B,E$1,Data!$C:$C,$A11)</f>
        <v/>
      </c>
      <c r="F11" s="3">
        <f>SUMIFS(Data!$H:$H,Data!$B:$B,F$1,Data!$C:$C,$A11)</f>
        <v/>
      </c>
      <c r="G11" s="3">
        <f>SUMIFS(Data!$H:$H,Data!$B:$B,G$1,Data!$C:$C,$A11)</f>
        <v/>
      </c>
      <c r="H11" s="3">
        <f>SUMIFS(Data!$H:$H,Data!$B:$B,H$1,Data!$C:$C,$A11)</f>
        <v/>
      </c>
      <c r="I11" s="3">
        <f>SUMIFS(Data!$H:$H,Data!$B:$B,I$1,Data!$C:$C,$A11)</f>
        <v/>
      </c>
      <c r="J11" s="3">
        <f>SUMIFS(Data!$H:$H,Data!$B:$B,J$1,Data!$C:$C,$A11)</f>
        <v/>
      </c>
      <c r="K11" s="3">
        <f>SUMIFS(Data!$H:$H,Data!$B:$B,K$1,Data!$C:$C,$A11)</f>
        <v/>
      </c>
      <c r="L11" s="3">
        <f>SUMIFS(Data!$H:$H,Data!$B:$B,L$1,Data!$C:$C,$A11)</f>
        <v/>
      </c>
      <c r="M11" s="3">
        <f>SUMIFS(Data!$H:$H,Data!$B:$B,M$1,Data!$C:$C,$A11)</f>
        <v/>
      </c>
      <c r="N11" s="3">
        <f>SUMIFS(Data!$H:$H,Data!$B:$B,N$1,Data!$C:$C,$A11)</f>
        <v/>
      </c>
      <c r="O11" s="3">
        <f>SUM(C11:N11)</f>
        <v/>
      </c>
    </row>
    <row r="12">
      <c r="A12" t="inlineStr">
        <is>
          <t>504000</t>
        </is>
      </c>
      <c r="B12" t="inlineStr">
        <is>
          <t>Marketing &amp; Advertising</t>
        </is>
      </c>
      <c r="C12" s="3">
        <f>SUMIFS(Data!$H:$H,Data!$B:$B,C$1,Data!$C:$C,$A12)</f>
        <v/>
      </c>
      <c r="D12" s="3">
        <f>SUMIFS(Data!$H:$H,Data!$B:$B,D$1,Data!$C:$C,$A12)</f>
        <v/>
      </c>
      <c r="E12" s="3">
        <f>SUMIFS(Data!$H:$H,Data!$B:$B,E$1,Data!$C:$C,$A12)</f>
        <v/>
      </c>
      <c r="F12" s="3">
        <f>SUMIFS(Data!$H:$H,Data!$B:$B,F$1,Data!$C:$C,$A12)</f>
        <v/>
      </c>
      <c r="G12" s="3">
        <f>SUMIFS(Data!$H:$H,Data!$B:$B,G$1,Data!$C:$C,$A12)</f>
        <v/>
      </c>
      <c r="H12" s="3">
        <f>SUMIFS(Data!$H:$H,Data!$B:$B,H$1,Data!$C:$C,$A12)</f>
        <v/>
      </c>
      <c r="I12" s="3">
        <f>SUMIFS(Data!$H:$H,Data!$B:$B,I$1,Data!$C:$C,$A12)</f>
        <v/>
      </c>
      <c r="J12" s="3">
        <f>SUMIFS(Data!$H:$H,Data!$B:$B,J$1,Data!$C:$C,$A12)</f>
        <v/>
      </c>
      <c r="K12" s="3">
        <f>SUMIFS(Data!$H:$H,Data!$B:$B,K$1,Data!$C:$C,$A12)</f>
        <v/>
      </c>
      <c r="L12" s="3">
        <f>SUMIFS(Data!$H:$H,Data!$B:$B,L$1,Data!$C:$C,$A12)</f>
        <v/>
      </c>
      <c r="M12" s="3">
        <f>SUMIFS(Data!$H:$H,Data!$B:$B,M$1,Data!$C:$C,$A12)</f>
        <v/>
      </c>
      <c r="N12" s="3">
        <f>SUMIFS(Data!$H:$H,Data!$B:$B,N$1,Data!$C:$C,$A12)</f>
        <v/>
      </c>
      <c r="O12" s="3">
        <f>SUM(C12:N12)</f>
        <v/>
      </c>
    </row>
    <row r="13">
      <c r="A13" t="inlineStr">
        <is>
          <t>505000</t>
        </is>
      </c>
      <c r="B13" t="inlineStr">
        <is>
          <t>Travel &amp; Entertainment</t>
        </is>
      </c>
      <c r="C13" s="3">
        <f>SUMIFS(Data!$H:$H,Data!$B:$B,C$1,Data!$C:$C,$A13)</f>
        <v/>
      </c>
      <c r="D13" s="3">
        <f>SUMIFS(Data!$H:$H,Data!$B:$B,D$1,Data!$C:$C,$A13)</f>
        <v/>
      </c>
      <c r="E13" s="3">
        <f>SUMIFS(Data!$H:$H,Data!$B:$B,E$1,Data!$C:$C,$A13)</f>
        <v/>
      </c>
      <c r="F13" s="3">
        <f>SUMIFS(Data!$H:$H,Data!$B:$B,F$1,Data!$C:$C,$A13)</f>
        <v/>
      </c>
      <c r="G13" s="3">
        <f>SUMIFS(Data!$H:$H,Data!$B:$B,G$1,Data!$C:$C,$A13)</f>
        <v/>
      </c>
      <c r="H13" s="3">
        <f>SUMIFS(Data!$H:$H,Data!$B:$B,H$1,Data!$C:$C,$A13)</f>
        <v/>
      </c>
      <c r="I13" s="3">
        <f>SUMIFS(Data!$H:$H,Data!$B:$B,I$1,Data!$C:$C,$A13)</f>
        <v/>
      </c>
      <c r="J13" s="3">
        <f>SUMIFS(Data!$H:$H,Data!$B:$B,J$1,Data!$C:$C,$A13)</f>
        <v/>
      </c>
      <c r="K13" s="3">
        <f>SUMIFS(Data!$H:$H,Data!$B:$B,K$1,Data!$C:$C,$A13)</f>
        <v/>
      </c>
      <c r="L13" s="3">
        <f>SUMIFS(Data!$H:$H,Data!$B:$B,L$1,Data!$C:$C,$A13)</f>
        <v/>
      </c>
      <c r="M13" s="3">
        <f>SUMIFS(Data!$H:$H,Data!$B:$B,M$1,Data!$C:$C,$A13)</f>
        <v/>
      </c>
      <c r="N13" s="3">
        <f>SUMIFS(Data!$H:$H,Data!$B:$B,N$1,Data!$C:$C,$A13)</f>
        <v/>
      </c>
      <c r="O13" s="3">
        <f>SUM(C13:N13)</f>
        <v/>
      </c>
    </row>
    <row r="14">
      <c r="A14" t="inlineStr">
        <is>
          <t>506000</t>
        </is>
      </c>
      <c r="B14" t="inlineStr">
        <is>
          <t>IT &amp; Software</t>
        </is>
      </c>
      <c r="C14" s="3">
        <f>SUMIFS(Data!$H:$H,Data!$B:$B,C$1,Data!$C:$C,$A14)</f>
        <v/>
      </c>
      <c r="D14" s="3">
        <f>SUMIFS(Data!$H:$H,Data!$B:$B,D$1,Data!$C:$C,$A14)</f>
        <v/>
      </c>
      <c r="E14" s="3">
        <f>SUMIFS(Data!$H:$H,Data!$B:$B,E$1,Data!$C:$C,$A14)</f>
        <v/>
      </c>
      <c r="F14" s="3">
        <f>SUMIFS(Data!$H:$H,Data!$B:$B,F$1,Data!$C:$C,$A14)</f>
        <v/>
      </c>
      <c r="G14" s="3">
        <f>SUMIFS(Data!$H:$H,Data!$B:$B,G$1,Data!$C:$C,$A14)</f>
        <v/>
      </c>
      <c r="H14" s="3">
        <f>SUMIFS(Data!$H:$H,Data!$B:$B,H$1,Data!$C:$C,$A14)</f>
        <v/>
      </c>
      <c r="I14" s="3">
        <f>SUMIFS(Data!$H:$H,Data!$B:$B,I$1,Data!$C:$C,$A14)</f>
        <v/>
      </c>
      <c r="J14" s="3">
        <f>SUMIFS(Data!$H:$H,Data!$B:$B,J$1,Data!$C:$C,$A14)</f>
        <v/>
      </c>
      <c r="K14" s="3">
        <f>SUMIFS(Data!$H:$H,Data!$B:$B,K$1,Data!$C:$C,$A14)</f>
        <v/>
      </c>
      <c r="L14" s="3">
        <f>SUMIFS(Data!$H:$H,Data!$B:$B,L$1,Data!$C:$C,$A14)</f>
        <v/>
      </c>
      <c r="M14" s="3">
        <f>SUMIFS(Data!$H:$H,Data!$B:$B,M$1,Data!$C:$C,$A14)</f>
        <v/>
      </c>
      <c r="N14" s="3">
        <f>SUMIFS(Data!$H:$H,Data!$B:$B,N$1,Data!$C:$C,$A14)</f>
        <v/>
      </c>
      <c r="O14" s="3">
        <f>SUM(C14:N14)</f>
        <v/>
      </c>
    </row>
    <row r="15">
      <c r="A15" t="inlineStr">
        <is>
          <t>507000</t>
        </is>
      </c>
      <c r="B15" t="inlineStr">
        <is>
          <t>Utilities</t>
        </is>
      </c>
      <c r="C15" s="3">
        <f>SUMIFS(Data!$H:$H,Data!$B:$B,C$1,Data!$C:$C,$A15)</f>
        <v/>
      </c>
      <c r="D15" s="3">
        <f>SUMIFS(Data!$H:$H,Data!$B:$B,D$1,Data!$C:$C,$A15)</f>
        <v/>
      </c>
      <c r="E15" s="3">
        <f>SUMIFS(Data!$H:$H,Data!$B:$B,E$1,Data!$C:$C,$A15)</f>
        <v/>
      </c>
      <c r="F15" s="3">
        <f>SUMIFS(Data!$H:$H,Data!$B:$B,F$1,Data!$C:$C,$A15)</f>
        <v/>
      </c>
      <c r="G15" s="3">
        <f>SUMIFS(Data!$H:$H,Data!$B:$B,G$1,Data!$C:$C,$A15)</f>
        <v/>
      </c>
      <c r="H15" s="3">
        <f>SUMIFS(Data!$H:$H,Data!$B:$B,H$1,Data!$C:$C,$A15)</f>
        <v/>
      </c>
      <c r="I15" s="3">
        <f>SUMIFS(Data!$H:$H,Data!$B:$B,I$1,Data!$C:$C,$A15)</f>
        <v/>
      </c>
      <c r="J15" s="3">
        <f>SUMIFS(Data!$H:$H,Data!$B:$B,J$1,Data!$C:$C,$A15)</f>
        <v/>
      </c>
      <c r="K15" s="3">
        <f>SUMIFS(Data!$H:$H,Data!$B:$B,K$1,Data!$C:$C,$A15)</f>
        <v/>
      </c>
      <c r="L15" s="3">
        <f>SUMIFS(Data!$H:$H,Data!$B:$B,L$1,Data!$C:$C,$A15)</f>
        <v/>
      </c>
      <c r="M15" s="3">
        <f>SUMIFS(Data!$H:$H,Data!$B:$B,M$1,Data!$C:$C,$A15)</f>
        <v/>
      </c>
      <c r="N15" s="3">
        <f>SUMIFS(Data!$H:$H,Data!$B:$B,N$1,Data!$C:$C,$A15)</f>
        <v/>
      </c>
      <c r="O15" s="3">
        <f>SUM(C15:N15)</f>
        <v/>
      </c>
    </row>
    <row r="16">
      <c r="A16" t="inlineStr">
        <is>
          <t>508000</t>
        </is>
      </c>
      <c r="B16" t="inlineStr">
        <is>
          <t>Depreciation</t>
        </is>
      </c>
      <c r="C16" s="3">
        <f>SUMIFS(Data!$H:$H,Data!$B:$B,C$1,Data!$C:$C,$A16)</f>
        <v/>
      </c>
      <c r="D16" s="3">
        <f>SUMIFS(Data!$H:$H,Data!$B:$B,D$1,Data!$C:$C,$A16)</f>
        <v/>
      </c>
      <c r="E16" s="3">
        <f>SUMIFS(Data!$H:$H,Data!$B:$B,E$1,Data!$C:$C,$A16)</f>
        <v/>
      </c>
      <c r="F16" s="3">
        <f>SUMIFS(Data!$H:$H,Data!$B:$B,F$1,Data!$C:$C,$A16)</f>
        <v/>
      </c>
      <c r="G16" s="3">
        <f>SUMIFS(Data!$H:$H,Data!$B:$B,G$1,Data!$C:$C,$A16)</f>
        <v/>
      </c>
      <c r="H16" s="3">
        <f>SUMIFS(Data!$H:$H,Data!$B:$B,H$1,Data!$C:$C,$A16)</f>
        <v/>
      </c>
      <c r="I16" s="3">
        <f>SUMIFS(Data!$H:$H,Data!$B:$B,I$1,Data!$C:$C,$A16)</f>
        <v/>
      </c>
      <c r="J16" s="3">
        <f>SUMIFS(Data!$H:$H,Data!$B:$B,J$1,Data!$C:$C,$A16)</f>
        <v/>
      </c>
      <c r="K16" s="3">
        <f>SUMIFS(Data!$H:$H,Data!$B:$B,K$1,Data!$C:$C,$A16)</f>
        <v/>
      </c>
      <c r="L16" s="3">
        <f>SUMIFS(Data!$H:$H,Data!$B:$B,L$1,Data!$C:$C,$A16)</f>
        <v/>
      </c>
      <c r="M16" s="3">
        <f>SUMIFS(Data!$H:$H,Data!$B:$B,M$1,Data!$C:$C,$A16)</f>
        <v/>
      </c>
      <c r="N16" s="3">
        <f>SUMIFS(Data!$H:$H,Data!$B:$B,N$1,Data!$C:$C,$A16)</f>
        <v/>
      </c>
      <c r="O16" s="3">
        <f>SUM(C16:N16)</f>
        <v/>
      </c>
    </row>
    <row r="17">
      <c r="A17" t="inlineStr">
        <is>
          <t>509000</t>
        </is>
      </c>
      <c r="B17" t="inlineStr">
        <is>
          <t>Interest Expense</t>
        </is>
      </c>
      <c r="C17" s="3">
        <f>SUMIFS(Data!$H:$H,Data!$B:$B,C$1,Data!$C:$C,$A17)</f>
        <v/>
      </c>
      <c r="D17" s="3">
        <f>SUMIFS(Data!$H:$H,Data!$B:$B,D$1,Data!$C:$C,$A17)</f>
        <v/>
      </c>
      <c r="E17" s="3">
        <f>SUMIFS(Data!$H:$H,Data!$B:$B,E$1,Data!$C:$C,$A17)</f>
        <v/>
      </c>
      <c r="F17" s="3">
        <f>SUMIFS(Data!$H:$H,Data!$B:$B,F$1,Data!$C:$C,$A17)</f>
        <v/>
      </c>
      <c r="G17" s="3">
        <f>SUMIFS(Data!$H:$H,Data!$B:$B,G$1,Data!$C:$C,$A17)</f>
        <v/>
      </c>
      <c r="H17" s="3">
        <f>SUMIFS(Data!$H:$H,Data!$B:$B,H$1,Data!$C:$C,$A17)</f>
        <v/>
      </c>
      <c r="I17" s="3">
        <f>SUMIFS(Data!$H:$H,Data!$B:$B,I$1,Data!$C:$C,$A17)</f>
        <v/>
      </c>
      <c r="J17" s="3">
        <f>SUMIFS(Data!$H:$H,Data!$B:$B,J$1,Data!$C:$C,$A17)</f>
        <v/>
      </c>
      <c r="K17" s="3">
        <f>SUMIFS(Data!$H:$H,Data!$B:$B,K$1,Data!$C:$C,$A17)</f>
        <v/>
      </c>
      <c r="L17" s="3">
        <f>SUMIFS(Data!$H:$H,Data!$B:$B,L$1,Data!$C:$C,$A17)</f>
        <v/>
      </c>
      <c r="M17" s="3">
        <f>SUMIFS(Data!$H:$H,Data!$B:$B,M$1,Data!$C:$C,$A17)</f>
        <v/>
      </c>
      <c r="N17" s="3">
        <f>SUMIFS(Data!$H:$H,Data!$B:$B,N$1,Data!$C:$C,$A17)</f>
        <v/>
      </c>
      <c r="O17" s="3">
        <f>SUM(C17:N17)</f>
        <v/>
      </c>
    </row>
    <row r="18">
      <c r="A18" t="inlineStr">
        <is>
          <t>510000</t>
        </is>
      </c>
      <c r="B18" t="inlineStr">
        <is>
          <t>Tax Provision</t>
        </is>
      </c>
      <c r="C18" s="3">
        <f>SUMIFS(Data!$H:$H,Data!$B:$B,C$1,Data!$C:$C,$A18)</f>
        <v/>
      </c>
      <c r="D18" s="3">
        <f>SUMIFS(Data!$H:$H,Data!$B:$B,D$1,Data!$C:$C,$A18)</f>
        <v/>
      </c>
      <c r="E18" s="3">
        <f>SUMIFS(Data!$H:$H,Data!$B:$B,E$1,Data!$C:$C,$A18)</f>
        <v/>
      </c>
      <c r="F18" s="3">
        <f>SUMIFS(Data!$H:$H,Data!$B:$B,F$1,Data!$C:$C,$A18)</f>
        <v/>
      </c>
      <c r="G18" s="3">
        <f>SUMIFS(Data!$H:$H,Data!$B:$B,G$1,Data!$C:$C,$A18)</f>
        <v/>
      </c>
      <c r="H18" s="3">
        <f>SUMIFS(Data!$H:$H,Data!$B:$B,H$1,Data!$C:$C,$A18)</f>
        <v/>
      </c>
      <c r="I18" s="3">
        <f>SUMIFS(Data!$H:$H,Data!$B:$B,I$1,Data!$C:$C,$A18)</f>
        <v/>
      </c>
      <c r="J18" s="3">
        <f>SUMIFS(Data!$H:$H,Data!$B:$B,J$1,Data!$C:$C,$A18)</f>
        <v/>
      </c>
      <c r="K18" s="3">
        <f>SUMIFS(Data!$H:$H,Data!$B:$B,K$1,Data!$C:$C,$A18)</f>
        <v/>
      </c>
      <c r="L18" s="3">
        <f>SUMIFS(Data!$H:$H,Data!$B:$B,L$1,Data!$C:$C,$A18)</f>
        <v/>
      </c>
      <c r="M18" s="3">
        <f>SUMIFS(Data!$H:$H,Data!$B:$B,M$1,Data!$C:$C,$A18)</f>
        <v/>
      </c>
      <c r="N18" s="3">
        <f>SUMIFS(Data!$H:$H,Data!$B:$B,N$1,Data!$C:$C,$A18)</f>
        <v/>
      </c>
      <c r="O18" s="3">
        <f>SUM(C18:N18)</f>
        <v/>
      </c>
    </row>
    <row r="19">
      <c r="A19" s="5" t="n"/>
      <c r="B19" s="5" t="inlineStr">
        <is>
          <t>Total Expenses</t>
        </is>
      </c>
      <c r="C19" s="6">
        <f>SUM(C9:C18)</f>
        <v/>
      </c>
      <c r="D19" s="6">
        <f>SUM(D9:D18)</f>
        <v/>
      </c>
      <c r="E19" s="6">
        <f>SUM(E9:E18)</f>
        <v/>
      </c>
      <c r="F19" s="6">
        <f>SUM(F9:F18)</f>
        <v/>
      </c>
      <c r="G19" s="6">
        <f>SUM(G9:G18)</f>
        <v/>
      </c>
      <c r="H19" s="6">
        <f>SUM(H9:H18)</f>
        <v/>
      </c>
      <c r="I19" s="6">
        <f>SUM(I9:I18)</f>
        <v/>
      </c>
      <c r="J19" s="6">
        <f>SUM(J9:J18)</f>
        <v/>
      </c>
      <c r="K19" s="6">
        <f>SUM(K9:K18)</f>
        <v/>
      </c>
      <c r="L19" s="6">
        <f>SUM(L9:L18)</f>
        <v/>
      </c>
      <c r="M19" s="6">
        <f>SUM(M9:M18)</f>
        <v/>
      </c>
      <c r="N19" s="6">
        <f>SUM(N9:N18)</f>
        <v/>
      </c>
      <c r="O19" s="6">
        <f>SUM(C19:N19)</f>
        <v/>
      </c>
    </row>
    <row r="20">
      <c r="A20" s="5" t="n"/>
      <c r="B20" s="5" t="inlineStr">
        <is>
          <t>Net Income</t>
        </is>
      </c>
      <c r="C20" s="6">
        <f>C6-C19</f>
        <v/>
      </c>
      <c r="D20" s="6">
        <f>D6-D19</f>
        <v/>
      </c>
      <c r="E20" s="6">
        <f>E6-E19</f>
        <v/>
      </c>
      <c r="F20" s="6">
        <f>F6-F19</f>
        <v/>
      </c>
      <c r="G20" s="6">
        <f>G6-G19</f>
        <v/>
      </c>
      <c r="H20" s="6">
        <f>H6-H19</f>
        <v/>
      </c>
      <c r="I20" s="6">
        <f>I6-I19</f>
        <v/>
      </c>
      <c r="J20" s="6">
        <f>J6-J19</f>
        <v/>
      </c>
      <c r="K20" s="6">
        <f>K6-K19</f>
        <v/>
      </c>
      <c r="L20" s="6">
        <f>L6-L19</f>
        <v/>
      </c>
      <c r="M20" s="6">
        <f>M6-M19</f>
        <v/>
      </c>
      <c r="N20" s="6">
        <f>N6-N19</f>
        <v/>
      </c>
      <c r="O20" s="6">
        <f>O6-O19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>
      <c r="A1" s="1" t="inlineStr">
        <is>
          <t>Account</t>
        </is>
      </c>
      <c r="B1" s="1" t="inlineStr">
        <is>
          <t>Line Item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inlineStr">
        <is>
          <t>Total</t>
        </is>
      </c>
    </row>
    <row r="2">
      <c r="B2" s="4" t="inlineStr">
        <is>
          <t>Assets</t>
        </is>
      </c>
    </row>
    <row r="3">
      <c r="A3" t="inlineStr">
        <is>
          <t>101000</t>
        </is>
      </c>
      <c r="B3" t="inlineStr">
        <is>
          <t>Cash &amp; Bank</t>
        </is>
      </c>
      <c r="C3" s="3">
        <f>SUMIFS(Data!$H:$H,Data!$B:$B,C$1,Data!$C:$C,$A3)</f>
        <v/>
      </c>
      <c r="D3" s="3">
        <f>SUMIFS(Data!$H:$H,Data!$B:$B,D$1,Data!$C:$C,$A3)</f>
        <v/>
      </c>
      <c r="E3" s="3">
        <f>SUMIFS(Data!$H:$H,Data!$B:$B,E$1,Data!$C:$C,$A3)</f>
        <v/>
      </c>
      <c r="F3" s="3">
        <f>SUMIFS(Data!$H:$H,Data!$B:$B,F$1,Data!$C:$C,$A3)</f>
        <v/>
      </c>
      <c r="G3" s="3">
        <f>SUMIFS(Data!$H:$H,Data!$B:$B,G$1,Data!$C:$C,$A3)</f>
        <v/>
      </c>
      <c r="H3" s="3">
        <f>SUMIFS(Data!$H:$H,Data!$B:$B,H$1,Data!$C:$C,$A3)</f>
        <v/>
      </c>
      <c r="I3" s="3">
        <f>SUMIFS(Data!$H:$H,Data!$B:$B,I$1,Data!$C:$C,$A3)</f>
        <v/>
      </c>
      <c r="J3" s="3">
        <f>SUMIFS(Data!$H:$H,Data!$B:$B,J$1,Data!$C:$C,$A3)</f>
        <v/>
      </c>
      <c r="K3" s="3">
        <f>SUMIFS(Data!$H:$H,Data!$B:$B,K$1,Data!$C:$C,$A3)</f>
        <v/>
      </c>
      <c r="L3" s="3">
        <f>SUMIFS(Data!$H:$H,Data!$B:$B,L$1,Data!$C:$C,$A3)</f>
        <v/>
      </c>
      <c r="M3" s="3">
        <f>SUMIFS(Data!$H:$H,Data!$B:$B,M$1,Data!$C:$C,$A3)</f>
        <v/>
      </c>
      <c r="N3" s="3">
        <f>SUMIFS(Data!$H:$H,Data!$B:$B,N$1,Data!$C:$C,$A3)</f>
        <v/>
      </c>
      <c r="O3" s="3">
        <f>SUM(C3:N3)</f>
        <v/>
      </c>
    </row>
    <row r="4">
      <c r="A4" t="inlineStr">
        <is>
          <t>102000</t>
        </is>
      </c>
      <c r="B4" t="inlineStr">
        <is>
          <t>Accounts Receivable</t>
        </is>
      </c>
      <c r="C4" s="3">
        <f>SUMIFS(Data!$H:$H,Data!$B:$B,C$1,Data!$C:$C,$A4)</f>
        <v/>
      </c>
      <c r="D4" s="3">
        <f>SUMIFS(Data!$H:$H,Data!$B:$B,D$1,Data!$C:$C,$A4)</f>
        <v/>
      </c>
      <c r="E4" s="3">
        <f>SUMIFS(Data!$H:$H,Data!$B:$B,E$1,Data!$C:$C,$A4)</f>
        <v/>
      </c>
      <c r="F4" s="3">
        <f>SUMIFS(Data!$H:$H,Data!$B:$B,F$1,Data!$C:$C,$A4)</f>
        <v/>
      </c>
      <c r="G4" s="3">
        <f>SUMIFS(Data!$H:$H,Data!$B:$B,G$1,Data!$C:$C,$A4)</f>
        <v/>
      </c>
      <c r="H4" s="3">
        <f>SUMIFS(Data!$H:$H,Data!$B:$B,H$1,Data!$C:$C,$A4)</f>
        <v/>
      </c>
      <c r="I4" s="3">
        <f>SUMIFS(Data!$H:$H,Data!$B:$B,I$1,Data!$C:$C,$A4)</f>
        <v/>
      </c>
      <c r="J4" s="3">
        <f>SUMIFS(Data!$H:$H,Data!$B:$B,J$1,Data!$C:$C,$A4)</f>
        <v/>
      </c>
      <c r="K4" s="3">
        <f>SUMIFS(Data!$H:$H,Data!$B:$B,K$1,Data!$C:$C,$A4)</f>
        <v/>
      </c>
      <c r="L4" s="3">
        <f>SUMIFS(Data!$H:$H,Data!$B:$B,L$1,Data!$C:$C,$A4)</f>
        <v/>
      </c>
      <c r="M4" s="3">
        <f>SUMIFS(Data!$H:$H,Data!$B:$B,M$1,Data!$C:$C,$A4)</f>
        <v/>
      </c>
      <c r="N4" s="3">
        <f>SUMIFS(Data!$H:$H,Data!$B:$B,N$1,Data!$C:$C,$A4)</f>
        <v/>
      </c>
      <c r="O4" s="3">
        <f>SUM(C4:N4)</f>
        <v/>
      </c>
    </row>
    <row r="5">
      <c r="A5" t="inlineStr">
        <is>
          <t>103000</t>
        </is>
      </c>
      <c r="B5" t="inlineStr">
        <is>
          <t>Inventory</t>
        </is>
      </c>
      <c r="C5" s="3">
        <f>SUMIFS(Data!$H:$H,Data!$B:$B,C$1,Data!$C:$C,$A5)</f>
        <v/>
      </c>
      <c r="D5" s="3">
        <f>SUMIFS(Data!$H:$H,Data!$B:$B,D$1,Data!$C:$C,$A5)</f>
        <v/>
      </c>
      <c r="E5" s="3">
        <f>SUMIFS(Data!$H:$H,Data!$B:$B,E$1,Data!$C:$C,$A5)</f>
        <v/>
      </c>
      <c r="F5" s="3">
        <f>SUMIFS(Data!$H:$H,Data!$B:$B,F$1,Data!$C:$C,$A5)</f>
        <v/>
      </c>
      <c r="G5" s="3">
        <f>SUMIFS(Data!$H:$H,Data!$B:$B,G$1,Data!$C:$C,$A5)</f>
        <v/>
      </c>
      <c r="H5" s="3">
        <f>SUMIFS(Data!$H:$H,Data!$B:$B,H$1,Data!$C:$C,$A5)</f>
        <v/>
      </c>
      <c r="I5" s="3">
        <f>SUMIFS(Data!$H:$H,Data!$B:$B,I$1,Data!$C:$C,$A5)</f>
        <v/>
      </c>
      <c r="J5" s="3">
        <f>SUMIFS(Data!$H:$H,Data!$B:$B,J$1,Data!$C:$C,$A5)</f>
        <v/>
      </c>
      <c r="K5" s="3">
        <f>SUMIFS(Data!$H:$H,Data!$B:$B,K$1,Data!$C:$C,$A5)</f>
        <v/>
      </c>
      <c r="L5" s="3">
        <f>SUMIFS(Data!$H:$H,Data!$B:$B,L$1,Data!$C:$C,$A5)</f>
        <v/>
      </c>
      <c r="M5" s="3">
        <f>SUMIFS(Data!$H:$H,Data!$B:$B,M$1,Data!$C:$C,$A5)</f>
        <v/>
      </c>
      <c r="N5" s="3">
        <f>SUMIFS(Data!$H:$H,Data!$B:$B,N$1,Data!$C:$C,$A5)</f>
        <v/>
      </c>
      <c r="O5" s="3">
        <f>SUM(C5:N5)</f>
        <v/>
      </c>
    </row>
    <row r="6">
      <c r="A6" t="inlineStr">
        <is>
          <t>104000</t>
        </is>
      </c>
      <c r="B6" t="inlineStr">
        <is>
          <t>Prepaid Expenses</t>
        </is>
      </c>
      <c r="C6" s="3">
        <f>SUMIFS(Data!$H:$H,Data!$B:$B,C$1,Data!$C:$C,$A6)</f>
        <v/>
      </c>
      <c r="D6" s="3">
        <f>SUMIFS(Data!$H:$H,Data!$B:$B,D$1,Data!$C:$C,$A6)</f>
        <v/>
      </c>
      <c r="E6" s="3">
        <f>SUMIFS(Data!$H:$H,Data!$B:$B,E$1,Data!$C:$C,$A6)</f>
        <v/>
      </c>
      <c r="F6" s="3">
        <f>SUMIFS(Data!$H:$H,Data!$B:$B,F$1,Data!$C:$C,$A6)</f>
        <v/>
      </c>
      <c r="G6" s="3">
        <f>SUMIFS(Data!$H:$H,Data!$B:$B,G$1,Data!$C:$C,$A6)</f>
        <v/>
      </c>
      <c r="H6" s="3">
        <f>SUMIFS(Data!$H:$H,Data!$B:$B,H$1,Data!$C:$C,$A6)</f>
        <v/>
      </c>
      <c r="I6" s="3">
        <f>SUMIFS(Data!$H:$H,Data!$B:$B,I$1,Data!$C:$C,$A6)</f>
        <v/>
      </c>
      <c r="J6" s="3">
        <f>SUMIFS(Data!$H:$H,Data!$B:$B,J$1,Data!$C:$C,$A6)</f>
        <v/>
      </c>
      <c r="K6" s="3">
        <f>SUMIFS(Data!$H:$H,Data!$B:$B,K$1,Data!$C:$C,$A6)</f>
        <v/>
      </c>
      <c r="L6" s="3">
        <f>SUMIFS(Data!$H:$H,Data!$B:$B,L$1,Data!$C:$C,$A6)</f>
        <v/>
      </c>
      <c r="M6" s="3">
        <f>SUMIFS(Data!$H:$H,Data!$B:$B,M$1,Data!$C:$C,$A6)</f>
        <v/>
      </c>
      <c r="N6" s="3">
        <f>SUMIFS(Data!$H:$H,Data!$B:$B,N$1,Data!$C:$C,$A6)</f>
        <v/>
      </c>
      <c r="O6" s="3">
        <f>SUM(C6:N6)</f>
        <v/>
      </c>
    </row>
    <row r="7">
      <c r="A7" t="inlineStr">
        <is>
          <t>105000</t>
        </is>
      </c>
      <c r="B7" t="inlineStr">
        <is>
          <t>Fixed Assets (Gross)</t>
        </is>
      </c>
      <c r="C7" s="3">
        <f>SUMIFS(Data!$H:$H,Data!$B:$B,C$1,Data!$C:$C,$A7)</f>
        <v/>
      </c>
      <c r="D7" s="3">
        <f>SUMIFS(Data!$H:$H,Data!$B:$B,D$1,Data!$C:$C,$A7)</f>
        <v/>
      </c>
      <c r="E7" s="3">
        <f>SUMIFS(Data!$H:$H,Data!$B:$B,E$1,Data!$C:$C,$A7)</f>
        <v/>
      </c>
      <c r="F7" s="3">
        <f>SUMIFS(Data!$H:$H,Data!$B:$B,F$1,Data!$C:$C,$A7)</f>
        <v/>
      </c>
      <c r="G7" s="3">
        <f>SUMIFS(Data!$H:$H,Data!$B:$B,G$1,Data!$C:$C,$A7)</f>
        <v/>
      </c>
      <c r="H7" s="3">
        <f>SUMIFS(Data!$H:$H,Data!$B:$B,H$1,Data!$C:$C,$A7)</f>
        <v/>
      </c>
      <c r="I7" s="3">
        <f>SUMIFS(Data!$H:$H,Data!$B:$B,I$1,Data!$C:$C,$A7)</f>
        <v/>
      </c>
      <c r="J7" s="3">
        <f>SUMIFS(Data!$H:$H,Data!$B:$B,J$1,Data!$C:$C,$A7)</f>
        <v/>
      </c>
      <c r="K7" s="3">
        <f>SUMIFS(Data!$H:$H,Data!$B:$B,K$1,Data!$C:$C,$A7)</f>
        <v/>
      </c>
      <c r="L7" s="3">
        <f>SUMIFS(Data!$H:$H,Data!$B:$B,L$1,Data!$C:$C,$A7)</f>
        <v/>
      </c>
      <c r="M7" s="3">
        <f>SUMIFS(Data!$H:$H,Data!$B:$B,M$1,Data!$C:$C,$A7)</f>
        <v/>
      </c>
      <c r="N7" s="3">
        <f>SUMIFS(Data!$H:$H,Data!$B:$B,N$1,Data!$C:$C,$A7)</f>
        <v/>
      </c>
      <c r="O7" s="3">
        <f>SUM(C7:N7)</f>
        <v/>
      </c>
    </row>
    <row r="8">
      <c r="A8" t="inlineStr">
        <is>
          <t>106000</t>
        </is>
      </c>
      <c r="B8" t="inlineStr">
        <is>
          <t>Accumulated Depreciation</t>
        </is>
      </c>
      <c r="C8" s="3">
        <f>SUMIFS(Data!$H:$H,Data!$B:$B,C$1,Data!$C:$C,$A8)</f>
        <v/>
      </c>
      <c r="D8" s="3">
        <f>SUMIFS(Data!$H:$H,Data!$B:$B,D$1,Data!$C:$C,$A8)</f>
        <v/>
      </c>
      <c r="E8" s="3">
        <f>SUMIFS(Data!$H:$H,Data!$B:$B,E$1,Data!$C:$C,$A8)</f>
        <v/>
      </c>
      <c r="F8" s="3">
        <f>SUMIFS(Data!$H:$H,Data!$B:$B,F$1,Data!$C:$C,$A8)</f>
        <v/>
      </c>
      <c r="G8" s="3">
        <f>SUMIFS(Data!$H:$H,Data!$B:$B,G$1,Data!$C:$C,$A8)</f>
        <v/>
      </c>
      <c r="H8" s="3">
        <f>SUMIFS(Data!$H:$H,Data!$B:$B,H$1,Data!$C:$C,$A8)</f>
        <v/>
      </c>
      <c r="I8" s="3">
        <f>SUMIFS(Data!$H:$H,Data!$B:$B,I$1,Data!$C:$C,$A8)</f>
        <v/>
      </c>
      <c r="J8" s="3">
        <f>SUMIFS(Data!$H:$H,Data!$B:$B,J$1,Data!$C:$C,$A8)</f>
        <v/>
      </c>
      <c r="K8" s="3">
        <f>SUMIFS(Data!$H:$H,Data!$B:$B,K$1,Data!$C:$C,$A8)</f>
        <v/>
      </c>
      <c r="L8" s="3">
        <f>SUMIFS(Data!$H:$H,Data!$B:$B,L$1,Data!$C:$C,$A8)</f>
        <v/>
      </c>
      <c r="M8" s="3">
        <f>SUMIFS(Data!$H:$H,Data!$B:$B,M$1,Data!$C:$C,$A8)</f>
        <v/>
      </c>
      <c r="N8" s="3">
        <f>SUMIFS(Data!$H:$H,Data!$B:$B,N$1,Data!$C:$C,$A8)</f>
        <v/>
      </c>
      <c r="O8" s="3">
        <f>SUM(C8:N8)</f>
        <v/>
      </c>
    </row>
    <row r="9">
      <c r="A9" s="5" t="n"/>
      <c r="B9" s="5" t="inlineStr">
        <is>
          <t>Total Assets</t>
        </is>
      </c>
      <c r="C9" s="6">
        <f>SUM(C3:C8)</f>
        <v/>
      </c>
      <c r="D9" s="6">
        <f>SUM(D3:D8)</f>
        <v/>
      </c>
      <c r="E9" s="6">
        <f>SUM(E3:E8)</f>
        <v/>
      </c>
      <c r="F9" s="6">
        <f>SUM(F3:F8)</f>
        <v/>
      </c>
      <c r="G9" s="6">
        <f>SUM(G3:G8)</f>
        <v/>
      </c>
      <c r="H9" s="6">
        <f>SUM(H3:H8)</f>
        <v/>
      </c>
      <c r="I9" s="6">
        <f>SUM(I3:I8)</f>
        <v/>
      </c>
      <c r="J9" s="6">
        <f>SUM(J3:J8)</f>
        <v/>
      </c>
      <c r="K9" s="6">
        <f>SUM(K3:K8)</f>
        <v/>
      </c>
      <c r="L9" s="6">
        <f>SUM(L3:L8)</f>
        <v/>
      </c>
      <c r="M9" s="6">
        <f>SUM(M3:M8)</f>
        <v/>
      </c>
      <c r="N9" s="6">
        <f>SUM(N3:N8)</f>
        <v/>
      </c>
      <c r="O9" s="6">
        <f>SUM(C9:N9)</f>
        <v/>
      </c>
    </row>
    <row r="11">
      <c r="B11" s="4" t="inlineStr">
        <is>
          <t>Liabilities</t>
        </is>
      </c>
    </row>
    <row r="12">
      <c r="A12" t="inlineStr">
        <is>
          <t>201000</t>
        </is>
      </c>
      <c r="B12" t="inlineStr">
        <is>
          <t>Accounts Payable</t>
        </is>
      </c>
      <c r="C12" s="3">
        <f>SUMIFS(Data!$H:$H,Data!$B:$B,C$1,Data!$C:$C,$A12)</f>
        <v/>
      </c>
      <c r="D12" s="3">
        <f>SUMIFS(Data!$H:$H,Data!$B:$B,D$1,Data!$C:$C,$A12)</f>
        <v/>
      </c>
      <c r="E12" s="3">
        <f>SUMIFS(Data!$H:$H,Data!$B:$B,E$1,Data!$C:$C,$A12)</f>
        <v/>
      </c>
      <c r="F12" s="3">
        <f>SUMIFS(Data!$H:$H,Data!$B:$B,F$1,Data!$C:$C,$A12)</f>
        <v/>
      </c>
      <c r="G12" s="3">
        <f>SUMIFS(Data!$H:$H,Data!$B:$B,G$1,Data!$C:$C,$A12)</f>
        <v/>
      </c>
      <c r="H12" s="3">
        <f>SUMIFS(Data!$H:$H,Data!$B:$B,H$1,Data!$C:$C,$A12)</f>
        <v/>
      </c>
      <c r="I12" s="3">
        <f>SUMIFS(Data!$H:$H,Data!$B:$B,I$1,Data!$C:$C,$A12)</f>
        <v/>
      </c>
      <c r="J12" s="3">
        <f>SUMIFS(Data!$H:$H,Data!$B:$B,J$1,Data!$C:$C,$A12)</f>
        <v/>
      </c>
      <c r="K12" s="3">
        <f>SUMIFS(Data!$H:$H,Data!$B:$B,K$1,Data!$C:$C,$A12)</f>
        <v/>
      </c>
      <c r="L12" s="3">
        <f>SUMIFS(Data!$H:$H,Data!$B:$B,L$1,Data!$C:$C,$A12)</f>
        <v/>
      </c>
      <c r="M12" s="3">
        <f>SUMIFS(Data!$H:$H,Data!$B:$B,M$1,Data!$C:$C,$A12)</f>
        <v/>
      </c>
      <c r="N12" s="3">
        <f>SUMIFS(Data!$H:$H,Data!$B:$B,N$1,Data!$C:$C,$A12)</f>
        <v/>
      </c>
      <c r="O12" s="3">
        <f>SUM(C12:N12)</f>
        <v/>
      </c>
    </row>
    <row r="13">
      <c r="A13" t="inlineStr">
        <is>
          <t>202000</t>
        </is>
      </c>
      <c r="B13" t="inlineStr">
        <is>
          <t>Accrued Expenses</t>
        </is>
      </c>
      <c r="C13" s="3">
        <f>SUMIFS(Data!$H:$H,Data!$B:$B,C$1,Data!$C:$C,$A13)</f>
        <v/>
      </c>
      <c r="D13" s="3">
        <f>SUMIFS(Data!$H:$H,Data!$B:$B,D$1,Data!$C:$C,$A13)</f>
        <v/>
      </c>
      <c r="E13" s="3">
        <f>SUMIFS(Data!$H:$H,Data!$B:$B,E$1,Data!$C:$C,$A13)</f>
        <v/>
      </c>
      <c r="F13" s="3">
        <f>SUMIFS(Data!$H:$H,Data!$B:$B,F$1,Data!$C:$C,$A13)</f>
        <v/>
      </c>
      <c r="G13" s="3">
        <f>SUMIFS(Data!$H:$H,Data!$B:$B,G$1,Data!$C:$C,$A13)</f>
        <v/>
      </c>
      <c r="H13" s="3">
        <f>SUMIFS(Data!$H:$H,Data!$B:$B,H$1,Data!$C:$C,$A13)</f>
        <v/>
      </c>
      <c r="I13" s="3">
        <f>SUMIFS(Data!$H:$H,Data!$B:$B,I$1,Data!$C:$C,$A13)</f>
        <v/>
      </c>
      <c r="J13" s="3">
        <f>SUMIFS(Data!$H:$H,Data!$B:$B,J$1,Data!$C:$C,$A13)</f>
        <v/>
      </c>
      <c r="K13" s="3">
        <f>SUMIFS(Data!$H:$H,Data!$B:$B,K$1,Data!$C:$C,$A13)</f>
        <v/>
      </c>
      <c r="L13" s="3">
        <f>SUMIFS(Data!$H:$H,Data!$B:$B,L$1,Data!$C:$C,$A13)</f>
        <v/>
      </c>
      <c r="M13" s="3">
        <f>SUMIFS(Data!$H:$H,Data!$B:$B,M$1,Data!$C:$C,$A13)</f>
        <v/>
      </c>
      <c r="N13" s="3">
        <f>SUMIFS(Data!$H:$H,Data!$B:$B,N$1,Data!$C:$C,$A13)</f>
        <v/>
      </c>
      <c r="O13" s="3">
        <f>SUM(C13:N13)</f>
        <v/>
      </c>
    </row>
    <row r="14">
      <c r="A14" t="inlineStr">
        <is>
          <t>203000</t>
        </is>
      </c>
      <c r="B14" t="inlineStr">
        <is>
          <t>Short-Term Debt</t>
        </is>
      </c>
      <c r="C14" s="3">
        <f>SUMIFS(Data!$H:$H,Data!$B:$B,C$1,Data!$C:$C,$A14)</f>
        <v/>
      </c>
      <c r="D14" s="3">
        <f>SUMIFS(Data!$H:$H,Data!$B:$B,D$1,Data!$C:$C,$A14)</f>
        <v/>
      </c>
      <c r="E14" s="3">
        <f>SUMIFS(Data!$H:$H,Data!$B:$B,E$1,Data!$C:$C,$A14)</f>
        <v/>
      </c>
      <c r="F14" s="3">
        <f>SUMIFS(Data!$H:$H,Data!$B:$B,F$1,Data!$C:$C,$A14)</f>
        <v/>
      </c>
      <c r="G14" s="3">
        <f>SUMIFS(Data!$H:$H,Data!$B:$B,G$1,Data!$C:$C,$A14)</f>
        <v/>
      </c>
      <c r="H14" s="3">
        <f>SUMIFS(Data!$H:$H,Data!$B:$B,H$1,Data!$C:$C,$A14)</f>
        <v/>
      </c>
      <c r="I14" s="3">
        <f>SUMIFS(Data!$H:$H,Data!$B:$B,I$1,Data!$C:$C,$A14)</f>
        <v/>
      </c>
      <c r="J14" s="3">
        <f>SUMIFS(Data!$H:$H,Data!$B:$B,J$1,Data!$C:$C,$A14)</f>
        <v/>
      </c>
      <c r="K14" s="3">
        <f>SUMIFS(Data!$H:$H,Data!$B:$B,K$1,Data!$C:$C,$A14)</f>
        <v/>
      </c>
      <c r="L14" s="3">
        <f>SUMIFS(Data!$H:$H,Data!$B:$B,L$1,Data!$C:$C,$A14)</f>
        <v/>
      </c>
      <c r="M14" s="3">
        <f>SUMIFS(Data!$H:$H,Data!$B:$B,M$1,Data!$C:$C,$A14)</f>
        <v/>
      </c>
      <c r="N14" s="3">
        <f>SUMIFS(Data!$H:$H,Data!$B:$B,N$1,Data!$C:$C,$A14)</f>
        <v/>
      </c>
      <c r="O14" s="3">
        <f>SUM(C14:N14)</f>
        <v/>
      </c>
    </row>
    <row r="15">
      <c r="A15" t="inlineStr">
        <is>
          <t>204000</t>
        </is>
      </c>
      <c r="B15" t="inlineStr">
        <is>
          <t>Long-Term Debt</t>
        </is>
      </c>
      <c r="C15" s="3">
        <f>SUMIFS(Data!$H:$H,Data!$B:$B,C$1,Data!$C:$C,$A15)</f>
        <v/>
      </c>
      <c r="D15" s="3">
        <f>SUMIFS(Data!$H:$H,Data!$B:$B,D$1,Data!$C:$C,$A15)</f>
        <v/>
      </c>
      <c r="E15" s="3">
        <f>SUMIFS(Data!$H:$H,Data!$B:$B,E$1,Data!$C:$C,$A15)</f>
        <v/>
      </c>
      <c r="F15" s="3">
        <f>SUMIFS(Data!$H:$H,Data!$B:$B,F$1,Data!$C:$C,$A15)</f>
        <v/>
      </c>
      <c r="G15" s="3">
        <f>SUMIFS(Data!$H:$H,Data!$B:$B,G$1,Data!$C:$C,$A15)</f>
        <v/>
      </c>
      <c r="H15" s="3">
        <f>SUMIFS(Data!$H:$H,Data!$B:$B,H$1,Data!$C:$C,$A15)</f>
        <v/>
      </c>
      <c r="I15" s="3">
        <f>SUMIFS(Data!$H:$H,Data!$B:$B,I$1,Data!$C:$C,$A15)</f>
        <v/>
      </c>
      <c r="J15" s="3">
        <f>SUMIFS(Data!$H:$H,Data!$B:$B,J$1,Data!$C:$C,$A15)</f>
        <v/>
      </c>
      <c r="K15" s="3">
        <f>SUMIFS(Data!$H:$H,Data!$B:$B,K$1,Data!$C:$C,$A15)</f>
        <v/>
      </c>
      <c r="L15" s="3">
        <f>SUMIFS(Data!$H:$H,Data!$B:$B,L$1,Data!$C:$C,$A15)</f>
        <v/>
      </c>
      <c r="M15" s="3">
        <f>SUMIFS(Data!$H:$H,Data!$B:$B,M$1,Data!$C:$C,$A15)</f>
        <v/>
      </c>
      <c r="N15" s="3">
        <f>SUMIFS(Data!$H:$H,Data!$B:$B,N$1,Data!$C:$C,$A15)</f>
        <v/>
      </c>
      <c r="O15" s="3">
        <f>SUM(C15:N15)</f>
        <v/>
      </c>
    </row>
    <row r="16">
      <c r="A16" t="inlineStr">
        <is>
          <t>205000</t>
        </is>
      </c>
      <c r="B16" t="inlineStr">
        <is>
          <t>Taxes Payable</t>
        </is>
      </c>
      <c r="C16" s="3">
        <f>SUMIFS(Data!$H:$H,Data!$B:$B,C$1,Data!$C:$C,$A16)</f>
        <v/>
      </c>
      <c r="D16" s="3">
        <f>SUMIFS(Data!$H:$H,Data!$B:$B,D$1,Data!$C:$C,$A16)</f>
        <v/>
      </c>
      <c r="E16" s="3">
        <f>SUMIFS(Data!$H:$H,Data!$B:$B,E$1,Data!$C:$C,$A16)</f>
        <v/>
      </c>
      <c r="F16" s="3">
        <f>SUMIFS(Data!$H:$H,Data!$B:$B,F$1,Data!$C:$C,$A16)</f>
        <v/>
      </c>
      <c r="G16" s="3">
        <f>SUMIFS(Data!$H:$H,Data!$B:$B,G$1,Data!$C:$C,$A16)</f>
        <v/>
      </c>
      <c r="H16" s="3">
        <f>SUMIFS(Data!$H:$H,Data!$B:$B,H$1,Data!$C:$C,$A16)</f>
        <v/>
      </c>
      <c r="I16" s="3">
        <f>SUMIFS(Data!$H:$H,Data!$B:$B,I$1,Data!$C:$C,$A16)</f>
        <v/>
      </c>
      <c r="J16" s="3">
        <f>SUMIFS(Data!$H:$H,Data!$B:$B,J$1,Data!$C:$C,$A16)</f>
        <v/>
      </c>
      <c r="K16" s="3">
        <f>SUMIFS(Data!$H:$H,Data!$B:$B,K$1,Data!$C:$C,$A16)</f>
        <v/>
      </c>
      <c r="L16" s="3">
        <f>SUMIFS(Data!$H:$H,Data!$B:$B,L$1,Data!$C:$C,$A16)</f>
        <v/>
      </c>
      <c r="M16" s="3">
        <f>SUMIFS(Data!$H:$H,Data!$B:$B,M$1,Data!$C:$C,$A16)</f>
        <v/>
      </c>
      <c r="N16" s="3">
        <f>SUMIFS(Data!$H:$H,Data!$B:$B,N$1,Data!$C:$C,$A16)</f>
        <v/>
      </c>
      <c r="O16" s="3">
        <f>SUM(C16:N16)</f>
        <v/>
      </c>
    </row>
    <row r="17">
      <c r="A17" s="5" t="n"/>
      <c r="B17" s="5" t="inlineStr">
        <is>
          <t>Total Liabilities</t>
        </is>
      </c>
      <c r="C17" s="6">
        <f>SUM(C12:C16)</f>
        <v/>
      </c>
      <c r="D17" s="6">
        <f>SUM(D12:D16)</f>
        <v/>
      </c>
      <c r="E17" s="6">
        <f>SUM(E12:E16)</f>
        <v/>
      </c>
      <c r="F17" s="6">
        <f>SUM(F12:F16)</f>
        <v/>
      </c>
      <c r="G17" s="6">
        <f>SUM(G12:G16)</f>
        <v/>
      </c>
      <c r="H17" s="6">
        <f>SUM(H12:H16)</f>
        <v/>
      </c>
      <c r="I17" s="6">
        <f>SUM(I12:I16)</f>
        <v/>
      </c>
      <c r="J17" s="6">
        <f>SUM(J12:J16)</f>
        <v/>
      </c>
      <c r="K17" s="6">
        <f>SUM(K12:K16)</f>
        <v/>
      </c>
      <c r="L17" s="6">
        <f>SUM(L12:L16)</f>
        <v/>
      </c>
      <c r="M17" s="6">
        <f>SUM(M12:M16)</f>
        <v/>
      </c>
      <c r="N17" s="6">
        <f>SUM(N12:N16)</f>
        <v/>
      </c>
      <c r="O17" s="6">
        <f>SUM(C17:N17)</f>
        <v/>
      </c>
    </row>
    <row r="19">
      <c r="B19" s="4" t="inlineStr">
        <is>
          <t>Equity</t>
        </is>
      </c>
    </row>
    <row r="20">
      <c r="A20" t="inlineStr">
        <is>
          <t>301000</t>
        </is>
      </c>
      <c r="B20" t="inlineStr">
        <is>
          <t>Share Capital</t>
        </is>
      </c>
      <c r="C20" s="3">
        <f>SUMIFS(Data!$H:$H,Data!$B:$B,C$1,Data!$C:$C,$A20)</f>
        <v/>
      </c>
      <c r="D20" s="3">
        <f>SUMIFS(Data!$H:$H,Data!$B:$B,D$1,Data!$C:$C,$A20)</f>
        <v/>
      </c>
      <c r="E20" s="3">
        <f>SUMIFS(Data!$H:$H,Data!$B:$B,E$1,Data!$C:$C,$A20)</f>
        <v/>
      </c>
      <c r="F20" s="3">
        <f>SUMIFS(Data!$H:$H,Data!$B:$B,F$1,Data!$C:$C,$A20)</f>
        <v/>
      </c>
      <c r="G20" s="3">
        <f>SUMIFS(Data!$H:$H,Data!$B:$B,G$1,Data!$C:$C,$A20)</f>
        <v/>
      </c>
      <c r="H20" s="3">
        <f>SUMIFS(Data!$H:$H,Data!$B:$B,H$1,Data!$C:$C,$A20)</f>
        <v/>
      </c>
      <c r="I20" s="3">
        <f>SUMIFS(Data!$H:$H,Data!$B:$B,I$1,Data!$C:$C,$A20)</f>
        <v/>
      </c>
      <c r="J20" s="3">
        <f>SUMIFS(Data!$H:$H,Data!$B:$B,J$1,Data!$C:$C,$A20)</f>
        <v/>
      </c>
      <c r="K20" s="3">
        <f>SUMIFS(Data!$H:$H,Data!$B:$B,K$1,Data!$C:$C,$A20)</f>
        <v/>
      </c>
      <c r="L20" s="3">
        <f>SUMIFS(Data!$H:$H,Data!$B:$B,L$1,Data!$C:$C,$A20)</f>
        <v/>
      </c>
      <c r="M20" s="3">
        <f>SUMIFS(Data!$H:$H,Data!$B:$B,M$1,Data!$C:$C,$A20)</f>
        <v/>
      </c>
      <c r="N20" s="3">
        <f>SUMIFS(Data!$H:$H,Data!$B:$B,N$1,Data!$C:$C,$A20)</f>
        <v/>
      </c>
      <c r="O20" s="3">
        <f>SUM(C20:N20)</f>
        <v/>
      </c>
    </row>
    <row r="21">
      <c r="A21" t="inlineStr">
        <is>
          <t>302000</t>
        </is>
      </c>
      <c r="B21" t="inlineStr">
        <is>
          <t>Retained Earnings (incl. current profit)</t>
        </is>
      </c>
      <c r="C21" s="3">
        <f>=SUMIFS(Data!$H:$H,Data!$B:$B,C$1,Data!$C:$C,$A21)+'Income Statement'!C20</f>
        <v/>
      </c>
      <c r="D21" s="3">
        <f>=SUMIFS(Data!$H:$H,Data!$B:$B,D$1,Data!$C:$C,$A21)+'Income Statement'!D20</f>
        <v/>
      </c>
      <c r="E21" s="3">
        <f>=SUMIFS(Data!$H:$H,Data!$B:$B,E$1,Data!$C:$C,$A21)+'Income Statement'!E20</f>
        <v/>
      </c>
      <c r="F21" s="3">
        <f>=SUMIFS(Data!$H:$H,Data!$B:$B,F$1,Data!$C:$C,$A21)+'Income Statement'!F20</f>
        <v/>
      </c>
      <c r="G21" s="3">
        <f>=SUMIFS(Data!$H:$H,Data!$B:$B,G$1,Data!$C:$C,$A21)+'Income Statement'!G20</f>
        <v/>
      </c>
      <c r="H21" s="3">
        <f>=SUMIFS(Data!$H:$H,Data!$B:$B,H$1,Data!$C:$C,$A21)+'Income Statement'!H20</f>
        <v/>
      </c>
      <c r="I21" s="3">
        <f>=SUMIFS(Data!$H:$H,Data!$B:$B,I$1,Data!$C:$C,$A21)+'Income Statement'!I20</f>
        <v/>
      </c>
      <c r="J21" s="3">
        <f>=SUMIFS(Data!$H:$H,Data!$B:$B,J$1,Data!$C:$C,$A21)+'Income Statement'!J20</f>
        <v/>
      </c>
      <c r="K21" s="3">
        <f>=SUMIFS(Data!$H:$H,Data!$B:$B,K$1,Data!$C:$C,$A21)+'Income Statement'!K20</f>
        <v/>
      </c>
      <c r="L21" s="3">
        <f>=SUMIFS(Data!$H:$H,Data!$B:$B,L$1,Data!$C:$C,$A21)+'Income Statement'!L20</f>
        <v/>
      </c>
      <c r="M21" s="3">
        <f>=SUMIFS(Data!$H:$H,Data!$B:$B,M$1,Data!$C:$C,$A21)+'Income Statement'!M20</f>
        <v/>
      </c>
      <c r="N21" s="3">
        <f>=SUMIFS(Data!$H:$H,Data!$B:$B,N$1,Data!$C:$C,$A21)+'Income Statement'!N20</f>
        <v/>
      </c>
      <c r="O21" s="3">
        <f>SUM(C21:N21)</f>
        <v/>
      </c>
    </row>
    <row r="22">
      <c r="A22" s="5" t="n"/>
      <c r="B22" s="5" t="inlineStr">
        <is>
          <t>Total Equity</t>
        </is>
      </c>
      <c r="C22" s="6">
        <f>SUM(C20:C21)</f>
        <v/>
      </c>
      <c r="D22" s="6">
        <f>SUM(D20:D21)</f>
        <v/>
      </c>
      <c r="E22" s="6">
        <f>SUM(E20:E21)</f>
        <v/>
      </c>
      <c r="F22" s="6">
        <f>SUM(F20:F21)</f>
        <v/>
      </c>
      <c r="G22" s="6">
        <f>SUM(G20:G21)</f>
        <v/>
      </c>
      <c r="H22" s="6">
        <f>SUM(H20:H21)</f>
        <v/>
      </c>
      <c r="I22" s="6">
        <f>SUM(I20:I21)</f>
        <v/>
      </c>
      <c r="J22" s="6">
        <f>SUM(J20:J21)</f>
        <v/>
      </c>
      <c r="K22" s="6">
        <f>SUM(K20:K21)</f>
        <v/>
      </c>
      <c r="L22" s="6">
        <f>SUM(L20:L21)</f>
        <v/>
      </c>
      <c r="M22" s="6">
        <f>SUM(M20:M21)</f>
        <v/>
      </c>
      <c r="N22" s="6">
        <f>SUM(N20:N21)</f>
        <v/>
      </c>
      <c r="O22" s="6">
        <f>SUM(C22:N22)</f>
        <v/>
      </c>
    </row>
    <row r="23">
      <c r="A23" s="5" t="n"/>
      <c r="B23" s="5" t="inlineStr">
        <is>
          <t>Total Liabilities &amp; Equity</t>
        </is>
      </c>
      <c r="C23" s="6">
        <f>C17+C22</f>
        <v/>
      </c>
      <c r="D23" s="6">
        <f>D17+D22</f>
        <v/>
      </c>
      <c r="E23" s="6">
        <f>E17+E22</f>
        <v/>
      </c>
      <c r="F23" s="6">
        <f>F17+F22</f>
        <v/>
      </c>
      <c r="G23" s="6">
        <f>G17+G22</f>
        <v/>
      </c>
      <c r="H23" s="6">
        <f>H17+H22</f>
        <v/>
      </c>
      <c r="I23" s="6">
        <f>I17+I22</f>
        <v/>
      </c>
      <c r="J23" s="6">
        <f>J17+J22</f>
        <v/>
      </c>
      <c r="K23" s="6">
        <f>K17+K22</f>
        <v/>
      </c>
      <c r="L23" s="6">
        <f>L17+L22</f>
        <v/>
      </c>
      <c r="M23" s="6">
        <f>M17+M22</f>
        <v/>
      </c>
      <c r="N23" s="6">
        <f>N17+N22</f>
        <v/>
      </c>
      <c r="O23" s="6">
        <f>O17+O22</f>
        <v/>
      </c>
    </row>
    <row r="24">
      <c r="B24" s="7" t="inlineStr">
        <is>
          <t>Check (Assets - L&amp;E) = 0</t>
        </is>
      </c>
      <c r="C24" s="3">
        <f>C9-C23</f>
        <v/>
      </c>
      <c r="D24" s="3">
        <f>D9-D23</f>
        <v/>
      </c>
      <c r="E24" s="3">
        <f>E9-E23</f>
        <v/>
      </c>
      <c r="F24" s="3">
        <f>F9-F23</f>
        <v/>
      </c>
      <c r="G24" s="3">
        <f>G9-G23</f>
        <v/>
      </c>
      <c r="H24" s="3">
        <f>H9-H23</f>
        <v/>
      </c>
      <c r="I24" s="3">
        <f>I9-I23</f>
        <v/>
      </c>
      <c r="J24" s="3">
        <f>J9-J23</f>
        <v/>
      </c>
      <c r="K24" s="3">
        <f>K9-K23</f>
        <v/>
      </c>
      <c r="L24" s="3">
        <f>L9-L23</f>
        <v/>
      </c>
      <c r="M24" s="3">
        <f>M9-M23</f>
        <v/>
      </c>
      <c r="N24" s="3">
        <f>N9-N23</f>
        <v/>
      </c>
      <c r="O24" s="3">
        <f>O9-O23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8" t="inlineStr">
        <is>
          <t>KPI Dashboard — FY 2026 (annual)</t>
        </is>
      </c>
    </row>
    <row r="3">
      <c r="A3" s="9" t="inlineStr">
        <is>
          <t>Total Revenue</t>
        </is>
      </c>
      <c r="B3" s="10">
        <f>'Income Statement'!O6</f>
        <v/>
      </c>
    </row>
    <row r="4">
      <c r="A4" s="9" t="inlineStr">
        <is>
          <t>Total Expenses</t>
        </is>
      </c>
      <c r="B4" s="10">
        <f>'Income Statement'!O19</f>
        <v/>
      </c>
    </row>
    <row r="5">
      <c r="A5" s="9" t="inlineStr">
        <is>
          <t>Net Income</t>
        </is>
      </c>
      <c r="B5" s="10">
        <f>'Income Statement'!O20</f>
        <v/>
      </c>
    </row>
    <row r="6">
      <c r="A6" s="9" t="inlineStr">
        <is>
          <t>Net Margin</t>
        </is>
      </c>
      <c r="B6" s="11">
        <f>B5/B3</f>
        <v/>
      </c>
    </row>
    <row r="7">
      <c r="A7" s="9" t="inlineStr">
        <is>
          <t>Current Assets</t>
        </is>
      </c>
      <c r="B7" s="10">
        <f>'Balance Sheet'!O3+'Balance Sheet'!O4+'Balance Sheet'!O5+'Balance Sheet'!O6</f>
        <v/>
      </c>
    </row>
    <row r="8">
      <c r="A8" s="9" t="inlineStr">
        <is>
          <t>Current Liabilities</t>
        </is>
      </c>
      <c r="B8" s="10">
        <f>'Balance Sheet'!O12+'Balance Sheet'!O13+'Balance Sheet'!O14+'Balance Sheet'!O16</f>
        <v/>
      </c>
    </row>
    <row r="9">
      <c r="A9" s="9" t="inlineStr">
        <is>
          <t>Current Ratio</t>
        </is>
      </c>
      <c r="B9" s="12">
        <f>B7/B8</f>
        <v/>
      </c>
    </row>
    <row r="10">
      <c r="A10" s="9" t="inlineStr">
        <is>
          <t>Total Debt</t>
        </is>
      </c>
      <c r="B10" s="10">
        <f>'Balance Sheet'!O14+'Balance Sheet'!O15</f>
        <v/>
      </c>
    </row>
    <row r="11">
      <c r="A11" s="9" t="inlineStr">
        <is>
          <t>Total Equity</t>
        </is>
      </c>
      <c r="B11" s="10">
        <f>'Balance Sheet'!O22</f>
        <v/>
      </c>
    </row>
    <row r="12">
      <c r="A12" s="9" t="inlineStr">
        <is>
          <t>Debt-to-Equity</t>
        </is>
      </c>
      <c r="B12" s="12">
        <f>B10/B11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Revenue</t>
        </is>
      </c>
      <c r="C1" s="1" t="inlineStr">
        <is>
          <t>Expenses</t>
        </is>
      </c>
      <c r="D1" s="1" t="inlineStr">
        <is>
          <t>Net Income</t>
        </is>
      </c>
    </row>
    <row r="2">
      <c r="A2" t="n">
        <v>1</v>
      </c>
      <c r="B2" s="3">
        <f>'Income Statement'!C6</f>
        <v/>
      </c>
      <c r="C2" s="3">
        <f>'Income Statement'!C19</f>
        <v/>
      </c>
      <c r="D2" s="3">
        <f>'Income Statement'!C20</f>
        <v/>
      </c>
    </row>
    <row r="3">
      <c r="A3" t="n">
        <v>2</v>
      </c>
      <c r="B3" s="3">
        <f>'Income Statement'!D6</f>
        <v/>
      </c>
      <c r="C3" s="3">
        <f>'Income Statement'!D19</f>
        <v/>
      </c>
      <c r="D3" s="3">
        <f>'Income Statement'!D20</f>
        <v/>
      </c>
    </row>
    <row r="4">
      <c r="A4" t="n">
        <v>3</v>
      </c>
      <c r="B4" s="3">
        <f>'Income Statement'!E6</f>
        <v/>
      </c>
      <c r="C4" s="3">
        <f>'Income Statement'!E19</f>
        <v/>
      </c>
      <c r="D4" s="3">
        <f>'Income Statement'!E20</f>
        <v/>
      </c>
    </row>
    <row r="5">
      <c r="A5" t="n">
        <v>4</v>
      </c>
      <c r="B5" s="3">
        <f>'Income Statement'!F6</f>
        <v/>
      </c>
      <c r="C5" s="3">
        <f>'Income Statement'!F19</f>
        <v/>
      </c>
      <c r="D5" s="3">
        <f>'Income Statement'!F20</f>
        <v/>
      </c>
    </row>
    <row r="6">
      <c r="A6" t="n">
        <v>5</v>
      </c>
      <c r="B6" s="3">
        <f>'Income Statement'!G6</f>
        <v/>
      </c>
      <c r="C6" s="3">
        <f>'Income Statement'!G19</f>
        <v/>
      </c>
      <c r="D6" s="3">
        <f>'Income Statement'!G20</f>
        <v/>
      </c>
    </row>
    <row r="7">
      <c r="A7" t="n">
        <v>6</v>
      </c>
      <c r="B7" s="3">
        <f>'Income Statement'!H6</f>
        <v/>
      </c>
      <c r="C7" s="3">
        <f>'Income Statement'!H19</f>
        <v/>
      </c>
      <c r="D7" s="3">
        <f>'Income Statement'!H20</f>
        <v/>
      </c>
    </row>
    <row r="8">
      <c r="A8" t="n">
        <v>7</v>
      </c>
      <c r="B8" s="3">
        <f>'Income Statement'!I6</f>
        <v/>
      </c>
      <c r="C8" s="3">
        <f>'Income Statement'!I19</f>
        <v/>
      </c>
      <c r="D8" s="3">
        <f>'Income Statement'!I20</f>
        <v/>
      </c>
    </row>
    <row r="9">
      <c r="A9" t="n">
        <v>8</v>
      </c>
      <c r="B9" s="3">
        <f>'Income Statement'!J6</f>
        <v/>
      </c>
      <c r="C9" s="3">
        <f>'Income Statement'!J19</f>
        <v/>
      </c>
      <c r="D9" s="3">
        <f>'Income Statement'!J20</f>
        <v/>
      </c>
    </row>
    <row r="10">
      <c r="A10" t="n">
        <v>9</v>
      </c>
      <c r="B10" s="3">
        <f>'Income Statement'!K6</f>
        <v/>
      </c>
      <c r="C10" s="3">
        <f>'Income Statement'!K19</f>
        <v/>
      </c>
      <c r="D10" s="3">
        <f>'Income Statement'!K20</f>
        <v/>
      </c>
    </row>
    <row r="11">
      <c r="A11" t="n">
        <v>10</v>
      </c>
      <c r="B11" s="3">
        <f>'Income Statement'!L6</f>
        <v/>
      </c>
      <c r="C11" s="3">
        <f>'Income Statement'!L19</f>
        <v/>
      </c>
      <c r="D11" s="3">
        <f>'Income Statement'!L20</f>
        <v/>
      </c>
    </row>
    <row r="12">
      <c r="A12" t="n">
        <v>11</v>
      </c>
      <c r="B12" s="3">
        <f>'Income Statement'!M6</f>
        <v/>
      </c>
      <c r="C12" s="3">
        <f>'Income Statement'!M19</f>
        <v/>
      </c>
      <c r="D12" s="3">
        <f>'Income Statement'!M20</f>
        <v/>
      </c>
    </row>
    <row r="13">
      <c r="A13" t="n">
        <v>12</v>
      </c>
      <c r="B13" s="3">
        <f>'Income Statement'!N6</f>
        <v/>
      </c>
      <c r="C13" s="3">
        <f>'Income Statement'!N19</f>
        <v/>
      </c>
      <c r="D13" s="3">
        <f>'Income Statement'!N20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2026-10-08T02:28:44+00:00Z</dcterms:created>
  <dcterms:modified xmlns:dcterms="http://purl.org/dc/terms/" xmlns:xsi="http://www.w3.org/2001/XMLSchema-instance" xsi:type="dcterms:W3CDTF">2026-10-08T02:28:44+00:00Z</dcterms:modified>
</cp:coreProperties>
</file>