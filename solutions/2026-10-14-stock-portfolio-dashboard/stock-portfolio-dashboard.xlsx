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Prices" sheetId="3" state="visible" r:id="rId3"/>
    <sheet xmlns:r="http://schemas.openxmlformats.org/officeDocument/2006/relationships" name="Weekly" sheetId="4" state="visible" r:id="rId4"/>
    <sheet xmlns:r="http://schemas.openxmlformats.org/officeDocument/2006/relationships" name="Sector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AI_Report" sheetId="7" state="visible" r:id="rId7"/>
    <sheet xmlns:r="http://schemas.openxmlformats.org/officeDocument/2006/relationships" name="Checks" sheetId="8" state="visible" r:id="rId8"/>
  </sheets>
  <definedNames>
    <definedName name="_xlnm._FilterDatabase" localSheetId="1" hidden="1">'Holdings'!$A$1:$K$31</definedName>
    <definedName name="_xlnm._FilterDatabase" localSheetId="2" hidden="1">'Prices'!$A$1:$AJ$1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.00"/>
    <numFmt numFmtId="165" formatCode="0.0%"/>
    <numFmt numFmtId="166" formatCode="&quot;₹&quot;#,##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  <font>
      <b val="1"/>
      <color rgb="001F4E79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0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ont>
        <color rgb="009C0006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Value — 33 Weeks</a:t>
            </a:r>
          </a:p>
        </rich>
      </tx>
    </title>
    <plotArea>
      <lineChart>
        <grouping val="standard"/>
        <ser>
          <idx val="0"/>
          <order val="0"/>
          <tx>
            <strRef>
              <f>'Weekly'!C1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'Weekly'!$A$2:$A$34</f>
            </numRef>
          </cat>
          <val>
            <numRef>
              <f>'Weekly'!$C$2:$C$34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Allocation</a:t>
            </a:r>
          </a:p>
        </rich>
      </tx>
    </title>
    <plotArea>
      <pieChart>
        <varyColors val="1"/>
        <ser>
          <idx val="0"/>
          <order val="0"/>
          <tx>
            <strRef>
              <f>'Sector'!G1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'Sector'!$A$2:$A$10</f>
            </numRef>
          </cat>
          <val>
            <numRef>
              <f>'Sector'!$G$2:$G$10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P&amp;L % by Holding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'Holdings'!J1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'Holdings'!$A$2:$A$31</f>
            </numRef>
          </cat>
          <val>
            <numRef>
              <f>'Holdings'!$J$2:$J$31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18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34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StockPulse — AI-Enabled Stock Portfolio Dashboard (DEMO)</t>
        </is>
      </c>
    </row>
    <row r="3">
      <c r="A3" s="2" t="inlineStr">
        <is>
          <t>What this is</t>
        </is>
      </c>
    </row>
    <row r="4" ht="45" customHeight="1">
      <c r="A4" s="3" t="inlineStr">
        <is>
          <t>A working demo of an AI-enabled Excel stock dashboard for a 30-stock Indian portfolio: live-formula holdings ledger, 33 weekly closes, weekly portfolio rollup, sector view, KPI dashboard with 3 native charts, a rule-based weekly AI report, and integrity checks.</t>
        </is>
      </c>
    </row>
    <row r="5">
      <c r="A5" s="2" t="inlineStr">
        <is>
          <t>Data</t>
        </is>
      </c>
    </row>
    <row r="6" ht="45" customHeight="1">
      <c r="A6" s="3" t="inlineStr">
        <is>
          <t>All data is FICTIONAL, generated from a fixed seed (data/*.csv). Nothing here is market data. Replace Prices with your real weekly closes and Holdings with your real qty/avg cost to go live.</t>
        </is>
      </c>
    </row>
    <row r="7">
      <c r="A7" s="2" t="inlineStr">
        <is>
          <t>Refresh</t>
        </is>
      </c>
    </row>
    <row r="8" ht="45" customHeight="1">
      <c r="A8" s="3" t="inlineStr">
        <is>
          <t>1) Paste new weekly closes into the next column on Prices. 2) Update the Last-Price column refs (F on Holdings) to the new column. 3) Add a week row on Weekly. Everything else recalculates.</t>
        </is>
      </c>
    </row>
    <row r="9">
      <c r="A9" s="2" t="inlineStr">
        <is>
          <t>Weekly AI report</t>
        </is>
      </c>
    </row>
    <row r="10" ht="45" customHeight="1">
      <c r="A10" s="3" t="inlineStr">
        <is>
          <t>AI_Report is written by a rule-based generator (build_workbook.py) at build time from the workbook's own numbers: movers, allocation drift, benchmark comparison, watchlist. In production this step is a scheduled LLM call over the same KPI block.</t>
        </is>
      </c>
    </row>
    <row r="11">
      <c r="A11" s="2" t="inlineStr">
        <is>
          <t>Integrity</t>
        </is>
      </c>
    </row>
    <row r="12" ht="45" customHeight="1">
      <c r="A12" s="3" t="inlineStr">
        <is>
          <t>The Checks sheet re-verifies every headline number. If any check is FALSE, do not trust the dashboard.</t>
        </is>
      </c>
    </row>
  </sheetData>
  <mergeCells count="5">
    <mergeCell ref="A12:H12"/>
    <mergeCell ref="A4:H4"/>
    <mergeCell ref="A10:H10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9" customWidth="1" min="10" max="10"/>
    <col width="12" customWidth="1" min="11" max="11"/>
  </cols>
  <sheetData>
    <row r="1">
      <c r="A1" s="4" t="inlineStr">
        <is>
          <t>Ticker</t>
        </is>
      </c>
      <c r="B1" s="4" t="inlineStr">
        <is>
          <t>Company</t>
        </is>
      </c>
      <c r="C1" s="4" t="inlineStr">
        <is>
          <t>Sector</t>
        </is>
      </c>
      <c r="D1" s="4" t="inlineStr">
        <is>
          <t>Qty</t>
        </is>
      </c>
      <c r="E1" s="4" t="inlineStr">
        <is>
          <t>Avg Cost</t>
        </is>
      </c>
      <c r="F1" s="4" t="inlineStr">
        <is>
          <t>Last Price</t>
        </is>
      </c>
      <c r="G1" s="4" t="inlineStr">
        <is>
          <t>Invested</t>
        </is>
      </c>
      <c r="H1" s="4" t="inlineStr">
        <is>
          <t>Market Value</t>
        </is>
      </c>
      <c r="I1" s="4" t="inlineStr">
        <is>
          <t>P&amp;L</t>
        </is>
      </c>
      <c r="J1" s="4" t="inlineStr">
        <is>
          <t>P&amp;L %</t>
        </is>
      </c>
      <c r="K1" s="4" t="inlineStr">
        <is>
          <t>Allocation %</t>
        </is>
      </c>
    </row>
    <row r="2">
      <c r="A2" t="inlineStr">
        <is>
          <t>HDFCBANK</t>
        </is>
      </c>
      <c r="B2" t="inlineStr">
        <is>
          <t>HDFC Bank Ltd</t>
        </is>
      </c>
      <c r="C2" t="inlineStr">
        <is>
          <t>Banking</t>
        </is>
      </c>
      <c r="D2" t="n">
        <v>111</v>
      </c>
      <c r="E2" s="5" t="n">
        <v>1632.64</v>
      </c>
      <c r="F2" s="5">
        <f>INDEX(Prices!$AH$2:$AH$31,MATCH(A2,Prices!$A$2:$A$31,0))</f>
        <v/>
      </c>
      <c r="G2" s="5">
        <f>D2*E2</f>
        <v/>
      </c>
      <c r="H2" s="5">
        <f>D2*F2</f>
        <v/>
      </c>
      <c r="I2" s="5">
        <f>H2-G2</f>
        <v/>
      </c>
      <c r="J2" s="6">
        <f>IF(G2=0,0,I2/G2)</f>
        <v/>
      </c>
      <c r="K2" s="6">
        <f>IF($H$32=0,0,H2/$H$32)</f>
        <v/>
      </c>
    </row>
    <row r="3">
      <c r="A3" t="inlineStr">
        <is>
          <t>ICICIBANK</t>
        </is>
      </c>
      <c r="B3" t="inlineStr">
        <is>
          <t>ICICI Bank Ltd</t>
        </is>
      </c>
      <c r="C3" t="inlineStr">
        <is>
          <t>Banking</t>
        </is>
      </c>
      <c r="D3" t="n">
        <v>26</v>
      </c>
      <c r="E3" s="5" t="n">
        <v>1045.03</v>
      </c>
      <c r="F3" s="5">
        <f>INDEX(Prices!$AH$2:$AH$31,MATCH(A3,Prices!$A$2:$A$31,0))</f>
        <v/>
      </c>
      <c r="G3" s="5">
        <f>D3*E3</f>
        <v/>
      </c>
      <c r="H3" s="5">
        <f>D3*F3</f>
        <v/>
      </c>
      <c r="I3" s="5">
        <f>H3-G3</f>
        <v/>
      </c>
      <c r="J3" s="6">
        <f>IF(G3=0,0,I3/G3)</f>
        <v/>
      </c>
      <c r="K3" s="6">
        <f>IF($H$32=0,0,H3/$H$32)</f>
        <v/>
      </c>
    </row>
    <row r="4">
      <c r="A4" t="inlineStr">
        <is>
          <t>SBIN</t>
        </is>
      </c>
      <c r="B4" t="inlineStr">
        <is>
          <t>State Bank of India</t>
        </is>
      </c>
      <c r="C4" t="inlineStr">
        <is>
          <t>Banking</t>
        </is>
      </c>
      <c r="D4" t="n">
        <v>43</v>
      </c>
      <c r="E4" s="5" t="n">
        <v>886.8</v>
      </c>
      <c r="F4" s="5">
        <f>INDEX(Prices!$AH$2:$AH$31,MATCH(A4,Prices!$A$2:$A$31,0))</f>
        <v/>
      </c>
      <c r="G4" s="5">
        <f>D4*E4</f>
        <v/>
      </c>
      <c r="H4" s="5">
        <f>D4*F4</f>
        <v/>
      </c>
      <c r="I4" s="5">
        <f>H4-G4</f>
        <v/>
      </c>
      <c r="J4" s="6">
        <f>IF(G4=0,0,I4/G4)</f>
        <v/>
      </c>
      <c r="K4" s="6">
        <f>IF($H$32=0,0,H4/$H$32)</f>
        <v/>
      </c>
    </row>
    <row r="5">
      <c r="A5" t="inlineStr">
        <is>
          <t>KOTAKBANK</t>
        </is>
      </c>
      <c r="B5" t="inlineStr">
        <is>
          <t>Kotak Mahindra Bank</t>
        </is>
      </c>
      <c r="C5" t="inlineStr">
        <is>
          <t>Banking</t>
        </is>
      </c>
      <c r="D5" t="n">
        <v>189</v>
      </c>
      <c r="E5" s="5" t="n">
        <v>1849.15</v>
      </c>
      <c r="F5" s="5">
        <f>INDEX(Prices!$AH$2:$AH$31,MATCH(A5,Prices!$A$2:$A$31,0))</f>
        <v/>
      </c>
      <c r="G5" s="5">
        <f>D5*E5</f>
        <v/>
      </c>
      <c r="H5" s="5">
        <f>D5*F5</f>
        <v/>
      </c>
      <c r="I5" s="5">
        <f>H5-G5</f>
        <v/>
      </c>
      <c r="J5" s="6">
        <f>IF(G5=0,0,I5/G5)</f>
        <v/>
      </c>
      <c r="K5" s="6">
        <f>IF($H$32=0,0,H5/$H$32)</f>
        <v/>
      </c>
    </row>
    <row r="6">
      <c r="A6" t="inlineStr">
        <is>
          <t>AXISBANK</t>
        </is>
      </c>
      <c r="B6" t="inlineStr">
        <is>
          <t>Axis Bank Ltd</t>
        </is>
      </c>
      <c r="C6" t="inlineStr">
        <is>
          <t>Banking</t>
        </is>
      </c>
      <c r="D6" t="n">
        <v>101</v>
      </c>
      <c r="E6" s="5" t="n">
        <v>1160.05</v>
      </c>
      <c r="F6" s="5">
        <f>INDEX(Prices!$AH$2:$AH$31,MATCH(A6,Prices!$A$2:$A$31,0))</f>
        <v/>
      </c>
      <c r="G6" s="5">
        <f>D6*E6</f>
        <v/>
      </c>
      <c r="H6" s="5">
        <f>D6*F6</f>
        <v/>
      </c>
      <c r="I6" s="5">
        <f>H6-G6</f>
        <v/>
      </c>
      <c r="J6" s="6">
        <f>IF(G6=0,0,I6/G6)</f>
        <v/>
      </c>
      <c r="K6" s="6">
        <f>IF($H$32=0,0,H6/$H$32)</f>
        <v/>
      </c>
    </row>
    <row r="7">
      <c r="A7" t="inlineStr">
        <is>
          <t>INFY</t>
        </is>
      </c>
      <c r="B7" t="inlineStr">
        <is>
          <t>Infosys Ltd</t>
        </is>
      </c>
      <c r="C7" t="inlineStr">
        <is>
          <t>IT</t>
        </is>
      </c>
      <c r="D7" t="n">
        <v>189</v>
      </c>
      <c r="E7" s="5" t="n">
        <v>1783.51</v>
      </c>
      <c r="F7" s="5">
        <f>INDEX(Prices!$AH$2:$AH$31,MATCH(A7,Prices!$A$2:$A$31,0))</f>
        <v/>
      </c>
      <c r="G7" s="5">
        <f>D7*E7</f>
        <v/>
      </c>
      <c r="H7" s="5">
        <f>D7*F7</f>
        <v/>
      </c>
      <c r="I7" s="5">
        <f>H7-G7</f>
        <v/>
      </c>
      <c r="J7" s="6">
        <f>IF(G7=0,0,I7/G7)</f>
        <v/>
      </c>
      <c r="K7" s="6">
        <f>IF($H$32=0,0,H7/$H$32)</f>
        <v/>
      </c>
    </row>
    <row r="8">
      <c r="A8" t="inlineStr">
        <is>
          <t>TCS</t>
        </is>
      </c>
      <c r="B8" t="inlineStr">
        <is>
          <t>Tata Consultancy Services</t>
        </is>
      </c>
      <c r="C8" t="inlineStr">
        <is>
          <t>IT</t>
        </is>
      </c>
      <c r="D8" t="n">
        <v>19</v>
      </c>
      <c r="E8" s="5" t="n">
        <v>3634.09</v>
      </c>
      <c r="F8" s="5">
        <f>INDEX(Prices!$AH$2:$AH$31,MATCH(A8,Prices!$A$2:$A$31,0))</f>
        <v/>
      </c>
      <c r="G8" s="5">
        <f>D8*E8</f>
        <v/>
      </c>
      <c r="H8" s="5">
        <f>D8*F8</f>
        <v/>
      </c>
      <c r="I8" s="5">
        <f>H8-G8</f>
        <v/>
      </c>
      <c r="J8" s="6">
        <f>IF(G8=0,0,I8/G8)</f>
        <v/>
      </c>
      <c r="K8" s="6">
        <f>IF($H$32=0,0,H8/$H$32)</f>
        <v/>
      </c>
    </row>
    <row r="9">
      <c r="A9" t="inlineStr">
        <is>
          <t>HCLTECH</t>
        </is>
      </c>
      <c r="B9" t="inlineStr">
        <is>
          <t>HCL Technologies Ltd</t>
        </is>
      </c>
      <c r="C9" t="inlineStr">
        <is>
          <t>IT</t>
        </is>
      </c>
      <c r="D9" t="n">
        <v>215</v>
      </c>
      <c r="E9" s="5" t="n">
        <v>1667.11</v>
      </c>
      <c r="F9" s="5">
        <f>INDEX(Prices!$AH$2:$AH$31,MATCH(A9,Prices!$A$2:$A$31,0))</f>
        <v/>
      </c>
      <c r="G9" s="5">
        <f>D9*E9</f>
        <v/>
      </c>
      <c r="H9" s="5">
        <f>D9*F9</f>
        <v/>
      </c>
      <c r="I9" s="5">
        <f>H9-G9</f>
        <v/>
      </c>
      <c r="J9" s="6">
        <f>IF(G9=0,0,I9/G9)</f>
        <v/>
      </c>
      <c r="K9" s="6">
        <f>IF($H$32=0,0,H9/$H$32)</f>
        <v/>
      </c>
    </row>
    <row r="10">
      <c r="A10" t="inlineStr">
        <is>
          <t>TECHM</t>
        </is>
      </c>
      <c r="B10" t="inlineStr">
        <is>
          <t>Tech Mahindra Ltd</t>
        </is>
      </c>
      <c r="C10" t="inlineStr">
        <is>
          <t>IT</t>
        </is>
      </c>
      <c r="D10" t="n">
        <v>213</v>
      </c>
      <c r="E10" s="5" t="n">
        <v>1486.17</v>
      </c>
      <c r="F10" s="5">
        <f>INDEX(Prices!$AH$2:$AH$31,MATCH(A10,Prices!$A$2:$A$31,0))</f>
        <v/>
      </c>
      <c r="G10" s="5">
        <f>D10*E10</f>
        <v/>
      </c>
      <c r="H10" s="5">
        <f>D10*F10</f>
        <v/>
      </c>
      <c r="I10" s="5">
        <f>H10-G10</f>
        <v/>
      </c>
      <c r="J10" s="6">
        <f>IF(G10=0,0,I10/G10)</f>
        <v/>
      </c>
      <c r="K10" s="6">
        <f>IF($H$32=0,0,H10/$H$32)</f>
        <v/>
      </c>
    </row>
    <row r="11">
      <c r="A11" t="inlineStr">
        <is>
          <t>WIPRO</t>
        </is>
      </c>
      <c r="B11" t="inlineStr">
        <is>
          <t>Wipro Ltd</t>
        </is>
      </c>
      <c r="C11" t="inlineStr">
        <is>
          <t>IT</t>
        </is>
      </c>
      <c r="D11" t="n">
        <v>50</v>
      </c>
      <c r="E11" s="5" t="n">
        <v>562.25</v>
      </c>
      <c r="F11" s="5">
        <f>INDEX(Prices!$AH$2:$AH$31,MATCH(A11,Prices!$A$2:$A$31,0))</f>
        <v/>
      </c>
      <c r="G11" s="5">
        <f>D11*E11</f>
        <v/>
      </c>
      <c r="H11" s="5">
        <f>D11*F11</f>
        <v/>
      </c>
      <c r="I11" s="5">
        <f>H11-G11</f>
        <v/>
      </c>
      <c r="J11" s="6">
        <f>IF(G11=0,0,I11/G11)</f>
        <v/>
      </c>
      <c r="K11" s="6">
        <f>IF($H$32=0,0,H11/$H$32)</f>
        <v/>
      </c>
    </row>
    <row r="12">
      <c r="A12" t="inlineStr">
        <is>
          <t>RELIANCE</t>
        </is>
      </c>
      <c r="B12" t="inlineStr">
        <is>
          <t>Reliance Industries Ltd</t>
        </is>
      </c>
      <c r="C12" t="inlineStr">
        <is>
          <t>Energy</t>
        </is>
      </c>
      <c r="D12" t="n">
        <v>66</v>
      </c>
      <c r="E12" s="5" t="n">
        <v>2639.49</v>
      </c>
      <c r="F12" s="5">
        <f>INDEX(Prices!$AH$2:$AH$31,MATCH(A12,Prices!$A$2:$A$31,0))</f>
        <v/>
      </c>
      <c r="G12" s="5">
        <f>D12*E12</f>
        <v/>
      </c>
      <c r="H12" s="5">
        <f>D12*F12</f>
        <v/>
      </c>
      <c r="I12" s="5">
        <f>H12-G12</f>
        <v/>
      </c>
      <c r="J12" s="6">
        <f>IF(G12=0,0,I12/G12)</f>
        <v/>
      </c>
      <c r="K12" s="6">
        <f>IF($H$32=0,0,H12/$H$32)</f>
        <v/>
      </c>
    </row>
    <row r="13">
      <c r="A13" t="inlineStr">
        <is>
          <t>ONGC</t>
        </is>
      </c>
      <c r="B13" t="inlineStr">
        <is>
          <t>Oil &amp; Natural Gas Corp</t>
        </is>
      </c>
      <c r="C13" t="inlineStr">
        <is>
          <t>Energy</t>
        </is>
      </c>
      <c r="D13" t="n">
        <v>146</v>
      </c>
      <c r="E13" s="5" t="n">
        <v>242.75</v>
      </c>
      <c r="F13" s="5">
        <f>INDEX(Prices!$AH$2:$AH$31,MATCH(A13,Prices!$A$2:$A$31,0))</f>
        <v/>
      </c>
      <c r="G13" s="5">
        <f>D13*E13</f>
        <v/>
      </c>
      <c r="H13" s="5">
        <f>D13*F13</f>
        <v/>
      </c>
      <c r="I13" s="5">
        <f>H13-G13</f>
        <v/>
      </c>
      <c r="J13" s="6">
        <f>IF(G13=0,0,I13/G13)</f>
        <v/>
      </c>
      <c r="K13" s="6">
        <f>IF($H$32=0,0,H13/$H$32)</f>
        <v/>
      </c>
    </row>
    <row r="14">
      <c r="A14" t="inlineStr">
        <is>
          <t>NTPC</t>
        </is>
      </c>
      <c r="B14" t="inlineStr">
        <is>
          <t>NTPC Ltd</t>
        </is>
      </c>
      <c r="C14" t="inlineStr">
        <is>
          <t>Energy</t>
        </is>
      </c>
      <c r="D14" t="n">
        <v>140</v>
      </c>
      <c r="E14" s="5" t="n">
        <v>380.43</v>
      </c>
      <c r="F14" s="5">
        <f>INDEX(Prices!$AH$2:$AH$31,MATCH(A14,Prices!$A$2:$A$31,0))</f>
        <v/>
      </c>
      <c r="G14" s="5">
        <f>D14*E14</f>
        <v/>
      </c>
      <c r="H14" s="5">
        <f>D14*F14</f>
        <v/>
      </c>
      <c r="I14" s="5">
        <f>H14-G14</f>
        <v/>
      </c>
      <c r="J14" s="6">
        <f>IF(G14=0,0,I14/G14)</f>
        <v/>
      </c>
      <c r="K14" s="6">
        <f>IF($H$32=0,0,H14/$H$32)</f>
        <v/>
      </c>
    </row>
    <row r="15">
      <c r="A15" t="inlineStr">
        <is>
          <t>POWERGRID</t>
        </is>
      </c>
      <c r="B15" t="inlineStr">
        <is>
          <t>Power Grid Corp</t>
        </is>
      </c>
      <c r="C15" t="inlineStr">
        <is>
          <t>Energy</t>
        </is>
      </c>
      <c r="D15" t="n">
        <v>38</v>
      </c>
      <c r="E15" s="5" t="n">
        <v>306.24</v>
      </c>
      <c r="F15" s="5">
        <f>INDEX(Prices!$AH$2:$AH$31,MATCH(A15,Prices!$A$2:$A$31,0))</f>
        <v/>
      </c>
      <c r="G15" s="5">
        <f>D15*E15</f>
        <v/>
      </c>
      <c r="H15" s="5">
        <f>D15*F15</f>
        <v/>
      </c>
      <c r="I15" s="5">
        <f>H15-G15</f>
        <v/>
      </c>
      <c r="J15" s="6">
        <f>IF(G15=0,0,I15/G15)</f>
        <v/>
      </c>
      <c r="K15" s="6">
        <f>IF($H$32=0,0,H15/$H$32)</f>
        <v/>
      </c>
    </row>
    <row r="16">
      <c r="A16" t="inlineStr">
        <is>
          <t>MARUTI</t>
        </is>
      </c>
      <c r="B16" t="inlineStr">
        <is>
          <t>Maruti Suzuki India Ltd</t>
        </is>
      </c>
      <c r="C16" t="inlineStr">
        <is>
          <t>Auto</t>
        </is>
      </c>
      <c r="D16" t="n">
        <v>36</v>
      </c>
      <c r="E16" s="5" t="n">
        <v>10877.75</v>
      </c>
      <c r="F16" s="5">
        <f>INDEX(Prices!$AH$2:$AH$31,MATCH(A16,Prices!$A$2:$A$31,0))</f>
        <v/>
      </c>
      <c r="G16" s="5">
        <f>D16*E16</f>
        <v/>
      </c>
      <c r="H16" s="5">
        <f>D16*F16</f>
        <v/>
      </c>
      <c r="I16" s="5">
        <f>H16-G16</f>
        <v/>
      </c>
      <c r="J16" s="6">
        <f>IF(G16=0,0,I16/G16)</f>
        <v/>
      </c>
      <c r="K16" s="6">
        <f>IF($H$32=0,0,H16/$H$32)</f>
        <v/>
      </c>
    </row>
    <row r="17">
      <c r="A17" t="inlineStr">
        <is>
          <t>TATAMOTORS</t>
        </is>
      </c>
      <c r="B17" t="inlineStr">
        <is>
          <t>Tata Motors Ltd</t>
        </is>
      </c>
      <c r="C17" t="inlineStr">
        <is>
          <t>Auto</t>
        </is>
      </c>
      <c r="D17" t="n">
        <v>70</v>
      </c>
      <c r="E17" s="5" t="n">
        <v>918.72</v>
      </c>
      <c r="F17" s="5">
        <f>INDEX(Prices!$AH$2:$AH$31,MATCH(A17,Prices!$A$2:$A$31,0))</f>
        <v/>
      </c>
      <c r="G17" s="5">
        <f>D17*E17</f>
        <v/>
      </c>
      <c r="H17" s="5">
        <f>D17*F17</f>
        <v/>
      </c>
      <c r="I17" s="5">
        <f>H17-G17</f>
        <v/>
      </c>
      <c r="J17" s="6">
        <f>IF(G17=0,0,I17/G17)</f>
        <v/>
      </c>
      <c r="K17" s="6">
        <f>IF($H$32=0,0,H17/$H$32)</f>
        <v/>
      </c>
    </row>
    <row r="18">
      <c r="A18" t="inlineStr">
        <is>
          <t>M&amp;M</t>
        </is>
      </c>
      <c r="B18" t="inlineStr">
        <is>
          <t>Mahindra &amp; Mahindra Ltd</t>
        </is>
      </c>
      <c r="C18" t="inlineStr">
        <is>
          <t>Auto</t>
        </is>
      </c>
      <c r="D18" t="n">
        <v>13</v>
      </c>
      <c r="E18" s="5" t="n">
        <v>3115.68</v>
      </c>
      <c r="F18" s="5">
        <f>INDEX(Prices!$AH$2:$AH$31,MATCH(A18,Prices!$A$2:$A$31,0))</f>
        <v/>
      </c>
      <c r="G18" s="5">
        <f>D18*E18</f>
        <v/>
      </c>
      <c r="H18" s="5">
        <f>D18*F18</f>
        <v/>
      </c>
      <c r="I18" s="5">
        <f>H18-G18</f>
        <v/>
      </c>
      <c r="J18" s="6">
        <f>IF(G18=0,0,I18/G18)</f>
        <v/>
      </c>
      <c r="K18" s="6">
        <f>IF($H$32=0,0,H18/$H$32)</f>
        <v/>
      </c>
    </row>
    <row r="19">
      <c r="A19" t="inlineStr">
        <is>
          <t>HEROMOTOCO</t>
        </is>
      </c>
      <c r="B19" t="inlineStr">
        <is>
          <t>Hero MotoCorp Ltd</t>
        </is>
      </c>
      <c r="C19" t="inlineStr">
        <is>
          <t>Auto</t>
        </is>
      </c>
      <c r="D19" t="n">
        <v>26</v>
      </c>
      <c r="E19" s="5" t="n">
        <v>4874.28</v>
      </c>
      <c r="F19" s="5">
        <f>INDEX(Prices!$AH$2:$AH$31,MATCH(A19,Prices!$A$2:$A$31,0))</f>
        <v/>
      </c>
      <c r="G19" s="5">
        <f>D19*E19</f>
        <v/>
      </c>
      <c r="H19" s="5">
        <f>D19*F19</f>
        <v/>
      </c>
      <c r="I19" s="5">
        <f>H19-G19</f>
        <v/>
      </c>
      <c r="J19" s="6">
        <f>IF(G19=0,0,I19/G19)</f>
        <v/>
      </c>
      <c r="K19" s="6">
        <f>IF($H$32=0,0,H19/$H$32)</f>
        <v/>
      </c>
    </row>
    <row r="20">
      <c r="A20" t="inlineStr">
        <is>
          <t>HINDUNILVR</t>
        </is>
      </c>
      <c r="B20" t="inlineStr">
        <is>
          <t>Hindustan Unilever Ltd</t>
        </is>
      </c>
      <c r="C20" t="inlineStr">
        <is>
          <t>FMCG</t>
        </is>
      </c>
      <c r="D20" t="n">
        <v>91</v>
      </c>
      <c r="E20" s="5" t="n">
        <v>2849.12</v>
      </c>
      <c r="F20" s="5">
        <f>INDEX(Prices!$AH$2:$AH$31,MATCH(A20,Prices!$A$2:$A$31,0))</f>
        <v/>
      </c>
      <c r="G20" s="5">
        <f>D20*E20</f>
        <v/>
      </c>
      <c r="H20" s="5">
        <f>D20*F20</f>
        <v/>
      </c>
      <c r="I20" s="5">
        <f>H20-G20</f>
        <v/>
      </c>
      <c r="J20" s="6">
        <f>IF(G20=0,0,I20/G20)</f>
        <v/>
      </c>
      <c r="K20" s="6">
        <f>IF($H$32=0,0,H20/$H$32)</f>
        <v/>
      </c>
    </row>
    <row r="21">
      <c r="A21" t="inlineStr">
        <is>
          <t>ITC</t>
        </is>
      </c>
      <c r="B21" t="inlineStr">
        <is>
          <t>ITC Ltd</t>
        </is>
      </c>
      <c r="C21" t="inlineStr">
        <is>
          <t>FMCG</t>
        </is>
      </c>
      <c r="D21" t="n">
        <v>198</v>
      </c>
      <c r="E21" s="5" t="n">
        <v>480.89</v>
      </c>
      <c r="F21" s="5">
        <f>INDEX(Prices!$AH$2:$AH$31,MATCH(A21,Prices!$A$2:$A$31,0))</f>
        <v/>
      </c>
      <c r="G21" s="5">
        <f>D21*E21</f>
        <v/>
      </c>
      <c r="H21" s="5">
        <f>D21*F21</f>
        <v/>
      </c>
      <c r="I21" s="5">
        <f>H21-G21</f>
        <v/>
      </c>
      <c r="J21" s="6">
        <f>IF(G21=0,0,I21/G21)</f>
        <v/>
      </c>
      <c r="K21" s="6">
        <f>IF($H$32=0,0,H21/$H$32)</f>
        <v/>
      </c>
    </row>
    <row r="22">
      <c r="A22" t="inlineStr">
        <is>
          <t>NESTLEIND</t>
        </is>
      </c>
      <c r="B22" t="inlineStr">
        <is>
          <t>Nestle India Ltd</t>
        </is>
      </c>
      <c r="C22" t="inlineStr">
        <is>
          <t>FMCG</t>
        </is>
      </c>
      <c r="D22" t="n">
        <v>178</v>
      </c>
      <c r="E22" s="5" t="n">
        <v>2581.88</v>
      </c>
      <c r="F22" s="5">
        <f>INDEX(Prices!$AH$2:$AH$31,MATCH(A22,Prices!$A$2:$A$31,0))</f>
        <v/>
      </c>
      <c r="G22" s="5">
        <f>D22*E22</f>
        <v/>
      </c>
      <c r="H22" s="5">
        <f>D22*F22</f>
        <v/>
      </c>
      <c r="I22" s="5">
        <f>H22-G22</f>
        <v/>
      </c>
      <c r="J22" s="6">
        <f>IF(G22=0,0,I22/G22)</f>
        <v/>
      </c>
      <c r="K22" s="6">
        <f>IF($H$32=0,0,H22/$H$32)</f>
        <v/>
      </c>
    </row>
    <row r="23">
      <c r="A23" t="inlineStr">
        <is>
          <t>DABUR</t>
        </is>
      </c>
      <c r="B23" t="inlineStr">
        <is>
          <t>Dabur India Ltd</t>
        </is>
      </c>
      <c r="C23" t="inlineStr">
        <is>
          <t>FMCG</t>
        </is>
      </c>
      <c r="D23" t="n">
        <v>41</v>
      </c>
      <c r="E23" s="5" t="n">
        <v>596.0599999999999</v>
      </c>
      <c r="F23" s="5">
        <f>INDEX(Prices!$AH$2:$AH$31,MATCH(A23,Prices!$A$2:$A$31,0))</f>
        <v/>
      </c>
      <c r="G23" s="5">
        <f>D23*E23</f>
        <v/>
      </c>
      <c r="H23" s="5">
        <f>D23*F23</f>
        <v/>
      </c>
      <c r="I23" s="5">
        <f>H23-G23</f>
        <v/>
      </c>
      <c r="J23" s="6">
        <f>IF(G23=0,0,I23/G23)</f>
        <v/>
      </c>
      <c r="K23" s="6">
        <f>IF($H$32=0,0,H23/$H$32)</f>
        <v/>
      </c>
    </row>
    <row r="24">
      <c r="A24" t="inlineStr">
        <is>
          <t>SUNPHARMA</t>
        </is>
      </c>
      <c r="B24" t="inlineStr">
        <is>
          <t>Sun Pharmaceutical Ind</t>
        </is>
      </c>
      <c r="C24" t="inlineStr">
        <is>
          <t>Pharma</t>
        </is>
      </c>
      <c r="D24" t="n">
        <v>27</v>
      </c>
      <c r="E24" s="5" t="n">
        <v>1782.24</v>
      </c>
      <c r="F24" s="5">
        <f>INDEX(Prices!$AH$2:$AH$31,MATCH(A24,Prices!$A$2:$A$31,0))</f>
        <v/>
      </c>
      <c r="G24" s="5">
        <f>D24*E24</f>
        <v/>
      </c>
      <c r="H24" s="5">
        <f>D24*F24</f>
        <v/>
      </c>
      <c r="I24" s="5">
        <f>H24-G24</f>
        <v/>
      </c>
      <c r="J24" s="6">
        <f>IF(G24=0,0,I24/G24)</f>
        <v/>
      </c>
      <c r="K24" s="6">
        <f>IF($H$32=0,0,H24/$H$32)</f>
        <v/>
      </c>
    </row>
    <row r="25">
      <c r="A25" t="inlineStr">
        <is>
          <t>DRREDDY</t>
        </is>
      </c>
      <c r="B25" t="inlineStr">
        <is>
          <t>Dr Reddy's Laboratories</t>
        </is>
      </c>
      <c r="C25" t="inlineStr">
        <is>
          <t>Pharma</t>
        </is>
      </c>
      <c r="D25" t="n">
        <v>101</v>
      </c>
      <c r="E25" s="5" t="n">
        <v>1145.01</v>
      </c>
      <c r="F25" s="5">
        <f>INDEX(Prices!$AH$2:$AH$31,MATCH(A25,Prices!$A$2:$A$31,0))</f>
        <v/>
      </c>
      <c r="G25" s="5">
        <f>D25*E25</f>
        <v/>
      </c>
      <c r="H25" s="5">
        <f>D25*F25</f>
        <v/>
      </c>
      <c r="I25" s="5">
        <f>H25-G25</f>
        <v/>
      </c>
      <c r="J25" s="6">
        <f>IF(G25=0,0,I25/G25)</f>
        <v/>
      </c>
      <c r="K25" s="6">
        <f>IF($H$32=0,0,H25/$H$32)</f>
        <v/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Pharma</t>
        </is>
      </c>
      <c r="D26" t="n">
        <v>33</v>
      </c>
      <c r="E26" s="5" t="n">
        <v>1376.7</v>
      </c>
      <c r="F26" s="5">
        <f>INDEX(Prices!$AH$2:$AH$31,MATCH(A26,Prices!$A$2:$A$31,0))</f>
        <v/>
      </c>
      <c r="G26" s="5">
        <f>D26*E26</f>
        <v/>
      </c>
      <c r="H26" s="5">
        <f>D26*F26</f>
        <v/>
      </c>
      <c r="I26" s="5">
        <f>H26-G26</f>
        <v/>
      </c>
      <c r="J26" s="6">
        <f>IF(G26=0,0,I26/G26)</f>
        <v/>
      </c>
      <c r="K26" s="6">
        <f>IF($H$32=0,0,H26/$H$32)</f>
        <v/>
      </c>
    </row>
    <row r="27">
      <c r="A27" t="inlineStr">
        <is>
          <t>ULTRACEMCO</t>
        </is>
      </c>
      <c r="B27" t="inlineStr">
        <is>
          <t>UltraTech Cement Ltd</t>
        </is>
      </c>
      <c r="C27" t="inlineStr">
        <is>
          <t>Cement &amp; Infra</t>
        </is>
      </c>
      <c r="D27" t="n">
        <v>34</v>
      </c>
      <c r="E27" s="5" t="n">
        <v>10716.45</v>
      </c>
      <c r="F27" s="5">
        <f>INDEX(Prices!$AH$2:$AH$31,MATCH(A27,Prices!$A$2:$A$31,0))</f>
        <v/>
      </c>
      <c r="G27" s="5">
        <f>D27*E27</f>
        <v/>
      </c>
      <c r="H27" s="5">
        <f>D27*F27</f>
        <v/>
      </c>
      <c r="I27" s="5">
        <f>H27-G27</f>
        <v/>
      </c>
      <c r="J27" s="6">
        <f>IF(G27=0,0,I27/G27)</f>
        <v/>
      </c>
      <c r="K27" s="6">
        <f>IF($H$32=0,0,H27/$H$32)</f>
        <v/>
      </c>
    </row>
    <row r="28">
      <c r="A28" t="inlineStr">
        <is>
          <t>LT</t>
        </is>
      </c>
      <c r="B28" t="inlineStr">
        <is>
          <t>Larsen &amp; Toubro Ltd</t>
        </is>
      </c>
      <c r="C28" t="inlineStr">
        <is>
          <t>Cement &amp; Infra</t>
        </is>
      </c>
      <c r="D28" t="n">
        <v>31</v>
      </c>
      <c r="E28" s="5" t="n">
        <v>3799.84</v>
      </c>
      <c r="F28" s="5">
        <f>INDEX(Prices!$AH$2:$AH$31,MATCH(A28,Prices!$A$2:$A$31,0))</f>
        <v/>
      </c>
      <c r="G28" s="5">
        <f>D28*E28</f>
        <v/>
      </c>
      <c r="H28" s="5">
        <f>D28*F28</f>
        <v/>
      </c>
      <c r="I28" s="5">
        <f>H28-G28</f>
        <v/>
      </c>
      <c r="J28" s="6">
        <f>IF(G28=0,0,I28/G28)</f>
        <v/>
      </c>
      <c r="K28" s="6">
        <f>IF($H$32=0,0,H28/$H$32)</f>
        <v/>
      </c>
    </row>
    <row r="29">
      <c r="A29" t="inlineStr">
        <is>
          <t>TATASTEEL</t>
        </is>
      </c>
      <c r="B29" t="inlineStr">
        <is>
          <t>Tata Steel Ltd</t>
        </is>
      </c>
      <c r="C29" t="inlineStr">
        <is>
          <t>Metals</t>
        </is>
      </c>
      <c r="D29" t="n">
        <v>69</v>
      </c>
      <c r="E29" s="5" t="n">
        <v>176.9</v>
      </c>
      <c r="F29" s="5">
        <f>INDEX(Prices!$AH$2:$AH$31,MATCH(A29,Prices!$A$2:$A$31,0))</f>
        <v/>
      </c>
      <c r="G29" s="5">
        <f>D29*E29</f>
        <v/>
      </c>
      <c r="H29" s="5">
        <f>D29*F29</f>
        <v/>
      </c>
      <c r="I29" s="5">
        <f>H29-G29</f>
        <v/>
      </c>
      <c r="J29" s="6">
        <f>IF(G29=0,0,I29/G29)</f>
        <v/>
      </c>
      <c r="K29" s="6">
        <f>IF($H$32=0,0,H29/$H$32)</f>
        <v/>
      </c>
    </row>
    <row r="30">
      <c r="A30" t="inlineStr">
        <is>
          <t>HINDALCO</t>
        </is>
      </c>
      <c r="B30" t="inlineStr">
        <is>
          <t>Hindalco Industries Ltd</t>
        </is>
      </c>
      <c r="C30" t="inlineStr">
        <is>
          <t>Metals</t>
        </is>
      </c>
      <c r="D30" t="n">
        <v>123</v>
      </c>
      <c r="E30" s="5" t="n">
        <v>653.1</v>
      </c>
      <c r="F30" s="5">
        <f>INDEX(Prices!$AH$2:$AH$31,MATCH(A30,Prices!$A$2:$A$31,0))</f>
        <v/>
      </c>
      <c r="G30" s="5">
        <f>D30*E30</f>
        <v/>
      </c>
      <c r="H30" s="5">
        <f>D30*F30</f>
        <v/>
      </c>
      <c r="I30" s="5">
        <f>H30-G30</f>
        <v/>
      </c>
      <c r="J30" s="6">
        <f>IF(G30=0,0,I30/G30)</f>
        <v/>
      </c>
      <c r="K30" s="6">
        <f>IF($H$32=0,0,H30/$H$32)</f>
        <v/>
      </c>
    </row>
    <row r="31">
      <c r="A31" t="inlineStr">
        <is>
          <t>TITAN</t>
        </is>
      </c>
      <c r="B31" t="inlineStr">
        <is>
          <t>Titan Company Ltd</t>
        </is>
      </c>
      <c r="C31" t="inlineStr">
        <is>
          <t>Consumer Goods</t>
        </is>
      </c>
      <c r="D31" t="n">
        <v>17</v>
      </c>
      <c r="E31" s="5" t="n">
        <v>3069.45</v>
      </c>
      <c r="F31" s="5">
        <f>INDEX(Prices!$AH$2:$AH$31,MATCH(A31,Prices!$A$2:$A$31,0))</f>
        <v/>
      </c>
      <c r="G31" s="5">
        <f>D31*E31</f>
        <v/>
      </c>
      <c r="H31" s="5">
        <f>D31*F31</f>
        <v/>
      </c>
      <c r="I31" s="5">
        <f>H31-G31</f>
        <v/>
      </c>
      <c r="J31" s="6">
        <f>IF(G31=0,0,I31/G31)</f>
        <v/>
      </c>
      <c r="K31" s="6">
        <f>IF($H$32=0,0,H31/$H$32)</f>
        <v/>
      </c>
    </row>
    <row r="32">
      <c r="A32" s="2" t="inlineStr">
        <is>
          <t>TOTAL</t>
        </is>
      </c>
      <c r="G32" s="7">
        <f>SUM(G2:G31)</f>
        <v/>
      </c>
      <c r="H32" s="7">
        <f>SUM(H2:H31)</f>
        <v/>
      </c>
      <c r="I32" s="7">
        <f>SUM(I2:I31)</f>
        <v/>
      </c>
      <c r="J32" s="8">
        <f>IF(G32=0,0,I32/G32)</f>
        <v/>
      </c>
      <c r="K32" s="8">
        <f>SUM(K2:K31)</f>
        <v/>
      </c>
    </row>
  </sheetData>
  <autoFilter ref="A1:K31"/>
  <conditionalFormatting sqref="J2:J3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4" t="inlineStr">
        <is>
          <t>Ticker</t>
        </is>
      </c>
      <c r="B1" s="4" t="inlineStr">
        <is>
          <t>W0</t>
        </is>
      </c>
      <c r="C1" s="4" t="inlineStr">
        <is>
          <t>W1</t>
        </is>
      </c>
      <c r="D1" s="4" t="inlineStr">
        <is>
          <t>W2</t>
        </is>
      </c>
      <c r="E1" s="4" t="inlineStr">
        <is>
          <t>W3</t>
        </is>
      </c>
      <c r="F1" s="4" t="inlineStr">
        <is>
          <t>W4</t>
        </is>
      </c>
      <c r="G1" s="4" t="inlineStr">
        <is>
          <t>W5</t>
        </is>
      </c>
      <c r="H1" s="4" t="inlineStr">
        <is>
          <t>W6</t>
        </is>
      </c>
      <c r="I1" s="4" t="inlineStr">
        <is>
          <t>W7</t>
        </is>
      </c>
      <c r="J1" s="4" t="inlineStr">
        <is>
          <t>W8</t>
        </is>
      </c>
      <c r="K1" s="4" t="inlineStr">
        <is>
          <t>W9</t>
        </is>
      </c>
      <c r="L1" s="4" t="inlineStr">
        <is>
          <t>W10</t>
        </is>
      </c>
      <c r="M1" s="4" t="inlineStr">
        <is>
          <t>W11</t>
        </is>
      </c>
      <c r="N1" s="4" t="inlineStr">
        <is>
          <t>W12</t>
        </is>
      </c>
      <c r="O1" s="4" t="inlineStr">
        <is>
          <t>W13</t>
        </is>
      </c>
      <c r="P1" s="4" t="inlineStr">
        <is>
          <t>W14</t>
        </is>
      </c>
      <c r="Q1" s="4" t="inlineStr">
        <is>
          <t>W15</t>
        </is>
      </c>
      <c r="R1" s="4" t="inlineStr">
        <is>
          <t>W16</t>
        </is>
      </c>
      <c r="S1" s="4" t="inlineStr">
        <is>
          <t>W17</t>
        </is>
      </c>
      <c r="T1" s="4" t="inlineStr">
        <is>
          <t>W18</t>
        </is>
      </c>
      <c r="U1" s="4" t="inlineStr">
        <is>
          <t>W19</t>
        </is>
      </c>
      <c r="V1" s="4" t="inlineStr">
        <is>
          <t>W20</t>
        </is>
      </c>
      <c r="W1" s="4" t="inlineStr">
        <is>
          <t>W21</t>
        </is>
      </c>
      <c r="X1" s="4" t="inlineStr">
        <is>
          <t>W22</t>
        </is>
      </c>
      <c r="Y1" s="4" t="inlineStr">
        <is>
          <t>W23</t>
        </is>
      </c>
      <c r="Z1" s="4" t="inlineStr">
        <is>
          <t>W24</t>
        </is>
      </c>
      <c r="AA1" s="4" t="inlineStr">
        <is>
          <t>W25</t>
        </is>
      </c>
      <c r="AB1" s="4" t="inlineStr">
        <is>
          <t>W26</t>
        </is>
      </c>
      <c r="AC1" s="4" t="inlineStr">
        <is>
          <t>W27</t>
        </is>
      </c>
      <c r="AD1" s="4" t="inlineStr">
        <is>
          <t>W28</t>
        </is>
      </c>
      <c r="AE1" s="4" t="inlineStr">
        <is>
          <t>W29</t>
        </is>
      </c>
      <c r="AF1" s="4" t="inlineStr">
        <is>
          <t>W30</t>
        </is>
      </c>
      <c r="AG1" s="4" t="inlineStr">
        <is>
          <t>W31</t>
        </is>
      </c>
      <c r="AH1" s="4" t="inlineStr">
        <is>
          <t>W32</t>
        </is>
      </c>
      <c r="AI1" s="4" t="inlineStr">
        <is>
          <t>Last Wk Return %</t>
        </is>
      </c>
      <c r="AJ1" s="4" t="inlineStr">
        <is>
          <t>4W Return %</t>
        </is>
      </c>
    </row>
    <row r="2">
      <c r="A2" t="inlineStr">
        <is>
          <t>HDFCBANK</t>
        </is>
      </c>
      <c r="B2" s="5" t="n">
        <v>1620</v>
      </c>
      <c r="C2" s="5" t="n">
        <v>1630.62</v>
      </c>
      <c r="D2" s="5" t="n">
        <v>1574.95</v>
      </c>
      <c r="E2" s="5" t="n">
        <v>1554.65</v>
      </c>
      <c r="F2" s="5" t="n">
        <v>1543.06</v>
      </c>
      <c r="G2" s="5" t="n">
        <v>1522.75</v>
      </c>
      <c r="H2" s="5" t="n">
        <v>1555.7</v>
      </c>
      <c r="I2" s="5" t="n">
        <v>1580.63</v>
      </c>
      <c r="J2" s="5" t="n">
        <v>1512.92</v>
      </c>
      <c r="K2" s="5" t="n">
        <v>1492.18</v>
      </c>
      <c r="L2" s="5" t="n">
        <v>1505.89</v>
      </c>
      <c r="M2" s="5" t="n">
        <v>1486.79</v>
      </c>
      <c r="N2" s="5" t="n">
        <v>1498.7</v>
      </c>
      <c r="O2" s="5" t="n">
        <v>1556.31</v>
      </c>
      <c r="P2" s="5" t="n">
        <v>1582.2</v>
      </c>
      <c r="Q2" s="5" t="n">
        <v>1561.7</v>
      </c>
      <c r="R2" s="5" t="n">
        <v>1482.82</v>
      </c>
      <c r="S2" s="5" t="n">
        <v>1444.28</v>
      </c>
      <c r="T2" s="5" t="n">
        <v>1446.86</v>
      </c>
      <c r="U2" s="5" t="n">
        <v>1432.45</v>
      </c>
      <c r="V2" s="5" t="n">
        <v>1417.85</v>
      </c>
      <c r="W2" s="5" t="n">
        <v>1418.64</v>
      </c>
      <c r="X2" s="5" t="n">
        <v>1451.96</v>
      </c>
      <c r="Y2" s="5" t="n">
        <v>1458.91</v>
      </c>
      <c r="Z2" s="5" t="n">
        <v>1473.42</v>
      </c>
      <c r="AA2" s="5" t="n">
        <v>1469.49</v>
      </c>
      <c r="AB2" s="5" t="n">
        <v>1485.35</v>
      </c>
      <c r="AC2" s="5" t="n">
        <v>1537.04</v>
      </c>
      <c r="AD2" s="5" t="n">
        <v>1575.82</v>
      </c>
      <c r="AE2" s="5" t="n">
        <v>1604.08</v>
      </c>
      <c r="AF2" s="5" t="n">
        <v>1615.65</v>
      </c>
      <c r="AG2" s="5" t="n">
        <v>1682.42</v>
      </c>
      <c r="AH2" s="5" t="n">
        <v>1655.09</v>
      </c>
      <c r="AI2" s="6">
        <f>AH2/AG2-1</f>
        <v/>
      </c>
      <c r="AJ2" s="6">
        <f>AH2/AD2-1</f>
        <v/>
      </c>
    </row>
    <row r="3">
      <c r="A3" t="inlineStr">
        <is>
          <t>ICICIBANK</t>
        </is>
      </c>
      <c r="B3" s="5" t="n">
        <v>1180</v>
      </c>
      <c r="C3" s="5" t="n">
        <v>1195.62</v>
      </c>
      <c r="D3" s="5" t="n">
        <v>1196.81</v>
      </c>
      <c r="E3" s="5" t="n">
        <v>1223.06</v>
      </c>
      <c r="F3" s="5" t="n">
        <v>1168.85</v>
      </c>
      <c r="G3" s="5" t="n">
        <v>1168.23</v>
      </c>
      <c r="H3" s="5" t="n">
        <v>1134.82</v>
      </c>
      <c r="I3" s="5" t="n">
        <v>1126.52</v>
      </c>
      <c r="J3" s="5" t="n">
        <v>1145.52</v>
      </c>
      <c r="K3" s="5" t="n">
        <v>1145.98</v>
      </c>
      <c r="L3" s="5" t="n">
        <v>1140.22</v>
      </c>
      <c r="M3" s="5" t="n">
        <v>1158.59</v>
      </c>
      <c r="N3" s="5" t="n">
        <v>1210.77</v>
      </c>
      <c r="O3" s="5" t="n">
        <v>1213.28</v>
      </c>
      <c r="P3" s="5" t="n">
        <v>1217.67</v>
      </c>
      <c r="Q3" s="5" t="n">
        <v>1239.36</v>
      </c>
      <c r="R3" s="5" t="n">
        <v>1243.39</v>
      </c>
      <c r="S3" s="5" t="n">
        <v>1271.49</v>
      </c>
      <c r="T3" s="5" t="n">
        <v>1291.03</v>
      </c>
      <c r="U3" s="5" t="n">
        <v>1299.97</v>
      </c>
      <c r="V3" s="5" t="n">
        <v>1278.52</v>
      </c>
      <c r="W3" s="5" t="n">
        <v>1300.82</v>
      </c>
      <c r="X3" s="5" t="n">
        <v>1318.31</v>
      </c>
      <c r="Y3" s="5" t="n">
        <v>1322.45</v>
      </c>
      <c r="Z3" s="5" t="n">
        <v>1338.92</v>
      </c>
      <c r="AA3" s="5" t="n">
        <v>1292.03</v>
      </c>
      <c r="AB3" s="5" t="n">
        <v>1271</v>
      </c>
      <c r="AC3" s="5" t="n">
        <v>1279.02</v>
      </c>
      <c r="AD3" s="5" t="n">
        <v>1284.26</v>
      </c>
      <c r="AE3" s="5" t="n">
        <v>1288.6</v>
      </c>
      <c r="AF3" s="5" t="n">
        <v>1277.69</v>
      </c>
      <c r="AG3" s="5" t="n">
        <v>1276.05</v>
      </c>
      <c r="AH3" s="5" t="n">
        <v>1295.76</v>
      </c>
      <c r="AI3" s="6">
        <f>AH3/AG3-1</f>
        <v/>
      </c>
      <c r="AJ3" s="6">
        <f>AH3/AD3-1</f>
        <v/>
      </c>
    </row>
    <row r="4">
      <c r="A4" t="inlineStr">
        <is>
          <t>SBIN</t>
        </is>
      </c>
      <c r="B4" s="5" t="n">
        <v>810</v>
      </c>
      <c r="C4" s="5" t="n">
        <v>815.13</v>
      </c>
      <c r="D4" s="5" t="n">
        <v>826.73</v>
      </c>
      <c r="E4" s="5" t="n">
        <v>826.36</v>
      </c>
      <c r="F4" s="5" t="n">
        <v>804.09</v>
      </c>
      <c r="G4" s="5" t="n">
        <v>809.01</v>
      </c>
      <c r="H4" s="5" t="n">
        <v>842.22</v>
      </c>
      <c r="I4" s="5" t="n">
        <v>829.54</v>
      </c>
      <c r="J4" s="5" t="n">
        <v>850.9</v>
      </c>
      <c r="K4" s="5" t="n">
        <v>853.55</v>
      </c>
      <c r="L4" s="5" t="n">
        <v>868.34</v>
      </c>
      <c r="M4" s="5" t="n">
        <v>874.77</v>
      </c>
      <c r="N4" s="5" t="n">
        <v>864.13</v>
      </c>
      <c r="O4" s="5" t="n">
        <v>889.67</v>
      </c>
      <c r="P4" s="5" t="n">
        <v>896.51</v>
      </c>
      <c r="Q4" s="5" t="n">
        <v>879.79</v>
      </c>
      <c r="R4" s="5" t="n">
        <v>871</v>
      </c>
      <c r="S4" s="5" t="n">
        <v>851.38</v>
      </c>
      <c r="T4" s="5" t="n">
        <v>835.5599999999999</v>
      </c>
      <c r="U4" s="5" t="n">
        <v>838.11</v>
      </c>
      <c r="V4" s="5" t="n">
        <v>839.04</v>
      </c>
      <c r="W4" s="5" t="n">
        <v>887.58</v>
      </c>
      <c r="X4" s="5" t="n">
        <v>842.77</v>
      </c>
      <c r="Y4" s="5" t="n">
        <v>850.1</v>
      </c>
      <c r="Z4" s="5" t="n">
        <v>838.33</v>
      </c>
      <c r="AA4" s="5" t="n">
        <v>860.27</v>
      </c>
      <c r="AB4" s="5" t="n">
        <v>832.64</v>
      </c>
      <c r="AC4" s="5" t="n">
        <v>866.38</v>
      </c>
      <c r="AD4" s="5" t="n">
        <v>886.3</v>
      </c>
      <c r="AE4" s="5" t="n">
        <v>869.8</v>
      </c>
      <c r="AF4" s="5" t="n">
        <v>874.2</v>
      </c>
      <c r="AG4" s="5" t="n">
        <v>825.6900000000001</v>
      </c>
      <c r="AH4" s="5" t="n">
        <v>798.28</v>
      </c>
      <c r="AI4" s="6">
        <f>AH4/AG4-1</f>
        <v/>
      </c>
      <c r="AJ4" s="6">
        <f>AH4/AD4-1</f>
        <v/>
      </c>
    </row>
    <row r="5">
      <c r="A5" t="inlineStr">
        <is>
          <t>KOTAKBANK</t>
        </is>
      </c>
      <c r="B5" s="5" t="n">
        <v>1960</v>
      </c>
      <c r="C5" s="5" t="n">
        <v>1914.64</v>
      </c>
      <c r="D5" s="5" t="n">
        <v>1918.75</v>
      </c>
      <c r="E5" s="5" t="n">
        <v>1931.33</v>
      </c>
      <c r="F5" s="5" t="n">
        <v>2050.52</v>
      </c>
      <c r="G5" s="5" t="n">
        <v>2033.74</v>
      </c>
      <c r="H5" s="5" t="n">
        <v>2079.13</v>
      </c>
      <c r="I5" s="5" t="n">
        <v>2107.59</v>
      </c>
      <c r="J5" s="5" t="n">
        <v>2130.52</v>
      </c>
      <c r="K5" s="5" t="n">
        <v>2049.47</v>
      </c>
      <c r="L5" s="5" t="n">
        <v>2005.48</v>
      </c>
      <c r="M5" s="5" t="n">
        <v>2044.43</v>
      </c>
      <c r="N5" s="5" t="n">
        <v>2118.54</v>
      </c>
      <c r="O5" s="5" t="n">
        <v>1991.64</v>
      </c>
      <c r="P5" s="5" t="n">
        <v>2095.77</v>
      </c>
      <c r="Q5" s="5" t="n">
        <v>2122.5</v>
      </c>
      <c r="R5" s="5" t="n">
        <v>2087.97</v>
      </c>
      <c r="S5" s="5" t="n">
        <v>2082.93</v>
      </c>
      <c r="T5" s="5" t="n">
        <v>2119.44</v>
      </c>
      <c r="U5" s="5" t="n">
        <v>2102.65</v>
      </c>
      <c r="V5" s="5" t="n">
        <v>2111.43</v>
      </c>
      <c r="W5" s="5" t="n">
        <v>2065.94</v>
      </c>
      <c r="X5" s="5" t="n">
        <v>2051.45</v>
      </c>
      <c r="Y5" s="5" t="n">
        <v>2132.7</v>
      </c>
      <c r="Z5" s="5" t="n">
        <v>2161.71</v>
      </c>
      <c r="AA5" s="5" t="n">
        <v>2187.89</v>
      </c>
      <c r="AB5" s="5" t="n">
        <v>2236.45</v>
      </c>
      <c r="AC5" s="5" t="n">
        <v>2273.21</v>
      </c>
      <c r="AD5" s="5" t="n">
        <v>2247.01</v>
      </c>
      <c r="AE5" s="5" t="n">
        <v>2256.37</v>
      </c>
      <c r="AF5" s="5" t="n">
        <v>2303.67</v>
      </c>
      <c r="AG5" s="5" t="n">
        <v>2319.36</v>
      </c>
      <c r="AH5" s="5" t="n">
        <v>2299.92</v>
      </c>
      <c r="AI5" s="6">
        <f>AH5/AG5-1</f>
        <v/>
      </c>
      <c r="AJ5" s="6">
        <f>AH5/AD5-1</f>
        <v/>
      </c>
    </row>
    <row r="6">
      <c r="A6" t="inlineStr">
        <is>
          <t>AXISBANK</t>
        </is>
      </c>
      <c r="B6" s="5" t="n">
        <v>1185</v>
      </c>
      <c r="C6" s="5" t="n">
        <v>1214.67</v>
      </c>
      <c r="D6" s="5" t="n">
        <v>1288.28</v>
      </c>
      <c r="E6" s="5" t="n">
        <v>1266.19</v>
      </c>
      <c r="F6" s="5" t="n">
        <v>1253.41</v>
      </c>
      <c r="G6" s="5" t="n">
        <v>1288.99</v>
      </c>
      <c r="H6" s="5" t="n">
        <v>1320.33</v>
      </c>
      <c r="I6" s="5" t="n">
        <v>1265.48</v>
      </c>
      <c r="J6" s="5" t="n">
        <v>1218.22</v>
      </c>
      <c r="K6" s="5" t="n">
        <v>1198.32</v>
      </c>
      <c r="L6" s="5" t="n">
        <v>1164.02</v>
      </c>
      <c r="M6" s="5" t="n">
        <v>1117.44</v>
      </c>
      <c r="N6" s="5" t="n">
        <v>1087.35</v>
      </c>
      <c r="O6" s="5" t="n">
        <v>1098.99</v>
      </c>
      <c r="P6" s="5" t="n">
        <v>1091.35</v>
      </c>
      <c r="Q6" s="5" t="n">
        <v>1068.1</v>
      </c>
      <c r="R6" s="5" t="n">
        <v>1100.45</v>
      </c>
      <c r="S6" s="5" t="n">
        <v>1112.8</v>
      </c>
      <c r="T6" s="5" t="n">
        <v>1137.29</v>
      </c>
      <c r="U6" s="5" t="n">
        <v>1121.69</v>
      </c>
      <c r="V6" s="5" t="n">
        <v>1105.22</v>
      </c>
      <c r="W6" s="5" t="n">
        <v>1093.25</v>
      </c>
      <c r="X6" s="5" t="n">
        <v>1081.79</v>
      </c>
      <c r="Y6" s="5" t="n">
        <v>1096.27</v>
      </c>
      <c r="Z6" s="5" t="n">
        <v>1118.87</v>
      </c>
      <c r="AA6" s="5" t="n">
        <v>1103.95</v>
      </c>
      <c r="AB6" s="5" t="n">
        <v>1099.56</v>
      </c>
      <c r="AC6" s="5" t="n">
        <v>1082.5</v>
      </c>
      <c r="AD6" s="5" t="n">
        <v>1131.03</v>
      </c>
      <c r="AE6" s="5" t="n">
        <v>1103.32</v>
      </c>
      <c r="AF6" s="5" t="n">
        <v>1056.01</v>
      </c>
      <c r="AG6" s="5" t="n">
        <v>1047.06</v>
      </c>
      <c r="AH6" s="5" t="n">
        <v>1043.49</v>
      </c>
      <c r="AI6" s="6">
        <f>AH6/AG6-1</f>
        <v/>
      </c>
      <c r="AJ6" s="6">
        <f>AH6/AD6-1</f>
        <v/>
      </c>
    </row>
    <row r="7">
      <c r="A7" t="inlineStr">
        <is>
          <t>INFY</t>
        </is>
      </c>
      <c r="B7" s="5" t="n">
        <v>1840</v>
      </c>
      <c r="C7" s="5" t="n">
        <v>1695.77</v>
      </c>
      <c r="D7" s="5" t="n">
        <v>1778.14</v>
      </c>
      <c r="E7" s="5" t="n">
        <v>1756.79</v>
      </c>
      <c r="F7" s="5" t="n">
        <v>1732.62</v>
      </c>
      <c r="G7" s="5" t="n">
        <v>1689.41</v>
      </c>
      <c r="H7" s="5" t="n">
        <v>1647.19</v>
      </c>
      <c r="I7" s="5" t="n">
        <v>1591.39</v>
      </c>
      <c r="J7" s="5" t="n">
        <v>1630.87</v>
      </c>
      <c r="K7" s="5" t="n">
        <v>1591.87</v>
      </c>
      <c r="L7" s="5" t="n">
        <v>1606.39</v>
      </c>
      <c r="M7" s="5" t="n">
        <v>1603.26</v>
      </c>
      <c r="N7" s="5" t="n">
        <v>1633.97</v>
      </c>
      <c r="O7" s="5" t="n">
        <v>1576.56</v>
      </c>
      <c r="P7" s="5" t="n">
        <v>1569.35</v>
      </c>
      <c r="Q7" s="5" t="n">
        <v>1675.53</v>
      </c>
      <c r="R7" s="5" t="n">
        <v>1762.04</v>
      </c>
      <c r="S7" s="5" t="n">
        <v>1699.64</v>
      </c>
      <c r="T7" s="5" t="n">
        <v>1663.03</v>
      </c>
      <c r="U7" s="5" t="n">
        <v>1599.53</v>
      </c>
      <c r="V7" s="5" t="n">
        <v>1691.28</v>
      </c>
      <c r="W7" s="5" t="n">
        <v>1654.63</v>
      </c>
      <c r="X7" s="5" t="n">
        <v>1681.77</v>
      </c>
      <c r="Y7" s="5" t="n">
        <v>1753.19</v>
      </c>
      <c r="Z7" s="5" t="n">
        <v>1722.36</v>
      </c>
      <c r="AA7" s="5" t="n">
        <v>1853.66</v>
      </c>
      <c r="AB7" s="5" t="n">
        <v>1846.85</v>
      </c>
      <c r="AC7" s="5" t="n">
        <v>1950.99</v>
      </c>
      <c r="AD7" s="5" t="n">
        <v>1954.91</v>
      </c>
      <c r="AE7" s="5" t="n">
        <v>1984.25</v>
      </c>
      <c r="AF7" s="5" t="n">
        <v>2095.33</v>
      </c>
      <c r="AG7" s="5" t="n">
        <v>2078.25</v>
      </c>
      <c r="AH7" s="5" t="n">
        <v>1987.77</v>
      </c>
      <c r="AI7" s="6">
        <f>AH7/AG7-1</f>
        <v/>
      </c>
      <c r="AJ7" s="6">
        <f>AH7/AD7-1</f>
        <v/>
      </c>
    </row>
    <row r="8">
      <c r="A8" t="inlineStr">
        <is>
          <t>TCS</t>
        </is>
      </c>
      <c r="B8" s="5" t="n">
        <v>4150</v>
      </c>
      <c r="C8" s="5" t="n">
        <v>3973.28</v>
      </c>
      <c r="D8" s="5" t="n">
        <v>4083.92</v>
      </c>
      <c r="E8" s="5" t="n">
        <v>4481.89</v>
      </c>
      <c r="F8" s="5" t="n">
        <v>4442.6</v>
      </c>
      <c r="G8" s="5" t="n">
        <v>4492.41</v>
      </c>
      <c r="H8" s="5" t="n">
        <v>4484.35</v>
      </c>
      <c r="I8" s="5" t="n">
        <v>4386.97</v>
      </c>
      <c r="J8" s="5" t="n">
        <v>4223.87</v>
      </c>
      <c r="K8" s="5" t="n">
        <v>4367.47</v>
      </c>
      <c r="L8" s="5" t="n">
        <v>4549.25</v>
      </c>
      <c r="M8" s="5" t="n">
        <v>4608.04</v>
      </c>
      <c r="N8" s="5" t="n">
        <v>4703.72</v>
      </c>
      <c r="O8" s="5" t="n">
        <v>4610.62</v>
      </c>
      <c r="P8" s="5" t="n">
        <v>4384.04</v>
      </c>
      <c r="Q8" s="5" t="n">
        <v>4670.76</v>
      </c>
      <c r="R8" s="5" t="n">
        <v>4956.41</v>
      </c>
      <c r="S8" s="5" t="n">
        <v>5162</v>
      </c>
      <c r="T8" s="5" t="n">
        <v>5349.7</v>
      </c>
      <c r="U8" s="5" t="n">
        <v>5419.36</v>
      </c>
      <c r="V8" s="5" t="n">
        <v>5560.01</v>
      </c>
      <c r="W8" s="5" t="n">
        <v>5488.93</v>
      </c>
      <c r="X8" s="5" t="n">
        <v>5521.5</v>
      </c>
      <c r="Y8" s="5" t="n">
        <v>5867.94</v>
      </c>
      <c r="Z8" s="5" t="n">
        <v>5686.74</v>
      </c>
      <c r="AA8" s="5" t="n">
        <v>5686.43</v>
      </c>
      <c r="AB8" s="5" t="n">
        <v>5462.61</v>
      </c>
      <c r="AC8" s="5" t="n">
        <v>5862.14</v>
      </c>
      <c r="AD8" s="5" t="n">
        <v>5720.79</v>
      </c>
      <c r="AE8" s="5" t="n">
        <v>5628.5</v>
      </c>
      <c r="AF8" s="5" t="n">
        <v>5642.72</v>
      </c>
      <c r="AG8" s="5" t="n">
        <v>5703.99</v>
      </c>
      <c r="AH8" s="5" t="n">
        <v>5648.48</v>
      </c>
      <c r="AI8" s="6">
        <f>AH8/AG8-1</f>
        <v/>
      </c>
      <c r="AJ8" s="6">
        <f>AH8/AD8-1</f>
        <v/>
      </c>
    </row>
    <row r="9">
      <c r="A9" t="inlineStr">
        <is>
          <t>HCLTECH</t>
        </is>
      </c>
      <c r="B9" s="5" t="n">
        <v>1780</v>
      </c>
      <c r="C9" s="5" t="n">
        <v>1776.71</v>
      </c>
      <c r="D9" s="5" t="n">
        <v>1821.15</v>
      </c>
      <c r="E9" s="5" t="n">
        <v>1777.31</v>
      </c>
      <c r="F9" s="5" t="n">
        <v>1759.41</v>
      </c>
      <c r="G9" s="5" t="n">
        <v>1801.37</v>
      </c>
      <c r="H9" s="5" t="n">
        <v>1813.48</v>
      </c>
      <c r="I9" s="5" t="n">
        <v>1810.48</v>
      </c>
      <c r="J9" s="5" t="n">
        <v>1800.95</v>
      </c>
      <c r="K9" s="5" t="n">
        <v>1772.94</v>
      </c>
      <c r="L9" s="5" t="n">
        <v>1748.9</v>
      </c>
      <c r="M9" s="5" t="n">
        <v>1749.93</v>
      </c>
      <c r="N9" s="5" t="n">
        <v>1774.75</v>
      </c>
      <c r="O9" s="5" t="n">
        <v>1687.67</v>
      </c>
      <c r="P9" s="5" t="n">
        <v>1695.31</v>
      </c>
      <c r="Q9" s="5" t="n">
        <v>1729.72</v>
      </c>
      <c r="R9" s="5" t="n">
        <v>1709.44</v>
      </c>
      <c r="S9" s="5" t="n">
        <v>1714.48</v>
      </c>
      <c r="T9" s="5" t="n">
        <v>1709.58</v>
      </c>
      <c r="U9" s="5" t="n">
        <v>1681.15</v>
      </c>
      <c r="V9" s="5" t="n">
        <v>1652.48</v>
      </c>
      <c r="W9" s="5" t="n">
        <v>1701.83</v>
      </c>
      <c r="X9" s="5" t="n">
        <v>1755.98</v>
      </c>
      <c r="Y9" s="5" t="n">
        <v>1737.27</v>
      </c>
      <c r="Z9" s="5" t="n">
        <v>1728.37</v>
      </c>
      <c r="AA9" s="5" t="n">
        <v>1744.12</v>
      </c>
      <c r="AB9" s="5" t="n">
        <v>1746.35</v>
      </c>
      <c r="AC9" s="5" t="n">
        <v>1826.85</v>
      </c>
      <c r="AD9" s="5" t="n">
        <v>1838.92</v>
      </c>
      <c r="AE9" s="5" t="n">
        <v>1824.52</v>
      </c>
      <c r="AF9" s="5" t="n">
        <v>1863.1</v>
      </c>
      <c r="AG9" s="5" t="n">
        <v>1875.25</v>
      </c>
      <c r="AH9" s="5" t="n">
        <v>1882.95</v>
      </c>
      <c r="AI9" s="6">
        <f>AH9/AG9-1</f>
        <v/>
      </c>
      <c r="AJ9" s="6">
        <f>AH9/AD9-1</f>
        <v/>
      </c>
    </row>
    <row r="10">
      <c r="A10" t="inlineStr">
        <is>
          <t>TECHM</t>
        </is>
      </c>
      <c r="B10" s="5" t="n">
        <v>1560</v>
      </c>
      <c r="C10" s="5" t="n">
        <v>1543.4</v>
      </c>
      <c r="D10" s="5" t="n">
        <v>1546.93</v>
      </c>
      <c r="E10" s="5" t="n">
        <v>1567.67</v>
      </c>
      <c r="F10" s="5" t="n">
        <v>1561.02</v>
      </c>
      <c r="G10" s="5" t="n">
        <v>1663.47</v>
      </c>
      <c r="H10" s="5" t="n">
        <v>1635.37</v>
      </c>
      <c r="I10" s="5" t="n">
        <v>1681.25</v>
      </c>
      <c r="J10" s="5" t="n">
        <v>1588.9</v>
      </c>
      <c r="K10" s="5" t="n">
        <v>1556.04</v>
      </c>
      <c r="L10" s="5" t="n">
        <v>1589.31</v>
      </c>
      <c r="M10" s="5" t="n">
        <v>1593.09</v>
      </c>
      <c r="N10" s="5" t="n">
        <v>1580</v>
      </c>
      <c r="O10" s="5" t="n">
        <v>1602</v>
      </c>
      <c r="P10" s="5" t="n">
        <v>1659.93</v>
      </c>
      <c r="Q10" s="5" t="n">
        <v>1642.23</v>
      </c>
      <c r="R10" s="5" t="n">
        <v>1597.34</v>
      </c>
      <c r="S10" s="5" t="n">
        <v>1566.55</v>
      </c>
      <c r="T10" s="5" t="n">
        <v>1597.25</v>
      </c>
      <c r="U10" s="5" t="n">
        <v>1563.88</v>
      </c>
      <c r="V10" s="5" t="n">
        <v>1557</v>
      </c>
      <c r="W10" s="5" t="n">
        <v>1559.52</v>
      </c>
      <c r="X10" s="5" t="n">
        <v>1568.94</v>
      </c>
      <c r="Y10" s="5" t="n">
        <v>1564.95</v>
      </c>
      <c r="Z10" s="5" t="n">
        <v>1542.89</v>
      </c>
      <c r="AA10" s="5" t="n">
        <v>1559.65</v>
      </c>
      <c r="AB10" s="5" t="n">
        <v>1596.31</v>
      </c>
      <c r="AC10" s="5" t="n">
        <v>1544.11</v>
      </c>
      <c r="AD10" s="5" t="n">
        <v>1597.48</v>
      </c>
      <c r="AE10" s="5" t="n">
        <v>1581.14</v>
      </c>
      <c r="AF10" s="5" t="n">
        <v>1608.85</v>
      </c>
      <c r="AG10" s="5" t="n">
        <v>1620.91</v>
      </c>
      <c r="AH10" s="5" t="n">
        <v>1659.74</v>
      </c>
      <c r="AI10" s="6">
        <f>AH10/AG10-1</f>
        <v/>
      </c>
      <c r="AJ10" s="6">
        <f>AH10/AD10-1</f>
        <v/>
      </c>
    </row>
    <row r="11">
      <c r="A11" t="inlineStr">
        <is>
          <t>WIPRO</t>
        </is>
      </c>
      <c r="B11" s="5" t="n">
        <v>590</v>
      </c>
      <c r="C11" s="5" t="n">
        <v>567.1</v>
      </c>
      <c r="D11" s="5" t="n">
        <v>579.97</v>
      </c>
      <c r="E11" s="5" t="n">
        <v>575.87</v>
      </c>
      <c r="F11" s="5" t="n">
        <v>564.95</v>
      </c>
      <c r="G11" s="5" t="n">
        <v>565.83</v>
      </c>
      <c r="H11" s="5" t="n">
        <v>560.0599999999999</v>
      </c>
      <c r="I11" s="5" t="n">
        <v>541.45</v>
      </c>
      <c r="J11" s="5" t="n">
        <v>544.33</v>
      </c>
      <c r="K11" s="5" t="n">
        <v>564.78</v>
      </c>
      <c r="L11" s="5" t="n">
        <v>565.55</v>
      </c>
      <c r="M11" s="5" t="n">
        <v>565.5</v>
      </c>
      <c r="N11" s="5" t="n">
        <v>568.0599999999999</v>
      </c>
      <c r="O11" s="5" t="n">
        <v>575.9</v>
      </c>
      <c r="P11" s="5" t="n">
        <v>565.89</v>
      </c>
      <c r="Q11" s="5" t="n">
        <v>555.75</v>
      </c>
      <c r="R11" s="5" t="n">
        <v>547.28</v>
      </c>
      <c r="S11" s="5" t="n">
        <v>548.63</v>
      </c>
      <c r="T11" s="5" t="n">
        <v>544.38</v>
      </c>
      <c r="U11" s="5" t="n">
        <v>564.09</v>
      </c>
      <c r="V11" s="5" t="n">
        <v>568.92</v>
      </c>
      <c r="W11" s="5" t="n">
        <v>573.4</v>
      </c>
      <c r="X11" s="5" t="n">
        <v>585.78</v>
      </c>
      <c r="Y11" s="5" t="n">
        <v>585.53</v>
      </c>
      <c r="Z11" s="5" t="n">
        <v>594.52</v>
      </c>
      <c r="AA11" s="5" t="n">
        <v>595.47</v>
      </c>
      <c r="AB11" s="5" t="n">
        <v>595.23</v>
      </c>
      <c r="AC11" s="5" t="n">
        <v>618.05</v>
      </c>
      <c r="AD11" s="5" t="n">
        <v>629.4</v>
      </c>
      <c r="AE11" s="5" t="n">
        <v>641.6900000000001</v>
      </c>
      <c r="AF11" s="5" t="n">
        <v>650.87</v>
      </c>
      <c r="AG11" s="5" t="n">
        <v>658.11</v>
      </c>
      <c r="AH11" s="5" t="n">
        <v>638.05</v>
      </c>
      <c r="AI11" s="6">
        <f>AH11/AG11-1</f>
        <v/>
      </c>
      <c r="AJ11" s="6">
        <f>AH11/AD11-1</f>
        <v/>
      </c>
    </row>
    <row r="12">
      <c r="A12" t="inlineStr">
        <is>
          <t>RELIANCE</t>
        </is>
      </c>
      <c r="B12" s="5" t="n">
        <v>2980</v>
      </c>
      <c r="C12" s="5" t="n">
        <v>2985.28</v>
      </c>
      <c r="D12" s="5" t="n">
        <v>3038.69</v>
      </c>
      <c r="E12" s="5" t="n">
        <v>3045.85</v>
      </c>
      <c r="F12" s="5" t="n">
        <v>3009.82</v>
      </c>
      <c r="G12" s="5" t="n">
        <v>3029.64</v>
      </c>
      <c r="H12" s="5" t="n">
        <v>2897.24</v>
      </c>
      <c r="I12" s="5" t="n">
        <v>2850.69</v>
      </c>
      <c r="J12" s="5" t="n">
        <v>2812.51</v>
      </c>
      <c r="K12" s="5" t="n">
        <v>2749.57</v>
      </c>
      <c r="L12" s="5" t="n">
        <v>2742.28</v>
      </c>
      <c r="M12" s="5" t="n">
        <v>2721.61</v>
      </c>
      <c r="N12" s="5" t="n">
        <v>2772.89</v>
      </c>
      <c r="O12" s="5" t="n">
        <v>2774.59</v>
      </c>
      <c r="P12" s="5" t="n">
        <v>2757.45</v>
      </c>
      <c r="Q12" s="5" t="n">
        <v>2762.32</v>
      </c>
      <c r="R12" s="5" t="n">
        <v>2714.3</v>
      </c>
      <c r="S12" s="5" t="n">
        <v>2658.62</v>
      </c>
      <c r="T12" s="5" t="n">
        <v>2649.98</v>
      </c>
      <c r="U12" s="5" t="n">
        <v>2607.24</v>
      </c>
      <c r="V12" s="5" t="n">
        <v>2614.42</v>
      </c>
      <c r="W12" s="5" t="n">
        <v>2626.35</v>
      </c>
      <c r="X12" s="5" t="n">
        <v>2656.86</v>
      </c>
      <c r="Y12" s="5" t="n">
        <v>2669.83</v>
      </c>
      <c r="Z12" s="5" t="n">
        <v>2585.93</v>
      </c>
      <c r="AA12" s="5" t="n">
        <v>2642.71</v>
      </c>
      <c r="AB12" s="5" t="n">
        <v>2609.91</v>
      </c>
      <c r="AC12" s="5" t="n">
        <v>2630.87</v>
      </c>
      <c r="AD12" s="5" t="n">
        <v>2648.56</v>
      </c>
      <c r="AE12" s="5" t="n">
        <v>2624.59</v>
      </c>
      <c r="AF12" s="5" t="n">
        <v>2625.36</v>
      </c>
      <c r="AG12" s="5" t="n">
        <v>2647.53</v>
      </c>
      <c r="AH12" s="5" t="n">
        <v>2578.06</v>
      </c>
      <c r="AI12" s="6">
        <f>AH12/AG12-1</f>
        <v/>
      </c>
      <c r="AJ12" s="6">
        <f>AH12/AD12-1</f>
        <v/>
      </c>
    </row>
    <row r="13">
      <c r="A13" t="inlineStr">
        <is>
          <t>ONGC</t>
        </is>
      </c>
      <c r="B13" s="5" t="n">
        <v>285</v>
      </c>
      <c r="C13" s="5" t="n">
        <v>269.48</v>
      </c>
      <c r="D13" s="5" t="n">
        <v>274.54</v>
      </c>
      <c r="E13" s="5" t="n">
        <v>274.62</v>
      </c>
      <c r="F13" s="5" t="n">
        <v>282.03</v>
      </c>
      <c r="G13" s="5" t="n">
        <v>282.42</v>
      </c>
      <c r="H13" s="5" t="n">
        <v>285.78</v>
      </c>
      <c r="I13" s="5" t="n">
        <v>287.19</v>
      </c>
      <c r="J13" s="5" t="n">
        <v>284.86</v>
      </c>
      <c r="K13" s="5" t="n">
        <v>304.19</v>
      </c>
      <c r="L13" s="5" t="n">
        <v>300.15</v>
      </c>
      <c r="M13" s="5" t="n">
        <v>307.25</v>
      </c>
      <c r="N13" s="5" t="n">
        <v>310.97</v>
      </c>
      <c r="O13" s="5" t="n">
        <v>303.54</v>
      </c>
      <c r="P13" s="5" t="n">
        <v>306.68</v>
      </c>
      <c r="Q13" s="5" t="n">
        <v>308.08</v>
      </c>
      <c r="R13" s="5" t="n">
        <v>304.1</v>
      </c>
      <c r="S13" s="5" t="n">
        <v>317.45</v>
      </c>
      <c r="T13" s="5" t="n">
        <v>315.26</v>
      </c>
      <c r="U13" s="5" t="n">
        <v>330.94</v>
      </c>
      <c r="V13" s="5" t="n">
        <v>327.85</v>
      </c>
      <c r="W13" s="5" t="n">
        <v>318.06</v>
      </c>
      <c r="X13" s="5" t="n">
        <v>317.86</v>
      </c>
      <c r="Y13" s="5" t="n">
        <v>320.73</v>
      </c>
      <c r="Z13" s="5" t="n">
        <v>316.73</v>
      </c>
      <c r="AA13" s="5" t="n">
        <v>320.82</v>
      </c>
      <c r="AB13" s="5" t="n">
        <v>323.82</v>
      </c>
      <c r="AC13" s="5" t="n">
        <v>326.98</v>
      </c>
      <c r="AD13" s="5" t="n">
        <v>318.63</v>
      </c>
      <c r="AE13" s="5" t="n">
        <v>319.79</v>
      </c>
      <c r="AF13" s="5" t="n">
        <v>325.52</v>
      </c>
      <c r="AG13" s="5" t="n">
        <v>318.73</v>
      </c>
      <c r="AH13" s="5" t="n">
        <v>326.9</v>
      </c>
      <c r="AI13" s="6">
        <f>AH13/AG13-1</f>
        <v/>
      </c>
      <c r="AJ13" s="6">
        <f>AH13/AD13-1</f>
        <v/>
      </c>
    </row>
    <row r="14">
      <c r="A14" t="inlineStr">
        <is>
          <t>NTPC</t>
        </is>
      </c>
      <c r="B14" s="5" t="n">
        <v>395</v>
      </c>
      <c r="C14" s="5" t="n">
        <v>407.41</v>
      </c>
      <c r="D14" s="5" t="n">
        <v>396.76</v>
      </c>
      <c r="E14" s="5" t="n">
        <v>413.17</v>
      </c>
      <c r="F14" s="5" t="n">
        <v>409.82</v>
      </c>
      <c r="G14" s="5" t="n">
        <v>422.08</v>
      </c>
      <c r="H14" s="5" t="n">
        <v>409.75</v>
      </c>
      <c r="I14" s="5" t="n">
        <v>412.6</v>
      </c>
      <c r="J14" s="5" t="n">
        <v>403.7</v>
      </c>
      <c r="K14" s="5" t="n">
        <v>393.81</v>
      </c>
      <c r="L14" s="5" t="n">
        <v>379.76</v>
      </c>
      <c r="M14" s="5" t="n">
        <v>367.11</v>
      </c>
      <c r="N14" s="5" t="n">
        <v>366.91</v>
      </c>
      <c r="O14" s="5" t="n">
        <v>371.1</v>
      </c>
      <c r="P14" s="5" t="n">
        <v>368.48</v>
      </c>
      <c r="Q14" s="5" t="n">
        <v>376.65</v>
      </c>
      <c r="R14" s="5" t="n">
        <v>379.82</v>
      </c>
      <c r="S14" s="5" t="n">
        <v>361.91</v>
      </c>
      <c r="T14" s="5" t="n">
        <v>363.25</v>
      </c>
      <c r="U14" s="5" t="n">
        <v>361.54</v>
      </c>
      <c r="V14" s="5" t="n">
        <v>341.85</v>
      </c>
      <c r="W14" s="5" t="n">
        <v>341.74</v>
      </c>
      <c r="X14" s="5" t="n">
        <v>342.69</v>
      </c>
      <c r="Y14" s="5" t="n">
        <v>336.65</v>
      </c>
      <c r="Z14" s="5" t="n">
        <v>332.58</v>
      </c>
      <c r="AA14" s="5" t="n">
        <v>338.78</v>
      </c>
      <c r="AB14" s="5" t="n">
        <v>337.61</v>
      </c>
      <c r="AC14" s="5" t="n">
        <v>341.56</v>
      </c>
      <c r="AD14" s="5" t="n">
        <v>334.34</v>
      </c>
      <c r="AE14" s="5" t="n">
        <v>329.31</v>
      </c>
      <c r="AF14" s="5" t="n">
        <v>337.76</v>
      </c>
      <c r="AG14" s="5" t="n">
        <v>318.71</v>
      </c>
      <c r="AH14" s="5" t="n">
        <v>342.53</v>
      </c>
      <c r="AI14" s="6">
        <f>AH14/AG14-1</f>
        <v/>
      </c>
      <c r="AJ14" s="6">
        <f>AH14/AD14-1</f>
        <v/>
      </c>
    </row>
    <row r="15">
      <c r="A15" t="inlineStr">
        <is>
          <t>POWERGRID</t>
        </is>
      </c>
      <c r="B15" s="5" t="n">
        <v>320</v>
      </c>
      <c r="C15" s="5" t="n">
        <v>313.27</v>
      </c>
      <c r="D15" s="5" t="n">
        <v>321.92</v>
      </c>
      <c r="E15" s="5" t="n">
        <v>304.26</v>
      </c>
      <c r="F15" s="5" t="n">
        <v>279.27</v>
      </c>
      <c r="G15" s="5" t="n">
        <v>286.01</v>
      </c>
      <c r="H15" s="5" t="n">
        <v>288.84</v>
      </c>
      <c r="I15" s="5" t="n">
        <v>299.67</v>
      </c>
      <c r="J15" s="5" t="n">
        <v>318.81</v>
      </c>
      <c r="K15" s="5" t="n">
        <v>315.71</v>
      </c>
      <c r="L15" s="5" t="n">
        <v>342.11</v>
      </c>
      <c r="M15" s="5" t="n">
        <v>349.09</v>
      </c>
      <c r="N15" s="5" t="n">
        <v>348.33</v>
      </c>
      <c r="O15" s="5" t="n">
        <v>353.57</v>
      </c>
      <c r="P15" s="5" t="n">
        <v>359.13</v>
      </c>
      <c r="Q15" s="5" t="n">
        <v>351.36</v>
      </c>
      <c r="R15" s="5" t="n">
        <v>346.58</v>
      </c>
      <c r="S15" s="5" t="n">
        <v>351.13</v>
      </c>
      <c r="T15" s="5" t="n">
        <v>331.63</v>
      </c>
      <c r="U15" s="5" t="n">
        <v>336.76</v>
      </c>
      <c r="V15" s="5" t="n">
        <v>350.39</v>
      </c>
      <c r="W15" s="5" t="n">
        <v>350.22</v>
      </c>
      <c r="X15" s="5" t="n">
        <v>343.38</v>
      </c>
      <c r="Y15" s="5" t="n">
        <v>359.47</v>
      </c>
      <c r="Z15" s="5" t="n">
        <v>365.13</v>
      </c>
      <c r="AA15" s="5" t="n">
        <v>366.45</v>
      </c>
      <c r="AB15" s="5" t="n">
        <v>368.36</v>
      </c>
      <c r="AC15" s="5" t="n">
        <v>357.33</v>
      </c>
      <c r="AD15" s="5" t="n">
        <v>345.17</v>
      </c>
      <c r="AE15" s="5" t="n">
        <v>341.5</v>
      </c>
      <c r="AF15" s="5" t="n">
        <v>332.39</v>
      </c>
      <c r="AG15" s="5" t="n">
        <v>310.08</v>
      </c>
      <c r="AH15" s="5" t="n">
        <v>316.33</v>
      </c>
      <c r="AI15" s="6">
        <f>AH15/AG15-1</f>
        <v/>
      </c>
      <c r="AJ15" s="6">
        <f>AH15/AD15-1</f>
        <v/>
      </c>
    </row>
    <row r="16">
      <c r="A16" t="inlineStr">
        <is>
          <t>MARUTI</t>
        </is>
      </c>
      <c r="B16" s="5" t="n">
        <v>12800</v>
      </c>
      <c r="C16" s="5" t="n">
        <v>12916.78</v>
      </c>
      <c r="D16" s="5" t="n">
        <v>12965.98</v>
      </c>
      <c r="E16" s="5" t="n">
        <v>12243.83</v>
      </c>
      <c r="F16" s="5" t="n">
        <v>12577.71</v>
      </c>
      <c r="G16" s="5" t="n">
        <v>12009.8</v>
      </c>
      <c r="H16" s="5" t="n">
        <v>11879.07</v>
      </c>
      <c r="I16" s="5" t="n">
        <v>11911.93</v>
      </c>
      <c r="J16" s="5" t="n">
        <v>11852.29</v>
      </c>
      <c r="K16" s="5" t="n">
        <v>11762.1</v>
      </c>
      <c r="L16" s="5" t="n">
        <v>12357.35</v>
      </c>
      <c r="M16" s="5" t="n">
        <v>12920.6</v>
      </c>
      <c r="N16" s="5" t="n">
        <v>12693.57</v>
      </c>
      <c r="O16" s="5" t="n">
        <v>12436.15</v>
      </c>
      <c r="P16" s="5" t="n">
        <v>12562.23</v>
      </c>
      <c r="Q16" s="5" t="n">
        <v>12531.38</v>
      </c>
      <c r="R16" s="5" t="n">
        <v>12692.6</v>
      </c>
      <c r="S16" s="5" t="n">
        <v>12597.55</v>
      </c>
      <c r="T16" s="5" t="n">
        <v>13012.46</v>
      </c>
      <c r="U16" s="5" t="n">
        <v>12805.52</v>
      </c>
      <c r="V16" s="5" t="n">
        <v>12872.81</v>
      </c>
      <c r="W16" s="5" t="n">
        <v>13164.14</v>
      </c>
      <c r="X16" s="5" t="n">
        <v>13366.06</v>
      </c>
      <c r="Y16" s="5" t="n">
        <v>13329.38</v>
      </c>
      <c r="Z16" s="5" t="n">
        <v>13557.78</v>
      </c>
      <c r="AA16" s="5" t="n">
        <v>13994.98</v>
      </c>
      <c r="AB16" s="5" t="n">
        <v>14031.11</v>
      </c>
      <c r="AC16" s="5" t="n">
        <v>13888.06</v>
      </c>
      <c r="AD16" s="5" t="n">
        <v>14076.66</v>
      </c>
      <c r="AE16" s="5" t="n">
        <v>13911.17</v>
      </c>
      <c r="AF16" s="5" t="n">
        <v>14323.32</v>
      </c>
      <c r="AG16" s="5" t="n">
        <v>14380.93</v>
      </c>
      <c r="AH16" s="5" t="n">
        <v>14426.07</v>
      </c>
      <c r="AI16" s="6">
        <f>AH16/AG16-1</f>
        <v/>
      </c>
      <c r="AJ16" s="6">
        <f>AH16/AD16-1</f>
        <v/>
      </c>
    </row>
    <row r="17">
      <c r="A17" t="inlineStr">
        <is>
          <t>TATAMOTORS</t>
        </is>
      </c>
      <c r="B17" s="5" t="n">
        <v>980</v>
      </c>
      <c r="C17" s="5" t="n">
        <v>989.26</v>
      </c>
      <c r="D17" s="5" t="n">
        <v>966.59</v>
      </c>
      <c r="E17" s="5" t="n">
        <v>1019.05</v>
      </c>
      <c r="F17" s="5" t="n">
        <v>1034.51</v>
      </c>
      <c r="G17" s="5" t="n">
        <v>990.7</v>
      </c>
      <c r="H17" s="5" t="n">
        <v>1000.58</v>
      </c>
      <c r="I17" s="5" t="n">
        <v>1010.38</v>
      </c>
      <c r="J17" s="5" t="n">
        <v>983.3099999999999</v>
      </c>
      <c r="K17" s="5" t="n">
        <v>987.76</v>
      </c>
      <c r="L17" s="5" t="n">
        <v>988.49</v>
      </c>
      <c r="M17" s="5" t="n">
        <v>1003.13</v>
      </c>
      <c r="N17" s="5" t="n">
        <v>1013.73</v>
      </c>
      <c r="O17" s="5" t="n">
        <v>1029.61</v>
      </c>
      <c r="P17" s="5" t="n">
        <v>1043.95</v>
      </c>
      <c r="Q17" s="5" t="n">
        <v>1051.82</v>
      </c>
      <c r="R17" s="5" t="n">
        <v>1066.83</v>
      </c>
      <c r="S17" s="5" t="n">
        <v>1031.99</v>
      </c>
      <c r="T17" s="5" t="n">
        <v>1020.94</v>
      </c>
      <c r="U17" s="5" t="n">
        <v>1028.53</v>
      </c>
      <c r="V17" s="5" t="n">
        <v>1036.65</v>
      </c>
      <c r="W17" s="5" t="n">
        <v>1038.65</v>
      </c>
      <c r="X17" s="5" t="n">
        <v>1084.44</v>
      </c>
      <c r="Y17" s="5" t="n">
        <v>1066.78</v>
      </c>
      <c r="Z17" s="5" t="n">
        <v>1057.15</v>
      </c>
      <c r="AA17" s="5" t="n">
        <v>1056.64</v>
      </c>
      <c r="AB17" s="5" t="n">
        <v>1056.08</v>
      </c>
      <c r="AC17" s="5" t="n">
        <v>1060</v>
      </c>
      <c r="AD17" s="5" t="n">
        <v>1098.65</v>
      </c>
      <c r="AE17" s="5" t="n">
        <v>1098.46</v>
      </c>
      <c r="AF17" s="5" t="n">
        <v>1082.5</v>
      </c>
      <c r="AG17" s="5" t="n">
        <v>1085.42</v>
      </c>
      <c r="AH17" s="5" t="n">
        <v>1084.36</v>
      </c>
      <c r="AI17" s="6">
        <f>AH17/AG17-1</f>
        <v/>
      </c>
      <c r="AJ17" s="6">
        <f>AH17/AD17-1</f>
        <v/>
      </c>
    </row>
    <row r="18">
      <c r="A18" t="inlineStr">
        <is>
          <t>M&amp;M</t>
        </is>
      </c>
      <c r="B18" s="5" t="n">
        <v>2850</v>
      </c>
      <c r="C18" s="5" t="n">
        <v>2889.17</v>
      </c>
      <c r="D18" s="5" t="n">
        <v>2962.38</v>
      </c>
      <c r="E18" s="5" t="n">
        <v>3123.41</v>
      </c>
      <c r="F18" s="5" t="n">
        <v>3124.65</v>
      </c>
      <c r="G18" s="5" t="n">
        <v>3116.76</v>
      </c>
      <c r="H18" s="5" t="n">
        <v>3117.79</v>
      </c>
      <c r="I18" s="5" t="n">
        <v>3068.65</v>
      </c>
      <c r="J18" s="5" t="n">
        <v>3184.46</v>
      </c>
      <c r="K18" s="5" t="n">
        <v>3278.11</v>
      </c>
      <c r="L18" s="5" t="n">
        <v>3156.95</v>
      </c>
      <c r="M18" s="5" t="n">
        <v>3256.35</v>
      </c>
      <c r="N18" s="5" t="n">
        <v>3276.61</v>
      </c>
      <c r="O18" s="5" t="n">
        <v>3321.16</v>
      </c>
      <c r="P18" s="5" t="n">
        <v>3239.93</v>
      </c>
      <c r="Q18" s="5" t="n">
        <v>3374</v>
      </c>
      <c r="R18" s="5" t="n">
        <v>3481.61</v>
      </c>
      <c r="S18" s="5" t="n">
        <v>3444.61</v>
      </c>
      <c r="T18" s="5" t="n">
        <v>3266.62</v>
      </c>
      <c r="U18" s="5" t="n">
        <v>3216.43</v>
      </c>
      <c r="V18" s="5" t="n">
        <v>3277.61</v>
      </c>
      <c r="W18" s="5" t="n">
        <v>3449.55</v>
      </c>
      <c r="X18" s="5" t="n">
        <v>3402.34</v>
      </c>
      <c r="Y18" s="5" t="n">
        <v>3415.67</v>
      </c>
      <c r="Z18" s="5" t="n">
        <v>3208.42</v>
      </c>
      <c r="AA18" s="5" t="n">
        <v>3246.14</v>
      </c>
      <c r="AB18" s="5" t="n">
        <v>3174.93</v>
      </c>
      <c r="AC18" s="5" t="n">
        <v>3196.14</v>
      </c>
      <c r="AD18" s="5" t="n">
        <v>3323.1</v>
      </c>
      <c r="AE18" s="5" t="n">
        <v>3405.56</v>
      </c>
      <c r="AF18" s="5" t="n">
        <v>3444.9</v>
      </c>
      <c r="AG18" s="5" t="n">
        <v>3236.68</v>
      </c>
      <c r="AH18" s="5" t="n">
        <v>3055.55</v>
      </c>
      <c r="AI18" s="6">
        <f>AH18/AG18-1</f>
        <v/>
      </c>
      <c r="AJ18" s="6">
        <f>AH18/AD18-1</f>
        <v/>
      </c>
    </row>
    <row r="19">
      <c r="A19" t="inlineStr">
        <is>
          <t>HEROMOTOCO</t>
        </is>
      </c>
      <c r="B19" s="5" t="n">
        <v>5230</v>
      </c>
      <c r="C19" s="5" t="n">
        <v>5503.02</v>
      </c>
      <c r="D19" s="5" t="n">
        <v>5498.42</v>
      </c>
      <c r="E19" s="5" t="n">
        <v>5418.8</v>
      </c>
      <c r="F19" s="5" t="n">
        <v>5506.64</v>
      </c>
      <c r="G19" s="5" t="n">
        <v>5819.73</v>
      </c>
      <c r="H19" s="5" t="n">
        <v>6204.12</v>
      </c>
      <c r="I19" s="5" t="n">
        <v>5524.97</v>
      </c>
      <c r="J19" s="5" t="n">
        <v>5527.82</v>
      </c>
      <c r="K19" s="5" t="n">
        <v>5726.58</v>
      </c>
      <c r="L19" s="5" t="n">
        <v>5930.38</v>
      </c>
      <c r="M19" s="5" t="n">
        <v>6222.99</v>
      </c>
      <c r="N19" s="5" t="n">
        <v>6249.04</v>
      </c>
      <c r="O19" s="5" t="n">
        <v>6705.82</v>
      </c>
      <c r="P19" s="5" t="n">
        <v>7232.18</v>
      </c>
      <c r="Q19" s="5" t="n">
        <v>7123.13</v>
      </c>
      <c r="R19" s="5" t="n">
        <v>7566.18</v>
      </c>
      <c r="S19" s="5" t="n">
        <v>7731.88</v>
      </c>
      <c r="T19" s="5" t="n">
        <v>7749.36</v>
      </c>
      <c r="U19" s="5" t="n">
        <v>7856.65</v>
      </c>
      <c r="V19" s="5" t="n">
        <v>8355.67</v>
      </c>
      <c r="W19" s="5" t="n">
        <v>8632.040000000001</v>
      </c>
      <c r="X19" s="5" t="n">
        <v>8620.110000000001</v>
      </c>
      <c r="Y19" s="5" t="n">
        <v>8847.440000000001</v>
      </c>
      <c r="Z19" s="5" t="n">
        <v>8472.08</v>
      </c>
      <c r="AA19" s="5" t="n">
        <v>8507.049999999999</v>
      </c>
      <c r="AB19" s="5" t="n">
        <v>9265.24</v>
      </c>
      <c r="AC19" s="5" t="n">
        <v>9769.93</v>
      </c>
      <c r="AD19" s="5" t="n">
        <v>9519.719999999999</v>
      </c>
      <c r="AE19" s="5" t="n">
        <v>10004.9</v>
      </c>
      <c r="AF19" s="5" t="n">
        <v>10227.01</v>
      </c>
      <c r="AG19" s="5" t="n">
        <v>9553.280000000001</v>
      </c>
      <c r="AH19" s="5" t="n">
        <v>9706.059999999999</v>
      </c>
      <c r="AI19" s="6">
        <f>AH19/AG19-1</f>
        <v/>
      </c>
      <c r="AJ19" s="6">
        <f>AH19/AD19-1</f>
        <v/>
      </c>
    </row>
    <row r="20">
      <c r="A20" t="inlineStr">
        <is>
          <t>HINDUNILVR</t>
        </is>
      </c>
      <c r="B20" s="5" t="n">
        <v>2560</v>
      </c>
      <c r="C20" s="5" t="n">
        <v>2658.57</v>
      </c>
      <c r="D20" s="5" t="n">
        <v>2697.21</v>
      </c>
      <c r="E20" s="5" t="n">
        <v>2640.75</v>
      </c>
      <c r="F20" s="5" t="n">
        <v>2580.2</v>
      </c>
      <c r="G20" s="5" t="n">
        <v>2634.75</v>
      </c>
      <c r="H20" s="5" t="n">
        <v>2595.04</v>
      </c>
      <c r="I20" s="5" t="n">
        <v>2545.78</v>
      </c>
      <c r="J20" s="5" t="n">
        <v>2506.88</v>
      </c>
      <c r="K20" s="5" t="n">
        <v>2577.83</v>
      </c>
      <c r="L20" s="5" t="n">
        <v>2654.98</v>
      </c>
      <c r="M20" s="5" t="n">
        <v>2614.01</v>
      </c>
      <c r="N20" s="5" t="n">
        <v>2593.35</v>
      </c>
      <c r="O20" s="5" t="n">
        <v>2598.54</v>
      </c>
      <c r="P20" s="5" t="n">
        <v>2544.79</v>
      </c>
      <c r="Q20" s="5" t="n">
        <v>2461.35</v>
      </c>
      <c r="R20" s="5" t="n">
        <v>2444.35</v>
      </c>
      <c r="S20" s="5" t="n">
        <v>2535.69</v>
      </c>
      <c r="T20" s="5" t="n">
        <v>2533.45</v>
      </c>
      <c r="U20" s="5" t="n">
        <v>2545.09</v>
      </c>
      <c r="V20" s="5" t="n">
        <v>2572.57</v>
      </c>
      <c r="W20" s="5" t="n">
        <v>2564.16</v>
      </c>
      <c r="X20" s="5" t="n">
        <v>2570.43</v>
      </c>
      <c r="Y20" s="5" t="n">
        <v>2548.54</v>
      </c>
      <c r="Z20" s="5" t="n">
        <v>2521.49</v>
      </c>
      <c r="AA20" s="5" t="n">
        <v>2570.96</v>
      </c>
      <c r="AB20" s="5" t="n">
        <v>2629.61</v>
      </c>
      <c r="AC20" s="5" t="n">
        <v>2474.76</v>
      </c>
      <c r="AD20" s="5" t="n">
        <v>2432.61</v>
      </c>
      <c r="AE20" s="5" t="n">
        <v>2501.72</v>
      </c>
      <c r="AF20" s="5" t="n">
        <v>2401.58</v>
      </c>
      <c r="AG20" s="5" t="n">
        <v>2427.8</v>
      </c>
      <c r="AH20" s="5" t="n">
        <v>2389.28</v>
      </c>
      <c r="AI20" s="6">
        <f>AH20/AG20-1</f>
        <v/>
      </c>
      <c r="AJ20" s="6">
        <f>AH20/AD20-1</f>
        <v/>
      </c>
    </row>
    <row r="21">
      <c r="A21" t="inlineStr">
        <is>
          <t>ITC</t>
        </is>
      </c>
      <c r="B21" s="5" t="n">
        <v>505</v>
      </c>
      <c r="C21" s="5" t="n">
        <v>511.11</v>
      </c>
      <c r="D21" s="5" t="n">
        <v>527.9299999999999</v>
      </c>
      <c r="E21" s="5" t="n">
        <v>516.25</v>
      </c>
      <c r="F21" s="5" t="n">
        <v>528.49</v>
      </c>
      <c r="G21" s="5" t="n">
        <v>548.51</v>
      </c>
      <c r="H21" s="5" t="n">
        <v>528.01</v>
      </c>
      <c r="I21" s="5" t="n">
        <v>482.15</v>
      </c>
      <c r="J21" s="5" t="n">
        <v>466.66</v>
      </c>
      <c r="K21" s="5" t="n">
        <v>480.46</v>
      </c>
      <c r="L21" s="5" t="n">
        <v>482.7</v>
      </c>
      <c r="M21" s="5" t="n">
        <v>456.67</v>
      </c>
      <c r="N21" s="5" t="n">
        <v>429.07</v>
      </c>
      <c r="O21" s="5" t="n">
        <v>444.41</v>
      </c>
      <c r="P21" s="5" t="n">
        <v>461.56</v>
      </c>
      <c r="Q21" s="5" t="n">
        <v>436.62</v>
      </c>
      <c r="R21" s="5" t="n">
        <v>432.07</v>
      </c>
      <c r="S21" s="5" t="n">
        <v>405.01</v>
      </c>
      <c r="T21" s="5" t="n">
        <v>394.57</v>
      </c>
      <c r="U21" s="5" t="n">
        <v>393.55</v>
      </c>
      <c r="V21" s="5" t="n">
        <v>410.46</v>
      </c>
      <c r="W21" s="5" t="n">
        <v>427.53</v>
      </c>
      <c r="X21" s="5" t="n">
        <v>454.74</v>
      </c>
      <c r="Y21" s="5" t="n">
        <v>449.32</v>
      </c>
      <c r="Z21" s="5" t="n">
        <v>463.26</v>
      </c>
      <c r="AA21" s="5" t="n">
        <v>460.25</v>
      </c>
      <c r="AB21" s="5" t="n">
        <v>478.53</v>
      </c>
      <c r="AC21" s="5" t="n">
        <v>447.84</v>
      </c>
      <c r="AD21" s="5" t="n">
        <v>440.31</v>
      </c>
      <c r="AE21" s="5" t="n">
        <v>421.66</v>
      </c>
      <c r="AF21" s="5" t="n">
        <v>401.61</v>
      </c>
      <c r="AG21" s="5" t="n">
        <v>413.37</v>
      </c>
      <c r="AH21" s="5" t="n">
        <v>435.24</v>
      </c>
      <c r="AI21" s="6">
        <f>AH21/AG21-1</f>
        <v/>
      </c>
      <c r="AJ21" s="6">
        <f>AH21/AD21-1</f>
        <v/>
      </c>
    </row>
    <row r="22">
      <c r="A22" t="inlineStr">
        <is>
          <t>NESTLEIND</t>
        </is>
      </c>
      <c r="B22" s="5" t="n">
        <v>2450</v>
      </c>
      <c r="C22" s="5" t="n">
        <v>2447.71</v>
      </c>
      <c r="D22" s="5" t="n">
        <v>2420.87</v>
      </c>
      <c r="E22" s="5" t="n">
        <v>2587.99</v>
      </c>
      <c r="F22" s="5" t="n">
        <v>2699.73</v>
      </c>
      <c r="G22" s="5" t="n">
        <v>2592.59</v>
      </c>
      <c r="H22" s="5" t="n">
        <v>2589.61</v>
      </c>
      <c r="I22" s="5" t="n">
        <v>2498.44</v>
      </c>
      <c r="J22" s="5" t="n">
        <v>2433.43</v>
      </c>
      <c r="K22" s="5" t="n">
        <v>2391.67</v>
      </c>
      <c r="L22" s="5" t="n">
        <v>2440.51</v>
      </c>
      <c r="M22" s="5" t="n">
        <v>2484.55</v>
      </c>
      <c r="N22" s="5" t="n">
        <v>2415.89</v>
      </c>
      <c r="O22" s="5" t="n">
        <v>2506.77</v>
      </c>
      <c r="P22" s="5" t="n">
        <v>2479.36</v>
      </c>
      <c r="Q22" s="5" t="n">
        <v>2596.28</v>
      </c>
      <c r="R22" s="5" t="n">
        <v>2599.4</v>
      </c>
      <c r="S22" s="5" t="n">
        <v>2619.82</v>
      </c>
      <c r="T22" s="5" t="n">
        <v>2609.66</v>
      </c>
      <c r="U22" s="5" t="n">
        <v>2631.75</v>
      </c>
      <c r="V22" s="5" t="n">
        <v>2528.44</v>
      </c>
      <c r="W22" s="5" t="n">
        <v>2766.45</v>
      </c>
      <c r="X22" s="5" t="n">
        <v>2872.39</v>
      </c>
      <c r="Y22" s="5" t="n">
        <v>2933.86</v>
      </c>
      <c r="Z22" s="5" t="n">
        <v>2978.48</v>
      </c>
      <c r="AA22" s="5" t="n">
        <v>2889.15</v>
      </c>
      <c r="AB22" s="5" t="n">
        <v>2789.17</v>
      </c>
      <c r="AC22" s="5" t="n">
        <v>2888.6</v>
      </c>
      <c r="AD22" s="5" t="n">
        <v>2873.46</v>
      </c>
      <c r="AE22" s="5" t="n">
        <v>2759.8</v>
      </c>
      <c r="AF22" s="5" t="n">
        <v>2748.86</v>
      </c>
      <c r="AG22" s="5" t="n">
        <v>2570.47</v>
      </c>
      <c r="AH22" s="5" t="n">
        <v>2573.16</v>
      </c>
      <c r="AI22" s="6">
        <f>AH22/AG22-1</f>
        <v/>
      </c>
      <c r="AJ22" s="6">
        <f>AH22/AD22-1</f>
        <v/>
      </c>
    </row>
    <row r="23">
      <c r="A23" t="inlineStr">
        <is>
          <t>DABUR</t>
        </is>
      </c>
      <c r="B23" s="5" t="n">
        <v>620</v>
      </c>
      <c r="C23" s="5" t="n">
        <v>642.09</v>
      </c>
      <c r="D23" s="5" t="n">
        <v>633.63</v>
      </c>
      <c r="E23" s="5" t="n">
        <v>636.8</v>
      </c>
      <c r="F23" s="5" t="n">
        <v>627</v>
      </c>
      <c r="G23" s="5" t="n">
        <v>617.24</v>
      </c>
      <c r="H23" s="5" t="n">
        <v>615.5700000000001</v>
      </c>
      <c r="I23" s="5" t="n">
        <v>616.01</v>
      </c>
      <c r="J23" s="5" t="n">
        <v>620.95</v>
      </c>
      <c r="K23" s="5" t="n">
        <v>618.63</v>
      </c>
      <c r="L23" s="5" t="n">
        <v>620.6</v>
      </c>
      <c r="M23" s="5" t="n">
        <v>621.5</v>
      </c>
      <c r="N23" s="5" t="n">
        <v>620.35</v>
      </c>
      <c r="O23" s="5" t="n">
        <v>619.74</v>
      </c>
      <c r="P23" s="5" t="n">
        <v>621.64</v>
      </c>
      <c r="Q23" s="5" t="n">
        <v>607.5700000000001</v>
      </c>
      <c r="R23" s="5" t="n">
        <v>599.66</v>
      </c>
      <c r="S23" s="5" t="n">
        <v>573.85</v>
      </c>
      <c r="T23" s="5" t="n">
        <v>581.36</v>
      </c>
      <c r="U23" s="5" t="n">
        <v>576.98</v>
      </c>
      <c r="V23" s="5" t="n">
        <v>554.05</v>
      </c>
      <c r="W23" s="5" t="n">
        <v>558.46</v>
      </c>
      <c r="X23" s="5" t="n">
        <v>555.28</v>
      </c>
      <c r="Y23" s="5" t="n">
        <v>543.88</v>
      </c>
      <c r="Z23" s="5" t="n">
        <v>550.1900000000001</v>
      </c>
      <c r="AA23" s="5" t="n">
        <v>565.8</v>
      </c>
      <c r="AB23" s="5" t="n">
        <v>566.49</v>
      </c>
      <c r="AC23" s="5" t="n">
        <v>553.4400000000001</v>
      </c>
      <c r="AD23" s="5" t="n">
        <v>571.92</v>
      </c>
      <c r="AE23" s="5" t="n">
        <v>563.89</v>
      </c>
      <c r="AF23" s="5" t="n">
        <v>554.59</v>
      </c>
      <c r="AG23" s="5" t="n">
        <v>540.9299999999999</v>
      </c>
      <c r="AH23" s="5" t="n">
        <v>547.04</v>
      </c>
      <c r="AI23" s="6">
        <f>AH23/AG23-1</f>
        <v/>
      </c>
      <c r="AJ23" s="6">
        <f>AH23/AD23-1</f>
        <v/>
      </c>
    </row>
    <row r="24">
      <c r="A24" t="inlineStr">
        <is>
          <t>SUNPHARMA</t>
        </is>
      </c>
      <c r="B24" s="5" t="n">
        <v>1740</v>
      </c>
      <c r="C24" s="5" t="n">
        <v>1743.89</v>
      </c>
      <c r="D24" s="5" t="n">
        <v>1718.68</v>
      </c>
      <c r="E24" s="5" t="n">
        <v>1728.22</v>
      </c>
      <c r="F24" s="5" t="n">
        <v>1618.01</v>
      </c>
      <c r="G24" s="5" t="n">
        <v>1618.63</v>
      </c>
      <c r="H24" s="5" t="n">
        <v>1729.8</v>
      </c>
      <c r="I24" s="5" t="n">
        <v>1786.34</v>
      </c>
      <c r="J24" s="5" t="n">
        <v>1792.22</v>
      </c>
      <c r="K24" s="5" t="n">
        <v>1772.41</v>
      </c>
      <c r="L24" s="5" t="n">
        <v>1830.08</v>
      </c>
      <c r="M24" s="5" t="n">
        <v>1790.93</v>
      </c>
      <c r="N24" s="5" t="n">
        <v>1796.18</v>
      </c>
      <c r="O24" s="5" t="n">
        <v>1781.92</v>
      </c>
      <c r="P24" s="5" t="n">
        <v>1683.13</v>
      </c>
      <c r="Q24" s="5" t="n">
        <v>1678.75</v>
      </c>
      <c r="R24" s="5" t="n">
        <v>1529.79</v>
      </c>
      <c r="S24" s="5" t="n">
        <v>1577.19</v>
      </c>
      <c r="T24" s="5" t="n">
        <v>1673.04</v>
      </c>
      <c r="U24" s="5" t="n">
        <v>1638.75</v>
      </c>
      <c r="V24" s="5" t="n">
        <v>1619.9</v>
      </c>
      <c r="W24" s="5" t="n">
        <v>1577.61</v>
      </c>
      <c r="X24" s="5" t="n">
        <v>1572.37</v>
      </c>
      <c r="Y24" s="5" t="n">
        <v>1498.41</v>
      </c>
      <c r="Z24" s="5" t="n">
        <v>1403.76</v>
      </c>
      <c r="AA24" s="5" t="n">
        <v>1513.29</v>
      </c>
      <c r="AB24" s="5" t="n">
        <v>1463.11</v>
      </c>
      <c r="AC24" s="5" t="n">
        <v>1577.97</v>
      </c>
      <c r="AD24" s="5" t="n">
        <v>1512.67</v>
      </c>
      <c r="AE24" s="5" t="n">
        <v>1491.03</v>
      </c>
      <c r="AF24" s="5" t="n">
        <v>1477.68</v>
      </c>
      <c r="AG24" s="5" t="n">
        <v>1479.16</v>
      </c>
      <c r="AH24" s="5" t="n">
        <v>1466.31</v>
      </c>
      <c r="AI24" s="6">
        <f>AH24/AG24-1</f>
        <v/>
      </c>
      <c r="AJ24" s="6">
        <f>AH24/AD24-1</f>
        <v/>
      </c>
    </row>
    <row r="25">
      <c r="A25" t="inlineStr">
        <is>
          <t>DRREDDY</t>
        </is>
      </c>
      <c r="B25" s="5" t="n">
        <v>1280</v>
      </c>
      <c r="C25" s="5" t="n">
        <v>1227.82</v>
      </c>
      <c r="D25" s="5" t="n">
        <v>1201.67</v>
      </c>
      <c r="E25" s="5" t="n">
        <v>1182.24</v>
      </c>
      <c r="F25" s="5" t="n">
        <v>1182.21</v>
      </c>
      <c r="G25" s="5" t="n">
        <v>1207.19</v>
      </c>
      <c r="H25" s="5" t="n">
        <v>1203.51</v>
      </c>
      <c r="I25" s="5" t="n">
        <v>1236.04</v>
      </c>
      <c r="J25" s="5" t="n">
        <v>1247.22</v>
      </c>
      <c r="K25" s="5" t="n">
        <v>1230.94</v>
      </c>
      <c r="L25" s="5" t="n">
        <v>1180.98</v>
      </c>
      <c r="M25" s="5" t="n">
        <v>1173.78</v>
      </c>
      <c r="N25" s="5" t="n">
        <v>1179.98</v>
      </c>
      <c r="O25" s="5" t="n">
        <v>1181.3</v>
      </c>
      <c r="P25" s="5" t="n">
        <v>1173.52</v>
      </c>
      <c r="Q25" s="5" t="n">
        <v>1132.33</v>
      </c>
      <c r="R25" s="5" t="n">
        <v>1092.63</v>
      </c>
      <c r="S25" s="5" t="n">
        <v>1148.11</v>
      </c>
      <c r="T25" s="5" t="n">
        <v>1084.16</v>
      </c>
      <c r="U25" s="5" t="n">
        <v>1085.15</v>
      </c>
      <c r="V25" s="5" t="n">
        <v>1101.52</v>
      </c>
      <c r="W25" s="5" t="n">
        <v>1143.52</v>
      </c>
      <c r="X25" s="5" t="n">
        <v>1150.25</v>
      </c>
      <c r="Y25" s="5" t="n">
        <v>1221.17</v>
      </c>
      <c r="Z25" s="5" t="n">
        <v>1206.63</v>
      </c>
      <c r="AA25" s="5" t="n">
        <v>1130.65</v>
      </c>
      <c r="AB25" s="5" t="n">
        <v>1127.75</v>
      </c>
      <c r="AC25" s="5" t="n">
        <v>1154.29</v>
      </c>
      <c r="AD25" s="5" t="n">
        <v>1183.84</v>
      </c>
      <c r="AE25" s="5" t="n">
        <v>1152.97</v>
      </c>
      <c r="AF25" s="5" t="n">
        <v>1167.74</v>
      </c>
      <c r="AG25" s="5" t="n">
        <v>1211.96</v>
      </c>
      <c r="AH25" s="5" t="n">
        <v>1221.66</v>
      </c>
      <c r="AI25" s="6">
        <f>AH25/AG25-1</f>
        <v/>
      </c>
      <c r="AJ25" s="6">
        <f>AH25/AD25-1</f>
        <v/>
      </c>
    </row>
    <row r="26">
      <c r="A26" t="inlineStr">
        <is>
          <t>CIPLA</t>
        </is>
      </c>
      <c r="B26" s="5" t="n">
        <v>1540</v>
      </c>
      <c r="C26" s="5" t="n">
        <v>1540.28</v>
      </c>
      <c r="D26" s="5" t="n">
        <v>1529.15</v>
      </c>
      <c r="E26" s="5" t="n">
        <v>1576.58</v>
      </c>
      <c r="F26" s="5" t="n">
        <v>1575.29</v>
      </c>
      <c r="G26" s="5" t="n">
        <v>1620.22</v>
      </c>
      <c r="H26" s="5" t="n">
        <v>1640.75</v>
      </c>
      <c r="I26" s="5" t="n">
        <v>1620.71</v>
      </c>
      <c r="J26" s="5" t="n">
        <v>1596.93</v>
      </c>
      <c r="K26" s="5" t="n">
        <v>1578.83</v>
      </c>
      <c r="L26" s="5" t="n">
        <v>1632.08</v>
      </c>
      <c r="M26" s="5" t="n">
        <v>1631.34</v>
      </c>
      <c r="N26" s="5" t="n">
        <v>1652.85</v>
      </c>
      <c r="O26" s="5" t="n">
        <v>1614.05</v>
      </c>
      <c r="P26" s="5" t="n">
        <v>1637</v>
      </c>
      <c r="Q26" s="5" t="n">
        <v>1694.7</v>
      </c>
      <c r="R26" s="5" t="n">
        <v>1707.89</v>
      </c>
      <c r="S26" s="5" t="n">
        <v>1713.62</v>
      </c>
      <c r="T26" s="5" t="n">
        <v>1677.75</v>
      </c>
      <c r="U26" s="5" t="n">
        <v>1607.56</v>
      </c>
      <c r="V26" s="5" t="n">
        <v>1655.74</v>
      </c>
      <c r="W26" s="5" t="n">
        <v>1686.08</v>
      </c>
      <c r="X26" s="5" t="n">
        <v>1715.92</v>
      </c>
      <c r="Y26" s="5" t="n">
        <v>1725.11</v>
      </c>
      <c r="Z26" s="5" t="n">
        <v>1661.11</v>
      </c>
      <c r="AA26" s="5" t="n">
        <v>1636.18</v>
      </c>
      <c r="AB26" s="5" t="n">
        <v>1711.7</v>
      </c>
      <c r="AC26" s="5" t="n">
        <v>1771.68</v>
      </c>
      <c r="AD26" s="5" t="n">
        <v>1665.64</v>
      </c>
      <c r="AE26" s="5" t="n">
        <v>1639.2</v>
      </c>
      <c r="AF26" s="5" t="n">
        <v>1690.28</v>
      </c>
      <c r="AG26" s="5" t="n">
        <v>1705.37</v>
      </c>
      <c r="AH26" s="5" t="n">
        <v>1744.35</v>
      </c>
      <c r="AI26" s="6">
        <f>AH26/AG26-1</f>
        <v/>
      </c>
      <c r="AJ26" s="6">
        <f>AH26/AD26-1</f>
        <v/>
      </c>
    </row>
    <row r="27">
      <c r="A27" t="inlineStr">
        <is>
          <t>ULTRACEMCO</t>
        </is>
      </c>
      <c r="B27" s="5" t="n">
        <v>11500</v>
      </c>
      <c r="C27" s="5" t="n">
        <v>11509.18</v>
      </c>
      <c r="D27" s="5" t="n">
        <v>11415.39</v>
      </c>
      <c r="E27" s="5" t="n">
        <v>11572.78</v>
      </c>
      <c r="F27" s="5" t="n">
        <v>11262.84</v>
      </c>
      <c r="G27" s="5" t="n">
        <v>11274.21</v>
      </c>
      <c r="H27" s="5" t="n">
        <v>11082.33</v>
      </c>
      <c r="I27" s="5" t="n">
        <v>11216.41</v>
      </c>
      <c r="J27" s="5" t="n">
        <v>11268.05</v>
      </c>
      <c r="K27" s="5" t="n">
        <v>11273.19</v>
      </c>
      <c r="L27" s="5" t="n">
        <v>11311.83</v>
      </c>
      <c r="M27" s="5" t="n">
        <v>11115.69</v>
      </c>
      <c r="N27" s="5" t="n">
        <v>11305.01</v>
      </c>
      <c r="O27" s="5" t="n">
        <v>11414.32</v>
      </c>
      <c r="P27" s="5" t="n">
        <v>11648.96</v>
      </c>
      <c r="Q27" s="5" t="n">
        <v>11671.32</v>
      </c>
      <c r="R27" s="5" t="n">
        <v>11648.09</v>
      </c>
      <c r="S27" s="5" t="n">
        <v>11576.45</v>
      </c>
      <c r="T27" s="5" t="n">
        <v>11573.08</v>
      </c>
      <c r="U27" s="5" t="n">
        <v>11968.08</v>
      </c>
      <c r="V27" s="5" t="n">
        <v>11980.75</v>
      </c>
      <c r="W27" s="5" t="n">
        <v>11956.74</v>
      </c>
      <c r="X27" s="5" t="n">
        <v>12262.08</v>
      </c>
      <c r="Y27" s="5" t="n">
        <v>12519.3</v>
      </c>
      <c r="Z27" s="5" t="n">
        <v>12883.51</v>
      </c>
      <c r="AA27" s="5" t="n">
        <v>12771.33</v>
      </c>
      <c r="AB27" s="5" t="n">
        <v>12835.54</v>
      </c>
      <c r="AC27" s="5" t="n">
        <v>12952.65</v>
      </c>
      <c r="AD27" s="5" t="n">
        <v>13000.59</v>
      </c>
      <c r="AE27" s="5" t="n">
        <v>12835.81</v>
      </c>
      <c r="AF27" s="5" t="n">
        <v>12898.93</v>
      </c>
      <c r="AG27" s="5" t="n">
        <v>13004.49</v>
      </c>
      <c r="AH27" s="5" t="n">
        <v>13476.64</v>
      </c>
      <c r="AI27" s="6">
        <f>AH27/AG27-1</f>
        <v/>
      </c>
      <c r="AJ27" s="6">
        <f>AH27/AD27-1</f>
        <v/>
      </c>
    </row>
    <row r="28">
      <c r="A28" t="inlineStr">
        <is>
          <t>LT</t>
        </is>
      </c>
      <c r="B28" s="5" t="n">
        <v>3640</v>
      </c>
      <c r="C28" s="5" t="n">
        <v>3594.49</v>
      </c>
      <c r="D28" s="5" t="n">
        <v>3509.58</v>
      </c>
      <c r="E28" s="5" t="n">
        <v>3437.59</v>
      </c>
      <c r="F28" s="5" t="n">
        <v>3540.47</v>
      </c>
      <c r="G28" s="5" t="n">
        <v>3475.54</v>
      </c>
      <c r="H28" s="5" t="n">
        <v>3478.26</v>
      </c>
      <c r="I28" s="5" t="n">
        <v>3290.46</v>
      </c>
      <c r="J28" s="5" t="n">
        <v>3253.67</v>
      </c>
      <c r="K28" s="5" t="n">
        <v>3207.94</v>
      </c>
      <c r="L28" s="5" t="n">
        <v>3055.76</v>
      </c>
      <c r="M28" s="5" t="n">
        <v>3003.76</v>
      </c>
      <c r="N28" s="5" t="n">
        <v>2984.85</v>
      </c>
      <c r="O28" s="5" t="n">
        <v>3069.4</v>
      </c>
      <c r="P28" s="5" t="n">
        <v>2950.1</v>
      </c>
      <c r="Q28" s="5" t="n">
        <v>2927.88</v>
      </c>
      <c r="R28" s="5" t="n">
        <v>2954.33</v>
      </c>
      <c r="S28" s="5" t="n">
        <v>2907</v>
      </c>
      <c r="T28" s="5" t="n">
        <v>2916.46</v>
      </c>
      <c r="U28" s="5" t="n">
        <v>2770.37</v>
      </c>
      <c r="V28" s="5" t="n">
        <v>2675</v>
      </c>
      <c r="W28" s="5" t="n">
        <v>2677.77</v>
      </c>
      <c r="X28" s="5" t="n">
        <v>2583.11</v>
      </c>
      <c r="Y28" s="5" t="n">
        <v>2435.74</v>
      </c>
      <c r="Z28" s="5" t="n">
        <v>2453.2</v>
      </c>
      <c r="AA28" s="5" t="n">
        <v>2532.94</v>
      </c>
      <c r="AB28" s="5" t="n">
        <v>2569.16</v>
      </c>
      <c r="AC28" s="5" t="n">
        <v>2697.4</v>
      </c>
      <c r="AD28" s="5" t="n">
        <v>2727.61</v>
      </c>
      <c r="AE28" s="5" t="n">
        <v>2715.29</v>
      </c>
      <c r="AF28" s="5" t="n">
        <v>2592.25</v>
      </c>
      <c r="AG28" s="5" t="n">
        <v>2632.32</v>
      </c>
      <c r="AH28" s="5" t="n">
        <v>2624.98</v>
      </c>
      <c r="AI28" s="6">
        <f>AH28/AG28-1</f>
        <v/>
      </c>
      <c r="AJ28" s="6">
        <f>AH28/AD28-1</f>
        <v/>
      </c>
    </row>
    <row r="29">
      <c r="A29" t="inlineStr">
        <is>
          <t>TATASTEEL</t>
        </is>
      </c>
      <c r="B29" s="5" t="n">
        <v>168</v>
      </c>
      <c r="C29" s="5" t="n">
        <v>165.7</v>
      </c>
      <c r="D29" s="5" t="n">
        <v>167.55</v>
      </c>
      <c r="E29" s="5" t="n">
        <v>170.94</v>
      </c>
      <c r="F29" s="5" t="n">
        <v>172.34</v>
      </c>
      <c r="G29" s="5" t="n">
        <v>172.41</v>
      </c>
      <c r="H29" s="5" t="n">
        <v>174.3</v>
      </c>
      <c r="I29" s="5" t="n">
        <v>167.68</v>
      </c>
      <c r="J29" s="5" t="n">
        <v>168.03</v>
      </c>
      <c r="K29" s="5" t="n">
        <v>170.93</v>
      </c>
      <c r="L29" s="5" t="n">
        <v>170.84</v>
      </c>
      <c r="M29" s="5" t="n">
        <v>167.63</v>
      </c>
      <c r="N29" s="5" t="n">
        <v>169.51</v>
      </c>
      <c r="O29" s="5" t="n">
        <v>164.72</v>
      </c>
      <c r="P29" s="5" t="n">
        <v>158.58</v>
      </c>
      <c r="Q29" s="5" t="n">
        <v>164.54</v>
      </c>
      <c r="R29" s="5" t="n">
        <v>162.27</v>
      </c>
      <c r="S29" s="5" t="n">
        <v>162.28</v>
      </c>
      <c r="T29" s="5" t="n">
        <v>159.92</v>
      </c>
      <c r="U29" s="5" t="n">
        <v>155.55</v>
      </c>
      <c r="V29" s="5" t="n">
        <v>158.83</v>
      </c>
      <c r="W29" s="5" t="n">
        <v>162.25</v>
      </c>
      <c r="X29" s="5" t="n">
        <v>161.04</v>
      </c>
      <c r="Y29" s="5" t="n">
        <v>157.66</v>
      </c>
      <c r="Z29" s="5" t="n">
        <v>155.49</v>
      </c>
      <c r="AA29" s="5" t="n">
        <v>156.76</v>
      </c>
      <c r="AB29" s="5" t="n">
        <v>156.21</v>
      </c>
      <c r="AC29" s="5" t="n">
        <v>153.16</v>
      </c>
      <c r="AD29" s="5" t="n">
        <v>157.26</v>
      </c>
      <c r="AE29" s="5" t="n">
        <v>157.6</v>
      </c>
      <c r="AF29" s="5" t="n">
        <v>154.44</v>
      </c>
      <c r="AG29" s="5" t="n">
        <v>156.62</v>
      </c>
      <c r="AH29" s="5" t="n">
        <v>157.34</v>
      </c>
      <c r="AI29" s="6">
        <f>AH29/AG29-1</f>
        <v/>
      </c>
      <c r="AJ29" s="6">
        <f>AH29/AD29-1</f>
        <v/>
      </c>
    </row>
    <row r="30">
      <c r="A30" t="inlineStr">
        <is>
          <t>HINDALCO</t>
        </is>
      </c>
      <c r="B30" s="5" t="n">
        <v>690</v>
      </c>
      <c r="C30" s="5" t="n">
        <v>680.37</v>
      </c>
      <c r="D30" s="5" t="n">
        <v>696.5700000000001</v>
      </c>
      <c r="E30" s="5" t="n">
        <v>662.1900000000001</v>
      </c>
      <c r="F30" s="5" t="n">
        <v>656.53</v>
      </c>
      <c r="G30" s="5" t="n">
        <v>606.78</v>
      </c>
      <c r="H30" s="5" t="n">
        <v>609.11</v>
      </c>
      <c r="I30" s="5" t="n">
        <v>577.5</v>
      </c>
      <c r="J30" s="5" t="n">
        <v>587.64</v>
      </c>
      <c r="K30" s="5" t="n">
        <v>581.79</v>
      </c>
      <c r="L30" s="5" t="n">
        <v>552.03</v>
      </c>
      <c r="M30" s="5" t="n">
        <v>550.87</v>
      </c>
      <c r="N30" s="5" t="n">
        <v>564.51</v>
      </c>
      <c r="O30" s="5" t="n">
        <v>588.27</v>
      </c>
      <c r="P30" s="5" t="n">
        <v>583.05</v>
      </c>
      <c r="Q30" s="5" t="n">
        <v>589.0700000000001</v>
      </c>
      <c r="R30" s="5" t="n">
        <v>603.52</v>
      </c>
      <c r="S30" s="5" t="n">
        <v>597.64</v>
      </c>
      <c r="T30" s="5" t="n">
        <v>579.65</v>
      </c>
      <c r="U30" s="5" t="n">
        <v>609.29</v>
      </c>
      <c r="V30" s="5" t="n">
        <v>602.1900000000001</v>
      </c>
      <c r="W30" s="5" t="n">
        <v>542.11</v>
      </c>
      <c r="X30" s="5" t="n">
        <v>547.0700000000001</v>
      </c>
      <c r="Y30" s="5" t="n">
        <v>549.12</v>
      </c>
      <c r="Z30" s="5" t="n">
        <v>566.59</v>
      </c>
      <c r="AA30" s="5" t="n">
        <v>565.8200000000001</v>
      </c>
      <c r="AB30" s="5" t="n">
        <v>556.03</v>
      </c>
      <c r="AC30" s="5" t="n">
        <v>541.96</v>
      </c>
      <c r="AD30" s="5" t="n">
        <v>559.1</v>
      </c>
      <c r="AE30" s="5" t="n">
        <v>573.9</v>
      </c>
      <c r="AF30" s="5" t="n">
        <v>571.78</v>
      </c>
      <c r="AG30" s="5" t="n">
        <v>571.26</v>
      </c>
      <c r="AH30" s="5" t="n">
        <v>596.4400000000001</v>
      </c>
      <c r="AI30" s="6">
        <f>AH30/AG30-1</f>
        <v/>
      </c>
      <c r="AJ30" s="6">
        <f>AH30/AD30-1</f>
        <v/>
      </c>
    </row>
    <row r="31">
      <c r="A31" t="inlineStr">
        <is>
          <t>TITAN</t>
        </is>
      </c>
      <c r="B31" s="5" t="n">
        <v>3480</v>
      </c>
      <c r="C31" s="5" t="n">
        <v>3557.66</v>
      </c>
      <c r="D31" s="5" t="n">
        <v>3616.88</v>
      </c>
      <c r="E31" s="5" t="n">
        <v>3531.97</v>
      </c>
      <c r="F31" s="5" t="n">
        <v>3608.3</v>
      </c>
      <c r="G31" s="5" t="n">
        <v>3681.32</v>
      </c>
      <c r="H31" s="5" t="n">
        <v>3681.39</v>
      </c>
      <c r="I31" s="5" t="n">
        <v>3674.38</v>
      </c>
      <c r="J31" s="5" t="n">
        <v>3760.79</v>
      </c>
      <c r="K31" s="5" t="n">
        <v>3742.87</v>
      </c>
      <c r="L31" s="5" t="n">
        <v>3657.52</v>
      </c>
      <c r="M31" s="5" t="n">
        <v>3631.08</v>
      </c>
      <c r="N31" s="5" t="n">
        <v>3675.09</v>
      </c>
      <c r="O31" s="5" t="n">
        <v>3726.23</v>
      </c>
      <c r="P31" s="5" t="n">
        <v>3742.03</v>
      </c>
      <c r="Q31" s="5" t="n">
        <v>3697.05</v>
      </c>
      <c r="R31" s="5" t="n">
        <v>3634.91</v>
      </c>
      <c r="S31" s="5" t="n">
        <v>3739.99</v>
      </c>
      <c r="T31" s="5" t="n">
        <v>3649.58</v>
      </c>
      <c r="U31" s="5" t="n">
        <v>3576.35</v>
      </c>
      <c r="V31" s="5" t="n">
        <v>3513.93</v>
      </c>
      <c r="W31" s="5" t="n">
        <v>3502</v>
      </c>
      <c r="X31" s="5" t="n">
        <v>3600.68</v>
      </c>
      <c r="Y31" s="5" t="n">
        <v>3632.39</v>
      </c>
      <c r="Z31" s="5" t="n">
        <v>3611.67</v>
      </c>
      <c r="AA31" s="5" t="n">
        <v>3631.73</v>
      </c>
      <c r="AB31" s="5" t="n">
        <v>3671.27</v>
      </c>
      <c r="AC31" s="5" t="n">
        <v>3612.3</v>
      </c>
      <c r="AD31" s="5" t="n">
        <v>3502.25</v>
      </c>
      <c r="AE31" s="5" t="n">
        <v>3445.07</v>
      </c>
      <c r="AF31" s="5" t="n">
        <v>3355.12</v>
      </c>
      <c r="AG31" s="5" t="n">
        <v>3351.83</v>
      </c>
      <c r="AH31" s="5" t="n">
        <v>3358.16</v>
      </c>
      <c r="AI31" s="6">
        <f>AH31/AG31-1</f>
        <v/>
      </c>
      <c r="AJ31" s="6">
        <f>AH31/AD31-1</f>
        <v/>
      </c>
    </row>
  </sheetData>
  <autoFilter ref="A1:A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13" customWidth="1" min="4" max="4"/>
    <col width="11" customWidth="1" min="5" max="5"/>
    <col width="13" customWidth="1" min="6" max="6"/>
  </cols>
  <sheetData>
    <row r="1">
      <c r="A1" s="4" t="inlineStr">
        <is>
          <t>Week</t>
        </is>
      </c>
      <c r="B1" s="4" t="inlineStr">
        <is>
          <t>Date</t>
        </is>
      </c>
      <c r="C1" s="4" t="inlineStr">
        <is>
          <t>Portfolio Value</t>
        </is>
      </c>
      <c r="D1" s="4" t="inlineStr">
        <is>
          <t>Weekly Return</t>
        </is>
      </c>
      <c r="E1" s="4" t="inlineStr">
        <is>
          <t>Drawdown</t>
        </is>
      </c>
      <c r="F1" s="4" t="inlineStr">
        <is>
          <t>Benchmark</t>
        </is>
      </c>
    </row>
    <row r="2">
      <c r="A2" t="inlineStr">
        <is>
          <t>W0</t>
        </is>
      </c>
      <c r="B2" t="inlineStr">
        <is>
          <t>2026-03-07</t>
        </is>
      </c>
      <c r="C2" s="9">
        <f>SUMPRODUCT(Holdings!$D$2:$D$31,Prices!$B$2:$B$31)</f>
        <v/>
      </c>
      <c r="D2" s="6" t="n">
        <v>0</v>
      </c>
      <c r="E2" s="6">
        <f>C2/MAX($C$2:C2)-1</f>
        <v/>
      </c>
      <c r="F2" s="9" t="n">
        <v>24000</v>
      </c>
    </row>
    <row r="3">
      <c r="A3" t="inlineStr">
        <is>
          <t>W1</t>
        </is>
      </c>
      <c r="B3" t="inlineStr">
        <is>
          <t>2026-03-14</t>
        </is>
      </c>
      <c r="C3" s="9">
        <f>SUMPRODUCT(Holdings!$D$2:$D$31,Prices!$C$2:$C$31)</f>
        <v/>
      </c>
      <c r="D3" s="6">
        <f>IF(C2=0,0,C3/C2-1)</f>
        <v/>
      </c>
      <c r="E3" s="6">
        <f>C3/MAX($C$2:C3)-1</f>
        <v/>
      </c>
      <c r="F3" s="9" t="n">
        <v>24006.1</v>
      </c>
    </row>
    <row r="4">
      <c r="A4" t="inlineStr">
        <is>
          <t>W2</t>
        </is>
      </c>
      <c r="B4" t="inlineStr">
        <is>
          <t>2026-03-21</t>
        </is>
      </c>
      <c r="C4" s="9">
        <f>SUMPRODUCT(Holdings!$D$2:$D$31,Prices!$D$2:$D$31)</f>
        <v/>
      </c>
      <c r="D4" s="6">
        <f>IF(C3=0,0,C4/C3-1)</f>
        <v/>
      </c>
      <c r="E4" s="6">
        <f>C4/MAX($C$2:C4)-1</f>
        <v/>
      </c>
      <c r="F4" s="9" t="n">
        <v>24053.59</v>
      </c>
    </row>
    <row r="5">
      <c r="A5" t="inlineStr">
        <is>
          <t>W3</t>
        </is>
      </c>
      <c r="B5" t="inlineStr">
        <is>
          <t>2026-03-28</t>
        </is>
      </c>
      <c r="C5" s="9">
        <f>SUMPRODUCT(Holdings!$D$2:$D$31,Prices!$E$2:$E$31)</f>
        <v/>
      </c>
      <c r="D5" s="6">
        <f>IF(C4=0,0,C5/C4-1)</f>
        <v/>
      </c>
      <c r="E5" s="6">
        <f>C5/MAX($C$2:C5)-1</f>
        <v/>
      </c>
      <c r="F5" s="9" t="n">
        <v>24542.29</v>
      </c>
    </row>
    <row r="6">
      <c r="A6" t="inlineStr">
        <is>
          <t>W4</t>
        </is>
      </c>
      <c r="B6" t="inlineStr">
        <is>
          <t>2026-04-04</t>
        </is>
      </c>
      <c r="C6" s="9">
        <f>SUMPRODUCT(Holdings!$D$2:$D$31,Prices!$F$2:$F$31)</f>
        <v/>
      </c>
      <c r="D6" s="6">
        <f>IF(C5=0,0,C6/C5-1)</f>
        <v/>
      </c>
      <c r="E6" s="6">
        <f>C6/MAX($C$2:C6)-1</f>
        <v/>
      </c>
      <c r="F6" s="9" t="n">
        <v>24180.69</v>
      </c>
    </row>
    <row r="7">
      <c r="A7" t="inlineStr">
        <is>
          <t>W5</t>
        </is>
      </c>
      <c r="B7" t="inlineStr">
        <is>
          <t>2026-04-11</t>
        </is>
      </c>
      <c r="C7" s="9">
        <f>SUMPRODUCT(Holdings!$D$2:$D$31,Prices!$G$2:$G$31)</f>
        <v/>
      </c>
      <c r="D7" s="6">
        <f>IF(C6=0,0,C7/C6-1)</f>
        <v/>
      </c>
      <c r="E7" s="6">
        <f>C7/MAX($C$2:C7)-1</f>
        <v/>
      </c>
      <c r="F7" s="9" t="n">
        <v>23946.5</v>
      </c>
    </row>
    <row r="8">
      <c r="A8" t="inlineStr">
        <is>
          <t>W6</t>
        </is>
      </c>
      <c r="B8" t="inlineStr">
        <is>
          <t>2026-04-18</t>
        </is>
      </c>
      <c r="C8" s="9">
        <f>SUMPRODUCT(Holdings!$D$2:$D$31,Prices!$H$2:$H$31)</f>
        <v/>
      </c>
      <c r="D8" s="6">
        <f>IF(C7=0,0,C8/C7-1)</f>
        <v/>
      </c>
      <c r="E8" s="6">
        <f>C8/MAX($C$2:C8)-1</f>
        <v/>
      </c>
      <c r="F8" s="9" t="n">
        <v>24451.32</v>
      </c>
    </row>
    <row r="9">
      <c r="A9" t="inlineStr">
        <is>
          <t>W7</t>
        </is>
      </c>
      <c r="B9" t="inlineStr">
        <is>
          <t>2026-04-25</t>
        </is>
      </c>
      <c r="C9" s="9">
        <f>SUMPRODUCT(Holdings!$D$2:$D$31,Prices!$I$2:$I$31)</f>
        <v/>
      </c>
      <c r="D9" s="6">
        <f>IF(C8=0,0,C9/C8-1)</f>
        <v/>
      </c>
      <c r="E9" s="6">
        <f>C9/MAX($C$2:C9)-1</f>
        <v/>
      </c>
      <c r="F9" s="9" t="n">
        <v>24434.75</v>
      </c>
    </row>
    <row r="10">
      <c r="A10" t="inlineStr">
        <is>
          <t>W8</t>
        </is>
      </c>
      <c r="B10" t="inlineStr">
        <is>
          <t>2026-05-02</t>
        </is>
      </c>
      <c r="C10" s="9">
        <f>SUMPRODUCT(Holdings!$D$2:$D$31,Prices!$J$2:$J$31)</f>
        <v/>
      </c>
      <c r="D10" s="6">
        <f>IF(C9=0,0,C10/C9-1)</f>
        <v/>
      </c>
      <c r="E10" s="6">
        <f>C10/MAX($C$2:C10)-1</f>
        <v/>
      </c>
      <c r="F10" s="9" t="n">
        <v>24489.8</v>
      </c>
    </row>
    <row r="11">
      <c r="A11" t="inlineStr">
        <is>
          <t>W9</t>
        </is>
      </c>
      <c r="B11" t="inlineStr">
        <is>
          <t>2026-05-09</t>
        </is>
      </c>
      <c r="C11" s="9">
        <f>SUMPRODUCT(Holdings!$D$2:$D$31,Prices!$K$2:$K$31)</f>
        <v/>
      </c>
      <c r="D11" s="6">
        <f>IF(C10=0,0,C11/C10-1)</f>
        <v/>
      </c>
      <c r="E11" s="6">
        <f>C11/MAX($C$2:C11)-1</f>
        <v/>
      </c>
      <c r="F11" s="9" t="n">
        <v>24270.43</v>
      </c>
    </row>
    <row r="12">
      <c r="A12" t="inlineStr">
        <is>
          <t>W10</t>
        </is>
      </c>
      <c r="B12" t="inlineStr">
        <is>
          <t>2026-05-16</t>
        </is>
      </c>
      <c r="C12" s="9">
        <f>SUMPRODUCT(Holdings!$D$2:$D$31,Prices!$L$2:$L$31)</f>
        <v/>
      </c>
      <c r="D12" s="6">
        <f>IF(C11=0,0,C12/C11-1)</f>
        <v/>
      </c>
      <c r="E12" s="6">
        <f>C12/MAX($C$2:C12)-1</f>
        <v/>
      </c>
      <c r="F12" s="9" t="n">
        <v>24205.67</v>
      </c>
    </row>
    <row r="13">
      <c r="A13" t="inlineStr">
        <is>
          <t>W11</t>
        </is>
      </c>
      <c r="B13" t="inlineStr">
        <is>
          <t>2026-05-23</t>
        </is>
      </c>
      <c r="C13" s="9">
        <f>SUMPRODUCT(Holdings!$D$2:$D$31,Prices!$M$2:$M$31)</f>
        <v/>
      </c>
      <c r="D13" s="6">
        <f>IF(C12=0,0,C13/C12-1)</f>
        <v/>
      </c>
      <c r="E13" s="6">
        <f>C13/MAX($C$2:C13)-1</f>
        <v/>
      </c>
      <c r="F13" s="9" t="n">
        <v>24435.22</v>
      </c>
    </row>
    <row r="14">
      <c r="A14" t="inlineStr">
        <is>
          <t>W12</t>
        </is>
      </c>
      <c r="B14" t="inlineStr">
        <is>
          <t>2026-05-30</t>
        </is>
      </c>
      <c r="C14" s="9">
        <f>SUMPRODUCT(Holdings!$D$2:$D$31,Prices!$N$2:$N$31)</f>
        <v/>
      </c>
      <c r="D14" s="6">
        <f>IF(C13=0,0,C14/C13-1)</f>
        <v/>
      </c>
      <c r="E14" s="6">
        <f>C14/MAX($C$2:C14)-1</f>
        <v/>
      </c>
      <c r="F14" s="9" t="n">
        <v>24936</v>
      </c>
    </row>
    <row r="15">
      <c r="A15" t="inlineStr">
        <is>
          <t>W13</t>
        </is>
      </c>
      <c r="B15" t="inlineStr">
        <is>
          <t>2026-06-06</t>
        </is>
      </c>
      <c r="C15" s="9">
        <f>SUMPRODUCT(Holdings!$D$2:$D$31,Prices!$O$2:$O$31)</f>
        <v/>
      </c>
      <c r="D15" s="6">
        <f>IF(C14=0,0,C15/C14-1)</f>
        <v/>
      </c>
      <c r="E15" s="6">
        <f>C15/MAX($C$2:C15)-1</f>
        <v/>
      </c>
      <c r="F15" s="9" t="n">
        <v>25025.4</v>
      </c>
    </row>
    <row r="16">
      <c r="A16" t="inlineStr">
        <is>
          <t>W14</t>
        </is>
      </c>
      <c r="B16" t="inlineStr">
        <is>
          <t>2026-06-13</t>
        </is>
      </c>
      <c r="C16" s="9">
        <f>SUMPRODUCT(Holdings!$D$2:$D$31,Prices!$P$2:$P$31)</f>
        <v/>
      </c>
      <c r="D16" s="6">
        <f>IF(C15=0,0,C16/C15-1)</f>
        <v/>
      </c>
      <c r="E16" s="6">
        <f>C16/MAX($C$2:C16)-1</f>
        <v/>
      </c>
      <c r="F16" s="9" t="n">
        <v>24916.82</v>
      </c>
    </row>
    <row r="17">
      <c r="A17" t="inlineStr">
        <is>
          <t>W15</t>
        </is>
      </c>
      <c r="B17" t="inlineStr">
        <is>
          <t>2026-06-20</t>
        </is>
      </c>
      <c r="C17" s="9">
        <f>SUMPRODUCT(Holdings!$D$2:$D$31,Prices!$Q$2:$Q$31)</f>
        <v/>
      </c>
      <c r="D17" s="6">
        <f>IF(C16=0,0,C17/C16-1)</f>
        <v/>
      </c>
      <c r="E17" s="6">
        <f>C17/MAX($C$2:C17)-1</f>
        <v/>
      </c>
      <c r="F17" s="9" t="n">
        <v>25172.25</v>
      </c>
    </row>
    <row r="18">
      <c r="A18" t="inlineStr">
        <is>
          <t>W16</t>
        </is>
      </c>
      <c r="B18" t="inlineStr">
        <is>
          <t>2026-06-27</t>
        </is>
      </c>
      <c r="C18" s="9">
        <f>SUMPRODUCT(Holdings!$D$2:$D$31,Prices!$R$2:$R$31)</f>
        <v/>
      </c>
      <c r="D18" s="6">
        <f>IF(C17=0,0,C18/C17-1)</f>
        <v/>
      </c>
      <c r="E18" s="6">
        <f>C18/MAX($C$2:C18)-1</f>
        <v/>
      </c>
      <c r="F18" s="9" t="n">
        <v>25314.27</v>
      </c>
    </row>
    <row r="19">
      <c r="A19" t="inlineStr">
        <is>
          <t>W17</t>
        </is>
      </c>
      <c r="B19" t="inlineStr">
        <is>
          <t>2026-07-04</t>
        </is>
      </c>
      <c r="C19" s="9">
        <f>SUMPRODUCT(Holdings!$D$2:$D$31,Prices!$S$2:$S$31)</f>
        <v/>
      </c>
      <c r="D19" s="6">
        <f>IF(C18=0,0,C19/C18-1)</f>
        <v/>
      </c>
      <c r="E19" s="6">
        <f>C19/MAX($C$2:C19)-1</f>
        <v/>
      </c>
      <c r="F19" s="9" t="n">
        <v>25141.91</v>
      </c>
    </row>
    <row r="20">
      <c r="A20" t="inlineStr">
        <is>
          <t>W18</t>
        </is>
      </c>
      <c r="B20" t="inlineStr">
        <is>
          <t>2026-07-11</t>
        </is>
      </c>
      <c r="C20" s="9">
        <f>SUMPRODUCT(Holdings!$D$2:$D$31,Prices!$T$2:$T$31)</f>
        <v/>
      </c>
      <c r="D20" s="6">
        <f>IF(C19=0,0,C20/C19-1)</f>
        <v/>
      </c>
      <c r="E20" s="6">
        <f>C20/MAX($C$2:C20)-1</f>
        <v/>
      </c>
      <c r="F20" s="9" t="n">
        <v>25118.92</v>
      </c>
    </row>
    <row r="21">
      <c r="A21" t="inlineStr">
        <is>
          <t>W19</t>
        </is>
      </c>
      <c r="B21" t="inlineStr">
        <is>
          <t>2026-07-18</t>
        </is>
      </c>
      <c r="C21" s="9">
        <f>SUMPRODUCT(Holdings!$D$2:$D$31,Prices!$U$2:$U$31)</f>
        <v/>
      </c>
      <c r="D21" s="6">
        <f>IF(C20=0,0,C21/C20-1)</f>
        <v/>
      </c>
      <c r="E21" s="6">
        <f>C21/MAX($C$2:C21)-1</f>
        <v/>
      </c>
      <c r="F21" s="9" t="n">
        <v>25497.22</v>
      </c>
    </row>
    <row r="22">
      <c r="A22" t="inlineStr">
        <is>
          <t>W20</t>
        </is>
      </c>
      <c r="B22" t="inlineStr">
        <is>
          <t>2026-07-25</t>
        </is>
      </c>
      <c r="C22" s="9">
        <f>SUMPRODUCT(Holdings!$D$2:$D$31,Prices!$V$2:$V$31)</f>
        <v/>
      </c>
      <c r="D22" s="6">
        <f>IF(C21=0,0,C22/C21-1)</f>
        <v/>
      </c>
      <c r="E22" s="6">
        <f>C22/MAX($C$2:C22)-1</f>
        <v/>
      </c>
      <c r="F22" s="9" t="n">
        <v>25510.04</v>
      </c>
    </row>
    <row r="23">
      <c r="A23" t="inlineStr">
        <is>
          <t>W21</t>
        </is>
      </c>
      <c r="B23" t="inlineStr">
        <is>
          <t>2026-08-01</t>
        </is>
      </c>
      <c r="C23" s="9">
        <f>SUMPRODUCT(Holdings!$D$2:$D$31,Prices!$W$2:$W$31)</f>
        <v/>
      </c>
      <c r="D23" s="6">
        <f>IF(C22=0,0,C23/C22-1)</f>
        <v/>
      </c>
      <c r="E23" s="6">
        <f>C23/MAX($C$2:C23)-1</f>
        <v/>
      </c>
      <c r="F23" s="9" t="n">
        <v>25611.9</v>
      </c>
    </row>
    <row r="24">
      <c r="A24" t="inlineStr">
        <is>
          <t>W22</t>
        </is>
      </c>
      <c r="B24" t="inlineStr">
        <is>
          <t>2026-08-08</t>
        </is>
      </c>
      <c r="C24" s="9">
        <f>SUMPRODUCT(Holdings!$D$2:$D$31,Prices!$X$2:$X$31)</f>
        <v/>
      </c>
      <c r="D24" s="6">
        <f>IF(C23=0,0,C24/C23-1)</f>
        <v/>
      </c>
      <c r="E24" s="6">
        <f>C24/MAX($C$2:C24)-1</f>
        <v/>
      </c>
      <c r="F24" s="9" t="n">
        <v>25635.52</v>
      </c>
    </row>
    <row r="25">
      <c r="A25" t="inlineStr">
        <is>
          <t>W23</t>
        </is>
      </c>
      <c r="B25" t="inlineStr">
        <is>
          <t>2026-08-15</t>
        </is>
      </c>
      <c r="C25" s="9">
        <f>SUMPRODUCT(Holdings!$D$2:$D$31,Prices!$Y$2:$Y$31)</f>
        <v/>
      </c>
      <c r="D25" s="6">
        <f>IF(C24=0,0,C25/C24-1)</f>
        <v/>
      </c>
      <c r="E25" s="6">
        <f>C25/MAX($C$2:C25)-1</f>
        <v/>
      </c>
      <c r="F25" s="9" t="n">
        <v>25560.18</v>
      </c>
    </row>
    <row r="26">
      <c r="A26" t="inlineStr">
        <is>
          <t>W24</t>
        </is>
      </c>
      <c r="B26" t="inlineStr">
        <is>
          <t>2026-08-22</t>
        </is>
      </c>
      <c r="C26" s="9">
        <f>SUMPRODUCT(Holdings!$D$2:$D$31,Prices!$Z$2:$Z$31)</f>
        <v/>
      </c>
      <c r="D26" s="6">
        <f>IF(C25=0,0,C26/C25-1)</f>
        <v/>
      </c>
      <c r="E26" s="6">
        <f>C26/MAX($C$2:C26)-1</f>
        <v/>
      </c>
      <c r="F26" s="9" t="n">
        <v>25807.33</v>
      </c>
    </row>
    <row r="27">
      <c r="A27" t="inlineStr">
        <is>
          <t>W25</t>
        </is>
      </c>
      <c r="B27" t="inlineStr">
        <is>
          <t>2026-08-29</t>
        </is>
      </c>
      <c r="C27" s="9">
        <f>SUMPRODUCT(Holdings!$D$2:$D$31,Prices!$AA$2:$AA$31)</f>
        <v/>
      </c>
      <c r="D27" s="6">
        <f>IF(C26=0,0,C27/C26-1)</f>
        <v/>
      </c>
      <c r="E27" s="6">
        <f>C27/MAX($C$2:C27)-1</f>
        <v/>
      </c>
      <c r="F27" s="9" t="n">
        <v>25986.91</v>
      </c>
    </row>
    <row r="28">
      <c r="A28" t="inlineStr">
        <is>
          <t>W26</t>
        </is>
      </c>
      <c r="B28" t="inlineStr">
        <is>
          <t>2026-09-05</t>
        </is>
      </c>
      <c r="C28" s="9">
        <f>SUMPRODUCT(Holdings!$D$2:$D$31,Prices!$AB$2:$AB$31)</f>
        <v/>
      </c>
      <c r="D28" s="6">
        <f>IF(C27=0,0,C28/C27-1)</f>
        <v/>
      </c>
      <c r="E28" s="6">
        <f>C28/MAX($C$2:C28)-1</f>
        <v/>
      </c>
      <c r="F28" s="9" t="n">
        <v>26350.73</v>
      </c>
    </row>
    <row r="29">
      <c r="A29" t="inlineStr">
        <is>
          <t>W27</t>
        </is>
      </c>
      <c r="B29" t="inlineStr">
        <is>
          <t>2026-09-12</t>
        </is>
      </c>
      <c r="C29" s="9">
        <f>SUMPRODUCT(Holdings!$D$2:$D$31,Prices!$AC$2:$AC$31)</f>
        <v/>
      </c>
      <c r="D29" s="6">
        <f>IF(C28=0,0,C29/C28-1)</f>
        <v/>
      </c>
      <c r="E29" s="6">
        <f>C29/MAX($C$2:C29)-1</f>
        <v/>
      </c>
      <c r="F29" s="9" t="n">
        <v>25869.43</v>
      </c>
    </row>
    <row r="30">
      <c r="A30" t="inlineStr">
        <is>
          <t>W28</t>
        </is>
      </c>
      <c r="B30" t="inlineStr">
        <is>
          <t>2026-09-19</t>
        </is>
      </c>
      <c r="C30" s="9">
        <f>SUMPRODUCT(Holdings!$D$2:$D$31,Prices!$AD$2:$AD$31)</f>
        <v/>
      </c>
      <c r="D30" s="6">
        <f>IF(C29=0,0,C30/C29-1)</f>
        <v/>
      </c>
      <c r="E30" s="6">
        <f>C30/MAX($C$2:C30)-1</f>
        <v/>
      </c>
      <c r="F30" s="9" t="n">
        <v>26513.43</v>
      </c>
    </row>
    <row r="31">
      <c r="A31" t="inlineStr">
        <is>
          <t>W29</t>
        </is>
      </c>
      <c r="B31" t="inlineStr">
        <is>
          <t>2026-09-26</t>
        </is>
      </c>
      <c r="C31" s="9">
        <f>SUMPRODUCT(Holdings!$D$2:$D$31,Prices!$AE$2:$AE$31)</f>
        <v/>
      </c>
      <c r="D31" s="6">
        <f>IF(C30=0,0,C31/C30-1)</f>
        <v/>
      </c>
      <c r="E31" s="6">
        <f>C31/MAX($C$2:C31)-1</f>
        <v/>
      </c>
      <c r="F31" s="9" t="n">
        <v>26543.62</v>
      </c>
    </row>
    <row r="32">
      <c r="A32" t="inlineStr">
        <is>
          <t>W30</t>
        </is>
      </c>
      <c r="B32" t="inlineStr">
        <is>
          <t>2026-10-03</t>
        </is>
      </c>
      <c r="C32" s="9">
        <f>SUMPRODUCT(Holdings!$D$2:$D$31,Prices!$AF$2:$AF$31)</f>
        <v/>
      </c>
      <c r="D32" s="6">
        <f>IF(C31=0,0,C32/C31-1)</f>
        <v/>
      </c>
      <c r="E32" s="6">
        <f>C32/MAX($C$2:C32)-1</f>
        <v/>
      </c>
      <c r="F32" s="9" t="n">
        <v>26182.43</v>
      </c>
    </row>
    <row r="33">
      <c r="A33" t="inlineStr">
        <is>
          <t>W31</t>
        </is>
      </c>
      <c r="B33" t="inlineStr">
        <is>
          <t>2026-10-10</t>
        </is>
      </c>
      <c r="C33" s="9">
        <f>SUMPRODUCT(Holdings!$D$2:$D$31,Prices!$AG$2:$AG$31)</f>
        <v/>
      </c>
      <c r="D33" s="6">
        <f>IF(C32=0,0,C33/C32-1)</f>
        <v/>
      </c>
      <c r="E33" s="6">
        <f>C33/MAX($C$2:C33)-1</f>
        <v/>
      </c>
      <c r="F33" s="9" t="n">
        <v>26098.93</v>
      </c>
    </row>
    <row r="34">
      <c r="A34" t="inlineStr">
        <is>
          <t>W32</t>
        </is>
      </c>
      <c r="B34" t="inlineStr">
        <is>
          <t>2026-10-17</t>
        </is>
      </c>
      <c r="C34" s="9">
        <f>SUMPRODUCT(Holdings!$D$2:$D$31,Prices!$AH$2:$AH$31)</f>
        <v/>
      </c>
      <c r="D34" s="6">
        <f>IF(C33=0,0,C34/C33-1)</f>
        <v/>
      </c>
      <c r="E34" s="6">
        <f>C34/MAX($C$2:C34)-1</f>
        <v/>
      </c>
      <c r="F34" s="9" t="n">
        <v>26199.13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4" customWidth="1" min="4" max="4"/>
    <col width="14" customWidth="1" min="5" max="5"/>
    <col width="9" customWidth="1" min="6" max="6"/>
    <col width="12" customWidth="1" min="7" max="7"/>
  </cols>
  <sheetData>
    <row r="1">
      <c r="A1" s="4" t="inlineStr">
        <is>
          <t>Sector</t>
        </is>
      </c>
      <c r="B1" s="4" t="inlineStr">
        <is>
          <t>Stocks</t>
        </is>
      </c>
      <c r="C1" s="4" t="inlineStr">
        <is>
          <t>Invested</t>
        </is>
      </c>
      <c r="D1" s="4" t="inlineStr">
        <is>
          <t>Market Value</t>
        </is>
      </c>
      <c r="E1" s="4" t="inlineStr">
        <is>
          <t>P&amp;L</t>
        </is>
      </c>
      <c r="F1" s="4" t="inlineStr">
        <is>
          <t>P&amp;L %</t>
        </is>
      </c>
      <c r="G1" s="4" t="inlineStr">
        <is>
          <t>Allocation %</t>
        </is>
      </c>
    </row>
    <row r="2">
      <c r="A2" t="inlineStr">
        <is>
          <t>Auto</t>
        </is>
      </c>
      <c r="B2">
        <f>COUNTIF(Holdings!$C$2:$C$31,A2)</f>
        <v/>
      </c>
      <c r="C2" s="5">
        <f>SUMIF(Holdings!$C$2:$C$31,A2,Holdings!$G$2:$G$31)</f>
        <v/>
      </c>
      <c r="D2" s="5">
        <f>SUMIF(Holdings!$C$2:$C$31,A2,Holdings!$H$2:$H$31)</f>
        <v/>
      </c>
      <c r="E2" s="5">
        <f>SUMIF(Holdings!$C$2:$C$31,A2,Holdings!$I$2:$I$31)</f>
        <v/>
      </c>
      <c r="F2" s="6">
        <f>IF(C2=0,0,E2/C2)</f>
        <v/>
      </c>
      <c r="G2" s="6">
        <f>IF($D$11=0,0,D2/$D$11)</f>
        <v/>
      </c>
    </row>
    <row r="3">
      <c r="A3" t="inlineStr">
        <is>
          <t>Banking</t>
        </is>
      </c>
      <c r="B3">
        <f>COUNTIF(Holdings!$C$2:$C$31,A3)</f>
        <v/>
      </c>
      <c r="C3" s="5">
        <f>SUMIF(Holdings!$C$2:$C$31,A3,Holdings!$G$2:$G$31)</f>
        <v/>
      </c>
      <c r="D3" s="5">
        <f>SUMIF(Holdings!$C$2:$C$31,A3,Holdings!$H$2:$H$31)</f>
        <v/>
      </c>
      <c r="E3" s="5">
        <f>SUMIF(Holdings!$C$2:$C$31,A3,Holdings!$I$2:$I$31)</f>
        <v/>
      </c>
      <c r="F3" s="6">
        <f>IF(C3=0,0,E3/C3)</f>
        <v/>
      </c>
      <c r="G3" s="6">
        <f>IF($D$11=0,0,D3/$D$11)</f>
        <v/>
      </c>
    </row>
    <row r="4">
      <c r="A4" t="inlineStr">
        <is>
          <t>Cement &amp; Infra</t>
        </is>
      </c>
      <c r="B4">
        <f>COUNTIF(Holdings!$C$2:$C$31,A4)</f>
        <v/>
      </c>
      <c r="C4" s="5">
        <f>SUMIF(Holdings!$C$2:$C$31,A4,Holdings!$G$2:$G$31)</f>
        <v/>
      </c>
      <c r="D4" s="5">
        <f>SUMIF(Holdings!$C$2:$C$31,A4,Holdings!$H$2:$H$31)</f>
        <v/>
      </c>
      <c r="E4" s="5">
        <f>SUMIF(Holdings!$C$2:$C$31,A4,Holdings!$I$2:$I$31)</f>
        <v/>
      </c>
      <c r="F4" s="6">
        <f>IF(C4=0,0,E4/C4)</f>
        <v/>
      </c>
      <c r="G4" s="6">
        <f>IF($D$11=0,0,D4/$D$11)</f>
        <v/>
      </c>
    </row>
    <row r="5">
      <c r="A5" t="inlineStr">
        <is>
          <t>Consumer Goods</t>
        </is>
      </c>
      <c r="B5">
        <f>COUNTIF(Holdings!$C$2:$C$31,A5)</f>
        <v/>
      </c>
      <c r="C5" s="5">
        <f>SUMIF(Holdings!$C$2:$C$31,A5,Holdings!$G$2:$G$31)</f>
        <v/>
      </c>
      <c r="D5" s="5">
        <f>SUMIF(Holdings!$C$2:$C$31,A5,Holdings!$H$2:$H$31)</f>
        <v/>
      </c>
      <c r="E5" s="5">
        <f>SUMIF(Holdings!$C$2:$C$31,A5,Holdings!$I$2:$I$31)</f>
        <v/>
      </c>
      <c r="F5" s="6">
        <f>IF(C5=0,0,E5/C5)</f>
        <v/>
      </c>
      <c r="G5" s="6">
        <f>IF($D$11=0,0,D5/$D$11)</f>
        <v/>
      </c>
    </row>
    <row r="6">
      <c r="A6" t="inlineStr">
        <is>
          <t>Energy</t>
        </is>
      </c>
      <c r="B6">
        <f>COUNTIF(Holdings!$C$2:$C$31,A6)</f>
        <v/>
      </c>
      <c r="C6" s="5">
        <f>SUMIF(Holdings!$C$2:$C$31,A6,Holdings!$G$2:$G$31)</f>
        <v/>
      </c>
      <c r="D6" s="5">
        <f>SUMIF(Holdings!$C$2:$C$31,A6,Holdings!$H$2:$H$31)</f>
        <v/>
      </c>
      <c r="E6" s="5">
        <f>SUMIF(Holdings!$C$2:$C$31,A6,Holdings!$I$2:$I$31)</f>
        <v/>
      </c>
      <c r="F6" s="6">
        <f>IF(C6=0,0,E6/C6)</f>
        <v/>
      </c>
      <c r="G6" s="6">
        <f>IF($D$11=0,0,D6/$D$11)</f>
        <v/>
      </c>
    </row>
    <row r="7">
      <c r="A7" t="inlineStr">
        <is>
          <t>FMCG</t>
        </is>
      </c>
      <c r="B7">
        <f>COUNTIF(Holdings!$C$2:$C$31,A7)</f>
        <v/>
      </c>
      <c r="C7" s="5">
        <f>SUMIF(Holdings!$C$2:$C$31,A7,Holdings!$G$2:$G$31)</f>
        <v/>
      </c>
      <c r="D7" s="5">
        <f>SUMIF(Holdings!$C$2:$C$31,A7,Holdings!$H$2:$H$31)</f>
        <v/>
      </c>
      <c r="E7" s="5">
        <f>SUMIF(Holdings!$C$2:$C$31,A7,Holdings!$I$2:$I$31)</f>
        <v/>
      </c>
      <c r="F7" s="6">
        <f>IF(C7=0,0,E7/C7)</f>
        <v/>
      </c>
      <c r="G7" s="6">
        <f>IF($D$11=0,0,D7/$D$11)</f>
        <v/>
      </c>
    </row>
    <row r="8">
      <c r="A8" t="inlineStr">
        <is>
          <t>IT</t>
        </is>
      </c>
      <c r="B8">
        <f>COUNTIF(Holdings!$C$2:$C$31,A8)</f>
        <v/>
      </c>
      <c r="C8" s="5">
        <f>SUMIF(Holdings!$C$2:$C$31,A8,Holdings!$G$2:$G$31)</f>
        <v/>
      </c>
      <c r="D8" s="5">
        <f>SUMIF(Holdings!$C$2:$C$31,A8,Holdings!$H$2:$H$31)</f>
        <v/>
      </c>
      <c r="E8" s="5">
        <f>SUMIF(Holdings!$C$2:$C$31,A8,Holdings!$I$2:$I$31)</f>
        <v/>
      </c>
      <c r="F8" s="6">
        <f>IF(C8=0,0,E8/C8)</f>
        <v/>
      </c>
      <c r="G8" s="6">
        <f>IF($D$11=0,0,D8/$D$11)</f>
        <v/>
      </c>
    </row>
    <row r="9">
      <c r="A9" t="inlineStr">
        <is>
          <t>Metals</t>
        </is>
      </c>
      <c r="B9">
        <f>COUNTIF(Holdings!$C$2:$C$31,A9)</f>
        <v/>
      </c>
      <c r="C9" s="5">
        <f>SUMIF(Holdings!$C$2:$C$31,A9,Holdings!$G$2:$G$31)</f>
        <v/>
      </c>
      <c r="D9" s="5">
        <f>SUMIF(Holdings!$C$2:$C$31,A9,Holdings!$H$2:$H$31)</f>
        <v/>
      </c>
      <c r="E9" s="5">
        <f>SUMIF(Holdings!$C$2:$C$31,A9,Holdings!$I$2:$I$31)</f>
        <v/>
      </c>
      <c r="F9" s="6">
        <f>IF(C9=0,0,E9/C9)</f>
        <v/>
      </c>
      <c r="G9" s="6">
        <f>IF($D$11=0,0,D9/$D$11)</f>
        <v/>
      </c>
    </row>
    <row r="10">
      <c r="A10" t="inlineStr">
        <is>
          <t>Pharma</t>
        </is>
      </c>
      <c r="B10">
        <f>COUNTIF(Holdings!$C$2:$C$31,A10)</f>
        <v/>
      </c>
      <c r="C10" s="5">
        <f>SUMIF(Holdings!$C$2:$C$31,A10,Holdings!$G$2:$G$31)</f>
        <v/>
      </c>
      <c r="D10" s="5">
        <f>SUMIF(Holdings!$C$2:$C$31,A10,Holdings!$H$2:$H$31)</f>
        <v/>
      </c>
      <c r="E10" s="5">
        <f>SUMIF(Holdings!$C$2:$C$31,A10,Holdings!$I$2:$I$31)</f>
        <v/>
      </c>
      <c r="F10" s="6">
        <f>IF(C10=0,0,E10/C10)</f>
        <v/>
      </c>
      <c r="G10" s="6">
        <f>IF($D$11=0,0,D10/$D$11)</f>
        <v/>
      </c>
    </row>
    <row r="11">
      <c r="A11" s="2" t="inlineStr">
        <is>
          <t>TOTAL</t>
        </is>
      </c>
      <c r="C11" s="7">
        <f>SUM(C2:C10)</f>
        <v/>
      </c>
      <c r="D11" s="7">
        <f>SUM(D2:D10)</f>
        <v/>
      </c>
      <c r="E11" s="7">
        <f>SUM(E2:E10)</f>
        <v/>
      </c>
      <c r="F11" s="6">
        <f>IF(C11=0,0,E11/C11)</f>
        <v/>
      </c>
      <c r="G11" s="6">
        <f>SUM(G2:G10)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Portfolio Dashboard</t>
        </is>
      </c>
    </row>
    <row r="3">
      <c r="A3" s="2" t="inlineStr">
        <is>
          <t>Total Invested</t>
        </is>
      </c>
      <c r="B3" s="10">
        <f>SUM(Holdings!G2:G31)</f>
        <v/>
      </c>
    </row>
    <row r="4">
      <c r="A4" s="2" t="inlineStr">
        <is>
          <t>Market Value</t>
        </is>
      </c>
      <c r="B4" s="10">
        <f>SUM(Holdings!H2:H31)</f>
        <v/>
      </c>
    </row>
    <row r="5">
      <c r="A5" s="2" t="inlineStr">
        <is>
          <t>Total P&amp;L</t>
        </is>
      </c>
      <c r="B5" s="10">
        <f>B4-B3</f>
        <v/>
      </c>
    </row>
    <row r="6">
      <c r="A6" s="2" t="inlineStr">
        <is>
          <t>P&amp;L %</t>
        </is>
      </c>
      <c r="B6" s="11">
        <f>IF(B3=0,0,B5/B3)</f>
        <v/>
      </c>
    </row>
    <row r="7">
      <c r="A7" s="2" t="inlineStr">
        <is>
          <t>Latest Weekly Return</t>
        </is>
      </c>
      <c r="B7" s="11">
        <f>INDEX(Weekly!D2:D34,33)</f>
        <v/>
      </c>
    </row>
    <row r="8">
      <c r="A8" s="2" t="inlineStr">
        <is>
          <t>Best Performer</t>
        </is>
      </c>
      <c r="B8" s="12">
        <f>INDEX(Holdings!A2:A31,MATCH(MAX(Holdings!J2:J31),Holdings!J2:J31,0))</f>
        <v/>
      </c>
    </row>
    <row r="9">
      <c r="A9" s="2" t="inlineStr">
        <is>
          <t>Best P&amp;L %</t>
        </is>
      </c>
      <c r="B9" s="11">
        <f>MAX(Holdings!J2:J31)</f>
        <v/>
      </c>
    </row>
    <row r="10">
      <c r="A10" s="2" t="inlineStr">
        <is>
          <t>Worst Performer</t>
        </is>
      </c>
      <c r="B10" s="12">
        <f>INDEX(Holdings!A2:A31,MATCH(MIN(Holdings!J2:J31),Holdings!J2:J31,0))</f>
        <v/>
      </c>
    </row>
    <row r="11">
      <c r="A11" s="2" t="inlineStr">
        <is>
          <t>Worst P&amp;L %</t>
        </is>
      </c>
      <c r="B11" s="11">
        <f>MIN(Holdings!J2:J31)</f>
        <v/>
      </c>
    </row>
    <row r="12">
      <c r="A12" s="2" t="inlineStr">
        <is>
          <t>Largest Holding</t>
        </is>
      </c>
      <c r="B12" s="12">
        <f>INDEX(Holdings!A2:A31,MATCH(MAX(Holdings!H2:H31),Holdings!H2:H31,0))</f>
        <v/>
      </c>
    </row>
    <row r="13">
      <c r="A13" s="2" t="inlineStr">
        <is>
          <t>Largest Allocation</t>
        </is>
      </c>
      <c r="B13" s="11">
        <f>MAX(Holdings!K2:K31)</f>
        <v/>
      </c>
    </row>
    <row r="14">
      <c r="A14" s="2" t="inlineStr">
        <is>
          <t>Active Stocks</t>
        </is>
      </c>
      <c r="B14" s="12">
        <f>COUNTA(Holdings!A2:A31)</f>
        <v/>
      </c>
    </row>
    <row r="15">
      <c r="A15" s="2" t="inlineStr">
        <is>
          <t>Positive Weeks</t>
        </is>
      </c>
      <c r="B15" s="12">
        <f>COUNTIF(Weekly!D3:D34,"&gt;0")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Weekly AI Report — W32 (2026-10-17)</t>
        </is>
      </c>
    </row>
    <row r="2" ht="30" customHeight="1">
      <c r="A2" s="13" t="inlineStr">
        <is>
          <t>Generated by StockPulse's rule-based weekly-report engine from this workbook's own numbers (demo of the AI weekly-reporting step; production = scheduled LLM call over the same KPI block).</t>
        </is>
      </c>
    </row>
    <row r="4">
      <c r="A4" s="14" t="inlineStr">
        <is>
          <t>Portfolio this week</t>
        </is>
      </c>
    </row>
    <row r="5" ht="60" customHeight="1">
      <c r="A5" s="3" t="inlineStr">
        <is>
          <t>Portfolio gained 0.2% this week to ₹4,915,739. Since inception the book is up 11.9% (₹521,073 on ₹4,394,666 invested). The fictional benchmark moved +0.4% over the same week, so the portfolio underperformed by 0.2%. 19 of the last 32 weeks were positive; maximum drawdown to date is -3.2%.</t>
        </is>
      </c>
    </row>
    <row r="6">
      <c r="A6" s="14" t="inlineStr">
        <is>
          <t>Movers</t>
        </is>
      </c>
    </row>
    <row r="7" ht="60" customHeight="1">
      <c r="A7" s="3" t="inlineStr">
        <is>
          <t xml:space="preserve">Top contributors: HEROMOTOCO (+99.1%), TCS (+55.4%), ONGC (+34.7%). Biggest drags: LT (-30.9%), SUNPHARMA (-17.7%), HINDUNILVR (-16.1%). Winners are doing the heavy lifting — consider trimming into strength. </t>
        </is>
      </c>
    </row>
    <row r="8">
      <c r="A8" s="14" t="inlineStr">
        <is>
          <t>Allocation &amp; concentration</t>
        </is>
      </c>
    </row>
    <row r="9" ht="60" customHeight="1">
      <c r="A9" s="3" t="inlineStr">
        <is>
          <t>Largest position is MARUTI at 10.6% of the book; largest sector is IT at 25.9%. Concentration looks reasonable; no single name dominates.</t>
        </is>
      </c>
    </row>
    <row r="10">
      <c r="A10" s="14" t="inlineStr">
        <is>
          <t>Watchlist (rules)</t>
        </is>
      </c>
    </row>
    <row r="11" ht="60" customHeight="1">
      <c r="A11" s="3" t="inlineStr">
        <is>
          <t>Review LT: down 31% from cost — thesis check • Review SUNPHARMA: down 18% from cost — thesis check • Review HINDUNILVR: down 16% from cost — thesis check • Consider booking partial profit in HEROMOTOCO (+99%) • Consider booking partial profit in TCS (+55%) • Consider booking partial profit in ONGC (+35%)</t>
        </is>
      </c>
    </row>
    <row r="13">
      <c r="A13" s="2" t="inlineStr">
        <is>
          <t>Key figures (live formulas — always in sync with the dashboard)</t>
        </is>
      </c>
    </row>
    <row r="14">
      <c r="A14" s="2" t="inlineStr">
        <is>
          <t>Market Value</t>
        </is>
      </c>
      <c r="B14" s="10">
        <f>Dashboard!B4</f>
        <v/>
      </c>
    </row>
    <row r="15">
      <c r="A15" s="2" t="inlineStr">
        <is>
          <t>Total P&amp;L</t>
        </is>
      </c>
      <c r="B15" s="10">
        <f>Dashboard!B5</f>
        <v/>
      </c>
    </row>
    <row r="16">
      <c r="A16" s="2" t="inlineStr">
        <is>
          <t>P&amp;L %</t>
        </is>
      </c>
      <c r="B16" s="11">
        <f>Dashboard!B6</f>
        <v/>
      </c>
    </row>
    <row r="17">
      <c r="A17" s="2" t="inlineStr">
        <is>
          <t>Latest Weekly Return</t>
        </is>
      </c>
      <c r="B17" s="11">
        <f>Dashboard!B7</f>
        <v/>
      </c>
    </row>
  </sheetData>
  <mergeCells count="5">
    <mergeCell ref="A9:H9"/>
    <mergeCell ref="A7:H7"/>
    <mergeCell ref="A2:H2"/>
    <mergeCell ref="A11:H11"/>
    <mergeCell ref="A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62" customWidth="1" min="3" max="3"/>
    <col width="10" customWidth="1" min="4" max="4"/>
    <col width="10" customWidth="1" min="5" max="5"/>
  </cols>
  <sheetData>
    <row r="1">
      <c r="A1" s="4" t="inlineStr">
        <is>
          <t>#</t>
        </is>
      </c>
      <c r="B1" s="4" t="inlineStr">
        <is>
          <t>Check</t>
        </is>
      </c>
      <c r="C1" s="4" t="inlineStr">
        <is>
          <t>Formula</t>
        </is>
      </c>
      <c r="D1" s="4" t="inlineStr">
        <is>
          <t>Expected</t>
        </is>
      </c>
      <c r="E1" s="4" t="inlineStr">
        <is>
          <t>Status</t>
        </is>
      </c>
    </row>
    <row r="2">
      <c r="A2" t="n">
        <v>1</v>
      </c>
      <c r="B2" t="inlineStr">
        <is>
          <t>Allocations sum to 100%</t>
        </is>
      </c>
      <c r="C2" t="inlineStr">
        <is>
          <t>'=ABS(SUM(Holdings!K2:K31)-1)&lt;0.0001</t>
        </is>
      </c>
      <c r="D2" t="inlineStr">
        <is>
          <t>TRUE</t>
        </is>
      </c>
      <c r="E2">
        <f>IF(ABS(SUM(Holdings!K2:K31)-1)&lt;0.0001,"PASS","FAIL")</f>
        <v/>
      </c>
    </row>
    <row r="3">
      <c r="A3" t="n">
        <v>2</v>
      </c>
      <c r="B3" t="inlineStr">
        <is>
          <t>Dashboard MV = sum of Holdings MV</t>
        </is>
      </c>
      <c r="C3" t="inlineStr">
        <is>
          <t>'=ABS(Dashboard!B4-SUM(Holdings!H2:H31))&lt;0.01</t>
        </is>
      </c>
      <c r="D3" t="inlineStr">
        <is>
          <t>TRUE</t>
        </is>
      </c>
      <c r="E3">
        <f>IF(ABS(Dashboard!B4-SUM(Holdings!H2:H31))&lt;0.01,"PASS","FAIL")</f>
        <v/>
      </c>
    </row>
    <row r="4">
      <c r="A4" t="n">
        <v>3</v>
      </c>
      <c r="B4" t="inlineStr">
        <is>
          <t>P&amp;L = MV − Invested</t>
        </is>
      </c>
      <c r="C4" t="inlineStr">
        <is>
          <t>'=ABS(Dashboard!B5-(Dashboard!B4-Dashboard!B3))&lt;0.01</t>
        </is>
      </c>
      <c r="D4" t="inlineStr">
        <is>
          <t>TRUE</t>
        </is>
      </c>
      <c r="E4">
        <f>IF(ABS(Dashboard!B5-(Dashboard!B4-Dashboard!B3))&lt;0.01,"PASS","FAIL")</f>
        <v/>
      </c>
    </row>
    <row r="5">
      <c r="A5" t="n">
        <v>4</v>
      </c>
      <c r="B5" t="inlineStr">
        <is>
          <t>All 30 last prices resolve (&gt;0)</t>
        </is>
      </c>
      <c r="C5" t="inlineStr">
        <is>
          <t>'=COUNTIF(Holdings!F2:F31,"&gt;0")=30</t>
        </is>
      </c>
      <c r="D5" t="inlineStr">
        <is>
          <t>TRUE</t>
        </is>
      </c>
      <c r="E5">
        <f>IF(COUNTIF(Holdings!F2:F31,"&gt;0")=30,"PASS","FAIL")</f>
        <v/>
      </c>
    </row>
    <row r="6">
      <c r="A6" t="n">
        <v>5</v>
      </c>
      <c r="B6" t="inlineStr">
        <is>
          <t>Weekly rollup ties to Holdings MV</t>
        </is>
      </c>
      <c r="C6" t="inlineStr">
        <is>
          <t>'=ABS(INDEX(Weekly!C2:C34,33)-Dashboard!B4)&lt;0.01</t>
        </is>
      </c>
      <c r="D6" t="inlineStr">
        <is>
          <t>TRUE</t>
        </is>
      </c>
      <c r="E6">
        <f>IF(ABS(INDEX(Weekly!C2:C34,33)-Dashboard!B4)&lt;0.01,"PASS","FAIL")</f>
        <v/>
      </c>
    </row>
    <row r="7">
      <c r="A7" t="n">
        <v>6</v>
      </c>
      <c r="B7" t="inlineStr">
        <is>
          <t>Sector MV sums to portfolio MV</t>
        </is>
      </c>
      <c r="C7" t="inlineStr">
        <is>
          <t>'=ABS(SUM(Sector!D2:D10)-Dashboard!B4)&lt;0.01</t>
        </is>
      </c>
      <c r="D7" t="inlineStr">
        <is>
          <t>TRUE</t>
        </is>
      </c>
      <c r="E7">
        <f>IF(ABS(SUM(Sector!D2:D10)-Dashboard!B4)&lt;0.01,"PASS","FAIL")</f>
        <v/>
      </c>
    </row>
    <row r="8">
      <c r="A8" t="n">
        <v>7</v>
      </c>
      <c r="B8" t="inlineStr">
        <is>
          <t>No negative quantities</t>
        </is>
      </c>
      <c r="C8" t="inlineStr">
        <is>
          <t>'=COUNTIF(Holdings!D2:D31,"&lt;0")=0</t>
        </is>
      </c>
      <c r="D8" t="inlineStr">
        <is>
          <t>TRUE</t>
        </is>
      </c>
      <c r="E8">
        <f>IF(COUNTIF(Holdings!D2:D31,"&lt;0")=0,"PASS","FAIL")</f>
        <v/>
      </c>
    </row>
    <row r="9">
      <c r="A9" t="n">
        <v>8</v>
      </c>
      <c r="B9" t="inlineStr">
        <is>
          <t>Weekly return formula consistent</t>
        </is>
      </c>
      <c r="C9" t="inlineStr">
        <is>
          <t>'=ABS((INDEX(Weekly!C2:C34,33)/INDEX(Weekly!C2:C34,32)-1)-INDEX(Weekly!D2:D34,33))&lt;0.000001</t>
        </is>
      </c>
      <c r="D9" t="inlineStr">
        <is>
          <t>TRUE</t>
        </is>
      </c>
      <c r="E9">
        <f>IF(ABS((INDEX(Weekly!C2:C34,33)/INDEX(Weekly!C2:C34,32)-1)-INDEX(Weekly!D2:D34,33))&lt;0.000001,"PASS","FAIL")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2026-10-14T02:28:50+00:00Z</dcterms:created>
  <dcterms:modified xmlns:dcterms="http://purl.org/dc/terms/" xmlns:xsi="http://www.w3.org/2001/XMLSchema-instance" xsi:type="dcterms:W3CDTF">2026-10-14T02:28:50+00:00Z</dcterms:modified>
</cp:coreProperties>
</file>