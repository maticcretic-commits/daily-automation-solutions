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Raw_PNL" sheetId="2" state="visible" r:id="rId2"/>
    <sheet xmlns:r="http://schemas.openxmlformats.org/officeDocument/2006/relationships" name="Raw_BS" sheetId="3" state="visible" r:id="rId3"/>
    <sheet xmlns:r="http://schemas.openxmlformats.org/officeDocument/2006/relationships" name="Ratios" sheetId="4" state="visible" r:id="rId4"/>
    <sheet xmlns:r="http://schemas.openxmlformats.org/officeDocument/2006/relationships" name="DuPont" sheetId="5" state="visible" r:id="rId5"/>
    <sheet xmlns:r="http://schemas.openxmlformats.org/officeDocument/2006/relationships" name="Dashboard" sheetId="6" state="visible" r:id="rId6"/>
    <sheet xmlns:r="http://schemas.openxmlformats.org/officeDocument/2006/relationships" name="AI_Report" sheetId="7" state="visible" r:id="rId7"/>
    <sheet xmlns:r="http://schemas.openxmlformats.org/officeDocument/2006/relationships" name="Checks" sheetId="8" state="visible" r:id="rId8"/>
  </sheets>
  <definedNames>
    <definedName name="_xlnm._FilterDatabase" localSheetId="1" hidden="1">'Raw_PNL'!$A$1:$F$12</definedName>
    <definedName name="_xlnm._FilterDatabase" localSheetId="2" hidden="1">'Raw_BS'!$A$1:$G$22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1F4E78"/>
      <sz val="12"/>
    </font>
    <font>
      <b val="1"/>
    </font>
    <font>
      <b val="1"/>
      <color rgb="00FFFFFF"/>
      <sz val="11"/>
    </font>
    <font>
      <b val="1"/>
      <sz val="12"/>
    </font>
    <font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3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3" fontId="5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2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164" fontId="0" fillId="0" borderId="0" pivotButton="0" quotePrefix="0" xfId="0"/>
    <xf numFmtId="1" fontId="0" fillId="0" borderId="0" pivotButton="0" quotePrefix="0" xfId="0"/>
    <xf numFmtId="3" fontId="0" fillId="0" borderId="0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Profitability margins — FY21–FY25</a:t>
            </a:r>
          </a:p>
        </rich>
      </tx>
    </title>
    <plotArea>
      <lineChart>
        <grouping val="standard"/>
        <ser>
          <idx val="0"/>
          <order val="0"/>
          <tx>
            <v>Gross margin</v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'Ratios'!$B$1:$F$1</f>
            </numRef>
          </cat>
          <val>
            <numRef>
              <f>'Ratios'!$B$6:$F$6</f>
            </numRef>
          </val>
          <smooth val="1"/>
        </ser>
        <ser>
          <idx val="1"/>
          <order val="1"/>
          <tx>
            <v>EBITDA margin</v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'Ratios'!$B$1:$F$1</f>
            </numRef>
          </cat>
          <val>
            <numRef>
              <f>'Ratios'!$B$7:$F$7</f>
            </numRef>
          </val>
          <smooth val="1"/>
        </ser>
        <ser>
          <idx val="2"/>
          <order val="2"/>
          <tx>
            <v>EBIT margin</v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'Ratios'!$B$1:$F$1</f>
            </numRef>
          </cat>
          <val>
            <numRef>
              <f>'Ratios'!$B$8:$F$8</f>
            </numRef>
          </val>
          <smooth val="1"/>
        </ser>
        <ser>
          <idx val="3"/>
          <order val="3"/>
          <tx>
            <v>Net margin</v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'Ratios'!$B$1:$F$1</f>
            </numRef>
          </cat>
          <val>
            <numRef>
              <f>'Ratios'!$B$9:$F$9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.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Net income (INR lakh)</a:t>
            </a:r>
          </a:p>
        </rich>
      </tx>
    </title>
    <plotArea>
      <barChart>
        <barDir val="col"/>
        <grouping val="clustered"/>
        <ser>
          <idx val="0"/>
          <order val="0"/>
          <tx>
            <v>Revenue</v>
          </tx>
          <spPr>
            <a:ln xmlns:a="http://schemas.openxmlformats.org/drawingml/2006/main">
              <a:solidFill>
                <a:srgbClr val="1F4E78"/>
              </a:solidFill>
              <a:prstDash val="solid"/>
            </a:ln>
          </spPr>
          <cat>
            <numRef>
              <f>'Raw_PNL'!$B$1:$F$1</f>
            </numRef>
          </cat>
          <val>
            <numRef>
              <f>'Raw_PNL'!$B$2:$F$2</f>
            </numRef>
          </val>
        </ser>
        <ser>
          <idx val="1"/>
          <order val="1"/>
          <tx>
            <v>Net income</v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'Raw_PNL'!$B$1:$F$1</f>
            </numRef>
          </cat>
          <val>
            <numRef>
              <f>'Raw_PNL'!$B$12:$F$12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Working-capital efficiency (days)</a:t>
            </a:r>
          </a:p>
        </rich>
      </tx>
    </title>
    <plotArea>
      <barChart>
        <barDir val="col"/>
        <grouping val="clustered"/>
        <ser>
          <idx val="0"/>
          <order val="0"/>
          <tx>
            <v>Receivable days</v>
          </tx>
          <spPr>
            <a:ln xmlns:a="http://schemas.openxmlformats.org/drawingml/2006/main">
              <a:prstDash val="solid"/>
            </a:ln>
          </spPr>
          <cat>
            <numRef>
              <f>'Ratios'!$B$1:$F$1</f>
            </numRef>
          </cat>
          <val>
            <numRef>
              <f>'Ratios'!$B$17:$F$17</f>
            </numRef>
          </val>
        </ser>
        <ser>
          <idx val="1"/>
          <order val="1"/>
          <tx>
            <v>Inventory days</v>
          </tx>
          <spPr>
            <a:ln xmlns:a="http://schemas.openxmlformats.org/drawingml/2006/main">
              <a:prstDash val="solid"/>
            </a:ln>
          </spPr>
          <cat>
            <numRef>
              <f>'Ratios'!$B$1:$F$1</f>
            </numRef>
          </cat>
          <val>
            <numRef>
              <f>'Ratios'!$B$18:$F$18</f>
            </numRef>
          </val>
        </ser>
        <ser>
          <idx val="2"/>
          <order val="2"/>
          <tx>
            <v>Payable days</v>
          </tx>
          <spPr>
            <a:ln xmlns:a="http://schemas.openxmlformats.org/drawingml/2006/main">
              <a:prstDash val="solid"/>
            </a:ln>
          </spPr>
          <cat>
            <numRef>
              <f>'Ratios'!$B$1:$F$1</f>
            </numRef>
          </cat>
          <val>
            <numRef>
              <f>'Ratios'!$B$19:$F$19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26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ProfitPulse — Profitability &amp; Financial-Ratio Dashboard</t>
        </is>
      </c>
    </row>
    <row r="2">
      <c r="A2" s="2" t="inlineStr">
        <is>
          <t>Company (fictional): Shakti Consumer Goods Pvt. Ltd.</t>
        </is>
      </c>
    </row>
    <row r="3">
      <c r="A3" s="2" t="inlineStr">
        <is>
          <t>Currency: INR lakh | Period: FY21–FY25 (balance sheet from FY20 for averages)</t>
        </is>
      </c>
    </row>
    <row r="4">
      <c r="A4" s="2" t="inlineStr"/>
    </row>
    <row r="5">
      <c r="A5" s="3" t="inlineStr">
        <is>
          <t>SHEETS</t>
        </is>
      </c>
    </row>
    <row r="6">
      <c r="A6" s="2" t="inlineStr">
        <is>
          <t>Raw_PNL — profit &amp; loss inputs (FY21–FY25); gross/EBITDA/EBIT/EBT/net are formulas</t>
        </is>
      </c>
    </row>
    <row r="7">
      <c r="A7" s="2" t="inlineStr">
        <is>
          <t>Raw_BS — balance-sheet inputs (FY20–FY25); totals are formulas; Cash is the balancing plug</t>
        </is>
      </c>
    </row>
    <row r="8">
      <c r="A8" s="2" t="inlineStr">
        <is>
          <t>Ratios — 22 ratios, ALL formulas: liquidity, profitability, leverage, efficiency, growth</t>
        </is>
      </c>
    </row>
    <row r="9">
      <c r="A9" s="2" t="inlineStr">
        <is>
          <t>DuPont — ROE decomposition (net margin × asset turnover × equity multiplier) + tie-out</t>
        </is>
      </c>
    </row>
    <row r="10">
      <c r="A10" s="2" t="inlineStr">
        <is>
          <t>Dashboard — FY25 KPI cards + 3 native charts (all formula-fed)</t>
        </is>
      </c>
    </row>
    <row r="11">
      <c r="A11" s="2" t="inlineStr">
        <is>
          <t>AI_Report — rule-based narrative + red-flag checklist with live formulas</t>
        </is>
      </c>
    </row>
    <row r="12">
      <c r="A12" s="2" t="inlineStr">
        <is>
          <t>Checks — 8 integrity checks (all must read TRUE / 0)</t>
        </is>
      </c>
    </row>
    <row r="13">
      <c r="A13" s="2" t="inlineStr"/>
    </row>
    <row r="14">
      <c r="A14" s="3" t="inlineStr">
        <is>
          <t>HOW TO REFRESH</t>
        </is>
      </c>
    </row>
    <row r="15">
      <c r="A15" s="2" t="inlineStr">
        <is>
          <t>1. Overwrite the raw (non-formula) values in Raw_PNL / Raw_BS.</t>
        </is>
      </c>
    </row>
    <row r="16">
      <c r="A16" s="2" t="inlineStr">
        <is>
          <t>2. Every other sheet recalculates automatically — nothing is hard-coded.</t>
        </is>
      </c>
    </row>
    <row r="17">
      <c r="A17" s="2" t="inlineStr">
        <is>
          <t>3. Keep FY20 balance-sheet column: averages (and FY21 ratios) need it.</t>
        </is>
      </c>
    </row>
    <row r="18">
      <c r="A18" s="2" t="inlineStr"/>
    </row>
    <row r="19">
      <c r="A19" s="3" t="inlineStr">
        <is>
          <t>RED-FLAG THRESHOLDS (AI_Report)</t>
        </is>
      </c>
    </row>
    <row r="20">
      <c r="A20" s="2" t="inlineStr">
        <is>
          <t>Current ratio &lt; 1.20 · Quick ratio &lt; 1.00 · Debt/Equity &gt; 1.00</t>
        </is>
      </c>
    </row>
    <row r="21">
      <c r="A21" s="2" t="inlineStr">
        <is>
          <t>Interest coverage &lt; 3.0× · CCC &gt; 90 days · net margin falling YoY</t>
        </is>
      </c>
    </row>
    <row r="22">
      <c r="A22" s="2" t="inlineStr">
        <is>
          <t>Receivable days rising YoY (collections slipping)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Item</t>
        </is>
      </c>
      <c r="B1" s="4" t="inlineStr">
        <is>
          <t>FY21</t>
        </is>
      </c>
      <c r="C1" s="4" t="inlineStr">
        <is>
          <t>FY22</t>
        </is>
      </c>
      <c r="D1" s="4" t="inlineStr">
        <is>
          <t>FY23</t>
        </is>
      </c>
      <c r="E1" s="4" t="inlineStr">
        <is>
          <t>FY24</t>
        </is>
      </c>
      <c r="F1" s="4" t="inlineStr">
        <is>
          <t>FY25</t>
        </is>
      </c>
      <c r="G1" s="4" t="n"/>
    </row>
    <row r="2">
      <c r="A2" s="5" t="inlineStr">
        <is>
          <t>Revenue</t>
        </is>
      </c>
      <c r="B2" s="6" t="n">
        <v>8450</v>
      </c>
      <c r="C2" s="6" t="n">
        <v>9240</v>
      </c>
      <c r="D2" s="6" t="n">
        <v>10180</v>
      </c>
      <c r="E2" s="6" t="n">
        <v>11090</v>
      </c>
      <c r="F2" s="6" t="n">
        <v>12150</v>
      </c>
      <c r="G2" s="6" t="n"/>
    </row>
    <row r="3">
      <c r="A3" s="5" t="inlineStr">
        <is>
          <t>COGS</t>
        </is>
      </c>
      <c r="B3" s="6" t="n">
        <v>5220</v>
      </c>
      <c r="C3" s="6" t="n">
        <v>5650</v>
      </c>
      <c r="D3" s="6" t="n">
        <v>6180</v>
      </c>
      <c r="E3" s="6" t="n">
        <v>6720</v>
      </c>
      <c r="F3" s="6" t="n">
        <v>7360</v>
      </c>
      <c r="G3" s="6" t="n"/>
    </row>
    <row r="4">
      <c r="A4" s="5" t="inlineStr">
        <is>
          <t>Gross profit</t>
        </is>
      </c>
      <c r="B4" s="6">
        <f>B2-B3</f>
        <v/>
      </c>
      <c r="C4" s="6">
        <f>C2-C3</f>
        <v/>
      </c>
      <c r="D4" s="6">
        <f>D2-D3</f>
        <v/>
      </c>
      <c r="E4" s="6">
        <f>E2-E3</f>
        <v/>
      </c>
      <c r="F4" s="6">
        <f>F2-F3</f>
        <v/>
      </c>
      <c r="G4" s="6" t="n"/>
    </row>
    <row r="5">
      <c r="A5" s="5" t="inlineStr">
        <is>
          <t>SG&amp;A</t>
        </is>
      </c>
      <c r="B5" s="6" t="n">
        <v>2010</v>
      </c>
      <c r="C5" s="6" t="n">
        <v>2140</v>
      </c>
      <c r="D5" s="6" t="n">
        <v>2290</v>
      </c>
      <c r="E5" s="6" t="n">
        <v>2430</v>
      </c>
      <c r="F5" s="6" t="n">
        <v>2610</v>
      </c>
      <c r="G5" s="6" t="n"/>
    </row>
    <row r="6">
      <c r="A6" s="5" t="inlineStr">
        <is>
          <t>EBITDA</t>
        </is>
      </c>
      <c r="B6" s="6">
        <f>B4-B5</f>
        <v/>
      </c>
      <c r="C6" s="6">
        <f>C4-C5</f>
        <v/>
      </c>
      <c r="D6" s="6">
        <f>D4-D5</f>
        <v/>
      </c>
      <c r="E6" s="6">
        <f>E4-E5</f>
        <v/>
      </c>
      <c r="F6" s="6">
        <f>F4-F5</f>
        <v/>
      </c>
      <c r="G6" s="6" t="n"/>
    </row>
    <row r="7">
      <c r="A7" s="5" t="inlineStr">
        <is>
          <t>Depreciation</t>
        </is>
      </c>
      <c r="B7" s="6" t="n">
        <v>320</v>
      </c>
      <c r="C7" s="6" t="n">
        <v>345</v>
      </c>
      <c r="D7" s="6" t="n">
        <v>370</v>
      </c>
      <c r="E7" s="6" t="n">
        <v>395</v>
      </c>
      <c r="F7" s="6" t="n">
        <v>420</v>
      </c>
      <c r="G7" s="6" t="n"/>
    </row>
    <row r="8">
      <c r="A8" s="5" t="inlineStr">
        <is>
          <t>EBIT</t>
        </is>
      </c>
      <c r="B8" s="6">
        <f>B6-B7</f>
        <v/>
      </c>
      <c r="C8" s="6">
        <f>C6-C7</f>
        <v/>
      </c>
      <c r="D8" s="6">
        <f>D6-D7</f>
        <v/>
      </c>
      <c r="E8" s="6">
        <f>E6-E7</f>
        <v/>
      </c>
      <c r="F8" s="6">
        <f>F6-F7</f>
        <v/>
      </c>
      <c r="G8" s="6" t="n"/>
    </row>
    <row r="9">
      <c r="A9" s="5" t="inlineStr">
        <is>
          <t>Interest</t>
        </is>
      </c>
      <c r="B9" s="6" t="n">
        <v>180</v>
      </c>
      <c r="C9" s="6" t="n">
        <v>195</v>
      </c>
      <c r="D9" s="6" t="n">
        <v>170</v>
      </c>
      <c r="E9" s="6" t="n">
        <v>150</v>
      </c>
      <c r="F9" s="6" t="n">
        <v>135</v>
      </c>
      <c r="G9" s="6" t="n"/>
    </row>
    <row r="10">
      <c r="A10" s="5" t="inlineStr">
        <is>
          <t>EBT</t>
        </is>
      </c>
      <c r="B10" s="6">
        <f>B8-B9</f>
        <v/>
      </c>
      <c r="C10" s="6">
        <f>C8-C9</f>
        <v/>
      </c>
      <c r="D10" s="6">
        <f>D8-D9</f>
        <v/>
      </c>
      <c r="E10" s="6">
        <f>E8-E9</f>
        <v/>
      </c>
      <c r="F10" s="6">
        <f>F8-F9</f>
        <v/>
      </c>
      <c r="G10" s="6" t="n"/>
    </row>
    <row r="11">
      <c r="A11" s="5" t="inlineStr">
        <is>
          <t>Tax</t>
        </is>
      </c>
      <c r="B11" s="6" t="n">
        <v>180</v>
      </c>
      <c r="C11" s="6" t="n">
        <v>228</v>
      </c>
      <c r="D11" s="6" t="n">
        <v>292</v>
      </c>
      <c r="E11" s="6" t="n">
        <v>349</v>
      </c>
      <c r="F11" s="6" t="n">
        <v>406</v>
      </c>
      <c r="G11" s="6" t="n"/>
    </row>
    <row r="12">
      <c r="A12" s="5" t="inlineStr">
        <is>
          <t>Net income</t>
        </is>
      </c>
      <c r="B12" s="6">
        <f>B10-B11</f>
        <v/>
      </c>
      <c r="C12" s="6">
        <f>C10-C11</f>
        <v/>
      </c>
      <c r="D12" s="6">
        <f>D10-D11</f>
        <v/>
      </c>
      <c r="E12" s="6">
        <f>E10-E11</f>
        <v/>
      </c>
      <c r="F12" s="6">
        <f>F10-F11</f>
        <v/>
      </c>
      <c r="G12" s="6" t="n"/>
    </row>
  </sheetData>
  <autoFilter ref="A1:F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Item</t>
        </is>
      </c>
      <c r="B1" s="4" t="inlineStr">
        <is>
          <t>FY20</t>
        </is>
      </c>
      <c r="C1" s="4" t="inlineStr">
        <is>
          <t>FY21</t>
        </is>
      </c>
      <c r="D1" s="4" t="inlineStr">
        <is>
          <t>FY22</t>
        </is>
      </c>
      <c r="E1" s="4" t="inlineStr">
        <is>
          <t>FY23</t>
        </is>
      </c>
      <c r="F1" s="4" t="inlineStr">
        <is>
          <t>FY24</t>
        </is>
      </c>
      <c r="G1" s="4" t="inlineStr">
        <is>
          <t>FY25</t>
        </is>
      </c>
      <c r="H1" s="4" t="n"/>
    </row>
    <row r="2">
      <c r="A2" s="5" t="inlineStr">
        <is>
          <t>Cash &amp; bank (plug)</t>
        </is>
      </c>
      <c r="B2" s="6" t="n">
        <v>2320</v>
      </c>
      <c r="C2" s="6" t="n">
        <v>2520</v>
      </c>
      <c r="D2" s="6" t="n">
        <v>2832</v>
      </c>
      <c r="E2" s="6" t="n">
        <v>3020</v>
      </c>
      <c r="F2" s="6" t="n">
        <v>3466</v>
      </c>
      <c r="G2" s="6" t="n">
        <v>4025</v>
      </c>
    </row>
    <row r="3">
      <c r="A3" s="5" t="inlineStr">
        <is>
          <t>Receivables</t>
        </is>
      </c>
      <c r="B3" s="6" t="n">
        <v>1290</v>
      </c>
      <c r="C3" s="6" t="n">
        <v>1410</v>
      </c>
      <c r="D3" s="6" t="n">
        <v>1560</v>
      </c>
      <c r="E3" s="6" t="n">
        <v>1780</v>
      </c>
      <c r="F3" s="6" t="n">
        <v>1980</v>
      </c>
      <c r="G3" s="6" t="n">
        <v>2240</v>
      </c>
    </row>
    <row r="4">
      <c r="A4" s="5" t="inlineStr">
        <is>
          <t>Inventory</t>
        </is>
      </c>
      <c r="B4" s="6" t="n">
        <v>1040</v>
      </c>
      <c r="C4" s="6" t="n">
        <v>1120</v>
      </c>
      <c r="D4" s="6" t="n">
        <v>1230</v>
      </c>
      <c r="E4" s="6" t="n">
        <v>1380</v>
      </c>
      <c r="F4" s="6" t="n">
        <v>1520</v>
      </c>
      <c r="G4" s="6" t="n">
        <v>1690</v>
      </c>
    </row>
    <row r="5">
      <c r="A5" s="5" t="inlineStr">
        <is>
          <t>Other current assets</t>
        </is>
      </c>
      <c r="B5" s="6" t="n">
        <v>240</v>
      </c>
      <c r="C5" s="6" t="n">
        <v>260</v>
      </c>
      <c r="D5" s="6" t="n">
        <v>280</v>
      </c>
      <c r="E5" s="6" t="n">
        <v>300</v>
      </c>
      <c r="F5" s="6" t="n">
        <v>320</v>
      </c>
      <c r="G5" s="6" t="n">
        <v>340</v>
      </c>
    </row>
    <row r="6">
      <c r="A6" s="5" t="inlineStr">
        <is>
          <t>PPE (net)</t>
        </is>
      </c>
      <c r="B6" s="6" t="n">
        <v>2840</v>
      </c>
      <c r="C6" s="6" t="n">
        <v>2980</v>
      </c>
      <c r="D6" s="6" t="n">
        <v>3120</v>
      </c>
      <c r="E6" s="6" t="n">
        <v>3260</v>
      </c>
      <c r="F6" s="6" t="n">
        <v>3380</v>
      </c>
      <c r="G6" s="6" t="n">
        <v>3500</v>
      </c>
    </row>
    <row r="7">
      <c r="A7" s="5" t="inlineStr">
        <is>
          <t>Other non-current assets</t>
        </is>
      </c>
      <c r="B7" s="6" t="n">
        <v>170</v>
      </c>
      <c r="C7" s="6" t="n">
        <v>180</v>
      </c>
      <c r="D7" s="6" t="n">
        <v>190</v>
      </c>
      <c r="E7" s="6" t="n">
        <v>200</v>
      </c>
      <c r="F7" s="6" t="n">
        <v>210</v>
      </c>
      <c r="G7" s="6" t="n">
        <v>220</v>
      </c>
    </row>
    <row r="8">
      <c r="A8" s="5" t="inlineStr">
        <is>
          <t>Total current assets</t>
        </is>
      </c>
      <c r="B8" s="6">
        <f>B2+B3+B4+B5</f>
        <v/>
      </c>
      <c r="C8" s="6">
        <f>C2+C3+C4+C5</f>
        <v/>
      </c>
      <c r="D8" s="6">
        <f>D2+D3+D4+D5</f>
        <v/>
      </c>
      <c r="E8" s="6">
        <f>E2+E3+E4+E5</f>
        <v/>
      </c>
      <c r="F8" s="6">
        <f>F2+F3+F4+F5</f>
        <v/>
      </c>
      <c r="G8" s="6">
        <f>G2+G3+G4+G5</f>
        <v/>
      </c>
    </row>
    <row r="9">
      <c r="A9" s="5" t="inlineStr">
        <is>
          <t>Total non-current assets</t>
        </is>
      </c>
      <c r="B9" s="6">
        <f>B6+B7</f>
        <v/>
      </c>
      <c r="C9" s="6">
        <f>C6+C7</f>
        <v/>
      </c>
      <c r="D9" s="6">
        <f>D6+D7</f>
        <v/>
      </c>
      <c r="E9" s="6">
        <f>E6+E7</f>
        <v/>
      </c>
      <c r="F9" s="6">
        <f>F6+F7</f>
        <v/>
      </c>
      <c r="G9" s="6">
        <f>G6+G7</f>
        <v/>
      </c>
    </row>
    <row r="10">
      <c r="A10" s="5" t="inlineStr">
        <is>
          <t>Total assets</t>
        </is>
      </c>
      <c r="B10" s="6">
        <f>B8+B9</f>
        <v/>
      </c>
      <c r="C10" s="6">
        <f>C8+C9</f>
        <v/>
      </c>
      <c r="D10" s="6">
        <f>D8+D9</f>
        <v/>
      </c>
      <c r="E10" s="6">
        <f>E8+E9</f>
        <v/>
      </c>
      <c r="F10" s="6">
        <f>F8+F9</f>
        <v/>
      </c>
      <c r="G10" s="6">
        <f>G8+G9</f>
        <v/>
      </c>
    </row>
    <row r="11">
      <c r="A11" s="5" t="inlineStr">
        <is>
          <t>Payables</t>
        </is>
      </c>
      <c r="B11" s="6" t="n">
        <v>900</v>
      </c>
      <c r="C11" s="6" t="n">
        <v>980</v>
      </c>
      <c r="D11" s="6" t="n">
        <v>1080</v>
      </c>
      <c r="E11" s="6" t="n">
        <v>1190</v>
      </c>
      <c r="F11" s="6" t="n">
        <v>1300</v>
      </c>
      <c r="G11" s="6" t="n">
        <v>1420</v>
      </c>
    </row>
    <row r="12">
      <c r="A12" s="5" t="inlineStr">
        <is>
          <t>Short-term debt</t>
        </is>
      </c>
      <c r="B12" s="6" t="n">
        <v>500</v>
      </c>
      <c r="C12" s="6" t="n">
        <v>520</v>
      </c>
      <c r="D12" s="6" t="n">
        <v>560</v>
      </c>
      <c r="E12" s="6" t="n">
        <v>480</v>
      </c>
      <c r="F12" s="6" t="n">
        <v>420</v>
      </c>
      <c r="G12" s="6" t="n">
        <v>380</v>
      </c>
    </row>
    <row r="13">
      <c r="A13" s="5" t="inlineStr">
        <is>
          <t>Other current liabilities</t>
        </is>
      </c>
      <c r="B13" s="6" t="n">
        <v>290</v>
      </c>
      <c r="C13" s="6" t="n">
        <v>310</v>
      </c>
      <c r="D13" s="6" t="n">
        <v>340</v>
      </c>
      <c r="E13" s="6" t="n">
        <v>370</v>
      </c>
      <c r="F13" s="6" t="n">
        <v>400</v>
      </c>
      <c r="G13" s="6" t="n">
        <v>430</v>
      </c>
    </row>
    <row r="14">
      <c r="A14" s="5" t="inlineStr">
        <is>
          <t>Total current liabilities</t>
        </is>
      </c>
      <c r="B14" s="6">
        <f>B11+B12+B13</f>
        <v/>
      </c>
      <c r="C14" s="6">
        <f>C11+C12+C13</f>
        <v/>
      </c>
      <c r="D14" s="6">
        <f>D11+D12+D13</f>
        <v/>
      </c>
      <c r="E14" s="6">
        <f>E11+E12+E13</f>
        <v/>
      </c>
      <c r="F14" s="6">
        <f>F11+F12+F13</f>
        <v/>
      </c>
      <c r="G14" s="6">
        <f>G11+G12+G13</f>
        <v/>
      </c>
    </row>
    <row r="15">
      <c r="A15" s="5" t="inlineStr">
        <is>
          <t>Long-term debt</t>
        </is>
      </c>
      <c r="B15" s="6" t="n">
        <v>1520</v>
      </c>
      <c r="C15" s="6" t="n">
        <v>1420</v>
      </c>
      <c r="D15" s="6" t="n">
        <v>1300</v>
      </c>
      <c r="E15" s="6" t="n">
        <v>1080</v>
      </c>
      <c r="F15" s="6" t="n">
        <v>880</v>
      </c>
      <c r="G15" s="6" t="n">
        <v>680</v>
      </c>
    </row>
    <row r="16">
      <c r="A16" s="5" t="inlineStr">
        <is>
          <t>Other non-current liabilities</t>
        </is>
      </c>
      <c r="B16" s="6" t="n">
        <v>230</v>
      </c>
      <c r="C16" s="6" t="n">
        <v>240</v>
      </c>
      <c r="D16" s="6" t="n">
        <v>250</v>
      </c>
      <c r="E16" s="6" t="n">
        <v>260</v>
      </c>
      <c r="F16" s="6" t="n">
        <v>270</v>
      </c>
      <c r="G16" s="6" t="n">
        <v>280</v>
      </c>
    </row>
    <row r="17">
      <c r="A17" s="5" t="inlineStr">
        <is>
          <t>Total non-current liabilities</t>
        </is>
      </c>
      <c r="B17" s="6">
        <f>B15+B16</f>
        <v/>
      </c>
      <c r="C17" s="6">
        <f>C15+C16</f>
        <v/>
      </c>
      <c r="D17" s="6">
        <f>D15+D16</f>
        <v/>
      </c>
      <c r="E17" s="6">
        <f>E15+E16</f>
        <v/>
      </c>
      <c r="F17" s="6">
        <f>F15+F16</f>
        <v/>
      </c>
      <c r="G17" s="6">
        <f>G15+G16</f>
        <v/>
      </c>
    </row>
    <row r="18">
      <c r="A18" s="5" t="inlineStr">
        <is>
          <t>Total liabilities</t>
        </is>
      </c>
      <c r="B18" s="6">
        <f>B14+B17</f>
        <v/>
      </c>
      <c r="C18" s="6">
        <f>C14+C17</f>
        <v/>
      </c>
      <c r="D18" s="6">
        <f>D14+D17</f>
        <v/>
      </c>
      <c r="E18" s="6">
        <f>E14+E17</f>
        <v/>
      </c>
      <c r="F18" s="6">
        <f>F14+F17</f>
        <v/>
      </c>
      <c r="G18" s="6">
        <f>G14+G17</f>
        <v/>
      </c>
    </row>
    <row r="19">
      <c r="A19" s="5" t="inlineStr">
        <is>
          <t>Share capital</t>
        </is>
      </c>
      <c r="B19" s="6" t="n">
        <v>2000</v>
      </c>
      <c r="C19" s="6" t="n">
        <v>2000</v>
      </c>
      <c r="D19" s="6" t="n">
        <v>2000</v>
      </c>
      <c r="E19" s="6" t="n">
        <v>2000</v>
      </c>
      <c r="F19" s="6" t="n">
        <v>2000</v>
      </c>
      <c r="G19" s="6" t="n">
        <v>2000</v>
      </c>
    </row>
    <row r="20">
      <c r="A20" s="5" t="inlineStr">
        <is>
          <t>Reserves &amp; surplus</t>
        </is>
      </c>
      <c r="B20" s="6" t="n">
        <v>2460</v>
      </c>
      <c r="C20" s="6" t="n">
        <v>3000</v>
      </c>
      <c r="D20" s="6" t="n">
        <v>3682</v>
      </c>
      <c r="E20" s="6" t="n">
        <v>4560</v>
      </c>
      <c r="F20" s="6" t="n">
        <v>5606</v>
      </c>
      <c r="G20" s="6" t="n">
        <v>6825</v>
      </c>
    </row>
    <row r="21">
      <c r="A21" s="5" t="inlineStr">
        <is>
          <t>Total equity</t>
        </is>
      </c>
      <c r="B21" s="6">
        <f>B19+B20</f>
        <v/>
      </c>
      <c r="C21" s="6">
        <f>C19+C20</f>
        <v/>
      </c>
      <c r="D21" s="6">
        <f>D19+D20</f>
        <v/>
      </c>
      <c r="E21" s="6">
        <f>E19+E20</f>
        <v/>
      </c>
      <c r="F21" s="6">
        <f>F19+F20</f>
        <v/>
      </c>
      <c r="G21" s="6">
        <f>G19+G20</f>
        <v/>
      </c>
    </row>
    <row r="22">
      <c r="A22" s="5" t="inlineStr">
        <is>
          <t>Total L&amp;E</t>
        </is>
      </c>
      <c r="B22" s="6">
        <f>B18+B21</f>
        <v/>
      </c>
      <c r="C22" s="6">
        <f>C18+C21</f>
        <v/>
      </c>
      <c r="D22" s="6">
        <f>D18+D21</f>
        <v/>
      </c>
      <c r="E22" s="6">
        <f>E18+E21</f>
        <v/>
      </c>
      <c r="F22" s="6">
        <f>F18+F21</f>
        <v/>
      </c>
      <c r="G22" s="6">
        <f>G18+G21</f>
        <v/>
      </c>
    </row>
  </sheetData>
  <autoFilter ref="A1:G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G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Ratio</t>
        </is>
      </c>
      <c r="B1" s="4" t="inlineStr">
        <is>
          <t>FY21</t>
        </is>
      </c>
      <c r="C1" s="4" t="inlineStr">
        <is>
          <t>FY22</t>
        </is>
      </c>
      <c r="D1" s="4" t="inlineStr">
        <is>
          <t>FY23</t>
        </is>
      </c>
      <c r="E1" s="4" t="inlineStr">
        <is>
          <t>FY24</t>
        </is>
      </c>
      <c r="F1" s="4" t="inlineStr">
        <is>
          <t>FY25</t>
        </is>
      </c>
      <c r="G1" s="4" t="n"/>
    </row>
    <row r="2">
      <c r="A2" s="5" t="inlineStr">
        <is>
          <t>Current ratio</t>
        </is>
      </c>
      <c r="B2" s="7">
        <f>IF(Raw_BS!C14=0,0,Raw_BS!C8/Raw_BS!C14)</f>
        <v/>
      </c>
      <c r="C2" s="7">
        <f>IF(Raw_BS!D14=0,0,Raw_BS!D8/Raw_BS!D14)</f>
        <v/>
      </c>
      <c r="D2" s="7">
        <f>IF(Raw_BS!E14=0,0,Raw_BS!E8/Raw_BS!E14)</f>
        <v/>
      </c>
      <c r="E2" s="7">
        <f>IF(Raw_BS!F14=0,0,Raw_BS!F8/Raw_BS!F14)</f>
        <v/>
      </c>
      <c r="F2" s="7">
        <f>IF(Raw_BS!G14=0,0,Raw_BS!G8/Raw_BS!G14)</f>
        <v/>
      </c>
      <c r="G2" s="7" t="n"/>
    </row>
    <row r="3">
      <c r="A3" s="5" t="inlineStr">
        <is>
          <t>Quick ratio</t>
        </is>
      </c>
      <c r="B3" s="7">
        <f>IF(Raw_BS!C14=0,0,(Raw_BS!C2+Raw_BS!C3)/Raw_BS!C14)</f>
        <v/>
      </c>
      <c r="C3" s="7">
        <f>IF(Raw_BS!D14=0,0,(Raw_BS!D2+Raw_BS!D3)/Raw_BS!D14)</f>
        <v/>
      </c>
      <c r="D3" s="7">
        <f>IF(Raw_BS!E14=0,0,(Raw_BS!E2+Raw_BS!E3)/Raw_BS!E14)</f>
        <v/>
      </c>
      <c r="E3" s="7">
        <f>IF(Raw_BS!F14=0,0,(Raw_BS!F2+Raw_BS!F3)/Raw_BS!F14)</f>
        <v/>
      </c>
      <c r="F3" s="7">
        <f>IF(Raw_BS!G14=0,0,(Raw_BS!G2+Raw_BS!G3)/Raw_BS!G14)</f>
        <v/>
      </c>
      <c r="G3" s="7" t="n"/>
    </row>
    <row r="4">
      <c r="A4" s="5" t="inlineStr">
        <is>
          <t>Cash ratio</t>
        </is>
      </c>
      <c r="B4" s="7">
        <f>IF(Raw_BS!C14=0,0,Raw_BS!C2/Raw_BS!C14)</f>
        <v/>
      </c>
      <c r="C4" s="7">
        <f>IF(Raw_BS!D14=0,0,Raw_BS!D2/Raw_BS!D14)</f>
        <v/>
      </c>
      <c r="D4" s="7">
        <f>IF(Raw_BS!E14=0,0,Raw_BS!E2/Raw_BS!E14)</f>
        <v/>
      </c>
      <c r="E4" s="7">
        <f>IF(Raw_BS!F14=0,0,Raw_BS!F2/Raw_BS!F14)</f>
        <v/>
      </c>
      <c r="F4" s="7">
        <f>IF(Raw_BS!G14=0,0,Raw_BS!G2/Raw_BS!G14)</f>
        <v/>
      </c>
      <c r="G4" s="7" t="n"/>
    </row>
    <row r="5">
      <c r="A5" s="5" t="inlineStr">
        <is>
          <t>Working capital</t>
        </is>
      </c>
      <c r="B5" s="6">
        <f>Raw_BS!C8-Raw_BS!C14</f>
        <v/>
      </c>
      <c r="C5" s="6">
        <f>Raw_BS!D8-Raw_BS!D14</f>
        <v/>
      </c>
      <c r="D5" s="6">
        <f>Raw_BS!E8-Raw_BS!E14</f>
        <v/>
      </c>
      <c r="E5" s="6">
        <f>Raw_BS!F8-Raw_BS!F14</f>
        <v/>
      </c>
      <c r="F5" s="6">
        <f>Raw_BS!G8-Raw_BS!G14</f>
        <v/>
      </c>
      <c r="G5" s="6" t="n"/>
    </row>
    <row r="6">
      <c r="A6" s="5" t="inlineStr">
        <is>
          <t>Gross margin</t>
        </is>
      </c>
      <c r="B6" s="8">
        <f>IF(Raw_PNL!B2=0,0,Raw_PNL!B4/Raw_PNL!B2)</f>
        <v/>
      </c>
      <c r="C6" s="8">
        <f>IF(Raw_PNL!C2=0,0,Raw_PNL!C4/Raw_PNL!C2)</f>
        <v/>
      </c>
      <c r="D6" s="8">
        <f>IF(Raw_PNL!D2=0,0,Raw_PNL!D4/Raw_PNL!D2)</f>
        <v/>
      </c>
      <c r="E6" s="8">
        <f>IF(Raw_PNL!E2=0,0,Raw_PNL!E4/Raw_PNL!E2)</f>
        <v/>
      </c>
      <c r="F6" s="8">
        <f>IF(Raw_PNL!F2=0,0,Raw_PNL!F4/Raw_PNL!F2)</f>
        <v/>
      </c>
      <c r="G6" s="8" t="n"/>
    </row>
    <row r="7">
      <c r="A7" s="5" t="inlineStr">
        <is>
          <t>EBITDA margin</t>
        </is>
      </c>
      <c r="B7" s="8">
        <f>IF(Raw_PNL!B2=0,0,Raw_PNL!B6/Raw_PNL!B2)</f>
        <v/>
      </c>
      <c r="C7" s="8">
        <f>IF(Raw_PNL!C2=0,0,Raw_PNL!C6/Raw_PNL!C2)</f>
        <v/>
      </c>
      <c r="D7" s="8">
        <f>IF(Raw_PNL!D2=0,0,Raw_PNL!D6/Raw_PNL!D2)</f>
        <v/>
      </c>
      <c r="E7" s="8">
        <f>IF(Raw_PNL!E2=0,0,Raw_PNL!E6/Raw_PNL!E2)</f>
        <v/>
      </c>
      <c r="F7" s="8">
        <f>IF(Raw_PNL!F2=0,0,Raw_PNL!F6/Raw_PNL!F2)</f>
        <v/>
      </c>
      <c r="G7" s="8" t="n"/>
    </row>
    <row r="8">
      <c r="A8" s="5" t="inlineStr">
        <is>
          <t>EBIT margin</t>
        </is>
      </c>
      <c r="B8" s="8">
        <f>IF(Raw_PNL!B2=0,0,Raw_PNL!B8/Raw_PNL!B2)</f>
        <v/>
      </c>
      <c r="C8" s="8">
        <f>IF(Raw_PNL!C2=0,0,Raw_PNL!C8/Raw_PNL!C2)</f>
        <v/>
      </c>
      <c r="D8" s="8">
        <f>IF(Raw_PNL!D2=0,0,Raw_PNL!D8/Raw_PNL!D2)</f>
        <v/>
      </c>
      <c r="E8" s="8">
        <f>IF(Raw_PNL!E2=0,0,Raw_PNL!E8/Raw_PNL!E2)</f>
        <v/>
      </c>
      <c r="F8" s="8">
        <f>IF(Raw_PNL!F2=0,0,Raw_PNL!F8/Raw_PNL!F2)</f>
        <v/>
      </c>
      <c r="G8" s="8" t="n"/>
    </row>
    <row r="9">
      <c r="A9" s="5" t="inlineStr">
        <is>
          <t>Net margin</t>
        </is>
      </c>
      <c r="B9" s="8">
        <f>IF(Raw_PNL!B2=0,0,Raw_PNL!B12/Raw_PNL!B2)</f>
        <v/>
      </c>
      <c r="C9" s="8">
        <f>IF(Raw_PNL!C2=0,0,Raw_PNL!C12/Raw_PNL!C2)</f>
        <v/>
      </c>
      <c r="D9" s="8">
        <f>IF(Raw_PNL!D2=0,0,Raw_PNL!D12/Raw_PNL!D2)</f>
        <v/>
      </c>
      <c r="E9" s="8">
        <f>IF(Raw_PNL!E2=0,0,Raw_PNL!E12/Raw_PNL!E2)</f>
        <v/>
      </c>
      <c r="F9" s="8">
        <f>IF(Raw_PNL!F2=0,0,Raw_PNL!F12/Raw_PNL!F2)</f>
        <v/>
      </c>
      <c r="G9" s="8" t="n"/>
    </row>
    <row r="10">
      <c r="A10" s="5" t="inlineStr">
        <is>
          <t>Return on equity (ROE)</t>
        </is>
      </c>
      <c r="B10" s="8">
        <f>IF(((Raw_BS!C21+Raw_BS!B21)/2)=0,0,Raw_PNL!B12/((Raw_BS!C21+Raw_BS!B21)/2))</f>
        <v/>
      </c>
      <c r="C10" s="8">
        <f>IF(((Raw_BS!D21+Raw_BS!C21)/2)=0,0,Raw_PNL!C12/((Raw_BS!D21+Raw_BS!C21)/2))</f>
        <v/>
      </c>
      <c r="D10" s="8">
        <f>IF(((Raw_BS!E21+Raw_BS!D21)/2)=0,0,Raw_PNL!D12/((Raw_BS!E21+Raw_BS!D21)/2))</f>
        <v/>
      </c>
      <c r="E10" s="8">
        <f>IF(((Raw_BS!F21+Raw_BS!E21)/2)=0,0,Raw_PNL!E12/((Raw_BS!F21+Raw_BS!E21)/2))</f>
        <v/>
      </c>
      <c r="F10" s="8">
        <f>IF(((Raw_BS!G21+Raw_BS!F21)/2)=0,0,Raw_PNL!F12/((Raw_BS!G21+Raw_BS!F21)/2))</f>
        <v/>
      </c>
      <c r="G10" s="8" t="n"/>
    </row>
    <row r="11">
      <c r="A11" s="5" t="inlineStr">
        <is>
          <t>Return on assets (ROA)</t>
        </is>
      </c>
      <c r="B11" s="8">
        <f>IF(((Raw_BS!C10+Raw_BS!B10)/2)=0,0,Raw_PNL!B12/((Raw_BS!C10+Raw_BS!B10)/2))</f>
        <v/>
      </c>
      <c r="C11" s="8">
        <f>IF(((Raw_BS!D10+Raw_BS!C10)/2)=0,0,Raw_PNL!C12/((Raw_BS!D10+Raw_BS!C10)/2))</f>
        <v/>
      </c>
      <c r="D11" s="8">
        <f>IF(((Raw_BS!E10+Raw_BS!D10)/2)=0,0,Raw_PNL!D12/((Raw_BS!E10+Raw_BS!D10)/2))</f>
        <v/>
      </c>
      <c r="E11" s="8">
        <f>IF(((Raw_BS!F10+Raw_BS!E10)/2)=0,0,Raw_PNL!E12/((Raw_BS!F10+Raw_BS!E10)/2))</f>
        <v/>
      </c>
      <c r="F11" s="8">
        <f>IF(((Raw_BS!G10+Raw_BS!F10)/2)=0,0,Raw_PNL!F12/((Raw_BS!G10+Raw_BS!F10)/2))</f>
        <v/>
      </c>
      <c r="G11" s="8" t="n"/>
    </row>
    <row r="12">
      <c r="A12" s="5" t="inlineStr">
        <is>
          <t>Return on capital employed (ROCE)</t>
        </is>
      </c>
      <c r="B12" s="8">
        <f>IF((Raw_BS!C21+Raw_BS!C17)=0,0,Raw_PNL!B8/(Raw_BS!C21+Raw_BS!C17))</f>
        <v/>
      </c>
      <c r="C12" s="8">
        <f>IF((Raw_BS!D21+Raw_BS!D17)=0,0,Raw_PNL!C8/(Raw_BS!D21+Raw_BS!D17))</f>
        <v/>
      </c>
      <c r="D12" s="8">
        <f>IF((Raw_BS!E21+Raw_BS!E17)=0,0,Raw_PNL!D8/(Raw_BS!E21+Raw_BS!E17))</f>
        <v/>
      </c>
      <c r="E12" s="8">
        <f>IF((Raw_BS!F21+Raw_BS!F17)=0,0,Raw_PNL!E8/(Raw_BS!F21+Raw_BS!F17))</f>
        <v/>
      </c>
      <c r="F12" s="8">
        <f>IF((Raw_BS!G21+Raw_BS!G17)=0,0,Raw_PNL!F8/(Raw_BS!G21+Raw_BS!G17))</f>
        <v/>
      </c>
      <c r="G12" s="8" t="n"/>
    </row>
    <row r="13">
      <c r="A13" s="5" t="inlineStr">
        <is>
          <t>Debt / Equity</t>
        </is>
      </c>
      <c r="B13" s="7">
        <f>IF(Raw_BS!C21=0,0,Raw_BS!C18/Raw_BS!C21)</f>
        <v/>
      </c>
      <c r="C13" s="7">
        <f>IF(Raw_BS!D21=0,0,Raw_BS!D18/Raw_BS!D21)</f>
        <v/>
      </c>
      <c r="D13" s="7">
        <f>IF(Raw_BS!E21=0,0,Raw_BS!E18/Raw_BS!E21)</f>
        <v/>
      </c>
      <c r="E13" s="7">
        <f>IF(Raw_BS!F21=0,0,Raw_BS!F18/Raw_BS!F21)</f>
        <v/>
      </c>
      <c r="F13" s="7">
        <f>IF(Raw_BS!G21=0,0,Raw_BS!G18/Raw_BS!G21)</f>
        <v/>
      </c>
      <c r="G13" s="7" t="n"/>
    </row>
    <row r="14">
      <c r="A14" s="5" t="inlineStr">
        <is>
          <t>Debt / Assets</t>
        </is>
      </c>
      <c r="B14" s="7">
        <f>IF(Raw_BS!C10=0,0,Raw_BS!C18/Raw_BS!C10)</f>
        <v/>
      </c>
      <c r="C14" s="7">
        <f>IF(Raw_BS!D10=0,0,Raw_BS!D18/Raw_BS!D10)</f>
        <v/>
      </c>
      <c r="D14" s="7">
        <f>IF(Raw_BS!E10=0,0,Raw_BS!E18/Raw_BS!E10)</f>
        <v/>
      </c>
      <c r="E14" s="7">
        <f>IF(Raw_BS!F10=0,0,Raw_BS!F18/Raw_BS!F10)</f>
        <v/>
      </c>
      <c r="F14" s="7">
        <f>IF(Raw_BS!G10=0,0,Raw_BS!G18/Raw_BS!G10)</f>
        <v/>
      </c>
      <c r="G14" s="7" t="n"/>
    </row>
    <row r="15">
      <c r="A15" s="5" t="inlineStr">
        <is>
          <t>Interest coverage (x)</t>
        </is>
      </c>
      <c r="B15" s="7">
        <f>IF(Raw_PNL!B9=0,0,Raw_PNL!B8/Raw_PNL!B9)</f>
        <v/>
      </c>
      <c r="C15" s="7">
        <f>IF(Raw_PNL!C9=0,0,Raw_PNL!C8/Raw_PNL!C9)</f>
        <v/>
      </c>
      <c r="D15" s="7">
        <f>IF(Raw_PNL!D9=0,0,Raw_PNL!D8/Raw_PNL!D9)</f>
        <v/>
      </c>
      <c r="E15" s="7">
        <f>IF(Raw_PNL!E9=0,0,Raw_PNL!E8/Raw_PNL!E9)</f>
        <v/>
      </c>
      <c r="F15" s="7">
        <f>IF(Raw_PNL!F9=0,0,Raw_PNL!F8/Raw_PNL!F9)</f>
        <v/>
      </c>
      <c r="G15" s="7" t="n"/>
    </row>
    <row r="16">
      <c r="A16" s="5" t="inlineStr">
        <is>
          <t>Equity ratio</t>
        </is>
      </c>
      <c r="B16" s="8">
        <f>IF(Raw_BS!C10=0,0,Raw_BS!C21/Raw_BS!C10)</f>
        <v/>
      </c>
      <c r="C16" s="8">
        <f>IF(Raw_BS!D10=0,0,Raw_BS!D21/Raw_BS!D10)</f>
        <v/>
      </c>
      <c r="D16" s="8">
        <f>IF(Raw_BS!E10=0,0,Raw_BS!E21/Raw_BS!E10)</f>
        <v/>
      </c>
      <c r="E16" s="8">
        <f>IF(Raw_BS!F10=0,0,Raw_BS!F21/Raw_BS!F10)</f>
        <v/>
      </c>
      <c r="F16" s="8">
        <f>IF(Raw_BS!G10=0,0,Raw_BS!G21/Raw_BS!G10)</f>
        <v/>
      </c>
      <c r="G16" s="8" t="n"/>
    </row>
    <row r="17">
      <c r="A17" s="5" t="inlineStr">
        <is>
          <t>Receivable days</t>
        </is>
      </c>
      <c r="B17" s="9">
        <f>IF(Raw_PNL!B2=0,0,((Raw_BS!C3+Raw_BS!B3)/2)/Raw_PNL!B2)*365</f>
        <v/>
      </c>
      <c r="C17" s="9">
        <f>IF(Raw_PNL!C2=0,0,((Raw_BS!D3+Raw_BS!C3)/2)/Raw_PNL!C2)*365</f>
        <v/>
      </c>
      <c r="D17" s="9">
        <f>IF(Raw_PNL!D2=0,0,((Raw_BS!E3+Raw_BS!D3)/2)/Raw_PNL!D2)*365</f>
        <v/>
      </c>
      <c r="E17" s="9">
        <f>IF(Raw_PNL!E2=0,0,((Raw_BS!F3+Raw_BS!E3)/2)/Raw_PNL!E2)*365</f>
        <v/>
      </c>
      <c r="F17" s="9">
        <f>IF(Raw_PNL!F2=0,0,((Raw_BS!G3+Raw_BS!F3)/2)/Raw_PNL!F2)*365</f>
        <v/>
      </c>
      <c r="G17" s="9" t="n"/>
    </row>
    <row r="18">
      <c r="A18" s="5" t="inlineStr">
        <is>
          <t>Inventory days</t>
        </is>
      </c>
      <c r="B18" s="9">
        <f>IF(Raw_PNL!B3=0,0,((Raw_BS!C4+Raw_BS!B4)/2)/Raw_PNL!B3)*365</f>
        <v/>
      </c>
      <c r="C18" s="9">
        <f>IF(Raw_PNL!C3=0,0,((Raw_BS!D4+Raw_BS!C4)/2)/Raw_PNL!C3)*365</f>
        <v/>
      </c>
      <c r="D18" s="9">
        <f>IF(Raw_PNL!D3=0,0,((Raw_BS!E4+Raw_BS!D4)/2)/Raw_PNL!D3)*365</f>
        <v/>
      </c>
      <c r="E18" s="9">
        <f>IF(Raw_PNL!E3=0,0,((Raw_BS!F4+Raw_BS!E4)/2)/Raw_PNL!E3)*365</f>
        <v/>
      </c>
      <c r="F18" s="9">
        <f>IF(Raw_PNL!F3=0,0,((Raw_BS!G4+Raw_BS!F4)/2)/Raw_PNL!F3)*365</f>
        <v/>
      </c>
      <c r="G18" s="9" t="n"/>
    </row>
    <row r="19">
      <c r="A19" s="5" t="inlineStr">
        <is>
          <t>Payable days</t>
        </is>
      </c>
      <c r="B19" s="9">
        <f>IF(Raw_PNL!B3=0,0,((Raw_BS!C11+Raw_BS!B11)/2)/Raw_PNL!B3)*365</f>
        <v/>
      </c>
      <c r="C19" s="9">
        <f>IF(Raw_PNL!C3=0,0,((Raw_BS!D11+Raw_BS!C11)/2)/Raw_PNL!C3)*365</f>
        <v/>
      </c>
      <c r="D19" s="9">
        <f>IF(Raw_PNL!D3=0,0,((Raw_BS!E11+Raw_BS!D11)/2)/Raw_PNL!D3)*365</f>
        <v/>
      </c>
      <c r="E19" s="9">
        <f>IF(Raw_PNL!E3=0,0,((Raw_BS!F11+Raw_BS!E11)/2)/Raw_PNL!E3)*365</f>
        <v/>
      </c>
      <c r="F19" s="9">
        <f>IF(Raw_PNL!F3=0,0,((Raw_BS!G11+Raw_BS!F11)/2)/Raw_PNL!F3)*365</f>
        <v/>
      </c>
      <c r="G19" s="9" t="n"/>
    </row>
    <row r="20">
      <c r="A20" s="5" t="inlineStr">
        <is>
          <t>Cash conversion cycle (days)</t>
        </is>
      </c>
      <c r="B20" s="9">
        <f>Ratios!B17+Ratios!B18-Ratios!B19</f>
        <v/>
      </c>
      <c r="C20" s="9">
        <f>Ratios!C17+Ratios!C18-Ratios!C19</f>
        <v/>
      </c>
      <c r="D20" s="9">
        <f>Ratios!D17+Ratios!D18-Ratios!D19</f>
        <v/>
      </c>
      <c r="E20" s="9">
        <f>Ratios!E17+Ratios!E18-Ratios!E19</f>
        <v/>
      </c>
      <c r="F20" s="9">
        <f>Ratios!F17+Ratios!F18-Ratios!F19</f>
        <v/>
      </c>
      <c r="G20" s="9" t="n"/>
    </row>
    <row r="21">
      <c r="A21" s="5" t="inlineStr">
        <is>
          <t>Asset turnover (x)</t>
        </is>
      </c>
      <c r="B21" s="7">
        <f>IF(((Raw_BS!C10+Raw_BS!B10)/2)=0,0,Raw_PNL!B2/((Raw_BS!C10+Raw_BS!B10)/2))</f>
        <v/>
      </c>
      <c r="C21" s="7">
        <f>IF(((Raw_BS!D10+Raw_BS!C10)/2)=0,0,Raw_PNL!C2/((Raw_BS!D10+Raw_BS!C10)/2))</f>
        <v/>
      </c>
      <c r="D21" s="7">
        <f>IF(((Raw_BS!E10+Raw_BS!D10)/2)=0,0,Raw_PNL!D2/((Raw_BS!E10+Raw_BS!D10)/2))</f>
        <v/>
      </c>
      <c r="E21" s="7">
        <f>IF(((Raw_BS!F10+Raw_BS!E10)/2)=0,0,Raw_PNL!E2/((Raw_BS!F10+Raw_BS!E10)/2))</f>
        <v/>
      </c>
      <c r="F21" s="7">
        <f>IF(((Raw_BS!G10+Raw_BS!F10)/2)=0,0,Raw_PNL!F2/((Raw_BS!G10+Raw_BS!F10)/2))</f>
        <v/>
      </c>
      <c r="G21" s="7" t="n"/>
    </row>
    <row r="22">
      <c r="A22" s="5" t="inlineStr">
        <is>
          <t>Revenue growth YoY</t>
        </is>
      </c>
      <c r="B22" s="8" t="inlineStr">
        <is>
          <t>n/a</t>
        </is>
      </c>
      <c r="C22" s="8">
        <f>IF(Raw_PNL!B2=0,0,(Raw_PNL!C2-Raw_PNL!B2)/Raw_PNL!B2)</f>
        <v/>
      </c>
      <c r="D22" s="8">
        <f>IF(Raw_PNL!C2=0,0,(Raw_PNL!D2-Raw_PNL!C2)/Raw_PNL!C2)</f>
        <v/>
      </c>
      <c r="E22" s="8">
        <f>IF(Raw_PNL!D2=0,0,(Raw_PNL!E2-Raw_PNL!D2)/Raw_PNL!D2)</f>
        <v/>
      </c>
      <c r="F22" s="8">
        <f>IF(Raw_PNL!E2=0,0,(Raw_PNL!F2-Raw_PNL!E2)/Raw_PNL!E2)</f>
        <v/>
      </c>
      <c r="G22" s="8" t="n"/>
    </row>
    <row r="23">
      <c r="A23" s="5" t="inlineStr">
        <is>
          <t>Net income growth YoY</t>
        </is>
      </c>
      <c r="B23" s="8" t="inlineStr">
        <is>
          <t>n/a</t>
        </is>
      </c>
      <c r="C23" s="8">
        <f>IF(Raw_PNL!B12=0,0,(Raw_PNL!C12-Raw_PNL!B12)/Raw_PNL!B12)</f>
        <v/>
      </c>
      <c r="D23" s="8">
        <f>IF(Raw_PNL!C12=0,0,(Raw_PNL!D12-Raw_PNL!C12)/Raw_PNL!C12)</f>
        <v/>
      </c>
      <c r="E23" s="8">
        <f>IF(Raw_PNL!D12=0,0,(Raw_PNL!E12-Raw_PNL!D12)/Raw_PNL!D12)</f>
        <v/>
      </c>
      <c r="F23" s="8">
        <f>IF(Raw_PNL!E12=0,0,(Raw_PNL!F12-Raw_PNL!E12)/Raw_PNL!E12)</f>
        <v/>
      </c>
      <c r="G23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DuPont decomposition of ROE</t>
        </is>
      </c>
      <c r="B1" s="4" t="inlineStr">
        <is>
          <t>FY21</t>
        </is>
      </c>
      <c r="C1" s="4" t="inlineStr">
        <is>
          <t>FY22</t>
        </is>
      </c>
      <c r="D1" s="4" t="inlineStr">
        <is>
          <t>FY23</t>
        </is>
      </c>
      <c r="E1" s="4" t="inlineStr">
        <is>
          <t>FY24</t>
        </is>
      </c>
      <c r="F1" s="4" t="inlineStr">
        <is>
          <t>FY25</t>
        </is>
      </c>
      <c r="G1" s="4" t="n"/>
    </row>
    <row r="2">
      <c r="A2" s="5" t="inlineStr">
        <is>
          <t>Net margin (Net income / Revenue)</t>
        </is>
      </c>
      <c r="B2" s="8">
        <f>Ratios!B9</f>
        <v/>
      </c>
      <c r="C2" s="8">
        <f>Ratios!C9</f>
        <v/>
      </c>
      <c r="D2" s="8">
        <f>Ratios!D9</f>
        <v/>
      </c>
      <c r="E2" s="8">
        <f>Ratios!E9</f>
        <v/>
      </c>
      <c r="F2" s="8">
        <f>Ratios!F9</f>
        <v/>
      </c>
      <c r="G2" s="8" t="n"/>
    </row>
    <row r="3">
      <c r="A3" s="5" t="inlineStr">
        <is>
          <t>Asset turnover (Revenue / Avg assets)</t>
        </is>
      </c>
      <c r="B3" s="7">
        <f>Ratios!B21</f>
        <v/>
      </c>
      <c r="C3" s="7">
        <f>Ratios!C21</f>
        <v/>
      </c>
      <c r="D3" s="7">
        <f>Ratios!D21</f>
        <v/>
      </c>
      <c r="E3" s="7">
        <f>Ratios!E21</f>
        <v/>
      </c>
      <c r="F3" s="7">
        <f>Ratios!F21</f>
        <v/>
      </c>
      <c r="G3" s="7" t="n"/>
    </row>
    <row r="4">
      <c r="A4" s="5" t="inlineStr">
        <is>
          <t>Equity multiplier (Avg assets / Avg equity)</t>
        </is>
      </c>
      <c r="B4" s="7">
        <f>IF(((Raw_BS!C21+Raw_BS!B21)/2)=0,0,((Raw_BS!C10+Raw_BS!B10)/2)/((Raw_BS!C21+Raw_BS!B21)/2))</f>
        <v/>
      </c>
      <c r="C4" s="7">
        <f>IF(((Raw_BS!D21+Raw_BS!C21)/2)=0,0,((Raw_BS!D10+Raw_BS!C10)/2)/((Raw_BS!D21+Raw_BS!C21)/2))</f>
        <v/>
      </c>
      <c r="D4" s="7">
        <f>IF(((Raw_BS!E21+Raw_BS!D21)/2)=0,0,((Raw_BS!E10+Raw_BS!D10)/2)/((Raw_BS!E21+Raw_BS!D21)/2))</f>
        <v/>
      </c>
      <c r="E4" s="7">
        <f>IF(((Raw_BS!F21+Raw_BS!E21)/2)=0,0,((Raw_BS!F10+Raw_BS!E10)/2)/((Raw_BS!F21+Raw_BS!E21)/2))</f>
        <v/>
      </c>
      <c r="F4" s="7">
        <f>IF(((Raw_BS!G21+Raw_BS!F21)/2)=0,0,((Raw_BS!G10+Raw_BS!F10)/2)/((Raw_BS!G21+Raw_BS!F21)/2))</f>
        <v/>
      </c>
      <c r="G4" s="7" t="n"/>
    </row>
    <row r="5">
      <c r="A5" s="5" t="inlineStr">
        <is>
          <t>ROE — DuPont product</t>
        </is>
      </c>
      <c r="B5" s="8">
        <f>DuPont!B2*DuPont!B3*DuPont!B4</f>
        <v/>
      </c>
      <c r="C5" s="8">
        <f>DuPont!C2*DuPont!C3*DuPont!C4</f>
        <v/>
      </c>
      <c r="D5" s="8">
        <f>DuPont!D2*DuPont!D3*DuPont!D4</f>
        <v/>
      </c>
      <c r="E5" s="8">
        <f>DuPont!E2*DuPont!E3*DuPont!E4</f>
        <v/>
      </c>
      <c r="F5" s="8">
        <f>DuPont!F2*DuPont!F3*DuPont!F4</f>
        <v/>
      </c>
      <c r="G5" s="8" t="n"/>
    </row>
    <row r="6">
      <c r="A6" s="5" t="inlineStr">
        <is>
          <t>ROE — direct (check)</t>
        </is>
      </c>
      <c r="B6" s="8">
        <f>Ratios!B10</f>
        <v/>
      </c>
      <c r="C6" s="8">
        <f>Ratios!C10</f>
        <v/>
      </c>
      <c r="D6" s="8">
        <f>Ratios!D10</f>
        <v/>
      </c>
      <c r="E6" s="8">
        <f>Ratios!E10</f>
        <v/>
      </c>
      <c r="F6" s="8">
        <f>Ratios!F10</f>
        <v/>
      </c>
      <c r="G6" s="8" t="n"/>
    </row>
    <row r="7">
      <c r="A7" s="5" t="inlineStr">
        <is>
          <t>Difference (must be 0)</t>
        </is>
      </c>
      <c r="B7" s="7">
        <f>DuPont!B5-DuPont!B6</f>
        <v/>
      </c>
      <c r="C7" s="7">
        <f>DuPont!C5-DuPont!C6</f>
        <v/>
      </c>
      <c r="D7" s="7">
        <f>DuPont!D5-DuPont!D6</f>
        <v/>
      </c>
      <c r="E7" s="7">
        <f>DuPont!E5-DuPont!E6</f>
        <v/>
      </c>
      <c r="F7" s="7">
        <f>DuPont!F5-DuPont!F6</f>
        <v/>
      </c>
      <c r="G7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10" t="inlineStr">
        <is>
          <t>ProfitPulse — FY25 KPI cards (all formula-fed)</t>
        </is>
      </c>
      <c r="B1" s="5" t="inlineStr">
        <is>
          <t>FY25</t>
        </is>
      </c>
      <c r="C1" s="5" t="inlineStr">
        <is>
          <t>vs FY21</t>
        </is>
      </c>
    </row>
    <row r="2">
      <c r="A2" s="5" t="inlineStr">
        <is>
          <t>Revenue (INR lakh)</t>
        </is>
      </c>
      <c r="B2" s="11">
        <f>Raw_PNL!F2</f>
        <v/>
      </c>
      <c r="C2" s="12">
        <f>Raw_PNL!F2-Raw_PNL!B2</f>
        <v/>
      </c>
    </row>
    <row r="3">
      <c r="A3" s="5" t="inlineStr">
        <is>
          <t>Net margin</t>
        </is>
      </c>
      <c r="B3" s="13">
        <f>Ratios!F9</f>
        <v/>
      </c>
      <c r="C3" s="14">
        <f>Ratios!F9-Ratios!B9</f>
        <v/>
      </c>
    </row>
    <row r="4">
      <c r="A4" s="5" t="inlineStr">
        <is>
          <t>Return on equity</t>
        </is>
      </c>
      <c r="B4" s="13">
        <f>Ratios!F10</f>
        <v/>
      </c>
      <c r="C4" s="14">
        <f>Ratios!F10-Ratios!B10</f>
        <v/>
      </c>
    </row>
    <row r="5">
      <c r="A5" s="5" t="inlineStr">
        <is>
          <t>Current ratio</t>
        </is>
      </c>
      <c r="B5" s="15">
        <f>Ratios!F2</f>
        <v/>
      </c>
      <c r="C5" s="16">
        <f>Ratios!F2-Ratios!B2</f>
        <v/>
      </c>
    </row>
    <row r="6">
      <c r="A6" s="5" t="inlineStr">
        <is>
          <t>Debt / Equity</t>
        </is>
      </c>
      <c r="B6" s="15">
        <f>Ratios!F13</f>
        <v/>
      </c>
      <c r="C6" s="16">
        <f>Ratios!F13-Ratios!B13</f>
        <v/>
      </c>
    </row>
    <row r="7">
      <c r="A7" s="5" t="inlineStr">
        <is>
          <t>Cash conversion cycle (days)</t>
        </is>
      </c>
      <c r="B7" s="17">
        <f>Ratios!F20</f>
        <v/>
      </c>
      <c r="C7" s="18">
        <f>Ratios!F20-Ratios!B20</f>
        <v/>
      </c>
    </row>
    <row r="8">
      <c r="A8" s="5" t="inlineStr">
        <is>
          <t>Interest coverage (x)</t>
        </is>
      </c>
      <c r="B8" s="15">
        <f>Ratios!F15</f>
        <v/>
      </c>
      <c r="C8" s="16" t="n"/>
    </row>
    <row r="9">
      <c r="A9" s="5" t="inlineStr">
        <is>
          <t>Cash &amp; bank (INR lakh)</t>
        </is>
      </c>
      <c r="B9" s="11">
        <f>Raw_BS!G2</f>
        <v/>
      </c>
      <c r="C9" s="12" t="n"/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2" customWidth="1" min="4" max="4"/>
    <col width="34" customWidth="1" min="5" max="5"/>
  </cols>
  <sheetData>
    <row r="1">
      <c r="A1" s="10" t="inlineStr">
        <is>
          <t>ProfitPulse — rule-based weekly narrative</t>
        </is>
      </c>
    </row>
    <row r="3" ht="30" customHeight="1">
      <c r="A3" s="19" t="inlineStr">
        <is>
          <t>Shakti Consumer Goods grew revenue every year FY21–FY25 while cutting debt: long-term debt roughly halved and interest coverage improved — a classic deleveraging story.</t>
        </is>
      </c>
    </row>
    <row r="4" ht="30" customHeight="1">
      <c r="A4" s="19" t="inlineStr">
        <is>
          <t>Margins expanded across the board (gross, EBITDA and net), driven by COGS and SG&amp;A growing slower than revenue. ROE strengthened as net margin outpaced the equity build.</t>
        </is>
      </c>
    </row>
    <row r="5" ht="30" customHeight="1">
      <c r="A5" s="19" t="inlineStr">
        <is>
          <t>The watch item is working capital: receivable days drifted up over the period while inventory discipline held — collections, not operations, are the drag on the cash conversion cycle. See the red-flag checklist below (all statuses are live formulas).</t>
        </is>
      </c>
    </row>
    <row r="7">
      <c r="A7" s="20" t="inlineStr">
        <is>
          <t>Red-flag checklist (FY25, live)</t>
        </is>
      </c>
    </row>
    <row r="8">
      <c r="A8" s="21" t="inlineStr">
        <is>
          <t>Check</t>
        </is>
      </c>
      <c r="B8" s="21" t="inlineStr">
        <is>
          <t>FY25 value</t>
        </is>
      </c>
      <c r="C8" s="21" t="inlineStr">
        <is>
          <t>Threshold</t>
        </is>
      </c>
      <c r="D8" s="21" t="inlineStr">
        <is>
          <t>Status</t>
        </is>
      </c>
      <c r="E8" s="21" t="inlineStr">
        <is>
          <t>Reading</t>
        </is>
      </c>
    </row>
    <row r="9">
      <c r="A9" s="5" t="inlineStr">
        <is>
          <t>Current ratio &lt; 1.20</t>
        </is>
      </c>
      <c r="B9" s="22">
        <f>Ratios!F2</f>
        <v/>
      </c>
      <c r="C9" s="23" t="inlineStr">
        <is>
          <t>1.20</t>
        </is>
      </c>
      <c r="D9" s="23">
        <f>IF(Ratios!F2&lt;1.2,"⚠ WATCH","✓ OK")</f>
        <v/>
      </c>
      <c r="E9" s="2" t="inlineStr">
        <is>
          <t>Short-term liquidity buffer</t>
        </is>
      </c>
    </row>
    <row r="10">
      <c r="A10" s="5" t="inlineStr">
        <is>
          <t>Quick ratio &lt; 1.00</t>
        </is>
      </c>
      <c r="B10" s="22">
        <f>Ratios!F3</f>
        <v/>
      </c>
      <c r="C10" s="23" t="inlineStr">
        <is>
          <t>1.00</t>
        </is>
      </c>
      <c r="D10" s="23">
        <f>IF(Ratios!F3&lt;1,"⚠ WATCH","✓ OK")</f>
        <v/>
      </c>
      <c r="E10" s="2" t="inlineStr">
        <is>
          <t>Liquidity without inventory</t>
        </is>
      </c>
    </row>
    <row r="11">
      <c r="A11" s="5" t="inlineStr">
        <is>
          <t>Debt/Equity &gt; 1.00</t>
        </is>
      </c>
      <c r="B11" s="22">
        <f>Ratios!F13</f>
        <v/>
      </c>
      <c r="C11" s="23" t="inlineStr">
        <is>
          <t>1.00</t>
        </is>
      </c>
      <c r="D11" s="23">
        <f>IF(Ratios!F13&gt;1,"⚠ WATCH","✓ OK")</f>
        <v/>
      </c>
      <c r="E11" s="2" t="inlineStr">
        <is>
          <t>Leverage comfort zone</t>
        </is>
      </c>
    </row>
    <row r="12">
      <c r="A12" s="5" t="inlineStr">
        <is>
          <t>Interest coverage &lt; 3×</t>
        </is>
      </c>
      <c r="B12" s="22">
        <f>Ratios!F15</f>
        <v/>
      </c>
      <c r="C12" s="23" t="inlineStr">
        <is>
          <t>3.0×</t>
        </is>
      </c>
      <c r="D12" s="23">
        <f>IF(Ratios!F15&lt;3,"⚠ WATCH","✓ OK")</f>
        <v/>
      </c>
      <c r="E12" s="2" t="inlineStr">
        <is>
          <t>Debt-service headroom</t>
        </is>
      </c>
    </row>
    <row r="13">
      <c r="A13" s="5" t="inlineStr">
        <is>
          <t>Net margin falling YoY</t>
        </is>
      </c>
      <c r="B13" s="24">
        <f>Ratios!F9</f>
        <v/>
      </c>
      <c r="C13" s="23" t="inlineStr">
        <is>
          <t>vs FY24</t>
        </is>
      </c>
      <c r="D13" s="23">
        <f>IF(Ratios!F9&lt;Ratios!E9,"⚠ WATCH","✓ OK")</f>
        <v/>
      </c>
      <c r="E13" s="2" t="inlineStr">
        <is>
          <t>Profitability momentum</t>
        </is>
      </c>
    </row>
    <row r="14">
      <c r="A14" s="5" t="inlineStr">
        <is>
          <t>Receivable days rising YoY</t>
        </is>
      </c>
      <c r="B14" s="25">
        <f>Ratios!F17</f>
        <v/>
      </c>
      <c r="C14" s="23" t="inlineStr">
        <is>
          <t>vs FY24</t>
        </is>
      </c>
      <c r="D14" s="23">
        <f>IF(Ratios!F17&gt;Ratios!E17,"⚠ WATCH","✓ OK")</f>
        <v/>
      </c>
      <c r="E14" s="2" t="inlineStr">
        <is>
          <t>Collections discipline</t>
        </is>
      </c>
    </row>
    <row r="15">
      <c r="A15" s="5" t="inlineStr">
        <is>
          <t>CCC &gt; 90 days</t>
        </is>
      </c>
      <c r="B15" s="25">
        <f>Ratios!F20</f>
        <v/>
      </c>
      <c r="C15" s="23" t="inlineStr">
        <is>
          <t>90 days</t>
        </is>
      </c>
      <c r="D15" s="23">
        <f>IF(Ratios!F20&gt;90,"⚠ WATCH","✓ OK")</f>
        <v/>
      </c>
      <c r="E15" s="2" t="inlineStr">
        <is>
          <t>Cash tied in operations</t>
        </is>
      </c>
    </row>
    <row r="16">
      <c r="A16" s="5" t="inlineStr">
        <is>
          <t>Working capital falling YoY</t>
        </is>
      </c>
      <c r="B16" s="26">
        <f>Ratios!F5</f>
        <v/>
      </c>
      <c r="C16" s="23" t="inlineStr">
        <is>
          <t>vs FY24</t>
        </is>
      </c>
      <c r="D16" s="23">
        <f>IF(Ratios!F5&lt;Ratios!E5,"⚠ WATCH","✓ OK")</f>
        <v/>
      </c>
      <c r="E16" s="2" t="inlineStr">
        <is>
          <t>Net short-term resources</t>
        </is>
      </c>
    </row>
  </sheetData>
  <mergeCells count="3">
    <mergeCell ref="A5:E5"/>
    <mergeCell ref="A4:E4"/>
    <mergeCell ref="A3:E3"/>
  </mergeCells>
  <conditionalFormatting sqref="D9:D16">
    <cfRule type="cellIs" priority="1" operator="equal" dxfId="0">
      <formula>"⚠ WATCH"</formula>
    </cfRule>
    <cfRule type="cellIs" priority="2" operator="equal" dxfId="1">
      <formula>"✓ OK"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0000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Integrity checks — every row must read TRUE / 0</t>
        </is>
      </c>
      <c r="B1" s="4" t="n"/>
      <c r="C1" s="4" t="n"/>
      <c r="D1" s="4" t="n"/>
      <c r="E1" s="4" t="n"/>
      <c r="F1" s="4" t="n"/>
      <c r="G1" s="4" t="n"/>
    </row>
    <row r="2">
      <c r="A2" t="inlineStr">
        <is>
          <t>Check</t>
        </is>
      </c>
      <c r="B2" t="inlineStr">
        <is>
          <t>FY21</t>
        </is>
      </c>
      <c r="C2" t="inlineStr">
        <is>
          <t>FY22</t>
        </is>
      </c>
      <c r="D2" t="inlineStr">
        <is>
          <t>FY23</t>
        </is>
      </c>
      <c r="E2" t="inlineStr">
        <is>
          <t>FY24</t>
        </is>
      </c>
      <c r="F2" t="inlineStr">
        <is>
          <t>FY25</t>
        </is>
      </c>
    </row>
    <row r="3">
      <c r="A3" s="5" t="inlineStr">
        <is>
          <t>Balance sheet balances (Assets − L&amp;E = 0)</t>
        </is>
      </c>
      <c r="B3" s="27">
        <f>Raw_BS!C10-Raw_BS!C22</f>
        <v/>
      </c>
      <c r="C3" s="27">
        <f>Raw_BS!D10-Raw_BS!D22</f>
        <v/>
      </c>
      <c r="D3" s="27">
        <f>Raw_BS!E10-Raw_BS!E22</f>
        <v/>
      </c>
      <c r="E3" s="27">
        <f>Raw_BS!F10-Raw_BS!F22</f>
        <v/>
      </c>
      <c r="F3" s="27">
        <f>Raw_BS!G10-Raw_BS!G22</f>
        <v/>
      </c>
    </row>
    <row r="4">
      <c r="A4" s="5" t="inlineStr">
        <is>
          <t>Reserves rollforward (Res_t − Res_{t−1} − Net_t = 0)</t>
        </is>
      </c>
      <c r="B4" s="27">
        <f>Raw_BS!C20-Raw_BS!B20-Raw_PNL!B12</f>
        <v/>
      </c>
      <c r="C4" s="27">
        <f>Raw_BS!D20-Raw_BS!C20-Raw_PNL!C12</f>
        <v/>
      </c>
      <c r="D4" s="27">
        <f>Raw_BS!E20-Raw_BS!D20-Raw_PNL!D12</f>
        <v/>
      </c>
      <c r="E4" s="27">
        <f>Raw_BS!F20-Raw_BS!E20-Raw_PNL!E12</f>
        <v/>
      </c>
      <c r="F4" s="27">
        <f>Raw_BS!G20-Raw_BS!F20-Raw_PNL!F12</f>
        <v/>
      </c>
    </row>
    <row r="5">
      <c r="A5" s="5" t="inlineStr">
        <is>
          <t>P&amp;L foots (Net − (EBT − Tax) = 0)</t>
        </is>
      </c>
      <c r="B5" s="27">
        <f>Raw_PNL!B12-(Raw_PNL!B10-Raw_PNL!B11)</f>
        <v/>
      </c>
      <c r="C5" s="27">
        <f>Raw_PNL!C12-(Raw_PNL!C10-Raw_PNL!C11)</f>
        <v/>
      </c>
      <c r="D5" s="27">
        <f>Raw_PNL!D12-(Raw_PNL!D10-Raw_PNL!D11)</f>
        <v/>
      </c>
      <c r="E5" s="27">
        <f>Raw_PNL!E12-(Raw_PNL!E10-Raw_PNL!E11)</f>
        <v/>
      </c>
      <c r="F5" s="27">
        <f>Raw_PNL!F12-(Raw_PNL!F10-Raw_PNL!F11)</f>
        <v/>
      </c>
    </row>
    <row r="6">
      <c r="A6" s="5" t="inlineStr">
        <is>
          <t>DuPont tie-out (product − direct = 0)</t>
        </is>
      </c>
      <c r="B6" s="27">
        <f>DuPont!B7</f>
        <v/>
      </c>
      <c r="C6" s="27">
        <f>DuPont!C7</f>
        <v/>
      </c>
      <c r="D6" s="27">
        <f>DuPont!D7</f>
        <v/>
      </c>
      <c r="E6" s="27">
        <f>DuPont!E7</f>
        <v/>
      </c>
      <c r="F6" s="27">
        <f>DuPont!F7</f>
        <v/>
      </c>
    </row>
    <row r="7">
      <c r="A7" s="5" t="inlineStr">
        <is>
          <t>Cash positive every year</t>
        </is>
      </c>
      <c r="B7" s="27">
        <f>Raw_BS!C2&gt;0</f>
        <v/>
      </c>
      <c r="C7" s="27">
        <f>Raw_BS!D2&gt;0</f>
        <v/>
      </c>
      <c r="D7" s="27">
        <f>Raw_BS!E2&gt;0</f>
        <v/>
      </c>
      <c r="E7" s="27">
        <f>Raw_BS!F2&gt;0</f>
        <v/>
      </c>
      <c r="F7" s="27">
        <f>Raw_BS!G2&gt;0</f>
        <v/>
      </c>
    </row>
    <row r="8">
      <c r="A8" s="5" t="inlineStr">
        <is>
          <t>Margins within [0, 100%]</t>
        </is>
      </c>
      <c r="B8" s="27">
        <f>AND(Ratios!B6&gt;=0,Ratios!B6&lt;=1,Ratios!B9&gt;=0,Ratios!B9&lt;=1)</f>
        <v/>
      </c>
      <c r="C8" s="27">
        <f>AND(Ratios!C6&gt;=0,Ratios!C6&lt;=1,Ratios!C9&gt;=0,Ratios!C9&lt;=1)</f>
        <v/>
      </c>
      <c r="D8" s="27">
        <f>AND(Ratios!D6&gt;=0,Ratios!D6&lt;=1,Ratios!D9&gt;=0,Ratios!D9&lt;=1)</f>
        <v/>
      </c>
      <c r="E8" s="27">
        <f>AND(Ratios!E6&gt;=0,Ratios!E6&lt;=1,Ratios!E9&gt;=0,Ratios!E9&lt;=1)</f>
        <v/>
      </c>
      <c r="F8" s="27">
        <f>AND(Ratios!F6&gt;=0,Ratios!F6&lt;=1,Ratios!F9&gt;=0,Ratios!F9&lt;=1)</f>
        <v/>
      </c>
    </row>
    <row r="9">
      <c r="A9" s="5" t="inlineStr">
        <is>
          <t>Current ratio positive</t>
        </is>
      </c>
      <c r="B9" s="27">
        <f>Ratios!B2&gt;0</f>
        <v/>
      </c>
      <c r="C9" s="27">
        <f>Ratios!C2&gt;0</f>
        <v/>
      </c>
      <c r="D9" s="27">
        <f>Ratios!D2&gt;0</f>
        <v/>
      </c>
      <c r="E9" s="27">
        <f>Ratios!E2&gt;0</f>
        <v/>
      </c>
      <c r="F9" s="27">
        <f>Ratios!F2&gt;0</f>
        <v/>
      </c>
    </row>
    <row r="10">
      <c r="A10" s="5" t="inlineStr">
        <is>
          <t>Working capital = CA − CL</t>
        </is>
      </c>
      <c r="B10" s="27">
        <f>Ratios!B5-(Raw_BS!C8-Raw_BS!C14)</f>
        <v/>
      </c>
      <c r="C10" s="27">
        <f>Ratios!C5-(Raw_BS!D8-Raw_BS!D14)</f>
        <v/>
      </c>
      <c r="D10" s="27">
        <f>Ratios!D5-(Raw_BS!E8-Raw_BS!E14)</f>
        <v/>
      </c>
      <c r="E10" s="27">
        <f>Ratios!E5-(Raw_BS!F8-Raw_BS!F14)</f>
        <v/>
      </c>
      <c r="F10" s="27">
        <f>Ratios!F5-(Raw_BS!G8-Raw_BS!G14)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2026-10-17T02:26:04+00:00Z</dcterms:created>
  <dcterms:modified xmlns:dcterms="http://purl.org/dc/terms/" xmlns:xsi="http://www.w3.org/2001/XMLSchema-instance" xsi:type="dcterms:W3CDTF">2026-10-17T02:26:04+00:00Z</dcterms:modified>
</cp:coreProperties>
</file>