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Daily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i val="1"/>
      <color rgb="00595959"/>
      <sz val="10"/>
    </font>
    <font>
      <b val="1"/>
      <color rgb="001F4E78"/>
      <sz val="12"/>
    </font>
    <font>
      <color rgb="00595959"/>
      <sz val="10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7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6" fillId="0" borderId="1" pivotButton="0" quotePrefix="0" xfId="0"/>
    <xf numFmtId="0" fontId="0" fillId="0" borderId="4" pivotButton="0" quotePrefix="0" xfId="0"/>
    <xf numFmtId="165" fontId="6" fillId="0" borderId="1" pivotButton="0" quotePrefix="0" xfId="0"/>
    <xf numFmtId="3" fontId="6" fillId="0" borderId="1" pivotButton="0" quotePrefix="0" xfId="0"/>
    <xf numFmtId="0" fontId="7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vs Purchases vs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'Monthly'!$A$2:$A$7</f>
            </numRef>
          </cat>
          <val>
            <numRef>
              <f>'Monthly'!$B$2:$B$7</f>
            </numRef>
          </val>
        </ser>
        <ser>
          <idx val="1"/>
          <order val="1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'Monthly'!$A$2:$A$7</f>
            </numRef>
          </cat>
          <val>
            <numRef>
              <f>'Monthly'!$C$2:$C$7</f>
            </numRef>
          </val>
        </ser>
        <ser>
          <idx val="2"/>
          <order val="2"/>
          <tx>
            <strRef>
              <f>'Monthly'!D1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'Monthly'!$A$2:$A$7</f>
            </numRef>
          </cat>
          <val>
            <numRef>
              <f>'Monthly'!$D$2:$D$7</f>
            </numRef>
          </val>
        </ser>
        <ser>
          <idx val="3"/>
          <order val="3"/>
          <tx>
            <strRef>
              <f>'Monthly'!E1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'Monthly'!$A$2:$A$7</f>
            </numRef>
          </cat>
          <val>
            <numRef>
              <f>'Monthly'!$E$2:$E$7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'Dashboard'!$A$14:$A$17</f>
            </numRef>
          </cat>
          <val>
            <numRef>
              <f>'Dashboard'!$B$14:$B$17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'Dashboard'!$E$14:$E$18</f>
            </numRef>
          </cat>
          <val>
            <numRef>
              <f>'Dashboard'!$F$14:$F$18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36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21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2" customWidth="1" min="4" max="4"/>
    <col width="12" customWidth="1" min="5" max="5"/>
    <col width="12" customWidth="1" min="6" max="6"/>
    <col width="12" customWidth="1" min="7" max="7"/>
    <col width="14" customWidth="1" min="8" max="8"/>
    <col width="28" customWidth="1" min="9" max="9"/>
  </cols>
  <sheetData>
    <row r="1" ht="22" customHeight="1">
      <c r="A1" s="1" t="inlineStr">
        <is>
          <t>Date</t>
        </is>
      </c>
      <c r="B1" s="1" t="inlineStr">
        <is>
          <t>Invoice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Qty</t>
        </is>
      </c>
      <c r="G1" s="1" t="inlineStr">
        <is>
          <t>Rate</t>
        </is>
      </c>
      <c r="H1" s="1" t="inlineStr">
        <is>
          <t>Amount</t>
        </is>
      </c>
      <c r="I1" s="1" t="inlineStr">
        <is>
          <t>COGS</t>
        </is>
      </c>
    </row>
    <row r="2">
      <c r="A2" s="2" t="n">
        <v>46113</v>
      </c>
      <c r="B2" s="3" t="inlineStr">
        <is>
          <t>INV-2604-0001</t>
        </is>
      </c>
      <c r="C2" s="3" t="inlineStr">
        <is>
          <t>Dubey Kirana</t>
        </is>
      </c>
      <c r="D2" s="3" t="inlineStr">
        <is>
          <t>Mango Juice 1L</t>
        </is>
      </c>
      <c r="E2" s="3" t="inlineStr">
        <is>
          <t>Beverages</t>
        </is>
      </c>
      <c r="F2" s="4" t="n">
        <v>39</v>
      </c>
      <c r="G2" s="5" t="n">
        <v>125.72</v>
      </c>
      <c r="H2" s="5">
        <f>F2*G2</f>
        <v/>
      </c>
      <c r="I2" s="5">
        <f>F2*VLOOKUP(D2,Products!$B$2:$E$13,3,FALSE)</f>
        <v/>
      </c>
    </row>
    <row r="3">
      <c r="A3" s="2" t="n">
        <v>46113</v>
      </c>
      <c r="B3" s="3" t="inlineStr">
        <is>
          <t>INV-2604-0002</t>
        </is>
      </c>
      <c r="C3" s="3" t="inlineStr">
        <is>
          <t>Sharma Provision</t>
        </is>
      </c>
      <c r="D3" s="3" t="inlineStr">
        <is>
          <t>Curd Cup 400g</t>
        </is>
      </c>
      <c r="E3" s="3" t="inlineStr">
        <is>
          <t>Dairy</t>
        </is>
      </c>
      <c r="F3" s="4" t="n">
        <v>34</v>
      </c>
      <c r="G3" s="5" t="n">
        <v>44.45</v>
      </c>
      <c r="H3" s="5">
        <f>F3*G3</f>
        <v/>
      </c>
      <c r="I3" s="5">
        <f>F3*VLOOKUP(D3,Products!$B$2:$E$13,3,FALSE)</f>
        <v/>
      </c>
    </row>
    <row r="4">
      <c r="A4" s="2" t="n">
        <v>46113</v>
      </c>
      <c r="B4" s="3" t="inlineStr">
        <is>
          <t>INV-2604-0003</t>
        </is>
      </c>
      <c r="C4" s="3" t="inlineStr">
        <is>
          <t>Verma Retail</t>
        </is>
      </c>
      <c r="D4" s="3" t="inlineStr">
        <is>
          <t>Packaged Water 1L</t>
        </is>
      </c>
      <c r="E4" s="3" t="inlineStr">
        <is>
          <t>Beverages</t>
        </is>
      </c>
      <c r="F4" s="4" t="n">
        <v>18</v>
      </c>
      <c r="G4" s="5" t="n">
        <v>20.81</v>
      </c>
      <c r="H4" s="5">
        <f>F4*G4</f>
        <v/>
      </c>
      <c r="I4" s="5">
        <f>F4*VLOOKUP(D4,Products!$B$2:$E$13,3,FALSE)</f>
        <v/>
      </c>
    </row>
    <row r="5">
      <c r="A5" s="2" t="n">
        <v>46113</v>
      </c>
      <c r="B5" s="3" t="inlineStr">
        <is>
          <t>INV-2604-0004</t>
        </is>
      </c>
      <c r="C5" s="3" t="inlineStr">
        <is>
          <t>Tiwari General</t>
        </is>
      </c>
      <c r="D5" s="3" t="inlineStr">
        <is>
          <t>Cola 750ml</t>
        </is>
      </c>
      <c r="E5" s="3" t="inlineStr">
        <is>
          <t>Beverages</t>
        </is>
      </c>
      <c r="F5" s="4" t="n">
        <v>43</v>
      </c>
      <c r="G5" s="5" t="n">
        <v>46.01</v>
      </c>
      <c r="H5" s="5">
        <f>F5*G5</f>
        <v/>
      </c>
      <c r="I5" s="5">
        <f>F5*VLOOKUP(D5,Products!$B$2:$E$13,3,FALSE)</f>
        <v/>
      </c>
    </row>
    <row r="6">
      <c r="A6" s="2" t="n">
        <v>46113</v>
      </c>
      <c r="B6" s="3" t="inlineStr">
        <is>
          <t>INV-2604-0005</t>
        </is>
      </c>
      <c r="C6" s="3" t="inlineStr">
        <is>
          <t>Raza Brothers</t>
        </is>
      </c>
      <c r="D6" s="3" t="inlineStr">
        <is>
          <t>Cola 750ml</t>
        </is>
      </c>
      <c r="E6" s="3" t="inlineStr">
        <is>
          <t>Beverages</t>
        </is>
      </c>
      <c r="F6" s="4" t="n">
        <v>52</v>
      </c>
      <c r="G6" s="5" t="n">
        <v>43.95</v>
      </c>
      <c r="H6" s="5">
        <f>F6*G6</f>
        <v/>
      </c>
      <c r="I6" s="5">
        <f>F6*VLOOKUP(D6,Products!$B$2:$E$13,3,FALSE)</f>
        <v/>
      </c>
    </row>
    <row r="7">
      <c r="A7" s="2" t="n">
        <v>46113</v>
      </c>
      <c r="B7" s="3" t="inlineStr">
        <is>
          <t>INV-2604-0006</t>
        </is>
      </c>
      <c r="C7" s="3" t="inlineStr">
        <is>
          <t>Jha Provisions</t>
        </is>
      </c>
      <c r="D7" s="3" t="inlineStr">
        <is>
          <t>Biscuits 400g</t>
        </is>
      </c>
      <c r="E7" s="3" t="inlineStr">
        <is>
          <t>Snacks</t>
        </is>
      </c>
      <c r="F7" s="4" t="n">
        <v>43</v>
      </c>
      <c r="G7" s="5" t="n">
        <v>40.89</v>
      </c>
      <c r="H7" s="5">
        <f>F7*G7</f>
        <v/>
      </c>
      <c r="I7" s="5">
        <f>F7*VLOOKUP(D7,Products!$B$2:$E$13,3,FALSE)</f>
        <v/>
      </c>
    </row>
    <row r="8">
      <c r="A8" s="2" t="n">
        <v>46113</v>
      </c>
      <c r="B8" s="3" t="inlineStr">
        <is>
          <t>INV-2604-0007</t>
        </is>
      </c>
      <c r="C8" s="3" t="inlineStr">
        <is>
          <t>Choudhary Mart</t>
        </is>
      </c>
      <c r="D8" s="3" t="inlineStr">
        <is>
          <t>Cola 750ml</t>
        </is>
      </c>
      <c r="E8" s="3" t="inlineStr">
        <is>
          <t>Beverages</t>
        </is>
      </c>
      <c r="F8" s="4" t="n">
        <v>24</v>
      </c>
      <c r="G8" s="5" t="n">
        <v>43.99</v>
      </c>
      <c r="H8" s="5">
        <f>F8*G8</f>
        <v/>
      </c>
      <c r="I8" s="5">
        <f>F8*VLOOKUP(D8,Products!$B$2:$E$13,3,FALSE)</f>
        <v/>
      </c>
    </row>
    <row r="9">
      <c r="A9" s="2" t="n">
        <v>46113</v>
      </c>
      <c r="B9" s="3" t="inlineStr">
        <is>
          <t>INV-2604-0008</t>
        </is>
      </c>
      <c r="C9" s="3" t="inlineStr">
        <is>
          <t>Kumari Kirana</t>
        </is>
      </c>
      <c r="D9" s="3" t="inlineStr">
        <is>
          <t>Paneer 200g</t>
        </is>
      </c>
      <c r="E9" s="3" t="inlineStr">
        <is>
          <t>Dairy</t>
        </is>
      </c>
      <c r="F9" s="4" t="n">
        <v>47</v>
      </c>
      <c r="G9" s="5" t="n">
        <v>94.70999999999999</v>
      </c>
      <c r="H9" s="5">
        <f>F9*G9</f>
        <v/>
      </c>
      <c r="I9" s="5">
        <f>F9*VLOOKUP(D9,Products!$B$2:$E$13,3,FALSE)</f>
        <v/>
      </c>
    </row>
    <row r="10">
      <c r="A10" s="2" t="n">
        <v>46114</v>
      </c>
      <c r="B10" s="3" t="inlineStr">
        <is>
          <t>INV-2604-0009</t>
        </is>
      </c>
      <c r="C10" s="3" t="inlineStr">
        <is>
          <t>Sinha Super Mart</t>
        </is>
      </c>
      <c r="D10" s="3" t="inlineStr">
        <is>
          <t>Paneer 200g</t>
        </is>
      </c>
      <c r="E10" s="3" t="inlineStr">
        <is>
          <t>Dairy</t>
        </is>
      </c>
      <c r="F10" s="4" t="n">
        <v>60</v>
      </c>
      <c r="G10" s="5" t="n">
        <v>94.38</v>
      </c>
      <c r="H10" s="5">
        <f>F10*G10</f>
        <v/>
      </c>
      <c r="I10" s="5">
        <f>F10*VLOOKUP(D10,Products!$B$2:$E$13,3,FALSE)</f>
        <v/>
      </c>
    </row>
    <row r="11">
      <c r="A11" s="2" t="n">
        <v>46114</v>
      </c>
      <c r="B11" s="3" t="inlineStr">
        <is>
          <t>INV-2604-0010</t>
        </is>
      </c>
      <c r="C11" s="3" t="inlineStr">
        <is>
          <t>Sahu Traders</t>
        </is>
      </c>
      <c r="D11" s="3" t="inlineStr">
        <is>
          <t>Mango Juice 1L</t>
        </is>
      </c>
      <c r="E11" s="3" t="inlineStr">
        <is>
          <t>Beverages</t>
        </is>
      </c>
      <c r="F11" s="4" t="n">
        <v>56</v>
      </c>
      <c r="G11" s="5" t="n">
        <v>125.41</v>
      </c>
      <c r="H11" s="5">
        <f>F11*G11</f>
        <v/>
      </c>
      <c r="I11" s="5">
        <f>F11*VLOOKUP(D11,Products!$B$2:$E$13,3,FALSE)</f>
        <v/>
      </c>
    </row>
    <row r="12">
      <c r="A12" s="2" t="n">
        <v>46114</v>
      </c>
      <c r="B12" s="3" t="inlineStr">
        <is>
          <t>INV-2604-0011</t>
        </is>
      </c>
      <c r="C12" s="3" t="inlineStr">
        <is>
          <t>Sharma Provision</t>
        </is>
      </c>
      <c r="D12" s="3" t="inlineStr">
        <is>
          <t>Cola 750ml</t>
        </is>
      </c>
      <c r="E12" s="3" t="inlineStr">
        <is>
          <t>Beverages</t>
        </is>
      </c>
      <c r="F12" s="4" t="n">
        <v>16</v>
      </c>
      <c r="G12" s="5" t="n">
        <v>46.62</v>
      </c>
      <c r="H12" s="5">
        <f>F12*G12</f>
        <v/>
      </c>
      <c r="I12" s="5">
        <f>F12*VLOOKUP(D12,Products!$B$2:$E$13,3,FALSE)</f>
        <v/>
      </c>
    </row>
    <row r="13">
      <c r="A13" s="2" t="n">
        <v>46114</v>
      </c>
      <c r="B13" s="3" t="inlineStr">
        <is>
          <t>INV-2604-0012</t>
        </is>
      </c>
      <c r="C13" s="3" t="inlineStr">
        <is>
          <t>Prasad Traders</t>
        </is>
      </c>
      <c r="D13" s="3" t="inlineStr">
        <is>
          <t>Cola 750ml</t>
        </is>
      </c>
      <c r="E13" s="3" t="inlineStr">
        <is>
          <t>Beverages</t>
        </is>
      </c>
      <c r="F13" s="4" t="n">
        <v>25</v>
      </c>
      <c r="G13" s="5" t="n">
        <v>43.8</v>
      </c>
      <c r="H13" s="5">
        <f>F13*G13</f>
        <v/>
      </c>
      <c r="I13" s="5">
        <f>F13*VLOOKUP(D13,Products!$B$2:$E$13,3,FALSE)</f>
        <v/>
      </c>
    </row>
    <row r="14">
      <c r="A14" s="2" t="n">
        <v>46114</v>
      </c>
      <c r="B14" s="3" t="inlineStr">
        <is>
          <t>INV-2604-0013</t>
        </is>
      </c>
      <c r="C14" s="3" t="inlineStr">
        <is>
          <t>Mehta Retail</t>
        </is>
      </c>
      <c r="D14" s="3" t="inlineStr">
        <is>
          <t>Packaged Water 1L</t>
        </is>
      </c>
      <c r="E14" s="3" t="inlineStr">
        <is>
          <t>Beverages</t>
        </is>
      </c>
      <c r="F14" s="4" t="n">
        <v>30</v>
      </c>
      <c r="G14" s="5" t="n">
        <v>20.06</v>
      </c>
      <c r="H14" s="5">
        <f>F14*G14</f>
        <v/>
      </c>
      <c r="I14" s="5">
        <f>F14*VLOOKUP(D14,Products!$B$2:$E$13,3,FALSE)</f>
        <v/>
      </c>
    </row>
    <row r="15">
      <c r="A15" s="2" t="n">
        <v>46114</v>
      </c>
      <c r="B15" s="3" t="inlineStr">
        <is>
          <t>INV-2604-0014</t>
        </is>
      </c>
      <c r="C15" s="3" t="inlineStr">
        <is>
          <t>Choudhary Mart</t>
        </is>
      </c>
      <c r="D15" s="3" t="inlineStr">
        <is>
          <t>Paneer 200g</t>
        </is>
      </c>
      <c r="E15" s="3" t="inlineStr">
        <is>
          <t>Dairy</t>
        </is>
      </c>
      <c r="F15" s="4" t="n">
        <v>40</v>
      </c>
      <c r="G15" s="5" t="n">
        <v>96.73999999999999</v>
      </c>
      <c r="H15" s="5">
        <f>F15*G15</f>
        <v/>
      </c>
      <c r="I15" s="5">
        <f>F15*VLOOKUP(D15,Products!$B$2:$E$13,3,FALSE)</f>
        <v/>
      </c>
    </row>
    <row r="16">
      <c r="A16" s="2" t="n">
        <v>46114</v>
      </c>
      <c r="B16" s="3" t="inlineStr">
        <is>
          <t>INV-2604-0015</t>
        </is>
      </c>
      <c r="C16" s="3" t="inlineStr">
        <is>
          <t>Yadav Daily Needs</t>
        </is>
      </c>
      <c r="D16" s="3" t="inlineStr">
        <is>
          <t>Cola 750ml</t>
        </is>
      </c>
      <c r="E16" s="3" t="inlineStr">
        <is>
          <t>Beverages</t>
        </is>
      </c>
      <c r="F16" s="4" t="n">
        <v>41</v>
      </c>
      <c r="G16" s="5" t="n">
        <v>43.75</v>
      </c>
      <c r="H16" s="5">
        <f>F16*G16</f>
        <v/>
      </c>
      <c r="I16" s="5">
        <f>F16*VLOOKUP(D16,Products!$B$2:$E$13,3,FALSE)</f>
        <v/>
      </c>
    </row>
    <row r="17">
      <c r="A17" s="2" t="n">
        <v>46114</v>
      </c>
      <c r="B17" s="3" t="inlineStr">
        <is>
          <t>INV-2604-0016</t>
        </is>
      </c>
      <c r="C17" s="3" t="inlineStr">
        <is>
          <t>Gupta General Store</t>
        </is>
      </c>
      <c r="D17" s="3" t="inlineStr">
        <is>
          <t>Potato Chips 150g</t>
        </is>
      </c>
      <c r="E17" s="3" t="inlineStr">
        <is>
          <t>Snacks</t>
        </is>
      </c>
      <c r="F17" s="4" t="n">
        <v>11</v>
      </c>
      <c r="G17" s="5" t="n">
        <v>50.31</v>
      </c>
      <c r="H17" s="5">
        <f>F17*G17</f>
        <v/>
      </c>
      <c r="I17" s="5">
        <f>F17*VLOOKUP(D17,Products!$B$2:$E$13,3,FALSE)</f>
        <v/>
      </c>
    </row>
    <row r="18">
      <c r="A18" s="2" t="n">
        <v>46115</v>
      </c>
      <c r="B18" s="3" t="inlineStr">
        <is>
          <t>INV-2604-0017</t>
        </is>
      </c>
      <c r="C18" s="3" t="inlineStr">
        <is>
          <t>Gupta General Store</t>
        </is>
      </c>
      <c r="D18" s="3" t="inlineStr">
        <is>
          <t>Potato Chips 150g</t>
        </is>
      </c>
      <c r="E18" s="3" t="inlineStr">
        <is>
          <t>Snacks</t>
        </is>
      </c>
      <c r="F18" s="4" t="n">
        <v>53</v>
      </c>
      <c r="G18" s="5" t="n">
        <v>50.35</v>
      </c>
      <c r="H18" s="5">
        <f>F18*G18</f>
        <v/>
      </c>
      <c r="I18" s="5">
        <f>F18*VLOOKUP(D18,Products!$B$2:$E$13,3,FALSE)</f>
        <v/>
      </c>
    </row>
    <row r="19">
      <c r="A19" s="2" t="n">
        <v>46115</v>
      </c>
      <c r="B19" s="3" t="inlineStr">
        <is>
          <t>INV-2604-0018</t>
        </is>
      </c>
      <c r="C19" s="3" t="inlineStr">
        <is>
          <t>Sharma Provision</t>
        </is>
      </c>
      <c r="D19" s="3" t="inlineStr">
        <is>
          <t>Potato Chips 150g</t>
        </is>
      </c>
      <c r="E19" s="3" t="inlineStr">
        <is>
          <t>Snacks</t>
        </is>
      </c>
      <c r="F19" s="4" t="n">
        <v>59</v>
      </c>
      <c r="G19" s="5" t="n">
        <v>48.96</v>
      </c>
      <c r="H19" s="5">
        <f>F19*G19</f>
        <v/>
      </c>
      <c r="I19" s="5">
        <f>F19*VLOOKUP(D19,Products!$B$2:$E$13,3,FALSE)</f>
        <v/>
      </c>
    </row>
    <row r="20">
      <c r="A20" s="2" t="n">
        <v>46115</v>
      </c>
      <c r="B20" s="3" t="inlineStr">
        <is>
          <t>INV-2604-0019</t>
        </is>
      </c>
      <c r="C20" s="3" t="inlineStr">
        <is>
          <t>Bhatt General Store</t>
        </is>
      </c>
      <c r="D20" s="3" t="inlineStr">
        <is>
          <t>Packaged Water 1L</t>
        </is>
      </c>
      <c r="E20" s="3" t="inlineStr">
        <is>
          <t>Beverages</t>
        </is>
      </c>
      <c r="F20" s="4" t="n">
        <v>3</v>
      </c>
      <c r="G20" s="5" t="n">
        <v>19.72</v>
      </c>
      <c r="H20" s="5">
        <f>F20*G20</f>
        <v/>
      </c>
      <c r="I20" s="5">
        <f>F20*VLOOKUP(D20,Products!$B$2:$E$13,3,FALSE)</f>
        <v/>
      </c>
    </row>
    <row r="21">
      <c r="A21" s="2" t="n">
        <v>46115</v>
      </c>
      <c r="B21" s="3" t="inlineStr">
        <is>
          <t>INV-2604-0020</t>
        </is>
      </c>
      <c r="C21" s="3" t="inlineStr">
        <is>
          <t>Jha Provisions</t>
        </is>
      </c>
      <c r="D21" s="3" t="inlineStr">
        <is>
          <t>Toned Milk 1L</t>
        </is>
      </c>
      <c r="E21" s="3" t="inlineStr">
        <is>
          <t>Dairy</t>
        </is>
      </c>
      <c r="F21" s="4" t="n">
        <v>14</v>
      </c>
      <c r="G21" s="5" t="n">
        <v>68.86</v>
      </c>
      <c r="H21" s="5">
        <f>F21*G21</f>
        <v/>
      </c>
      <c r="I21" s="5">
        <f>F21*VLOOKUP(D21,Products!$B$2:$E$13,3,FALSE)</f>
        <v/>
      </c>
    </row>
    <row r="22">
      <c r="A22" s="2" t="n">
        <v>46115</v>
      </c>
      <c r="B22" s="3" t="inlineStr">
        <is>
          <t>INV-2604-0021</t>
        </is>
      </c>
      <c r="C22" s="3" t="inlineStr">
        <is>
          <t>Verma Retail</t>
        </is>
      </c>
      <c r="D22" s="3" t="inlineStr">
        <is>
          <t>Curd Cup 400g</t>
        </is>
      </c>
      <c r="E22" s="3" t="inlineStr">
        <is>
          <t>Dairy</t>
        </is>
      </c>
      <c r="F22" s="4" t="n">
        <v>36</v>
      </c>
      <c r="G22" s="5" t="n">
        <v>46.3</v>
      </c>
      <c r="H22" s="5">
        <f>F22*G22</f>
        <v/>
      </c>
      <c r="I22" s="5">
        <f>F22*VLOOKUP(D22,Products!$B$2:$E$13,3,FALSE)</f>
        <v/>
      </c>
    </row>
    <row r="23">
      <c r="A23" s="2" t="n">
        <v>46115</v>
      </c>
      <c r="B23" s="3" t="inlineStr">
        <is>
          <t>INV-2604-0022</t>
        </is>
      </c>
      <c r="C23" s="3" t="inlineStr">
        <is>
          <t>Das &amp; Sons</t>
        </is>
      </c>
      <c r="D23" s="3" t="inlineStr">
        <is>
          <t>Detergent 1kg</t>
        </is>
      </c>
      <c r="E23" s="3" t="inlineStr">
        <is>
          <t>Household</t>
        </is>
      </c>
      <c r="F23" s="4" t="n">
        <v>58</v>
      </c>
      <c r="G23" s="5" t="n">
        <v>131.56</v>
      </c>
      <c r="H23" s="5">
        <f>F23*G23</f>
        <v/>
      </c>
      <c r="I23" s="5">
        <f>F23*VLOOKUP(D23,Products!$B$2:$E$13,3,FALSE)</f>
        <v/>
      </c>
    </row>
    <row r="24">
      <c r="A24" s="2" t="n">
        <v>46116</v>
      </c>
      <c r="B24" s="3" t="inlineStr">
        <is>
          <t>INV-2604-0023</t>
        </is>
      </c>
      <c r="C24" s="3" t="inlineStr">
        <is>
          <t>Sharma Provision</t>
        </is>
      </c>
      <c r="D24" s="3" t="inlineStr">
        <is>
          <t>Dish Soap 500ml</t>
        </is>
      </c>
      <c r="E24" s="3" t="inlineStr">
        <is>
          <t>Household</t>
        </is>
      </c>
      <c r="F24" s="4" t="n">
        <v>64</v>
      </c>
      <c r="G24" s="5" t="n">
        <v>99.19</v>
      </c>
      <c r="H24" s="5">
        <f>F24*G24</f>
        <v/>
      </c>
      <c r="I24" s="5">
        <f>F24*VLOOKUP(D24,Products!$B$2:$E$13,3,FALSE)</f>
        <v/>
      </c>
    </row>
    <row r="25">
      <c r="A25" s="2" t="n">
        <v>46116</v>
      </c>
      <c r="B25" s="3" t="inlineStr">
        <is>
          <t>INV-2604-0024</t>
        </is>
      </c>
      <c r="C25" s="3" t="inlineStr">
        <is>
          <t>Tiwari General</t>
        </is>
      </c>
      <c r="D25" s="3" t="inlineStr">
        <is>
          <t>Instant Noodles 280g</t>
        </is>
      </c>
      <c r="E25" s="3" t="inlineStr">
        <is>
          <t>Snacks</t>
        </is>
      </c>
      <c r="F25" s="4" t="n">
        <v>59</v>
      </c>
      <c r="G25" s="5" t="n">
        <v>54.76</v>
      </c>
      <c r="H25" s="5">
        <f>F25*G25</f>
        <v/>
      </c>
      <c r="I25" s="5">
        <f>F25*VLOOKUP(D25,Products!$B$2:$E$13,3,FALSE)</f>
        <v/>
      </c>
    </row>
    <row r="26">
      <c r="A26" s="2" t="n">
        <v>46116</v>
      </c>
      <c r="B26" s="3" t="inlineStr">
        <is>
          <t>INV-2604-0025</t>
        </is>
      </c>
      <c r="C26" s="3" t="inlineStr">
        <is>
          <t>Mehta Retail</t>
        </is>
      </c>
      <c r="D26" s="3" t="inlineStr">
        <is>
          <t>Packaged Water 1L</t>
        </is>
      </c>
      <c r="E26" s="3" t="inlineStr">
        <is>
          <t>Beverages</t>
        </is>
      </c>
      <c r="F26" s="4" t="n">
        <v>63</v>
      </c>
      <c r="G26" s="5" t="n">
        <v>20.15</v>
      </c>
      <c r="H26" s="5">
        <f>F26*G26</f>
        <v/>
      </c>
      <c r="I26" s="5">
        <f>F26*VLOOKUP(D26,Products!$B$2:$E$13,3,FALSE)</f>
        <v/>
      </c>
    </row>
    <row r="27">
      <c r="A27" s="2" t="n">
        <v>46116</v>
      </c>
      <c r="B27" s="3" t="inlineStr">
        <is>
          <t>INV-2604-0026</t>
        </is>
      </c>
      <c r="C27" s="3" t="inlineStr">
        <is>
          <t>Mishra Stores</t>
        </is>
      </c>
      <c r="D27" s="3" t="inlineStr">
        <is>
          <t>Cola 750ml</t>
        </is>
      </c>
      <c r="E27" s="3" t="inlineStr">
        <is>
          <t>Beverages</t>
        </is>
      </c>
      <c r="F27" s="4" t="n">
        <v>44</v>
      </c>
      <c r="G27" s="5" t="n">
        <v>46.37</v>
      </c>
      <c r="H27" s="5">
        <f>F27*G27</f>
        <v/>
      </c>
      <c r="I27" s="5">
        <f>F27*VLOOKUP(D27,Products!$B$2:$E$13,3,FALSE)</f>
        <v/>
      </c>
    </row>
    <row r="28">
      <c r="A28" s="2" t="n">
        <v>46116</v>
      </c>
      <c r="B28" s="3" t="inlineStr">
        <is>
          <t>INV-2604-0027</t>
        </is>
      </c>
      <c r="C28" s="3" t="inlineStr">
        <is>
          <t>Khan Mart</t>
        </is>
      </c>
      <c r="D28" s="3" t="inlineStr">
        <is>
          <t>Cola 750ml</t>
        </is>
      </c>
      <c r="E28" s="3" t="inlineStr">
        <is>
          <t>Beverages</t>
        </is>
      </c>
      <c r="F28" s="4" t="n">
        <v>9</v>
      </c>
      <c r="G28" s="5" t="n">
        <v>43.67</v>
      </c>
      <c r="H28" s="5">
        <f>F28*G28</f>
        <v/>
      </c>
      <c r="I28" s="5">
        <f>F28*VLOOKUP(D28,Products!$B$2:$E$13,3,FALSE)</f>
        <v/>
      </c>
    </row>
    <row r="29">
      <c r="A29" s="2" t="n">
        <v>46116</v>
      </c>
      <c r="B29" s="3" t="inlineStr">
        <is>
          <t>INV-2604-0028</t>
        </is>
      </c>
      <c r="C29" s="3" t="inlineStr">
        <is>
          <t>Jha Provisions</t>
        </is>
      </c>
      <c r="D29" s="3" t="inlineStr">
        <is>
          <t>Detergent 1kg</t>
        </is>
      </c>
      <c r="E29" s="3" t="inlineStr">
        <is>
          <t>Household</t>
        </is>
      </c>
      <c r="F29" s="4" t="n">
        <v>18</v>
      </c>
      <c r="G29" s="5" t="n">
        <v>130.86</v>
      </c>
      <c r="H29" s="5">
        <f>F29*G29</f>
        <v/>
      </c>
      <c r="I29" s="5">
        <f>F29*VLOOKUP(D29,Products!$B$2:$E$13,3,FALSE)</f>
        <v/>
      </c>
    </row>
    <row r="30">
      <c r="A30" s="2" t="n">
        <v>46116</v>
      </c>
      <c r="B30" s="3" t="inlineStr">
        <is>
          <t>INV-2604-0029</t>
        </is>
      </c>
      <c r="C30" s="3" t="inlineStr">
        <is>
          <t>Nath Provisions</t>
        </is>
      </c>
      <c r="D30" s="3" t="inlineStr">
        <is>
          <t>Paneer 200g</t>
        </is>
      </c>
      <c r="E30" s="3" t="inlineStr">
        <is>
          <t>Dairy</t>
        </is>
      </c>
      <c r="F30" s="4" t="n">
        <v>52</v>
      </c>
      <c r="G30" s="5" t="n">
        <v>96.44</v>
      </c>
      <c r="H30" s="5">
        <f>F30*G30</f>
        <v/>
      </c>
      <c r="I30" s="5">
        <f>F30*VLOOKUP(D30,Products!$B$2:$E$13,3,FALSE)</f>
        <v/>
      </c>
    </row>
    <row r="31">
      <c r="A31" s="2" t="n">
        <v>46116</v>
      </c>
      <c r="B31" s="3" t="inlineStr">
        <is>
          <t>INV-2604-0030</t>
        </is>
      </c>
      <c r="C31" s="3" t="inlineStr">
        <is>
          <t>Tiwari General</t>
        </is>
      </c>
      <c r="D31" s="3" t="inlineStr">
        <is>
          <t>Dish Soap 500ml</t>
        </is>
      </c>
      <c r="E31" s="3" t="inlineStr">
        <is>
          <t>Household</t>
        </is>
      </c>
      <c r="F31" s="4" t="n">
        <v>23</v>
      </c>
      <c r="G31" s="5" t="n">
        <v>96.14</v>
      </c>
      <c r="H31" s="5">
        <f>F31*G31</f>
        <v/>
      </c>
      <c r="I31" s="5">
        <f>F31*VLOOKUP(D31,Products!$B$2:$E$13,3,FALSE)</f>
        <v/>
      </c>
    </row>
    <row r="32">
      <c r="A32" s="2" t="n">
        <v>46117</v>
      </c>
      <c r="B32" s="3" t="inlineStr">
        <is>
          <t>INV-2604-0031</t>
        </is>
      </c>
      <c r="C32" s="3" t="inlineStr">
        <is>
          <t>Yadav Daily Needs</t>
        </is>
      </c>
      <c r="D32" s="3" t="inlineStr">
        <is>
          <t>Dish Soap 500ml</t>
        </is>
      </c>
      <c r="E32" s="3" t="inlineStr">
        <is>
          <t>Household</t>
        </is>
      </c>
      <c r="F32" s="4" t="n">
        <v>97</v>
      </c>
      <c r="G32" s="5" t="n">
        <v>101.15</v>
      </c>
      <c r="H32" s="5">
        <f>F32*G32</f>
        <v/>
      </c>
      <c r="I32" s="5">
        <f>F32*VLOOKUP(D32,Products!$B$2:$E$13,3,FALSE)</f>
        <v/>
      </c>
    </row>
    <row r="33">
      <c r="A33" s="2" t="n">
        <v>46117</v>
      </c>
      <c r="B33" s="3" t="inlineStr">
        <is>
          <t>INV-2604-0032</t>
        </is>
      </c>
      <c r="C33" s="3" t="inlineStr">
        <is>
          <t>Sinha Super Mart</t>
        </is>
      </c>
      <c r="D33" s="3" t="inlineStr">
        <is>
          <t>Biscuits 400g</t>
        </is>
      </c>
      <c r="E33" s="3" t="inlineStr">
        <is>
          <t>Snacks</t>
        </is>
      </c>
      <c r="F33" s="4" t="n">
        <v>33</v>
      </c>
      <c r="G33" s="5" t="n">
        <v>39.55</v>
      </c>
      <c r="H33" s="5">
        <f>F33*G33</f>
        <v/>
      </c>
      <c r="I33" s="5">
        <f>F33*VLOOKUP(D33,Products!$B$2:$E$13,3,FALSE)</f>
        <v/>
      </c>
    </row>
    <row r="34">
      <c r="A34" s="2" t="n">
        <v>46117</v>
      </c>
      <c r="B34" s="3" t="inlineStr">
        <is>
          <t>INV-2604-0033</t>
        </is>
      </c>
      <c r="C34" s="3" t="inlineStr">
        <is>
          <t>Raza Brothers</t>
        </is>
      </c>
      <c r="D34" s="3" t="inlineStr">
        <is>
          <t>Detergent 1kg</t>
        </is>
      </c>
      <c r="E34" s="3" t="inlineStr">
        <is>
          <t>Household</t>
        </is>
      </c>
      <c r="F34" s="4" t="n">
        <v>77</v>
      </c>
      <c r="G34" s="5" t="n">
        <v>129.29</v>
      </c>
      <c r="H34" s="5">
        <f>F34*G34</f>
        <v/>
      </c>
      <c r="I34" s="5">
        <f>F34*VLOOKUP(D34,Products!$B$2:$E$13,3,FALSE)</f>
        <v/>
      </c>
    </row>
    <row r="35">
      <c r="A35" s="2" t="n">
        <v>46117</v>
      </c>
      <c r="B35" s="3" t="inlineStr">
        <is>
          <t>INV-2604-0034</t>
        </is>
      </c>
      <c r="C35" s="3" t="inlineStr">
        <is>
          <t>Patel Traders</t>
        </is>
      </c>
      <c r="D35" s="3" t="inlineStr">
        <is>
          <t>Instant Noodles 280g</t>
        </is>
      </c>
      <c r="E35" s="3" t="inlineStr">
        <is>
          <t>Snacks</t>
        </is>
      </c>
      <c r="F35" s="4" t="n">
        <v>16</v>
      </c>
      <c r="G35" s="5" t="n">
        <v>55.45</v>
      </c>
      <c r="H35" s="5">
        <f>F35*G35</f>
        <v/>
      </c>
      <c r="I35" s="5">
        <f>F35*VLOOKUP(D35,Products!$B$2:$E$13,3,FALSE)</f>
        <v/>
      </c>
    </row>
    <row r="36">
      <c r="A36" s="2" t="n">
        <v>46117</v>
      </c>
      <c r="B36" s="3" t="inlineStr">
        <is>
          <t>INV-2604-0035</t>
        </is>
      </c>
      <c r="C36" s="3" t="inlineStr">
        <is>
          <t>Azad Stores</t>
        </is>
      </c>
      <c r="D36" s="3" t="inlineStr">
        <is>
          <t>Floor Cleaner 1L</t>
        </is>
      </c>
      <c r="E36" s="3" t="inlineStr">
        <is>
          <t>Household</t>
        </is>
      </c>
      <c r="F36" s="4" t="n">
        <v>13</v>
      </c>
      <c r="G36" s="5" t="n">
        <v>107.79</v>
      </c>
      <c r="H36" s="5">
        <f>F36*G36</f>
        <v/>
      </c>
      <c r="I36" s="5">
        <f>F36*VLOOKUP(D36,Products!$B$2:$E$13,3,FALSE)</f>
        <v/>
      </c>
    </row>
    <row r="37">
      <c r="A37" s="2" t="n">
        <v>46117</v>
      </c>
      <c r="B37" s="3" t="inlineStr">
        <is>
          <t>INV-2604-0036</t>
        </is>
      </c>
      <c r="C37" s="3" t="inlineStr">
        <is>
          <t>Pandey Stores</t>
        </is>
      </c>
      <c r="D37" s="3" t="inlineStr">
        <is>
          <t>Dish Soap 500ml</t>
        </is>
      </c>
      <c r="E37" s="3" t="inlineStr">
        <is>
          <t>Household</t>
        </is>
      </c>
      <c r="F37" s="4" t="n">
        <v>65</v>
      </c>
      <c r="G37" s="5" t="n">
        <v>98.8</v>
      </c>
      <c r="H37" s="5">
        <f>F37*G37</f>
        <v/>
      </c>
      <c r="I37" s="5">
        <f>F37*VLOOKUP(D37,Products!$B$2:$E$13,3,FALSE)</f>
        <v/>
      </c>
    </row>
    <row r="38">
      <c r="A38" s="2" t="n">
        <v>46118</v>
      </c>
      <c r="B38" s="3" t="inlineStr">
        <is>
          <t>INV-2604-0037</t>
        </is>
      </c>
      <c r="C38" s="3" t="inlineStr">
        <is>
          <t>Yadav Daily Needs</t>
        </is>
      </c>
      <c r="D38" s="3" t="inlineStr">
        <is>
          <t>Detergent 1kg</t>
        </is>
      </c>
      <c r="E38" s="3" t="inlineStr">
        <is>
          <t>Household</t>
        </is>
      </c>
      <c r="F38" s="4" t="n">
        <v>42</v>
      </c>
      <c r="G38" s="5" t="n">
        <v>130.95</v>
      </c>
      <c r="H38" s="5">
        <f>F38*G38</f>
        <v/>
      </c>
      <c r="I38" s="5">
        <f>F38*VLOOKUP(D38,Products!$B$2:$E$13,3,FALSE)</f>
        <v/>
      </c>
    </row>
    <row r="39">
      <c r="A39" s="2" t="n">
        <v>46118</v>
      </c>
      <c r="B39" s="3" t="inlineStr">
        <is>
          <t>INV-2604-0038</t>
        </is>
      </c>
      <c r="C39" s="3" t="inlineStr">
        <is>
          <t>Azad Stores</t>
        </is>
      </c>
      <c r="D39" s="3" t="inlineStr">
        <is>
          <t>Packaged Water 1L</t>
        </is>
      </c>
      <c r="E39" s="3" t="inlineStr">
        <is>
          <t>Beverages</t>
        </is>
      </c>
      <c r="F39" s="4" t="n">
        <v>66</v>
      </c>
      <c r="G39" s="5" t="n">
        <v>20.31</v>
      </c>
      <c r="H39" s="5">
        <f>F39*G39</f>
        <v/>
      </c>
      <c r="I39" s="5">
        <f>F39*VLOOKUP(D39,Products!$B$2:$E$13,3,FALSE)</f>
        <v/>
      </c>
    </row>
    <row r="40">
      <c r="A40" s="2" t="n">
        <v>46118</v>
      </c>
      <c r="B40" s="3" t="inlineStr">
        <is>
          <t>INV-2604-0039</t>
        </is>
      </c>
      <c r="C40" s="3" t="inlineStr">
        <is>
          <t>Sinha Super Mart</t>
        </is>
      </c>
      <c r="D40" s="3" t="inlineStr">
        <is>
          <t>Toned Milk 1L</t>
        </is>
      </c>
      <c r="E40" s="3" t="inlineStr">
        <is>
          <t>Dairy</t>
        </is>
      </c>
      <c r="F40" s="4" t="n">
        <v>46</v>
      </c>
      <c r="G40" s="5" t="n">
        <v>65.70999999999999</v>
      </c>
      <c r="H40" s="5">
        <f>F40*G40</f>
        <v/>
      </c>
      <c r="I40" s="5">
        <f>F40*VLOOKUP(D40,Products!$B$2:$E$13,3,FALSE)</f>
        <v/>
      </c>
    </row>
    <row r="41">
      <c r="A41" s="2" t="n">
        <v>46118</v>
      </c>
      <c r="B41" s="3" t="inlineStr">
        <is>
          <t>INV-2604-0040</t>
        </is>
      </c>
      <c r="C41" s="3" t="inlineStr">
        <is>
          <t>Patel Traders</t>
        </is>
      </c>
      <c r="D41" s="3" t="inlineStr">
        <is>
          <t>Curd Cup 400g</t>
        </is>
      </c>
      <c r="E41" s="3" t="inlineStr">
        <is>
          <t>Dairy</t>
        </is>
      </c>
      <c r="F41" s="4" t="n">
        <v>13</v>
      </c>
      <c r="G41" s="5" t="n">
        <v>44.08</v>
      </c>
      <c r="H41" s="5">
        <f>F41*G41</f>
        <v/>
      </c>
      <c r="I41" s="5">
        <f>F41*VLOOKUP(D41,Products!$B$2:$E$13,3,FALSE)</f>
        <v/>
      </c>
    </row>
    <row r="42">
      <c r="A42" s="2" t="n">
        <v>46118</v>
      </c>
      <c r="B42" s="3" t="inlineStr">
        <is>
          <t>INV-2604-0041</t>
        </is>
      </c>
      <c r="C42" s="3" t="inlineStr">
        <is>
          <t>Patel Traders</t>
        </is>
      </c>
      <c r="D42" s="3" t="inlineStr">
        <is>
          <t>Instant Noodles 280g</t>
        </is>
      </c>
      <c r="E42" s="3" t="inlineStr">
        <is>
          <t>Snacks</t>
        </is>
      </c>
      <c r="F42" s="4" t="n">
        <v>37</v>
      </c>
      <c r="G42" s="5" t="n">
        <v>58.6</v>
      </c>
      <c r="H42" s="5">
        <f>F42*G42</f>
        <v/>
      </c>
      <c r="I42" s="5">
        <f>F42*VLOOKUP(D42,Products!$B$2:$E$13,3,FALSE)</f>
        <v/>
      </c>
    </row>
    <row r="43">
      <c r="A43" s="2" t="n">
        <v>46118</v>
      </c>
      <c r="B43" s="3" t="inlineStr">
        <is>
          <t>INV-2604-0042</t>
        </is>
      </c>
      <c r="C43" s="3" t="inlineStr">
        <is>
          <t>Raza Brothers</t>
        </is>
      </c>
      <c r="D43" s="3" t="inlineStr">
        <is>
          <t>Dish Soap 500ml</t>
        </is>
      </c>
      <c r="E43" s="3" t="inlineStr">
        <is>
          <t>Household</t>
        </is>
      </c>
      <c r="F43" s="4" t="n">
        <v>7</v>
      </c>
      <c r="G43" s="5" t="n">
        <v>98.65000000000001</v>
      </c>
      <c r="H43" s="5">
        <f>F43*G43</f>
        <v/>
      </c>
      <c r="I43" s="5">
        <f>F43*VLOOKUP(D43,Products!$B$2:$E$13,3,FALSE)</f>
        <v/>
      </c>
    </row>
    <row r="44">
      <c r="A44" s="2" t="n">
        <v>46118</v>
      </c>
      <c r="B44" s="3" t="inlineStr">
        <is>
          <t>INV-2604-0043</t>
        </is>
      </c>
      <c r="C44" s="3" t="inlineStr">
        <is>
          <t>Bhatt General Store</t>
        </is>
      </c>
      <c r="D44" s="3" t="inlineStr">
        <is>
          <t>Packaged Water 1L</t>
        </is>
      </c>
      <c r="E44" s="3" t="inlineStr">
        <is>
          <t>Beverages</t>
        </is>
      </c>
      <c r="F44" s="4" t="n">
        <v>32</v>
      </c>
      <c r="G44" s="5" t="n">
        <v>20.46</v>
      </c>
      <c r="H44" s="5">
        <f>F44*G44</f>
        <v/>
      </c>
      <c r="I44" s="5">
        <f>F44*VLOOKUP(D44,Products!$B$2:$E$13,3,FALSE)</f>
        <v/>
      </c>
    </row>
    <row r="45">
      <c r="A45" s="2" t="n">
        <v>46119</v>
      </c>
      <c r="B45" s="3" t="inlineStr">
        <is>
          <t>INV-2604-0044</t>
        </is>
      </c>
      <c r="C45" s="3" t="inlineStr">
        <is>
          <t>Jha Provisions</t>
        </is>
      </c>
      <c r="D45" s="3" t="inlineStr">
        <is>
          <t>Packaged Water 1L</t>
        </is>
      </c>
      <c r="E45" s="3" t="inlineStr">
        <is>
          <t>Beverages</t>
        </is>
      </c>
      <c r="F45" s="4" t="n">
        <v>20</v>
      </c>
      <c r="G45" s="5" t="n">
        <v>20.37</v>
      </c>
      <c r="H45" s="5">
        <f>F45*G45</f>
        <v/>
      </c>
      <c r="I45" s="5">
        <f>F45*VLOOKUP(D45,Products!$B$2:$E$13,3,FALSE)</f>
        <v/>
      </c>
    </row>
    <row r="46">
      <c r="A46" s="2" t="n">
        <v>46119</v>
      </c>
      <c r="B46" s="3" t="inlineStr">
        <is>
          <t>INV-2604-0045</t>
        </is>
      </c>
      <c r="C46" s="3" t="inlineStr">
        <is>
          <t>Choudhary Mart</t>
        </is>
      </c>
      <c r="D46" s="3" t="inlineStr">
        <is>
          <t>Paneer 200g</t>
        </is>
      </c>
      <c r="E46" s="3" t="inlineStr">
        <is>
          <t>Dairy</t>
        </is>
      </c>
      <c r="F46" s="4" t="n">
        <v>69</v>
      </c>
      <c r="G46" s="5" t="n">
        <v>97.06999999999999</v>
      </c>
      <c r="H46" s="5">
        <f>F46*G46</f>
        <v/>
      </c>
      <c r="I46" s="5">
        <f>F46*VLOOKUP(D46,Products!$B$2:$E$13,3,FALSE)</f>
        <v/>
      </c>
    </row>
    <row r="47">
      <c r="A47" s="2" t="n">
        <v>46119</v>
      </c>
      <c r="B47" s="3" t="inlineStr">
        <is>
          <t>INV-2604-0046</t>
        </is>
      </c>
      <c r="C47" s="3" t="inlineStr">
        <is>
          <t>Dubey Kirana</t>
        </is>
      </c>
      <c r="D47" s="3" t="inlineStr">
        <is>
          <t>Cola 750ml</t>
        </is>
      </c>
      <c r="E47" s="3" t="inlineStr">
        <is>
          <t>Beverages</t>
        </is>
      </c>
      <c r="F47" s="4" t="n">
        <v>52</v>
      </c>
      <c r="G47" s="5" t="n">
        <v>45.84</v>
      </c>
      <c r="H47" s="5">
        <f>F47*G47</f>
        <v/>
      </c>
      <c r="I47" s="5">
        <f>F47*VLOOKUP(D47,Products!$B$2:$E$13,3,FALSE)</f>
        <v/>
      </c>
    </row>
    <row r="48">
      <c r="A48" s="2" t="n">
        <v>46119</v>
      </c>
      <c r="B48" s="3" t="inlineStr">
        <is>
          <t>INV-2604-0047</t>
        </is>
      </c>
      <c r="C48" s="3" t="inlineStr">
        <is>
          <t>Rai Daily Mart</t>
        </is>
      </c>
      <c r="D48" s="3" t="inlineStr">
        <is>
          <t>Mango Juice 1L</t>
        </is>
      </c>
      <c r="E48" s="3" t="inlineStr">
        <is>
          <t>Beverages</t>
        </is>
      </c>
      <c r="F48" s="4" t="n">
        <v>40</v>
      </c>
      <c r="G48" s="5" t="n">
        <v>125.85</v>
      </c>
      <c r="H48" s="5">
        <f>F48*G48</f>
        <v/>
      </c>
      <c r="I48" s="5">
        <f>F48*VLOOKUP(D48,Products!$B$2:$E$13,3,FALSE)</f>
        <v/>
      </c>
    </row>
    <row r="49">
      <c r="A49" s="2" t="n">
        <v>46119</v>
      </c>
      <c r="B49" s="3" t="inlineStr">
        <is>
          <t>INV-2604-0048</t>
        </is>
      </c>
      <c r="C49" s="3" t="inlineStr">
        <is>
          <t>Jha Provisions</t>
        </is>
      </c>
      <c r="D49" s="3" t="inlineStr">
        <is>
          <t>Packaged Water 1L</t>
        </is>
      </c>
      <c r="E49" s="3" t="inlineStr">
        <is>
          <t>Beverages</t>
        </is>
      </c>
      <c r="F49" s="4" t="n">
        <v>11</v>
      </c>
      <c r="G49" s="5" t="n">
        <v>20.3</v>
      </c>
      <c r="H49" s="5">
        <f>F49*G49</f>
        <v/>
      </c>
      <c r="I49" s="5">
        <f>F49*VLOOKUP(D49,Products!$B$2:$E$13,3,FALSE)</f>
        <v/>
      </c>
    </row>
    <row r="50">
      <c r="A50" s="2" t="n">
        <v>46119</v>
      </c>
      <c r="B50" s="3" t="inlineStr">
        <is>
          <t>INV-2604-0049</t>
        </is>
      </c>
      <c r="C50" s="3" t="inlineStr">
        <is>
          <t>Pandey Stores</t>
        </is>
      </c>
      <c r="D50" s="3" t="inlineStr">
        <is>
          <t>Mango Juice 1L</t>
        </is>
      </c>
      <c r="E50" s="3" t="inlineStr">
        <is>
          <t>Beverages</t>
        </is>
      </c>
      <c r="F50" s="4" t="n">
        <v>13</v>
      </c>
      <c r="G50" s="5" t="n">
        <v>125.91</v>
      </c>
      <c r="H50" s="5">
        <f>F50*G50</f>
        <v/>
      </c>
      <c r="I50" s="5">
        <f>F50*VLOOKUP(D50,Products!$B$2:$E$13,3,FALSE)</f>
        <v/>
      </c>
    </row>
    <row r="51">
      <c r="A51" s="2" t="n">
        <v>46119</v>
      </c>
      <c r="B51" s="3" t="inlineStr">
        <is>
          <t>INV-2604-0050</t>
        </is>
      </c>
      <c r="C51" s="3" t="inlineStr">
        <is>
          <t>Yadav Daily Needs</t>
        </is>
      </c>
      <c r="D51" s="3" t="inlineStr">
        <is>
          <t>Packaged Water 1L</t>
        </is>
      </c>
      <c r="E51" s="3" t="inlineStr">
        <is>
          <t>Beverages</t>
        </is>
      </c>
      <c r="F51" s="4" t="n">
        <v>32</v>
      </c>
      <c r="G51" s="5" t="n">
        <v>19.48</v>
      </c>
      <c r="H51" s="5">
        <f>F51*G51</f>
        <v/>
      </c>
      <c r="I51" s="5">
        <f>F51*VLOOKUP(D51,Products!$B$2:$E$13,3,FALSE)</f>
        <v/>
      </c>
    </row>
    <row r="52">
      <c r="A52" s="2" t="n">
        <v>46119</v>
      </c>
      <c r="B52" s="3" t="inlineStr">
        <is>
          <t>INV-2604-0051</t>
        </is>
      </c>
      <c r="C52" s="3" t="inlineStr">
        <is>
          <t>Bhatt General Store</t>
        </is>
      </c>
      <c r="D52" s="3" t="inlineStr">
        <is>
          <t>Potato Chips 150g</t>
        </is>
      </c>
      <c r="E52" s="3" t="inlineStr">
        <is>
          <t>Snacks</t>
        </is>
      </c>
      <c r="F52" s="4" t="n">
        <v>31</v>
      </c>
      <c r="G52" s="5" t="n">
        <v>49.34</v>
      </c>
      <c r="H52" s="5">
        <f>F52*G52</f>
        <v/>
      </c>
      <c r="I52" s="5">
        <f>F52*VLOOKUP(D52,Products!$B$2:$E$13,3,FALSE)</f>
        <v/>
      </c>
    </row>
    <row r="53">
      <c r="A53" s="2" t="n">
        <v>46119</v>
      </c>
      <c r="B53" s="3" t="inlineStr">
        <is>
          <t>INV-2604-0052</t>
        </is>
      </c>
      <c r="C53" s="3" t="inlineStr">
        <is>
          <t>Das &amp; Sons</t>
        </is>
      </c>
      <c r="D53" s="3" t="inlineStr">
        <is>
          <t>Mango Juice 1L</t>
        </is>
      </c>
      <c r="E53" s="3" t="inlineStr">
        <is>
          <t>Beverages</t>
        </is>
      </c>
      <c r="F53" s="4" t="n">
        <v>5</v>
      </c>
      <c r="G53" s="5" t="n">
        <v>124.41</v>
      </c>
      <c r="H53" s="5">
        <f>F53*G53</f>
        <v/>
      </c>
      <c r="I53" s="5">
        <f>F53*VLOOKUP(D53,Products!$B$2:$E$13,3,FALSE)</f>
        <v/>
      </c>
    </row>
    <row r="54">
      <c r="A54" s="2" t="n">
        <v>46119</v>
      </c>
      <c r="B54" s="3" t="inlineStr">
        <is>
          <t>INV-2604-0053</t>
        </is>
      </c>
      <c r="C54" s="3" t="inlineStr">
        <is>
          <t>Patel Traders</t>
        </is>
      </c>
      <c r="D54" s="3" t="inlineStr">
        <is>
          <t>Curd Cup 400g</t>
        </is>
      </c>
      <c r="E54" s="3" t="inlineStr">
        <is>
          <t>Dairy</t>
        </is>
      </c>
      <c r="F54" s="4" t="n">
        <v>61</v>
      </c>
      <c r="G54" s="5" t="n">
        <v>46.92</v>
      </c>
      <c r="H54" s="5">
        <f>F54*G54</f>
        <v/>
      </c>
      <c r="I54" s="5">
        <f>F54*VLOOKUP(D54,Products!$B$2:$E$13,3,FALSE)</f>
        <v/>
      </c>
    </row>
    <row r="55">
      <c r="A55" s="2" t="n">
        <v>46119</v>
      </c>
      <c r="B55" s="3" t="inlineStr">
        <is>
          <t>INV-2604-0054</t>
        </is>
      </c>
      <c r="C55" s="3" t="inlineStr">
        <is>
          <t>Sinha Super Mart</t>
        </is>
      </c>
      <c r="D55" s="3" t="inlineStr">
        <is>
          <t>Mango Juice 1L</t>
        </is>
      </c>
      <c r="E55" s="3" t="inlineStr">
        <is>
          <t>Beverages</t>
        </is>
      </c>
      <c r="F55" s="4" t="n">
        <v>65</v>
      </c>
      <c r="G55" s="5" t="n">
        <v>125.18</v>
      </c>
      <c r="H55" s="5">
        <f>F55*G55</f>
        <v/>
      </c>
      <c r="I55" s="5">
        <f>F55*VLOOKUP(D55,Products!$B$2:$E$13,3,FALSE)</f>
        <v/>
      </c>
    </row>
    <row r="56">
      <c r="A56" s="2" t="n">
        <v>46120</v>
      </c>
      <c r="B56" s="3" t="inlineStr">
        <is>
          <t>INV-2604-0055</t>
        </is>
      </c>
      <c r="C56" s="3" t="inlineStr">
        <is>
          <t>Dubey Kirana</t>
        </is>
      </c>
      <c r="D56" s="3" t="inlineStr">
        <is>
          <t>Paneer 200g</t>
        </is>
      </c>
      <c r="E56" s="3" t="inlineStr">
        <is>
          <t>Dairy</t>
        </is>
      </c>
      <c r="F56" s="4" t="n">
        <v>10</v>
      </c>
      <c r="G56" s="5" t="n">
        <v>92.22</v>
      </c>
      <c r="H56" s="5">
        <f>F56*G56</f>
        <v/>
      </c>
      <c r="I56" s="5">
        <f>F56*VLOOKUP(D56,Products!$B$2:$E$13,3,FALSE)</f>
        <v/>
      </c>
    </row>
    <row r="57">
      <c r="A57" s="2" t="n">
        <v>46120</v>
      </c>
      <c r="B57" s="3" t="inlineStr">
        <is>
          <t>INV-2604-0056</t>
        </is>
      </c>
      <c r="C57" s="3" t="inlineStr">
        <is>
          <t>Nath Provisions</t>
        </is>
      </c>
      <c r="D57" s="3" t="inlineStr">
        <is>
          <t>Biscuits 400g</t>
        </is>
      </c>
      <c r="E57" s="3" t="inlineStr">
        <is>
          <t>Snacks</t>
        </is>
      </c>
      <c r="F57" s="4" t="n">
        <v>38</v>
      </c>
      <c r="G57" s="5" t="n">
        <v>39.6</v>
      </c>
      <c r="H57" s="5">
        <f>F57*G57</f>
        <v/>
      </c>
      <c r="I57" s="5">
        <f>F57*VLOOKUP(D57,Products!$B$2:$E$13,3,FALSE)</f>
        <v/>
      </c>
    </row>
    <row r="58">
      <c r="A58" s="2" t="n">
        <v>46120</v>
      </c>
      <c r="B58" s="3" t="inlineStr">
        <is>
          <t>INV-2604-0057</t>
        </is>
      </c>
      <c r="C58" s="3" t="inlineStr">
        <is>
          <t>Khan Mart</t>
        </is>
      </c>
      <c r="D58" s="3" t="inlineStr">
        <is>
          <t>Mango Juice 1L</t>
        </is>
      </c>
      <c r="E58" s="3" t="inlineStr">
        <is>
          <t>Beverages</t>
        </is>
      </c>
      <c r="F58" s="4" t="n">
        <v>15</v>
      </c>
      <c r="G58" s="5" t="n">
        <v>125.22</v>
      </c>
      <c r="H58" s="5">
        <f>F58*G58</f>
        <v/>
      </c>
      <c r="I58" s="5">
        <f>F58*VLOOKUP(D58,Products!$B$2:$E$13,3,FALSE)</f>
        <v/>
      </c>
    </row>
    <row r="59">
      <c r="A59" s="2" t="n">
        <v>46120</v>
      </c>
      <c r="B59" s="3" t="inlineStr">
        <is>
          <t>INV-2604-0058</t>
        </is>
      </c>
      <c r="C59" s="3" t="inlineStr">
        <is>
          <t>Pandey Stores</t>
        </is>
      </c>
      <c r="D59" s="3" t="inlineStr">
        <is>
          <t>Floor Cleaner 1L</t>
        </is>
      </c>
      <c r="E59" s="3" t="inlineStr">
        <is>
          <t>Household</t>
        </is>
      </c>
      <c r="F59" s="4" t="n">
        <v>20</v>
      </c>
      <c r="G59" s="5" t="n">
        <v>107.29</v>
      </c>
      <c r="H59" s="5">
        <f>F59*G59</f>
        <v/>
      </c>
      <c r="I59" s="5">
        <f>F59*VLOOKUP(D59,Products!$B$2:$E$13,3,FALSE)</f>
        <v/>
      </c>
    </row>
    <row r="60">
      <c r="A60" s="2" t="n">
        <v>46120</v>
      </c>
      <c r="B60" s="3" t="inlineStr">
        <is>
          <t>INV-2604-0059</t>
        </is>
      </c>
      <c r="C60" s="3" t="inlineStr">
        <is>
          <t>Nath Provisions</t>
        </is>
      </c>
      <c r="D60" s="3" t="inlineStr">
        <is>
          <t>Cola 750ml</t>
        </is>
      </c>
      <c r="E60" s="3" t="inlineStr">
        <is>
          <t>Beverages</t>
        </is>
      </c>
      <c r="F60" s="4" t="n">
        <v>31</v>
      </c>
      <c r="G60" s="5" t="n">
        <v>45.04</v>
      </c>
      <c r="H60" s="5">
        <f>F60*G60</f>
        <v/>
      </c>
      <c r="I60" s="5">
        <f>F60*VLOOKUP(D60,Products!$B$2:$E$13,3,FALSE)</f>
        <v/>
      </c>
    </row>
    <row r="61">
      <c r="A61" s="2" t="n">
        <v>46120</v>
      </c>
      <c r="B61" s="3" t="inlineStr">
        <is>
          <t>INV-2604-0060</t>
        </is>
      </c>
      <c r="C61" s="3" t="inlineStr">
        <is>
          <t>Gupta General Store</t>
        </is>
      </c>
      <c r="D61" s="3" t="inlineStr">
        <is>
          <t>Cola 750ml</t>
        </is>
      </c>
      <c r="E61" s="3" t="inlineStr">
        <is>
          <t>Beverages</t>
        </is>
      </c>
      <c r="F61" s="4" t="n">
        <v>6</v>
      </c>
      <c r="G61" s="5" t="n">
        <v>46.62</v>
      </c>
      <c r="H61" s="5">
        <f>F61*G61</f>
        <v/>
      </c>
      <c r="I61" s="5">
        <f>F61*VLOOKUP(D61,Products!$B$2:$E$13,3,FALSE)</f>
        <v/>
      </c>
    </row>
    <row r="62">
      <c r="A62" s="2" t="n">
        <v>46120</v>
      </c>
      <c r="B62" s="3" t="inlineStr">
        <is>
          <t>INV-2604-0061</t>
        </is>
      </c>
      <c r="C62" s="3" t="inlineStr">
        <is>
          <t>Azad Stores</t>
        </is>
      </c>
      <c r="D62" s="3" t="inlineStr">
        <is>
          <t>Floor Cleaner 1L</t>
        </is>
      </c>
      <c r="E62" s="3" t="inlineStr">
        <is>
          <t>Household</t>
        </is>
      </c>
      <c r="F62" s="4" t="n">
        <v>5</v>
      </c>
      <c r="G62" s="5" t="n">
        <v>107.92</v>
      </c>
      <c r="H62" s="5">
        <f>F62*G62</f>
        <v/>
      </c>
      <c r="I62" s="5">
        <f>F62*VLOOKUP(D62,Products!$B$2:$E$13,3,FALSE)</f>
        <v/>
      </c>
    </row>
    <row r="63">
      <c r="A63" s="2" t="n">
        <v>46120</v>
      </c>
      <c r="B63" s="3" t="inlineStr">
        <is>
          <t>INV-2604-0062</t>
        </is>
      </c>
      <c r="C63" s="3" t="inlineStr">
        <is>
          <t>Dubey Kirana</t>
        </is>
      </c>
      <c r="D63" s="3" t="inlineStr">
        <is>
          <t>Detergent 1kg</t>
        </is>
      </c>
      <c r="E63" s="3" t="inlineStr">
        <is>
          <t>Household</t>
        </is>
      </c>
      <c r="F63" s="4" t="n">
        <v>22</v>
      </c>
      <c r="G63" s="5" t="n">
        <v>129.6</v>
      </c>
      <c r="H63" s="5">
        <f>F63*G63</f>
        <v/>
      </c>
      <c r="I63" s="5">
        <f>F63*VLOOKUP(D63,Products!$B$2:$E$13,3,FALSE)</f>
        <v/>
      </c>
    </row>
    <row r="64">
      <c r="A64" s="2" t="n">
        <v>46120</v>
      </c>
      <c r="B64" s="3" t="inlineStr">
        <is>
          <t>INV-2604-0063</t>
        </is>
      </c>
      <c r="C64" s="3" t="inlineStr">
        <is>
          <t>Gupta General Store</t>
        </is>
      </c>
      <c r="D64" s="3" t="inlineStr">
        <is>
          <t>Biscuits 400g</t>
        </is>
      </c>
      <c r="E64" s="3" t="inlineStr">
        <is>
          <t>Snacks</t>
        </is>
      </c>
      <c r="F64" s="4" t="n">
        <v>56</v>
      </c>
      <c r="G64" s="5" t="n">
        <v>41.8</v>
      </c>
      <c r="H64" s="5">
        <f>F64*G64</f>
        <v/>
      </c>
      <c r="I64" s="5">
        <f>F64*VLOOKUP(D64,Products!$B$2:$E$13,3,FALSE)</f>
        <v/>
      </c>
    </row>
    <row r="65">
      <c r="A65" s="2" t="n">
        <v>46121</v>
      </c>
      <c r="B65" s="3" t="inlineStr">
        <is>
          <t>INV-2604-0064</t>
        </is>
      </c>
      <c r="C65" s="3" t="inlineStr">
        <is>
          <t>Mishra Stores</t>
        </is>
      </c>
      <c r="D65" s="3" t="inlineStr">
        <is>
          <t>Curd Cup 400g</t>
        </is>
      </c>
      <c r="E65" s="3" t="inlineStr">
        <is>
          <t>Dairy</t>
        </is>
      </c>
      <c r="F65" s="4" t="n">
        <v>22</v>
      </c>
      <c r="G65" s="5" t="n">
        <v>45.76</v>
      </c>
      <c r="H65" s="5">
        <f>F65*G65</f>
        <v/>
      </c>
      <c r="I65" s="5">
        <f>F65*VLOOKUP(D65,Products!$B$2:$E$13,3,FALSE)</f>
        <v/>
      </c>
    </row>
    <row r="66">
      <c r="A66" s="2" t="n">
        <v>46121</v>
      </c>
      <c r="B66" s="3" t="inlineStr">
        <is>
          <t>INV-2604-0065</t>
        </is>
      </c>
      <c r="C66" s="3" t="inlineStr">
        <is>
          <t>Verma Retail</t>
        </is>
      </c>
      <c r="D66" s="3" t="inlineStr">
        <is>
          <t>Curd Cup 400g</t>
        </is>
      </c>
      <c r="E66" s="3" t="inlineStr">
        <is>
          <t>Dairy</t>
        </is>
      </c>
      <c r="F66" s="4" t="n">
        <v>52</v>
      </c>
      <c r="G66" s="5" t="n">
        <v>43.9</v>
      </c>
      <c r="H66" s="5">
        <f>F66*G66</f>
        <v/>
      </c>
      <c r="I66" s="5">
        <f>F66*VLOOKUP(D66,Products!$B$2:$E$13,3,FALSE)</f>
        <v/>
      </c>
    </row>
    <row r="67">
      <c r="A67" s="2" t="n">
        <v>46121</v>
      </c>
      <c r="B67" s="3" t="inlineStr">
        <is>
          <t>INV-2604-0066</t>
        </is>
      </c>
      <c r="C67" s="3" t="inlineStr">
        <is>
          <t>Sahu Traders</t>
        </is>
      </c>
      <c r="D67" s="3" t="inlineStr">
        <is>
          <t>Paneer 200g</t>
        </is>
      </c>
      <c r="E67" s="3" t="inlineStr">
        <is>
          <t>Dairy</t>
        </is>
      </c>
      <c r="F67" s="4" t="n">
        <v>27</v>
      </c>
      <c r="G67" s="5" t="n">
        <v>96.44</v>
      </c>
      <c r="H67" s="5">
        <f>F67*G67</f>
        <v/>
      </c>
      <c r="I67" s="5">
        <f>F67*VLOOKUP(D67,Products!$B$2:$E$13,3,FALSE)</f>
        <v/>
      </c>
    </row>
    <row r="68">
      <c r="A68" s="2" t="n">
        <v>46121</v>
      </c>
      <c r="B68" s="3" t="inlineStr">
        <is>
          <t>INV-2604-0067</t>
        </is>
      </c>
      <c r="C68" s="3" t="inlineStr">
        <is>
          <t>Dubey Kirana</t>
        </is>
      </c>
      <c r="D68" s="3" t="inlineStr">
        <is>
          <t>Packaged Water 1L</t>
        </is>
      </c>
      <c r="E68" s="3" t="inlineStr">
        <is>
          <t>Beverages</t>
        </is>
      </c>
      <c r="F68" s="4" t="n">
        <v>7</v>
      </c>
      <c r="G68" s="5" t="n">
        <v>20.62</v>
      </c>
      <c r="H68" s="5">
        <f>F68*G68</f>
        <v/>
      </c>
      <c r="I68" s="5">
        <f>F68*VLOOKUP(D68,Products!$B$2:$E$13,3,FALSE)</f>
        <v/>
      </c>
    </row>
    <row r="69">
      <c r="A69" s="2" t="n">
        <v>46121</v>
      </c>
      <c r="B69" s="3" t="inlineStr">
        <is>
          <t>INV-2604-0068</t>
        </is>
      </c>
      <c r="C69" s="3" t="inlineStr">
        <is>
          <t>Verma Retail</t>
        </is>
      </c>
      <c r="D69" s="3" t="inlineStr">
        <is>
          <t>Biscuits 400g</t>
        </is>
      </c>
      <c r="E69" s="3" t="inlineStr">
        <is>
          <t>Snacks</t>
        </is>
      </c>
      <c r="F69" s="4" t="n">
        <v>33</v>
      </c>
      <c r="G69" s="5" t="n">
        <v>40.6</v>
      </c>
      <c r="H69" s="5">
        <f>F69*G69</f>
        <v/>
      </c>
      <c r="I69" s="5">
        <f>F69*VLOOKUP(D69,Products!$B$2:$E$13,3,FALSE)</f>
        <v/>
      </c>
    </row>
    <row r="70">
      <c r="A70" s="2" t="n">
        <v>46121</v>
      </c>
      <c r="B70" s="3" t="inlineStr">
        <is>
          <t>INV-2604-0069</t>
        </is>
      </c>
      <c r="C70" s="3" t="inlineStr">
        <is>
          <t>Azad Stores</t>
        </is>
      </c>
      <c r="D70" s="3" t="inlineStr">
        <is>
          <t>Toned Milk 1L</t>
        </is>
      </c>
      <c r="E70" s="3" t="inlineStr">
        <is>
          <t>Dairy</t>
        </is>
      </c>
      <c r="F70" s="4" t="n">
        <v>61</v>
      </c>
      <c r="G70" s="5" t="n">
        <v>65.84</v>
      </c>
      <c r="H70" s="5">
        <f>F70*G70</f>
        <v/>
      </c>
      <c r="I70" s="5">
        <f>F70*VLOOKUP(D70,Products!$B$2:$E$13,3,FALSE)</f>
        <v/>
      </c>
    </row>
    <row r="71">
      <c r="A71" s="2" t="n">
        <v>46121</v>
      </c>
      <c r="B71" s="3" t="inlineStr">
        <is>
          <t>INV-2604-0070</t>
        </is>
      </c>
      <c r="C71" s="3" t="inlineStr">
        <is>
          <t>Mehta Retail</t>
        </is>
      </c>
      <c r="D71" s="3" t="inlineStr">
        <is>
          <t>Curd Cup 400g</t>
        </is>
      </c>
      <c r="E71" s="3" t="inlineStr">
        <is>
          <t>Dairy</t>
        </is>
      </c>
      <c r="F71" s="4" t="n">
        <v>13</v>
      </c>
      <c r="G71" s="5" t="n">
        <v>44.41</v>
      </c>
      <c r="H71" s="5">
        <f>F71*G71</f>
        <v/>
      </c>
      <c r="I71" s="5">
        <f>F71*VLOOKUP(D71,Products!$B$2:$E$13,3,FALSE)</f>
        <v/>
      </c>
    </row>
    <row r="72">
      <c r="A72" s="2" t="n">
        <v>46121</v>
      </c>
      <c r="B72" s="3" t="inlineStr">
        <is>
          <t>INV-2604-0071</t>
        </is>
      </c>
      <c r="C72" s="3" t="inlineStr">
        <is>
          <t>Prasad Traders</t>
        </is>
      </c>
      <c r="D72" s="3" t="inlineStr">
        <is>
          <t>Curd Cup 400g</t>
        </is>
      </c>
      <c r="E72" s="3" t="inlineStr">
        <is>
          <t>Dairy</t>
        </is>
      </c>
      <c r="F72" s="4" t="n">
        <v>13</v>
      </c>
      <c r="G72" s="5" t="n">
        <v>44.87</v>
      </c>
      <c r="H72" s="5">
        <f>F72*G72</f>
        <v/>
      </c>
      <c r="I72" s="5">
        <f>F72*VLOOKUP(D72,Products!$B$2:$E$13,3,FALSE)</f>
        <v/>
      </c>
    </row>
    <row r="73">
      <c r="A73" s="2" t="n">
        <v>46122</v>
      </c>
      <c r="B73" s="3" t="inlineStr">
        <is>
          <t>INV-2604-0072</t>
        </is>
      </c>
      <c r="C73" s="3" t="inlineStr">
        <is>
          <t>Singh Super Bazaar</t>
        </is>
      </c>
      <c r="D73" s="3" t="inlineStr">
        <is>
          <t>Instant Noodles 280g</t>
        </is>
      </c>
      <c r="E73" s="3" t="inlineStr">
        <is>
          <t>Snacks</t>
        </is>
      </c>
      <c r="F73" s="4" t="n">
        <v>34</v>
      </c>
      <c r="G73" s="5" t="n">
        <v>57.76</v>
      </c>
      <c r="H73" s="5">
        <f>F73*G73</f>
        <v/>
      </c>
      <c r="I73" s="5">
        <f>F73*VLOOKUP(D73,Products!$B$2:$E$13,3,FALSE)</f>
        <v/>
      </c>
    </row>
    <row r="74">
      <c r="A74" s="2" t="n">
        <v>46122</v>
      </c>
      <c r="B74" s="3" t="inlineStr">
        <is>
          <t>INV-2604-0073</t>
        </is>
      </c>
      <c r="C74" s="3" t="inlineStr">
        <is>
          <t>Sahu Traders</t>
        </is>
      </c>
      <c r="D74" s="3" t="inlineStr">
        <is>
          <t>Floor Cleaner 1L</t>
        </is>
      </c>
      <c r="E74" s="3" t="inlineStr">
        <is>
          <t>Household</t>
        </is>
      </c>
      <c r="F74" s="4" t="n">
        <v>32</v>
      </c>
      <c r="G74" s="5" t="n">
        <v>112.74</v>
      </c>
      <c r="H74" s="5">
        <f>F74*G74</f>
        <v/>
      </c>
      <c r="I74" s="5">
        <f>F74*VLOOKUP(D74,Products!$B$2:$E$13,3,FALSE)</f>
        <v/>
      </c>
    </row>
    <row r="75">
      <c r="A75" s="2" t="n">
        <v>46122</v>
      </c>
      <c r="B75" s="3" t="inlineStr">
        <is>
          <t>INV-2604-0074</t>
        </is>
      </c>
      <c r="C75" s="3" t="inlineStr">
        <is>
          <t>Sahu Traders</t>
        </is>
      </c>
      <c r="D75" s="3" t="inlineStr">
        <is>
          <t>Toned Milk 1L</t>
        </is>
      </c>
      <c r="E75" s="3" t="inlineStr">
        <is>
          <t>Dairy</t>
        </is>
      </c>
      <c r="F75" s="4" t="n">
        <v>36</v>
      </c>
      <c r="G75" s="5" t="n">
        <v>65.69</v>
      </c>
      <c r="H75" s="5">
        <f>F75*G75</f>
        <v/>
      </c>
      <c r="I75" s="5">
        <f>F75*VLOOKUP(D75,Products!$B$2:$E$13,3,FALSE)</f>
        <v/>
      </c>
    </row>
    <row r="76">
      <c r="A76" s="2" t="n">
        <v>46122</v>
      </c>
      <c r="B76" s="3" t="inlineStr">
        <is>
          <t>INV-2604-0075</t>
        </is>
      </c>
      <c r="C76" s="3" t="inlineStr">
        <is>
          <t>Das &amp; Sons</t>
        </is>
      </c>
      <c r="D76" s="3" t="inlineStr">
        <is>
          <t>Instant Noodles 280g</t>
        </is>
      </c>
      <c r="E76" s="3" t="inlineStr">
        <is>
          <t>Snacks</t>
        </is>
      </c>
      <c r="F76" s="4" t="n">
        <v>43</v>
      </c>
      <c r="G76" s="5" t="n">
        <v>56.47</v>
      </c>
      <c r="H76" s="5">
        <f>F76*G76</f>
        <v/>
      </c>
      <c r="I76" s="5">
        <f>F76*VLOOKUP(D76,Products!$B$2:$E$13,3,FALSE)</f>
        <v/>
      </c>
    </row>
    <row r="77">
      <c r="A77" s="2" t="n">
        <v>46122</v>
      </c>
      <c r="B77" s="3" t="inlineStr">
        <is>
          <t>INV-2604-0076</t>
        </is>
      </c>
      <c r="C77" s="3" t="inlineStr">
        <is>
          <t>Singh Super Bazaar</t>
        </is>
      </c>
      <c r="D77" s="3" t="inlineStr">
        <is>
          <t>Mango Juice 1L</t>
        </is>
      </c>
      <c r="E77" s="3" t="inlineStr">
        <is>
          <t>Beverages</t>
        </is>
      </c>
      <c r="F77" s="4" t="n">
        <v>33</v>
      </c>
      <c r="G77" s="5" t="n">
        <v>116.77</v>
      </c>
      <c r="H77" s="5">
        <f>F77*G77</f>
        <v/>
      </c>
      <c r="I77" s="5">
        <f>F77*VLOOKUP(D77,Products!$B$2:$E$13,3,FALSE)</f>
        <v/>
      </c>
    </row>
    <row r="78">
      <c r="A78" s="2" t="n">
        <v>46122</v>
      </c>
      <c r="B78" s="3" t="inlineStr">
        <is>
          <t>INV-2604-0077</t>
        </is>
      </c>
      <c r="C78" s="3" t="inlineStr">
        <is>
          <t>Yadav Daily Needs</t>
        </is>
      </c>
      <c r="D78" s="3" t="inlineStr">
        <is>
          <t>Cola 750ml</t>
        </is>
      </c>
      <c r="E78" s="3" t="inlineStr">
        <is>
          <t>Beverages</t>
        </is>
      </c>
      <c r="F78" s="4" t="n">
        <v>34</v>
      </c>
      <c r="G78" s="5" t="n">
        <v>45.51</v>
      </c>
      <c r="H78" s="5">
        <f>F78*G78</f>
        <v/>
      </c>
      <c r="I78" s="5">
        <f>F78*VLOOKUP(D78,Products!$B$2:$E$13,3,FALSE)</f>
        <v/>
      </c>
    </row>
    <row r="79">
      <c r="A79" s="2" t="n">
        <v>46122</v>
      </c>
      <c r="B79" s="3" t="inlineStr">
        <is>
          <t>INV-2604-0078</t>
        </is>
      </c>
      <c r="C79" s="3" t="inlineStr">
        <is>
          <t>Gupta General Store</t>
        </is>
      </c>
      <c r="D79" s="3" t="inlineStr">
        <is>
          <t>Floor Cleaner 1L</t>
        </is>
      </c>
      <c r="E79" s="3" t="inlineStr">
        <is>
          <t>Household</t>
        </is>
      </c>
      <c r="F79" s="4" t="n">
        <v>68</v>
      </c>
      <c r="G79" s="5" t="n">
        <v>108</v>
      </c>
      <c r="H79" s="5">
        <f>F79*G79</f>
        <v/>
      </c>
      <c r="I79" s="5">
        <f>F79*VLOOKUP(D79,Products!$B$2:$E$13,3,FALSE)</f>
        <v/>
      </c>
    </row>
    <row r="80">
      <c r="A80" s="2" t="n">
        <v>46122</v>
      </c>
      <c r="B80" s="3" t="inlineStr">
        <is>
          <t>INV-2604-0079</t>
        </is>
      </c>
      <c r="C80" s="3" t="inlineStr">
        <is>
          <t>Jha Provisions</t>
        </is>
      </c>
      <c r="D80" s="3" t="inlineStr">
        <is>
          <t>Mango Juice 1L</t>
        </is>
      </c>
      <c r="E80" s="3" t="inlineStr">
        <is>
          <t>Beverages</t>
        </is>
      </c>
      <c r="F80" s="4" t="n">
        <v>32</v>
      </c>
      <c r="G80" s="5" t="n">
        <v>122.71</v>
      </c>
      <c r="H80" s="5">
        <f>F80*G80</f>
        <v/>
      </c>
      <c r="I80" s="5">
        <f>F80*VLOOKUP(D80,Products!$B$2:$E$13,3,FALSE)</f>
        <v/>
      </c>
    </row>
    <row r="81">
      <c r="A81" s="2" t="n">
        <v>46123</v>
      </c>
      <c r="B81" s="3" t="inlineStr">
        <is>
          <t>INV-2604-0080</t>
        </is>
      </c>
      <c r="C81" s="3" t="inlineStr">
        <is>
          <t>Verma Retail</t>
        </is>
      </c>
      <c r="D81" s="3" t="inlineStr">
        <is>
          <t>Toned Milk 1L</t>
        </is>
      </c>
      <c r="E81" s="3" t="inlineStr">
        <is>
          <t>Dairy</t>
        </is>
      </c>
      <c r="F81" s="4" t="n">
        <v>59</v>
      </c>
      <c r="G81" s="5" t="n">
        <v>66.62</v>
      </c>
      <c r="H81" s="5">
        <f>F81*G81</f>
        <v/>
      </c>
      <c r="I81" s="5">
        <f>F81*VLOOKUP(D81,Products!$B$2:$E$13,3,FALSE)</f>
        <v/>
      </c>
    </row>
    <row r="82">
      <c r="A82" s="2" t="n">
        <v>46123</v>
      </c>
      <c r="B82" s="3" t="inlineStr">
        <is>
          <t>INV-2604-0081</t>
        </is>
      </c>
      <c r="C82" s="3" t="inlineStr">
        <is>
          <t>Azad Stores</t>
        </is>
      </c>
      <c r="D82" s="3" t="inlineStr">
        <is>
          <t>Biscuits 400g</t>
        </is>
      </c>
      <c r="E82" s="3" t="inlineStr">
        <is>
          <t>Snacks</t>
        </is>
      </c>
      <c r="F82" s="4" t="n">
        <v>88</v>
      </c>
      <c r="G82" s="5" t="n">
        <v>40.94</v>
      </c>
      <c r="H82" s="5">
        <f>F82*G82</f>
        <v/>
      </c>
      <c r="I82" s="5">
        <f>F82*VLOOKUP(D82,Products!$B$2:$E$13,3,FALSE)</f>
        <v/>
      </c>
    </row>
    <row r="83">
      <c r="A83" s="2" t="n">
        <v>46123</v>
      </c>
      <c r="B83" s="3" t="inlineStr">
        <is>
          <t>INV-2604-0082</t>
        </is>
      </c>
      <c r="C83" s="3" t="inlineStr">
        <is>
          <t>Choudhary Mart</t>
        </is>
      </c>
      <c r="D83" s="3" t="inlineStr">
        <is>
          <t>Floor Cleaner 1L</t>
        </is>
      </c>
      <c r="E83" s="3" t="inlineStr">
        <is>
          <t>Household</t>
        </is>
      </c>
      <c r="F83" s="4" t="n">
        <v>84</v>
      </c>
      <c r="G83" s="5" t="n">
        <v>114.84</v>
      </c>
      <c r="H83" s="5">
        <f>F83*G83</f>
        <v/>
      </c>
      <c r="I83" s="5">
        <f>F83*VLOOKUP(D83,Products!$B$2:$E$13,3,FALSE)</f>
        <v/>
      </c>
    </row>
    <row r="84">
      <c r="A84" s="2" t="n">
        <v>46123</v>
      </c>
      <c r="B84" s="3" t="inlineStr">
        <is>
          <t>INV-2604-0083</t>
        </is>
      </c>
      <c r="C84" s="3" t="inlineStr">
        <is>
          <t>Verma Retail</t>
        </is>
      </c>
      <c r="D84" s="3" t="inlineStr">
        <is>
          <t>Paneer 200g</t>
        </is>
      </c>
      <c r="E84" s="3" t="inlineStr">
        <is>
          <t>Dairy</t>
        </is>
      </c>
      <c r="F84" s="4" t="n">
        <v>10</v>
      </c>
      <c r="G84" s="5" t="n">
        <v>99.14</v>
      </c>
      <c r="H84" s="5">
        <f>F84*G84</f>
        <v/>
      </c>
      <c r="I84" s="5">
        <f>F84*VLOOKUP(D84,Products!$B$2:$E$13,3,FALSE)</f>
        <v/>
      </c>
    </row>
    <row r="85">
      <c r="A85" s="2" t="n">
        <v>46123</v>
      </c>
      <c r="B85" s="3" t="inlineStr">
        <is>
          <t>INV-2604-0084</t>
        </is>
      </c>
      <c r="C85" s="3" t="inlineStr">
        <is>
          <t>Azad Stores</t>
        </is>
      </c>
      <c r="D85" s="3" t="inlineStr">
        <is>
          <t>Toned Milk 1L</t>
        </is>
      </c>
      <c r="E85" s="3" t="inlineStr">
        <is>
          <t>Dairy</t>
        </is>
      </c>
      <c r="F85" s="4" t="n">
        <v>49</v>
      </c>
      <c r="G85" s="5" t="n">
        <v>68.03</v>
      </c>
      <c r="H85" s="5">
        <f>F85*G85</f>
        <v/>
      </c>
      <c r="I85" s="5">
        <f>F85*VLOOKUP(D85,Products!$B$2:$E$13,3,FALSE)</f>
        <v/>
      </c>
    </row>
    <row r="86">
      <c r="A86" s="2" t="n">
        <v>46123</v>
      </c>
      <c r="B86" s="3" t="inlineStr">
        <is>
          <t>INV-2604-0085</t>
        </is>
      </c>
      <c r="C86" s="3" t="inlineStr">
        <is>
          <t>Dubey Kirana</t>
        </is>
      </c>
      <c r="D86" s="3" t="inlineStr">
        <is>
          <t>Toned Milk 1L</t>
        </is>
      </c>
      <c r="E86" s="3" t="inlineStr">
        <is>
          <t>Dairy</t>
        </is>
      </c>
      <c r="F86" s="4" t="n">
        <v>46</v>
      </c>
      <c r="G86" s="5" t="n">
        <v>65.34</v>
      </c>
      <c r="H86" s="5">
        <f>F86*G86</f>
        <v/>
      </c>
      <c r="I86" s="5">
        <f>F86*VLOOKUP(D86,Products!$B$2:$E$13,3,FALSE)</f>
        <v/>
      </c>
    </row>
    <row r="87">
      <c r="A87" s="2" t="n">
        <v>46124</v>
      </c>
      <c r="B87" s="3" t="inlineStr">
        <is>
          <t>INV-2604-0086</t>
        </is>
      </c>
      <c r="C87" s="3" t="inlineStr">
        <is>
          <t>Gupta General Store</t>
        </is>
      </c>
      <c r="D87" s="3" t="inlineStr">
        <is>
          <t>Toned Milk 1L</t>
        </is>
      </c>
      <c r="E87" s="3" t="inlineStr">
        <is>
          <t>Dairy</t>
        </is>
      </c>
      <c r="F87" s="4" t="n">
        <v>47</v>
      </c>
      <c r="G87" s="5" t="n">
        <v>65.43000000000001</v>
      </c>
      <c r="H87" s="5">
        <f>F87*G87</f>
        <v/>
      </c>
      <c r="I87" s="5">
        <f>F87*VLOOKUP(D87,Products!$B$2:$E$13,3,FALSE)</f>
        <v/>
      </c>
    </row>
    <row r="88">
      <c r="A88" s="2" t="n">
        <v>46124</v>
      </c>
      <c r="B88" s="3" t="inlineStr">
        <is>
          <t>INV-2604-0087</t>
        </is>
      </c>
      <c r="C88" s="3" t="inlineStr">
        <is>
          <t>Mehta Retail</t>
        </is>
      </c>
      <c r="D88" s="3" t="inlineStr">
        <is>
          <t>Mango Juice 1L</t>
        </is>
      </c>
      <c r="E88" s="3" t="inlineStr">
        <is>
          <t>Beverages</t>
        </is>
      </c>
      <c r="F88" s="4" t="n">
        <v>36</v>
      </c>
      <c r="G88" s="5" t="n">
        <v>123.73</v>
      </c>
      <c r="H88" s="5">
        <f>F88*G88</f>
        <v/>
      </c>
      <c r="I88" s="5">
        <f>F88*VLOOKUP(D88,Products!$B$2:$E$13,3,FALSE)</f>
        <v/>
      </c>
    </row>
    <row r="89">
      <c r="A89" s="2" t="n">
        <v>46124</v>
      </c>
      <c r="B89" s="3" t="inlineStr">
        <is>
          <t>INV-2604-0088</t>
        </is>
      </c>
      <c r="C89" s="3" t="inlineStr">
        <is>
          <t>Tiwari General</t>
        </is>
      </c>
      <c r="D89" s="3" t="inlineStr">
        <is>
          <t>Floor Cleaner 1L</t>
        </is>
      </c>
      <c r="E89" s="3" t="inlineStr">
        <is>
          <t>Household</t>
        </is>
      </c>
      <c r="F89" s="4" t="n">
        <v>52</v>
      </c>
      <c r="G89" s="5" t="n">
        <v>112.91</v>
      </c>
      <c r="H89" s="5">
        <f>F89*G89</f>
        <v/>
      </c>
      <c r="I89" s="5">
        <f>F89*VLOOKUP(D89,Products!$B$2:$E$13,3,FALSE)</f>
        <v/>
      </c>
    </row>
    <row r="90">
      <c r="A90" s="2" t="n">
        <v>46124</v>
      </c>
      <c r="B90" s="3" t="inlineStr">
        <is>
          <t>INV-2604-0089</t>
        </is>
      </c>
      <c r="C90" s="3" t="inlineStr">
        <is>
          <t>Sinha Super Mart</t>
        </is>
      </c>
      <c r="D90" s="3" t="inlineStr">
        <is>
          <t>Floor Cleaner 1L</t>
        </is>
      </c>
      <c r="E90" s="3" t="inlineStr">
        <is>
          <t>Household</t>
        </is>
      </c>
      <c r="F90" s="4" t="n">
        <v>59</v>
      </c>
      <c r="G90" s="5" t="n">
        <v>113.2</v>
      </c>
      <c r="H90" s="5">
        <f>F90*G90</f>
        <v/>
      </c>
      <c r="I90" s="5">
        <f>F90*VLOOKUP(D90,Products!$B$2:$E$13,3,FALSE)</f>
        <v/>
      </c>
    </row>
    <row r="91">
      <c r="A91" s="2" t="n">
        <v>46124</v>
      </c>
      <c r="B91" s="3" t="inlineStr">
        <is>
          <t>INV-2604-0090</t>
        </is>
      </c>
      <c r="C91" s="3" t="inlineStr">
        <is>
          <t>Singh Super Bazaar</t>
        </is>
      </c>
      <c r="D91" s="3" t="inlineStr">
        <is>
          <t>Dish Soap 500ml</t>
        </is>
      </c>
      <c r="E91" s="3" t="inlineStr">
        <is>
          <t>Household</t>
        </is>
      </c>
      <c r="F91" s="4" t="n">
        <v>21</v>
      </c>
      <c r="G91" s="5" t="n">
        <v>103.51</v>
      </c>
      <c r="H91" s="5">
        <f>F91*G91</f>
        <v/>
      </c>
      <c r="I91" s="5">
        <f>F91*VLOOKUP(D91,Products!$B$2:$E$13,3,FALSE)</f>
        <v/>
      </c>
    </row>
    <row r="92">
      <c r="A92" s="2" t="n">
        <v>46124</v>
      </c>
      <c r="B92" s="3" t="inlineStr">
        <is>
          <t>INV-2604-0091</t>
        </is>
      </c>
      <c r="C92" s="3" t="inlineStr">
        <is>
          <t>Tiwari General</t>
        </is>
      </c>
      <c r="D92" s="3" t="inlineStr">
        <is>
          <t>Cola 750ml</t>
        </is>
      </c>
      <c r="E92" s="3" t="inlineStr">
        <is>
          <t>Beverages</t>
        </is>
      </c>
      <c r="F92" s="4" t="n">
        <v>45</v>
      </c>
      <c r="G92" s="5" t="n">
        <v>44.87</v>
      </c>
      <c r="H92" s="5">
        <f>F92*G92</f>
        <v/>
      </c>
      <c r="I92" s="5">
        <f>F92*VLOOKUP(D92,Products!$B$2:$E$13,3,FALSE)</f>
        <v/>
      </c>
    </row>
    <row r="93">
      <c r="A93" s="2" t="n">
        <v>46124</v>
      </c>
      <c r="B93" s="3" t="inlineStr">
        <is>
          <t>INV-2604-0092</t>
        </is>
      </c>
      <c r="C93" s="3" t="inlineStr">
        <is>
          <t>Kumari Kirana</t>
        </is>
      </c>
      <c r="D93" s="3" t="inlineStr">
        <is>
          <t>Packaged Water 1L</t>
        </is>
      </c>
      <c r="E93" s="3" t="inlineStr">
        <is>
          <t>Beverages</t>
        </is>
      </c>
      <c r="F93" s="4" t="n">
        <v>12</v>
      </c>
      <c r="G93" s="5" t="n">
        <v>19.64</v>
      </c>
      <c r="H93" s="5">
        <f>F93*G93</f>
        <v/>
      </c>
      <c r="I93" s="5">
        <f>F93*VLOOKUP(D93,Products!$B$2:$E$13,3,FALSE)</f>
        <v/>
      </c>
    </row>
    <row r="94">
      <c r="A94" s="2" t="n">
        <v>46124</v>
      </c>
      <c r="B94" s="3" t="inlineStr">
        <is>
          <t>INV-2604-0093</t>
        </is>
      </c>
      <c r="C94" s="3" t="inlineStr">
        <is>
          <t>Tiwari General</t>
        </is>
      </c>
      <c r="D94" s="3" t="inlineStr">
        <is>
          <t>Mango Juice 1L</t>
        </is>
      </c>
      <c r="E94" s="3" t="inlineStr">
        <is>
          <t>Beverages</t>
        </is>
      </c>
      <c r="F94" s="4" t="n">
        <v>79</v>
      </c>
      <c r="G94" s="5" t="n">
        <v>122.17</v>
      </c>
      <c r="H94" s="5">
        <f>F94*G94</f>
        <v/>
      </c>
      <c r="I94" s="5">
        <f>F94*VLOOKUP(D94,Products!$B$2:$E$13,3,FALSE)</f>
        <v/>
      </c>
    </row>
    <row r="95">
      <c r="A95" s="2" t="n">
        <v>46124</v>
      </c>
      <c r="B95" s="3" t="inlineStr">
        <is>
          <t>INV-2604-0094</t>
        </is>
      </c>
      <c r="C95" s="3" t="inlineStr">
        <is>
          <t>Das &amp; Sons</t>
        </is>
      </c>
      <c r="D95" s="3" t="inlineStr">
        <is>
          <t>Potato Chips 150g</t>
        </is>
      </c>
      <c r="E95" s="3" t="inlineStr">
        <is>
          <t>Snacks</t>
        </is>
      </c>
      <c r="F95" s="4" t="n">
        <v>23</v>
      </c>
      <c r="G95" s="5" t="n">
        <v>51.38</v>
      </c>
      <c r="H95" s="5">
        <f>F95*G95</f>
        <v/>
      </c>
      <c r="I95" s="5">
        <f>F95*VLOOKUP(D95,Products!$B$2:$E$13,3,FALSE)</f>
        <v/>
      </c>
    </row>
    <row r="96">
      <c r="A96" s="2" t="n">
        <v>46124</v>
      </c>
      <c r="B96" s="3" t="inlineStr">
        <is>
          <t>INV-2604-0095</t>
        </is>
      </c>
      <c r="C96" s="3" t="inlineStr">
        <is>
          <t>Yadav Daily Needs</t>
        </is>
      </c>
      <c r="D96" s="3" t="inlineStr">
        <is>
          <t>Floor Cleaner 1L</t>
        </is>
      </c>
      <c r="E96" s="3" t="inlineStr">
        <is>
          <t>Household</t>
        </is>
      </c>
      <c r="F96" s="4" t="n">
        <v>7</v>
      </c>
      <c r="G96" s="5" t="n">
        <v>108.06</v>
      </c>
      <c r="H96" s="5">
        <f>F96*G96</f>
        <v/>
      </c>
      <c r="I96" s="5">
        <f>F96*VLOOKUP(D96,Products!$B$2:$E$13,3,FALSE)</f>
        <v/>
      </c>
    </row>
    <row r="97">
      <c r="A97" s="2" t="n">
        <v>46125</v>
      </c>
      <c r="B97" s="3" t="inlineStr">
        <is>
          <t>INV-2604-0096</t>
        </is>
      </c>
      <c r="C97" s="3" t="inlineStr">
        <is>
          <t>Nath Provisions</t>
        </is>
      </c>
      <c r="D97" s="3" t="inlineStr">
        <is>
          <t>Potato Chips 150g</t>
        </is>
      </c>
      <c r="E97" s="3" t="inlineStr">
        <is>
          <t>Snacks</t>
        </is>
      </c>
      <c r="F97" s="4" t="n">
        <v>5</v>
      </c>
      <c r="G97" s="5" t="n">
        <v>51.55</v>
      </c>
      <c r="H97" s="5">
        <f>F97*G97</f>
        <v/>
      </c>
      <c r="I97" s="5">
        <f>F97*VLOOKUP(D97,Products!$B$2:$E$13,3,FALSE)</f>
        <v/>
      </c>
    </row>
    <row r="98">
      <c r="A98" s="2" t="n">
        <v>46125</v>
      </c>
      <c r="B98" s="3" t="inlineStr">
        <is>
          <t>INV-2604-0097</t>
        </is>
      </c>
      <c r="C98" s="3" t="inlineStr">
        <is>
          <t>Gupta General Store</t>
        </is>
      </c>
      <c r="D98" s="3" t="inlineStr">
        <is>
          <t>Detergent 1kg</t>
        </is>
      </c>
      <c r="E98" s="3" t="inlineStr">
        <is>
          <t>Household</t>
        </is>
      </c>
      <c r="F98" s="4" t="n">
        <v>22</v>
      </c>
      <c r="G98" s="5" t="n">
        <v>127.84</v>
      </c>
      <c r="H98" s="5">
        <f>F98*G98</f>
        <v/>
      </c>
      <c r="I98" s="5">
        <f>F98*VLOOKUP(D98,Products!$B$2:$E$13,3,FALSE)</f>
        <v/>
      </c>
    </row>
    <row r="99">
      <c r="A99" s="2" t="n">
        <v>46125</v>
      </c>
      <c r="B99" s="3" t="inlineStr">
        <is>
          <t>INV-2604-0098</t>
        </is>
      </c>
      <c r="C99" s="3" t="inlineStr">
        <is>
          <t>Khan Mart</t>
        </is>
      </c>
      <c r="D99" s="3" t="inlineStr">
        <is>
          <t>Biscuits 400g</t>
        </is>
      </c>
      <c r="E99" s="3" t="inlineStr">
        <is>
          <t>Snacks</t>
        </is>
      </c>
      <c r="F99" s="4" t="n">
        <v>12</v>
      </c>
      <c r="G99" s="5" t="n">
        <v>40.68</v>
      </c>
      <c r="H99" s="5">
        <f>F99*G99</f>
        <v/>
      </c>
      <c r="I99" s="5">
        <f>F99*VLOOKUP(D99,Products!$B$2:$E$13,3,FALSE)</f>
        <v/>
      </c>
    </row>
    <row r="100">
      <c r="A100" s="2" t="n">
        <v>46125</v>
      </c>
      <c r="B100" s="3" t="inlineStr">
        <is>
          <t>INV-2604-0099</t>
        </is>
      </c>
      <c r="C100" s="3" t="inlineStr">
        <is>
          <t>Kumari Kirana</t>
        </is>
      </c>
      <c r="D100" s="3" t="inlineStr">
        <is>
          <t>Biscuits 400g</t>
        </is>
      </c>
      <c r="E100" s="3" t="inlineStr">
        <is>
          <t>Snacks</t>
        </is>
      </c>
      <c r="F100" s="4" t="n">
        <v>54</v>
      </c>
      <c r="G100" s="5" t="n">
        <v>40.33</v>
      </c>
      <c r="H100" s="5">
        <f>F100*G100</f>
        <v/>
      </c>
      <c r="I100" s="5">
        <f>F100*VLOOKUP(D100,Products!$B$2:$E$13,3,FALSE)</f>
        <v/>
      </c>
    </row>
    <row r="101">
      <c r="A101" s="2" t="n">
        <v>46125</v>
      </c>
      <c r="B101" s="3" t="inlineStr">
        <is>
          <t>INV-2604-0100</t>
        </is>
      </c>
      <c r="C101" s="3" t="inlineStr">
        <is>
          <t>Tiwari General</t>
        </is>
      </c>
      <c r="D101" s="3" t="inlineStr">
        <is>
          <t>Dish Soap 500ml</t>
        </is>
      </c>
      <c r="E101" s="3" t="inlineStr">
        <is>
          <t>Household</t>
        </is>
      </c>
      <c r="F101" s="4" t="n">
        <v>17</v>
      </c>
      <c r="G101" s="5" t="n">
        <v>102.87</v>
      </c>
      <c r="H101" s="5">
        <f>F101*G101</f>
        <v/>
      </c>
      <c r="I101" s="5">
        <f>F101*VLOOKUP(D101,Products!$B$2:$E$13,3,FALSE)</f>
        <v/>
      </c>
    </row>
    <row r="102">
      <c r="A102" s="2" t="n">
        <v>46125</v>
      </c>
      <c r="B102" s="3" t="inlineStr">
        <is>
          <t>INV-2604-0101</t>
        </is>
      </c>
      <c r="C102" s="3" t="inlineStr">
        <is>
          <t>Kumari Kirana</t>
        </is>
      </c>
      <c r="D102" s="3" t="inlineStr">
        <is>
          <t>Curd Cup 400g</t>
        </is>
      </c>
      <c r="E102" s="3" t="inlineStr">
        <is>
          <t>Dairy</t>
        </is>
      </c>
      <c r="F102" s="4" t="n">
        <v>48</v>
      </c>
      <c r="G102" s="5" t="n">
        <v>44.93</v>
      </c>
      <c r="H102" s="5">
        <f>F102*G102</f>
        <v/>
      </c>
      <c r="I102" s="5">
        <f>F102*VLOOKUP(D102,Products!$B$2:$E$13,3,FALSE)</f>
        <v/>
      </c>
    </row>
    <row r="103">
      <c r="A103" s="2" t="n">
        <v>46125</v>
      </c>
      <c r="B103" s="3" t="inlineStr">
        <is>
          <t>INV-2604-0102</t>
        </is>
      </c>
      <c r="C103" s="3" t="inlineStr">
        <is>
          <t>Mehta Retail</t>
        </is>
      </c>
      <c r="D103" s="3" t="inlineStr">
        <is>
          <t>Cola 750ml</t>
        </is>
      </c>
      <c r="E103" s="3" t="inlineStr">
        <is>
          <t>Beverages</t>
        </is>
      </c>
      <c r="F103" s="4" t="n">
        <v>47</v>
      </c>
      <c r="G103" s="5" t="n">
        <v>43.83</v>
      </c>
      <c r="H103" s="5">
        <f>F103*G103</f>
        <v/>
      </c>
      <c r="I103" s="5">
        <f>F103*VLOOKUP(D103,Products!$B$2:$E$13,3,FALSE)</f>
        <v/>
      </c>
    </row>
    <row r="104">
      <c r="A104" s="2" t="n">
        <v>46125</v>
      </c>
      <c r="B104" s="3" t="inlineStr">
        <is>
          <t>INV-2604-0103</t>
        </is>
      </c>
      <c r="C104" s="3" t="inlineStr">
        <is>
          <t>Gupta General Store</t>
        </is>
      </c>
      <c r="D104" s="3" t="inlineStr">
        <is>
          <t>Potato Chips 150g</t>
        </is>
      </c>
      <c r="E104" s="3" t="inlineStr">
        <is>
          <t>Snacks</t>
        </is>
      </c>
      <c r="F104" s="4" t="n">
        <v>10</v>
      </c>
      <c r="G104" s="5" t="n">
        <v>50.92</v>
      </c>
      <c r="H104" s="5">
        <f>F104*G104</f>
        <v/>
      </c>
      <c r="I104" s="5">
        <f>F104*VLOOKUP(D104,Products!$B$2:$E$13,3,FALSE)</f>
        <v/>
      </c>
    </row>
    <row r="105">
      <c r="A105" s="2" t="n">
        <v>46125</v>
      </c>
      <c r="B105" s="3" t="inlineStr">
        <is>
          <t>INV-2604-0104</t>
        </is>
      </c>
      <c r="C105" s="3" t="inlineStr">
        <is>
          <t>Tiwari General</t>
        </is>
      </c>
      <c r="D105" s="3" t="inlineStr">
        <is>
          <t>Potato Chips 150g</t>
        </is>
      </c>
      <c r="E105" s="3" t="inlineStr">
        <is>
          <t>Snacks</t>
        </is>
      </c>
      <c r="F105" s="4" t="n">
        <v>43</v>
      </c>
      <c r="G105" s="5" t="n">
        <v>49.38</v>
      </c>
      <c r="H105" s="5">
        <f>F105*G105</f>
        <v/>
      </c>
      <c r="I105" s="5">
        <f>F105*VLOOKUP(D105,Products!$B$2:$E$13,3,FALSE)</f>
        <v/>
      </c>
    </row>
    <row r="106">
      <c r="A106" s="2" t="n">
        <v>46125</v>
      </c>
      <c r="B106" s="3" t="inlineStr">
        <is>
          <t>INV-2604-0105</t>
        </is>
      </c>
      <c r="C106" s="3" t="inlineStr">
        <is>
          <t>Azad Stores</t>
        </is>
      </c>
      <c r="D106" s="3" t="inlineStr">
        <is>
          <t>Curd Cup 400g</t>
        </is>
      </c>
      <c r="E106" s="3" t="inlineStr">
        <is>
          <t>Dairy</t>
        </is>
      </c>
      <c r="F106" s="4" t="n">
        <v>22</v>
      </c>
      <c r="G106" s="5" t="n">
        <v>46.32</v>
      </c>
      <c r="H106" s="5">
        <f>F106*G106</f>
        <v/>
      </c>
      <c r="I106" s="5">
        <f>F106*VLOOKUP(D106,Products!$B$2:$E$13,3,FALSE)</f>
        <v/>
      </c>
    </row>
    <row r="107">
      <c r="A107" s="2" t="n">
        <v>46126</v>
      </c>
      <c r="B107" s="3" t="inlineStr">
        <is>
          <t>INV-2604-0106</t>
        </is>
      </c>
      <c r="C107" s="3" t="inlineStr">
        <is>
          <t>Singh Super Bazaar</t>
        </is>
      </c>
      <c r="D107" s="3" t="inlineStr">
        <is>
          <t>Detergent 1kg</t>
        </is>
      </c>
      <c r="E107" s="3" t="inlineStr">
        <is>
          <t>Household</t>
        </is>
      </c>
      <c r="F107" s="4" t="n">
        <v>56</v>
      </c>
      <c r="G107" s="5" t="n">
        <v>135.64</v>
      </c>
      <c r="H107" s="5">
        <f>F107*G107</f>
        <v/>
      </c>
      <c r="I107" s="5">
        <f>F107*VLOOKUP(D107,Products!$B$2:$E$13,3,FALSE)</f>
        <v/>
      </c>
    </row>
    <row r="108">
      <c r="A108" s="2" t="n">
        <v>46126</v>
      </c>
      <c r="B108" s="3" t="inlineStr">
        <is>
          <t>INV-2604-0107</t>
        </is>
      </c>
      <c r="C108" s="3" t="inlineStr">
        <is>
          <t>Gupta General Store</t>
        </is>
      </c>
      <c r="D108" s="3" t="inlineStr">
        <is>
          <t>Dish Soap 500ml</t>
        </is>
      </c>
      <c r="E108" s="3" t="inlineStr">
        <is>
          <t>Household</t>
        </is>
      </c>
      <c r="F108" s="4" t="n">
        <v>44</v>
      </c>
      <c r="G108" s="5" t="n">
        <v>103.75</v>
      </c>
      <c r="H108" s="5">
        <f>F108*G108</f>
        <v/>
      </c>
      <c r="I108" s="5">
        <f>F108*VLOOKUP(D108,Products!$B$2:$E$13,3,FALSE)</f>
        <v/>
      </c>
    </row>
    <row r="109">
      <c r="A109" s="2" t="n">
        <v>46126</v>
      </c>
      <c r="B109" s="3" t="inlineStr">
        <is>
          <t>INV-2604-0108</t>
        </is>
      </c>
      <c r="C109" s="3" t="inlineStr">
        <is>
          <t>Tiwari General</t>
        </is>
      </c>
      <c r="D109" s="3" t="inlineStr">
        <is>
          <t>Floor Cleaner 1L</t>
        </is>
      </c>
      <c r="E109" s="3" t="inlineStr">
        <is>
          <t>Household</t>
        </is>
      </c>
      <c r="F109" s="4" t="n">
        <v>19</v>
      </c>
      <c r="G109" s="5" t="n">
        <v>115.43</v>
      </c>
      <c r="H109" s="5">
        <f>F109*G109</f>
        <v/>
      </c>
      <c r="I109" s="5">
        <f>F109*VLOOKUP(D109,Products!$B$2:$E$13,3,FALSE)</f>
        <v/>
      </c>
    </row>
    <row r="110">
      <c r="A110" s="2" t="n">
        <v>46126</v>
      </c>
      <c r="B110" s="3" t="inlineStr">
        <is>
          <t>INV-2604-0109</t>
        </is>
      </c>
      <c r="C110" s="3" t="inlineStr">
        <is>
          <t>Mishra Stores</t>
        </is>
      </c>
      <c r="D110" s="3" t="inlineStr">
        <is>
          <t>Cola 750ml</t>
        </is>
      </c>
      <c r="E110" s="3" t="inlineStr">
        <is>
          <t>Beverages</t>
        </is>
      </c>
      <c r="F110" s="4" t="n">
        <v>40</v>
      </c>
      <c r="G110" s="5" t="n">
        <v>46.87</v>
      </c>
      <c r="H110" s="5">
        <f>F110*G110</f>
        <v/>
      </c>
      <c r="I110" s="5">
        <f>F110*VLOOKUP(D110,Products!$B$2:$E$13,3,FALSE)</f>
        <v/>
      </c>
    </row>
    <row r="111">
      <c r="A111" s="2" t="n">
        <v>46126</v>
      </c>
      <c r="B111" s="3" t="inlineStr">
        <is>
          <t>INV-2604-0110</t>
        </is>
      </c>
      <c r="C111" s="3" t="inlineStr">
        <is>
          <t>Raza Brothers</t>
        </is>
      </c>
      <c r="D111" s="3" t="inlineStr">
        <is>
          <t>Curd Cup 400g</t>
        </is>
      </c>
      <c r="E111" s="3" t="inlineStr">
        <is>
          <t>Dairy</t>
        </is>
      </c>
      <c r="F111" s="4" t="n">
        <v>37</v>
      </c>
      <c r="G111" s="5" t="n">
        <v>45.76</v>
      </c>
      <c r="H111" s="5">
        <f>F111*G111</f>
        <v/>
      </c>
      <c r="I111" s="5">
        <f>F111*VLOOKUP(D111,Products!$B$2:$E$13,3,FALSE)</f>
        <v/>
      </c>
    </row>
    <row r="112">
      <c r="A112" s="2" t="n">
        <v>46126</v>
      </c>
      <c r="B112" s="3" t="inlineStr">
        <is>
          <t>INV-2604-0111</t>
        </is>
      </c>
      <c r="C112" s="3" t="inlineStr">
        <is>
          <t>Raza Brothers</t>
        </is>
      </c>
      <c r="D112" s="3" t="inlineStr">
        <is>
          <t>Mango Juice 1L</t>
        </is>
      </c>
      <c r="E112" s="3" t="inlineStr">
        <is>
          <t>Beverages</t>
        </is>
      </c>
      <c r="F112" s="4" t="n">
        <v>57</v>
      </c>
      <c r="G112" s="5" t="n">
        <v>119.23</v>
      </c>
      <c r="H112" s="5">
        <f>F112*G112</f>
        <v/>
      </c>
      <c r="I112" s="5">
        <f>F112*VLOOKUP(D112,Products!$B$2:$E$13,3,FALSE)</f>
        <v/>
      </c>
    </row>
    <row r="113">
      <c r="A113" s="2" t="n">
        <v>46126</v>
      </c>
      <c r="B113" s="3" t="inlineStr">
        <is>
          <t>INV-2604-0112</t>
        </is>
      </c>
      <c r="C113" s="3" t="inlineStr">
        <is>
          <t>Jha Provisions</t>
        </is>
      </c>
      <c r="D113" s="3" t="inlineStr">
        <is>
          <t>Detergent 1kg</t>
        </is>
      </c>
      <c r="E113" s="3" t="inlineStr">
        <is>
          <t>Household</t>
        </is>
      </c>
      <c r="F113" s="4" t="n">
        <v>22</v>
      </c>
      <c r="G113" s="5" t="n">
        <v>129.67</v>
      </c>
      <c r="H113" s="5">
        <f>F113*G113</f>
        <v/>
      </c>
      <c r="I113" s="5">
        <f>F113*VLOOKUP(D113,Products!$B$2:$E$13,3,FALSE)</f>
        <v/>
      </c>
    </row>
    <row r="114">
      <c r="A114" s="2" t="n">
        <v>46127</v>
      </c>
      <c r="B114" s="3" t="inlineStr">
        <is>
          <t>INV-2604-0113</t>
        </is>
      </c>
      <c r="C114" s="3" t="inlineStr">
        <is>
          <t>Singh Super Bazaar</t>
        </is>
      </c>
      <c r="D114" s="3" t="inlineStr">
        <is>
          <t>Instant Noodles 280g</t>
        </is>
      </c>
      <c r="E114" s="3" t="inlineStr">
        <is>
          <t>Snacks</t>
        </is>
      </c>
      <c r="F114" s="4" t="n">
        <v>24</v>
      </c>
      <c r="G114" s="5" t="n">
        <v>55.89</v>
      </c>
      <c r="H114" s="5">
        <f>F114*G114</f>
        <v/>
      </c>
      <c r="I114" s="5">
        <f>F114*VLOOKUP(D114,Products!$B$2:$E$13,3,FALSE)</f>
        <v/>
      </c>
    </row>
    <row r="115">
      <c r="A115" s="2" t="n">
        <v>46127</v>
      </c>
      <c r="B115" s="3" t="inlineStr">
        <is>
          <t>INV-2604-0114</t>
        </is>
      </c>
      <c r="C115" s="3" t="inlineStr">
        <is>
          <t>Ali General Store</t>
        </is>
      </c>
      <c r="D115" s="3" t="inlineStr">
        <is>
          <t>Cola 750ml</t>
        </is>
      </c>
      <c r="E115" s="3" t="inlineStr">
        <is>
          <t>Beverages</t>
        </is>
      </c>
      <c r="F115" s="4" t="n">
        <v>4</v>
      </c>
      <c r="G115" s="5" t="n">
        <v>46.74</v>
      </c>
      <c r="H115" s="5">
        <f>F115*G115</f>
        <v/>
      </c>
      <c r="I115" s="5">
        <f>F115*VLOOKUP(D115,Products!$B$2:$E$13,3,FALSE)</f>
        <v/>
      </c>
    </row>
    <row r="116">
      <c r="A116" s="2" t="n">
        <v>46127</v>
      </c>
      <c r="B116" s="3" t="inlineStr">
        <is>
          <t>INV-2604-0115</t>
        </is>
      </c>
      <c r="C116" s="3" t="inlineStr">
        <is>
          <t>Jha Provisions</t>
        </is>
      </c>
      <c r="D116" s="3" t="inlineStr">
        <is>
          <t>Paneer 200g</t>
        </is>
      </c>
      <c r="E116" s="3" t="inlineStr">
        <is>
          <t>Dairy</t>
        </is>
      </c>
      <c r="F116" s="4" t="n">
        <v>32</v>
      </c>
      <c r="G116" s="5" t="n">
        <v>97.84999999999999</v>
      </c>
      <c r="H116" s="5">
        <f>F116*G116</f>
        <v/>
      </c>
      <c r="I116" s="5">
        <f>F116*VLOOKUP(D116,Products!$B$2:$E$13,3,FALSE)</f>
        <v/>
      </c>
    </row>
    <row r="117">
      <c r="A117" s="2" t="n">
        <v>46127</v>
      </c>
      <c r="B117" s="3" t="inlineStr">
        <is>
          <t>INV-2604-0116</t>
        </is>
      </c>
      <c r="C117" s="3" t="inlineStr">
        <is>
          <t>Azad Stores</t>
        </is>
      </c>
      <c r="D117" s="3" t="inlineStr">
        <is>
          <t>Curd Cup 400g</t>
        </is>
      </c>
      <c r="E117" s="3" t="inlineStr">
        <is>
          <t>Dairy</t>
        </is>
      </c>
      <c r="F117" s="4" t="n">
        <v>7</v>
      </c>
      <c r="G117" s="5" t="n">
        <v>44.66</v>
      </c>
      <c r="H117" s="5">
        <f>F117*G117</f>
        <v/>
      </c>
      <c r="I117" s="5">
        <f>F117*VLOOKUP(D117,Products!$B$2:$E$13,3,FALSE)</f>
        <v/>
      </c>
    </row>
    <row r="118">
      <c r="A118" s="2" t="n">
        <v>46127</v>
      </c>
      <c r="B118" s="3" t="inlineStr">
        <is>
          <t>INV-2604-0117</t>
        </is>
      </c>
      <c r="C118" s="3" t="inlineStr">
        <is>
          <t>Pandey Stores</t>
        </is>
      </c>
      <c r="D118" s="3" t="inlineStr">
        <is>
          <t>Cola 750ml</t>
        </is>
      </c>
      <c r="E118" s="3" t="inlineStr">
        <is>
          <t>Beverages</t>
        </is>
      </c>
      <c r="F118" s="4" t="n">
        <v>19</v>
      </c>
      <c r="G118" s="5" t="n">
        <v>45.3</v>
      </c>
      <c r="H118" s="5">
        <f>F118*G118</f>
        <v/>
      </c>
      <c r="I118" s="5">
        <f>F118*VLOOKUP(D118,Products!$B$2:$E$13,3,FALSE)</f>
        <v/>
      </c>
    </row>
    <row r="119">
      <c r="A119" s="2" t="n">
        <v>46127</v>
      </c>
      <c r="B119" s="3" t="inlineStr">
        <is>
          <t>INV-2604-0118</t>
        </is>
      </c>
      <c r="C119" s="3" t="inlineStr">
        <is>
          <t>Khan Mart</t>
        </is>
      </c>
      <c r="D119" s="3" t="inlineStr">
        <is>
          <t>Mango Juice 1L</t>
        </is>
      </c>
      <c r="E119" s="3" t="inlineStr">
        <is>
          <t>Beverages</t>
        </is>
      </c>
      <c r="F119" s="4" t="n">
        <v>17</v>
      </c>
      <c r="G119" s="5" t="n">
        <v>120.33</v>
      </c>
      <c r="H119" s="5">
        <f>F119*G119</f>
        <v/>
      </c>
      <c r="I119" s="5">
        <f>F119*VLOOKUP(D119,Products!$B$2:$E$13,3,FALSE)</f>
        <v/>
      </c>
    </row>
    <row r="120">
      <c r="A120" s="2" t="n">
        <v>46127</v>
      </c>
      <c r="B120" s="3" t="inlineStr">
        <is>
          <t>INV-2604-0119</t>
        </is>
      </c>
      <c r="C120" s="3" t="inlineStr">
        <is>
          <t>Choudhary Mart</t>
        </is>
      </c>
      <c r="D120" s="3" t="inlineStr">
        <is>
          <t>Detergent 1kg</t>
        </is>
      </c>
      <c r="E120" s="3" t="inlineStr">
        <is>
          <t>Household</t>
        </is>
      </c>
      <c r="F120" s="4" t="n">
        <v>51</v>
      </c>
      <c r="G120" s="5" t="n">
        <v>133.19</v>
      </c>
      <c r="H120" s="5">
        <f>F120*G120</f>
        <v/>
      </c>
      <c r="I120" s="5">
        <f>F120*VLOOKUP(D120,Products!$B$2:$E$13,3,FALSE)</f>
        <v/>
      </c>
    </row>
    <row r="121">
      <c r="A121" s="2" t="n">
        <v>46127</v>
      </c>
      <c r="B121" s="3" t="inlineStr">
        <is>
          <t>INV-2604-0120</t>
        </is>
      </c>
      <c r="C121" s="3" t="inlineStr">
        <is>
          <t>Jha Provisions</t>
        </is>
      </c>
      <c r="D121" s="3" t="inlineStr">
        <is>
          <t>Instant Noodles 280g</t>
        </is>
      </c>
      <c r="E121" s="3" t="inlineStr">
        <is>
          <t>Snacks</t>
        </is>
      </c>
      <c r="F121" s="4" t="n">
        <v>27</v>
      </c>
      <c r="G121" s="5" t="n">
        <v>55.3</v>
      </c>
      <c r="H121" s="5">
        <f>F121*G121</f>
        <v/>
      </c>
      <c r="I121" s="5">
        <f>F121*VLOOKUP(D121,Products!$B$2:$E$13,3,FALSE)</f>
        <v/>
      </c>
    </row>
    <row r="122">
      <c r="A122" s="2" t="n">
        <v>46127</v>
      </c>
      <c r="B122" s="3" t="inlineStr">
        <is>
          <t>INV-2604-0121</t>
        </is>
      </c>
      <c r="C122" s="3" t="inlineStr">
        <is>
          <t>Sharma Provision</t>
        </is>
      </c>
      <c r="D122" s="3" t="inlineStr">
        <is>
          <t>Instant Noodles 280g</t>
        </is>
      </c>
      <c r="E122" s="3" t="inlineStr">
        <is>
          <t>Snacks</t>
        </is>
      </c>
      <c r="F122" s="4" t="n">
        <v>51</v>
      </c>
      <c r="G122" s="5" t="n">
        <v>56.08</v>
      </c>
      <c r="H122" s="5">
        <f>F122*G122</f>
        <v/>
      </c>
      <c r="I122" s="5">
        <f>F122*VLOOKUP(D122,Products!$B$2:$E$13,3,FALSE)</f>
        <v/>
      </c>
    </row>
    <row r="123">
      <c r="A123" s="2" t="n">
        <v>46127</v>
      </c>
      <c r="B123" s="3" t="inlineStr">
        <is>
          <t>INV-2604-0122</t>
        </is>
      </c>
      <c r="C123" s="3" t="inlineStr">
        <is>
          <t>Das &amp; Sons</t>
        </is>
      </c>
      <c r="D123" s="3" t="inlineStr">
        <is>
          <t>Cola 750ml</t>
        </is>
      </c>
      <c r="E123" s="3" t="inlineStr">
        <is>
          <t>Beverages</t>
        </is>
      </c>
      <c r="F123" s="4" t="n">
        <v>16</v>
      </c>
      <c r="G123" s="5" t="n">
        <v>43.9</v>
      </c>
      <c r="H123" s="5">
        <f>F123*G123</f>
        <v/>
      </c>
      <c r="I123" s="5">
        <f>F123*VLOOKUP(D123,Products!$B$2:$E$13,3,FALSE)</f>
        <v/>
      </c>
    </row>
    <row r="124">
      <c r="A124" s="2" t="n">
        <v>46128</v>
      </c>
      <c r="B124" s="3" t="inlineStr">
        <is>
          <t>INV-2604-0123</t>
        </is>
      </c>
      <c r="C124" s="3" t="inlineStr">
        <is>
          <t>Mehta Retail</t>
        </is>
      </c>
      <c r="D124" s="3" t="inlineStr">
        <is>
          <t>Biscuits 400g</t>
        </is>
      </c>
      <c r="E124" s="3" t="inlineStr">
        <is>
          <t>Snacks</t>
        </is>
      </c>
      <c r="F124" s="4" t="n">
        <v>19</v>
      </c>
      <c r="G124" s="5" t="n">
        <v>40.45</v>
      </c>
      <c r="H124" s="5">
        <f>F124*G124</f>
        <v/>
      </c>
      <c r="I124" s="5">
        <f>F124*VLOOKUP(D124,Products!$B$2:$E$13,3,FALSE)</f>
        <v/>
      </c>
    </row>
    <row r="125">
      <c r="A125" s="2" t="n">
        <v>46128</v>
      </c>
      <c r="B125" s="3" t="inlineStr">
        <is>
          <t>INV-2604-0124</t>
        </is>
      </c>
      <c r="C125" s="3" t="inlineStr">
        <is>
          <t>Singh Super Bazaar</t>
        </is>
      </c>
      <c r="D125" s="3" t="inlineStr">
        <is>
          <t>Mango Juice 1L</t>
        </is>
      </c>
      <c r="E125" s="3" t="inlineStr">
        <is>
          <t>Beverages</t>
        </is>
      </c>
      <c r="F125" s="4" t="n">
        <v>11</v>
      </c>
      <c r="G125" s="5" t="n">
        <v>125.1</v>
      </c>
      <c r="H125" s="5">
        <f>F125*G125</f>
        <v/>
      </c>
      <c r="I125" s="5">
        <f>F125*VLOOKUP(D125,Products!$B$2:$E$13,3,FALSE)</f>
        <v/>
      </c>
    </row>
    <row r="126">
      <c r="A126" s="2" t="n">
        <v>46128</v>
      </c>
      <c r="B126" s="3" t="inlineStr">
        <is>
          <t>INV-2604-0125</t>
        </is>
      </c>
      <c r="C126" s="3" t="inlineStr">
        <is>
          <t>Azad Stores</t>
        </is>
      </c>
      <c r="D126" s="3" t="inlineStr">
        <is>
          <t>Detergent 1kg</t>
        </is>
      </c>
      <c r="E126" s="3" t="inlineStr">
        <is>
          <t>Household</t>
        </is>
      </c>
      <c r="F126" s="4" t="n">
        <v>13</v>
      </c>
      <c r="G126" s="5" t="n">
        <v>127.71</v>
      </c>
      <c r="H126" s="5">
        <f>F126*G126</f>
        <v/>
      </c>
      <c r="I126" s="5">
        <f>F126*VLOOKUP(D126,Products!$B$2:$E$13,3,FALSE)</f>
        <v/>
      </c>
    </row>
    <row r="127">
      <c r="A127" s="2" t="n">
        <v>46128</v>
      </c>
      <c r="B127" s="3" t="inlineStr">
        <is>
          <t>INV-2604-0126</t>
        </is>
      </c>
      <c r="C127" s="3" t="inlineStr">
        <is>
          <t>Tiwari General</t>
        </is>
      </c>
      <c r="D127" s="3" t="inlineStr">
        <is>
          <t>Potato Chips 150g</t>
        </is>
      </c>
      <c r="E127" s="3" t="inlineStr">
        <is>
          <t>Snacks</t>
        </is>
      </c>
      <c r="F127" s="4" t="n">
        <v>10</v>
      </c>
      <c r="G127" s="5" t="n">
        <v>49.09</v>
      </c>
      <c r="H127" s="5">
        <f>F127*G127</f>
        <v/>
      </c>
      <c r="I127" s="5">
        <f>F127*VLOOKUP(D127,Products!$B$2:$E$13,3,FALSE)</f>
        <v/>
      </c>
    </row>
    <row r="128">
      <c r="A128" s="2" t="n">
        <v>46128</v>
      </c>
      <c r="B128" s="3" t="inlineStr">
        <is>
          <t>INV-2604-0127</t>
        </is>
      </c>
      <c r="C128" s="3" t="inlineStr">
        <is>
          <t>Azad Stores</t>
        </is>
      </c>
      <c r="D128" s="3" t="inlineStr">
        <is>
          <t>Mango Juice 1L</t>
        </is>
      </c>
      <c r="E128" s="3" t="inlineStr">
        <is>
          <t>Beverages</t>
        </is>
      </c>
      <c r="F128" s="4" t="n">
        <v>63</v>
      </c>
      <c r="G128" s="5" t="n">
        <v>120.81</v>
      </c>
      <c r="H128" s="5">
        <f>F128*G128</f>
        <v/>
      </c>
      <c r="I128" s="5">
        <f>F128*VLOOKUP(D128,Products!$B$2:$E$13,3,FALSE)</f>
        <v/>
      </c>
    </row>
    <row r="129">
      <c r="A129" s="2" t="n">
        <v>46128</v>
      </c>
      <c r="B129" s="3" t="inlineStr">
        <is>
          <t>INV-2604-0128</t>
        </is>
      </c>
      <c r="C129" s="3" t="inlineStr">
        <is>
          <t>Nath Provisions</t>
        </is>
      </c>
      <c r="D129" s="3" t="inlineStr">
        <is>
          <t>Mango Juice 1L</t>
        </is>
      </c>
      <c r="E129" s="3" t="inlineStr">
        <is>
          <t>Beverages</t>
        </is>
      </c>
      <c r="F129" s="4" t="n">
        <v>13</v>
      </c>
      <c r="G129" s="5" t="n">
        <v>120.49</v>
      </c>
      <c r="H129" s="5">
        <f>F129*G129</f>
        <v/>
      </c>
      <c r="I129" s="5">
        <f>F129*VLOOKUP(D129,Products!$B$2:$E$13,3,FALSE)</f>
        <v/>
      </c>
    </row>
    <row r="130">
      <c r="A130" s="2" t="n">
        <v>46128</v>
      </c>
      <c r="B130" s="3" t="inlineStr">
        <is>
          <t>INV-2604-0129</t>
        </is>
      </c>
      <c r="C130" s="3" t="inlineStr">
        <is>
          <t>Ali General Store</t>
        </is>
      </c>
      <c r="D130" s="3" t="inlineStr">
        <is>
          <t>Dish Soap 500ml</t>
        </is>
      </c>
      <c r="E130" s="3" t="inlineStr">
        <is>
          <t>Household</t>
        </is>
      </c>
      <c r="F130" s="4" t="n">
        <v>27</v>
      </c>
      <c r="G130" s="5" t="n">
        <v>97.43000000000001</v>
      </c>
      <c r="H130" s="5">
        <f>F130*G130</f>
        <v/>
      </c>
      <c r="I130" s="5">
        <f>F130*VLOOKUP(D130,Products!$B$2:$E$13,3,FALSE)</f>
        <v/>
      </c>
    </row>
    <row r="131">
      <c r="A131" s="2" t="n">
        <v>46128</v>
      </c>
      <c r="B131" s="3" t="inlineStr">
        <is>
          <t>INV-2604-0130</t>
        </is>
      </c>
      <c r="C131" s="3" t="inlineStr">
        <is>
          <t>Nath Provisions</t>
        </is>
      </c>
      <c r="D131" s="3" t="inlineStr">
        <is>
          <t>Detergent 1kg</t>
        </is>
      </c>
      <c r="E131" s="3" t="inlineStr">
        <is>
          <t>Household</t>
        </is>
      </c>
      <c r="F131" s="4" t="n">
        <v>20</v>
      </c>
      <c r="G131" s="5" t="n">
        <v>130.22</v>
      </c>
      <c r="H131" s="5">
        <f>F131*G131</f>
        <v/>
      </c>
      <c r="I131" s="5">
        <f>F131*VLOOKUP(D131,Products!$B$2:$E$13,3,FALSE)</f>
        <v/>
      </c>
    </row>
    <row r="132">
      <c r="A132" s="2" t="n">
        <v>46129</v>
      </c>
      <c r="B132" s="3" t="inlineStr">
        <is>
          <t>INV-2604-0131</t>
        </is>
      </c>
      <c r="C132" s="3" t="inlineStr">
        <is>
          <t>Mishra Stores</t>
        </is>
      </c>
      <c r="D132" s="3" t="inlineStr">
        <is>
          <t>Instant Noodles 280g</t>
        </is>
      </c>
      <c r="E132" s="3" t="inlineStr">
        <is>
          <t>Snacks</t>
        </is>
      </c>
      <c r="F132" s="4" t="n">
        <v>9</v>
      </c>
      <c r="G132" s="5" t="n">
        <v>54.97</v>
      </c>
      <c r="H132" s="5">
        <f>F132*G132</f>
        <v/>
      </c>
      <c r="I132" s="5">
        <f>F132*VLOOKUP(D132,Products!$B$2:$E$13,3,FALSE)</f>
        <v/>
      </c>
    </row>
    <row r="133">
      <c r="A133" s="2" t="n">
        <v>46129</v>
      </c>
      <c r="B133" s="3" t="inlineStr">
        <is>
          <t>INV-2604-0132</t>
        </is>
      </c>
      <c r="C133" s="3" t="inlineStr">
        <is>
          <t>Kumari Kirana</t>
        </is>
      </c>
      <c r="D133" s="3" t="inlineStr">
        <is>
          <t>Mango Juice 1L</t>
        </is>
      </c>
      <c r="E133" s="3" t="inlineStr">
        <is>
          <t>Beverages</t>
        </is>
      </c>
      <c r="F133" s="4" t="n">
        <v>40</v>
      </c>
      <c r="G133" s="5" t="n">
        <v>121.03</v>
      </c>
      <c r="H133" s="5">
        <f>F133*G133</f>
        <v/>
      </c>
      <c r="I133" s="5">
        <f>F133*VLOOKUP(D133,Products!$B$2:$E$13,3,FALSE)</f>
        <v/>
      </c>
    </row>
    <row r="134">
      <c r="A134" s="2" t="n">
        <v>46129</v>
      </c>
      <c r="B134" s="3" t="inlineStr">
        <is>
          <t>INV-2604-0133</t>
        </is>
      </c>
      <c r="C134" s="3" t="inlineStr">
        <is>
          <t>Rai Daily Mart</t>
        </is>
      </c>
      <c r="D134" s="3" t="inlineStr">
        <is>
          <t>Biscuits 400g</t>
        </is>
      </c>
      <c r="E134" s="3" t="inlineStr">
        <is>
          <t>Snacks</t>
        </is>
      </c>
      <c r="F134" s="4" t="n">
        <v>12</v>
      </c>
      <c r="G134" s="5" t="n">
        <v>41.14</v>
      </c>
      <c r="H134" s="5">
        <f>F134*G134</f>
        <v/>
      </c>
      <c r="I134" s="5">
        <f>F134*VLOOKUP(D134,Products!$B$2:$E$13,3,FALSE)</f>
        <v/>
      </c>
    </row>
    <row r="135">
      <c r="A135" s="2" t="n">
        <v>46129</v>
      </c>
      <c r="B135" s="3" t="inlineStr">
        <is>
          <t>INV-2604-0134</t>
        </is>
      </c>
      <c r="C135" s="3" t="inlineStr">
        <is>
          <t>Singh Super Bazaar</t>
        </is>
      </c>
      <c r="D135" s="3" t="inlineStr">
        <is>
          <t>Cola 750ml</t>
        </is>
      </c>
      <c r="E135" s="3" t="inlineStr">
        <is>
          <t>Beverages</t>
        </is>
      </c>
      <c r="F135" s="4" t="n">
        <v>33</v>
      </c>
      <c r="G135" s="5" t="n">
        <v>46.07</v>
      </c>
      <c r="H135" s="5">
        <f>F135*G135</f>
        <v/>
      </c>
      <c r="I135" s="5">
        <f>F135*VLOOKUP(D135,Products!$B$2:$E$13,3,FALSE)</f>
        <v/>
      </c>
    </row>
    <row r="136">
      <c r="A136" s="2" t="n">
        <v>46129</v>
      </c>
      <c r="B136" s="3" t="inlineStr">
        <is>
          <t>INV-2604-0135</t>
        </is>
      </c>
      <c r="C136" s="3" t="inlineStr">
        <is>
          <t>Khan Mart</t>
        </is>
      </c>
      <c r="D136" s="3" t="inlineStr">
        <is>
          <t>Packaged Water 1L</t>
        </is>
      </c>
      <c r="E136" s="3" t="inlineStr">
        <is>
          <t>Beverages</t>
        </is>
      </c>
      <c r="F136" s="4" t="n">
        <v>4</v>
      </c>
      <c r="G136" s="5" t="n">
        <v>20.7</v>
      </c>
      <c r="H136" s="5">
        <f>F136*G136</f>
        <v/>
      </c>
      <c r="I136" s="5">
        <f>F136*VLOOKUP(D136,Products!$B$2:$E$13,3,FALSE)</f>
        <v/>
      </c>
    </row>
    <row r="137">
      <c r="A137" s="2" t="n">
        <v>46129</v>
      </c>
      <c r="B137" s="3" t="inlineStr">
        <is>
          <t>INV-2604-0136</t>
        </is>
      </c>
      <c r="C137" s="3" t="inlineStr">
        <is>
          <t>Prasad Traders</t>
        </is>
      </c>
      <c r="D137" s="3" t="inlineStr">
        <is>
          <t>Mango Juice 1L</t>
        </is>
      </c>
      <c r="E137" s="3" t="inlineStr">
        <is>
          <t>Beverages</t>
        </is>
      </c>
      <c r="F137" s="4" t="n">
        <v>21</v>
      </c>
      <c r="G137" s="5" t="n">
        <v>117.97</v>
      </c>
      <c r="H137" s="5">
        <f>F137*G137</f>
        <v/>
      </c>
      <c r="I137" s="5">
        <f>F137*VLOOKUP(D137,Products!$B$2:$E$13,3,FALSE)</f>
        <v/>
      </c>
    </row>
    <row r="138">
      <c r="A138" s="2" t="n">
        <v>46129</v>
      </c>
      <c r="B138" s="3" t="inlineStr">
        <is>
          <t>INV-2604-0137</t>
        </is>
      </c>
      <c r="C138" s="3" t="inlineStr">
        <is>
          <t>Rai Daily Mart</t>
        </is>
      </c>
      <c r="D138" s="3" t="inlineStr">
        <is>
          <t>Mango Juice 1L</t>
        </is>
      </c>
      <c r="E138" s="3" t="inlineStr">
        <is>
          <t>Beverages</t>
        </is>
      </c>
      <c r="F138" s="4" t="n">
        <v>31</v>
      </c>
      <c r="G138" s="5" t="n">
        <v>119.92</v>
      </c>
      <c r="H138" s="5">
        <f>F138*G138</f>
        <v/>
      </c>
      <c r="I138" s="5">
        <f>F138*VLOOKUP(D138,Products!$B$2:$E$13,3,FALSE)</f>
        <v/>
      </c>
    </row>
    <row r="139">
      <c r="A139" s="2" t="n">
        <v>46129</v>
      </c>
      <c r="B139" s="3" t="inlineStr">
        <is>
          <t>INV-2604-0138</t>
        </is>
      </c>
      <c r="C139" s="3" t="inlineStr">
        <is>
          <t>Das &amp; Sons</t>
        </is>
      </c>
      <c r="D139" s="3" t="inlineStr">
        <is>
          <t>Instant Noodles 280g</t>
        </is>
      </c>
      <c r="E139" s="3" t="inlineStr">
        <is>
          <t>Snacks</t>
        </is>
      </c>
      <c r="F139" s="4" t="n">
        <v>34</v>
      </c>
      <c r="G139" s="5" t="n">
        <v>54.68</v>
      </c>
      <c r="H139" s="5">
        <f>F139*G139</f>
        <v/>
      </c>
      <c r="I139" s="5">
        <f>F139*VLOOKUP(D139,Products!$B$2:$E$13,3,FALSE)</f>
        <v/>
      </c>
    </row>
    <row r="140">
      <c r="A140" s="2" t="n">
        <v>46129</v>
      </c>
      <c r="B140" s="3" t="inlineStr">
        <is>
          <t>INV-2604-0139</t>
        </is>
      </c>
      <c r="C140" s="3" t="inlineStr">
        <is>
          <t>Tiwari General</t>
        </is>
      </c>
      <c r="D140" s="3" t="inlineStr">
        <is>
          <t>Potato Chips 150g</t>
        </is>
      </c>
      <c r="E140" s="3" t="inlineStr">
        <is>
          <t>Snacks</t>
        </is>
      </c>
      <c r="F140" s="4" t="n">
        <v>64</v>
      </c>
      <c r="G140" s="5" t="n">
        <v>49.96</v>
      </c>
      <c r="H140" s="5">
        <f>F140*G140</f>
        <v/>
      </c>
      <c r="I140" s="5">
        <f>F140*VLOOKUP(D140,Products!$B$2:$E$13,3,FALSE)</f>
        <v/>
      </c>
    </row>
    <row r="141">
      <c r="A141" s="2" t="n">
        <v>46130</v>
      </c>
      <c r="B141" s="3" t="inlineStr">
        <is>
          <t>INV-2604-0140</t>
        </is>
      </c>
      <c r="C141" s="3" t="inlineStr">
        <is>
          <t>Azad Stores</t>
        </is>
      </c>
      <c r="D141" s="3" t="inlineStr">
        <is>
          <t>Paneer 200g</t>
        </is>
      </c>
      <c r="E141" s="3" t="inlineStr">
        <is>
          <t>Dairy</t>
        </is>
      </c>
      <c r="F141" s="4" t="n">
        <v>60</v>
      </c>
      <c r="G141" s="5" t="n">
        <v>93.91</v>
      </c>
      <c r="H141" s="5">
        <f>F141*G141</f>
        <v/>
      </c>
      <c r="I141" s="5">
        <f>F141*VLOOKUP(D141,Products!$B$2:$E$13,3,FALSE)</f>
        <v/>
      </c>
    </row>
    <row r="142">
      <c r="A142" s="2" t="n">
        <v>46130</v>
      </c>
      <c r="B142" s="3" t="inlineStr">
        <is>
          <t>INV-2604-0141</t>
        </is>
      </c>
      <c r="C142" s="3" t="inlineStr">
        <is>
          <t>Gupta General Store</t>
        </is>
      </c>
      <c r="D142" s="3" t="inlineStr">
        <is>
          <t>Packaged Water 1L</t>
        </is>
      </c>
      <c r="E142" s="3" t="inlineStr">
        <is>
          <t>Beverages</t>
        </is>
      </c>
      <c r="F142" s="4" t="n">
        <v>57</v>
      </c>
      <c r="G142" s="5" t="n">
        <v>20.85</v>
      </c>
      <c r="H142" s="5">
        <f>F142*G142</f>
        <v/>
      </c>
      <c r="I142" s="5">
        <f>F142*VLOOKUP(D142,Products!$B$2:$E$13,3,FALSE)</f>
        <v/>
      </c>
    </row>
    <row r="143">
      <c r="A143" s="2" t="n">
        <v>46130</v>
      </c>
      <c r="B143" s="3" t="inlineStr">
        <is>
          <t>INV-2604-0142</t>
        </is>
      </c>
      <c r="C143" s="3" t="inlineStr">
        <is>
          <t>Verma Retail</t>
        </is>
      </c>
      <c r="D143" s="3" t="inlineStr">
        <is>
          <t>Instant Noodles 280g</t>
        </is>
      </c>
      <c r="E143" s="3" t="inlineStr">
        <is>
          <t>Snacks</t>
        </is>
      </c>
      <c r="F143" s="4" t="n">
        <v>31</v>
      </c>
      <c r="G143" s="5" t="n">
        <v>55.39</v>
      </c>
      <c r="H143" s="5">
        <f>F143*G143</f>
        <v/>
      </c>
      <c r="I143" s="5">
        <f>F143*VLOOKUP(D143,Products!$B$2:$E$13,3,FALSE)</f>
        <v/>
      </c>
    </row>
    <row r="144">
      <c r="A144" s="2" t="n">
        <v>46130</v>
      </c>
      <c r="B144" s="3" t="inlineStr">
        <is>
          <t>INV-2604-0143</t>
        </is>
      </c>
      <c r="C144" s="3" t="inlineStr">
        <is>
          <t>Sahu Traders</t>
        </is>
      </c>
      <c r="D144" s="3" t="inlineStr">
        <is>
          <t>Packaged Water 1L</t>
        </is>
      </c>
      <c r="E144" s="3" t="inlineStr">
        <is>
          <t>Beverages</t>
        </is>
      </c>
      <c r="F144" s="4" t="n">
        <v>48</v>
      </c>
      <c r="G144" s="5" t="n">
        <v>20.63</v>
      </c>
      <c r="H144" s="5">
        <f>F144*G144</f>
        <v/>
      </c>
      <c r="I144" s="5">
        <f>F144*VLOOKUP(D144,Products!$B$2:$E$13,3,FALSE)</f>
        <v/>
      </c>
    </row>
    <row r="145">
      <c r="A145" s="2" t="n">
        <v>46130</v>
      </c>
      <c r="B145" s="3" t="inlineStr">
        <is>
          <t>INV-2604-0144</t>
        </is>
      </c>
      <c r="C145" s="3" t="inlineStr">
        <is>
          <t>Rai Daily Mart</t>
        </is>
      </c>
      <c r="D145" s="3" t="inlineStr">
        <is>
          <t>Toned Milk 1L</t>
        </is>
      </c>
      <c r="E145" s="3" t="inlineStr">
        <is>
          <t>Dairy</t>
        </is>
      </c>
      <c r="F145" s="4" t="n">
        <v>53</v>
      </c>
      <c r="G145" s="5" t="n">
        <v>66.26000000000001</v>
      </c>
      <c r="H145" s="5">
        <f>F145*G145</f>
        <v/>
      </c>
      <c r="I145" s="5">
        <f>F145*VLOOKUP(D145,Products!$B$2:$E$13,3,FALSE)</f>
        <v/>
      </c>
    </row>
    <row r="146">
      <c r="A146" s="2" t="n">
        <v>46130</v>
      </c>
      <c r="B146" s="3" t="inlineStr">
        <is>
          <t>INV-2604-0145</t>
        </is>
      </c>
      <c r="C146" s="3" t="inlineStr">
        <is>
          <t>Ali General Store</t>
        </is>
      </c>
      <c r="D146" s="3" t="inlineStr">
        <is>
          <t>Mango Juice 1L</t>
        </is>
      </c>
      <c r="E146" s="3" t="inlineStr">
        <is>
          <t>Beverages</t>
        </is>
      </c>
      <c r="F146" s="4" t="n">
        <v>18</v>
      </c>
      <c r="G146" s="5" t="n">
        <v>119.01</v>
      </c>
      <c r="H146" s="5">
        <f>F146*G146</f>
        <v/>
      </c>
      <c r="I146" s="5">
        <f>F146*VLOOKUP(D146,Products!$B$2:$E$13,3,FALSE)</f>
        <v/>
      </c>
    </row>
    <row r="147">
      <c r="A147" s="2" t="n">
        <v>46130</v>
      </c>
      <c r="B147" s="3" t="inlineStr">
        <is>
          <t>INV-2604-0146</t>
        </is>
      </c>
      <c r="C147" s="3" t="inlineStr">
        <is>
          <t>Khan Mart</t>
        </is>
      </c>
      <c r="D147" s="3" t="inlineStr">
        <is>
          <t>Potato Chips 150g</t>
        </is>
      </c>
      <c r="E147" s="3" t="inlineStr">
        <is>
          <t>Snacks</t>
        </is>
      </c>
      <c r="F147" s="4" t="n">
        <v>38</v>
      </c>
      <c r="G147" s="5" t="n">
        <v>51.37</v>
      </c>
      <c r="H147" s="5">
        <f>F147*G147</f>
        <v/>
      </c>
      <c r="I147" s="5">
        <f>F147*VLOOKUP(D147,Products!$B$2:$E$13,3,FALSE)</f>
        <v/>
      </c>
    </row>
    <row r="148">
      <c r="A148" s="2" t="n">
        <v>46131</v>
      </c>
      <c r="B148" s="3" t="inlineStr">
        <is>
          <t>INV-2604-0147</t>
        </is>
      </c>
      <c r="C148" s="3" t="inlineStr">
        <is>
          <t>Kumari Kirana</t>
        </is>
      </c>
      <c r="D148" s="3" t="inlineStr">
        <is>
          <t>Toned Milk 1L</t>
        </is>
      </c>
      <c r="E148" s="3" t="inlineStr">
        <is>
          <t>Dairy</t>
        </is>
      </c>
      <c r="F148" s="4" t="n">
        <v>28</v>
      </c>
      <c r="G148" s="5" t="n">
        <v>69.19</v>
      </c>
      <c r="H148" s="5">
        <f>F148*G148</f>
        <v/>
      </c>
      <c r="I148" s="5">
        <f>F148*VLOOKUP(D148,Products!$B$2:$E$13,3,FALSE)</f>
        <v/>
      </c>
    </row>
    <row r="149">
      <c r="A149" s="2" t="n">
        <v>46131</v>
      </c>
      <c r="B149" s="3" t="inlineStr">
        <is>
          <t>INV-2604-0148</t>
        </is>
      </c>
      <c r="C149" s="3" t="inlineStr">
        <is>
          <t>Azad Stores</t>
        </is>
      </c>
      <c r="D149" s="3" t="inlineStr">
        <is>
          <t>Instant Noodles 280g</t>
        </is>
      </c>
      <c r="E149" s="3" t="inlineStr">
        <is>
          <t>Snacks</t>
        </is>
      </c>
      <c r="F149" s="4" t="n">
        <v>27</v>
      </c>
      <c r="G149" s="5" t="n">
        <v>55.82</v>
      </c>
      <c r="H149" s="5">
        <f>F149*G149</f>
        <v/>
      </c>
      <c r="I149" s="5">
        <f>F149*VLOOKUP(D149,Products!$B$2:$E$13,3,FALSE)</f>
        <v/>
      </c>
    </row>
    <row r="150">
      <c r="A150" s="2" t="n">
        <v>46131</v>
      </c>
      <c r="B150" s="3" t="inlineStr">
        <is>
          <t>INV-2604-0149</t>
        </is>
      </c>
      <c r="C150" s="3" t="inlineStr">
        <is>
          <t>Mehta Retail</t>
        </is>
      </c>
      <c r="D150" s="3" t="inlineStr">
        <is>
          <t>Curd Cup 400g</t>
        </is>
      </c>
      <c r="E150" s="3" t="inlineStr">
        <is>
          <t>Dairy</t>
        </is>
      </c>
      <c r="F150" s="4" t="n">
        <v>85</v>
      </c>
      <c r="G150" s="5" t="n">
        <v>45.49</v>
      </c>
      <c r="H150" s="5">
        <f>F150*G150</f>
        <v/>
      </c>
      <c r="I150" s="5">
        <f>F150*VLOOKUP(D150,Products!$B$2:$E$13,3,FALSE)</f>
        <v/>
      </c>
    </row>
    <row r="151">
      <c r="A151" s="2" t="n">
        <v>46131</v>
      </c>
      <c r="B151" s="3" t="inlineStr">
        <is>
          <t>INV-2604-0150</t>
        </is>
      </c>
      <c r="C151" s="3" t="inlineStr">
        <is>
          <t>Das &amp; Sons</t>
        </is>
      </c>
      <c r="D151" s="3" t="inlineStr">
        <is>
          <t>Packaged Water 1L</t>
        </is>
      </c>
      <c r="E151" s="3" t="inlineStr">
        <is>
          <t>Beverages</t>
        </is>
      </c>
      <c r="F151" s="4" t="n">
        <v>63</v>
      </c>
      <c r="G151" s="5" t="n">
        <v>20.29</v>
      </c>
      <c r="H151" s="5">
        <f>F151*G151</f>
        <v/>
      </c>
      <c r="I151" s="5">
        <f>F151*VLOOKUP(D151,Products!$B$2:$E$13,3,FALSE)</f>
        <v/>
      </c>
    </row>
    <row r="152">
      <c r="A152" s="2" t="n">
        <v>46131</v>
      </c>
      <c r="B152" s="3" t="inlineStr">
        <is>
          <t>INV-2604-0151</t>
        </is>
      </c>
      <c r="C152" s="3" t="inlineStr">
        <is>
          <t>Singh Super Bazaar</t>
        </is>
      </c>
      <c r="D152" s="3" t="inlineStr">
        <is>
          <t>Potato Chips 150g</t>
        </is>
      </c>
      <c r="E152" s="3" t="inlineStr">
        <is>
          <t>Snacks</t>
        </is>
      </c>
      <c r="F152" s="4" t="n">
        <v>57</v>
      </c>
      <c r="G152" s="5" t="n">
        <v>50.53</v>
      </c>
      <c r="H152" s="5">
        <f>F152*G152</f>
        <v/>
      </c>
      <c r="I152" s="5">
        <f>F152*VLOOKUP(D152,Products!$B$2:$E$13,3,FALSE)</f>
        <v/>
      </c>
    </row>
    <row r="153">
      <c r="A153" s="2" t="n">
        <v>46131</v>
      </c>
      <c r="B153" s="3" t="inlineStr">
        <is>
          <t>INV-2604-0152</t>
        </is>
      </c>
      <c r="C153" s="3" t="inlineStr">
        <is>
          <t>Singh Super Bazaar</t>
        </is>
      </c>
      <c r="D153" s="3" t="inlineStr">
        <is>
          <t>Instant Noodles 280g</t>
        </is>
      </c>
      <c r="E153" s="3" t="inlineStr">
        <is>
          <t>Snacks</t>
        </is>
      </c>
      <c r="F153" s="4" t="n">
        <v>52</v>
      </c>
      <c r="G153" s="5" t="n">
        <v>57.15</v>
      </c>
      <c r="H153" s="5">
        <f>F153*G153</f>
        <v/>
      </c>
      <c r="I153" s="5">
        <f>F153*VLOOKUP(D153,Products!$B$2:$E$13,3,FALSE)</f>
        <v/>
      </c>
    </row>
    <row r="154">
      <c r="A154" s="2" t="n">
        <v>46131</v>
      </c>
      <c r="B154" s="3" t="inlineStr">
        <is>
          <t>INV-2604-0153</t>
        </is>
      </c>
      <c r="C154" s="3" t="inlineStr">
        <is>
          <t>Nath Provisions</t>
        </is>
      </c>
      <c r="D154" s="3" t="inlineStr">
        <is>
          <t>Floor Cleaner 1L</t>
        </is>
      </c>
      <c r="E154" s="3" t="inlineStr">
        <is>
          <t>Household</t>
        </is>
      </c>
      <c r="F154" s="4" t="n">
        <v>99</v>
      </c>
      <c r="G154" s="5" t="n">
        <v>109.97</v>
      </c>
      <c r="H154" s="5">
        <f>F154*G154</f>
        <v/>
      </c>
      <c r="I154" s="5">
        <f>F154*VLOOKUP(D154,Products!$B$2:$E$13,3,FALSE)</f>
        <v/>
      </c>
    </row>
    <row r="155">
      <c r="A155" s="2" t="n">
        <v>46131</v>
      </c>
      <c r="B155" s="3" t="inlineStr">
        <is>
          <t>INV-2604-0154</t>
        </is>
      </c>
      <c r="C155" s="3" t="inlineStr">
        <is>
          <t>Verma Retail</t>
        </is>
      </c>
      <c r="D155" s="3" t="inlineStr">
        <is>
          <t>Biscuits 400g</t>
        </is>
      </c>
      <c r="E155" s="3" t="inlineStr">
        <is>
          <t>Snacks</t>
        </is>
      </c>
      <c r="F155" s="4" t="n">
        <v>12</v>
      </c>
      <c r="G155" s="5" t="n">
        <v>41.36</v>
      </c>
      <c r="H155" s="5">
        <f>F155*G155</f>
        <v/>
      </c>
      <c r="I155" s="5">
        <f>F155*VLOOKUP(D155,Products!$B$2:$E$13,3,FALSE)</f>
        <v/>
      </c>
    </row>
    <row r="156">
      <c r="A156" s="2" t="n">
        <v>46131</v>
      </c>
      <c r="B156" s="3" t="inlineStr">
        <is>
          <t>INV-2604-0155</t>
        </is>
      </c>
      <c r="C156" s="3" t="inlineStr">
        <is>
          <t>Sharma Provision</t>
        </is>
      </c>
      <c r="D156" s="3" t="inlineStr">
        <is>
          <t>Toned Milk 1L</t>
        </is>
      </c>
      <c r="E156" s="3" t="inlineStr">
        <is>
          <t>Dairy</t>
        </is>
      </c>
      <c r="F156" s="4" t="n">
        <v>64</v>
      </c>
      <c r="G156" s="5" t="n">
        <v>64.87</v>
      </c>
      <c r="H156" s="5">
        <f>F156*G156</f>
        <v/>
      </c>
      <c r="I156" s="5">
        <f>F156*VLOOKUP(D156,Products!$B$2:$E$13,3,FALSE)</f>
        <v/>
      </c>
    </row>
    <row r="157">
      <c r="A157" s="2" t="n">
        <v>46131</v>
      </c>
      <c r="B157" s="3" t="inlineStr">
        <is>
          <t>INV-2604-0156</t>
        </is>
      </c>
      <c r="C157" s="3" t="inlineStr">
        <is>
          <t>Rai Daily Mart</t>
        </is>
      </c>
      <c r="D157" s="3" t="inlineStr">
        <is>
          <t>Toned Milk 1L</t>
        </is>
      </c>
      <c r="E157" s="3" t="inlineStr">
        <is>
          <t>Dairy</t>
        </is>
      </c>
      <c r="F157" s="4" t="n">
        <v>97</v>
      </c>
      <c r="G157" s="5" t="n">
        <v>66.79000000000001</v>
      </c>
      <c r="H157" s="5">
        <f>F157*G157</f>
        <v/>
      </c>
      <c r="I157" s="5">
        <f>F157*VLOOKUP(D157,Products!$B$2:$E$13,3,FALSE)</f>
        <v/>
      </c>
    </row>
    <row r="158">
      <c r="A158" s="2" t="n">
        <v>46132</v>
      </c>
      <c r="B158" s="3" t="inlineStr">
        <is>
          <t>INV-2604-0157</t>
        </is>
      </c>
      <c r="C158" s="3" t="inlineStr">
        <is>
          <t>Azad Stores</t>
        </is>
      </c>
      <c r="D158" s="3" t="inlineStr">
        <is>
          <t>Cola 750ml</t>
        </is>
      </c>
      <c r="E158" s="3" t="inlineStr">
        <is>
          <t>Beverages</t>
        </is>
      </c>
      <c r="F158" s="4" t="n">
        <v>41</v>
      </c>
      <c r="G158" s="5" t="n">
        <v>43.67</v>
      </c>
      <c r="H158" s="5">
        <f>F158*G158</f>
        <v/>
      </c>
      <c r="I158" s="5">
        <f>F158*VLOOKUP(D158,Products!$B$2:$E$13,3,FALSE)</f>
        <v/>
      </c>
    </row>
    <row r="159">
      <c r="A159" s="2" t="n">
        <v>46132</v>
      </c>
      <c r="B159" s="3" t="inlineStr">
        <is>
          <t>INV-2604-0158</t>
        </is>
      </c>
      <c r="C159" s="3" t="inlineStr">
        <is>
          <t>Raza Brothers</t>
        </is>
      </c>
      <c r="D159" s="3" t="inlineStr">
        <is>
          <t>Mango Juice 1L</t>
        </is>
      </c>
      <c r="E159" s="3" t="inlineStr">
        <is>
          <t>Beverages</t>
        </is>
      </c>
      <c r="F159" s="4" t="n">
        <v>37</v>
      </c>
      <c r="G159" s="5" t="n">
        <v>121.64</v>
      </c>
      <c r="H159" s="5">
        <f>F159*G159</f>
        <v/>
      </c>
      <c r="I159" s="5">
        <f>F159*VLOOKUP(D159,Products!$B$2:$E$13,3,FALSE)</f>
        <v/>
      </c>
    </row>
    <row r="160">
      <c r="A160" s="2" t="n">
        <v>46132</v>
      </c>
      <c r="B160" s="3" t="inlineStr">
        <is>
          <t>INV-2604-0159</t>
        </is>
      </c>
      <c r="C160" s="3" t="inlineStr">
        <is>
          <t>Azad Stores</t>
        </is>
      </c>
      <c r="D160" s="3" t="inlineStr">
        <is>
          <t>Dish Soap 500ml</t>
        </is>
      </c>
      <c r="E160" s="3" t="inlineStr">
        <is>
          <t>Household</t>
        </is>
      </c>
      <c r="F160" s="4" t="n">
        <v>44</v>
      </c>
      <c r="G160" s="5" t="n">
        <v>99.8</v>
      </c>
      <c r="H160" s="5">
        <f>F160*G160</f>
        <v/>
      </c>
      <c r="I160" s="5">
        <f>F160*VLOOKUP(D160,Products!$B$2:$E$13,3,FALSE)</f>
        <v/>
      </c>
    </row>
    <row r="161">
      <c r="A161" s="2" t="n">
        <v>46132</v>
      </c>
      <c r="B161" s="3" t="inlineStr">
        <is>
          <t>INV-2604-0160</t>
        </is>
      </c>
      <c r="C161" s="3" t="inlineStr">
        <is>
          <t>Bhatt General Store</t>
        </is>
      </c>
      <c r="D161" s="3" t="inlineStr">
        <is>
          <t>Detergent 1kg</t>
        </is>
      </c>
      <c r="E161" s="3" t="inlineStr">
        <is>
          <t>Household</t>
        </is>
      </c>
      <c r="F161" s="4" t="n">
        <v>61</v>
      </c>
      <c r="G161" s="5" t="n">
        <v>126.45</v>
      </c>
      <c r="H161" s="5">
        <f>F161*G161</f>
        <v/>
      </c>
      <c r="I161" s="5">
        <f>F161*VLOOKUP(D161,Products!$B$2:$E$13,3,FALSE)</f>
        <v/>
      </c>
    </row>
    <row r="162">
      <c r="A162" s="2" t="n">
        <v>46132</v>
      </c>
      <c r="B162" s="3" t="inlineStr">
        <is>
          <t>INV-2604-0161</t>
        </is>
      </c>
      <c r="C162" s="3" t="inlineStr">
        <is>
          <t>Patel Traders</t>
        </is>
      </c>
      <c r="D162" s="3" t="inlineStr">
        <is>
          <t>Curd Cup 400g</t>
        </is>
      </c>
      <c r="E162" s="3" t="inlineStr">
        <is>
          <t>Dairy</t>
        </is>
      </c>
      <c r="F162" s="4" t="n">
        <v>44</v>
      </c>
      <c r="G162" s="5" t="n">
        <v>45.24</v>
      </c>
      <c r="H162" s="5">
        <f>F162*G162</f>
        <v/>
      </c>
      <c r="I162" s="5">
        <f>F162*VLOOKUP(D162,Products!$B$2:$E$13,3,FALSE)</f>
        <v/>
      </c>
    </row>
    <row r="163">
      <c r="A163" s="2" t="n">
        <v>46132</v>
      </c>
      <c r="B163" s="3" t="inlineStr">
        <is>
          <t>INV-2604-0162</t>
        </is>
      </c>
      <c r="C163" s="3" t="inlineStr">
        <is>
          <t>Azad Stores</t>
        </is>
      </c>
      <c r="D163" s="3" t="inlineStr">
        <is>
          <t>Potato Chips 150g</t>
        </is>
      </c>
      <c r="E163" s="3" t="inlineStr">
        <is>
          <t>Snacks</t>
        </is>
      </c>
      <c r="F163" s="4" t="n">
        <v>28</v>
      </c>
      <c r="G163" s="5" t="n">
        <v>52.09</v>
      </c>
      <c r="H163" s="5">
        <f>F163*G163</f>
        <v/>
      </c>
      <c r="I163" s="5">
        <f>F163*VLOOKUP(D163,Products!$B$2:$E$13,3,FALSE)</f>
        <v/>
      </c>
    </row>
    <row r="164">
      <c r="A164" s="2" t="n">
        <v>46132</v>
      </c>
      <c r="B164" s="3" t="inlineStr">
        <is>
          <t>INV-2604-0163</t>
        </is>
      </c>
      <c r="C164" s="3" t="inlineStr">
        <is>
          <t>Ali General Store</t>
        </is>
      </c>
      <c r="D164" s="3" t="inlineStr">
        <is>
          <t>Instant Noodles 280g</t>
        </is>
      </c>
      <c r="E164" s="3" t="inlineStr">
        <is>
          <t>Snacks</t>
        </is>
      </c>
      <c r="F164" s="4" t="n">
        <v>26</v>
      </c>
      <c r="G164" s="5" t="n">
        <v>54.44</v>
      </c>
      <c r="H164" s="5">
        <f>F164*G164</f>
        <v/>
      </c>
      <c r="I164" s="5">
        <f>F164*VLOOKUP(D164,Products!$B$2:$E$13,3,FALSE)</f>
        <v/>
      </c>
    </row>
    <row r="165">
      <c r="A165" s="2" t="n">
        <v>46132</v>
      </c>
      <c r="B165" s="3" t="inlineStr">
        <is>
          <t>INV-2604-0164</t>
        </is>
      </c>
      <c r="C165" s="3" t="inlineStr">
        <is>
          <t>Sahu Traders</t>
        </is>
      </c>
      <c r="D165" s="3" t="inlineStr">
        <is>
          <t>Potato Chips 150g</t>
        </is>
      </c>
      <c r="E165" s="3" t="inlineStr">
        <is>
          <t>Snacks</t>
        </is>
      </c>
      <c r="F165" s="4" t="n">
        <v>28</v>
      </c>
      <c r="G165" s="5" t="n">
        <v>49.48</v>
      </c>
      <c r="H165" s="5">
        <f>F165*G165</f>
        <v/>
      </c>
      <c r="I165" s="5">
        <f>F165*VLOOKUP(D165,Products!$B$2:$E$13,3,FALSE)</f>
        <v/>
      </c>
    </row>
    <row r="166">
      <c r="A166" s="2" t="n">
        <v>46132</v>
      </c>
      <c r="B166" s="3" t="inlineStr">
        <is>
          <t>INV-2604-0165</t>
        </is>
      </c>
      <c r="C166" s="3" t="inlineStr">
        <is>
          <t>Choudhary Mart</t>
        </is>
      </c>
      <c r="D166" s="3" t="inlineStr">
        <is>
          <t>Curd Cup 400g</t>
        </is>
      </c>
      <c r="E166" s="3" t="inlineStr">
        <is>
          <t>Dairy</t>
        </is>
      </c>
      <c r="F166" s="4" t="n">
        <v>32</v>
      </c>
      <c r="G166" s="5" t="n">
        <v>44.04</v>
      </c>
      <c r="H166" s="5">
        <f>F166*G166</f>
        <v/>
      </c>
      <c r="I166" s="5">
        <f>F166*VLOOKUP(D166,Products!$B$2:$E$13,3,FALSE)</f>
        <v/>
      </c>
    </row>
    <row r="167">
      <c r="A167" s="2" t="n">
        <v>46132</v>
      </c>
      <c r="B167" s="3" t="inlineStr">
        <is>
          <t>INV-2604-0166</t>
        </is>
      </c>
      <c r="C167" s="3" t="inlineStr">
        <is>
          <t>Verma Retail</t>
        </is>
      </c>
      <c r="D167" s="3" t="inlineStr">
        <is>
          <t>Cola 750ml</t>
        </is>
      </c>
      <c r="E167" s="3" t="inlineStr">
        <is>
          <t>Beverages</t>
        </is>
      </c>
      <c r="F167" s="4" t="n">
        <v>52</v>
      </c>
      <c r="G167" s="5" t="n">
        <v>44.71</v>
      </c>
      <c r="H167" s="5">
        <f>F167*G167</f>
        <v/>
      </c>
      <c r="I167" s="5">
        <f>F167*VLOOKUP(D167,Products!$B$2:$E$13,3,FALSE)</f>
        <v/>
      </c>
    </row>
    <row r="168">
      <c r="A168" s="2" t="n">
        <v>46133</v>
      </c>
      <c r="B168" s="3" t="inlineStr">
        <is>
          <t>INV-2604-0167</t>
        </is>
      </c>
      <c r="C168" s="3" t="inlineStr">
        <is>
          <t>Azad Stores</t>
        </is>
      </c>
      <c r="D168" s="3" t="inlineStr">
        <is>
          <t>Mango Juice 1L</t>
        </is>
      </c>
      <c r="E168" s="3" t="inlineStr">
        <is>
          <t>Beverages</t>
        </is>
      </c>
      <c r="F168" s="4" t="n">
        <v>20</v>
      </c>
      <c r="G168" s="5" t="n">
        <v>121.51</v>
      </c>
      <c r="H168" s="5">
        <f>F168*G168</f>
        <v/>
      </c>
      <c r="I168" s="5">
        <f>F168*VLOOKUP(D168,Products!$B$2:$E$13,3,FALSE)</f>
        <v/>
      </c>
    </row>
    <row r="169">
      <c r="A169" s="2" t="n">
        <v>46133</v>
      </c>
      <c r="B169" s="3" t="inlineStr">
        <is>
          <t>INV-2604-0168</t>
        </is>
      </c>
      <c r="C169" s="3" t="inlineStr">
        <is>
          <t>Verma Retail</t>
        </is>
      </c>
      <c r="D169" s="3" t="inlineStr">
        <is>
          <t>Curd Cup 400g</t>
        </is>
      </c>
      <c r="E169" s="3" t="inlineStr">
        <is>
          <t>Dairy</t>
        </is>
      </c>
      <c r="F169" s="4" t="n">
        <v>16</v>
      </c>
      <c r="G169" s="5" t="n">
        <v>44.95</v>
      </c>
      <c r="H169" s="5">
        <f>F169*G169</f>
        <v/>
      </c>
      <c r="I169" s="5">
        <f>F169*VLOOKUP(D169,Products!$B$2:$E$13,3,FALSE)</f>
        <v/>
      </c>
    </row>
    <row r="170">
      <c r="A170" s="2" t="n">
        <v>46133</v>
      </c>
      <c r="B170" s="3" t="inlineStr">
        <is>
          <t>INV-2604-0169</t>
        </is>
      </c>
      <c r="C170" s="3" t="inlineStr">
        <is>
          <t>Ali General Store</t>
        </is>
      </c>
      <c r="D170" s="3" t="inlineStr">
        <is>
          <t>Mango Juice 1L</t>
        </is>
      </c>
      <c r="E170" s="3" t="inlineStr">
        <is>
          <t>Beverages</t>
        </is>
      </c>
      <c r="F170" s="4" t="n">
        <v>39</v>
      </c>
      <c r="G170" s="5" t="n">
        <v>120.53</v>
      </c>
      <c r="H170" s="5">
        <f>F170*G170</f>
        <v/>
      </c>
      <c r="I170" s="5">
        <f>F170*VLOOKUP(D170,Products!$B$2:$E$13,3,FALSE)</f>
        <v/>
      </c>
    </row>
    <row r="171">
      <c r="A171" s="2" t="n">
        <v>46133</v>
      </c>
      <c r="B171" s="3" t="inlineStr">
        <is>
          <t>INV-2604-0170</t>
        </is>
      </c>
      <c r="C171" s="3" t="inlineStr">
        <is>
          <t>Sahu Traders</t>
        </is>
      </c>
      <c r="D171" s="3" t="inlineStr">
        <is>
          <t>Paneer 200g</t>
        </is>
      </c>
      <c r="E171" s="3" t="inlineStr">
        <is>
          <t>Dairy</t>
        </is>
      </c>
      <c r="F171" s="4" t="n">
        <v>7</v>
      </c>
      <c r="G171" s="5" t="n">
        <v>97.45999999999999</v>
      </c>
      <c r="H171" s="5">
        <f>F171*G171</f>
        <v/>
      </c>
      <c r="I171" s="5">
        <f>F171*VLOOKUP(D171,Products!$B$2:$E$13,3,FALSE)</f>
        <v/>
      </c>
    </row>
    <row r="172">
      <c r="A172" s="2" t="n">
        <v>46133</v>
      </c>
      <c r="B172" s="3" t="inlineStr">
        <is>
          <t>INV-2604-0171</t>
        </is>
      </c>
      <c r="C172" s="3" t="inlineStr">
        <is>
          <t>Raza Brothers</t>
        </is>
      </c>
      <c r="D172" s="3" t="inlineStr">
        <is>
          <t>Potato Chips 150g</t>
        </is>
      </c>
      <c r="E172" s="3" t="inlineStr">
        <is>
          <t>Snacks</t>
        </is>
      </c>
      <c r="F172" s="4" t="n">
        <v>20</v>
      </c>
      <c r="G172" s="5" t="n">
        <v>52.18</v>
      </c>
      <c r="H172" s="5">
        <f>F172*G172</f>
        <v/>
      </c>
      <c r="I172" s="5">
        <f>F172*VLOOKUP(D172,Products!$B$2:$E$13,3,FALSE)</f>
        <v/>
      </c>
    </row>
    <row r="173">
      <c r="A173" s="2" t="n">
        <v>46133</v>
      </c>
      <c r="B173" s="3" t="inlineStr">
        <is>
          <t>INV-2604-0172</t>
        </is>
      </c>
      <c r="C173" s="3" t="inlineStr">
        <is>
          <t>Raza Brothers</t>
        </is>
      </c>
      <c r="D173" s="3" t="inlineStr">
        <is>
          <t>Dish Soap 500ml</t>
        </is>
      </c>
      <c r="E173" s="3" t="inlineStr">
        <is>
          <t>Household</t>
        </is>
      </c>
      <c r="F173" s="4" t="n">
        <v>35</v>
      </c>
      <c r="G173" s="5" t="n">
        <v>97.59999999999999</v>
      </c>
      <c r="H173" s="5">
        <f>F173*G173</f>
        <v/>
      </c>
      <c r="I173" s="5">
        <f>F173*VLOOKUP(D173,Products!$B$2:$E$13,3,FALSE)</f>
        <v/>
      </c>
    </row>
    <row r="174">
      <c r="A174" s="2" t="n">
        <v>46133</v>
      </c>
      <c r="B174" s="3" t="inlineStr">
        <is>
          <t>INV-2604-0173</t>
        </is>
      </c>
      <c r="C174" s="3" t="inlineStr">
        <is>
          <t>Azad Stores</t>
        </is>
      </c>
      <c r="D174" s="3" t="inlineStr">
        <is>
          <t>Dish Soap 500ml</t>
        </is>
      </c>
      <c r="E174" s="3" t="inlineStr">
        <is>
          <t>Household</t>
        </is>
      </c>
      <c r="F174" s="4" t="n">
        <v>46</v>
      </c>
      <c r="G174" s="5" t="n">
        <v>101.47</v>
      </c>
      <c r="H174" s="5">
        <f>F174*G174</f>
        <v/>
      </c>
      <c r="I174" s="5">
        <f>F174*VLOOKUP(D174,Products!$B$2:$E$13,3,FALSE)</f>
        <v/>
      </c>
    </row>
    <row r="175">
      <c r="A175" s="2" t="n">
        <v>46133</v>
      </c>
      <c r="B175" s="3" t="inlineStr">
        <is>
          <t>INV-2604-0174</t>
        </is>
      </c>
      <c r="C175" s="3" t="inlineStr">
        <is>
          <t>Prasad Traders</t>
        </is>
      </c>
      <c r="D175" s="3" t="inlineStr">
        <is>
          <t>Toned Milk 1L</t>
        </is>
      </c>
      <c r="E175" s="3" t="inlineStr">
        <is>
          <t>Dairy</t>
        </is>
      </c>
      <c r="F175" s="4" t="n">
        <v>59</v>
      </c>
      <c r="G175" s="5" t="n">
        <v>66.08</v>
      </c>
      <c r="H175" s="5">
        <f>F175*G175</f>
        <v/>
      </c>
      <c r="I175" s="5">
        <f>F175*VLOOKUP(D175,Products!$B$2:$E$13,3,FALSE)</f>
        <v/>
      </c>
    </row>
    <row r="176">
      <c r="A176" s="2" t="n">
        <v>46133</v>
      </c>
      <c r="B176" s="3" t="inlineStr">
        <is>
          <t>INV-2604-0175</t>
        </is>
      </c>
      <c r="C176" s="3" t="inlineStr">
        <is>
          <t>Sinha Super Mart</t>
        </is>
      </c>
      <c r="D176" s="3" t="inlineStr">
        <is>
          <t>Dish Soap 500ml</t>
        </is>
      </c>
      <c r="E176" s="3" t="inlineStr">
        <is>
          <t>Household</t>
        </is>
      </c>
      <c r="F176" s="4" t="n">
        <v>4</v>
      </c>
      <c r="G176" s="5" t="n">
        <v>97.98</v>
      </c>
      <c r="H176" s="5">
        <f>F176*G176</f>
        <v/>
      </c>
      <c r="I176" s="5">
        <f>F176*VLOOKUP(D176,Products!$B$2:$E$13,3,FALSE)</f>
        <v/>
      </c>
    </row>
    <row r="177">
      <c r="A177" s="2" t="n">
        <v>46133</v>
      </c>
      <c r="B177" s="3" t="inlineStr">
        <is>
          <t>INV-2604-0176</t>
        </is>
      </c>
      <c r="C177" s="3" t="inlineStr">
        <is>
          <t>Gupta General Store</t>
        </is>
      </c>
      <c r="D177" s="3" t="inlineStr">
        <is>
          <t>Floor Cleaner 1L</t>
        </is>
      </c>
      <c r="E177" s="3" t="inlineStr">
        <is>
          <t>Household</t>
        </is>
      </c>
      <c r="F177" s="4" t="n">
        <v>38</v>
      </c>
      <c r="G177" s="5" t="n">
        <v>107.77</v>
      </c>
      <c r="H177" s="5">
        <f>F177*G177</f>
        <v/>
      </c>
      <c r="I177" s="5">
        <f>F177*VLOOKUP(D177,Products!$B$2:$E$13,3,FALSE)</f>
        <v/>
      </c>
    </row>
    <row r="178">
      <c r="A178" s="2" t="n">
        <v>46134</v>
      </c>
      <c r="B178" s="3" t="inlineStr">
        <is>
          <t>INV-2604-0177</t>
        </is>
      </c>
      <c r="C178" s="3" t="inlineStr">
        <is>
          <t>Raza Brothers</t>
        </is>
      </c>
      <c r="D178" s="3" t="inlineStr">
        <is>
          <t>Biscuits 400g</t>
        </is>
      </c>
      <c r="E178" s="3" t="inlineStr">
        <is>
          <t>Snacks</t>
        </is>
      </c>
      <c r="F178" s="4" t="n">
        <v>34</v>
      </c>
      <c r="G178" s="5" t="n">
        <v>39.96</v>
      </c>
      <c r="H178" s="5">
        <f>F178*G178</f>
        <v/>
      </c>
      <c r="I178" s="5">
        <f>F178*VLOOKUP(D178,Products!$B$2:$E$13,3,FALSE)</f>
        <v/>
      </c>
    </row>
    <row r="179">
      <c r="A179" s="2" t="n">
        <v>46134</v>
      </c>
      <c r="B179" s="3" t="inlineStr">
        <is>
          <t>INV-2604-0178</t>
        </is>
      </c>
      <c r="C179" s="3" t="inlineStr">
        <is>
          <t>Verma Retail</t>
        </is>
      </c>
      <c r="D179" s="3" t="inlineStr">
        <is>
          <t>Curd Cup 400g</t>
        </is>
      </c>
      <c r="E179" s="3" t="inlineStr">
        <is>
          <t>Dairy</t>
        </is>
      </c>
      <c r="F179" s="4" t="n">
        <v>33</v>
      </c>
      <c r="G179" s="5" t="n">
        <v>44.13</v>
      </c>
      <c r="H179" s="5">
        <f>F179*G179</f>
        <v/>
      </c>
      <c r="I179" s="5">
        <f>F179*VLOOKUP(D179,Products!$B$2:$E$13,3,FALSE)</f>
        <v/>
      </c>
    </row>
    <row r="180">
      <c r="A180" s="2" t="n">
        <v>46134</v>
      </c>
      <c r="B180" s="3" t="inlineStr">
        <is>
          <t>INV-2604-0179</t>
        </is>
      </c>
      <c r="C180" s="3" t="inlineStr">
        <is>
          <t>Khan Mart</t>
        </is>
      </c>
      <c r="D180" s="3" t="inlineStr">
        <is>
          <t>Curd Cup 400g</t>
        </is>
      </c>
      <c r="E180" s="3" t="inlineStr">
        <is>
          <t>Dairy</t>
        </is>
      </c>
      <c r="F180" s="4" t="n">
        <v>12</v>
      </c>
      <c r="G180" s="5" t="n">
        <v>43.91</v>
      </c>
      <c r="H180" s="5">
        <f>F180*G180</f>
        <v/>
      </c>
      <c r="I180" s="5">
        <f>F180*VLOOKUP(D180,Products!$B$2:$E$13,3,FALSE)</f>
        <v/>
      </c>
    </row>
    <row r="181">
      <c r="A181" s="2" t="n">
        <v>46134</v>
      </c>
      <c r="B181" s="3" t="inlineStr">
        <is>
          <t>INV-2604-0180</t>
        </is>
      </c>
      <c r="C181" s="3" t="inlineStr">
        <is>
          <t>Raza Brothers</t>
        </is>
      </c>
      <c r="D181" s="3" t="inlineStr">
        <is>
          <t>Packaged Water 1L</t>
        </is>
      </c>
      <c r="E181" s="3" t="inlineStr">
        <is>
          <t>Beverages</t>
        </is>
      </c>
      <c r="F181" s="4" t="n">
        <v>35</v>
      </c>
      <c r="G181" s="5" t="n">
        <v>20.8</v>
      </c>
      <c r="H181" s="5">
        <f>F181*G181</f>
        <v/>
      </c>
      <c r="I181" s="5">
        <f>F181*VLOOKUP(D181,Products!$B$2:$E$13,3,FALSE)</f>
        <v/>
      </c>
    </row>
    <row r="182">
      <c r="A182" s="2" t="n">
        <v>46134</v>
      </c>
      <c r="B182" s="3" t="inlineStr">
        <is>
          <t>INV-2604-0181</t>
        </is>
      </c>
      <c r="C182" s="3" t="inlineStr">
        <is>
          <t>Sharma Provision</t>
        </is>
      </c>
      <c r="D182" s="3" t="inlineStr">
        <is>
          <t>Curd Cup 400g</t>
        </is>
      </c>
      <c r="E182" s="3" t="inlineStr">
        <is>
          <t>Dairy</t>
        </is>
      </c>
      <c r="F182" s="4" t="n">
        <v>22</v>
      </c>
      <c r="G182" s="5" t="n">
        <v>46.87</v>
      </c>
      <c r="H182" s="5">
        <f>F182*G182</f>
        <v/>
      </c>
      <c r="I182" s="5">
        <f>F182*VLOOKUP(D182,Products!$B$2:$E$13,3,FALSE)</f>
        <v/>
      </c>
    </row>
    <row r="183">
      <c r="A183" s="2" t="n">
        <v>46134</v>
      </c>
      <c r="B183" s="3" t="inlineStr">
        <is>
          <t>INV-2604-0182</t>
        </is>
      </c>
      <c r="C183" s="3" t="inlineStr">
        <is>
          <t>Verma Retail</t>
        </is>
      </c>
      <c r="D183" s="3" t="inlineStr">
        <is>
          <t>Paneer 200g</t>
        </is>
      </c>
      <c r="E183" s="3" t="inlineStr">
        <is>
          <t>Dairy</t>
        </is>
      </c>
      <c r="F183" s="4" t="n">
        <v>5</v>
      </c>
      <c r="G183" s="5" t="n">
        <v>94.70999999999999</v>
      </c>
      <c r="H183" s="5">
        <f>F183*G183</f>
        <v/>
      </c>
      <c r="I183" s="5">
        <f>F183*VLOOKUP(D183,Products!$B$2:$E$13,3,FALSE)</f>
        <v/>
      </c>
    </row>
    <row r="184">
      <c r="A184" s="2" t="n">
        <v>46134</v>
      </c>
      <c r="B184" s="3" t="inlineStr">
        <is>
          <t>INV-2604-0183</t>
        </is>
      </c>
      <c r="C184" s="3" t="inlineStr">
        <is>
          <t>Singh Super Bazaar</t>
        </is>
      </c>
      <c r="D184" s="3" t="inlineStr">
        <is>
          <t>Curd Cup 400g</t>
        </is>
      </c>
      <c r="E184" s="3" t="inlineStr">
        <is>
          <t>Dairy</t>
        </is>
      </c>
      <c r="F184" s="4" t="n">
        <v>30</v>
      </c>
      <c r="G184" s="5" t="n">
        <v>47.12</v>
      </c>
      <c r="H184" s="5">
        <f>F184*G184</f>
        <v/>
      </c>
      <c r="I184" s="5">
        <f>F184*VLOOKUP(D184,Products!$B$2:$E$13,3,FALSE)</f>
        <v/>
      </c>
    </row>
    <row r="185">
      <c r="A185" s="2" t="n">
        <v>46134</v>
      </c>
      <c r="B185" s="3" t="inlineStr">
        <is>
          <t>INV-2604-0184</t>
        </is>
      </c>
      <c r="C185" s="3" t="inlineStr">
        <is>
          <t>Gupta General Store</t>
        </is>
      </c>
      <c r="D185" s="3" t="inlineStr">
        <is>
          <t>Packaged Water 1L</t>
        </is>
      </c>
      <c r="E185" s="3" t="inlineStr">
        <is>
          <t>Beverages</t>
        </is>
      </c>
      <c r="F185" s="4" t="n">
        <v>12</v>
      </c>
      <c r="G185" s="5" t="n">
        <v>20.05</v>
      </c>
      <c r="H185" s="5">
        <f>F185*G185</f>
        <v/>
      </c>
      <c r="I185" s="5">
        <f>F185*VLOOKUP(D185,Products!$B$2:$E$13,3,FALSE)</f>
        <v/>
      </c>
    </row>
    <row r="186">
      <c r="A186" s="2" t="n">
        <v>46134</v>
      </c>
      <c r="B186" s="3" t="inlineStr">
        <is>
          <t>INV-2604-0185</t>
        </is>
      </c>
      <c r="C186" s="3" t="inlineStr">
        <is>
          <t>Das &amp; Sons</t>
        </is>
      </c>
      <c r="D186" s="3" t="inlineStr">
        <is>
          <t>Biscuits 400g</t>
        </is>
      </c>
      <c r="E186" s="3" t="inlineStr">
        <is>
          <t>Snacks</t>
        </is>
      </c>
      <c r="F186" s="4" t="n">
        <v>49</v>
      </c>
      <c r="G186" s="5" t="n">
        <v>40.51</v>
      </c>
      <c r="H186" s="5">
        <f>F186*G186</f>
        <v/>
      </c>
      <c r="I186" s="5">
        <f>F186*VLOOKUP(D186,Products!$B$2:$E$13,3,FALSE)</f>
        <v/>
      </c>
    </row>
    <row r="187">
      <c r="A187" s="2" t="n">
        <v>46135</v>
      </c>
      <c r="B187" s="3" t="inlineStr">
        <is>
          <t>INV-2604-0186</t>
        </is>
      </c>
      <c r="C187" s="3" t="inlineStr">
        <is>
          <t>Das &amp; Sons</t>
        </is>
      </c>
      <c r="D187" s="3" t="inlineStr">
        <is>
          <t>Curd Cup 400g</t>
        </is>
      </c>
      <c r="E187" s="3" t="inlineStr">
        <is>
          <t>Dairy</t>
        </is>
      </c>
      <c r="F187" s="4" t="n">
        <v>20</v>
      </c>
      <c r="G187" s="5" t="n">
        <v>44.54</v>
      </c>
      <c r="H187" s="5">
        <f>F187*G187</f>
        <v/>
      </c>
      <c r="I187" s="5">
        <f>F187*VLOOKUP(D187,Products!$B$2:$E$13,3,FALSE)</f>
        <v/>
      </c>
    </row>
    <row r="188">
      <c r="A188" s="2" t="n">
        <v>46135</v>
      </c>
      <c r="B188" s="3" t="inlineStr">
        <is>
          <t>INV-2604-0187</t>
        </is>
      </c>
      <c r="C188" s="3" t="inlineStr">
        <is>
          <t>Mishra Stores</t>
        </is>
      </c>
      <c r="D188" s="3" t="inlineStr">
        <is>
          <t>Instant Noodles 280g</t>
        </is>
      </c>
      <c r="E188" s="3" t="inlineStr">
        <is>
          <t>Snacks</t>
        </is>
      </c>
      <c r="F188" s="4" t="n">
        <v>56</v>
      </c>
      <c r="G188" s="5" t="n">
        <v>55.8</v>
      </c>
      <c r="H188" s="5">
        <f>F188*G188</f>
        <v/>
      </c>
      <c r="I188" s="5">
        <f>F188*VLOOKUP(D188,Products!$B$2:$E$13,3,FALSE)</f>
        <v/>
      </c>
    </row>
    <row r="189">
      <c r="A189" s="2" t="n">
        <v>46135</v>
      </c>
      <c r="B189" s="3" t="inlineStr">
        <is>
          <t>INV-2604-0188</t>
        </is>
      </c>
      <c r="C189" s="3" t="inlineStr">
        <is>
          <t>Verma Retail</t>
        </is>
      </c>
      <c r="D189" s="3" t="inlineStr">
        <is>
          <t>Detergent 1kg</t>
        </is>
      </c>
      <c r="E189" s="3" t="inlineStr">
        <is>
          <t>Household</t>
        </is>
      </c>
      <c r="F189" s="4" t="n">
        <v>14</v>
      </c>
      <c r="G189" s="5" t="n">
        <v>128.49</v>
      </c>
      <c r="H189" s="5">
        <f>F189*G189</f>
        <v/>
      </c>
      <c r="I189" s="5">
        <f>F189*VLOOKUP(D189,Products!$B$2:$E$13,3,FALSE)</f>
        <v/>
      </c>
    </row>
    <row r="190">
      <c r="A190" s="2" t="n">
        <v>46135</v>
      </c>
      <c r="B190" s="3" t="inlineStr">
        <is>
          <t>INV-2604-0189</t>
        </is>
      </c>
      <c r="C190" s="3" t="inlineStr">
        <is>
          <t>Singh Super Bazaar</t>
        </is>
      </c>
      <c r="D190" s="3" t="inlineStr">
        <is>
          <t>Toned Milk 1L</t>
        </is>
      </c>
      <c r="E190" s="3" t="inlineStr">
        <is>
          <t>Dairy</t>
        </is>
      </c>
      <c r="F190" s="4" t="n">
        <v>57</v>
      </c>
      <c r="G190" s="5" t="n">
        <v>66.56</v>
      </c>
      <c r="H190" s="5">
        <f>F190*G190</f>
        <v/>
      </c>
      <c r="I190" s="5">
        <f>F190*VLOOKUP(D190,Products!$B$2:$E$13,3,FALSE)</f>
        <v/>
      </c>
    </row>
    <row r="191">
      <c r="A191" s="2" t="n">
        <v>46135</v>
      </c>
      <c r="B191" s="3" t="inlineStr">
        <is>
          <t>INV-2604-0190</t>
        </is>
      </c>
      <c r="C191" s="3" t="inlineStr">
        <is>
          <t>Ali General Store</t>
        </is>
      </c>
      <c r="D191" s="3" t="inlineStr">
        <is>
          <t>Instant Noodles 280g</t>
        </is>
      </c>
      <c r="E191" s="3" t="inlineStr">
        <is>
          <t>Snacks</t>
        </is>
      </c>
      <c r="F191" s="4" t="n">
        <v>21</v>
      </c>
      <c r="G191" s="5" t="n">
        <v>55.27</v>
      </c>
      <c r="H191" s="5">
        <f>F191*G191</f>
        <v/>
      </c>
      <c r="I191" s="5">
        <f>F191*VLOOKUP(D191,Products!$B$2:$E$13,3,FALSE)</f>
        <v/>
      </c>
    </row>
    <row r="192">
      <c r="A192" s="2" t="n">
        <v>46135</v>
      </c>
      <c r="B192" s="3" t="inlineStr">
        <is>
          <t>INV-2604-0191</t>
        </is>
      </c>
      <c r="C192" s="3" t="inlineStr">
        <is>
          <t>Raza Brothers</t>
        </is>
      </c>
      <c r="D192" s="3" t="inlineStr">
        <is>
          <t>Mango Juice 1L</t>
        </is>
      </c>
      <c r="E192" s="3" t="inlineStr">
        <is>
          <t>Beverages</t>
        </is>
      </c>
      <c r="F192" s="4" t="n">
        <v>10</v>
      </c>
      <c r="G192" s="5" t="n">
        <v>117.92</v>
      </c>
      <c r="H192" s="5">
        <f>F192*G192</f>
        <v/>
      </c>
      <c r="I192" s="5">
        <f>F192*VLOOKUP(D192,Products!$B$2:$E$13,3,FALSE)</f>
        <v/>
      </c>
    </row>
    <row r="193">
      <c r="A193" s="2" t="n">
        <v>46135</v>
      </c>
      <c r="B193" s="3" t="inlineStr">
        <is>
          <t>INV-2604-0192</t>
        </is>
      </c>
      <c r="C193" s="3" t="inlineStr">
        <is>
          <t>Pandey Stores</t>
        </is>
      </c>
      <c r="D193" s="3" t="inlineStr">
        <is>
          <t>Cola 750ml</t>
        </is>
      </c>
      <c r="E193" s="3" t="inlineStr">
        <is>
          <t>Beverages</t>
        </is>
      </c>
      <c r="F193" s="4" t="n">
        <v>7</v>
      </c>
      <c r="G193" s="5" t="n">
        <v>46.38</v>
      </c>
      <c r="H193" s="5">
        <f>F193*G193</f>
        <v/>
      </c>
      <c r="I193" s="5">
        <f>F193*VLOOKUP(D193,Products!$B$2:$E$13,3,FALSE)</f>
        <v/>
      </c>
    </row>
    <row r="194">
      <c r="A194" s="2" t="n">
        <v>46135</v>
      </c>
      <c r="B194" s="3" t="inlineStr">
        <is>
          <t>INV-2604-0193</t>
        </is>
      </c>
      <c r="C194" s="3" t="inlineStr">
        <is>
          <t>Tiwari General</t>
        </is>
      </c>
      <c r="D194" s="3" t="inlineStr">
        <is>
          <t>Packaged Water 1L</t>
        </is>
      </c>
      <c r="E194" s="3" t="inlineStr">
        <is>
          <t>Beverages</t>
        </is>
      </c>
      <c r="F194" s="4" t="n">
        <v>48</v>
      </c>
      <c r="G194" s="5" t="n">
        <v>20.31</v>
      </c>
      <c r="H194" s="5">
        <f>F194*G194</f>
        <v/>
      </c>
      <c r="I194" s="5">
        <f>F194*VLOOKUP(D194,Products!$B$2:$E$13,3,FALSE)</f>
        <v/>
      </c>
    </row>
    <row r="195">
      <c r="A195" s="2" t="n">
        <v>46135</v>
      </c>
      <c r="B195" s="3" t="inlineStr">
        <is>
          <t>INV-2604-0194</t>
        </is>
      </c>
      <c r="C195" s="3" t="inlineStr">
        <is>
          <t>Patel Traders</t>
        </is>
      </c>
      <c r="D195" s="3" t="inlineStr">
        <is>
          <t>Cola 750ml</t>
        </is>
      </c>
      <c r="E195" s="3" t="inlineStr">
        <is>
          <t>Beverages</t>
        </is>
      </c>
      <c r="F195" s="4" t="n">
        <v>23</v>
      </c>
      <c r="G195" s="5" t="n">
        <v>46.11</v>
      </c>
      <c r="H195" s="5">
        <f>F195*G195</f>
        <v/>
      </c>
      <c r="I195" s="5">
        <f>F195*VLOOKUP(D195,Products!$B$2:$E$13,3,FALSE)</f>
        <v/>
      </c>
    </row>
    <row r="196">
      <c r="A196" s="2" t="n">
        <v>46135</v>
      </c>
      <c r="B196" s="3" t="inlineStr">
        <is>
          <t>INV-2604-0195</t>
        </is>
      </c>
      <c r="C196" s="3" t="inlineStr">
        <is>
          <t>Das &amp; Sons</t>
        </is>
      </c>
      <c r="D196" s="3" t="inlineStr">
        <is>
          <t>Instant Noodles 280g</t>
        </is>
      </c>
      <c r="E196" s="3" t="inlineStr">
        <is>
          <t>Snacks</t>
        </is>
      </c>
      <c r="F196" s="4" t="n">
        <v>3</v>
      </c>
      <c r="G196" s="5" t="n">
        <v>55.27</v>
      </c>
      <c r="H196" s="5">
        <f>F196*G196</f>
        <v/>
      </c>
      <c r="I196" s="5">
        <f>F196*VLOOKUP(D196,Products!$B$2:$E$13,3,FALSE)</f>
        <v/>
      </c>
    </row>
    <row r="197">
      <c r="A197" s="2" t="n">
        <v>46135</v>
      </c>
      <c r="B197" s="3" t="inlineStr">
        <is>
          <t>INV-2604-0196</t>
        </is>
      </c>
      <c r="C197" s="3" t="inlineStr">
        <is>
          <t>Choudhary Mart</t>
        </is>
      </c>
      <c r="D197" s="3" t="inlineStr">
        <is>
          <t>Floor Cleaner 1L</t>
        </is>
      </c>
      <c r="E197" s="3" t="inlineStr">
        <is>
          <t>Household</t>
        </is>
      </c>
      <c r="F197" s="4" t="n">
        <v>10</v>
      </c>
      <c r="G197" s="5" t="n">
        <v>111.95</v>
      </c>
      <c r="H197" s="5">
        <f>F197*G197</f>
        <v/>
      </c>
      <c r="I197" s="5">
        <f>F197*VLOOKUP(D197,Products!$B$2:$E$13,3,FALSE)</f>
        <v/>
      </c>
    </row>
    <row r="198">
      <c r="A198" s="2" t="n">
        <v>46136</v>
      </c>
      <c r="B198" s="3" t="inlineStr">
        <is>
          <t>INV-2604-0197</t>
        </is>
      </c>
      <c r="C198" s="3" t="inlineStr">
        <is>
          <t>Azad Stores</t>
        </is>
      </c>
      <c r="D198" s="3" t="inlineStr">
        <is>
          <t>Floor Cleaner 1L</t>
        </is>
      </c>
      <c r="E198" s="3" t="inlineStr">
        <is>
          <t>Household</t>
        </is>
      </c>
      <c r="F198" s="4" t="n">
        <v>25</v>
      </c>
      <c r="G198" s="5" t="n">
        <v>115.41</v>
      </c>
      <c r="H198" s="5">
        <f>F198*G198</f>
        <v/>
      </c>
      <c r="I198" s="5">
        <f>F198*VLOOKUP(D198,Products!$B$2:$E$13,3,FALSE)</f>
        <v/>
      </c>
    </row>
    <row r="199">
      <c r="A199" s="2" t="n">
        <v>46136</v>
      </c>
      <c r="B199" s="3" t="inlineStr">
        <is>
          <t>INV-2604-0198</t>
        </is>
      </c>
      <c r="C199" s="3" t="inlineStr">
        <is>
          <t>Mishra Stores</t>
        </is>
      </c>
      <c r="D199" s="3" t="inlineStr">
        <is>
          <t>Instant Noodles 280g</t>
        </is>
      </c>
      <c r="E199" s="3" t="inlineStr">
        <is>
          <t>Snacks</t>
        </is>
      </c>
      <c r="F199" s="4" t="n">
        <v>26</v>
      </c>
      <c r="G199" s="5" t="n">
        <v>58.76</v>
      </c>
      <c r="H199" s="5">
        <f>F199*G199</f>
        <v/>
      </c>
      <c r="I199" s="5">
        <f>F199*VLOOKUP(D199,Products!$B$2:$E$13,3,FALSE)</f>
        <v/>
      </c>
    </row>
    <row r="200">
      <c r="A200" s="2" t="n">
        <v>46136</v>
      </c>
      <c r="B200" s="3" t="inlineStr">
        <is>
          <t>INV-2604-0199</t>
        </is>
      </c>
      <c r="C200" s="3" t="inlineStr">
        <is>
          <t>Azad Stores</t>
        </is>
      </c>
      <c r="D200" s="3" t="inlineStr">
        <is>
          <t>Paneer 200g</t>
        </is>
      </c>
      <c r="E200" s="3" t="inlineStr">
        <is>
          <t>Dairy</t>
        </is>
      </c>
      <c r="F200" s="4" t="n">
        <v>3</v>
      </c>
      <c r="G200" s="5" t="n">
        <v>97.59999999999999</v>
      </c>
      <c r="H200" s="5">
        <f>F200*G200</f>
        <v/>
      </c>
      <c r="I200" s="5">
        <f>F200*VLOOKUP(D200,Products!$B$2:$E$13,3,FALSE)</f>
        <v/>
      </c>
    </row>
    <row r="201">
      <c r="A201" s="2" t="n">
        <v>46136</v>
      </c>
      <c r="B201" s="3" t="inlineStr">
        <is>
          <t>INV-2604-0200</t>
        </is>
      </c>
      <c r="C201" s="3" t="inlineStr">
        <is>
          <t>Dubey Kirana</t>
        </is>
      </c>
      <c r="D201" s="3" t="inlineStr">
        <is>
          <t>Floor Cleaner 1L</t>
        </is>
      </c>
      <c r="E201" s="3" t="inlineStr">
        <is>
          <t>Household</t>
        </is>
      </c>
      <c r="F201" s="4" t="n">
        <v>68</v>
      </c>
      <c r="G201" s="5" t="n">
        <v>110.15</v>
      </c>
      <c r="H201" s="5">
        <f>F201*G201</f>
        <v/>
      </c>
      <c r="I201" s="5">
        <f>F201*VLOOKUP(D201,Products!$B$2:$E$13,3,FALSE)</f>
        <v/>
      </c>
    </row>
    <row r="202">
      <c r="A202" s="2" t="n">
        <v>46136</v>
      </c>
      <c r="B202" s="3" t="inlineStr">
        <is>
          <t>INV-2604-0201</t>
        </is>
      </c>
      <c r="C202" s="3" t="inlineStr">
        <is>
          <t>Mehta Retail</t>
        </is>
      </c>
      <c r="D202" s="3" t="inlineStr">
        <is>
          <t>Cola 750ml</t>
        </is>
      </c>
      <c r="E202" s="3" t="inlineStr">
        <is>
          <t>Beverages</t>
        </is>
      </c>
      <c r="F202" s="4" t="n">
        <v>57</v>
      </c>
      <c r="G202" s="5" t="n">
        <v>45.7</v>
      </c>
      <c r="H202" s="5">
        <f>F202*G202</f>
        <v/>
      </c>
      <c r="I202" s="5">
        <f>F202*VLOOKUP(D202,Products!$B$2:$E$13,3,FALSE)</f>
        <v/>
      </c>
    </row>
    <row r="203">
      <c r="A203" s="2" t="n">
        <v>46136</v>
      </c>
      <c r="B203" s="3" t="inlineStr">
        <is>
          <t>INV-2604-0202</t>
        </is>
      </c>
      <c r="C203" s="3" t="inlineStr">
        <is>
          <t>Das &amp; Sons</t>
        </is>
      </c>
      <c r="D203" s="3" t="inlineStr">
        <is>
          <t>Toned Milk 1L</t>
        </is>
      </c>
      <c r="E203" s="3" t="inlineStr">
        <is>
          <t>Dairy</t>
        </is>
      </c>
      <c r="F203" s="4" t="n">
        <v>2</v>
      </c>
      <c r="G203" s="5" t="n">
        <v>66.06999999999999</v>
      </c>
      <c r="H203" s="5">
        <f>F203*G203</f>
        <v/>
      </c>
      <c r="I203" s="5">
        <f>F203*VLOOKUP(D203,Products!$B$2:$E$13,3,FALSE)</f>
        <v/>
      </c>
    </row>
    <row r="204">
      <c r="A204" s="2" t="n">
        <v>46136</v>
      </c>
      <c r="B204" s="3" t="inlineStr">
        <is>
          <t>INV-2604-0203</t>
        </is>
      </c>
      <c r="C204" s="3" t="inlineStr">
        <is>
          <t>Ali General Store</t>
        </is>
      </c>
      <c r="D204" s="3" t="inlineStr">
        <is>
          <t>Floor Cleaner 1L</t>
        </is>
      </c>
      <c r="E204" s="3" t="inlineStr">
        <is>
          <t>Household</t>
        </is>
      </c>
      <c r="F204" s="4" t="n">
        <v>54</v>
      </c>
      <c r="G204" s="5" t="n">
        <v>111.51</v>
      </c>
      <c r="H204" s="5">
        <f>F204*G204</f>
        <v/>
      </c>
      <c r="I204" s="5">
        <f>F204*VLOOKUP(D204,Products!$B$2:$E$13,3,FALSE)</f>
        <v/>
      </c>
    </row>
    <row r="205">
      <c r="A205" s="2" t="n">
        <v>46136</v>
      </c>
      <c r="B205" s="3" t="inlineStr">
        <is>
          <t>INV-2604-0204</t>
        </is>
      </c>
      <c r="C205" s="3" t="inlineStr">
        <is>
          <t>Ali General Store</t>
        </is>
      </c>
      <c r="D205" s="3" t="inlineStr">
        <is>
          <t>Detergent 1kg</t>
        </is>
      </c>
      <c r="E205" s="3" t="inlineStr">
        <is>
          <t>Household</t>
        </is>
      </c>
      <c r="F205" s="4" t="n">
        <v>37</v>
      </c>
      <c r="G205" s="5" t="n">
        <v>128.43</v>
      </c>
      <c r="H205" s="5">
        <f>F205*G205</f>
        <v/>
      </c>
      <c r="I205" s="5">
        <f>F205*VLOOKUP(D205,Products!$B$2:$E$13,3,FALSE)</f>
        <v/>
      </c>
    </row>
    <row r="206">
      <c r="A206" s="2" t="n">
        <v>46136</v>
      </c>
      <c r="B206" s="3" t="inlineStr">
        <is>
          <t>INV-2604-0205</t>
        </is>
      </c>
      <c r="C206" s="3" t="inlineStr">
        <is>
          <t>Pandey Stores</t>
        </is>
      </c>
      <c r="D206" s="3" t="inlineStr">
        <is>
          <t>Paneer 200g</t>
        </is>
      </c>
      <c r="E206" s="3" t="inlineStr">
        <is>
          <t>Dairy</t>
        </is>
      </c>
      <c r="F206" s="4" t="n">
        <v>7</v>
      </c>
      <c r="G206" s="5" t="n">
        <v>97.65000000000001</v>
      </c>
      <c r="H206" s="5">
        <f>F206*G206</f>
        <v/>
      </c>
      <c r="I206" s="5">
        <f>F206*VLOOKUP(D206,Products!$B$2:$E$13,3,FALSE)</f>
        <v/>
      </c>
    </row>
    <row r="207">
      <c r="A207" s="2" t="n">
        <v>46136</v>
      </c>
      <c r="B207" s="3" t="inlineStr">
        <is>
          <t>INV-2604-0206</t>
        </is>
      </c>
      <c r="C207" s="3" t="inlineStr">
        <is>
          <t>Kumari Kirana</t>
        </is>
      </c>
      <c r="D207" s="3" t="inlineStr">
        <is>
          <t>Packaged Water 1L</t>
        </is>
      </c>
      <c r="E207" s="3" t="inlineStr">
        <is>
          <t>Beverages</t>
        </is>
      </c>
      <c r="F207" s="4" t="n">
        <v>16</v>
      </c>
      <c r="G207" s="5" t="n">
        <v>20.28</v>
      </c>
      <c r="H207" s="5">
        <f>F207*G207</f>
        <v/>
      </c>
      <c r="I207" s="5">
        <f>F207*VLOOKUP(D207,Products!$B$2:$E$13,3,FALSE)</f>
        <v/>
      </c>
    </row>
    <row r="208">
      <c r="A208" s="2" t="n">
        <v>46137</v>
      </c>
      <c r="B208" s="3" t="inlineStr">
        <is>
          <t>INV-2604-0207</t>
        </is>
      </c>
      <c r="C208" s="3" t="inlineStr">
        <is>
          <t>Nath Provisions</t>
        </is>
      </c>
      <c r="D208" s="3" t="inlineStr">
        <is>
          <t>Dish Soap 500ml</t>
        </is>
      </c>
      <c r="E208" s="3" t="inlineStr">
        <is>
          <t>Household</t>
        </is>
      </c>
      <c r="F208" s="4" t="n">
        <v>26</v>
      </c>
      <c r="G208" s="5" t="n">
        <v>101.64</v>
      </c>
      <c r="H208" s="5">
        <f>F208*G208</f>
        <v/>
      </c>
      <c r="I208" s="5">
        <f>F208*VLOOKUP(D208,Products!$B$2:$E$13,3,FALSE)</f>
        <v/>
      </c>
    </row>
    <row r="209">
      <c r="A209" s="2" t="n">
        <v>46137</v>
      </c>
      <c r="B209" s="3" t="inlineStr">
        <is>
          <t>INV-2604-0208</t>
        </is>
      </c>
      <c r="C209" s="3" t="inlineStr">
        <is>
          <t>Gupta General Store</t>
        </is>
      </c>
      <c r="D209" s="3" t="inlineStr">
        <is>
          <t>Instant Noodles 280g</t>
        </is>
      </c>
      <c r="E209" s="3" t="inlineStr">
        <is>
          <t>Snacks</t>
        </is>
      </c>
      <c r="F209" s="4" t="n">
        <v>65</v>
      </c>
      <c r="G209" s="5" t="n">
        <v>56.02</v>
      </c>
      <c r="H209" s="5">
        <f>F209*G209</f>
        <v/>
      </c>
      <c r="I209" s="5">
        <f>F209*VLOOKUP(D209,Products!$B$2:$E$13,3,FALSE)</f>
        <v/>
      </c>
    </row>
    <row r="210">
      <c r="A210" s="2" t="n">
        <v>46137</v>
      </c>
      <c r="B210" s="3" t="inlineStr">
        <is>
          <t>INV-2604-0209</t>
        </is>
      </c>
      <c r="C210" s="3" t="inlineStr">
        <is>
          <t>Patel Traders</t>
        </is>
      </c>
      <c r="D210" s="3" t="inlineStr">
        <is>
          <t>Potato Chips 150g</t>
        </is>
      </c>
      <c r="E210" s="3" t="inlineStr">
        <is>
          <t>Snacks</t>
        </is>
      </c>
      <c r="F210" s="4" t="n">
        <v>8</v>
      </c>
      <c r="G210" s="5" t="n">
        <v>51.69</v>
      </c>
      <c r="H210" s="5">
        <f>F210*G210</f>
        <v/>
      </c>
      <c r="I210" s="5">
        <f>F210*VLOOKUP(D210,Products!$B$2:$E$13,3,FALSE)</f>
        <v/>
      </c>
    </row>
    <row r="211">
      <c r="A211" s="2" t="n">
        <v>46137</v>
      </c>
      <c r="B211" s="3" t="inlineStr">
        <is>
          <t>INV-2604-0210</t>
        </is>
      </c>
      <c r="C211" s="3" t="inlineStr">
        <is>
          <t>Khan Mart</t>
        </is>
      </c>
      <c r="D211" s="3" t="inlineStr">
        <is>
          <t>Paneer 200g</t>
        </is>
      </c>
      <c r="E211" s="3" t="inlineStr">
        <is>
          <t>Dairy</t>
        </is>
      </c>
      <c r="F211" s="4" t="n">
        <v>25</v>
      </c>
      <c r="G211" s="5" t="n">
        <v>96.27</v>
      </c>
      <c r="H211" s="5">
        <f>F211*G211</f>
        <v/>
      </c>
      <c r="I211" s="5">
        <f>F211*VLOOKUP(D211,Products!$B$2:$E$13,3,FALSE)</f>
        <v/>
      </c>
    </row>
    <row r="212">
      <c r="A212" s="2" t="n">
        <v>46137</v>
      </c>
      <c r="B212" s="3" t="inlineStr">
        <is>
          <t>INV-2604-0211</t>
        </is>
      </c>
      <c r="C212" s="3" t="inlineStr">
        <is>
          <t>Das &amp; Sons</t>
        </is>
      </c>
      <c r="D212" s="3" t="inlineStr">
        <is>
          <t>Biscuits 400g</t>
        </is>
      </c>
      <c r="E212" s="3" t="inlineStr">
        <is>
          <t>Snacks</t>
        </is>
      </c>
      <c r="F212" s="4" t="n">
        <v>51</v>
      </c>
      <c r="G212" s="5" t="n">
        <v>41.95</v>
      </c>
      <c r="H212" s="5">
        <f>F212*G212</f>
        <v/>
      </c>
      <c r="I212" s="5">
        <f>F212*VLOOKUP(D212,Products!$B$2:$E$13,3,FALSE)</f>
        <v/>
      </c>
    </row>
    <row r="213">
      <c r="A213" s="2" t="n">
        <v>46137</v>
      </c>
      <c r="B213" s="3" t="inlineStr">
        <is>
          <t>INV-2604-0212</t>
        </is>
      </c>
      <c r="C213" s="3" t="inlineStr">
        <is>
          <t>Raza Brothers</t>
        </is>
      </c>
      <c r="D213" s="3" t="inlineStr">
        <is>
          <t>Paneer 200g</t>
        </is>
      </c>
      <c r="E213" s="3" t="inlineStr">
        <is>
          <t>Dairy</t>
        </is>
      </c>
      <c r="F213" s="4" t="n">
        <v>16</v>
      </c>
      <c r="G213" s="5" t="n">
        <v>92.72</v>
      </c>
      <c r="H213" s="5">
        <f>F213*G213</f>
        <v/>
      </c>
      <c r="I213" s="5">
        <f>F213*VLOOKUP(D213,Products!$B$2:$E$13,3,FALSE)</f>
        <v/>
      </c>
    </row>
    <row r="214">
      <c r="A214" s="2" t="n">
        <v>46137</v>
      </c>
      <c r="B214" s="3" t="inlineStr">
        <is>
          <t>INV-2604-0213</t>
        </is>
      </c>
      <c r="C214" s="3" t="inlineStr">
        <is>
          <t>Sharma Provision</t>
        </is>
      </c>
      <c r="D214" s="3" t="inlineStr">
        <is>
          <t>Dish Soap 500ml</t>
        </is>
      </c>
      <c r="E214" s="3" t="inlineStr">
        <is>
          <t>Household</t>
        </is>
      </c>
      <c r="F214" s="4" t="n">
        <v>29</v>
      </c>
      <c r="G214" s="5" t="n">
        <v>101.2</v>
      </c>
      <c r="H214" s="5">
        <f>F214*G214</f>
        <v/>
      </c>
      <c r="I214" s="5">
        <f>F214*VLOOKUP(D214,Products!$B$2:$E$13,3,FALSE)</f>
        <v/>
      </c>
    </row>
    <row r="215">
      <c r="A215" s="2" t="n">
        <v>46137</v>
      </c>
      <c r="B215" s="3" t="inlineStr">
        <is>
          <t>INV-2604-0214</t>
        </is>
      </c>
      <c r="C215" s="3" t="inlineStr">
        <is>
          <t>Sharma Provision</t>
        </is>
      </c>
      <c r="D215" s="3" t="inlineStr">
        <is>
          <t>Cola 750ml</t>
        </is>
      </c>
      <c r="E215" s="3" t="inlineStr">
        <is>
          <t>Beverages</t>
        </is>
      </c>
      <c r="F215" s="4" t="n">
        <v>28</v>
      </c>
      <c r="G215" s="5" t="n">
        <v>46.6</v>
      </c>
      <c r="H215" s="5">
        <f>F215*G215</f>
        <v/>
      </c>
      <c r="I215" s="5">
        <f>F215*VLOOKUP(D215,Products!$B$2:$E$13,3,FALSE)</f>
        <v/>
      </c>
    </row>
    <row r="216">
      <c r="A216" s="2" t="n">
        <v>46137</v>
      </c>
      <c r="B216" s="3" t="inlineStr">
        <is>
          <t>INV-2604-0215</t>
        </is>
      </c>
      <c r="C216" s="3" t="inlineStr">
        <is>
          <t>Singh Super Bazaar</t>
        </is>
      </c>
      <c r="D216" s="3" t="inlineStr">
        <is>
          <t>Paneer 200g</t>
        </is>
      </c>
      <c r="E216" s="3" t="inlineStr">
        <is>
          <t>Dairy</t>
        </is>
      </c>
      <c r="F216" s="4" t="n">
        <v>63</v>
      </c>
      <c r="G216" s="5" t="n">
        <v>97.40000000000001</v>
      </c>
      <c r="H216" s="5">
        <f>F216*G216</f>
        <v/>
      </c>
      <c r="I216" s="5">
        <f>F216*VLOOKUP(D216,Products!$B$2:$E$13,3,FALSE)</f>
        <v/>
      </c>
    </row>
    <row r="217">
      <c r="A217" s="2" t="n">
        <v>46137</v>
      </c>
      <c r="B217" s="3" t="inlineStr">
        <is>
          <t>INV-2604-0216</t>
        </is>
      </c>
      <c r="C217" s="3" t="inlineStr">
        <is>
          <t>Bhatt General Store</t>
        </is>
      </c>
      <c r="D217" s="3" t="inlineStr">
        <is>
          <t>Potato Chips 150g</t>
        </is>
      </c>
      <c r="E217" s="3" t="inlineStr">
        <is>
          <t>Snacks</t>
        </is>
      </c>
      <c r="F217" s="4" t="n">
        <v>64</v>
      </c>
      <c r="G217" s="5" t="n">
        <v>48.5</v>
      </c>
      <c r="H217" s="5">
        <f>F217*G217</f>
        <v/>
      </c>
      <c r="I217" s="5">
        <f>F217*VLOOKUP(D217,Products!$B$2:$E$13,3,FALSE)</f>
        <v/>
      </c>
    </row>
    <row r="218">
      <c r="A218" s="2" t="n">
        <v>46137</v>
      </c>
      <c r="B218" s="3" t="inlineStr">
        <is>
          <t>INV-2604-0217</t>
        </is>
      </c>
      <c r="C218" s="3" t="inlineStr">
        <is>
          <t>Choudhary Mart</t>
        </is>
      </c>
      <c r="D218" s="3" t="inlineStr">
        <is>
          <t>Toned Milk 1L</t>
        </is>
      </c>
      <c r="E218" s="3" t="inlineStr">
        <is>
          <t>Dairy</t>
        </is>
      </c>
      <c r="F218" s="4" t="n">
        <v>65</v>
      </c>
      <c r="G218" s="5" t="n">
        <v>65.31</v>
      </c>
      <c r="H218" s="5">
        <f>F218*G218</f>
        <v/>
      </c>
      <c r="I218" s="5">
        <f>F218*VLOOKUP(D218,Products!$B$2:$E$13,3,FALSE)</f>
        <v/>
      </c>
    </row>
    <row r="219">
      <c r="A219" s="2" t="n">
        <v>46138</v>
      </c>
      <c r="B219" s="3" t="inlineStr">
        <is>
          <t>INV-2604-0218</t>
        </is>
      </c>
      <c r="C219" s="3" t="inlineStr">
        <is>
          <t>Bhatt General Store</t>
        </is>
      </c>
      <c r="D219" s="3" t="inlineStr">
        <is>
          <t>Biscuits 400g</t>
        </is>
      </c>
      <c r="E219" s="3" t="inlineStr">
        <is>
          <t>Snacks</t>
        </is>
      </c>
      <c r="F219" s="4" t="n">
        <v>49</v>
      </c>
      <c r="G219" s="5" t="n">
        <v>41.63</v>
      </c>
      <c r="H219" s="5">
        <f>F219*G219</f>
        <v/>
      </c>
      <c r="I219" s="5">
        <f>F219*VLOOKUP(D219,Products!$B$2:$E$13,3,FALSE)</f>
        <v/>
      </c>
    </row>
    <row r="220">
      <c r="A220" s="2" t="n">
        <v>46138</v>
      </c>
      <c r="B220" s="3" t="inlineStr">
        <is>
          <t>INV-2604-0219</t>
        </is>
      </c>
      <c r="C220" s="3" t="inlineStr">
        <is>
          <t>Mehta Retail</t>
        </is>
      </c>
      <c r="D220" s="3" t="inlineStr">
        <is>
          <t>Dish Soap 500ml</t>
        </is>
      </c>
      <c r="E220" s="3" t="inlineStr">
        <is>
          <t>Household</t>
        </is>
      </c>
      <c r="F220" s="4" t="n">
        <v>10</v>
      </c>
      <c r="G220" s="5" t="n">
        <v>103.21</v>
      </c>
      <c r="H220" s="5">
        <f>F220*G220</f>
        <v/>
      </c>
      <c r="I220" s="5">
        <f>F220*VLOOKUP(D220,Products!$B$2:$E$13,3,FALSE)</f>
        <v/>
      </c>
    </row>
    <row r="221">
      <c r="A221" s="2" t="n">
        <v>46138</v>
      </c>
      <c r="B221" s="3" t="inlineStr">
        <is>
          <t>INV-2604-0220</t>
        </is>
      </c>
      <c r="C221" s="3" t="inlineStr">
        <is>
          <t>Pandey Stores</t>
        </is>
      </c>
      <c r="D221" s="3" t="inlineStr">
        <is>
          <t>Potato Chips 150g</t>
        </is>
      </c>
      <c r="E221" s="3" t="inlineStr">
        <is>
          <t>Snacks</t>
        </is>
      </c>
      <c r="F221" s="4" t="n">
        <v>58</v>
      </c>
      <c r="G221" s="5" t="n">
        <v>48.61</v>
      </c>
      <c r="H221" s="5">
        <f>F221*G221</f>
        <v/>
      </c>
      <c r="I221" s="5">
        <f>F221*VLOOKUP(D221,Products!$B$2:$E$13,3,FALSE)</f>
        <v/>
      </c>
    </row>
    <row r="222">
      <c r="A222" s="2" t="n">
        <v>46138</v>
      </c>
      <c r="B222" s="3" t="inlineStr">
        <is>
          <t>INV-2604-0221</t>
        </is>
      </c>
      <c r="C222" s="3" t="inlineStr">
        <is>
          <t>Bhatt General Store</t>
        </is>
      </c>
      <c r="D222" s="3" t="inlineStr">
        <is>
          <t>Floor Cleaner 1L</t>
        </is>
      </c>
      <c r="E222" s="3" t="inlineStr">
        <is>
          <t>Household</t>
        </is>
      </c>
      <c r="F222" s="4" t="n">
        <v>45</v>
      </c>
      <c r="G222" s="5" t="n">
        <v>111.55</v>
      </c>
      <c r="H222" s="5">
        <f>F222*G222</f>
        <v/>
      </c>
      <c r="I222" s="5">
        <f>F222*VLOOKUP(D222,Products!$B$2:$E$13,3,FALSE)</f>
        <v/>
      </c>
    </row>
    <row r="223">
      <c r="A223" s="2" t="n">
        <v>46138</v>
      </c>
      <c r="B223" s="3" t="inlineStr">
        <is>
          <t>INV-2604-0222</t>
        </is>
      </c>
      <c r="C223" s="3" t="inlineStr">
        <is>
          <t>Azad Stores</t>
        </is>
      </c>
      <c r="D223" s="3" t="inlineStr">
        <is>
          <t>Biscuits 400g</t>
        </is>
      </c>
      <c r="E223" s="3" t="inlineStr">
        <is>
          <t>Snacks</t>
        </is>
      </c>
      <c r="F223" s="4" t="n">
        <v>5</v>
      </c>
      <c r="G223" s="5" t="n">
        <v>41.88</v>
      </c>
      <c r="H223" s="5">
        <f>F223*G223</f>
        <v/>
      </c>
      <c r="I223" s="5">
        <f>F223*VLOOKUP(D223,Products!$B$2:$E$13,3,FALSE)</f>
        <v/>
      </c>
    </row>
    <row r="224">
      <c r="A224" s="2" t="n">
        <v>46138</v>
      </c>
      <c r="B224" s="3" t="inlineStr">
        <is>
          <t>INV-2604-0223</t>
        </is>
      </c>
      <c r="C224" s="3" t="inlineStr">
        <is>
          <t>Singh Super Bazaar</t>
        </is>
      </c>
      <c r="D224" s="3" t="inlineStr">
        <is>
          <t>Paneer 200g</t>
        </is>
      </c>
      <c r="E224" s="3" t="inlineStr">
        <is>
          <t>Dairy</t>
        </is>
      </c>
      <c r="F224" s="4" t="n">
        <v>8</v>
      </c>
      <c r="G224" s="5" t="n">
        <v>94.67</v>
      </c>
      <c r="H224" s="5">
        <f>F224*G224</f>
        <v/>
      </c>
      <c r="I224" s="5">
        <f>F224*VLOOKUP(D224,Products!$B$2:$E$13,3,FALSE)</f>
        <v/>
      </c>
    </row>
    <row r="225">
      <c r="A225" s="2" t="n">
        <v>46139</v>
      </c>
      <c r="B225" s="3" t="inlineStr">
        <is>
          <t>INV-2604-0224</t>
        </is>
      </c>
      <c r="C225" s="3" t="inlineStr">
        <is>
          <t>Bhatt General Store</t>
        </is>
      </c>
      <c r="D225" s="3" t="inlineStr">
        <is>
          <t>Cola 750ml</t>
        </is>
      </c>
      <c r="E225" s="3" t="inlineStr">
        <is>
          <t>Beverages</t>
        </is>
      </c>
      <c r="F225" s="4" t="n">
        <v>42</v>
      </c>
      <c r="G225" s="5" t="n">
        <v>44.74</v>
      </c>
      <c r="H225" s="5">
        <f>F225*G225</f>
        <v/>
      </c>
      <c r="I225" s="5">
        <f>F225*VLOOKUP(D225,Products!$B$2:$E$13,3,FALSE)</f>
        <v/>
      </c>
    </row>
    <row r="226">
      <c r="A226" s="2" t="n">
        <v>46139</v>
      </c>
      <c r="B226" s="3" t="inlineStr">
        <is>
          <t>INV-2604-0225</t>
        </is>
      </c>
      <c r="C226" s="3" t="inlineStr">
        <is>
          <t>Dubey Kirana</t>
        </is>
      </c>
      <c r="D226" s="3" t="inlineStr">
        <is>
          <t>Curd Cup 400g</t>
        </is>
      </c>
      <c r="E226" s="3" t="inlineStr">
        <is>
          <t>Dairy</t>
        </is>
      </c>
      <c r="F226" s="4" t="n">
        <v>24</v>
      </c>
      <c r="G226" s="5" t="n">
        <v>45.87</v>
      </c>
      <c r="H226" s="5">
        <f>F226*G226</f>
        <v/>
      </c>
      <c r="I226" s="5">
        <f>F226*VLOOKUP(D226,Products!$B$2:$E$13,3,FALSE)</f>
        <v/>
      </c>
    </row>
    <row r="227">
      <c r="A227" s="2" t="n">
        <v>46139</v>
      </c>
      <c r="B227" s="3" t="inlineStr">
        <is>
          <t>INV-2604-0226</t>
        </is>
      </c>
      <c r="C227" s="3" t="inlineStr">
        <is>
          <t>Singh Super Bazaar</t>
        </is>
      </c>
      <c r="D227" s="3" t="inlineStr">
        <is>
          <t>Paneer 200g</t>
        </is>
      </c>
      <c r="E227" s="3" t="inlineStr">
        <is>
          <t>Dairy</t>
        </is>
      </c>
      <c r="F227" s="4" t="n">
        <v>23</v>
      </c>
      <c r="G227" s="5" t="n">
        <v>96.36</v>
      </c>
      <c r="H227" s="5">
        <f>F227*G227</f>
        <v/>
      </c>
      <c r="I227" s="5">
        <f>F227*VLOOKUP(D227,Products!$B$2:$E$13,3,FALSE)</f>
        <v/>
      </c>
    </row>
    <row r="228">
      <c r="A228" s="2" t="n">
        <v>46139</v>
      </c>
      <c r="B228" s="3" t="inlineStr">
        <is>
          <t>INV-2604-0227</t>
        </is>
      </c>
      <c r="C228" s="3" t="inlineStr">
        <is>
          <t>Singh Super Bazaar</t>
        </is>
      </c>
      <c r="D228" s="3" t="inlineStr">
        <is>
          <t>Toned Milk 1L</t>
        </is>
      </c>
      <c r="E228" s="3" t="inlineStr">
        <is>
          <t>Dairy</t>
        </is>
      </c>
      <c r="F228" s="4" t="n">
        <v>62</v>
      </c>
      <c r="G228" s="5" t="n">
        <v>64.34</v>
      </c>
      <c r="H228" s="5">
        <f>F228*G228</f>
        <v/>
      </c>
      <c r="I228" s="5">
        <f>F228*VLOOKUP(D228,Products!$B$2:$E$13,3,FALSE)</f>
        <v/>
      </c>
    </row>
    <row r="229">
      <c r="A229" s="2" t="n">
        <v>46139</v>
      </c>
      <c r="B229" s="3" t="inlineStr">
        <is>
          <t>INV-2604-0228</t>
        </is>
      </c>
      <c r="C229" s="3" t="inlineStr">
        <is>
          <t>Mishra Stores</t>
        </is>
      </c>
      <c r="D229" s="3" t="inlineStr">
        <is>
          <t>Biscuits 400g</t>
        </is>
      </c>
      <c r="E229" s="3" t="inlineStr">
        <is>
          <t>Snacks</t>
        </is>
      </c>
      <c r="F229" s="4" t="n">
        <v>69</v>
      </c>
      <c r="G229" s="5" t="n">
        <v>41.85</v>
      </c>
      <c r="H229" s="5">
        <f>F229*G229</f>
        <v/>
      </c>
      <c r="I229" s="5">
        <f>F229*VLOOKUP(D229,Products!$B$2:$E$13,3,FALSE)</f>
        <v/>
      </c>
    </row>
    <row r="230">
      <c r="A230" s="2" t="n">
        <v>46139</v>
      </c>
      <c r="B230" s="3" t="inlineStr">
        <is>
          <t>INV-2604-0229</t>
        </is>
      </c>
      <c r="C230" s="3" t="inlineStr">
        <is>
          <t>Azad Stores</t>
        </is>
      </c>
      <c r="D230" s="3" t="inlineStr">
        <is>
          <t>Dish Soap 500ml</t>
        </is>
      </c>
      <c r="E230" s="3" t="inlineStr">
        <is>
          <t>Household</t>
        </is>
      </c>
      <c r="F230" s="4" t="n">
        <v>48</v>
      </c>
      <c r="G230" s="5" t="n">
        <v>98.52</v>
      </c>
      <c r="H230" s="5">
        <f>F230*G230</f>
        <v/>
      </c>
      <c r="I230" s="5">
        <f>F230*VLOOKUP(D230,Products!$B$2:$E$13,3,FALSE)</f>
        <v/>
      </c>
    </row>
    <row r="231">
      <c r="A231" s="2" t="n">
        <v>46139</v>
      </c>
      <c r="B231" s="3" t="inlineStr">
        <is>
          <t>INV-2604-0230</t>
        </is>
      </c>
      <c r="C231" s="3" t="inlineStr">
        <is>
          <t>Verma Retail</t>
        </is>
      </c>
      <c r="D231" s="3" t="inlineStr">
        <is>
          <t>Toned Milk 1L</t>
        </is>
      </c>
      <c r="E231" s="3" t="inlineStr">
        <is>
          <t>Dairy</t>
        </is>
      </c>
      <c r="F231" s="4" t="n">
        <v>46</v>
      </c>
      <c r="G231" s="5" t="n">
        <v>65.42</v>
      </c>
      <c r="H231" s="5">
        <f>F231*G231</f>
        <v/>
      </c>
      <c r="I231" s="5">
        <f>F231*VLOOKUP(D231,Products!$B$2:$E$13,3,FALSE)</f>
        <v/>
      </c>
    </row>
    <row r="232">
      <c r="A232" s="2" t="n">
        <v>46139</v>
      </c>
      <c r="B232" s="3" t="inlineStr">
        <is>
          <t>INV-2604-0231</t>
        </is>
      </c>
      <c r="C232" s="3" t="inlineStr">
        <is>
          <t>Singh Super Bazaar</t>
        </is>
      </c>
      <c r="D232" s="3" t="inlineStr">
        <is>
          <t>Toned Milk 1L</t>
        </is>
      </c>
      <c r="E232" s="3" t="inlineStr">
        <is>
          <t>Dairy</t>
        </is>
      </c>
      <c r="F232" s="4" t="n">
        <v>37</v>
      </c>
      <c r="G232" s="5" t="n">
        <v>68.14</v>
      </c>
      <c r="H232" s="5">
        <f>F232*G232</f>
        <v/>
      </c>
      <c r="I232" s="5">
        <f>F232*VLOOKUP(D232,Products!$B$2:$E$13,3,FALSE)</f>
        <v/>
      </c>
    </row>
    <row r="233">
      <c r="A233" s="2" t="n">
        <v>46139</v>
      </c>
      <c r="B233" s="3" t="inlineStr">
        <is>
          <t>INV-2604-0232</t>
        </is>
      </c>
      <c r="C233" s="3" t="inlineStr">
        <is>
          <t>Rai Daily Mart</t>
        </is>
      </c>
      <c r="D233" s="3" t="inlineStr">
        <is>
          <t>Mango Juice 1L</t>
        </is>
      </c>
      <c r="E233" s="3" t="inlineStr">
        <is>
          <t>Beverages</t>
        </is>
      </c>
      <c r="F233" s="4" t="n">
        <v>15</v>
      </c>
      <c r="G233" s="5" t="n">
        <v>122.89</v>
      </c>
      <c r="H233" s="5">
        <f>F233*G233</f>
        <v/>
      </c>
      <c r="I233" s="5">
        <f>F233*VLOOKUP(D233,Products!$B$2:$E$13,3,FALSE)</f>
        <v/>
      </c>
    </row>
    <row r="234">
      <c r="A234" s="2" t="n">
        <v>46139</v>
      </c>
      <c r="B234" s="3" t="inlineStr">
        <is>
          <t>INV-2604-0233</t>
        </is>
      </c>
      <c r="C234" s="3" t="inlineStr">
        <is>
          <t>Bhatt General Store</t>
        </is>
      </c>
      <c r="D234" s="3" t="inlineStr">
        <is>
          <t>Cola 750ml</t>
        </is>
      </c>
      <c r="E234" s="3" t="inlineStr">
        <is>
          <t>Beverages</t>
        </is>
      </c>
      <c r="F234" s="4" t="n">
        <v>37</v>
      </c>
      <c r="G234" s="5" t="n">
        <v>45.85</v>
      </c>
      <c r="H234" s="5">
        <f>F234*G234</f>
        <v/>
      </c>
      <c r="I234" s="5">
        <f>F234*VLOOKUP(D234,Products!$B$2:$E$13,3,FALSE)</f>
        <v/>
      </c>
    </row>
    <row r="235">
      <c r="A235" s="2" t="n">
        <v>46140</v>
      </c>
      <c r="B235" s="3" t="inlineStr">
        <is>
          <t>INV-2604-0234</t>
        </is>
      </c>
      <c r="C235" s="3" t="inlineStr">
        <is>
          <t>Mishra Stores</t>
        </is>
      </c>
      <c r="D235" s="3" t="inlineStr">
        <is>
          <t>Mango Juice 1L</t>
        </is>
      </c>
      <c r="E235" s="3" t="inlineStr">
        <is>
          <t>Beverages</t>
        </is>
      </c>
      <c r="F235" s="4" t="n">
        <v>40</v>
      </c>
      <c r="G235" s="5" t="n">
        <v>120.34</v>
      </c>
      <c r="H235" s="5">
        <f>F235*G235</f>
        <v/>
      </c>
      <c r="I235" s="5">
        <f>F235*VLOOKUP(D235,Products!$B$2:$E$13,3,FALSE)</f>
        <v/>
      </c>
    </row>
    <row r="236">
      <c r="A236" s="2" t="n">
        <v>46140</v>
      </c>
      <c r="B236" s="3" t="inlineStr">
        <is>
          <t>INV-2604-0235</t>
        </is>
      </c>
      <c r="C236" s="3" t="inlineStr">
        <is>
          <t>Azad Stores</t>
        </is>
      </c>
      <c r="D236" s="3" t="inlineStr">
        <is>
          <t>Mango Juice 1L</t>
        </is>
      </c>
      <c r="E236" s="3" t="inlineStr">
        <is>
          <t>Beverages</t>
        </is>
      </c>
      <c r="F236" s="4" t="n">
        <v>46</v>
      </c>
      <c r="G236" s="5" t="n">
        <v>123.11</v>
      </c>
      <c r="H236" s="5">
        <f>F236*G236</f>
        <v/>
      </c>
      <c r="I236" s="5">
        <f>F236*VLOOKUP(D236,Products!$B$2:$E$13,3,FALSE)</f>
        <v/>
      </c>
    </row>
    <row r="237">
      <c r="A237" s="2" t="n">
        <v>46140</v>
      </c>
      <c r="B237" s="3" t="inlineStr">
        <is>
          <t>INV-2604-0236</t>
        </is>
      </c>
      <c r="C237" s="3" t="inlineStr">
        <is>
          <t>Pandey Stores</t>
        </is>
      </c>
      <c r="D237" s="3" t="inlineStr">
        <is>
          <t>Mango Juice 1L</t>
        </is>
      </c>
      <c r="E237" s="3" t="inlineStr">
        <is>
          <t>Beverages</t>
        </is>
      </c>
      <c r="F237" s="4" t="n">
        <v>26</v>
      </c>
      <c r="G237" s="5" t="n">
        <v>124.15</v>
      </c>
      <c r="H237" s="5">
        <f>F237*G237</f>
        <v/>
      </c>
      <c r="I237" s="5">
        <f>F237*VLOOKUP(D237,Products!$B$2:$E$13,3,FALSE)</f>
        <v/>
      </c>
    </row>
    <row r="238">
      <c r="A238" s="2" t="n">
        <v>46140</v>
      </c>
      <c r="B238" s="3" t="inlineStr">
        <is>
          <t>INV-2604-0237</t>
        </is>
      </c>
      <c r="C238" s="3" t="inlineStr">
        <is>
          <t>Raza Brothers</t>
        </is>
      </c>
      <c r="D238" s="3" t="inlineStr">
        <is>
          <t>Potato Chips 150g</t>
        </is>
      </c>
      <c r="E238" s="3" t="inlineStr">
        <is>
          <t>Snacks</t>
        </is>
      </c>
      <c r="F238" s="4" t="n">
        <v>37</v>
      </c>
      <c r="G238" s="5" t="n">
        <v>49.84</v>
      </c>
      <c r="H238" s="5">
        <f>F238*G238</f>
        <v/>
      </c>
      <c r="I238" s="5">
        <f>F238*VLOOKUP(D238,Products!$B$2:$E$13,3,FALSE)</f>
        <v/>
      </c>
    </row>
    <row r="239">
      <c r="A239" s="2" t="n">
        <v>46140</v>
      </c>
      <c r="B239" s="3" t="inlineStr">
        <is>
          <t>INV-2604-0238</t>
        </is>
      </c>
      <c r="C239" s="3" t="inlineStr">
        <is>
          <t>Ali General Store</t>
        </is>
      </c>
      <c r="D239" s="3" t="inlineStr">
        <is>
          <t>Cola 750ml</t>
        </is>
      </c>
      <c r="E239" s="3" t="inlineStr">
        <is>
          <t>Beverages</t>
        </is>
      </c>
      <c r="F239" s="4" t="n">
        <v>31</v>
      </c>
      <c r="G239" s="5" t="n">
        <v>44.19</v>
      </c>
      <c r="H239" s="5">
        <f>F239*G239</f>
        <v/>
      </c>
      <c r="I239" s="5">
        <f>F239*VLOOKUP(D239,Products!$B$2:$E$13,3,FALSE)</f>
        <v/>
      </c>
    </row>
    <row r="240">
      <c r="A240" s="2" t="n">
        <v>46140</v>
      </c>
      <c r="B240" s="3" t="inlineStr">
        <is>
          <t>INV-2604-0239</t>
        </is>
      </c>
      <c r="C240" s="3" t="inlineStr">
        <is>
          <t>Ali General Store</t>
        </is>
      </c>
      <c r="D240" s="3" t="inlineStr">
        <is>
          <t>Floor Cleaner 1L</t>
        </is>
      </c>
      <c r="E240" s="3" t="inlineStr">
        <is>
          <t>Household</t>
        </is>
      </c>
      <c r="F240" s="4" t="n">
        <v>3</v>
      </c>
      <c r="G240" s="5" t="n">
        <v>110.27</v>
      </c>
      <c r="H240" s="5">
        <f>F240*G240</f>
        <v/>
      </c>
      <c r="I240" s="5">
        <f>F240*VLOOKUP(D240,Products!$B$2:$E$13,3,FALSE)</f>
        <v/>
      </c>
    </row>
    <row r="241">
      <c r="A241" s="2" t="n">
        <v>46140</v>
      </c>
      <c r="B241" s="3" t="inlineStr">
        <is>
          <t>INV-2604-0240</t>
        </is>
      </c>
      <c r="C241" s="3" t="inlineStr">
        <is>
          <t>Verma Retail</t>
        </is>
      </c>
      <c r="D241" s="3" t="inlineStr">
        <is>
          <t>Instant Noodles 280g</t>
        </is>
      </c>
      <c r="E241" s="3" t="inlineStr">
        <is>
          <t>Snacks</t>
        </is>
      </c>
      <c r="F241" s="4" t="n">
        <v>42</v>
      </c>
      <c r="G241" s="5" t="n">
        <v>56.88</v>
      </c>
      <c r="H241" s="5">
        <f>F241*G241</f>
        <v/>
      </c>
      <c r="I241" s="5">
        <f>F241*VLOOKUP(D241,Products!$B$2:$E$13,3,FALSE)</f>
        <v/>
      </c>
    </row>
    <row r="242">
      <c r="A242" s="2" t="n">
        <v>46141</v>
      </c>
      <c r="B242" s="3" t="inlineStr">
        <is>
          <t>INV-2604-0241</t>
        </is>
      </c>
      <c r="C242" s="3" t="inlineStr">
        <is>
          <t>Choudhary Mart</t>
        </is>
      </c>
      <c r="D242" s="3" t="inlineStr">
        <is>
          <t>Mango Juice 1L</t>
        </is>
      </c>
      <c r="E242" s="3" t="inlineStr">
        <is>
          <t>Beverages</t>
        </is>
      </c>
      <c r="F242" s="4" t="n">
        <v>68</v>
      </c>
      <c r="G242" s="5" t="n">
        <v>119.78</v>
      </c>
      <c r="H242" s="5">
        <f>F242*G242</f>
        <v/>
      </c>
      <c r="I242" s="5">
        <f>F242*VLOOKUP(D242,Products!$B$2:$E$13,3,FALSE)</f>
        <v/>
      </c>
    </row>
    <row r="243">
      <c r="A243" s="2" t="n">
        <v>46141</v>
      </c>
      <c r="B243" s="3" t="inlineStr">
        <is>
          <t>INV-2604-0242</t>
        </is>
      </c>
      <c r="C243" s="3" t="inlineStr">
        <is>
          <t>Choudhary Mart</t>
        </is>
      </c>
      <c r="D243" s="3" t="inlineStr">
        <is>
          <t>Detergent 1kg</t>
        </is>
      </c>
      <c r="E243" s="3" t="inlineStr">
        <is>
          <t>Household</t>
        </is>
      </c>
      <c r="F243" s="4" t="n">
        <v>55</v>
      </c>
      <c r="G243" s="5" t="n">
        <v>136.03</v>
      </c>
      <c r="H243" s="5">
        <f>F243*G243</f>
        <v/>
      </c>
      <c r="I243" s="5">
        <f>F243*VLOOKUP(D243,Products!$B$2:$E$13,3,FALSE)</f>
        <v/>
      </c>
    </row>
    <row r="244">
      <c r="A244" s="2" t="n">
        <v>46141</v>
      </c>
      <c r="B244" s="3" t="inlineStr">
        <is>
          <t>INV-2604-0243</t>
        </is>
      </c>
      <c r="C244" s="3" t="inlineStr">
        <is>
          <t>Patel Traders</t>
        </is>
      </c>
      <c r="D244" s="3" t="inlineStr">
        <is>
          <t>Cola 750ml</t>
        </is>
      </c>
      <c r="E244" s="3" t="inlineStr">
        <is>
          <t>Beverages</t>
        </is>
      </c>
      <c r="F244" s="4" t="n">
        <v>26</v>
      </c>
      <c r="G244" s="5" t="n">
        <v>44.2</v>
      </c>
      <c r="H244" s="5">
        <f>F244*G244</f>
        <v/>
      </c>
      <c r="I244" s="5">
        <f>F244*VLOOKUP(D244,Products!$B$2:$E$13,3,FALSE)</f>
        <v/>
      </c>
    </row>
    <row r="245">
      <c r="A245" s="2" t="n">
        <v>46141</v>
      </c>
      <c r="B245" s="3" t="inlineStr">
        <is>
          <t>INV-2604-0244</t>
        </is>
      </c>
      <c r="C245" s="3" t="inlineStr">
        <is>
          <t>Rai Daily Mart</t>
        </is>
      </c>
      <c r="D245" s="3" t="inlineStr">
        <is>
          <t>Cola 750ml</t>
        </is>
      </c>
      <c r="E245" s="3" t="inlineStr">
        <is>
          <t>Beverages</t>
        </is>
      </c>
      <c r="F245" s="4" t="n">
        <v>30</v>
      </c>
      <c r="G245" s="5" t="n">
        <v>45</v>
      </c>
      <c r="H245" s="5">
        <f>F245*G245</f>
        <v/>
      </c>
      <c r="I245" s="5">
        <f>F245*VLOOKUP(D245,Products!$B$2:$E$13,3,FALSE)</f>
        <v/>
      </c>
    </row>
    <row r="246">
      <c r="A246" s="2" t="n">
        <v>46141</v>
      </c>
      <c r="B246" s="3" t="inlineStr">
        <is>
          <t>INV-2604-0245</t>
        </is>
      </c>
      <c r="C246" s="3" t="inlineStr">
        <is>
          <t>Yadav Daily Needs</t>
        </is>
      </c>
      <c r="D246" s="3" t="inlineStr">
        <is>
          <t>Packaged Water 1L</t>
        </is>
      </c>
      <c r="E246" s="3" t="inlineStr">
        <is>
          <t>Beverages</t>
        </is>
      </c>
      <c r="F246" s="4" t="n">
        <v>33</v>
      </c>
      <c r="G246" s="5" t="n">
        <v>20.83</v>
      </c>
      <c r="H246" s="5">
        <f>F246*G246</f>
        <v/>
      </c>
      <c r="I246" s="5">
        <f>F246*VLOOKUP(D246,Products!$B$2:$E$13,3,FALSE)</f>
        <v/>
      </c>
    </row>
    <row r="247">
      <c r="A247" s="2" t="n">
        <v>46141</v>
      </c>
      <c r="B247" s="3" t="inlineStr">
        <is>
          <t>INV-2604-0246</t>
        </is>
      </c>
      <c r="C247" s="3" t="inlineStr">
        <is>
          <t>Das &amp; Sons</t>
        </is>
      </c>
      <c r="D247" s="3" t="inlineStr">
        <is>
          <t>Cola 750ml</t>
        </is>
      </c>
      <c r="E247" s="3" t="inlineStr">
        <is>
          <t>Beverages</t>
        </is>
      </c>
      <c r="F247" s="4" t="n">
        <v>36</v>
      </c>
      <c r="G247" s="5" t="n">
        <v>46.37</v>
      </c>
      <c r="H247" s="5">
        <f>F247*G247</f>
        <v/>
      </c>
      <c r="I247" s="5">
        <f>F247*VLOOKUP(D247,Products!$B$2:$E$13,3,FALSE)</f>
        <v/>
      </c>
    </row>
    <row r="248">
      <c r="A248" s="2" t="n">
        <v>46141</v>
      </c>
      <c r="B248" s="3" t="inlineStr">
        <is>
          <t>INV-2604-0247</t>
        </is>
      </c>
      <c r="C248" s="3" t="inlineStr">
        <is>
          <t>Prasad Traders</t>
        </is>
      </c>
      <c r="D248" s="3" t="inlineStr">
        <is>
          <t>Floor Cleaner 1L</t>
        </is>
      </c>
      <c r="E248" s="3" t="inlineStr">
        <is>
          <t>Household</t>
        </is>
      </c>
      <c r="F248" s="4" t="n">
        <v>18</v>
      </c>
      <c r="G248" s="5" t="n">
        <v>110.29</v>
      </c>
      <c r="H248" s="5">
        <f>F248*G248</f>
        <v/>
      </c>
      <c r="I248" s="5">
        <f>F248*VLOOKUP(D248,Products!$B$2:$E$13,3,FALSE)</f>
        <v/>
      </c>
    </row>
    <row r="249">
      <c r="A249" s="2" t="n">
        <v>46141</v>
      </c>
      <c r="B249" s="3" t="inlineStr">
        <is>
          <t>INV-2604-0248</t>
        </is>
      </c>
      <c r="C249" s="3" t="inlineStr">
        <is>
          <t>Sahu Traders</t>
        </is>
      </c>
      <c r="D249" s="3" t="inlineStr">
        <is>
          <t>Floor Cleaner 1L</t>
        </is>
      </c>
      <c r="E249" s="3" t="inlineStr">
        <is>
          <t>Household</t>
        </is>
      </c>
      <c r="F249" s="4" t="n">
        <v>67</v>
      </c>
      <c r="G249" s="5" t="n">
        <v>114.96</v>
      </c>
      <c r="H249" s="5">
        <f>F249*G249</f>
        <v/>
      </c>
      <c r="I249" s="5">
        <f>F249*VLOOKUP(D249,Products!$B$2:$E$13,3,FALSE)</f>
        <v/>
      </c>
    </row>
    <row r="250">
      <c r="A250" s="2" t="n">
        <v>46141</v>
      </c>
      <c r="B250" s="3" t="inlineStr">
        <is>
          <t>INV-2604-0249</t>
        </is>
      </c>
      <c r="C250" s="3" t="inlineStr">
        <is>
          <t>Mehta Retail</t>
        </is>
      </c>
      <c r="D250" s="3" t="inlineStr">
        <is>
          <t>Biscuits 400g</t>
        </is>
      </c>
      <c r="E250" s="3" t="inlineStr">
        <is>
          <t>Snacks</t>
        </is>
      </c>
      <c r="F250" s="4" t="n">
        <v>25</v>
      </c>
      <c r="G250" s="5" t="n">
        <v>39.68</v>
      </c>
      <c r="H250" s="5">
        <f>F250*G250</f>
        <v/>
      </c>
      <c r="I250" s="5">
        <f>F250*VLOOKUP(D250,Products!$B$2:$E$13,3,FALSE)</f>
        <v/>
      </c>
    </row>
    <row r="251">
      <c r="A251" s="2" t="n">
        <v>46141</v>
      </c>
      <c r="B251" s="3" t="inlineStr">
        <is>
          <t>INV-2604-0250</t>
        </is>
      </c>
      <c r="C251" s="3" t="inlineStr">
        <is>
          <t>Dubey Kirana</t>
        </is>
      </c>
      <c r="D251" s="3" t="inlineStr">
        <is>
          <t>Packaged Water 1L</t>
        </is>
      </c>
      <c r="E251" s="3" t="inlineStr">
        <is>
          <t>Beverages</t>
        </is>
      </c>
      <c r="F251" s="4" t="n">
        <v>32</v>
      </c>
      <c r="G251" s="5" t="n">
        <v>20.4</v>
      </c>
      <c r="H251" s="5">
        <f>F251*G251</f>
        <v/>
      </c>
      <c r="I251" s="5">
        <f>F251*VLOOKUP(D251,Products!$B$2:$E$13,3,FALSE)</f>
        <v/>
      </c>
    </row>
    <row r="252">
      <c r="A252" s="2" t="n">
        <v>46142</v>
      </c>
      <c r="B252" s="3" t="inlineStr">
        <is>
          <t>INV-2604-0251</t>
        </is>
      </c>
      <c r="C252" s="3" t="inlineStr">
        <is>
          <t>Singh Super Bazaar</t>
        </is>
      </c>
      <c r="D252" s="3" t="inlineStr">
        <is>
          <t>Mango Juice 1L</t>
        </is>
      </c>
      <c r="E252" s="3" t="inlineStr">
        <is>
          <t>Beverages</t>
        </is>
      </c>
      <c r="F252" s="4" t="n">
        <v>19</v>
      </c>
      <c r="G252" s="5" t="n">
        <v>123.59</v>
      </c>
      <c r="H252" s="5">
        <f>F252*G252</f>
        <v/>
      </c>
      <c r="I252" s="5">
        <f>F252*VLOOKUP(D252,Products!$B$2:$E$13,3,FALSE)</f>
        <v/>
      </c>
    </row>
    <row r="253">
      <c r="A253" s="2" t="n">
        <v>46142</v>
      </c>
      <c r="B253" s="3" t="inlineStr">
        <is>
          <t>INV-2604-0252</t>
        </is>
      </c>
      <c r="C253" s="3" t="inlineStr">
        <is>
          <t>Rai Daily Mart</t>
        </is>
      </c>
      <c r="D253" s="3" t="inlineStr">
        <is>
          <t>Dish Soap 500ml</t>
        </is>
      </c>
      <c r="E253" s="3" t="inlineStr">
        <is>
          <t>Household</t>
        </is>
      </c>
      <c r="F253" s="4" t="n">
        <v>25</v>
      </c>
      <c r="G253" s="5" t="n">
        <v>97.39</v>
      </c>
      <c r="H253" s="5">
        <f>F253*G253</f>
        <v/>
      </c>
      <c r="I253" s="5">
        <f>F253*VLOOKUP(D253,Products!$B$2:$E$13,3,FALSE)</f>
        <v/>
      </c>
    </row>
    <row r="254">
      <c r="A254" s="2" t="n">
        <v>46142</v>
      </c>
      <c r="B254" s="3" t="inlineStr">
        <is>
          <t>INV-2604-0253</t>
        </is>
      </c>
      <c r="C254" s="3" t="inlineStr">
        <is>
          <t>Singh Super Bazaar</t>
        </is>
      </c>
      <c r="D254" s="3" t="inlineStr">
        <is>
          <t>Packaged Water 1L</t>
        </is>
      </c>
      <c r="E254" s="3" t="inlineStr">
        <is>
          <t>Beverages</t>
        </is>
      </c>
      <c r="F254" s="4" t="n">
        <v>38</v>
      </c>
      <c r="G254" s="5" t="n">
        <v>20.72</v>
      </c>
      <c r="H254" s="5">
        <f>F254*G254</f>
        <v/>
      </c>
      <c r="I254" s="5">
        <f>F254*VLOOKUP(D254,Products!$B$2:$E$13,3,FALSE)</f>
        <v/>
      </c>
    </row>
    <row r="255">
      <c r="A255" s="2" t="n">
        <v>46142</v>
      </c>
      <c r="B255" s="3" t="inlineStr">
        <is>
          <t>INV-2604-0254</t>
        </is>
      </c>
      <c r="C255" s="3" t="inlineStr">
        <is>
          <t>Tiwari General</t>
        </is>
      </c>
      <c r="D255" s="3" t="inlineStr">
        <is>
          <t>Biscuits 400g</t>
        </is>
      </c>
      <c r="E255" s="3" t="inlineStr">
        <is>
          <t>Snacks</t>
        </is>
      </c>
      <c r="F255" s="4" t="n">
        <v>39</v>
      </c>
      <c r="G255" s="5" t="n">
        <v>41.33</v>
      </c>
      <c r="H255" s="5">
        <f>F255*G255</f>
        <v/>
      </c>
      <c r="I255" s="5">
        <f>F255*VLOOKUP(D255,Products!$B$2:$E$13,3,FALSE)</f>
        <v/>
      </c>
    </row>
    <row r="256">
      <c r="A256" s="2" t="n">
        <v>46142</v>
      </c>
      <c r="B256" s="3" t="inlineStr">
        <is>
          <t>INV-2604-0255</t>
        </is>
      </c>
      <c r="C256" s="3" t="inlineStr">
        <is>
          <t>Mishra Stores</t>
        </is>
      </c>
      <c r="D256" s="3" t="inlineStr">
        <is>
          <t>Curd Cup 400g</t>
        </is>
      </c>
      <c r="E256" s="3" t="inlineStr">
        <is>
          <t>Dairy</t>
        </is>
      </c>
      <c r="F256" s="4" t="n">
        <v>24</v>
      </c>
      <c r="G256" s="5" t="n">
        <v>47.16</v>
      </c>
      <c r="H256" s="5">
        <f>F256*G256</f>
        <v/>
      </c>
      <c r="I256" s="5">
        <f>F256*VLOOKUP(D256,Products!$B$2:$E$13,3,FALSE)</f>
        <v/>
      </c>
    </row>
    <row r="257">
      <c r="A257" s="2" t="n">
        <v>46142</v>
      </c>
      <c r="B257" s="3" t="inlineStr">
        <is>
          <t>INV-2604-0256</t>
        </is>
      </c>
      <c r="C257" s="3" t="inlineStr">
        <is>
          <t>Dubey Kirana</t>
        </is>
      </c>
      <c r="D257" s="3" t="inlineStr">
        <is>
          <t>Paneer 200g</t>
        </is>
      </c>
      <c r="E257" s="3" t="inlineStr">
        <is>
          <t>Dairy</t>
        </is>
      </c>
      <c r="F257" s="4" t="n">
        <v>48</v>
      </c>
      <c r="G257" s="5" t="n">
        <v>95.81999999999999</v>
      </c>
      <c r="H257" s="5">
        <f>F257*G257</f>
        <v/>
      </c>
      <c r="I257" s="5">
        <f>F257*VLOOKUP(D257,Products!$B$2:$E$13,3,FALSE)</f>
        <v/>
      </c>
    </row>
    <row r="258">
      <c r="A258" s="2" t="n">
        <v>46142</v>
      </c>
      <c r="B258" s="3" t="inlineStr">
        <is>
          <t>INV-2604-0257</t>
        </is>
      </c>
      <c r="C258" s="3" t="inlineStr">
        <is>
          <t>Rai Daily Mart</t>
        </is>
      </c>
      <c r="D258" s="3" t="inlineStr">
        <is>
          <t>Instant Noodles 280g</t>
        </is>
      </c>
      <c r="E258" s="3" t="inlineStr">
        <is>
          <t>Snacks</t>
        </is>
      </c>
      <c r="F258" s="4" t="n">
        <v>58</v>
      </c>
      <c r="G258" s="5" t="n">
        <v>58.52</v>
      </c>
      <c r="H258" s="5">
        <f>F258*G258</f>
        <v/>
      </c>
      <c r="I258" s="5">
        <f>F258*VLOOKUP(D258,Products!$B$2:$E$13,3,FALSE)</f>
        <v/>
      </c>
    </row>
    <row r="259">
      <c r="A259" s="2" t="n">
        <v>46142</v>
      </c>
      <c r="B259" s="3" t="inlineStr">
        <is>
          <t>INV-2604-0258</t>
        </is>
      </c>
      <c r="C259" s="3" t="inlineStr">
        <is>
          <t>Sharma Provision</t>
        </is>
      </c>
      <c r="D259" s="3" t="inlineStr">
        <is>
          <t>Curd Cup 400g</t>
        </is>
      </c>
      <c r="E259" s="3" t="inlineStr">
        <is>
          <t>Dairy</t>
        </is>
      </c>
      <c r="F259" s="4" t="n">
        <v>46</v>
      </c>
      <c r="G259" s="5" t="n">
        <v>47.07</v>
      </c>
      <c r="H259" s="5">
        <f>F259*G259</f>
        <v/>
      </c>
      <c r="I259" s="5">
        <f>F259*VLOOKUP(D259,Products!$B$2:$E$13,3,FALSE)</f>
        <v/>
      </c>
    </row>
    <row r="260">
      <c r="A260" s="2" t="n">
        <v>46142</v>
      </c>
      <c r="B260" s="3" t="inlineStr">
        <is>
          <t>INV-2604-0259</t>
        </is>
      </c>
      <c r="C260" s="3" t="inlineStr">
        <is>
          <t>Singh Super Bazaar</t>
        </is>
      </c>
      <c r="D260" s="3" t="inlineStr">
        <is>
          <t>Dish Soap 500ml</t>
        </is>
      </c>
      <c r="E260" s="3" t="inlineStr">
        <is>
          <t>Household</t>
        </is>
      </c>
      <c r="F260" s="4" t="n">
        <v>23</v>
      </c>
      <c r="G260" s="5" t="n">
        <v>100.75</v>
      </c>
      <c r="H260" s="5">
        <f>F260*G260</f>
        <v/>
      </c>
      <c r="I260" s="5">
        <f>F260*VLOOKUP(D260,Products!$B$2:$E$13,3,FALSE)</f>
        <v/>
      </c>
    </row>
    <row r="261">
      <c r="A261" s="2" t="n">
        <v>46143</v>
      </c>
      <c r="B261" s="3" t="inlineStr">
        <is>
          <t>INV-2605-0260</t>
        </is>
      </c>
      <c r="C261" s="3" t="inlineStr">
        <is>
          <t>Singh Super Bazaar</t>
        </is>
      </c>
      <c r="D261" s="3" t="inlineStr">
        <is>
          <t>Detergent 1kg</t>
        </is>
      </c>
      <c r="E261" s="3" t="inlineStr">
        <is>
          <t>Household</t>
        </is>
      </c>
      <c r="F261" s="4" t="n">
        <v>65</v>
      </c>
      <c r="G261" s="5" t="n">
        <v>134.31</v>
      </c>
      <c r="H261" s="5">
        <f>F261*G261</f>
        <v/>
      </c>
      <c r="I261" s="5">
        <f>F261*VLOOKUP(D261,Products!$B$2:$E$13,3,FALSE)</f>
        <v/>
      </c>
    </row>
    <row r="262">
      <c r="A262" s="2" t="n">
        <v>46143</v>
      </c>
      <c r="B262" s="3" t="inlineStr">
        <is>
          <t>INV-2605-0261</t>
        </is>
      </c>
      <c r="C262" s="3" t="inlineStr">
        <is>
          <t>Kumari Kirana</t>
        </is>
      </c>
      <c r="D262" s="3" t="inlineStr">
        <is>
          <t>Paneer 200g</t>
        </is>
      </c>
      <c r="E262" s="3" t="inlineStr">
        <is>
          <t>Dairy</t>
        </is>
      </c>
      <c r="F262" s="4" t="n">
        <v>47</v>
      </c>
      <c r="G262" s="5" t="n">
        <v>98.34</v>
      </c>
      <c r="H262" s="5">
        <f>F262*G262</f>
        <v/>
      </c>
      <c r="I262" s="5">
        <f>F262*VLOOKUP(D262,Products!$B$2:$E$13,3,FALSE)</f>
        <v/>
      </c>
    </row>
    <row r="263">
      <c r="A263" s="2" t="n">
        <v>46143</v>
      </c>
      <c r="B263" s="3" t="inlineStr">
        <is>
          <t>INV-2605-0262</t>
        </is>
      </c>
      <c r="C263" s="3" t="inlineStr">
        <is>
          <t>Mishra Stores</t>
        </is>
      </c>
      <c r="D263" s="3" t="inlineStr">
        <is>
          <t>Biscuits 400g</t>
        </is>
      </c>
      <c r="E263" s="3" t="inlineStr">
        <is>
          <t>Snacks</t>
        </is>
      </c>
      <c r="F263" s="4" t="n">
        <v>16</v>
      </c>
      <c r="G263" s="5" t="n">
        <v>40.94</v>
      </c>
      <c r="H263" s="5">
        <f>F263*G263</f>
        <v/>
      </c>
      <c r="I263" s="5">
        <f>F263*VLOOKUP(D263,Products!$B$2:$E$13,3,FALSE)</f>
        <v/>
      </c>
    </row>
    <row r="264">
      <c r="A264" s="2" t="n">
        <v>46143</v>
      </c>
      <c r="B264" s="3" t="inlineStr">
        <is>
          <t>INV-2605-0263</t>
        </is>
      </c>
      <c r="C264" s="3" t="inlineStr">
        <is>
          <t>Nath Provisions</t>
        </is>
      </c>
      <c r="D264" s="3" t="inlineStr">
        <is>
          <t>Mango Juice 1L</t>
        </is>
      </c>
      <c r="E264" s="3" t="inlineStr">
        <is>
          <t>Beverages</t>
        </is>
      </c>
      <c r="F264" s="4" t="n">
        <v>5</v>
      </c>
      <c r="G264" s="5" t="n">
        <v>124.69</v>
      </c>
      <c r="H264" s="5">
        <f>F264*G264</f>
        <v/>
      </c>
      <c r="I264" s="5">
        <f>F264*VLOOKUP(D264,Products!$B$2:$E$13,3,FALSE)</f>
        <v/>
      </c>
    </row>
    <row r="265">
      <c r="A265" s="2" t="n">
        <v>46143</v>
      </c>
      <c r="B265" s="3" t="inlineStr">
        <is>
          <t>INV-2605-0264</t>
        </is>
      </c>
      <c r="C265" s="3" t="inlineStr">
        <is>
          <t>Singh Super Bazaar</t>
        </is>
      </c>
      <c r="D265" s="3" t="inlineStr">
        <is>
          <t>Curd Cup 400g</t>
        </is>
      </c>
      <c r="E265" s="3" t="inlineStr">
        <is>
          <t>Dairy</t>
        </is>
      </c>
      <c r="F265" s="4" t="n">
        <v>65</v>
      </c>
      <c r="G265" s="5" t="n">
        <v>46.82</v>
      </c>
      <c r="H265" s="5">
        <f>F265*G265</f>
        <v/>
      </c>
      <c r="I265" s="5">
        <f>F265*VLOOKUP(D265,Products!$B$2:$E$13,3,FALSE)</f>
        <v/>
      </c>
    </row>
    <row r="266">
      <c r="A266" s="2" t="n">
        <v>46143</v>
      </c>
      <c r="B266" s="3" t="inlineStr">
        <is>
          <t>INV-2605-0265</t>
        </is>
      </c>
      <c r="C266" s="3" t="inlineStr">
        <is>
          <t>Raza Brothers</t>
        </is>
      </c>
      <c r="D266" s="3" t="inlineStr">
        <is>
          <t>Toned Milk 1L</t>
        </is>
      </c>
      <c r="E266" s="3" t="inlineStr">
        <is>
          <t>Dairy</t>
        </is>
      </c>
      <c r="F266" s="4" t="n">
        <v>64</v>
      </c>
      <c r="G266" s="5" t="n">
        <v>65.52</v>
      </c>
      <c r="H266" s="5">
        <f>F266*G266</f>
        <v/>
      </c>
      <c r="I266" s="5">
        <f>F266*VLOOKUP(D266,Products!$B$2:$E$13,3,FALSE)</f>
        <v/>
      </c>
    </row>
    <row r="267">
      <c r="A267" s="2" t="n">
        <v>46143</v>
      </c>
      <c r="B267" s="3" t="inlineStr">
        <is>
          <t>INV-2605-0266</t>
        </is>
      </c>
      <c r="C267" s="3" t="inlineStr">
        <is>
          <t>Mehta Retail</t>
        </is>
      </c>
      <c r="D267" s="3" t="inlineStr">
        <is>
          <t>Potato Chips 150g</t>
        </is>
      </c>
      <c r="E267" s="3" t="inlineStr">
        <is>
          <t>Snacks</t>
        </is>
      </c>
      <c r="F267" s="4" t="n">
        <v>61</v>
      </c>
      <c r="G267" s="5" t="n">
        <v>48.93</v>
      </c>
      <c r="H267" s="5">
        <f>F267*G267</f>
        <v/>
      </c>
      <c r="I267" s="5">
        <f>F267*VLOOKUP(D267,Products!$B$2:$E$13,3,FALSE)</f>
        <v/>
      </c>
    </row>
    <row r="268">
      <c r="A268" s="2" t="n">
        <v>46143</v>
      </c>
      <c r="B268" s="3" t="inlineStr">
        <is>
          <t>INV-2605-0267</t>
        </is>
      </c>
      <c r="C268" s="3" t="inlineStr">
        <is>
          <t>Sinha Super Mart</t>
        </is>
      </c>
      <c r="D268" s="3" t="inlineStr">
        <is>
          <t>Potato Chips 150g</t>
        </is>
      </c>
      <c r="E268" s="3" t="inlineStr">
        <is>
          <t>Snacks</t>
        </is>
      </c>
      <c r="F268" s="4" t="n">
        <v>77</v>
      </c>
      <c r="G268" s="5" t="n">
        <v>51.33</v>
      </c>
      <c r="H268" s="5">
        <f>F268*G268</f>
        <v/>
      </c>
      <c r="I268" s="5">
        <f>F268*VLOOKUP(D268,Products!$B$2:$E$13,3,FALSE)</f>
        <v/>
      </c>
    </row>
    <row r="269">
      <c r="A269" s="2" t="n">
        <v>46144</v>
      </c>
      <c r="B269" s="3" t="inlineStr">
        <is>
          <t>INV-2605-0268</t>
        </is>
      </c>
      <c r="C269" s="3" t="inlineStr">
        <is>
          <t>Das &amp; Sons</t>
        </is>
      </c>
      <c r="D269" s="3" t="inlineStr">
        <is>
          <t>Toned Milk 1L</t>
        </is>
      </c>
      <c r="E269" s="3" t="inlineStr">
        <is>
          <t>Dairy</t>
        </is>
      </c>
      <c r="F269" s="4" t="n">
        <v>71</v>
      </c>
      <c r="G269" s="5" t="n">
        <v>66.41</v>
      </c>
      <c r="H269" s="5">
        <f>F269*G269</f>
        <v/>
      </c>
      <c r="I269" s="5">
        <f>F269*VLOOKUP(D269,Products!$B$2:$E$13,3,FALSE)</f>
        <v/>
      </c>
    </row>
    <row r="270">
      <c r="A270" s="2" t="n">
        <v>46144</v>
      </c>
      <c r="B270" s="3" t="inlineStr">
        <is>
          <t>INV-2605-0269</t>
        </is>
      </c>
      <c r="C270" s="3" t="inlineStr">
        <is>
          <t>Raza Brothers</t>
        </is>
      </c>
      <c r="D270" s="3" t="inlineStr">
        <is>
          <t>Instant Noodles 280g</t>
        </is>
      </c>
      <c r="E270" s="3" t="inlineStr">
        <is>
          <t>Snacks</t>
        </is>
      </c>
      <c r="F270" s="4" t="n">
        <v>65</v>
      </c>
      <c r="G270" s="5" t="n">
        <v>56.57</v>
      </c>
      <c r="H270" s="5">
        <f>F270*G270</f>
        <v/>
      </c>
      <c r="I270" s="5">
        <f>F270*VLOOKUP(D270,Products!$B$2:$E$13,3,FALSE)</f>
        <v/>
      </c>
    </row>
    <row r="271">
      <c r="A271" s="2" t="n">
        <v>46144</v>
      </c>
      <c r="B271" s="3" t="inlineStr">
        <is>
          <t>INV-2605-0270</t>
        </is>
      </c>
      <c r="C271" s="3" t="inlineStr">
        <is>
          <t>Kumari Kirana</t>
        </is>
      </c>
      <c r="D271" s="3" t="inlineStr">
        <is>
          <t>Cola 750ml</t>
        </is>
      </c>
      <c r="E271" s="3" t="inlineStr">
        <is>
          <t>Beverages</t>
        </is>
      </c>
      <c r="F271" s="4" t="n">
        <v>81</v>
      </c>
      <c r="G271" s="5" t="n">
        <v>45.66</v>
      </c>
      <c r="H271" s="5">
        <f>F271*G271</f>
        <v/>
      </c>
      <c r="I271" s="5">
        <f>F271*VLOOKUP(D271,Products!$B$2:$E$13,3,FALSE)</f>
        <v/>
      </c>
    </row>
    <row r="272">
      <c r="A272" s="2" t="n">
        <v>46144</v>
      </c>
      <c r="B272" s="3" t="inlineStr">
        <is>
          <t>INV-2605-0271</t>
        </is>
      </c>
      <c r="C272" s="3" t="inlineStr">
        <is>
          <t>Choudhary Mart</t>
        </is>
      </c>
      <c r="D272" s="3" t="inlineStr">
        <is>
          <t>Dish Soap 500ml</t>
        </is>
      </c>
      <c r="E272" s="3" t="inlineStr">
        <is>
          <t>Household</t>
        </is>
      </c>
      <c r="F272" s="4" t="n">
        <v>25</v>
      </c>
      <c r="G272" s="5" t="n">
        <v>97.22</v>
      </c>
      <c r="H272" s="5">
        <f>F272*G272</f>
        <v/>
      </c>
      <c r="I272" s="5">
        <f>F272*VLOOKUP(D272,Products!$B$2:$E$13,3,FALSE)</f>
        <v/>
      </c>
    </row>
    <row r="273">
      <c r="A273" s="2" t="n">
        <v>46144</v>
      </c>
      <c r="B273" s="3" t="inlineStr">
        <is>
          <t>INV-2605-0272</t>
        </is>
      </c>
      <c r="C273" s="3" t="inlineStr">
        <is>
          <t>Azad Stores</t>
        </is>
      </c>
      <c r="D273" s="3" t="inlineStr">
        <is>
          <t>Mango Juice 1L</t>
        </is>
      </c>
      <c r="E273" s="3" t="inlineStr">
        <is>
          <t>Beverages</t>
        </is>
      </c>
      <c r="F273" s="4" t="n">
        <v>62</v>
      </c>
      <c r="G273" s="5" t="n">
        <v>125.45</v>
      </c>
      <c r="H273" s="5">
        <f>F273*G273</f>
        <v/>
      </c>
      <c r="I273" s="5">
        <f>F273*VLOOKUP(D273,Products!$B$2:$E$13,3,FALSE)</f>
        <v/>
      </c>
    </row>
    <row r="274">
      <c r="A274" s="2" t="n">
        <v>46144</v>
      </c>
      <c r="B274" s="3" t="inlineStr">
        <is>
          <t>INV-2605-0273</t>
        </is>
      </c>
      <c r="C274" s="3" t="inlineStr">
        <is>
          <t>Mishra Stores</t>
        </is>
      </c>
      <c r="D274" s="3" t="inlineStr">
        <is>
          <t>Potato Chips 150g</t>
        </is>
      </c>
      <c r="E274" s="3" t="inlineStr">
        <is>
          <t>Snacks</t>
        </is>
      </c>
      <c r="F274" s="4" t="n">
        <v>55</v>
      </c>
      <c r="G274" s="5" t="n">
        <v>51.43</v>
      </c>
      <c r="H274" s="5">
        <f>F274*G274</f>
        <v/>
      </c>
      <c r="I274" s="5">
        <f>F274*VLOOKUP(D274,Products!$B$2:$E$13,3,FALSE)</f>
        <v/>
      </c>
    </row>
    <row r="275">
      <c r="A275" s="2" t="n">
        <v>46144</v>
      </c>
      <c r="B275" s="3" t="inlineStr">
        <is>
          <t>INV-2605-0274</t>
        </is>
      </c>
      <c r="C275" s="3" t="inlineStr">
        <is>
          <t>Yadav Daily Needs</t>
        </is>
      </c>
      <c r="D275" s="3" t="inlineStr">
        <is>
          <t>Mango Juice 1L</t>
        </is>
      </c>
      <c r="E275" s="3" t="inlineStr">
        <is>
          <t>Beverages</t>
        </is>
      </c>
      <c r="F275" s="4" t="n">
        <v>33</v>
      </c>
      <c r="G275" s="5" t="n">
        <v>119.77</v>
      </c>
      <c r="H275" s="5">
        <f>F275*G275</f>
        <v/>
      </c>
      <c r="I275" s="5">
        <f>F275*VLOOKUP(D275,Products!$B$2:$E$13,3,FALSE)</f>
        <v/>
      </c>
    </row>
    <row r="276">
      <c r="A276" s="2" t="n">
        <v>46145</v>
      </c>
      <c r="B276" s="3" t="inlineStr">
        <is>
          <t>INV-2605-0275</t>
        </is>
      </c>
      <c r="C276" s="3" t="inlineStr">
        <is>
          <t>Singh Super Bazaar</t>
        </is>
      </c>
      <c r="D276" s="3" t="inlineStr">
        <is>
          <t>Floor Cleaner 1L</t>
        </is>
      </c>
      <c r="E276" s="3" t="inlineStr">
        <is>
          <t>Household</t>
        </is>
      </c>
      <c r="F276" s="4" t="n">
        <v>81</v>
      </c>
      <c r="G276" s="5" t="n">
        <v>114.99</v>
      </c>
      <c r="H276" s="5">
        <f>F276*G276</f>
        <v/>
      </c>
      <c r="I276" s="5">
        <f>F276*VLOOKUP(D276,Products!$B$2:$E$13,3,FALSE)</f>
        <v/>
      </c>
    </row>
    <row r="277">
      <c r="A277" s="2" t="n">
        <v>46145</v>
      </c>
      <c r="B277" s="3" t="inlineStr">
        <is>
          <t>INV-2605-0276</t>
        </is>
      </c>
      <c r="C277" s="3" t="inlineStr">
        <is>
          <t>Kumari Kirana</t>
        </is>
      </c>
      <c r="D277" s="3" t="inlineStr">
        <is>
          <t>Dish Soap 500ml</t>
        </is>
      </c>
      <c r="E277" s="3" t="inlineStr">
        <is>
          <t>Household</t>
        </is>
      </c>
      <c r="F277" s="4" t="n">
        <v>84</v>
      </c>
      <c r="G277" s="5" t="n">
        <v>99.17</v>
      </c>
      <c r="H277" s="5">
        <f>F277*G277</f>
        <v/>
      </c>
      <c r="I277" s="5">
        <f>F277*VLOOKUP(D277,Products!$B$2:$E$13,3,FALSE)</f>
        <v/>
      </c>
    </row>
    <row r="278">
      <c r="A278" s="2" t="n">
        <v>46145</v>
      </c>
      <c r="B278" s="3" t="inlineStr">
        <is>
          <t>INV-2605-0277</t>
        </is>
      </c>
      <c r="C278" s="3" t="inlineStr">
        <is>
          <t>Yadav Daily Needs</t>
        </is>
      </c>
      <c r="D278" s="3" t="inlineStr">
        <is>
          <t>Toned Milk 1L</t>
        </is>
      </c>
      <c r="E278" s="3" t="inlineStr">
        <is>
          <t>Dairy</t>
        </is>
      </c>
      <c r="F278" s="4" t="n">
        <v>11</v>
      </c>
      <c r="G278" s="5" t="n">
        <v>67.44</v>
      </c>
      <c r="H278" s="5">
        <f>F278*G278</f>
        <v/>
      </c>
      <c r="I278" s="5">
        <f>F278*VLOOKUP(D278,Products!$B$2:$E$13,3,FALSE)</f>
        <v/>
      </c>
    </row>
    <row r="279">
      <c r="A279" s="2" t="n">
        <v>46145</v>
      </c>
      <c r="B279" s="3" t="inlineStr">
        <is>
          <t>INV-2605-0278</t>
        </is>
      </c>
      <c r="C279" s="3" t="inlineStr">
        <is>
          <t>Sinha Super Mart</t>
        </is>
      </c>
      <c r="D279" s="3" t="inlineStr">
        <is>
          <t>Cola 750ml</t>
        </is>
      </c>
      <c r="E279" s="3" t="inlineStr">
        <is>
          <t>Beverages</t>
        </is>
      </c>
      <c r="F279" s="4" t="n">
        <v>36</v>
      </c>
      <c r="G279" s="5" t="n">
        <v>45.92</v>
      </c>
      <c r="H279" s="5">
        <f>F279*G279</f>
        <v/>
      </c>
      <c r="I279" s="5">
        <f>F279*VLOOKUP(D279,Products!$B$2:$E$13,3,FALSE)</f>
        <v/>
      </c>
    </row>
    <row r="280">
      <c r="A280" s="2" t="n">
        <v>46145</v>
      </c>
      <c r="B280" s="3" t="inlineStr">
        <is>
          <t>INV-2605-0279</t>
        </is>
      </c>
      <c r="C280" s="3" t="inlineStr">
        <is>
          <t>Bhatt General Store</t>
        </is>
      </c>
      <c r="D280" s="3" t="inlineStr">
        <is>
          <t>Toned Milk 1L</t>
        </is>
      </c>
      <c r="E280" s="3" t="inlineStr">
        <is>
          <t>Dairy</t>
        </is>
      </c>
      <c r="F280" s="4" t="n">
        <v>13</v>
      </c>
      <c r="G280" s="5" t="n">
        <v>68.44</v>
      </c>
      <c r="H280" s="5">
        <f>F280*G280</f>
        <v/>
      </c>
      <c r="I280" s="5">
        <f>F280*VLOOKUP(D280,Products!$B$2:$E$13,3,FALSE)</f>
        <v/>
      </c>
    </row>
    <row r="281">
      <c r="A281" s="2" t="n">
        <v>46145</v>
      </c>
      <c r="B281" s="3" t="inlineStr">
        <is>
          <t>INV-2605-0280</t>
        </is>
      </c>
      <c r="C281" s="3" t="inlineStr">
        <is>
          <t>Mehta Retail</t>
        </is>
      </c>
      <c r="D281" s="3" t="inlineStr">
        <is>
          <t>Packaged Water 1L</t>
        </is>
      </c>
      <c r="E281" s="3" t="inlineStr">
        <is>
          <t>Beverages</t>
        </is>
      </c>
      <c r="F281" s="4" t="n">
        <v>39</v>
      </c>
      <c r="G281" s="5" t="n">
        <v>20.17</v>
      </c>
      <c r="H281" s="5">
        <f>F281*G281</f>
        <v/>
      </c>
      <c r="I281" s="5">
        <f>F281*VLOOKUP(D281,Products!$B$2:$E$13,3,FALSE)</f>
        <v/>
      </c>
    </row>
    <row r="282">
      <c r="A282" s="2" t="n">
        <v>46145</v>
      </c>
      <c r="B282" s="3" t="inlineStr">
        <is>
          <t>INV-2605-0281</t>
        </is>
      </c>
      <c r="C282" s="3" t="inlineStr">
        <is>
          <t>Raza Brothers</t>
        </is>
      </c>
      <c r="D282" s="3" t="inlineStr">
        <is>
          <t>Potato Chips 150g</t>
        </is>
      </c>
      <c r="E282" s="3" t="inlineStr">
        <is>
          <t>Snacks</t>
        </is>
      </c>
      <c r="F282" s="4" t="n">
        <v>63</v>
      </c>
      <c r="G282" s="5" t="n">
        <v>49.48</v>
      </c>
      <c r="H282" s="5">
        <f>F282*G282</f>
        <v/>
      </c>
      <c r="I282" s="5">
        <f>F282*VLOOKUP(D282,Products!$B$2:$E$13,3,FALSE)</f>
        <v/>
      </c>
    </row>
    <row r="283">
      <c r="A283" s="2" t="n">
        <v>46145</v>
      </c>
      <c r="B283" s="3" t="inlineStr">
        <is>
          <t>INV-2605-0282</t>
        </is>
      </c>
      <c r="C283" s="3" t="inlineStr">
        <is>
          <t>Tiwari General</t>
        </is>
      </c>
      <c r="D283" s="3" t="inlineStr">
        <is>
          <t>Cola 750ml</t>
        </is>
      </c>
      <c r="E283" s="3" t="inlineStr">
        <is>
          <t>Beverages</t>
        </is>
      </c>
      <c r="F283" s="4" t="n">
        <v>33</v>
      </c>
      <c r="G283" s="5" t="n">
        <v>44.94</v>
      </c>
      <c r="H283" s="5">
        <f>F283*G283</f>
        <v/>
      </c>
      <c r="I283" s="5">
        <f>F283*VLOOKUP(D283,Products!$B$2:$E$13,3,FALSE)</f>
        <v/>
      </c>
    </row>
    <row r="284">
      <c r="A284" s="2" t="n">
        <v>46146</v>
      </c>
      <c r="B284" s="3" t="inlineStr">
        <is>
          <t>INV-2605-0283</t>
        </is>
      </c>
      <c r="C284" s="3" t="inlineStr">
        <is>
          <t>Yadav Daily Needs</t>
        </is>
      </c>
      <c r="D284" s="3" t="inlineStr">
        <is>
          <t>Dish Soap 500ml</t>
        </is>
      </c>
      <c r="E284" s="3" t="inlineStr">
        <is>
          <t>Household</t>
        </is>
      </c>
      <c r="F284" s="4" t="n">
        <v>66</v>
      </c>
      <c r="G284" s="5" t="n">
        <v>97.52</v>
      </c>
      <c r="H284" s="5">
        <f>F284*G284</f>
        <v/>
      </c>
      <c r="I284" s="5">
        <f>F284*VLOOKUP(D284,Products!$B$2:$E$13,3,FALSE)</f>
        <v/>
      </c>
    </row>
    <row r="285">
      <c r="A285" s="2" t="n">
        <v>46146</v>
      </c>
      <c r="B285" s="3" t="inlineStr">
        <is>
          <t>INV-2605-0284</t>
        </is>
      </c>
      <c r="C285" s="3" t="inlineStr">
        <is>
          <t>Tiwari General</t>
        </is>
      </c>
      <c r="D285" s="3" t="inlineStr">
        <is>
          <t>Curd Cup 400g</t>
        </is>
      </c>
      <c r="E285" s="3" t="inlineStr">
        <is>
          <t>Dairy</t>
        </is>
      </c>
      <c r="F285" s="4" t="n">
        <v>20</v>
      </c>
      <c r="G285" s="5" t="n">
        <v>46.96</v>
      </c>
      <c r="H285" s="5">
        <f>F285*G285</f>
        <v/>
      </c>
      <c r="I285" s="5">
        <f>F285*VLOOKUP(D285,Products!$B$2:$E$13,3,FALSE)</f>
        <v/>
      </c>
    </row>
    <row r="286">
      <c r="A286" s="2" t="n">
        <v>46146</v>
      </c>
      <c r="B286" s="3" t="inlineStr">
        <is>
          <t>INV-2605-0285</t>
        </is>
      </c>
      <c r="C286" s="3" t="inlineStr">
        <is>
          <t>Kumari Kirana</t>
        </is>
      </c>
      <c r="D286" s="3" t="inlineStr">
        <is>
          <t>Biscuits 400g</t>
        </is>
      </c>
      <c r="E286" s="3" t="inlineStr">
        <is>
          <t>Snacks</t>
        </is>
      </c>
      <c r="F286" s="4" t="n">
        <v>7</v>
      </c>
      <c r="G286" s="5" t="n">
        <v>39.87</v>
      </c>
      <c r="H286" s="5">
        <f>F286*G286</f>
        <v/>
      </c>
      <c r="I286" s="5">
        <f>F286*VLOOKUP(D286,Products!$B$2:$E$13,3,FALSE)</f>
        <v/>
      </c>
    </row>
    <row r="287">
      <c r="A287" s="2" t="n">
        <v>46146</v>
      </c>
      <c r="B287" s="3" t="inlineStr">
        <is>
          <t>INV-2605-0286</t>
        </is>
      </c>
      <c r="C287" s="3" t="inlineStr">
        <is>
          <t>Verma Retail</t>
        </is>
      </c>
      <c r="D287" s="3" t="inlineStr">
        <is>
          <t>Detergent 1kg</t>
        </is>
      </c>
      <c r="E287" s="3" t="inlineStr">
        <is>
          <t>Household</t>
        </is>
      </c>
      <c r="F287" s="4" t="n">
        <v>51</v>
      </c>
      <c r="G287" s="5" t="n">
        <v>126.85</v>
      </c>
      <c r="H287" s="5">
        <f>F287*G287</f>
        <v/>
      </c>
      <c r="I287" s="5">
        <f>F287*VLOOKUP(D287,Products!$B$2:$E$13,3,FALSE)</f>
        <v/>
      </c>
    </row>
    <row r="288">
      <c r="A288" s="2" t="n">
        <v>46146</v>
      </c>
      <c r="B288" s="3" t="inlineStr">
        <is>
          <t>INV-2605-0287</t>
        </is>
      </c>
      <c r="C288" s="3" t="inlineStr">
        <is>
          <t>Mehta Retail</t>
        </is>
      </c>
      <c r="D288" s="3" t="inlineStr">
        <is>
          <t>Cola 750ml</t>
        </is>
      </c>
      <c r="E288" s="3" t="inlineStr">
        <is>
          <t>Beverages</t>
        </is>
      </c>
      <c r="F288" s="4" t="n">
        <v>101</v>
      </c>
      <c r="G288" s="5" t="n">
        <v>44.31</v>
      </c>
      <c r="H288" s="5">
        <f>F288*G288</f>
        <v/>
      </c>
      <c r="I288" s="5">
        <f>F288*VLOOKUP(D288,Products!$B$2:$E$13,3,FALSE)</f>
        <v/>
      </c>
    </row>
    <row r="289">
      <c r="A289" s="2" t="n">
        <v>46146</v>
      </c>
      <c r="B289" s="3" t="inlineStr">
        <is>
          <t>INV-2605-0288</t>
        </is>
      </c>
      <c r="C289" s="3" t="inlineStr">
        <is>
          <t>Ali General Store</t>
        </is>
      </c>
      <c r="D289" s="3" t="inlineStr">
        <is>
          <t>Cola 750ml</t>
        </is>
      </c>
      <c r="E289" s="3" t="inlineStr">
        <is>
          <t>Beverages</t>
        </is>
      </c>
      <c r="F289" s="4" t="n">
        <v>12</v>
      </c>
      <c r="G289" s="5" t="n">
        <v>46.06</v>
      </c>
      <c r="H289" s="5">
        <f>F289*G289</f>
        <v/>
      </c>
      <c r="I289" s="5">
        <f>F289*VLOOKUP(D289,Products!$B$2:$E$13,3,FALSE)</f>
        <v/>
      </c>
    </row>
    <row r="290">
      <c r="A290" s="2" t="n">
        <v>46147</v>
      </c>
      <c r="B290" s="3" t="inlineStr">
        <is>
          <t>INV-2605-0289</t>
        </is>
      </c>
      <c r="C290" s="3" t="inlineStr">
        <is>
          <t>Ali General Store</t>
        </is>
      </c>
      <c r="D290" s="3" t="inlineStr">
        <is>
          <t>Paneer 200g</t>
        </is>
      </c>
      <c r="E290" s="3" t="inlineStr">
        <is>
          <t>Dairy</t>
        </is>
      </c>
      <c r="F290" s="4" t="n">
        <v>41</v>
      </c>
      <c r="G290" s="5" t="n">
        <v>99.29000000000001</v>
      </c>
      <c r="H290" s="5">
        <f>F290*G290</f>
        <v/>
      </c>
      <c r="I290" s="5">
        <f>F290*VLOOKUP(D290,Products!$B$2:$E$13,3,FALSE)</f>
        <v/>
      </c>
    </row>
    <row r="291">
      <c r="A291" s="2" t="n">
        <v>46147</v>
      </c>
      <c r="B291" s="3" t="inlineStr">
        <is>
          <t>INV-2605-0290</t>
        </is>
      </c>
      <c r="C291" s="3" t="inlineStr">
        <is>
          <t>Yadav Daily Needs</t>
        </is>
      </c>
      <c r="D291" s="3" t="inlineStr">
        <is>
          <t>Cola 750ml</t>
        </is>
      </c>
      <c r="E291" s="3" t="inlineStr">
        <is>
          <t>Beverages</t>
        </is>
      </c>
      <c r="F291" s="4" t="n">
        <v>21</v>
      </c>
      <c r="G291" s="5" t="n">
        <v>46.63</v>
      </c>
      <c r="H291" s="5">
        <f>F291*G291</f>
        <v/>
      </c>
      <c r="I291" s="5">
        <f>F291*VLOOKUP(D291,Products!$B$2:$E$13,3,FALSE)</f>
        <v/>
      </c>
    </row>
    <row r="292">
      <c r="A292" s="2" t="n">
        <v>46147</v>
      </c>
      <c r="B292" s="3" t="inlineStr">
        <is>
          <t>INV-2605-0291</t>
        </is>
      </c>
      <c r="C292" s="3" t="inlineStr">
        <is>
          <t>Azad Stores</t>
        </is>
      </c>
      <c r="D292" s="3" t="inlineStr">
        <is>
          <t>Cola 750ml</t>
        </is>
      </c>
      <c r="E292" s="3" t="inlineStr">
        <is>
          <t>Beverages</t>
        </is>
      </c>
      <c r="F292" s="4" t="n">
        <v>11</v>
      </c>
      <c r="G292" s="5" t="n">
        <v>47.21</v>
      </c>
      <c r="H292" s="5">
        <f>F292*G292</f>
        <v/>
      </c>
      <c r="I292" s="5">
        <f>F292*VLOOKUP(D292,Products!$B$2:$E$13,3,FALSE)</f>
        <v/>
      </c>
    </row>
    <row r="293">
      <c r="A293" s="2" t="n">
        <v>46147</v>
      </c>
      <c r="B293" s="3" t="inlineStr">
        <is>
          <t>INV-2605-0292</t>
        </is>
      </c>
      <c r="C293" s="3" t="inlineStr">
        <is>
          <t>Khan Mart</t>
        </is>
      </c>
      <c r="D293" s="3" t="inlineStr">
        <is>
          <t>Dish Soap 500ml</t>
        </is>
      </c>
      <c r="E293" s="3" t="inlineStr">
        <is>
          <t>Household</t>
        </is>
      </c>
      <c r="F293" s="4" t="n">
        <v>22</v>
      </c>
      <c r="G293" s="5" t="n">
        <v>96.92</v>
      </c>
      <c r="H293" s="5">
        <f>F293*G293</f>
        <v/>
      </c>
      <c r="I293" s="5">
        <f>F293*VLOOKUP(D293,Products!$B$2:$E$13,3,FALSE)</f>
        <v/>
      </c>
    </row>
    <row r="294">
      <c r="A294" s="2" t="n">
        <v>46147</v>
      </c>
      <c r="B294" s="3" t="inlineStr">
        <is>
          <t>INV-2605-0293</t>
        </is>
      </c>
      <c r="C294" s="3" t="inlineStr">
        <is>
          <t>Sahu Traders</t>
        </is>
      </c>
      <c r="D294" s="3" t="inlineStr">
        <is>
          <t>Cola 750ml</t>
        </is>
      </c>
      <c r="E294" s="3" t="inlineStr">
        <is>
          <t>Beverages</t>
        </is>
      </c>
      <c r="F294" s="4" t="n">
        <v>91</v>
      </c>
      <c r="G294" s="5" t="n">
        <v>46.21</v>
      </c>
      <c r="H294" s="5">
        <f>F294*G294</f>
        <v/>
      </c>
      <c r="I294" s="5">
        <f>F294*VLOOKUP(D294,Products!$B$2:$E$13,3,FALSE)</f>
        <v/>
      </c>
    </row>
    <row r="295">
      <c r="A295" s="2" t="n">
        <v>46147</v>
      </c>
      <c r="B295" s="3" t="inlineStr">
        <is>
          <t>INV-2605-0294</t>
        </is>
      </c>
      <c r="C295" s="3" t="inlineStr">
        <is>
          <t>Singh Super Bazaar</t>
        </is>
      </c>
      <c r="D295" s="3" t="inlineStr">
        <is>
          <t>Toned Milk 1L</t>
        </is>
      </c>
      <c r="E295" s="3" t="inlineStr">
        <is>
          <t>Dairy</t>
        </is>
      </c>
      <c r="F295" s="4" t="n">
        <v>44</v>
      </c>
      <c r="G295" s="5" t="n">
        <v>64.88</v>
      </c>
      <c r="H295" s="5">
        <f>F295*G295</f>
        <v/>
      </c>
      <c r="I295" s="5">
        <f>F295*VLOOKUP(D295,Products!$B$2:$E$13,3,FALSE)</f>
        <v/>
      </c>
    </row>
    <row r="296">
      <c r="A296" s="2" t="n">
        <v>46147</v>
      </c>
      <c r="B296" s="3" t="inlineStr">
        <is>
          <t>INV-2605-0295</t>
        </is>
      </c>
      <c r="C296" s="3" t="inlineStr">
        <is>
          <t>Khan Mart</t>
        </is>
      </c>
      <c r="D296" s="3" t="inlineStr">
        <is>
          <t>Dish Soap 500ml</t>
        </is>
      </c>
      <c r="E296" s="3" t="inlineStr">
        <is>
          <t>Household</t>
        </is>
      </c>
      <c r="F296" s="4" t="n">
        <v>57</v>
      </c>
      <c r="G296" s="5" t="n">
        <v>103.66</v>
      </c>
      <c r="H296" s="5">
        <f>F296*G296</f>
        <v/>
      </c>
      <c r="I296" s="5">
        <f>F296*VLOOKUP(D296,Products!$B$2:$E$13,3,FALSE)</f>
        <v/>
      </c>
    </row>
    <row r="297">
      <c r="A297" s="2" t="n">
        <v>46147</v>
      </c>
      <c r="B297" s="3" t="inlineStr">
        <is>
          <t>INV-2605-0296</t>
        </is>
      </c>
      <c r="C297" s="3" t="inlineStr">
        <is>
          <t>Bhatt General Store</t>
        </is>
      </c>
      <c r="D297" s="3" t="inlineStr">
        <is>
          <t>Cola 750ml</t>
        </is>
      </c>
      <c r="E297" s="3" t="inlineStr">
        <is>
          <t>Beverages</t>
        </is>
      </c>
      <c r="F297" s="4" t="n">
        <v>47</v>
      </c>
      <c r="G297" s="5" t="n">
        <v>44.06</v>
      </c>
      <c r="H297" s="5">
        <f>F297*G297</f>
        <v/>
      </c>
      <c r="I297" s="5">
        <f>F297*VLOOKUP(D297,Products!$B$2:$E$13,3,FALSE)</f>
        <v/>
      </c>
    </row>
    <row r="298">
      <c r="A298" s="2" t="n">
        <v>46148</v>
      </c>
      <c r="B298" s="3" t="inlineStr">
        <is>
          <t>INV-2605-0297</t>
        </is>
      </c>
      <c r="C298" s="3" t="inlineStr">
        <is>
          <t>Jha Provisions</t>
        </is>
      </c>
      <c r="D298" s="3" t="inlineStr">
        <is>
          <t>Packaged Water 1L</t>
        </is>
      </c>
      <c r="E298" s="3" t="inlineStr">
        <is>
          <t>Beverages</t>
        </is>
      </c>
      <c r="F298" s="4" t="n">
        <v>31</v>
      </c>
      <c r="G298" s="5" t="n">
        <v>19.55</v>
      </c>
      <c r="H298" s="5">
        <f>F298*G298</f>
        <v/>
      </c>
      <c r="I298" s="5">
        <f>F298*VLOOKUP(D298,Products!$B$2:$E$13,3,FALSE)</f>
        <v/>
      </c>
    </row>
    <row r="299">
      <c r="A299" s="2" t="n">
        <v>46148</v>
      </c>
      <c r="B299" s="3" t="inlineStr">
        <is>
          <t>INV-2605-0298</t>
        </is>
      </c>
      <c r="C299" s="3" t="inlineStr">
        <is>
          <t>Dubey Kirana</t>
        </is>
      </c>
      <c r="D299" s="3" t="inlineStr">
        <is>
          <t>Packaged Water 1L</t>
        </is>
      </c>
      <c r="E299" s="3" t="inlineStr">
        <is>
          <t>Beverages</t>
        </is>
      </c>
      <c r="F299" s="4" t="n">
        <v>56</v>
      </c>
      <c r="G299" s="5" t="n">
        <v>19.64</v>
      </c>
      <c r="H299" s="5">
        <f>F299*G299</f>
        <v/>
      </c>
      <c r="I299" s="5">
        <f>F299*VLOOKUP(D299,Products!$B$2:$E$13,3,FALSE)</f>
        <v/>
      </c>
    </row>
    <row r="300">
      <c r="A300" s="2" t="n">
        <v>46148</v>
      </c>
      <c r="B300" s="3" t="inlineStr">
        <is>
          <t>INV-2605-0299</t>
        </is>
      </c>
      <c r="C300" s="3" t="inlineStr">
        <is>
          <t>Das &amp; Sons</t>
        </is>
      </c>
      <c r="D300" s="3" t="inlineStr">
        <is>
          <t>Biscuits 400g</t>
        </is>
      </c>
      <c r="E300" s="3" t="inlineStr">
        <is>
          <t>Snacks</t>
        </is>
      </c>
      <c r="F300" s="4" t="n">
        <v>15</v>
      </c>
      <c r="G300" s="5" t="n">
        <v>41.66</v>
      </c>
      <c r="H300" s="5">
        <f>F300*G300</f>
        <v/>
      </c>
      <c r="I300" s="5">
        <f>F300*VLOOKUP(D300,Products!$B$2:$E$13,3,FALSE)</f>
        <v/>
      </c>
    </row>
    <row r="301">
      <c r="A301" s="2" t="n">
        <v>46148</v>
      </c>
      <c r="B301" s="3" t="inlineStr">
        <is>
          <t>INV-2605-0300</t>
        </is>
      </c>
      <c r="C301" s="3" t="inlineStr">
        <is>
          <t>Gupta General Store</t>
        </is>
      </c>
      <c r="D301" s="3" t="inlineStr">
        <is>
          <t>Biscuits 400g</t>
        </is>
      </c>
      <c r="E301" s="3" t="inlineStr">
        <is>
          <t>Snacks</t>
        </is>
      </c>
      <c r="F301" s="4" t="n">
        <v>59</v>
      </c>
      <c r="G301" s="5" t="n">
        <v>40.46</v>
      </c>
      <c r="H301" s="5">
        <f>F301*G301</f>
        <v/>
      </c>
      <c r="I301" s="5">
        <f>F301*VLOOKUP(D301,Products!$B$2:$E$13,3,FALSE)</f>
        <v/>
      </c>
    </row>
    <row r="302">
      <c r="A302" s="2" t="n">
        <v>46148</v>
      </c>
      <c r="B302" s="3" t="inlineStr">
        <is>
          <t>INV-2605-0301</t>
        </is>
      </c>
      <c r="C302" s="3" t="inlineStr">
        <is>
          <t>Bhatt General Store</t>
        </is>
      </c>
      <c r="D302" s="3" t="inlineStr">
        <is>
          <t>Cola 750ml</t>
        </is>
      </c>
      <c r="E302" s="3" t="inlineStr">
        <is>
          <t>Beverages</t>
        </is>
      </c>
      <c r="F302" s="4" t="n">
        <v>65</v>
      </c>
      <c r="G302" s="5" t="n">
        <v>44.8</v>
      </c>
      <c r="H302" s="5">
        <f>F302*G302</f>
        <v/>
      </c>
      <c r="I302" s="5">
        <f>F302*VLOOKUP(D302,Products!$B$2:$E$13,3,FALSE)</f>
        <v/>
      </c>
    </row>
    <row r="303">
      <c r="A303" s="2" t="n">
        <v>46148</v>
      </c>
      <c r="B303" s="3" t="inlineStr">
        <is>
          <t>INV-2605-0302</t>
        </is>
      </c>
      <c r="C303" s="3" t="inlineStr">
        <is>
          <t>Bhatt General Store</t>
        </is>
      </c>
      <c r="D303" s="3" t="inlineStr">
        <is>
          <t>Floor Cleaner 1L</t>
        </is>
      </c>
      <c r="E303" s="3" t="inlineStr">
        <is>
          <t>Household</t>
        </is>
      </c>
      <c r="F303" s="4" t="n">
        <v>25</v>
      </c>
      <c r="G303" s="5" t="n">
        <v>113.6</v>
      </c>
      <c r="H303" s="5">
        <f>F303*G303</f>
        <v/>
      </c>
      <c r="I303" s="5">
        <f>F303*VLOOKUP(D303,Products!$B$2:$E$13,3,FALSE)</f>
        <v/>
      </c>
    </row>
    <row r="304">
      <c r="A304" s="2" t="n">
        <v>46148</v>
      </c>
      <c r="B304" s="3" t="inlineStr">
        <is>
          <t>INV-2605-0303</t>
        </is>
      </c>
      <c r="C304" s="3" t="inlineStr">
        <is>
          <t>Khan Mart</t>
        </is>
      </c>
      <c r="D304" s="3" t="inlineStr">
        <is>
          <t>Floor Cleaner 1L</t>
        </is>
      </c>
      <c r="E304" s="3" t="inlineStr">
        <is>
          <t>Household</t>
        </is>
      </c>
      <c r="F304" s="4" t="n">
        <v>46</v>
      </c>
      <c r="G304" s="5" t="n">
        <v>111.08</v>
      </c>
      <c r="H304" s="5">
        <f>F304*G304</f>
        <v/>
      </c>
      <c r="I304" s="5">
        <f>F304*VLOOKUP(D304,Products!$B$2:$E$13,3,FALSE)</f>
        <v/>
      </c>
    </row>
    <row r="305">
      <c r="A305" s="2" t="n">
        <v>46148</v>
      </c>
      <c r="B305" s="3" t="inlineStr">
        <is>
          <t>INV-2605-0304</t>
        </is>
      </c>
      <c r="C305" s="3" t="inlineStr">
        <is>
          <t>Sharma Provision</t>
        </is>
      </c>
      <c r="D305" s="3" t="inlineStr">
        <is>
          <t>Instant Noodles 280g</t>
        </is>
      </c>
      <c r="E305" s="3" t="inlineStr">
        <is>
          <t>Snacks</t>
        </is>
      </c>
      <c r="F305" s="4" t="n">
        <v>45</v>
      </c>
      <c r="G305" s="5" t="n">
        <v>57.62</v>
      </c>
      <c r="H305" s="5">
        <f>F305*G305</f>
        <v/>
      </c>
      <c r="I305" s="5">
        <f>F305*VLOOKUP(D305,Products!$B$2:$E$13,3,FALSE)</f>
        <v/>
      </c>
    </row>
    <row r="306">
      <c r="A306" s="2" t="n">
        <v>46148</v>
      </c>
      <c r="B306" s="3" t="inlineStr">
        <is>
          <t>INV-2605-0305</t>
        </is>
      </c>
      <c r="C306" s="3" t="inlineStr">
        <is>
          <t>Pandey Stores</t>
        </is>
      </c>
      <c r="D306" s="3" t="inlineStr">
        <is>
          <t>Toned Milk 1L</t>
        </is>
      </c>
      <c r="E306" s="3" t="inlineStr">
        <is>
          <t>Dairy</t>
        </is>
      </c>
      <c r="F306" s="4" t="n">
        <v>33</v>
      </c>
      <c r="G306" s="5" t="n">
        <v>68.67</v>
      </c>
      <c r="H306" s="5">
        <f>F306*G306</f>
        <v/>
      </c>
      <c r="I306" s="5">
        <f>F306*VLOOKUP(D306,Products!$B$2:$E$13,3,FALSE)</f>
        <v/>
      </c>
    </row>
    <row r="307">
      <c r="A307" s="2" t="n">
        <v>46149</v>
      </c>
      <c r="B307" s="3" t="inlineStr">
        <is>
          <t>INV-2605-0306</t>
        </is>
      </c>
      <c r="C307" s="3" t="inlineStr">
        <is>
          <t>Jha Provisions</t>
        </is>
      </c>
      <c r="D307" s="3" t="inlineStr">
        <is>
          <t>Toned Milk 1L</t>
        </is>
      </c>
      <c r="E307" s="3" t="inlineStr">
        <is>
          <t>Dairy</t>
        </is>
      </c>
      <c r="F307" s="4" t="n">
        <v>13</v>
      </c>
      <c r="G307" s="5" t="n">
        <v>67.75</v>
      </c>
      <c r="H307" s="5">
        <f>F307*G307</f>
        <v/>
      </c>
      <c r="I307" s="5">
        <f>F307*VLOOKUP(D307,Products!$B$2:$E$13,3,FALSE)</f>
        <v/>
      </c>
    </row>
    <row r="308">
      <c r="A308" s="2" t="n">
        <v>46149</v>
      </c>
      <c r="B308" s="3" t="inlineStr">
        <is>
          <t>INV-2605-0307</t>
        </is>
      </c>
      <c r="C308" s="3" t="inlineStr">
        <is>
          <t>Bhatt General Store</t>
        </is>
      </c>
      <c r="D308" s="3" t="inlineStr">
        <is>
          <t>Cola 750ml</t>
        </is>
      </c>
      <c r="E308" s="3" t="inlineStr">
        <is>
          <t>Beverages</t>
        </is>
      </c>
      <c r="F308" s="4" t="n">
        <v>84</v>
      </c>
      <c r="G308" s="5" t="n">
        <v>44.37</v>
      </c>
      <c r="H308" s="5">
        <f>F308*G308</f>
        <v/>
      </c>
      <c r="I308" s="5">
        <f>F308*VLOOKUP(D308,Products!$B$2:$E$13,3,FALSE)</f>
        <v/>
      </c>
    </row>
    <row r="309">
      <c r="A309" s="2" t="n">
        <v>46149</v>
      </c>
      <c r="B309" s="3" t="inlineStr">
        <is>
          <t>INV-2605-0308</t>
        </is>
      </c>
      <c r="C309" s="3" t="inlineStr">
        <is>
          <t>Gupta General Store</t>
        </is>
      </c>
      <c r="D309" s="3" t="inlineStr">
        <is>
          <t>Potato Chips 150g</t>
        </is>
      </c>
      <c r="E309" s="3" t="inlineStr">
        <is>
          <t>Snacks</t>
        </is>
      </c>
      <c r="F309" s="4" t="n">
        <v>31</v>
      </c>
      <c r="G309" s="5" t="n">
        <v>48.87</v>
      </c>
      <c r="H309" s="5">
        <f>F309*G309</f>
        <v/>
      </c>
      <c r="I309" s="5">
        <f>F309*VLOOKUP(D309,Products!$B$2:$E$13,3,FALSE)</f>
        <v/>
      </c>
    </row>
    <row r="310">
      <c r="A310" s="2" t="n">
        <v>46149</v>
      </c>
      <c r="B310" s="3" t="inlineStr">
        <is>
          <t>INV-2605-0309</t>
        </is>
      </c>
      <c r="C310" s="3" t="inlineStr">
        <is>
          <t>Pandey Stores</t>
        </is>
      </c>
      <c r="D310" s="3" t="inlineStr">
        <is>
          <t>Mango Juice 1L</t>
        </is>
      </c>
      <c r="E310" s="3" t="inlineStr">
        <is>
          <t>Beverages</t>
        </is>
      </c>
      <c r="F310" s="4" t="n">
        <v>21</v>
      </c>
      <c r="G310" s="5" t="n">
        <v>122.78</v>
      </c>
      <c r="H310" s="5">
        <f>F310*G310</f>
        <v/>
      </c>
      <c r="I310" s="5">
        <f>F310*VLOOKUP(D310,Products!$B$2:$E$13,3,FALSE)</f>
        <v/>
      </c>
    </row>
    <row r="311">
      <c r="A311" s="2" t="n">
        <v>46149</v>
      </c>
      <c r="B311" s="3" t="inlineStr">
        <is>
          <t>INV-2605-0310</t>
        </is>
      </c>
      <c r="C311" s="3" t="inlineStr">
        <is>
          <t>Sinha Super Mart</t>
        </is>
      </c>
      <c r="D311" s="3" t="inlineStr">
        <is>
          <t>Packaged Water 1L</t>
        </is>
      </c>
      <c r="E311" s="3" t="inlineStr">
        <is>
          <t>Beverages</t>
        </is>
      </c>
      <c r="F311" s="4" t="n">
        <v>52</v>
      </c>
      <c r="G311" s="5" t="n">
        <v>19.79</v>
      </c>
      <c r="H311" s="5">
        <f>F311*G311</f>
        <v/>
      </c>
      <c r="I311" s="5">
        <f>F311*VLOOKUP(D311,Products!$B$2:$E$13,3,FALSE)</f>
        <v/>
      </c>
    </row>
    <row r="312">
      <c r="A312" s="2" t="n">
        <v>46149</v>
      </c>
      <c r="B312" s="3" t="inlineStr">
        <is>
          <t>INV-2605-0311</t>
        </is>
      </c>
      <c r="C312" s="3" t="inlineStr">
        <is>
          <t>Das &amp; Sons</t>
        </is>
      </c>
      <c r="D312" s="3" t="inlineStr">
        <is>
          <t>Cola 750ml</t>
        </is>
      </c>
      <c r="E312" s="3" t="inlineStr">
        <is>
          <t>Beverages</t>
        </is>
      </c>
      <c r="F312" s="4" t="n">
        <v>54</v>
      </c>
      <c r="G312" s="5" t="n">
        <v>46.9</v>
      </c>
      <c r="H312" s="5">
        <f>F312*G312</f>
        <v/>
      </c>
      <c r="I312" s="5">
        <f>F312*VLOOKUP(D312,Products!$B$2:$E$13,3,FALSE)</f>
        <v/>
      </c>
    </row>
    <row r="313">
      <c r="A313" s="2" t="n">
        <v>46149</v>
      </c>
      <c r="B313" s="3" t="inlineStr">
        <is>
          <t>INV-2605-0312</t>
        </is>
      </c>
      <c r="C313" s="3" t="inlineStr">
        <is>
          <t>Jha Provisions</t>
        </is>
      </c>
      <c r="D313" s="3" t="inlineStr">
        <is>
          <t>Detergent 1kg</t>
        </is>
      </c>
      <c r="E313" s="3" t="inlineStr">
        <is>
          <t>Household</t>
        </is>
      </c>
      <c r="F313" s="4" t="n">
        <v>39</v>
      </c>
      <c r="G313" s="5" t="n">
        <v>136.05</v>
      </c>
      <c r="H313" s="5">
        <f>F313*G313</f>
        <v/>
      </c>
      <c r="I313" s="5">
        <f>F313*VLOOKUP(D313,Products!$B$2:$E$13,3,FALSE)</f>
        <v/>
      </c>
    </row>
    <row r="314">
      <c r="A314" s="2" t="n">
        <v>46149</v>
      </c>
      <c r="B314" s="3" t="inlineStr">
        <is>
          <t>INV-2605-0313</t>
        </is>
      </c>
      <c r="C314" s="3" t="inlineStr">
        <is>
          <t>Patel Traders</t>
        </is>
      </c>
      <c r="D314" s="3" t="inlineStr">
        <is>
          <t>Paneer 200g</t>
        </is>
      </c>
      <c r="E314" s="3" t="inlineStr">
        <is>
          <t>Dairy</t>
        </is>
      </c>
      <c r="F314" s="4" t="n">
        <v>28</v>
      </c>
      <c r="G314" s="5" t="n">
        <v>93.23999999999999</v>
      </c>
      <c r="H314" s="5">
        <f>F314*G314</f>
        <v/>
      </c>
      <c r="I314" s="5">
        <f>F314*VLOOKUP(D314,Products!$B$2:$E$13,3,FALSE)</f>
        <v/>
      </c>
    </row>
    <row r="315">
      <c r="A315" s="2" t="n">
        <v>46149</v>
      </c>
      <c r="B315" s="3" t="inlineStr">
        <is>
          <t>INV-2605-0314</t>
        </is>
      </c>
      <c r="C315" s="3" t="inlineStr">
        <is>
          <t>Pandey Stores</t>
        </is>
      </c>
      <c r="D315" s="3" t="inlineStr">
        <is>
          <t>Instant Noodles 280g</t>
        </is>
      </c>
      <c r="E315" s="3" t="inlineStr">
        <is>
          <t>Snacks</t>
        </is>
      </c>
      <c r="F315" s="4" t="n">
        <v>77</v>
      </c>
      <c r="G315" s="5" t="n">
        <v>57.76</v>
      </c>
      <c r="H315" s="5">
        <f>F315*G315</f>
        <v/>
      </c>
      <c r="I315" s="5">
        <f>F315*VLOOKUP(D315,Products!$B$2:$E$13,3,FALSE)</f>
        <v/>
      </c>
    </row>
    <row r="316">
      <c r="A316" s="2" t="n">
        <v>46149</v>
      </c>
      <c r="B316" s="3" t="inlineStr">
        <is>
          <t>INV-2605-0315</t>
        </is>
      </c>
      <c r="C316" s="3" t="inlineStr">
        <is>
          <t>Patel Traders</t>
        </is>
      </c>
      <c r="D316" s="3" t="inlineStr">
        <is>
          <t>Cola 750ml</t>
        </is>
      </c>
      <c r="E316" s="3" t="inlineStr">
        <is>
          <t>Beverages</t>
        </is>
      </c>
      <c r="F316" s="4" t="n">
        <v>28</v>
      </c>
      <c r="G316" s="5" t="n">
        <v>46.12</v>
      </c>
      <c r="H316" s="5">
        <f>F316*G316</f>
        <v/>
      </c>
      <c r="I316" s="5">
        <f>F316*VLOOKUP(D316,Products!$B$2:$E$13,3,FALSE)</f>
        <v/>
      </c>
    </row>
    <row r="317">
      <c r="A317" s="2" t="n">
        <v>46149</v>
      </c>
      <c r="B317" s="3" t="inlineStr">
        <is>
          <t>INV-2605-0316</t>
        </is>
      </c>
      <c r="C317" s="3" t="inlineStr">
        <is>
          <t>Rai Daily Mart</t>
        </is>
      </c>
      <c r="D317" s="3" t="inlineStr">
        <is>
          <t>Mango Juice 1L</t>
        </is>
      </c>
      <c r="E317" s="3" t="inlineStr">
        <is>
          <t>Beverages</t>
        </is>
      </c>
      <c r="F317" s="4" t="n">
        <v>80</v>
      </c>
      <c r="G317" s="5" t="n">
        <v>124.03</v>
      </c>
      <c r="H317" s="5">
        <f>F317*G317</f>
        <v/>
      </c>
      <c r="I317" s="5">
        <f>F317*VLOOKUP(D317,Products!$B$2:$E$13,3,FALSE)</f>
        <v/>
      </c>
    </row>
    <row r="318">
      <c r="A318" s="2" t="n">
        <v>46150</v>
      </c>
      <c r="B318" s="3" t="inlineStr">
        <is>
          <t>INV-2605-0317</t>
        </is>
      </c>
      <c r="C318" s="3" t="inlineStr">
        <is>
          <t>Pandey Stores</t>
        </is>
      </c>
      <c r="D318" s="3" t="inlineStr">
        <is>
          <t>Instant Noodles 280g</t>
        </is>
      </c>
      <c r="E318" s="3" t="inlineStr">
        <is>
          <t>Snacks</t>
        </is>
      </c>
      <c r="F318" s="4" t="n">
        <v>27</v>
      </c>
      <c r="G318" s="5" t="n">
        <v>55.41</v>
      </c>
      <c r="H318" s="5">
        <f>F318*G318</f>
        <v/>
      </c>
      <c r="I318" s="5">
        <f>F318*VLOOKUP(D318,Products!$B$2:$E$13,3,FALSE)</f>
        <v/>
      </c>
    </row>
    <row r="319">
      <c r="A319" s="2" t="n">
        <v>46150</v>
      </c>
      <c r="B319" s="3" t="inlineStr">
        <is>
          <t>INV-2605-0318</t>
        </is>
      </c>
      <c r="C319" s="3" t="inlineStr">
        <is>
          <t>Jha Provisions</t>
        </is>
      </c>
      <c r="D319" s="3" t="inlineStr">
        <is>
          <t>Packaged Water 1L</t>
        </is>
      </c>
      <c r="E319" s="3" t="inlineStr">
        <is>
          <t>Beverages</t>
        </is>
      </c>
      <c r="F319" s="4" t="n">
        <v>55</v>
      </c>
      <c r="G319" s="5" t="n">
        <v>19.59</v>
      </c>
      <c r="H319" s="5">
        <f>F319*G319</f>
        <v/>
      </c>
      <c r="I319" s="5">
        <f>F319*VLOOKUP(D319,Products!$B$2:$E$13,3,FALSE)</f>
        <v/>
      </c>
    </row>
    <row r="320">
      <c r="A320" s="2" t="n">
        <v>46150</v>
      </c>
      <c r="B320" s="3" t="inlineStr">
        <is>
          <t>INV-2605-0319</t>
        </is>
      </c>
      <c r="C320" s="3" t="inlineStr">
        <is>
          <t>Raza Brothers</t>
        </is>
      </c>
      <c r="D320" s="3" t="inlineStr">
        <is>
          <t>Paneer 200g</t>
        </is>
      </c>
      <c r="E320" s="3" t="inlineStr">
        <is>
          <t>Dairy</t>
        </is>
      </c>
      <c r="F320" s="4" t="n">
        <v>48</v>
      </c>
      <c r="G320" s="5" t="n">
        <v>98.64</v>
      </c>
      <c r="H320" s="5">
        <f>F320*G320</f>
        <v/>
      </c>
      <c r="I320" s="5">
        <f>F320*VLOOKUP(D320,Products!$B$2:$E$13,3,FALSE)</f>
        <v/>
      </c>
    </row>
    <row r="321">
      <c r="A321" s="2" t="n">
        <v>46150</v>
      </c>
      <c r="B321" s="3" t="inlineStr">
        <is>
          <t>INV-2605-0320</t>
        </is>
      </c>
      <c r="C321" s="3" t="inlineStr">
        <is>
          <t>Raza Brothers</t>
        </is>
      </c>
      <c r="D321" s="3" t="inlineStr">
        <is>
          <t>Curd Cup 400g</t>
        </is>
      </c>
      <c r="E321" s="3" t="inlineStr">
        <is>
          <t>Dairy</t>
        </is>
      </c>
      <c r="F321" s="4" t="n">
        <v>52</v>
      </c>
      <c r="G321" s="5" t="n">
        <v>47.18</v>
      </c>
      <c r="H321" s="5">
        <f>F321*G321</f>
        <v/>
      </c>
      <c r="I321" s="5">
        <f>F321*VLOOKUP(D321,Products!$B$2:$E$13,3,FALSE)</f>
        <v/>
      </c>
    </row>
    <row r="322">
      <c r="A322" s="2" t="n">
        <v>46150</v>
      </c>
      <c r="B322" s="3" t="inlineStr">
        <is>
          <t>INV-2605-0321</t>
        </is>
      </c>
      <c r="C322" s="3" t="inlineStr">
        <is>
          <t>Sahu Traders</t>
        </is>
      </c>
      <c r="D322" s="3" t="inlineStr">
        <is>
          <t>Packaged Water 1L</t>
        </is>
      </c>
      <c r="E322" s="3" t="inlineStr">
        <is>
          <t>Beverages</t>
        </is>
      </c>
      <c r="F322" s="4" t="n">
        <v>41</v>
      </c>
      <c r="G322" s="5" t="n">
        <v>20.16</v>
      </c>
      <c r="H322" s="5">
        <f>F322*G322</f>
        <v/>
      </c>
      <c r="I322" s="5">
        <f>F322*VLOOKUP(D322,Products!$B$2:$E$13,3,FALSE)</f>
        <v/>
      </c>
    </row>
    <row r="323">
      <c r="A323" s="2" t="n">
        <v>46150</v>
      </c>
      <c r="B323" s="3" t="inlineStr">
        <is>
          <t>INV-2605-0322</t>
        </is>
      </c>
      <c r="C323" s="3" t="inlineStr">
        <is>
          <t>Tiwari General</t>
        </is>
      </c>
      <c r="D323" s="3" t="inlineStr">
        <is>
          <t>Biscuits 400g</t>
        </is>
      </c>
      <c r="E323" s="3" t="inlineStr">
        <is>
          <t>Snacks</t>
        </is>
      </c>
      <c r="F323" s="4" t="n">
        <v>15</v>
      </c>
      <c r="G323" s="5" t="n">
        <v>41.1</v>
      </c>
      <c r="H323" s="5">
        <f>F323*G323</f>
        <v/>
      </c>
      <c r="I323" s="5">
        <f>F323*VLOOKUP(D323,Products!$B$2:$E$13,3,FALSE)</f>
        <v/>
      </c>
    </row>
    <row r="324">
      <c r="A324" s="2" t="n">
        <v>46151</v>
      </c>
      <c r="B324" s="3" t="inlineStr">
        <is>
          <t>INV-2605-0323</t>
        </is>
      </c>
      <c r="C324" s="3" t="inlineStr">
        <is>
          <t>Bhatt General Store</t>
        </is>
      </c>
      <c r="D324" s="3" t="inlineStr">
        <is>
          <t>Potato Chips 150g</t>
        </is>
      </c>
      <c r="E324" s="3" t="inlineStr">
        <is>
          <t>Snacks</t>
        </is>
      </c>
      <c r="F324" s="4" t="n">
        <v>57</v>
      </c>
      <c r="G324" s="5" t="n">
        <v>52.44</v>
      </c>
      <c r="H324" s="5">
        <f>F324*G324</f>
        <v/>
      </c>
      <c r="I324" s="5">
        <f>F324*VLOOKUP(D324,Products!$B$2:$E$13,3,FALSE)</f>
        <v/>
      </c>
    </row>
    <row r="325">
      <c r="A325" s="2" t="n">
        <v>46151</v>
      </c>
      <c r="B325" s="3" t="inlineStr">
        <is>
          <t>INV-2605-0324</t>
        </is>
      </c>
      <c r="C325" s="3" t="inlineStr">
        <is>
          <t>Tiwari General</t>
        </is>
      </c>
      <c r="D325" s="3" t="inlineStr">
        <is>
          <t>Paneer 200g</t>
        </is>
      </c>
      <c r="E325" s="3" t="inlineStr">
        <is>
          <t>Dairy</t>
        </is>
      </c>
      <c r="F325" s="4" t="n">
        <v>13</v>
      </c>
      <c r="G325" s="5" t="n">
        <v>95.68000000000001</v>
      </c>
      <c r="H325" s="5">
        <f>F325*G325</f>
        <v/>
      </c>
      <c r="I325" s="5">
        <f>F325*VLOOKUP(D325,Products!$B$2:$E$13,3,FALSE)</f>
        <v/>
      </c>
    </row>
    <row r="326">
      <c r="A326" s="2" t="n">
        <v>46151</v>
      </c>
      <c r="B326" s="3" t="inlineStr">
        <is>
          <t>INV-2605-0325</t>
        </is>
      </c>
      <c r="C326" s="3" t="inlineStr">
        <is>
          <t>Gupta General Store</t>
        </is>
      </c>
      <c r="D326" s="3" t="inlineStr">
        <is>
          <t>Floor Cleaner 1L</t>
        </is>
      </c>
      <c r="E326" s="3" t="inlineStr">
        <is>
          <t>Household</t>
        </is>
      </c>
      <c r="F326" s="4" t="n">
        <v>25</v>
      </c>
      <c r="G326" s="5" t="n">
        <v>108.68</v>
      </c>
      <c r="H326" s="5">
        <f>F326*G326</f>
        <v/>
      </c>
      <c r="I326" s="5">
        <f>F326*VLOOKUP(D326,Products!$B$2:$E$13,3,FALSE)</f>
        <v/>
      </c>
    </row>
    <row r="327">
      <c r="A327" s="2" t="n">
        <v>46151</v>
      </c>
      <c r="B327" s="3" t="inlineStr">
        <is>
          <t>INV-2605-0326</t>
        </is>
      </c>
      <c r="C327" s="3" t="inlineStr">
        <is>
          <t>Pandey Stores</t>
        </is>
      </c>
      <c r="D327" s="3" t="inlineStr">
        <is>
          <t>Cola 750ml</t>
        </is>
      </c>
      <c r="E327" s="3" t="inlineStr">
        <is>
          <t>Beverages</t>
        </is>
      </c>
      <c r="F327" s="4" t="n">
        <v>52</v>
      </c>
      <c r="G327" s="5" t="n">
        <v>44.02</v>
      </c>
      <c r="H327" s="5">
        <f>F327*G327</f>
        <v/>
      </c>
      <c r="I327" s="5">
        <f>F327*VLOOKUP(D327,Products!$B$2:$E$13,3,FALSE)</f>
        <v/>
      </c>
    </row>
    <row r="328">
      <c r="A328" s="2" t="n">
        <v>46151</v>
      </c>
      <c r="B328" s="3" t="inlineStr">
        <is>
          <t>INV-2605-0327</t>
        </is>
      </c>
      <c r="C328" s="3" t="inlineStr">
        <is>
          <t>Azad Stores</t>
        </is>
      </c>
      <c r="D328" s="3" t="inlineStr">
        <is>
          <t>Potato Chips 150g</t>
        </is>
      </c>
      <c r="E328" s="3" t="inlineStr">
        <is>
          <t>Snacks</t>
        </is>
      </c>
      <c r="F328" s="4" t="n">
        <v>80</v>
      </c>
      <c r="G328" s="5" t="n">
        <v>49.82</v>
      </c>
      <c r="H328" s="5">
        <f>F328*G328</f>
        <v/>
      </c>
      <c r="I328" s="5">
        <f>F328*VLOOKUP(D328,Products!$B$2:$E$13,3,FALSE)</f>
        <v/>
      </c>
    </row>
    <row r="329">
      <c r="A329" s="2" t="n">
        <v>46151</v>
      </c>
      <c r="B329" s="3" t="inlineStr">
        <is>
          <t>INV-2605-0328</t>
        </is>
      </c>
      <c r="C329" s="3" t="inlineStr">
        <is>
          <t>Singh Super Bazaar</t>
        </is>
      </c>
      <c r="D329" s="3" t="inlineStr">
        <is>
          <t>Toned Milk 1L</t>
        </is>
      </c>
      <c r="E329" s="3" t="inlineStr">
        <is>
          <t>Dairy</t>
        </is>
      </c>
      <c r="F329" s="4" t="n">
        <v>58</v>
      </c>
      <c r="G329" s="5" t="n">
        <v>65.09</v>
      </c>
      <c r="H329" s="5">
        <f>F329*G329</f>
        <v/>
      </c>
      <c r="I329" s="5">
        <f>F329*VLOOKUP(D329,Products!$B$2:$E$13,3,FALSE)</f>
        <v/>
      </c>
    </row>
    <row r="330">
      <c r="A330" s="2" t="n">
        <v>46151</v>
      </c>
      <c r="B330" s="3" t="inlineStr">
        <is>
          <t>INV-2605-0329</t>
        </is>
      </c>
      <c r="C330" s="3" t="inlineStr">
        <is>
          <t>Das &amp; Sons</t>
        </is>
      </c>
      <c r="D330" s="3" t="inlineStr">
        <is>
          <t>Floor Cleaner 1L</t>
        </is>
      </c>
      <c r="E330" s="3" t="inlineStr">
        <is>
          <t>Household</t>
        </is>
      </c>
      <c r="F330" s="4" t="n">
        <v>6</v>
      </c>
      <c r="G330" s="5" t="n">
        <v>109</v>
      </c>
      <c r="H330" s="5">
        <f>F330*G330</f>
        <v/>
      </c>
      <c r="I330" s="5">
        <f>F330*VLOOKUP(D330,Products!$B$2:$E$13,3,FALSE)</f>
        <v/>
      </c>
    </row>
    <row r="331">
      <c r="A331" s="2" t="n">
        <v>46151</v>
      </c>
      <c r="B331" s="3" t="inlineStr">
        <is>
          <t>INV-2605-0330</t>
        </is>
      </c>
      <c r="C331" s="3" t="inlineStr">
        <is>
          <t>Dubey Kirana</t>
        </is>
      </c>
      <c r="D331" s="3" t="inlineStr">
        <is>
          <t>Mango Juice 1L</t>
        </is>
      </c>
      <c r="E331" s="3" t="inlineStr">
        <is>
          <t>Beverages</t>
        </is>
      </c>
      <c r="F331" s="4" t="n">
        <v>50</v>
      </c>
      <c r="G331" s="5" t="n">
        <v>124.92</v>
      </c>
      <c r="H331" s="5">
        <f>F331*G331</f>
        <v/>
      </c>
      <c r="I331" s="5">
        <f>F331*VLOOKUP(D331,Products!$B$2:$E$13,3,FALSE)</f>
        <v/>
      </c>
    </row>
    <row r="332">
      <c r="A332" s="2" t="n">
        <v>46152</v>
      </c>
      <c r="B332" s="3" t="inlineStr">
        <is>
          <t>INV-2605-0331</t>
        </is>
      </c>
      <c r="C332" s="3" t="inlineStr">
        <is>
          <t>Jha Provisions</t>
        </is>
      </c>
      <c r="D332" s="3" t="inlineStr">
        <is>
          <t>Toned Milk 1L</t>
        </is>
      </c>
      <c r="E332" s="3" t="inlineStr">
        <is>
          <t>Dairy</t>
        </is>
      </c>
      <c r="F332" s="4" t="n">
        <v>5</v>
      </c>
      <c r="G332" s="5" t="n">
        <v>64.86</v>
      </c>
      <c r="H332" s="5">
        <f>F332*G332</f>
        <v/>
      </c>
      <c r="I332" s="5">
        <f>F332*VLOOKUP(D332,Products!$B$2:$E$13,3,FALSE)</f>
        <v/>
      </c>
    </row>
    <row r="333">
      <c r="A333" s="2" t="n">
        <v>46152</v>
      </c>
      <c r="B333" s="3" t="inlineStr">
        <is>
          <t>INV-2605-0332</t>
        </is>
      </c>
      <c r="C333" s="3" t="inlineStr">
        <is>
          <t>Khan Mart</t>
        </is>
      </c>
      <c r="D333" s="3" t="inlineStr">
        <is>
          <t>Dish Soap 500ml</t>
        </is>
      </c>
      <c r="E333" s="3" t="inlineStr">
        <is>
          <t>Household</t>
        </is>
      </c>
      <c r="F333" s="4" t="n">
        <v>54</v>
      </c>
      <c r="G333" s="5" t="n">
        <v>101.37</v>
      </c>
      <c r="H333" s="5">
        <f>F333*G333</f>
        <v/>
      </c>
      <c r="I333" s="5">
        <f>F333*VLOOKUP(D333,Products!$B$2:$E$13,3,FALSE)</f>
        <v/>
      </c>
    </row>
    <row r="334">
      <c r="A334" s="2" t="n">
        <v>46152</v>
      </c>
      <c r="B334" s="3" t="inlineStr">
        <is>
          <t>INV-2605-0333</t>
        </is>
      </c>
      <c r="C334" s="3" t="inlineStr">
        <is>
          <t>Sahu Traders</t>
        </is>
      </c>
      <c r="D334" s="3" t="inlineStr">
        <is>
          <t>Detergent 1kg</t>
        </is>
      </c>
      <c r="E334" s="3" t="inlineStr">
        <is>
          <t>Household</t>
        </is>
      </c>
      <c r="F334" s="4" t="n">
        <v>24</v>
      </c>
      <c r="G334" s="5" t="n">
        <v>136.18</v>
      </c>
      <c r="H334" s="5">
        <f>F334*G334</f>
        <v/>
      </c>
      <c r="I334" s="5">
        <f>F334*VLOOKUP(D334,Products!$B$2:$E$13,3,FALSE)</f>
        <v/>
      </c>
    </row>
    <row r="335">
      <c r="A335" s="2" t="n">
        <v>46152</v>
      </c>
      <c r="B335" s="3" t="inlineStr">
        <is>
          <t>INV-2605-0334</t>
        </is>
      </c>
      <c r="C335" s="3" t="inlineStr">
        <is>
          <t>Tiwari General</t>
        </is>
      </c>
      <c r="D335" s="3" t="inlineStr">
        <is>
          <t>Packaged Water 1L</t>
        </is>
      </c>
      <c r="E335" s="3" t="inlineStr">
        <is>
          <t>Beverages</t>
        </is>
      </c>
      <c r="F335" s="4" t="n">
        <v>93</v>
      </c>
      <c r="G335" s="5" t="n">
        <v>19.73</v>
      </c>
      <c r="H335" s="5">
        <f>F335*G335</f>
        <v/>
      </c>
      <c r="I335" s="5">
        <f>F335*VLOOKUP(D335,Products!$B$2:$E$13,3,FALSE)</f>
        <v/>
      </c>
    </row>
    <row r="336">
      <c r="A336" s="2" t="n">
        <v>46152</v>
      </c>
      <c r="B336" s="3" t="inlineStr">
        <is>
          <t>INV-2605-0335</t>
        </is>
      </c>
      <c r="C336" s="3" t="inlineStr">
        <is>
          <t>Singh Super Bazaar</t>
        </is>
      </c>
      <c r="D336" s="3" t="inlineStr">
        <is>
          <t>Curd Cup 400g</t>
        </is>
      </c>
      <c r="E336" s="3" t="inlineStr">
        <is>
          <t>Dairy</t>
        </is>
      </c>
      <c r="F336" s="4" t="n">
        <v>32</v>
      </c>
      <c r="G336" s="5" t="n">
        <v>44.74</v>
      </c>
      <c r="H336" s="5">
        <f>F336*G336</f>
        <v/>
      </c>
      <c r="I336" s="5">
        <f>F336*VLOOKUP(D336,Products!$B$2:$E$13,3,FALSE)</f>
        <v/>
      </c>
    </row>
    <row r="337">
      <c r="A337" s="2" t="n">
        <v>46152</v>
      </c>
      <c r="B337" s="3" t="inlineStr">
        <is>
          <t>INV-2605-0336</t>
        </is>
      </c>
      <c r="C337" s="3" t="inlineStr">
        <is>
          <t>Yadav Daily Needs</t>
        </is>
      </c>
      <c r="D337" s="3" t="inlineStr">
        <is>
          <t>Detergent 1kg</t>
        </is>
      </c>
      <c r="E337" s="3" t="inlineStr">
        <is>
          <t>Household</t>
        </is>
      </c>
      <c r="F337" s="4" t="n">
        <v>83</v>
      </c>
      <c r="G337" s="5" t="n">
        <v>134.35</v>
      </c>
      <c r="H337" s="5">
        <f>F337*G337</f>
        <v/>
      </c>
      <c r="I337" s="5">
        <f>F337*VLOOKUP(D337,Products!$B$2:$E$13,3,FALSE)</f>
        <v/>
      </c>
    </row>
    <row r="338">
      <c r="A338" s="2" t="n">
        <v>46152</v>
      </c>
      <c r="B338" s="3" t="inlineStr">
        <is>
          <t>INV-2605-0337</t>
        </is>
      </c>
      <c r="C338" s="3" t="inlineStr">
        <is>
          <t>Nath Provisions</t>
        </is>
      </c>
      <c r="D338" s="3" t="inlineStr">
        <is>
          <t>Biscuits 400g</t>
        </is>
      </c>
      <c r="E338" s="3" t="inlineStr">
        <is>
          <t>Snacks</t>
        </is>
      </c>
      <c r="F338" s="4" t="n">
        <v>78</v>
      </c>
      <c r="G338" s="5" t="n">
        <v>39.92</v>
      </c>
      <c r="H338" s="5">
        <f>F338*G338</f>
        <v/>
      </c>
      <c r="I338" s="5">
        <f>F338*VLOOKUP(D338,Products!$B$2:$E$13,3,FALSE)</f>
        <v/>
      </c>
    </row>
    <row r="339">
      <c r="A339" s="2" t="n">
        <v>46153</v>
      </c>
      <c r="B339" s="3" t="inlineStr">
        <is>
          <t>INV-2605-0338</t>
        </is>
      </c>
      <c r="C339" s="3" t="inlineStr">
        <is>
          <t>Khan Mart</t>
        </is>
      </c>
      <c r="D339" s="3" t="inlineStr">
        <is>
          <t>Potato Chips 150g</t>
        </is>
      </c>
      <c r="E339" s="3" t="inlineStr">
        <is>
          <t>Snacks</t>
        </is>
      </c>
      <c r="F339" s="4" t="n">
        <v>15</v>
      </c>
      <c r="G339" s="5" t="n">
        <v>49.24</v>
      </c>
      <c r="H339" s="5">
        <f>F339*G339</f>
        <v/>
      </c>
      <c r="I339" s="5">
        <f>F339*VLOOKUP(D339,Products!$B$2:$E$13,3,FALSE)</f>
        <v/>
      </c>
    </row>
    <row r="340">
      <c r="A340" s="2" t="n">
        <v>46153</v>
      </c>
      <c r="B340" s="3" t="inlineStr">
        <is>
          <t>INV-2605-0339</t>
        </is>
      </c>
      <c r="C340" s="3" t="inlineStr">
        <is>
          <t>Sahu Traders</t>
        </is>
      </c>
      <c r="D340" s="3" t="inlineStr">
        <is>
          <t>Paneer 200g</t>
        </is>
      </c>
      <c r="E340" s="3" t="inlineStr">
        <is>
          <t>Dairy</t>
        </is>
      </c>
      <c r="F340" s="4" t="n">
        <v>12</v>
      </c>
      <c r="G340" s="5" t="n">
        <v>98.81</v>
      </c>
      <c r="H340" s="5">
        <f>F340*G340</f>
        <v/>
      </c>
      <c r="I340" s="5">
        <f>F340*VLOOKUP(D340,Products!$B$2:$E$13,3,FALSE)</f>
        <v/>
      </c>
    </row>
    <row r="341">
      <c r="A341" s="2" t="n">
        <v>46153</v>
      </c>
      <c r="B341" s="3" t="inlineStr">
        <is>
          <t>INV-2605-0340</t>
        </is>
      </c>
      <c r="C341" s="3" t="inlineStr">
        <is>
          <t>Nath Provisions</t>
        </is>
      </c>
      <c r="D341" s="3" t="inlineStr">
        <is>
          <t>Biscuits 400g</t>
        </is>
      </c>
      <c r="E341" s="3" t="inlineStr">
        <is>
          <t>Snacks</t>
        </is>
      </c>
      <c r="F341" s="4" t="n">
        <v>40</v>
      </c>
      <c r="G341" s="5" t="n">
        <v>38.91</v>
      </c>
      <c r="H341" s="5">
        <f>F341*G341</f>
        <v/>
      </c>
      <c r="I341" s="5">
        <f>F341*VLOOKUP(D341,Products!$B$2:$E$13,3,FALSE)</f>
        <v/>
      </c>
    </row>
    <row r="342">
      <c r="A342" s="2" t="n">
        <v>46153</v>
      </c>
      <c r="B342" s="3" t="inlineStr">
        <is>
          <t>INV-2605-0341</t>
        </is>
      </c>
      <c r="C342" s="3" t="inlineStr">
        <is>
          <t>Choudhary Mart</t>
        </is>
      </c>
      <c r="D342" s="3" t="inlineStr">
        <is>
          <t>Curd Cup 400g</t>
        </is>
      </c>
      <c r="E342" s="3" t="inlineStr">
        <is>
          <t>Dairy</t>
        </is>
      </c>
      <c r="F342" s="4" t="n">
        <v>59</v>
      </c>
      <c r="G342" s="5" t="n">
        <v>44.44</v>
      </c>
      <c r="H342" s="5">
        <f>F342*G342</f>
        <v/>
      </c>
      <c r="I342" s="5">
        <f>F342*VLOOKUP(D342,Products!$B$2:$E$13,3,FALSE)</f>
        <v/>
      </c>
    </row>
    <row r="343">
      <c r="A343" s="2" t="n">
        <v>46153</v>
      </c>
      <c r="B343" s="3" t="inlineStr">
        <is>
          <t>INV-2605-0342</t>
        </is>
      </c>
      <c r="C343" s="3" t="inlineStr">
        <is>
          <t>Mishra Stores</t>
        </is>
      </c>
      <c r="D343" s="3" t="inlineStr">
        <is>
          <t>Toned Milk 1L</t>
        </is>
      </c>
      <c r="E343" s="3" t="inlineStr">
        <is>
          <t>Dairy</t>
        </is>
      </c>
      <c r="F343" s="4" t="n">
        <v>19</v>
      </c>
      <c r="G343" s="5" t="n">
        <v>65.31999999999999</v>
      </c>
      <c r="H343" s="5">
        <f>F343*G343</f>
        <v/>
      </c>
      <c r="I343" s="5">
        <f>F343*VLOOKUP(D343,Products!$B$2:$E$13,3,FALSE)</f>
        <v/>
      </c>
    </row>
    <row r="344">
      <c r="A344" s="2" t="n">
        <v>46153</v>
      </c>
      <c r="B344" s="3" t="inlineStr">
        <is>
          <t>INV-2605-0343</t>
        </is>
      </c>
      <c r="C344" s="3" t="inlineStr">
        <is>
          <t>Prasad Traders</t>
        </is>
      </c>
      <c r="D344" s="3" t="inlineStr">
        <is>
          <t>Instant Noodles 280g</t>
        </is>
      </c>
      <c r="E344" s="3" t="inlineStr">
        <is>
          <t>Snacks</t>
        </is>
      </c>
      <c r="F344" s="4" t="n">
        <v>28</v>
      </c>
      <c r="G344" s="5" t="n">
        <v>56.82</v>
      </c>
      <c r="H344" s="5">
        <f>F344*G344</f>
        <v/>
      </c>
      <c r="I344" s="5">
        <f>F344*VLOOKUP(D344,Products!$B$2:$E$13,3,FALSE)</f>
        <v/>
      </c>
    </row>
    <row r="345">
      <c r="A345" s="2" t="n">
        <v>46153</v>
      </c>
      <c r="B345" s="3" t="inlineStr">
        <is>
          <t>INV-2605-0344</t>
        </is>
      </c>
      <c r="C345" s="3" t="inlineStr">
        <is>
          <t>Dubey Kirana</t>
        </is>
      </c>
      <c r="D345" s="3" t="inlineStr">
        <is>
          <t>Detergent 1kg</t>
        </is>
      </c>
      <c r="E345" s="3" t="inlineStr">
        <is>
          <t>Household</t>
        </is>
      </c>
      <c r="F345" s="4" t="n">
        <v>30</v>
      </c>
      <c r="G345" s="5" t="n">
        <v>132.76</v>
      </c>
      <c r="H345" s="5">
        <f>F345*G345</f>
        <v/>
      </c>
      <c r="I345" s="5">
        <f>F345*VLOOKUP(D345,Products!$B$2:$E$13,3,FALSE)</f>
        <v/>
      </c>
    </row>
    <row r="346">
      <c r="A346" s="2" t="n">
        <v>46153</v>
      </c>
      <c r="B346" s="3" t="inlineStr">
        <is>
          <t>INV-2605-0345</t>
        </is>
      </c>
      <c r="C346" s="3" t="inlineStr">
        <is>
          <t>Nath Provisions</t>
        </is>
      </c>
      <c r="D346" s="3" t="inlineStr">
        <is>
          <t>Floor Cleaner 1L</t>
        </is>
      </c>
      <c r="E346" s="3" t="inlineStr">
        <is>
          <t>Household</t>
        </is>
      </c>
      <c r="F346" s="4" t="n">
        <v>12</v>
      </c>
      <c r="G346" s="5" t="n">
        <v>108.69</v>
      </c>
      <c r="H346" s="5">
        <f>F346*G346</f>
        <v/>
      </c>
      <c r="I346" s="5">
        <f>F346*VLOOKUP(D346,Products!$B$2:$E$13,3,FALSE)</f>
        <v/>
      </c>
    </row>
    <row r="347">
      <c r="A347" s="2" t="n">
        <v>46153</v>
      </c>
      <c r="B347" s="3" t="inlineStr">
        <is>
          <t>INV-2605-0346</t>
        </is>
      </c>
      <c r="C347" s="3" t="inlineStr">
        <is>
          <t>Sinha Super Mart</t>
        </is>
      </c>
      <c r="D347" s="3" t="inlineStr">
        <is>
          <t>Floor Cleaner 1L</t>
        </is>
      </c>
      <c r="E347" s="3" t="inlineStr">
        <is>
          <t>Household</t>
        </is>
      </c>
      <c r="F347" s="4" t="n">
        <v>64</v>
      </c>
      <c r="G347" s="5" t="n">
        <v>113.65</v>
      </c>
      <c r="H347" s="5">
        <f>F347*G347</f>
        <v/>
      </c>
      <c r="I347" s="5">
        <f>F347*VLOOKUP(D347,Products!$B$2:$E$13,3,FALSE)</f>
        <v/>
      </c>
    </row>
    <row r="348">
      <c r="A348" s="2" t="n">
        <v>46153</v>
      </c>
      <c r="B348" s="3" t="inlineStr">
        <is>
          <t>INV-2605-0347</t>
        </is>
      </c>
      <c r="C348" s="3" t="inlineStr">
        <is>
          <t>Yadav Daily Needs</t>
        </is>
      </c>
      <c r="D348" s="3" t="inlineStr">
        <is>
          <t>Packaged Water 1L</t>
        </is>
      </c>
      <c r="E348" s="3" t="inlineStr">
        <is>
          <t>Beverages</t>
        </is>
      </c>
      <c r="F348" s="4" t="n">
        <v>22</v>
      </c>
      <c r="G348" s="5" t="n">
        <v>20.89</v>
      </c>
      <c r="H348" s="5">
        <f>F348*G348</f>
        <v/>
      </c>
      <c r="I348" s="5">
        <f>F348*VLOOKUP(D348,Products!$B$2:$E$13,3,FALSE)</f>
        <v/>
      </c>
    </row>
    <row r="349">
      <c r="A349" s="2" t="n">
        <v>46154</v>
      </c>
      <c r="B349" s="3" t="inlineStr">
        <is>
          <t>INV-2605-0348</t>
        </is>
      </c>
      <c r="C349" s="3" t="inlineStr">
        <is>
          <t>Khan Mart</t>
        </is>
      </c>
      <c r="D349" s="3" t="inlineStr">
        <is>
          <t>Curd Cup 400g</t>
        </is>
      </c>
      <c r="E349" s="3" t="inlineStr">
        <is>
          <t>Dairy</t>
        </is>
      </c>
      <c r="F349" s="4" t="n">
        <v>52</v>
      </c>
      <c r="G349" s="5" t="n">
        <v>46.45</v>
      </c>
      <c r="H349" s="5">
        <f>F349*G349</f>
        <v/>
      </c>
      <c r="I349" s="5">
        <f>F349*VLOOKUP(D349,Products!$B$2:$E$13,3,FALSE)</f>
        <v/>
      </c>
    </row>
    <row r="350">
      <c r="A350" s="2" t="n">
        <v>46154</v>
      </c>
      <c r="B350" s="3" t="inlineStr">
        <is>
          <t>INV-2605-0349</t>
        </is>
      </c>
      <c r="C350" s="3" t="inlineStr">
        <is>
          <t>Sahu Traders</t>
        </is>
      </c>
      <c r="D350" s="3" t="inlineStr">
        <is>
          <t>Curd Cup 400g</t>
        </is>
      </c>
      <c r="E350" s="3" t="inlineStr">
        <is>
          <t>Dairy</t>
        </is>
      </c>
      <c r="F350" s="4" t="n">
        <v>43</v>
      </c>
      <c r="G350" s="5" t="n">
        <v>46.81</v>
      </c>
      <c r="H350" s="5">
        <f>F350*G350</f>
        <v/>
      </c>
      <c r="I350" s="5">
        <f>F350*VLOOKUP(D350,Products!$B$2:$E$13,3,FALSE)</f>
        <v/>
      </c>
    </row>
    <row r="351">
      <c r="A351" s="2" t="n">
        <v>46154</v>
      </c>
      <c r="B351" s="3" t="inlineStr">
        <is>
          <t>INV-2605-0350</t>
        </is>
      </c>
      <c r="C351" s="3" t="inlineStr">
        <is>
          <t>Yadav Daily Needs</t>
        </is>
      </c>
      <c r="D351" s="3" t="inlineStr">
        <is>
          <t>Dish Soap 500ml</t>
        </is>
      </c>
      <c r="E351" s="3" t="inlineStr">
        <is>
          <t>Household</t>
        </is>
      </c>
      <c r="F351" s="4" t="n">
        <v>46</v>
      </c>
      <c r="G351" s="5" t="n">
        <v>101.6</v>
      </c>
      <c r="H351" s="5">
        <f>F351*G351</f>
        <v/>
      </c>
      <c r="I351" s="5">
        <f>F351*VLOOKUP(D351,Products!$B$2:$E$13,3,FALSE)</f>
        <v/>
      </c>
    </row>
    <row r="352">
      <c r="A352" s="2" t="n">
        <v>46154</v>
      </c>
      <c r="B352" s="3" t="inlineStr">
        <is>
          <t>INV-2605-0351</t>
        </is>
      </c>
      <c r="C352" s="3" t="inlineStr">
        <is>
          <t>Nath Provisions</t>
        </is>
      </c>
      <c r="D352" s="3" t="inlineStr">
        <is>
          <t>Potato Chips 150g</t>
        </is>
      </c>
      <c r="E352" s="3" t="inlineStr">
        <is>
          <t>Snacks</t>
        </is>
      </c>
      <c r="F352" s="4" t="n">
        <v>32</v>
      </c>
      <c r="G352" s="5" t="n">
        <v>50.14</v>
      </c>
      <c r="H352" s="5">
        <f>F352*G352</f>
        <v/>
      </c>
      <c r="I352" s="5">
        <f>F352*VLOOKUP(D352,Products!$B$2:$E$13,3,FALSE)</f>
        <v/>
      </c>
    </row>
    <row r="353">
      <c r="A353" s="2" t="n">
        <v>46154</v>
      </c>
      <c r="B353" s="3" t="inlineStr">
        <is>
          <t>INV-2605-0352</t>
        </is>
      </c>
      <c r="C353" s="3" t="inlineStr">
        <is>
          <t>Verma Retail</t>
        </is>
      </c>
      <c r="D353" s="3" t="inlineStr">
        <is>
          <t>Potato Chips 150g</t>
        </is>
      </c>
      <c r="E353" s="3" t="inlineStr">
        <is>
          <t>Snacks</t>
        </is>
      </c>
      <c r="F353" s="4" t="n">
        <v>3</v>
      </c>
      <c r="G353" s="5" t="n">
        <v>50.94</v>
      </c>
      <c r="H353" s="5">
        <f>F353*G353</f>
        <v/>
      </c>
      <c r="I353" s="5">
        <f>F353*VLOOKUP(D353,Products!$B$2:$E$13,3,FALSE)</f>
        <v/>
      </c>
    </row>
    <row r="354">
      <c r="A354" s="2" t="n">
        <v>46154</v>
      </c>
      <c r="B354" s="3" t="inlineStr">
        <is>
          <t>INV-2605-0353</t>
        </is>
      </c>
      <c r="C354" s="3" t="inlineStr">
        <is>
          <t>Mishra Stores</t>
        </is>
      </c>
      <c r="D354" s="3" t="inlineStr">
        <is>
          <t>Curd Cup 400g</t>
        </is>
      </c>
      <c r="E354" s="3" t="inlineStr">
        <is>
          <t>Dairy</t>
        </is>
      </c>
      <c r="F354" s="4" t="n">
        <v>17</v>
      </c>
      <c r="G354" s="5" t="n">
        <v>46.93</v>
      </c>
      <c r="H354" s="5">
        <f>F354*G354</f>
        <v/>
      </c>
      <c r="I354" s="5">
        <f>F354*VLOOKUP(D354,Products!$B$2:$E$13,3,FALSE)</f>
        <v/>
      </c>
    </row>
    <row r="355">
      <c r="A355" s="2" t="n">
        <v>46154</v>
      </c>
      <c r="B355" s="3" t="inlineStr">
        <is>
          <t>INV-2605-0354</t>
        </is>
      </c>
      <c r="C355" s="3" t="inlineStr">
        <is>
          <t>Mishra Stores</t>
        </is>
      </c>
      <c r="D355" s="3" t="inlineStr">
        <is>
          <t>Detergent 1kg</t>
        </is>
      </c>
      <c r="E355" s="3" t="inlineStr">
        <is>
          <t>Household</t>
        </is>
      </c>
      <c r="F355" s="4" t="n">
        <v>14</v>
      </c>
      <c r="G355" s="5" t="n">
        <v>127.03</v>
      </c>
      <c r="H355" s="5">
        <f>F355*G355</f>
        <v/>
      </c>
      <c r="I355" s="5">
        <f>F355*VLOOKUP(D355,Products!$B$2:$E$13,3,FALSE)</f>
        <v/>
      </c>
    </row>
    <row r="356">
      <c r="A356" s="2" t="n">
        <v>46154</v>
      </c>
      <c r="B356" s="3" t="inlineStr">
        <is>
          <t>INV-2605-0355</t>
        </is>
      </c>
      <c r="C356" s="3" t="inlineStr">
        <is>
          <t>Raza Brothers</t>
        </is>
      </c>
      <c r="D356" s="3" t="inlineStr">
        <is>
          <t>Instant Noodles 280g</t>
        </is>
      </c>
      <c r="E356" s="3" t="inlineStr">
        <is>
          <t>Snacks</t>
        </is>
      </c>
      <c r="F356" s="4" t="n">
        <v>30</v>
      </c>
      <c r="G356" s="5" t="n">
        <v>56.26</v>
      </c>
      <c r="H356" s="5">
        <f>F356*G356</f>
        <v/>
      </c>
      <c r="I356" s="5">
        <f>F356*VLOOKUP(D356,Products!$B$2:$E$13,3,FALSE)</f>
        <v/>
      </c>
    </row>
    <row r="357">
      <c r="A357" s="2" t="n">
        <v>46154</v>
      </c>
      <c r="B357" s="3" t="inlineStr">
        <is>
          <t>INV-2605-0356</t>
        </is>
      </c>
      <c r="C357" s="3" t="inlineStr">
        <is>
          <t>Sahu Traders</t>
        </is>
      </c>
      <c r="D357" s="3" t="inlineStr">
        <is>
          <t>Packaged Water 1L</t>
        </is>
      </c>
      <c r="E357" s="3" t="inlineStr">
        <is>
          <t>Beverages</t>
        </is>
      </c>
      <c r="F357" s="4" t="n">
        <v>38</v>
      </c>
      <c r="G357" s="5" t="n">
        <v>19.84</v>
      </c>
      <c r="H357" s="5">
        <f>F357*G357</f>
        <v/>
      </c>
      <c r="I357" s="5">
        <f>F357*VLOOKUP(D357,Products!$B$2:$E$13,3,FALSE)</f>
        <v/>
      </c>
    </row>
    <row r="358">
      <c r="A358" s="2" t="n">
        <v>46154</v>
      </c>
      <c r="B358" s="3" t="inlineStr">
        <is>
          <t>INV-2605-0357</t>
        </is>
      </c>
      <c r="C358" s="3" t="inlineStr">
        <is>
          <t>Ali General Store</t>
        </is>
      </c>
      <c r="D358" s="3" t="inlineStr">
        <is>
          <t>Potato Chips 150g</t>
        </is>
      </c>
      <c r="E358" s="3" t="inlineStr">
        <is>
          <t>Snacks</t>
        </is>
      </c>
      <c r="F358" s="4" t="n">
        <v>20</v>
      </c>
      <c r="G358" s="5" t="n">
        <v>50.66</v>
      </c>
      <c r="H358" s="5">
        <f>F358*G358</f>
        <v/>
      </c>
      <c r="I358" s="5">
        <f>F358*VLOOKUP(D358,Products!$B$2:$E$13,3,FALSE)</f>
        <v/>
      </c>
    </row>
    <row r="359">
      <c r="A359" s="2" t="n">
        <v>46154</v>
      </c>
      <c r="B359" s="3" t="inlineStr">
        <is>
          <t>INV-2605-0358</t>
        </is>
      </c>
      <c r="C359" s="3" t="inlineStr">
        <is>
          <t>Gupta General Store</t>
        </is>
      </c>
      <c r="D359" s="3" t="inlineStr">
        <is>
          <t>Biscuits 400g</t>
        </is>
      </c>
      <c r="E359" s="3" t="inlineStr">
        <is>
          <t>Snacks</t>
        </is>
      </c>
      <c r="F359" s="4" t="n">
        <v>62</v>
      </c>
      <c r="G359" s="5" t="n">
        <v>41.85</v>
      </c>
      <c r="H359" s="5">
        <f>F359*G359</f>
        <v/>
      </c>
      <c r="I359" s="5">
        <f>F359*VLOOKUP(D359,Products!$B$2:$E$13,3,FALSE)</f>
        <v/>
      </c>
    </row>
    <row r="360">
      <c r="A360" s="2" t="n">
        <v>46155</v>
      </c>
      <c r="B360" s="3" t="inlineStr">
        <is>
          <t>INV-2605-0359</t>
        </is>
      </c>
      <c r="C360" s="3" t="inlineStr">
        <is>
          <t>Choudhary Mart</t>
        </is>
      </c>
      <c r="D360" s="3" t="inlineStr">
        <is>
          <t>Toned Milk 1L</t>
        </is>
      </c>
      <c r="E360" s="3" t="inlineStr">
        <is>
          <t>Dairy</t>
        </is>
      </c>
      <c r="F360" s="4" t="n">
        <v>19</v>
      </c>
      <c r="G360" s="5" t="n">
        <v>68.13</v>
      </c>
      <c r="H360" s="5">
        <f>F360*G360</f>
        <v/>
      </c>
      <c r="I360" s="5">
        <f>F360*VLOOKUP(D360,Products!$B$2:$E$13,3,FALSE)</f>
        <v/>
      </c>
    </row>
    <row r="361">
      <c r="A361" s="2" t="n">
        <v>46155</v>
      </c>
      <c r="B361" s="3" t="inlineStr">
        <is>
          <t>INV-2605-0360</t>
        </is>
      </c>
      <c r="C361" s="3" t="inlineStr">
        <is>
          <t>Gupta General Store</t>
        </is>
      </c>
      <c r="D361" s="3" t="inlineStr">
        <is>
          <t>Packaged Water 1L</t>
        </is>
      </c>
      <c r="E361" s="3" t="inlineStr">
        <is>
          <t>Beverages</t>
        </is>
      </c>
      <c r="F361" s="4" t="n">
        <v>10</v>
      </c>
      <c r="G361" s="5" t="n">
        <v>19.91</v>
      </c>
      <c r="H361" s="5">
        <f>F361*G361</f>
        <v/>
      </c>
      <c r="I361" s="5">
        <f>F361*VLOOKUP(D361,Products!$B$2:$E$13,3,FALSE)</f>
        <v/>
      </c>
    </row>
    <row r="362">
      <c r="A362" s="2" t="n">
        <v>46155</v>
      </c>
      <c r="B362" s="3" t="inlineStr">
        <is>
          <t>INV-2605-0361</t>
        </is>
      </c>
      <c r="C362" s="3" t="inlineStr">
        <is>
          <t>Sinha Super Mart</t>
        </is>
      </c>
      <c r="D362" s="3" t="inlineStr">
        <is>
          <t>Instant Noodles 280g</t>
        </is>
      </c>
      <c r="E362" s="3" t="inlineStr">
        <is>
          <t>Snacks</t>
        </is>
      </c>
      <c r="F362" s="4" t="n">
        <v>58</v>
      </c>
      <c r="G362" s="5" t="n">
        <v>55.28</v>
      </c>
      <c r="H362" s="5">
        <f>F362*G362</f>
        <v/>
      </c>
      <c r="I362" s="5">
        <f>F362*VLOOKUP(D362,Products!$B$2:$E$13,3,FALSE)</f>
        <v/>
      </c>
    </row>
    <row r="363">
      <c r="A363" s="2" t="n">
        <v>46155</v>
      </c>
      <c r="B363" s="3" t="inlineStr">
        <is>
          <t>INV-2605-0362</t>
        </is>
      </c>
      <c r="C363" s="3" t="inlineStr">
        <is>
          <t>Gupta General Store</t>
        </is>
      </c>
      <c r="D363" s="3" t="inlineStr">
        <is>
          <t>Biscuits 400g</t>
        </is>
      </c>
      <c r="E363" s="3" t="inlineStr">
        <is>
          <t>Snacks</t>
        </is>
      </c>
      <c r="F363" s="4" t="n">
        <v>11</v>
      </c>
      <c r="G363" s="5" t="n">
        <v>41.45</v>
      </c>
      <c r="H363" s="5">
        <f>F363*G363</f>
        <v/>
      </c>
      <c r="I363" s="5">
        <f>F363*VLOOKUP(D363,Products!$B$2:$E$13,3,FALSE)</f>
        <v/>
      </c>
    </row>
    <row r="364">
      <c r="A364" s="2" t="n">
        <v>46155</v>
      </c>
      <c r="B364" s="3" t="inlineStr">
        <is>
          <t>INV-2605-0363</t>
        </is>
      </c>
      <c r="C364" s="3" t="inlineStr">
        <is>
          <t>Singh Super Bazaar</t>
        </is>
      </c>
      <c r="D364" s="3" t="inlineStr">
        <is>
          <t>Cola 750ml</t>
        </is>
      </c>
      <c r="E364" s="3" t="inlineStr">
        <is>
          <t>Beverages</t>
        </is>
      </c>
      <c r="F364" s="4" t="n">
        <v>64</v>
      </c>
      <c r="G364" s="5" t="n">
        <v>47.11</v>
      </c>
      <c r="H364" s="5">
        <f>F364*G364</f>
        <v/>
      </c>
      <c r="I364" s="5">
        <f>F364*VLOOKUP(D364,Products!$B$2:$E$13,3,FALSE)</f>
        <v/>
      </c>
    </row>
    <row r="365">
      <c r="A365" s="2" t="n">
        <v>46155</v>
      </c>
      <c r="B365" s="3" t="inlineStr">
        <is>
          <t>INV-2605-0364</t>
        </is>
      </c>
      <c r="C365" s="3" t="inlineStr">
        <is>
          <t>Singh Super Bazaar</t>
        </is>
      </c>
      <c r="D365" s="3" t="inlineStr">
        <is>
          <t>Dish Soap 500ml</t>
        </is>
      </c>
      <c r="E365" s="3" t="inlineStr">
        <is>
          <t>Household</t>
        </is>
      </c>
      <c r="F365" s="4" t="n">
        <v>56</v>
      </c>
      <c r="G365" s="5" t="n">
        <v>96.70999999999999</v>
      </c>
      <c r="H365" s="5">
        <f>F365*G365</f>
        <v/>
      </c>
      <c r="I365" s="5">
        <f>F365*VLOOKUP(D365,Products!$B$2:$E$13,3,FALSE)</f>
        <v/>
      </c>
    </row>
    <row r="366">
      <c r="A366" s="2" t="n">
        <v>46155</v>
      </c>
      <c r="B366" s="3" t="inlineStr">
        <is>
          <t>INV-2605-0365</t>
        </is>
      </c>
      <c r="C366" s="3" t="inlineStr">
        <is>
          <t>Prasad Traders</t>
        </is>
      </c>
      <c r="D366" s="3" t="inlineStr">
        <is>
          <t>Toned Milk 1L</t>
        </is>
      </c>
      <c r="E366" s="3" t="inlineStr">
        <is>
          <t>Dairy</t>
        </is>
      </c>
      <c r="F366" s="4" t="n">
        <v>42</v>
      </c>
      <c r="G366" s="5" t="n">
        <v>67.73</v>
      </c>
      <c r="H366" s="5">
        <f>F366*G366</f>
        <v/>
      </c>
      <c r="I366" s="5">
        <f>F366*VLOOKUP(D366,Products!$B$2:$E$13,3,FALSE)</f>
        <v/>
      </c>
    </row>
    <row r="367">
      <c r="A367" s="2" t="n">
        <v>46155</v>
      </c>
      <c r="B367" s="3" t="inlineStr">
        <is>
          <t>INV-2605-0366</t>
        </is>
      </c>
      <c r="C367" s="3" t="inlineStr">
        <is>
          <t>Khan Mart</t>
        </is>
      </c>
      <c r="D367" s="3" t="inlineStr">
        <is>
          <t>Mango Juice 1L</t>
        </is>
      </c>
      <c r="E367" s="3" t="inlineStr">
        <is>
          <t>Beverages</t>
        </is>
      </c>
      <c r="F367" s="4" t="n">
        <v>44</v>
      </c>
      <c r="G367" s="5" t="n">
        <v>124.33</v>
      </c>
      <c r="H367" s="5">
        <f>F367*G367</f>
        <v/>
      </c>
      <c r="I367" s="5">
        <f>F367*VLOOKUP(D367,Products!$B$2:$E$13,3,FALSE)</f>
        <v/>
      </c>
    </row>
    <row r="368">
      <c r="A368" s="2" t="n">
        <v>46155</v>
      </c>
      <c r="B368" s="3" t="inlineStr">
        <is>
          <t>INV-2605-0367</t>
        </is>
      </c>
      <c r="C368" s="3" t="inlineStr">
        <is>
          <t>Prasad Traders</t>
        </is>
      </c>
      <c r="D368" s="3" t="inlineStr">
        <is>
          <t>Mango Juice 1L</t>
        </is>
      </c>
      <c r="E368" s="3" t="inlineStr">
        <is>
          <t>Beverages</t>
        </is>
      </c>
      <c r="F368" s="4" t="n">
        <v>11</v>
      </c>
      <c r="G368" s="5" t="n">
        <v>119.56</v>
      </c>
      <c r="H368" s="5">
        <f>F368*G368</f>
        <v/>
      </c>
      <c r="I368" s="5">
        <f>F368*VLOOKUP(D368,Products!$B$2:$E$13,3,FALSE)</f>
        <v/>
      </c>
    </row>
    <row r="369">
      <c r="A369" s="2" t="n">
        <v>46156</v>
      </c>
      <c r="B369" s="3" t="inlineStr">
        <is>
          <t>INV-2605-0368</t>
        </is>
      </c>
      <c r="C369" s="3" t="inlineStr">
        <is>
          <t>Mehta Retail</t>
        </is>
      </c>
      <c r="D369" s="3" t="inlineStr">
        <is>
          <t>Paneer 200g</t>
        </is>
      </c>
      <c r="E369" s="3" t="inlineStr">
        <is>
          <t>Dairy</t>
        </is>
      </c>
      <c r="F369" s="4" t="n">
        <v>26</v>
      </c>
      <c r="G369" s="5" t="n">
        <v>96.55</v>
      </c>
      <c r="H369" s="5">
        <f>F369*G369</f>
        <v/>
      </c>
      <c r="I369" s="5">
        <f>F369*VLOOKUP(D369,Products!$B$2:$E$13,3,FALSE)</f>
        <v/>
      </c>
    </row>
    <row r="370">
      <c r="A370" s="2" t="n">
        <v>46156</v>
      </c>
      <c r="B370" s="3" t="inlineStr">
        <is>
          <t>INV-2605-0369</t>
        </is>
      </c>
      <c r="C370" s="3" t="inlineStr">
        <is>
          <t>Prasad Traders</t>
        </is>
      </c>
      <c r="D370" s="3" t="inlineStr">
        <is>
          <t>Instant Noodles 280g</t>
        </is>
      </c>
      <c r="E370" s="3" t="inlineStr">
        <is>
          <t>Snacks</t>
        </is>
      </c>
      <c r="F370" s="4" t="n">
        <v>9</v>
      </c>
      <c r="G370" s="5" t="n">
        <v>55.72</v>
      </c>
      <c r="H370" s="5">
        <f>F370*G370</f>
        <v/>
      </c>
      <c r="I370" s="5">
        <f>F370*VLOOKUP(D370,Products!$B$2:$E$13,3,FALSE)</f>
        <v/>
      </c>
    </row>
    <row r="371">
      <c r="A371" s="2" t="n">
        <v>46156</v>
      </c>
      <c r="B371" s="3" t="inlineStr">
        <is>
          <t>INV-2605-0370</t>
        </is>
      </c>
      <c r="C371" s="3" t="inlineStr">
        <is>
          <t>Rai Daily Mart</t>
        </is>
      </c>
      <c r="D371" s="3" t="inlineStr">
        <is>
          <t>Potato Chips 150g</t>
        </is>
      </c>
      <c r="E371" s="3" t="inlineStr">
        <is>
          <t>Snacks</t>
        </is>
      </c>
      <c r="F371" s="4" t="n">
        <v>26</v>
      </c>
      <c r="G371" s="5" t="n">
        <v>52.26</v>
      </c>
      <c r="H371" s="5">
        <f>F371*G371</f>
        <v/>
      </c>
      <c r="I371" s="5">
        <f>F371*VLOOKUP(D371,Products!$B$2:$E$13,3,FALSE)</f>
        <v/>
      </c>
    </row>
    <row r="372">
      <c r="A372" s="2" t="n">
        <v>46156</v>
      </c>
      <c r="B372" s="3" t="inlineStr">
        <is>
          <t>INV-2605-0371</t>
        </is>
      </c>
      <c r="C372" s="3" t="inlineStr">
        <is>
          <t>Dubey Kirana</t>
        </is>
      </c>
      <c r="D372" s="3" t="inlineStr">
        <is>
          <t>Instant Noodles 280g</t>
        </is>
      </c>
      <c r="E372" s="3" t="inlineStr">
        <is>
          <t>Snacks</t>
        </is>
      </c>
      <c r="F372" s="4" t="n">
        <v>31</v>
      </c>
      <c r="G372" s="5" t="n">
        <v>58.36</v>
      </c>
      <c r="H372" s="5">
        <f>F372*G372</f>
        <v/>
      </c>
      <c r="I372" s="5">
        <f>F372*VLOOKUP(D372,Products!$B$2:$E$13,3,FALSE)</f>
        <v/>
      </c>
    </row>
    <row r="373">
      <c r="A373" s="2" t="n">
        <v>46156</v>
      </c>
      <c r="B373" s="3" t="inlineStr">
        <is>
          <t>INV-2605-0372</t>
        </is>
      </c>
      <c r="C373" s="3" t="inlineStr">
        <is>
          <t>Das &amp; Sons</t>
        </is>
      </c>
      <c r="D373" s="3" t="inlineStr">
        <is>
          <t>Biscuits 400g</t>
        </is>
      </c>
      <c r="E373" s="3" t="inlineStr">
        <is>
          <t>Snacks</t>
        </is>
      </c>
      <c r="F373" s="4" t="n">
        <v>28</v>
      </c>
      <c r="G373" s="5" t="n">
        <v>40.05</v>
      </c>
      <c r="H373" s="5">
        <f>F373*G373</f>
        <v/>
      </c>
      <c r="I373" s="5">
        <f>F373*VLOOKUP(D373,Products!$B$2:$E$13,3,FALSE)</f>
        <v/>
      </c>
    </row>
    <row r="374">
      <c r="A374" s="2" t="n">
        <v>46156</v>
      </c>
      <c r="B374" s="3" t="inlineStr">
        <is>
          <t>INV-2605-0373</t>
        </is>
      </c>
      <c r="C374" s="3" t="inlineStr">
        <is>
          <t>Prasad Traders</t>
        </is>
      </c>
      <c r="D374" s="3" t="inlineStr">
        <is>
          <t>Packaged Water 1L</t>
        </is>
      </c>
      <c r="E374" s="3" t="inlineStr">
        <is>
          <t>Beverages</t>
        </is>
      </c>
      <c r="F374" s="4" t="n">
        <v>68</v>
      </c>
      <c r="G374" s="5" t="n">
        <v>19.81</v>
      </c>
      <c r="H374" s="5">
        <f>F374*G374</f>
        <v/>
      </c>
      <c r="I374" s="5">
        <f>F374*VLOOKUP(D374,Products!$B$2:$E$13,3,FALSE)</f>
        <v/>
      </c>
    </row>
    <row r="375">
      <c r="A375" s="2" t="n">
        <v>46156</v>
      </c>
      <c r="B375" s="3" t="inlineStr">
        <is>
          <t>INV-2605-0374</t>
        </is>
      </c>
      <c r="C375" s="3" t="inlineStr">
        <is>
          <t>Patel Traders</t>
        </is>
      </c>
      <c r="D375" s="3" t="inlineStr">
        <is>
          <t>Curd Cup 400g</t>
        </is>
      </c>
      <c r="E375" s="3" t="inlineStr">
        <is>
          <t>Dairy</t>
        </is>
      </c>
      <c r="F375" s="4" t="n">
        <v>37</v>
      </c>
      <c r="G375" s="5" t="n">
        <v>45.04</v>
      </c>
      <c r="H375" s="5">
        <f>F375*G375</f>
        <v/>
      </c>
      <c r="I375" s="5">
        <f>F375*VLOOKUP(D375,Products!$B$2:$E$13,3,FALSE)</f>
        <v/>
      </c>
    </row>
    <row r="376">
      <c r="A376" s="2" t="n">
        <v>46156</v>
      </c>
      <c r="B376" s="3" t="inlineStr">
        <is>
          <t>INV-2605-0375</t>
        </is>
      </c>
      <c r="C376" s="3" t="inlineStr">
        <is>
          <t>Tiwari General</t>
        </is>
      </c>
      <c r="D376" s="3" t="inlineStr">
        <is>
          <t>Dish Soap 500ml</t>
        </is>
      </c>
      <c r="E376" s="3" t="inlineStr">
        <is>
          <t>Household</t>
        </is>
      </c>
      <c r="F376" s="4" t="n">
        <v>66</v>
      </c>
      <c r="G376" s="5" t="n">
        <v>101.33</v>
      </c>
      <c r="H376" s="5">
        <f>F376*G376</f>
        <v/>
      </c>
      <c r="I376" s="5">
        <f>F376*VLOOKUP(D376,Products!$B$2:$E$13,3,FALSE)</f>
        <v/>
      </c>
    </row>
    <row r="377">
      <c r="A377" s="2" t="n">
        <v>46157</v>
      </c>
      <c r="B377" s="3" t="inlineStr">
        <is>
          <t>INV-2605-0376</t>
        </is>
      </c>
      <c r="C377" s="3" t="inlineStr">
        <is>
          <t>Sharma Provision</t>
        </is>
      </c>
      <c r="D377" s="3" t="inlineStr">
        <is>
          <t>Packaged Water 1L</t>
        </is>
      </c>
      <c r="E377" s="3" t="inlineStr">
        <is>
          <t>Beverages</t>
        </is>
      </c>
      <c r="F377" s="4" t="n">
        <v>68</v>
      </c>
      <c r="G377" s="5" t="n">
        <v>20.95</v>
      </c>
      <c r="H377" s="5">
        <f>F377*G377</f>
        <v/>
      </c>
      <c r="I377" s="5">
        <f>F377*VLOOKUP(D377,Products!$B$2:$E$13,3,FALSE)</f>
        <v/>
      </c>
    </row>
    <row r="378">
      <c r="A378" s="2" t="n">
        <v>46157</v>
      </c>
      <c r="B378" s="3" t="inlineStr">
        <is>
          <t>INV-2605-0377</t>
        </is>
      </c>
      <c r="C378" s="3" t="inlineStr">
        <is>
          <t>Mehta Retail</t>
        </is>
      </c>
      <c r="D378" s="3" t="inlineStr">
        <is>
          <t>Paneer 200g</t>
        </is>
      </c>
      <c r="E378" s="3" t="inlineStr">
        <is>
          <t>Dairy</t>
        </is>
      </c>
      <c r="F378" s="4" t="n">
        <v>35</v>
      </c>
      <c r="G378" s="5" t="n">
        <v>99.58</v>
      </c>
      <c r="H378" s="5">
        <f>F378*G378</f>
        <v/>
      </c>
      <c r="I378" s="5">
        <f>F378*VLOOKUP(D378,Products!$B$2:$E$13,3,FALSE)</f>
        <v/>
      </c>
    </row>
    <row r="379">
      <c r="A379" s="2" t="n">
        <v>46157</v>
      </c>
      <c r="B379" s="3" t="inlineStr">
        <is>
          <t>INV-2605-0378</t>
        </is>
      </c>
      <c r="C379" s="3" t="inlineStr">
        <is>
          <t>Yadav Daily Needs</t>
        </is>
      </c>
      <c r="D379" s="3" t="inlineStr">
        <is>
          <t>Paneer 200g</t>
        </is>
      </c>
      <c r="E379" s="3" t="inlineStr">
        <is>
          <t>Dairy</t>
        </is>
      </c>
      <c r="F379" s="4" t="n">
        <v>78</v>
      </c>
      <c r="G379" s="5" t="n">
        <v>94.20999999999999</v>
      </c>
      <c r="H379" s="5">
        <f>F379*G379</f>
        <v/>
      </c>
      <c r="I379" s="5">
        <f>F379*VLOOKUP(D379,Products!$B$2:$E$13,3,FALSE)</f>
        <v/>
      </c>
    </row>
    <row r="380">
      <c r="A380" s="2" t="n">
        <v>46157</v>
      </c>
      <c r="B380" s="3" t="inlineStr">
        <is>
          <t>INV-2605-0379</t>
        </is>
      </c>
      <c r="C380" s="3" t="inlineStr">
        <is>
          <t>Prasad Traders</t>
        </is>
      </c>
      <c r="D380" s="3" t="inlineStr">
        <is>
          <t>Curd Cup 400g</t>
        </is>
      </c>
      <c r="E380" s="3" t="inlineStr">
        <is>
          <t>Dairy</t>
        </is>
      </c>
      <c r="F380" s="4" t="n">
        <v>71</v>
      </c>
      <c r="G380" s="5" t="n">
        <v>47.05</v>
      </c>
      <c r="H380" s="5">
        <f>F380*G380</f>
        <v/>
      </c>
      <c r="I380" s="5">
        <f>F380*VLOOKUP(D380,Products!$B$2:$E$13,3,FALSE)</f>
        <v/>
      </c>
    </row>
    <row r="381">
      <c r="A381" s="2" t="n">
        <v>46157</v>
      </c>
      <c r="B381" s="3" t="inlineStr">
        <is>
          <t>INV-2605-0380</t>
        </is>
      </c>
      <c r="C381" s="3" t="inlineStr">
        <is>
          <t>Mishra Stores</t>
        </is>
      </c>
      <c r="D381" s="3" t="inlineStr">
        <is>
          <t>Mango Juice 1L</t>
        </is>
      </c>
      <c r="E381" s="3" t="inlineStr">
        <is>
          <t>Beverages</t>
        </is>
      </c>
      <c r="F381" s="4" t="n">
        <v>11</v>
      </c>
      <c r="G381" s="5" t="n">
        <v>121.54</v>
      </c>
      <c r="H381" s="5">
        <f>F381*G381</f>
        <v/>
      </c>
      <c r="I381" s="5">
        <f>F381*VLOOKUP(D381,Products!$B$2:$E$13,3,FALSE)</f>
        <v/>
      </c>
    </row>
    <row r="382">
      <c r="A382" s="2" t="n">
        <v>46158</v>
      </c>
      <c r="B382" s="3" t="inlineStr">
        <is>
          <t>INV-2605-0381</t>
        </is>
      </c>
      <c r="C382" s="3" t="inlineStr">
        <is>
          <t>Jha Provisions</t>
        </is>
      </c>
      <c r="D382" s="3" t="inlineStr">
        <is>
          <t>Paneer 200g</t>
        </is>
      </c>
      <c r="E382" s="3" t="inlineStr">
        <is>
          <t>Dairy</t>
        </is>
      </c>
      <c r="F382" s="4" t="n">
        <v>19</v>
      </c>
      <c r="G382" s="5" t="n">
        <v>92.36</v>
      </c>
      <c r="H382" s="5">
        <f>F382*G382</f>
        <v/>
      </c>
      <c r="I382" s="5">
        <f>F382*VLOOKUP(D382,Products!$B$2:$E$13,3,FALSE)</f>
        <v/>
      </c>
    </row>
    <row r="383">
      <c r="A383" s="2" t="n">
        <v>46158</v>
      </c>
      <c r="B383" s="3" t="inlineStr">
        <is>
          <t>INV-2605-0382</t>
        </is>
      </c>
      <c r="C383" s="3" t="inlineStr">
        <is>
          <t>Khan Mart</t>
        </is>
      </c>
      <c r="D383" s="3" t="inlineStr">
        <is>
          <t>Toned Milk 1L</t>
        </is>
      </c>
      <c r="E383" s="3" t="inlineStr">
        <is>
          <t>Dairy</t>
        </is>
      </c>
      <c r="F383" s="4" t="n">
        <v>14</v>
      </c>
      <c r="G383" s="5" t="n">
        <v>66.38</v>
      </c>
      <c r="H383" s="5">
        <f>F383*G383</f>
        <v/>
      </c>
      <c r="I383" s="5">
        <f>F383*VLOOKUP(D383,Products!$B$2:$E$13,3,FALSE)</f>
        <v/>
      </c>
    </row>
    <row r="384">
      <c r="A384" s="2" t="n">
        <v>46158</v>
      </c>
      <c r="B384" s="3" t="inlineStr">
        <is>
          <t>INV-2605-0383</t>
        </is>
      </c>
      <c r="C384" s="3" t="inlineStr">
        <is>
          <t>Patel Traders</t>
        </is>
      </c>
      <c r="D384" s="3" t="inlineStr">
        <is>
          <t>Biscuits 400g</t>
        </is>
      </c>
      <c r="E384" s="3" t="inlineStr">
        <is>
          <t>Snacks</t>
        </is>
      </c>
      <c r="F384" s="4" t="n">
        <v>13</v>
      </c>
      <c r="G384" s="5" t="n">
        <v>41.28</v>
      </c>
      <c r="H384" s="5">
        <f>F384*G384</f>
        <v/>
      </c>
      <c r="I384" s="5">
        <f>F384*VLOOKUP(D384,Products!$B$2:$E$13,3,FALSE)</f>
        <v/>
      </c>
    </row>
    <row r="385">
      <c r="A385" s="2" t="n">
        <v>46158</v>
      </c>
      <c r="B385" s="3" t="inlineStr">
        <is>
          <t>INV-2605-0384</t>
        </is>
      </c>
      <c r="C385" s="3" t="inlineStr">
        <is>
          <t>Choudhary Mart</t>
        </is>
      </c>
      <c r="D385" s="3" t="inlineStr">
        <is>
          <t>Instant Noodles 280g</t>
        </is>
      </c>
      <c r="E385" s="3" t="inlineStr">
        <is>
          <t>Snacks</t>
        </is>
      </c>
      <c r="F385" s="4" t="n">
        <v>68</v>
      </c>
      <c r="G385" s="5" t="n">
        <v>58.13</v>
      </c>
      <c r="H385" s="5">
        <f>F385*G385</f>
        <v/>
      </c>
      <c r="I385" s="5">
        <f>F385*VLOOKUP(D385,Products!$B$2:$E$13,3,FALSE)</f>
        <v/>
      </c>
    </row>
    <row r="386">
      <c r="A386" s="2" t="n">
        <v>46158</v>
      </c>
      <c r="B386" s="3" t="inlineStr">
        <is>
          <t>INV-2605-0385</t>
        </is>
      </c>
      <c r="C386" s="3" t="inlineStr">
        <is>
          <t>Choudhary Mart</t>
        </is>
      </c>
      <c r="D386" s="3" t="inlineStr">
        <is>
          <t>Toned Milk 1L</t>
        </is>
      </c>
      <c r="E386" s="3" t="inlineStr">
        <is>
          <t>Dairy</t>
        </is>
      </c>
      <c r="F386" s="4" t="n">
        <v>59</v>
      </c>
      <c r="G386" s="5" t="n">
        <v>67.25</v>
      </c>
      <c r="H386" s="5">
        <f>F386*G386</f>
        <v/>
      </c>
      <c r="I386" s="5">
        <f>F386*VLOOKUP(D386,Products!$B$2:$E$13,3,FALSE)</f>
        <v/>
      </c>
    </row>
    <row r="387">
      <c r="A387" s="2" t="n">
        <v>46158</v>
      </c>
      <c r="B387" s="3" t="inlineStr">
        <is>
          <t>INV-2605-0386</t>
        </is>
      </c>
      <c r="C387" s="3" t="inlineStr">
        <is>
          <t>Verma Retail</t>
        </is>
      </c>
      <c r="D387" s="3" t="inlineStr">
        <is>
          <t>Instant Noodles 280g</t>
        </is>
      </c>
      <c r="E387" s="3" t="inlineStr">
        <is>
          <t>Snacks</t>
        </is>
      </c>
      <c r="F387" s="4" t="n">
        <v>11</v>
      </c>
      <c r="G387" s="5" t="n">
        <v>56.34</v>
      </c>
      <c r="H387" s="5">
        <f>F387*G387</f>
        <v/>
      </c>
      <c r="I387" s="5">
        <f>F387*VLOOKUP(D387,Products!$B$2:$E$13,3,FALSE)</f>
        <v/>
      </c>
    </row>
    <row r="388">
      <c r="A388" s="2" t="n">
        <v>46158</v>
      </c>
      <c r="B388" s="3" t="inlineStr">
        <is>
          <t>INV-2605-0387</t>
        </is>
      </c>
      <c r="C388" s="3" t="inlineStr">
        <is>
          <t>Nath Provisions</t>
        </is>
      </c>
      <c r="D388" s="3" t="inlineStr">
        <is>
          <t>Paneer 200g</t>
        </is>
      </c>
      <c r="E388" s="3" t="inlineStr">
        <is>
          <t>Dairy</t>
        </is>
      </c>
      <c r="F388" s="4" t="n">
        <v>40</v>
      </c>
      <c r="G388" s="5" t="n">
        <v>94.45</v>
      </c>
      <c r="H388" s="5">
        <f>F388*G388</f>
        <v/>
      </c>
      <c r="I388" s="5">
        <f>F388*VLOOKUP(D388,Products!$B$2:$E$13,3,FALSE)</f>
        <v/>
      </c>
    </row>
    <row r="389">
      <c r="A389" s="2" t="n">
        <v>46158</v>
      </c>
      <c r="B389" s="3" t="inlineStr">
        <is>
          <t>INV-2605-0388</t>
        </is>
      </c>
      <c r="C389" s="3" t="inlineStr">
        <is>
          <t>Raza Brothers</t>
        </is>
      </c>
      <c r="D389" s="3" t="inlineStr">
        <is>
          <t>Toned Milk 1L</t>
        </is>
      </c>
      <c r="E389" s="3" t="inlineStr">
        <is>
          <t>Dairy</t>
        </is>
      </c>
      <c r="F389" s="4" t="n">
        <v>49</v>
      </c>
      <c r="G389" s="5" t="n">
        <v>66.09</v>
      </c>
      <c r="H389" s="5">
        <f>F389*G389</f>
        <v/>
      </c>
      <c r="I389" s="5">
        <f>F389*VLOOKUP(D389,Products!$B$2:$E$13,3,FALSE)</f>
        <v/>
      </c>
    </row>
    <row r="390">
      <c r="A390" s="2" t="n">
        <v>46158</v>
      </c>
      <c r="B390" s="3" t="inlineStr">
        <is>
          <t>INV-2605-0389</t>
        </is>
      </c>
      <c r="C390" s="3" t="inlineStr">
        <is>
          <t>Das &amp; Sons</t>
        </is>
      </c>
      <c r="D390" s="3" t="inlineStr">
        <is>
          <t>Potato Chips 150g</t>
        </is>
      </c>
      <c r="E390" s="3" t="inlineStr">
        <is>
          <t>Snacks</t>
        </is>
      </c>
      <c r="F390" s="4" t="n">
        <v>14</v>
      </c>
      <c r="G390" s="5" t="n">
        <v>49.54</v>
      </c>
      <c r="H390" s="5">
        <f>F390*G390</f>
        <v/>
      </c>
      <c r="I390" s="5">
        <f>F390*VLOOKUP(D390,Products!$B$2:$E$13,3,FALSE)</f>
        <v/>
      </c>
    </row>
    <row r="391">
      <c r="A391" s="2" t="n">
        <v>46158</v>
      </c>
      <c r="B391" s="3" t="inlineStr">
        <is>
          <t>INV-2605-0390</t>
        </is>
      </c>
      <c r="C391" s="3" t="inlineStr">
        <is>
          <t>Singh Super Bazaar</t>
        </is>
      </c>
      <c r="D391" s="3" t="inlineStr">
        <is>
          <t>Toned Milk 1L</t>
        </is>
      </c>
      <c r="E391" s="3" t="inlineStr">
        <is>
          <t>Dairy</t>
        </is>
      </c>
      <c r="F391" s="4" t="n">
        <v>34</v>
      </c>
      <c r="G391" s="5" t="n">
        <v>65.84</v>
      </c>
      <c r="H391" s="5">
        <f>F391*G391</f>
        <v/>
      </c>
      <c r="I391" s="5">
        <f>F391*VLOOKUP(D391,Products!$B$2:$E$13,3,FALSE)</f>
        <v/>
      </c>
    </row>
    <row r="392">
      <c r="A392" s="2" t="n">
        <v>46159</v>
      </c>
      <c r="B392" s="3" t="inlineStr">
        <is>
          <t>INV-2605-0391</t>
        </is>
      </c>
      <c r="C392" s="3" t="inlineStr">
        <is>
          <t>Pandey Stores</t>
        </is>
      </c>
      <c r="D392" s="3" t="inlineStr">
        <is>
          <t>Biscuits 400g</t>
        </is>
      </c>
      <c r="E392" s="3" t="inlineStr">
        <is>
          <t>Snacks</t>
        </is>
      </c>
      <c r="F392" s="4" t="n">
        <v>45</v>
      </c>
      <c r="G392" s="5" t="n">
        <v>40.09</v>
      </c>
      <c r="H392" s="5">
        <f>F392*G392</f>
        <v/>
      </c>
      <c r="I392" s="5">
        <f>F392*VLOOKUP(D392,Products!$B$2:$E$13,3,FALSE)</f>
        <v/>
      </c>
    </row>
    <row r="393">
      <c r="A393" s="2" t="n">
        <v>46159</v>
      </c>
      <c r="B393" s="3" t="inlineStr">
        <is>
          <t>INV-2605-0392</t>
        </is>
      </c>
      <c r="C393" s="3" t="inlineStr">
        <is>
          <t>Prasad Traders</t>
        </is>
      </c>
      <c r="D393" s="3" t="inlineStr">
        <is>
          <t>Cola 750ml</t>
        </is>
      </c>
      <c r="E393" s="3" t="inlineStr">
        <is>
          <t>Beverages</t>
        </is>
      </c>
      <c r="F393" s="4" t="n">
        <v>74</v>
      </c>
      <c r="G393" s="5" t="n">
        <v>46.05</v>
      </c>
      <c r="H393" s="5">
        <f>F393*G393</f>
        <v/>
      </c>
      <c r="I393" s="5">
        <f>F393*VLOOKUP(D393,Products!$B$2:$E$13,3,FALSE)</f>
        <v/>
      </c>
    </row>
    <row r="394">
      <c r="A394" s="2" t="n">
        <v>46159</v>
      </c>
      <c r="B394" s="3" t="inlineStr">
        <is>
          <t>INV-2605-0393</t>
        </is>
      </c>
      <c r="C394" s="3" t="inlineStr">
        <is>
          <t>Azad Stores</t>
        </is>
      </c>
      <c r="D394" s="3" t="inlineStr">
        <is>
          <t>Toned Milk 1L</t>
        </is>
      </c>
      <c r="E394" s="3" t="inlineStr">
        <is>
          <t>Dairy</t>
        </is>
      </c>
      <c r="F394" s="4" t="n">
        <v>41</v>
      </c>
      <c r="G394" s="5" t="n">
        <v>64.16</v>
      </c>
      <c r="H394" s="5">
        <f>F394*G394</f>
        <v/>
      </c>
      <c r="I394" s="5">
        <f>F394*VLOOKUP(D394,Products!$B$2:$E$13,3,FALSE)</f>
        <v/>
      </c>
    </row>
    <row r="395">
      <c r="A395" s="2" t="n">
        <v>46159</v>
      </c>
      <c r="B395" s="3" t="inlineStr">
        <is>
          <t>INV-2605-0394</t>
        </is>
      </c>
      <c r="C395" s="3" t="inlineStr">
        <is>
          <t>Dubey Kirana</t>
        </is>
      </c>
      <c r="D395" s="3" t="inlineStr">
        <is>
          <t>Instant Noodles 280g</t>
        </is>
      </c>
      <c r="E395" s="3" t="inlineStr">
        <is>
          <t>Snacks</t>
        </is>
      </c>
      <c r="F395" s="4" t="n">
        <v>43</v>
      </c>
      <c r="G395" s="5" t="n">
        <v>57.54</v>
      </c>
      <c r="H395" s="5">
        <f>F395*G395</f>
        <v/>
      </c>
      <c r="I395" s="5">
        <f>F395*VLOOKUP(D395,Products!$B$2:$E$13,3,FALSE)</f>
        <v/>
      </c>
    </row>
    <row r="396">
      <c r="A396" s="2" t="n">
        <v>46159</v>
      </c>
      <c r="B396" s="3" t="inlineStr">
        <is>
          <t>INV-2605-0395</t>
        </is>
      </c>
      <c r="C396" s="3" t="inlineStr">
        <is>
          <t>Das &amp; Sons</t>
        </is>
      </c>
      <c r="D396" s="3" t="inlineStr">
        <is>
          <t>Toned Milk 1L</t>
        </is>
      </c>
      <c r="E396" s="3" t="inlineStr">
        <is>
          <t>Dairy</t>
        </is>
      </c>
      <c r="F396" s="4" t="n">
        <v>89</v>
      </c>
      <c r="G396" s="5" t="n">
        <v>64.62</v>
      </c>
      <c r="H396" s="5">
        <f>F396*G396</f>
        <v/>
      </c>
      <c r="I396" s="5">
        <f>F396*VLOOKUP(D396,Products!$B$2:$E$13,3,FALSE)</f>
        <v/>
      </c>
    </row>
    <row r="397">
      <c r="A397" s="2" t="n">
        <v>46159</v>
      </c>
      <c r="B397" s="3" t="inlineStr">
        <is>
          <t>INV-2605-0396</t>
        </is>
      </c>
      <c r="C397" s="3" t="inlineStr">
        <is>
          <t>Patel Traders</t>
        </is>
      </c>
      <c r="D397" s="3" t="inlineStr">
        <is>
          <t>Biscuits 400g</t>
        </is>
      </c>
      <c r="E397" s="3" t="inlineStr">
        <is>
          <t>Snacks</t>
        </is>
      </c>
      <c r="F397" s="4" t="n">
        <v>28</v>
      </c>
      <c r="G397" s="5" t="n">
        <v>39.47</v>
      </c>
      <c r="H397" s="5">
        <f>F397*G397</f>
        <v/>
      </c>
      <c r="I397" s="5">
        <f>F397*VLOOKUP(D397,Products!$B$2:$E$13,3,FALSE)</f>
        <v/>
      </c>
    </row>
    <row r="398">
      <c r="A398" s="2" t="n">
        <v>46160</v>
      </c>
      <c r="B398" s="3" t="inlineStr">
        <is>
          <t>INV-2605-0397</t>
        </is>
      </c>
      <c r="C398" s="3" t="inlineStr">
        <is>
          <t>Dubey Kirana</t>
        </is>
      </c>
      <c r="D398" s="3" t="inlineStr">
        <is>
          <t>Packaged Water 1L</t>
        </is>
      </c>
      <c r="E398" s="3" t="inlineStr">
        <is>
          <t>Beverages</t>
        </is>
      </c>
      <c r="F398" s="4" t="n">
        <v>65</v>
      </c>
      <c r="G398" s="5" t="n">
        <v>19.65</v>
      </c>
      <c r="H398" s="5">
        <f>F398*G398</f>
        <v/>
      </c>
      <c r="I398" s="5">
        <f>F398*VLOOKUP(D398,Products!$B$2:$E$13,3,FALSE)</f>
        <v/>
      </c>
    </row>
    <row r="399">
      <c r="A399" s="2" t="n">
        <v>46160</v>
      </c>
      <c r="B399" s="3" t="inlineStr">
        <is>
          <t>INV-2605-0398</t>
        </is>
      </c>
      <c r="C399" s="3" t="inlineStr">
        <is>
          <t>Kumari Kirana</t>
        </is>
      </c>
      <c r="D399" s="3" t="inlineStr">
        <is>
          <t>Mango Juice 1L</t>
        </is>
      </c>
      <c r="E399" s="3" t="inlineStr">
        <is>
          <t>Beverages</t>
        </is>
      </c>
      <c r="F399" s="4" t="n">
        <v>36</v>
      </c>
      <c r="G399" s="5" t="n">
        <v>117.13</v>
      </c>
      <c r="H399" s="5">
        <f>F399*G399</f>
        <v/>
      </c>
      <c r="I399" s="5">
        <f>F399*VLOOKUP(D399,Products!$B$2:$E$13,3,FALSE)</f>
        <v/>
      </c>
    </row>
    <row r="400">
      <c r="A400" s="2" t="n">
        <v>46160</v>
      </c>
      <c r="B400" s="3" t="inlineStr">
        <is>
          <t>INV-2605-0399</t>
        </is>
      </c>
      <c r="C400" s="3" t="inlineStr">
        <is>
          <t>Sinha Super Mart</t>
        </is>
      </c>
      <c r="D400" s="3" t="inlineStr">
        <is>
          <t>Biscuits 400g</t>
        </is>
      </c>
      <c r="E400" s="3" t="inlineStr">
        <is>
          <t>Snacks</t>
        </is>
      </c>
      <c r="F400" s="4" t="n">
        <v>13</v>
      </c>
      <c r="G400" s="5" t="n">
        <v>41.54</v>
      </c>
      <c r="H400" s="5">
        <f>F400*G400</f>
        <v/>
      </c>
      <c r="I400" s="5">
        <f>F400*VLOOKUP(D400,Products!$B$2:$E$13,3,FALSE)</f>
        <v/>
      </c>
    </row>
    <row r="401">
      <c r="A401" s="2" t="n">
        <v>46160</v>
      </c>
      <c r="B401" s="3" t="inlineStr">
        <is>
          <t>INV-2605-0400</t>
        </is>
      </c>
      <c r="C401" s="3" t="inlineStr">
        <is>
          <t>Bhatt General Store</t>
        </is>
      </c>
      <c r="D401" s="3" t="inlineStr">
        <is>
          <t>Paneer 200g</t>
        </is>
      </c>
      <c r="E401" s="3" t="inlineStr">
        <is>
          <t>Dairy</t>
        </is>
      </c>
      <c r="F401" s="4" t="n">
        <v>24</v>
      </c>
      <c r="G401" s="5" t="n">
        <v>96.19</v>
      </c>
      <c r="H401" s="5">
        <f>F401*G401</f>
        <v/>
      </c>
      <c r="I401" s="5">
        <f>F401*VLOOKUP(D401,Products!$B$2:$E$13,3,FALSE)</f>
        <v/>
      </c>
    </row>
    <row r="402">
      <c r="A402" s="2" t="n">
        <v>46160</v>
      </c>
      <c r="B402" s="3" t="inlineStr">
        <is>
          <t>INV-2605-0401</t>
        </is>
      </c>
      <c r="C402" s="3" t="inlineStr">
        <is>
          <t>Tiwari General</t>
        </is>
      </c>
      <c r="D402" s="3" t="inlineStr">
        <is>
          <t>Detergent 1kg</t>
        </is>
      </c>
      <c r="E402" s="3" t="inlineStr">
        <is>
          <t>Household</t>
        </is>
      </c>
      <c r="F402" s="4" t="n">
        <v>20</v>
      </c>
      <c r="G402" s="5" t="n">
        <v>136.27</v>
      </c>
      <c r="H402" s="5">
        <f>F402*G402</f>
        <v/>
      </c>
      <c r="I402" s="5">
        <f>F402*VLOOKUP(D402,Products!$B$2:$E$13,3,FALSE)</f>
        <v/>
      </c>
    </row>
    <row r="403">
      <c r="A403" s="2" t="n">
        <v>46161</v>
      </c>
      <c r="B403" s="3" t="inlineStr">
        <is>
          <t>INV-2605-0402</t>
        </is>
      </c>
      <c r="C403" s="3" t="inlineStr">
        <is>
          <t>Raza Brothers</t>
        </is>
      </c>
      <c r="D403" s="3" t="inlineStr">
        <is>
          <t>Cola 750ml</t>
        </is>
      </c>
      <c r="E403" s="3" t="inlineStr">
        <is>
          <t>Beverages</t>
        </is>
      </c>
      <c r="F403" s="4" t="n">
        <v>76</v>
      </c>
      <c r="G403" s="5" t="n">
        <v>47.25</v>
      </c>
      <c r="H403" s="5">
        <f>F403*G403</f>
        <v/>
      </c>
      <c r="I403" s="5">
        <f>F403*VLOOKUP(D403,Products!$B$2:$E$13,3,FALSE)</f>
        <v/>
      </c>
    </row>
    <row r="404">
      <c r="A404" s="2" t="n">
        <v>46161</v>
      </c>
      <c r="B404" s="3" t="inlineStr">
        <is>
          <t>INV-2605-0403</t>
        </is>
      </c>
      <c r="C404" s="3" t="inlineStr">
        <is>
          <t>Azad Stores</t>
        </is>
      </c>
      <c r="D404" s="3" t="inlineStr">
        <is>
          <t>Floor Cleaner 1L</t>
        </is>
      </c>
      <c r="E404" s="3" t="inlineStr">
        <is>
          <t>Household</t>
        </is>
      </c>
      <c r="F404" s="4" t="n">
        <v>44</v>
      </c>
      <c r="G404" s="5" t="n">
        <v>112.16</v>
      </c>
      <c r="H404" s="5">
        <f>F404*G404</f>
        <v/>
      </c>
      <c r="I404" s="5">
        <f>F404*VLOOKUP(D404,Products!$B$2:$E$13,3,FALSE)</f>
        <v/>
      </c>
    </row>
    <row r="405">
      <c r="A405" s="2" t="n">
        <v>46161</v>
      </c>
      <c r="B405" s="3" t="inlineStr">
        <is>
          <t>INV-2605-0404</t>
        </is>
      </c>
      <c r="C405" s="3" t="inlineStr">
        <is>
          <t>Bhatt General Store</t>
        </is>
      </c>
      <c r="D405" s="3" t="inlineStr">
        <is>
          <t>Packaged Water 1L</t>
        </is>
      </c>
      <c r="E405" s="3" t="inlineStr">
        <is>
          <t>Beverages</t>
        </is>
      </c>
      <c r="F405" s="4" t="n">
        <v>72</v>
      </c>
      <c r="G405" s="5" t="n">
        <v>20.23</v>
      </c>
      <c r="H405" s="5">
        <f>F405*G405</f>
        <v/>
      </c>
      <c r="I405" s="5">
        <f>F405*VLOOKUP(D405,Products!$B$2:$E$13,3,FALSE)</f>
        <v/>
      </c>
    </row>
    <row r="406">
      <c r="A406" s="2" t="n">
        <v>46161</v>
      </c>
      <c r="B406" s="3" t="inlineStr">
        <is>
          <t>INV-2605-0405</t>
        </is>
      </c>
      <c r="C406" s="3" t="inlineStr">
        <is>
          <t>Das &amp; Sons</t>
        </is>
      </c>
      <c r="D406" s="3" t="inlineStr">
        <is>
          <t>Paneer 200g</t>
        </is>
      </c>
      <c r="E406" s="3" t="inlineStr">
        <is>
          <t>Dairy</t>
        </is>
      </c>
      <c r="F406" s="4" t="n">
        <v>10</v>
      </c>
      <c r="G406" s="5" t="n">
        <v>97.23999999999999</v>
      </c>
      <c r="H406" s="5">
        <f>F406*G406</f>
        <v/>
      </c>
      <c r="I406" s="5">
        <f>F406*VLOOKUP(D406,Products!$B$2:$E$13,3,FALSE)</f>
        <v/>
      </c>
    </row>
    <row r="407">
      <c r="A407" s="2" t="n">
        <v>46161</v>
      </c>
      <c r="B407" s="3" t="inlineStr">
        <is>
          <t>INV-2605-0406</t>
        </is>
      </c>
      <c r="C407" s="3" t="inlineStr">
        <is>
          <t>Pandey Stores</t>
        </is>
      </c>
      <c r="D407" s="3" t="inlineStr">
        <is>
          <t>Dish Soap 500ml</t>
        </is>
      </c>
      <c r="E407" s="3" t="inlineStr">
        <is>
          <t>Household</t>
        </is>
      </c>
      <c r="F407" s="4" t="n">
        <v>76</v>
      </c>
      <c r="G407" s="5" t="n">
        <v>101.77</v>
      </c>
      <c r="H407" s="5">
        <f>F407*G407</f>
        <v/>
      </c>
      <c r="I407" s="5">
        <f>F407*VLOOKUP(D407,Products!$B$2:$E$13,3,FALSE)</f>
        <v/>
      </c>
    </row>
    <row r="408">
      <c r="A408" s="2" t="n">
        <v>46161</v>
      </c>
      <c r="B408" s="3" t="inlineStr">
        <is>
          <t>INV-2605-0407</t>
        </is>
      </c>
      <c r="C408" s="3" t="inlineStr">
        <is>
          <t>Ali General Store</t>
        </is>
      </c>
      <c r="D408" s="3" t="inlineStr">
        <is>
          <t>Paneer 200g</t>
        </is>
      </c>
      <c r="E408" s="3" t="inlineStr">
        <is>
          <t>Dairy</t>
        </is>
      </c>
      <c r="F408" s="4" t="n">
        <v>39</v>
      </c>
      <c r="G408" s="5" t="n">
        <v>92.75</v>
      </c>
      <c r="H408" s="5">
        <f>F408*G408</f>
        <v/>
      </c>
      <c r="I408" s="5">
        <f>F408*VLOOKUP(D408,Products!$B$2:$E$13,3,FALSE)</f>
        <v/>
      </c>
    </row>
    <row r="409">
      <c r="A409" s="2" t="n">
        <v>46162</v>
      </c>
      <c r="B409" s="3" t="inlineStr">
        <is>
          <t>INV-2605-0408</t>
        </is>
      </c>
      <c r="C409" s="3" t="inlineStr">
        <is>
          <t>Nath Provisions</t>
        </is>
      </c>
      <c r="D409" s="3" t="inlineStr">
        <is>
          <t>Floor Cleaner 1L</t>
        </is>
      </c>
      <c r="E409" s="3" t="inlineStr">
        <is>
          <t>Household</t>
        </is>
      </c>
      <c r="F409" s="4" t="n">
        <v>5</v>
      </c>
      <c r="G409" s="5" t="n">
        <v>111.25</v>
      </c>
      <c r="H409" s="5">
        <f>F409*G409</f>
        <v/>
      </c>
      <c r="I409" s="5">
        <f>F409*VLOOKUP(D409,Products!$B$2:$E$13,3,FALSE)</f>
        <v/>
      </c>
    </row>
    <row r="410">
      <c r="A410" s="2" t="n">
        <v>46162</v>
      </c>
      <c r="B410" s="3" t="inlineStr">
        <is>
          <t>INV-2605-0409</t>
        </is>
      </c>
      <c r="C410" s="3" t="inlineStr">
        <is>
          <t>Ali General Store</t>
        </is>
      </c>
      <c r="D410" s="3" t="inlineStr">
        <is>
          <t>Biscuits 400g</t>
        </is>
      </c>
      <c r="E410" s="3" t="inlineStr">
        <is>
          <t>Snacks</t>
        </is>
      </c>
      <c r="F410" s="4" t="n">
        <v>54</v>
      </c>
      <c r="G410" s="5" t="n">
        <v>39.52</v>
      </c>
      <c r="H410" s="5">
        <f>F410*G410</f>
        <v/>
      </c>
      <c r="I410" s="5">
        <f>F410*VLOOKUP(D410,Products!$B$2:$E$13,3,FALSE)</f>
        <v/>
      </c>
    </row>
    <row r="411">
      <c r="A411" s="2" t="n">
        <v>46162</v>
      </c>
      <c r="B411" s="3" t="inlineStr">
        <is>
          <t>INV-2605-0410</t>
        </is>
      </c>
      <c r="C411" s="3" t="inlineStr">
        <is>
          <t>Sharma Provision</t>
        </is>
      </c>
      <c r="D411" s="3" t="inlineStr">
        <is>
          <t>Cola 750ml</t>
        </is>
      </c>
      <c r="E411" s="3" t="inlineStr">
        <is>
          <t>Beverages</t>
        </is>
      </c>
      <c r="F411" s="4" t="n">
        <v>35</v>
      </c>
      <c r="G411" s="5" t="n">
        <v>44.65</v>
      </c>
      <c r="H411" s="5">
        <f>F411*G411</f>
        <v/>
      </c>
      <c r="I411" s="5">
        <f>F411*VLOOKUP(D411,Products!$B$2:$E$13,3,FALSE)</f>
        <v/>
      </c>
    </row>
    <row r="412">
      <c r="A412" s="2" t="n">
        <v>46162</v>
      </c>
      <c r="B412" s="3" t="inlineStr">
        <is>
          <t>INV-2605-0411</t>
        </is>
      </c>
      <c r="C412" s="3" t="inlineStr">
        <is>
          <t>Raza Brothers</t>
        </is>
      </c>
      <c r="D412" s="3" t="inlineStr">
        <is>
          <t>Cola 750ml</t>
        </is>
      </c>
      <c r="E412" s="3" t="inlineStr">
        <is>
          <t>Beverages</t>
        </is>
      </c>
      <c r="F412" s="4" t="n">
        <v>67</v>
      </c>
      <c r="G412" s="5" t="n">
        <v>46.41</v>
      </c>
      <c r="H412" s="5">
        <f>F412*G412</f>
        <v/>
      </c>
      <c r="I412" s="5">
        <f>F412*VLOOKUP(D412,Products!$B$2:$E$13,3,FALSE)</f>
        <v/>
      </c>
    </row>
    <row r="413">
      <c r="A413" s="2" t="n">
        <v>46162</v>
      </c>
      <c r="B413" s="3" t="inlineStr">
        <is>
          <t>INV-2605-0412</t>
        </is>
      </c>
      <c r="C413" s="3" t="inlineStr">
        <is>
          <t>Sinha Super Mart</t>
        </is>
      </c>
      <c r="D413" s="3" t="inlineStr">
        <is>
          <t>Detergent 1kg</t>
        </is>
      </c>
      <c r="E413" s="3" t="inlineStr">
        <is>
          <t>Household</t>
        </is>
      </c>
      <c r="F413" s="4" t="n">
        <v>30</v>
      </c>
      <c r="G413" s="5" t="n">
        <v>127.07</v>
      </c>
      <c r="H413" s="5">
        <f>F413*G413</f>
        <v/>
      </c>
      <c r="I413" s="5">
        <f>F413*VLOOKUP(D413,Products!$B$2:$E$13,3,FALSE)</f>
        <v/>
      </c>
    </row>
    <row r="414">
      <c r="A414" s="2" t="n">
        <v>46162</v>
      </c>
      <c r="B414" s="3" t="inlineStr">
        <is>
          <t>INV-2605-0413</t>
        </is>
      </c>
      <c r="C414" s="3" t="inlineStr">
        <is>
          <t>Nath Provisions</t>
        </is>
      </c>
      <c r="D414" s="3" t="inlineStr">
        <is>
          <t>Cola 750ml</t>
        </is>
      </c>
      <c r="E414" s="3" t="inlineStr">
        <is>
          <t>Beverages</t>
        </is>
      </c>
      <c r="F414" s="4" t="n">
        <v>42</v>
      </c>
      <c r="G414" s="5" t="n">
        <v>44.74</v>
      </c>
      <c r="H414" s="5">
        <f>F414*G414</f>
        <v/>
      </c>
      <c r="I414" s="5">
        <f>F414*VLOOKUP(D414,Products!$B$2:$E$13,3,FALSE)</f>
        <v/>
      </c>
    </row>
    <row r="415">
      <c r="A415" s="2" t="n">
        <v>46162</v>
      </c>
      <c r="B415" s="3" t="inlineStr">
        <is>
          <t>INV-2605-0414</t>
        </is>
      </c>
      <c r="C415" s="3" t="inlineStr">
        <is>
          <t>Azad Stores</t>
        </is>
      </c>
      <c r="D415" s="3" t="inlineStr">
        <is>
          <t>Toned Milk 1L</t>
        </is>
      </c>
      <c r="E415" s="3" t="inlineStr">
        <is>
          <t>Dairy</t>
        </is>
      </c>
      <c r="F415" s="4" t="n">
        <v>59</v>
      </c>
      <c r="G415" s="5" t="n">
        <v>68.69</v>
      </c>
      <c r="H415" s="5">
        <f>F415*G415</f>
        <v/>
      </c>
      <c r="I415" s="5">
        <f>F415*VLOOKUP(D415,Products!$B$2:$E$13,3,FALSE)</f>
        <v/>
      </c>
    </row>
    <row r="416">
      <c r="A416" s="2" t="n">
        <v>46162</v>
      </c>
      <c r="B416" s="3" t="inlineStr">
        <is>
          <t>INV-2605-0415</t>
        </is>
      </c>
      <c r="C416" s="3" t="inlineStr">
        <is>
          <t>Kumari Kirana</t>
        </is>
      </c>
      <c r="D416" s="3" t="inlineStr">
        <is>
          <t>Floor Cleaner 1L</t>
        </is>
      </c>
      <c r="E416" s="3" t="inlineStr">
        <is>
          <t>Household</t>
        </is>
      </c>
      <c r="F416" s="4" t="n">
        <v>43</v>
      </c>
      <c r="G416" s="5" t="n">
        <v>108.98</v>
      </c>
      <c r="H416" s="5">
        <f>F416*G416</f>
        <v/>
      </c>
      <c r="I416" s="5">
        <f>F416*VLOOKUP(D416,Products!$B$2:$E$13,3,FALSE)</f>
        <v/>
      </c>
    </row>
    <row r="417">
      <c r="A417" s="2" t="n">
        <v>46162</v>
      </c>
      <c r="B417" s="3" t="inlineStr">
        <is>
          <t>INV-2605-0416</t>
        </is>
      </c>
      <c r="C417" s="3" t="inlineStr">
        <is>
          <t>Jha Provisions</t>
        </is>
      </c>
      <c r="D417" s="3" t="inlineStr">
        <is>
          <t>Floor Cleaner 1L</t>
        </is>
      </c>
      <c r="E417" s="3" t="inlineStr">
        <is>
          <t>Household</t>
        </is>
      </c>
      <c r="F417" s="4" t="n">
        <v>18</v>
      </c>
      <c r="G417" s="5" t="n">
        <v>110.55</v>
      </c>
      <c r="H417" s="5">
        <f>F417*G417</f>
        <v/>
      </c>
      <c r="I417" s="5">
        <f>F417*VLOOKUP(D417,Products!$B$2:$E$13,3,FALSE)</f>
        <v/>
      </c>
    </row>
    <row r="418">
      <c r="A418" s="2" t="n">
        <v>46163</v>
      </c>
      <c r="B418" s="3" t="inlineStr">
        <is>
          <t>INV-2605-0417</t>
        </is>
      </c>
      <c r="C418" s="3" t="inlineStr">
        <is>
          <t>Mishra Stores</t>
        </is>
      </c>
      <c r="D418" s="3" t="inlineStr">
        <is>
          <t>Cola 750ml</t>
        </is>
      </c>
      <c r="E418" s="3" t="inlineStr">
        <is>
          <t>Beverages</t>
        </is>
      </c>
      <c r="F418" s="4" t="n">
        <v>32</v>
      </c>
      <c r="G418" s="5" t="n">
        <v>44.14</v>
      </c>
      <c r="H418" s="5">
        <f>F418*G418</f>
        <v/>
      </c>
      <c r="I418" s="5">
        <f>F418*VLOOKUP(D418,Products!$B$2:$E$13,3,FALSE)</f>
        <v/>
      </c>
    </row>
    <row r="419">
      <c r="A419" s="2" t="n">
        <v>46163</v>
      </c>
      <c r="B419" s="3" t="inlineStr">
        <is>
          <t>INV-2605-0418</t>
        </is>
      </c>
      <c r="C419" s="3" t="inlineStr">
        <is>
          <t>Choudhary Mart</t>
        </is>
      </c>
      <c r="D419" s="3" t="inlineStr">
        <is>
          <t>Toned Milk 1L</t>
        </is>
      </c>
      <c r="E419" s="3" t="inlineStr">
        <is>
          <t>Dairy</t>
        </is>
      </c>
      <c r="F419" s="4" t="n">
        <v>9</v>
      </c>
      <c r="G419" s="5" t="n">
        <v>65.20999999999999</v>
      </c>
      <c r="H419" s="5">
        <f>F419*G419</f>
        <v/>
      </c>
      <c r="I419" s="5">
        <f>F419*VLOOKUP(D419,Products!$B$2:$E$13,3,FALSE)</f>
        <v/>
      </c>
    </row>
    <row r="420">
      <c r="A420" s="2" t="n">
        <v>46163</v>
      </c>
      <c r="B420" s="3" t="inlineStr">
        <is>
          <t>INV-2605-0419</t>
        </is>
      </c>
      <c r="C420" s="3" t="inlineStr">
        <is>
          <t>Gupta General Store</t>
        </is>
      </c>
      <c r="D420" s="3" t="inlineStr">
        <is>
          <t>Packaged Water 1L</t>
        </is>
      </c>
      <c r="E420" s="3" t="inlineStr">
        <is>
          <t>Beverages</t>
        </is>
      </c>
      <c r="F420" s="4" t="n">
        <v>74</v>
      </c>
      <c r="G420" s="5" t="n">
        <v>20.98</v>
      </c>
      <c r="H420" s="5">
        <f>F420*G420</f>
        <v/>
      </c>
      <c r="I420" s="5">
        <f>F420*VLOOKUP(D420,Products!$B$2:$E$13,3,FALSE)</f>
        <v/>
      </c>
    </row>
    <row r="421">
      <c r="A421" s="2" t="n">
        <v>46163</v>
      </c>
      <c r="B421" s="3" t="inlineStr">
        <is>
          <t>INV-2605-0420</t>
        </is>
      </c>
      <c r="C421" s="3" t="inlineStr">
        <is>
          <t>Sahu Traders</t>
        </is>
      </c>
      <c r="D421" s="3" t="inlineStr">
        <is>
          <t>Detergent 1kg</t>
        </is>
      </c>
      <c r="E421" s="3" t="inlineStr">
        <is>
          <t>Household</t>
        </is>
      </c>
      <c r="F421" s="4" t="n">
        <v>9</v>
      </c>
      <c r="G421" s="5" t="n">
        <v>128.43</v>
      </c>
      <c r="H421" s="5">
        <f>F421*G421</f>
        <v/>
      </c>
      <c r="I421" s="5">
        <f>F421*VLOOKUP(D421,Products!$B$2:$E$13,3,FALSE)</f>
        <v/>
      </c>
    </row>
    <row r="422">
      <c r="A422" s="2" t="n">
        <v>46163</v>
      </c>
      <c r="B422" s="3" t="inlineStr">
        <is>
          <t>INV-2605-0421</t>
        </is>
      </c>
      <c r="C422" s="3" t="inlineStr">
        <is>
          <t>Prasad Traders</t>
        </is>
      </c>
      <c r="D422" s="3" t="inlineStr">
        <is>
          <t>Paneer 200g</t>
        </is>
      </c>
      <c r="E422" s="3" t="inlineStr">
        <is>
          <t>Dairy</t>
        </is>
      </c>
      <c r="F422" s="4" t="n">
        <v>28</v>
      </c>
      <c r="G422" s="5" t="n">
        <v>92.8</v>
      </c>
      <c r="H422" s="5">
        <f>F422*G422</f>
        <v/>
      </c>
      <c r="I422" s="5">
        <f>F422*VLOOKUP(D422,Products!$B$2:$E$13,3,FALSE)</f>
        <v/>
      </c>
    </row>
    <row r="423">
      <c r="A423" s="2" t="n">
        <v>46163</v>
      </c>
      <c r="B423" s="3" t="inlineStr">
        <is>
          <t>INV-2605-0422</t>
        </is>
      </c>
      <c r="C423" s="3" t="inlineStr">
        <is>
          <t>Gupta General Store</t>
        </is>
      </c>
      <c r="D423" s="3" t="inlineStr">
        <is>
          <t>Instant Noodles 280g</t>
        </is>
      </c>
      <c r="E423" s="3" t="inlineStr">
        <is>
          <t>Snacks</t>
        </is>
      </c>
      <c r="F423" s="4" t="n">
        <v>35</v>
      </c>
      <c r="G423" s="5" t="n">
        <v>55.01</v>
      </c>
      <c r="H423" s="5">
        <f>F423*G423</f>
        <v/>
      </c>
      <c r="I423" s="5">
        <f>F423*VLOOKUP(D423,Products!$B$2:$E$13,3,FALSE)</f>
        <v/>
      </c>
    </row>
    <row r="424">
      <c r="A424" s="2" t="n">
        <v>46163</v>
      </c>
      <c r="B424" s="3" t="inlineStr">
        <is>
          <t>INV-2605-0423</t>
        </is>
      </c>
      <c r="C424" s="3" t="inlineStr">
        <is>
          <t>Ali General Store</t>
        </is>
      </c>
      <c r="D424" s="3" t="inlineStr">
        <is>
          <t>Instant Noodles 280g</t>
        </is>
      </c>
      <c r="E424" s="3" t="inlineStr">
        <is>
          <t>Snacks</t>
        </is>
      </c>
      <c r="F424" s="4" t="n">
        <v>77</v>
      </c>
      <c r="G424" s="5" t="n">
        <v>58.19</v>
      </c>
      <c r="H424" s="5">
        <f>F424*G424</f>
        <v/>
      </c>
      <c r="I424" s="5">
        <f>F424*VLOOKUP(D424,Products!$B$2:$E$13,3,FALSE)</f>
        <v/>
      </c>
    </row>
    <row r="425">
      <c r="A425" s="2" t="n">
        <v>46164</v>
      </c>
      <c r="B425" s="3" t="inlineStr">
        <is>
          <t>INV-2605-0424</t>
        </is>
      </c>
      <c r="C425" s="3" t="inlineStr">
        <is>
          <t>Nath Provisions</t>
        </is>
      </c>
      <c r="D425" s="3" t="inlineStr">
        <is>
          <t>Cola 750ml</t>
        </is>
      </c>
      <c r="E425" s="3" t="inlineStr">
        <is>
          <t>Beverages</t>
        </is>
      </c>
      <c r="F425" s="4" t="n">
        <v>15</v>
      </c>
      <c r="G425" s="5" t="n">
        <v>46.68</v>
      </c>
      <c r="H425" s="5">
        <f>F425*G425</f>
        <v/>
      </c>
      <c r="I425" s="5">
        <f>F425*VLOOKUP(D425,Products!$B$2:$E$13,3,FALSE)</f>
        <v/>
      </c>
    </row>
    <row r="426">
      <c r="A426" s="2" t="n">
        <v>46164</v>
      </c>
      <c r="B426" s="3" t="inlineStr">
        <is>
          <t>INV-2605-0425</t>
        </is>
      </c>
      <c r="C426" s="3" t="inlineStr">
        <is>
          <t>Patel Traders</t>
        </is>
      </c>
      <c r="D426" s="3" t="inlineStr">
        <is>
          <t>Cola 750ml</t>
        </is>
      </c>
      <c r="E426" s="3" t="inlineStr">
        <is>
          <t>Beverages</t>
        </is>
      </c>
      <c r="F426" s="4" t="n">
        <v>43</v>
      </c>
      <c r="G426" s="5" t="n">
        <v>43.96</v>
      </c>
      <c r="H426" s="5">
        <f>F426*G426</f>
        <v/>
      </c>
      <c r="I426" s="5">
        <f>F426*VLOOKUP(D426,Products!$B$2:$E$13,3,FALSE)</f>
        <v/>
      </c>
    </row>
    <row r="427">
      <c r="A427" s="2" t="n">
        <v>46164</v>
      </c>
      <c r="B427" s="3" t="inlineStr">
        <is>
          <t>INV-2605-0426</t>
        </is>
      </c>
      <c r="C427" s="3" t="inlineStr">
        <is>
          <t>Raza Brothers</t>
        </is>
      </c>
      <c r="D427" s="3" t="inlineStr">
        <is>
          <t>Potato Chips 150g</t>
        </is>
      </c>
      <c r="E427" s="3" t="inlineStr">
        <is>
          <t>Snacks</t>
        </is>
      </c>
      <c r="F427" s="4" t="n">
        <v>32</v>
      </c>
      <c r="G427" s="5" t="n">
        <v>50.05</v>
      </c>
      <c r="H427" s="5">
        <f>F427*G427</f>
        <v/>
      </c>
      <c r="I427" s="5">
        <f>F427*VLOOKUP(D427,Products!$B$2:$E$13,3,FALSE)</f>
        <v/>
      </c>
    </row>
    <row r="428">
      <c r="A428" s="2" t="n">
        <v>46164</v>
      </c>
      <c r="B428" s="3" t="inlineStr">
        <is>
          <t>INV-2605-0427</t>
        </is>
      </c>
      <c r="C428" s="3" t="inlineStr">
        <is>
          <t>Rai Daily Mart</t>
        </is>
      </c>
      <c r="D428" s="3" t="inlineStr">
        <is>
          <t>Instant Noodles 280g</t>
        </is>
      </c>
      <c r="E428" s="3" t="inlineStr">
        <is>
          <t>Snacks</t>
        </is>
      </c>
      <c r="F428" s="4" t="n">
        <v>10</v>
      </c>
      <c r="G428" s="5" t="n">
        <v>56.81</v>
      </c>
      <c r="H428" s="5">
        <f>F428*G428</f>
        <v/>
      </c>
      <c r="I428" s="5">
        <f>F428*VLOOKUP(D428,Products!$B$2:$E$13,3,FALSE)</f>
        <v/>
      </c>
    </row>
    <row r="429">
      <c r="A429" s="2" t="n">
        <v>46164</v>
      </c>
      <c r="B429" s="3" t="inlineStr">
        <is>
          <t>INV-2605-0428</t>
        </is>
      </c>
      <c r="C429" s="3" t="inlineStr">
        <is>
          <t>Tiwari General</t>
        </is>
      </c>
      <c r="D429" s="3" t="inlineStr">
        <is>
          <t>Curd Cup 400g</t>
        </is>
      </c>
      <c r="E429" s="3" t="inlineStr">
        <is>
          <t>Dairy</t>
        </is>
      </c>
      <c r="F429" s="4" t="n">
        <v>9</v>
      </c>
      <c r="G429" s="5" t="n">
        <v>45.06</v>
      </c>
      <c r="H429" s="5">
        <f>F429*G429</f>
        <v/>
      </c>
      <c r="I429" s="5">
        <f>F429*VLOOKUP(D429,Products!$B$2:$E$13,3,FALSE)</f>
        <v/>
      </c>
    </row>
    <row r="430">
      <c r="A430" s="2" t="n">
        <v>46164</v>
      </c>
      <c r="B430" s="3" t="inlineStr">
        <is>
          <t>INV-2605-0429</t>
        </is>
      </c>
      <c r="C430" s="3" t="inlineStr">
        <is>
          <t>Singh Super Bazaar</t>
        </is>
      </c>
      <c r="D430" s="3" t="inlineStr">
        <is>
          <t>Detergent 1kg</t>
        </is>
      </c>
      <c r="E430" s="3" t="inlineStr">
        <is>
          <t>Household</t>
        </is>
      </c>
      <c r="F430" s="4" t="n">
        <v>48</v>
      </c>
      <c r="G430" s="5" t="n">
        <v>133.59</v>
      </c>
      <c r="H430" s="5">
        <f>F430*G430</f>
        <v/>
      </c>
      <c r="I430" s="5">
        <f>F430*VLOOKUP(D430,Products!$B$2:$E$13,3,FALSE)</f>
        <v/>
      </c>
    </row>
    <row r="431">
      <c r="A431" s="2" t="n">
        <v>46164</v>
      </c>
      <c r="B431" s="3" t="inlineStr">
        <is>
          <t>INV-2605-0430</t>
        </is>
      </c>
      <c r="C431" s="3" t="inlineStr">
        <is>
          <t>Singh Super Bazaar</t>
        </is>
      </c>
      <c r="D431" s="3" t="inlineStr">
        <is>
          <t>Biscuits 400g</t>
        </is>
      </c>
      <c r="E431" s="3" t="inlineStr">
        <is>
          <t>Snacks</t>
        </is>
      </c>
      <c r="F431" s="4" t="n">
        <v>43</v>
      </c>
      <c r="G431" s="5" t="n">
        <v>40.72</v>
      </c>
      <c r="H431" s="5">
        <f>F431*G431</f>
        <v/>
      </c>
      <c r="I431" s="5">
        <f>F431*VLOOKUP(D431,Products!$B$2:$E$13,3,FALSE)</f>
        <v/>
      </c>
    </row>
    <row r="432">
      <c r="A432" s="2" t="n">
        <v>46165</v>
      </c>
      <c r="B432" s="3" t="inlineStr">
        <is>
          <t>INV-2605-0431</t>
        </is>
      </c>
      <c r="C432" s="3" t="inlineStr">
        <is>
          <t>Kumari Kirana</t>
        </is>
      </c>
      <c r="D432" s="3" t="inlineStr">
        <is>
          <t>Instant Noodles 280g</t>
        </is>
      </c>
      <c r="E432" s="3" t="inlineStr">
        <is>
          <t>Snacks</t>
        </is>
      </c>
      <c r="F432" s="4" t="n">
        <v>6</v>
      </c>
      <c r="G432" s="5" t="n">
        <v>55.66</v>
      </c>
      <c r="H432" s="5">
        <f>F432*G432</f>
        <v/>
      </c>
      <c r="I432" s="5">
        <f>F432*VLOOKUP(D432,Products!$B$2:$E$13,3,FALSE)</f>
        <v/>
      </c>
    </row>
    <row r="433">
      <c r="A433" s="2" t="n">
        <v>46165</v>
      </c>
      <c r="B433" s="3" t="inlineStr">
        <is>
          <t>INV-2605-0432</t>
        </is>
      </c>
      <c r="C433" s="3" t="inlineStr">
        <is>
          <t>Verma Retail</t>
        </is>
      </c>
      <c r="D433" s="3" t="inlineStr">
        <is>
          <t>Dish Soap 500ml</t>
        </is>
      </c>
      <c r="E433" s="3" t="inlineStr">
        <is>
          <t>Household</t>
        </is>
      </c>
      <c r="F433" s="4" t="n">
        <v>96</v>
      </c>
      <c r="G433" s="5" t="n">
        <v>96.14</v>
      </c>
      <c r="H433" s="5">
        <f>F433*G433</f>
        <v/>
      </c>
      <c r="I433" s="5">
        <f>F433*VLOOKUP(D433,Products!$B$2:$E$13,3,FALSE)</f>
        <v/>
      </c>
    </row>
    <row r="434">
      <c r="A434" s="2" t="n">
        <v>46165</v>
      </c>
      <c r="B434" s="3" t="inlineStr">
        <is>
          <t>INV-2605-0433</t>
        </is>
      </c>
      <c r="C434" s="3" t="inlineStr">
        <is>
          <t>Ali General Store</t>
        </is>
      </c>
      <c r="D434" s="3" t="inlineStr">
        <is>
          <t>Detergent 1kg</t>
        </is>
      </c>
      <c r="E434" s="3" t="inlineStr">
        <is>
          <t>Household</t>
        </is>
      </c>
      <c r="F434" s="4" t="n">
        <v>47</v>
      </c>
      <c r="G434" s="5" t="n">
        <v>126.22</v>
      </c>
      <c r="H434" s="5">
        <f>F434*G434</f>
        <v/>
      </c>
      <c r="I434" s="5">
        <f>F434*VLOOKUP(D434,Products!$B$2:$E$13,3,FALSE)</f>
        <v/>
      </c>
    </row>
    <row r="435">
      <c r="A435" s="2" t="n">
        <v>46165</v>
      </c>
      <c r="B435" s="3" t="inlineStr">
        <is>
          <t>INV-2605-0434</t>
        </is>
      </c>
      <c r="C435" s="3" t="inlineStr">
        <is>
          <t>Patel Traders</t>
        </is>
      </c>
      <c r="D435" s="3" t="inlineStr">
        <is>
          <t>Mango Juice 1L</t>
        </is>
      </c>
      <c r="E435" s="3" t="inlineStr">
        <is>
          <t>Beverages</t>
        </is>
      </c>
      <c r="F435" s="4" t="n">
        <v>40</v>
      </c>
      <c r="G435" s="5" t="n">
        <v>122.6</v>
      </c>
      <c r="H435" s="5">
        <f>F435*G435</f>
        <v/>
      </c>
      <c r="I435" s="5">
        <f>F435*VLOOKUP(D435,Products!$B$2:$E$13,3,FALSE)</f>
        <v/>
      </c>
    </row>
    <row r="436">
      <c r="A436" s="2" t="n">
        <v>46165</v>
      </c>
      <c r="B436" s="3" t="inlineStr">
        <is>
          <t>INV-2605-0435</t>
        </is>
      </c>
      <c r="C436" s="3" t="inlineStr">
        <is>
          <t>Tiwari General</t>
        </is>
      </c>
      <c r="D436" s="3" t="inlineStr">
        <is>
          <t>Paneer 200g</t>
        </is>
      </c>
      <c r="E436" s="3" t="inlineStr">
        <is>
          <t>Dairy</t>
        </is>
      </c>
      <c r="F436" s="4" t="n">
        <v>34</v>
      </c>
      <c r="G436" s="5" t="n">
        <v>93.33</v>
      </c>
      <c r="H436" s="5">
        <f>F436*G436</f>
        <v/>
      </c>
      <c r="I436" s="5">
        <f>F436*VLOOKUP(D436,Products!$B$2:$E$13,3,FALSE)</f>
        <v/>
      </c>
    </row>
    <row r="437">
      <c r="A437" s="2" t="n">
        <v>46165</v>
      </c>
      <c r="B437" s="3" t="inlineStr">
        <is>
          <t>INV-2605-0436</t>
        </is>
      </c>
      <c r="C437" s="3" t="inlineStr">
        <is>
          <t>Mishra Stores</t>
        </is>
      </c>
      <c r="D437" s="3" t="inlineStr">
        <is>
          <t>Floor Cleaner 1L</t>
        </is>
      </c>
      <c r="E437" s="3" t="inlineStr">
        <is>
          <t>Household</t>
        </is>
      </c>
      <c r="F437" s="4" t="n">
        <v>63</v>
      </c>
      <c r="G437" s="5" t="n">
        <v>114.57</v>
      </c>
      <c r="H437" s="5">
        <f>F437*G437</f>
        <v/>
      </c>
      <c r="I437" s="5">
        <f>F437*VLOOKUP(D437,Products!$B$2:$E$13,3,FALSE)</f>
        <v/>
      </c>
    </row>
    <row r="438">
      <c r="A438" s="2" t="n">
        <v>46165</v>
      </c>
      <c r="B438" s="3" t="inlineStr">
        <is>
          <t>INV-2605-0437</t>
        </is>
      </c>
      <c r="C438" s="3" t="inlineStr">
        <is>
          <t>Pandey Stores</t>
        </is>
      </c>
      <c r="D438" s="3" t="inlineStr">
        <is>
          <t>Packaged Water 1L</t>
        </is>
      </c>
      <c r="E438" s="3" t="inlineStr">
        <is>
          <t>Beverages</t>
        </is>
      </c>
      <c r="F438" s="4" t="n">
        <v>80</v>
      </c>
      <c r="G438" s="5" t="n">
        <v>19.94</v>
      </c>
      <c r="H438" s="5">
        <f>F438*G438</f>
        <v/>
      </c>
      <c r="I438" s="5">
        <f>F438*VLOOKUP(D438,Products!$B$2:$E$13,3,FALSE)</f>
        <v/>
      </c>
    </row>
    <row r="439">
      <c r="A439" s="2" t="n">
        <v>46166</v>
      </c>
      <c r="B439" s="3" t="inlineStr">
        <is>
          <t>INV-2605-0438</t>
        </is>
      </c>
      <c r="C439" s="3" t="inlineStr">
        <is>
          <t>Rai Daily Mart</t>
        </is>
      </c>
      <c r="D439" s="3" t="inlineStr">
        <is>
          <t>Potato Chips 150g</t>
        </is>
      </c>
      <c r="E439" s="3" t="inlineStr">
        <is>
          <t>Snacks</t>
        </is>
      </c>
      <c r="F439" s="4" t="n">
        <v>66</v>
      </c>
      <c r="G439" s="5" t="n">
        <v>50</v>
      </c>
      <c r="H439" s="5">
        <f>F439*G439</f>
        <v/>
      </c>
      <c r="I439" s="5">
        <f>F439*VLOOKUP(D439,Products!$B$2:$E$13,3,FALSE)</f>
        <v/>
      </c>
    </row>
    <row r="440">
      <c r="A440" s="2" t="n">
        <v>46166</v>
      </c>
      <c r="B440" s="3" t="inlineStr">
        <is>
          <t>INV-2605-0439</t>
        </is>
      </c>
      <c r="C440" s="3" t="inlineStr">
        <is>
          <t>Dubey Kirana</t>
        </is>
      </c>
      <c r="D440" s="3" t="inlineStr">
        <is>
          <t>Potato Chips 150g</t>
        </is>
      </c>
      <c r="E440" s="3" t="inlineStr">
        <is>
          <t>Snacks</t>
        </is>
      </c>
      <c r="F440" s="4" t="n">
        <v>116</v>
      </c>
      <c r="G440" s="5" t="n">
        <v>48.59</v>
      </c>
      <c r="H440" s="5">
        <f>F440*G440</f>
        <v/>
      </c>
      <c r="I440" s="5">
        <f>F440*VLOOKUP(D440,Products!$B$2:$E$13,3,FALSE)</f>
        <v/>
      </c>
    </row>
    <row r="441">
      <c r="A441" s="2" t="n">
        <v>46166</v>
      </c>
      <c r="B441" s="3" t="inlineStr">
        <is>
          <t>INV-2605-0440</t>
        </is>
      </c>
      <c r="C441" s="3" t="inlineStr">
        <is>
          <t>Pandey Stores</t>
        </is>
      </c>
      <c r="D441" s="3" t="inlineStr">
        <is>
          <t>Floor Cleaner 1L</t>
        </is>
      </c>
      <c r="E441" s="3" t="inlineStr">
        <is>
          <t>Household</t>
        </is>
      </c>
      <c r="F441" s="4" t="n">
        <v>38</v>
      </c>
      <c r="G441" s="5" t="n">
        <v>112.67</v>
      </c>
      <c r="H441" s="5">
        <f>F441*G441</f>
        <v/>
      </c>
      <c r="I441" s="5">
        <f>F441*VLOOKUP(D441,Products!$B$2:$E$13,3,FALSE)</f>
        <v/>
      </c>
    </row>
    <row r="442">
      <c r="A442" s="2" t="n">
        <v>46166</v>
      </c>
      <c r="B442" s="3" t="inlineStr">
        <is>
          <t>INV-2605-0441</t>
        </is>
      </c>
      <c r="C442" s="3" t="inlineStr">
        <is>
          <t>Sinha Super Mart</t>
        </is>
      </c>
      <c r="D442" s="3" t="inlineStr">
        <is>
          <t>Detergent 1kg</t>
        </is>
      </c>
      <c r="E442" s="3" t="inlineStr">
        <is>
          <t>Household</t>
        </is>
      </c>
      <c r="F442" s="4" t="n">
        <v>18</v>
      </c>
      <c r="G442" s="5" t="n">
        <v>128.62</v>
      </c>
      <c r="H442" s="5">
        <f>F442*G442</f>
        <v/>
      </c>
      <c r="I442" s="5">
        <f>F442*VLOOKUP(D442,Products!$B$2:$E$13,3,FALSE)</f>
        <v/>
      </c>
    </row>
    <row r="443">
      <c r="A443" s="2" t="n">
        <v>46166</v>
      </c>
      <c r="B443" s="3" t="inlineStr">
        <is>
          <t>INV-2605-0442</t>
        </is>
      </c>
      <c r="C443" s="3" t="inlineStr">
        <is>
          <t>Tiwari General</t>
        </is>
      </c>
      <c r="D443" s="3" t="inlineStr">
        <is>
          <t>Curd Cup 400g</t>
        </is>
      </c>
      <c r="E443" s="3" t="inlineStr">
        <is>
          <t>Dairy</t>
        </is>
      </c>
      <c r="F443" s="4" t="n">
        <v>31</v>
      </c>
      <c r="G443" s="5" t="n">
        <v>45.98</v>
      </c>
      <c r="H443" s="5">
        <f>F443*G443</f>
        <v/>
      </c>
      <c r="I443" s="5">
        <f>F443*VLOOKUP(D443,Products!$B$2:$E$13,3,FALSE)</f>
        <v/>
      </c>
    </row>
    <row r="444">
      <c r="A444" s="2" t="n">
        <v>46166</v>
      </c>
      <c r="B444" s="3" t="inlineStr">
        <is>
          <t>INV-2605-0443</t>
        </is>
      </c>
      <c r="C444" s="3" t="inlineStr">
        <is>
          <t>Choudhary Mart</t>
        </is>
      </c>
      <c r="D444" s="3" t="inlineStr">
        <is>
          <t>Packaged Water 1L</t>
        </is>
      </c>
      <c r="E444" s="3" t="inlineStr">
        <is>
          <t>Beverages</t>
        </is>
      </c>
      <c r="F444" s="4" t="n">
        <v>105</v>
      </c>
      <c r="G444" s="5" t="n">
        <v>20.89</v>
      </c>
      <c r="H444" s="5">
        <f>F444*G444</f>
        <v/>
      </c>
      <c r="I444" s="5">
        <f>F444*VLOOKUP(D444,Products!$B$2:$E$13,3,FALSE)</f>
        <v/>
      </c>
    </row>
    <row r="445">
      <c r="A445" s="2" t="n">
        <v>46166</v>
      </c>
      <c r="B445" s="3" t="inlineStr">
        <is>
          <t>INV-2605-0444</t>
        </is>
      </c>
      <c r="C445" s="3" t="inlineStr">
        <is>
          <t>Khan Mart</t>
        </is>
      </c>
      <c r="D445" s="3" t="inlineStr">
        <is>
          <t>Mango Juice 1L</t>
        </is>
      </c>
      <c r="E445" s="3" t="inlineStr">
        <is>
          <t>Beverages</t>
        </is>
      </c>
      <c r="F445" s="4" t="n">
        <v>120</v>
      </c>
      <c r="G445" s="5" t="n">
        <v>123.47</v>
      </c>
      <c r="H445" s="5">
        <f>F445*G445</f>
        <v/>
      </c>
      <c r="I445" s="5">
        <f>F445*VLOOKUP(D445,Products!$B$2:$E$13,3,FALSE)</f>
        <v/>
      </c>
    </row>
    <row r="446">
      <c r="A446" s="2" t="n">
        <v>46166</v>
      </c>
      <c r="B446" s="3" t="inlineStr">
        <is>
          <t>INV-2605-0445</t>
        </is>
      </c>
      <c r="C446" s="3" t="inlineStr">
        <is>
          <t>Raza Brothers</t>
        </is>
      </c>
      <c r="D446" s="3" t="inlineStr">
        <is>
          <t>Dish Soap 500ml</t>
        </is>
      </c>
      <c r="E446" s="3" t="inlineStr">
        <is>
          <t>Household</t>
        </is>
      </c>
      <c r="F446" s="4" t="n">
        <v>22</v>
      </c>
      <c r="G446" s="5" t="n">
        <v>103.76</v>
      </c>
      <c r="H446" s="5">
        <f>F446*G446</f>
        <v/>
      </c>
      <c r="I446" s="5">
        <f>F446*VLOOKUP(D446,Products!$B$2:$E$13,3,FALSE)</f>
        <v/>
      </c>
    </row>
    <row r="447">
      <c r="A447" s="2" t="n">
        <v>46166</v>
      </c>
      <c r="B447" s="3" t="inlineStr">
        <is>
          <t>INV-2605-0446</t>
        </is>
      </c>
      <c r="C447" s="3" t="inlineStr">
        <is>
          <t>Sinha Super Mart</t>
        </is>
      </c>
      <c r="D447" s="3" t="inlineStr">
        <is>
          <t>Dish Soap 500ml</t>
        </is>
      </c>
      <c r="E447" s="3" t="inlineStr">
        <is>
          <t>Household</t>
        </is>
      </c>
      <c r="F447" s="4" t="n">
        <v>71</v>
      </c>
      <c r="G447" s="5" t="n">
        <v>98.45999999999999</v>
      </c>
      <c r="H447" s="5">
        <f>F447*G447</f>
        <v/>
      </c>
      <c r="I447" s="5">
        <f>F447*VLOOKUP(D447,Products!$B$2:$E$13,3,FALSE)</f>
        <v/>
      </c>
    </row>
    <row r="448">
      <c r="A448" s="2" t="n">
        <v>46166</v>
      </c>
      <c r="B448" s="3" t="inlineStr">
        <is>
          <t>INV-2605-0447</t>
        </is>
      </c>
      <c r="C448" s="3" t="inlineStr">
        <is>
          <t>Patel Traders</t>
        </is>
      </c>
      <c r="D448" s="3" t="inlineStr">
        <is>
          <t>Floor Cleaner 1L</t>
        </is>
      </c>
      <c r="E448" s="3" t="inlineStr">
        <is>
          <t>Household</t>
        </is>
      </c>
      <c r="F448" s="4" t="n">
        <v>57</v>
      </c>
      <c r="G448" s="5" t="n">
        <v>113.5</v>
      </c>
      <c r="H448" s="5">
        <f>F448*G448</f>
        <v/>
      </c>
      <c r="I448" s="5">
        <f>F448*VLOOKUP(D448,Products!$B$2:$E$13,3,FALSE)</f>
        <v/>
      </c>
    </row>
    <row r="449">
      <c r="A449" s="2" t="n">
        <v>46166</v>
      </c>
      <c r="B449" s="3" t="inlineStr">
        <is>
          <t>INV-2605-0448</t>
        </is>
      </c>
      <c r="C449" s="3" t="inlineStr">
        <is>
          <t>Sahu Traders</t>
        </is>
      </c>
      <c r="D449" s="3" t="inlineStr">
        <is>
          <t>Cola 750ml</t>
        </is>
      </c>
      <c r="E449" s="3" t="inlineStr">
        <is>
          <t>Beverages</t>
        </is>
      </c>
      <c r="F449" s="4" t="n">
        <v>36</v>
      </c>
      <c r="G449" s="5" t="n">
        <v>44.26</v>
      </c>
      <c r="H449" s="5">
        <f>F449*G449</f>
        <v/>
      </c>
      <c r="I449" s="5">
        <f>F449*VLOOKUP(D449,Products!$B$2:$E$13,3,FALSE)</f>
        <v/>
      </c>
    </row>
    <row r="450">
      <c r="A450" s="2" t="n">
        <v>46167</v>
      </c>
      <c r="B450" s="3" t="inlineStr">
        <is>
          <t>INV-2605-0449</t>
        </is>
      </c>
      <c r="C450" s="3" t="inlineStr">
        <is>
          <t>Gupta General Store</t>
        </is>
      </c>
      <c r="D450" s="3" t="inlineStr">
        <is>
          <t>Dish Soap 500ml</t>
        </is>
      </c>
      <c r="E450" s="3" t="inlineStr">
        <is>
          <t>Household</t>
        </is>
      </c>
      <c r="F450" s="4" t="n">
        <v>7</v>
      </c>
      <c r="G450" s="5" t="n">
        <v>99.25</v>
      </c>
      <c r="H450" s="5">
        <f>F450*G450</f>
        <v/>
      </c>
      <c r="I450" s="5">
        <f>F450*VLOOKUP(D450,Products!$B$2:$E$13,3,FALSE)</f>
        <v/>
      </c>
    </row>
    <row r="451">
      <c r="A451" s="2" t="n">
        <v>46167</v>
      </c>
      <c r="B451" s="3" t="inlineStr">
        <is>
          <t>INV-2605-0450</t>
        </is>
      </c>
      <c r="C451" s="3" t="inlineStr">
        <is>
          <t>Verma Retail</t>
        </is>
      </c>
      <c r="D451" s="3" t="inlineStr">
        <is>
          <t>Instant Noodles 280g</t>
        </is>
      </c>
      <c r="E451" s="3" t="inlineStr">
        <is>
          <t>Snacks</t>
        </is>
      </c>
      <c r="F451" s="4" t="n">
        <v>31</v>
      </c>
      <c r="G451" s="5" t="n">
        <v>55.72</v>
      </c>
      <c r="H451" s="5">
        <f>F451*G451</f>
        <v/>
      </c>
      <c r="I451" s="5">
        <f>F451*VLOOKUP(D451,Products!$B$2:$E$13,3,FALSE)</f>
        <v/>
      </c>
    </row>
    <row r="452">
      <c r="A452" s="2" t="n">
        <v>46167</v>
      </c>
      <c r="B452" s="3" t="inlineStr">
        <is>
          <t>INV-2605-0451</t>
        </is>
      </c>
      <c r="C452" s="3" t="inlineStr">
        <is>
          <t>Das &amp; Sons</t>
        </is>
      </c>
      <c r="D452" s="3" t="inlineStr">
        <is>
          <t>Cola 750ml</t>
        </is>
      </c>
      <c r="E452" s="3" t="inlineStr">
        <is>
          <t>Beverages</t>
        </is>
      </c>
      <c r="F452" s="4" t="n">
        <v>81</v>
      </c>
      <c r="G452" s="5" t="n">
        <v>47.04</v>
      </c>
      <c r="H452" s="5">
        <f>F452*G452</f>
        <v/>
      </c>
      <c r="I452" s="5">
        <f>F452*VLOOKUP(D452,Products!$B$2:$E$13,3,FALSE)</f>
        <v/>
      </c>
    </row>
    <row r="453">
      <c r="A453" s="2" t="n">
        <v>46167</v>
      </c>
      <c r="B453" s="3" t="inlineStr">
        <is>
          <t>INV-2605-0452</t>
        </is>
      </c>
      <c r="C453" s="3" t="inlineStr">
        <is>
          <t>Das &amp; Sons</t>
        </is>
      </c>
      <c r="D453" s="3" t="inlineStr">
        <is>
          <t>Biscuits 400g</t>
        </is>
      </c>
      <c r="E453" s="3" t="inlineStr">
        <is>
          <t>Snacks</t>
        </is>
      </c>
      <c r="F453" s="4" t="n">
        <v>30</v>
      </c>
      <c r="G453" s="5" t="n">
        <v>38.98</v>
      </c>
      <c r="H453" s="5">
        <f>F453*G453</f>
        <v/>
      </c>
      <c r="I453" s="5">
        <f>F453*VLOOKUP(D453,Products!$B$2:$E$13,3,FALSE)</f>
        <v/>
      </c>
    </row>
    <row r="454">
      <c r="A454" s="2" t="n">
        <v>46167</v>
      </c>
      <c r="B454" s="3" t="inlineStr">
        <is>
          <t>INV-2605-0453</t>
        </is>
      </c>
      <c r="C454" s="3" t="inlineStr">
        <is>
          <t>Nath Provisions</t>
        </is>
      </c>
      <c r="D454" s="3" t="inlineStr">
        <is>
          <t>Instant Noodles 280g</t>
        </is>
      </c>
      <c r="E454" s="3" t="inlineStr">
        <is>
          <t>Snacks</t>
        </is>
      </c>
      <c r="F454" s="4" t="n">
        <v>30</v>
      </c>
      <c r="G454" s="5" t="n">
        <v>58.07</v>
      </c>
      <c r="H454" s="5">
        <f>F454*G454</f>
        <v/>
      </c>
      <c r="I454" s="5">
        <f>F454*VLOOKUP(D454,Products!$B$2:$E$13,3,FALSE)</f>
        <v/>
      </c>
    </row>
    <row r="455">
      <c r="A455" s="2" t="n">
        <v>46167</v>
      </c>
      <c r="B455" s="3" t="inlineStr">
        <is>
          <t>INV-2605-0454</t>
        </is>
      </c>
      <c r="C455" s="3" t="inlineStr">
        <is>
          <t>Sahu Traders</t>
        </is>
      </c>
      <c r="D455" s="3" t="inlineStr">
        <is>
          <t>Potato Chips 150g</t>
        </is>
      </c>
      <c r="E455" s="3" t="inlineStr">
        <is>
          <t>Snacks</t>
        </is>
      </c>
      <c r="F455" s="4" t="n">
        <v>67</v>
      </c>
      <c r="G455" s="5" t="n">
        <v>51.56</v>
      </c>
      <c r="H455" s="5">
        <f>F455*G455</f>
        <v/>
      </c>
      <c r="I455" s="5">
        <f>F455*VLOOKUP(D455,Products!$B$2:$E$13,3,FALSE)</f>
        <v/>
      </c>
    </row>
    <row r="456">
      <c r="A456" s="2" t="n">
        <v>46168</v>
      </c>
      <c r="B456" s="3" t="inlineStr">
        <is>
          <t>INV-2605-0455</t>
        </is>
      </c>
      <c r="C456" s="3" t="inlineStr">
        <is>
          <t>Ali General Store</t>
        </is>
      </c>
      <c r="D456" s="3" t="inlineStr">
        <is>
          <t>Cola 750ml</t>
        </is>
      </c>
      <c r="E456" s="3" t="inlineStr">
        <is>
          <t>Beverages</t>
        </is>
      </c>
      <c r="F456" s="4" t="n">
        <v>27</v>
      </c>
      <c r="G456" s="5" t="n">
        <v>45.05</v>
      </c>
      <c r="H456" s="5">
        <f>F456*G456</f>
        <v/>
      </c>
      <c r="I456" s="5">
        <f>F456*VLOOKUP(D456,Products!$B$2:$E$13,3,FALSE)</f>
        <v/>
      </c>
    </row>
    <row r="457">
      <c r="A457" s="2" t="n">
        <v>46168</v>
      </c>
      <c r="B457" s="3" t="inlineStr">
        <is>
          <t>INV-2605-0456</t>
        </is>
      </c>
      <c r="C457" s="3" t="inlineStr">
        <is>
          <t>Kumari Kirana</t>
        </is>
      </c>
      <c r="D457" s="3" t="inlineStr">
        <is>
          <t>Toned Milk 1L</t>
        </is>
      </c>
      <c r="E457" s="3" t="inlineStr">
        <is>
          <t>Dairy</t>
        </is>
      </c>
      <c r="F457" s="4" t="n">
        <v>23</v>
      </c>
      <c r="G457" s="5" t="n">
        <v>65.92</v>
      </c>
      <c r="H457" s="5">
        <f>F457*G457</f>
        <v/>
      </c>
      <c r="I457" s="5">
        <f>F457*VLOOKUP(D457,Products!$B$2:$E$13,3,FALSE)</f>
        <v/>
      </c>
    </row>
    <row r="458">
      <c r="A458" s="2" t="n">
        <v>46168</v>
      </c>
      <c r="B458" s="3" t="inlineStr">
        <is>
          <t>INV-2605-0457</t>
        </is>
      </c>
      <c r="C458" s="3" t="inlineStr">
        <is>
          <t>Das &amp; Sons</t>
        </is>
      </c>
      <c r="D458" s="3" t="inlineStr">
        <is>
          <t>Cola 750ml</t>
        </is>
      </c>
      <c r="E458" s="3" t="inlineStr">
        <is>
          <t>Beverages</t>
        </is>
      </c>
      <c r="F458" s="4" t="n">
        <v>12</v>
      </c>
      <c r="G458" s="5" t="n">
        <v>46.53</v>
      </c>
      <c r="H458" s="5">
        <f>F458*G458</f>
        <v/>
      </c>
      <c r="I458" s="5">
        <f>F458*VLOOKUP(D458,Products!$B$2:$E$13,3,FALSE)</f>
        <v/>
      </c>
    </row>
    <row r="459">
      <c r="A459" s="2" t="n">
        <v>46168</v>
      </c>
      <c r="B459" s="3" t="inlineStr">
        <is>
          <t>INV-2605-0458</t>
        </is>
      </c>
      <c r="C459" s="3" t="inlineStr">
        <is>
          <t>Mishra Stores</t>
        </is>
      </c>
      <c r="D459" s="3" t="inlineStr">
        <is>
          <t>Packaged Water 1L</t>
        </is>
      </c>
      <c r="E459" s="3" t="inlineStr">
        <is>
          <t>Beverages</t>
        </is>
      </c>
      <c r="F459" s="4" t="n">
        <v>67</v>
      </c>
      <c r="G459" s="5" t="n">
        <v>19.57</v>
      </c>
      <c r="H459" s="5">
        <f>F459*G459</f>
        <v/>
      </c>
      <c r="I459" s="5">
        <f>F459*VLOOKUP(D459,Products!$B$2:$E$13,3,FALSE)</f>
        <v/>
      </c>
    </row>
    <row r="460">
      <c r="A460" s="2" t="n">
        <v>46168</v>
      </c>
      <c r="B460" s="3" t="inlineStr">
        <is>
          <t>INV-2605-0459</t>
        </is>
      </c>
      <c r="C460" s="3" t="inlineStr">
        <is>
          <t>Pandey Stores</t>
        </is>
      </c>
      <c r="D460" s="3" t="inlineStr">
        <is>
          <t>Potato Chips 150g</t>
        </is>
      </c>
      <c r="E460" s="3" t="inlineStr">
        <is>
          <t>Snacks</t>
        </is>
      </c>
      <c r="F460" s="4" t="n">
        <v>8</v>
      </c>
      <c r="G460" s="5" t="n">
        <v>50.8</v>
      </c>
      <c r="H460" s="5">
        <f>F460*G460</f>
        <v/>
      </c>
      <c r="I460" s="5">
        <f>F460*VLOOKUP(D460,Products!$B$2:$E$13,3,FALSE)</f>
        <v/>
      </c>
    </row>
    <row r="461">
      <c r="A461" s="2" t="n">
        <v>46168</v>
      </c>
      <c r="B461" s="3" t="inlineStr">
        <is>
          <t>INV-2605-0460</t>
        </is>
      </c>
      <c r="C461" s="3" t="inlineStr">
        <is>
          <t>Choudhary Mart</t>
        </is>
      </c>
      <c r="D461" s="3" t="inlineStr">
        <is>
          <t>Packaged Water 1L</t>
        </is>
      </c>
      <c r="E461" s="3" t="inlineStr">
        <is>
          <t>Beverages</t>
        </is>
      </c>
      <c r="F461" s="4" t="n">
        <v>72</v>
      </c>
      <c r="G461" s="5" t="n">
        <v>20.98</v>
      </c>
      <c r="H461" s="5">
        <f>F461*G461</f>
        <v/>
      </c>
      <c r="I461" s="5">
        <f>F461*VLOOKUP(D461,Products!$B$2:$E$13,3,FALSE)</f>
        <v/>
      </c>
    </row>
    <row r="462">
      <c r="A462" s="2" t="n">
        <v>46169</v>
      </c>
      <c r="B462" s="3" t="inlineStr">
        <is>
          <t>INV-2605-0461</t>
        </is>
      </c>
      <c r="C462" s="3" t="inlineStr">
        <is>
          <t>Verma Retail</t>
        </is>
      </c>
      <c r="D462" s="3" t="inlineStr">
        <is>
          <t>Paneer 200g</t>
        </is>
      </c>
      <c r="E462" s="3" t="inlineStr">
        <is>
          <t>Dairy</t>
        </is>
      </c>
      <c r="F462" s="4" t="n">
        <v>41</v>
      </c>
      <c r="G462" s="5" t="n">
        <v>95.98</v>
      </c>
      <c r="H462" s="5">
        <f>F462*G462</f>
        <v/>
      </c>
      <c r="I462" s="5">
        <f>F462*VLOOKUP(D462,Products!$B$2:$E$13,3,FALSE)</f>
        <v/>
      </c>
    </row>
    <row r="463">
      <c r="A463" s="2" t="n">
        <v>46169</v>
      </c>
      <c r="B463" s="3" t="inlineStr">
        <is>
          <t>INV-2605-0462</t>
        </is>
      </c>
      <c r="C463" s="3" t="inlineStr">
        <is>
          <t>Sharma Provision</t>
        </is>
      </c>
      <c r="D463" s="3" t="inlineStr">
        <is>
          <t>Paneer 200g</t>
        </is>
      </c>
      <c r="E463" s="3" t="inlineStr">
        <is>
          <t>Dairy</t>
        </is>
      </c>
      <c r="F463" s="4" t="n">
        <v>55</v>
      </c>
      <c r="G463" s="5" t="n">
        <v>97.81</v>
      </c>
      <c r="H463" s="5">
        <f>F463*G463</f>
        <v/>
      </c>
      <c r="I463" s="5">
        <f>F463*VLOOKUP(D463,Products!$B$2:$E$13,3,FALSE)</f>
        <v/>
      </c>
    </row>
    <row r="464">
      <c r="A464" s="2" t="n">
        <v>46169</v>
      </c>
      <c r="B464" s="3" t="inlineStr">
        <is>
          <t>INV-2605-0463</t>
        </is>
      </c>
      <c r="C464" s="3" t="inlineStr">
        <is>
          <t>Sharma Provision</t>
        </is>
      </c>
      <c r="D464" s="3" t="inlineStr">
        <is>
          <t>Dish Soap 500ml</t>
        </is>
      </c>
      <c r="E464" s="3" t="inlineStr">
        <is>
          <t>Household</t>
        </is>
      </c>
      <c r="F464" s="4" t="n">
        <v>78</v>
      </c>
      <c r="G464" s="5" t="n">
        <v>99.29000000000001</v>
      </c>
      <c r="H464" s="5">
        <f>F464*G464</f>
        <v/>
      </c>
      <c r="I464" s="5">
        <f>F464*VLOOKUP(D464,Products!$B$2:$E$13,3,FALSE)</f>
        <v/>
      </c>
    </row>
    <row r="465">
      <c r="A465" s="2" t="n">
        <v>46169</v>
      </c>
      <c r="B465" s="3" t="inlineStr">
        <is>
          <t>INV-2605-0464</t>
        </is>
      </c>
      <c r="C465" s="3" t="inlineStr">
        <is>
          <t>Raza Brothers</t>
        </is>
      </c>
      <c r="D465" s="3" t="inlineStr">
        <is>
          <t>Cola 750ml</t>
        </is>
      </c>
      <c r="E465" s="3" t="inlineStr">
        <is>
          <t>Beverages</t>
        </is>
      </c>
      <c r="F465" s="4" t="n">
        <v>67</v>
      </c>
      <c r="G465" s="5" t="n">
        <v>45.86</v>
      </c>
      <c r="H465" s="5">
        <f>F465*G465</f>
        <v/>
      </c>
      <c r="I465" s="5">
        <f>F465*VLOOKUP(D465,Products!$B$2:$E$13,3,FALSE)</f>
        <v/>
      </c>
    </row>
    <row r="466">
      <c r="A466" s="2" t="n">
        <v>46169</v>
      </c>
      <c r="B466" s="3" t="inlineStr">
        <is>
          <t>INV-2605-0465</t>
        </is>
      </c>
      <c r="C466" s="3" t="inlineStr">
        <is>
          <t>Dubey Kirana</t>
        </is>
      </c>
      <c r="D466" s="3" t="inlineStr">
        <is>
          <t>Cola 750ml</t>
        </is>
      </c>
      <c r="E466" s="3" t="inlineStr">
        <is>
          <t>Beverages</t>
        </is>
      </c>
      <c r="F466" s="4" t="n">
        <v>58</v>
      </c>
      <c r="G466" s="5" t="n">
        <v>45.7</v>
      </c>
      <c r="H466" s="5">
        <f>F466*G466</f>
        <v/>
      </c>
      <c r="I466" s="5">
        <f>F466*VLOOKUP(D466,Products!$B$2:$E$13,3,FALSE)</f>
        <v/>
      </c>
    </row>
    <row r="467">
      <c r="A467" s="2" t="n">
        <v>46169</v>
      </c>
      <c r="B467" s="3" t="inlineStr">
        <is>
          <t>INV-2605-0466</t>
        </is>
      </c>
      <c r="C467" s="3" t="inlineStr">
        <is>
          <t>Nath Provisions</t>
        </is>
      </c>
      <c r="D467" s="3" t="inlineStr">
        <is>
          <t>Potato Chips 150g</t>
        </is>
      </c>
      <c r="E467" s="3" t="inlineStr">
        <is>
          <t>Snacks</t>
        </is>
      </c>
      <c r="F467" s="4" t="n">
        <v>12</v>
      </c>
      <c r="G467" s="5" t="n">
        <v>49.28</v>
      </c>
      <c r="H467" s="5">
        <f>F467*G467</f>
        <v/>
      </c>
      <c r="I467" s="5">
        <f>F467*VLOOKUP(D467,Products!$B$2:$E$13,3,FALSE)</f>
        <v/>
      </c>
    </row>
    <row r="468">
      <c r="A468" s="2" t="n">
        <v>46170</v>
      </c>
      <c r="B468" s="3" t="inlineStr">
        <is>
          <t>INV-2605-0467</t>
        </is>
      </c>
      <c r="C468" s="3" t="inlineStr">
        <is>
          <t>Singh Super Bazaar</t>
        </is>
      </c>
      <c r="D468" s="3" t="inlineStr">
        <is>
          <t>Detergent 1kg</t>
        </is>
      </c>
      <c r="E468" s="3" t="inlineStr">
        <is>
          <t>Household</t>
        </is>
      </c>
      <c r="F468" s="4" t="n">
        <v>27</v>
      </c>
      <c r="G468" s="5" t="n">
        <v>135.03</v>
      </c>
      <c r="H468" s="5">
        <f>F468*G468</f>
        <v/>
      </c>
      <c r="I468" s="5">
        <f>F468*VLOOKUP(D468,Products!$B$2:$E$13,3,FALSE)</f>
        <v/>
      </c>
    </row>
    <row r="469">
      <c r="A469" s="2" t="n">
        <v>46170</v>
      </c>
      <c r="B469" s="3" t="inlineStr">
        <is>
          <t>INV-2605-0468</t>
        </is>
      </c>
      <c r="C469" s="3" t="inlineStr">
        <is>
          <t>Tiwari General</t>
        </is>
      </c>
      <c r="D469" s="3" t="inlineStr">
        <is>
          <t>Dish Soap 500ml</t>
        </is>
      </c>
      <c r="E469" s="3" t="inlineStr">
        <is>
          <t>Household</t>
        </is>
      </c>
      <c r="F469" s="4" t="n">
        <v>38</v>
      </c>
      <c r="G469" s="5" t="n">
        <v>97.3</v>
      </c>
      <c r="H469" s="5">
        <f>F469*G469</f>
        <v/>
      </c>
      <c r="I469" s="5">
        <f>F469*VLOOKUP(D469,Products!$B$2:$E$13,3,FALSE)</f>
        <v/>
      </c>
    </row>
    <row r="470">
      <c r="A470" s="2" t="n">
        <v>46170</v>
      </c>
      <c r="B470" s="3" t="inlineStr">
        <is>
          <t>INV-2605-0469</t>
        </is>
      </c>
      <c r="C470" s="3" t="inlineStr">
        <is>
          <t>Jha Provisions</t>
        </is>
      </c>
      <c r="D470" s="3" t="inlineStr">
        <is>
          <t>Paneer 200g</t>
        </is>
      </c>
      <c r="E470" s="3" t="inlineStr">
        <is>
          <t>Dairy</t>
        </is>
      </c>
      <c r="F470" s="4" t="n">
        <v>20</v>
      </c>
      <c r="G470" s="5" t="n">
        <v>93.48</v>
      </c>
      <c r="H470" s="5">
        <f>F470*G470</f>
        <v/>
      </c>
      <c r="I470" s="5">
        <f>F470*VLOOKUP(D470,Products!$B$2:$E$13,3,FALSE)</f>
        <v/>
      </c>
    </row>
    <row r="471">
      <c r="A471" s="2" t="n">
        <v>46170</v>
      </c>
      <c r="B471" s="3" t="inlineStr">
        <is>
          <t>INV-2605-0470</t>
        </is>
      </c>
      <c r="C471" s="3" t="inlineStr">
        <is>
          <t>Kumari Kirana</t>
        </is>
      </c>
      <c r="D471" s="3" t="inlineStr">
        <is>
          <t>Floor Cleaner 1L</t>
        </is>
      </c>
      <c r="E471" s="3" t="inlineStr">
        <is>
          <t>Household</t>
        </is>
      </c>
      <c r="F471" s="4" t="n">
        <v>21</v>
      </c>
      <c r="G471" s="5" t="n">
        <v>107.93</v>
      </c>
      <c r="H471" s="5">
        <f>F471*G471</f>
        <v/>
      </c>
      <c r="I471" s="5">
        <f>F471*VLOOKUP(D471,Products!$B$2:$E$13,3,FALSE)</f>
        <v/>
      </c>
    </row>
    <row r="472">
      <c r="A472" s="2" t="n">
        <v>46170</v>
      </c>
      <c r="B472" s="3" t="inlineStr">
        <is>
          <t>INV-2605-0471</t>
        </is>
      </c>
      <c r="C472" s="3" t="inlineStr">
        <is>
          <t>Patel Traders</t>
        </is>
      </c>
      <c r="D472" s="3" t="inlineStr">
        <is>
          <t>Toned Milk 1L</t>
        </is>
      </c>
      <c r="E472" s="3" t="inlineStr">
        <is>
          <t>Dairy</t>
        </is>
      </c>
      <c r="F472" s="4" t="n">
        <v>20</v>
      </c>
      <c r="G472" s="5" t="n">
        <v>66.08</v>
      </c>
      <c r="H472" s="5">
        <f>F472*G472</f>
        <v/>
      </c>
      <c r="I472" s="5">
        <f>F472*VLOOKUP(D472,Products!$B$2:$E$13,3,FALSE)</f>
        <v/>
      </c>
    </row>
    <row r="473">
      <c r="A473" s="2" t="n">
        <v>46170</v>
      </c>
      <c r="B473" s="3" t="inlineStr">
        <is>
          <t>INV-2605-0472</t>
        </is>
      </c>
      <c r="C473" s="3" t="inlineStr">
        <is>
          <t>Dubey Kirana</t>
        </is>
      </c>
      <c r="D473" s="3" t="inlineStr">
        <is>
          <t>Potato Chips 150g</t>
        </is>
      </c>
      <c r="E473" s="3" t="inlineStr">
        <is>
          <t>Snacks</t>
        </is>
      </c>
      <c r="F473" s="4" t="n">
        <v>10</v>
      </c>
      <c r="G473" s="5" t="n">
        <v>48.96</v>
      </c>
      <c r="H473" s="5">
        <f>F473*G473</f>
        <v/>
      </c>
      <c r="I473" s="5">
        <f>F473*VLOOKUP(D473,Products!$B$2:$E$13,3,FALSE)</f>
        <v/>
      </c>
    </row>
    <row r="474">
      <c r="A474" s="2" t="n">
        <v>46170</v>
      </c>
      <c r="B474" s="3" t="inlineStr">
        <is>
          <t>INV-2605-0473</t>
        </is>
      </c>
      <c r="C474" s="3" t="inlineStr">
        <is>
          <t>Raza Brothers</t>
        </is>
      </c>
      <c r="D474" s="3" t="inlineStr">
        <is>
          <t>Floor Cleaner 1L</t>
        </is>
      </c>
      <c r="E474" s="3" t="inlineStr">
        <is>
          <t>Household</t>
        </is>
      </c>
      <c r="F474" s="4" t="n">
        <v>37</v>
      </c>
      <c r="G474" s="5" t="n">
        <v>114.51</v>
      </c>
      <c r="H474" s="5">
        <f>F474*G474</f>
        <v/>
      </c>
      <c r="I474" s="5">
        <f>F474*VLOOKUP(D474,Products!$B$2:$E$13,3,FALSE)</f>
        <v/>
      </c>
    </row>
    <row r="475">
      <c r="A475" s="2" t="n">
        <v>46170</v>
      </c>
      <c r="B475" s="3" t="inlineStr">
        <is>
          <t>INV-2605-0474</t>
        </is>
      </c>
      <c r="C475" s="3" t="inlineStr">
        <is>
          <t>Raza Brothers</t>
        </is>
      </c>
      <c r="D475" s="3" t="inlineStr">
        <is>
          <t>Toned Milk 1L</t>
        </is>
      </c>
      <c r="E475" s="3" t="inlineStr">
        <is>
          <t>Dairy</t>
        </is>
      </c>
      <c r="F475" s="4" t="n">
        <v>64</v>
      </c>
      <c r="G475" s="5" t="n">
        <v>66.43000000000001</v>
      </c>
      <c r="H475" s="5">
        <f>F475*G475</f>
        <v/>
      </c>
      <c r="I475" s="5">
        <f>F475*VLOOKUP(D475,Products!$B$2:$E$13,3,FALSE)</f>
        <v/>
      </c>
    </row>
    <row r="476">
      <c r="A476" s="2" t="n">
        <v>46170</v>
      </c>
      <c r="B476" s="3" t="inlineStr">
        <is>
          <t>INV-2605-0475</t>
        </is>
      </c>
      <c r="C476" s="3" t="inlineStr">
        <is>
          <t>Tiwari General</t>
        </is>
      </c>
      <c r="D476" s="3" t="inlineStr">
        <is>
          <t>Curd Cup 400g</t>
        </is>
      </c>
      <c r="E476" s="3" t="inlineStr">
        <is>
          <t>Dairy</t>
        </is>
      </c>
      <c r="F476" s="4" t="n">
        <v>29</v>
      </c>
      <c r="G476" s="5" t="n">
        <v>43.67</v>
      </c>
      <c r="H476" s="5">
        <f>F476*G476</f>
        <v/>
      </c>
      <c r="I476" s="5">
        <f>F476*VLOOKUP(D476,Products!$B$2:$E$13,3,FALSE)</f>
        <v/>
      </c>
    </row>
    <row r="477">
      <c r="A477" s="2" t="n">
        <v>46170</v>
      </c>
      <c r="B477" s="3" t="inlineStr">
        <is>
          <t>INV-2605-0476</t>
        </is>
      </c>
      <c r="C477" s="3" t="inlineStr">
        <is>
          <t>Khan Mart</t>
        </is>
      </c>
      <c r="D477" s="3" t="inlineStr">
        <is>
          <t>Detergent 1kg</t>
        </is>
      </c>
      <c r="E477" s="3" t="inlineStr">
        <is>
          <t>Household</t>
        </is>
      </c>
      <c r="F477" s="4" t="n">
        <v>45</v>
      </c>
      <c r="G477" s="5" t="n">
        <v>134.1</v>
      </c>
      <c r="H477" s="5">
        <f>F477*G477</f>
        <v/>
      </c>
      <c r="I477" s="5">
        <f>F477*VLOOKUP(D477,Products!$B$2:$E$13,3,FALSE)</f>
        <v/>
      </c>
    </row>
    <row r="478">
      <c r="A478" s="2" t="n">
        <v>46171</v>
      </c>
      <c r="B478" s="3" t="inlineStr">
        <is>
          <t>INV-2605-0477</t>
        </is>
      </c>
      <c r="C478" s="3" t="inlineStr">
        <is>
          <t>Bhatt General Store</t>
        </is>
      </c>
      <c r="D478" s="3" t="inlineStr">
        <is>
          <t>Biscuits 400g</t>
        </is>
      </c>
      <c r="E478" s="3" t="inlineStr">
        <is>
          <t>Snacks</t>
        </is>
      </c>
      <c r="F478" s="4" t="n">
        <v>50</v>
      </c>
      <c r="G478" s="5" t="n">
        <v>40.92</v>
      </c>
      <c r="H478" s="5">
        <f>F478*G478</f>
        <v/>
      </c>
      <c r="I478" s="5">
        <f>F478*VLOOKUP(D478,Products!$B$2:$E$13,3,FALSE)</f>
        <v/>
      </c>
    </row>
    <row r="479">
      <c r="A479" s="2" t="n">
        <v>46171</v>
      </c>
      <c r="B479" s="3" t="inlineStr">
        <is>
          <t>INV-2605-0478</t>
        </is>
      </c>
      <c r="C479" s="3" t="inlineStr">
        <is>
          <t>Choudhary Mart</t>
        </is>
      </c>
      <c r="D479" s="3" t="inlineStr">
        <is>
          <t>Detergent 1kg</t>
        </is>
      </c>
      <c r="E479" s="3" t="inlineStr">
        <is>
          <t>Household</t>
        </is>
      </c>
      <c r="F479" s="4" t="n">
        <v>9</v>
      </c>
      <c r="G479" s="5" t="n">
        <v>130.17</v>
      </c>
      <c r="H479" s="5">
        <f>F479*G479</f>
        <v/>
      </c>
      <c r="I479" s="5">
        <f>F479*VLOOKUP(D479,Products!$B$2:$E$13,3,FALSE)</f>
        <v/>
      </c>
    </row>
    <row r="480">
      <c r="A480" s="2" t="n">
        <v>46171</v>
      </c>
      <c r="B480" s="3" t="inlineStr">
        <is>
          <t>INV-2605-0479</t>
        </is>
      </c>
      <c r="C480" s="3" t="inlineStr">
        <is>
          <t>Bhatt General Store</t>
        </is>
      </c>
      <c r="D480" s="3" t="inlineStr">
        <is>
          <t>Detergent 1kg</t>
        </is>
      </c>
      <c r="E480" s="3" t="inlineStr">
        <is>
          <t>Household</t>
        </is>
      </c>
      <c r="F480" s="4" t="n">
        <v>16</v>
      </c>
      <c r="G480" s="5" t="n">
        <v>131.3</v>
      </c>
      <c r="H480" s="5">
        <f>F480*G480</f>
        <v/>
      </c>
      <c r="I480" s="5">
        <f>F480*VLOOKUP(D480,Products!$B$2:$E$13,3,FALSE)</f>
        <v/>
      </c>
    </row>
    <row r="481">
      <c r="A481" s="2" t="n">
        <v>46171</v>
      </c>
      <c r="B481" s="3" t="inlineStr">
        <is>
          <t>INV-2605-0480</t>
        </is>
      </c>
      <c r="C481" s="3" t="inlineStr">
        <is>
          <t>Choudhary Mart</t>
        </is>
      </c>
      <c r="D481" s="3" t="inlineStr">
        <is>
          <t>Toned Milk 1L</t>
        </is>
      </c>
      <c r="E481" s="3" t="inlineStr">
        <is>
          <t>Dairy</t>
        </is>
      </c>
      <c r="F481" s="4" t="n">
        <v>74</v>
      </c>
      <c r="G481" s="5" t="n">
        <v>68.89</v>
      </c>
      <c r="H481" s="5">
        <f>F481*G481</f>
        <v/>
      </c>
      <c r="I481" s="5">
        <f>F481*VLOOKUP(D481,Products!$B$2:$E$13,3,FALSE)</f>
        <v/>
      </c>
    </row>
    <row r="482">
      <c r="A482" s="2" t="n">
        <v>46171</v>
      </c>
      <c r="B482" s="3" t="inlineStr">
        <is>
          <t>INV-2605-0481</t>
        </is>
      </c>
      <c r="C482" s="3" t="inlineStr">
        <is>
          <t>Sharma Provision</t>
        </is>
      </c>
      <c r="D482" s="3" t="inlineStr">
        <is>
          <t>Mango Juice 1L</t>
        </is>
      </c>
      <c r="E482" s="3" t="inlineStr">
        <is>
          <t>Beverages</t>
        </is>
      </c>
      <c r="F482" s="4" t="n">
        <v>77</v>
      </c>
      <c r="G482" s="5" t="n">
        <v>117.78</v>
      </c>
      <c r="H482" s="5">
        <f>F482*G482</f>
        <v/>
      </c>
      <c r="I482" s="5">
        <f>F482*VLOOKUP(D482,Products!$B$2:$E$13,3,FALSE)</f>
        <v/>
      </c>
    </row>
    <row r="483">
      <c r="A483" s="2" t="n">
        <v>46171</v>
      </c>
      <c r="B483" s="3" t="inlineStr">
        <is>
          <t>INV-2605-0482</t>
        </is>
      </c>
      <c r="C483" s="3" t="inlineStr">
        <is>
          <t>Jha Provisions</t>
        </is>
      </c>
      <c r="D483" s="3" t="inlineStr">
        <is>
          <t>Dish Soap 500ml</t>
        </is>
      </c>
      <c r="E483" s="3" t="inlineStr">
        <is>
          <t>Household</t>
        </is>
      </c>
      <c r="F483" s="4" t="n">
        <v>25</v>
      </c>
      <c r="G483" s="5" t="n">
        <v>96.62</v>
      </c>
      <c r="H483" s="5">
        <f>F483*G483</f>
        <v/>
      </c>
      <c r="I483" s="5">
        <f>F483*VLOOKUP(D483,Products!$B$2:$E$13,3,FALSE)</f>
        <v/>
      </c>
    </row>
    <row r="484">
      <c r="A484" s="2" t="n">
        <v>46172</v>
      </c>
      <c r="B484" s="3" t="inlineStr">
        <is>
          <t>INV-2605-0483</t>
        </is>
      </c>
      <c r="C484" s="3" t="inlineStr">
        <is>
          <t>Mishra Stores</t>
        </is>
      </c>
      <c r="D484" s="3" t="inlineStr">
        <is>
          <t>Biscuits 400g</t>
        </is>
      </c>
      <c r="E484" s="3" t="inlineStr">
        <is>
          <t>Snacks</t>
        </is>
      </c>
      <c r="F484" s="4" t="n">
        <v>48</v>
      </c>
      <c r="G484" s="5" t="n">
        <v>41.95</v>
      </c>
      <c r="H484" s="5">
        <f>F484*G484</f>
        <v/>
      </c>
      <c r="I484" s="5">
        <f>F484*VLOOKUP(D484,Products!$B$2:$E$13,3,FALSE)</f>
        <v/>
      </c>
    </row>
    <row r="485">
      <c r="A485" s="2" t="n">
        <v>46172</v>
      </c>
      <c r="B485" s="3" t="inlineStr">
        <is>
          <t>INV-2605-0484</t>
        </is>
      </c>
      <c r="C485" s="3" t="inlineStr">
        <is>
          <t>Prasad Traders</t>
        </is>
      </c>
      <c r="D485" s="3" t="inlineStr">
        <is>
          <t>Curd Cup 400g</t>
        </is>
      </c>
      <c r="E485" s="3" t="inlineStr">
        <is>
          <t>Dairy</t>
        </is>
      </c>
      <c r="F485" s="4" t="n">
        <v>50</v>
      </c>
      <c r="G485" s="5" t="n">
        <v>45.11</v>
      </c>
      <c r="H485" s="5">
        <f>F485*G485</f>
        <v/>
      </c>
      <c r="I485" s="5">
        <f>F485*VLOOKUP(D485,Products!$B$2:$E$13,3,FALSE)</f>
        <v/>
      </c>
    </row>
    <row r="486">
      <c r="A486" s="2" t="n">
        <v>46172</v>
      </c>
      <c r="B486" s="3" t="inlineStr">
        <is>
          <t>INV-2605-0485</t>
        </is>
      </c>
      <c r="C486" s="3" t="inlineStr">
        <is>
          <t>Sinha Super Mart</t>
        </is>
      </c>
      <c r="D486" s="3" t="inlineStr">
        <is>
          <t>Curd Cup 400g</t>
        </is>
      </c>
      <c r="E486" s="3" t="inlineStr">
        <is>
          <t>Dairy</t>
        </is>
      </c>
      <c r="F486" s="4" t="n">
        <v>37</v>
      </c>
      <c r="G486" s="5" t="n">
        <v>43.98</v>
      </c>
      <c r="H486" s="5">
        <f>F486*G486</f>
        <v/>
      </c>
      <c r="I486" s="5">
        <f>F486*VLOOKUP(D486,Products!$B$2:$E$13,3,FALSE)</f>
        <v/>
      </c>
    </row>
    <row r="487">
      <c r="A487" s="2" t="n">
        <v>46172</v>
      </c>
      <c r="B487" s="3" t="inlineStr">
        <is>
          <t>INV-2605-0486</t>
        </is>
      </c>
      <c r="C487" s="3" t="inlineStr">
        <is>
          <t>Pandey Stores</t>
        </is>
      </c>
      <c r="D487" s="3" t="inlineStr">
        <is>
          <t>Dish Soap 500ml</t>
        </is>
      </c>
      <c r="E487" s="3" t="inlineStr">
        <is>
          <t>Household</t>
        </is>
      </c>
      <c r="F487" s="4" t="n">
        <v>30</v>
      </c>
      <c r="G487" s="5" t="n">
        <v>100.36</v>
      </c>
      <c r="H487" s="5">
        <f>F487*G487</f>
        <v/>
      </c>
      <c r="I487" s="5">
        <f>F487*VLOOKUP(D487,Products!$B$2:$E$13,3,FALSE)</f>
        <v/>
      </c>
    </row>
    <row r="488">
      <c r="A488" s="2" t="n">
        <v>46172</v>
      </c>
      <c r="B488" s="3" t="inlineStr">
        <is>
          <t>INV-2605-0487</t>
        </is>
      </c>
      <c r="C488" s="3" t="inlineStr">
        <is>
          <t>Patel Traders</t>
        </is>
      </c>
      <c r="D488" s="3" t="inlineStr">
        <is>
          <t>Toned Milk 1L</t>
        </is>
      </c>
      <c r="E488" s="3" t="inlineStr">
        <is>
          <t>Dairy</t>
        </is>
      </c>
      <c r="F488" s="4" t="n">
        <v>50</v>
      </c>
      <c r="G488" s="5" t="n">
        <v>68.58</v>
      </c>
      <c r="H488" s="5">
        <f>F488*G488</f>
        <v/>
      </c>
      <c r="I488" s="5">
        <f>F488*VLOOKUP(D488,Products!$B$2:$E$13,3,FALSE)</f>
        <v/>
      </c>
    </row>
    <row r="489">
      <c r="A489" s="2" t="n">
        <v>46172</v>
      </c>
      <c r="B489" s="3" t="inlineStr">
        <is>
          <t>INV-2605-0488</t>
        </is>
      </c>
      <c r="C489" s="3" t="inlineStr">
        <is>
          <t>Patel Traders</t>
        </is>
      </c>
      <c r="D489" s="3" t="inlineStr">
        <is>
          <t>Instant Noodles 280g</t>
        </is>
      </c>
      <c r="E489" s="3" t="inlineStr">
        <is>
          <t>Snacks</t>
        </is>
      </c>
      <c r="F489" s="4" t="n">
        <v>17</v>
      </c>
      <c r="G489" s="5" t="n">
        <v>57.87</v>
      </c>
      <c r="H489" s="5">
        <f>F489*G489</f>
        <v/>
      </c>
      <c r="I489" s="5">
        <f>F489*VLOOKUP(D489,Products!$B$2:$E$13,3,FALSE)</f>
        <v/>
      </c>
    </row>
    <row r="490">
      <c r="A490" s="2" t="n">
        <v>46172</v>
      </c>
      <c r="B490" s="3" t="inlineStr">
        <is>
          <t>INV-2605-0489</t>
        </is>
      </c>
      <c r="C490" s="3" t="inlineStr">
        <is>
          <t>Pandey Stores</t>
        </is>
      </c>
      <c r="D490" s="3" t="inlineStr">
        <is>
          <t>Cola 750ml</t>
        </is>
      </c>
      <c r="E490" s="3" t="inlineStr">
        <is>
          <t>Beverages</t>
        </is>
      </c>
      <c r="F490" s="4" t="n">
        <v>100</v>
      </c>
      <c r="G490" s="5" t="n">
        <v>46.81</v>
      </c>
      <c r="H490" s="5">
        <f>F490*G490</f>
        <v/>
      </c>
      <c r="I490" s="5">
        <f>F490*VLOOKUP(D490,Products!$B$2:$E$13,3,FALSE)</f>
        <v/>
      </c>
    </row>
    <row r="491">
      <c r="A491" s="2" t="n">
        <v>46172</v>
      </c>
      <c r="B491" s="3" t="inlineStr">
        <is>
          <t>INV-2605-0490</t>
        </is>
      </c>
      <c r="C491" s="3" t="inlineStr">
        <is>
          <t>Choudhary Mart</t>
        </is>
      </c>
      <c r="D491" s="3" t="inlineStr">
        <is>
          <t>Floor Cleaner 1L</t>
        </is>
      </c>
      <c r="E491" s="3" t="inlineStr">
        <is>
          <t>Household</t>
        </is>
      </c>
      <c r="F491" s="4" t="n">
        <v>72</v>
      </c>
      <c r="G491" s="5" t="n">
        <v>107.16</v>
      </c>
      <c r="H491" s="5">
        <f>F491*G491</f>
        <v/>
      </c>
      <c r="I491" s="5">
        <f>F491*VLOOKUP(D491,Products!$B$2:$E$13,3,FALSE)</f>
        <v/>
      </c>
    </row>
    <row r="492">
      <c r="A492" s="2" t="n">
        <v>46172</v>
      </c>
      <c r="B492" s="3" t="inlineStr">
        <is>
          <t>INV-2605-0491</t>
        </is>
      </c>
      <c r="C492" s="3" t="inlineStr">
        <is>
          <t>Gupta General Store</t>
        </is>
      </c>
      <c r="D492" s="3" t="inlineStr">
        <is>
          <t>Floor Cleaner 1L</t>
        </is>
      </c>
      <c r="E492" s="3" t="inlineStr">
        <is>
          <t>Household</t>
        </is>
      </c>
      <c r="F492" s="4" t="n">
        <v>59</v>
      </c>
      <c r="G492" s="5" t="n">
        <v>114.17</v>
      </c>
      <c r="H492" s="5">
        <f>F492*G492</f>
        <v/>
      </c>
      <c r="I492" s="5">
        <f>F492*VLOOKUP(D492,Products!$B$2:$E$13,3,FALSE)</f>
        <v/>
      </c>
    </row>
    <row r="493">
      <c r="A493" s="2" t="n">
        <v>46172</v>
      </c>
      <c r="B493" s="3" t="inlineStr">
        <is>
          <t>INV-2605-0492</t>
        </is>
      </c>
      <c r="C493" s="3" t="inlineStr">
        <is>
          <t>Raza Brothers</t>
        </is>
      </c>
      <c r="D493" s="3" t="inlineStr">
        <is>
          <t>Detergent 1kg</t>
        </is>
      </c>
      <c r="E493" s="3" t="inlineStr">
        <is>
          <t>Household</t>
        </is>
      </c>
      <c r="F493" s="4" t="n">
        <v>6</v>
      </c>
      <c r="G493" s="5" t="n">
        <v>131.9</v>
      </c>
      <c r="H493" s="5">
        <f>F493*G493</f>
        <v/>
      </c>
      <c r="I493" s="5">
        <f>F493*VLOOKUP(D493,Products!$B$2:$E$13,3,FALSE)</f>
        <v/>
      </c>
    </row>
    <row r="494">
      <c r="A494" s="2" t="n">
        <v>46172</v>
      </c>
      <c r="B494" s="3" t="inlineStr">
        <is>
          <t>INV-2605-0493</t>
        </is>
      </c>
      <c r="C494" s="3" t="inlineStr">
        <is>
          <t>Sharma Provision</t>
        </is>
      </c>
      <c r="D494" s="3" t="inlineStr">
        <is>
          <t>Instant Noodles 280g</t>
        </is>
      </c>
      <c r="E494" s="3" t="inlineStr">
        <is>
          <t>Snacks</t>
        </is>
      </c>
      <c r="F494" s="4" t="n">
        <v>19</v>
      </c>
      <c r="G494" s="5" t="n">
        <v>57.52</v>
      </c>
      <c r="H494" s="5">
        <f>F494*G494</f>
        <v/>
      </c>
      <c r="I494" s="5">
        <f>F494*VLOOKUP(D494,Products!$B$2:$E$13,3,FALSE)</f>
        <v/>
      </c>
    </row>
    <row r="495">
      <c r="A495" s="2" t="n">
        <v>46173</v>
      </c>
      <c r="B495" s="3" t="inlineStr">
        <is>
          <t>INV-2605-0494</t>
        </is>
      </c>
      <c r="C495" s="3" t="inlineStr">
        <is>
          <t>Sharma Provision</t>
        </is>
      </c>
      <c r="D495" s="3" t="inlineStr">
        <is>
          <t>Dish Soap 500ml</t>
        </is>
      </c>
      <c r="E495" s="3" t="inlineStr">
        <is>
          <t>Household</t>
        </is>
      </c>
      <c r="F495" s="4" t="n">
        <v>58</v>
      </c>
      <c r="G495" s="5" t="n">
        <v>100.56</v>
      </c>
      <c r="H495" s="5">
        <f>F495*G495</f>
        <v/>
      </c>
      <c r="I495" s="5">
        <f>F495*VLOOKUP(D495,Products!$B$2:$E$13,3,FALSE)</f>
        <v/>
      </c>
    </row>
    <row r="496">
      <c r="A496" s="2" t="n">
        <v>46173</v>
      </c>
      <c r="B496" s="3" t="inlineStr">
        <is>
          <t>INV-2605-0495</t>
        </is>
      </c>
      <c r="C496" s="3" t="inlineStr">
        <is>
          <t>Verma Retail</t>
        </is>
      </c>
      <c r="D496" s="3" t="inlineStr">
        <is>
          <t>Toned Milk 1L</t>
        </is>
      </c>
      <c r="E496" s="3" t="inlineStr">
        <is>
          <t>Dairy</t>
        </is>
      </c>
      <c r="F496" s="4" t="n">
        <v>66</v>
      </c>
      <c r="G496" s="5" t="n">
        <v>65.94</v>
      </c>
      <c r="H496" s="5">
        <f>F496*G496</f>
        <v/>
      </c>
      <c r="I496" s="5">
        <f>F496*VLOOKUP(D496,Products!$B$2:$E$13,3,FALSE)</f>
        <v/>
      </c>
    </row>
    <row r="497">
      <c r="A497" s="2" t="n">
        <v>46173</v>
      </c>
      <c r="B497" s="3" t="inlineStr">
        <is>
          <t>INV-2605-0496</t>
        </is>
      </c>
      <c r="C497" s="3" t="inlineStr">
        <is>
          <t>Bhatt General Store</t>
        </is>
      </c>
      <c r="D497" s="3" t="inlineStr">
        <is>
          <t>Curd Cup 400g</t>
        </is>
      </c>
      <c r="E497" s="3" t="inlineStr">
        <is>
          <t>Dairy</t>
        </is>
      </c>
      <c r="F497" s="4" t="n">
        <v>75</v>
      </c>
      <c r="G497" s="5" t="n">
        <v>45.38</v>
      </c>
      <c r="H497" s="5">
        <f>F497*G497</f>
        <v/>
      </c>
      <c r="I497" s="5">
        <f>F497*VLOOKUP(D497,Products!$B$2:$E$13,3,FALSE)</f>
        <v/>
      </c>
    </row>
    <row r="498">
      <c r="A498" s="2" t="n">
        <v>46173</v>
      </c>
      <c r="B498" s="3" t="inlineStr">
        <is>
          <t>INV-2605-0497</t>
        </is>
      </c>
      <c r="C498" s="3" t="inlineStr">
        <is>
          <t>Azad Stores</t>
        </is>
      </c>
      <c r="D498" s="3" t="inlineStr">
        <is>
          <t>Curd Cup 400g</t>
        </is>
      </c>
      <c r="E498" s="3" t="inlineStr">
        <is>
          <t>Dairy</t>
        </is>
      </c>
      <c r="F498" s="4" t="n">
        <v>54</v>
      </c>
      <c r="G498" s="5" t="n">
        <v>46.41</v>
      </c>
      <c r="H498" s="5">
        <f>F498*G498</f>
        <v/>
      </c>
      <c r="I498" s="5">
        <f>F498*VLOOKUP(D498,Products!$B$2:$E$13,3,FALSE)</f>
        <v/>
      </c>
    </row>
    <row r="499">
      <c r="A499" s="2" t="n">
        <v>46173</v>
      </c>
      <c r="B499" s="3" t="inlineStr">
        <is>
          <t>INV-2605-0498</t>
        </is>
      </c>
      <c r="C499" s="3" t="inlineStr">
        <is>
          <t>Dubey Kirana</t>
        </is>
      </c>
      <c r="D499" s="3" t="inlineStr">
        <is>
          <t>Curd Cup 400g</t>
        </is>
      </c>
      <c r="E499" s="3" t="inlineStr">
        <is>
          <t>Dairy</t>
        </is>
      </c>
      <c r="F499" s="4" t="n">
        <v>23</v>
      </c>
      <c r="G499" s="5" t="n">
        <v>43.85</v>
      </c>
      <c r="H499" s="5">
        <f>F499*G499</f>
        <v/>
      </c>
      <c r="I499" s="5">
        <f>F499*VLOOKUP(D499,Products!$B$2:$E$13,3,FALSE)</f>
        <v/>
      </c>
    </row>
    <row r="500">
      <c r="A500" s="2" t="n">
        <v>46173</v>
      </c>
      <c r="B500" s="3" t="inlineStr">
        <is>
          <t>INV-2605-0499</t>
        </is>
      </c>
      <c r="C500" s="3" t="inlineStr">
        <is>
          <t>Bhatt General Store</t>
        </is>
      </c>
      <c r="D500" s="3" t="inlineStr">
        <is>
          <t>Instant Noodles 280g</t>
        </is>
      </c>
      <c r="E500" s="3" t="inlineStr">
        <is>
          <t>Snacks</t>
        </is>
      </c>
      <c r="F500" s="4" t="n">
        <v>47</v>
      </c>
      <c r="G500" s="5" t="n">
        <v>58.33</v>
      </c>
      <c r="H500" s="5">
        <f>F500*G500</f>
        <v/>
      </c>
      <c r="I500" s="5">
        <f>F500*VLOOKUP(D500,Products!$B$2:$E$13,3,FALSE)</f>
        <v/>
      </c>
    </row>
    <row r="501">
      <c r="A501" s="2" t="n">
        <v>46174</v>
      </c>
      <c r="B501" s="3" t="inlineStr">
        <is>
          <t>INV-2606-0500</t>
        </is>
      </c>
      <c r="C501" s="3" t="inlineStr">
        <is>
          <t>Patel Traders</t>
        </is>
      </c>
      <c r="D501" s="3" t="inlineStr">
        <is>
          <t>Floor Cleaner 1L</t>
        </is>
      </c>
      <c r="E501" s="3" t="inlineStr">
        <is>
          <t>Household</t>
        </is>
      </c>
      <c r="F501" s="4" t="n">
        <v>22</v>
      </c>
      <c r="G501" s="5" t="n">
        <v>108.36</v>
      </c>
      <c r="H501" s="5">
        <f>F501*G501</f>
        <v/>
      </c>
      <c r="I501" s="5">
        <f>F501*VLOOKUP(D501,Products!$B$2:$E$13,3,FALSE)</f>
        <v/>
      </c>
    </row>
    <row r="502">
      <c r="A502" s="2" t="n">
        <v>46174</v>
      </c>
      <c r="B502" s="3" t="inlineStr">
        <is>
          <t>INV-2606-0501</t>
        </is>
      </c>
      <c r="C502" s="3" t="inlineStr">
        <is>
          <t>Choudhary Mart</t>
        </is>
      </c>
      <c r="D502" s="3" t="inlineStr">
        <is>
          <t>Potato Chips 150g</t>
        </is>
      </c>
      <c r="E502" s="3" t="inlineStr">
        <is>
          <t>Snacks</t>
        </is>
      </c>
      <c r="F502" s="4" t="n">
        <v>57</v>
      </c>
      <c r="G502" s="5" t="n">
        <v>51.45</v>
      </c>
      <c r="H502" s="5">
        <f>F502*G502</f>
        <v/>
      </c>
      <c r="I502" s="5">
        <f>F502*VLOOKUP(D502,Products!$B$2:$E$13,3,FALSE)</f>
        <v/>
      </c>
    </row>
    <row r="503">
      <c r="A503" s="2" t="n">
        <v>46174</v>
      </c>
      <c r="B503" s="3" t="inlineStr">
        <is>
          <t>INV-2606-0502</t>
        </is>
      </c>
      <c r="C503" s="3" t="inlineStr">
        <is>
          <t>Tiwari General</t>
        </is>
      </c>
      <c r="D503" s="3" t="inlineStr">
        <is>
          <t>Cola 750ml</t>
        </is>
      </c>
      <c r="E503" s="3" t="inlineStr">
        <is>
          <t>Beverages</t>
        </is>
      </c>
      <c r="F503" s="4" t="n">
        <v>74</v>
      </c>
      <c r="G503" s="5" t="n">
        <v>46.51</v>
      </c>
      <c r="H503" s="5">
        <f>F503*G503</f>
        <v/>
      </c>
      <c r="I503" s="5">
        <f>F503*VLOOKUP(D503,Products!$B$2:$E$13,3,FALSE)</f>
        <v/>
      </c>
    </row>
    <row r="504">
      <c r="A504" s="2" t="n">
        <v>46174</v>
      </c>
      <c r="B504" s="3" t="inlineStr">
        <is>
          <t>INV-2606-0503</t>
        </is>
      </c>
      <c r="C504" s="3" t="inlineStr">
        <is>
          <t>Gupta General Store</t>
        </is>
      </c>
      <c r="D504" s="3" t="inlineStr">
        <is>
          <t>Detergent 1kg</t>
        </is>
      </c>
      <c r="E504" s="3" t="inlineStr">
        <is>
          <t>Household</t>
        </is>
      </c>
      <c r="F504" s="4" t="n">
        <v>22</v>
      </c>
      <c r="G504" s="5" t="n">
        <v>131.94</v>
      </c>
      <c r="H504" s="5">
        <f>F504*G504</f>
        <v/>
      </c>
      <c r="I504" s="5">
        <f>F504*VLOOKUP(D504,Products!$B$2:$E$13,3,FALSE)</f>
        <v/>
      </c>
    </row>
    <row r="505">
      <c r="A505" s="2" t="n">
        <v>46174</v>
      </c>
      <c r="B505" s="3" t="inlineStr">
        <is>
          <t>INV-2606-0504</t>
        </is>
      </c>
      <c r="C505" s="3" t="inlineStr">
        <is>
          <t>Verma Retail</t>
        </is>
      </c>
      <c r="D505" s="3" t="inlineStr">
        <is>
          <t>Cola 750ml</t>
        </is>
      </c>
      <c r="E505" s="3" t="inlineStr">
        <is>
          <t>Beverages</t>
        </is>
      </c>
      <c r="F505" s="4" t="n">
        <v>27</v>
      </c>
      <c r="G505" s="5" t="n">
        <v>44.09</v>
      </c>
      <c r="H505" s="5">
        <f>F505*G505</f>
        <v/>
      </c>
      <c r="I505" s="5">
        <f>F505*VLOOKUP(D505,Products!$B$2:$E$13,3,FALSE)</f>
        <v/>
      </c>
    </row>
    <row r="506">
      <c r="A506" s="2" t="n">
        <v>46174</v>
      </c>
      <c r="B506" s="3" t="inlineStr">
        <is>
          <t>INV-2606-0505</t>
        </is>
      </c>
      <c r="C506" s="3" t="inlineStr">
        <is>
          <t>Raza Brothers</t>
        </is>
      </c>
      <c r="D506" s="3" t="inlineStr">
        <is>
          <t>Instant Noodles 280g</t>
        </is>
      </c>
      <c r="E506" s="3" t="inlineStr">
        <is>
          <t>Snacks</t>
        </is>
      </c>
      <c r="F506" s="4" t="n">
        <v>4</v>
      </c>
      <c r="G506" s="5" t="n">
        <v>56.34</v>
      </c>
      <c r="H506" s="5">
        <f>F506*G506</f>
        <v/>
      </c>
      <c r="I506" s="5">
        <f>F506*VLOOKUP(D506,Products!$B$2:$E$13,3,FALSE)</f>
        <v/>
      </c>
    </row>
    <row r="507">
      <c r="A507" s="2" t="n">
        <v>46174</v>
      </c>
      <c r="B507" s="3" t="inlineStr">
        <is>
          <t>INV-2606-0506</t>
        </is>
      </c>
      <c r="C507" s="3" t="inlineStr">
        <is>
          <t>Das &amp; Sons</t>
        </is>
      </c>
      <c r="D507" s="3" t="inlineStr">
        <is>
          <t>Toned Milk 1L</t>
        </is>
      </c>
      <c r="E507" s="3" t="inlineStr">
        <is>
          <t>Dairy</t>
        </is>
      </c>
      <c r="F507" s="4" t="n">
        <v>47</v>
      </c>
      <c r="G507" s="5" t="n">
        <v>65.15000000000001</v>
      </c>
      <c r="H507" s="5">
        <f>F507*G507</f>
        <v/>
      </c>
      <c r="I507" s="5">
        <f>F507*VLOOKUP(D507,Products!$B$2:$E$13,3,FALSE)</f>
        <v/>
      </c>
    </row>
    <row r="508">
      <c r="A508" s="2" t="n">
        <v>46175</v>
      </c>
      <c r="B508" s="3" t="inlineStr">
        <is>
          <t>INV-2606-0507</t>
        </is>
      </c>
      <c r="C508" s="3" t="inlineStr">
        <is>
          <t>Dubey Kirana</t>
        </is>
      </c>
      <c r="D508" s="3" t="inlineStr">
        <is>
          <t>Dish Soap 500ml</t>
        </is>
      </c>
      <c r="E508" s="3" t="inlineStr">
        <is>
          <t>Household</t>
        </is>
      </c>
      <c r="F508" s="4" t="n">
        <v>60</v>
      </c>
      <c r="G508" s="5" t="n">
        <v>101.17</v>
      </c>
      <c r="H508" s="5">
        <f>F508*G508</f>
        <v/>
      </c>
      <c r="I508" s="5">
        <f>F508*VLOOKUP(D508,Products!$B$2:$E$13,3,FALSE)</f>
        <v/>
      </c>
    </row>
    <row r="509">
      <c r="A509" s="2" t="n">
        <v>46175</v>
      </c>
      <c r="B509" s="3" t="inlineStr">
        <is>
          <t>INV-2606-0508</t>
        </is>
      </c>
      <c r="C509" s="3" t="inlineStr">
        <is>
          <t>Sharma Provision</t>
        </is>
      </c>
      <c r="D509" s="3" t="inlineStr">
        <is>
          <t>Curd Cup 400g</t>
        </is>
      </c>
      <c r="E509" s="3" t="inlineStr">
        <is>
          <t>Dairy</t>
        </is>
      </c>
      <c r="F509" s="4" t="n">
        <v>36</v>
      </c>
      <c r="G509" s="5" t="n">
        <v>46.06</v>
      </c>
      <c r="H509" s="5">
        <f>F509*G509</f>
        <v/>
      </c>
      <c r="I509" s="5">
        <f>F509*VLOOKUP(D509,Products!$B$2:$E$13,3,FALSE)</f>
        <v/>
      </c>
    </row>
    <row r="510">
      <c r="A510" s="2" t="n">
        <v>46175</v>
      </c>
      <c r="B510" s="3" t="inlineStr">
        <is>
          <t>INV-2606-0509</t>
        </is>
      </c>
      <c r="C510" s="3" t="inlineStr">
        <is>
          <t>Sahu Traders</t>
        </is>
      </c>
      <c r="D510" s="3" t="inlineStr">
        <is>
          <t>Biscuits 400g</t>
        </is>
      </c>
      <c r="E510" s="3" t="inlineStr">
        <is>
          <t>Snacks</t>
        </is>
      </c>
      <c r="F510" s="4" t="n">
        <v>21</v>
      </c>
      <c r="G510" s="5" t="n">
        <v>41.03</v>
      </c>
      <c r="H510" s="5">
        <f>F510*G510</f>
        <v/>
      </c>
      <c r="I510" s="5">
        <f>F510*VLOOKUP(D510,Products!$B$2:$E$13,3,FALSE)</f>
        <v/>
      </c>
    </row>
    <row r="511">
      <c r="A511" s="2" t="n">
        <v>46175</v>
      </c>
      <c r="B511" s="3" t="inlineStr">
        <is>
          <t>INV-2606-0510</t>
        </is>
      </c>
      <c r="C511" s="3" t="inlineStr">
        <is>
          <t>Kumari Kirana</t>
        </is>
      </c>
      <c r="D511" s="3" t="inlineStr">
        <is>
          <t>Packaged Water 1L</t>
        </is>
      </c>
      <c r="E511" s="3" t="inlineStr">
        <is>
          <t>Beverages</t>
        </is>
      </c>
      <c r="F511" s="4" t="n">
        <v>66</v>
      </c>
      <c r="G511" s="5" t="n">
        <v>20.02</v>
      </c>
      <c r="H511" s="5">
        <f>F511*G511</f>
        <v/>
      </c>
      <c r="I511" s="5">
        <f>F511*VLOOKUP(D511,Products!$B$2:$E$13,3,FALSE)</f>
        <v/>
      </c>
    </row>
    <row r="512">
      <c r="A512" s="2" t="n">
        <v>46175</v>
      </c>
      <c r="B512" s="3" t="inlineStr">
        <is>
          <t>INV-2606-0511</t>
        </is>
      </c>
      <c r="C512" s="3" t="inlineStr">
        <is>
          <t>Bhatt General Store</t>
        </is>
      </c>
      <c r="D512" s="3" t="inlineStr">
        <is>
          <t>Detergent 1kg</t>
        </is>
      </c>
      <c r="E512" s="3" t="inlineStr">
        <is>
          <t>Household</t>
        </is>
      </c>
      <c r="F512" s="4" t="n">
        <v>26</v>
      </c>
      <c r="G512" s="5" t="n">
        <v>133.45</v>
      </c>
      <c r="H512" s="5">
        <f>F512*G512</f>
        <v/>
      </c>
      <c r="I512" s="5">
        <f>F512*VLOOKUP(D512,Products!$B$2:$E$13,3,FALSE)</f>
        <v/>
      </c>
    </row>
    <row r="513">
      <c r="A513" s="2" t="n">
        <v>46175</v>
      </c>
      <c r="B513" s="3" t="inlineStr">
        <is>
          <t>INV-2606-0512</t>
        </is>
      </c>
      <c r="C513" s="3" t="inlineStr">
        <is>
          <t>Khan Mart</t>
        </is>
      </c>
      <c r="D513" s="3" t="inlineStr">
        <is>
          <t>Mango Juice 1L</t>
        </is>
      </c>
      <c r="E513" s="3" t="inlineStr">
        <is>
          <t>Beverages</t>
        </is>
      </c>
      <c r="F513" s="4" t="n">
        <v>63</v>
      </c>
      <c r="G513" s="5" t="n">
        <v>125.42</v>
      </c>
      <c r="H513" s="5">
        <f>F513*G513</f>
        <v/>
      </c>
      <c r="I513" s="5">
        <f>F513*VLOOKUP(D513,Products!$B$2:$E$13,3,FALSE)</f>
        <v/>
      </c>
    </row>
    <row r="514">
      <c r="A514" s="2" t="n">
        <v>46175</v>
      </c>
      <c r="B514" s="3" t="inlineStr">
        <is>
          <t>INV-2606-0513</t>
        </is>
      </c>
      <c r="C514" s="3" t="inlineStr">
        <is>
          <t>Patel Traders</t>
        </is>
      </c>
      <c r="D514" s="3" t="inlineStr">
        <is>
          <t>Mango Juice 1L</t>
        </is>
      </c>
      <c r="E514" s="3" t="inlineStr">
        <is>
          <t>Beverages</t>
        </is>
      </c>
      <c r="F514" s="4" t="n">
        <v>117</v>
      </c>
      <c r="G514" s="5" t="n">
        <v>116.79</v>
      </c>
      <c r="H514" s="5">
        <f>F514*G514</f>
        <v/>
      </c>
      <c r="I514" s="5">
        <f>F514*VLOOKUP(D514,Products!$B$2:$E$13,3,FALSE)</f>
        <v/>
      </c>
    </row>
    <row r="515">
      <c r="A515" s="2" t="n">
        <v>46176</v>
      </c>
      <c r="B515" s="3" t="inlineStr">
        <is>
          <t>INV-2606-0514</t>
        </is>
      </c>
      <c r="C515" s="3" t="inlineStr">
        <is>
          <t>Verma Retail</t>
        </is>
      </c>
      <c r="D515" s="3" t="inlineStr">
        <is>
          <t>Curd Cup 400g</t>
        </is>
      </c>
      <c r="E515" s="3" t="inlineStr">
        <is>
          <t>Dairy</t>
        </is>
      </c>
      <c r="F515" s="4" t="n">
        <v>68</v>
      </c>
      <c r="G515" s="5" t="n">
        <v>46.75</v>
      </c>
      <c r="H515" s="5">
        <f>F515*G515</f>
        <v/>
      </c>
      <c r="I515" s="5">
        <f>F515*VLOOKUP(D515,Products!$B$2:$E$13,3,FALSE)</f>
        <v/>
      </c>
    </row>
    <row r="516">
      <c r="A516" s="2" t="n">
        <v>46176</v>
      </c>
      <c r="B516" s="3" t="inlineStr">
        <is>
          <t>INV-2606-0515</t>
        </is>
      </c>
      <c r="C516" s="3" t="inlineStr">
        <is>
          <t>Kumari Kirana</t>
        </is>
      </c>
      <c r="D516" s="3" t="inlineStr">
        <is>
          <t>Cola 750ml</t>
        </is>
      </c>
      <c r="E516" s="3" t="inlineStr">
        <is>
          <t>Beverages</t>
        </is>
      </c>
      <c r="F516" s="4" t="n">
        <v>16</v>
      </c>
      <c r="G516" s="5" t="n">
        <v>46.07</v>
      </c>
      <c r="H516" s="5">
        <f>F516*G516</f>
        <v/>
      </c>
      <c r="I516" s="5">
        <f>F516*VLOOKUP(D516,Products!$B$2:$E$13,3,FALSE)</f>
        <v/>
      </c>
    </row>
    <row r="517">
      <c r="A517" s="2" t="n">
        <v>46176</v>
      </c>
      <c r="B517" s="3" t="inlineStr">
        <is>
          <t>INV-2606-0516</t>
        </is>
      </c>
      <c r="C517" s="3" t="inlineStr">
        <is>
          <t>Dubey Kirana</t>
        </is>
      </c>
      <c r="D517" s="3" t="inlineStr">
        <is>
          <t>Mango Juice 1L</t>
        </is>
      </c>
      <c r="E517" s="3" t="inlineStr">
        <is>
          <t>Beverages</t>
        </is>
      </c>
      <c r="F517" s="4" t="n">
        <v>88</v>
      </c>
      <c r="G517" s="5" t="n">
        <v>116.67</v>
      </c>
      <c r="H517" s="5">
        <f>F517*G517</f>
        <v/>
      </c>
      <c r="I517" s="5">
        <f>F517*VLOOKUP(D517,Products!$B$2:$E$13,3,FALSE)</f>
        <v/>
      </c>
    </row>
    <row r="518">
      <c r="A518" s="2" t="n">
        <v>46176</v>
      </c>
      <c r="B518" s="3" t="inlineStr">
        <is>
          <t>INV-2606-0517</t>
        </is>
      </c>
      <c r="C518" s="3" t="inlineStr">
        <is>
          <t>Bhatt General Store</t>
        </is>
      </c>
      <c r="D518" s="3" t="inlineStr">
        <is>
          <t>Instant Noodles 280g</t>
        </is>
      </c>
      <c r="E518" s="3" t="inlineStr">
        <is>
          <t>Snacks</t>
        </is>
      </c>
      <c r="F518" s="4" t="n">
        <v>61</v>
      </c>
      <c r="G518" s="5" t="n">
        <v>54.87</v>
      </c>
      <c r="H518" s="5">
        <f>F518*G518</f>
        <v/>
      </c>
      <c r="I518" s="5">
        <f>F518*VLOOKUP(D518,Products!$B$2:$E$13,3,FALSE)</f>
        <v/>
      </c>
    </row>
    <row r="519">
      <c r="A519" s="2" t="n">
        <v>46176</v>
      </c>
      <c r="B519" s="3" t="inlineStr">
        <is>
          <t>INV-2606-0518</t>
        </is>
      </c>
      <c r="C519" s="3" t="inlineStr">
        <is>
          <t>Jha Provisions</t>
        </is>
      </c>
      <c r="D519" s="3" t="inlineStr">
        <is>
          <t>Cola 750ml</t>
        </is>
      </c>
      <c r="E519" s="3" t="inlineStr">
        <is>
          <t>Beverages</t>
        </is>
      </c>
      <c r="F519" s="4" t="n">
        <v>43</v>
      </c>
      <c r="G519" s="5" t="n">
        <v>43.93</v>
      </c>
      <c r="H519" s="5">
        <f>F519*G519</f>
        <v/>
      </c>
      <c r="I519" s="5">
        <f>F519*VLOOKUP(D519,Products!$B$2:$E$13,3,FALSE)</f>
        <v/>
      </c>
    </row>
    <row r="520">
      <c r="A520" s="2" t="n">
        <v>46176</v>
      </c>
      <c r="B520" s="3" t="inlineStr">
        <is>
          <t>INV-2606-0519</t>
        </is>
      </c>
      <c r="C520" s="3" t="inlineStr">
        <is>
          <t>Prasad Traders</t>
        </is>
      </c>
      <c r="D520" s="3" t="inlineStr">
        <is>
          <t>Packaged Water 1L</t>
        </is>
      </c>
      <c r="E520" s="3" t="inlineStr">
        <is>
          <t>Beverages</t>
        </is>
      </c>
      <c r="F520" s="4" t="n">
        <v>75</v>
      </c>
      <c r="G520" s="5" t="n">
        <v>20.55</v>
      </c>
      <c r="H520" s="5">
        <f>F520*G520</f>
        <v/>
      </c>
      <c r="I520" s="5">
        <f>F520*VLOOKUP(D520,Products!$B$2:$E$13,3,FALSE)</f>
        <v/>
      </c>
    </row>
    <row r="521">
      <c r="A521" s="2" t="n">
        <v>46176</v>
      </c>
      <c r="B521" s="3" t="inlineStr">
        <is>
          <t>INV-2606-0520</t>
        </is>
      </c>
      <c r="C521" s="3" t="inlineStr">
        <is>
          <t>Yadav Daily Needs</t>
        </is>
      </c>
      <c r="D521" s="3" t="inlineStr">
        <is>
          <t>Dish Soap 500ml</t>
        </is>
      </c>
      <c r="E521" s="3" t="inlineStr">
        <is>
          <t>Household</t>
        </is>
      </c>
      <c r="F521" s="4" t="n">
        <v>7</v>
      </c>
      <c r="G521" s="5" t="n">
        <v>103.63</v>
      </c>
      <c r="H521" s="5">
        <f>F521*G521</f>
        <v/>
      </c>
      <c r="I521" s="5">
        <f>F521*VLOOKUP(D521,Products!$B$2:$E$13,3,FALSE)</f>
        <v/>
      </c>
    </row>
    <row r="522">
      <c r="A522" s="2" t="n">
        <v>46176</v>
      </c>
      <c r="B522" s="3" t="inlineStr">
        <is>
          <t>INV-2606-0521</t>
        </is>
      </c>
      <c r="C522" s="3" t="inlineStr">
        <is>
          <t>Gupta General Store</t>
        </is>
      </c>
      <c r="D522" s="3" t="inlineStr">
        <is>
          <t>Detergent 1kg</t>
        </is>
      </c>
      <c r="E522" s="3" t="inlineStr">
        <is>
          <t>Household</t>
        </is>
      </c>
      <c r="F522" s="4" t="n">
        <v>46</v>
      </c>
      <c r="G522" s="5" t="n">
        <v>130.68</v>
      </c>
      <c r="H522" s="5">
        <f>F522*G522</f>
        <v/>
      </c>
      <c r="I522" s="5">
        <f>F522*VLOOKUP(D522,Products!$B$2:$E$13,3,FALSE)</f>
        <v/>
      </c>
    </row>
    <row r="523">
      <c r="A523" s="2" t="n">
        <v>46176</v>
      </c>
      <c r="B523" s="3" t="inlineStr">
        <is>
          <t>INV-2606-0522</t>
        </is>
      </c>
      <c r="C523" s="3" t="inlineStr">
        <is>
          <t>Dubey Kirana</t>
        </is>
      </c>
      <c r="D523" s="3" t="inlineStr">
        <is>
          <t>Dish Soap 500ml</t>
        </is>
      </c>
      <c r="E523" s="3" t="inlineStr">
        <is>
          <t>Household</t>
        </is>
      </c>
      <c r="F523" s="4" t="n">
        <v>5</v>
      </c>
      <c r="G523" s="5" t="n">
        <v>98.84</v>
      </c>
      <c r="H523" s="5">
        <f>F523*G523</f>
        <v/>
      </c>
      <c r="I523" s="5">
        <f>F523*VLOOKUP(D523,Products!$B$2:$E$13,3,FALSE)</f>
        <v/>
      </c>
    </row>
    <row r="524">
      <c r="A524" s="2" t="n">
        <v>46177</v>
      </c>
      <c r="B524" s="3" t="inlineStr">
        <is>
          <t>INV-2606-0523</t>
        </is>
      </c>
      <c r="C524" s="3" t="inlineStr">
        <is>
          <t>Ali General Store</t>
        </is>
      </c>
      <c r="D524" s="3" t="inlineStr">
        <is>
          <t>Floor Cleaner 1L</t>
        </is>
      </c>
      <c r="E524" s="3" t="inlineStr">
        <is>
          <t>Household</t>
        </is>
      </c>
      <c r="F524" s="4" t="n">
        <v>46</v>
      </c>
      <c r="G524" s="5" t="n">
        <v>112.51</v>
      </c>
      <c r="H524" s="5">
        <f>F524*G524</f>
        <v/>
      </c>
      <c r="I524" s="5">
        <f>F524*VLOOKUP(D524,Products!$B$2:$E$13,3,FALSE)</f>
        <v/>
      </c>
    </row>
    <row r="525">
      <c r="A525" s="2" t="n">
        <v>46177</v>
      </c>
      <c r="B525" s="3" t="inlineStr">
        <is>
          <t>INV-2606-0524</t>
        </is>
      </c>
      <c r="C525" s="3" t="inlineStr">
        <is>
          <t>Mishra Stores</t>
        </is>
      </c>
      <c r="D525" s="3" t="inlineStr">
        <is>
          <t>Dish Soap 500ml</t>
        </is>
      </c>
      <c r="E525" s="3" t="inlineStr">
        <is>
          <t>Household</t>
        </is>
      </c>
      <c r="F525" s="4" t="n">
        <v>35</v>
      </c>
      <c r="G525" s="5" t="n">
        <v>99.12</v>
      </c>
      <c r="H525" s="5">
        <f>F525*G525</f>
        <v/>
      </c>
      <c r="I525" s="5">
        <f>F525*VLOOKUP(D525,Products!$B$2:$E$13,3,FALSE)</f>
        <v/>
      </c>
    </row>
    <row r="526">
      <c r="A526" s="2" t="n">
        <v>46177</v>
      </c>
      <c r="B526" s="3" t="inlineStr">
        <is>
          <t>INV-2606-0525</t>
        </is>
      </c>
      <c r="C526" s="3" t="inlineStr">
        <is>
          <t>Das &amp; Sons</t>
        </is>
      </c>
      <c r="D526" s="3" t="inlineStr">
        <is>
          <t>Floor Cleaner 1L</t>
        </is>
      </c>
      <c r="E526" s="3" t="inlineStr">
        <is>
          <t>Household</t>
        </is>
      </c>
      <c r="F526" s="4" t="n">
        <v>11</v>
      </c>
      <c r="G526" s="5" t="n">
        <v>110.97</v>
      </c>
      <c r="H526" s="5">
        <f>F526*G526</f>
        <v/>
      </c>
      <c r="I526" s="5">
        <f>F526*VLOOKUP(D526,Products!$B$2:$E$13,3,FALSE)</f>
        <v/>
      </c>
    </row>
    <row r="527">
      <c r="A527" s="2" t="n">
        <v>46177</v>
      </c>
      <c r="B527" s="3" t="inlineStr">
        <is>
          <t>INV-2606-0526</t>
        </is>
      </c>
      <c r="C527" s="3" t="inlineStr">
        <is>
          <t>Sinha Super Mart</t>
        </is>
      </c>
      <c r="D527" s="3" t="inlineStr">
        <is>
          <t>Paneer 200g</t>
        </is>
      </c>
      <c r="E527" s="3" t="inlineStr">
        <is>
          <t>Dairy</t>
        </is>
      </c>
      <c r="F527" s="4" t="n">
        <v>36</v>
      </c>
      <c r="G527" s="5" t="n">
        <v>92.70999999999999</v>
      </c>
      <c r="H527" s="5">
        <f>F527*G527</f>
        <v/>
      </c>
      <c r="I527" s="5">
        <f>F527*VLOOKUP(D527,Products!$B$2:$E$13,3,FALSE)</f>
        <v/>
      </c>
    </row>
    <row r="528">
      <c r="A528" s="2" t="n">
        <v>46177</v>
      </c>
      <c r="B528" s="3" t="inlineStr">
        <is>
          <t>INV-2606-0527</t>
        </is>
      </c>
      <c r="C528" s="3" t="inlineStr">
        <is>
          <t>Mehta Retail</t>
        </is>
      </c>
      <c r="D528" s="3" t="inlineStr">
        <is>
          <t>Packaged Water 1L</t>
        </is>
      </c>
      <c r="E528" s="3" t="inlineStr">
        <is>
          <t>Beverages</t>
        </is>
      </c>
      <c r="F528" s="4" t="n">
        <v>26</v>
      </c>
      <c r="G528" s="5" t="n">
        <v>20.22</v>
      </c>
      <c r="H528" s="5">
        <f>F528*G528</f>
        <v/>
      </c>
      <c r="I528" s="5">
        <f>F528*VLOOKUP(D528,Products!$B$2:$E$13,3,FALSE)</f>
        <v/>
      </c>
    </row>
    <row r="529">
      <c r="A529" s="2" t="n">
        <v>46177</v>
      </c>
      <c r="B529" s="3" t="inlineStr">
        <is>
          <t>INV-2606-0528</t>
        </is>
      </c>
      <c r="C529" s="3" t="inlineStr">
        <is>
          <t>Rai Daily Mart</t>
        </is>
      </c>
      <c r="D529" s="3" t="inlineStr">
        <is>
          <t>Paneer 200g</t>
        </is>
      </c>
      <c r="E529" s="3" t="inlineStr">
        <is>
          <t>Dairy</t>
        </is>
      </c>
      <c r="F529" s="4" t="n">
        <v>50</v>
      </c>
      <c r="G529" s="5" t="n">
        <v>96.28</v>
      </c>
      <c r="H529" s="5">
        <f>F529*G529</f>
        <v/>
      </c>
      <c r="I529" s="5">
        <f>F529*VLOOKUP(D529,Products!$B$2:$E$13,3,FALSE)</f>
        <v/>
      </c>
    </row>
    <row r="530">
      <c r="A530" s="2" t="n">
        <v>46177</v>
      </c>
      <c r="B530" s="3" t="inlineStr">
        <is>
          <t>INV-2606-0529</t>
        </is>
      </c>
      <c r="C530" s="3" t="inlineStr">
        <is>
          <t>Prasad Traders</t>
        </is>
      </c>
      <c r="D530" s="3" t="inlineStr">
        <is>
          <t>Potato Chips 150g</t>
        </is>
      </c>
      <c r="E530" s="3" t="inlineStr">
        <is>
          <t>Snacks</t>
        </is>
      </c>
      <c r="F530" s="4" t="n">
        <v>62</v>
      </c>
      <c r="G530" s="5" t="n">
        <v>49.44</v>
      </c>
      <c r="H530" s="5">
        <f>F530*G530</f>
        <v/>
      </c>
      <c r="I530" s="5">
        <f>F530*VLOOKUP(D530,Products!$B$2:$E$13,3,FALSE)</f>
        <v/>
      </c>
    </row>
    <row r="531">
      <c r="A531" s="2" t="n">
        <v>46178</v>
      </c>
      <c r="B531" s="3" t="inlineStr">
        <is>
          <t>INV-2606-0530</t>
        </is>
      </c>
      <c r="C531" s="3" t="inlineStr">
        <is>
          <t>Tiwari General</t>
        </is>
      </c>
      <c r="D531" s="3" t="inlineStr">
        <is>
          <t>Toned Milk 1L</t>
        </is>
      </c>
      <c r="E531" s="3" t="inlineStr">
        <is>
          <t>Dairy</t>
        </is>
      </c>
      <c r="F531" s="4" t="n">
        <v>77</v>
      </c>
      <c r="G531" s="5" t="n">
        <v>64.43000000000001</v>
      </c>
      <c r="H531" s="5">
        <f>F531*G531</f>
        <v/>
      </c>
      <c r="I531" s="5">
        <f>F531*VLOOKUP(D531,Products!$B$2:$E$13,3,FALSE)</f>
        <v/>
      </c>
    </row>
    <row r="532">
      <c r="A532" s="2" t="n">
        <v>46178</v>
      </c>
      <c r="B532" s="3" t="inlineStr">
        <is>
          <t>INV-2606-0531</t>
        </is>
      </c>
      <c r="C532" s="3" t="inlineStr">
        <is>
          <t>Patel Traders</t>
        </is>
      </c>
      <c r="D532" s="3" t="inlineStr">
        <is>
          <t>Instant Noodles 280g</t>
        </is>
      </c>
      <c r="E532" s="3" t="inlineStr">
        <is>
          <t>Snacks</t>
        </is>
      </c>
      <c r="F532" s="4" t="n">
        <v>39</v>
      </c>
      <c r="G532" s="5" t="n">
        <v>54.96</v>
      </c>
      <c r="H532" s="5">
        <f>F532*G532</f>
        <v/>
      </c>
      <c r="I532" s="5">
        <f>F532*VLOOKUP(D532,Products!$B$2:$E$13,3,FALSE)</f>
        <v/>
      </c>
    </row>
    <row r="533">
      <c r="A533" s="2" t="n">
        <v>46178</v>
      </c>
      <c r="B533" s="3" t="inlineStr">
        <is>
          <t>INV-2606-0532</t>
        </is>
      </c>
      <c r="C533" s="3" t="inlineStr">
        <is>
          <t>Kumari Kirana</t>
        </is>
      </c>
      <c r="D533" s="3" t="inlineStr">
        <is>
          <t>Floor Cleaner 1L</t>
        </is>
      </c>
      <c r="E533" s="3" t="inlineStr">
        <is>
          <t>Household</t>
        </is>
      </c>
      <c r="F533" s="4" t="n">
        <v>68</v>
      </c>
      <c r="G533" s="5" t="n">
        <v>115.37</v>
      </c>
      <c r="H533" s="5">
        <f>F533*G533</f>
        <v/>
      </c>
      <c r="I533" s="5">
        <f>F533*VLOOKUP(D533,Products!$B$2:$E$13,3,FALSE)</f>
        <v/>
      </c>
    </row>
    <row r="534">
      <c r="A534" s="2" t="n">
        <v>46178</v>
      </c>
      <c r="B534" s="3" t="inlineStr">
        <is>
          <t>INV-2606-0533</t>
        </is>
      </c>
      <c r="C534" s="3" t="inlineStr">
        <is>
          <t>Rai Daily Mart</t>
        </is>
      </c>
      <c r="D534" s="3" t="inlineStr">
        <is>
          <t>Paneer 200g</t>
        </is>
      </c>
      <c r="E534" s="3" t="inlineStr">
        <is>
          <t>Dairy</t>
        </is>
      </c>
      <c r="F534" s="4" t="n">
        <v>41</v>
      </c>
      <c r="G534" s="5" t="n">
        <v>94.84999999999999</v>
      </c>
      <c r="H534" s="5">
        <f>F534*G534</f>
        <v/>
      </c>
      <c r="I534" s="5">
        <f>F534*VLOOKUP(D534,Products!$B$2:$E$13,3,FALSE)</f>
        <v/>
      </c>
    </row>
    <row r="535">
      <c r="A535" s="2" t="n">
        <v>46178</v>
      </c>
      <c r="B535" s="3" t="inlineStr">
        <is>
          <t>INV-2606-0534</t>
        </is>
      </c>
      <c r="C535" s="3" t="inlineStr">
        <is>
          <t>Raza Brothers</t>
        </is>
      </c>
      <c r="D535" s="3" t="inlineStr">
        <is>
          <t>Biscuits 400g</t>
        </is>
      </c>
      <c r="E535" s="3" t="inlineStr">
        <is>
          <t>Snacks</t>
        </is>
      </c>
      <c r="F535" s="4" t="n">
        <v>4</v>
      </c>
      <c r="G535" s="5" t="n">
        <v>40.49</v>
      </c>
      <c r="H535" s="5">
        <f>F535*G535</f>
        <v/>
      </c>
      <c r="I535" s="5">
        <f>F535*VLOOKUP(D535,Products!$B$2:$E$13,3,FALSE)</f>
        <v/>
      </c>
    </row>
    <row r="536">
      <c r="A536" s="2" t="n">
        <v>46178</v>
      </c>
      <c r="B536" s="3" t="inlineStr">
        <is>
          <t>INV-2606-0535</t>
        </is>
      </c>
      <c r="C536" s="3" t="inlineStr">
        <is>
          <t>Khan Mart</t>
        </is>
      </c>
      <c r="D536" s="3" t="inlineStr">
        <is>
          <t>Detergent 1kg</t>
        </is>
      </c>
      <c r="E536" s="3" t="inlineStr">
        <is>
          <t>Household</t>
        </is>
      </c>
      <c r="F536" s="4" t="n">
        <v>8</v>
      </c>
      <c r="G536" s="5" t="n">
        <v>129.05</v>
      </c>
      <c r="H536" s="5">
        <f>F536*G536</f>
        <v/>
      </c>
      <c r="I536" s="5">
        <f>F536*VLOOKUP(D536,Products!$B$2:$E$13,3,FALSE)</f>
        <v/>
      </c>
    </row>
    <row r="537">
      <c r="A537" s="2" t="n">
        <v>46178</v>
      </c>
      <c r="B537" s="3" t="inlineStr">
        <is>
          <t>INV-2606-0536</t>
        </is>
      </c>
      <c r="C537" s="3" t="inlineStr">
        <is>
          <t>Nath Provisions</t>
        </is>
      </c>
      <c r="D537" s="3" t="inlineStr">
        <is>
          <t>Mango Juice 1L</t>
        </is>
      </c>
      <c r="E537" s="3" t="inlineStr">
        <is>
          <t>Beverages</t>
        </is>
      </c>
      <c r="F537" s="4" t="n">
        <v>6</v>
      </c>
      <c r="G537" s="5" t="n">
        <v>122.64</v>
      </c>
      <c r="H537" s="5">
        <f>F537*G537</f>
        <v/>
      </c>
      <c r="I537" s="5">
        <f>F537*VLOOKUP(D537,Products!$B$2:$E$13,3,FALSE)</f>
        <v/>
      </c>
    </row>
    <row r="538">
      <c r="A538" s="2" t="n">
        <v>46178</v>
      </c>
      <c r="B538" s="3" t="inlineStr">
        <is>
          <t>INV-2606-0537</t>
        </is>
      </c>
      <c r="C538" s="3" t="inlineStr">
        <is>
          <t>Bhatt General Store</t>
        </is>
      </c>
      <c r="D538" s="3" t="inlineStr">
        <is>
          <t>Curd Cup 400g</t>
        </is>
      </c>
      <c r="E538" s="3" t="inlineStr">
        <is>
          <t>Dairy</t>
        </is>
      </c>
      <c r="F538" s="4" t="n">
        <v>70</v>
      </c>
      <c r="G538" s="5" t="n">
        <v>46.92</v>
      </c>
      <c r="H538" s="5">
        <f>F538*G538</f>
        <v/>
      </c>
      <c r="I538" s="5">
        <f>F538*VLOOKUP(D538,Products!$B$2:$E$13,3,FALSE)</f>
        <v/>
      </c>
    </row>
    <row r="539">
      <c r="A539" s="2" t="n">
        <v>46178</v>
      </c>
      <c r="B539" s="3" t="inlineStr">
        <is>
          <t>INV-2606-0538</t>
        </is>
      </c>
      <c r="C539" s="3" t="inlineStr">
        <is>
          <t>Khan Mart</t>
        </is>
      </c>
      <c r="D539" s="3" t="inlineStr">
        <is>
          <t>Dish Soap 500ml</t>
        </is>
      </c>
      <c r="E539" s="3" t="inlineStr">
        <is>
          <t>Household</t>
        </is>
      </c>
      <c r="F539" s="4" t="n">
        <v>57</v>
      </c>
      <c r="G539" s="5" t="n">
        <v>103.72</v>
      </c>
      <c r="H539" s="5">
        <f>F539*G539</f>
        <v/>
      </c>
      <c r="I539" s="5">
        <f>F539*VLOOKUP(D539,Products!$B$2:$E$13,3,FALSE)</f>
        <v/>
      </c>
    </row>
    <row r="540">
      <c r="A540" s="2" t="n">
        <v>46178</v>
      </c>
      <c r="B540" s="3" t="inlineStr">
        <is>
          <t>INV-2606-0539</t>
        </is>
      </c>
      <c r="C540" s="3" t="inlineStr">
        <is>
          <t>Azad Stores</t>
        </is>
      </c>
      <c r="D540" s="3" t="inlineStr">
        <is>
          <t>Instant Noodles 280g</t>
        </is>
      </c>
      <c r="E540" s="3" t="inlineStr">
        <is>
          <t>Snacks</t>
        </is>
      </c>
      <c r="F540" s="4" t="n">
        <v>17</v>
      </c>
      <c r="G540" s="5" t="n">
        <v>56.91</v>
      </c>
      <c r="H540" s="5">
        <f>F540*G540</f>
        <v/>
      </c>
      <c r="I540" s="5">
        <f>F540*VLOOKUP(D540,Products!$B$2:$E$13,3,FALSE)</f>
        <v/>
      </c>
    </row>
    <row r="541">
      <c r="A541" s="2" t="n">
        <v>46178</v>
      </c>
      <c r="B541" s="3" t="inlineStr">
        <is>
          <t>INV-2606-0540</t>
        </is>
      </c>
      <c r="C541" s="3" t="inlineStr">
        <is>
          <t>Tiwari General</t>
        </is>
      </c>
      <c r="D541" s="3" t="inlineStr">
        <is>
          <t>Toned Milk 1L</t>
        </is>
      </c>
      <c r="E541" s="3" t="inlineStr">
        <is>
          <t>Dairy</t>
        </is>
      </c>
      <c r="F541" s="4" t="n">
        <v>10</v>
      </c>
      <c r="G541" s="5" t="n">
        <v>66.38</v>
      </c>
      <c r="H541" s="5">
        <f>F541*G541</f>
        <v/>
      </c>
      <c r="I541" s="5">
        <f>F541*VLOOKUP(D541,Products!$B$2:$E$13,3,FALSE)</f>
        <v/>
      </c>
    </row>
    <row r="542">
      <c r="A542" s="2" t="n">
        <v>46179</v>
      </c>
      <c r="B542" s="3" t="inlineStr">
        <is>
          <t>INV-2606-0541</t>
        </is>
      </c>
      <c r="C542" s="3" t="inlineStr">
        <is>
          <t>Verma Retail</t>
        </is>
      </c>
      <c r="D542" s="3" t="inlineStr">
        <is>
          <t>Detergent 1kg</t>
        </is>
      </c>
      <c r="E542" s="3" t="inlineStr">
        <is>
          <t>Household</t>
        </is>
      </c>
      <c r="F542" s="4" t="n">
        <v>122</v>
      </c>
      <c r="G542" s="5" t="n">
        <v>126.75</v>
      </c>
      <c r="H542" s="5">
        <f>F542*G542</f>
        <v/>
      </c>
      <c r="I542" s="5">
        <f>F542*VLOOKUP(D542,Products!$B$2:$E$13,3,FALSE)</f>
        <v/>
      </c>
    </row>
    <row r="543">
      <c r="A543" s="2" t="n">
        <v>46179</v>
      </c>
      <c r="B543" s="3" t="inlineStr">
        <is>
          <t>INV-2606-0542</t>
        </is>
      </c>
      <c r="C543" s="3" t="inlineStr">
        <is>
          <t>Pandey Stores</t>
        </is>
      </c>
      <c r="D543" s="3" t="inlineStr">
        <is>
          <t>Instant Noodles 280g</t>
        </is>
      </c>
      <c r="E543" s="3" t="inlineStr">
        <is>
          <t>Snacks</t>
        </is>
      </c>
      <c r="F543" s="4" t="n">
        <v>29</v>
      </c>
      <c r="G543" s="5" t="n">
        <v>57.81</v>
      </c>
      <c r="H543" s="5">
        <f>F543*G543</f>
        <v/>
      </c>
      <c r="I543" s="5">
        <f>F543*VLOOKUP(D543,Products!$B$2:$E$13,3,FALSE)</f>
        <v/>
      </c>
    </row>
    <row r="544">
      <c r="A544" s="2" t="n">
        <v>46179</v>
      </c>
      <c r="B544" s="3" t="inlineStr">
        <is>
          <t>INV-2606-0543</t>
        </is>
      </c>
      <c r="C544" s="3" t="inlineStr">
        <is>
          <t>Mehta Retail</t>
        </is>
      </c>
      <c r="D544" s="3" t="inlineStr">
        <is>
          <t>Cola 750ml</t>
        </is>
      </c>
      <c r="E544" s="3" t="inlineStr">
        <is>
          <t>Beverages</t>
        </is>
      </c>
      <c r="F544" s="4" t="n">
        <v>53</v>
      </c>
      <c r="G544" s="5" t="n">
        <v>45.82</v>
      </c>
      <c r="H544" s="5">
        <f>F544*G544</f>
        <v/>
      </c>
      <c r="I544" s="5">
        <f>F544*VLOOKUP(D544,Products!$B$2:$E$13,3,FALSE)</f>
        <v/>
      </c>
    </row>
    <row r="545">
      <c r="A545" s="2" t="n">
        <v>46179</v>
      </c>
      <c r="B545" s="3" t="inlineStr">
        <is>
          <t>INV-2606-0544</t>
        </is>
      </c>
      <c r="C545" s="3" t="inlineStr">
        <is>
          <t>Sinha Super Mart</t>
        </is>
      </c>
      <c r="D545" s="3" t="inlineStr">
        <is>
          <t>Packaged Water 1L</t>
        </is>
      </c>
      <c r="E545" s="3" t="inlineStr">
        <is>
          <t>Beverages</t>
        </is>
      </c>
      <c r="F545" s="4" t="n">
        <v>78</v>
      </c>
      <c r="G545" s="5" t="n">
        <v>20.93</v>
      </c>
      <c r="H545" s="5">
        <f>F545*G545</f>
        <v/>
      </c>
      <c r="I545" s="5">
        <f>F545*VLOOKUP(D545,Products!$B$2:$E$13,3,FALSE)</f>
        <v/>
      </c>
    </row>
    <row r="546">
      <c r="A546" s="2" t="n">
        <v>46179</v>
      </c>
      <c r="B546" s="3" t="inlineStr">
        <is>
          <t>INV-2606-0545</t>
        </is>
      </c>
      <c r="C546" s="3" t="inlineStr">
        <is>
          <t>Sharma Provision</t>
        </is>
      </c>
      <c r="D546" s="3" t="inlineStr">
        <is>
          <t>Biscuits 400g</t>
        </is>
      </c>
      <c r="E546" s="3" t="inlineStr">
        <is>
          <t>Snacks</t>
        </is>
      </c>
      <c r="F546" s="4" t="n">
        <v>54</v>
      </c>
      <c r="G546" s="5" t="n">
        <v>39.15</v>
      </c>
      <c r="H546" s="5">
        <f>F546*G546</f>
        <v/>
      </c>
      <c r="I546" s="5">
        <f>F546*VLOOKUP(D546,Products!$B$2:$E$13,3,FALSE)</f>
        <v/>
      </c>
    </row>
    <row r="547">
      <c r="A547" s="2" t="n">
        <v>46179</v>
      </c>
      <c r="B547" s="3" t="inlineStr">
        <is>
          <t>INV-2606-0546</t>
        </is>
      </c>
      <c r="C547" s="3" t="inlineStr">
        <is>
          <t>Gupta General Store</t>
        </is>
      </c>
      <c r="D547" s="3" t="inlineStr">
        <is>
          <t>Biscuits 400g</t>
        </is>
      </c>
      <c r="E547" s="3" t="inlineStr">
        <is>
          <t>Snacks</t>
        </is>
      </c>
      <c r="F547" s="4" t="n">
        <v>79</v>
      </c>
      <c r="G547" s="5" t="n">
        <v>40.76</v>
      </c>
      <c r="H547" s="5">
        <f>F547*G547</f>
        <v/>
      </c>
      <c r="I547" s="5">
        <f>F547*VLOOKUP(D547,Products!$B$2:$E$13,3,FALSE)</f>
        <v/>
      </c>
    </row>
    <row r="548">
      <c r="A548" s="2" t="n">
        <v>46179</v>
      </c>
      <c r="B548" s="3" t="inlineStr">
        <is>
          <t>INV-2606-0547</t>
        </is>
      </c>
      <c r="C548" s="3" t="inlineStr">
        <is>
          <t>Sahu Traders</t>
        </is>
      </c>
      <c r="D548" s="3" t="inlineStr">
        <is>
          <t>Paneer 200g</t>
        </is>
      </c>
      <c r="E548" s="3" t="inlineStr">
        <is>
          <t>Dairy</t>
        </is>
      </c>
      <c r="F548" s="4" t="n">
        <v>65</v>
      </c>
      <c r="G548" s="5" t="n">
        <v>92.31999999999999</v>
      </c>
      <c r="H548" s="5">
        <f>F548*G548</f>
        <v/>
      </c>
      <c r="I548" s="5">
        <f>F548*VLOOKUP(D548,Products!$B$2:$E$13,3,FALSE)</f>
        <v/>
      </c>
    </row>
    <row r="549">
      <c r="A549" s="2" t="n">
        <v>46179</v>
      </c>
      <c r="B549" s="3" t="inlineStr">
        <is>
          <t>INV-2606-0548</t>
        </is>
      </c>
      <c r="C549" s="3" t="inlineStr">
        <is>
          <t>Bhatt General Store</t>
        </is>
      </c>
      <c r="D549" s="3" t="inlineStr">
        <is>
          <t>Dish Soap 500ml</t>
        </is>
      </c>
      <c r="E549" s="3" t="inlineStr">
        <is>
          <t>Household</t>
        </is>
      </c>
      <c r="F549" s="4" t="n">
        <v>16</v>
      </c>
      <c r="G549" s="5" t="n">
        <v>96.70999999999999</v>
      </c>
      <c r="H549" s="5">
        <f>F549*G549</f>
        <v/>
      </c>
      <c r="I549" s="5">
        <f>F549*VLOOKUP(D549,Products!$B$2:$E$13,3,FALSE)</f>
        <v/>
      </c>
    </row>
    <row r="550">
      <c r="A550" s="2" t="n">
        <v>46179</v>
      </c>
      <c r="B550" s="3" t="inlineStr">
        <is>
          <t>INV-2606-0549</t>
        </is>
      </c>
      <c r="C550" s="3" t="inlineStr">
        <is>
          <t>Jha Provisions</t>
        </is>
      </c>
      <c r="D550" s="3" t="inlineStr">
        <is>
          <t>Biscuits 400g</t>
        </is>
      </c>
      <c r="E550" s="3" t="inlineStr">
        <is>
          <t>Snacks</t>
        </is>
      </c>
      <c r="F550" s="4" t="n">
        <v>67</v>
      </c>
      <c r="G550" s="5" t="n">
        <v>41.43</v>
      </c>
      <c r="H550" s="5">
        <f>F550*G550</f>
        <v/>
      </c>
      <c r="I550" s="5">
        <f>F550*VLOOKUP(D550,Products!$B$2:$E$13,3,FALSE)</f>
        <v/>
      </c>
    </row>
    <row r="551">
      <c r="A551" s="2" t="n">
        <v>46179</v>
      </c>
      <c r="B551" s="3" t="inlineStr">
        <is>
          <t>INV-2606-0550</t>
        </is>
      </c>
      <c r="C551" s="3" t="inlineStr">
        <is>
          <t>Prasad Traders</t>
        </is>
      </c>
      <c r="D551" s="3" t="inlineStr">
        <is>
          <t>Floor Cleaner 1L</t>
        </is>
      </c>
      <c r="E551" s="3" t="inlineStr">
        <is>
          <t>Household</t>
        </is>
      </c>
      <c r="F551" s="4" t="n">
        <v>54</v>
      </c>
      <c r="G551" s="5" t="n">
        <v>109.98</v>
      </c>
      <c r="H551" s="5">
        <f>F551*G551</f>
        <v/>
      </c>
      <c r="I551" s="5">
        <f>F551*VLOOKUP(D551,Products!$B$2:$E$13,3,FALSE)</f>
        <v/>
      </c>
    </row>
    <row r="552">
      <c r="A552" s="2" t="n">
        <v>46180</v>
      </c>
      <c r="B552" s="3" t="inlineStr">
        <is>
          <t>INV-2606-0551</t>
        </is>
      </c>
      <c r="C552" s="3" t="inlineStr">
        <is>
          <t>Khan Mart</t>
        </is>
      </c>
      <c r="D552" s="3" t="inlineStr">
        <is>
          <t>Detergent 1kg</t>
        </is>
      </c>
      <c r="E552" s="3" t="inlineStr">
        <is>
          <t>Household</t>
        </is>
      </c>
      <c r="F552" s="4" t="n">
        <v>55</v>
      </c>
      <c r="G552" s="5" t="n">
        <v>130.17</v>
      </c>
      <c r="H552" s="5">
        <f>F552*G552</f>
        <v/>
      </c>
      <c r="I552" s="5">
        <f>F552*VLOOKUP(D552,Products!$B$2:$E$13,3,FALSE)</f>
        <v/>
      </c>
    </row>
    <row r="553">
      <c r="A553" s="2" t="n">
        <v>46180</v>
      </c>
      <c r="B553" s="3" t="inlineStr">
        <is>
          <t>INV-2606-0552</t>
        </is>
      </c>
      <c r="C553" s="3" t="inlineStr">
        <is>
          <t>Khan Mart</t>
        </is>
      </c>
      <c r="D553" s="3" t="inlineStr">
        <is>
          <t>Instant Noodles 280g</t>
        </is>
      </c>
      <c r="E553" s="3" t="inlineStr">
        <is>
          <t>Snacks</t>
        </is>
      </c>
      <c r="F553" s="4" t="n">
        <v>6</v>
      </c>
      <c r="G553" s="5" t="n">
        <v>54.44</v>
      </c>
      <c r="H553" s="5">
        <f>F553*G553</f>
        <v/>
      </c>
      <c r="I553" s="5">
        <f>F553*VLOOKUP(D553,Products!$B$2:$E$13,3,FALSE)</f>
        <v/>
      </c>
    </row>
    <row r="554">
      <c r="A554" s="2" t="n">
        <v>46180</v>
      </c>
      <c r="B554" s="3" t="inlineStr">
        <is>
          <t>INV-2606-0553</t>
        </is>
      </c>
      <c r="C554" s="3" t="inlineStr">
        <is>
          <t>Das &amp; Sons</t>
        </is>
      </c>
      <c r="D554" s="3" t="inlineStr">
        <is>
          <t>Cola 750ml</t>
        </is>
      </c>
      <c r="E554" s="3" t="inlineStr">
        <is>
          <t>Beverages</t>
        </is>
      </c>
      <c r="F554" s="4" t="n">
        <v>59</v>
      </c>
      <c r="G554" s="5" t="n">
        <v>46.75</v>
      </c>
      <c r="H554" s="5">
        <f>F554*G554</f>
        <v/>
      </c>
      <c r="I554" s="5">
        <f>F554*VLOOKUP(D554,Products!$B$2:$E$13,3,FALSE)</f>
        <v/>
      </c>
    </row>
    <row r="555">
      <c r="A555" s="2" t="n">
        <v>46180</v>
      </c>
      <c r="B555" s="3" t="inlineStr">
        <is>
          <t>INV-2606-0554</t>
        </is>
      </c>
      <c r="C555" s="3" t="inlineStr">
        <is>
          <t>Rai Daily Mart</t>
        </is>
      </c>
      <c r="D555" s="3" t="inlineStr">
        <is>
          <t>Dish Soap 500ml</t>
        </is>
      </c>
      <c r="E555" s="3" t="inlineStr">
        <is>
          <t>Household</t>
        </is>
      </c>
      <c r="F555" s="4" t="n">
        <v>23</v>
      </c>
      <c r="G555" s="5" t="n">
        <v>100.56</v>
      </c>
      <c r="H555" s="5">
        <f>F555*G555</f>
        <v/>
      </c>
      <c r="I555" s="5">
        <f>F555*VLOOKUP(D555,Products!$B$2:$E$13,3,FALSE)</f>
        <v/>
      </c>
    </row>
    <row r="556">
      <c r="A556" s="2" t="n">
        <v>46180</v>
      </c>
      <c r="B556" s="3" t="inlineStr">
        <is>
          <t>INV-2606-0555</t>
        </is>
      </c>
      <c r="C556" s="3" t="inlineStr">
        <is>
          <t>Mehta Retail</t>
        </is>
      </c>
      <c r="D556" s="3" t="inlineStr">
        <is>
          <t>Potato Chips 150g</t>
        </is>
      </c>
      <c r="E556" s="3" t="inlineStr">
        <is>
          <t>Snacks</t>
        </is>
      </c>
      <c r="F556" s="4" t="n">
        <v>57</v>
      </c>
      <c r="G556" s="5" t="n">
        <v>48.53</v>
      </c>
      <c r="H556" s="5">
        <f>F556*G556</f>
        <v/>
      </c>
      <c r="I556" s="5">
        <f>F556*VLOOKUP(D556,Products!$B$2:$E$13,3,FALSE)</f>
        <v/>
      </c>
    </row>
    <row r="557">
      <c r="A557" s="2" t="n">
        <v>46180</v>
      </c>
      <c r="B557" s="3" t="inlineStr">
        <is>
          <t>INV-2606-0556</t>
        </is>
      </c>
      <c r="C557" s="3" t="inlineStr">
        <is>
          <t>Nath Provisions</t>
        </is>
      </c>
      <c r="D557" s="3" t="inlineStr">
        <is>
          <t>Paneer 200g</t>
        </is>
      </c>
      <c r="E557" s="3" t="inlineStr">
        <is>
          <t>Dairy</t>
        </is>
      </c>
      <c r="F557" s="4" t="n">
        <v>58</v>
      </c>
      <c r="G557" s="5" t="n">
        <v>97.86</v>
      </c>
      <c r="H557" s="5">
        <f>F557*G557</f>
        <v/>
      </c>
      <c r="I557" s="5">
        <f>F557*VLOOKUP(D557,Products!$B$2:$E$13,3,FALSE)</f>
        <v/>
      </c>
    </row>
    <row r="558">
      <c r="A558" s="2" t="n">
        <v>46180</v>
      </c>
      <c r="B558" s="3" t="inlineStr">
        <is>
          <t>INV-2606-0557</t>
        </is>
      </c>
      <c r="C558" s="3" t="inlineStr">
        <is>
          <t>Azad Stores</t>
        </is>
      </c>
      <c r="D558" s="3" t="inlineStr">
        <is>
          <t>Cola 750ml</t>
        </is>
      </c>
      <c r="E558" s="3" t="inlineStr">
        <is>
          <t>Beverages</t>
        </is>
      </c>
      <c r="F558" s="4" t="n">
        <v>129</v>
      </c>
      <c r="G558" s="5" t="n">
        <v>46.65</v>
      </c>
      <c r="H558" s="5">
        <f>F558*G558</f>
        <v/>
      </c>
      <c r="I558" s="5">
        <f>F558*VLOOKUP(D558,Products!$B$2:$E$13,3,FALSE)</f>
        <v/>
      </c>
    </row>
    <row r="559">
      <c r="A559" s="2" t="n">
        <v>46181</v>
      </c>
      <c r="B559" s="3" t="inlineStr">
        <is>
          <t>INV-2606-0558</t>
        </is>
      </c>
      <c r="C559" s="3" t="inlineStr">
        <is>
          <t>Tiwari General</t>
        </is>
      </c>
      <c r="D559" s="3" t="inlineStr">
        <is>
          <t>Instant Noodles 280g</t>
        </is>
      </c>
      <c r="E559" s="3" t="inlineStr">
        <is>
          <t>Snacks</t>
        </is>
      </c>
      <c r="F559" s="4" t="n">
        <v>86</v>
      </c>
      <c r="G559" s="5" t="n">
        <v>56.59</v>
      </c>
      <c r="H559" s="5">
        <f>F559*G559</f>
        <v/>
      </c>
      <c r="I559" s="5">
        <f>F559*VLOOKUP(D559,Products!$B$2:$E$13,3,FALSE)</f>
        <v/>
      </c>
    </row>
    <row r="560">
      <c r="A560" s="2" t="n">
        <v>46181</v>
      </c>
      <c r="B560" s="3" t="inlineStr">
        <is>
          <t>INV-2606-0559</t>
        </is>
      </c>
      <c r="C560" s="3" t="inlineStr">
        <is>
          <t>Raza Brothers</t>
        </is>
      </c>
      <c r="D560" s="3" t="inlineStr">
        <is>
          <t>Floor Cleaner 1L</t>
        </is>
      </c>
      <c r="E560" s="3" t="inlineStr">
        <is>
          <t>Household</t>
        </is>
      </c>
      <c r="F560" s="4" t="n">
        <v>51</v>
      </c>
      <c r="G560" s="5" t="n">
        <v>108.69</v>
      </c>
      <c r="H560" s="5">
        <f>F560*G560</f>
        <v/>
      </c>
      <c r="I560" s="5">
        <f>F560*VLOOKUP(D560,Products!$B$2:$E$13,3,FALSE)</f>
        <v/>
      </c>
    </row>
    <row r="561">
      <c r="A561" s="2" t="n">
        <v>46181</v>
      </c>
      <c r="B561" s="3" t="inlineStr">
        <is>
          <t>INV-2606-0560</t>
        </is>
      </c>
      <c r="C561" s="3" t="inlineStr">
        <is>
          <t>Prasad Traders</t>
        </is>
      </c>
      <c r="D561" s="3" t="inlineStr">
        <is>
          <t>Floor Cleaner 1L</t>
        </is>
      </c>
      <c r="E561" s="3" t="inlineStr">
        <is>
          <t>Household</t>
        </is>
      </c>
      <c r="F561" s="4" t="n">
        <v>26</v>
      </c>
      <c r="G561" s="5" t="n">
        <v>108.13</v>
      </c>
      <c r="H561" s="5">
        <f>F561*G561</f>
        <v/>
      </c>
      <c r="I561" s="5">
        <f>F561*VLOOKUP(D561,Products!$B$2:$E$13,3,FALSE)</f>
        <v/>
      </c>
    </row>
    <row r="562">
      <c r="A562" s="2" t="n">
        <v>46181</v>
      </c>
      <c r="B562" s="3" t="inlineStr">
        <is>
          <t>INV-2606-0561</t>
        </is>
      </c>
      <c r="C562" s="3" t="inlineStr">
        <is>
          <t>Rai Daily Mart</t>
        </is>
      </c>
      <c r="D562" s="3" t="inlineStr">
        <is>
          <t>Instant Noodles 280g</t>
        </is>
      </c>
      <c r="E562" s="3" t="inlineStr">
        <is>
          <t>Snacks</t>
        </is>
      </c>
      <c r="F562" s="4" t="n">
        <v>5</v>
      </c>
      <c r="G562" s="5" t="n">
        <v>57.45</v>
      </c>
      <c r="H562" s="5">
        <f>F562*G562</f>
        <v/>
      </c>
      <c r="I562" s="5">
        <f>F562*VLOOKUP(D562,Products!$B$2:$E$13,3,FALSE)</f>
        <v/>
      </c>
    </row>
    <row r="563">
      <c r="A563" s="2" t="n">
        <v>46181</v>
      </c>
      <c r="B563" s="3" t="inlineStr">
        <is>
          <t>INV-2606-0562</t>
        </is>
      </c>
      <c r="C563" s="3" t="inlineStr">
        <is>
          <t>Raza Brothers</t>
        </is>
      </c>
      <c r="D563" s="3" t="inlineStr">
        <is>
          <t>Floor Cleaner 1L</t>
        </is>
      </c>
      <c r="E563" s="3" t="inlineStr">
        <is>
          <t>Household</t>
        </is>
      </c>
      <c r="F563" s="4" t="n">
        <v>27</v>
      </c>
      <c r="G563" s="5" t="n">
        <v>110.68</v>
      </c>
      <c r="H563" s="5">
        <f>F563*G563</f>
        <v/>
      </c>
      <c r="I563" s="5">
        <f>F563*VLOOKUP(D563,Products!$B$2:$E$13,3,FALSE)</f>
        <v/>
      </c>
    </row>
    <row r="564">
      <c r="A564" s="2" t="n">
        <v>46181</v>
      </c>
      <c r="B564" s="3" t="inlineStr">
        <is>
          <t>INV-2606-0563</t>
        </is>
      </c>
      <c r="C564" s="3" t="inlineStr">
        <is>
          <t>Bhatt General Store</t>
        </is>
      </c>
      <c r="D564" s="3" t="inlineStr">
        <is>
          <t>Potato Chips 150g</t>
        </is>
      </c>
      <c r="E564" s="3" t="inlineStr">
        <is>
          <t>Snacks</t>
        </is>
      </c>
      <c r="F564" s="4" t="n">
        <v>59</v>
      </c>
      <c r="G564" s="5" t="n">
        <v>49.95</v>
      </c>
      <c r="H564" s="5">
        <f>F564*G564</f>
        <v/>
      </c>
      <c r="I564" s="5">
        <f>F564*VLOOKUP(D564,Products!$B$2:$E$13,3,FALSE)</f>
        <v/>
      </c>
    </row>
    <row r="565">
      <c r="A565" s="2" t="n">
        <v>46181</v>
      </c>
      <c r="B565" s="3" t="inlineStr">
        <is>
          <t>INV-2606-0564</t>
        </is>
      </c>
      <c r="C565" s="3" t="inlineStr">
        <is>
          <t>Yadav Daily Needs</t>
        </is>
      </c>
      <c r="D565" s="3" t="inlineStr">
        <is>
          <t>Packaged Water 1L</t>
        </is>
      </c>
      <c r="E565" s="3" t="inlineStr">
        <is>
          <t>Beverages</t>
        </is>
      </c>
      <c r="F565" s="4" t="n">
        <v>15</v>
      </c>
      <c r="G565" s="5" t="n">
        <v>19.69</v>
      </c>
      <c r="H565" s="5">
        <f>F565*G565</f>
        <v/>
      </c>
      <c r="I565" s="5">
        <f>F565*VLOOKUP(D565,Products!$B$2:$E$13,3,FALSE)</f>
        <v/>
      </c>
    </row>
    <row r="566">
      <c r="A566" s="2" t="n">
        <v>46181</v>
      </c>
      <c r="B566" s="3" t="inlineStr">
        <is>
          <t>INV-2606-0565</t>
        </is>
      </c>
      <c r="C566" s="3" t="inlineStr">
        <is>
          <t>Dubey Kirana</t>
        </is>
      </c>
      <c r="D566" s="3" t="inlineStr">
        <is>
          <t>Paneer 200g</t>
        </is>
      </c>
      <c r="E566" s="3" t="inlineStr">
        <is>
          <t>Dairy</t>
        </is>
      </c>
      <c r="F566" s="4" t="n">
        <v>22</v>
      </c>
      <c r="G566" s="5" t="n">
        <v>93.36</v>
      </c>
      <c r="H566" s="5">
        <f>F566*G566</f>
        <v/>
      </c>
      <c r="I566" s="5">
        <f>F566*VLOOKUP(D566,Products!$B$2:$E$13,3,FALSE)</f>
        <v/>
      </c>
    </row>
    <row r="567">
      <c r="A567" s="2" t="n">
        <v>46182</v>
      </c>
      <c r="B567" s="3" t="inlineStr">
        <is>
          <t>INV-2606-0566</t>
        </is>
      </c>
      <c r="C567" s="3" t="inlineStr">
        <is>
          <t>Prasad Traders</t>
        </is>
      </c>
      <c r="D567" s="3" t="inlineStr">
        <is>
          <t>Instant Noodles 280g</t>
        </is>
      </c>
      <c r="E567" s="3" t="inlineStr">
        <is>
          <t>Snacks</t>
        </is>
      </c>
      <c r="F567" s="4" t="n">
        <v>75</v>
      </c>
      <c r="G567" s="5" t="n">
        <v>56.06</v>
      </c>
      <c r="H567" s="5">
        <f>F567*G567</f>
        <v/>
      </c>
      <c r="I567" s="5">
        <f>F567*VLOOKUP(D567,Products!$B$2:$E$13,3,FALSE)</f>
        <v/>
      </c>
    </row>
    <row r="568">
      <c r="A568" s="2" t="n">
        <v>46182</v>
      </c>
      <c r="B568" s="3" t="inlineStr">
        <is>
          <t>INV-2606-0567</t>
        </is>
      </c>
      <c r="C568" s="3" t="inlineStr">
        <is>
          <t>Pandey Stores</t>
        </is>
      </c>
      <c r="D568" s="3" t="inlineStr">
        <is>
          <t>Curd Cup 400g</t>
        </is>
      </c>
      <c r="E568" s="3" t="inlineStr">
        <is>
          <t>Dairy</t>
        </is>
      </c>
      <c r="F568" s="4" t="n">
        <v>88</v>
      </c>
      <c r="G568" s="5" t="n">
        <v>44.65</v>
      </c>
      <c r="H568" s="5">
        <f>F568*G568</f>
        <v/>
      </c>
      <c r="I568" s="5">
        <f>F568*VLOOKUP(D568,Products!$B$2:$E$13,3,FALSE)</f>
        <v/>
      </c>
    </row>
    <row r="569">
      <c r="A569" s="2" t="n">
        <v>46182</v>
      </c>
      <c r="B569" s="3" t="inlineStr">
        <is>
          <t>INV-2606-0568</t>
        </is>
      </c>
      <c r="C569" s="3" t="inlineStr">
        <is>
          <t>Das &amp; Sons</t>
        </is>
      </c>
      <c r="D569" s="3" t="inlineStr">
        <is>
          <t>Floor Cleaner 1L</t>
        </is>
      </c>
      <c r="E569" s="3" t="inlineStr">
        <is>
          <t>Household</t>
        </is>
      </c>
      <c r="F569" s="4" t="n">
        <v>70</v>
      </c>
      <c r="G569" s="5" t="n">
        <v>107.62</v>
      </c>
      <c r="H569" s="5">
        <f>F569*G569</f>
        <v/>
      </c>
      <c r="I569" s="5">
        <f>F569*VLOOKUP(D569,Products!$B$2:$E$13,3,FALSE)</f>
        <v/>
      </c>
    </row>
    <row r="570">
      <c r="A570" s="2" t="n">
        <v>46182</v>
      </c>
      <c r="B570" s="3" t="inlineStr">
        <is>
          <t>INV-2606-0569</t>
        </is>
      </c>
      <c r="C570" s="3" t="inlineStr">
        <is>
          <t>Dubey Kirana</t>
        </is>
      </c>
      <c r="D570" s="3" t="inlineStr">
        <is>
          <t>Paneer 200g</t>
        </is>
      </c>
      <c r="E570" s="3" t="inlineStr">
        <is>
          <t>Dairy</t>
        </is>
      </c>
      <c r="F570" s="4" t="n">
        <v>62</v>
      </c>
      <c r="G570" s="5" t="n">
        <v>99.2</v>
      </c>
      <c r="H570" s="5">
        <f>F570*G570</f>
        <v/>
      </c>
      <c r="I570" s="5">
        <f>F570*VLOOKUP(D570,Products!$B$2:$E$13,3,FALSE)</f>
        <v/>
      </c>
    </row>
    <row r="571">
      <c r="A571" s="2" t="n">
        <v>46182</v>
      </c>
      <c r="B571" s="3" t="inlineStr">
        <is>
          <t>INV-2606-0570</t>
        </is>
      </c>
      <c r="C571" s="3" t="inlineStr">
        <is>
          <t>Choudhary Mart</t>
        </is>
      </c>
      <c r="D571" s="3" t="inlineStr">
        <is>
          <t>Paneer 200g</t>
        </is>
      </c>
      <c r="E571" s="3" t="inlineStr">
        <is>
          <t>Dairy</t>
        </is>
      </c>
      <c r="F571" s="4" t="n">
        <v>56</v>
      </c>
      <c r="G571" s="5" t="n">
        <v>93.26000000000001</v>
      </c>
      <c r="H571" s="5">
        <f>F571*G571</f>
        <v/>
      </c>
      <c r="I571" s="5">
        <f>F571*VLOOKUP(D571,Products!$B$2:$E$13,3,FALSE)</f>
        <v/>
      </c>
    </row>
    <row r="572">
      <c r="A572" s="2" t="n">
        <v>46182</v>
      </c>
      <c r="B572" s="3" t="inlineStr">
        <is>
          <t>INV-2606-0571</t>
        </is>
      </c>
      <c r="C572" s="3" t="inlineStr">
        <is>
          <t>Das &amp; Sons</t>
        </is>
      </c>
      <c r="D572" s="3" t="inlineStr">
        <is>
          <t>Toned Milk 1L</t>
        </is>
      </c>
      <c r="E572" s="3" t="inlineStr">
        <is>
          <t>Dairy</t>
        </is>
      </c>
      <c r="F572" s="4" t="n">
        <v>66</v>
      </c>
      <c r="G572" s="5" t="n">
        <v>68.43000000000001</v>
      </c>
      <c r="H572" s="5">
        <f>F572*G572</f>
        <v/>
      </c>
      <c r="I572" s="5">
        <f>F572*VLOOKUP(D572,Products!$B$2:$E$13,3,FALSE)</f>
        <v/>
      </c>
    </row>
    <row r="573">
      <c r="A573" s="2" t="n">
        <v>46182</v>
      </c>
      <c r="B573" s="3" t="inlineStr">
        <is>
          <t>INV-2606-0572</t>
        </is>
      </c>
      <c r="C573" s="3" t="inlineStr">
        <is>
          <t>Nath Provisions</t>
        </is>
      </c>
      <c r="D573" s="3" t="inlineStr">
        <is>
          <t>Paneer 200g</t>
        </is>
      </c>
      <c r="E573" s="3" t="inlineStr">
        <is>
          <t>Dairy</t>
        </is>
      </c>
      <c r="F573" s="4" t="n">
        <v>65</v>
      </c>
      <c r="G573" s="5" t="n">
        <v>96.42</v>
      </c>
      <c r="H573" s="5">
        <f>F573*G573</f>
        <v/>
      </c>
      <c r="I573" s="5">
        <f>F573*VLOOKUP(D573,Products!$B$2:$E$13,3,FALSE)</f>
        <v/>
      </c>
    </row>
    <row r="574">
      <c r="A574" s="2" t="n">
        <v>46182</v>
      </c>
      <c r="B574" s="3" t="inlineStr">
        <is>
          <t>INV-2606-0573</t>
        </is>
      </c>
      <c r="C574" s="3" t="inlineStr">
        <is>
          <t>Rai Daily Mart</t>
        </is>
      </c>
      <c r="D574" s="3" t="inlineStr">
        <is>
          <t>Curd Cup 400g</t>
        </is>
      </c>
      <c r="E574" s="3" t="inlineStr">
        <is>
          <t>Dairy</t>
        </is>
      </c>
      <c r="F574" s="4" t="n">
        <v>19</v>
      </c>
      <c r="G574" s="5" t="n">
        <v>46.57</v>
      </c>
      <c r="H574" s="5">
        <f>F574*G574</f>
        <v/>
      </c>
      <c r="I574" s="5">
        <f>F574*VLOOKUP(D574,Products!$B$2:$E$13,3,FALSE)</f>
        <v/>
      </c>
    </row>
    <row r="575">
      <c r="A575" s="2" t="n">
        <v>46182</v>
      </c>
      <c r="B575" s="3" t="inlineStr">
        <is>
          <t>INV-2606-0574</t>
        </is>
      </c>
      <c r="C575" s="3" t="inlineStr">
        <is>
          <t>Verma Retail</t>
        </is>
      </c>
      <c r="D575" s="3" t="inlineStr">
        <is>
          <t>Dish Soap 500ml</t>
        </is>
      </c>
      <c r="E575" s="3" t="inlineStr">
        <is>
          <t>Household</t>
        </is>
      </c>
      <c r="F575" s="4" t="n">
        <v>7</v>
      </c>
      <c r="G575" s="5" t="n">
        <v>99.53</v>
      </c>
      <c r="H575" s="5">
        <f>F575*G575</f>
        <v/>
      </c>
      <c r="I575" s="5">
        <f>F575*VLOOKUP(D575,Products!$B$2:$E$13,3,FALSE)</f>
        <v/>
      </c>
    </row>
    <row r="576">
      <c r="A576" s="2" t="n">
        <v>46182</v>
      </c>
      <c r="B576" s="3" t="inlineStr">
        <is>
          <t>INV-2606-0575</t>
        </is>
      </c>
      <c r="C576" s="3" t="inlineStr">
        <is>
          <t>Sinha Super Mart</t>
        </is>
      </c>
      <c r="D576" s="3" t="inlineStr">
        <is>
          <t>Potato Chips 150g</t>
        </is>
      </c>
      <c r="E576" s="3" t="inlineStr">
        <is>
          <t>Snacks</t>
        </is>
      </c>
      <c r="F576" s="4" t="n">
        <v>41</v>
      </c>
      <c r="G576" s="5" t="n">
        <v>50.34</v>
      </c>
      <c r="H576" s="5">
        <f>F576*G576</f>
        <v/>
      </c>
      <c r="I576" s="5">
        <f>F576*VLOOKUP(D576,Products!$B$2:$E$13,3,FALSE)</f>
        <v/>
      </c>
    </row>
    <row r="577">
      <c r="A577" s="2" t="n">
        <v>46183</v>
      </c>
      <c r="B577" s="3" t="inlineStr">
        <is>
          <t>INV-2606-0576</t>
        </is>
      </c>
      <c r="C577" s="3" t="inlineStr">
        <is>
          <t>Sahu Traders</t>
        </is>
      </c>
      <c r="D577" s="3" t="inlineStr">
        <is>
          <t>Mango Juice 1L</t>
        </is>
      </c>
      <c r="E577" s="3" t="inlineStr">
        <is>
          <t>Beverages</t>
        </is>
      </c>
      <c r="F577" s="4" t="n">
        <v>38</v>
      </c>
      <c r="G577" s="5" t="n">
        <v>122.15</v>
      </c>
      <c r="H577" s="5">
        <f>F577*G577</f>
        <v/>
      </c>
      <c r="I577" s="5">
        <f>F577*VLOOKUP(D577,Products!$B$2:$E$13,3,FALSE)</f>
        <v/>
      </c>
    </row>
    <row r="578">
      <c r="A578" s="2" t="n">
        <v>46183</v>
      </c>
      <c r="B578" s="3" t="inlineStr">
        <is>
          <t>INV-2606-0577</t>
        </is>
      </c>
      <c r="C578" s="3" t="inlineStr">
        <is>
          <t>Sinha Super Mart</t>
        </is>
      </c>
      <c r="D578" s="3" t="inlineStr">
        <is>
          <t>Detergent 1kg</t>
        </is>
      </c>
      <c r="E578" s="3" t="inlineStr">
        <is>
          <t>Household</t>
        </is>
      </c>
      <c r="F578" s="4" t="n">
        <v>8</v>
      </c>
      <c r="G578" s="5" t="n">
        <v>129.94</v>
      </c>
      <c r="H578" s="5">
        <f>F578*G578</f>
        <v/>
      </c>
      <c r="I578" s="5">
        <f>F578*VLOOKUP(D578,Products!$B$2:$E$13,3,FALSE)</f>
        <v/>
      </c>
    </row>
    <row r="579">
      <c r="A579" s="2" t="n">
        <v>46183</v>
      </c>
      <c r="B579" s="3" t="inlineStr">
        <is>
          <t>INV-2606-0578</t>
        </is>
      </c>
      <c r="C579" s="3" t="inlineStr">
        <is>
          <t>Khan Mart</t>
        </is>
      </c>
      <c r="D579" s="3" t="inlineStr">
        <is>
          <t>Mango Juice 1L</t>
        </is>
      </c>
      <c r="E579" s="3" t="inlineStr">
        <is>
          <t>Beverages</t>
        </is>
      </c>
      <c r="F579" s="4" t="n">
        <v>33</v>
      </c>
      <c r="G579" s="5" t="n">
        <v>120.32</v>
      </c>
      <c r="H579" s="5">
        <f>F579*G579</f>
        <v/>
      </c>
      <c r="I579" s="5">
        <f>F579*VLOOKUP(D579,Products!$B$2:$E$13,3,FALSE)</f>
        <v/>
      </c>
    </row>
    <row r="580">
      <c r="A580" s="2" t="n">
        <v>46183</v>
      </c>
      <c r="B580" s="3" t="inlineStr">
        <is>
          <t>INV-2606-0579</t>
        </is>
      </c>
      <c r="C580" s="3" t="inlineStr">
        <is>
          <t>Mehta Retail</t>
        </is>
      </c>
      <c r="D580" s="3" t="inlineStr">
        <is>
          <t>Toned Milk 1L</t>
        </is>
      </c>
      <c r="E580" s="3" t="inlineStr">
        <is>
          <t>Dairy</t>
        </is>
      </c>
      <c r="F580" s="4" t="n">
        <v>27</v>
      </c>
      <c r="G580" s="5" t="n">
        <v>69.11</v>
      </c>
      <c r="H580" s="5">
        <f>F580*G580</f>
        <v/>
      </c>
      <c r="I580" s="5">
        <f>F580*VLOOKUP(D580,Products!$B$2:$E$13,3,FALSE)</f>
        <v/>
      </c>
    </row>
    <row r="581">
      <c r="A581" s="2" t="n">
        <v>46183</v>
      </c>
      <c r="B581" s="3" t="inlineStr">
        <is>
          <t>INV-2606-0580</t>
        </is>
      </c>
      <c r="C581" s="3" t="inlineStr">
        <is>
          <t>Verma Retail</t>
        </is>
      </c>
      <c r="D581" s="3" t="inlineStr">
        <is>
          <t>Mango Juice 1L</t>
        </is>
      </c>
      <c r="E581" s="3" t="inlineStr">
        <is>
          <t>Beverages</t>
        </is>
      </c>
      <c r="F581" s="4" t="n">
        <v>55</v>
      </c>
      <c r="G581" s="5" t="n">
        <v>119.56</v>
      </c>
      <c r="H581" s="5">
        <f>F581*G581</f>
        <v/>
      </c>
      <c r="I581" s="5">
        <f>F581*VLOOKUP(D581,Products!$B$2:$E$13,3,FALSE)</f>
        <v/>
      </c>
    </row>
    <row r="582">
      <c r="A582" s="2" t="n">
        <v>46183</v>
      </c>
      <c r="B582" s="3" t="inlineStr">
        <is>
          <t>INV-2606-0581</t>
        </is>
      </c>
      <c r="C582" s="3" t="inlineStr">
        <is>
          <t>Ali General Store</t>
        </is>
      </c>
      <c r="D582" s="3" t="inlineStr">
        <is>
          <t>Dish Soap 500ml</t>
        </is>
      </c>
      <c r="E582" s="3" t="inlineStr">
        <is>
          <t>Household</t>
        </is>
      </c>
      <c r="F582" s="4" t="n">
        <v>7</v>
      </c>
      <c r="G582" s="5" t="n">
        <v>96.92</v>
      </c>
      <c r="H582" s="5">
        <f>F582*G582</f>
        <v/>
      </c>
      <c r="I582" s="5">
        <f>F582*VLOOKUP(D582,Products!$B$2:$E$13,3,FALSE)</f>
        <v/>
      </c>
    </row>
    <row r="583">
      <c r="A583" s="2" t="n">
        <v>46183</v>
      </c>
      <c r="B583" s="3" t="inlineStr">
        <is>
          <t>INV-2606-0582</t>
        </is>
      </c>
      <c r="C583" s="3" t="inlineStr">
        <is>
          <t>Sharma Provision</t>
        </is>
      </c>
      <c r="D583" s="3" t="inlineStr">
        <is>
          <t>Dish Soap 500ml</t>
        </is>
      </c>
      <c r="E583" s="3" t="inlineStr">
        <is>
          <t>Household</t>
        </is>
      </c>
      <c r="F583" s="4" t="n">
        <v>76</v>
      </c>
      <c r="G583" s="5" t="n">
        <v>103.35</v>
      </c>
      <c r="H583" s="5">
        <f>F583*G583</f>
        <v/>
      </c>
      <c r="I583" s="5">
        <f>F583*VLOOKUP(D583,Products!$B$2:$E$13,3,FALSE)</f>
        <v/>
      </c>
    </row>
    <row r="584">
      <c r="A584" s="2" t="n">
        <v>46184</v>
      </c>
      <c r="B584" s="3" t="inlineStr">
        <is>
          <t>INV-2606-0583</t>
        </is>
      </c>
      <c r="C584" s="3" t="inlineStr">
        <is>
          <t>Rai Daily Mart</t>
        </is>
      </c>
      <c r="D584" s="3" t="inlineStr">
        <is>
          <t>Potato Chips 150g</t>
        </is>
      </c>
      <c r="E584" s="3" t="inlineStr">
        <is>
          <t>Snacks</t>
        </is>
      </c>
      <c r="F584" s="4" t="n">
        <v>37</v>
      </c>
      <c r="G584" s="5" t="n">
        <v>50.69</v>
      </c>
      <c r="H584" s="5">
        <f>F584*G584</f>
        <v/>
      </c>
      <c r="I584" s="5">
        <f>F584*VLOOKUP(D584,Products!$B$2:$E$13,3,FALSE)</f>
        <v/>
      </c>
    </row>
    <row r="585">
      <c r="A585" s="2" t="n">
        <v>46184</v>
      </c>
      <c r="B585" s="3" t="inlineStr">
        <is>
          <t>INV-2606-0584</t>
        </is>
      </c>
      <c r="C585" s="3" t="inlineStr">
        <is>
          <t>Sinha Super Mart</t>
        </is>
      </c>
      <c r="D585" s="3" t="inlineStr">
        <is>
          <t>Cola 750ml</t>
        </is>
      </c>
      <c r="E585" s="3" t="inlineStr">
        <is>
          <t>Beverages</t>
        </is>
      </c>
      <c r="F585" s="4" t="n">
        <v>16</v>
      </c>
      <c r="G585" s="5" t="n">
        <v>44.59</v>
      </c>
      <c r="H585" s="5">
        <f>F585*G585</f>
        <v/>
      </c>
      <c r="I585" s="5">
        <f>F585*VLOOKUP(D585,Products!$B$2:$E$13,3,FALSE)</f>
        <v/>
      </c>
    </row>
    <row r="586">
      <c r="A586" s="2" t="n">
        <v>46184</v>
      </c>
      <c r="B586" s="3" t="inlineStr">
        <is>
          <t>INV-2606-0585</t>
        </is>
      </c>
      <c r="C586" s="3" t="inlineStr">
        <is>
          <t>Patel Traders</t>
        </is>
      </c>
      <c r="D586" s="3" t="inlineStr">
        <is>
          <t>Potato Chips 150g</t>
        </is>
      </c>
      <c r="E586" s="3" t="inlineStr">
        <is>
          <t>Snacks</t>
        </is>
      </c>
      <c r="F586" s="4" t="n">
        <v>57</v>
      </c>
      <c r="G586" s="5" t="n">
        <v>51.93</v>
      </c>
      <c r="H586" s="5">
        <f>F586*G586</f>
        <v/>
      </c>
      <c r="I586" s="5">
        <f>F586*VLOOKUP(D586,Products!$B$2:$E$13,3,FALSE)</f>
        <v/>
      </c>
    </row>
    <row r="587">
      <c r="A587" s="2" t="n">
        <v>46184</v>
      </c>
      <c r="B587" s="3" t="inlineStr">
        <is>
          <t>INV-2606-0586</t>
        </is>
      </c>
      <c r="C587" s="3" t="inlineStr">
        <is>
          <t>Choudhary Mart</t>
        </is>
      </c>
      <c r="D587" s="3" t="inlineStr">
        <is>
          <t>Cola 750ml</t>
        </is>
      </c>
      <c r="E587" s="3" t="inlineStr">
        <is>
          <t>Beverages</t>
        </is>
      </c>
      <c r="F587" s="4" t="n">
        <v>26</v>
      </c>
      <c r="G587" s="5" t="n">
        <v>47.24</v>
      </c>
      <c r="H587" s="5">
        <f>F587*G587</f>
        <v/>
      </c>
      <c r="I587" s="5">
        <f>F587*VLOOKUP(D587,Products!$B$2:$E$13,3,FALSE)</f>
        <v/>
      </c>
    </row>
    <row r="588">
      <c r="A588" s="2" t="n">
        <v>46184</v>
      </c>
      <c r="B588" s="3" t="inlineStr">
        <is>
          <t>INV-2606-0587</t>
        </is>
      </c>
      <c r="C588" s="3" t="inlineStr">
        <is>
          <t>Prasad Traders</t>
        </is>
      </c>
      <c r="D588" s="3" t="inlineStr">
        <is>
          <t>Curd Cup 400g</t>
        </is>
      </c>
      <c r="E588" s="3" t="inlineStr">
        <is>
          <t>Dairy</t>
        </is>
      </c>
      <c r="F588" s="4" t="n">
        <v>33</v>
      </c>
      <c r="G588" s="5" t="n">
        <v>46.41</v>
      </c>
      <c r="H588" s="5">
        <f>F588*G588</f>
        <v/>
      </c>
      <c r="I588" s="5">
        <f>F588*VLOOKUP(D588,Products!$B$2:$E$13,3,FALSE)</f>
        <v/>
      </c>
    </row>
    <row r="589">
      <c r="A589" s="2" t="n">
        <v>46184</v>
      </c>
      <c r="B589" s="3" t="inlineStr">
        <is>
          <t>INV-2606-0588</t>
        </is>
      </c>
      <c r="C589" s="3" t="inlineStr">
        <is>
          <t>Rai Daily Mart</t>
        </is>
      </c>
      <c r="D589" s="3" t="inlineStr">
        <is>
          <t>Floor Cleaner 1L</t>
        </is>
      </c>
      <c r="E589" s="3" t="inlineStr">
        <is>
          <t>Household</t>
        </is>
      </c>
      <c r="F589" s="4" t="n">
        <v>44</v>
      </c>
      <c r="G589" s="5" t="n">
        <v>111.63</v>
      </c>
      <c r="H589" s="5">
        <f>F589*G589</f>
        <v/>
      </c>
      <c r="I589" s="5">
        <f>F589*VLOOKUP(D589,Products!$B$2:$E$13,3,FALSE)</f>
        <v/>
      </c>
    </row>
    <row r="590">
      <c r="A590" s="2" t="n">
        <v>46184</v>
      </c>
      <c r="B590" s="3" t="inlineStr">
        <is>
          <t>INV-2606-0589</t>
        </is>
      </c>
      <c r="C590" s="3" t="inlineStr">
        <is>
          <t>Dubey Kirana</t>
        </is>
      </c>
      <c r="D590" s="3" t="inlineStr">
        <is>
          <t>Floor Cleaner 1L</t>
        </is>
      </c>
      <c r="E590" s="3" t="inlineStr">
        <is>
          <t>Household</t>
        </is>
      </c>
      <c r="F590" s="4" t="n">
        <v>40</v>
      </c>
      <c r="G590" s="5" t="n">
        <v>112.04</v>
      </c>
      <c r="H590" s="5">
        <f>F590*G590</f>
        <v/>
      </c>
      <c r="I590" s="5">
        <f>F590*VLOOKUP(D590,Products!$B$2:$E$13,3,FALSE)</f>
        <v/>
      </c>
    </row>
    <row r="591">
      <c r="A591" s="2" t="n">
        <v>46184</v>
      </c>
      <c r="B591" s="3" t="inlineStr">
        <is>
          <t>INV-2606-0590</t>
        </is>
      </c>
      <c r="C591" s="3" t="inlineStr">
        <is>
          <t>Bhatt General Store</t>
        </is>
      </c>
      <c r="D591" s="3" t="inlineStr">
        <is>
          <t>Cola 750ml</t>
        </is>
      </c>
      <c r="E591" s="3" t="inlineStr">
        <is>
          <t>Beverages</t>
        </is>
      </c>
      <c r="F591" s="4" t="n">
        <v>82</v>
      </c>
      <c r="G591" s="5" t="n">
        <v>44.34</v>
      </c>
      <c r="H591" s="5">
        <f>F591*G591</f>
        <v/>
      </c>
      <c r="I591" s="5">
        <f>F591*VLOOKUP(D591,Products!$B$2:$E$13,3,FALSE)</f>
        <v/>
      </c>
    </row>
    <row r="592">
      <c r="A592" s="2" t="n">
        <v>46184</v>
      </c>
      <c r="B592" s="3" t="inlineStr">
        <is>
          <t>INV-2606-0591</t>
        </is>
      </c>
      <c r="C592" s="3" t="inlineStr">
        <is>
          <t>Khan Mart</t>
        </is>
      </c>
      <c r="D592" s="3" t="inlineStr">
        <is>
          <t>Detergent 1kg</t>
        </is>
      </c>
      <c r="E592" s="3" t="inlineStr">
        <is>
          <t>Household</t>
        </is>
      </c>
      <c r="F592" s="4" t="n">
        <v>44</v>
      </c>
      <c r="G592" s="5" t="n">
        <v>136.09</v>
      </c>
      <c r="H592" s="5">
        <f>F592*G592</f>
        <v/>
      </c>
      <c r="I592" s="5">
        <f>F592*VLOOKUP(D592,Products!$B$2:$E$13,3,FALSE)</f>
        <v/>
      </c>
    </row>
    <row r="593">
      <c r="A593" s="2" t="n">
        <v>46184</v>
      </c>
      <c r="B593" s="3" t="inlineStr">
        <is>
          <t>INV-2606-0592</t>
        </is>
      </c>
      <c r="C593" s="3" t="inlineStr">
        <is>
          <t>Gupta General Store</t>
        </is>
      </c>
      <c r="D593" s="3" t="inlineStr">
        <is>
          <t>Mango Juice 1L</t>
        </is>
      </c>
      <c r="E593" s="3" t="inlineStr">
        <is>
          <t>Beverages</t>
        </is>
      </c>
      <c r="F593" s="4" t="n">
        <v>106</v>
      </c>
      <c r="G593" s="5" t="n">
        <v>119.2</v>
      </c>
      <c r="H593" s="5">
        <f>F593*G593</f>
        <v/>
      </c>
      <c r="I593" s="5">
        <f>F593*VLOOKUP(D593,Products!$B$2:$E$13,3,FALSE)</f>
        <v/>
      </c>
    </row>
    <row r="594">
      <c r="A594" s="2" t="n">
        <v>46184</v>
      </c>
      <c r="B594" s="3" t="inlineStr">
        <is>
          <t>INV-2606-0593</t>
        </is>
      </c>
      <c r="C594" s="3" t="inlineStr">
        <is>
          <t>Sahu Traders</t>
        </is>
      </c>
      <c r="D594" s="3" t="inlineStr">
        <is>
          <t>Packaged Water 1L</t>
        </is>
      </c>
      <c r="E594" s="3" t="inlineStr">
        <is>
          <t>Beverages</t>
        </is>
      </c>
      <c r="F594" s="4" t="n">
        <v>11</v>
      </c>
      <c r="G594" s="5" t="n">
        <v>20.08</v>
      </c>
      <c r="H594" s="5">
        <f>F594*G594</f>
        <v/>
      </c>
      <c r="I594" s="5">
        <f>F594*VLOOKUP(D594,Products!$B$2:$E$13,3,FALSE)</f>
        <v/>
      </c>
    </row>
    <row r="595">
      <c r="A595" s="2" t="n">
        <v>46185</v>
      </c>
      <c r="B595" s="3" t="inlineStr">
        <is>
          <t>INV-2606-0594</t>
        </is>
      </c>
      <c r="C595" s="3" t="inlineStr">
        <is>
          <t>Yadav Daily Needs</t>
        </is>
      </c>
      <c r="D595" s="3" t="inlineStr">
        <is>
          <t>Cola 750ml</t>
        </is>
      </c>
      <c r="E595" s="3" t="inlineStr">
        <is>
          <t>Beverages</t>
        </is>
      </c>
      <c r="F595" s="4" t="n">
        <v>34</v>
      </c>
      <c r="G595" s="5" t="n">
        <v>45.76</v>
      </c>
      <c r="H595" s="5">
        <f>F595*G595</f>
        <v/>
      </c>
      <c r="I595" s="5">
        <f>F595*VLOOKUP(D595,Products!$B$2:$E$13,3,FALSE)</f>
        <v/>
      </c>
    </row>
    <row r="596">
      <c r="A596" s="2" t="n">
        <v>46185</v>
      </c>
      <c r="B596" s="3" t="inlineStr">
        <is>
          <t>INV-2606-0595</t>
        </is>
      </c>
      <c r="C596" s="3" t="inlineStr">
        <is>
          <t>Kumari Kirana</t>
        </is>
      </c>
      <c r="D596" s="3" t="inlineStr">
        <is>
          <t>Toned Milk 1L</t>
        </is>
      </c>
      <c r="E596" s="3" t="inlineStr">
        <is>
          <t>Dairy</t>
        </is>
      </c>
      <c r="F596" s="4" t="n">
        <v>82</v>
      </c>
      <c r="G596" s="5" t="n">
        <v>64.05</v>
      </c>
      <c r="H596" s="5">
        <f>F596*G596</f>
        <v/>
      </c>
      <c r="I596" s="5">
        <f>F596*VLOOKUP(D596,Products!$B$2:$E$13,3,FALSE)</f>
        <v/>
      </c>
    </row>
    <row r="597">
      <c r="A597" s="2" t="n">
        <v>46185</v>
      </c>
      <c r="B597" s="3" t="inlineStr">
        <is>
          <t>INV-2606-0596</t>
        </is>
      </c>
      <c r="C597" s="3" t="inlineStr">
        <is>
          <t>Yadav Daily Needs</t>
        </is>
      </c>
      <c r="D597" s="3" t="inlineStr">
        <is>
          <t>Instant Noodles 280g</t>
        </is>
      </c>
      <c r="E597" s="3" t="inlineStr">
        <is>
          <t>Snacks</t>
        </is>
      </c>
      <c r="F597" s="4" t="n">
        <v>50</v>
      </c>
      <c r="G597" s="5" t="n">
        <v>56.25</v>
      </c>
      <c r="H597" s="5">
        <f>F597*G597</f>
        <v/>
      </c>
      <c r="I597" s="5">
        <f>F597*VLOOKUP(D597,Products!$B$2:$E$13,3,FALSE)</f>
        <v/>
      </c>
    </row>
    <row r="598">
      <c r="A598" s="2" t="n">
        <v>46185</v>
      </c>
      <c r="B598" s="3" t="inlineStr">
        <is>
          <t>INV-2606-0597</t>
        </is>
      </c>
      <c r="C598" s="3" t="inlineStr">
        <is>
          <t>Bhatt General Store</t>
        </is>
      </c>
      <c r="D598" s="3" t="inlineStr">
        <is>
          <t>Instant Noodles 280g</t>
        </is>
      </c>
      <c r="E598" s="3" t="inlineStr">
        <is>
          <t>Snacks</t>
        </is>
      </c>
      <c r="F598" s="4" t="n">
        <v>30</v>
      </c>
      <c r="G598" s="5" t="n">
        <v>58.27</v>
      </c>
      <c r="H598" s="5">
        <f>F598*G598</f>
        <v/>
      </c>
      <c r="I598" s="5">
        <f>F598*VLOOKUP(D598,Products!$B$2:$E$13,3,FALSE)</f>
        <v/>
      </c>
    </row>
    <row r="599">
      <c r="A599" s="2" t="n">
        <v>46185</v>
      </c>
      <c r="B599" s="3" t="inlineStr">
        <is>
          <t>INV-2606-0598</t>
        </is>
      </c>
      <c r="C599" s="3" t="inlineStr">
        <is>
          <t>Mishra Stores</t>
        </is>
      </c>
      <c r="D599" s="3" t="inlineStr">
        <is>
          <t>Dish Soap 500ml</t>
        </is>
      </c>
      <c r="E599" s="3" t="inlineStr">
        <is>
          <t>Household</t>
        </is>
      </c>
      <c r="F599" s="4" t="n">
        <v>47</v>
      </c>
      <c r="G599" s="5" t="n">
        <v>100.16</v>
      </c>
      <c r="H599" s="5">
        <f>F599*G599</f>
        <v/>
      </c>
      <c r="I599" s="5">
        <f>F599*VLOOKUP(D599,Products!$B$2:$E$13,3,FALSE)</f>
        <v/>
      </c>
    </row>
    <row r="600">
      <c r="A600" s="2" t="n">
        <v>46185</v>
      </c>
      <c r="B600" s="3" t="inlineStr">
        <is>
          <t>INV-2606-0599</t>
        </is>
      </c>
      <c r="C600" s="3" t="inlineStr">
        <is>
          <t>Sharma Provision</t>
        </is>
      </c>
      <c r="D600" s="3" t="inlineStr">
        <is>
          <t>Curd Cup 400g</t>
        </is>
      </c>
      <c r="E600" s="3" t="inlineStr">
        <is>
          <t>Dairy</t>
        </is>
      </c>
      <c r="F600" s="4" t="n">
        <v>44</v>
      </c>
      <c r="G600" s="5" t="n">
        <v>43.88</v>
      </c>
      <c r="H600" s="5">
        <f>F600*G600</f>
        <v/>
      </c>
      <c r="I600" s="5">
        <f>F600*VLOOKUP(D600,Products!$B$2:$E$13,3,FALSE)</f>
        <v/>
      </c>
    </row>
    <row r="601">
      <c r="A601" s="2" t="n">
        <v>46185</v>
      </c>
      <c r="B601" s="3" t="inlineStr">
        <is>
          <t>INV-2606-0600</t>
        </is>
      </c>
      <c r="C601" s="3" t="inlineStr">
        <is>
          <t>Bhatt General Store</t>
        </is>
      </c>
      <c r="D601" s="3" t="inlineStr">
        <is>
          <t>Paneer 200g</t>
        </is>
      </c>
      <c r="E601" s="3" t="inlineStr">
        <is>
          <t>Dairy</t>
        </is>
      </c>
      <c r="F601" s="4" t="n">
        <v>41</v>
      </c>
      <c r="G601" s="5" t="n">
        <v>95.73</v>
      </c>
      <c r="H601" s="5">
        <f>F601*G601</f>
        <v/>
      </c>
      <c r="I601" s="5">
        <f>F601*VLOOKUP(D601,Products!$B$2:$E$13,3,FALSE)</f>
        <v/>
      </c>
    </row>
    <row r="602">
      <c r="A602" s="2" t="n">
        <v>46185</v>
      </c>
      <c r="B602" s="3" t="inlineStr">
        <is>
          <t>INV-2606-0601</t>
        </is>
      </c>
      <c r="C602" s="3" t="inlineStr">
        <is>
          <t>Pandey Stores</t>
        </is>
      </c>
      <c r="D602" s="3" t="inlineStr">
        <is>
          <t>Detergent 1kg</t>
        </is>
      </c>
      <c r="E602" s="3" t="inlineStr">
        <is>
          <t>Household</t>
        </is>
      </c>
      <c r="F602" s="4" t="n">
        <v>54</v>
      </c>
      <c r="G602" s="5" t="n">
        <v>132.98</v>
      </c>
      <c r="H602" s="5">
        <f>F602*G602</f>
        <v/>
      </c>
      <c r="I602" s="5">
        <f>F602*VLOOKUP(D602,Products!$B$2:$E$13,3,FALSE)</f>
        <v/>
      </c>
    </row>
    <row r="603">
      <c r="A603" s="2" t="n">
        <v>46185</v>
      </c>
      <c r="B603" s="3" t="inlineStr">
        <is>
          <t>INV-2606-0602</t>
        </is>
      </c>
      <c r="C603" s="3" t="inlineStr">
        <is>
          <t>Patel Traders</t>
        </is>
      </c>
      <c r="D603" s="3" t="inlineStr">
        <is>
          <t>Potato Chips 150g</t>
        </is>
      </c>
      <c r="E603" s="3" t="inlineStr">
        <is>
          <t>Snacks</t>
        </is>
      </c>
      <c r="F603" s="4" t="n">
        <v>66</v>
      </c>
      <c r="G603" s="5" t="n">
        <v>50.42</v>
      </c>
      <c r="H603" s="5">
        <f>F603*G603</f>
        <v/>
      </c>
      <c r="I603" s="5">
        <f>F603*VLOOKUP(D603,Products!$B$2:$E$13,3,FALSE)</f>
        <v/>
      </c>
    </row>
    <row r="604">
      <c r="A604" s="2" t="n">
        <v>46185</v>
      </c>
      <c r="B604" s="3" t="inlineStr">
        <is>
          <t>INV-2606-0603</t>
        </is>
      </c>
      <c r="C604" s="3" t="inlineStr">
        <is>
          <t>Sinha Super Mart</t>
        </is>
      </c>
      <c r="D604" s="3" t="inlineStr">
        <is>
          <t>Detergent 1kg</t>
        </is>
      </c>
      <c r="E604" s="3" t="inlineStr">
        <is>
          <t>Household</t>
        </is>
      </c>
      <c r="F604" s="4" t="n">
        <v>43</v>
      </c>
      <c r="G604" s="5" t="n">
        <v>127.23</v>
      </c>
      <c r="H604" s="5">
        <f>F604*G604</f>
        <v/>
      </c>
      <c r="I604" s="5">
        <f>F604*VLOOKUP(D604,Products!$B$2:$E$13,3,FALSE)</f>
        <v/>
      </c>
    </row>
    <row r="605">
      <c r="A605" s="2" t="n">
        <v>46185</v>
      </c>
      <c r="B605" s="3" t="inlineStr">
        <is>
          <t>INV-2606-0604</t>
        </is>
      </c>
      <c r="C605" s="3" t="inlineStr">
        <is>
          <t>Prasad Traders</t>
        </is>
      </c>
      <c r="D605" s="3" t="inlineStr">
        <is>
          <t>Biscuits 400g</t>
        </is>
      </c>
      <c r="E605" s="3" t="inlineStr">
        <is>
          <t>Snacks</t>
        </is>
      </c>
      <c r="F605" s="4" t="n">
        <v>15</v>
      </c>
      <c r="G605" s="5" t="n">
        <v>39.55</v>
      </c>
      <c r="H605" s="5">
        <f>F605*G605</f>
        <v/>
      </c>
      <c r="I605" s="5">
        <f>F605*VLOOKUP(D605,Products!$B$2:$E$13,3,FALSE)</f>
        <v/>
      </c>
    </row>
    <row r="606">
      <c r="A606" s="2" t="n">
        <v>46186</v>
      </c>
      <c r="B606" s="3" t="inlineStr">
        <is>
          <t>INV-2606-0605</t>
        </is>
      </c>
      <c r="C606" s="3" t="inlineStr">
        <is>
          <t>Yadav Daily Needs</t>
        </is>
      </c>
      <c r="D606" s="3" t="inlineStr">
        <is>
          <t>Cola 750ml</t>
        </is>
      </c>
      <c r="E606" s="3" t="inlineStr">
        <is>
          <t>Beverages</t>
        </is>
      </c>
      <c r="F606" s="4" t="n">
        <v>93</v>
      </c>
      <c r="G606" s="5" t="n">
        <v>47.2</v>
      </c>
      <c r="H606" s="5">
        <f>F606*G606</f>
        <v/>
      </c>
      <c r="I606" s="5">
        <f>F606*VLOOKUP(D606,Products!$B$2:$E$13,3,FALSE)</f>
        <v/>
      </c>
    </row>
    <row r="607">
      <c r="A607" s="2" t="n">
        <v>46186</v>
      </c>
      <c r="B607" s="3" t="inlineStr">
        <is>
          <t>INV-2606-0606</t>
        </is>
      </c>
      <c r="C607" s="3" t="inlineStr">
        <is>
          <t>Yadav Daily Needs</t>
        </is>
      </c>
      <c r="D607" s="3" t="inlineStr">
        <is>
          <t>Mango Juice 1L</t>
        </is>
      </c>
      <c r="E607" s="3" t="inlineStr">
        <is>
          <t>Beverages</t>
        </is>
      </c>
      <c r="F607" s="4" t="n">
        <v>84</v>
      </c>
      <c r="G607" s="5" t="n">
        <v>120.73</v>
      </c>
      <c r="H607" s="5">
        <f>F607*G607</f>
        <v/>
      </c>
      <c r="I607" s="5">
        <f>F607*VLOOKUP(D607,Products!$B$2:$E$13,3,FALSE)</f>
        <v/>
      </c>
    </row>
    <row r="608">
      <c r="A608" s="2" t="n">
        <v>46186</v>
      </c>
      <c r="B608" s="3" t="inlineStr">
        <is>
          <t>INV-2606-0607</t>
        </is>
      </c>
      <c r="C608" s="3" t="inlineStr">
        <is>
          <t>Sinha Super Mart</t>
        </is>
      </c>
      <c r="D608" s="3" t="inlineStr">
        <is>
          <t>Detergent 1kg</t>
        </is>
      </c>
      <c r="E608" s="3" t="inlineStr">
        <is>
          <t>Household</t>
        </is>
      </c>
      <c r="F608" s="4" t="n">
        <v>42</v>
      </c>
      <c r="G608" s="5" t="n">
        <v>130.59</v>
      </c>
      <c r="H608" s="5">
        <f>F608*G608</f>
        <v/>
      </c>
      <c r="I608" s="5">
        <f>F608*VLOOKUP(D608,Products!$B$2:$E$13,3,FALSE)</f>
        <v/>
      </c>
    </row>
    <row r="609">
      <c r="A609" s="2" t="n">
        <v>46186</v>
      </c>
      <c r="B609" s="3" t="inlineStr">
        <is>
          <t>INV-2606-0608</t>
        </is>
      </c>
      <c r="C609" s="3" t="inlineStr">
        <is>
          <t>Jha Provisions</t>
        </is>
      </c>
      <c r="D609" s="3" t="inlineStr">
        <is>
          <t>Packaged Water 1L</t>
        </is>
      </c>
      <c r="E609" s="3" t="inlineStr">
        <is>
          <t>Beverages</t>
        </is>
      </c>
      <c r="F609" s="4" t="n">
        <v>18</v>
      </c>
      <c r="G609" s="5" t="n">
        <v>20.52</v>
      </c>
      <c r="H609" s="5">
        <f>F609*G609</f>
        <v/>
      </c>
      <c r="I609" s="5">
        <f>F609*VLOOKUP(D609,Products!$B$2:$E$13,3,FALSE)</f>
        <v/>
      </c>
    </row>
    <row r="610">
      <c r="A610" s="2" t="n">
        <v>46186</v>
      </c>
      <c r="B610" s="3" t="inlineStr">
        <is>
          <t>INV-2606-0609</t>
        </is>
      </c>
      <c r="C610" s="3" t="inlineStr">
        <is>
          <t>Tiwari General</t>
        </is>
      </c>
      <c r="D610" s="3" t="inlineStr">
        <is>
          <t>Dish Soap 500ml</t>
        </is>
      </c>
      <c r="E610" s="3" t="inlineStr">
        <is>
          <t>Household</t>
        </is>
      </c>
      <c r="F610" s="4" t="n">
        <v>25</v>
      </c>
      <c r="G610" s="5" t="n">
        <v>96.16</v>
      </c>
      <c r="H610" s="5">
        <f>F610*G610</f>
        <v/>
      </c>
      <c r="I610" s="5">
        <f>F610*VLOOKUP(D610,Products!$B$2:$E$13,3,FALSE)</f>
        <v/>
      </c>
    </row>
    <row r="611">
      <c r="A611" s="2" t="n">
        <v>46186</v>
      </c>
      <c r="B611" s="3" t="inlineStr">
        <is>
          <t>INV-2606-0610</t>
        </is>
      </c>
      <c r="C611" s="3" t="inlineStr">
        <is>
          <t>Dubey Kirana</t>
        </is>
      </c>
      <c r="D611" s="3" t="inlineStr">
        <is>
          <t>Toned Milk 1L</t>
        </is>
      </c>
      <c r="E611" s="3" t="inlineStr">
        <is>
          <t>Dairy</t>
        </is>
      </c>
      <c r="F611" s="4" t="n">
        <v>36</v>
      </c>
      <c r="G611" s="5" t="n">
        <v>68.34</v>
      </c>
      <c r="H611" s="5">
        <f>F611*G611</f>
        <v/>
      </c>
      <c r="I611" s="5">
        <f>F611*VLOOKUP(D611,Products!$B$2:$E$13,3,FALSE)</f>
        <v/>
      </c>
    </row>
    <row r="612">
      <c r="A612" s="2" t="n">
        <v>46186</v>
      </c>
      <c r="B612" s="3" t="inlineStr">
        <is>
          <t>INV-2606-0611</t>
        </is>
      </c>
      <c r="C612" s="3" t="inlineStr">
        <is>
          <t>Pandey Stores</t>
        </is>
      </c>
      <c r="D612" s="3" t="inlineStr">
        <is>
          <t>Instant Noodles 280g</t>
        </is>
      </c>
      <c r="E612" s="3" t="inlineStr">
        <is>
          <t>Snacks</t>
        </is>
      </c>
      <c r="F612" s="4" t="n">
        <v>13</v>
      </c>
      <c r="G612" s="5" t="n">
        <v>54.52</v>
      </c>
      <c r="H612" s="5">
        <f>F612*G612</f>
        <v/>
      </c>
      <c r="I612" s="5">
        <f>F612*VLOOKUP(D612,Products!$B$2:$E$13,3,FALSE)</f>
        <v/>
      </c>
    </row>
    <row r="613">
      <c r="A613" s="2" t="n">
        <v>46186</v>
      </c>
      <c r="B613" s="3" t="inlineStr">
        <is>
          <t>INV-2606-0612</t>
        </is>
      </c>
      <c r="C613" s="3" t="inlineStr">
        <is>
          <t>Sinha Super Mart</t>
        </is>
      </c>
      <c r="D613" s="3" t="inlineStr">
        <is>
          <t>Potato Chips 150g</t>
        </is>
      </c>
      <c r="E613" s="3" t="inlineStr">
        <is>
          <t>Snacks</t>
        </is>
      </c>
      <c r="F613" s="4" t="n">
        <v>27</v>
      </c>
      <c r="G613" s="5" t="n">
        <v>49.97</v>
      </c>
      <c r="H613" s="5">
        <f>F613*G613</f>
        <v/>
      </c>
      <c r="I613" s="5">
        <f>F613*VLOOKUP(D613,Products!$B$2:$E$13,3,FALSE)</f>
        <v/>
      </c>
    </row>
    <row r="614">
      <c r="A614" s="2" t="n">
        <v>46187</v>
      </c>
      <c r="B614" s="3" t="inlineStr">
        <is>
          <t>INV-2606-0613</t>
        </is>
      </c>
      <c r="C614" s="3" t="inlineStr">
        <is>
          <t>Verma Retail</t>
        </is>
      </c>
      <c r="D614" s="3" t="inlineStr">
        <is>
          <t>Detergent 1kg</t>
        </is>
      </c>
      <c r="E614" s="3" t="inlineStr">
        <is>
          <t>Household</t>
        </is>
      </c>
      <c r="F614" s="4" t="n">
        <v>81</v>
      </c>
      <c r="G614" s="5" t="n">
        <v>131.1</v>
      </c>
      <c r="H614" s="5">
        <f>F614*G614</f>
        <v/>
      </c>
      <c r="I614" s="5">
        <f>F614*VLOOKUP(D614,Products!$B$2:$E$13,3,FALSE)</f>
        <v/>
      </c>
    </row>
    <row r="615">
      <c r="A615" s="2" t="n">
        <v>46187</v>
      </c>
      <c r="B615" s="3" t="inlineStr">
        <is>
          <t>INV-2606-0614</t>
        </is>
      </c>
      <c r="C615" s="3" t="inlineStr">
        <is>
          <t>Tiwari General</t>
        </is>
      </c>
      <c r="D615" s="3" t="inlineStr">
        <is>
          <t>Paneer 200g</t>
        </is>
      </c>
      <c r="E615" s="3" t="inlineStr">
        <is>
          <t>Dairy</t>
        </is>
      </c>
      <c r="F615" s="4" t="n">
        <v>58</v>
      </c>
      <c r="G615" s="5" t="n">
        <v>97.26000000000001</v>
      </c>
      <c r="H615" s="5">
        <f>F615*G615</f>
        <v/>
      </c>
      <c r="I615" s="5">
        <f>F615*VLOOKUP(D615,Products!$B$2:$E$13,3,FALSE)</f>
        <v/>
      </c>
    </row>
    <row r="616">
      <c r="A616" s="2" t="n">
        <v>46187</v>
      </c>
      <c r="B616" s="3" t="inlineStr">
        <is>
          <t>INV-2606-0615</t>
        </is>
      </c>
      <c r="C616" s="3" t="inlineStr">
        <is>
          <t>Das &amp; Sons</t>
        </is>
      </c>
      <c r="D616" s="3" t="inlineStr">
        <is>
          <t>Dish Soap 500ml</t>
        </is>
      </c>
      <c r="E616" s="3" t="inlineStr">
        <is>
          <t>Household</t>
        </is>
      </c>
      <c r="F616" s="4" t="n">
        <v>7</v>
      </c>
      <c r="G616" s="5" t="n">
        <v>96.98</v>
      </c>
      <c r="H616" s="5">
        <f>F616*G616</f>
        <v/>
      </c>
      <c r="I616" s="5">
        <f>F616*VLOOKUP(D616,Products!$B$2:$E$13,3,FALSE)</f>
        <v/>
      </c>
    </row>
    <row r="617">
      <c r="A617" s="2" t="n">
        <v>46187</v>
      </c>
      <c r="B617" s="3" t="inlineStr">
        <is>
          <t>INV-2606-0616</t>
        </is>
      </c>
      <c r="C617" s="3" t="inlineStr">
        <is>
          <t>Raza Brothers</t>
        </is>
      </c>
      <c r="D617" s="3" t="inlineStr">
        <is>
          <t>Potato Chips 150g</t>
        </is>
      </c>
      <c r="E617" s="3" t="inlineStr">
        <is>
          <t>Snacks</t>
        </is>
      </c>
      <c r="F617" s="4" t="n">
        <v>46</v>
      </c>
      <c r="G617" s="5" t="n">
        <v>50.37</v>
      </c>
      <c r="H617" s="5">
        <f>F617*G617</f>
        <v/>
      </c>
      <c r="I617" s="5">
        <f>F617*VLOOKUP(D617,Products!$B$2:$E$13,3,FALSE)</f>
        <v/>
      </c>
    </row>
    <row r="618">
      <c r="A618" s="2" t="n">
        <v>46187</v>
      </c>
      <c r="B618" s="3" t="inlineStr">
        <is>
          <t>INV-2606-0617</t>
        </is>
      </c>
      <c r="C618" s="3" t="inlineStr">
        <is>
          <t>Yadav Daily Needs</t>
        </is>
      </c>
      <c r="D618" s="3" t="inlineStr">
        <is>
          <t>Toned Milk 1L</t>
        </is>
      </c>
      <c r="E618" s="3" t="inlineStr">
        <is>
          <t>Dairy</t>
        </is>
      </c>
      <c r="F618" s="4" t="n">
        <v>17</v>
      </c>
      <c r="G618" s="5" t="n">
        <v>67.92</v>
      </c>
      <c r="H618" s="5">
        <f>F618*G618</f>
        <v/>
      </c>
      <c r="I618" s="5">
        <f>F618*VLOOKUP(D618,Products!$B$2:$E$13,3,FALSE)</f>
        <v/>
      </c>
    </row>
    <row r="619">
      <c r="A619" s="2" t="n">
        <v>46187</v>
      </c>
      <c r="B619" s="3" t="inlineStr">
        <is>
          <t>INV-2606-0618</t>
        </is>
      </c>
      <c r="C619" s="3" t="inlineStr">
        <is>
          <t>Sahu Traders</t>
        </is>
      </c>
      <c r="D619" s="3" t="inlineStr">
        <is>
          <t>Packaged Water 1L</t>
        </is>
      </c>
      <c r="E619" s="3" t="inlineStr">
        <is>
          <t>Beverages</t>
        </is>
      </c>
      <c r="F619" s="4" t="n">
        <v>39</v>
      </c>
      <c r="G619" s="5" t="n">
        <v>19.81</v>
      </c>
      <c r="H619" s="5">
        <f>F619*G619</f>
        <v/>
      </c>
      <c r="I619" s="5">
        <f>F619*VLOOKUP(D619,Products!$B$2:$E$13,3,FALSE)</f>
        <v/>
      </c>
    </row>
    <row r="620">
      <c r="A620" s="2" t="n">
        <v>46188</v>
      </c>
      <c r="B620" s="3" t="inlineStr">
        <is>
          <t>INV-2606-0619</t>
        </is>
      </c>
      <c r="C620" s="3" t="inlineStr">
        <is>
          <t>Sinha Super Mart</t>
        </is>
      </c>
      <c r="D620" s="3" t="inlineStr">
        <is>
          <t>Toned Milk 1L</t>
        </is>
      </c>
      <c r="E620" s="3" t="inlineStr">
        <is>
          <t>Dairy</t>
        </is>
      </c>
      <c r="F620" s="4" t="n">
        <v>56</v>
      </c>
      <c r="G620" s="5" t="n">
        <v>68.06999999999999</v>
      </c>
      <c r="H620" s="5">
        <f>F620*G620</f>
        <v/>
      </c>
      <c r="I620" s="5">
        <f>F620*VLOOKUP(D620,Products!$B$2:$E$13,3,FALSE)</f>
        <v/>
      </c>
    </row>
    <row r="621">
      <c r="A621" s="2" t="n">
        <v>46188</v>
      </c>
      <c r="B621" s="3" t="inlineStr">
        <is>
          <t>INV-2606-0620</t>
        </is>
      </c>
      <c r="C621" s="3" t="inlineStr">
        <is>
          <t>Tiwari General</t>
        </is>
      </c>
      <c r="D621" s="3" t="inlineStr">
        <is>
          <t>Curd Cup 400g</t>
        </is>
      </c>
      <c r="E621" s="3" t="inlineStr">
        <is>
          <t>Dairy</t>
        </is>
      </c>
      <c r="F621" s="4" t="n">
        <v>51</v>
      </c>
      <c r="G621" s="5" t="n">
        <v>43.76</v>
      </c>
      <c r="H621" s="5">
        <f>F621*G621</f>
        <v/>
      </c>
      <c r="I621" s="5">
        <f>F621*VLOOKUP(D621,Products!$B$2:$E$13,3,FALSE)</f>
        <v/>
      </c>
    </row>
    <row r="622">
      <c r="A622" s="2" t="n">
        <v>46188</v>
      </c>
      <c r="B622" s="3" t="inlineStr">
        <is>
          <t>INV-2606-0621</t>
        </is>
      </c>
      <c r="C622" s="3" t="inlineStr">
        <is>
          <t>Mishra Stores</t>
        </is>
      </c>
      <c r="D622" s="3" t="inlineStr">
        <is>
          <t>Floor Cleaner 1L</t>
        </is>
      </c>
      <c r="E622" s="3" t="inlineStr">
        <is>
          <t>Household</t>
        </is>
      </c>
      <c r="F622" s="4" t="n">
        <v>52</v>
      </c>
      <c r="G622" s="5" t="n">
        <v>109.48</v>
      </c>
      <c r="H622" s="5">
        <f>F622*G622</f>
        <v/>
      </c>
      <c r="I622" s="5">
        <f>F622*VLOOKUP(D622,Products!$B$2:$E$13,3,FALSE)</f>
        <v/>
      </c>
    </row>
    <row r="623">
      <c r="A623" s="2" t="n">
        <v>46188</v>
      </c>
      <c r="B623" s="3" t="inlineStr">
        <is>
          <t>INV-2606-0622</t>
        </is>
      </c>
      <c r="C623" s="3" t="inlineStr">
        <is>
          <t>Sahu Traders</t>
        </is>
      </c>
      <c r="D623" s="3" t="inlineStr">
        <is>
          <t>Curd Cup 400g</t>
        </is>
      </c>
      <c r="E623" s="3" t="inlineStr">
        <is>
          <t>Dairy</t>
        </is>
      </c>
      <c r="F623" s="4" t="n">
        <v>5</v>
      </c>
      <c r="G623" s="5" t="n">
        <v>46</v>
      </c>
      <c r="H623" s="5">
        <f>F623*G623</f>
        <v/>
      </c>
      <c r="I623" s="5">
        <f>F623*VLOOKUP(D623,Products!$B$2:$E$13,3,FALSE)</f>
        <v/>
      </c>
    </row>
    <row r="624">
      <c r="A624" s="2" t="n">
        <v>46188</v>
      </c>
      <c r="B624" s="3" t="inlineStr">
        <is>
          <t>INV-2606-0623</t>
        </is>
      </c>
      <c r="C624" s="3" t="inlineStr">
        <is>
          <t>Raza Brothers</t>
        </is>
      </c>
      <c r="D624" s="3" t="inlineStr">
        <is>
          <t>Floor Cleaner 1L</t>
        </is>
      </c>
      <c r="E624" s="3" t="inlineStr">
        <is>
          <t>Household</t>
        </is>
      </c>
      <c r="F624" s="4" t="n">
        <v>12</v>
      </c>
      <c r="G624" s="5" t="n">
        <v>112.21</v>
      </c>
      <c r="H624" s="5">
        <f>F624*G624</f>
        <v/>
      </c>
      <c r="I624" s="5">
        <f>F624*VLOOKUP(D624,Products!$B$2:$E$13,3,FALSE)</f>
        <v/>
      </c>
    </row>
    <row r="625">
      <c r="A625" s="2" t="n">
        <v>46188</v>
      </c>
      <c r="B625" s="3" t="inlineStr">
        <is>
          <t>INV-2606-0624</t>
        </is>
      </c>
      <c r="C625" s="3" t="inlineStr">
        <is>
          <t>Gupta General Store</t>
        </is>
      </c>
      <c r="D625" s="3" t="inlineStr">
        <is>
          <t>Curd Cup 400g</t>
        </is>
      </c>
      <c r="E625" s="3" t="inlineStr">
        <is>
          <t>Dairy</t>
        </is>
      </c>
      <c r="F625" s="4" t="n">
        <v>48</v>
      </c>
      <c r="G625" s="5" t="n">
        <v>44.64</v>
      </c>
      <c r="H625" s="5">
        <f>F625*G625</f>
        <v/>
      </c>
      <c r="I625" s="5">
        <f>F625*VLOOKUP(D625,Products!$B$2:$E$13,3,FALSE)</f>
        <v/>
      </c>
    </row>
    <row r="626">
      <c r="A626" s="2" t="n">
        <v>46188</v>
      </c>
      <c r="B626" s="3" t="inlineStr">
        <is>
          <t>INV-2606-0625</t>
        </is>
      </c>
      <c r="C626" s="3" t="inlineStr">
        <is>
          <t>Pandey Stores</t>
        </is>
      </c>
      <c r="D626" s="3" t="inlineStr">
        <is>
          <t>Dish Soap 500ml</t>
        </is>
      </c>
      <c r="E626" s="3" t="inlineStr">
        <is>
          <t>Household</t>
        </is>
      </c>
      <c r="F626" s="4" t="n">
        <v>19</v>
      </c>
      <c r="G626" s="5" t="n">
        <v>99.03</v>
      </c>
      <c r="H626" s="5">
        <f>F626*G626</f>
        <v/>
      </c>
      <c r="I626" s="5">
        <f>F626*VLOOKUP(D626,Products!$B$2:$E$13,3,FALSE)</f>
        <v/>
      </c>
    </row>
    <row r="627">
      <c r="A627" s="2" t="n">
        <v>46188</v>
      </c>
      <c r="B627" s="3" t="inlineStr">
        <is>
          <t>INV-2606-0626</t>
        </is>
      </c>
      <c r="C627" s="3" t="inlineStr">
        <is>
          <t>Dubey Kirana</t>
        </is>
      </c>
      <c r="D627" s="3" t="inlineStr">
        <is>
          <t>Cola 750ml</t>
        </is>
      </c>
      <c r="E627" s="3" t="inlineStr">
        <is>
          <t>Beverages</t>
        </is>
      </c>
      <c r="F627" s="4" t="n">
        <v>93</v>
      </c>
      <c r="G627" s="5" t="n">
        <v>44.23</v>
      </c>
      <c r="H627" s="5">
        <f>F627*G627</f>
        <v/>
      </c>
      <c r="I627" s="5">
        <f>F627*VLOOKUP(D627,Products!$B$2:$E$13,3,FALSE)</f>
        <v/>
      </c>
    </row>
    <row r="628">
      <c r="A628" s="2" t="n">
        <v>46188</v>
      </c>
      <c r="B628" s="3" t="inlineStr">
        <is>
          <t>INV-2606-0627</t>
        </is>
      </c>
      <c r="C628" s="3" t="inlineStr">
        <is>
          <t>Kumari Kirana</t>
        </is>
      </c>
      <c r="D628" s="3" t="inlineStr">
        <is>
          <t>Biscuits 400g</t>
        </is>
      </c>
      <c r="E628" s="3" t="inlineStr">
        <is>
          <t>Snacks</t>
        </is>
      </c>
      <c r="F628" s="4" t="n">
        <v>61</v>
      </c>
      <c r="G628" s="5" t="n">
        <v>40.56</v>
      </c>
      <c r="H628" s="5">
        <f>F628*G628</f>
        <v/>
      </c>
      <c r="I628" s="5">
        <f>F628*VLOOKUP(D628,Products!$B$2:$E$13,3,FALSE)</f>
        <v/>
      </c>
    </row>
    <row r="629">
      <c r="A629" s="2" t="n">
        <v>46188</v>
      </c>
      <c r="B629" s="3" t="inlineStr">
        <is>
          <t>INV-2606-0628</t>
        </is>
      </c>
      <c r="C629" s="3" t="inlineStr">
        <is>
          <t>Sharma Provision</t>
        </is>
      </c>
      <c r="D629" s="3" t="inlineStr">
        <is>
          <t>Packaged Water 1L</t>
        </is>
      </c>
      <c r="E629" s="3" t="inlineStr">
        <is>
          <t>Beverages</t>
        </is>
      </c>
      <c r="F629" s="4" t="n">
        <v>19</v>
      </c>
      <c r="G629" s="5" t="n">
        <v>20.41</v>
      </c>
      <c r="H629" s="5">
        <f>F629*G629</f>
        <v/>
      </c>
      <c r="I629" s="5">
        <f>F629*VLOOKUP(D629,Products!$B$2:$E$13,3,FALSE)</f>
        <v/>
      </c>
    </row>
    <row r="630">
      <c r="A630" s="2" t="n">
        <v>46189</v>
      </c>
      <c r="B630" s="3" t="inlineStr">
        <is>
          <t>INV-2606-0629</t>
        </is>
      </c>
      <c r="C630" s="3" t="inlineStr">
        <is>
          <t>Bhatt General Store</t>
        </is>
      </c>
      <c r="D630" s="3" t="inlineStr">
        <is>
          <t>Cola 750ml</t>
        </is>
      </c>
      <c r="E630" s="3" t="inlineStr">
        <is>
          <t>Beverages</t>
        </is>
      </c>
      <c r="F630" s="4" t="n">
        <v>91</v>
      </c>
      <c r="G630" s="5" t="n">
        <v>46.71</v>
      </c>
      <c r="H630" s="5">
        <f>F630*G630</f>
        <v/>
      </c>
      <c r="I630" s="5">
        <f>F630*VLOOKUP(D630,Products!$B$2:$E$13,3,FALSE)</f>
        <v/>
      </c>
    </row>
    <row r="631">
      <c r="A631" s="2" t="n">
        <v>46189</v>
      </c>
      <c r="B631" s="3" t="inlineStr">
        <is>
          <t>INV-2606-0630</t>
        </is>
      </c>
      <c r="C631" s="3" t="inlineStr">
        <is>
          <t>Khan Mart</t>
        </is>
      </c>
      <c r="D631" s="3" t="inlineStr">
        <is>
          <t>Detergent 1kg</t>
        </is>
      </c>
      <c r="E631" s="3" t="inlineStr">
        <is>
          <t>Household</t>
        </is>
      </c>
      <c r="F631" s="4" t="n">
        <v>48</v>
      </c>
      <c r="G631" s="5" t="n">
        <v>127.62</v>
      </c>
      <c r="H631" s="5">
        <f>F631*G631</f>
        <v/>
      </c>
      <c r="I631" s="5">
        <f>F631*VLOOKUP(D631,Products!$B$2:$E$13,3,FALSE)</f>
        <v/>
      </c>
    </row>
    <row r="632">
      <c r="A632" s="2" t="n">
        <v>46189</v>
      </c>
      <c r="B632" s="3" t="inlineStr">
        <is>
          <t>INV-2606-0631</t>
        </is>
      </c>
      <c r="C632" s="3" t="inlineStr">
        <is>
          <t>Bhatt General Store</t>
        </is>
      </c>
      <c r="D632" s="3" t="inlineStr">
        <is>
          <t>Curd Cup 400g</t>
        </is>
      </c>
      <c r="E632" s="3" t="inlineStr">
        <is>
          <t>Dairy</t>
        </is>
      </c>
      <c r="F632" s="4" t="n">
        <v>12</v>
      </c>
      <c r="G632" s="5" t="n">
        <v>46.38</v>
      </c>
      <c r="H632" s="5">
        <f>F632*G632</f>
        <v/>
      </c>
      <c r="I632" s="5">
        <f>F632*VLOOKUP(D632,Products!$B$2:$E$13,3,FALSE)</f>
        <v/>
      </c>
    </row>
    <row r="633">
      <c r="A633" s="2" t="n">
        <v>46189</v>
      </c>
      <c r="B633" s="3" t="inlineStr">
        <is>
          <t>INV-2606-0632</t>
        </is>
      </c>
      <c r="C633" s="3" t="inlineStr">
        <is>
          <t>Sharma Provision</t>
        </is>
      </c>
      <c r="D633" s="3" t="inlineStr">
        <is>
          <t>Mango Juice 1L</t>
        </is>
      </c>
      <c r="E633" s="3" t="inlineStr">
        <is>
          <t>Beverages</t>
        </is>
      </c>
      <c r="F633" s="4" t="n">
        <v>80</v>
      </c>
      <c r="G633" s="5" t="n">
        <v>123.36</v>
      </c>
      <c r="H633" s="5">
        <f>F633*G633</f>
        <v/>
      </c>
      <c r="I633" s="5">
        <f>F633*VLOOKUP(D633,Products!$B$2:$E$13,3,FALSE)</f>
        <v/>
      </c>
    </row>
    <row r="634">
      <c r="A634" s="2" t="n">
        <v>46189</v>
      </c>
      <c r="B634" s="3" t="inlineStr">
        <is>
          <t>INV-2606-0633</t>
        </is>
      </c>
      <c r="C634" s="3" t="inlineStr">
        <is>
          <t>Patel Traders</t>
        </is>
      </c>
      <c r="D634" s="3" t="inlineStr">
        <is>
          <t>Paneer 200g</t>
        </is>
      </c>
      <c r="E634" s="3" t="inlineStr">
        <is>
          <t>Dairy</t>
        </is>
      </c>
      <c r="F634" s="4" t="n">
        <v>34</v>
      </c>
      <c r="G634" s="5" t="n">
        <v>94.73</v>
      </c>
      <c r="H634" s="5">
        <f>F634*G634</f>
        <v/>
      </c>
      <c r="I634" s="5">
        <f>F634*VLOOKUP(D634,Products!$B$2:$E$13,3,FALSE)</f>
        <v/>
      </c>
    </row>
    <row r="635">
      <c r="A635" s="2" t="n">
        <v>46189</v>
      </c>
      <c r="B635" s="3" t="inlineStr">
        <is>
          <t>INV-2606-0634</t>
        </is>
      </c>
      <c r="C635" s="3" t="inlineStr">
        <is>
          <t>Choudhary Mart</t>
        </is>
      </c>
      <c r="D635" s="3" t="inlineStr">
        <is>
          <t>Potato Chips 150g</t>
        </is>
      </c>
      <c r="E635" s="3" t="inlineStr">
        <is>
          <t>Snacks</t>
        </is>
      </c>
      <c r="F635" s="4" t="n">
        <v>65</v>
      </c>
      <c r="G635" s="5" t="n">
        <v>48.56</v>
      </c>
      <c r="H635" s="5">
        <f>F635*G635</f>
        <v/>
      </c>
      <c r="I635" s="5">
        <f>F635*VLOOKUP(D635,Products!$B$2:$E$13,3,FALSE)</f>
        <v/>
      </c>
    </row>
    <row r="636">
      <c r="A636" s="2" t="n">
        <v>46190</v>
      </c>
      <c r="B636" s="3" t="inlineStr">
        <is>
          <t>INV-2606-0635</t>
        </is>
      </c>
      <c r="C636" s="3" t="inlineStr">
        <is>
          <t>Mehta Retail</t>
        </is>
      </c>
      <c r="D636" s="3" t="inlineStr">
        <is>
          <t>Potato Chips 150g</t>
        </is>
      </c>
      <c r="E636" s="3" t="inlineStr">
        <is>
          <t>Snacks</t>
        </is>
      </c>
      <c r="F636" s="4" t="n">
        <v>69</v>
      </c>
      <c r="G636" s="5" t="n">
        <v>51.55</v>
      </c>
      <c r="H636" s="5">
        <f>F636*G636</f>
        <v/>
      </c>
      <c r="I636" s="5">
        <f>F636*VLOOKUP(D636,Products!$B$2:$E$13,3,FALSE)</f>
        <v/>
      </c>
    </row>
    <row r="637">
      <c r="A637" s="2" t="n">
        <v>46190</v>
      </c>
      <c r="B637" s="3" t="inlineStr">
        <is>
          <t>INV-2606-0636</t>
        </is>
      </c>
      <c r="C637" s="3" t="inlineStr">
        <is>
          <t>Prasad Traders</t>
        </is>
      </c>
      <c r="D637" s="3" t="inlineStr">
        <is>
          <t>Biscuits 400g</t>
        </is>
      </c>
      <c r="E637" s="3" t="inlineStr">
        <is>
          <t>Snacks</t>
        </is>
      </c>
      <c r="F637" s="4" t="n">
        <v>29</v>
      </c>
      <c r="G637" s="5" t="n">
        <v>41.6</v>
      </c>
      <c r="H637" s="5">
        <f>F637*G637</f>
        <v/>
      </c>
      <c r="I637" s="5">
        <f>F637*VLOOKUP(D637,Products!$B$2:$E$13,3,FALSE)</f>
        <v/>
      </c>
    </row>
    <row r="638">
      <c r="A638" s="2" t="n">
        <v>46190</v>
      </c>
      <c r="B638" s="3" t="inlineStr">
        <is>
          <t>INV-2606-0637</t>
        </is>
      </c>
      <c r="C638" s="3" t="inlineStr">
        <is>
          <t>Tiwari General</t>
        </is>
      </c>
      <c r="D638" s="3" t="inlineStr">
        <is>
          <t>Detergent 1kg</t>
        </is>
      </c>
      <c r="E638" s="3" t="inlineStr">
        <is>
          <t>Household</t>
        </is>
      </c>
      <c r="F638" s="4" t="n">
        <v>51</v>
      </c>
      <c r="G638" s="5" t="n">
        <v>127.12</v>
      </c>
      <c r="H638" s="5">
        <f>F638*G638</f>
        <v/>
      </c>
      <c r="I638" s="5">
        <f>F638*VLOOKUP(D638,Products!$B$2:$E$13,3,FALSE)</f>
        <v/>
      </c>
    </row>
    <row r="639">
      <c r="A639" s="2" t="n">
        <v>46190</v>
      </c>
      <c r="B639" s="3" t="inlineStr">
        <is>
          <t>INV-2606-0638</t>
        </is>
      </c>
      <c r="C639" s="3" t="inlineStr">
        <is>
          <t>Tiwari General</t>
        </is>
      </c>
      <c r="D639" s="3" t="inlineStr">
        <is>
          <t>Biscuits 400g</t>
        </is>
      </c>
      <c r="E639" s="3" t="inlineStr">
        <is>
          <t>Snacks</t>
        </is>
      </c>
      <c r="F639" s="4" t="n">
        <v>7</v>
      </c>
      <c r="G639" s="5" t="n">
        <v>40.36</v>
      </c>
      <c r="H639" s="5">
        <f>F639*G639</f>
        <v/>
      </c>
      <c r="I639" s="5">
        <f>F639*VLOOKUP(D639,Products!$B$2:$E$13,3,FALSE)</f>
        <v/>
      </c>
    </row>
    <row r="640">
      <c r="A640" s="2" t="n">
        <v>46190</v>
      </c>
      <c r="B640" s="3" t="inlineStr">
        <is>
          <t>INV-2606-0639</t>
        </is>
      </c>
      <c r="C640" s="3" t="inlineStr">
        <is>
          <t>Choudhary Mart</t>
        </is>
      </c>
      <c r="D640" s="3" t="inlineStr">
        <is>
          <t>Cola 750ml</t>
        </is>
      </c>
      <c r="E640" s="3" t="inlineStr">
        <is>
          <t>Beverages</t>
        </is>
      </c>
      <c r="F640" s="4" t="n">
        <v>51</v>
      </c>
      <c r="G640" s="5" t="n">
        <v>44.91</v>
      </c>
      <c r="H640" s="5">
        <f>F640*G640</f>
        <v/>
      </c>
      <c r="I640" s="5">
        <f>F640*VLOOKUP(D640,Products!$B$2:$E$13,3,FALSE)</f>
        <v/>
      </c>
    </row>
    <row r="641">
      <c r="A641" s="2" t="n">
        <v>46190</v>
      </c>
      <c r="B641" s="3" t="inlineStr">
        <is>
          <t>INV-2606-0640</t>
        </is>
      </c>
      <c r="C641" s="3" t="inlineStr">
        <is>
          <t>Verma Retail</t>
        </is>
      </c>
      <c r="D641" s="3" t="inlineStr">
        <is>
          <t>Potato Chips 150g</t>
        </is>
      </c>
      <c r="E641" s="3" t="inlineStr">
        <is>
          <t>Snacks</t>
        </is>
      </c>
      <c r="F641" s="4" t="n">
        <v>77</v>
      </c>
      <c r="G641" s="5" t="n">
        <v>50.7</v>
      </c>
      <c r="H641" s="5">
        <f>F641*G641</f>
        <v/>
      </c>
      <c r="I641" s="5">
        <f>F641*VLOOKUP(D641,Products!$B$2:$E$13,3,FALSE)</f>
        <v/>
      </c>
    </row>
    <row r="642">
      <c r="A642" s="2" t="n">
        <v>46190</v>
      </c>
      <c r="B642" s="3" t="inlineStr">
        <is>
          <t>INV-2606-0641</t>
        </is>
      </c>
      <c r="C642" s="3" t="inlineStr">
        <is>
          <t>Pandey Stores</t>
        </is>
      </c>
      <c r="D642" s="3" t="inlineStr">
        <is>
          <t>Mango Juice 1L</t>
        </is>
      </c>
      <c r="E642" s="3" t="inlineStr">
        <is>
          <t>Beverages</t>
        </is>
      </c>
      <c r="F642" s="4" t="n">
        <v>25</v>
      </c>
      <c r="G642" s="5" t="n">
        <v>120.85</v>
      </c>
      <c r="H642" s="5">
        <f>F642*G642</f>
        <v/>
      </c>
      <c r="I642" s="5">
        <f>F642*VLOOKUP(D642,Products!$B$2:$E$13,3,FALSE)</f>
        <v/>
      </c>
    </row>
    <row r="643">
      <c r="A643" s="2" t="n">
        <v>46190</v>
      </c>
      <c r="B643" s="3" t="inlineStr">
        <is>
          <t>INV-2606-0642</t>
        </is>
      </c>
      <c r="C643" s="3" t="inlineStr">
        <is>
          <t>Sahu Traders</t>
        </is>
      </c>
      <c r="D643" s="3" t="inlineStr">
        <is>
          <t>Detergent 1kg</t>
        </is>
      </c>
      <c r="E643" s="3" t="inlineStr">
        <is>
          <t>Household</t>
        </is>
      </c>
      <c r="F643" s="4" t="n">
        <v>25</v>
      </c>
      <c r="G643" s="5" t="n">
        <v>133.61</v>
      </c>
      <c r="H643" s="5">
        <f>F643*G643</f>
        <v/>
      </c>
      <c r="I643" s="5">
        <f>F643*VLOOKUP(D643,Products!$B$2:$E$13,3,FALSE)</f>
        <v/>
      </c>
    </row>
    <row r="644">
      <c r="A644" s="2" t="n">
        <v>46190</v>
      </c>
      <c r="B644" s="3" t="inlineStr">
        <is>
          <t>INV-2606-0643</t>
        </is>
      </c>
      <c r="C644" s="3" t="inlineStr">
        <is>
          <t>Mehta Retail</t>
        </is>
      </c>
      <c r="D644" s="3" t="inlineStr">
        <is>
          <t>Biscuits 400g</t>
        </is>
      </c>
      <c r="E644" s="3" t="inlineStr">
        <is>
          <t>Snacks</t>
        </is>
      </c>
      <c r="F644" s="4" t="n">
        <v>70</v>
      </c>
      <c r="G644" s="5" t="n">
        <v>40.5</v>
      </c>
      <c r="H644" s="5">
        <f>F644*G644</f>
        <v/>
      </c>
      <c r="I644" s="5">
        <f>F644*VLOOKUP(D644,Products!$B$2:$E$13,3,FALSE)</f>
        <v/>
      </c>
    </row>
    <row r="645">
      <c r="A645" s="2" t="n">
        <v>46190</v>
      </c>
      <c r="B645" s="3" t="inlineStr">
        <is>
          <t>INV-2606-0644</t>
        </is>
      </c>
      <c r="C645" s="3" t="inlineStr">
        <is>
          <t>Sharma Provision</t>
        </is>
      </c>
      <c r="D645" s="3" t="inlineStr">
        <is>
          <t>Packaged Water 1L</t>
        </is>
      </c>
      <c r="E645" s="3" t="inlineStr">
        <is>
          <t>Beverages</t>
        </is>
      </c>
      <c r="F645" s="4" t="n">
        <v>39</v>
      </c>
      <c r="G645" s="5" t="n">
        <v>20.42</v>
      </c>
      <c r="H645" s="5">
        <f>F645*G645</f>
        <v/>
      </c>
      <c r="I645" s="5">
        <f>F645*VLOOKUP(D645,Products!$B$2:$E$13,3,FALSE)</f>
        <v/>
      </c>
    </row>
    <row r="646">
      <c r="A646" s="2" t="n">
        <v>46191</v>
      </c>
      <c r="B646" s="3" t="inlineStr">
        <is>
          <t>INV-2606-0645</t>
        </is>
      </c>
      <c r="C646" s="3" t="inlineStr">
        <is>
          <t>Yadav Daily Needs</t>
        </is>
      </c>
      <c r="D646" s="3" t="inlineStr">
        <is>
          <t>Cola 750ml</t>
        </is>
      </c>
      <c r="E646" s="3" t="inlineStr">
        <is>
          <t>Beverages</t>
        </is>
      </c>
      <c r="F646" s="4" t="n">
        <v>91</v>
      </c>
      <c r="G646" s="5" t="n">
        <v>45.76</v>
      </c>
      <c r="H646" s="5">
        <f>F646*G646</f>
        <v/>
      </c>
      <c r="I646" s="5">
        <f>F646*VLOOKUP(D646,Products!$B$2:$E$13,3,FALSE)</f>
        <v/>
      </c>
    </row>
    <row r="647">
      <c r="A647" s="2" t="n">
        <v>46191</v>
      </c>
      <c r="B647" s="3" t="inlineStr">
        <is>
          <t>INV-2606-0646</t>
        </is>
      </c>
      <c r="C647" s="3" t="inlineStr">
        <is>
          <t>Das &amp; Sons</t>
        </is>
      </c>
      <c r="D647" s="3" t="inlineStr">
        <is>
          <t>Toned Milk 1L</t>
        </is>
      </c>
      <c r="E647" s="3" t="inlineStr">
        <is>
          <t>Dairy</t>
        </is>
      </c>
      <c r="F647" s="4" t="n">
        <v>8</v>
      </c>
      <c r="G647" s="5" t="n">
        <v>67.39</v>
      </c>
      <c r="H647" s="5">
        <f>F647*G647</f>
        <v/>
      </c>
      <c r="I647" s="5">
        <f>F647*VLOOKUP(D647,Products!$B$2:$E$13,3,FALSE)</f>
        <v/>
      </c>
    </row>
    <row r="648">
      <c r="A648" s="2" t="n">
        <v>46191</v>
      </c>
      <c r="B648" s="3" t="inlineStr">
        <is>
          <t>INV-2606-0647</t>
        </is>
      </c>
      <c r="C648" s="3" t="inlineStr">
        <is>
          <t>Das &amp; Sons</t>
        </is>
      </c>
      <c r="D648" s="3" t="inlineStr">
        <is>
          <t>Floor Cleaner 1L</t>
        </is>
      </c>
      <c r="E648" s="3" t="inlineStr">
        <is>
          <t>Household</t>
        </is>
      </c>
      <c r="F648" s="4" t="n">
        <v>32</v>
      </c>
      <c r="G648" s="5" t="n">
        <v>111.81</v>
      </c>
      <c r="H648" s="5">
        <f>F648*G648</f>
        <v/>
      </c>
      <c r="I648" s="5">
        <f>F648*VLOOKUP(D648,Products!$B$2:$E$13,3,FALSE)</f>
        <v/>
      </c>
    </row>
    <row r="649">
      <c r="A649" s="2" t="n">
        <v>46191</v>
      </c>
      <c r="B649" s="3" t="inlineStr">
        <is>
          <t>INV-2606-0648</t>
        </is>
      </c>
      <c r="C649" s="3" t="inlineStr">
        <is>
          <t>Tiwari General</t>
        </is>
      </c>
      <c r="D649" s="3" t="inlineStr">
        <is>
          <t>Cola 750ml</t>
        </is>
      </c>
      <c r="E649" s="3" t="inlineStr">
        <is>
          <t>Beverages</t>
        </is>
      </c>
      <c r="F649" s="4" t="n">
        <v>67</v>
      </c>
      <c r="G649" s="5" t="n">
        <v>46.63</v>
      </c>
      <c r="H649" s="5">
        <f>F649*G649</f>
        <v/>
      </c>
      <c r="I649" s="5">
        <f>F649*VLOOKUP(D649,Products!$B$2:$E$13,3,FALSE)</f>
        <v/>
      </c>
    </row>
    <row r="650">
      <c r="A650" s="2" t="n">
        <v>46191</v>
      </c>
      <c r="B650" s="3" t="inlineStr">
        <is>
          <t>INV-2606-0649</t>
        </is>
      </c>
      <c r="C650" s="3" t="inlineStr">
        <is>
          <t>Singh Super Bazaar</t>
        </is>
      </c>
      <c r="D650" s="3" t="inlineStr">
        <is>
          <t>Paneer 200g</t>
        </is>
      </c>
      <c r="E650" s="3" t="inlineStr">
        <is>
          <t>Dairy</t>
        </is>
      </c>
      <c r="F650" s="4" t="n">
        <v>89</v>
      </c>
      <c r="G650" s="5" t="n">
        <v>95.73</v>
      </c>
      <c r="H650" s="5">
        <f>F650*G650</f>
        <v/>
      </c>
      <c r="I650" s="5">
        <f>F650*VLOOKUP(D650,Products!$B$2:$E$13,3,FALSE)</f>
        <v/>
      </c>
    </row>
    <row r="651">
      <c r="A651" s="2" t="n">
        <v>46191</v>
      </c>
      <c r="B651" s="3" t="inlineStr">
        <is>
          <t>INV-2606-0650</t>
        </is>
      </c>
      <c r="C651" s="3" t="inlineStr">
        <is>
          <t>Singh Super Bazaar</t>
        </is>
      </c>
      <c r="D651" s="3" t="inlineStr">
        <is>
          <t>Floor Cleaner 1L</t>
        </is>
      </c>
      <c r="E651" s="3" t="inlineStr">
        <is>
          <t>Household</t>
        </is>
      </c>
      <c r="F651" s="4" t="n">
        <v>29</v>
      </c>
      <c r="G651" s="5" t="n">
        <v>109.98</v>
      </c>
      <c r="H651" s="5">
        <f>F651*G651</f>
        <v/>
      </c>
      <c r="I651" s="5">
        <f>F651*VLOOKUP(D651,Products!$B$2:$E$13,3,FALSE)</f>
        <v/>
      </c>
    </row>
    <row r="652">
      <c r="A652" s="2" t="n">
        <v>46191</v>
      </c>
      <c r="B652" s="3" t="inlineStr">
        <is>
          <t>INV-2606-0651</t>
        </is>
      </c>
      <c r="C652" s="3" t="inlineStr">
        <is>
          <t>Sharma Provision</t>
        </is>
      </c>
      <c r="D652" s="3" t="inlineStr">
        <is>
          <t>Floor Cleaner 1L</t>
        </is>
      </c>
      <c r="E652" s="3" t="inlineStr">
        <is>
          <t>Household</t>
        </is>
      </c>
      <c r="F652" s="4" t="n">
        <v>29</v>
      </c>
      <c r="G652" s="5" t="n">
        <v>112.69</v>
      </c>
      <c r="H652" s="5">
        <f>F652*G652</f>
        <v/>
      </c>
      <c r="I652" s="5">
        <f>F652*VLOOKUP(D652,Products!$B$2:$E$13,3,FALSE)</f>
        <v/>
      </c>
    </row>
    <row r="653">
      <c r="A653" s="2" t="n">
        <v>46191</v>
      </c>
      <c r="B653" s="3" t="inlineStr">
        <is>
          <t>INV-2606-0652</t>
        </is>
      </c>
      <c r="C653" s="3" t="inlineStr">
        <is>
          <t>Rai Daily Mart</t>
        </is>
      </c>
      <c r="D653" s="3" t="inlineStr">
        <is>
          <t>Detergent 1kg</t>
        </is>
      </c>
      <c r="E653" s="3" t="inlineStr">
        <is>
          <t>Household</t>
        </is>
      </c>
      <c r="F653" s="4" t="n">
        <v>9</v>
      </c>
      <c r="G653" s="5" t="n">
        <v>135.93</v>
      </c>
      <c r="H653" s="5">
        <f>F653*G653</f>
        <v/>
      </c>
      <c r="I653" s="5">
        <f>F653*VLOOKUP(D653,Products!$B$2:$E$13,3,FALSE)</f>
        <v/>
      </c>
    </row>
    <row r="654">
      <c r="A654" s="2" t="n">
        <v>46192</v>
      </c>
      <c r="B654" s="3" t="inlineStr">
        <is>
          <t>INV-2606-0653</t>
        </is>
      </c>
      <c r="C654" s="3" t="inlineStr">
        <is>
          <t>Raza Brothers</t>
        </is>
      </c>
      <c r="D654" s="3" t="inlineStr">
        <is>
          <t>Curd Cup 400g</t>
        </is>
      </c>
      <c r="E654" s="3" t="inlineStr">
        <is>
          <t>Dairy</t>
        </is>
      </c>
      <c r="F654" s="4" t="n">
        <v>56</v>
      </c>
      <c r="G654" s="5" t="n">
        <v>45.47</v>
      </c>
      <c r="H654" s="5">
        <f>F654*G654</f>
        <v/>
      </c>
      <c r="I654" s="5">
        <f>F654*VLOOKUP(D654,Products!$B$2:$E$13,3,FALSE)</f>
        <v/>
      </c>
    </row>
    <row r="655">
      <c r="A655" s="2" t="n">
        <v>46192</v>
      </c>
      <c r="B655" s="3" t="inlineStr">
        <is>
          <t>INV-2606-0654</t>
        </is>
      </c>
      <c r="C655" s="3" t="inlineStr">
        <is>
          <t>Yadav Daily Needs</t>
        </is>
      </c>
      <c r="D655" s="3" t="inlineStr">
        <is>
          <t>Instant Noodles 280g</t>
        </is>
      </c>
      <c r="E655" s="3" t="inlineStr">
        <is>
          <t>Snacks</t>
        </is>
      </c>
      <c r="F655" s="4" t="n">
        <v>59</v>
      </c>
      <c r="G655" s="5" t="n">
        <v>55.42</v>
      </c>
      <c r="H655" s="5">
        <f>F655*G655</f>
        <v/>
      </c>
      <c r="I655" s="5">
        <f>F655*VLOOKUP(D655,Products!$B$2:$E$13,3,FALSE)</f>
        <v/>
      </c>
    </row>
    <row r="656">
      <c r="A656" s="2" t="n">
        <v>46192</v>
      </c>
      <c r="B656" s="3" t="inlineStr">
        <is>
          <t>INV-2606-0655</t>
        </is>
      </c>
      <c r="C656" s="3" t="inlineStr">
        <is>
          <t>Mishra Stores</t>
        </is>
      </c>
      <c r="D656" s="3" t="inlineStr">
        <is>
          <t>Packaged Water 1L</t>
        </is>
      </c>
      <c r="E656" s="3" t="inlineStr">
        <is>
          <t>Beverages</t>
        </is>
      </c>
      <c r="F656" s="4" t="n">
        <v>77</v>
      </c>
      <c r="G656" s="5" t="n">
        <v>19.41</v>
      </c>
      <c r="H656" s="5">
        <f>F656*G656</f>
        <v/>
      </c>
      <c r="I656" s="5">
        <f>F656*VLOOKUP(D656,Products!$B$2:$E$13,3,FALSE)</f>
        <v/>
      </c>
    </row>
    <row r="657">
      <c r="A657" s="2" t="n">
        <v>46192</v>
      </c>
      <c r="B657" s="3" t="inlineStr">
        <is>
          <t>INV-2606-0656</t>
        </is>
      </c>
      <c r="C657" s="3" t="inlineStr">
        <is>
          <t>Rai Daily Mart</t>
        </is>
      </c>
      <c r="D657" s="3" t="inlineStr">
        <is>
          <t>Potato Chips 150g</t>
        </is>
      </c>
      <c r="E657" s="3" t="inlineStr">
        <is>
          <t>Snacks</t>
        </is>
      </c>
      <c r="F657" s="4" t="n">
        <v>46</v>
      </c>
      <c r="G657" s="5" t="n">
        <v>50.78</v>
      </c>
      <c r="H657" s="5">
        <f>F657*G657</f>
        <v/>
      </c>
      <c r="I657" s="5">
        <f>F657*VLOOKUP(D657,Products!$B$2:$E$13,3,FALSE)</f>
        <v/>
      </c>
    </row>
    <row r="658">
      <c r="A658" s="2" t="n">
        <v>46192</v>
      </c>
      <c r="B658" s="3" t="inlineStr">
        <is>
          <t>INV-2606-0657</t>
        </is>
      </c>
      <c r="C658" s="3" t="inlineStr">
        <is>
          <t>Sharma Provision</t>
        </is>
      </c>
      <c r="D658" s="3" t="inlineStr">
        <is>
          <t>Detergent 1kg</t>
        </is>
      </c>
      <c r="E658" s="3" t="inlineStr">
        <is>
          <t>Household</t>
        </is>
      </c>
      <c r="F658" s="4" t="n">
        <v>18</v>
      </c>
      <c r="G658" s="5" t="n">
        <v>136.22</v>
      </c>
      <c r="H658" s="5">
        <f>F658*G658</f>
        <v/>
      </c>
      <c r="I658" s="5">
        <f>F658*VLOOKUP(D658,Products!$B$2:$E$13,3,FALSE)</f>
        <v/>
      </c>
    </row>
    <row r="659">
      <c r="A659" s="2" t="n">
        <v>46192</v>
      </c>
      <c r="B659" s="3" t="inlineStr">
        <is>
          <t>INV-2606-0658</t>
        </is>
      </c>
      <c r="C659" s="3" t="inlineStr">
        <is>
          <t>Sharma Provision</t>
        </is>
      </c>
      <c r="D659" s="3" t="inlineStr">
        <is>
          <t>Biscuits 400g</t>
        </is>
      </c>
      <c r="E659" s="3" t="inlineStr">
        <is>
          <t>Snacks</t>
        </is>
      </c>
      <c r="F659" s="4" t="n">
        <v>43</v>
      </c>
      <c r="G659" s="5" t="n">
        <v>41.88</v>
      </c>
      <c r="H659" s="5">
        <f>F659*G659</f>
        <v/>
      </c>
      <c r="I659" s="5">
        <f>F659*VLOOKUP(D659,Products!$B$2:$E$13,3,FALSE)</f>
        <v/>
      </c>
    </row>
    <row r="660">
      <c r="A660" s="2" t="n">
        <v>46192</v>
      </c>
      <c r="B660" s="3" t="inlineStr">
        <is>
          <t>INV-2606-0659</t>
        </is>
      </c>
      <c r="C660" s="3" t="inlineStr">
        <is>
          <t>Singh Super Bazaar</t>
        </is>
      </c>
      <c r="D660" s="3" t="inlineStr">
        <is>
          <t>Cola 750ml</t>
        </is>
      </c>
      <c r="E660" s="3" t="inlineStr">
        <is>
          <t>Beverages</t>
        </is>
      </c>
      <c r="F660" s="4" t="n">
        <v>132</v>
      </c>
      <c r="G660" s="5" t="n">
        <v>45.51</v>
      </c>
      <c r="H660" s="5">
        <f>F660*G660</f>
        <v/>
      </c>
      <c r="I660" s="5">
        <f>F660*VLOOKUP(D660,Products!$B$2:$E$13,3,FALSE)</f>
        <v/>
      </c>
    </row>
    <row r="661">
      <c r="A661" s="2" t="n">
        <v>46192</v>
      </c>
      <c r="B661" s="3" t="inlineStr">
        <is>
          <t>INV-2606-0660</t>
        </is>
      </c>
      <c r="C661" s="3" t="inlineStr">
        <is>
          <t>Singh Super Bazaar</t>
        </is>
      </c>
      <c r="D661" s="3" t="inlineStr">
        <is>
          <t>Curd Cup 400g</t>
        </is>
      </c>
      <c r="E661" s="3" t="inlineStr">
        <is>
          <t>Dairy</t>
        </is>
      </c>
      <c r="F661" s="4" t="n">
        <v>80</v>
      </c>
      <c r="G661" s="5" t="n">
        <v>44.29</v>
      </c>
      <c r="H661" s="5">
        <f>F661*G661</f>
        <v/>
      </c>
      <c r="I661" s="5">
        <f>F661*VLOOKUP(D661,Products!$B$2:$E$13,3,FALSE)</f>
        <v/>
      </c>
    </row>
    <row r="662">
      <c r="A662" s="2" t="n">
        <v>46192</v>
      </c>
      <c r="B662" s="3" t="inlineStr">
        <is>
          <t>INV-2606-0661</t>
        </is>
      </c>
      <c r="C662" s="3" t="inlineStr">
        <is>
          <t>Dubey Kirana</t>
        </is>
      </c>
      <c r="D662" s="3" t="inlineStr">
        <is>
          <t>Potato Chips 150g</t>
        </is>
      </c>
      <c r="E662" s="3" t="inlineStr">
        <is>
          <t>Snacks</t>
        </is>
      </c>
      <c r="F662" s="4" t="n">
        <v>7</v>
      </c>
      <c r="G662" s="5" t="n">
        <v>50.56</v>
      </c>
      <c r="H662" s="5">
        <f>F662*G662</f>
        <v/>
      </c>
      <c r="I662" s="5">
        <f>F662*VLOOKUP(D662,Products!$B$2:$E$13,3,FALSE)</f>
        <v/>
      </c>
    </row>
    <row r="663">
      <c r="A663" s="2" t="n">
        <v>46192</v>
      </c>
      <c r="B663" s="3" t="inlineStr">
        <is>
          <t>INV-2606-0662</t>
        </is>
      </c>
      <c r="C663" s="3" t="inlineStr">
        <is>
          <t>Raza Brothers</t>
        </is>
      </c>
      <c r="D663" s="3" t="inlineStr">
        <is>
          <t>Cola 750ml</t>
        </is>
      </c>
      <c r="E663" s="3" t="inlineStr">
        <is>
          <t>Beverages</t>
        </is>
      </c>
      <c r="F663" s="4" t="n">
        <v>37</v>
      </c>
      <c r="G663" s="5" t="n">
        <v>46.25</v>
      </c>
      <c r="H663" s="5">
        <f>F663*G663</f>
        <v/>
      </c>
      <c r="I663" s="5">
        <f>F663*VLOOKUP(D663,Products!$B$2:$E$13,3,FALSE)</f>
        <v/>
      </c>
    </row>
    <row r="664">
      <c r="A664" s="2" t="n">
        <v>46192</v>
      </c>
      <c r="B664" s="3" t="inlineStr">
        <is>
          <t>INV-2606-0663</t>
        </is>
      </c>
      <c r="C664" s="3" t="inlineStr">
        <is>
          <t>Prasad Traders</t>
        </is>
      </c>
      <c r="D664" s="3" t="inlineStr">
        <is>
          <t>Dish Soap 500ml</t>
        </is>
      </c>
      <c r="E664" s="3" t="inlineStr">
        <is>
          <t>Household</t>
        </is>
      </c>
      <c r="F664" s="4" t="n">
        <v>77</v>
      </c>
      <c r="G664" s="5" t="n">
        <v>100.8</v>
      </c>
      <c r="H664" s="5">
        <f>F664*G664</f>
        <v/>
      </c>
      <c r="I664" s="5">
        <f>F664*VLOOKUP(D664,Products!$B$2:$E$13,3,FALSE)</f>
        <v/>
      </c>
    </row>
    <row r="665">
      <c r="A665" s="2" t="n">
        <v>46193</v>
      </c>
      <c r="B665" s="3" t="inlineStr">
        <is>
          <t>INV-2606-0664</t>
        </is>
      </c>
      <c r="C665" s="3" t="inlineStr">
        <is>
          <t>Tiwari General</t>
        </is>
      </c>
      <c r="D665" s="3" t="inlineStr">
        <is>
          <t>Mango Juice 1L</t>
        </is>
      </c>
      <c r="E665" s="3" t="inlineStr">
        <is>
          <t>Beverages</t>
        </is>
      </c>
      <c r="F665" s="4" t="n">
        <v>69</v>
      </c>
      <c r="G665" s="5" t="n">
        <v>120.54</v>
      </c>
      <c r="H665" s="5">
        <f>F665*G665</f>
        <v/>
      </c>
      <c r="I665" s="5">
        <f>F665*VLOOKUP(D665,Products!$B$2:$E$13,3,FALSE)</f>
        <v/>
      </c>
    </row>
    <row r="666">
      <c r="A666" s="2" t="n">
        <v>46193</v>
      </c>
      <c r="B666" s="3" t="inlineStr">
        <is>
          <t>INV-2606-0665</t>
        </is>
      </c>
      <c r="C666" s="3" t="inlineStr">
        <is>
          <t>Ali General Store</t>
        </is>
      </c>
      <c r="D666" s="3" t="inlineStr">
        <is>
          <t>Biscuits 400g</t>
        </is>
      </c>
      <c r="E666" s="3" t="inlineStr">
        <is>
          <t>Snacks</t>
        </is>
      </c>
      <c r="F666" s="4" t="n">
        <v>18</v>
      </c>
      <c r="G666" s="5" t="n">
        <v>40.86</v>
      </c>
      <c r="H666" s="5">
        <f>F666*G666</f>
        <v/>
      </c>
      <c r="I666" s="5">
        <f>F666*VLOOKUP(D666,Products!$B$2:$E$13,3,FALSE)</f>
        <v/>
      </c>
    </row>
    <row r="667">
      <c r="A667" s="2" t="n">
        <v>46193</v>
      </c>
      <c r="B667" s="3" t="inlineStr">
        <is>
          <t>INV-2606-0666</t>
        </is>
      </c>
      <c r="C667" s="3" t="inlineStr">
        <is>
          <t>Tiwari General</t>
        </is>
      </c>
      <c r="D667" s="3" t="inlineStr">
        <is>
          <t>Instant Noodles 280g</t>
        </is>
      </c>
      <c r="E667" s="3" t="inlineStr">
        <is>
          <t>Snacks</t>
        </is>
      </c>
      <c r="F667" s="4" t="n">
        <v>7</v>
      </c>
      <c r="G667" s="5" t="n">
        <v>57.86</v>
      </c>
      <c r="H667" s="5">
        <f>F667*G667</f>
        <v/>
      </c>
      <c r="I667" s="5">
        <f>F667*VLOOKUP(D667,Products!$B$2:$E$13,3,FALSE)</f>
        <v/>
      </c>
    </row>
    <row r="668">
      <c r="A668" s="2" t="n">
        <v>46193</v>
      </c>
      <c r="B668" s="3" t="inlineStr">
        <is>
          <t>INV-2606-0667</t>
        </is>
      </c>
      <c r="C668" s="3" t="inlineStr">
        <is>
          <t>Yadav Daily Needs</t>
        </is>
      </c>
      <c r="D668" s="3" t="inlineStr">
        <is>
          <t>Detergent 1kg</t>
        </is>
      </c>
      <c r="E668" s="3" t="inlineStr">
        <is>
          <t>Household</t>
        </is>
      </c>
      <c r="F668" s="4" t="n">
        <v>93</v>
      </c>
      <c r="G668" s="5" t="n">
        <v>132.64</v>
      </c>
      <c r="H668" s="5">
        <f>F668*G668</f>
        <v/>
      </c>
      <c r="I668" s="5">
        <f>F668*VLOOKUP(D668,Products!$B$2:$E$13,3,FALSE)</f>
        <v/>
      </c>
    </row>
    <row r="669">
      <c r="A669" s="2" t="n">
        <v>46193</v>
      </c>
      <c r="B669" s="3" t="inlineStr">
        <is>
          <t>INV-2606-0668</t>
        </is>
      </c>
      <c r="C669" s="3" t="inlineStr">
        <is>
          <t>Nath Provisions</t>
        </is>
      </c>
      <c r="D669" s="3" t="inlineStr">
        <is>
          <t>Detergent 1kg</t>
        </is>
      </c>
      <c r="E669" s="3" t="inlineStr">
        <is>
          <t>Household</t>
        </is>
      </c>
      <c r="F669" s="4" t="n">
        <v>48</v>
      </c>
      <c r="G669" s="5" t="n">
        <v>129.83</v>
      </c>
      <c r="H669" s="5">
        <f>F669*G669</f>
        <v/>
      </c>
      <c r="I669" s="5">
        <f>F669*VLOOKUP(D669,Products!$B$2:$E$13,3,FALSE)</f>
        <v/>
      </c>
    </row>
    <row r="670">
      <c r="A670" s="2" t="n">
        <v>46193</v>
      </c>
      <c r="B670" s="3" t="inlineStr">
        <is>
          <t>INV-2606-0669</t>
        </is>
      </c>
      <c r="C670" s="3" t="inlineStr">
        <is>
          <t>Jha Provisions</t>
        </is>
      </c>
      <c r="D670" s="3" t="inlineStr">
        <is>
          <t>Detergent 1kg</t>
        </is>
      </c>
      <c r="E670" s="3" t="inlineStr">
        <is>
          <t>Household</t>
        </is>
      </c>
      <c r="F670" s="4" t="n">
        <v>42</v>
      </c>
      <c r="G670" s="5" t="n">
        <v>130.62</v>
      </c>
      <c r="H670" s="5">
        <f>F670*G670</f>
        <v/>
      </c>
      <c r="I670" s="5">
        <f>F670*VLOOKUP(D670,Products!$B$2:$E$13,3,FALSE)</f>
        <v/>
      </c>
    </row>
    <row r="671">
      <c r="A671" s="2" t="n">
        <v>46193</v>
      </c>
      <c r="B671" s="3" t="inlineStr">
        <is>
          <t>INV-2606-0670</t>
        </is>
      </c>
      <c r="C671" s="3" t="inlineStr">
        <is>
          <t>Rai Daily Mart</t>
        </is>
      </c>
      <c r="D671" s="3" t="inlineStr">
        <is>
          <t>Paneer 200g</t>
        </is>
      </c>
      <c r="E671" s="3" t="inlineStr">
        <is>
          <t>Dairy</t>
        </is>
      </c>
      <c r="F671" s="4" t="n">
        <v>60</v>
      </c>
      <c r="G671" s="5" t="n">
        <v>98.40000000000001</v>
      </c>
      <c r="H671" s="5">
        <f>F671*G671</f>
        <v/>
      </c>
      <c r="I671" s="5">
        <f>F671*VLOOKUP(D671,Products!$B$2:$E$13,3,FALSE)</f>
        <v/>
      </c>
    </row>
    <row r="672">
      <c r="A672" s="2" t="n">
        <v>46193</v>
      </c>
      <c r="B672" s="3" t="inlineStr">
        <is>
          <t>INV-2606-0671</t>
        </is>
      </c>
      <c r="C672" s="3" t="inlineStr">
        <is>
          <t>Raza Brothers</t>
        </is>
      </c>
      <c r="D672" s="3" t="inlineStr">
        <is>
          <t>Biscuits 400g</t>
        </is>
      </c>
      <c r="E672" s="3" t="inlineStr">
        <is>
          <t>Snacks</t>
        </is>
      </c>
      <c r="F672" s="4" t="n">
        <v>47</v>
      </c>
      <c r="G672" s="5" t="n">
        <v>39.05</v>
      </c>
      <c r="H672" s="5">
        <f>F672*G672</f>
        <v/>
      </c>
      <c r="I672" s="5">
        <f>F672*VLOOKUP(D672,Products!$B$2:$E$13,3,FALSE)</f>
        <v/>
      </c>
    </row>
    <row r="673">
      <c r="A673" s="2" t="n">
        <v>46193</v>
      </c>
      <c r="B673" s="3" t="inlineStr">
        <is>
          <t>INV-2606-0672</t>
        </is>
      </c>
      <c r="C673" s="3" t="inlineStr">
        <is>
          <t>Dubey Kirana</t>
        </is>
      </c>
      <c r="D673" s="3" t="inlineStr">
        <is>
          <t>Mango Juice 1L</t>
        </is>
      </c>
      <c r="E673" s="3" t="inlineStr">
        <is>
          <t>Beverages</t>
        </is>
      </c>
      <c r="F673" s="4" t="n">
        <v>10</v>
      </c>
      <c r="G673" s="5" t="n">
        <v>117.58</v>
      </c>
      <c r="H673" s="5">
        <f>F673*G673</f>
        <v/>
      </c>
      <c r="I673" s="5">
        <f>F673*VLOOKUP(D673,Products!$B$2:$E$13,3,FALSE)</f>
        <v/>
      </c>
    </row>
    <row r="674">
      <c r="A674" s="2" t="n">
        <v>46194</v>
      </c>
      <c r="B674" s="3" t="inlineStr">
        <is>
          <t>INV-2606-0673</t>
        </is>
      </c>
      <c r="C674" s="3" t="inlineStr">
        <is>
          <t>Kumari Kirana</t>
        </is>
      </c>
      <c r="D674" s="3" t="inlineStr">
        <is>
          <t>Dish Soap 500ml</t>
        </is>
      </c>
      <c r="E674" s="3" t="inlineStr">
        <is>
          <t>Household</t>
        </is>
      </c>
      <c r="F674" s="4" t="n">
        <v>11</v>
      </c>
      <c r="G674" s="5" t="n">
        <v>102.76</v>
      </c>
      <c r="H674" s="5">
        <f>F674*G674</f>
        <v/>
      </c>
      <c r="I674" s="5">
        <f>F674*VLOOKUP(D674,Products!$B$2:$E$13,3,FALSE)</f>
        <v/>
      </c>
    </row>
    <row r="675">
      <c r="A675" s="2" t="n">
        <v>46194</v>
      </c>
      <c r="B675" s="3" t="inlineStr">
        <is>
          <t>INV-2606-0674</t>
        </is>
      </c>
      <c r="C675" s="3" t="inlineStr">
        <is>
          <t>Sinha Super Mart</t>
        </is>
      </c>
      <c r="D675" s="3" t="inlineStr">
        <is>
          <t>Biscuits 400g</t>
        </is>
      </c>
      <c r="E675" s="3" t="inlineStr">
        <is>
          <t>Snacks</t>
        </is>
      </c>
      <c r="F675" s="4" t="n">
        <v>102</v>
      </c>
      <c r="G675" s="5" t="n">
        <v>38.95</v>
      </c>
      <c r="H675" s="5">
        <f>F675*G675</f>
        <v/>
      </c>
      <c r="I675" s="5">
        <f>F675*VLOOKUP(D675,Products!$B$2:$E$13,3,FALSE)</f>
        <v/>
      </c>
    </row>
    <row r="676">
      <c r="A676" s="2" t="n">
        <v>46194</v>
      </c>
      <c r="B676" s="3" t="inlineStr">
        <is>
          <t>INV-2606-0675</t>
        </is>
      </c>
      <c r="C676" s="3" t="inlineStr">
        <is>
          <t>Nath Provisions</t>
        </is>
      </c>
      <c r="D676" s="3" t="inlineStr">
        <is>
          <t>Potato Chips 150g</t>
        </is>
      </c>
      <c r="E676" s="3" t="inlineStr">
        <is>
          <t>Snacks</t>
        </is>
      </c>
      <c r="F676" s="4" t="n">
        <v>55</v>
      </c>
      <c r="G676" s="5" t="n">
        <v>48.95</v>
      </c>
      <c r="H676" s="5">
        <f>F676*G676</f>
        <v/>
      </c>
      <c r="I676" s="5">
        <f>F676*VLOOKUP(D676,Products!$B$2:$E$13,3,FALSE)</f>
        <v/>
      </c>
    </row>
    <row r="677">
      <c r="A677" s="2" t="n">
        <v>46194</v>
      </c>
      <c r="B677" s="3" t="inlineStr">
        <is>
          <t>INV-2606-0676</t>
        </is>
      </c>
      <c r="C677" s="3" t="inlineStr">
        <is>
          <t>Rai Daily Mart</t>
        </is>
      </c>
      <c r="D677" s="3" t="inlineStr">
        <is>
          <t>Detergent 1kg</t>
        </is>
      </c>
      <c r="E677" s="3" t="inlineStr">
        <is>
          <t>Household</t>
        </is>
      </c>
      <c r="F677" s="4" t="n">
        <v>102</v>
      </c>
      <c r="G677" s="5" t="n">
        <v>129.75</v>
      </c>
      <c r="H677" s="5">
        <f>F677*G677</f>
        <v/>
      </c>
      <c r="I677" s="5">
        <f>F677*VLOOKUP(D677,Products!$B$2:$E$13,3,FALSE)</f>
        <v/>
      </c>
    </row>
    <row r="678">
      <c r="A678" s="2" t="n">
        <v>46194</v>
      </c>
      <c r="B678" s="3" t="inlineStr">
        <is>
          <t>INV-2606-0677</t>
        </is>
      </c>
      <c r="C678" s="3" t="inlineStr">
        <is>
          <t>Choudhary Mart</t>
        </is>
      </c>
      <c r="D678" s="3" t="inlineStr">
        <is>
          <t>Instant Noodles 280g</t>
        </is>
      </c>
      <c r="E678" s="3" t="inlineStr">
        <is>
          <t>Snacks</t>
        </is>
      </c>
      <c r="F678" s="4" t="n">
        <v>20</v>
      </c>
      <c r="G678" s="5" t="n">
        <v>58.64</v>
      </c>
      <c r="H678" s="5">
        <f>F678*G678</f>
        <v/>
      </c>
      <c r="I678" s="5">
        <f>F678*VLOOKUP(D678,Products!$B$2:$E$13,3,FALSE)</f>
        <v/>
      </c>
    </row>
    <row r="679">
      <c r="A679" s="2" t="n">
        <v>46194</v>
      </c>
      <c r="B679" s="3" t="inlineStr">
        <is>
          <t>INV-2606-0678</t>
        </is>
      </c>
      <c r="C679" s="3" t="inlineStr">
        <is>
          <t>Nath Provisions</t>
        </is>
      </c>
      <c r="D679" s="3" t="inlineStr">
        <is>
          <t>Detergent 1kg</t>
        </is>
      </c>
      <c r="E679" s="3" t="inlineStr">
        <is>
          <t>Household</t>
        </is>
      </c>
      <c r="F679" s="4" t="n">
        <v>113</v>
      </c>
      <c r="G679" s="5" t="n">
        <v>127.68</v>
      </c>
      <c r="H679" s="5">
        <f>F679*G679</f>
        <v/>
      </c>
      <c r="I679" s="5">
        <f>F679*VLOOKUP(D679,Products!$B$2:$E$13,3,FALSE)</f>
        <v/>
      </c>
    </row>
    <row r="680">
      <c r="A680" s="2" t="n">
        <v>46194</v>
      </c>
      <c r="B680" s="3" t="inlineStr">
        <is>
          <t>INV-2606-0679</t>
        </is>
      </c>
      <c r="C680" s="3" t="inlineStr">
        <is>
          <t>Prasad Traders</t>
        </is>
      </c>
      <c r="D680" s="3" t="inlineStr">
        <is>
          <t>Cola 750ml</t>
        </is>
      </c>
      <c r="E680" s="3" t="inlineStr">
        <is>
          <t>Beverages</t>
        </is>
      </c>
      <c r="F680" s="4" t="n">
        <v>95</v>
      </c>
      <c r="G680" s="5" t="n">
        <v>46.91</v>
      </c>
      <c r="H680" s="5">
        <f>F680*G680</f>
        <v/>
      </c>
      <c r="I680" s="5">
        <f>F680*VLOOKUP(D680,Products!$B$2:$E$13,3,FALSE)</f>
        <v/>
      </c>
    </row>
    <row r="681">
      <c r="A681" s="2" t="n">
        <v>46195</v>
      </c>
      <c r="B681" s="3" t="inlineStr">
        <is>
          <t>INV-2606-0680</t>
        </is>
      </c>
      <c r="C681" s="3" t="inlineStr">
        <is>
          <t>Yadav Daily Needs</t>
        </is>
      </c>
      <c r="D681" s="3" t="inlineStr">
        <is>
          <t>Paneer 200g</t>
        </is>
      </c>
      <c r="E681" s="3" t="inlineStr">
        <is>
          <t>Dairy</t>
        </is>
      </c>
      <c r="F681" s="4" t="n">
        <v>81</v>
      </c>
      <c r="G681" s="5" t="n">
        <v>97.09999999999999</v>
      </c>
      <c r="H681" s="5">
        <f>F681*G681</f>
        <v/>
      </c>
      <c r="I681" s="5">
        <f>F681*VLOOKUP(D681,Products!$B$2:$E$13,3,FALSE)</f>
        <v/>
      </c>
    </row>
    <row r="682">
      <c r="A682" s="2" t="n">
        <v>46195</v>
      </c>
      <c r="B682" s="3" t="inlineStr">
        <is>
          <t>INV-2606-0681</t>
        </is>
      </c>
      <c r="C682" s="3" t="inlineStr">
        <is>
          <t>Azad Stores</t>
        </is>
      </c>
      <c r="D682" s="3" t="inlineStr">
        <is>
          <t>Curd Cup 400g</t>
        </is>
      </c>
      <c r="E682" s="3" t="inlineStr">
        <is>
          <t>Dairy</t>
        </is>
      </c>
      <c r="F682" s="4" t="n">
        <v>11</v>
      </c>
      <c r="G682" s="5" t="n">
        <v>45.77</v>
      </c>
      <c r="H682" s="5">
        <f>F682*G682</f>
        <v/>
      </c>
      <c r="I682" s="5">
        <f>F682*VLOOKUP(D682,Products!$B$2:$E$13,3,FALSE)</f>
        <v/>
      </c>
    </row>
    <row r="683">
      <c r="A683" s="2" t="n">
        <v>46195</v>
      </c>
      <c r="B683" s="3" t="inlineStr">
        <is>
          <t>INV-2606-0682</t>
        </is>
      </c>
      <c r="C683" s="3" t="inlineStr">
        <is>
          <t>Sahu Traders</t>
        </is>
      </c>
      <c r="D683" s="3" t="inlineStr">
        <is>
          <t>Toned Milk 1L</t>
        </is>
      </c>
      <c r="E683" s="3" t="inlineStr">
        <is>
          <t>Dairy</t>
        </is>
      </c>
      <c r="F683" s="4" t="n">
        <v>70</v>
      </c>
      <c r="G683" s="5" t="n">
        <v>68.45</v>
      </c>
      <c r="H683" s="5">
        <f>F683*G683</f>
        <v/>
      </c>
      <c r="I683" s="5">
        <f>F683*VLOOKUP(D683,Products!$B$2:$E$13,3,FALSE)</f>
        <v/>
      </c>
    </row>
    <row r="684">
      <c r="A684" s="2" t="n">
        <v>46195</v>
      </c>
      <c r="B684" s="3" t="inlineStr">
        <is>
          <t>INV-2606-0683</t>
        </is>
      </c>
      <c r="C684" s="3" t="inlineStr">
        <is>
          <t>Patel Traders</t>
        </is>
      </c>
      <c r="D684" s="3" t="inlineStr">
        <is>
          <t>Cola 750ml</t>
        </is>
      </c>
      <c r="E684" s="3" t="inlineStr">
        <is>
          <t>Beverages</t>
        </is>
      </c>
      <c r="F684" s="4" t="n">
        <v>10</v>
      </c>
      <c r="G684" s="5" t="n">
        <v>44.59</v>
      </c>
      <c r="H684" s="5">
        <f>F684*G684</f>
        <v/>
      </c>
      <c r="I684" s="5">
        <f>F684*VLOOKUP(D684,Products!$B$2:$E$13,3,FALSE)</f>
        <v/>
      </c>
    </row>
    <row r="685">
      <c r="A685" s="2" t="n">
        <v>46195</v>
      </c>
      <c r="B685" s="3" t="inlineStr">
        <is>
          <t>INV-2606-0684</t>
        </is>
      </c>
      <c r="C685" s="3" t="inlineStr">
        <is>
          <t>Pandey Stores</t>
        </is>
      </c>
      <c r="D685" s="3" t="inlineStr">
        <is>
          <t>Toned Milk 1L</t>
        </is>
      </c>
      <c r="E685" s="3" t="inlineStr">
        <is>
          <t>Dairy</t>
        </is>
      </c>
      <c r="F685" s="4" t="n">
        <v>75</v>
      </c>
      <c r="G685" s="5" t="n">
        <v>68.8</v>
      </c>
      <c r="H685" s="5">
        <f>F685*G685</f>
        <v/>
      </c>
      <c r="I685" s="5">
        <f>F685*VLOOKUP(D685,Products!$B$2:$E$13,3,FALSE)</f>
        <v/>
      </c>
    </row>
    <row r="686">
      <c r="A686" s="2" t="n">
        <v>46195</v>
      </c>
      <c r="B686" s="3" t="inlineStr">
        <is>
          <t>INV-2606-0685</t>
        </is>
      </c>
      <c r="C686" s="3" t="inlineStr">
        <is>
          <t>Khan Mart</t>
        </is>
      </c>
      <c r="D686" s="3" t="inlineStr">
        <is>
          <t>Potato Chips 150g</t>
        </is>
      </c>
      <c r="E686" s="3" t="inlineStr">
        <is>
          <t>Snacks</t>
        </is>
      </c>
      <c r="F686" s="4" t="n">
        <v>77</v>
      </c>
      <c r="G686" s="5" t="n">
        <v>49.22</v>
      </c>
      <c r="H686" s="5">
        <f>F686*G686</f>
        <v/>
      </c>
      <c r="I686" s="5">
        <f>F686*VLOOKUP(D686,Products!$B$2:$E$13,3,FALSE)</f>
        <v/>
      </c>
    </row>
    <row r="687">
      <c r="A687" s="2" t="n">
        <v>46195</v>
      </c>
      <c r="B687" s="3" t="inlineStr">
        <is>
          <t>INV-2606-0686</t>
        </is>
      </c>
      <c r="C687" s="3" t="inlineStr">
        <is>
          <t>Rai Daily Mart</t>
        </is>
      </c>
      <c r="D687" s="3" t="inlineStr">
        <is>
          <t>Biscuits 400g</t>
        </is>
      </c>
      <c r="E687" s="3" t="inlineStr">
        <is>
          <t>Snacks</t>
        </is>
      </c>
      <c r="F687" s="4" t="n">
        <v>48</v>
      </c>
      <c r="G687" s="5" t="n">
        <v>41.21</v>
      </c>
      <c r="H687" s="5">
        <f>F687*G687</f>
        <v/>
      </c>
      <c r="I687" s="5">
        <f>F687*VLOOKUP(D687,Products!$B$2:$E$13,3,FALSE)</f>
        <v/>
      </c>
    </row>
    <row r="688">
      <c r="A688" s="2" t="n">
        <v>46195</v>
      </c>
      <c r="B688" s="3" t="inlineStr">
        <is>
          <t>INV-2606-0687</t>
        </is>
      </c>
      <c r="C688" s="3" t="inlineStr">
        <is>
          <t>Mehta Retail</t>
        </is>
      </c>
      <c r="D688" s="3" t="inlineStr">
        <is>
          <t>Potato Chips 150g</t>
        </is>
      </c>
      <c r="E688" s="3" t="inlineStr">
        <is>
          <t>Snacks</t>
        </is>
      </c>
      <c r="F688" s="4" t="n">
        <v>47</v>
      </c>
      <c r="G688" s="5" t="n">
        <v>49.57</v>
      </c>
      <c r="H688" s="5">
        <f>F688*G688</f>
        <v/>
      </c>
      <c r="I688" s="5">
        <f>F688*VLOOKUP(D688,Products!$B$2:$E$13,3,FALSE)</f>
        <v/>
      </c>
    </row>
    <row r="689">
      <c r="A689" s="2" t="n">
        <v>46195</v>
      </c>
      <c r="B689" s="3" t="inlineStr">
        <is>
          <t>INV-2606-0688</t>
        </is>
      </c>
      <c r="C689" s="3" t="inlineStr">
        <is>
          <t>Sahu Traders</t>
        </is>
      </c>
      <c r="D689" s="3" t="inlineStr">
        <is>
          <t>Instant Noodles 280g</t>
        </is>
      </c>
      <c r="E689" s="3" t="inlineStr">
        <is>
          <t>Snacks</t>
        </is>
      </c>
      <c r="F689" s="4" t="n">
        <v>9</v>
      </c>
      <c r="G689" s="5" t="n">
        <v>56.61</v>
      </c>
      <c r="H689" s="5">
        <f>F689*G689</f>
        <v/>
      </c>
      <c r="I689" s="5">
        <f>F689*VLOOKUP(D689,Products!$B$2:$E$13,3,FALSE)</f>
        <v/>
      </c>
    </row>
    <row r="690">
      <c r="A690" s="2" t="n">
        <v>46196</v>
      </c>
      <c r="B690" s="3" t="inlineStr">
        <is>
          <t>INV-2606-0689</t>
        </is>
      </c>
      <c r="C690" s="3" t="inlineStr">
        <is>
          <t>Dubey Kirana</t>
        </is>
      </c>
      <c r="D690" s="3" t="inlineStr">
        <is>
          <t>Dish Soap 500ml</t>
        </is>
      </c>
      <c r="E690" s="3" t="inlineStr">
        <is>
          <t>Household</t>
        </is>
      </c>
      <c r="F690" s="4" t="n">
        <v>18</v>
      </c>
      <c r="G690" s="5" t="n">
        <v>101.59</v>
      </c>
      <c r="H690" s="5">
        <f>F690*G690</f>
        <v/>
      </c>
      <c r="I690" s="5">
        <f>F690*VLOOKUP(D690,Products!$B$2:$E$13,3,FALSE)</f>
        <v/>
      </c>
    </row>
    <row r="691">
      <c r="A691" s="2" t="n">
        <v>46196</v>
      </c>
      <c r="B691" s="3" t="inlineStr">
        <is>
          <t>INV-2606-0690</t>
        </is>
      </c>
      <c r="C691" s="3" t="inlineStr">
        <is>
          <t>Tiwari General</t>
        </is>
      </c>
      <c r="D691" s="3" t="inlineStr">
        <is>
          <t>Instant Noodles 280g</t>
        </is>
      </c>
      <c r="E691" s="3" t="inlineStr">
        <is>
          <t>Snacks</t>
        </is>
      </c>
      <c r="F691" s="4" t="n">
        <v>57</v>
      </c>
      <c r="G691" s="5" t="n">
        <v>57.16</v>
      </c>
      <c r="H691" s="5">
        <f>F691*G691</f>
        <v/>
      </c>
      <c r="I691" s="5">
        <f>F691*VLOOKUP(D691,Products!$B$2:$E$13,3,FALSE)</f>
        <v/>
      </c>
    </row>
    <row r="692">
      <c r="A692" s="2" t="n">
        <v>46196</v>
      </c>
      <c r="B692" s="3" t="inlineStr">
        <is>
          <t>INV-2606-0691</t>
        </is>
      </c>
      <c r="C692" s="3" t="inlineStr">
        <is>
          <t>Patel Traders</t>
        </is>
      </c>
      <c r="D692" s="3" t="inlineStr">
        <is>
          <t>Detergent 1kg</t>
        </is>
      </c>
      <c r="E692" s="3" t="inlineStr">
        <is>
          <t>Household</t>
        </is>
      </c>
      <c r="F692" s="4" t="n">
        <v>7</v>
      </c>
      <c r="G692" s="5" t="n">
        <v>135.11</v>
      </c>
      <c r="H692" s="5">
        <f>F692*G692</f>
        <v/>
      </c>
      <c r="I692" s="5">
        <f>F692*VLOOKUP(D692,Products!$B$2:$E$13,3,FALSE)</f>
        <v/>
      </c>
    </row>
    <row r="693">
      <c r="A693" s="2" t="n">
        <v>46196</v>
      </c>
      <c r="B693" s="3" t="inlineStr">
        <is>
          <t>INV-2606-0692</t>
        </is>
      </c>
      <c r="C693" s="3" t="inlineStr">
        <is>
          <t>Khan Mart</t>
        </is>
      </c>
      <c r="D693" s="3" t="inlineStr">
        <is>
          <t>Detergent 1kg</t>
        </is>
      </c>
      <c r="E693" s="3" t="inlineStr">
        <is>
          <t>Household</t>
        </is>
      </c>
      <c r="F693" s="4" t="n">
        <v>64</v>
      </c>
      <c r="G693" s="5" t="n">
        <v>130.92</v>
      </c>
      <c r="H693" s="5">
        <f>F693*G693</f>
        <v/>
      </c>
      <c r="I693" s="5">
        <f>F693*VLOOKUP(D693,Products!$B$2:$E$13,3,FALSE)</f>
        <v/>
      </c>
    </row>
    <row r="694">
      <c r="A694" s="2" t="n">
        <v>46196</v>
      </c>
      <c r="B694" s="3" t="inlineStr">
        <is>
          <t>INV-2606-0693</t>
        </is>
      </c>
      <c r="C694" s="3" t="inlineStr">
        <is>
          <t>Raza Brothers</t>
        </is>
      </c>
      <c r="D694" s="3" t="inlineStr">
        <is>
          <t>Dish Soap 500ml</t>
        </is>
      </c>
      <c r="E694" s="3" t="inlineStr">
        <is>
          <t>Household</t>
        </is>
      </c>
      <c r="F694" s="4" t="n">
        <v>66</v>
      </c>
      <c r="G694" s="5" t="n">
        <v>100.9</v>
      </c>
      <c r="H694" s="5">
        <f>F694*G694</f>
        <v/>
      </c>
      <c r="I694" s="5">
        <f>F694*VLOOKUP(D694,Products!$B$2:$E$13,3,FALSE)</f>
        <v/>
      </c>
    </row>
    <row r="695">
      <c r="A695" s="2" t="n">
        <v>46196</v>
      </c>
      <c r="B695" s="3" t="inlineStr">
        <is>
          <t>INV-2606-0694</t>
        </is>
      </c>
      <c r="C695" s="3" t="inlineStr">
        <is>
          <t>Singh Super Bazaar</t>
        </is>
      </c>
      <c r="D695" s="3" t="inlineStr">
        <is>
          <t>Packaged Water 1L</t>
        </is>
      </c>
      <c r="E695" s="3" t="inlineStr">
        <is>
          <t>Beverages</t>
        </is>
      </c>
      <c r="F695" s="4" t="n">
        <v>33</v>
      </c>
      <c r="G695" s="5" t="n">
        <v>19.4</v>
      </c>
      <c r="H695" s="5">
        <f>F695*G695</f>
        <v/>
      </c>
      <c r="I695" s="5">
        <f>F695*VLOOKUP(D695,Products!$B$2:$E$13,3,FALSE)</f>
        <v/>
      </c>
    </row>
    <row r="696">
      <c r="A696" s="2" t="n">
        <v>46196</v>
      </c>
      <c r="B696" s="3" t="inlineStr">
        <is>
          <t>INV-2606-0695</t>
        </is>
      </c>
      <c r="C696" s="3" t="inlineStr">
        <is>
          <t>Khan Mart</t>
        </is>
      </c>
      <c r="D696" s="3" t="inlineStr">
        <is>
          <t>Toned Milk 1L</t>
        </is>
      </c>
      <c r="E696" s="3" t="inlineStr">
        <is>
          <t>Dairy</t>
        </is>
      </c>
      <c r="F696" s="4" t="n">
        <v>31</v>
      </c>
      <c r="G696" s="5" t="n">
        <v>68.76000000000001</v>
      </c>
      <c r="H696" s="5">
        <f>F696*G696</f>
        <v/>
      </c>
      <c r="I696" s="5">
        <f>F696*VLOOKUP(D696,Products!$B$2:$E$13,3,FALSE)</f>
        <v/>
      </c>
    </row>
    <row r="697">
      <c r="A697" s="2" t="n">
        <v>46197</v>
      </c>
      <c r="B697" s="3" t="inlineStr">
        <is>
          <t>INV-2606-0696</t>
        </is>
      </c>
      <c r="C697" s="3" t="inlineStr">
        <is>
          <t>Pandey Stores</t>
        </is>
      </c>
      <c r="D697" s="3" t="inlineStr">
        <is>
          <t>Mango Juice 1L</t>
        </is>
      </c>
      <c r="E697" s="3" t="inlineStr">
        <is>
          <t>Beverages</t>
        </is>
      </c>
      <c r="F697" s="4" t="n">
        <v>90</v>
      </c>
      <c r="G697" s="5" t="n">
        <v>120.68</v>
      </c>
      <c r="H697" s="5">
        <f>F697*G697</f>
        <v/>
      </c>
      <c r="I697" s="5">
        <f>F697*VLOOKUP(D697,Products!$B$2:$E$13,3,FALSE)</f>
        <v/>
      </c>
    </row>
    <row r="698">
      <c r="A698" s="2" t="n">
        <v>46197</v>
      </c>
      <c r="B698" s="3" t="inlineStr">
        <is>
          <t>INV-2606-0697</t>
        </is>
      </c>
      <c r="C698" s="3" t="inlineStr">
        <is>
          <t>Sinha Super Mart</t>
        </is>
      </c>
      <c r="D698" s="3" t="inlineStr">
        <is>
          <t>Floor Cleaner 1L</t>
        </is>
      </c>
      <c r="E698" s="3" t="inlineStr">
        <is>
          <t>Household</t>
        </is>
      </c>
      <c r="F698" s="4" t="n">
        <v>35</v>
      </c>
      <c r="G698" s="5" t="n">
        <v>107.7</v>
      </c>
      <c r="H698" s="5">
        <f>F698*G698</f>
        <v/>
      </c>
      <c r="I698" s="5">
        <f>F698*VLOOKUP(D698,Products!$B$2:$E$13,3,FALSE)</f>
        <v/>
      </c>
    </row>
    <row r="699">
      <c r="A699" s="2" t="n">
        <v>46197</v>
      </c>
      <c r="B699" s="3" t="inlineStr">
        <is>
          <t>INV-2606-0698</t>
        </is>
      </c>
      <c r="C699" s="3" t="inlineStr">
        <is>
          <t>Singh Super Bazaar</t>
        </is>
      </c>
      <c r="D699" s="3" t="inlineStr">
        <is>
          <t>Floor Cleaner 1L</t>
        </is>
      </c>
      <c r="E699" s="3" t="inlineStr">
        <is>
          <t>Household</t>
        </is>
      </c>
      <c r="F699" s="4" t="n">
        <v>59</v>
      </c>
      <c r="G699" s="5" t="n">
        <v>110</v>
      </c>
      <c r="H699" s="5">
        <f>F699*G699</f>
        <v/>
      </c>
      <c r="I699" s="5">
        <f>F699*VLOOKUP(D699,Products!$B$2:$E$13,3,FALSE)</f>
        <v/>
      </c>
    </row>
    <row r="700">
      <c r="A700" s="2" t="n">
        <v>46197</v>
      </c>
      <c r="B700" s="3" t="inlineStr">
        <is>
          <t>INV-2606-0699</t>
        </is>
      </c>
      <c r="C700" s="3" t="inlineStr">
        <is>
          <t>Khan Mart</t>
        </is>
      </c>
      <c r="D700" s="3" t="inlineStr">
        <is>
          <t>Detergent 1kg</t>
        </is>
      </c>
      <c r="E700" s="3" t="inlineStr">
        <is>
          <t>Household</t>
        </is>
      </c>
      <c r="F700" s="4" t="n">
        <v>44</v>
      </c>
      <c r="G700" s="5" t="n">
        <v>136.22</v>
      </c>
      <c r="H700" s="5">
        <f>F700*G700</f>
        <v/>
      </c>
      <c r="I700" s="5">
        <f>F700*VLOOKUP(D700,Products!$B$2:$E$13,3,FALSE)</f>
        <v/>
      </c>
    </row>
    <row r="701">
      <c r="A701" s="2" t="n">
        <v>46197</v>
      </c>
      <c r="B701" s="3" t="inlineStr">
        <is>
          <t>INV-2606-0700</t>
        </is>
      </c>
      <c r="C701" s="3" t="inlineStr">
        <is>
          <t>Jha Provisions</t>
        </is>
      </c>
      <c r="D701" s="3" t="inlineStr">
        <is>
          <t>Dish Soap 500ml</t>
        </is>
      </c>
      <c r="E701" s="3" t="inlineStr">
        <is>
          <t>Household</t>
        </is>
      </c>
      <c r="F701" s="4" t="n">
        <v>27</v>
      </c>
      <c r="G701" s="5" t="n">
        <v>98.59</v>
      </c>
      <c r="H701" s="5">
        <f>F701*G701</f>
        <v/>
      </c>
      <c r="I701" s="5">
        <f>F701*VLOOKUP(D701,Products!$B$2:$E$13,3,FALSE)</f>
        <v/>
      </c>
    </row>
    <row r="702">
      <c r="A702" s="2" t="n">
        <v>46197</v>
      </c>
      <c r="B702" s="3" t="inlineStr">
        <is>
          <t>INV-2606-0701</t>
        </is>
      </c>
      <c r="C702" s="3" t="inlineStr">
        <is>
          <t>Nath Provisions</t>
        </is>
      </c>
      <c r="D702" s="3" t="inlineStr">
        <is>
          <t>Biscuits 400g</t>
        </is>
      </c>
      <c r="E702" s="3" t="inlineStr">
        <is>
          <t>Snacks</t>
        </is>
      </c>
      <c r="F702" s="4" t="n">
        <v>4</v>
      </c>
      <c r="G702" s="5" t="n">
        <v>41.8</v>
      </c>
      <c r="H702" s="5">
        <f>F702*G702</f>
        <v/>
      </c>
      <c r="I702" s="5">
        <f>F702*VLOOKUP(D702,Products!$B$2:$E$13,3,FALSE)</f>
        <v/>
      </c>
    </row>
    <row r="703">
      <c r="A703" s="2" t="n">
        <v>46197</v>
      </c>
      <c r="B703" s="3" t="inlineStr">
        <is>
          <t>INV-2606-0702</t>
        </is>
      </c>
      <c r="C703" s="3" t="inlineStr">
        <is>
          <t>Tiwari General</t>
        </is>
      </c>
      <c r="D703" s="3" t="inlineStr">
        <is>
          <t>Potato Chips 150g</t>
        </is>
      </c>
      <c r="E703" s="3" t="inlineStr">
        <is>
          <t>Snacks</t>
        </is>
      </c>
      <c r="F703" s="4" t="n">
        <v>8</v>
      </c>
      <c r="G703" s="5" t="n">
        <v>51.89</v>
      </c>
      <c r="H703" s="5">
        <f>F703*G703</f>
        <v/>
      </c>
      <c r="I703" s="5">
        <f>F703*VLOOKUP(D703,Products!$B$2:$E$13,3,FALSE)</f>
        <v/>
      </c>
    </row>
    <row r="704">
      <c r="A704" s="2" t="n">
        <v>46198</v>
      </c>
      <c r="B704" s="3" t="inlineStr">
        <is>
          <t>INV-2606-0703</t>
        </is>
      </c>
      <c r="C704" s="3" t="inlineStr">
        <is>
          <t>Pandey Stores</t>
        </is>
      </c>
      <c r="D704" s="3" t="inlineStr">
        <is>
          <t>Toned Milk 1L</t>
        </is>
      </c>
      <c r="E704" s="3" t="inlineStr">
        <is>
          <t>Dairy</t>
        </is>
      </c>
      <c r="F704" s="4" t="n">
        <v>63</v>
      </c>
      <c r="G704" s="5" t="n">
        <v>66.33</v>
      </c>
      <c r="H704" s="5">
        <f>F704*G704</f>
        <v/>
      </c>
      <c r="I704" s="5">
        <f>F704*VLOOKUP(D704,Products!$B$2:$E$13,3,FALSE)</f>
        <v/>
      </c>
    </row>
    <row r="705">
      <c r="A705" s="2" t="n">
        <v>46198</v>
      </c>
      <c r="B705" s="3" t="inlineStr">
        <is>
          <t>INV-2606-0704</t>
        </is>
      </c>
      <c r="C705" s="3" t="inlineStr">
        <is>
          <t>Sinha Super Mart</t>
        </is>
      </c>
      <c r="D705" s="3" t="inlineStr">
        <is>
          <t>Dish Soap 500ml</t>
        </is>
      </c>
      <c r="E705" s="3" t="inlineStr">
        <is>
          <t>Household</t>
        </is>
      </c>
      <c r="F705" s="4" t="n">
        <v>16</v>
      </c>
      <c r="G705" s="5" t="n">
        <v>102.75</v>
      </c>
      <c r="H705" s="5">
        <f>F705*G705</f>
        <v/>
      </c>
      <c r="I705" s="5">
        <f>F705*VLOOKUP(D705,Products!$B$2:$E$13,3,FALSE)</f>
        <v/>
      </c>
    </row>
    <row r="706">
      <c r="A706" s="2" t="n">
        <v>46198</v>
      </c>
      <c r="B706" s="3" t="inlineStr">
        <is>
          <t>INV-2606-0705</t>
        </is>
      </c>
      <c r="C706" s="3" t="inlineStr">
        <is>
          <t>Pandey Stores</t>
        </is>
      </c>
      <c r="D706" s="3" t="inlineStr">
        <is>
          <t>Paneer 200g</t>
        </is>
      </c>
      <c r="E706" s="3" t="inlineStr">
        <is>
          <t>Dairy</t>
        </is>
      </c>
      <c r="F706" s="4" t="n">
        <v>58</v>
      </c>
      <c r="G706" s="5" t="n">
        <v>98.86</v>
      </c>
      <c r="H706" s="5">
        <f>F706*G706</f>
        <v/>
      </c>
      <c r="I706" s="5">
        <f>F706*VLOOKUP(D706,Products!$B$2:$E$13,3,FALSE)</f>
        <v/>
      </c>
    </row>
    <row r="707">
      <c r="A707" s="2" t="n">
        <v>46198</v>
      </c>
      <c r="B707" s="3" t="inlineStr">
        <is>
          <t>INV-2606-0706</t>
        </is>
      </c>
      <c r="C707" s="3" t="inlineStr">
        <is>
          <t>Ali General Store</t>
        </is>
      </c>
      <c r="D707" s="3" t="inlineStr">
        <is>
          <t>Potato Chips 150g</t>
        </is>
      </c>
      <c r="E707" s="3" t="inlineStr">
        <is>
          <t>Snacks</t>
        </is>
      </c>
      <c r="F707" s="4" t="n">
        <v>8</v>
      </c>
      <c r="G707" s="5" t="n">
        <v>51.08</v>
      </c>
      <c r="H707" s="5">
        <f>F707*G707</f>
        <v/>
      </c>
      <c r="I707" s="5">
        <f>F707*VLOOKUP(D707,Products!$B$2:$E$13,3,FALSE)</f>
        <v/>
      </c>
    </row>
    <row r="708">
      <c r="A708" s="2" t="n">
        <v>46198</v>
      </c>
      <c r="B708" s="3" t="inlineStr">
        <is>
          <t>INV-2606-0707</t>
        </is>
      </c>
      <c r="C708" s="3" t="inlineStr">
        <is>
          <t>Raza Brothers</t>
        </is>
      </c>
      <c r="D708" s="3" t="inlineStr">
        <is>
          <t>Biscuits 400g</t>
        </is>
      </c>
      <c r="E708" s="3" t="inlineStr">
        <is>
          <t>Snacks</t>
        </is>
      </c>
      <c r="F708" s="4" t="n">
        <v>25</v>
      </c>
      <c r="G708" s="5" t="n">
        <v>40.56</v>
      </c>
      <c r="H708" s="5">
        <f>F708*G708</f>
        <v/>
      </c>
      <c r="I708" s="5">
        <f>F708*VLOOKUP(D708,Products!$B$2:$E$13,3,FALSE)</f>
        <v/>
      </c>
    </row>
    <row r="709">
      <c r="A709" s="2" t="n">
        <v>46199</v>
      </c>
      <c r="B709" s="3" t="inlineStr">
        <is>
          <t>INV-2606-0708</t>
        </is>
      </c>
      <c r="C709" s="3" t="inlineStr">
        <is>
          <t>Tiwari General</t>
        </is>
      </c>
      <c r="D709" s="3" t="inlineStr">
        <is>
          <t>Mango Juice 1L</t>
        </is>
      </c>
      <c r="E709" s="3" t="inlineStr">
        <is>
          <t>Beverages</t>
        </is>
      </c>
      <c r="F709" s="4" t="n">
        <v>49</v>
      </c>
      <c r="G709" s="5" t="n">
        <v>117.6</v>
      </c>
      <c r="H709" s="5">
        <f>F709*G709</f>
        <v/>
      </c>
      <c r="I709" s="5">
        <f>F709*VLOOKUP(D709,Products!$B$2:$E$13,3,FALSE)</f>
        <v/>
      </c>
    </row>
    <row r="710">
      <c r="A710" s="2" t="n">
        <v>46199</v>
      </c>
      <c r="B710" s="3" t="inlineStr">
        <is>
          <t>INV-2606-0709</t>
        </is>
      </c>
      <c r="C710" s="3" t="inlineStr">
        <is>
          <t>Yadav Daily Needs</t>
        </is>
      </c>
      <c r="D710" s="3" t="inlineStr">
        <is>
          <t>Floor Cleaner 1L</t>
        </is>
      </c>
      <c r="E710" s="3" t="inlineStr">
        <is>
          <t>Household</t>
        </is>
      </c>
      <c r="F710" s="4" t="n">
        <v>49</v>
      </c>
      <c r="G710" s="5" t="n">
        <v>112.35</v>
      </c>
      <c r="H710" s="5">
        <f>F710*G710</f>
        <v/>
      </c>
      <c r="I710" s="5">
        <f>F710*VLOOKUP(D710,Products!$B$2:$E$13,3,FALSE)</f>
        <v/>
      </c>
    </row>
    <row r="711">
      <c r="A711" s="2" t="n">
        <v>46199</v>
      </c>
      <c r="B711" s="3" t="inlineStr">
        <is>
          <t>INV-2606-0710</t>
        </is>
      </c>
      <c r="C711" s="3" t="inlineStr">
        <is>
          <t>Singh Super Bazaar</t>
        </is>
      </c>
      <c r="D711" s="3" t="inlineStr">
        <is>
          <t>Toned Milk 1L</t>
        </is>
      </c>
      <c r="E711" s="3" t="inlineStr">
        <is>
          <t>Dairy</t>
        </is>
      </c>
      <c r="F711" s="4" t="n">
        <v>61</v>
      </c>
      <c r="G711" s="5" t="n">
        <v>64.94</v>
      </c>
      <c r="H711" s="5">
        <f>F711*G711</f>
        <v/>
      </c>
      <c r="I711" s="5">
        <f>F711*VLOOKUP(D711,Products!$B$2:$E$13,3,FALSE)</f>
        <v/>
      </c>
    </row>
    <row r="712">
      <c r="A712" s="2" t="n">
        <v>46199</v>
      </c>
      <c r="B712" s="3" t="inlineStr">
        <is>
          <t>INV-2606-0711</t>
        </is>
      </c>
      <c r="C712" s="3" t="inlineStr">
        <is>
          <t>Mishra Stores</t>
        </is>
      </c>
      <c r="D712" s="3" t="inlineStr">
        <is>
          <t>Toned Milk 1L</t>
        </is>
      </c>
      <c r="E712" s="3" t="inlineStr">
        <is>
          <t>Dairy</t>
        </is>
      </c>
      <c r="F712" s="4" t="n">
        <v>40</v>
      </c>
      <c r="G712" s="5" t="n">
        <v>67.7</v>
      </c>
      <c r="H712" s="5">
        <f>F712*G712</f>
        <v/>
      </c>
      <c r="I712" s="5">
        <f>F712*VLOOKUP(D712,Products!$B$2:$E$13,3,FALSE)</f>
        <v/>
      </c>
    </row>
    <row r="713">
      <c r="A713" s="2" t="n">
        <v>46199</v>
      </c>
      <c r="B713" s="3" t="inlineStr">
        <is>
          <t>INV-2606-0712</t>
        </is>
      </c>
      <c r="C713" s="3" t="inlineStr">
        <is>
          <t>Choudhary Mart</t>
        </is>
      </c>
      <c r="D713" s="3" t="inlineStr">
        <is>
          <t>Packaged Water 1L</t>
        </is>
      </c>
      <c r="E713" s="3" t="inlineStr">
        <is>
          <t>Beverages</t>
        </is>
      </c>
      <c r="F713" s="4" t="n">
        <v>25</v>
      </c>
      <c r="G713" s="5" t="n">
        <v>20.42</v>
      </c>
      <c r="H713" s="5">
        <f>F713*G713</f>
        <v/>
      </c>
      <c r="I713" s="5">
        <f>F713*VLOOKUP(D713,Products!$B$2:$E$13,3,FALSE)</f>
        <v/>
      </c>
    </row>
    <row r="714">
      <c r="A714" s="2" t="n">
        <v>46199</v>
      </c>
      <c r="B714" s="3" t="inlineStr">
        <is>
          <t>INV-2606-0713</t>
        </is>
      </c>
      <c r="C714" s="3" t="inlineStr">
        <is>
          <t>Jha Provisions</t>
        </is>
      </c>
      <c r="D714" s="3" t="inlineStr">
        <is>
          <t>Packaged Water 1L</t>
        </is>
      </c>
      <c r="E714" s="3" t="inlineStr">
        <is>
          <t>Beverages</t>
        </is>
      </c>
      <c r="F714" s="4" t="n">
        <v>57</v>
      </c>
      <c r="G714" s="5" t="n">
        <v>19.81</v>
      </c>
      <c r="H714" s="5">
        <f>F714*G714</f>
        <v/>
      </c>
      <c r="I714" s="5">
        <f>F714*VLOOKUP(D714,Products!$B$2:$E$13,3,FALSE)</f>
        <v/>
      </c>
    </row>
    <row r="715">
      <c r="A715" s="2" t="n">
        <v>46199</v>
      </c>
      <c r="B715" s="3" t="inlineStr">
        <is>
          <t>INV-2606-0714</t>
        </is>
      </c>
      <c r="C715" s="3" t="inlineStr">
        <is>
          <t>Ali General Store</t>
        </is>
      </c>
      <c r="D715" s="3" t="inlineStr">
        <is>
          <t>Floor Cleaner 1L</t>
        </is>
      </c>
      <c r="E715" s="3" t="inlineStr">
        <is>
          <t>Household</t>
        </is>
      </c>
      <c r="F715" s="4" t="n">
        <v>25</v>
      </c>
      <c r="G715" s="5" t="n">
        <v>108.12</v>
      </c>
      <c r="H715" s="5">
        <f>F715*G715</f>
        <v/>
      </c>
      <c r="I715" s="5">
        <f>F715*VLOOKUP(D715,Products!$B$2:$E$13,3,FALSE)</f>
        <v/>
      </c>
    </row>
    <row r="716">
      <c r="A716" s="2" t="n">
        <v>46199</v>
      </c>
      <c r="B716" s="3" t="inlineStr">
        <is>
          <t>INV-2606-0715</t>
        </is>
      </c>
      <c r="C716" s="3" t="inlineStr">
        <is>
          <t>Verma Retail</t>
        </is>
      </c>
      <c r="D716" s="3" t="inlineStr">
        <is>
          <t>Instant Noodles 280g</t>
        </is>
      </c>
      <c r="E716" s="3" t="inlineStr">
        <is>
          <t>Snacks</t>
        </is>
      </c>
      <c r="F716" s="4" t="n">
        <v>46</v>
      </c>
      <c r="G716" s="5" t="n">
        <v>57.39</v>
      </c>
      <c r="H716" s="5">
        <f>F716*G716</f>
        <v/>
      </c>
      <c r="I716" s="5">
        <f>F716*VLOOKUP(D716,Products!$B$2:$E$13,3,FALSE)</f>
        <v/>
      </c>
    </row>
    <row r="717">
      <c r="A717" s="2" t="n">
        <v>46199</v>
      </c>
      <c r="B717" s="3" t="inlineStr">
        <is>
          <t>INV-2606-0716</t>
        </is>
      </c>
      <c r="C717" s="3" t="inlineStr">
        <is>
          <t>Sharma Provision</t>
        </is>
      </c>
      <c r="D717" s="3" t="inlineStr">
        <is>
          <t>Toned Milk 1L</t>
        </is>
      </c>
      <c r="E717" s="3" t="inlineStr">
        <is>
          <t>Dairy</t>
        </is>
      </c>
      <c r="F717" s="4" t="n">
        <v>22</v>
      </c>
      <c r="G717" s="5" t="n">
        <v>67.95</v>
      </c>
      <c r="H717" s="5">
        <f>F717*G717</f>
        <v/>
      </c>
      <c r="I717" s="5">
        <f>F717*VLOOKUP(D717,Products!$B$2:$E$13,3,FALSE)</f>
        <v/>
      </c>
    </row>
    <row r="718">
      <c r="A718" s="2" t="n">
        <v>46200</v>
      </c>
      <c r="B718" s="3" t="inlineStr">
        <is>
          <t>INV-2606-0717</t>
        </is>
      </c>
      <c r="C718" s="3" t="inlineStr">
        <is>
          <t>Verma Retail</t>
        </is>
      </c>
      <c r="D718" s="3" t="inlineStr">
        <is>
          <t>Floor Cleaner 1L</t>
        </is>
      </c>
      <c r="E718" s="3" t="inlineStr">
        <is>
          <t>Household</t>
        </is>
      </c>
      <c r="F718" s="4" t="n">
        <v>30</v>
      </c>
      <c r="G718" s="5" t="n">
        <v>111.92</v>
      </c>
      <c r="H718" s="5">
        <f>F718*G718</f>
        <v/>
      </c>
      <c r="I718" s="5">
        <f>F718*VLOOKUP(D718,Products!$B$2:$E$13,3,FALSE)</f>
        <v/>
      </c>
    </row>
    <row r="719">
      <c r="A719" s="2" t="n">
        <v>46200</v>
      </c>
      <c r="B719" s="3" t="inlineStr">
        <is>
          <t>INV-2606-0718</t>
        </is>
      </c>
      <c r="C719" s="3" t="inlineStr">
        <is>
          <t>Pandey Stores</t>
        </is>
      </c>
      <c r="D719" s="3" t="inlineStr">
        <is>
          <t>Packaged Water 1L</t>
        </is>
      </c>
      <c r="E719" s="3" t="inlineStr">
        <is>
          <t>Beverages</t>
        </is>
      </c>
      <c r="F719" s="4" t="n">
        <v>151</v>
      </c>
      <c r="G719" s="5" t="n">
        <v>20.53</v>
      </c>
      <c r="H719" s="5">
        <f>F719*G719</f>
        <v/>
      </c>
      <c r="I719" s="5">
        <f>F719*VLOOKUP(D719,Products!$B$2:$E$13,3,FALSE)</f>
        <v/>
      </c>
    </row>
    <row r="720">
      <c r="A720" s="2" t="n">
        <v>46200</v>
      </c>
      <c r="B720" s="3" t="inlineStr">
        <is>
          <t>INV-2606-0719</t>
        </is>
      </c>
      <c r="C720" s="3" t="inlineStr">
        <is>
          <t>Yadav Daily Needs</t>
        </is>
      </c>
      <c r="D720" s="3" t="inlineStr">
        <is>
          <t>Mango Juice 1L</t>
        </is>
      </c>
      <c r="E720" s="3" t="inlineStr">
        <is>
          <t>Beverages</t>
        </is>
      </c>
      <c r="F720" s="4" t="n">
        <v>67</v>
      </c>
      <c r="G720" s="5" t="n">
        <v>125.06</v>
      </c>
      <c r="H720" s="5">
        <f>F720*G720</f>
        <v/>
      </c>
      <c r="I720" s="5">
        <f>F720*VLOOKUP(D720,Products!$B$2:$E$13,3,FALSE)</f>
        <v/>
      </c>
    </row>
    <row r="721">
      <c r="A721" s="2" t="n">
        <v>46200</v>
      </c>
      <c r="B721" s="3" t="inlineStr">
        <is>
          <t>INV-2606-0720</t>
        </is>
      </c>
      <c r="C721" s="3" t="inlineStr">
        <is>
          <t>Raza Brothers</t>
        </is>
      </c>
      <c r="D721" s="3" t="inlineStr">
        <is>
          <t>Mango Juice 1L</t>
        </is>
      </c>
      <c r="E721" s="3" t="inlineStr">
        <is>
          <t>Beverages</t>
        </is>
      </c>
      <c r="F721" s="4" t="n">
        <v>73</v>
      </c>
      <c r="G721" s="5" t="n">
        <v>125.31</v>
      </c>
      <c r="H721" s="5">
        <f>F721*G721</f>
        <v/>
      </c>
      <c r="I721" s="5">
        <f>F721*VLOOKUP(D721,Products!$B$2:$E$13,3,FALSE)</f>
        <v/>
      </c>
    </row>
    <row r="722">
      <c r="A722" s="2" t="n">
        <v>46200</v>
      </c>
      <c r="B722" s="3" t="inlineStr">
        <is>
          <t>INV-2606-0721</t>
        </is>
      </c>
      <c r="C722" s="3" t="inlineStr">
        <is>
          <t>Raza Brothers</t>
        </is>
      </c>
      <c r="D722" s="3" t="inlineStr">
        <is>
          <t>Paneer 200g</t>
        </is>
      </c>
      <c r="E722" s="3" t="inlineStr">
        <is>
          <t>Dairy</t>
        </is>
      </c>
      <c r="F722" s="4" t="n">
        <v>73</v>
      </c>
      <c r="G722" s="5" t="n">
        <v>98.03</v>
      </c>
      <c r="H722" s="5">
        <f>F722*G722</f>
        <v/>
      </c>
      <c r="I722" s="5">
        <f>F722*VLOOKUP(D722,Products!$B$2:$E$13,3,FALSE)</f>
        <v/>
      </c>
    </row>
    <row r="723">
      <c r="A723" s="2" t="n">
        <v>46200</v>
      </c>
      <c r="B723" s="3" t="inlineStr">
        <is>
          <t>INV-2606-0722</t>
        </is>
      </c>
      <c r="C723" s="3" t="inlineStr">
        <is>
          <t>Sinha Super Mart</t>
        </is>
      </c>
      <c r="D723" s="3" t="inlineStr">
        <is>
          <t>Mango Juice 1L</t>
        </is>
      </c>
      <c r="E723" s="3" t="inlineStr">
        <is>
          <t>Beverages</t>
        </is>
      </c>
      <c r="F723" s="4" t="n">
        <v>16</v>
      </c>
      <c r="G723" s="5" t="n">
        <v>118.55</v>
      </c>
      <c r="H723" s="5">
        <f>F723*G723</f>
        <v/>
      </c>
      <c r="I723" s="5">
        <f>F723*VLOOKUP(D723,Products!$B$2:$E$13,3,FALSE)</f>
        <v/>
      </c>
    </row>
    <row r="724">
      <c r="A724" s="2" t="n">
        <v>46200</v>
      </c>
      <c r="B724" s="3" t="inlineStr">
        <is>
          <t>INV-2606-0723</t>
        </is>
      </c>
      <c r="C724" s="3" t="inlineStr">
        <is>
          <t>Jha Provisions</t>
        </is>
      </c>
      <c r="D724" s="3" t="inlineStr">
        <is>
          <t>Biscuits 400g</t>
        </is>
      </c>
      <c r="E724" s="3" t="inlineStr">
        <is>
          <t>Snacks</t>
        </is>
      </c>
      <c r="F724" s="4" t="n">
        <v>106</v>
      </c>
      <c r="G724" s="5" t="n">
        <v>39.38</v>
      </c>
      <c r="H724" s="5">
        <f>F724*G724</f>
        <v/>
      </c>
      <c r="I724" s="5">
        <f>F724*VLOOKUP(D724,Products!$B$2:$E$13,3,FALSE)</f>
        <v/>
      </c>
    </row>
    <row r="725">
      <c r="A725" s="2" t="n">
        <v>46200</v>
      </c>
      <c r="B725" s="3" t="inlineStr">
        <is>
          <t>INV-2606-0724</t>
        </is>
      </c>
      <c r="C725" s="3" t="inlineStr">
        <is>
          <t>Khan Mart</t>
        </is>
      </c>
      <c r="D725" s="3" t="inlineStr">
        <is>
          <t>Paneer 200g</t>
        </is>
      </c>
      <c r="E725" s="3" t="inlineStr">
        <is>
          <t>Dairy</t>
        </is>
      </c>
      <c r="F725" s="4" t="n">
        <v>38</v>
      </c>
      <c r="G725" s="5" t="n">
        <v>95.88</v>
      </c>
      <c r="H725" s="5">
        <f>F725*G725</f>
        <v/>
      </c>
      <c r="I725" s="5">
        <f>F725*VLOOKUP(D725,Products!$B$2:$E$13,3,FALSE)</f>
        <v/>
      </c>
    </row>
    <row r="726">
      <c r="A726" s="2" t="n">
        <v>46200</v>
      </c>
      <c r="B726" s="3" t="inlineStr">
        <is>
          <t>INV-2606-0725</t>
        </is>
      </c>
      <c r="C726" s="3" t="inlineStr">
        <is>
          <t>Gupta General Store</t>
        </is>
      </c>
      <c r="D726" s="3" t="inlineStr">
        <is>
          <t>Floor Cleaner 1L</t>
        </is>
      </c>
      <c r="E726" s="3" t="inlineStr">
        <is>
          <t>Household</t>
        </is>
      </c>
      <c r="F726" s="4" t="n">
        <v>4</v>
      </c>
      <c r="G726" s="5" t="n">
        <v>114.71</v>
      </c>
      <c r="H726" s="5">
        <f>F726*G726</f>
        <v/>
      </c>
      <c r="I726" s="5">
        <f>F726*VLOOKUP(D726,Products!$B$2:$E$13,3,FALSE)</f>
        <v/>
      </c>
    </row>
    <row r="727">
      <c r="A727" s="2" t="n">
        <v>46200</v>
      </c>
      <c r="B727" s="3" t="inlineStr">
        <is>
          <t>INV-2606-0726</t>
        </is>
      </c>
      <c r="C727" s="3" t="inlineStr">
        <is>
          <t>Yadav Daily Needs</t>
        </is>
      </c>
      <c r="D727" s="3" t="inlineStr">
        <is>
          <t>Dish Soap 500ml</t>
        </is>
      </c>
      <c r="E727" s="3" t="inlineStr">
        <is>
          <t>Household</t>
        </is>
      </c>
      <c r="F727" s="4" t="n">
        <v>5</v>
      </c>
      <c r="G727" s="5" t="n">
        <v>103.91</v>
      </c>
      <c r="H727" s="5">
        <f>F727*G727</f>
        <v/>
      </c>
      <c r="I727" s="5">
        <f>F727*VLOOKUP(D727,Products!$B$2:$E$13,3,FALSE)</f>
        <v/>
      </c>
    </row>
    <row r="728">
      <c r="A728" s="2" t="n">
        <v>46201</v>
      </c>
      <c r="B728" s="3" t="inlineStr">
        <is>
          <t>INV-2606-0727</t>
        </is>
      </c>
      <c r="C728" s="3" t="inlineStr">
        <is>
          <t>Mishra Stores</t>
        </is>
      </c>
      <c r="D728" s="3" t="inlineStr">
        <is>
          <t>Potato Chips 150g</t>
        </is>
      </c>
      <c r="E728" s="3" t="inlineStr">
        <is>
          <t>Snacks</t>
        </is>
      </c>
      <c r="F728" s="4" t="n">
        <v>63</v>
      </c>
      <c r="G728" s="5" t="n">
        <v>51.77</v>
      </c>
      <c r="H728" s="5">
        <f>F728*G728</f>
        <v/>
      </c>
      <c r="I728" s="5">
        <f>F728*VLOOKUP(D728,Products!$B$2:$E$13,3,FALSE)</f>
        <v/>
      </c>
    </row>
    <row r="729">
      <c r="A729" s="2" t="n">
        <v>46201</v>
      </c>
      <c r="B729" s="3" t="inlineStr">
        <is>
          <t>INV-2606-0728</t>
        </is>
      </c>
      <c r="C729" s="3" t="inlineStr">
        <is>
          <t>Tiwari General</t>
        </is>
      </c>
      <c r="D729" s="3" t="inlineStr">
        <is>
          <t>Biscuits 400g</t>
        </is>
      </c>
      <c r="E729" s="3" t="inlineStr">
        <is>
          <t>Snacks</t>
        </is>
      </c>
      <c r="F729" s="4" t="n">
        <v>71</v>
      </c>
      <c r="G729" s="5" t="n">
        <v>40.74</v>
      </c>
      <c r="H729" s="5">
        <f>F729*G729</f>
        <v/>
      </c>
      <c r="I729" s="5">
        <f>F729*VLOOKUP(D729,Products!$B$2:$E$13,3,FALSE)</f>
        <v/>
      </c>
    </row>
    <row r="730">
      <c r="A730" s="2" t="n">
        <v>46201</v>
      </c>
      <c r="B730" s="3" t="inlineStr">
        <is>
          <t>INV-2606-0729</t>
        </is>
      </c>
      <c r="C730" s="3" t="inlineStr">
        <is>
          <t>Pandey Stores</t>
        </is>
      </c>
      <c r="D730" s="3" t="inlineStr">
        <is>
          <t>Biscuits 400g</t>
        </is>
      </c>
      <c r="E730" s="3" t="inlineStr">
        <is>
          <t>Snacks</t>
        </is>
      </c>
      <c r="F730" s="4" t="n">
        <v>20</v>
      </c>
      <c r="G730" s="5" t="n">
        <v>39.7</v>
      </c>
      <c r="H730" s="5">
        <f>F730*G730</f>
        <v/>
      </c>
      <c r="I730" s="5">
        <f>F730*VLOOKUP(D730,Products!$B$2:$E$13,3,FALSE)</f>
        <v/>
      </c>
    </row>
    <row r="731">
      <c r="A731" s="2" t="n">
        <v>46201</v>
      </c>
      <c r="B731" s="3" t="inlineStr">
        <is>
          <t>INV-2606-0730</t>
        </is>
      </c>
      <c r="C731" s="3" t="inlineStr">
        <is>
          <t>Nath Provisions</t>
        </is>
      </c>
      <c r="D731" s="3" t="inlineStr">
        <is>
          <t>Paneer 200g</t>
        </is>
      </c>
      <c r="E731" s="3" t="inlineStr">
        <is>
          <t>Dairy</t>
        </is>
      </c>
      <c r="F731" s="4" t="n">
        <v>26</v>
      </c>
      <c r="G731" s="5" t="n">
        <v>93.54000000000001</v>
      </c>
      <c r="H731" s="5">
        <f>F731*G731</f>
        <v/>
      </c>
      <c r="I731" s="5">
        <f>F731*VLOOKUP(D731,Products!$B$2:$E$13,3,FALSE)</f>
        <v/>
      </c>
    </row>
    <row r="732">
      <c r="A732" s="2" t="n">
        <v>46201</v>
      </c>
      <c r="B732" s="3" t="inlineStr">
        <is>
          <t>INV-2606-0731</t>
        </is>
      </c>
      <c r="C732" s="3" t="inlineStr">
        <is>
          <t>Ali General Store</t>
        </is>
      </c>
      <c r="D732" s="3" t="inlineStr">
        <is>
          <t>Curd Cup 400g</t>
        </is>
      </c>
      <c r="E732" s="3" t="inlineStr">
        <is>
          <t>Dairy</t>
        </is>
      </c>
      <c r="F732" s="4" t="n">
        <v>65</v>
      </c>
      <c r="G732" s="5" t="n">
        <v>47.08</v>
      </c>
      <c r="H732" s="5">
        <f>F732*G732</f>
        <v/>
      </c>
      <c r="I732" s="5">
        <f>F732*VLOOKUP(D732,Products!$B$2:$E$13,3,FALSE)</f>
        <v/>
      </c>
    </row>
    <row r="733">
      <c r="A733" s="2" t="n">
        <v>46201</v>
      </c>
      <c r="B733" s="3" t="inlineStr">
        <is>
          <t>INV-2606-0732</t>
        </is>
      </c>
      <c r="C733" s="3" t="inlineStr">
        <is>
          <t>Sahu Traders</t>
        </is>
      </c>
      <c r="D733" s="3" t="inlineStr">
        <is>
          <t>Toned Milk 1L</t>
        </is>
      </c>
      <c r="E733" s="3" t="inlineStr">
        <is>
          <t>Dairy</t>
        </is>
      </c>
      <c r="F733" s="4" t="n">
        <v>52</v>
      </c>
      <c r="G733" s="5" t="n">
        <v>68.98999999999999</v>
      </c>
      <c r="H733" s="5">
        <f>F733*G733</f>
        <v/>
      </c>
      <c r="I733" s="5">
        <f>F733*VLOOKUP(D733,Products!$B$2:$E$13,3,FALSE)</f>
        <v/>
      </c>
    </row>
    <row r="734">
      <c r="A734" s="2" t="n">
        <v>46201</v>
      </c>
      <c r="B734" s="3" t="inlineStr">
        <is>
          <t>INV-2606-0733</t>
        </is>
      </c>
      <c r="C734" s="3" t="inlineStr">
        <is>
          <t>Pandey Stores</t>
        </is>
      </c>
      <c r="D734" s="3" t="inlineStr">
        <is>
          <t>Packaged Water 1L</t>
        </is>
      </c>
      <c r="E734" s="3" t="inlineStr">
        <is>
          <t>Beverages</t>
        </is>
      </c>
      <c r="F734" s="4" t="n">
        <v>44</v>
      </c>
      <c r="G734" s="5" t="n">
        <v>19.72</v>
      </c>
      <c r="H734" s="5">
        <f>F734*G734</f>
        <v/>
      </c>
      <c r="I734" s="5">
        <f>F734*VLOOKUP(D734,Products!$B$2:$E$13,3,FALSE)</f>
        <v/>
      </c>
    </row>
    <row r="735">
      <c r="A735" s="2" t="n">
        <v>46201</v>
      </c>
      <c r="B735" s="3" t="inlineStr">
        <is>
          <t>INV-2606-0734</t>
        </is>
      </c>
      <c r="C735" s="3" t="inlineStr">
        <is>
          <t>Bhatt General Store</t>
        </is>
      </c>
      <c r="D735" s="3" t="inlineStr">
        <is>
          <t>Toned Milk 1L</t>
        </is>
      </c>
      <c r="E735" s="3" t="inlineStr">
        <is>
          <t>Dairy</t>
        </is>
      </c>
      <c r="F735" s="4" t="n">
        <v>109</v>
      </c>
      <c r="G735" s="5" t="n">
        <v>67.03</v>
      </c>
      <c r="H735" s="5">
        <f>F735*G735</f>
        <v/>
      </c>
      <c r="I735" s="5">
        <f>F735*VLOOKUP(D735,Products!$B$2:$E$13,3,FALSE)</f>
        <v/>
      </c>
    </row>
    <row r="736">
      <c r="A736" s="2" t="n">
        <v>46201</v>
      </c>
      <c r="B736" s="3" t="inlineStr">
        <is>
          <t>INV-2606-0735</t>
        </is>
      </c>
      <c r="C736" s="3" t="inlineStr">
        <is>
          <t>Rai Daily Mart</t>
        </is>
      </c>
      <c r="D736" s="3" t="inlineStr">
        <is>
          <t>Detergent 1kg</t>
        </is>
      </c>
      <c r="E736" s="3" t="inlineStr">
        <is>
          <t>Household</t>
        </is>
      </c>
      <c r="F736" s="4" t="n">
        <v>32</v>
      </c>
      <c r="G736" s="5" t="n">
        <v>133.86</v>
      </c>
      <c r="H736" s="5">
        <f>F736*G736</f>
        <v/>
      </c>
      <c r="I736" s="5">
        <f>F736*VLOOKUP(D736,Products!$B$2:$E$13,3,FALSE)</f>
        <v/>
      </c>
    </row>
    <row r="737">
      <c r="A737" s="2" t="n">
        <v>46201</v>
      </c>
      <c r="B737" s="3" t="inlineStr">
        <is>
          <t>INV-2606-0736</t>
        </is>
      </c>
      <c r="C737" s="3" t="inlineStr">
        <is>
          <t>Choudhary Mart</t>
        </is>
      </c>
      <c r="D737" s="3" t="inlineStr">
        <is>
          <t>Instant Noodles 280g</t>
        </is>
      </c>
      <c r="E737" s="3" t="inlineStr">
        <is>
          <t>Snacks</t>
        </is>
      </c>
      <c r="F737" s="4" t="n">
        <v>43</v>
      </c>
      <c r="G737" s="5" t="n">
        <v>56.55</v>
      </c>
      <c r="H737" s="5">
        <f>F737*G737</f>
        <v/>
      </c>
      <c r="I737" s="5">
        <f>F737*VLOOKUP(D737,Products!$B$2:$E$13,3,FALSE)</f>
        <v/>
      </c>
    </row>
    <row r="738">
      <c r="A738" s="2" t="n">
        <v>46202</v>
      </c>
      <c r="B738" s="3" t="inlineStr">
        <is>
          <t>INV-2606-0737</t>
        </is>
      </c>
      <c r="C738" s="3" t="inlineStr">
        <is>
          <t>Azad Stores</t>
        </is>
      </c>
      <c r="D738" s="3" t="inlineStr">
        <is>
          <t>Curd Cup 400g</t>
        </is>
      </c>
      <c r="E738" s="3" t="inlineStr">
        <is>
          <t>Dairy</t>
        </is>
      </c>
      <c r="F738" s="4" t="n">
        <v>66</v>
      </c>
      <c r="G738" s="5" t="n">
        <v>46.67</v>
      </c>
      <c r="H738" s="5">
        <f>F738*G738</f>
        <v/>
      </c>
      <c r="I738" s="5">
        <f>F738*VLOOKUP(D738,Products!$B$2:$E$13,3,FALSE)</f>
        <v/>
      </c>
    </row>
    <row r="739">
      <c r="A739" s="2" t="n">
        <v>46202</v>
      </c>
      <c r="B739" s="3" t="inlineStr">
        <is>
          <t>INV-2606-0738</t>
        </is>
      </c>
      <c r="C739" s="3" t="inlineStr">
        <is>
          <t>Mehta Retail</t>
        </is>
      </c>
      <c r="D739" s="3" t="inlineStr">
        <is>
          <t>Mango Juice 1L</t>
        </is>
      </c>
      <c r="E739" s="3" t="inlineStr">
        <is>
          <t>Beverages</t>
        </is>
      </c>
      <c r="F739" s="4" t="n">
        <v>106</v>
      </c>
      <c r="G739" s="5" t="n">
        <v>117.86</v>
      </c>
      <c r="H739" s="5">
        <f>F739*G739</f>
        <v/>
      </c>
      <c r="I739" s="5">
        <f>F739*VLOOKUP(D739,Products!$B$2:$E$13,3,FALSE)</f>
        <v/>
      </c>
    </row>
    <row r="740">
      <c r="A740" s="2" t="n">
        <v>46202</v>
      </c>
      <c r="B740" s="3" t="inlineStr">
        <is>
          <t>INV-2606-0739</t>
        </is>
      </c>
      <c r="C740" s="3" t="inlineStr">
        <is>
          <t>Patel Traders</t>
        </is>
      </c>
      <c r="D740" s="3" t="inlineStr">
        <is>
          <t>Toned Milk 1L</t>
        </is>
      </c>
      <c r="E740" s="3" t="inlineStr">
        <is>
          <t>Dairy</t>
        </is>
      </c>
      <c r="F740" s="4" t="n">
        <v>67</v>
      </c>
      <c r="G740" s="5" t="n">
        <v>68.69</v>
      </c>
      <c r="H740" s="5">
        <f>F740*G740</f>
        <v/>
      </c>
      <c r="I740" s="5">
        <f>F740*VLOOKUP(D740,Products!$B$2:$E$13,3,FALSE)</f>
        <v/>
      </c>
    </row>
    <row r="741">
      <c r="A741" s="2" t="n">
        <v>46202</v>
      </c>
      <c r="B741" s="3" t="inlineStr">
        <is>
          <t>INV-2606-0740</t>
        </is>
      </c>
      <c r="C741" s="3" t="inlineStr">
        <is>
          <t>Kumari Kirana</t>
        </is>
      </c>
      <c r="D741" s="3" t="inlineStr">
        <is>
          <t>Floor Cleaner 1L</t>
        </is>
      </c>
      <c r="E741" s="3" t="inlineStr">
        <is>
          <t>Household</t>
        </is>
      </c>
      <c r="F741" s="4" t="n">
        <v>38</v>
      </c>
      <c r="G741" s="5" t="n">
        <v>112.04</v>
      </c>
      <c r="H741" s="5">
        <f>F741*G741</f>
        <v/>
      </c>
      <c r="I741" s="5">
        <f>F741*VLOOKUP(D741,Products!$B$2:$E$13,3,FALSE)</f>
        <v/>
      </c>
    </row>
    <row r="742">
      <c r="A742" s="2" t="n">
        <v>46202</v>
      </c>
      <c r="B742" s="3" t="inlineStr">
        <is>
          <t>INV-2606-0741</t>
        </is>
      </c>
      <c r="C742" s="3" t="inlineStr">
        <is>
          <t>Tiwari General</t>
        </is>
      </c>
      <c r="D742" s="3" t="inlineStr">
        <is>
          <t>Curd Cup 400g</t>
        </is>
      </c>
      <c r="E742" s="3" t="inlineStr">
        <is>
          <t>Dairy</t>
        </is>
      </c>
      <c r="F742" s="4" t="n">
        <v>29</v>
      </c>
      <c r="G742" s="5" t="n">
        <v>45.52</v>
      </c>
      <c r="H742" s="5">
        <f>F742*G742</f>
        <v/>
      </c>
      <c r="I742" s="5">
        <f>F742*VLOOKUP(D742,Products!$B$2:$E$13,3,FALSE)</f>
        <v/>
      </c>
    </row>
    <row r="743">
      <c r="A743" s="2" t="n">
        <v>46202</v>
      </c>
      <c r="B743" s="3" t="inlineStr">
        <is>
          <t>INV-2606-0742</t>
        </is>
      </c>
      <c r="C743" s="3" t="inlineStr">
        <is>
          <t>Khan Mart</t>
        </is>
      </c>
      <c r="D743" s="3" t="inlineStr">
        <is>
          <t>Mango Juice 1L</t>
        </is>
      </c>
      <c r="E743" s="3" t="inlineStr">
        <is>
          <t>Beverages</t>
        </is>
      </c>
      <c r="F743" s="4" t="n">
        <v>76</v>
      </c>
      <c r="G743" s="5" t="n">
        <v>124.01</v>
      </c>
      <c r="H743" s="5">
        <f>F743*G743</f>
        <v/>
      </c>
      <c r="I743" s="5">
        <f>F743*VLOOKUP(D743,Products!$B$2:$E$13,3,FALSE)</f>
        <v/>
      </c>
    </row>
    <row r="744">
      <c r="A744" s="2" t="n">
        <v>46203</v>
      </c>
      <c r="B744" s="3" t="inlineStr">
        <is>
          <t>INV-2606-0743</t>
        </is>
      </c>
      <c r="C744" s="3" t="inlineStr">
        <is>
          <t>Bhatt General Store</t>
        </is>
      </c>
      <c r="D744" s="3" t="inlineStr">
        <is>
          <t>Toned Milk 1L</t>
        </is>
      </c>
      <c r="E744" s="3" t="inlineStr">
        <is>
          <t>Dairy</t>
        </is>
      </c>
      <c r="F744" s="4" t="n">
        <v>51</v>
      </c>
      <c r="G744" s="5" t="n">
        <v>65.06</v>
      </c>
      <c r="H744" s="5">
        <f>F744*G744</f>
        <v/>
      </c>
      <c r="I744" s="5">
        <f>F744*VLOOKUP(D744,Products!$B$2:$E$13,3,FALSE)</f>
        <v/>
      </c>
    </row>
    <row r="745">
      <c r="A745" s="2" t="n">
        <v>46203</v>
      </c>
      <c r="B745" s="3" t="inlineStr">
        <is>
          <t>INV-2606-0744</t>
        </is>
      </c>
      <c r="C745" s="3" t="inlineStr">
        <is>
          <t>Bhatt General Store</t>
        </is>
      </c>
      <c r="D745" s="3" t="inlineStr">
        <is>
          <t>Cola 750ml</t>
        </is>
      </c>
      <c r="E745" s="3" t="inlineStr">
        <is>
          <t>Beverages</t>
        </is>
      </c>
      <c r="F745" s="4" t="n">
        <v>100</v>
      </c>
      <c r="G745" s="5" t="n">
        <v>43.65</v>
      </c>
      <c r="H745" s="5">
        <f>F745*G745</f>
        <v/>
      </c>
      <c r="I745" s="5">
        <f>F745*VLOOKUP(D745,Products!$B$2:$E$13,3,FALSE)</f>
        <v/>
      </c>
    </row>
    <row r="746">
      <c r="A746" s="2" t="n">
        <v>46203</v>
      </c>
      <c r="B746" s="3" t="inlineStr">
        <is>
          <t>INV-2606-0745</t>
        </is>
      </c>
      <c r="C746" s="3" t="inlineStr">
        <is>
          <t>Mehta Retail</t>
        </is>
      </c>
      <c r="D746" s="3" t="inlineStr">
        <is>
          <t>Toned Milk 1L</t>
        </is>
      </c>
      <c r="E746" s="3" t="inlineStr">
        <is>
          <t>Dairy</t>
        </is>
      </c>
      <c r="F746" s="4" t="n">
        <v>28</v>
      </c>
      <c r="G746" s="5" t="n">
        <v>67.43000000000001</v>
      </c>
      <c r="H746" s="5">
        <f>F746*G746</f>
        <v/>
      </c>
      <c r="I746" s="5">
        <f>F746*VLOOKUP(D746,Products!$B$2:$E$13,3,FALSE)</f>
        <v/>
      </c>
    </row>
    <row r="747">
      <c r="A747" s="2" t="n">
        <v>46203</v>
      </c>
      <c r="B747" s="3" t="inlineStr">
        <is>
          <t>INV-2606-0746</t>
        </is>
      </c>
      <c r="C747" s="3" t="inlineStr">
        <is>
          <t>Pandey Stores</t>
        </is>
      </c>
      <c r="D747" s="3" t="inlineStr">
        <is>
          <t>Biscuits 400g</t>
        </is>
      </c>
      <c r="E747" s="3" t="inlineStr">
        <is>
          <t>Snacks</t>
        </is>
      </c>
      <c r="F747" s="4" t="n">
        <v>11</v>
      </c>
      <c r="G747" s="5" t="n">
        <v>41.97</v>
      </c>
      <c r="H747" s="5">
        <f>F747*G747</f>
        <v/>
      </c>
      <c r="I747" s="5">
        <f>F747*VLOOKUP(D747,Products!$B$2:$E$13,3,FALSE)</f>
        <v/>
      </c>
    </row>
    <row r="748">
      <c r="A748" s="2" t="n">
        <v>46203</v>
      </c>
      <c r="B748" s="3" t="inlineStr">
        <is>
          <t>INV-2606-0747</t>
        </is>
      </c>
      <c r="C748" s="3" t="inlineStr">
        <is>
          <t>Mehta Retail</t>
        </is>
      </c>
      <c r="D748" s="3" t="inlineStr">
        <is>
          <t>Curd Cup 400g</t>
        </is>
      </c>
      <c r="E748" s="3" t="inlineStr">
        <is>
          <t>Dairy</t>
        </is>
      </c>
      <c r="F748" s="4" t="n">
        <v>44</v>
      </c>
      <c r="G748" s="5" t="n">
        <v>47.05</v>
      </c>
      <c r="H748" s="5">
        <f>F748*G748</f>
        <v/>
      </c>
      <c r="I748" s="5">
        <f>F748*VLOOKUP(D748,Products!$B$2:$E$13,3,FALSE)</f>
        <v/>
      </c>
    </row>
    <row r="749">
      <c r="A749" s="2" t="n">
        <v>46203</v>
      </c>
      <c r="B749" s="3" t="inlineStr">
        <is>
          <t>INV-2606-0748</t>
        </is>
      </c>
      <c r="C749" s="3" t="inlineStr">
        <is>
          <t>Sinha Super Mart</t>
        </is>
      </c>
      <c r="D749" s="3" t="inlineStr">
        <is>
          <t>Toned Milk 1L</t>
        </is>
      </c>
      <c r="E749" s="3" t="inlineStr">
        <is>
          <t>Dairy</t>
        </is>
      </c>
      <c r="F749" s="4" t="n">
        <v>24</v>
      </c>
      <c r="G749" s="5" t="n">
        <v>67.7</v>
      </c>
      <c r="H749" s="5">
        <f>F749*G749</f>
        <v/>
      </c>
      <c r="I749" s="5">
        <f>F749*VLOOKUP(D749,Products!$B$2:$E$13,3,FALSE)</f>
        <v/>
      </c>
    </row>
    <row r="750">
      <c r="A750" s="2" t="n">
        <v>46204</v>
      </c>
      <c r="B750" s="3" t="inlineStr">
        <is>
          <t>INV-2607-0749</t>
        </is>
      </c>
      <c r="C750" s="3" t="inlineStr">
        <is>
          <t>Khan Mart</t>
        </is>
      </c>
      <c r="D750" s="3" t="inlineStr">
        <is>
          <t>Potato Chips 150g</t>
        </is>
      </c>
      <c r="E750" s="3" t="inlineStr">
        <is>
          <t>Snacks</t>
        </is>
      </c>
      <c r="F750" s="4" t="n">
        <v>23</v>
      </c>
      <c r="G750" s="5" t="n">
        <v>48.9</v>
      </c>
      <c r="H750" s="5">
        <f>F750*G750</f>
        <v/>
      </c>
      <c r="I750" s="5">
        <f>F750*VLOOKUP(D750,Products!$B$2:$E$13,3,FALSE)</f>
        <v/>
      </c>
    </row>
    <row r="751">
      <c r="A751" s="2" t="n">
        <v>46204</v>
      </c>
      <c r="B751" s="3" t="inlineStr">
        <is>
          <t>INV-2607-0750</t>
        </is>
      </c>
      <c r="C751" s="3" t="inlineStr">
        <is>
          <t>Kumari Kirana</t>
        </is>
      </c>
      <c r="D751" s="3" t="inlineStr">
        <is>
          <t>Toned Milk 1L</t>
        </is>
      </c>
      <c r="E751" s="3" t="inlineStr">
        <is>
          <t>Dairy</t>
        </is>
      </c>
      <c r="F751" s="4" t="n">
        <v>57</v>
      </c>
      <c r="G751" s="5" t="n">
        <v>64.62</v>
      </c>
      <c r="H751" s="5">
        <f>F751*G751</f>
        <v/>
      </c>
      <c r="I751" s="5">
        <f>F751*VLOOKUP(D751,Products!$B$2:$E$13,3,FALSE)</f>
        <v/>
      </c>
    </row>
    <row r="752">
      <c r="A752" s="2" t="n">
        <v>46204</v>
      </c>
      <c r="B752" s="3" t="inlineStr">
        <is>
          <t>INV-2607-0751</t>
        </is>
      </c>
      <c r="C752" s="3" t="inlineStr">
        <is>
          <t>Prasad Traders</t>
        </is>
      </c>
      <c r="D752" s="3" t="inlineStr">
        <is>
          <t>Dish Soap 500ml</t>
        </is>
      </c>
      <c r="E752" s="3" t="inlineStr">
        <is>
          <t>Household</t>
        </is>
      </c>
      <c r="F752" s="4" t="n">
        <v>39</v>
      </c>
      <c r="G752" s="5" t="n">
        <v>98.04000000000001</v>
      </c>
      <c r="H752" s="5">
        <f>F752*G752</f>
        <v/>
      </c>
      <c r="I752" s="5">
        <f>F752*VLOOKUP(D752,Products!$B$2:$E$13,3,FALSE)</f>
        <v/>
      </c>
    </row>
    <row r="753">
      <c r="A753" s="2" t="n">
        <v>46204</v>
      </c>
      <c r="B753" s="3" t="inlineStr">
        <is>
          <t>INV-2607-0752</t>
        </is>
      </c>
      <c r="C753" s="3" t="inlineStr">
        <is>
          <t>Nath Provisions</t>
        </is>
      </c>
      <c r="D753" s="3" t="inlineStr">
        <is>
          <t>Toned Milk 1L</t>
        </is>
      </c>
      <c r="E753" s="3" t="inlineStr">
        <is>
          <t>Dairy</t>
        </is>
      </c>
      <c r="F753" s="4" t="n">
        <v>15</v>
      </c>
      <c r="G753" s="5" t="n">
        <v>64.31999999999999</v>
      </c>
      <c r="H753" s="5">
        <f>F753*G753</f>
        <v/>
      </c>
      <c r="I753" s="5">
        <f>F753*VLOOKUP(D753,Products!$B$2:$E$13,3,FALSE)</f>
        <v/>
      </c>
    </row>
    <row r="754">
      <c r="A754" s="2" t="n">
        <v>46204</v>
      </c>
      <c r="B754" s="3" t="inlineStr">
        <is>
          <t>INV-2607-0753</t>
        </is>
      </c>
      <c r="C754" s="3" t="inlineStr">
        <is>
          <t>Pandey Stores</t>
        </is>
      </c>
      <c r="D754" s="3" t="inlineStr">
        <is>
          <t>Detergent 1kg</t>
        </is>
      </c>
      <c r="E754" s="3" t="inlineStr">
        <is>
          <t>Household</t>
        </is>
      </c>
      <c r="F754" s="4" t="n">
        <v>20</v>
      </c>
      <c r="G754" s="5" t="n">
        <v>134.54</v>
      </c>
      <c r="H754" s="5">
        <f>F754*G754</f>
        <v/>
      </c>
      <c r="I754" s="5">
        <f>F754*VLOOKUP(D754,Products!$B$2:$E$13,3,FALSE)</f>
        <v/>
      </c>
    </row>
    <row r="755">
      <c r="A755" s="2" t="n">
        <v>46204</v>
      </c>
      <c r="B755" s="3" t="inlineStr">
        <is>
          <t>INV-2607-0754</t>
        </is>
      </c>
      <c r="C755" s="3" t="inlineStr">
        <is>
          <t>Mehta Retail</t>
        </is>
      </c>
      <c r="D755" s="3" t="inlineStr">
        <is>
          <t>Cola 750ml</t>
        </is>
      </c>
      <c r="E755" s="3" t="inlineStr">
        <is>
          <t>Beverages</t>
        </is>
      </c>
      <c r="F755" s="4" t="n">
        <v>11</v>
      </c>
      <c r="G755" s="5" t="n">
        <v>46.54</v>
      </c>
      <c r="H755" s="5">
        <f>F755*G755</f>
        <v/>
      </c>
      <c r="I755" s="5">
        <f>F755*VLOOKUP(D755,Products!$B$2:$E$13,3,FALSE)</f>
        <v/>
      </c>
    </row>
    <row r="756">
      <c r="A756" s="2" t="n">
        <v>46204</v>
      </c>
      <c r="B756" s="3" t="inlineStr">
        <is>
          <t>INV-2607-0755</t>
        </is>
      </c>
      <c r="C756" s="3" t="inlineStr">
        <is>
          <t>Sahu Traders</t>
        </is>
      </c>
      <c r="D756" s="3" t="inlineStr">
        <is>
          <t>Packaged Water 1L</t>
        </is>
      </c>
      <c r="E756" s="3" t="inlineStr">
        <is>
          <t>Beverages</t>
        </is>
      </c>
      <c r="F756" s="4" t="n">
        <v>11</v>
      </c>
      <c r="G756" s="5" t="n">
        <v>20.41</v>
      </c>
      <c r="H756" s="5">
        <f>F756*G756</f>
        <v/>
      </c>
      <c r="I756" s="5">
        <f>F756*VLOOKUP(D756,Products!$B$2:$E$13,3,FALSE)</f>
        <v/>
      </c>
    </row>
    <row r="757">
      <c r="A757" s="2" t="n">
        <v>46204</v>
      </c>
      <c r="B757" s="3" t="inlineStr">
        <is>
          <t>INV-2607-0756</t>
        </is>
      </c>
      <c r="C757" s="3" t="inlineStr">
        <is>
          <t>Sinha Super Mart</t>
        </is>
      </c>
      <c r="D757" s="3" t="inlineStr">
        <is>
          <t>Floor Cleaner 1L</t>
        </is>
      </c>
      <c r="E757" s="3" t="inlineStr">
        <is>
          <t>Household</t>
        </is>
      </c>
      <c r="F757" s="4" t="n">
        <v>38</v>
      </c>
      <c r="G757" s="5" t="n">
        <v>108.8</v>
      </c>
      <c r="H757" s="5">
        <f>F757*G757</f>
        <v/>
      </c>
      <c r="I757" s="5">
        <f>F757*VLOOKUP(D757,Products!$B$2:$E$13,3,FALSE)</f>
        <v/>
      </c>
    </row>
    <row r="758">
      <c r="A758" s="2" t="n">
        <v>46204</v>
      </c>
      <c r="B758" s="3" t="inlineStr">
        <is>
          <t>INV-2607-0757</t>
        </is>
      </c>
      <c r="C758" s="3" t="inlineStr">
        <is>
          <t>Ali General Store</t>
        </is>
      </c>
      <c r="D758" s="3" t="inlineStr">
        <is>
          <t>Detergent 1kg</t>
        </is>
      </c>
      <c r="E758" s="3" t="inlineStr">
        <is>
          <t>Household</t>
        </is>
      </c>
      <c r="F758" s="4" t="n">
        <v>72</v>
      </c>
      <c r="G758" s="5" t="n">
        <v>135.73</v>
      </c>
      <c r="H758" s="5">
        <f>F758*G758</f>
        <v/>
      </c>
      <c r="I758" s="5">
        <f>F758*VLOOKUP(D758,Products!$B$2:$E$13,3,FALSE)</f>
        <v/>
      </c>
    </row>
    <row r="759">
      <c r="A759" s="2" t="n">
        <v>46205</v>
      </c>
      <c r="B759" s="3" t="inlineStr">
        <is>
          <t>INV-2607-0758</t>
        </is>
      </c>
      <c r="C759" s="3" t="inlineStr">
        <is>
          <t>Verma Retail</t>
        </is>
      </c>
      <c r="D759" s="3" t="inlineStr">
        <is>
          <t>Packaged Water 1L</t>
        </is>
      </c>
      <c r="E759" s="3" t="inlineStr">
        <is>
          <t>Beverages</t>
        </is>
      </c>
      <c r="F759" s="4" t="n">
        <v>28</v>
      </c>
      <c r="G759" s="5" t="n">
        <v>19.47</v>
      </c>
      <c r="H759" s="5">
        <f>F759*G759</f>
        <v/>
      </c>
      <c r="I759" s="5">
        <f>F759*VLOOKUP(D759,Products!$B$2:$E$13,3,FALSE)</f>
        <v/>
      </c>
    </row>
    <row r="760">
      <c r="A760" s="2" t="n">
        <v>46205</v>
      </c>
      <c r="B760" s="3" t="inlineStr">
        <is>
          <t>INV-2607-0759</t>
        </is>
      </c>
      <c r="C760" s="3" t="inlineStr">
        <is>
          <t>Singh Super Bazaar</t>
        </is>
      </c>
      <c r="D760" s="3" t="inlineStr">
        <is>
          <t>Packaged Water 1L</t>
        </is>
      </c>
      <c r="E760" s="3" t="inlineStr">
        <is>
          <t>Beverages</t>
        </is>
      </c>
      <c r="F760" s="4" t="n">
        <v>15</v>
      </c>
      <c r="G760" s="5" t="n">
        <v>20.76</v>
      </c>
      <c r="H760" s="5">
        <f>F760*G760</f>
        <v/>
      </c>
      <c r="I760" s="5">
        <f>F760*VLOOKUP(D760,Products!$B$2:$E$13,3,FALSE)</f>
        <v/>
      </c>
    </row>
    <row r="761">
      <c r="A761" s="2" t="n">
        <v>46205</v>
      </c>
      <c r="B761" s="3" t="inlineStr">
        <is>
          <t>INV-2607-0760</t>
        </is>
      </c>
      <c r="C761" s="3" t="inlineStr">
        <is>
          <t>Sharma Provision</t>
        </is>
      </c>
      <c r="D761" s="3" t="inlineStr">
        <is>
          <t>Potato Chips 150g</t>
        </is>
      </c>
      <c r="E761" s="3" t="inlineStr">
        <is>
          <t>Snacks</t>
        </is>
      </c>
      <c r="F761" s="4" t="n">
        <v>27</v>
      </c>
      <c r="G761" s="5" t="n">
        <v>48.79</v>
      </c>
      <c r="H761" s="5">
        <f>F761*G761</f>
        <v/>
      </c>
      <c r="I761" s="5">
        <f>F761*VLOOKUP(D761,Products!$B$2:$E$13,3,FALSE)</f>
        <v/>
      </c>
    </row>
    <row r="762">
      <c r="A762" s="2" t="n">
        <v>46205</v>
      </c>
      <c r="B762" s="3" t="inlineStr">
        <is>
          <t>INV-2607-0761</t>
        </is>
      </c>
      <c r="C762" s="3" t="inlineStr">
        <is>
          <t>Ali General Store</t>
        </is>
      </c>
      <c r="D762" s="3" t="inlineStr">
        <is>
          <t>Floor Cleaner 1L</t>
        </is>
      </c>
      <c r="E762" s="3" t="inlineStr">
        <is>
          <t>Household</t>
        </is>
      </c>
      <c r="F762" s="4" t="n">
        <v>5</v>
      </c>
      <c r="G762" s="5" t="n">
        <v>112.76</v>
      </c>
      <c r="H762" s="5">
        <f>F762*G762</f>
        <v/>
      </c>
      <c r="I762" s="5">
        <f>F762*VLOOKUP(D762,Products!$B$2:$E$13,3,FALSE)</f>
        <v/>
      </c>
    </row>
    <row r="763">
      <c r="A763" s="2" t="n">
        <v>46205</v>
      </c>
      <c r="B763" s="3" t="inlineStr">
        <is>
          <t>INV-2607-0762</t>
        </is>
      </c>
      <c r="C763" s="3" t="inlineStr">
        <is>
          <t>Patel Traders</t>
        </is>
      </c>
      <c r="D763" s="3" t="inlineStr">
        <is>
          <t>Potato Chips 150g</t>
        </is>
      </c>
      <c r="E763" s="3" t="inlineStr">
        <is>
          <t>Snacks</t>
        </is>
      </c>
      <c r="F763" s="4" t="n">
        <v>12</v>
      </c>
      <c r="G763" s="5" t="n">
        <v>48.58</v>
      </c>
      <c r="H763" s="5">
        <f>F763*G763</f>
        <v/>
      </c>
      <c r="I763" s="5">
        <f>F763*VLOOKUP(D763,Products!$B$2:$E$13,3,FALSE)</f>
        <v/>
      </c>
    </row>
    <row r="764">
      <c r="A764" s="2" t="n">
        <v>46205</v>
      </c>
      <c r="B764" s="3" t="inlineStr">
        <is>
          <t>INV-2607-0763</t>
        </is>
      </c>
      <c r="C764" s="3" t="inlineStr">
        <is>
          <t>Raza Brothers</t>
        </is>
      </c>
      <c r="D764" s="3" t="inlineStr">
        <is>
          <t>Detergent 1kg</t>
        </is>
      </c>
      <c r="E764" s="3" t="inlineStr">
        <is>
          <t>Household</t>
        </is>
      </c>
      <c r="F764" s="4" t="n">
        <v>53</v>
      </c>
      <c r="G764" s="5" t="n">
        <v>136.1</v>
      </c>
      <c r="H764" s="5">
        <f>F764*G764</f>
        <v/>
      </c>
      <c r="I764" s="5">
        <f>F764*VLOOKUP(D764,Products!$B$2:$E$13,3,FALSE)</f>
        <v/>
      </c>
    </row>
    <row r="765">
      <c r="A765" s="2" t="n">
        <v>46205</v>
      </c>
      <c r="B765" s="3" t="inlineStr">
        <is>
          <t>INV-2607-0764</t>
        </is>
      </c>
      <c r="C765" s="3" t="inlineStr">
        <is>
          <t>Sharma Provision</t>
        </is>
      </c>
      <c r="D765" s="3" t="inlineStr">
        <is>
          <t>Packaged Water 1L</t>
        </is>
      </c>
      <c r="E765" s="3" t="inlineStr">
        <is>
          <t>Beverages</t>
        </is>
      </c>
      <c r="F765" s="4" t="n">
        <v>10</v>
      </c>
      <c r="G765" s="5" t="n">
        <v>19.9</v>
      </c>
      <c r="H765" s="5">
        <f>F765*G765</f>
        <v/>
      </c>
      <c r="I765" s="5">
        <f>F765*VLOOKUP(D765,Products!$B$2:$E$13,3,FALSE)</f>
        <v/>
      </c>
    </row>
    <row r="766">
      <c r="A766" s="2" t="n">
        <v>46205</v>
      </c>
      <c r="B766" s="3" t="inlineStr">
        <is>
          <t>INV-2607-0765</t>
        </is>
      </c>
      <c r="C766" s="3" t="inlineStr">
        <is>
          <t>Khan Mart</t>
        </is>
      </c>
      <c r="D766" s="3" t="inlineStr">
        <is>
          <t>Instant Noodles 280g</t>
        </is>
      </c>
      <c r="E766" s="3" t="inlineStr">
        <is>
          <t>Snacks</t>
        </is>
      </c>
      <c r="F766" s="4" t="n">
        <v>4</v>
      </c>
      <c r="G766" s="5" t="n">
        <v>58.25</v>
      </c>
      <c r="H766" s="5">
        <f>F766*G766</f>
        <v/>
      </c>
      <c r="I766" s="5">
        <f>F766*VLOOKUP(D766,Products!$B$2:$E$13,3,FALSE)</f>
        <v/>
      </c>
    </row>
    <row r="767">
      <c r="A767" s="2" t="n">
        <v>46205</v>
      </c>
      <c r="B767" s="3" t="inlineStr">
        <is>
          <t>INV-2607-0766</t>
        </is>
      </c>
      <c r="C767" s="3" t="inlineStr">
        <is>
          <t>Bhatt General Store</t>
        </is>
      </c>
      <c r="D767" s="3" t="inlineStr">
        <is>
          <t>Mango Juice 1L</t>
        </is>
      </c>
      <c r="E767" s="3" t="inlineStr">
        <is>
          <t>Beverages</t>
        </is>
      </c>
      <c r="F767" s="4" t="n">
        <v>8</v>
      </c>
      <c r="G767" s="5" t="n">
        <v>122.9</v>
      </c>
      <c r="H767" s="5">
        <f>F767*G767</f>
        <v/>
      </c>
      <c r="I767" s="5">
        <f>F767*VLOOKUP(D767,Products!$B$2:$E$13,3,FALSE)</f>
        <v/>
      </c>
    </row>
    <row r="768">
      <c r="A768" s="2" t="n">
        <v>46205</v>
      </c>
      <c r="B768" s="3" t="inlineStr">
        <is>
          <t>INV-2607-0767</t>
        </is>
      </c>
      <c r="C768" s="3" t="inlineStr">
        <is>
          <t>Sinha Super Mart</t>
        </is>
      </c>
      <c r="D768" s="3" t="inlineStr">
        <is>
          <t>Floor Cleaner 1L</t>
        </is>
      </c>
      <c r="E768" s="3" t="inlineStr">
        <is>
          <t>Household</t>
        </is>
      </c>
      <c r="F768" s="4" t="n">
        <v>51</v>
      </c>
      <c r="G768" s="5" t="n">
        <v>108.54</v>
      </c>
      <c r="H768" s="5">
        <f>F768*G768</f>
        <v/>
      </c>
      <c r="I768" s="5">
        <f>F768*VLOOKUP(D768,Products!$B$2:$E$13,3,FALSE)</f>
        <v/>
      </c>
    </row>
    <row r="769">
      <c r="A769" s="2" t="n">
        <v>46206</v>
      </c>
      <c r="B769" s="3" t="inlineStr">
        <is>
          <t>INV-2607-0768</t>
        </is>
      </c>
      <c r="C769" s="3" t="inlineStr">
        <is>
          <t>Rai Daily Mart</t>
        </is>
      </c>
      <c r="D769" s="3" t="inlineStr">
        <is>
          <t>Instant Noodles 280g</t>
        </is>
      </c>
      <c r="E769" s="3" t="inlineStr">
        <is>
          <t>Snacks</t>
        </is>
      </c>
      <c r="F769" s="4" t="n">
        <v>19</v>
      </c>
      <c r="G769" s="5" t="n">
        <v>58.39</v>
      </c>
      <c r="H769" s="5">
        <f>F769*G769</f>
        <v/>
      </c>
      <c r="I769" s="5">
        <f>F769*VLOOKUP(D769,Products!$B$2:$E$13,3,FALSE)</f>
        <v/>
      </c>
    </row>
    <row r="770">
      <c r="A770" s="2" t="n">
        <v>46206</v>
      </c>
      <c r="B770" s="3" t="inlineStr">
        <is>
          <t>INV-2607-0769</t>
        </is>
      </c>
      <c r="C770" s="3" t="inlineStr">
        <is>
          <t>Ali General Store</t>
        </is>
      </c>
      <c r="D770" s="3" t="inlineStr">
        <is>
          <t>Potato Chips 150g</t>
        </is>
      </c>
      <c r="E770" s="3" t="inlineStr">
        <is>
          <t>Snacks</t>
        </is>
      </c>
      <c r="F770" s="4" t="n">
        <v>14</v>
      </c>
      <c r="G770" s="5" t="n">
        <v>50.15</v>
      </c>
      <c r="H770" s="5">
        <f>F770*G770</f>
        <v/>
      </c>
      <c r="I770" s="5">
        <f>F770*VLOOKUP(D770,Products!$B$2:$E$13,3,FALSE)</f>
        <v/>
      </c>
    </row>
    <row r="771">
      <c r="A771" s="2" t="n">
        <v>46206</v>
      </c>
      <c r="B771" s="3" t="inlineStr">
        <is>
          <t>INV-2607-0770</t>
        </is>
      </c>
      <c r="C771" s="3" t="inlineStr">
        <is>
          <t>Tiwari General</t>
        </is>
      </c>
      <c r="D771" s="3" t="inlineStr">
        <is>
          <t>Detergent 1kg</t>
        </is>
      </c>
      <c r="E771" s="3" t="inlineStr">
        <is>
          <t>Household</t>
        </is>
      </c>
      <c r="F771" s="4" t="n">
        <v>24</v>
      </c>
      <c r="G771" s="5" t="n">
        <v>128.36</v>
      </c>
      <c r="H771" s="5">
        <f>F771*G771</f>
        <v/>
      </c>
      <c r="I771" s="5">
        <f>F771*VLOOKUP(D771,Products!$B$2:$E$13,3,FALSE)</f>
        <v/>
      </c>
    </row>
    <row r="772">
      <c r="A772" s="2" t="n">
        <v>46206</v>
      </c>
      <c r="B772" s="3" t="inlineStr">
        <is>
          <t>INV-2607-0771</t>
        </is>
      </c>
      <c r="C772" s="3" t="inlineStr">
        <is>
          <t>Pandey Stores</t>
        </is>
      </c>
      <c r="D772" s="3" t="inlineStr">
        <is>
          <t>Curd Cup 400g</t>
        </is>
      </c>
      <c r="E772" s="3" t="inlineStr">
        <is>
          <t>Dairy</t>
        </is>
      </c>
      <c r="F772" s="4" t="n">
        <v>17</v>
      </c>
      <c r="G772" s="5" t="n">
        <v>46.35</v>
      </c>
      <c r="H772" s="5">
        <f>F772*G772</f>
        <v/>
      </c>
      <c r="I772" s="5">
        <f>F772*VLOOKUP(D772,Products!$B$2:$E$13,3,FALSE)</f>
        <v/>
      </c>
    </row>
    <row r="773">
      <c r="A773" s="2" t="n">
        <v>46206</v>
      </c>
      <c r="B773" s="3" t="inlineStr">
        <is>
          <t>INV-2607-0772</t>
        </is>
      </c>
      <c r="C773" s="3" t="inlineStr">
        <is>
          <t>Gupta General Store</t>
        </is>
      </c>
      <c r="D773" s="3" t="inlineStr">
        <is>
          <t>Curd Cup 400g</t>
        </is>
      </c>
      <c r="E773" s="3" t="inlineStr">
        <is>
          <t>Dairy</t>
        </is>
      </c>
      <c r="F773" s="4" t="n">
        <v>48</v>
      </c>
      <c r="G773" s="5" t="n">
        <v>44.29</v>
      </c>
      <c r="H773" s="5">
        <f>F773*G773</f>
        <v/>
      </c>
      <c r="I773" s="5">
        <f>F773*VLOOKUP(D773,Products!$B$2:$E$13,3,FALSE)</f>
        <v/>
      </c>
    </row>
    <row r="774">
      <c r="A774" s="2" t="n">
        <v>46206</v>
      </c>
      <c r="B774" s="3" t="inlineStr">
        <is>
          <t>INV-2607-0773</t>
        </is>
      </c>
      <c r="C774" s="3" t="inlineStr">
        <is>
          <t>Pandey Stores</t>
        </is>
      </c>
      <c r="D774" s="3" t="inlineStr">
        <is>
          <t>Packaged Water 1L</t>
        </is>
      </c>
      <c r="E774" s="3" t="inlineStr">
        <is>
          <t>Beverages</t>
        </is>
      </c>
      <c r="F774" s="4" t="n">
        <v>43</v>
      </c>
      <c r="G774" s="5" t="n">
        <v>20.02</v>
      </c>
      <c r="H774" s="5">
        <f>F774*G774</f>
        <v/>
      </c>
      <c r="I774" s="5">
        <f>F774*VLOOKUP(D774,Products!$B$2:$E$13,3,FALSE)</f>
        <v/>
      </c>
    </row>
    <row r="775">
      <c r="A775" s="2" t="n">
        <v>46206</v>
      </c>
      <c r="B775" s="3" t="inlineStr">
        <is>
          <t>INV-2607-0774</t>
        </is>
      </c>
      <c r="C775" s="3" t="inlineStr">
        <is>
          <t>Sinha Super Mart</t>
        </is>
      </c>
      <c r="D775" s="3" t="inlineStr">
        <is>
          <t>Toned Milk 1L</t>
        </is>
      </c>
      <c r="E775" s="3" t="inlineStr">
        <is>
          <t>Dairy</t>
        </is>
      </c>
      <c r="F775" s="4" t="n">
        <v>5</v>
      </c>
      <c r="G775" s="5" t="n">
        <v>66.33</v>
      </c>
      <c r="H775" s="5">
        <f>F775*G775</f>
        <v/>
      </c>
      <c r="I775" s="5">
        <f>F775*VLOOKUP(D775,Products!$B$2:$E$13,3,FALSE)</f>
        <v/>
      </c>
    </row>
    <row r="776">
      <c r="A776" s="2" t="n">
        <v>46206</v>
      </c>
      <c r="B776" s="3" t="inlineStr">
        <is>
          <t>INV-2607-0775</t>
        </is>
      </c>
      <c r="C776" s="3" t="inlineStr">
        <is>
          <t>Kumari Kirana</t>
        </is>
      </c>
      <c r="D776" s="3" t="inlineStr">
        <is>
          <t>Cola 750ml</t>
        </is>
      </c>
      <c r="E776" s="3" t="inlineStr">
        <is>
          <t>Beverages</t>
        </is>
      </c>
      <c r="F776" s="4" t="n">
        <v>59</v>
      </c>
      <c r="G776" s="5" t="n">
        <v>44.78</v>
      </c>
      <c r="H776" s="5">
        <f>F776*G776</f>
        <v/>
      </c>
      <c r="I776" s="5">
        <f>F776*VLOOKUP(D776,Products!$B$2:$E$13,3,FALSE)</f>
        <v/>
      </c>
    </row>
    <row r="777">
      <c r="A777" s="2" t="n">
        <v>46206</v>
      </c>
      <c r="B777" s="3" t="inlineStr">
        <is>
          <t>INV-2607-0776</t>
        </is>
      </c>
      <c r="C777" s="3" t="inlineStr">
        <is>
          <t>Das &amp; Sons</t>
        </is>
      </c>
      <c r="D777" s="3" t="inlineStr">
        <is>
          <t>Potato Chips 150g</t>
        </is>
      </c>
      <c r="E777" s="3" t="inlineStr">
        <is>
          <t>Snacks</t>
        </is>
      </c>
      <c r="F777" s="4" t="n">
        <v>24</v>
      </c>
      <c r="G777" s="5" t="n">
        <v>48.91</v>
      </c>
      <c r="H777" s="5">
        <f>F777*G777</f>
        <v/>
      </c>
      <c r="I777" s="5">
        <f>F777*VLOOKUP(D777,Products!$B$2:$E$13,3,FALSE)</f>
        <v/>
      </c>
    </row>
    <row r="778">
      <c r="A778" s="2" t="n">
        <v>46207</v>
      </c>
      <c r="B778" s="3" t="inlineStr">
        <is>
          <t>INV-2607-0777</t>
        </is>
      </c>
      <c r="C778" s="3" t="inlineStr">
        <is>
          <t>Kumari Kirana</t>
        </is>
      </c>
      <c r="D778" s="3" t="inlineStr">
        <is>
          <t>Paneer 200g</t>
        </is>
      </c>
      <c r="E778" s="3" t="inlineStr">
        <is>
          <t>Dairy</t>
        </is>
      </c>
      <c r="F778" s="4" t="n">
        <v>30</v>
      </c>
      <c r="G778" s="5" t="n">
        <v>98.76000000000001</v>
      </c>
      <c r="H778" s="5">
        <f>F778*G778</f>
        <v/>
      </c>
      <c r="I778" s="5">
        <f>F778*VLOOKUP(D778,Products!$B$2:$E$13,3,FALSE)</f>
        <v/>
      </c>
    </row>
    <row r="779">
      <c r="A779" s="2" t="n">
        <v>46207</v>
      </c>
      <c r="B779" s="3" t="inlineStr">
        <is>
          <t>INV-2607-0778</t>
        </is>
      </c>
      <c r="C779" s="3" t="inlineStr">
        <is>
          <t>Gupta General Store</t>
        </is>
      </c>
      <c r="D779" s="3" t="inlineStr">
        <is>
          <t>Biscuits 400g</t>
        </is>
      </c>
      <c r="E779" s="3" t="inlineStr">
        <is>
          <t>Snacks</t>
        </is>
      </c>
      <c r="F779" s="4" t="n">
        <v>27</v>
      </c>
      <c r="G779" s="5" t="n">
        <v>39.32</v>
      </c>
      <c r="H779" s="5">
        <f>F779*G779</f>
        <v/>
      </c>
      <c r="I779" s="5">
        <f>F779*VLOOKUP(D779,Products!$B$2:$E$13,3,FALSE)</f>
        <v/>
      </c>
    </row>
    <row r="780">
      <c r="A780" s="2" t="n">
        <v>46207</v>
      </c>
      <c r="B780" s="3" t="inlineStr">
        <is>
          <t>INV-2607-0779</t>
        </is>
      </c>
      <c r="C780" s="3" t="inlineStr">
        <is>
          <t>Dubey Kirana</t>
        </is>
      </c>
      <c r="D780" s="3" t="inlineStr">
        <is>
          <t>Toned Milk 1L</t>
        </is>
      </c>
      <c r="E780" s="3" t="inlineStr">
        <is>
          <t>Dairy</t>
        </is>
      </c>
      <c r="F780" s="4" t="n">
        <v>73</v>
      </c>
      <c r="G780" s="5" t="n">
        <v>65.36</v>
      </c>
      <c r="H780" s="5">
        <f>F780*G780</f>
        <v/>
      </c>
      <c r="I780" s="5">
        <f>F780*VLOOKUP(D780,Products!$B$2:$E$13,3,FALSE)</f>
        <v/>
      </c>
    </row>
    <row r="781">
      <c r="A781" s="2" t="n">
        <v>46207</v>
      </c>
      <c r="B781" s="3" t="inlineStr">
        <is>
          <t>INV-2607-0780</t>
        </is>
      </c>
      <c r="C781" s="3" t="inlineStr">
        <is>
          <t>Dubey Kirana</t>
        </is>
      </c>
      <c r="D781" s="3" t="inlineStr">
        <is>
          <t>Mango Juice 1L</t>
        </is>
      </c>
      <c r="E781" s="3" t="inlineStr">
        <is>
          <t>Beverages</t>
        </is>
      </c>
      <c r="F781" s="4" t="n">
        <v>31</v>
      </c>
      <c r="G781" s="5" t="n">
        <v>125.27</v>
      </c>
      <c r="H781" s="5">
        <f>F781*G781</f>
        <v/>
      </c>
      <c r="I781" s="5">
        <f>F781*VLOOKUP(D781,Products!$B$2:$E$13,3,FALSE)</f>
        <v/>
      </c>
    </row>
    <row r="782">
      <c r="A782" s="2" t="n">
        <v>46207</v>
      </c>
      <c r="B782" s="3" t="inlineStr">
        <is>
          <t>INV-2607-0781</t>
        </is>
      </c>
      <c r="C782" s="3" t="inlineStr">
        <is>
          <t>Sinha Super Mart</t>
        </is>
      </c>
      <c r="D782" s="3" t="inlineStr">
        <is>
          <t>Detergent 1kg</t>
        </is>
      </c>
      <c r="E782" s="3" t="inlineStr">
        <is>
          <t>Household</t>
        </is>
      </c>
      <c r="F782" s="4" t="n">
        <v>28</v>
      </c>
      <c r="G782" s="5" t="n">
        <v>134.97</v>
      </c>
      <c r="H782" s="5">
        <f>F782*G782</f>
        <v/>
      </c>
      <c r="I782" s="5">
        <f>F782*VLOOKUP(D782,Products!$B$2:$E$13,3,FALSE)</f>
        <v/>
      </c>
    </row>
    <row r="783">
      <c r="A783" s="2" t="n">
        <v>46207</v>
      </c>
      <c r="B783" s="3" t="inlineStr">
        <is>
          <t>INV-2607-0782</t>
        </is>
      </c>
      <c r="C783" s="3" t="inlineStr">
        <is>
          <t>Kumari Kirana</t>
        </is>
      </c>
      <c r="D783" s="3" t="inlineStr">
        <is>
          <t>Biscuits 400g</t>
        </is>
      </c>
      <c r="E783" s="3" t="inlineStr">
        <is>
          <t>Snacks</t>
        </is>
      </c>
      <c r="F783" s="4" t="n">
        <v>22</v>
      </c>
      <c r="G783" s="5" t="n">
        <v>41.45</v>
      </c>
      <c r="H783" s="5">
        <f>F783*G783</f>
        <v/>
      </c>
      <c r="I783" s="5">
        <f>F783*VLOOKUP(D783,Products!$B$2:$E$13,3,FALSE)</f>
        <v/>
      </c>
    </row>
    <row r="784">
      <c r="A784" s="2" t="n">
        <v>46207</v>
      </c>
      <c r="B784" s="3" t="inlineStr">
        <is>
          <t>INV-2607-0783</t>
        </is>
      </c>
      <c r="C784" s="3" t="inlineStr">
        <is>
          <t>Khan Mart</t>
        </is>
      </c>
      <c r="D784" s="3" t="inlineStr">
        <is>
          <t>Dish Soap 500ml</t>
        </is>
      </c>
      <c r="E784" s="3" t="inlineStr">
        <is>
          <t>Household</t>
        </is>
      </c>
      <c r="F784" s="4" t="n">
        <v>60</v>
      </c>
      <c r="G784" s="5" t="n">
        <v>97.27</v>
      </c>
      <c r="H784" s="5">
        <f>F784*G784</f>
        <v/>
      </c>
      <c r="I784" s="5">
        <f>F784*VLOOKUP(D784,Products!$B$2:$E$13,3,FALSE)</f>
        <v/>
      </c>
    </row>
    <row r="785">
      <c r="A785" s="2" t="n">
        <v>46207</v>
      </c>
      <c r="B785" s="3" t="inlineStr">
        <is>
          <t>INV-2607-0784</t>
        </is>
      </c>
      <c r="C785" s="3" t="inlineStr">
        <is>
          <t>Singh Super Bazaar</t>
        </is>
      </c>
      <c r="D785" s="3" t="inlineStr">
        <is>
          <t>Toned Milk 1L</t>
        </is>
      </c>
      <c r="E785" s="3" t="inlineStr">
        <is>
          <t>Dairy</t>
        </is>
      </c>
      <c r="F785" s="4" t="n">
        <v>19</v>
      </c>
      <c r="G785" s="5" t="n">
        <v>65.84</v>
      </c>
      <c r="H785" s="5">
        <f>F785*G785</f>
        <v/>
      </c>
      <c r="I785" s="5">
        <f>F785*VLOOKUP(D785,Products!$B$2:$E$13,3,FALSE)</f>
        <v/>
      </c>
    </row>
    <row r="786">
      <c r="A786" s="2" t="n">
        <v>46207</v>
      </c>
      <c r="B786" s="3" t="inlineStr">
        <is>
          <t>INV-2607-0785</t>
        </is>
      </c>
      <c r="C786" s="3" t="inlineStr">
        <is>
          <t>Nath Provisions</t>
        </is>
      </c>
      <c r="D786" s="3" t="inlineStr">
        <is>
          <t>Dish Soap 500ml</t>
        </is>
      </c>
      <c r="E786" s="3" t="inlineStr">
        <is>
          <t>Household</t>
        </is>
      </c>
      <c r="F786" s="4" t="n">
        <v>39</v>
      </c>
      <c r="G786" s="5" t="n">
        <v>96.31999999999999</v>
      </c>
      <c r="H786" s="5">
        <f>F786*G786</f>
        <v/>
      </c>
      <c r="I786" s="5">
        <f>F786*VLOOKUP(D786,Products!$B$2:$E$13,3,FALSE)</f>
        <v/>
      </c>
    </row>
    <row r="787">
      <c r="A787" s="2" t="n">
        <v>46207</v>
      </c>
      <c r="B787" s="3" t="inlineStr">
        <is>
          <t>INV-2607-0786</t>
        </is>
      </c>
      <c r="C787" s="3" t="inlineStr">
        <is>
          <t>Gupta General Store</t>
        </is>
      </c>
      <c r="D787" s="3" t="inlineStr">
        <is>
          <t>Packaged Water 1L</t>
        </is>
      </c>
      <c r="E787" s="3" t="inlineStr">
        <is>
          <t>Beverages</t>
        </is>
      </c>
      <c r="F787" s="4" t="n">
        <v>28</v>
      </c>
      <c r="G787" s="5" t="n">
        <v>19.82</v>
      </c>
      <c r="H787" s="5">
        <f>F787*G787</f>
        <v/>
      </c>
      <c r="I787" s="5">
        <f>F787*VLOOKUP(D787,Products!$B$2:$E$13,3,FALSE)</f>
        <v/>
      </c>
    </row>
    <row r="788">
      <c r="A788" s="2" t="n">
        <v>46207</v>
      </c>
      <c r="B788" s="3" t="inlineStr">
        <is>
          <t>INV-2607-0787</t>
        </is>
      </c>
      <c r="C788" s="3" t="inlineStr">
        <is>
          <t>Bhatt General Store</t>
        </is>
      </c>
      <c r="D788" s="3" t="inlineStr">
        <is>
          <t>Cola 750ml</t>
        </is>
      </c>
      <c r="E788" s="3" t="inlineStr">
        <is>
          <t>Beverages</t>
        </is>
      </c>
      <c r="F788" s="4" t="n">
        <v>48</v>
      </c>
      <c r="G788" s="5" t="n">
        <v>43.66</v>
      </c>
      <c r="H788" s="5">
        <f>F788*G788</f>
        <v/>
      </c>
      <c r="I788" s="5">
        <f>F788*VLOOKUP(D788,Products!$B$2:$E$13,3,FALSE)</f>
        <v/>
      </c>
    </row>
    <row r="789">
      <c r="A789" s="2" t="n">
        <v>46208</v>
      </c>
      <c r="B789" s="3" t="inlineStr">
        <is>
          <t>INV-2607-0788</t>
        </is>
      </c>
      <c r="C789" s="3" t="inlineStr">
        <is>
          <t>Bhatt General Store</t>
        </is>
      </c>
      <c r="D789" s="3" t="inlineStr">
        <is>
          <t>Potato Chips 150g</t>
        </is>
      </c>
      <c r="E789" s="3" t="inlineStr">
        <is>
          <t>Snacks</t>
        </is>
      </c>
      <c r="F789" s="4" t="n">
        <v>59</v>
      </c>
      <c r="G789" s="5" t="n">
        <v>52.14</v>
      </c>
      <c r="H789" s="5">
        <f>F789*G789</f>
        <v/>
      </c>
      <c r="I789" s="5">
        <f>F789*VLOOKUP(D789,Products!$B$2:$E$13,3,FALSE)</f>
        <v/>
      </c>
    </row>
    <row r="790">
      <c r="A790" s="2" t="n">
        <v>46208</v>
      </c>
      <c r="B790" s="3" t="inlineStr">
        <is>
          <t>INV-2607-0789</t>
        </is>
      </c>
      <c r="C790" s="3" t="inlineStr">
        <is>
          <t>Jha Provisions</t>
        </is>
      </c>
      <c r="D790" s="3" t="inlineStr">
        <is>
          <t>Floor Cleaner 1L</t>
        </is>
      </c>
      <c r="E790" s="3" t="inlineStr">
        <is>
          <t>Household</t>
        </is>
      </c>
      <c r="F790" s="4" t="n">
        <v>15</v>
      </c>
      <c r="G790" s="5" t="n">
        <v>114.43</v>
      </c>
      <c r="H790" s="5">
        <f>F790*G790</f>
        <v/>
      </c>
      <c r="I790" s="5">
        <f>F790*VLOOKUP(D790,Products!$B$2:$E$13,3,FALSE)</f>
        <v/>
      </c>
    </row>
    <row r="791">
      <c r="A791" s="2" t="n">
        <v>46208</v>
      </c>
      <c r="B791" s="3" t="inlineStr">
        <is>
          <t>INV-2607-0790</t>
        </is>
      </c>
      <c r="C791" s="3" t="inlineStr">
        <is>
          <t>Bhatt General Store</t>
        </is>
      </c>
      <c r="D791" s="3" t="inlineStr">
        <is>
          <t>Instant Noodles 280g</t>
        </is>
      </c>
      <c r="E791" s="3" t="inlineStr">
        <is>
          <t>Snacks</t>
        </is>
      </c>
      <c r="F791" s="4" t="n">
        <v>60</v>
      </c>
      <c r="G791" s="5" t="n">
        <v>57.33</v>
      </c>
      <c r="H791" s="5">
        <f>F791*G791</f>
        <v/>
      </c>
      <c r="I791" s="5">
        <f>F791*VLOOKUP(D791,Products!$B$2:$E$13,3,FALSE)</f>
        <v/>
      </c>
    </row>
    <row r="792">
      <c r="A792" s="2" t="n">
        <v>46208</v>
      </c>
      <c r="B792" s="3" t="inlineStr">
        <is>
          <t>INV-2607-0791</t>
        </is>
      </c>
      <c r="C792" s="3" t="inlineStr">
        <is>
          <t>Dubey Kirana</t>
        </is>
      </c>
      <c r="D792" s="3" t="inlineStr">
        <is>
          <t>Mango Juice 1L</t>
        </is>
      </c>
      <c r="E792" s="3" t="inlineStr">
        <is>
          <t>Beverages</t>
        </is>
      </c>
      <c r="F792" s="4" t="n">
        <v>38</v>
      </c>
      <c r="G792" s="5" t="n">
        <v>119.8</v>
      </c>
      <c r="H792" s="5">
        <f>F792*G792</f>
        <v/>
      </c>
      <c r="I792" s="5">
        <f>F792*VLOOKUP(D792,Products!$B$2:$E$13,3,FALSE)</f>
        <v/>
      </c>
    </row>
    <row r="793">
      <c r="A793" s="2" t="n">
        <v>46208</v>
      </c>
      <c r="B793" s="3" t="inlineStr">
        <is>
          <t>INV-2607-0792</t>
        </is>
      </c>
      <c r="C793" s="3" t="inlineStr">
        <is>
          <t>Mishra Stores</t>
        </is>
      </c>
      <c r="D793" s="3" t="inlineStr">
        <is>
          <t>Floor Cleaner 1L</t>
        </is>
      </c>
      <c r="E793" s="3" t="inlineStr">
        <is>
          <t>Household</t>
        </is>
      </c>
      <c r="F793" s="4" t="n">
        <v>58</v>
      </c>
      <c r="G793" s="5" t="n">
        <v>112.27</v>
      </c>
      <c r="H793" s="5">
        <f>F793*G793</f>
        <v/>
      </c>
      <c r="I793" s="5">
        <f>F793*VLOOKUP(D793,Products!$B$2:$E$13,3,FALSE)</f>
        <v/>
      </c>
    </row>
    <row r="794">
      <c r="A794" s="2" t="n">
        <v>46208</v>
      </c>
      <c r="B794" s="3" t="inlineStr">
        <is>
          <t>INV-2607-0793</t>
        </is>
      </c>
      <c r="C794" s="3" t="inlineStr">
        <is>
          <t>Verma Retail</t>
        </is>
      </c>
      <c r="D794" s="3" t="inlineStr">
        <is>
          <t>Packaged Water 1L</t>
        </is>
      </c>
      <c r="E794" s="3" t="inlineStr">
        <is>
          <t>Beverages</t>
        </is>
      </c>
      <c r="F794" s="4" t="n">
        <v>63</v>
      </c>
      <c r="G794" s="5" t="n">
        <v>19.56</v>
      </c>
      <c r="H794" s="5">
        <f>F794*G794</f>
        <v/>
      </c>
      <c r="I794" s="5">
        <f>F794*VLOOKUP(D794,Products!$B$2:$E$13,3,FALSE)</f>
        <v/>
      </c>
    </row>
    <row r="795">
      <c r="A795" s="2" t="n">
        <v>46208</v>
      </c>
      <c r="B795" s="3" t="inlineStr">
        <is>
          <t>INV-2607-0794</t>
        </is>
      </c>
      <c r="C795" s="3" t="inlineStr">
        <is>
          <t>Das &amp; Sons</t>
        </is>
      </c>
      <c r="D795" s="3" t="inlineStr">
        <is>
          <t>Dish Soap 500ml</t>
        </is>
      </c>
      <c r="E795" s="3" t="inlineStr">
        <is>
          <t>Household</t>
        </is>
      </c>
      <c r="F795" s="4" t="n">
        <v>60</v>
      </c>
      <c r="G795" s="5" t="n">
        <v>97.53</v>
      </c>
      <c r="H795" s="5">
        <f>F795*G795</f>
        <v/>
      </c>
      <c r="I795" s="5">
        <f>F795*VLOOKUP(D795,Products!$B$2:$E$13,3,FALSE)</f>
        <v/>
      </c>
    </row>
    <row r="796">
      <c r="A796" s="2" t="n">
        <v>46208</v>
      </c>
      <c r="B796" s="3" t="inlineStr">
        <is>
          <t>INV-2607-0795</t>
        </is>
      </c>
      <c r="C796" s="3" t="inlineStr">
        <is>
          <t>Azad Stores</t>
        </is>
      </c>
      <c r="D796" s="3" t="inlineStr">
        <is>
          <t>Curd Cup 400g</t>
        </is>
      </c>
      <c r="E796" s="3" t="inlineStr">
        <is>
          <t>Dairy</t>
        </is>
      </c>
      <c r="F796" s="4" t="n">
        <v>4</v>
      </c>
      <c r="G796" s="5" t="n">
        <v>44.54</v>
      </c>
      <c r="H796" s="5">
        <f>F796*G796</f>
        <v/>
      </c>
      <c r="I796" s="5">
        <f>F796*VLOOKUP(D796,Products!$B$2:$E$13,3,FALSE)</f>
        <v/>
      </c>
    </row>
    <row r="797">
      <c r="A797" s="2" t="n">
        <v>46208</v>
      </c>
      <c r="B797" s="3" t="inlineStr">
        <is>
          <t>INV-2607-0796</t>
        </is>
      </c>
      <c r="C797" s="3" t="inlineStr">
        <is>
          <t>Sahu Traders</t>
        </is>
      </c>
      <c r="D797" s="3" t="inlineStr">
        <is>
          <t>Instant Noodles 280g</t>
        </is>
      </c>
      <c r="E797" s="3" t="inlineStr">
        <is>
          <t>Snacks</t>
        </is>
      </c>
      <c r="F797" s="4" t="n">
        <v>44</v>
      </c>
      <c r="G797" s="5" t="n">
        <v>55.01</v>
      </c>
      <c r="H797" s="5">
        <f>F797*G797</f>
        <v/>
      </c>
      <c r="I797" s="5">
        <f>F797*VLOOKUP(D797,Products!$B$2:$E$13,3,FALSE)</f>
        <v/>
      </c>
    </row>
    <row r="798">
      <c r="A798" s="2" t="n">
        <v>46209</v>
      </c>
      <c r="B798" s="3" t="inlineStr">
        <is>
          <t>INV-2607-0797</t>
        </is>
      </c>
      <c r="C798" s="3" t="inlineStr">
        <is>
          <t>Rai Daily Mart</t>
        </is>
      </c>
      <c r="D798" s="3" t="inlineStr">
        <is>
          <t>Potato Chips 150g</t>
        </is>
      </c>
      <c r="E798" s="3" t="inlineStr">
        <is>
          <t>Snacks</t>
        </is>
      </c>
      <c r="F798" s="4" t="n">
        <v>39</v>
      </c>
      <c r="G798" s="5" t="n">
        <v>48.79</v>
      </c>
      <c r="H798" s="5">
        <f>F798*G798</f>
        <v/>
      </c>
      <c r="I798" s="5">
        <f>F798*VLOOKUP(D798,Products!$B$2:$E$13,3,FALSE)</f>
        <v/>
      </c>
    </row>
    <row r="799">
      <c r="A799" s="2" t="n">
        <v>46209</v>
      </c>
      <c r="B799" s="3" t="inlineStr">
        <is>
          <t>INV-2607-0798</t>
        </is>
      </c>
      <c r="C799" s="3" t="inlineStr">
        <is>
          <t>Mehta Retail</t>
        </is>
      </c>
      <c r="D799" s="3" t="inlineStr">
        <is>
          <t>Paneer 200g</t>
        </is>
      </c>
      <c r="E799" s="3" t="inlineStr">
        <is>
          <t>Dairy</t>
        </is>
      </c>
      <c r="F799" s="4" t="n">
        <v>17</v>
      </c>
      <c r="G799" s="5" t="n">
        <v>99.08</v>
      </c>
      <c r="H799" s="5">
        <f>F799*G799</f>
        <v/>
      </c>
      <c r="I799" s="5">
        <f>F799*VLOOKUP(D799,Products!$B$2:$E$13,3,FALSE)</f>
        <v/>
      </c>
    </row>
    <row r="800">
      <c r="A800" s="2" t="n">
        <v>46209</v>
      </c>
      <c r="B800" s="3" t="inlineStr">
        <is>
          <t>INV-2607-0799</t>
        </is>
      </c>
      <c r="C800" s="3" t="inlineStr">
        <is>
          <t>Mishra Stores</t>
        </is>
      </c>
      <c r="D800" s="3" t="inlineStr">
        <is>
          <t>Paneer 200g</t>
        </is>
      </c>
      <c r="E800" s="3" t="inlineStr">
        <is>
          <t>Dairy</t>
        </is>
      </c>
      <c r="F800" s="4" t="n">
        <v>49</v>
      </c>
      <c r="G800" s="5" t="n">
        <v>94.58</v>
      </c>
      <c r="H800" s="5">
        <f>F800*G800</f>
        <v/>
      </c>
      <c r="I800" s="5">
        <f>F800*VLOOKUP(D800,Products!$B$2:$E$13,3,FALSE)</f>
        <v/>
      </c>
    </row>
    <row r="801">
      <c r="A801" s="2" t="n">
        <v>46209</v>
      </c>
      <c r="B801" s="3" t="inlineStr">
        <is>
          <t>INV-2607-0800</t>
        </is>
      </c>
      <c r="C801" s="3" t="inlineStr">
        <is>
          <t>Yadav Daily Needs</t>
        </is>
      </c>
      <c r="D801" s="3" t="inlineStr">
        <is>
          <t>Toned Milk 1L</t>
        </is>
      </c>
      <c r="E801" s="3" t="inlineStr">
        <is>
          <t>Dairy</t>
        </is>
      </c>
      <c r="F801" s="4" t="n">
        <v>70</v>
      </c>
      <c r="G801" s="5" t="n">
        <v>68.03</v>
      </c>
      <c r="H801" s="5">
        <f>F801*G801</f>
        <v/>
      </c>
      <c r="I801" s="5">
        <f>F801*VLOOKUP(D801,Products!$B$2:$E$13,3,FALSE)</f>
        <v/>
      </c>
    </row>
    <row r="802">
      <c r="A802" s="2" t="n">
        <v>46209</v>
      </c>
      <c r="B802" s="3" t="inlineStr">
        <is>
          <t>INV-2607-0801</t>
        </is>
      </c>
      <c r="C802" s="3" t="inlineStr">
        <is>
          <t>Raza Brothers</t>
        </is>
      </c>
      <c r="D802" s="3" t="inlineStr">
        <is>
          <t>Detergent 1kg</t>
        </is>
      </c>
      <c r="E802" s="3" t="inlineStr">
        <is>
          <t>Household</t>
        </is>
      </c>
      <c r="F802" s="4" t="n">
        <v>36</v>
      </c>
      <c r="G802" s="5" t="n">
        <v>131.46</v>
      </c>
      <c r="H802" s="5">
        <f>F802*G802</f>
        <v/>
      </c>
      <c r="I802" s="5">
        <f>F802*VLOOKUP(D802,Products!$B$2:$E$13,3,FALSE)</f>
        <v/>
      </c>
    </row>
    <row r="803">
      <c r="A803" s="2" t="n">
        <v>46209</v>
      </c>
      <c r="B803" s="3" t="inlineStr">
        <is>
          <t>INV-2607-0802</t>
        </is>
      </c>
      <c r="C803" s="3" t="inlineStr">
        <is>
          <t>Sinha Super Mart</t>
        </is>
      </c>
      <c r="D803" s="3" t="inlineStr">
        <is>
          <t>Potato Chips 150g</t>
        </is>
      </c>
      <c r="E803" s="3" t="inlineStr">
        <is>
          <t>Snacks</t>
        </is>
      </c>
      <c r="F803" s="4" t="n">
        <v>10</v>
      </c>
      <c r="G803" s="5" t="n">
        <v>51.78</v>
      </c>
      <c r="H803" s="5">
        <f>F803*G803</f>
        <v/>
      </c>
      <c r="I803" s="5">
        <f>F803*VLOOKUP(D803,Products!$B$2:$E$13,3,FALSE)</f>
        <v/>
      </c>
    </row>
    <row r="804">
      <c r="A804" s="2" t="n">
        <v>46209</v>
      </c>
      <c r="B804" s="3" t="inlineStr">
        <is>
          <t>INV-2607-0803</t>
        </is>
      </c>
      <c r="C804" s="3" t="inlineStr">
        <is>
          <t>Mishra Stores</t>
        </is>
      </c>
      <c r="D804" s="3" t="inlineStr">
        <is>
          <t>Detergent 1kg</t>
        </is>
      </c>
      <c r="E804" s="3" t="inlineStr">
        <is>
          <t>Household</t>
        </is>
      </c>
      <c r="F804" s="4" t="n">
        <v>36</v>
      </c>
      <c r="G804" s="5" t="n">
        <v>133.15</v>
      </c>
      <c r="H804" s="5">
        <f>F804*G804</f>
        <v/>
      </c>
      <c r="I804" s="5">
        <f>F804*VLOOKUP(D804,Products!$B$2:$E$13,3,FALSE)</f>
        <v/>
      </c>
    </row>
    <row r="805">
      <c r="A805" s="2" t="n">
        <v>46210</v>
      </c>
      <c r="B805" s="3" t="inlineStr">
        <is>
          <t>INV-2607-0804</t>
        </is>
      </c>
      <c r="C805" s="3" t="inlineStr">
        <is>
          <t>Jha Provisions</t>
        </is>
      </c>
      <c r="D805" s="3" t="inlineStr">
        <is>
          <t>Mango Juice 1L</t>
        </is>
      </c>
      <c r="E805" s="3" t="inlineStr">
        <is>
          <t>Beverages</t>
        </is>
      </c>
      <c r="F805" s="4" t="n">
        <v>42</v>
      </c>
      <c r="G805" s="5" t="n">
        <v>121.84</v>
      </c>
      <c r="H805" s="5">
        <f>F805*G805</f>
        <v/>
      </c>
      <c r="I805" s="5">
        <f>F805*VLOOKUP(D805,Products!$B$2:$E$13,3,FALSE)</f>
        <v/>
      </c>
    </row>
    <row r="806">
      <c r="A806" s="2" t="n">
        <v>46210</v>
      </c>
      <c r="B806" s="3" t="inlineStr">
        <is>
          <t>INV-2607-0805</t>
        </is>
      </c>
      <c r="C806" s="3" t="inlineStr">
        <is>
          <t>Bhatt General Store</t>
        </is>
      </c>
      <c r="D806" s="3" t="inlineStr">
        <is>
          <t>Detergent 1kg</t>
        </is>
      </c>
      <c r="E806" s="3" t="inlineStr">
        <is>
          <t>Household</t>
        </is>
      </c>
      <c r="F806" s="4" t="n">
        <v>39</v>
      </c>
      <c r="G806" s="5" t="n">
        <v>132.77</v>
      </c>
      <c r="H806" s="5">
        <f>F806*G806</f>
        <v/>
      </c>
      <c r="I806" s="5">
        <f>F806*VLOOKUP(D806,Products!$B$2:$E$13,3,FALSE)</f>
        <v/>
      </c>
    </row>
    <row r="807">
      <c r="A807" s="2" t="n">
        <v>46210</v>
      </c>
      <c r="B807" s="3" t="inlineStr">
        <is>
          <t>INV-2607-0806</t>
        </is>
      </c>
      <c r="C807" s="3" t="inlineStr">
        <is>
          <t>Rai Daily Mart</t>
        </is>
      </c>
      <c r="D807" s="3" t="inlineStr">
        <is>
          <t>Toned Milk 1L</t>
        </is>
      </c>
      <c r="E807" s="3" t="inlineStr">
        <is>
          <t>Dairy</t>
        </is>
      </c>
      <c r="F807" s="4" t="n">
        <v>70</v>
      </c>
      <c r="G807" s="5" t="n">
        <v>66.63</v>
      </c>
      <c r="H807" s="5">
        <f>F807*G807</f>
        <v/>
      </c>
      <c r="I807" s="5">
        <f>F807*VLOOKUP(D807,Products!$B$2:$E$13,3,FALSE)</f>
        <v/>
      </c>
    </row>
    <row r="808">
      <c r="A808" s="2" t="n">
        <v>46210</v>
      </c>
      <c r="B808" s="3" t="inlineStr">
        <is>
          <t>INV-2607-0807</t>
        </is>
      </c>
      <c r="C808" s="3" t="inlineStr">
        <is>
          <t>Azad Stores</t>
        </is>
      </c>
      <c r="D808" s="3" t="inlineStr">
        <is>
          <t>Paneer 200g</t>
        </is>
      </c>
      <c r="E808" s="3" t="inlineStr">
        <is>
          <t>Dairy</t>
        </is>
      </c>
      <c r="F808" s="4" t="n">
        <v>39</v>
      </c>
      <c r="G808" s="5" t="n">
        <v>93.58</v>
      </c>
      <c r="H808" s="5">
        <f>F808*G808</f>
        <v/>
      </c>
      <c r="I808" s="5">
        <f>F808*VLOOKUP(D808,Products!$B$2:$E$13,3,FALSE)</f>
        <v/>
      </c>
    </row>
    <row r="809">
      <c r="A809" s="2" t="n">
        <v>46210</v>
      </c>
      <c r="B809" s="3" t="inlineStr">
        <is>
          <t>INV-2607-0808</t>
        </is>
      </c>
      <c r="C809" s="3" t="inlineStr">
        <is>
          <t>Rai Daily Mart</t>
        </is>
      </c>
      <c r="D809" s="3" t="inlineStr">
        <is>
          <t>Floor Cleaner 1L</t>
        </is>
      </c>
      <c r="E809" s="3" t="inlineStr">
        <is>
          <t>Household</t>
        </is>
      </c>
      <c r="F809" s="4" t="n">
        <v>13</v>
      </c>
      <c r="G809" s="5" t="n">
        <v>113.05</v>
      </c>
      <c r="H809" s="5">
        <f>F809*G809</f>
        <v/>
      </c>
      <c r="I809" s="5">
        <f>F809*VLOOKUP(D809,Products!$B$2:$E$13,3,FALSE)</f>
        <v/>
      </c>
    </row>
    <row r="810">
      <c r="A810" s="2" t="n">
        <v>46210</v>
      </c>
      <c r="B810" s="3" t="inlineStr">
        <is>
          <t>INV-2607-0809</t>
        </is>
      </c>
      <c r="C810" s="3" t="inlineStr">
        <is>
          <t>Verma Retail</t>
        </is>
      </c>
      <c r="D810" s="3" t="inlineStr">
        <is>
          <t>Cola 750ml</t>
        </is>
      </c>
      <c r="E810" s="3" t="inlineStr">
        <is>
          <t>Beverages</t>
        </is>
      </c>
      <c r="F810" s="4" t="n">
        <v>44</v>
      </c>
      <c r="G810" s="5" t="n">
        <v>47.12</v>
      </c>
      <c r="H810" s="5">
        <f>F810*G810</f>
        <v/>
      </c>
      <c r="I810" s="5">
        <f>F810*VLOOKUP(D810,Products!$B$2:$E$13,3,FALSE)</f>
        <v/>
      </c>
    </row>
    <row r="811">
      <c r="A811" s="2" t="n">
        <v>46210</v>
      </c>
      <c r="B811" s="3" t="inlineStr">
        <is>
          <t>INV-2607-0810</t>
        </is>
      </c>
      <c r="C811" s="3" t="inlineStr">
        <is>
          <t>Dubey Kirana</t>
        </is>
      </c>
      <c r="D811" s="3" t="inlineStr">
        <is>
          <t>Biscuits 400g</t>
        </is>
      </c>
      <c r="E811" s="3" t="inlineStr">
        <is>
          <t>Snacks</t>
        </is>
      </c>
      <c r="F811" s="4" t="n">
        <v>51</v>
      </c>
      <c r="G811" s="5" t="n">
        <v>41.27</v>
      </c>
      <c r="H811" s="5">
        <f>F811*G811</f>
        <v/>
      </c>
      <c r="I811" s="5">
        <f>F811*VLOOKUP(D811,Products!$B$2:$E$13,3,FALSE)</f>
        <v/>
      </c>
    </row>
    <row r="812">
      <c r="A812" s="2" t="n">
        <v>46210</v>
      </c>
      <c r="B812" s="3" t="inlineStr">
        <is>
          <t>INV-2607-0811</t>
        </is>
      </c>
      <c r="C812" s="3" t="inlineStr">
        <is>
          <t>Tiwari General</t>
        </is>
      </c>
      <c r="D812" s="3" t="inlineStr">
        <is>
          <t>Cola 750ml</t>
        </is>
      </c>
      <c r="E812" s="3" t="inlineStr">
        <is>
          <t>Beverages</t>
        </is>
      </c>
      <c r="F812" s="4" t="n">
        <v>21</v>
      </c>
      <c r="G812" s="5" t="n">
        <v>46.32</v>
      </c>
      <c r="H812" s="5">
        <f>F812*G812</f>
        <v/>
      </c>
      <c r="I812" s="5">
        <f>F812*VLOOKUP(D812,Products!$B$2:$E$13,3,FALSE)</f>
        <v/>
      </c>
    </row>
    <row r="813">
      <c r="A813" s="2" t="n">
        <v>46210</v>
      </c>
      <c r="B813" s="3" t="inlineStr">
        <is>
          <t>INV-2607-0812</t>
        </is>
      </c>
      <c r="C813" s="3" t="inlineStr">
        <is>
          <t>Rai Daily Mart</t>
        </is>
      </c>
      <c r="D813" s="3" t="inlineStr">
        <is>
          <t>Cola 750ml</t>
        </is>
      </c>
      <c r="E813" s="3" t="inlineStr">
        <is>
          <t>Beverages</t>
        </is>
      </c>
      <c r="F813" s="4" t="n">
        <v>29</v>
      </c>
      <c r="G813" s="5" t="n">
        <v>45.04</v>
      </c>
      <c r="H813" s="5">
        <f>F813*G813</f>
        <v/>
      </c>
      <c r="I813" s="5">
        <f>F813*VLOOKUP(D813,Products!$B$2:$E$13,3,FALSE)</f>
        <v/>
      </c>
    </row>
    <row r="814">
      <c r="A814" s="2" t="n">
        <v>46210</v>
      </c>
      <c r="B814" s="3" t="inlineStr">
        <is>
          <t>INV-2607-0813</t>
        </is>
      </c>
      <c r="C814" s="3" t="inlineStr">
        <is>
          <t>Mehta Retail</t>
        </is>
      </c>
      <c r="D814" s="3" t="inlineStr">
        <is>
          <t>Instant Noodles 280g</t>
        </is>
      </c>
      <c r="E814" s="3" t="inlineStr">
        <is>
          <t>Snacks</t>
        </is>
      </c>
      <c r="F814" s="4" t="n">
        <v>6</v>
      </c>
      <c r="G814" s="5" t="n">
        <v>56.38</v>
      </c>
      <c r="H814" s="5">
        <f>F814*G814</f>
        <v/>
      </c>
      <c r="I814" s="5">
        <f>F814*VLOOKUP(D814,Products!$B$2:$E$13,3,FALSE)</f>
        <v/>
      </c>
    </row>
    <row r="815">
      <c r="A815" s="2" t="n">
        <v>46210</v>
      </c>
      <c r="B815" s="3" t="inlineStr">
        <is>
          <t>INV-2607-0814</t>
        </is>
      </c>
      <c r="C815" s="3" t="inlineStr">
        <is>
          <t>Yadav Daily Needs</t>
        </is>
      </c>
      <c r="D815" s="3" t="inlineStr">
        <is>
          <t>Instant Noodles 280g</t>
        </is>
      </c>
      <c r="E815" s="3" t="inlineStr">
        <is>
          <t>Snacks</t>
        </is>
      </c>
      <c r="F815" s="4" t="n">
        <v>22</v>
      </c>
      <c r="G815" s="5" t="n">
        <v>55.73</v>
      </c>
      <c r="H815" s="5">
        <f>F815*G815</f>
        <v/>
      </c>
      <c r="I815" s="5">
        <f>F815*VLOOKUP(D815,Products!$B$2:$E$13,3,FALSE)</f>
        <v/>
      </c>
    </row>
    <row r="816">
      <c r="A816" s="2" t="n">
        <v>46211</v>
      </c>
      <c r="B816" s="3" t="inlineStr">
        <is>
          <t>INV-2607-0815</t>
        </is>
      </c>
      <c r="C816" s="3" t="inlineStr">
        <is>
          <t>Pandey Stores</t>
        </is>
      </c>
      <c r="D816" s="3" t="inlineStr">
        <is>
          <t>Detergent 1kg</t>
        </is>
      </c>
      <c r="E816" s="3" t="inlineStr">
        <is>
          <t>Household</t>
        </is>
      </c>
      <c r="F816" s="4" t="n">
        <v>24</v>
      </c>
      <c r="G816" s="5" t="n">
        <v>135.64</v>
      </c>
      <c r="H816" s="5">
        <f>F816*G816</f>
        <v/>
      </c>
      <c r="I816" s="5">
        <f>F816*VLOOKUP(D816,Products!$B$2:$E$13,3,FALSE)</f>
        <v/>
      </c>
    </row>
    <row r="817">
      <c r="A817" s="2" t="n">
        <v>46211</v>
      </c>
      <c r="B817" s="3" t="inlineStr">
        <is>
          <t>INV-2607-0816</t>
        </is>
      </c>
      <c r="C817" s="3" t="inlineStr">
        <is>
          <t>Raza Brothers</t>
        </is>
      </c>
      <c r="D817" s="3" t="inlineStr">
        <is>
          <t>Instant Noodles 280g</t>
        </is>
      </c>
      <c r="E817" s="3" t="inlineStr">
        <is>
          <t>Snacks</t>
        </is>
      </c>
      <c r="F817" s="4" t="n">
        <v>37</v>
      </c>
      <c r="G817" s="5" t="n">
        <v>55.85</v>
      </c>
      <c r="H817" s="5">
        <f>F817*G817</f>
        <v/>
      </c>
      <c r="I817" s="5">
        <f>F817*VLOOKUP(D817,Products!$B$2:$E$13,3,FALSE)</f>
        <v/>
      </c>
    </row>
    <row r="818">
      <c r="A818" s="2" t="n">
        <v>46211</v>
      </c>
      <c r="B818" s="3" t="inlineStr">
        <is>
          <t>INV-2607-0817</t>
        </is>
      </c>
      <c r="C818" s="3" t="inlineStr">
        <is>
          <t>Choudhary Mart</t>
        </is>
      </c>
      <c r="D818" s="3" t="inlineStr">
        <is>
          <t>Detergent 1kg</t>
        </is>
      </c>
      <c r="E818" s="3" t="inlineStr">
        <is>
          <t>Household</t>
        </is>
      </c>
      <c r="F818" s="4" t="n">
        <v>7</v>
      </c>
      <c r="G818" s="5" t="n">
        <v>131.2</v>
      </c>
      <c r="H818" s="5">
        <f>F818*G818</f>
        <v/>
      </c>
      <c r="I818" s="5">
        <f>F818*VLOOKUP(D818,Products!$B$2:$E$13,3,FALSE)</f>
        <v/>
      </c>
    </row>
    <row r="819">
      <c r="A819" s="2" t="n">
        <v>46211</v>
      </c>
      <c r="B819" s="3" t="inlineStr">
        <is>
          <t>INV-2607-0818</t>
        </is>
      </c>
      <c r="C819" s="3" t="inlineStr">
        <is>
          <t>Kumari Kirana</t>
        </is>
      </c>
      <c r="D819" s="3" t="inlineStr">
        <is>
          <t>Toned Milk 1L</t>
        </is>
      </c>
      <c r="E819" s="3" t="inlineStr">
        <is>
          <t>Dairy</t>
        </is>
      </c>
      <c r="F819" s="4" t="n">
        <v>54</v>
      </c>
      <c r="G819" s="5" t="n">
        <v>65.08</v>
      </c>
      <c r="H819" s="5">
        <f>F819*G819</f>
        <v/>
      </c>
      <c r="I819" s="5">
        <f>F819*VLOOKUP(D819,Products!$B$2:$E$13,3,FALSE)</f>
        <v/>
      </c>
    </row>
    <row r="820">
      <c r="A820" s="2" t="n">
        <v>46211</v>
      </c>
      <c r="B820" s="3" t="inlineStr">
        <is>
          <t>INV-2607-0819</t>
        </is>
      </c>
      <c r="C820" s="3" t="inlineStr">
        <is>
          <t>Pandey Stores</t>
        </is>
      </c>
      <c r="D820" s="3" t="inlineStr">
        <is>
          <t>Toned Milk 1L</t>
        </is>
      </c>
      <c r="E820" s="3" t="inlineStr">
        <is>
          <t>Dairy</t>
        </is>
      </c>
      <c r="F820" s="4" t="n">
        <v>11</v>
      </c>
      <c r="G820" s="5" t="n">
        <v>65.44</v>
      </c>
      <c r="H820" s="5">
        <f>F820*G820</f>
        <v/>
      </c>
      <c r="I820" s="5">
        <f>F820*VLOOKUP(D820,Products!$B$2:$E$13,3,FALSE)</f>
        <v/>
      </c>
    </row>
    <row r="821">
      <c r="A821" s="2" t="n">
        <v>46211</v>
      </c>
      <c r="B821" s="3" t="inlineStr">
        <is>
          <t>INV-2607-0820</t>
        </is>
      </c>
      <c r="C821" s="3" t="inlineStr">
        <is>
          <t>Yadav Daily Needs</t>
        </is>
      </c>
      <c r="D821" s="3" t="inlineStr">
        <is>
          <t>Potato Chips 150g</t>
        </is>
      </c>
      <c r="E821" s="3" t="inlineStr">
        <is>
          <t>Snacks</t>
        </is>
      </c>
      <c r="F821" s="4" t="n">
        <v>19</v>
      </c>
      <c r="G821" s="5" t="n">
        <v>52.31</v>
      </c>
      <c r="H821" s="5">
        <f>F821*G821</f>
        <v/>
      </c>
      <c r="I821" s="5">
        <f>F821*VLOOKUP(D821,Products!$B$2:$E$13,3,FALSE)</f>
        <v/>
      </c>
    </row>
    <row r="822">
      <c r="A822" s="2" t="n">
        <v>46211</v>
      </c>
      <c r="B822" s="3" t="inlineStr">
        <is>
          <t>INV-2607-0821</t>
        </is>
      </c>
      <c r="C822" s="3" t="inlineStr">
        <is>
          <t>Khan Mart</t>
        </is>
      </c>
      <c r="D822" s="3" t="inlineStr">
        <is>
          <t>Instant Noodles 280g</t>
        </is>
      </c>
      <c r="E822" s="3" t="inlineStr">
        <is>
          <t>Snacks</t>
        </is>
      </c>
      <c r="F822" s="4" t="n">
        <v>39</v>
      </c>
      <c r="G822" s="5" t="n">
        <v>54.93</v>
      </c>
      <c r="H822" s="5">
        <f>F822*G822</f>
        <v/>
      </c>
      <c r="I822" s="5">
        <f>F822*VLOOKUP(D822,Products!$B$2:$E$13,3,FALSE)</f>
        <v/>
      </c>
    </row>
    <row r="823">
      <c r="A823" s="2" t="n">
        <v>46211</v>
      </c>
      <c r="B823" s="3" t="inlineStr">
        <is>
          <t>INV-2607-0822</t>
        </is>
      </c>
      <c r="C823" s="3" t="inlineStr">
        <is>
          <t>Sinha Super Mart</t>
        </is>
      </c>
      <c r="D823" s="3" t="inlineStr">
        <is>
          <t>Cola 750ml</t>
        </is>
      </c>
      <c r="E823" s="3" t="inlineStr">
        <is>
          <t>Beverages</t>
        </is>
      </c>
      <c r="F823" s="4" t="n">
        <v>64</v>
      </c>
      <c r="G823" s="5" t="n">
        <v>45.22</v>
      </c>
      <c r="H823" s="5">
        <f>F823*G823</f>
        <v/>
      </c>
      <c r="I823" s="5">
        <f>F823*VLOOKUP(D823,Products!$B$2:$E$13,3,FALSE)</f>
        <v/>
      </c>
    </row>
    <row r="824">
      <c r="A824" s="2" t="n">
        <v>46211</v>
      </c>
      <c r="B824" s="3" t="inlineStr">
        <is>
          <t>INV-2607-0823</t>
        </is>
      </c>
      <c r="C824" s="3" t="inlineStr">
        <is>
          <t>Sinha Super Mart</t>
        </is>
      </c>
      <c r="D824" s="3" t="inlineStr">
        <is>
          <t>Detergent 1kg</t>
        </is>
      </c>
      <c r="E824" s="3" t="inlineStr">
        <is>
          <t>Household</t>
        </is>
      </c>
      <c r="F824" s="4" t="n">
        <v>63</v>
      </c>
      <c r="G824" s="5" t="n">
        <v>131.78</v>
      </c>
      <c r="H824" s="5">
        <f>F824*G824</f>
        <v/>
      </c>
      <c r="I824" s="5">
        <f>F824*VLOOKUP(D824,Products!$B$2:$E$13,3,FALSE)</f>
        <v/>
      </c>
    </row>
    <row r="825">
      <c r="A825" s="2" t="n">
        <v>46211</v>
      </c>
      <c r="B825" s="3" t="inlineStr">
        <is>
          <t>INV-2607-0824</t>
        </is>
      </c>
      <c r="C825" s="3" t="inlineStr">
        <is>
          <t>Ali General Store</t>
        </is>
      </c>
      <c r="D825" s="3" t="inlineStr">
        <is>
          <t>Biscuits 400g</t>
        </is>
      </c>
      <c r="E825" s="3" t="inlineStr">
        <is>
          <t>Snacks</t>
        </is>
      </c>
      <c r="F825" s="4" t="n">
        <v>43</v>
      </c>
      <c r="G825" s="5" t="n">
        <v>41.48</v>
      </c>
      <c r="H825" s="5">
        <f>F825*G825</f>
        <v/>
      </c>
      <c r="I825" s="5">
        <f>F825*VLOOKUP(D825,Products!$B$2:$E$13,3,FALSE)</f>
        <v/>
      </c>
    </row>
    <row r="826">
      <c r="A826" s="2" t="n">
        <v>46211</v>
      </c>
      <c r="B826" s="3" t="inlineStr">
        <is>
          <t>INV-2607-0825</t>
        </is>
      </c>
      <c r="C826" s="3" t="inlineStr">
        <is>
          <t>Jha Provisions</t>
        </is>
      </c>
      <c r="D826" s="3" t="inlineStr">
        <is>
          <t>Paneer 200g</t>
        </is>
      </c>
      <c r="E826" s="3" t="inlineStr">
        <is>
          <t>Dairy</t>
        </is>
      </c>
      <c r="F826" s="4" t="n">
        <v>56</v>
      </c>
      <c r="G826" s="5" t="n">
        <v>97</v>
      </c>
      <c r="H826" s="5">
        <f>F826*G826</f>
        <v/>
      </c>
      <c r="I826" s="5">
        <f>F826*VLOOKUP(D826,Products!$B$2:$E$13,3,FALSE)</f>
        <v/>
      </c>
    </row>
    <row r="827">
      <c r="A827" s="2" t="n">
        <v>46212</v>
      </c>
      <c r="B827" s="3" t="inlineStr">
        <is>
          <t>INV-2607-0826</t>
        </is>
      </c>
      <c r="C827" s="3" t="inlineStr">
        <is>
          <t>Tiwari General</t>
        </is>
      </c>
      <c r="D827" s="3" t="inlineStr">
        <is>
          <t>Floor Cleaner 1L</t>
        </is>
      </c>
      <c r="E827" s="3" t="inlineStr">
        <is>
          <t>Household</t>
        </is>
      </c>
      <c r="F827" s="4" t="n">
        <v>61</v>
      </c>
      <c r="G827" s="5" t="n">
        <v>112.19</v>
      </c>
      <c r="H827" s="5">
        <f>F827*G827</f>
        <v/>
      </c>
      <c r="I827" s="5">
        <f>F827*VLOOKUP(D827,Products!$B$2:$E$13,3,FALSE)</f>
        <v/>
      </c>
    </row>
    <row r="828">
      <c r="A828" s="2" t="n">
        <v>46212</v>
      </c>
      <c r="B828" s="3" t="inlineStr">
        <is>
          <t>INV-2607-0827</t>
        </is>
      </c>
      <c r="C828" s="3" t="inlineStr">
        <is>
          <t>Das &amp; Sons</t>
        </is>
      </c>
      <c r="D828" s="3" t="inlineStr">
        <is>
          <t>Potato Chips 150g</t>
        </is>
      </c>
      <c r="E828" s="3" t="inlineStr">
        <is>
          <t>Snacks</t>
        </is>
      </c>
      <c r="F828" s="4" t="n">
        <v>14</v>
      </c>
      <c r="G828" s="5" t="n">
        <v>49.09</v>
      </c>
      <c r="H828" s="5">
        <f>F828*G828</f>
        <v/>
      </c>
      <c r="I828" s="5">
        <f>F828*VLOOKUP(D828,Products!$B$2:$E$13,3,FALSE)</f>
        <v/>
      </c>
    </row>
    <row r="829">
      <c r="A829" s="2" t="n">
        <v>46212</v>
      </c>
      <c r="B829" s="3" t="inlineStr">
        <is>
          <t>INV-2607-0828</t>
        </is>
      </c>
      <c r="C829" s="3" t="inlineStr">
        <is>
          <t>Verma Retail</t>
        </is>
      </c>
      <c r="D829" s="3" t="inlineStr">
        <is>
          <t>Potato Chips 150g</t>
        </is>
      </c>
      <c r="E829" s="3" t="inlineStr">
        <is>
          <t>Snacks</t>
        </is>
      </c>
      <c r="F829" s="4" t="n">
        <v>34</v>
      </c>
      <c r="G829" s="5" t="n">
        <v>49.77</v>
      </c>
      <c r="H829" s="5">
        <f>F829*G829</f>
        <v/>
      </c>
      <c r="I829" s="5">
        <f>F829*VLOOKUP(D829,Products!$B$2:$E$13,3,FALSE)</f>
        <v/>
      </c>
    </row>
    <row r="830">
      <c r="A830" s="2" t="n">
        <v>46212</v>
      </c>
      <c r="B830" s="3" t="inlineStr">
        <is>
          <t>INV-2607-0829</t>
        </is>
      </c>
      <c r="C830" s="3" t="inlineStr">
        <is>
          <t>Tiwari General</t>
        </is>
      </c>
      <c r="D830" s="3" t="inlineStr">
        <is>
          <t>Biscuits 400g</t>
        </is>
      </c>
      <c r="E830" s="3" t="inlineStr">
        <is>
          <t>Snacks</t>
        </is>
      </c>
      <c r="F830" s="4" t="n">
        <v>12</v>
      </c>
      <c r="G830" s="5" t="n">
        <v>40.56</v>
      </c>
      <c r="H830" s="5">
        <f>F830*G830</f>
        <v/>
      </c>
      <c r="I830" s="5">
        <f>F830*VLOOKUP(D830,Products!$B$2:$E$13,3,FALSE)</f>
        <v/>
      </c>
    </row>
    <row r="831">
      <c r="A831" s="2" t="n">
        <v>46212</v>
      </c>
      <c r="B831" s="3" t="inlineStr">
        <is>
          <t>INV-2607-0830</t>
        </is>
      </c>
      <c r="C831" s="3" t="inlineStr">
        <is>
          <t>Sahu Traders</t>
        </is>
      </c>
      <c r="D831" s="3" t="inlineStr">
        <is>
          <t>Biscuits 400g</t>
        </is>
      </c>
      <c r="E831" s="3" t="inlineStr">
        <is>
          <t>Snacks</t>
        </is>
      </c>
      <c r="F831" s="4" t="n">
        <v>55</v>
      </c>
      <c r="G831" s="5" t="n">
        <v>41.35</v>
      </c>
      <c r="H831" s="5">
        <f>F831*G831</f>
        <v/>
      </c>
      <c r="I831" s="5">
        <f>F831*VLOOKUP(D831,Products!$B$2:$E$13,3,FALSE)</f>
        <v/>
      </c>
    </row>
    <row r="832">
      <c r="A832" s="2" t="n">
        <v>46212</v>
      </c>
      <c r="B832" s="3" t="inlineStr">
        <is>
          <t>INV-2607-0831</t>
        </is>
      </c>
      <c r="C832" s="3" t="inlineStr">
        <is>
          <t>Patel Traders</t>
        </is>
      </c>
      <c r="D832" s="3" t="inlineStr">
        <is>
          <t>Packaged Water 1L</t>
        </is>
      </c>
      <c r="E832" s="3" t="inlineStr">
        <is>
          <t>Beverages</t>
        </is>
      </c>
      <c r="F832" s="4" t="n">
        <v>19</v>
      </c>
      <c r="G832" s="5" t="n">
        <v>20.7</v>
      </c>
      <c r="H832" s="5">
        <f>F832*G832</f>
        <v/>
      </c>
      <c r="I832" s="5">
        <f>F832*VLOOKUP(D832,Products!$B$2:$E$13,3,FALSE)</f>
        <v/>
      </c>
    </row>
    <row r="833">
      <c r="A833" s="2" t="n">
        <v>46212</v>
      </c>
      <c r="B833" s="3" t="inlineStr">
        <is>
          <t>INV-2607-0832</t>
        </is>
      </c>
      <c r="C833" s="3" t="inlineStr">
        <is>
          <t>Das &amp; Sons</t>
        </is>
      </c>
      <c r="D833" s="3" t="inlineStr">
        <is>
          <t>Biscuits 400g</t>
        </is>
      </c>
      <c r="E833" s="3" t="inlineStr">
        <is>
          <t>Snacks</t>
        </is>
      </c>
      <c r="F833" s="4" t="n">
        <v>30</v>
      </c>
      <c r="G833" s="5" t="n">
        <v>41.11</v>
      </c>
      <c r="H833" s="5">
        <f>F833*G833</f>
        <v/>
      </c>
      <c r="I833" s="5">
        <f>F833*VLOOKUP(D833,Products!$B$2:$E$13,3,FALSE)</f>
        <v/>
      </c>
    </row>
    <row r="834">
      <c r="A834" s="2" t="n">
        <v>46212</v>
      </c>
      <c r="B834" s="3" t="inlineStr">
        <is>
          <t>INV-2607-0833</t>
        </is>
      </c>
      <c r="C834" s="3" t="inlineStr">
        <is>
          <t>Jha Provisions</t>
        </is>
      </c>
      <c r="D834" s="3" t="inlineStr">
        <is>
          <t>Detergent 1kg</t>
        </is>
      </c>
      <c r="E834" s="3" t="inlineStr">
        <is>
          <t>Household</t>
        </is>
      </c>
      <c r="F834" s="4" t="n">
        <v>26</v>
      </c>
      <c r="G834" s="5" t="n">
        <v>128.68</v>
      </c>
      <c r="H834" s="5">
        <f>F834*G834</f>
        <v/>
      </c>
      <c r="I834" s="5">
        <f>F834*VLOOKUP(D834,Products!$B$2:$E$13,3,FALSE)</f>
        <v/>
      </c>
    </row>
    <row r="835">
      <c r="A835" s="2" t="n">
        <v>46212</v>
      </c>
      <c r="B835" s="3" t="inlineStr">
        <is>
          <t>INV-2607-0834</t>
        </is>
      </c>
      <c r="C835" s="3" t="inlineStr">
        <is>
          <t>Yadav Daily Needs</t>
        </is>
      </c>
      <c r="D835" s="3" t="inlineStr">
        <is>
          <t>Biscuits 400g</t>
        </is>
      </c>
      <c r="E835" s="3" t="inlineStr">
        <is>
          <t>Snacks</t>
        </is>
      </c>
      <c r="F835" s="4" t="n">
        <v>11</v>
      </c>
      <c r="G835" s="5" t="n">
        <v>41.77</v>
      </c>
      <c r="H835" s="5">
        <f>F835*G835</f>
        <v/>
      </c>
      <c r="I835" s="5">
        <f>F835*VLOOKUP(D835,Products!$B$2:$E$13,3,FALSE)</f>
        <v/>
      </c>
    </row>
    <row r="836">
      <c r="A836" s="2" t="n">
        <v>46213</v>
      </c>
      <c r="B836" s="3" t="inlineStr">
        <is>
          <t>INV-2607-0835</t>
        </is>
      </c>
      <c r="C836" s="3" t="inlineStr">
        <is>
          <t>Patel Traders</t>
        </is>
      </c>
      <c r="D836" s="3" t="inlineStr">
        <is>
          <t>Packaged Water 1L</t>
        </is>
      </c>
      <c r="E836" s="3" t="inlineStr">
        <is>
          <t>Beverages</t>
        </is>
      </c>
      <c r="F836" s="4" t="n">
        <v>41</v>
      </c>
      <c r="G836" s="5" t="n">
        <v>20.31</v>
      </c>
      <c r="H836" s="5">
        <f>F836*G836</f>
        <v/>
      </c>
      <c r="I836" s="5">
        <f>F836*VLOOKUP(D836,Products!$B$2:$E$13,3,FALSE)</f>
        <v/>
      </c>
    </row>
    <row r="837">
      <c r="A837" s="2" t="n">
        <v>46213</v>
      </c>
      <c r="B837" s="3" t="inlineStr">
        <is>
          <t>INV-2607-0836</t>
        </is>
      </c>
      <c r="C837" s="3" t="inlineStr">
        <is>
          <t>Bhatt General Store</t>
        </is>
      </c>
      <c r="D837" s="3" t="inlineStr">
        <is>
          <t>Packaged Water 1L</t>
        </is>
      </c>
      <c r="E837" s="3" t="inlineStr">
        <is>
          <t>Beverages</t>
        </is>
      </c>
      <c r="F837" s="4" t="n">
        <v>10</v>
      </c>
      <c r="G837" s="5" t="n">
        <v>19.74</v>
      </c>
      <c r="H837" s="5">
        <f>F837*G837</f>
        <v/>
      </c>
      <c r="I837" s="5">
        <f>F837*VLOOKUP(D837,Products!$B$2:$E$13,3,FALSE)</f>
        <v/>
      </c>
    </row>
    <row r="838">
      <c r="A838" s="2" t="n">
        <v>46213</v>
      </c>
      <c r="B838" s="3" t="inlineStr">
        <is>
          <t>INV-2607-0837</t>
        </is>
      </c>
      <c r="C838" s="3" t="inlineStr">
        <is>
          <t>Yadav Daily Needs</t>
        </is>
      </c>
      <c r="D838" s="3" t="inlineStr">
        <is>
          <t>Mango Juice 1L</t>
        </is>
      </c>
      <c r="E838" s="3" t="inlineStr">
        <is>
          <t>Beverages</t>
        </is>
      </c>
      <c r="F838" s="4" t="n">
        <v>23</v>
      </c>
      <c r="G838" s="5" t="n">
        <v>117.42</v>
      </c>
      <c r="H838" s="5">
        <f>F838*G838</f>
        <v/>
      </c>
      <c r="I838" s="5">
        <f>F838*VLOOKUP(D838,Products!$B$2:$E$13,3,FALSE)</f>
        <v/>
      </c>
    </row>
    <row r="839">
      <c r="A839" s="2" t="n">
        <v>46213</v>
      </c>
      <c r="B839" s="3" t="inlineStr">
        <is>
          <t>INV-2607-0838</t>
        </is>
      </c>
      <c r="C839" s="3" t="inlineStr">
        <is>
          <t>Sahu Traders</t>
        </is>
      </c>
      <c r="D839" s="3" t="inlineStr">
        <is>
          <t>Detergent 1kg</t>
        </is>
      </c>
      <c r="E839" s="3" t="inlineStr">
        <is>
          <t>Household</t>
        </is>
      </c>
      <c r="F839" s="4" t="n">
        <v>36</v>
      </c>
      <c r="G839" s="5" t="n">
        <v>130.82</v>
      </c>
      <c r="H839" s="5">
        <f>F839*G839</f>
        <v/>
      </c>
      <c r="I839" s="5">
        <f>F839*VLOOKUP(D839,Products!$B$2:$E$13,3,FALSE)</f>
        <v/>
      </c>
    </row>
    <row r="840">
      <c r="A840" s="2" t="n">
        <v>46213</v>
      </c>
      <c r="B840" s="3" t="inlineStr">
        <is>
          <t>INV-2607-0839</t>
        </is>
      </c>
      <c r="C840" s="3" t="inlineStr">
        <is>
          <t>Azad Stores</t>
        </is>
      </c>
      <c r="D840" s="3" t="inlineStr">
        <is>
          <t>Paneer 200g</t>
        </is>
      </c>
      <c r="E840" s="3" t="inlineStr">
        <is>
          <t>Dairy</t>
        </is>
      </c>
      <c r="F840" s="4" t="n">
        <v>20</v>
      </c>
      <c r="G840" s="5" t="n">
        <v>98.91</v>
      </c>
      <c r="H840" s="5">
        <f>F840*G840</f>
        <v/>
      </c>
      <c r="I840" s="5">
        <f>F840*VLOOKUP(D840,Products!$B$2:$E$13,3,FALSE)</f>
        <v/>
      </c>
    </row>
    <row r="841">
      <c r="A841" s="2" t="n">
        <v>46213</v>
      </c>
      <c r="B841" s="3" t="inlineStr">
        <is>
          <t>INV-2607-0840</t>
        </is>
      </c>
      <c r="C841" s="3" t="inlineStr">
        <is>
          <t>Pandey Stores</t>
        </is>
      </c>
      <c r="D841" s="3" t="inlineStr">
        <is>
          <t>Toned Milk 1L</t>
        </is>
      </c>
      <c r="E841" s="3" t="inlineStr">
        <is>
          <t>Dairy</t>
        </is>
      </c>
      <c r="F841" s="4" t="n">
        <v>31</v>
      </c>
      <c r="G841" s="5" t="n">
        <v>68.79000000000001</v>
      </c>
      <c r="H841" s="5">
        <f>F841*G841</f>
        <v/>
      </c>
      <c r="I841" s="5">
        <f>F841*VLOOKUP(D841,Products!$B$2:$E$13,3,FALSE)</f>
        <v/>
      </c>
    </row>
    <row r="842">
      <c r="A842" s="2" t="n">
        <v>46213</v>
      </c>
      <c r="B842" s="3" t="inlineStr">
        <is>
          <t>INV-2607-0841</t>
        </is>
      </c>
      <c r="C842" s="3" t="inlineStr">
        <is>
          <t>Khan Mart</t>
        </is>
      </c>
      <c r="D842" s="3" t="inlineStr">
        <is>
          <t>Floor Cleaner 1L</t>
        </is>
      </c>
      <c r="E842" s="3" t="inlineStr">
        <is>
          <t>Household</t>
        </is>
      </c>
      <c r="F842" s="4" t="n">
        <v>43</v>
      </c>
      <c r="G842" s="5" t="n">
        <v>107.11</v>
      </c>
      <c r="H842" s="5">
        <f>F842*G842</f>
        <v/>
      </c>
      <c r="I842" s="5">
        <f>F842*VLOOKUP(D842,Products!$B$2:$E$13,3,FALSE)</f>
        <v/>
      </c>
    </row>
    <row r="843">
      <c r="A843" s="2" t="n">
        <v>46213</v>
      </c>
      <c r="B843" s="3" t="inlineStr">
        <is>
          <t>INV-2607-0842</t>
        </is>
      </c>
      <c r="C843" s="3" t="inlineStr">
        <is>
          <t>Singh Super Bazaar</t>
        </is>
      </c>
      <c r="D843" s="3" t="inlineStr">
        <is>
          <t>Instant Noodles 280g</t>
        </is>
      </c>
      <c r="E843" s="3" t="inlineStr">
        <is>
          <t>Snacks</t>
        </is>
      </c>
      <c r="F843" s="4" t="n">
        <v>32</v>
      </c>
      <c r="G843" s="5" t="n">
        <v>58.78</v>
      </c>
      <c r="H843" s="5">
        <f>F843*G843</f>
        <v/>
      </c>
      <c r="I843" s="5">
        <f>F843*VLOOKUP(D843,Products!$B$2:$E$13,3,FALSE)</f>
        <v/>
      </c>
    </row>
    <row r="844">
      <c r="A844" s="2" t="n">
        <v>46214</v>
      </c>
      <c r="B844" s="3" t="inlineStr">
        <is>
          <t>INV-2607-0843</t>
        </is>
      </c>
      <c r="C844" s="3" t="inlineStr">
        <is>
          <t>Ali General Store</t>
        </is>
      </c>
      <c r="D844" s="3" t="inlineStr">
        <is>
          <t>Mango Juice 1L</t>
        </is>
      </c>
      <c r="E844" s="3" t="inlineStr">
        <is>
          <t>Beverages</t>
        </is>
      </c>
      <c r="F844" s="4" t="n">
        <v>26</v>
      </c>
      <c r="G844" s="5" t="n">
        <v>121.11</v>
      </c>
      <c r="H844" s="5">
        <f>F844*G844</f>
        <v/>
      </c>
      <c r="I844" s="5">
        <f>F844*VLOOKUP(D844,Products!$B$2:$E$13,3,FALSE)</f>
        <v/>
      </c>
    </row>
    <row r="845">
      <c r="A845" s="2" t="n">
        <v>46214</v>
      </c>
      <c r="B845" s="3" t="inlineStr">
        <is>
          <t>INV-2607-0844</t>
        </is>
      </c>
      <c r="C845" s="3" t="inlineStr">
        <is>
          <t>Sinha Super Mart</t>
        </is>
      </c>
      <c r="D845" s="3" t="inlineStr">
        <is>
          <t>Biscuits 400g</t>
        </is>
      </c>
      <c r="E845" s="3" t="inlineStr">
        <is>
          <t>Snacks</t>
        </is>
      </c>
      <c r="F845" s="4" t="n">
        <v>29</v>
      </c>
      <c r="G845" s="5" t="n">
        <v>39.19</v>
      </c>
      <c r="H845" s="5">
        <f>F845*G845</f>
        <v/>
      </c>
      <c r="I845" s="5">
        <f>F845*VLOOKUP(D845,Products!$B$2:$E$13,3,FALSE)</f>
        <v/>
      </c>
    </row>
    <row r="846">
      <c r="A846" s="2" t="n">
        <v>46214</v>
      </c>
      <c r="B846" s="3" t="inlineStr">
        <is>
          <t>INV-2607-0845</t>
        </is>
      </c>
      <c r="C846" s="3" t="inlineStr">
        <is>
          <t>Singh Super Bazaar</t>
        </is>
      </c>
      <c r="D846" s="3" t="inlineStr">
        <is>
          <t>Detergent 1kg</t>
        </is>
      </c>
      <c r="E846" s="3" t="inlineStr">
        <is>
          <t>Household</t>
        </is>
      </c>
      <c r="F846" s="4" t="n">
        <v>15</v>
      </c>
      <c r="G846" s="5" t="n">
        <v>133.25</v>
      </c>
      <c r="H846" s="5">
        <f>F846*G846</f>
        <v/>
      </c>
      <c r="I846" s="5">
        <f>F846*VLOOKUP(D846,Products!$B$2:$E$13,3,FALSE)</f>
        <v/>
      </c>
    </row>
    <row r="847">
      <c r="A847" s="2" t="n">
        <v>46214</v>
      </c>
      <c r="B847" s="3" t="inlineStr">
        <is>
          <t>INV-2607-0846</t>
        </is>
      </c>
      <c r="C847" s="3" t="inlineStr">
        <is>
          <t>Verma Retail</t>
        </is>
      </c>
      <c r="D847" s="3" t="inlineStr">
        <is>
          <t>Detergent 1kg</t>
        </is>
      </c>
      <c r="E847" s="3" t="inlineStr">
        <is>
          <t>Household</t>
        </is>
      </c>
      <c r="F847" s="4" t="n">
        <v>67</v>
      </c>
      <c r="G847" s="5" t="n">
        <v>127.45</v>
      </c>
      <c r="H847" s="5">
        <f>F847*G847</f>
        <v/>
      </c>
      <c r="I847" s="5">
        <f>F847*VLOOKUP(D847,Products!$B$2:$E$13,3,FALSE)</f>
        <v/>
      </c>
    </row>
    <row r="848">
      <c r="A848" s="2" t="n">
        <v>46214</v>
      </c>
      <c r="B848" s="3" t="inlineStr">
        <is>
          <t>INV-2607-0847</t>
        </is>
      </c>
      <c r="C848" s="3" t="inlineStr">
        <is>
          <t>Patel Traders</t>
        </is>
      </c>
      <c r="D848" s="3" t="inlineStr">
        <is>
          <t>Floor Cleaner 1L</t>
        </is>
      </c>
      <c r="E848" s="3" t="inlineStr">
        <is>
          <t>Household</t>
        </is>
      </c>
      <c r="F848" s="4" t="n">
        <v>68</v>
      </c>
      <c r="G848" s="5" t="n">
        <v>110.82</v>
      </c>
      <c r="H848" s="5">
        <f>F848*G848</f>
        <v/>
      </c>
      <c r="I848" s="5">
        <f>F848*VLOOKUP(D848,Products!$B$2:$E$13,3,FALSE)</f>
        <v/>
      </c>
    </row>
    <row r="849">
      <c r="A849" s="2" t="n">
        <v>46215</v>
      </c>
      <c r="B849" s="3" t="inlineStr">
        <is>
          <t>INV-2607-0848</t>
        </is>
      </c>
      <c r="C849" s="3" t="inlineStr">
        <is>
          <t>Sinha Super Mart</t>
        </is>
      </c>
      <c r="D849" s="3" t="inlineStr">
        <is>
          <t>Instant Noodles 280g</t>
        </is>
      </c>
      <c r="E849" s="3" t="inlineStr">
        <is>
          <t>Snacks</t>
        </is>
      </c>
      <c r="F849" s="4" t="n">
        <v>52</v>
      </c>
      <c r="G849" s="5" t="n">
        <v>54.82</v>
      </c>
      <c r="H849" s="5">
        <f>F849*G849</f>
        <v/>
      </c>
      <c r="I849" s="5">
        <f>F849*VLOOKUP(D849,Products!$B$2:$E$13,3,FALSE)</f>
        <v/>
      </c>
    </row>
    <row r="850">
      <c r="A850" s="2" t="n">
        <v>46215</v>
      </c>
      <c r="B850" s="3" t="inlineStr">
        <is>
          <t>INV-2607-0849</t>
        </is>
      </c>
      <c r="C850" s="3" t="inlineStr">
        <is>
          <t>Prasad Traders</t>
        </is>
      </c>
      <c r="D850" s="3" t="inlineStr">
        <is>
          <t>Instant Noodles 280g</t>
        </is>
      </c>
      <c r="E850" s="3" t="inlineStr">
        <is>
          <t>Snacks</t>
        </is>
      </c>
      <c r="F850" s="4" t="n">
        <v>87</v>
      </c>
      <c r="G850" s="5" t="n">
        <v>57.54</v>
      </c>
      <c r="H850" s="5">
        <f>F850*G850</f>
        <v/>
      </c>
      <c r="I850" s="5">
        <f>F850*VLOOKUP(D850,Products!$B$2:$E$13,3,FALSE)</f>
        <v/>
      </c>
    </row>
    <row r="851">
      <c r="A851" s="2" t="n">
        <v>46215</v>
      </c>
      <c r="B851" s="3" t="inlineStr">
        <is>
          <t>INV-2607-0850</t>
        </is>
      </c>
      <c r="C851" s="3" t="inlineStr">
        <is>
          <t>Verma Retail</t>
        </is>
      </c>
      <c r="D851" s="3" t="inlineStr">
        <is>
          <t>Packaged Water 1L</t>
        </is>
      </c>
      <c r="E851" s="3" t="inlineStr">
        <is>
          <t>Beverages</t>
        </is>
      </c>
      <c r="F851" s="4" t="n">
        <v>46</v>
      </c>
      <c r="G851" s="5" t="n">
        <v>19.57</v>
      </c>
      <c r="H851" s="5">
        <f>F851*G851</f>
        <v/>
      </c>
      <c r="I851" s="5">
        <f>F851*VLOOKUP(D851,Products!$B$2:$E$13,3,FALSE)</f>
        <v/>
      </c>
    </row>
    <row r="852">
      <c r="A852" s="2" t="n">
        <v>46215</v>
      </c>
      <c r="B852" s="3" t="inlineStr">
        <is>
          <t>INV-2607-0851</t>
        </is>
      </c>
      <c r="C852" s="3" t="inlineStr">
        <is>
          <t>Raza Brothers</t>
        </is>
      </c>
      <c r="D852" s="3" t="inlineStr">
        <is>
          <t>Paneer 200g</t>
        </is>
      </c>
      <c r="E852" s="3" t="inlineStr">
        <is>
          <t>Dairy</t>
        </is>
      </c>
      <c r="F852" s="4" t="n">
        <v>32</v>
      </c>
      <c r="G852" s="5" t="n">
        <v>95.06999999999999</v>
      </c>
      <c r="H852" s="5">
        <f>F852*G852</f>
        <v/>
      </c>
      <c r="I852" s="5">
        <f>F852*VLOOKUP(D852,Products!$B$2:$E$13,3,FALSE)</f>
        <v/>
      </c>
    </row>
    <row r="853">
      <c r="A853" s="2" t="n">
        <v>46215</v>
      </c>
      <c r="B853" s="3" t="inlineStr">
        <is>
          <t>INV-2607-0852</t>
        </is>
      </c>
      <c r="C853" s="3" t="inlineStr">
        <is>
          <t>Mehta Retail</t>
        </is>
      </c>
      <c r="D853" s="3" t="inlineStr">
        <is>
          <t>Potato Chips 150g</t>
        </is>
      </c>
      <c r="E853" s="3" t="inlineStr">
        <is>
          <t>Snacks</t>
        </is>
      </c>
      <c r="F853" s="4" t="n">
        <v>34</v>
      </c>
      <c r="G853" s="5" t="n">
        <v>50.01</v>
      </c>
      <c r="H853" s="5">
        <f>F853*G853</f>
        <v/>
      </c>
      <c r="I853" s="5">
        <f>F853*VLOOKUP(D853,Products!$B$2:$E$13,3,FALSE)</f>
        <v/>
      </c>
    </row>
    <row r="854">
      <c r="A854" s="2" t="n">
        <v>46215</v>
      </c>
      <c r="B854" s="3" t="inlineStr">
        <is>
          <t>INV-2607-0853</t>
        </is>
      </c>
      <c r="C854" s="3" t="inlineStr">
        <is>
          <t>Das &amp; Sons</t>
        </is>
      </c>
      <c r="D854" s="3" t="inlineStr">
        <is>
          <t>Dish Soap 500ml</t>
        </is>
      </c>
      <c r="E854" s="3" t="inlineStr">
        <is>
          <t>Household</t>
        </is>
      </c>
      <c r="F854" s="4" t="n">
        <v>50</v>
      </c>
      <c r="G854" s="5" t="n">
        <v>100.51</v>
      </c>
      <c r="H854" s="5">
        <f>F854*G854</f>
        <v/>
      </c>
      <c r="I854" s="5">
        <f>F854*VLOOKUP(D854,Products!$B$2:$E$13,3,FALSE)</f>
        <v/>
      </c>
    </row>
    <row r="855">
      <c r="A855" s="2" t="n">
        <v>46215</v>
      </c>
      <c r="B855" s="3" t="inlineStr">
        <is>
          <t>INV-2607-0854</t>
        </is>
      </c>
      <c r="C855" s="3" t="inlineStr">
        <is>
          <t>Prasad Traders</t>
        </is>
      </c>
      <c r="D855" s="3" t="inlineStr">
        <is>
          <t>Dish Soap 500ml</t>
        </is>
      </c>
      <c r="E855" s="3" t="inlineStr">
        <is>
          <t>Household</t>
        </is>
      </c>
      <c r="F855" s="4" t="n">
        <v>45</v>
      </c>
      <c r="G855" s="5" t="n">
        <v>99.45</v>
      </c>
      <c r="H855" s="5">
        <f>F855*G855</f>
        <v/>
      </c>
      <c r="I855" s="5">
        <f>F855*VLOOKUP(D855,Products!$B$2:$E$13,3,FALSE)</f>
        <v/>
      </c>
    </row>
    <row r="856">
      <c r="A856" s="2" t="n">
        <v>46215</v>
      </c>
      <c r="B856" s="3" t="inlineStr">
        <is>
          <t>INV-2607-0855</t>
        </is>
      </c>
      <c r="C856" s="3" t="inlineStr">
        <is>
          <t>Sharma Provision</t>
        </is>
      </c>
      <c r="D856" s="3" t="inlineStr">
        <is>
          <t>Mango Juice 1L</t>
        </is>
      </c>
      <c r="E856" s="3" t="inlineStr">
        <is>
          <t>Beverages</t>
        </is>
      </c>
      <c r="F856" s="4" t="n">
        <v>60</v>
      </c>
      <c r="G856" s="5" t="n">
        <v>119.37</v>
      </c>
      <c r="H856" s="5">
        <f>F856*G856</f>
        <v/>
      </c>
      <c r="I856" s="5">
        <f>F856*VLOOKUP(D856,Products!$B$2:$E$13,3,FALSE)</f>
        <v/>
      </c>
    </row>
    <row r="857">
      <c r="A857" s="2" t="n">
        <v>46215</v>
      </c>
      <c r="B857" s="3" t="inlineStr">
        <is>
          <t>INV-2607-0856</t>
        </is>
      </c>
      <c r="C857" s="3" t="inlineStr">
        <is>
          <t>Yadav Daily Needs</t>
        </is>
      </c>
      <c r="D857" s="3" t="inlineStr">
        <is>
          <t>Packaged Water 1L</t>
        </is>
      </c>
      <c r="E857" s="3" t="inlineStr">
        <is>
          <t>Beverages</t>
        </is>
      </c>
      <c r="F857" s="4" t="n">
        <v>34</v>
      </c>
      <c r="G857" s="5" t="n">
        <v>20.26</v>
      </c>
      <c r="H857" s="5">
        <f>F857*G857</f>
        <v/>
      </c>
      <c r="I857" s="5">
        <f>F857*VLOOKUP(D857,Products!$B$2:$E$13,3,FALSE)</f>
        <v/>
      </c>
    </row>
    <row r="858">
      <c r="A858" s="2" t="n">
        <v>46215</v>
      </c>
      <c r="B858" s="3" t="inlineStr">
        <is>
          <t>INV-2607-0857</t>
        </is>
      </c>
      <c r="C858" s="3" t="inlineStr">
        <is>
          <t>Rai Daily Mart</t>
        </is>
      </c>
      <c r="D858" s="3" t="inlineStr">
        <is>
          <t>Mango Juice 1L</t>
        </is>
      </c>
      <c r="E858" s="3" t="inlineStr">
        <is>
          <t>Beverages</t>
        </is>
      </c>
      <c r="F858" s="4" t="n">
        <v>55</v>
      </c>
      <c r="G858" s="5" t="n">
        <v>117.14</v>
      </c>
      <c r="H858" s="5">
        <f>F858*G858</f>
        <v/>
      </c>
      <c r="I858" s="5">
        <f>F858*VLOOKUP(D858,Products!$B$2:$E$13,3,FALSE)</f>
        <v/>
      </c>
    </row>
    <row r="859">
      <c r="A859" s="2" t="n">
        <v>46215</v>
      </c>
      <c r="B859" s="3" t="inlineStr">
        <is>
          <t>INV-2607-0858</t>
        </is>
      </c>
      <c r="C859" s="3" t="inlineStr">
        <is>
          <t>Singh Super Bazaar</t>
        </is>
      </c>
      <c r="D859" s="3" t="inlineStr">
        <is>
          <t>Floor Cleaner 1L</t>
        </is>
      </c>
      <c r="E859" s="3" t="inlineStr">
        <is>
          <t>Household</t>
        </is>
      </c>
      <c r="F859" s="4" t="n">
        <v>26</v>
      </c>
      <c r="G859" s="5" t="n">
        <v>109.08</v>
      </c>
      <c r="H859" s="5">
        <f>F859*G859</f>
        <v/>
      </c>
      <c r="I859" s="5">
        <f>F859*VLOOKUP(D859,Products!$B$2:$E$13,3,FALSE)</f>
        <v/>
      </c>
    </row>
    <row r="860">
      <c r="A860" s="2" t="n">
        <v>46216</v>
      </c>
      <c r="B860" s="3" t="inlineStr">
        <is>
          <t>INV-2607-0859</t>
        </is>
      </c>
      <c r="C860" s="3" t="inlineStr">
        <is>
          <t>Sahu Traders</t>
        </is>
      </c>
      <c r="D860" s="3" t="inlineStr">
        <is>
          <t>Dish Soap 500ml</t>
        </is>
      </c>
      <c r="E860" s="3" t="inlineStr">
        <is>
          <t>Household</t>
        </is>
      </c>
      <c r="F860" s="4" t="n">
        <v>54</v>
      </c>
      <c r="G860" s="5" t="n">
        <v>99.37</v>
      </c>
      <c r="H860" s="5">
        <f>F860*G860</f>
        <v/>
      </c>
      <c r="I860" s="5">
        <f>F860*VLOOKUP(D860,Products!$B$2:$E$13,3,FALSE)</f>
        <v/>
      </c>
    </row>
    <row r="861">
      <c r="A861" s="2" t="n">
        <v>46216</v>
      </c>
      <c r="B861" s="3" t="inlineStr">
        <is>
          <t>INV-2607-0860</t>
        </is>
      </c>
      <c r="C861" s="3" t="inlineStr">
        <is>
          <t>Mishra Stores</t>
        </is>
      </c>
      <c r="D861" s="3" t="inlineStr">
        <is>
          <t>Mango Juice 1L</t>
        </is>
      </c>
      <c r="E861" s="3" t="inlineStr">
        <is>
          <t>Beverages</t>
        </is>
      </c>
      <c r="F861" s="4" t="n">
        <v>5</v>
      </c>
      <c r="G861" s="5" t="n">
        <v>121.81</v>
      </c>
      <c r="H861" s="5">
        <f>F861*G861</f>
        <v/>
      </c>
      <c r="I861" s="5">
        <f>F861*VLOOKUP(D861,Products!$B$2:$E$13,3,FALSE)</f>
        <v/>
      </c>
    </row>
    <row r="862">
      <c r="A862" s="2" t="n">
        <v>46216</v>
      </c>
      <c r="B862" s="3" t="inlineStr">
        <is>
          <t>INV-2607-0861</t>
        </is>
      </c>
      <c r="C862" s="3" t="inlineStr">
        <is>
          <t>Kumari Kirana</t>
        </is>
      </c>
      <c r="D862" s="3" t="inlineStr">
        <is>
          <t>Paneer 200g</t>
        </is>
      </c>
      <c r="E862" s="3" t="inlineStr">
        <is>
          <t>Dairy</t>
        </is>
      </c>
      <c r="F862" s="4" t="n">
        <v>32</v>
      </c>
      <c r="G862" s="5" t="n">
        <v>97.67</v>
      </c>
      <c r="H862" s="5">
        <f>F862*G862</f>
        <v/>
      </c>
      <c r="I862" s="5">
        <f>F862*VLOOKUP(D862,Products!$B$2:$E$13,3,FALSE)</f>
        <v/>
      </c>
    </row>
    <row r="863">
      <c r="A863" s="2" t="n">
        <v>46216</v>
      </c>
      <c r="B863" s="3" t="inlineStr">
        <is>
          <t>INV-2607-0862</t>
        </is>
      </c>
      <c r="C863" s="3" t="inlineStr">
        <is>
          <t>Kumari Kirana</t>
        </is>
      </c>
      <c r="D863" s="3" t="inlineStr">
        <is>
          <t>Instant Noodles 280g</t>
        </is>
      </c>
      <c r="E863" s="3" t="inlineStr">
        <is>
          <t>Snacks</t>
        </is>
      </c>
      <c r="F863" s="4" t="n">
        <v>22</v>
      </c>
      <c r="G863" s="5" t="n">
        <v>55.16</v>
      </c>
      <c r="H863" s="5">
        <f>F863*G863</f>
        <v/>
      </c>
      <c r="I863" s="5">
        <f>F863*VLOOKUP(D863,Products!$B$2:$E$13,3,FALSE)</f>
        <v/>
      </c>
    </row>
    <row r="864">
      <c r="A864" s="2" t="n">
        <v>46216</v>
      </c>
      <c r="B864" s="3" t="inlineStr">
        <is>
          <t>INV-2607-0863</t>
        </is>
      </c>
      <c r="C864" s="3" t="inlineStr">
        <is>
          <t>Mishra Stores</t>
        </is>
      </c>
      <c r="D864" s="3" t="inlineStr">
        <is>
          <t>Cola 750ml</t>
        </is>
      </c>
      <c r="E864" s="3" t="inlineStr">
        <is>
          <t>Beverages</t>
        </is>
      </c>
      <c r="F864" s="4" t="n">
        <v>5</v>
      </c>
      <c r="G864" s="5" t="n">
        <v>44.02</v>
      </c>
      <c r="H864" s="5">
        <f>F864*G864</f>
        <v/>
      </c>
      <c r="I864" s="5">
        <f>F864*VLOOKUP(D864,Products!$B$2:$E$13,3,FALSE)</f>
        <v/>
      </c>
    </row>
    <row r="865">
      <c r="A865" s="2" t="n">
        <v>46217</v>
      </c>
      <c r="B865" s="3" t="inlineStr">
        <is>
          <t>INV-2607-0864</t>
        </is>
      </c>
      <c r="C865" s="3" t="inlineStr">
        <is>
          <t>Azad Stores</t>
        </is>
      </c>
      <c r="D865" s="3" t="inlineStr">
        <is>
          <t>Paneer 200g</t>
        </is>
      </c>
      <c r="E865" s="3" t="inlineStr">
        <is>
          <t>Dairy</t>
        </is>
      </c>
      <c r="F865" s="4" t="n">
        <v>56</v>
      </c>
      <c r="G865" s="5" t="n">
        <v>93.16</v>
      </c>
      <c r="H865" s="5">
        <f>F865*G865</f>
        <v/>
      </c>
      <c r="I865" s="5">
        <f>F865*VLOOKUP(D865,Products!$B$2:$E$13,3,FALSE)</f>
        <v/>
      </c>
    </row>
    <row r="866">
      <c r="A866" s="2" t="n">
        <v>46217</v>
      </c>
      <c r="B866" s="3" t="inlineStr">
        <is>
          <t>INV-2607-0865</t>
        </is>
      </c>
      <c r="C866" s="3" t="inlineStr">
        <is>
          <t>Bhatt General Store</t>
        </is>
      </c>
      <c r="D866" s="3" t="inlineStr">
        <is>
          <t>Curd Cup 400g</t>
        </is>
      </c>
      <c r="E866" s="3" t="inlineStr">
        <is>
          <t>Dairy</t>
        </is>
      </c>
      <c r="F866" s="4" t="n">
        <v>19</v>
      </c>
      <c r="G866" s="5" t="n">
        <v>44.49</v>
      </c>
      <c r="H866" s="5">
        <f>F866*G866</f>
        <v/>
      </c>
      <c r="I866" s="5">
        <f>F866*VLOOKUP(D866,Products!$B$2:$E$13,3,FALSE)</f>
        <v/>
      </c>
    </row>
    <row r="867">
      <c r="A867" s="2" t="n">
        <v>46217</v>
      </c>
      <c r="B867" s="3" t="inlineStr">
        <is>
          <t>INV-2607-0866</t>
        </is>
      </c>
      <c r="C867" s="3" t="inlineStr">
        <is>
          <t>Jha Provisions</t>
        </is>
      </c>
      <c r="D867" s="3" t="inlineStr">
        <is>
          <t>Toned Milk 1L</t>
        </is>
      </c>
      <c r="E867" s="3" t="inlineStr">
        <is>
          <t>Dairy</t>
        </is>
      </c>
      <c r="F867" s="4" t="n">
        <v>66</v>
      </c>
      <c r="G867" s="5" t="n">
        <v>68.04000000000001</v>
      </c>
      <c r="H867" s="5">
        <f>F867*G867</f>
        <v/>
      </c>
      <c r="I867" s="5">
        <f>F867*VLOOKUP(D867,Products!$B$2:$E$13,3,FALSE)</f>
        <v/>
      </c>
    </row>
    <row r="868">
      <c r="A868" s="2" t="n">
        <v>46217</v>
      </c>
      <c r="B868" s="3" t="inlineStr">
        <is>
          <t>INV-2607-0867</t>
        </is>
      </c>
      <c r="C868" s="3" t="inlineStr">
        <is>
          <t>Sahu Traders</t>
        </is>
      </c>
      <c r="D868" s="3" t="inlineStr">
        <is>
          <t>Packaged Water 1L</t>
        </is>
      </c>
      <c r="E868" s="3" t="inlineStr">
        <is>
          <t>Beverages</t>
        </is>
      </c>
      <c r="F868" s="4" t="n">
        <v>32</v>
      </c>
      <c r="G868" s="5" t="n">
        <v>19.47</v>
      </c>
      <c r="H868" s="5">
        <f>F868*G868</f>
        <v/>
      </c>
      <c r="I868" s="5">
        <f>F868*VLOOKUP(D868,Products!$B$2:$E$13,3,FALSE)</f>
        <v/>
      </c>
    </row>
    <row r="869">
      <c r="A869" s="2" t="n">
        <v>46217</v>
      </c>
      <c r="B869" s="3" t="inlineStr">
        <is>
          <t>INV-2607-0868</t>
        </is>
      </c>
      <c r="C869" s="3" t="inlineStr">
        <is>
          <t>Bhatt General Store</t>
        </is>
      </c>
      <c r="D869" s="3" t="inlineStr">
        <is>
          <t>Paneer 200g</t>
        </is>
      </c>
      <c r="E869" s="3" t="inlineStr">
        <is>
          <t>Dairy</t>
        </is>
      </c>
      <c r="F869" s="4" t="n">
        <v>5</v>
      </c>
      <c r="G869" s="5" t="n">
        <v>96.84</v>
      </c>
      <c r="H869" s="5">
        <f>F869*G869</f>
        <v/>
      </c>
      <c r="I869" s="5">
        <f>F869*VLOOKUP(D869,Products!$B$2:$E$13,3,FALSE)</f>
        <v/>
      </c>
    </row>
    <row r="870">
      <c r="A870" s="2" t="n">
        <v>46217</v>
      </c>
      <c r="B870" s="3" t="inlineStr">
        <is>
          <t>INV-2607-0869</t>
        </is>
      </c>
      <c r="C870" s="3" t="inlineStr">
        <is>
          <t>Sinha Super Mart</t>
        </is>
      </c>
      <c r="D870" s="3" t="inlineStr">
        <is>
          <t>Instant Noodles 280g</t>
        </is>
      </c>
      <c r="E870" s="3" t="inlineStr">
        <is>
          <t>Snacks</t>
        </is>
      </c>
      <c r="F870" s="4" t="n">
        <v>49</v>
      </c>
      <c r="G870" s="5" t="n">
        <v>58.52</v>
      </c>
      <c r="H870" s="5">
        <f>F870*G870</f>
        <v/>
      </c>
      <c r="I870" s="5">
        <f>F870*VLOOKUP(D870,Products!$B$2:$E$13,3,FALSE)</f>
        <v/>
      </c>
    </row>
    <row r="871">
      <c r="A871" s="2" t="n">
        <v>46218</v>
      </c>
      <c r="B871" s="3" t="inlineStr">
        <is>
          <t>INV-2607-0870</t>
        </is>
      </c>
      <c r="C871" s="3" t="inlineStr">
        <is>
          <t>Mehta Retail</t>
        </is>
      </c>
      <c r="D871" s="3" t="inlineStr">
        <is>
          <t>Instant Noodles 280g</t>
        </is>
      </c>
      <c r="E871" s="3" t="inlineStr">
        <is>
          <t>Snacks</t>
        </is>
      </c>
      <c r="F871" s="4" t="n">
        <v>18</v>
      </c>
      <c r="G871" s="5" t="n">
        <v>55.07</v>
      </c>
      <c r="H871" s="5">
        <f>F871*G871</f>
        <v/>
      </c>
      <c r="I871" s="5">
        <f>F871*VLOOKUP(D871,Products!$B$2:$E$13,3,FALSE)</f>
        <v/>
      </c>
    </row>
    <row r="872">
      <c r="A872" s="2" t="n">
        <v>46218</v>
      </c>
      <c r="B872" s="3" t="inlineStr">
        <is>
          <t>INV-2607-0871</t>
        </is>
      </c>
      <c r="C872" s="3" t="inlineStr">
        <is>
          <t>Singh Super Bazaar</t>
        </is>
      </c>
      <c r="D872" s="3" t="inlineStr">
        <is>
          <t>Packaged Water 1L</t>
        </is>
      </c>
      <c r="E872" s="3" t="inlineStr">
        <is>
          <t>Beverages</t>
        </is>
      </c>
      <c r="F872" s="4" t="n">
        <v>25</v>
      </c>
      <c r="G872" s="5" t="n">
        <v>19.6</v>
      </c>
      <c r="H872" s="5">
        <f>F872*G872</f>
        <v/>
      </c>
      <c r="I872" s="5">
        <f>F872*VLOOKUP(D872,Products!$B$2:$E$13,3,FALSE)</f>
        <v/>
      </c>
    </row>
    <row r="873">
      <c r="A873" s="2" t="n">
        <v>46218</v>
      </c>
      <c r="B873" s="3" t="inlineStr">
        <is>
          <t>INV-2607-0872</t>
        </is>
      </c>
      <c r="C873" s="3" t="inlineStr">
        <is>
          <t>Khan Mart</t>
        </is>
      </c>
      <c r="D873" s="3" t="inlineStr">
        <is>
          <t>Dish Soap 500ml</t>
        </is>
      </c>
      <c r="E873" s="3" t="inlineStr">
        <is>
          <t>Household</t>
        </is>
      </c>
      <c r="F873" s="4" t="n">
        <v>41</v>
      </c>
      <c r="G873" s="5" t="n">
        <v>103.86</v>
      </c>
      <c r="H873" s="5">
        <f>F873*G873</f>
        <v/>
      </c>
      <c r="I873" s="5">
        <f>F873*VLOOKUP(D873,Products!$B$2:$E$13,3,FALSE)</f>
        <v/>
      </c>
    </row>
    <row r="874">
      <c r="A874" s="2" t="n">
        <v>46218</v>
      </c>
      <c r="B874" s="3" t="inlineStr">
        <is>
          <t>INV-2607-0873</t>
        </is>
      </c>
      <c r="C874" s="3" t="inlineStr">
        <is>
          <t>Mehta Retail</t>
        </is>
      </c>
      <c r="D874" s="3" t="inlineStr">
        <is>
          <t>Biscuits 400g</t>
        </is>
      </c>
      <c r="E874" s="3" t="inlineStr">
        <is>
          <t>Snacks</t>
        </is>
      </c>
      <c r="F874" s="4" t="n">
        <v>42</v>
      </c>
      <c r="G874" s="5" t="n">
        <v>40.94</v>
      </c>
      <c r="H874" s="5">
        <f>F874*G874</f>
        <v/>
      </c>
      <c r="I874" s="5">
        <f>F874*VLOOKUP(D874,Products!$B$2:$E$13,3,FALSE)</f>
        <v/>
      </c>
    </row>
    <row r="875">
      <c r="A875" s="2" t="n">
        <v>46218</v>
      </c>
      <c r="B875" s="3" t="inlineStr">
        <is>
          <t>INV-2607-0874</t>
        </is>
      </c>
      <c r="C875" s="3" t="inlineStr">
        <is>
          <t>Raza Brothers</t>
        </is>
      </c>
      <c r="D875" s="3" t="inlineStr">
        <is>
          <t>Paneer 200g</t>
        </is>
      </c>
      <c r="E875" s="3" t="inlineStr">
        <is>
          <t>Dairy</t>
        </is>
      </c>
      <c r="F875" s="4" t="n">
        <v>51</v>
      </c>
      <c r="G875" s="5" t="n">
        <v>94.31999999999999</v>
      </c>
      <c r="H875" s="5">
        <f>F875*G875</f>
        <v/>
      </c>
      <c r="I875" s="5">
        <f>F875*VLOOKUP(D875,Products!$B$2:$E$13,3,FALSE)</f>
        <v/>
      </c>
    </row>
    <row r="876">
      <c r="A876" s="2" t="n">
        <v>46219</v>
      </c>
      <c r="B876" s="3" t="inlineStr">
        <is>
          <t>INV-2607-0875</t>
        </is>
      </c>
      <c r="C876" s="3" t="inlineStr">
        <is>
          <t>Das &amp; Sons</t>
        </is>
      </c>
      <c r="D876" s="3" t="inlineStr">
        <is>
          <t>Floor Cleaner 1L</t>
        </is>
      </c>
      <c r="E876" s="3" t="inlineStr">
        <is>
          <t>Household</t>
        </is>
      </c>
      <c r="F876" s="4" t="n">
        <v>19</v>
      </c>
      <c r="G876" s="5" t="n">
        <v>109.07</v>
      </c>
      <c r="H876" s="5">
        <f>F876*G876</f>
        <v/>
      </c>
      <c r="I876" s="5">
        <f>F876*VLOOKUP(D876,Products!$B$2:$E$13,3,FALSE)</f>
        <v/>
      </c>
    </row>
    <row r="877">
      <c r="A877" s="2" t="n">
        <v>46219</v>
      </c>
      <c r="B877" s="3" t="inlineStr">
        <is>
          <t>INV-2607-0876</t>
        </is>
      </c>
      <c r="C877" s="3" t="inlineStr">
        <is>
          <t>Nath Provisions</t>
        </is>
      </c>
      <c r="D877" s="3" t="inlineStr">
        <is>
          <t>Floor Cleaner 1L</t>
        </is>
      </c>
      <c r="E877" s="3" t="inlineStr">
        <is>
          <t>Household</t>
        </is>
      </c>
      <c r="F877" s="4" t="n">
        <v>59</v>
      </c>
      <c r="G877" s="5" t="n">
        <v>112.49</v>
      </c>
      <c r="H877" s="5">
        <f>F877*G877</f>
        <v/>
      </c>
      <c r="I877" s="5">
        <f>F877*VLOOKUP(D877,Products!$B$2:$E$13,3,FALSE)</f>
        <v/>
      </c>
    </row>
    <row r="878">
      <c r="A878" s="2" t="n">
        <v>46219</v>
      </c>
      <c r="B878" s="3" t="inlineStr">
        <is>
          <t>INV-2607-0877</t>
        </is>
      </c>
      <c r="C878" s="3" t="inlineStr">
        <is>
          <t>Khan Mart</t>
        </is>
      </c>
      <c r="D878" s="3" t="inlineStr">
        <is>
          <t>Biscuits 400g</t>
        </is>
      </c>
      <c r="E878" s="3" t="inlineStr">
        <is>
          <t>Snacks</t>
        </is>
      </c>
      <c r="F878" s="4" t="n">
        <v>59</v>
      </c>
      <c r="G878" s="5" t="n">
        <v>40.08</v>
      </c>
      <c r="H878" s="5">
        <f>F878*G878</f>
        <v/>
      </c>
      <c r="I878" s="5">
        <f>F878*VLOOKUP(D878,Products!$B$2:$E$13,3,FALSE)</f>
        <v/>
      </c>
    </row>
    <row r="879">
      <c r="A879" s="2" t="n">
        <v>46219</v>
      </c>
      <c r="B879" s="3" t="inlineStr">
        <is>
          <t>INV-2607-0878</t>
        </is>
      </c>
      <c r="C879" s="3" t="inlineStr">
        <is>
          <t>Mishra Stores</t>
        </is>
      </c>
      <c r="D879" s="3" t="inlineStr">
        <is>
          <t>Biscuits 400g</t>
        </is>
      </c>
      <c r="E879" s="3" t="inlineStr">
        <is>
          <t>Snacks</t>
        </is>
      </c>
      <c r="F879" s="4" t="n">
        <v>54</v>
      </c>
      <c r="G879" s="5" t="n">
        <v>40.8</v>
      </c>
      <c r="H879" s="5">
        <f>F879*G879</f>
        <v/>
      </c>
      <c r="I879" s="5">
        <f>F879*VLOOKUP(D879,Products!$B$2:$E$13,3,FALSE)</f>
        <v/>
      </c>
    </row>
    <row r="880">
      <c r="A880" s="2" t="n">
        <v>46219</v>
      </c>
      <c r="B880" s="3" t="inlineStr">
        <is>
          <t>INV-2607-0879</t>
        </is>
      </c>
      <c r="C880" s="3" t="inlineStr">
        <is>
          <t>Verma Retail</t>
        </is>
      </c>
      <c r="D880" s="3" t="inlineStr">
        <is>
          <t>Cola 750ml</t>
        </is>
      </c>
      <c r="E880" s="3" t="inlineStr">
        <is>
          <t>Beverages</t>
        </is>
      </c>
      <c r="F880" s="4" t="n">
        <v>41</v>
      </c>
      <c r="G880" s="5" t="n">
        <v>45.68</v>
      </c>
      <c r="H880" s="5">
        <f>F880*G880</f>
        <v/>
      </c>
      <c r="I880" s="5">
        <f>F880*VLOOKUP(D880,Products!$B$2:$E$13,3,FALSE)</f>
        <v/>
      </c>
    </row>
    <row r="881">
      <c r="A881" s="2" t="n">
        <v>46219</v>
      </c>
      <c r="B881" s="3" t="inlineStr">
        <is>
          <t>INV-2607-0880</t>
        </is>
      </c>
      <c r="C881" s="3" t="inlineStr">
        <is>
          <t>Azad Stores</t>
        </is>
      </c>
      <c r="D881" s="3" t="inlineStr">
        <is>
          <t>Biscuits 400g</t>
        </is>
      </c>
      <c r="E881" s="3" t="inlineStr">
        <is>
          <t>Snacks</t>
        </is>
      </c>
      <c r="F881" s="4" t="n">
        <v>65</v>
      </c>
      <c r="G881" s="5" t="n">
        <v>39.99</v>
      </c>
      <c r="H881" s="5">
        <f>F881*G881</f>
        <v/>
      </c>
      <c r="I881" s="5">
        <f>F881*VLOOKUP(D881,Products!$B$2:$E$13,3,FALSE)</f>
        <v/>
      </c>
    </row>
    <row r="882">
      <c r="A882" s="2" t="n">
        <v>46219</v>
      </c>
      <c r="B882" s="3" t="inlineStr">
        <is>
          <t>INV-2607-0881</t>
        </is>
      </c>
      <c r="C882" s="3" t="inlineStr">
        <is>
          <t>Pandey Stores</t>
        </is>
      </c>
      <c r="D882" s="3" t="inlineStr">
        <is>
          <t>Mango Juice 1L</t>
        </is>
      </c>
      <c r="E882" s="3" t="inlineStr">
        <is>
          <t>Beverages</t>
        </is>
      </c>
      <c r="F882" s="4" t="n">
        <v>41</v>
      </c>
      <c r="G882" s="5" t="n">
        <v>116.55</v>
      </c>
      <c r="H882" s="5">
        <f>F882*G882</f>
        <v/>
      </c>
      <c r="I882" s="5">
        <f>F882*VLOOKUP(D882,Products!$B$2:$E$13,3,FALSE)</f>
        <v/>
      </c>
    </row>
    <row r="883">
      <c r="A883" s="2" t="n">
        <v>46219</v>
      </c>
      <c r="B883" s="3" t="inlineStr">
        <is>
          <t>INV-2607-0882</t>
        </is>
      </c>
      <c r="C883" s="3" t="inlineStr">
        <is>
          <t>Azad Stores</t>
        </is>
      </c>
      <c r="D883" s="3" t="inlineStr">
        <is>
          <t>Curd Cup 400g</t>
        </is>
      </c>
      <c r="E883" s="3" t="inlineStr">
        <is>
          <t>Dairy</t>
        </is>
      </c>
      <c r="F883" s="4" t="n">
        <v>24</v>
      </c>
      <c r="G883" s="5" t="n">
        <v>46.55</v>
      </c>
      <c r="H883" s="5">
        <f>F883*G883</f>
        <v/>
      </c>
      <c r="I883" s="5">
        <f>F883*VLOOKUP(D883,Products!$B$2:$E$13,3,FALSE)</f>
        <v/>
      </c>
    </row>
    <row r="884">
      <c r="A884" s="2" t="n">
        <v>46219</v>
      </c>
      <c r="B884" s="3" t="inlineStr">
        <is>
          <t>INV-2607-0883</t>
        </is>
      </c>
      <c r="C884" s="3" t="inlineStr">
        <is>
          <t>Verma Retail</t>
        </is>
      </c>
      <c r="D884" s="3" t="inlineStr">
        <is>
          <t>Floor Cleaner 1L</t>
        </is>
      </c>
      <c r="E884" s="3" t="inlineStr">
        <is>
          <t>Household</t>
        </is>
      </c>
      <c r="F884" s="4" t="n">
        <v>67</v>
      </c>
      <c r="G884" s="5" t="n">
        <v>112.75</v>
      </c>
      <c r="H884" s="5">
        <f>F884*G884</f>
        <v/>
      </c>
      <c r="I884" s="5">
        <f>F884*VLOOKUP(D884,Products!$B$2:$E$13,3,FALSE)</f>
        <v/>
      </c>
    </row>
    <row r="885">
      <c r="A885" s="2" t="n">
        <v>46220</v>
      </c>
      <c r="B885" s="3" t="inlineStr">
        <is>
          <t>INV-2607-0884</t>
        </is>
      </c>
      <c r="C885" s="3" t="inlineStr">
        <is>
          <t>Patel Traders</t>
        </is>
      </c>
      <c r="D885" s="3" t="inlineStr">
        <is>
          <t>Detergent 1kg</t>
        </is>
      </c>
      <c r="E885" s="3" t="inlineStr">
        <is>
          <t>Household</t>
        </is>
      </c>
      <c r="F885" s="4" t="n">
        <v>45</v>
      </c>
      <c r="G885" s="5" t="n">
        <v>134.95</v>
      </c>
      <c r="H885" s="5">
        <f>F885*G885</f>
        <v/>
      </c>
      <c r="I885" s="5">
        <f>F885*VLOOKUP(D885,Products!$B$2:$E$13,3,FALSE)</f>
        <v/>
      </c>
    </row>
    <row r="886">
      <c r="A886" s="2" t="n">
        <v>46220</v>
      </c>
      <c r="B886" s="3" t="inlineStr">
        <is>
          <t>INV-2607-0885</t>
        </is>
      </c>
      <c r="C886" s="3" t="inlineStr">
        <is>
          <t>Choudhary Mart</t>
        </is>
      </c>
      <c r="D886" s="3" t="inlineStr">
        <is>
          <t>Curd Cup 400g</t>
        </is>
      </c>
      <c r="E886" s="3" t="inlineStr">
        <is>
          <t>Dairy</t>
        </is>
      </c>
      <c r="F886" s="4" t="n">
        <v>57</v>
      </c>
      <c r="G886" s="5" t="n">
        <v>46.26</v>
      </c>
      <c r="H886" s="5">
        <f>F886*G886</f>
        <v/>
      </c>
      <c r="I886" s="5">
        <f>F886*VLOOKUP(D886,Products!$B$2:$E$13,3,FALSE)</f>
        <v/>
      </c>
    </row>
    <row r="887">
      <c r="A887" s="2" t="n">
        <v>46220</v>
      </c>
      <c r="B887" s="3" t="inlineStr">
        <is>
          <t>INV-2607-0886</t>
        </is>
      </c>
      <c r="C887" s="3" t="inlineStr">
        <is>
          <t>Yadav Daily Needs</t>
        </is>
      </c>
      <c r="D887" s="3" t="inlineStr">
        <is>
          <t>Cola 750ml</t>
        </is>
      </c>
      <c r="E887" s="3" t="inlineStr">
        <is>
          <t>Beverages</t>
        </is>
      </c>
      <c r="F887" s="4" t="n">
        <v>47</v>
      </c>
      <c r="G887" s="5" t="n">
        <v>46.36</v>
      </c>
      <c r="H887" s="5">
        <f>F887*G887</f>
        <v/>
      </c>
      <c r="I887" s="5">
        <f>F887*VLOOKUP(D887,Products!$B$2:$E$13,3,FALSE)</f>
        <v/>
      </c>
    </row>
    <row r="888">
      <c r="A888" s="2" t="n">
        <v>46220</v>
      </c>
      <c r="B888" s="3" t="inlineStr">
        <is>
          <t>INV-2607-0887</t>
        </is>
      </c>
      <c r="C888" s="3" t="inlineStr">
        <is>
          <t>Yadav Daily Needs</t>
        </is>
      </c>
      <c r="D888" s="3" t="inlineStr">
        <is>
          <t>Curd Cup 400g</t>
        </is>
      </c>
      <c r="E888" s="3" t="inlineStr">
        <is>
          <t>Dairy</t>
        </is>
      </c>
      <c r="F888" s="4" t="n">
        <v>12</v>
      </c>
      <c r="G888" s="5" t="n">
        <v>43.88</v>
      </c>
      <c r="H888" s="5">
        <f>F888*G888</f>
        <v/>
      </c>
      <c r="I888" s="5">
        <f>F888*VLOOKUP(D888,Products!$B$2:$E$13,3,FALSE)</f>
        <v/>
      </c>
    </row>
    <row r="889">
      <c r="A889" s="2" t="n">
        <v>46220</v>
      </c>
      <c r="B889" s="3" t="inlineStr">
        <is>
          <t>INV-2607-0888</t>
        </is>
      </c>
      <c r="C889" s="3" t="inlineStr">
        <is>
          <t>Prasad Traders</t>
        </is>
      </c>
      <c r="D889" s="3" t="inlineStr">
        <is>
          <t>Dish Soap 500ml</t>
        </is>
      </c>
      <c r="E889" s="3" t="inlineStr">
        <is>
          <t>Household</t>
        </is>
      </c>
      <c r="F889" s="4" t="n">
        <v>46</v>
      </c>
      <c r="G889" s="5" t="n">
        <v>97.13</v>
      </c>
      <c r="H889" s="5">
        <f>F889*G889</f>
        <v/>
      </c>
      <c r="I889" s="5">
        <f>F889*VLOOKUP(D889,Products!$B$2:$E$13,3,FALSE)</f>
        <v/>
      </c>
    </row>
    <row r="890">
      <c r="A890" s="2" t="n">
        <v>46221</v>
      </c>
      <c r="B890" s="3" t="inlineStr">
        <is>
          <t>INV-2607-0889</t>
        </is>
      </c>
      <c r="C890" s="3" t="inlineStr">
        <is>
          <t>Mishra Stores</t>
        </is>
      </c>
      <c r="D890" s="3" t="inlineStr">
        <is>
          <t>Cola 750ml</t>
        </is>
      </c>
      <c r="E890" s="3" t="inlineStr">
        <is>
          <t>Beverages</t>
        </is>
      </c>
      <c r="F890" s="4" t="n">
        <v>34</v>
      </c>
      <c r="G890" s="5" t="n">
        <v>45.6</v>
      </c>
      <c r="H890" s="5">
        <f>F890*G890</f>
        <v/>
      </c>
      <c r="I890" s="5">
        <f>F890*VLOOKUP(D890,Products!$B$2:$E$13,3,FALSE)</f>
        <v/>
      </c>
    </row>
    <row r="891">
      <c r="A891" s="2" t="n">
        <v>46221</v>
      </c>
      <c r="B891" s="3" t="inlineStr">
        <is>
          <t>INV-2607-0890</t>
        </is>
      </c>
      <c r="C891" s="3" t="inlineStr">
        <is>
          <t>Gupta General Store</t>
        </is>
      </c>
      <c r="D891" s="3" t="inlineStr">
        <is>
          <t>Toned Milk 1L</t>
        </is>
      </c>
      <c r="E891" s="3" t="inlineStr">
        <is>
          <t>Dairy</t>
        </is>
      </c>
      <c r="F891" s="4" t="n">
        <v>74</v>
      </c>
      <c r="G891" s="5" t="n">
        <v>64.03</v>
      </c>
      <c r="H891" s="5">
        <f>F891*G891</f>
        <v/>
      </c>
      <c r="I891" s="5">
        <f>F891*VLOOKUP(D891,Products!$B$2:$E$13,3,FALSE)</f>
        <v/>
      </c>
    </row>
    <row r="892">
      <c r="A892" s="2" t="n">
        <v>46221</v>
      </c>
      <c r="B892" s="3" t="inlineStr">
        <is>
          <t>INV-2607-0891</t>
        </is>
      </c>
      <c r="C892" s="3" t="inlineStr">
        <is>
          <t>Rai Daily Mart</t>
        </is>
      </c>
      <c r="D892" s="3" t="inlineStr">
        <is>
          <t>Instant Noodles 280g</t>
        </is>
      </c>
      <c r="E892" s="3" t="inlineStr">
        <is>
          <t>Snacks</t>
        </is>
      </c>
      <c r="F892" s="4" t="n">
        <v>31</v>
      </c>
      <c r="G892" s="5" t="n">
        <v>58.16</v>
      </c>
      <c r="H892" s="5">
        <f>F892*G892</f>
        <v/>
      </c>
      <c r="I892" s="5">
        <f>F892*VLOOKUP(D892,Products!$B$2:$E$13,3,FALSE)</f>
        <v/>
      </c>
    </row>
    <row r="893">
      <c r="A893" s="2" t="n">
        <v>46221</v>
      </c>
      <c r="B893" s="3" t="inlineStr">
        <is>
          <t>INV-2607-0892</t>
        </is>
      </c>
      <c r="C893" s="3" t="inlineStr">
        <is>
          <t>Verma Retail</t>
        </is>
      </c>
      <c r="D893" s="3" t="inlineStr">
        <is>
          <t>Curd Cup 400g</t>
        </is>
      </c>
      <c r="E893" s="3" t="inlineStr">
        <is>
          <t>Dairy</t>
        </is>
      </c>
      <c r="F893" s="4" t="n">
        <v>45</v>
      </c>
      <c r="G893" s="5" t="n">
        <v>45.41</v>
      </c>
      <c r="H893" s="5">
        <f>F893*G893</f>
        <v/>
      </c>
      <c r="I893" s="5">
        <f>F893*VLOOKUP(D893,Products!$B$2:$E$13,3,FALSE)</f>
        <v/>
      </c>
    </row>
    <row r="894">
      <c r="A894" s="2" t="n">
        <v>46221</v>
      </c>
      <c r="B894" s="3" t="inlineStr">
        <is>
          <t>INV-2607-0893</t>
        </is>
      </c>
      <c r="C894" s="3" t="inlineStr">
        <is>
          <t>Prasad Traders</t>
        </is>
      </c>
      <c r="D894" s="3" t="inlineStr">
        <is>
          <t>Floor Cleaner 1L</t>
        </is>
      </c>
      <c r="E894" s="3" t="inlineStr">
        <is>
          <t>Household</t>
        </is>
      </c>
      <c r="F894" s="4" t="n">
        <v>79</v>
      </c>
      <c r="G894" s="5" t="n">
        <v>109.9</v>
      </c>
      <c r="H894" s="5">
        <f>F894*G894</f>
        <v/>
      </c>
      <c r="I894" s="5">
        <f>F894*VLOOKUP(D894,Products!$B$2:$E$13,3,FALSE)</f>
        <v/>
      </c>
    </row>
    <row r="895">
      <c r="A895" s="2" t="n">
        <v>46221</v>
      </c>
      <c r="B895" s="3" t="inlineStr">
        <is>
          <t>INV-2607-0894</t>
        </is>
      </c>
      <c r="C895" s="3" t="inlineStr">
        <is>
          <t>Jha Provisions</t>
        </is>
      </c>
      <c r="D895" s="3" t="inlineStr">
        <is>
          <t>Floor Cleaner 1L</t>
        </is>
      </c>
      <c r="E895" s="3" t="inlineStr">
        <is>
          <t>Household</t>
        </is>
      </c>
      <c r="F895" s="4" t="n">
        <v>56</v>
      </c>
      <c r="G895" s="5" t="n">
        <v>108.68</v>
      </c>
      <c r="H895" s="5">
        <f>F895*G895</f>
        <v/>
      </c>
      <c r="I895" s="5">
        <f>F895*VLOOKUP(D895,Products!$B$2:$E$13,3,FALSE)</f>
        <v/>
      </c>
    </row>
    <row r="896">
      <c r="A896" s="2" t="n">
        <v>46221</v>
      </c>
      <c r="B896" s="3" t="inlineStr">
        <is>
          <t>INV-2607-0895</t>
        </is>
      </c>
      <c r="C896" s="3" t="inlineStr">
        <is>
          <t>Azad Stores</t>
        </is>
      </c>
      <c r="D896" s="3" t="inlineStr">
        <is>
          <t>Curd Cup 400g</t>
        </is>
      </c>
      <c r="E896" s="3" t="inlineStr">
        <is>
          <t>Dairy</t>
        </is>
      </c>
      <c r="F896" s="4" t="n">
        <v>65</v>
      </c>
      <c r="G896" s="5" t="n">
        <v>46.27</v>
      </c>
      <c r="H896" s="5">
        <f>F896*G896</f>
        <v/>
      </c>
      <c r="I896" s="5">
        <f>F896*VLOOKUP(D896,Products!$B$2:$E$13,3,FALSE)</f>
        <v/>
      </c>
    </row>
    <row r="897">
      <c r="A897" s="2" t="n">
        <v>46221</v>
      </c>
      <c r="B897" s="3" t="inlineStr">
        <is>
          <t>INV-2607-0896</t>
        </is>
      </c>
      <c r="C897" s="3" t="inlineStr">
        <is>
          <t>Jha Provisions</t>
        </is>
      </c>
      <c r="D897" s="3" t="inlineStr">
        <is>
          <t>Cola 750ml</t>
        </is>
      </c>
      <c r="E897" s="3" t="inlineStr">
        <is>
          <t>Beverages</t>
        </is>
      </c>
      <c r="F897" s="4" t="n">
        <v>85</v>
      </c>
      <c r="G897" s="5" t="n">
        <v>46.47</v>
      </c>
      <c r="H897" s="5">
        <f>F897*G897</f>
        <v/>
      </c>
      <c r="I897" s="5">
        <f>F897*VLOOKUP(D897,Products!$B$2:$E$13,3,FALSE)</f>
        <v/>
      </c>
    </row>
    <row r="898">
      <c r="A898" s="2" t="n">
        <v>46221</v>
      </c>
      <c r="B898" s="3" t="inlineStr">
        <is>
          <t>INV-2607-0897</t>
        </is>
      </c>
      <c r="C898" s="3" t="inlineStr">
        <is>
          <t>Sinha Super Mart</t>
        </is>
      </c>
      <c r="D898" s="3" t="inlineStr">
        <is>
          <t>Curd Cup 400g</t>
        </is>
      </c>
      <c r="E898" s="3" t="inlineStr">
        <is>
          <t>Dairy</t>
        </is>
      </c>
      <c r="F898" s="4" t="n">
        <v>81</v>
      </c>
      <c r="G898" s="5" t="n">
        <v>44.24</v>
      </c>
      <c r="H898" s="5">
        <f>F898*G898</f>
        <v/>
      </c>
      <c r="I898" s="5">
        <f>F898*VLOOKUP(D898,Products!$B$2:$E$13,3,FALSE)</f>
        <v/>
      </c>
    </row>
    <row r="899">
      <c r="A899" s="2" t="n">
        <v>46221</v>
      </c>
      <c r="B899" s="3" t="inlineStr">
        <is>
          <t>INV-2607-0898</t>
        </is>
      </c>
      <c r="C899" s="3" t="inlineStr">
        <is>
          <t>Mehta Retail</t>
        </is>
      </c>
      <c r="D899" s="3" t="inlineStr">
        <is>
          <t>Floor Cleaner 1L</t>
        </is>
      </c>
      <c r="E899" s="3" t="inlineStr">
        <is>
          <t>Household</t>
        </is>
      </c>
      <c r="F899" s="4" t="n">
        <v>60</v>
      </c>
      <c r="G899" s="5" t="n">
        <v>109.04</v>
      </c>
      <c r="H899" s="5">
        <f>F899*G899</f>
        <v/>
      </c>
      <c r="I899" s="5">
        <f>F899*VLOOKUP(D899,Products!$B$2:$E$13,3,FALSE)</f>
        <v/>
      </c>
    </row>
    <row r="900">
      <c r="A900" s="2" t="n">
        <v>46221</v>
      </c>
      <c r="B900" s="3" t="inlineStr">
        <is>
          <t>INV-2607-0899</t>
        </is>
      </c>
      <c r="C900" s="3" t="inlineStr">
        <is>
          <t>Ali General Store</t>
        </is>
      </c>
      <c r="D900" s="3" t="inlineStr">
        <is>
          <t>Detergent 1kg</t>
        </is>
      </c>
      <c r="E900" s="3" t="inlineStr">
        <is>
          <t>Household</t>
        </is>
      </c>
      <c r="F900" s="4" t="n">
        <v>83</v>
      </c>
      <c r="G900" s="5" t="n">
        <v>128.32</v>
      </c>
      <c r="H900" s="5">
        <f>F900*G900</f>
        <v/>
      </c>
      <c r="I900" s="5">
        <f>F900*VLOOKUP(D900,Products!$B$2:$E$13,3,FALSE)</f>
        <v/>
      </c>
    </row>
    <row r="901">
      <c r="A901" s="2" t="n">
        <v>46222</v>
      </c>
      <c r="B901" s="3" t="inlineStr">
        <is>
          <t>INV-2607-0900</t>
        </is>
      </c>
      <c r="C901" s="3" t="inlineStr">
        <is>
          <t>Prasad Traders</t>
        </is>
      </c>
      <c r="D901" s="3" t="inlineStr">
        <is>
          <t>Packaged Water 1L</t>
        </is>
      </c>
      <c r="E901" s="3" t="inlineStr">
        <is>
          <t>Beverages</t>
        </is>
      </c>
      <c r="F901" s="4" t="n">
        <v>4</v>
      </c>
      <c r="G901" s="5" t="n">
        <v>20.07</v>
      </c>
      <c r="H901" s="5">
        <f>F901*G901</f>
        <v/>
      </c>
      <c r="I901" s="5">
        <f>F901*VLOOKUP(D901,Products!$B$2:$E$13,3,FALSE)</f>
        <v/>
      </c>
    </row>
    <row r="902">
      <c r="A902" s="2" t="n">
        <v>46222</v>
      </c>
      <c r="B902" s="3" t="inlineStr">
        <is>
          <t>INV-2607-0901</t>
        </is>
      </c>
      <c r="C902" s="3" t="inlineStr">
        <is>
          <t>Singh Super Bazaar</t>
        </is>
      </c>
      <c r="D902" s="3" t="inlineStr">
        <is>
          <t>Cola 750ml</t>
        </is>
      </c>
      <c r="E902" s="3" t="inlineStr">
        <is>
          <t>Beverages</t>
        </is>
      </c>
      <c r="F902" s="4" t="n">
        <v>24</v>
      </c>
      <c r="G902" s="5" t="n">
        <v>44.61</v>
      </c>
      <c r="H902" s="5">
        <f>F902*G902</f>
        <v/>
      </c>
      <c r="I902" s="5">
        <f>F902*VLOOKUP(D902,Products!$B$2:$E$13,3,FALSE)</f>
        <v/>
      </c>
    </row>
    <row r="903">
      <c r="A903" s="2" t="n">
        <v>46222</v>
      </c>
      <c r="B903" s="3" t="inlineStr">
        <is>
          <t>INV-2607-0902</t>
        </is>
      </c>
      <c r="C903" s="3" t="inlineStr">
        <is>
          <t>Patel Traders</t>
        </is>
      </c>
      <c r="D903" s="3" t="inlineStr">
        <is>
          <t>Floor Cleaner 1L</t>
        </is>
      </c>
      <c r="E903" s="3" t="inlineStr">
        <is>
          <t>Household</t>
        </is>
      </c>
      <c r="F903" s="4" t="n">
        <v>52</v>
      </c>
      <c r="G903" s="5" t="n">
        <v>108.92</v>
      </c>
      <c r="H903" s="5">
        <f>F903*G903</f>
        <v/>
      </c>
      <c r="I903" s="5">
        <f>F903*VLOOKUP(D903,Products!$B$2:$E$13,3,FALSE)</f>
        <v/>
      </c>
    </row>
    <row r="904">
      <c r="A904" s="2" t="n">
        <v>46222</v>
      </c>
      <c r="B904" s="3" t="inlineStr">
        <is>
          <t>INV-2607-0903</t>
        </is>
      </c>
      <c r="C904" s="3" t="inlineStr">
        <is>
          <t>Bhatt General Store</t>
        </is>
      </c>
      <c r="D904" s="3" t="inlineStr">
        <is>
          <t>Detergent 1kg</t>
        </is>
      </c>
      <c r="E904" s="3" t="inlineStr">
        <is>
          <t>Household</t>
        </is>
      </c>
      <c r="F904" s="4" t="n">
        <v>16</v>
      </c>
      <c r="G904" s="5" t="n">
        <v>132.97</v>
      </c>
      <c r="H904" s="5">
        <f>F904*G904</f>
        <v/>
      </c>
      <c r="I904" s="5">
        <f>F904*VLOOKUP(D904,Products!$B$2:$E$13,3,FALSE)</f>
        <v/>
      </c>
    </row>
    <row r="905">
      <c r="A905" s="2" t="n">
        <v>46222</v>
      </c>
      <c r="B905" s="3" t="inlineStr">
        <is>
          <t>INV-2607-0904</t>
        </is>
      </c>
      <c r="C905" s="3" t="inlineStr">
        <is>
          <t>Verma Retail</t>
        </is>
      </c>
      <c r="D905" s="3" t="inlineStr">
        <is>
          <t>Mango Juice 1L</t>
        </is>
      </c>
      <c r="E905" s="3" t="inlineStr">
        <is>
          <t>Beverages</t>
        </is>
      </c>
      <c r="F905" s="4" t="n">
        <v>52</v>
      </c>
      <c r="G905" s="5" t="n">
        <v>122.62</v>
      </c>
      <c r="H905" s="5">
        <f>F905*G905</f>
        <v/>
      </c>
      <c r="I905" s="5">
        <f>F905*VLOOKUP(D905,Products!$B$2:$E$13,3,FALSE)</f>
        <v/>
      </c>
    </row>
    <row r="906">
      <c r="A906" s="2" t="n">
        <v>46222</v>
      </c>
      <c r="B906" s="3" t="inlineStr">
        <is>
          <t>INV-2607-0905</t>
        </is>
      </c>
      <c r="C906" s="3" t="inlineStr">
        <is>
          <t>Sharma Provision</t>
        </is>
      </c>
      <c r="D906" s="3" t="inlineStr">
        <is>
          <t>Mango Juice 1L</t>
        </is>
      </c>
      <c r="E906" s="3" t="inlineStr">
        <is>
          <t>Beverages</t>
        </is>
      </c>
      <c r="F906" s="4" t="n">
        <v>45</v>
      </c>
      <c r="G906" s="5" t="n">
        <v>120.23</v>
      </c>
      <c r="H906" s="5">
        <f>F906*G906</f>
        <v/>
      </c>
      <c r="I906" s="5">
        <f>F906*VLOOKUP(D906,Products!$B$2:$E$13,3,FALSE)</f>
        <v/>
      </c>
    </row>
    <row r="907">
      <c r="A907" s="2" t="n">
        <v>46222</v>
      </c>
      <c r="B907" s="3" t="inlineStr">
        <is>
          <t>INV-2607-0906</t>
        </is>
      </c>
      <c r="C907" s="3" t="inlineStr">
        <is>
          <t>Sahu Traders</t>
        </is>
      </c>
      <c r="D907" s="3" t="inlineStr">
        <is>
          <t>Curd Cup 400g</t>
        </is>
      </c>
      <c r="E907" s="3" t="inlineStr">
        <is>
          <t>Dairy</t>
        </is>
      </c>
      <c r="F907" s="4" t="n">
        <v>38</v>
      </c>
      <c r="G907" s="5" t="n">
        <v>44.48</v>
      </c>
      <c r="H907" s="5">
        <f>F907*G907</f>
        <v/>
      </c>
      <c r="I907" s="5">
        <f>F907*VLOOKUP(D907,Products!$B$2:$E$13,3,FALSE)</f>
        <v/>
      </c>
    </row>
    <row r="908">
      <c r="A908" s="2" t="n">
        <v>46222</v>
      </c>
      <c r="B908" s="3" t="inlineStr">
        <is>
          <t>INV-2607-0907</t>
        </is>
      </c>
      <c r="C908" s="3" t="inlineStr">
        <is>
          <t>Singh Super Bazaar</t>
        </is>
      </c>
      <c r="D908" s="3" t="inlineStr">
        <is>
          <t>Detergent 1kg</t>
        </is>
      </c>
      <c r="E908" s="3" t="inlineStr">
        <is>
          <t>Household</t>
        </is>
      </c>
      <c r="F908" s="4" t="n">
        <v>56</v>
      </c>
      <c r="G908" s="5" t="n">
        <v>126.16</v>
      </c>
      <c r="H908" s="5">
        <f>F908*G908</f>
        <v/>
      </c>
      <c r="I908" s="5">
        <f>F908*VLOOKUP(D908,Products!$B$2:$E$13,3,FALSE)</f>
        <v/>
      </c>
    </row>
    <row r="909">
      <c r="A909" s="2" t="n">
        <v>46222</v>
      </c>
      <c r="B909" s="3" t="inlineStr">
        <is>
          <t>INV-2607-0908</t>
        </is>
      </c>
      <c r="C909" s="3" t="inlineStr">
        <is>
          <t>Ali General Store</t>
        </is>
      </c>
      <c r="D909" s="3" t="inlineStr">
        <is>
          <t>Potato Chips 150g</t>
        </is>
      </c>
      <c r="E909" s="3" t="inlineStr">
        <is>
          <t>Snacks</t>
        </is>
      </c>
      <c r="F909" s="4" t="n">
        <v>51</v>
      </c>
      <c r="G909" s="5" t="n">
        <v>49.44</v>
      </c>
      <c r="H909" s="5">
        <f>F909*G909</f>
        <v/>
      </c>
      <c r="I909" s="5">
        <f>F909*VLOOKUP(D909,Products!$B$2:$E$13,3,FALSE)</f>
        <v/>
      </c>
    </row>
    <row r="910">
      <c r="A910" s="2" t="n">
        <v>46222</v>
      </c>
      <c r="B910" s="3" t="inlineStr">
        <is>
          <t>INV-2607-0909</t>
        </is>
      </c>
      <c r="C910" s="3" t="inlineStr">
        <is>
          <t>Ali General Store</t>
        </is>
      </c>
      <c r="D910" s="3" t="inlineStr">
        <is>
          <t>Toned Milk 1L</t>
        </is>
      </c>
      <c r="E910" s="3" t="inlineStr">
        <is>
          <t>Dairy</t>
        </is>
      </c>
      <c r="F910" s="4" t="n">
        <v>47</v>
      </c>
      <c r="G910" s="5" t="n">
        <v>65.45</v>
      </c>
      <c r="H910" s="5">
        <f>F910*G910</f>
        <v/>
      </c>
      <c r="I910" s="5">
        <f>F910*VLOOKUP(D910,Products!$B$2:$E$13,3,FALSE)</f>
        <v/>
      </c>
    </row>
    <row r="911">
      <c r="A911" s="2" t="n">
        <v>46223</v>
      </c>
      <c r="B911" s="3" t="inlineStr">
        <is>
          <t>INV-2607-0910</t>
        </is>
      </c>
      <c r="C911" s="3" t="inlineStr">
        <is>
          <t>Raza Brothers</t>
        </is>
      </c>
      <c r="D911" s="3" t="inlineStr">
        <is>
          <t>Instant Noodles 280g</t>
        </is>
      </c>
      <c r="E911" s="3" t="inlineStr">
        <is>
          <t>Snacks</t>
        </is>
      </c>
      <c r="F911" s="4" t="n">
        <v>69</v>
      </c>
      <c r="G911" s="5" t="n">
        <v>56.95</v>
      </c>
      <c r="H911" s="5">
        <f>F911*G911</f>
        <v/>
      </c>
      <c r="I911" s="5">
        <f>F911*VLOOKUP(D911,Products!$B$2:$E$13,3,FALSE)</f>
        <v/>
      </c>
    </row>
    <row r="912">
      <c r="A912" s="2" t="n">
        <v>46223</v>
      </c>
      <c r="B912" s="3" t="inlineStr">
        <is>
          <t>INV-2607-0911</t>
        </is>
      </c>
      <c r="C912" s="3" t="inlineStr">
        <is>
          <t>Azad Stores</t>
        </is>
      </c>
      <c r="D912" s="3" t="inlineStr">
        <is>
          <t>Biscuits 400g</t>
        </is>
      </c>
      <c r="E912" s="3" t="inlineStr">
        <is>
          <t>Snacks</t>
        </is>
      </c>
      <c r="F912" s="4" t="n">
        <v>71</v>
      </c>
      <c r="G912" s="5" t="n">
        <v>39.71</v>
      </c>
      <c r="H912" s="5">
        <f>F912*G912</f>
        <v/>
      </c>
      <c r="I912" s="5">
        <f>F912*VLOOKUP(D912,Products!$B$2:$E$13,3,FALSE)</f>
        <v/>
      </c>
    </row>
    <row r="913">
      <c r="A913" s="2" t="n">
        <v>46223</v>
      </c>
      <c r="B913" s="3" t="inlineStr">
        <is>
          <t>INV-2607-0912</t>
        </is>
      </c>
      <c r="C913" s="3" t="inlineStr">
        <is>
          <t>Pandey Stores</t>
        </is>
      </c>
      <c r="D913" s="3" t="inlineStr">
        <is>
          <t>Cola 750ml</t>
        </is>
      </c>
      <c r="E913" s="3" t="inlineStr">
        <is>
          <t>Beverages</t>
        </is>
      </c>
      <c r="F913" s="4" t="n">
        <v>53</v>
      </c>
      <c r="G913" s="5" t="n">
        <v>44.65</v>
      </c>
      <c r="H913" s="5">
        <f>F913*G913</f>
        <v/>
      </c>
      <c r="I913" s="5">
        <f>F913*VLOOKUP(D913,Products!$B$2:$E$13,3,FALSE)</f>
        <v/>
      </c>
    </row>
    <row r="914">
      <c r="A914" s="2" t="n">
        <v>46223</v>
      </c>
      <c r="B914" s="3" t="inlineStr">
        <is>
          <t>INV-2607-0913</t>
        </is>
      </c>
      <c r="C914" s="3" t="inlineStr">
        <is>
          <t>Sharma Provision</t>
        </is>
      </c>
      <c r="D914" s="3" t="inlineStr">
        <is>
          <t>Dish Soap 500ml</t>
        </is>
      </c>
      <c r="E914" s="3" t="inlineStr">
        <is>
          <t>Household</t>
        </is>
      </c>
      <c r="F914" s="4" t="n">
        <v>41</v>
      </c>
      <c r="G914" s="5" t="n">
        <v>98.94</v>
      </c>
      <c r="H914" s="5">
        <f>F914*G914</f>
        <v/>
      </c>
      <c r="I914" s="5">
        <f>F914*VLOOKUP(D914,Products!$B$2:$E$13,3,FALSE)</f>
        <v/>
      </c>
    </row>
    <row r="915">
      <c r="A915" s="2" t="n">
        <v>46223</v>
      </c>
      <c r="B915" s="3" t="inlineStr">
        <is>
          <t>INV-2607-0914</t>
        </is>
      </c>
      <c r="C915" s="3" t="inlineStr">
        <is>
          <t>Sinha Super Mart</t>
        </is>
      </c>
      <c r="D915" s="3" t="inlineStr">
        <is>
          <t>Paneer 200g</t>
        </is>
      </c>
      <c r="E915" s="3" t="inlineStr">
        <is>
          <t>Dairy</t>
        </is>
      </c>
      <c r="F915" s="4" t="n">
        <v>47</v>
      </c>
      <c r="G915" s="5" t="n">
        <v>94.18000000000001</v>
      </c>
      <c r="H915" s="5">
        <f>F915*G915</f>
        <v/>
      </c>
      <c r="I915" s="5">
        <f>F915*VLOOKUP(D915,Products!$B$2:$E$13,3,FALSE)</f>
        <v/>
      </c>
    </row>
    <row r="916">
      <c r="A916" s="2" t="n">
        <v>46223</v>
      </c>
      <c r="B916" s="3" t="inlineStr">
        <is>
          <t>INV-2607-0915</t>
        </is>
      </c>
      <c r="C916" s="3" t="inlineStr">
        <is>
          <t>Rai Daily Mart</t>
        </is>
      </c>
      <c r="D916" s="3" t="inlineStr">
        <is>
          <t>Packaged Water 1L</t>
        </is>
      </c>
      <c r="E916" s="3" t="inlineStr">
        <is>
          <t>Beverages</t>
        </is>
      </c>
      <c r="F916" s="4" t="n">
        <v>24</v>
      </c>
      <c r="G916" s="5" t="n">
        <v>19.95</v>
      </c>
      <c r="H916" s="5">
        <f>F916*G916</f>
        <v/>
      </c>
      <c r="I916" s="5">
        <f>F916*VLOOKUP(D916,Products!$B$2:$E$13,3,FALSE)</f>
        <v/>
      </c>
    </row>
    <row r="917">
      <c r="A917" s="2" t="n">
        <v>46223</v>
      </c>
      <c r="B917" s="3" t="inlineStr">
        <is>
          <t>INV-2607-0916</t>
        </is>
      </c>
      <c r="C917" s="3" t="inlineStr">
        <is>
          <t>Patel Traders</t>
        </is>
      </c>
      <c r="D917" s="3" t="inlineStr">
        <is>
          <t>Paneer 200g</t>
        </is>
      </c>
      <c r="E917" s="3" t="inlineStr">
        <is>
          <t>Dairy</t>
        </is>
      </c>
      <c r="F917" s="4" t="n">
        <v>62</v>
      </c>
      <c r="G917" s="5" t="n">
        <v>95.37</v>
      </c>
      <c r="H917" s="5">
        <f>F917*G917</f>
        <v/>
      </c>
      <c r="I917" s="5">
        <f>F917*VLOOKUP(D917,Products!$B$2:$E$13,3,FALSE)</f>
        <v/>
      </c>
    </row>
    <row r="918">
      <c r="A918" s="2" t="n">
        <v>46223</v>
      </c>
      <c r="B918" s="3" t="inlineStr">
        <is>
          <t>INV-2607-0917</t>
        </is>
      </c>
      <c r="C918" s="3" t="inlineStr">
        <is>
          <t>Mehta Retail</t>
        </is>
      </c>
      <c r="D918" s="3" t="inlineStr">
        <is>
          <t>Detergent 1kg</t>
        </is>
      </c>
      <c r="E918" s="3" t="inlineStr">
        <is>
          <t>Household</t>
        </is>
      </c>
      <c r="F918" s="4" t="n">
        <v>36</v>
      </c>
      <c r="G918" s="5" t="n">
        <v>134.15</v>
      </c>
      <c r="H918" s="5">
        <f>F918*G918</f>
        <v/>
      </c>
      <c r="I918" s="5">
        <f>F918*VLOOKUP(D918,Products!$B$2:$E$13,3,FALSE)</f>
        <v/>
      </c>
    </row>
    <row r="919">
      <c r="A919" s="2" t="n">
        <v>46223</v>
      </c>
      <c r="B919" s="3" t="inlineStr">
        <is>
          <t>INV-2607-0918</t>
        </is>
      </c>
      <c r="C919" s="3" t="inlineStr">
        <is>
          <t>Nath Provisions</t>
        </is>
      </c>
      <c r="D919" s="3" t="inlineStr">
        <is>
          <t>Dish Soap 500ml</t>
        </is>
      </c>
      <c r="E919" s="3" t="inlineStr">
        <is>
          <t>Household</t>
        </is>
      </c>
      <c r="F919" s="4" t="n">
        <v>63</v>
      </c>
      <c r="G919" s="5" t="n">
        <v>102.61</v>
      </c>
      <c r="H919" s="5">
        <f>F919*G919</f>
        <v/>
      </c>
      <c r="I919" s="5">
        <f>F919*VLOOKUP(D919,Products!$B$2:$E$13,3,FALSE)</f>
        <v/>
      </c>
    </row>
    <row r="920">
      <c r="A920" s="2" t="n">
        <v>46223</v>
      </c>
      <c r="B920" s="3" t="inlineStr">
        <is>
          <t>INV-2607-0919</t>
        </is>
      </c>
      <c r="C920" s="3" t="inlineStr">
        <is>
          <t>Kumari Kirana</t>
        </is>
      </c>
      <c r="D920" s="3" t="inlineStr">
        <is>
          <t>Cola 750ml</t>
        </is>
      </c>
      <c r="E920" s="3" t="inlineStr">
        <is>
          <t>Beverages</t>
        </is>
      </c>
      <c r="F920" s="4" t="n">
        <v>22</v>
      </c>
      <c r="G920" s="5" t="n">
        <v>44.01</v>
      </c>
      <c r="H920" s="5">
        <f>F920*G920</f>
        <v/>
      </c>
      <c r="I920" s="5">
        <f>F920*VLOOKUP(D920,Products!$B$2:$E$13,3,FALSE)</f>
        <v/>
      </c>
    </row>
    <row r="921">
      <c r="A921" s="2" t="n">
        <v>46223</v>
      </c>
      <c r="B921" s="3" t="inlineStr">
        <is>
          <t>INV-2607-0920</t>
        </is>
      </c>
      <c r="C921" s="3" t="inlineStr">
        <is>
          <t>Raza Brothers</t>
        </is>
      </c>
      <c r="D921" s="3" t="inlineStr">
        <is>
          <t>Packaged Water 1L</t>
        </is>
      </c>
      <c r="E921" s="3" t="inlineStr">
        <is>
          <t>Beverages</t>
        </is>
      </c>
      <c r="F921" s="4" t="n">
        <v>10</v>
      </c>
      <c r="G921" s="5" t="n">
        <v>19.43</v>
      </c>
      <c r="H921" s="5">
        <f>F921*G921</f>
        <v/>
      </c>
      <c r="I921" s="5">
        <f>F921*VLOOKUP(D921,Products!$B$2:$E$13,3,FALSE)</f>
        <v/>
      </c>
    </row>
    <row r="922">
      <c r="A922" s="2" t="n">
        <v>46224</v>
      </c>
      <c r="B922" s="3" t="inlineStr">
        <is>
          <t>INV-2607-0921</t>
        </is>
      </c>
      <c r="C922" s="3" t="inlineStr">
        <is>
          <t>Prasad Traders</t>
        </is>
      </c>
      <c r="D922" s="3" t="inlineStr">
        <is>
          <t>Dish Soap 500ml</t>
        </is>
      </c>
      <c r="E922" s="3" t="inlineStr">
        <is>
          <t>Household</t>
        </is>
      </c>
      <c r="F922" s="4" t="n">
        <v>51</v>
      </c>
      <c r="G922" s="5" t="n">
        <v>99.01000000000001</v>
      </c>
      <c r="H922" s="5">
        <f>F922*G922</f>
        <v/>
      </c>
      <c r="I922" s="5">
        <f>F922*VLOOKUP(D922,Products!$B$2:$E$13,3,FALSE)</f>
        <v/>
      </c>
    </row>
    <row r="923">
      <c r="A923" s="2" t="n">
        <v>46224</v>
      </c>
      <c r="B923" s="3" t="inlineStr">
        <is>
          <t>INV-2607-0922</t>
        </is>
      </c>
      <c r="C923" s="3" t="inlineStr">
        <is>
          <t>Nath Provisions</t>
        </is>
      </c>
      <c r="D923" s="3" t="inlineStr">
        <is>
          <t>Toned Milk 1L</t>
        </is>
      </c>
      <c r="E923" s="3" t="inlineStr">
        <is>
          <t>Dairy</t>
        </is>
      </c>
      <c r="F923" s="4" t="n">
        <v>70</v>
      </c>
      <c r="G923" s="5" t="n">
        <v>67.06999999999999</v>
      </c>
      <c r="H923" s="5">
        <f>F923*G923</f>
        <v/>
      </c>
      <c r="I923" s="5">
        <f>F923*VLOOKUP(D923,Products!$B$2:$E$13,3,FALSE)</f>
        <v/>
      </c>
    </row>
    <row r="924">
      <c r="A924" s="2" t="n">
        <v>46224</v>
      </c>
      <c r="B924" s="3" t="inlineStr">
        <is>
          <t>INV-2607-0923</t>
        </is>
      </c>
      <c r="C924" s="3" t="inlineStr">
        <is>
          <t>Prasad Traders</t>
        </is>
      </c>
      <c r="D924" s="3" t="inlineStr">
        <is>
          <t>Mango Juice 1L</t>
        </is>
      </c>
      <c r="E924" s="3" t="inlineStr">
        <is>
          <t>Beverages</t>
        </is>
      </c>
      <c r="F924" s="4" t="n">
        <v>12</v>
      </c>
      <c r="G924" s="5" t="n">
        <v>116.52</v>
      </c>
      <c r="H924" s="5">
        <f>F924*G924</f>
        <v/>
      </c>
      <c r="I924" s="5">
        <f>F924*VLOOKUP(D924,Products!$B$2:$E$13,3,FALSE)</f>
        <v/>
      </c>
    </row>
    <row r="925">
      <c r="A925" s="2" t="n">
        <v>46224</v>
      </c>
      <c r="B925" s="3" t="inlineStr">
        <is>
          <t>INV-2607-0924</t>
        </is>
      </c>
      <c r="C925" s="3" t="inlineStr">
        <is>
          <t>Dubey Kirana</t>
        </is>
      </c>
      <c r="D925" s="3" t="inlineStr">
        <is>
          <t>Dish Soap 500ml</t>
        </is>
      </c>
      <c r="E925" s="3" t="inlineStr">
        <is>
          <t>Household</t>
        </is>
      </c>
      <c r="F925" s="4" t="n">
        <v>71</v>
      </c>
      <c r="G925" s="5" t="n">
        <v>101.45</v>
      </c>
      <c r="H925" s="5">
        <f>F925*G925</f>
        <v/>
      </c>
      <c r="I925" s="5">
        <f>F925*VLOOKUP(D925,Products!$B$2:$E$13,3,FALSE)</f>
        <v/>
      </c>
    </row>
    <row r="926">
      <c r="A926" s="2" t="n">
        <v>46224</v>
      </c>
      <c r="B926" s="3" t="inlineStr">
        <is>
          <t>INV-2607-0925</t>
        </is>
      </c>
      <c r="C926" s="3" t="inlineStr">
        <is>
          <t>Sahu Traders</t>
        </is>
      </c>
      <c r="D926" s="3" t="inlineStr">
        <is>
          <t>Toned Milk 1L</t>
        </is>
      </c>
      <c r="E926" s="3" t="inlineStr">
        <is>
          <t>Dairy</t>
        </is>
      </c>
      <c r="F926" s="4" t="n">
        <v>59</v>
      </c>
      <c r="G926" s="5" t="n">
        <v>67.94</v>
      </c>
      <c r="H926" s="5">
        <f>F926*G926</f>
        <v/>
      </c>
      <c r="I926" s="5">
        <f>F926*VLOOKUP(D926,Products!$B$2:$E$13,3,FALSE)</f>
        <v/>
      </c>
    </row>
    <row r="927">
      <c r="A927" s="2" t="n">
        <v>46224</v>
      </c>
      <c r="B927" s="3" t="inlineStr">
        <is>
          <t>INV-2607-0926</t>
        </is>
      </c>
      <c r="C927" s="3" t="inlineStr">
        <is>
          <t>Sahu Traders</t>
        </is>
      </c>
      <c r="D927" s="3" t="inlineStr">
        <is>
          <t>Mango Juice 1L</t>
        </is>
      </c>
      <c r="E927" s="3" t="inlineStr">
        <is>
          <t>Beverages</t>
        </is>
      </c>
      <c r="F927" s="4" t="n">
        <v>22</v>
      </c>
      <c r="G927" s="5" t="n">
        <v>122.94</v>
      </c>
      <c r="H927" s="5">
        <f>F927*G927</f>
        <v/>
      </c>
      <c r="I927" s="5">
        <f>F927*VLOOKUP(D927,Products!$B$2:$E$13,3,FALSE)</f>
        <v/>
      </c>
    </row>
    <row r="928">
      <c r="A928" s="2" t="n">
        <v>46224</v>
      </c>
      <c r="B928" s="3" t="inlineStr">
        <is>
          <t>INV-2607-0927</t>
        </is>
      </c>
      <c r="C928" s="3" t="inlineStr">
        <is>
          <t>Mishra Stores</t>
        </is>
      </c>
      <c r="D928" s="3" t="inlineStr">
        <is>
          <t>Potato Chips 150g</t>
        </is>
      </c>
      <c r="E928" s="3" t="inlineStr">
        <is>
          <t>Snacks</t>
        </is>
      </c>
      <c r="F928" s="4" t="n">
        <v>24</v>
      </c>
      <c r="G928" s="5" t="n">
        <v>50.98</v>
      </c>
      <c r="H928" s="5">
        <f>F928*G928</f>
        <v/>
      </c>
      <c r="I928" s="5">
        <f>F928*VLOOKUP(D928,Products!$B$2:$E$13,3,FALSE)</f>
        <v/>
      </c>
    </row>
    <row r="929">
      <c r="A929" s="2" t="n">
        <v>46224</v>
      </c>
      <c r="B929" s="3" t="inlineStr">
        <is>
          <t>INV-2607-0928</t>
        </is>
      </c>
      <c r="C929" s="3" t="inlineStr">
        <is>
          <t>Choudhary Mart</t>
        </is>
      </c>
      <c r="D929" s="3" t="inlineStr">
        <is>
          <t>Paneer 200g</t>
        </is>
      </c>
      <c r="E929" s="3" t="inlineStr">
        <is>
          <t>Dairy</t>
        </is>
      </c>
      <c r="F929" s="4" t="n">
        <v>42</v>
      </c>
      <c r="G929" s="5" t="n">
        <v>92.45999999999999</v>
      </c>
      <c r="H929" s="5">
        <f>F929*G929</f>
        <v/>
      </c>
      <c r="I929" s="5">
        <f>F929*VLOOKUP(D929,Products!$B$2:$E$13,3,FALSE)</f>
        <v/>
      </c>
    </row>
    <row r="930">
      <c r="A930" s="2" t="n">
        <v>46224</v>
      </c>
      <c r="B930" s="3" t="inlineStr">
        <is>
          <t>INV-2607-0929</t>
        </is>
      </c>
      <c r="C930" s="3" t="inlineStr">
        <is>
          <t>Ali General Store</t>
        </is>
      </c>
      <c r="D930" s="3" t="inlineStr">
        <is>
          <t>Instant Noodles 280g</t>
        </is>
      </c>
      <c r="E930" s="3" t="inlineStr">
        <is>
          <t>Snacks</t>
        </is>
      </c>
      <c r="F930" s="4" t="n">
        <v>19</v>
      </c>
      <c r="G930" s="5" t="n">
        <v>56.83</v>
      </c>
      <c r="H930" s="5">
        <f>F930*G930</f>
        <v/>
      </c>
      <c r="I930" s="5">
        <f>F930*VLOOKUP(D930,Products!$B$2:$E$13,3,FALSE)</f>
        <v/>
      </c>
    </row>
    <row r="931">
      <c r="A931" s="2" t="n">
        <v>46225</v>
      </c>
      <c r="B931" s="3" t="inlineStr">
        <is>
          <t>INV-2607-0930</t>
        </is>
      </c>
      <c r="C931" s="3" t="inlineStr">
        <is>
          <t>Sinha Super Mart</t>
        </is>
      </c>
      <c r="D931" s="3" t="inlineStr">
        <is>
          <t>Dish Soap 500ml</t>
        </is>
      </c>
      <c r="E931" s="3" t="inlineStr">
        <is>
          <t>Household</t>
        </is>
      </c>
      <c r="F931" s="4" t="n">
        <v>59</v>
      </c>
      <c r="G931" s="5" t="n">
        <v>103.68</v>
      </c>
      <c r="H931" s="5">
        <f>F931*G931</f>
        <v/>
      </c>
      <c r="I931" s="5">
        <f>F931*VLOOKUP(D931,Products!$B$2:$E$13,3,FALSE)</f>
        <v/>
      </c>
    </row>
    <row r="932">
      <c r="A932" s="2" t="n">
        <v>46225</v>
      </c>
      <c r="B932" s="3" t="inlineStr">
        <is>
          <t>INV-2607-0931</t>
        </is>
      </c>
      <c r="C932" s="3" t="inlineStr">
        <is>
          <t>Jha Provisions</t>
        </is>
      </c>
      <c r="D932" s="3" t="inlineStr">
        <is>
          <t>Toned Milk 1L</t>
        </is>
      </c>
      <c r="E932" s="3" t="inlineStr">
        <is>
          <t>Dairy</t>
        </is>
      </c>
      <c r="F932" s="4" t="n">
        <v>35</v>
      </c>
      <c r="G932" s="5" t="n">
        <v>65.81</v>
      </c>
      <c r="H932" s="5">
        <f>F932*G932</f>
        <v/>
      </c>
      <c r="I932" s="5">
        <f>F932*VLOOKUP(D932,Products!$B$2:$E$13,3,FALSE)</f>
        <v/>
      </c>
    </row>
    <row r="933">
      <c r="A933" s="2" t="n">
        <v>46225</v>
      </c>
      <c r="B933" s="3" t="inlineStr">
        <is>
          <t>INV-2607-0932</t>
        </is>
      </c>
      <c r="C933" s="3" t="inlineStr">
        <is>
          <t>Mishra Stores</t>
        </is>
      </c>
      <c r="D933" s="3" t="inlineStr">
        <is>
          <t>Toned Milk 1L</t>
        </is>
      </c>
      <c r="E933" s="3" t="inlineStr">
        <is>
          <t>Dairy</t>
        </is>
      </c>
      <c r="F933" s="4" t="n">
        <v>5</v>
      </c>
      <c r="G933" s="5" t="n">
        <v>65.51000000000001</v>
      </c>
      <c r="H933" s="5">
        <f>F933*G933</f>
        <v/>
      </c>
      <c r="I933" s="5">
        <f>F933*VLOOKUP(D933,Products!$B$2:$E$13,3,FALSE)</f>
        <v/>
      </c>
    </row>
    <row r="934">
      <c r="A934" s="2" t="n">
        <v>46225</v>
      </c>
      <c r="B934" s="3" t="inlineStr">
        <is>
          <t>INV-2607-0933</t>
        </is>
      </c>
      <c r="C934" s="3" t="inlineStr">
        <is>
          <t>Tiwari General</t>
        </is>
      </c>
      <c r="D934" s="3" t="inlineStr">
        <is>
          <t>Packaged Water 1L</t>
        </is>
      </c>
      <c r="E934" s="3" t="inlineStr">
        <is>
          <t>Beverages</t>
        </is>
      </c>
      <c r="F934" s="4" t="n">
        <v>28</v>
      </c>
      <c r="G934" s="5" t="n">
        <v>20.89</v>
      </c>
      <c r="H934" s="5">
        <f>F934*G934</f>
        <v/>
      </c>
      <c r="I934" s="5">
        <f>F934*VLOOKUP(D934,Products!$B$2:$E$13,3,FALSE)</f>
        <v/>
      </c>
    </row>
    <row r="935">
      <c r="A935" s="2" t="n">
        <v>46225</v>
      </c>
      <c r="B935" s="3" t="inlineStr">
        <is>
          <t>INV-2607-0934</t>
        </is>
      </c>
      <c r="C935" s="3" t="inlineStr">
        <is>
          <t>Sinha Super Mart</t>
        </is>
      </c>
      <c r="D935" s="3" t="inlineStr">
        <is>
          <t>Paneer 200g</t>
        </is>
      </c>
      <c r="E935" s="3" t="inlineStr">
        <is>
          <t>Dairy</t>
        </is>
      </c>
      <c r="F935" s="4" t="n">
        <v>46</v>
      </c>
      <c r="G935" s="5" t="n">
        <v>93.39</v>
      </c>
      <c r="H935" s="5">
        <f>F935*G935</f>
        <v/>
      </c>
      <c r="I935" s="5">
        <f>F935*VLOOKUP(D935,Products!$B$2:$E$13,3,FALSE)</f>
        <v/>
      </c>
    </row>
    <row r="936">
      <c r="A936" s="2" t="n">
        <v>46225</v>
      </c>
      <c r="B936" s="3" t="inlineStr">
        <is>
          <t>INV-2607-0935</t>
        </is>
      </c>
      <c r="C936" s="3" t="inlineStr">
        <is>
          <t>Mehta Retail</t>
        </is>
      </c>
      <c r="D936" s="3" t="inlineStr">
        <is>
          <t>Instant Noodles 280g</t>
        </is>
      </c>
      <c r="E936" s="3" t="inlineStr">
        <is>
          <t>Snacks</t>
        </is>
      </c>
      <c r="F936" s="4" t="n">
        <v>44</v>
      </c>
      <c r="G936" s="5" t="n">
        <v>56.16</v>
      </c>
      <c r="H936" s="5">
        <f>F936*G936</f>
        <v/>
      </c>
      <c r="I936" s="5">
        <f>F936*VLOOKUP(D936,Products!$B$2:$E$13,3,FALSE)</f>
        <v/>
      </c>
    </row>
    <row r="937">
      <c r="A937" s="2" t="n">
        <v>46225</v>
      </c>
      <c r="B937" s="3" t="inlineStr">
        <is>
          <t>INV-2607-0936</t>
        </is>
      </c>
      <c r="C937" s="3" t="inlineStr">
        <is>
          <t>Rai Daily Mart</t>
        </is>
      </c>
      <c r="D937" s="3" t="inlineStr">
        <is>
          <t>Potato Chips 150g</t>
        </is>
      </c>
      <c r="E937" s="3" t="inlineStr">
        <is>
          <t>Snacks</t>
        </is>
      </c>
      <c r="F937" s="4" t="n">
        <v>30</v>
      </c>
      <c r="G937" s="5" t="n">
        <v>50.53</v>
      </c>
      <c r="H937" s="5">
        <f>F937*G937</f>
        <v/>
      </c>
      <c r="I937" s="5">
        <f>F937*VLOOKUP(D937,Products!$B$2:$E$13,3,FALSE)</f>
        <v/>
      </c>
    </row>
    <row r="938">
      <c r="A938" s="2" t="n">
        <v>46226</v>
      </c>
      <c r="B938" s="3" t="inlineStr">
        <is>
          <t>INV-2607-0937</t>
        </is>
      </c>
      <c r="C938" s="3" t="inlineStr">
        <is>
          <t>Mishra Stores</t>
        </is>
      </c>
      <c r="D938" s="3" t="inlineStr">
        <is>
          <t>Instant Noodles 280g</t>
        </is>
      </c>
      <c r="E938" s="3" t="inlineStr">
        <is>
          <t>Snacks</t>
        </is>
      </c>
      <c r="F938" s="4" t="n">
        <v>56</v>
      </c>
      <c r="G938" s="5" t="n">
        <v>54.96</v>
      </c>
      <c r="H938" s="5">
        <f>F938*G938</f>
        <v/>
      </c>
      <c r="I938" s="5">
        <f>F938*VLOOKUP(D938,Products!$B$2:$E$13,3,FALSE)</f>
        <v/>
      </c>
    </row>
    <row r="939">
      <c r="A939" s="2" t="n">
        <v>46226</v>
      </c>
      <c r="B939" s="3" t="inlineStr">
        <is>
          <t>INV-2607-0938</t>
        </is>
      </c>
      <c r="C939" s="3" t="inlineStr">
        <is>
          <t>Khan Mart</t>
        </is>
      </c>
      <c r="D939" s="3" t="inlineStr">
        <is>
          <t>Dish Soap 500ml</t>
        </is>
      </c>
      <c r="E939" s="3" t="inlineStr">
        <is>
          <t>Household</t>
        </is>
      </c>
      <c r="F939" s="4" t="n">
        <v>15</v>
      </c>
      <c r="G939" s="5" t="n">
        <v>99.33</v>
      </c>
      <c r="H939" s="5">
        <f>F939*G939</f>
        <v/>
      </c>
      <c r="I939" s="5">
        <f>F939*VLOOKUP(D939,Products!$B$2:$E$13,3,FALSE)</f>
        <v/>
      </c>
    </row>
    <row r="940">
      <c r="A940" s="2" t="n">
        <v>46226</v>
      </c>
      <c r="B940" s="3" t="inlineStr">
        <is>
          <t>INV-2607-0939</t>
        </is>
      </c>
      <c r="C940" s="3" t="inlineStr">
        <is>
          <t>Mehta Retail</t>
        </is>
      </c>
      <c r="D940" s="3" t="inlineStr">
        <is>
          <t>Mango Juice 1L</t>
        </is>
      </c>
      <c r="E940" s="3" t="inlineStr">
        <is>
          <t>Beverages</t>
        </is>
      </c>
      <c r="F940" s="4" t="n">
        <v>8</v>
      </c>
      <c r="G940" s="5" t="n">
        <v>117.44</v>
      </c>
      <c r="H940" s="5">
        <f>F940*G940</f>
        <v/>
      </c>
      <c r="I940" s="5">
        <f>F940*VLOOKUP(D940,Products!$B$2:$E$13,3,FALSE)</f>
        <v/>
      </c>
    </row>
    <row r="941">
      <c r="A941" s="2" t="n">
        <v>46226</v>
      </c>
      <c r="B941" s="3" t="inlineStr">
        <is>
          <t>INV-2607-0940</t>
        </is>
      </c>
      <c r="C941" s="3" t="inlineStr">
        <is>
          <t>Patel Traders</t>
        </is>
      </c>
      <c r="D941" s="3" t="inlineStr">
        <is>
          <t>Detergent 1kg</t>
        </is>
      </c>
      <c r="E941" s="3" t="inlineStr">
        <is>
          <t>Household</t>
        </is>
      </c>
      <c r="F941" s="4" t="n">
        <v>20</v>
      </c>
      <c r="G941" s="5" t="n">
        <v>130.37</v>
      </c>
      <c r="H941" s="5">
        <f>F941*G941</f>
        <v/>
      </c>
      <c r="I941" s="5">
        <f>F941*VLOOKUP(D941,Products!$B$2:$E$13,3,FALSE)</f>
        <v/>
      </c>
    </row>
    <row r="942">
      <c r="A942" s="2" t="n">
        <v>46226</v>
      </c>
      <c r="B942" s="3" t="inlineStr">
        <is>
          <t>INV-2607-0941</t>
        </is>
      </c>
      <c r="C942" s="3" t="inlineStr">
        <is>
          <t>Sahu Traders</t>
        </is>
      </c>
      <c r="D942" s="3" t="inlineStr">
        <is>
          <t>Paneer 200g</t>
        </is>
      </c>
      <c r="E942" s="3" t="inlineStr">
        <is>
          <t>Dairy</t>
        </is>
      </c>
      <c r="F942" s="4" t="n">
        <v>61</v>
      </c>
      <c r="G942" s="5" t="n">
        <v>95.14</v>
      </c>
      <c r="H942" s="5">
        <f>F942*G942</f>
        <v/>
      </c>
      <c r="I942" s="5">
        <f>F942*VLOOKUP(D942,Products!$B$2:$E$13,3,FALSE)</f>
        <v/>
      </c>
    </row>
    <row r="943">
      <c r="A943" s="2" t="n">
        <v>46226</v>
      </c>
      <c r="B943" s="3" t="inlineStr">
        <is>
          <t>INV-2607-0942</t>
        </is>
      </c>
      <c r="C943" s="3" t="inlineStr">
        <is>
          <t>Singh Super Bazaar</t>
        </is>
      </c>
      <c r="D943" s="3" t="inlineStr">
        <is>
          <t>Toned Milk 1L</t>
        </is>
      </c>
      <c r="E943" s="3" t="inlineStr">
        <is>
          <t>Dairy</t>
        </is>
      </c>
      <c r="F943" s="4" t="n">
        <v>15</v>
      </c>
      <c r="G943" s="5" t="n">
        <v>66.81</v>
      </c>
      <c r="H943" s="5">
        <f>F943*G943</f>
        <v/>
      </c>
      <c r="I943" s="5">
        <f>F943*VLOOKUP(D943,Products!$B$2:$E$13,3,FALSE)</f>
        <v/>
      </c>
    </row>
    <row r="944">
      <c r="A944" s="2" t="n">
        <v>46227</v>
      </c>
      <c r="B944" s="3" t="inlineStr">
        <is>
          <t>INV-2607-0943</t>
        </is>
      </c>
      <c r="C944" s="3" t="inlineStr">
        <is>
          <t>Das &amp; Sons</t>
        </is>
      </c>
      <c r="D944" s="3" t="inlineStr">
        <is>
          <t>Curd Cup 400g</t>
        </is>
      </c>
      <c r="E944" s="3" t="inlineStr">
        <is>
          <t>Dairy</t>
        </is>
      </c>
      <c r="F944" s="4" t="n">
        <v>24</v>
      </c>
      <c r="G944" s="5" t="n">
        <v>44.28</v>
      </c>
      <c r="H944" s="5">
        <f>F944*G944</f>
        <v/>
      </c>
      <c r="I944" s="5">
        <f>F944*VLOOKUP(D944,Products!$B$2:$E$13,3,FALSE)</f>
        <v/>
      </c>
    </row>
    <row r="945">
      <c r="A945" s="2" t="n">
        <v>46227</v>
      </c>
      <c r="B945" s="3" t="inlineStr">
        <is>
          <t>INV-2607-0944</t>
        </is>
      </c>
      <c r="C945" s="3" t="inlineStr">
        <is>
          <t>Ali General Store</t>
        </is>
      </c>
      <c r="D945" s="3" t="inlineStr">
        <is>
          <t>Dish Soap 500ml</t>
        </is>
      </c>
      <c r="E945" s="3" t="inlineStr">
        <is>
          <t>Household</t>
        </is>
      </c>
      <c r="F945" s="4" t="n">
        <v>6</v>
      </c>
      <c r="G945" s="5" t="n">
        <v>96.09</v>
      </c>
      <c r="H945" s="5">
        <f>F945*G945</f>
        <v/>
      </c>
      <c r="I945" s="5">
        <f>F945*VLOOKUP(D945,Products!$B$2:$E$13,3,FALSE)</f>
        <v/>
      </c>
    </row>
    <row r="946">
      <c r="A946" s="2" t="n">
        <v>46227</v>
      </c>
      <c r="B946" s="3" t="inlineStr">
        <is>
          <t>INV-2607-0945</t>
        </is>
      </c>
      <c r="C946" s="3" t="inlineStr">
        <is>
          <t>Dubey Kirana</t>
        </is>
      </c>
      <c r="D946" s="3" t="inlineStr">
        <is>
          <t>Floor Cleaner 1L</t>
        </is>
      </c>
      <c r="E946" s="3" t="inlineStr">
        <is>
          <t>Household</t>
        </is>
      </c>
      <c r="F946" s="4" t="n">
        <v>40</v>
      </c>
      <c r="G946" s="5" t="n">
        <v>111.73</v>
      </c>
      <c r="H946" s="5">
        <f>F946*G946</f>
        <v/>
      </c>
      <c r="I946" s="5">
        <f>F946*VLOOKUP(D946,Products!$B$2:$E$13,3,FALSE)</f>
        <v/>
      </c>
    </row>
    <row r="947">
      <c r="A947" s="2" t="n">
        <v>46227</v>
      </c>
      <c r="B947" s="3" t="inlineStr">
        <is>
          <t>INV-2607-0946</t>
        </is>
      </c>
      <c r="C947" s="3" t="inlineStr">
        <is>
          <t>Verma Retail</t>
        </is>
      </c>
      <c r="D947" s="3" t="inlineStr">
        <is>
          <t>Cola 750ml</t>
        </is>
      </c>
      <c r="E947" s="3" t="inlineStr">
        <is>
          <t>Beverages</t>
        </is>
      </c>
      <c r="F947" s="4" t="n">
        <v>18</v>
      </c>
      <c r="G947" s="5" t="n">
        <v>45.93</v>
      </c>
      <c r="H947" s="5">
        <f>F947*G947</f>
        <v/>
      </c>
      <c r="I947" s="5">
        <f>F947*VLOOKUP(D947,Products!$B$2:$E$13,3,FALSE)</f>
        <v/>
      </c>
    </row>
    <row r="948">
      <c r="A948" s="2" t="n">
        <v>46227</v>
      </c>
      <c r="B948" s="3" t="inlineStr">
        <is>
          <t>INV-2607-0947</t>
        </is>
      </c>
      <c r="C948" s="3" t="inlineStr">
        <is>
          <t>Jha Provisions</t>
        </is>
      </c>
      <c r="D948" s="3" t="inlineStr">
        <is>
          <t>Instant Noodles 280g</t>
        </is>
      </c>
      <c r="E948" s="3" t="inlineStr">
        <is>
          <t>Snacks</t>
        </is>
      </c>
      <c r="F948" s="4" t="n">
        <v>32</v>
      </c>
      <c r="G948" s="5" t="n">
        <v>55.51</v>
      </c>
      <c r="H948" s="5">
        <f>F948*G948</f>
        <v/>
      </c>
      <c r="I948" s="5">
        <f>F948*VLOOKUP(D948,Products!$B$2:$E$13,3,FALSE)</f>
        <v/>
      </c>
    </row>
    <row r="949">
      <c r="A949" s="2" t="n">
        <v>46228</v>
      </c>
      <c r="B949" s="3" t="inlineStr">
        <is>
          <t>INV-2607-0948</t>
        </is>
      </c>
      <c r="C949" s="3" t="inlineStr">
        <is>
          <t>Sinha Super Mart</t>
        </is>
      </c>
      <c r="D949" s="3" t="inlineStr">
        <is>
          <t>Paneer 200g</t>
        </is>
      </c>
      <c r="E949" s="3" t="inlineStr">
        <is>
          <t>Dairy</t>
        </is>
      </c>
      <c r="F949" s="4" t="n">
        <v>66</v>
      </c>
      <c r="G949" s="5" t="n">
        <v>99.64</v>
      </c>
      <c r="H949" s="5">
        <f>F949*G949</f>
        <v/>
      </c>
      <c r="I949" s="5">
        <f>F949*VLOOKUP(D949,Products!$B$2:$E$13,3,FALSE)</f>
        <v/>
      </c>
    </row>
    <row r="950">
      <c r="A950" s="2" t="n">
        <v>46228</v>
      </c>
      <c r="B950" s="3" t="inlineStr">
        <is>
          <t>INV-2607-0949</t>
        </is>
      </c>
      <c r="C950" s="3" t="inlineStr">
        <is>
          <t>Tiwari General</t>
        </is>
      </c>
      <c r="D950" s="3" t="inlineStr">
        <is>
          <t>Biscuits 400g</t>
        </is>
      </c>
      <c r="E950" s="3" t="inlineStr">
        <is>
          <t>Snacks</t>
        </is>
      </c>
      <c r="F950" s="4" t="n">
        <v>37</v>
      </c>
      <c r="G950" s="5" t="n">
        <v>39.71</v>
      </c>
      <c r="H950" s="5">
        <f>F950*G950</f>
        <v/>
      </c>
      <c r="I950" s="5">
        <f>F950*VLOOKUP(D950,Products!$B$2:$E$13,3,FALSE)</f>
        <v/>
      </c>
    </row>
    <row r="951">
      <c r="A951" s="2" t="n">
        <v>46228</v>
      </c>
      <c r="B951" s="3" t="inlineStr">
        <is>
          <t>INV-2607-0950</t>
        </is>
      </c>
      <c r="C951" s="3" t="inlineStr">
        <is>
          <t>Sharma Provision</t>
        </is>
      </c>
      <c r="D951" s="3" t="inlineStr">
        <is>
          <t>Cola 750ml</t>
        </is>
      </c>
      <c r="E951" s="3" t="inlineStr">
        <is>
          <t>Beverages</t>
        </is>
      </c>
      <c r="F951" s="4" t="n">
        <v>15</v>
      </c>
      <c r="G951" s="5" t="n">
        <v>46.51</v>
      </c>
      <c r="H951" s="5">
        <f>F951*G951</f>
        <v/>
      </c>
      <c r="I951" s="5">
        <f>F951*VLOOKUP(D951,Products!$B$2:$E$13,3,FALSE)</f>
        <v/>
      </c>
    </row>
    <row r="952">
      <c r="A952" s="2" t="n">
        <v>46228</v>
      </c>
      <c r="B952" s="3" t="inlineStr">
        <is>
          <t>INV-2607-0951</t>
        </is>
      </c>
      <c r="C952" s="3" t="inlineStr">
        <is>
          <t>Verma Retail</t>
        </is>
      </c>
      <c r="D952" s="3" t="inlineStr">
        <is>
          <t>Potato Chips 150g</t>
        </is>
      </c>
      <c r="E952" s="3" t="inlineStr">
        <is>
          <t>Snacks</t>
        </is>
      </c>
      <c r="F952" s="4" t="n">
        <v>31</v>
      </c>
      <c r="G952" s="5" t="n">
        <v>49.71</v>
      </c>
      <c r="H952" s="5">
        <f>F952*G952</f>
        <v/>
      </c>
      <c r="I952" s="5">
        <f>F952*VLOOKUP(D952,Products!$B$2:$E$13,3,FALSE)</f>
        <v/>
      </c>
    </row>
    <row r="953">
      <c r="A953" s="2" t="n">
        <v>46228</v>
      </c>
      <c r="B953" s="3" t="inlineStr">
        <is>
          <t>INV-2607-0952</t>
        </is>
      </c>
      <c r="C953" s="3" t="inlineStr">
        <is>
          <t>Yadav Daily Needs</t>
        </is>
      </c>
      <c r="D953" s="3" t="inlineStr">
        <is>
          <t>Curd Cup 400g</t>
        </is>
      </c>
      <c r="E953" s="3" t="inlineStr">
        <is>
          <t>Dairy</t>
        </is>
      </c>
      <c r="F953" s="4" t="n">
        <v>7</v>
      </c>
      <c r="G953" s="5" t="n">
        <v>46.94</v>
      </c>
      <c r="H953" s="5">
        <f>F953*G953</f>
        <v/>
      </c>
      <c r="I953" s="5">
        <f>F953*VLOOKUP(D953,Products!$B$2:$E$13,3,FALSE)</f>
        <v/>
      </c>
    </row>
    <row r="954">
      <c r="A954" s="2" t="n">
        <v>46228</v>
      </c>
      <c r="B954" s="3" t="inlineStr">
        <is>
          <t>INV-2607-0953</t>
        </is>
      </c>
      <c r="C954" s="3" t="inlineStr">
        <is>
          <t>Dubey Kirana</t>
        </is>
      </c>
      <c r="D954" s="3" t="inlineStr">
        <is>
          <t>Biscuits 400g</t>
        </is>
      </c>
      <c r="E954" s="3" t="inlineStr">
        <is>
          <t>Snacks</t>
        </is>
      </c>
      <c r="F954" s="4" t="n">
        <v>64</v>
      </c>
      <c r="G954" s="5" t="n">
        <v>39.1</v>
      </c>
      <c r="H954" s="5">
        <f>F954*G954</f>
        <v/>
      </c>
      <c r="I954" s="5">
        <f>F954*VLOOKUP(D954,Products!$B$2:$E$13,3,FALSE)</f>
        <v/>
      </c>
    </row>
    <row r="955">
      <c r="A955" s="2" t="n">
        <v>46228</v>
      </c>
      <c r="B955" s="3" t="inlineStr">
        <is>
          <t>INV-2607-0954</t>
        </is>
      </c>
      <c r="C955" s="3" t="inlineStr">
        <is>
          <t>Patel Traders</t>
        </is>
      </c>
      <c r="D955" s="3" t="inlineStr">
        <is>
          <t>Toned Milk 1L</t>
        </is>
      </c>
      <c r="E955" s="3" t="inlineStr">
        <is>
          <t>Dairy</t>
        </is>
      </c>
      <c r="F955" s="4" t="n">
        <v>53</v>
      </c>
      <c r="G955" s="5" t="n">
        <v>67.78</v>
      </c>
      <c r="H955" s="5">
        <f>F955*G955</f>
        <v/>
      </c>
      <c r="I955" s="5">
        <f>F955*VLOOKUP(D955,Products!$B$2:$E$13,3,FALSE)</f>
        <v/>
      </c>
    </row>
    <row r="956">
      <c r="A956" s="2" t="n">
        <v>46228</v>
      </c>
      <c r="B956" s="3" t="inlineStr">
        <is>
          <t>INV-2607-0955</t>
        </is>
      </c>
      <c r="C956" s="3" t="inlineStr">
        <is>
          <t>Sharma Provision</t>
        </is>
      </c>
      <c r="D956" s="3" t="inlineStr">
        <is>
          <t>Detergent 1kg</t>
        </is>
      </c>
      <c r="E956" s="3" t="inlineStr">
        <is>
          <t>Household</t>
        </is>
      </c>
      <c r="F956" s="4" t="n">
        <v>94</v>
      </c>
      <c r="G956" s="5" t="n">
        <v>128.11</v>
      </c>
      <c r="H956" s="5">
        <f>F956*G956</f>
        <v/>
      </c>
      <c r="I956" s="5">
        <f>F956*VLOOKUP(D956,Products!$B$2:$E$13,3,FALSE)</f>
        <v/>
      </c>
    </row>
    <row r="957">
      <c r="A957" s="2" t="n">
        <v>46228</v>
      </c>
      <c r="B957" s="3" t="inlineStr">
        <is>
          <t>INV-2607-0956</t>
        </is>
      </c>
      <c r="C957" s="3" t="inlineStr">
        <is>
          <t>Prasad Traders</t>
        </is>
      </c>
      <c r="D957" s="3" t="inlineStr">
        <is>
          <t>Curd Cup 400g</t>
        </is>
      </c>
      <c r="E957" s="3" t="inlineStr">
        <is>
          <t>Dairy</t>
        </is>
      </c>
      <c r="F957" s="4" t="n">
        <v>42</v>
      </c>
      <c r="G957" s="5" t="n">
        <v>44.76</v>
      </c>
      <c r="H957" s="5">
        <f>F957*G957</f>
        <v/>
      </c>
      <c r="I957" s="5">
        <f>F957*VLOOKUP(D957,Products!$B$2:$E$13,3,FALSE)</f>
        <v/>
      </c>
    </row>
    <row r="958">
      <c r="A958" s="2" t="n">
        <v>46229</v>
      </c>
      <c r="B958" s="3" t="inlineStr">
        <is>
          <t>INV-2607-0957</t>
        </is>
      </c>
      <c r="C958" s="3" t="inlineStr">
        <is>
          <t>Azad Stores</t>
        </is>
      </c>
      <c r="D958" s="3" t="inlineStr">
        <is>
          <t>Biscuits 400g</t>
        </is>
      </c>
      <c r="E958" s="3" t="inlineStr">
        <is>
          <t>Snacks</t>
        </is>
      </c>
      <c r="F958" s="4" t="n">
        <v>64</v>
      </c>
      <c r="G958" s="5" t="n">
        <v>40.45</v>
      </c>
      <c r="H958" s="5">
        <f>F958*G958</f>
        <v/>
      </c>
      <c r="I958" s="5">
        <f>F958*VLOOKUP(D958,Products!$B$2:$E$13,3,FALSE)</f>
        <v/>
      </c>
    </row>
    <row r="959">
      <c r="A959" s="2" t="n">
        <v>46229</v>
      </c>
      <c r="B959" s="3" t="inlineStr">
        <is>
          <t>INV-2607-0958</t>
        </is>
      </c>
      <c r="C959" s="3" t="inlineStr">
        <is>
          <t>Azad Stores</t>
        </is>
      </c>
      <c r="D959" s="3" t="inlineStr">
        <is>
          <t>Detergent 1kg</t>
        </is>
      </c>
      <c r="E959" s="3" t="inlineStr">
        <is>
          <t>Household</t>
        </is>
      </c>
      <c r="F959" s="4" t="n">
        <v>59</v>
      </c>
      <c r="G959" s="5" t="n">
        <v>133.9</v>
      </c>
      <c r="H959" s="5">
        <f>F959*G959</f>
        <v/>
      </c>
      <c r="I959" s="5">
        <f>F959*VLOOKUP(D959,Products!$B$2:$E$13,3,FALSE)</f>
        <v/>
      </c>
    </row>
    <row r="960">
      <c r="A960" s="2" t="n">
        <v>46229</v>
      </c>
      <c r="B960" s="3" t="inlineStr">
        <is>
          <t>INV-2607-0959</t>
        </is>
      </c>
      <c r="C960" s="3" t="inlineStr">
        <is>
          <t>Patel Traders</t>
        </is>
      </c>
      <c r="D960" s="3" t="inlineStr">
        <is>
          <t>Paneer 200g</t>
        </is>
      </c>
      <c r="E960" s="3" t="inlineStr">
        <is>
          <t>Dairy</t>
        </is>
      </c>
      <c r="F960" s="4" t="n">
        <v>63</v>
      </c>
      <c r="G960" s="5" t="n">
        <v>96.09999999999999</v>
      </c>
      <c r="H960" s="5">
        <f>F960*G960</f>
        <v/>
      </c>
      <c r="I960" s="5">
        <f>F960*VLOOKUP(D960,Products!$B$2:$E$13,3,FALSE)</f>
        <v/>
      </c>
    </row>
    <row r="961">
      <c r="A961" s="2" t="n">
        <v>46229</v>
      </c>
      <c r="B961" s="3" t="inlineStr">
        <is>
          <t>INV-2607-0960</t>
        </is>
      </c>
      <c r="C961" s="3" t="inlineStr">
        <is>
          <t>Yadav Daily Needs</t>
        </is>
      </c>
      <c r="D961" s="3" t="inlineStr">
        <is>
          <t>Instant Noodles 280g</t>
        </is>
      </c>
      <c r="E961" s="3" t="inlineStr">
        <is>
          <t>Snacks</t>
        </is>
      </c>
      <c r="F961" s="4" t="n">
        <v>30</v>
      </c>
      <c r="G961" s="5" t="n">
        <v>57.02</v>
      </c>
      <c r="H961" s="5">
        <f>F961*G961</f>
        <v/>
      </c>
      <c r="I961" s="5">
        <f>F961*VLOOKUP(D961,Products!$B$2:$E$13,3,FALSE)</f>
        <v/>
      </c>
    </row>
    <row r="962">
      <c r="A962" s="2" t="n">
        <v>46229</v>
      </c>
      <c r="B962" s="3" t="inlineStr">
        <is>
          <t>INV-2607-0961</t>
        </is>
      </c>
      <c r="C962" s="3" t="inlineStr">
        <is>
          <t>Gupta General Store</t>
        </is>
      </c>
      <c r="D962" s="3" t="inlineStr">
        <is>
          <t>Toned Milk 1L</t>
        </is>
      </c>
      <c r="E962" s="3" t="inlineStr">
        <is>
          <t>Dairy</t>
        </is>
      </c>
      <c r="F962" s="4" t="n">
        <v>4</v>
      </c>
      <c r="G962" s="5" t="n">
        <v>68.66</v>
      </c>
      <c r="H962" s="5">
        <f>F962*G962</f>
        <v/>
      </c>
      <c r="I962" s="5">
        <f>F962*VLOOKUP(D962,Products!$B$2:$E$13,3,FALSE)</f>
        <v/>
      </c>
    </row>
    <row r="963">
      <c r="A963" s="2" t="n">
        <v>46229</v>
      </c>
      <c r="B963" s="3" t="inlineStr">
        <is>
          <t>INV-2607-0962</t>
        </is>
      </c>
      <c r="C963" s="3" t="inlineStr">
        <is>
          <t>Sharma Provision</t>
        </is>
      </c>
      <c r="D963" s="3" t="inlineStr">
        <is>
          <t>Packaged Water 1L</t>
        </is>
      </c>
      <c r="E963" s="3" t="inlineStr">
        <is>
          <t>Beverages</t>
        </is>
      </c>
      <c r="F963" s="4" t="n">
        <v>27</v>
      </c>
      <c r="G963" s="5" t="n">
        <v>20.15</v>
      </c>
      <c r="H963" s="5">
        <f>F963*G963</f>
        <v/>
      </c>
      <c r="I963" s="5">
        <f>F963*VLOOKUP(D963,Products!$B$2:$E$13,3,FALSE)</f>
        <v/>
      </c>
    </row>
    <row r="964">
      <c r="A964" s="2" t="n">
        <v>46229</v>
      </c>
      <c r="B964" s="3" t="inlineStr">
        <is>
          <t>INV-2607-0963</t>
        </is>
      </c>
      <c r="C964" s="3" t="inlineStr">
        <is>
          <t>Rai Daily Mart</t>
        </is>
      </c>
      <c r="D964" s="3" t="inlineStr">
        <is>
          <t>Detergent 1kg</t>
        </is>
      </c>
      <c r="E964" s="3" t="inlineStr">
        <is>
          <t>Household</t>
        </is>
      </c>
      <c r="F964" s="4" t="n">
        <v>7</v>
      </c>
      <c r="G964" s="5" t="n">
        <v>129.8</v>
      </c>
      <c r="H964" s="5">
        <f>F964*G964</f>
        <v/>
      </c>
      <c r="I964" s="5">
        <f>F964*VLOOKUP(D964,Products!$B$2:$E$13,3,FALSE)</f>
        <v/>
      </c>
    </row>
    <row r="965">
      <c r="A965" s="2" t="n">
        <v>46229</v>
      </c>
      <c r="B965" s="3" t="inlineStr">
        <is>
          <t>INV-2607-0964</t>
        </is>
      </c>
      <c r="C965" s="3" t="inlineStr">
        <is>
          <t>Patel Traders</t>
        </is>
      </c>
      <c r="D965" s="3" t="inlineStr">
        <is>
          <t>Mango Juice 1L</t>
        </is>
      </c>
      <c r="E965" s="3" t="inlineStr">
        <is>
          <t>Beverages</t>
        </is>
      </c>
      <c r="F965" s="4" t="n">
        <v>51</v>
      </c>
      <c r="G965" s="5" t="n">
        <v>120.93</v>
      </c>
      <c r="H965" s="5">
        <f>F965*G965</f>
        <v/>
      </c>
      <c r="I965" s="5">
        <f>F965*VLOOKUP(D965,Products!$B$2:$E$13,3,FALSE)</f>
        <v/>
      </c>
    </row>
    <row r="966">
      <c r="A966" s="2" t="n">
        <v>46229</v>
      </c>
      <c r="B966" s="3" t="inlineStr">
        <is>
          <t>INV-2607-0965</t>
        </is>
      </c>
      <c r="C966" s="3" t="inlineStr">
        <is>
          <t>Gupta General Store</t>
        </is>
      </c>
      <c r="D966" s="3" t="inlineStr">
        <is>
          <t>Mango Juice 1L</t>
        </is>
      </c>
      <c r="E966" s="3" t="inlineStr">
        <is>
          <t>Beverages</t>
        </is>
      </c>
      <c r="F966" s="4" t="n">
        <v>12</v>
      </c>
      <c r="G966" s="5" t="n">
        <v>124.22</v>
      </c>
      <c r="H966" s="5">
        <f>F966*G966</f>
        <v/>
      </c>
      <c r="I966" s="5">
        <f>F966*VLOOKUP(D966,Products!$B$2:$E$13,3,FALSE)</f>
        <v/>
      </c>
    </row>
    <row r="967">
      <c r="A967" s="2" t="n">
        <v>46230</v>
      </c>
      <c r="B967" s="3" t="inlineStr">
        <is>
          <t>INV-2607-0966</t>
        </is>
      </c>
      <c r="C967" s="3" t="inlineStr">
        <is>
          <t>Khan Mart</t>
        </is>
      </c>
      <c r="D967" s="3" t="inlineStr">
        <is>
          <t>Packaged Water 1L</t>
        </is>
      </c>
      <c r="E967" s="3" t="inlineStr">
        <is>
          <t>Beverages</t>
        </is>
      </c>
      <c r="F967" s="4" t="n">
        <v>14</v>
      </c>
      <c r="G967" s="5" t="n">
        <v>20.39</v>
      </c>
      <c r="H967" s="5">
        <f>F967*G967</f>
        <v/>
      </c>
      <c r="I967" s="5">
        <f>F967*VLOOKUP(D967,Products!$B$2:$E$13,3,FALSE)</f>
        <v/>
      </c>
    </row>
    <row r="968">
      <c r="A968" s="2" t="n">
        <v>46230</v>
      </c>
      <c r="B968" s="3" t="inlineStr">
        <is>
          <t>INV-2607-0967</t>
        </is>
      </c>
      <c r="C968" s="3" t="inlineStr">
        <is>
          <t>Khan Mart</t>
        </is>
      </c>
      <c r="D968" s="3" t="inlineStr">
        <is>
          <t>Packaged Water 1L</t>
        </is>
      </c>
      <c r="E968" s="3" t="inlineStr">
        <is>
          <t>Beverages</t>
        </is>
      </c>
      <c r="F968" s="4" t="n">
        <v>9</v>
      </c>
      <c r="G968" s="5" t="n">
        <v>20.89</v>
      </c>
      <c r="H968" s="5">
        <f>F968*G968</f>
        <v/>
      </c>
      <c r="I968" s="5">
        <f>F968*VLOOKUP(D968,Products!$B$2:$E$13,3,FALSE)</f>
        <v/>
      </c>
    </row>
    <row r="969">
      <c r="A969" s="2" t="n">
        <v>46230</v>
      </c>
      <c r="B969" s="3" t="inlineStr">
        <is>
          <t>INV-2607-0968</t>
        </is>
      </c>
      <c r="C969" s="3" t="inlineStr">
        <is>
          <t>Raza Brothers</t>
        </is>
      </c>
      <c r="D969" s="3" t="inlineStr">
        <is>
          <t>Cola 750ml</t>
        </is>
      </c>
      <c r="E969" s="3" t="inlineStr">
        <is>
          <t>Beverages</t>
        </is>
      </c>
      <c r="F969" s="4" t="n">
        <v>8</v>
      </c>
      <c r="G969" s="5" t="n">
        <v>46.92</v>
      </c>
      <c r="H969" s="5">
        <f>F969*G969</f>
        <v/>
      </c>
      <c r="I969" s="5">
        <f>F969*VLOOKUP(D969,Products!$B$2:$E$13,3,FALSE)</f>
        <v/>
      </c>
    </row>
    <row r="970">
      <c r="A970" s="2" t="n">
        <v>46230</v>
      </c>
      <c r="B970" s="3" t="inlineStr">
        <is>
          <t>INV-2607-0969</t>
        </is>
      </c>
      <c r="C970" s="3" t="inlineStr">
        <is>
          <t>Sinha Super Mart</t>
        </is>
      </c>
      <c r="D970" s="3" t="inlineStr">
        <is>
          <t>Detergent 1kg</t>
        </is>
      </c>
      <c r="E970" s="3" t="inlineStr">
        <is>
          <t>Household</t>
        </is>
      </c>
      <c r="F970" s="4" t="n">
        <v>34</v>
      </c>
      <c r="G970" s="5" t="n">
        <v>128.14</v>
      </c>
      <c r="H970" s="5">
        <f>F970*G970</f>
        <v/>
      </c>
      <c r="I970" s="5">
        <f>F970*VLOOKUP(D970,Products!$B$2:$E$13,3,FALSE)</f>
        <v/>
      </c>
    </row>
    <row r="971">
      <c r="A971" s="2" t="n">
        <v>46230</v>
      </c>
      <c r="B971" s="3" t="inlineStr">
        <is>
          <t>INV-2607-0970</t>
        </is>
      </c>
      <c r="C971" s="3" t="inlineStr">
        <is>
          <t>Khan Mart</t>
        </is>
      </c>
      <c r="D971" s="3" t="inlineStr">
        <is>
          <t>Dish Soap 500ml</t>
        </is>
      </c>
      <c r="E971" s="3" t="inlineStr">
        <is>
          <t>Household</t>
        </is>
      </c>
      <c r="F971" s="4" t="n">
        <v>15</v>
      </c>
      <c r="G971" s="5" t="n">
        <v>97.78</v>
      </c>
      <c r="H971" s="5">
        <f>F971*G971</f>
        <v/>
      </c>
      <c r="I971" s="5">
        <f>F971*VLOOKUP(D971,Products!$B$2:$E$13,3,FALSE)</f>
        <v/>
      </c>
    </row>
    <row r="972">
      <c r="A972" s="2" t="n">
        <v>46230</v>
      </c>
      <c r="B972" s="3" t="inlineStr">
        <is>
          <t>INV-2607-0971</t>
        </is>
      </c>
      <c r="C972" s="3" t="inlineStr">
        <is>
          <t>Yadav Daily Needs</t>
        </is>
      </c>
      <c r="D972" s="3" t="inlineStr">
        <is>
          <t>Toned Milk 1L</t>
        </is>
      </c>
      <c r="E972" s="3" t="inlineStr">
        <is>
          <t>Dairy</t>
        </is>
      </c>
      <c r="F972" s="4" t="n">
        <v>63</v>
      </c>
      <c r="G972" s="5" t="n">
        <v>68.98999999999999</v>
      </c>
      <c r="H972" s="5">
        <f>F972*G972</f>
        <v/>
      </c>
      <c r="I972" s="5">
        <f>F972*VLOOKUP(D972,Products!$B$2:$E$13,3,FALSE)</f>
        <v/>
      </c>
    </row>
    <row r="973">
      <c r="A973" s="2" t="n">
        <v>46230</v>
      </c>
      <c r="B973" s="3" t="inlineStr">
        <is>
          <t>INV-2607-0972</t>
        </is>
      </c>
      <c r="C973" s="3" t="inlineStr">
        <is>
          <t>Jha Provisions</t>
        </is>
      </c>
      <c r="D973" s="3" t="inlineStr">
        <is>
          <t>Toned Milk 1L</t>
        </is>
      </c>
      <c r="E973" s="3" t="inlineStr">
        <is>
          <t>Dairy</t>
        </is>
      </c>
      <c r="F973" s="4" t="n">
        <v>28</v>
      </c>
      <c r="G973" s="5" t="n">
        <v>68.59</v>
      </c>
      <c r="H973" s="5">
        <f>F973*G973</f>
        <v/>
      </c>
      <c r="I973" s="5">
        <f>F973*VLOOKUP(D973,Products!$B$2:$E$13,3,FALSE)</f>
        <v/>
      </c>
    </row>
    <row r="974">
      <c r="A974" s="2" t="n">
        <v>46230</v>
      </c>
      <c r="B974" s="3" t="inlineStr">
        <is>
          <t>INV-2607-0973</t>
        </is>
      </c>
      <c r="C974" s="3" t="inlineStr">
        <is>
          <t>Sahu Traders</t>
        </is>
      </c>
      <c r="D974" s="3" t="inlineStr">
        <is>
          <t>Paneer 200g</t>
        </is>
      </c>
      <c r="E974" s="3" t="inlineStr">
        <is>
          <t>Dairy</t>
        </is>
      </c>
      <c r="F974" s="4" t="n">
        <v>45</v>
      </c>
      <c r="G974" s="5" t="n">
        <v>94.11</v>
      </c>
      <c r="H974" s="5">
        <f>F974*G974</f>
        <v/>
      </c>
      <c r="I974" s="5">
        <f>F974*VLOOKUP(D974,Products!$B$2:$E$13,3,FALSE)</f>
        <v/>
      </c>
    </row>
    <row r="975">
      <c r="A975" s="2" t="n">
        <v>46231</v>
      </c>
      <c r="B975" s="3" t="inlineStr">
        <is>
          <t>INV-2607-0974</t>
        </is>
      </c>
      <c r="C975" s="3" t="inlineStr">
        <is>
          <t>Jha Provisions</t>
        </is>
      </c>
      <c r="D975" s="3" t="inlineStr">
        <is>
          <t>Instant Noodles 280g</t>
        </is>
      </c>
      <c r="E975" s="3" t="inlineStr">
        <is>
          <t>Snacks</t>
        </is>
      </c>
      <c r="F975" s="4" t="n">
        <v>29</v>
      </c>
      <c r="G975" s="5" t="n">
        <v>56.04</v>
      </c>
      <c r="H975" s="5">
        <f>F975*G975</f>
        <v/>
      </c>
      <c r="I975" s="5">
        <f>F975*VLOOKUP(D975,Products!$B$2:$E$13,3,FALSE)</f>
        <v/>
      </c>
    </row>
    <row r="976">
      <c r="A976" s="2" t="n">
        <v>46231</v>
      </c>
      <c r="B976" s="3" t="inlineStr">
        <is>
          <t>INV-2607-0975</t>
        </is>
      </c>
      <c r="C976" s="3" t="inlineStr">
        <is>
          <t>Kumari Kirana</t>
        </is>
      </c>
      <c r="D976" s="3" t="inlineStr">
        <is>
          <t>Floor Cleaner 1L</t>
        </is>
      </c>
      <c r="E976" s="3" t="inlineStr">
        <is>
          <t>Household</t>
        </is>
      </c>
      <c r="F976" s="4" t="n">
        <v>41</v>
      </c>
      <c r="G976" s="5" t="n">
        <v>112.64</v>
      </c>
      <c r="H976" s="5">
        <f>F976*G976</f>
        <v/>
      </c>
      <c r="I976" s="5">
        <f>F976*VLOOKUP(D976,Products!$B$2:$E$13,3,FALSE)</f>
        <v/>
      </c>
    </row>
    <row r="977">
      <c r="A977" s="2" t="n">
        <v>46231</v>
      </c>
      <c r="B977" s="3" t="inlineStr">
        <is>
          <t>INV-2607-0976</t>
        </is>
      </c>
      <c r="C977" s="3" t="inlineStr">
        <is>
          <t>Dubey Kirana</t>
        </is>
      </c>
      <c r="D977" s="3" t="inlineStr">
        <is>
          <t>Biscuits 400g</t>
        </is>
      </c>
      <c r="E977" s="3" t="inlineStr">
        <is>
          <t>Snacks</t>
        </is>
      </c>
      <c r="F977" s="4" t="n">
        <v>4</v>
      </c>
      <c r="G977" s="5" t="n">
        <v>40.7</v>
      </c>
      <c r="H977" s="5">
        <f>F977*G977</f>
        <v/>
      </c>
      <c r="I977" s="5">
        <f>F977*VLOOKUP(D977,Products!$B$2:$E$13,3,FALSE)</f>
        <v/>
      </c>
    </row>
    <row r="978">
      <c r="A978" s="2" t="n">
        <v>46231</v>
      </c>
      <c r="B978" s="3" t="inlineStr">
        <is>
          <t>INV-2607-0977</t>
        </is>
      </c>
      <c r="C978" s="3" t="inlineStr">
        <is>
          <t>Mishra Stores</t>
        </is>
      </c>
      <c r="D978" s="3" t="inlineStr">
        <is>
          <t>Curd Cup 400g</t>
        </is>
      </c>
      <c r="E978" s="3" t="inlineStr">
        <is>
          <t>Dairy</t>
        </is>
      </c>
      <c r="F978" s="4" t="n">
        <v>20</v>
      </c>
      <c r="G978" s="5" t="n">
        <v>47.16</v>
      </c>
      <c r="H978" s="5">
        <f>F978*G978</f>
        <v/>
      </c>
      <c r="I978" s="5">
        <f>F978*VLOOKUP(D978,Products!$B$2:$E$13,3,FALSE)</f>
        <v/>
      </c>
    </row>
    <row r="979">
      <c r="A979" s="2" t="n">
        <v>46231</v>
      </c>
      <c r="B979" s="3" t="inlineStr">
        <is>
          <t>INV-2607-0978</t>
        </is>
      </c>
      <c r="C979" s="3" t="inlineStr">
        <is>
          <t>Azad Stores</t>
        </is>
      </c>
      <c r="D979" s="3" t="inlineStr">
        <is>
          <t>Floor Cleaner 1L</t>
        </is>
      </c>
      <c r="E979" s="3" t="inlineStr">
        <is>
          <t>Household</t>
        </is>
      </c>
      <c r="F979" s="4" t="n">
        <v>26</v>
      </c>
      <c r="G979" s="5" t="n">
        <v>112.02</v>
      </c>
      <c r="H979" s="5">
        <f>F979*G979</f>
        <v/>
      </c>
      <c r="I979" s="5">
        <f>F979*VLOOKUP(D979,Products!$B$2:$E$13,3,FALSE)</f>
        <v/>
      </c>
    </row>
    <row r="980">
      <c r="A980" s="2" t="n">
        <v>46231</v>
      </c>
      <c r="B980" s="3" t="inlineStr">
        <is>
          <t>INV-2607-0979</t>
        </is>
      </c>
      <c r="C980" s="3" t="inlineStr">
        <is>
          <t>Mehta Retail</t>
        </is>
      </c>
      <c r="D980" s="3" t="inlineStr">
        <is>
          <t>Cola 750ml</t>
        </is>
      </c>
      <c r="E980" s="3" t="inlineStr">
        <is>
          <t>Beverages</t>
        </is>
      </c>
      <c r="F980" s="4" t="n">
        <v>39</v>
      </c>
      <c r="G980" s="5" t="n">
        <v>45.28</v>
      </c>
      <c r="H980" s="5">
        <f>F980*G980</f>
        <v/>
      </c>
      <c r="I980" s="5">
        <f>F980*VLOOKUP(D980,Products!$B$2:$E$13,3,FALSE)</f>
        <v/>
      </c>
    </row>
    <row r="981">
      <c r="A981" s="2" t="n">
        <v>46232</v>
      </c>
      <c r="B981" s="3" t="inlineStr">
        <is>
          <t>INV-2607-0980</t>
        </is>
      </c>
      <c r="C981" s="3" t="inlineStr">
        <is>
          <t>Sinha Super Mart</t>
        </is>
      </c>
      <c r="D981" s="3" t="inlineStr">
        <is>
          <t>Cola 750ml</t>
        </is>
      </c>
      <c r="E981" s="3" t="inlineStr">
        <is>
          <t>Beverages</t>
        </is>
      </c>
      <c r="F981" s="4" t="n">
        <v>25</v>
      </c>
      <c r="G981" s="5" t="n">
        <v>46.06</v>
      </c>
      <c r="H981" s="5">
        <f>F981*G981</f>
        <v/>
      </c>
      <c r="I981" s="5">
        <f>F981*VLOOKUP(D981,Products!$B$2:$E$13,3,FALSE)</f>
        <v/>
      </c>
    </row>
    <row r="982">
      <c r="A982" s="2" t="n">
        <v>46232</v>
      </c>
      <c r="B982" s="3" t="inlineStr">
        <is>
          <t>INV-2607-0981</t>
        </is>
      </c>
      <c r="C982" s="3" t="inlineStr">
        <is>
          <t>Tiwari General</t>
        </is>
      </c>
      <c r="D982" s="3" t="inlineStr">
        <is>
          <t>Packaged Water 1L</t>
        </is>
      </c>
      <c r="E982" s="3" t="inlineStr">
        <is>
          <t>Beverages</t>
        </is>
      </c>
      <c r="F982" s="4" t="n">
        <v>26</v>
      </c>
      <c r="G982" s="5" t="n">
        <v>19.62</v>
      </c>
      <c r="H982" s="5">
        <f>F982*G982</f>
        <v/>
      </c>
      <c r="I982" s="5">
        <f>F982*VLOOKUP(D982,Products!$B$2:$E$13,3,FALSE)</f>
        <v/>
      </c>
    </row>
    <row r="983">
      <c r="A983" s="2" t="n">
        <v>46232</v>
      </c>
      <c r="B983" s="3" t="inlineStr">
        <is>
          <t>INV-2607-0982</t>
        </is>
      </c>
      <c r="C983" s="3" t="inlineStr">
        <is>
          <t>Dubey Kirana</t>
        </is>
      </c>
      <c r="D983" s="3" t="inlineStr">
        <is>
          <t>Detergent 1kg</t>
        </is>
      </c>
      <c r="E983" s="3" t="inlineStr">
        <is>
          <t>Household</t>
        </is>
      </c>
      <c r="F983" s="4" t="n">
        <v>15</v>
      </c>
      <c r="G983" s="5" t="n">
        <v>134.02</v>
      </c>
      <c r="H983" s="5">
        <f>F983*G983</f>
        <v/>
      </c>
      <c r="I983" s="5">
        <f>F983*VLOOKUP(D983,Products!$B$2:$E$13,3,FALSE)</f>
        <v/>
      </c>
    </row>
    <row r="984">
      <c r="A984" s="2" t="n">
        <v>46232</v>
      </c>
      <c r="B984" s="3" t="inlineStr">
        <is>
          <t>INV-2607-0983</t>
        </is>
      </c>
      <c r="C984" s="3" t="inlineStr">
        <is>
          <t>Sahu Traders</t>
        </is>
      </c>
      <c r="D984" s="3" t="inlineStr">
        <is>
          <t>Floor Cleaner 1L</t>
        </is>
      </c>
      <c r="E984" s="3" t="inlineStr">
        <is>
          <t>Household</t>
        </is>
      </c>
      <c r="F984" s="4" t="n">
        <v>43</v>
      </c>
      <c r="G984" s="5" t="n">
        <v>109.17</v>
      </c>
      <c r="H984" s="5">
        <f>F984*G984</f>
        <v/>
      </c>
      <c r="I984" s="5">
        <f>F984*VLOOKUP(D984,Products!$B$2:$E$13,3,FALSE)</f>
        <v/>
      </c>
    </row>
    <row r="985">
      <c r="A985" s="2" t="n">
        <v>46232</v>
      </c>
      <c r="B985" s="3" t="inlineStr">
        <is>
          <t>INV-2607-0984</t>
        </is>
      </c>
      <c r="C985" s="3" t="inlineStr">
        <is>
          <t>Raza Brothers</t>
        </is>
      </c>
      <c r="D985" s="3" t="inlineStr">
        <is>
          <t>Dish Soap 500ml</t>
        </is>
      </c>
      <c r="E985" s="3" t="inlineStr">
        <is>
          <t>Household</t>
        </is>
      </c>
      <c r="F985" s="4" t="n">
        <v>17</v>
      </c>
      <c r="G985" s="5" t="n">
        <v>96.59999999999999</v>
      </c>
      <c r="H985" s="5">
        <f>F985*G985</f>
        <v/>
      </c>
      <c r="I985" s="5">
        <f>F985*VLOOKUP(D985,Products!$B$2:$E$13,3,FALSE)</f>
        <v/>
      </c>
    </row>
    <row r="986">
      <c r="A986" s="2" t="n">
        <v>46232</v>
      </c>
      <c r="B986" s="3" t="inlineStr">
        <is>
          <t>INV-2607-0985</t>
        </is>
      </c>
      <c r="C986" s="3" t="inlineStr">
        <is>
          <t>Nath Provisions</t>
        </is>
      </c>
      <c r="D986" s="3" t="inlineStr">
        <is>
          <t>Dish Soap 500ml</t>
        </is>
      </c>
      <c r="E986" s="3" t="inlineStr">
        <is>
          <t>Household</t>
        </is>
      </c>
      <c r="F986" s="4" t="n">
        <v>29</v>
      </c>
      <c r="G986" s="5" t="n">
        <v>99.48</v>
      </c>
      <c r="H986" s="5">
        <f>F986*G986</f>
        <v/>
      </c>
      <c r="I986" s="5">
        <f>F986*VLOOKUP(D986,Products!$B$2:$E$13,3,FALSE)</f>
        <v/>
      </c>
    </row>
    <row r="987">
      <c r="A987" s="2" t="n">
        <v>46232</v>
      </c>
      <c r="B987" s="3" t="inlineStr">
        <is>
          <t>INV-2607-0986</t>
        </is>
      </c>
      <c r="C987" s="3" t="inlineStr">
        <is>
          <t>Pandey Stores</t>
        </is>
      </c>
      <c r="D987" s="3" t="inlineStr">
        <is>
          <t>Mango Juice 1L</t>
        </is>
      </c>
      <c r="E987" s="3" t="inlineStr">
        <is>
          <t>Beverages</t>
        </is>
      </c>
      <c r="F987" s="4" t="n">
        <v>76</v>
      </c>
      <c r="G987" s="5" t="n">
        <v>125.03</v>
      </c>
      <c r="H987" s="5">
        <f>F987*G987</f>
        <v/>
      </c>
      <c r="I987" s="5">
        <f>F987*VLOOKUP(D987,Products!$B$2:$E$13,3,FALSE)</f>
        <v/>
      </c>
    </row>
    <row r="988">
      <c r="A988" s="2" t="n">
        <v>46232</v>
      </c>
      <c r="B988" s="3" t="inlineStr">
        <is>
          <t>INV-2607-0987</t>
        </is>
      </c>
      <c r="C988" s="3" t="inlineStr">
        <is>
          <t>Mehta Retail</t>
        </is>
      </c>
      <c r="D988" s="3" t="inlineStr">
        <is>
          <t>Biscuits 400g</t>
        </is>
      </c>
      <c r="E988" s="3" t="inlineStr">
        <is>
          <t>Snacks</t>
        </is>
      </c>
      <c r="F988" s="4" t="n">
        <v>6</v>
      </c>
      <c r="G988" s="5" t="n">
        <v>40.72</v>
      </c>
      <c r="H988" s="5">
        <f>F988*G988</f>
        <v/>
      </c>
      <c r="I988" s="5">
        <f>F988*VLOOKUP(D988,Products!$B$2:$E$13,3,FALSE)</f>
        <v/>
      </c>
    </row>
    <row r="989">
      <c r="A989" s="2" t="n">
        <v>46232</v>
      </c>
      <c r="B989" s="3" t="inlineStr">
        <is>
          <t>INV-2607-0988</t>
        </is>
      </c>
      <c r="C989" s="3" t="inlineStr">
        <is>
          <t>Khan Mart</t>
        </is>
      </c>
      <c r="D989" s="3" t="inlineStr">
        <is>
          <t>Floor Cleaner 1L</t>
        </is>
      </c>
      <c r="E989" s="3" t="inlineStr">
        <is>
          <t>Household</t>
        </is>
      </c>
      <c r="F989" s="4" t="n">
        <v>48</v>
      </c>
      <c r="G989" s="5" t="n">
        <v>107.48</v>
      </c>
      <c r="H989" s="5">
        <f>F989*G989</f>
        <v/>
      </c>
      <c r="I989" s="5">
        <f>F989*VLOOKUP(D989,Products!$B$2:$E$13,3,FALSE)</f>
        <v/>
      </c>
    </row>
    <row r="990">
      <c r="A990" s="2" t="n">
        <v>46232</v>
      </c>
      <c r="B990" s="3" t="inlineStr">
        <is>
          <t>INV-2607-0989</t>
        </is>
      </c>
      <c r="C990" s="3" t="inlineStr">
        <is>
          <t>Choudhary Mart</t>
        </is>
      </c>
      <c r="D990" s="3" t="inlineStr">
        <is>
          <t>Floor Cleaner 1L</t>
        </is>
      </c>
      <c r="E990" s="3" t="inlineStr">
        <is>
          <t>Household</t>
        </is>
      </c>
      <c r="F990" s="4" t="n">
        <v>71</v>
      </c>
      <c r="G990" s="5" t="n">
        <v>108.76</v>
      </c>
      <c r="H990" s="5">
        <f>F990*G990</f>
        <v/>
      </c>
      <c r="I990" s="5">
        <f>F990*VLOOKUP(D990,Products!$B$2:$E$13,3,FALSE)</f>
        <v/>
      </c>
    </row>
    <row r="991">
      <c r="A991" s="2" t="n">
        <v>46233</v>
      </c>
      <c r="B991" s="3" t="inlineStr">
        <is>
          <t>INV-2607-0990</t>
        </is>
      </c>
      <c r="C991" s="3" t="inlineStr">
        <is>
          <t>Dubey Kirana</t>
        </is>
      </c>
      <c r="D991" s="3" t="inlineStr">
        <is>
          <t>Cola 750ml</t>
        </is>
      </c>
      <c r="E991" s="3" t="inlineStr">
        <is>
          <t>Beverages</t>
        </is>
      </c>
      <c r="F991" s="4" t="n">
        <v>48</v>
      </c>
      <c r="G991" s="5" t="n">
        <v>46.46</v>
      </c>
      <c r="H991" s="5">
        <f>F991*G991</f>
        <v/>
      </c>
      <c r="I991" s="5">
        <f>F991*VLOOKUP(D991,Products!$B$2:$E$13,3,FALSE)</f>
        <v/>
      </c>
    </row>
    <row r="992">
      <c r="A992" s="2" t="n">
        <v>46233</v>
      </c>
      <c r="B992" s="3" t="inlineStr">
        <is>
          <t>INV-2607-0991</t>
        </is>
      </c>
      <c r="C992" s="3" t="inlineStr">
        <is>
          <t>Pandey Stores</t>
        </is>
      </c>
      <c r="D992" s="3" t="inlineStr">
        <is>
          <t>Detergent 1kg</t>
        </is>
      </c>
      <c r="E992" s="3" t="inlineStr">
        <is>
          <t>Household</t>
        </is>
      </c>
      <c r="F992" s="4" t="n">
        <v>38</v>
      </c>
      <c r="G992" s="5" t="n">
        <v>128.44</v>
      </c>
      <c r="H992" s="5">
        <f>F992*G992</f>
        <v/>
      </c>
      <c r="I992" s="5">
        <f>F992*VLOOKUP(D992,Products!$B$2:$E$13,3,FALSE)</f>
        <v/>
      </c>
    </row>
    <row r="993">
      <c r="A993" s="2" t="n">
        <v>46233</v>
      </c>
      <c r="B993" s="3" t="inlineStr">
        <is>
          <t>INV-2607-0992</t>
        </is>
      </c>
      <c r="C993" s="3" t="inlineStr">
        <is>
          <t>Raza Brothers</t>
        </is>
      </c>
      <c r="D993" s="3" t="inlineStr">
        <is>
          <t>Toned Milk 1L</t>
        </is>
      </c>
      <c r="E993" s="3" t="inlineStr">
        <is>
          <t>Dairy</t>
        </is>
      </c>
      <c r="F993" s="4" t="n">
        <v>62</v>
      </c>
      <c r="G993" s="5" t="n">
        <v>68.31</v>
      </c>
      <c r="H993" s="5">
        <f>F993*G993</f>
        <v/>
      </c>
      <c r="I993" s="5">
        <f>F993*VLOOKUP(D993,Products!$B$2:$E$13,3,FALSE)</f>
        <v/>
      </c>
    </row>
    <row r="994">
      <c r="A994" s="2" t="n">
        <v>46233</v>
      </c>
      <c r="B994" s="3" t="inlineStr">
        <is>
          <t>INV-2607-0993</t>
        </is>
      </c>
      <c r="C994" s="3" t="inlineStr">
        <is>
          <t>Kumari Kirana</t>
        </is>
      </c>
      <c r="D994" s="3" t="inlineStr">
        <is>
          <t>Toned Milk 1L</t>
        </is>
      </c>
      <c r="E994" s="3" t="inlineStr">
        <is>
          <t>Dairy</t>
        </is>
      </c>
      <c r="F994" s="4" t="n">
        <v>23</v>
      </c>
      <c r="G994" s="5" t="n">
        <v>66.62</v>
      </c>
      <c r="H994" s="5">
        <f>F994*G994</f>
        <v/>
      </c>
      <c r="I994" s="5">
        <f>F994*VLOOKUP(D994,Products!$B$2:$E$13,3,FALSE)</f>
        <v/>
      </c>
    </row>
    <row r="995">
      <c r="A995" s="2" t="n">
        <v>46233</v>
      </c>
      <c r="B995" s="3" t="inlineStr">
        <is>
          <t>INV-2607-0994</t>
        </is>
      </c>
      <c r="C995" s="3" t="inlineStr">
        <is>
          <t>Rai Daily Mart</t>
        </is>
      </c>
      <c r="D995" s="3" t="inlineStr">
        <is>
          <t>Paneer 200g</t>
        </is>
      </c>
      <c r="E995" s="3" t="inlineStr">
        <is>
          <t>Dairy</t>
        </is>
      </c>
      <c r="F995" s="4" t="n">
        <v>51</v>
      </c>
      <c r="G995" s="5" t="n">
        <v>92.79000000000001</v>
      </c>
      <c r="H995" s="5">
        <f>F995*G995</f>
        <v/>
      </c>
      <c r="I995" s="5">
        <f>F995*VLOOKUP(D995,Products!$B$2:$E$13,3,FALSE)</f>
        <v/>
      </c>
    </row>
    <row r="996">
      <c r="A996" s="2" t="n">
        <v>46233</v>
      </c>
      <c r="B996" s="3" t="inlineStr">
        <is>
          <t>INV-2607-0995</t>
        </is>
      </c>
      <c r="C996" s="3" t="inlineStr">
        <is>
          <t>Raza Brothers</t>
        </is>
      </c>
      <c r="D996" s="3" t="inlineStr">
        <is>
          <t>Dish Soap 500ml</t>
        </is>
      </c>
      <c r="E996" s="3" t="inlineStr">
        <is>
          <t>Household</t>
        </is>
      </c>
      <c r="F996" s="4" t="n">
        <v>53</v>
      </c>
      <c r="G996" s="5" t="n">
        <v>100.17</v>
      </c>
      <c r="H996" s="5">
        <f>F996*G996</f>
        <v/>
      </c>
      <c r="I996" s="5">
        <f>F996*VLOOKUP(D996,Products!$B$2:$E$13,3,FALSE)</f>
        <v/>
      </c>
    </row>
    <row r="997">
      <c r="A997" s="2" t="n">
        <v>46233</v>
      </c>
      <c r="B997" s="3" t="inlineStr">
        <is>
          <t>INV-2607-0996</t>
        </is>
      </c>
      <c r="C997" s="3" t="inlineStr">
        <is>
          <t>Ali General Store</t>
        </is>
      </c>
      <c r="D997" s="3" t="inlineStr">
        <is>
          <t>Mango Juice 1L</t>
        </is>
      </c>
      <c r="E997" s="3" t="inlineStr">
        <is>
          <t>Beverages</t>
        </is>
      </c>
      <c r="F997" s="4" t="n">
        <v>41</v>
      </c>
      <c r="G997" s="5" t="n">
        <v>122.09</v>
      </c>
      <c r="H997" s="5">
        <f>F997*G997</f>
        <v/>
      </c>
      <c r="I997" s="5">
        <f>F997*VLOOKUP(D997,Products!$B$2:$E$13,3,FALSE)</f>
        <v/>
      </c>
    </row>
    <row r="998">
      <c r="A998" s="2" t="n">
        <v>46233</v>
      </c>
      <c r="B998" s="3" t="inlineStr">
        <is>
          <t>INV-2607-0997</t>
        </is>
      </c>
      <c r="C998" s="3" t="inlineStr">
        <is>
          <t>Jha Provisions</t>
        </is>
      </c>
      <c r="D998" s="3" t="inlineStr">
        <is>
          <t>Packaged Water 1L</t>
        </is>
      </c>
      <c r="E998" s="3" t="inlineStr">
        <is>
          <t>Beverages</t>
        </is>
      </c>
      <c r="F998" s="4" t="n">
        <v>66</v>
      </c>
      <c r="G998" s="5" t="n">
        <v>20.5</v>
      </c>
      <c r="H998" s="5">
        <f>F998*G998</f>
        <v/>
      </c>
      <c r="I998" s="5">
        <f>F998*VLOOKUP(D998,Products!$B$2:$E$13,3,FALSE)</f>
        <v/>
      </c>
    </row>
    <row r="999">
      <c r="A999" s="2" t="n">
        <v>46233</v>
      </c>
      <c r="B999" s="3" t="inlineStr">
        <is>
          <t>INV-2607-0998</t>
        </is>
      </c>
      <c r="C999" s="3" t="inlineStr">
        <is>
          <t>Verma Retail</t>
        </is>
      </c>
      <c r="D999" s="3" t="inlineStr">
        <is>
          <t>Mango Juice 1L</t>
        </is>
      </c>
      <c r="E999" s="3" t="inlineStr">
        <is>
          <t>Beverages</t>
        </is>
      </c>
      <c r="F999" s="4" t="n">
        <v>60</v>
      </c>
      <c r="G999" s="5" t="n">
        <v>120.54</v>
      </c>
      <c r="H999" s="5">
        <f>F999*G999</f>
        <v/>
      </c>
      <c r="I999" s="5">
        <f>F999*VLOOKUP(D999,Products!$B$2:$E$13,3,FALSE)</f>
        <v/>
      </c>
    </row>
    <row r="1000">
      <c r="A1000" s="2" t="n">
        <v>46233</v>
      </c>
      <c r="B1000" s="3" t="inlineStr">
        <is>
          <t>INV-2607-0999</t>
        </is>
      </c>
      <c r="C1000" s="3" t="inlineStr">
        <is>
          <t>Mishra Stores</t>
        </is>
      </c>
      <c r="D1000" s="3" t="inlineStr">
        <is>
          <t>Instant Noodles 280g</t>
        </is>
      </c>
      <c r="E1000" s="3" t="inlineStr">
        <is>
          <t>Snacks</t>
        </is>
      </c>
      <c r="F1000" s="4" t="n">
        <v>11</v>
      </c>
      <c r="G1000" s="5" t="n">
        <v>55.57</v>
      </c>
      <c r="H1000" s="5">
        <f>F1000*G1000</f>
        <v/>
      </c>
      <c r="I1000" s="5">
        <f>F1000*VLOOKUP(D1000,Products!$B$2:$E$13,3,FALSE)</f>
        <v/>
      </c>
    </row>
    <row r="1001">
      <c r="A1001" s="2" t="n">
        <v>46234</v>
      </c>
      <c r="B1001" s="3" t="inlineStr">
        <is>
          <t>INV-2607-1000</t>
        </is>
      </c>
      <c r="C1001" s="3" t="inlineStr">
        <is>
          <t>Azad Stores</t>
        </is>
      </c>
      <c r="D1001" s="3" t="inlineStr">
        <is>
          <t>Packaged Water 1L</t>
        </is>
      </c>
      <c r="E1001" s="3" t="inlineStr">
        <is>
          <t>Beverages</t>
        </is>
      </c>
      <c r="F1001" s="4" t="n">
        <v>36</v>
      </c>
      <c r="G1001" s="5" t="n">
        <v>20.89</v>
      </c>
      <c r="H1001" s="5">
        <f>F1001*G1001</f>
        <v/>
      </c>
      <c r="I1001" s="5">
        <f>F1001*VLOOKUP(D1001,Products!$B$2:$E$13,3,FALSE)</f>
        <v/>
      </c>
    </row>
    <row r="1002">
      <c r="A1002" s="2" t="n">
        <v>46234</v>
      </c>
      <c r="B1002" s="3" t="inlineStr">
        <is>
          <t>INV-2607-1001</t>
        </is>
      </c>
      <c r="C1002" s="3" t="inlineStr">
        <is>
          <t>Rai Daily Mart</t>
        </is>
      </c>
      <c r="D1002" s="3" t="inlineStr">
        <is>
          <t>Potato Chips 150g</t>
        </is>
      </c>
      <c r="E1002" s="3" t="inlineStr">
        <is>
          <t>Snacks</t>
        </is>
      </c>
      <c r="F1002" s="4" t="n">
        <v>4</v>
      </c>
      <c r="G1002" s="5" t="n">
        <v>50.35</v>
      </c>
      <c r="H1002" s="5">
        <f>F1002*G1002</f>
        <v/>
      </c>
      <c r="I1002" s="5">
        <f>F1002*VLOOKUP(D1002,Products!$B$2:$E$13,3,FALSE)</f>
        <v/>
      </c>
    </row>
    <row r="1003">
      <c r="A1003" s="2" t="n">
        <v>46234</v>
      </c>
      <c r="B1003" s="3" t="inlineStr">
        <is>
          <t>INV-2607-1002</t>
        </is>
      </c>
      <c r="C1003" s="3" t="inlineStr">
        <is>
          <t>Das &amp; Sons</t>
        </is>
      </c>
      <c r="D1003" s="3" t="inlineStr">
        <is>
          <t>Instant Noodles 280g</t>
        </is>
      </c>
      <c r="E1003" s="3" t="inlineStr">
        <is>
          <t>Snacks</t>
        </is>
      </c>
      <c r="F1003" s="4" t="n">
        <v>45</v>
      </c>
      <c r="G1003" s="5" t="n">
        <v>54.86</v>
      </c>
      <c r="H1003" s="5">
        <f>F1003*G1003</f>
        <v/>
      </c>
      <c r="I1003" s="5">
        <f>F1003*VLOOKUP(D1003,Products!$B$2:$E$13,3,FALSE)</f>
        <v/>
      </c>
    </row>
    <row r="1004">
      <c r="A1004" s="2" t="n">
        <v>46234</v>
      </c>
      <c r="B1004" s="3" t="inlineStr">
        <is>
          <t>INV-2607-1003</t>
        </is>
      </c>
      <c r="C1004" s="3" t="inlineStr">
        <is>
          <t>Azad Stores</t>
        </is>
      </c>
      <c r="D1004" s="3" t="inlineStr">
        <is>
          <t>Packaged Water 1L</t>
        </is>
      </c>
      <c r="E1004" s="3" t="inlineStr">
        <is>
          <t>Beverages</t>
        </is>
      </c>
      <c r="F1004" s="4" t="n">
        <v>7</v>
      </c>
      <c r="G1004" s="5" t="n">
        <v>19.61</v>
      </c>
      <c r="H1004" s="5">
        <f>F1004*G1004</f>
        <v/>
      </c>
      <c r="I1004" s="5">
        <f>F1004*VLOOKUP(D1004,Products!$B$2:$E$13,3,FALSE)</f>
        <v/>
      </c>
    </row>
    <row r="1005">
      <c r="A1005" s="2" t="n">
        <v>46234</v>
      </c>
      <c r="B1005" s="3" t="inlineStr">
        <is>
          <t>INV-2607-1004</t>
        </is>
      </c>
      <c r="C1005" s="3" t="inlineStr">
        <is>
          <t>Mishra Stores</t>
        </is>
      </c>
      <c r="D1005" s="3" t="inlineStr">
        <is>
          <t>Cola 750ml</t>
        </is>
      </c>
      <c r="E1005" s="3" t="inlineStr">
        <is>
          <t>Beverages</t>
        </is>
      </c>
      <c r="F1005" s="4" t="n">
        <v>25</v>
      </c>
      <c r="G1005" s="5" t="n">
        <v>45.01</v>
      </c>
      <c r="H1005" s="5">
        <f>F1005*G1005</f>
        <v/>
      </c>
      <c r="I1005" s="5">
        <f>F1005*VLOOKUP(D1005,Products!$B$2:$E$13,3,FALSE)</f>
        <v/>
      </c>
    </row>
    <row r="1006">
      <c r="A1006" s="2" t="n">
        <v>46235</v>
      </c>
      <c r="B1006" s="3" t="inlineStr">
        <is>
          <t>INV-2608-1005</t>
        </is>
      </c>
      <c r="C1006" s="3" t="inlineStr">
        <is>
          <t>Tiwari General</t>
        </is>
      </c>
      <c r="D1006" s="3" t="inlineStr">
        <is>
          <t>Instant Noodles 280g</t>
        </is>
      </c>
      <c r="E1006" s="3" t="inlineStr">
        <is>
          <t>Snacks</t>
        </is>
      </c>
      <c r="F1006" s="4" t="n">
        <v>10</v>
      </c>
      <c r="G1006" s="5" t="n">
        <v>56.03</v>
      </c>
      <c r="H1006" s="5">
        <f>F1006*G1006</f>
        <v/>
      </c>
      <c r="I1006" s="5">
        <f>F1006*VLOOKUP(D1006,Products!$B$2:$E$13,3,FALSE)</f>
        <v/>
      </c>
    </row>
    <row r="1007">
      <c r="A1007" s="2" t="n">
        <v>46235</v>
      </c>
      <c r="B1007" s="3" t="inlineStr">
        <is>
          <t>INV-2608-1006</t>
        </is>
      </c>
      <c r="C1007" s="3" t="inlineStr">
        <is>
          <t>Mehta Retail</t>
        </is>
      </c>
      <c r="D1007" s="3" t="inlineStr">
        <is>
          <t>Packaged Water 1L</t>
        </is>
      </c>
      <c r="E1007" s="3" t="inlineStr">
        <is>
          <t>Beverages</t>
        </is>
      </c>
      <c r="F1007" s="4" t="n">
        <v>49</v>
      </c>
      <c r="G1007" s="5" t="n">
        <v>20.26</v>
      </c>
      <c r="H1007" s="5">
        <f>F1007*G1007</f>
        <v/>
      </c>
      <c r="I1007" s="5">
        <f>F1007*VLOOKUP(D1007,Products!$B$2:$E$13,3,FALSE)</f>
        <v/>
      </c>
    </row>
    <row r="1008">
      <c r="A1008" s="2" t="n">
        <v>46235</v>
      </c>
      <c r="B1008" s="3" t="inlineStr">
        <is>
          <t>INV-2608-1007</t>
        </is>
      </c>
      <c r="C1008" s="3" t="inlineStr">
        <is>
          <t>Azad Stores</t>
        </is>
      </c>
      <c r="D1008" s="3" t="inlineStr">
        <is>
          <t>Biscuits 400g</t>
        </is>
      </c>
      <c r="E1008" s="3" t="inlineStr">
        <is>
          <t>Snacks</t>
        </is>
      </c>
      <c r="F1008" s="4" t="n">
        <v>51</v>
      </c>
      <c r="G1008" s="5" t="n">
        <v>41.63</v>
      </c>
      <c r="H1008" s="5">
        <f>F1008*G1008</f>
        <v/>
      </c>
      <c r="I1008" s="5">
        <f>F1008*VLOOKUP(D1008,Products!$B$2:$E$13,3,FALSE)</f>
        <v/>
      </c>
    </row>
    <row r="1009">
      <c r="A1009" s="2" t="n">
        <v>46235</v>
      </c>
      <c r="B1009" s="3" t="inlineStr">
        <is>
          <t>INV-2608-1008</t>
        </is>
      </c>
      <c r="C1009" s="3" t="inlineStr">
        <is>
          <t>Sahu Traders</t>
        </is>
      </c>
      <c r="D1009" s="3" t="inlineStr">
        <is>
          <t>Floor Cleaner 1L</t>
        </is>
      </c>
      <c r="E1009" s="3" t="inlineStr">
        <is>
          <t>Household</t>
        </is>
      </c>
      <c r="F1009" s="4" t="n">
        <v>52</v>
      </c>
      <c r="G1009" s="5" t="n">
        <v>106.87</v>
      </c>
      <c r="H1009" s="5">
        <f>F1009*G1009</f>
        <v/>
      </c>
      <c r="I1009" s="5">
        <f>F1009*VLOOKUP(D1009,Products!$B$2:$E$13,3,FALSE)</f>
        <v/>
      </c>
    </row>
    <row r="1010">
      <c r="A1010" s="2" t="n">
        <v>46235</v>
      </c>
      <c r="B1010" s="3" t="inlineStr">
        <is>
          <t>INV-2608-1009</t>
        </is>
      </c>
      <c r="C1010" s="3" t="inlineStr">
        <is>
          <t>Yadav Daily Needs</t>
        </is>
      </c>
      <c r="D1010" s="3" t="inlineStr">
        <is>
          <t>Mango Juice 1L</t>
        </is>
      </c>
      <c r="E1010" s="3" t="inlineStr">
        <is>
          <t>Beverages</t>
        </is>
      </c>
      <c r="F1010" s="4" t="n">
        <v>33</v>
      </c>
      <c r="G1010" s="5" t="n">
        <v>116.88</v>
      </c>
      <c r="H1010" s="5">
        <f>F1010*G1010</f>
        <v/>
      </c>
      <c r="I1010" s="5">
        <f>F1010*VLOOKUP(D1010,Products!$B$2:$E$13,3,FALSE)</f>
        <v/>
      </c>
    </row>
    <row r="1011">
      <c r="A1011" s="2" t="n">
        <v>46237</v>
      </c>
      <c r="B1011" s="3" t="inlineStr">
        <is>
          <t>INV-2608-1020</t>
        </is>
      </c>
      <c r="C1011" s="3" t="inlineStr">
        <is>
          <t>Singh Super Bazaar</t>
        </is>
      </c>
      <c r="D1011" s="3" t="inlineStr">
        <is>
          <t>Mango Juice 1L</t>
        </is>
      </c>
      <c r="E1011" s="3" t="inlineStr">
        <is>
          <t>Beverages</t>
        </is>
      </c>
      <c r="F1011" s="4" t="n">
        <v>34</v>
      </c>
      <c r="G1011" s="5" t="n">
        <v>122.49</v>
      </c>
      <c r="H1011" s="5">
        <f>F1011*G1011</f>
        <v/>
      </c>
      <c r="I1011" s="5">
        <f>F1011*VLOOKUP(D1011,Products!$B$2:$E$13,3,FALSE)</f>
        <v/>
      </c>
    </row>
    <row r="1012">
      <c r="A1012" s="2" t="n">
        <v>46237</v>
      </c>
      <c r="B1012" s="3" t="inlineStr">
        <is>
          <t>INV-2608-1021</t>
        </is>
      </c>
      <c r="C1012" s="3" t="inlineStr">
        <is>
          <t>Mehta Retail</t>
        </is>
      </c>
      <c r="D1012" s="3" t="inlineStr">
        <is>
          <t>Cola 750ml</t>
        </is>
      </c>
      <c r="E1012" s="3" t="inlineStr">
        <is>
          <t>Beverages</t>
        </is>
      </c>
      <c r="F1012" s="4" t="n">
        <v>35</v>
      </c>
      <c r="G1012" s="5" t="n">
        <v>46.06</v>
      </c>
      <c r="H1012" s="5">
        <f>F1012*G1012</f>
        <v/>
      </c>
      <c r="I1012" s="5">
        <f>F1012*VLOOKUP(D1012,Products!$B$2:$E$13,3,FALSE)</f>
        <v/>
      </c>
    </row>
    <row r="1013">
      <c r="A1013" s="2" t="n">
        <v>46237</v>
      </c>
      <c r="B1013" s="3" t="inlineStr">
        <is>
          <t>INV-2608-1022</t>
        </is>
      </c>
      <c r="C1013" s="3" t="inlineStr">
        <is>
          <t>Raza Brothers</t>
        </is>
      </c>
      <c r="D1013" s="3" t="inlineStr">
        <is>
          <t>Curd Cup 400g</t>
        </is>
      </c>
      <c r="E1013" s="3" t="inlineStr">
        <is>
          <t>Dairy</t>
        </is>
      </c>
      <c r="F1013" s="4" t="n">
        <v>24</v>
      </c>
      <c r="G1013" s="5" t="n">
        <v>44.23</v>
      </c>
      <c r="H1013" s="5">
        <f>F1013*G1013</f>
        <v/>
      </c>
      <c r="I1013" s="5">
        <f>F1013*VLOOKUP(D1013,Products!$B$2:$E$13,3,FALSE)</f>
        <v/>
      </c>
    </row>
    <row r="1014">
      <c r="A1014" s="2" t="n">
        <v>46237</v>
      </c>
      <c r="B1014" s="3" t="inlineStr">
        <is>
          <t>INV-2608-1023</t>
        </is>
      </c>
      <c r="C1014" s="3" t="inlineStr">
        <is>
          <t>Nath Provisions</t>
        </is>
      </c>
      <c r="D1014" s="3" t="inlineStr">
        <is>
          <t>Paneer 200g</t>
        </is>
      </c>
      <c r="E1014" s="3" t="inlineStr">
        <is>
          <t>Dairy</t>
        </is>
      </c>
      <c r="F1014" s="4" t="n">
        <v>40</v>
      </c>
      <c r="G1014" s="5" t="n">
        <v>98.81</v>
      </c>
      <c r="H1014" s="5">
        <f>F1014*G1014</f>
        <v/>
      </c>
      <c r="I1014" s="5">
        <f>F1014*VLOOKUP(D1014,Products!$B$2:$E$13,3,FALSE)</f>
        <v/>
      </c>
    </row>
    <row r="1015">
      <c r="A1015" s="2" t="n">
        <v>46237</v>
      </c>
      <c r="B1015" s="3" t="inlineStr">
        <is>
          <t>INV-2608-1024</t>
        </is>
      </c>
      <c r="C1015" s="3" t="inlineStr">
        <is>
          <t>Dubey Kirana</t>
        </is>
      </c>
      <c r="D1015" s="3" t="inlineStr">
        <is>
          <t>Dish Soap 500ml</t>
        </is>
      </c>
      <c r="E1015" s="3" t="inlineStr">
        <is>
          <t>Household</t>
        </is>
      </c>
      <c r="F1015" s="4" t="n">
        <v>5</v>
      </c>
      <c r="G1015" s="5" t="n">
        <v>97.98</v>
      </c>
      <c r="H1015" s="5">
        <f>F1015*G1015</f>
        <v/>
      </c>
      <c r="I1015" s="5">
        <f>F1015*VLOOKUP(D1015,Products!$B$2:$E$13,3,FALSE)</f>
        <v/>
      </c>
    </row>
    <row r="1016">
      <c r="A1016" s="2" t="n">
        <v>46238</v>
      </c>
      <c r="B1016" s="3" t="inlineStr">
        <is>
          <t>INV-2608-1025</t>
        </is>
      </c>
      <c r="C1016" s="3" t="inlineStr">
        <is>
          <t>Sharma Provision</t>
        </is>
      </c>
      <c r="D1016" s="3" t="inlineStr">
        <is>
          <t>Mango Juice 1L</t>
        </is>
      </c>
      <c r="E1016" s="3" t="inlineStr">
        <is>
          <t>Beverages</t>
        </is>
      </c>
      <c r="F1016" s="4" t="n">
        <v>29</v>
      </c>
      <c r="G1016" s="5" t="n">
        <v>122.02</v>
      </c>
      <c r="H1016" s="5">
        <f>F1016*G1016</f>
        <v/>
      </c>
      <c r="I1016" s="5">
        <f>F1016*VLOOKUP(D1016,Products!$B$2:$E$13,3,FALSE)</f>
        <v/>
      </c>
    </row>
    <row r="1017">
      <c r="A1017" s="2" t="n">
        <v>46238</v>
      </c>
      <c r="B1017" s="3" t="inlineStr">
        <is>
          <t>INV-2608-1026</t>
        </is>
      </c>
      <c r="C1017" s="3" t="inlineStr">
        <is>
          <t>Yadav Daily Needs</t>
        </is>
      </c>
      <c r="D1017" s="3" t="inlineStr">
        <is>
          <t>Packaged Water 1L</t>
        </is>
      </c>
      <c r="E1017" s="3" t="inlineStr">
        <is>
          <t>Beverages</t>
        </is>
      </c>
      <c r="F1017" s="4" t="n">
        <v>12</v>
      </c>
      <c r="G1017" s="5" t="n">
        <v>20.55</v>
      </c>
      <c r="H1017" s="5">
        <f>F1017*G1017</f>
        <v/>
      </c>
      <c r="I1017" s="5">
        <f>F1017*VLOOKUP(D1017,Products!$B$2:$E$13,3,FALSE)</f>
        <v/>
      </c>
    </row>
    <row r="1018">
      <c r="A1018" s="2" t="n">
        <v>46238</v>
      </c>
      <c r="B1018" s="3" t="inlineStr">
        <is>
          <t>INV-2608-1027</t>
        </is>
      </c>
      <c r="C1018" s="3" t="inlineStr">
        <is>
          <t>Raza Brothers</t>
        </is>
      </c>
      <c r="D1018" s="3" t="inlineStr">
        <is>
          <t>Floor Cleaner 1L</t>
        </is>
      </c>
      <c r="E1018" s="3" t="inlineStr">
        <is>
          <t>Household</t>
        </is>
      </c>
      <c r="F1018" s="4" t="n">
        <v>7</v>
      </c>
      <c r="G1018" s="5" t="n">
        <v>108.27</v>
      </c>
      <c r="H1018" s="5">
        <f>F1018*G1018</f>
        <v/>
      </c>
      <c r="I1018" s="5">
        <f>F1018*VLOOKUP(D1018,Products!$B$2:$E$13,3,FALSE)</f>
        <v/>
      </c>
    </row>
    <row r="1019">
      <c r="A1019" s="2" t="n">
        <v>46238</v>
      </c>
      <c r="B1019" s="3" t="inlineStr">
        <is>
          <t>INV-2608-1028</t>
        </is>
      </c>
      <c r="C1019" s="3" t="inlineStr">
        <is>
          <t>Nath Provisions</t>
        </is>
      </c>
      <c r="D1019" s="3" t="inlineStr">
        <is>
          <t>Curd Cup 400g</t>
        </is>
      </c>
      <c r="E1019" s="3" t="inlineStr">
        <is>
          <t>Dairy</t>
        </is>
      </c>
      <c r="F1019" s="4" t="n">
        <v>60</v>
      </c>
      <c r="G1019" s="5" t="n">
        <v>46.19</v>
      </c>
      <c r="H1019" s="5">
        <f>F1019*G1019</f>
        <v/>
      </c>
      <c r="I1019" s="5">
        <f>F1019*VLOOKUP(D1019,Products!$B$2:$E$13,3,FALSE)</f>
        <v/>
      </c>
    </row>
    <row r="1020">
      <c r="A1020" s="2" t="n">
        <v>46238</v>
      </c>
      <c r="B1020" s="3" t="inlineStr">
        <is>
          <t>INV-2608-1029</t>
        </is>
      </c>
      <c r="C1020" s="3" t="inlineStr">
        <is>
          <t>Dubey Kirana</t>
        </is>
      </c>
      <c r="D1020" s="3" t="inlineStr">
        <is>
          <t>Toned Milk 1L</t>
        </is>
      </c>
      <c r="E1020" s="3" t="inlineStr">
        <is>
          <t>Dairy</t>
        </is>
      </c>
      <c r="F1020" s="4" t="n">
        <v>59</v>
      </c>
      <c r="G1020" s="5" t="n">
        <v>69.09999999999999</v>
      </c>
      <c r="H1020" s="5">
        <f>F1020*G1020</f>
        <v/>
      </c>
      <c r="I1020" s="5">
        <f>F1020*VLOOKUP(D1020,Products!$B$2:$E$13,3,FALSE)</f>
        <v/>
      </c>
    </row>
    <row r="1021">
      <c r="A1021" s="2" t="n">
        <v>46238</v>
      </c>
      <c r="B1021" s="3" t="inlineStr">
        <is>
          <t>INV-2608-1030</t>
        </is>
      </c>
      <c r="C1021" s="3" t="inlineStr">
        <is>
          <t>Ali General Store</t>
        </is>
      </c>
      <c r="D1021" s="3" t="inlineStr">
        <is>
          <t>Dish Soap 500ml</t>
        </is>
      </c>
      <c r="E1021" s="3" t="inlineStr">
        <is>
          <t>Household</t>
        </is>
      </c>
      <c r="F1021" s="4" t="n">
        <v>16</v>
      </c>
      <c r="G1021" s="5" t="n">
        <v>98.41</v>
      </c>
      <c r="H1021" s="5">
        <f>F1021*G1021</f>
        <v/>
      </c>
      <c r="I1021" s="5">
        <f>F1021*VLOOKUP(D1021,Products!$B$2:$E$13,3,FALSE)</f>
        <v/>
      </c>
    </row>
    <row r="1022">
      <c r="A1022" s="2" t="n">
        <v>46238</v>
      </c>
      <c r="B1022" s="3" t="inlineStr">
        <is>
          <t>INV-2608-1031</t>
        </is>
      </c>
      <c r="C1022" s="3" t="inlineStr">
        <is>
          <t>Verma Retail</t>
        </is>
      </c>
      <c r="D1022" s="3" t="inlineStr">
        <is>
          <t>Instant Noodles 280g</t>
        </is>
      </c>
      <c r="E1022" s="3" t="inlineStr">
        <is>
          <t>Snacks</t>
        </is>
      </c>
      <c r="F1022" s="4" t="n">
        <v>46</v>
      </c>
      <c r="G1022" s="5" t="n">
        <v>54.73</v>
      </c>
      <c r="H1022" s="5">
        <f>F1022*G1022</f>
        <v/>
      </c>
      <c r="I1022" s="5">
        <f>F1022*VLOOKUP(D1022,Products!$B$2:$E$13,3,FALSE)</f>
        <v/>
      </c>
    </row>
    <row r="1023">
      <c r="A1023" s="2" t="n">
        <v>46239</v>
      </c>
      <c r="B1023" s="3" t="inlineStr">
        <is>
          <t>INV-2608-1032</t>
        </is>
      </c>
      <c r="C1023" s="3" t="inlineStr">
        <is>
          <t>Choudhary Mart</t>
        </is>
      </c>
      <c r="D1023" s="3" t="inlineStr">
        <is>
          <t>Cola 750ml</t>
        </is>
      </c>
      <c r="E1023" s="3" t="inlineStr">
        <is>
          <t>Beverages</t>
        </is>
      </c>
      <c r="F1023" s="4" t="n">
        <v>24</v>
      </c>
      <c r="G1023" s="5" t="n">
        <v>46.72</v>
      </c>
      <c r="H1023" s="5">
        <f>F1023*G1023</f>
        <v/>
      </c>
      <c r="I1023" s="5">
        <f>F1023*VLOOKUP(D1023,Products!$B$2:$E$13,3,FALSE)</f>
        <v/>
      </c>
    </row>
    <row r="1024">
      <c r="A1024" s="2" t="n">
        <v>46239</v>
      </c>
      <c r="B1024" s="3" t="inlineStr">
        <is>
          <t>INV-2608-1033</t>
        </is>
      </c>
      <c r="C1024" s="3" t="inlineStr">
        <is>
          <t>Kumari Kirana</t>
        </is>
      </c>
      <c r="D1024" s="3" t="inlineStr">
        <is>
          <t>Packaged Water 1L</t>
        </is>
      </c>
      <c r="E1024" s="3" t="inlineStr">
        <is>
          <t>Beverages</t>
        </is>
      </c>
      <c r="F1024" s="4" t="n">
        <v>17</v>
      </c>
      <c r="G1024" s="5" t="n">
        <v>19.48</v>
      </c>
      <c r="H1024" s="5">
        <f>F1024*G1024</f>
        <v/>
      </c>
      <c r="I1024" s="5">
        <f>F1024*VLOOKUP(D1024,Products!$B$2:$E$13,3,FALSE)</f>
        <v/>
      </c>
    </row>
    <row r="1025">
      <c r="A1025" s="2" t="n">
        <v>46239</v>
      </c>
      <c r="B1025" s="3" t="inlineStr">
        <is>
          <t>INV-2608-1034</t>
        </is>
      </c>
      <c r="C1025" s="3" t="inlineStr">
        <is>
          <t>Pandey Stores</t>
        </is>
      </c>
      <c r="D1025" s="3" t="inlineStr">
        <is>
          <t>Floor Cleaner 1L</t>
        </is>
      </c>
      <c r="E1025" s="3" t="inlineStr">
        <is>
          <t>Household</t>
        </is>
      </c>
      <c r="F1025" s="4" t="n">
        <v>14</v>
      </c>
      <c r="G1025" s="5" t="n">
        <v>112.05</v>
      </c>
      <c r="H1025" s="5">
        <f>F1025*G1025</f>
        <v/>
      </c>
      <c r="I1025" s="5">
        <f>F1025*VLOOKUP(D1025,Products!$B$2:$E$13,3,FALSE)</f>
        <v/>
      </c>
    </row>
    <row r="1026">
      <c r="A1026" s="2" t="n">
        <v>46239</v>
      </c>
      <c r="B1026" s="3" t="inlineStr">
        <is>
          <t>INV-2608-1035</t>
        </is>
      </c>
      <c r="C1026" s="3" t="inlineStr">
        <is>
          <t>Azad Stores</t>
        </is>
      </c>
      <c r="D1026" s="3" t="inlineStr">
        <is>
          <t>Detergent 1kg</t>
        </is>
      </c>
      <c r="E1026" s="3" t="inlineStr">
        <is>
          <t>Household</t>
        </is>
      </c>
      <c r="F1026" s="4" t="n">
        <v>19</v>
      </c>
      <c r="G1026" s="5" t="n">
        <v>127.23</v>
      </c>
      <c r="H1026" s="5">
        <f>F1026*G1026</f>
        <v/>
      </c>
      <c r="I1026" s="5">
        <f>F1026*VLOOKUP(D1026,Products!$B$2:$E$13,3,FALSE)</f>
        <v/>
      </c>
    </row>
    <row r="1027">
      <c r="A1027" s="2" t="n">
        <v>46239</v>
      </c>
      <c r="B1027" s="3" t="inlineStr">
        <is>
          <t>INV-2608-1036</t>
        </is>
      </c>
      <c r="C1027" s="3" t="inlineStr">
        <is>
          <t>Choudhary Mart</t>
        </is>
      </c>
      <c r="D1027" s="3" t="inlineStr">
        <is>
          <t>Paneer 200g</t>
        </is>
      </c>
      <c r="E1027" s="3" t="inlineStr">
        <is>
          <t>Dairy</t>
        </is>
      </c>
      <c r="F1027" s="4" t="n">
        <v>42</v>
      </c>
      <c r="G1027" s="5" t="n">
        <v>99.65000000000001</v>
      </c>
      <c r="H1027" s="5">
        <f>F1027*G1027</f>
        <v/>
      </c>
      <c r="I1027" s="5">
        <f>F1027*VLOOKUP(D1027,Products!$B$2:$E$13,3,FALSE)</f>
        <v/>
      </c>
    </row>
    <row r="1028">
      <c r="A1028" s="2" t="n">
        <v>46239</v>
      </c>
      <c r="B1028" s="3" t="inlineStr">
        <is>
          <t>INV-2608-1037</t>
        </is>
      </c>
      <c r="C1028" s="3" t="inlineStr">
        <is>
          <t>Rai Daily Mart</t>
        </is>
      </c>
      <c r="D1028" s="3" t="inlineStr">
        <is>
          <t>Cola 750ml</t>
        </is>
      </c>
      <c r="E1028" s="3" t="inlineStr">
        <is>
          <t>Beverages</t>
        </is>
      </c>
      <c r="F1028" s="4" t="n">
        <v>63</v>
      </c>
      <c r="G1028" s="5" t="n">
        <v>46.67</v>
      </c>
      <c r="H1028" s="5">
        <f>F1028*G1028</f>
        <v/>
      </c>
      <c r="I1028" s="5">
        <f>F1028*VLOOKUP(D1028,Products!$B$2:$E$13,3,FALSE)</f>
        <v/>
      </c>
    </row>
    <row r="1029">
      <c r="A1029" s="2" t="n">
        <v>46239</v>
      </c>
      <c r="B1029" s="3" t="inlineStr">
        <is>
          <t>INV-2608-1038</t>
        </is>
      </c>
      <c r="C1029" s="3" t="inlineStr">
        <is>
          <t>Prasad Traders</t>
        </is>
      </c>
      <c r="D1029" s="3" t="inlineStr">
        <is>
          <t>Curd Cup 400g</t>
        </is>
      </c>
      <c r="E1029" s="3" t="inlineStr">
        <is>
          <t>Dairy</t>
        </is>
      </c>
      <c r="F1029" s="4" t="n">
        <v>45</v>
      </c>
      <c r="G1029" s="5" t="n">
        <v>44.27</v>
      </c>
      <c r="H1029" s="5">
        <f>F1029*G1029</f>
        <v/>
      </c>
      <c r="I1029" s="5">
        <f>F1029*VLOOKUP(D1029,Products!$B$2:$E$13,3,FALSE)</f>
        <v/>
      </c>
    </row>
    <row r="1030">
      <c r="A1030" s="2" t="n">
        <v>46239</v>
      </c>
      <c r="B1030" s="3" t="inlineStr">
        <is>
          <t>INV-2608-1039</t>
        </is>
      </c>
      <c r="C1030" s="3" t="inlineStr">
        <is>
          <t>Verma Retail</t>
        </is>
      </c>
      <c r="D1030" s="3" t="inlineStr">
        <is>
          <t>Mango Juice 1L</t>
        </is>
      </c>
      <c r="E1030" s="3" t="inlineStr">
        <is>
          <t>Beverages</t>
        </is>
      </c>
      <c r="F1030" s="4" t="n">
        <v>7</v>
      </c>
      <c r="G1030" s="5" t="n">
        <v>125.76</v>
      </c>
      <c r="H1030" s="5">
        <f>F1030*G1030</f>
        <v/>
      </c>
      <c r="I1030" s="5">
        <f>F1030*VLOOKUP(D1030,Products!$B$2:$E$13,3,FALSE)</f>
        <v/>
      </c>
    </row>
    <row r="1031">
      <c r="A1031" s="2" t="n">
        <v>46240</v>
      </c>
      <c r="B1031" s="3" t="inlineStr">
        <is>
          <t>INV-2608-1040</t>
        </is>
      </c>
      <c r="C1031" s="3" t="inlineStr">
        <is>
          <t>Verma Retail</t>
        </is>
      </c>
      <c r="D1031" s="3" t="inlineStr">
        <is>
          <t>Mango Juice 1L</t>
        </is>
      </c>
      <c r="E1031" s="3" t="inlineStr">
        <is>
          <t>Beverages</t>
        </is>
      </c>
      <c r="F1031" s="4" t="n">
        <v>31</v>
      </c>
      <c r="G1031" s="5" t="n">
        <v>125.37</v>
      </c>
      <c r="H1031" s="5">
        <f>F1031*G1031</f>
        <v/>
      </c>
      <c r="I1031" s="5">
        <f>F1031*VLOOKUP(D1031,Products!$B$2:$E$13,3,FALSE)</f>
        <v/>
      </c>
    </row>
    <row r="1032">
      <c r="A1032" s="2" t="n">
        <v>46240</v>
      </c>
      <c r="B1032" s="3" t="inlineStr">
        <is>
          <t>INV-2608-1041</t>
        </is>
      </c>
      <c r="C1032" s="3" t="inlineStr">
        <is>
          <t>Azad Stores</t>
        </is>
      </c>
      <c r="D1032" s="3" t="inlineStr">
        <is>
          <t>Dish Soap 500ml</t>
        </is>
      </c>
      <c r="E1032" s="3" t="inlineStr">
        <is>
          <t>Household</t>
        </is>
      </c>
      <c r="F1032" s="4" t="n">
        <v>14</v>
      </c>
      <c r="G1032" s="5" t="n">
        <v>101.47</v>
      </c>
      <c r="H1032" s="5">
        <f>F1032*G1032</f>
        <v/>
      </c>
      <c r="I1032" s="5">
        <f>F1032*VLOOKUP(D1032,Products!$B$2:$E$13,3,FALSE)</f>
        <v/>
      </c>
    </row>
    <row r="1033">
      <c r="A1033" s="2" t="n">
        <v>46240</v>
      </c>
      <c r="B1033" s="3" t="inlineStr">
        <is>
          <t>INV-2608-1042</t>
        </is>
      </c>
      <c r="C1033" s="3" t="inlineStr">
        <is>
          <t>Mishra Stores</t>
        </is>
      </c>
      <c r="D1033" s="3" t="inlineStr">
        <is>
          <t>Detergent 1kg</t>
        </is>
      </c>
      <c r="E1033" s="3" t="inlineStr">
        <is>
          <t>Household</t>
        </is>
      </c>
      <c r="F1033" s="4" t="n">
        <v>10</v>
      </c>
      <c r="G1033" s="5" t="n">
        <v>129.14</v>
      </c>
      <c r="H1033" s="5">
        <f>F1033*G1033</f>
        <v/>
      </c>
      <c r="I1033" s="5">
        <f>F1033*VLOOKUP(D1033,Products!$B$2:$E$13,3,FALSE)</f>
        <v/>
      </c>
    </row>
    <row r="1034">
      <c r="A1034" s="2" t="n">
        <v>46240</v>
      </c>
      <c r="B1034" s="3" t="inlineStr">
        <is>
          <t>INV-2608-1043</t>
        </is>
      </c>
      <c r="C1034" s="3" t="inlineStr">
        <is>
          <t>Sahu Traders</t>
        </is>
      </c>
      <c r="D1034" s="3" t="inlineStr">
        <is>
          <t>Paneer 200g</t>
        </is>
      </c>
      <c r="E1034" s="3" t="inlineStr">
        <is>
          <t>Dairy</t>
        </is>
      </c>
      <c r="F1034" s="4" t="n">
        <v>17</v>
      </c>
      <c r="G1034" s="5" t="n">
        <v>96.09999999999999</v>
      </c>
      <c r="H1034" s="5">
        <f>F1034*G1034</f>
        <v/>
      </c>
      <c r="I1034" s="5">
        <f>F1034*VLOOKUP(D1034,Products!$B$2:$E$13,3,FALSE)</f>
        <v/>
      </c>
    </row>
    <row r="1035">
      <c r="A1035" s="2" t="n">
        <v>46240</v>
      </c>
      <c r="B1035" s="3" t="inlineStr">
        <is>
          <t>INV-2608-1044</t>
        </is>
      </c>
      <c r="C1035" s="3" t="inlineStr">
        <is>
          <t>Gupta General Store</t>
        </is>
      </c>
      <c r="D1035" s="3" t="inlineStr">
        <is>
          <t>Detergent 1kg</t>
        </is>
      </c>
      <c r="E1035" s="3" t="inlineStr">
        <is>
          <t>Household</t>
        </is>
      </c>
      <c r="F1035" s="4" t="n">
        <v>37</v>
      </c>
      <c r="G1035" s="5" t="n">
        <v>134.13</v>
      </c>
      <c r="H1035" s="5">
        <f>F1035*G1035</f>
        <v/>
      </c>
      <c r="I1035" s="5">
        <f>F1035*VLOOKUP(D1035,Products!$B$2:$E$13,3,FALSE)</f>
        <v/>
      </c>
    </row>
    <row r="1036">
      <c r="A1036" s="2" t="n">
        <v>46240</v>
      </c>
      <c r="B1036" s="3" t="inlineStr">
        <is>
          <t>INV-2608-1045</t>
        </is>
      </c>
      <c r="C1036" s="3" t="inlineStr">
        <is>
          <t>Yadav Daily Needs</t>
        </is>
      </c>
      <c r="D1036" s="3" t="inlineStr">
        <is>
          <t>Dish Soap 500ml</t>
        </is>
      </c>
      <c r="E1036" s="3" t="inlineStr">
        <is>
          <t>Household</t>
        </is>
      </c>
      <c r="F1036" s="4" t="n">
        <v>41</v>
      </c>
      <c r="G1036" s="5" t="n">
        <v>96.55</v>
      </c>
      <c r="H1036" s="5">
        <f>F1036*G1036</f>
        <v/>
      </c>
      <c r="I1036" s="5">
        <f>F1036*VLOOKUP(D1036,Products!$B$2:$E$13,3,FALSE)</f>
        <v/>
      </c>
    </row>
    <row r="1037">
      <c r="A1037" s="2" t="n">
        <v>46240</v>
      </c>
      <c r="B1037" s="3" t="inlineStr">
        <is>
          <t>INV-2608-1046</t>
        </is>
      </c>
      <c r="C1037" s="3" t="inlineStr">
        <is>
          <t>Sinha Super Mart</t>
        </is>
      </c>
      <c r="D1037" s="3" t="inlineStr">
        <is>
          <t>Cola 750ml</t>
        </is>
      </c>
      <c r="E1037" s="3" t="inlineStr">
        <is>
          <t>Beverages</t>
        </is>
      </c>
      <c r="F1037" s="4" t="n">
        <v>68</v>
      </c>
      <c r="G1037" s="5" t="n">
        <v>44.9</v>
      </c>
      <c r="H1037" s="5">
        <f>F1037*G1037</f>
        <v/>
      </c>
      <c r="I1037" s="5">
        <f>F1037*VLOOKUP(D1037,Products!$B$2:$E$13,3,FALSE)</f>
        <v/>
      </c>
    </row>
    <row r="1038">
      <c r="A1038" s="2" t="n">
        <v>46240</v>
      </c>
      <c r="B1038" s="3" t="inlineStr">
        <is>
          <t>INV-2608-1047</t>
        </is>
      </c>
      <c r="C1038" s="3" t="inlineStr">
        <is>
          <t>Choudhary Mart</t>
        </is>
      </c>
      <c r="D1038" s="3" t="inlineStr">
        <is>
          <t>Floor Cleaner 1L</t>
        </is>
      </c>
      <c r="E1038" s="3" t="inlineStr">
        <is>
          <t>Household</t>
        </is>
      </c>
      <c r="F1038" s="4" t="n">
        <v>54</v>
      </c>
      <c r="G1038" s="5" t="n">
        <v>111.22</v>
      </c>
      <c r="H1038" s="5">
        <f>F1038*G1038</f>
        <v/>
      </c>
      <c r="I1038" s="5">
        <f>F1038*VLOOKUP(D1038,Products!$B$2:$E$13,3,FALSE)</f>
        <v/>
      </c>
    </row>
    <row r="1039">
      <c r="A1039" s="2" t="n">
        <v>46241</v>
      </c>
      <c r="B1039" s="3" t="inlineStr">
        <is>
          <t>INV-2608-1048</t>
        </is>
      </c>
      <c r="C1039" s="3" t="inlineStr">
        <is>
          <t>Pandey Stores</t>
        </is>
      </c>
      <c r="D1039" s="3" t="inlineStr">
        <is>
          <t>Instant Noodles 280g</t>
        </is>
      </c>
      <c r="E1039" s="3" t="inlineStr">
        <is>
          <t>Snacks</t>
        </is>
      </c>
      <c r="F1039" s="4" t="n">
        <v>3</v>
      </c>
      <c r="G1039" s="5" t="n">
        <v>55.11</v>
      </c>
      <c r="H1039" s="5">
        <f>F1039*G1039</f>
        <v/>
      </c>
      <c r="I1039" s="5">
        <f>F1039*VLOOKUP(D1039,Products!$B$2:$E$13,3,FALSE)</f>
        <v/>
      </c>
    </row>
    <row r="1040">
      <c r="A1040" s="2" t="n">
        <v>46241</v>
      </c>
      <c r="B1040" s="3" t="inlineStr">
        <is>
          <t>INV-2608-1049</t>
        </is>
      </c>
      <c r="C1040" s="3" t="inlineStr">
        <is>
          <t>Kumari Kirana</t>
        </is>
      </c>
      <c r="D1040" s="3" t="inlineStr">
        <is>
          <t>Paneer 200g</t>
        </is>
      </c>
      <c r="E1040" s="3" t="inlineStr">
        <is>
          <t>Dairy</t>
        </is>
      </c>
      <c r="F1040" s="4" t="n">
        <v>62</v>
      </c>
      <c r="G1040" s="5" t="n">
        <v>95.22</v>
      </c>
      <c r="H1040" s="5">
        <f>F1040*G1040</f>
        <v/>
      </c>
      <c r="I1040" s="5">
        <f>F1040*VLOOKUP(D1040,Products!$B$2:$E$13,3,FALSE)</f>
        <v/>
      </c>
    </row>
    <row r="1041">
      <c r="A1041" s="2" t="n">
        <v>46241</v>
      </c>
      <c r="B1041" s="3" t="inlineStr">
        <is>
          <t>INV-2608-1050</t>
        </is>
      </c>
      <c r="C1041" s="3" t="inlineStr">
        <is>
          <t>Raza Brothers</t>
        </is>
      </c>
      <c r="D1041" s="3" t="inlineStr">
        <is>
          <t>Paneer 200g</t>
        </is>
      </c>
      <c r="E1041" s="3" t="inlineStr">
        <is>
          <t>Dairy</t>
        </is>
      </c>
      <c r="F1041" s="4" t="n">
        <v>12</v>
      </c>
      <c r="G1041" s="5" t="n">
        <v>93.45</v>
      </c>
      <c r="H1041" s="5">
        <f>F1041*G1041</f>
        <v/>
      </c>
      <c r="I1041" s="5">
        <f>F1041*VLOOKUP(D1041,Products!$B$2:$E$13,3,FALSE)</f>
        <v/>
      </c>
    </row>
    <row r="1042">
      <c r="A1042" s="2" t="n">
        <v>46241</v>
      </c>
      <c r="B1042" s="3" t="inlineStr">
        <is>
          <t>INV-2608-1051</t>
        </is>
      </c>
      <c r="C1042" s="3" t="inlineStr">
        <is>
          <t>Das &amp; Sons</t>
        </is>
      </c>
      <c r="D1042" s="3" t="inlineStr">
        <is>
          <t>Packaged Water 1L</t>
        </is>
      </c>
      <c r="E1042" s="3" t="inlineStr">
        <is>
          <t>Beverages</t>
        </is>
      </c>
      <c r="F1042" s="4" t="n">
        <v>18</v>
      </c>
      <c r="G1042" s="5" t="n">
        <v>20.23</v>
      </c>
      <c r="H1042" s="5">
        <f>F1042*G1042</f>
        <v/>
      </c>
      <c r="I1042" s="5">
        <f>F1042*VLOOKUP(D1042,Products!$B$2:$E$13,3,FALSE)</f>
        <v/>
      </c>
    </row>
    <row r="1043">
      <c r="A1043" s="2" t="n">
        <v>46241</v>
      </c>
      <c r="B1043" s="3" t="inlineStr">
        <is>
          <t>INV-2608-1052</t>
        </is>
      </c>
      <c r="C1043" s="3" t="inlineStr">
        <is>
          <t>Patel Traders</t>
        </is>
      </c>
      <c r="D1043" s="3" t="inlineStr">
        <is>
          <t>Mango Juice 1L</t>
        </is>
      </c>
      <c r="E1043" s="3" t="inlineStr">
        <is>
          <t>Beverages</t>
        </is>
      </c>
      <c r="F1043" s="4" t="n">
        <v>46</v>
      </c>
      <c r="G1043" s="5" t="n">
        <v>122.98</v>
      </c>
      <c r="H1043" s="5">
        <f>F1043*G1043</f>
        <v/>
      </c>
      <c r="I1043" s="5">
        <f>F1043*VLOOKUP(D1043,Products!$B$2:$E$13,3,FALSE)</f>
        <v/>
      </c>
    </row>
    <row r="1044">
      <c r="A1044" s="2" t="n">
        <v>46241</v>
      </c>
      <c r="B1044" s="3" t="inlineStr">
        <is>
          <t>INV-2608-1053</t>
        </is>
      </c>
      <c r="C1044" s="3" t="inlineStr">
        <is>
          <t>Kumari Kirana</t>
        </is>
      </c>
      <c r="D1044" s="3" t="inlineStr">
        <is>
          <t>Dish Soap 500ml</t>
        </is>
      </c>
      <c r="E1044" s="3" t="inlineStr">
        <is>
          <t>Household</t>
        </is>
      </c>
      <c r="F1044" s="4" t="n">
        <v>27</v>
      </c>
      <c r="G1044" s="5" t="n">
        <v>100.96</v>
      </c>
      <c r="H1044" s="5">
        <f>F1044*G1044</f>
        <v/>
      </c>
      <c r="I1044" s="5">
        <f>F1044*VLOOKUP(D1044,Products!$B$2:$E$13,3,FALSE)</f>
        <v/>
      </c>
    </row>
    <row r="1045">
      <c r="A1045" s="2" t="n">
        <v>46242</v>
      </c>
      <c r="B1045" s="3" t="inlineStr">
        <is>
          <t>INV-2608-1054</t>
        </is>
      </c>
      <c r="C1045" s="3" t="inlineStr">
        <is>
          <t>Singh Super Bazaar</t>
        </is>
      </c>
      <c r="D1045" s="3" t="inlineStr">
        <is>
          <t>Toned Milk 1L</t>
        </is>
      </c>
      <c r="E1045" s="3" t="inlineStr">
        <is>
          <t>Dairy</t>
        </is>
      </c>
      <c r="F1045" s="4" t="n">
        <v>68</v>
      </c>
      <c r="G1045" s="5" t="n">
        <v>68.34</v>
      </c>
      <c r="H1045" s="5">
        <f>F1045*G1045</f>
        <v/>
      </c>
      <c r="I1045" s="5">
        <f>F1045*VLOOKUP(D1045,Products!$B$2:$E$13,3,FALSE)</f>
        <v/>
      </c>
    </row>
    <row r="1046">
      <c r="A1046" s="2" t="n">
        <v>46242</v>
      </c>
      <c r="B1046" s="3" t="inlineStr">
        <is>
          <t>INV-2608-1055</t>
        </is>
      </c>
      <c r="C1046" s="3" t="inlineStr">
        <is>
          <t>Choudhary Mart</t>
        </is>
      </c>
      <c r="D1046" s="3" t="inlineStr">
        <is>
          <t>Cola 750ml</t>
        </is>
      </c>
      <c r="E1046" s="3" t="inlineStr">
        <is>
          <t>Beverages</t>
        </is>
      </c>
      <c r="F1046" s="4" t="n">
        <v>12</v>
      </c>
      <c r="G1046" s="5" t="n">
        <v>44.97</v>
      </c>
      <c r="H1046" s="5">
        <f>F1046*G1046</f>
        <v/>
      </c>
      <c r="I1046" s="5">
        <f>F1046*VLOOKUP(D1046,Products!$B$2:$E$13,3,FALSE)</f>
        <v/>
      </c>
    </row>
    <row r="1047">
      <c r="A1047" s="2" t="n">
        <v>46242</v>
      </c>
      <c r="B1047" s="3" t="inlineStr">
        <is>
          <t>INV-2608-1056</t>
        </is>
      </c>
      <c r="C1047" s="3" t="inlineStr">
        <is>
          <t>Khan Mart</t>
        </is>
      </c>
      <c r="D1047" s="3" t="inlineStr">
        <is>
          <t>Instant Noodles 280g</t>
        </is>
      </c>
      <c r="E1047" s="3" t="inlineStr">
        <is>
          <t>Snacks</t>
        </is>
      </c>
      <c r="F1047" s="4" t="n">
        <v>30</v>
      </c>
      <c r="G1047" s="5" t="n">
        <v>56.75</v>
      </c>
      <c r="H1047" s="5">
        <f>F1047*G1047</f>
        <v/>
      </c>
      <c r="I1047" s="5">
        <f>F1047*VLOOKUP(D1047,Products!$B$2:$E$13,3,FALSE)</f>
        <v/>
      </c>
    </row>
    <row r="1048">
      <c r="A1048" s="2" t="n">
        <v>46242</v>
      </c>
      <c r="B1048" s="3" t="inlineStr">
        <is>
          <t>INV-2608-1057</t>
        </is>
      </c>
      <c r="C1048" s="3" t="inlineStr">
        <is>
          <t>Mishra Stores</t>
        </is>
      </c>
      <c r="D1048" s="3" t="inlineStr">
        <is>
          <t>Toned Milk 1L</t>
        </is>
      </c>
      <c r="E1048" s="3" t="inlineStr">
        <is>
          <t>Dairy</t>
        </is>
      </c>
      <c r="F1048" s="4" t="n">
        <v>60</v>
      </c>
      <c r="G1048" s="5" t="n">
        <v>68.84999999999999</v>
      </c>
      <c r="H1048" s="5">
        <f>F1048*G1048</f>
        <v/>
      </c>
      <c r="I1048" s="5">
        <f>F1048*VLOOKUP(D1048,Products!$B$2:$E$13,3,FALSE)</f>
        <v/>
      </c>
    </row>
    <row r="1049">
      <c r="A1049" s="2" t="n">
        <v>46242</v>
      </c>
      <c r="B1049" s="3" t="inlineStr">
        <is>
          <t>INV-2608-1058</t>
        </is>
      </c>
      <c r="C1049" s="3" t="inlineStr">
        <is>
          <t>Sharma Provision</t>
        </is>
      </c>
      <c r="D1049" s="3" t="inlineStr">
        <is>
          <t>Dish Soap 500ml</t>
        </is>
      </c>
      <c r="E1049" s="3" t="inlineStr">
        <is>
          <t>Household</t>
        </is>
      </c>
      <c r="F1049" s="4" t="n">
        <v>8</v>
      </c>
      <c r="G1049" s="5" t="n">
        <v>103.81</v>
      </c>
      <c r="H1049" s="5">
        <f>F1049*G1049</f>
        <v/>
      </c>
      <c r="I1049" s="5">
        <f>F1049*VLOOKUP(D1049,Products!$B$2:$E$13,3,FALSE)</f>
        <v/>
      </c>
    </row>
    <row r="1050">
      <c r="A1050" s="2" t="n">
        <v>46243</v>
      </c>
      <c r="B1050" s="3" t="inlineStr">
        <is>
          <t>INV-2608-1059</t>
        </is>
      </c>
      <c r="C1050" s="3" t="inlineStr">
        <is>
          <t>Nath Provisions</t>
        </is>
      </c>
      <c r="D1050" s="3" t="inlineStr">
        <is>
          <t>Cola 750ml</t>
        </is>
      </c>
      <c r="E1050" s="3" t="inlineStr">
        <is>
          <t>Beverages</t>
        </is>
      </c>
      <c r="F1050" s="4" t="n">
        <v>68</v>
      </c>
      <c r="G1050" s="5" t="n">
        <v>44.39</v>
      </c>
      <c r="H1050" s="5">
        <f>F1050*G1050</f>
        <v/>
      </c>
      <c r="I1050" s="5">
        <f>F1050*VLOOKUP(D1050,Products!$B$2:$E$13,3,FALSE)</f>
        <v/>
      </c>
    </row>
    <row r="1051">
      <c r="A1051" s="2" t="n">
        <v>46243</v>
      </c>
      <c r="B1051" s="3" t="inlineStr">
        <is>
          <t>INV-2608-1060</t>
        </is>
      </c>
      <c r="C1051" s="3" t="inlineStr">
        <is>
          <t>Rai Daily Mart</t>
        </is>
      </c>
      <c r="D1051" s="3" t="inlineStr">
        <is>
          <t>Detergent 1kg</t>
        </is>
      </c>
      <c r="E1051" s="3" t="inlineStr">
        <is>
          <t>Household</t>
        </is>
      </c>
      <c r="F1051" s="4" t="n">
        <v>59</v>
      </c>
      <c r="G1051" s="5" t="n">
        <v>134.01</v>
      </c>
      <c r="H1051" s="5">
        <f>F1051*G1051</f>
        <v/>
      </c>
      <c r="I1051" s="5">
        <f>F1051*VLOOKUP(D1051,Products!$B$2:$E$13,3,FALSE)</f>
        <v/>
      </c>
    </row>
    <row r="1052">
      <c r="A1052" s="2" t="n">
        <v>46243</v>
      </c>
      <c r="B1052" s="3" t="inlineStr">
        <is>
          <t>INV-2608-1061</t>
        </is>
      </c>
      <c r="C1052" s="3" t="inlineStr">
        <is>
          <t>Singh Super Bazaar</t>
        </is>
      </c>
      <c r="D1052" s="3" t="inlineStr">
        <is>
          <t>Curd Cup 400g</t>
        </is>
      </c>
      <c r="E1052" s="3" t="inlineStr">
        <is>
          <t>Dairy</t>
        </is>
      </c>
      <c r="F1052" s="4" t="n">
        <v>52</v>
      </c>
      <c r="G1052" s="5" t="n">
        <v>45.64</v>
      </c>
      <c r="H1052" s="5">
        <f>F1052*G1052</f>
        <v/>
      </c>
      <c r="I1052" s="5">
        <f>F1052*VLOOKUP(D1052,Products!$B$2:$E$13,3,FALSE)</f>
        <v/>
      </c>
    </row>
    <row r="1053">
      <c r="A1053" s="2" t="n">
        <v>46243</v>
      </c>
      <c r="B1053" s="3" t="inlineStr">
        <is>
          <t>INV-2608-1062</t>
        </is>
      </c>
      <c r="C1053" s="3" t="inlineStr">
        <is>
          <t>Dubey Kirana</t>
        </is>
      </c>
      <c r="D1053" s="3" t="inlineStr">
        <is>
          <t>Mango Juice 1L</t>
        </is>
      </c>
      <c r="E1053" s="3" t="inlineStr">
        <is>
          <t>Beverages</t>
        </is>
      </c>
      <c r="F1053" s="4" t="n">
        <v>21</v>
      </c>
      <c r="G1053" s="5" t="n">
        <v>119.48</v>
      </c>
      <c r="H1053" s="5">
        <f>F1053*G1053</f>
        <v/>
      </c>
      <c r="I1053" s="5">
        <f>F1053*VLOOKUP(D1053,Products!$B$2:$E$13,3,FALSE)</f>
        <v/>
      </c>
    </row>
    <row r="1054">
      <c r="A1054" s="2" t="n">
        <v>46243</v>
      </c>
      <c r="B1054" s="3" t="inlineStr">
        <is>
          <t>INV-2608-1063</t>
        </is>
      </c>
      <c r="C1054" s="3" t="inlineStr">
        <is>
          <t>Sahu Traders</t>
        </is>
      </c>
      <c r="D1054" s="3" t="inlineStr">
        <is>
          <t>Paneer 200g</t>
        </is>
      </c>
      <c r="E1054" s="3" t="inlineStr">
        <is>
          <t>Dairy</t>
        </is>
      </c>
      <c r="F1054" s="4" t="n">
        <v>6</v>
      </c>
      <c r="G1054" s="5" t="n">
        <v>98.84999999999999</v>
      </c>
      <c r="H1054" s="5">
        <f>F1054*G1054</f>
        <v/>
      </c>
      <c r="I1054" s="5">
        <f>F1054*VLOOKUP(D1054,Products!$B$2:$E$13,3,FALSE)</f>
        <v/>
      </c>
    </row>
    <row r="1055">
      <c r="A1055" s="2" t="n">
        <v>46243</v>
      </c>
      <c r="B1055" s="3" t="inlineStr">
        <is>
          <t>INV-2608-1064</t>
        </is>
      </c>
      <c r="C1055" s="3" t="inlineStr">
        <is>
          <t>Sharma Provision</t>
        </is>
      </c>
      <c r="D1055" s="3" t="inlineStr">
        <is>
          <t>Cola 750ml</t>
        </is>
      </c>
      <c r="E1055" s="3" t="inlineStr">
        <is>
          <t>Beverages</t>
        </is>
      </c>
      <c r="F1055" s="4" t="n">
        <v>59</v>
      </c>
      <c r="G1055" s="5" t="n">
        <v>46.14</v>
      </c>
      <c r="H1055" s="5">
        <f>F1055*G1055</f>
        <v/>
      </c>
      <c r="I1055" s="5">
        <f>F1055*VLOOKUP(D1055,Products!$B$2:$E$13,3,FALSE)</f>
        <v/>
      </c>
    </row>
    <row r="1056">
      <c r="A1056" s="2" t="n">
        <v>46243</v>
      </c>
      <c r="B1056" s="3" t="inlineStr">
        <is>
          <t>INV-2608-1065</t>
        </is>
      </c>
      <c r="C1056" s="3" t="inlineStr">
        <is>
          <t>Sharma Provision</t>
        </is>
      </c>
      <c r="D1056" s="3" t="inlineStr">
        <is>
          <t>Floor Cleaner 1L</t>
        </is>
      </c>
      <c r="E1056" s="3" t="inlineStr">
        <is>
          <t>Household</t>
        </is>
      </c>
      <c r="F1056" s="4" t="n">
        <v>58</v>
      </c>
      <c r="G1056" s="5" t="n">
        <v>109.24</v>
      </c>
      <c r="H1056" s="5">
        <f>F1056*G1056</f>
        <v/>
      </c>
      <c r="I1056" s="5">
        <f>F1056*VLOOKUP(D1056,Products!$B$2:$E$13,3,FALSE)</f>
        <v/>
      </c>
    </row>
    <row r="1057">
      <c r="A1057" s="2" t="n">
        <v>46244</v>
      </c>
      <c r="B1057" s="3" t="inlineStr">
        <is>
          <t>INV-2608-1066</t>
        </is>
      </c>
      <c r="C1057" s="3" t="inlineStr">
        <is>
          <t>Dubey Kirana</t>
        </is>
      </c>
      <c r="D1057" s="3" t="inlineStr">
        <is>
          <t>Packaged Water 1L</t>
        </is>
      </c>
      <c r="E1057" s="3" t="inlineStr">
        <is>
          <t>Beverages</t>
        </is>
      </c>
      <c r="F1057" s="4" t="n">
        <v>23</v>
      </c>
      <c r="G1057" s="5" t="n">
        <v>19.71</v>
      </c>
      <c r="H1057" s="5">
        <f>F1057*G1057</f>
        <v/>
      </c>
      <c r="I1057" s="5">
        <f>F1057*VLOOKUP(D1057,Products!$B$2:$E$13,3,FALSE)</f>
        <v/>
      </c>
    </row>
    <row r="1058">
      <c r="A1058" s="2" t="n">
        <v>46244</v>
      </c>
      <c r="B1058" s="3" t="inlineStr">
        <is>
          <t>INV-2608-1067</t>
        </is>
      </c>
      <c r="C1058" s="3" t="inlineStr">
        <is>
          <t>Tiwari General</t>
        </is>
      </c>
      <c r="D1058" s="3" t="inlineStr">
        <is>
          <t>Packaged Water 1L</t>
        </is>
      </c>
      <c r="E1058" s="3" t="inlineStr">
        <is>
          <t>Beverages</t>
        </is>
      </c>
      <c r="F1058" s="4" t="n">
        <v>45</v>
      </c>
      <c r="G1058" s="5" t="n">
        <v>20.27</v>
      </c>
      <c r="H1058" s="5">
        <f>F1058*G1058</f>
        <v/>
      </c>
      <c r="I1058" s="5">
        <f>F1058*VLOOKUP(D1058,Products!$B$2:$E$13,3,FALSE)</f>
        <v/>
      </c>
    </row>
    <row r="1059">
      <c r="A1059" s="2" t="n">
        <v>46244</v>
      </c>
      <c r="B1059" s="3" t="inlineStr">
        <is>
          <t>INV-2608-1068</t>
        </is>
      </c>
      <c r="C1059" s="3" t="inlineStr">
        <is>
          <t>Gupta General Store</t>
        </is>
      </c>
      <c r="D1059" s="3" t="inlineStr">
        <is>
          <t>Instant Noodles 280g</t>
        </is>
      </c>
      <c r="E1059" s="3" t="inlineStr">
        <is>
          <t>Snacks</t>
        </is>
      </c>
      <c r="F1059" s="4" t="n">
        <v>64</v>
      </c>
      <c r="G1059" s="5" t="n">
        <v>56.87</v>
      </c>
      <c r="H1059" s="5">
        <f>F1059*G1059</f>
        <v/>
      </c>
      <c r="I1059" s="5">
        <f>F1059*VLOOKUP(D1059,Products!$B$2:$E$13,3,FALSE)</f>
        <v/>
      </c>
    </row>
    <row r="1060">
      <c r="A1060" s="2" t="n">
        <v>46244</v>
      </c>
      <c r="B1060" s="3" t="inlineStr">
        <is>
          <t>INV-2608-1069</t>
        </is>
      </c>
      <c r="C1060" s="3" t="inlineStr">
        <is>
          <t>Sinha Super Mart</t>
        </is>
      </c>
      <c r="D1060" s="3" t="inlineStr">
        <is>
          <t>Floor Cleaner 1L</t>
        </is>
      </c>
      <c r="E1060" s="3" t="inlineStr">
        <is>
          <t>Household</t>
        </is>
      </c>
      <c r="F1060" s="4" t="n">
        <v>50</v>
      </c>
      <c r="G1060" s="5" t="n">
        <v>115.21</v>
      </c>
      <c r="H1060" s="5">
        <f>F1060*G1060</f>
        <v/>
      </c>
      <c r="I1060" s="5">
        <f>F1060*VLOOKUP(D1060,Products!$B$2:$E$13,3,FALSE)</f>
        <v/>
      </c>
    </row>
    <row r="1061">
      <c r="A1061" s="2" t="n">
        <v>46244</v>
      </c>
      <c r="B1061" s="3" t="inlineStr">
        <is>
          <t>INV-2608-1070</t>
        </is>
      </c>
      <c r="C1061" s="3" t="inlineStr">
        <is>
          <t>Choudhary Mart</t>
        </is>
      </c>
      <c r="D1061" s="3" t="inlineStr">
        <is>
          <t>Cola 750ml</t>
        </is>
      </c>
      <c r="E1061" s="3" t="inlineStr">
        <is>
          <t>Beverages</t>
        </is>
      </c>
      <c r="F1061" s="4" t="n">
        <v>16</v>
      </c>
      <c r="G1061" s="5" t="n">
        <v>45.96</v>
      </c>
      <c r="H1061" s="5">
        <f>F1061*G1061</f>
        <v/>
      </c>
      <c r="I1061" s="5">
        <f>F1061*VLOOKUP(D1061,Products!$B$2:$E$13,3,FALSE)</f>
        <v/>
      </c>
    </row>
    <row r="1062">
      <c r="A1062" s="2" t="n">
        <v>46244</v>
      </c>
      <c r="B1062" s="3" t="inlineStr">
        <is>
          <t>INV-2608-1071</t>
        </is>
      </c>
      <c r="C1062" s="3" t="inlineStr">
        <is>
          <t>Mehta Retail</t>
        </is>
      </c>
      <c r="D1062" s="3" t="inlineStr">
        <is>
          <t>Dish Soap 500ml</t>
        </is>
      </c>
      <c r="E1062" s="3" t="inlineStr">
        <is>
          <t>Household</t>
        </is>
      </c>
      <c r="F1062" s="4" t="n">
        <v>29</v>
      </c>
      <c r="G1062" s="5" t="n">
        <v>102.98</v>
      </c>
      <c r="H1062" s="5">
        <f>F1062*G1062</f>
        <v/>
      </c>
      <c r="I1062" s="5">
        <f>F1062*VLOOKUP(D1062,Products!$B$2:$E$13,3,FALSE)</f>
        <v/>
      </c>
    </row>
    <row r="1063">
      <c r="A1063" s="2" t="n">
        <v>46244</v>
      </c>
      <c r="B1063" s="3" t="inlineStr">
        <is>
          <t>INV-2608-1072</t>
        </is>
      </c>
      <c r="C1063" s="3" t="inlineStr">
        <is>
          <t>Patel Traders</t>
        </is>
      </c>
      <c r="D1063" s="3" t="inlineStr">
        <is>
          <t>Dish Soap 500ml</t>
        </is>
      </c>
      <c r="E1063" s="3" t="inlineStr">
        <is>
          <t>Household</t>
        </is>
      </c>
      <c r="F1063" s="4" t="n">
        <v>39</v>
      </c>
      <c r="G1063" s="5" t="n">
        <v>99.09</v>
      </c>
      <c r="H1063" s="5">
        <f>F1063*G1063</f>
        <v/>
      </c>
      <c r="I1063" s="5">
        <f>F1063*VLOOKUP(D1063,Products!$B$2:$E$13,3,FALSE)</f>
        <v/>
      </c>
    </row>
    <row r="1064">
      <c r="A1064" s="2" t="n">
        <v>46245</v>
      </c>
      <c r="B1064" s="3" t="inlineStr">
        <is>
          <t>INV-2608-1073</t>
        </is>
      </c>
      <c r="C1064" s="3" t="inlineStr">
        <is>
          <t>Ali General Store</t>
        </is>
      </c>
      <c r="D1064" s="3" t="inlineStr">
        <is>
          <t>Floor Cleaner 1L</t>
        </is>
      </c>
      <c r="E1064" s="3" t="inlineStr">
        <is>
          <t>Household</t>
        </is>
      </c>
      <c r="F1064" s="4" t="n">
        <v>16</v>
      </c>
      <c r="G1064" s="5" t="n">
        <v>108.94</v>
      </c>
      <c r="H1064" s="5">
        <f>F1064*G1064</f>
        <v/>
      </c>
      <c r="I1064" s="5">
        <f>F1064*VLOOKUP(D1064,Products!$B$2:$E$13,3,FALSE)</f>
        <v/>
      </c>
    </row>
    <row r="1065">
      <c r="A1065" s="2" t="n">
        <v>46245</v>
      </c>
      <c r="B1065" s="3" t="inlineStr">
        <is>
          <t>INV-2608-1074</t>
        </is>
      </c>
      <c r="C1065" s="3" t="inlineStr">
        <is>
          <t>Das &amp; Sons</t>
        </is>
      </c>
      <c r="D1065" s="3" t="inlineStr">
        <is>
          <t>Mango Juice 1L</t>
        </is>
      </c>
      <c r="E1065" s="3" t="inlineStr">
        <is>
          <t>Beverages</t>
        </is>
      </c>
      <c r="F1065" s="4" t="n">
        <v>10</v>
      </c>
      <c r="G1065" s="5" t="n">
        <v>123.35</v>
      </c>
      <c r="H1065" s="5">
        <f>F1065*G1065</f>
        <v/>
      </c>
      <c r="I1065" s="5">
        <f>F1065*VLOOKUP(D1065,Products!$B$2:$E$13,3,FALSE)</f>
        <v/>
      </c>
    </row>
    <row r="1066">
      <c r="A1066" s="2" t="n">
        <v>46245</v>
      </c>
      <c r="B1066" s="3" t="inlineStr">
        <is>
          <t>INV-2608-1075</t>
        </is>
      </c>
      <c r="C1066" s="3" t="inlineStr">
        <is>
          <t>Choudhary Mart</t>
        </is>
      </c>
      <c r="D1066" s="3" t="inlineStr">
        <is>
          <t>Packaged Water 1L</t>
        </is>
      </c>
      <c r="E1066" s="3" t="inlineStr">
        <is>
          <t>Beverages</t>
        </is>
      </c>
      <c r="F1066" s="4" t="n">
        <v>15</v>
      </c>
      <c r="G1066" s="5" t="n">
        <v>20.17</v>
      </c>
      <c r="H1066" s="5">
        <f>F1066*G1066</f>
        <v/>
      </c>
      <c r="I1066" s="5">
        <f>F1066*VLOOKUP(D1066,Products!$B$2:$E$13,3,FALSE)</f>
        <v/>
      </c>
    </row>
    <row r="1067">
      <c r="A1067" s="2" t="n">
        <v>46245</v>
      </c>
      <c r="B1067" s="3" t="inlineStr">
        <is>
          <t>INV-2608-1076</t>
        </is>
      </c>
      <c r="C1067" s="3" t="inlineStr">
        <is>
          <t>Das &amp; Sons</t>
        </is>
      </c>
      <c r="D1067" s="3" t="inlineStr">
        <is>
          <t>Detergent 1kg</t>
        </is>
      </c>
      <c r="E1067" s="3" t="inlineStr">
        <is>
          <t>Household</t>
        </is>
      </c>
      <c r="F1067" s="4" t="n">
        <v>39</v>
      </c>
      <c r="G1067" s="5" t="n">
        <v>135.31</v>
      </c>
      <c r="H1067" s="5">
        <f>F1067*G1067</f>
        <v/>
      </c>
      <c r="I1067" s="5">
        <f>F1067*VLOOKUP(D1067,Products!$B$2:$E$13,3,FALSE)</f>
        <v/>
      </c>
    </row>
    <row r="1068">
      <c r="A1068" s="2" t="n">
        <v>46245</v>
      </c>
      <c r="B1068" s="3" t="inlineStr">
        <is>
          <t>INV-2608-1077</t>
        </is>
      </c>
      <c r="C1068" s="3" t="inlineStr">
        <is>
          <t>Yadav Daily Needs</t>
        </is>
      </c>
      <c r="D1068" s="3" t="inlineStr">
        <is>
          <t>Detergent 1kg</t>
        </is>
      </c>
      <c r="E1068" s="3" t="inlineStr">
        <is>
          <t>Household</t>
        </is>
      </c>
      <c r="F1068" s="4" t="n">
        <v>21</v>
      </c>
      <c r="G1068" s="5" t="n">
        <v>135.25</v>
      </c>
      <c r="H1068" s="5">
        <f>F1068*G1068</f>
        <v/>
      </c>
      <c r="I1068" s="5">
        <f>F1068*VLOOKUP(D1068,Products!$B$2:$E$13,3,FALSE)</f>
        <v/>
      </c>
    </row>
    <row r="1069">
      <c r="A1069" s="2" t="n">
        <v>46246</v>
      </c>
      <c r="B1069" s="3" t="inlineStr">
        <is>
          <t>INV-2608-1078</t>
        </is>
      </c>
      <c r="C1069" s="3" t="inlineStr">
        <is>
          <t>Pandey Stores</t>
        </is>
      </c>
      <c r="D1069" s="3" t="inlineStr">
        <is>
          <t>Biscuits 400g</t>
        </is>
      </c>
      <c r="E1069" s="3" t="inlineStr">
        <is>
          <t>Snacks</t>
        </is>
      </c>
      <c r="F1069" s="4" t="n">
        <v>25</v>
      </c>
      <c r="G1069" s="5" t="n">
        <v>39.02</v>
      </c>
      <c r="H1069" s="5">
        <f>F1069*G1069</f>
        <v/>
      </c>
      <c r="I1069" s="5">
        <f>F1069*VLOOKUP(D1069,Products!$B$2:$E$13,3,FALSE)</f>
        <v/>
      </c>
    </row>
    <row r="1070">
      <c r="A1070" s="2" t="n">
        <v>46246</v>
      </c>
      <c r="B1070" s="3" t="inlineStr">
        <is>
          <t>INV-2608-1079</t>
        </is>
      </c>
      <c r="C1070" s="3" t="inlineStr">
        <is>
          <t>Sharma Provision</t>
        </is>
      </c>
      <c r="D1070" s="3" t="inlineStr">
        <is>
          <t>Curd Cup 400g</t>
        </is>
      </c>
      <c r="E1070" s="3" t="inlineStr">
        <is>
          <t>Dairy</t>
        </is>
      </c>
      <c r="F1070" s="4" t="n">
        <v>46</v>
      </c>
      <c r="G1070" s="5" t="n">
        <v>45.17</v>
      </c>
      <c r="H1070" s="5">
        <f>F1070*G1070</f>
        <v/>
      </c>
      <c r="I1070" s="5">
        <f>F1070*VLOOKUP(D1070,Products!$B$2:$E$13,3,FALSE)</f>
        <v/>
      </c>
    </row>
    <row r="1071">
      <c r="A1071" s="2" t="n">
        <v>46246</v>
      </c>
      <c r="B1071" s="3" t="inlineStr">
        <is>
          <t>INV-2608-1080</t>
        </is>
      </c>
      <c r="C1071" s="3" t="inlineStr">
        <is>
          <t>Choudhary Mart</t>
        </is>
      </c>
      <c r="D1071" s="3" t="inlineStr">
        <is>
          <t>Floor Cleaner 1L</t>
        </is>
      </c>
      <c r="E1071" s="3" t="inlineStr">
        <is>
          <t>Household</t>
        </is>
      </c>
      <c r="F1071" s="4" t="n">
        <v>23</v>
      </c>
      <c r="G1071" s="5" t="n">
        <v>110</v>
      </c>
      <c r="H1071" s="5">
        <f>F1071*G1071</f>
        <v/>
      </c>
      <c r="I1071" s="5">
        <f>F1071*VLOOKUP(D1071,Products!$B$2:$E$13,3,FALSE)</f>
        <v/>
      </c>
    </row>
    <row r="1072">
      <c r="A1072" s="2" t="n">
        <v>46246</v>
      </c>
      <c r="B1072" s="3" t="inlineStr">
        <is>
          <t>INV-2608-1081</t>
        </is>
      </c>
      <c r="C1072" s="3" t="inlineStr">
        <is>
          <t>Jha Provisions</t>
        </is>
      </c>
      <c r="D1072" s="3" t="inlineStr">
        <is>
          <t>Paneer 200g</t>
        </is>
      </c>
      <c r="E1072" s="3" t="inlineStr">
        <is>
          <t>Dairy</t>
        </is>
      </c>
      <c r="F1072" s="4" t="n">
        <v>21</v>
      </c>
      <c r="G1072" s="5" t="n">
        <v>97.76000000000001</v>
      </c>
      <c r="H1072" s="5">
        <f>F1072*G1072</f>
        <v/>
      </c>
      <c r="I1072" s="5">
        <f>F1072*VLOOKUP(D1072,Products!$B$2:$E$13,3,FALSE)</f>
        <v/>
      </c>
    </row>
    <row r="1073">
      <c r="A1073" s="2" t="n">
        <v>46246</v>
      </c>
      <c r="B1073" s="3" t="inlineStr">
        <is>
          <t>INV-2608-1082</t>
        </is>
      </c>
      <c r="C1073" s="3" t="inlineStr">
        <is>
          <t>Mehta Retail</t>
        </is>
      </c>
      <c r="D1073" s="3" t="inlineStr">
        <is>
          <t>Dish Soap 500ml</t>
        </is>
      </c>
      <c r="E1073" s="3" t="inlineStr">
        <is>
          <t>Household</t>
        </is>
      </c>
      <c r="F1073" s="4" t="n">
        <v>31</v>
      </c>
      <c r="G1073" s="5" t="n">
        <v>102.91</v>
      </c>
      <c r="H1073" s="5">
        <f>F1073*G1073</f>
        <v/>
      </c>
      <c r="I1073" s="5">
        <f>F1073*VLOOKUP(D1073,Products!$B$2:$E$13,3,FALSE)</f>
        <v/>
      </c>
    </row>
    <row r="1074">
      <c r="A1074" s="2" t="n">
        <v>46246</v>
      </c>
      <c r="B1074" s="3" t="inlineStr">
        <is>
          <t>INV-2608-1083</t>
        </is>
      </c>
      <c r="C1074" s="3" t="inlineStr">
        <is>
          <t>Prasad Traders</t>
        </is>
      </c>
      <c r="D1074" s="3" t="inlineStr">
        <is>
          <t>Mango Juice 1L</t>
        </is>
      </c>
      <c r="E1074" s="3" t="inlineStr">
        <is>
          <t>Beverages</t>
        </is>
      </c>
      <c r="F1074" s="4" t="n">
        <v>27</v>
      </c>
      <c r="G1074" s="5" t="n">
        <v>119.04</v>
      </c>
      <c r="H1074" s="5">
        <f>F1074*G1074</f>
        <v/>
      </c>
      <c r="I1074" s="5">
        <f>F1074*VLOOKUP(D1074,Products!$B$2:$E$13,3,FALSE)</f>
        <v/>
      </c>
    </row>
    <row r="1075">
      <c r="A1075" s="2" t="n">
        <v>46246</v>
      </c>
      <c r="B1075" s="3" t="inlineStr">
        <is>
          <t>INV-2608-1084</t>
        </is>
      </c>
      <c r="C1075" s="3" t="inlineStr">
        <is>
          <t>Kumari Kirana</t>
        </is>
      </c>
      <c r="D1075" s="3" t="inlineStr">
        <is>
          <t>Toned Milk 1L</t>
        </is>
      </c>
      <c r="E1075" s="3" t="inlineStr">
        <is>
          <t>Dairy</t>
        </is>
      </c>
      <c r="F1075" s="4" t="n">
        <v>29</v>
      </c>
      <c r="G1075" s="5" t="n">
        <v>64.42</v>
      </c>
      <c r="H1075" s="5">
        <f>F1075*G1075</f>
        <v/>
      </c>
      <c r="I1075" s="5">
        <f>F1075*VLOOKUP(D1075,Products!$B$2:$E$13,3,FALSE)</f>
        <v/>
      </c>
    </row>
    <row r="1076">
      <c r="A1076" s="2" t="n">
        <v>46246</v>
      </c>
      <c r="B1076" s="3" t="inlineStr">
        <is>
          <t>INV-2608-1085</t>
        </is>
      </c>
      <c r="C1076" s="3" t="inlineStr">
        <is>
          <t>Das &amp; Sons</t>
        </is>
      </c>
      <c r="D1076" s="3" t="inlineStr">
        <is>
          <t>Dish Soap 500ml</t>
        </is>
      </c>
      <c r="E1076" s="3" t="inlineStr">
        <is>
          <t>Household</t>
        </is>
      </c>
      <c r="F1076" s="4" t="n">
        <v>24</v>
      </c>
      <c r="G1076" s="5" t="n">
        <v>103.78</v>
      </c>
      <c r="H1076" s="5">
        <f>F1076*G1076</f>
        <v/>
      </c>
      <c r="I1076" s="5">
        <f>F1076*VLOOKUP(D1076,Products!$B$2:$E$13,3,FALSE)</f>
        <v/>
      </c>
    </row>
    <row r="1077">
      <c r="A1077" s="2" t="n">
        <v>46247</v>
      </c>
      <c r="B1077" s="3" t="inlineStr">
        <is>
          <t>INV-2608-1086</t>
        </is>
      </c>
      <c r="C1077" s="3" t="inlineStr">
        <is>
          <t>Verma Retail</t>
        </is>
      </c>
      <c r="D1077" s="3" t="inlineStr">
        <is>
          <t>Potato Chips 150g</t>
        </is>
      </c>
      <c r="E1077" s="3" t="inlineStr">
        <is>
          <t>Snacks</t>
        </is>
      </c>
      <c r="F1077" s="4" t="n">
        <v>25</v>
      </c>
      <c r="G1077" s="5" t="n">
        <v>52.28</v>
      </c>
      <c r="H1077" s="5">
        <f>F1077*G1077</f>
        <v/>
      </c>
      <c r="I1077" s="5">
        <f>F1077*VLOOKUP(D1077,Products!$B$2:$E$13,3,FALSE)</f>
        <v/>
      </c>
    </row>
    <row r="1078">
      <c r="A1078" s="2" t="n">
        <v>46247</v>
      </c>
      <c r="B1078" s="3" t="inlineStr">
        <is>
          <t>INV-2608-1087</t>
        </is>
      </c>
      <c r="C1078" s="3" t="inlineStr">
        <is>
          <t>Raza Brothers</t>
        </is>
      </c>
      <c r="D1078" s="3" t="inlineStr">
        <is>
          <t>Cola 750ml</t>
        </is>
      </c>
      <c r="E1078" s="3" t="inlineStr">
        <is>
          <t>Beverages</t>
        </is>
      </c>
      <c r="F1078" s="4" t="n">
        <v>10</v>
      </c>
      <c r="G1078" s="5" t="n">
        <v>45.69</v>
      </c>
      <c r="H1078" s="5">
        <f>F1078*G1078</f>
        <v/>
      </c>
      <c r="I1078" s="5">
        <f>F1078*VLOOKUP(D1078,Products!$B$2:$E$13,3,FALSE)</f>
        <v/>
      </c>
    </row>
    <row r="1079">
      <c r="A1079" s="2" t="n">
        <v>46247</v>
      </c>
      <c r="B1079" s="3" t="inlineStr">
        <is>
          <t>INV-2608-1088</t>
        </is>
      </c>
      <c r="C1079" s="3" t="inlineStr">
        <is>
          <t>Rai Daily Mart</t>
        </is>
      </c>
      <c r="D1079" s="3" t="inlineStr">
        <is>
          <t>Cola 750ml</t>
        </is>
      </c>
      <c r="E1079" s="3" t="inlineStr">
        <is>
          <t>Beverages</t>
        </is>
      </c>
      <c r="F1079" s="4" t="n">
        <v>61</v>
      </c>
      <c r="G1079" s="5" t="n">
        <v>44.04</v>
      </c>
      <c r="H1079" s="5">
        <f>F1079*G1079</f>
        <v/>
      </c>
      <c r="I1079" s="5">
        <f>F1079*VLOOKUP(D1079,Products!$B$2:$E$13,3,FALSE)</f>
        <v/>
      </c>
    </row>
    <row r="1080">
      <c r="A1080" s="2" t="n">
        <v>46247</v>
      </c>
      <c r="B1080" s="3" t="inlineStr">
        <is>
          <t>INV-2608-1089</t>
        </is>
      </c>
      <c r="C1080" s="3" t="inlineStr">
        <is>
          <t>Ali General Store</t>
        </is>
      </c>
      <c r="D1080" s="3" t="inlineStr">
        <is>
          <t>Biscuits 400g</t>
        </is>
      </c>
      <c r="E1080" s="3" t="inlineStr">
        <is>
          <t>Snacks</t>
        </is>
      </c>
      <c r="F1080" s="4" t="n">
        <v>40</v>
      </c>
      <c r="G1080" s="5" t="n">
        <v>41.07</v>
      </c>
      <c r="H1080" s="5">
        <f>F1080*G1080</f>
        <v/>
      </c>
      <c r="I1080" s="5">
        <f>F1080*VLOOKUP(D1080,Products!$B$2:$E$13,3,FALSE)</f>
        <v/>
      </c>
    </row>
    <row r="1081">
      <c r="A1081" s="2" t="n">
        <v>46247</v>
      </c>
      <c r="B1081" s="3" t="inlineStr">
        <is>
          <t>INV-2608-1090</t>
        </is>
      </c>
      <c r="C1081" s="3" t="inlineStr">
        <is>
          <t>Patel Traders</t>
        </is>
      </c>
      <c r="D1081" s="3" t="inlineStr">
        <is>
          <t>Toned Milk 1L</t>
        </is>
      </c>
      <c r="E1081" s="3" t="inlineStr">
        <is>
          <t>Dairy</t>
        </is>
      </c>
      <c r="F1081" s="4" t="n">
        <v>29</v>
      </c>
      <c r="G1081" s="5" t="n">
        <v>66.44</v>
      </c>
      <c r="H1081" s="5">
        <f>F1081*G1081</f>
        <v/>
      </c>
      <c r="I1081" s="5">
        <f>F1081*VLOOKUP(D1081,Products!$B$2:$E$13,3,FALSE)</f>
        <v/>
      </c>
    </row>
    <row r="1082">
      <c r="A1082" s="2" t="n">
        <v>46248</v>
      </c>
      <c r="B1082" s="3" t="inlineStr">
        <is>
          <t>INV-2608-1091</t>
        </is>
      </c>
      <c r="C1082" s="3" t="inlineStr">
        <is>
          <t>Raza Brothers</t>
        </is>
      </c>
      <c r="D1082" s="3" t="inlineStr">
        <is>
          <t>Biscuits 400g</t>
        </is>
      </c>
      <c r="E1082" s="3" t="inlineStr">
        <is>
          <t>Snacks</t>
        </is>
      </c>
      <c r="F1082" s="4" t="n">
        <v>59</v>
      </c>
      <c r="G1082" s="5" t="n">
        <v>40.27</v>
      </c>
      <c r="H1082" s="5">
        <f>F1082*G1082</f>
        <v/>
      </c>
      <c r="I1082" s="5">
        <f>F1082*VLOOKUP(D1082,Products!$B$2:$E$13,3,FALSE)</f>
        <v/>
      </c>
    </row>
    <row r="1083">
      <c r="A1083" s="2" t="n">
        <v>46248</v>
      </c>
      <c r="B1083" s="3" t="inlineStr">
        <is>
          <t>INV-2608-1092</t>
        </is>
      </c>
      <c r="C1083" s="3" t="inlineStr">
        <is>
          <t>Tiwari General</t>
        </is>
      </c>
      <c r="D1083" s="3" t="inlineStr">
        <is>
          <t>Cola 750ml</t>
        </is>
      </c>
      <c r="E1083" s="3" t="inlineStr">
        <is>
          <t>Beverages</t>
        </is>
      </c>
      <c r="F1083" s="4" t="n">
        <v>19</v>
      </c>
      <c r="G1083" s="5" t="n">
        <v>45.54</v>
      </c>
      <c r="H1083" s="5">
        <f>F1083*G1083</f>
        <v/>
      </c>
      <c r="I1083" s="5">
        <f>F1083*VLOOKUP(D1083,Products!$B$2:$E$13,3,FALSE)</f>
        <v/>
      </c>
    </row>
    <row r="1084">
      <c r="A1084" s="2" t="n">
        <v>46248</v>
      </c>
      <c r="B1084" s="3" t="inlineStr">
        <is>
          <t>INV-2608-1093</t>
        </is>
      </c>
      <c r="C1084" s="3" t="inlineStr">
        <is>
          <t>Ali General Store</t>
        </is>
      </c>
      <c r="D1084" s="3" t="inlineStr">
        <is>
          <t>Potato Chips 150g</t>
        </is>
      </c>
      <c r="E1084" s="3" t="inlineStr">
        <is>
          <t>Snacks</t>
        </is>
      </c>
      <c r="F1084" s="4" t="n">
        <v>23</v>
      </c>
      <c r="G1084" s="5" t="n">
        <v>51.15</v>
      </c>
      <c r="H1084" s="5">
        <f>F1084*G1084</f>
        <v/>
      </c>
      <c r="I1084" s="5">
        <f>F1084*VLOOKUP(D1084,Products!$B$2:$E$13,3,FALSE)</f>
        <v/>
      </c>
    </row>
    <row r="1085">
      <c r="A1085" s="2" t="n">
        <v>46248</v>
      </c>
      <c r="B1085" s="3" t="inlineStr">
        <is>
          <t>INV-2608-1094</t>
        </is>
      </c>
      <c r="C1085" s="3" t="inlineStr">
        <is>
          <t>Dubey Kirana</t>
        </is>
      </c>
      <c r="D1085" s="3" t="inlineStr">
        <is>
          <t>Packaged Water 1L</t>
        </is>
      </c>
      <c r="E1085" s="3" t="inlineStr">
        <is>
          <t>Beverages</t>
        </is>
      </c>
      <c r="F1085" s="4" t="n">
        <v>62</v>
      </c>
      <c r="G1085" s="5" t="n">
        <v>20.2</v>
      </c>
      <c r="H1085" s="5">
        <f>F1085*G1085</f>
        <v/>
      </c>
      <c r="I1085" s="5">
        <f>F1085*VLOOKUP(D1085,Products!$B$2:$E$13,3,FALSE)</f>
        <v/>
      </c>
    </row>
    <row r="1086">
      <c r="A1086" s="2" t="n">
        <v>46248</v>
      </c>
      <c r="B1086" s="3" t="inlineStr">
        <is>
          <t>INV-2608-1095</t>
        </is>
      </c>
      <c r="C1086" s="3" t="inlineStr">
        <is>
          <t>Jha Provisions</t>
        </is>
      </c>
      <c r="D1086" s="3" t="inlineStr">
        <is>
          <t>Instant Noodles 280g</t>
        </is>
      </c>
      <c r="E1086" s="3" t="inlineStr">
        <is>
          <t>Snacks</t>
        </is>
      </c>
      <c r="F1086" s="4" t="n">
        <v>38</v>
      </c>
      <c r="G1086" s="5" t="n">
        <v>57.42</v>
      </c>
      <c r="H1086" s="5">
        <f>F1086*G1086</f>
        <v/>
      </c>
      <c r="I1086" s="5">
        <f>F1086*VLOOKUP(D1086,Products!$B$2:$E$13,3,FALSE)</f>
        <v/>
      </c>
    </row>
    <row r="1087">
      <c r="A1087" s="2" t="n">
        <v>46248</v>
      </c>
      <c r="B1087" s="3" t="inlineStr">
        <is>
          <t>INV-2608-1096</t>
        </is>
      </c>
      <c r="C1087" s="3" t="inlineStr">
        <is>
          <t>Patel Traders</t>
        </is>
      </c>
      <c r="D1087" s="3" t="inlineStr">
        <is>
          <t>Potato Chips 150g</t>
        </is>
      </c>
      <c r="E1087" s="3" t="inlineStr">
        <is>
          <t>Snacks</t>
        </is>
      </c>
      <c r="F1087" s="4" t="n">
        <v>9</v>
      </c>
      <c r="G1087" s="5" t="n">
        <v>50.73</v>
      </c>
      <c r="H1087" s="5">
        <f>F1087*G1087</f>
        <v/>
      </c>
      <c r="I1087" s="5">
        <f>F1087*VLOOKUP(D1087,Products!$B$2:$E$13,3,FALSE)</f>
        <v/>
      </c>
    </row>
    <row r="1088">
      <c r="A1088" s="2" t="n">
        <v>46249</v>
      </c>
      <c r="B1088" s="3" t="inlineStr">
        <is>
          <t>INV-2608-1097</t>
        </is>
      </c>
      <c r="C1088" s="3" t="inlineStr">
        <is>
          <t>Verma Retail</t>
        </is>
      </c>
      <c r="D1088" s="3" t="inlineStr">
        <is>
          <t>Dish Soap 500ml</t>
        </is>
      </c>
      <c r="E1088" s="3" t="inlineStr">
        <is>
          <t>Household</t>
        </is>
      </c>
      <c r="F1088" s="4" t="n">
        <v>43</v>
      </c>
      <c r="G1088" s="5" t="n">
        <v>103.68</v>
      </c>
      <c r="H1088" s="5">
        <f>F1088*G1088</f>
        <v/>
      </c>
      <c r="I1088" s="5">
        <f>F1088*VLOOKUP(D1088,Products!$B$2:$E$13,3,FALSE)</f>
        <v/>
      </c>
    </row>
    <row r="1089">
      <c r="A1089" s="2" t="n">
        <v>46249</v>
      </c>
      <c r="B1089" s="3" t="inlineStr">
        <is>
          <t>INV-2608-1098</t>
        </is>
      </c>
      <c r="C1089" s="3" t="inlineStr">
        <is>
          <t>Kumari Kirana</t>
        </is>
      </c>
      <c r="D1089" s="3" t="inlineStr">
        <is>
          <t>Packaged Water 1L</t>
        </is>
      </c>
      <c r="E1089" s="3" t="inlineStr">
        <is>
          <t>Beverages</t>
        </is>
      </c>
      <c r="F1089" s="4" t="n">
        <v>51</v>
      </c>
      <c r="G1089" s="5" t="n">
        <v>20</v>
      </c>
      <c r="H1089" s="5">
        <f>F1089*G1089</f>
        <v/>
      </c>
      <c r="I1089" s="5">
        <f>F1089*VLOOKUP(D1089,Products!$B$2:$E$13,3,FALSE)</f>
        <v/>
      </c>
    </row>
    <row r="1090">
      <c r="A1090" s="2" t="n">
        <v>46249</v>
      </c>
      <c r="B1090" s="3" t="inlineStr">
        <is>
          <t>INV-2608-1099</t>
        </is>
      </c>
      <c r="C1090" s="3" t="inlineStr">
        <is>
          <t>Pandey Stores</t>
        </is>
      </c>
      <c r="D1090" s="3" t="inlineStr">
        <is>
          <t>Detergent 1kg</t>
        </is>
      </c>
      <c r="E1090" s="3" t="inlineStr">
        <is>
          <t>Household</t>
        </is>
      </c>
      <c r="F1090" s="4" t="n">
        <v>56</v>
      </c>
      <c r="G1090" s="5" t="n">
        <v>135.99</v>
      </c>
      <c r="H1090" s="5">
        <f>F1090*G1090</f>
        <v/>
      </c>
      <c r="I1090" s="5">
        <f>F1090*VLOOKUP(D1090,Products!$B$2:$E$13,3,FALSE)</f>
        <v/>
      </c>
    </row>
    <row r="1091">
      <c r="A1091" s="2" t="n">
        <v>46249</v>
      </c>
      <c r="B1091" s="3" t="inlineStr">
        <is>
          <t>INV-2608-1100</t>
        </is>
      </c>
      <c r="C1091" s="3" t="inlineStr">
        <is>
          <t>Gupta General Store</t>
        </is>
      </c>
      <c r="D1091" s="3" t="inlineStr">
        <is>
          <t>Dish Soap 500ml</t>
        </is>
      </c>
      <c r="E1091" s="3" t="inlineStr">
        <is>
          <t>Household</t>
        </is>
      </c>
      <c r="F1091" s="4" t="n">
        <v>51</v>
      </c>
      <c r="G1091" s="5" t="n">
        <v>103.25</v>
      </c>
      <c r="H1091" s="5">
        <f>F1091*G1091</f>
        <v/>
      </c>
      <c r="I1091" s="5">
        <f>F1091*VLOOKUP(D1091,Products!$B$2:$E$13,3,FALSE)</f>
        <v/>
      </c>
    </row>
    <row r="1092">
      <c r="A1092" s="2" t="n">
        <v>46249</v>
      </c>
      <c r="B1092" s="3" t="inlineStr">
        <is>
          <t>INV-2608-1101</t>
        </is>
      </c>
      <c r="C1092" s="3" t="inlineStr">
        <is>
          <t>Raza Brothers</t>
        </is>
      </c>
      <c r="D1092" s="3" t="inlineStr">
        <is>
          <t>Curd Cup 400g</t>
        </is>
      </c>
      <c r="E1092" s="3" t="inlineStr">
        <is>
          <t>Dairy</t>
        </is>
      </c>
      <c r="F1092" s="4" t="n">
        <v>27</v>
      </c>
      <c r="G1092" s="5" t="n">
        <v>44.22</v>
      </c>
      <c r="H1092" s="5">
        <f>F1092*G1092</f>
        <v/>
      </c>
      <c r="I1092" s="5">
        <f>F1092*VLOOKUP(D1092,Products!$B$2:$E$13,3,FALSE)</f>
        <v/>
      </c>
    </row>
    <row r="1093">
      <c r="A1093" s="2" t="n">
        <v>46249</v>
      </c>
      <c r="B1093" s="3" t="inlineStr">
        <is>
          <t>INV-2608-1102</t>
        </is>
      </c>
      <c r="C1093" s="3" t="inlineStr">
        <is>
          <t>Sharma Provision</t>
        </is>
      </c>
      <c r="D1093" s="3" t="inlineStr">
        <is>
          <t>Floor Cleaner 1L</t>
        </is>
      </c>
      <c r="E1093" s="3" t="inlineStr">
        <is>
          <t>Household</t>
        </is>
      </c>
      <c r="F1093" s="4" t="n">
        <v>55</v>
      </c>
      <c r="G1093" s="5" t="n">
        <v>110.62</v>
      </c>
      <c r="H1093" s="5">
        <f>F1093*G1093</f>
        <v/>
      </c>
      <c r="I1093" s="5">
        <f>F1093*VLOOKUP(D1093,Products!$B$2:$E$13,3,FALSE)</f>
        <v/>
      </c>
    </row>
    <row r="1094">
      <c r="A1094" s="2" t="n">
        <v>46249</v>
      </c>
      <c r="B1094" s="3" t="inlineStr">
        <is>
          <t>INV-2608-1103</t>
        </is>
      </c>
      <c r="C1094" s="3" t="inlineStr">
        <is>
          <t>Khan Mart</t>
        </is>
      </c>
      <c r="D1094" s="3" t="inlineStr">
        <is>
          <t>Curd Cup 400g</t>
        </is>
      </c>
      <c r="E1094" s="3" t="inlineStr">
        <is>
          <t>Dairy</t>
        </is>
      </c>
      <c r="F1094" s="4" t="n">
        <v>51</v>
      </c>
      <c r="G1094" s="5" t="n">
        <v>45.25</v>
      </c>
      <c r="H1094" s="5">
        <f>F1094*G1094</f>
        <v/>
      </c>
      <c r="I1094" s="5">
        <f>F1094*VLOOKUP(D1094,Products!$B$2:$E$13,3,FALSE)</f>
        <v/>
      </c>
    </row>
    <row r="1095">
      <c r="A1095" s="2" t="n">
        <v>46250</v>
      </c>
      <c r="B1095" s="3" t="inlineStr">
        <is>
          <t>INV-2608-1104</t>
        </is>
      </c>
      <c r="C1095" s="3" t="inlineStr">
        <is>
          <t>Sinha Super Mart</t>
        </is>
      </c>
      <c r="D1095" s="3" t="inlineStr">
        <is>
          <t>Packaged Water 1L</t>
        </is>
      </c>
      <c r="E1095" s="3" t="inlineStr">
        <is>
          <t>Beverages</t>
        </is>
      </c>
      <c r="F1095" s="4" t="n">
        <v>79</v>
      </c>
      <c r="G1095" s="5" t="n">
        <v>20.23</v>
      </c>
      <c r="H1095" s="5">
        <f>F1095*G1095</f>
        <v/>
      </c>
      <c r="I1095" s="5">
        <f>F1095*VLOOKUP(D1095,Products!$B$2:$E$13,3,FALSE)</f>
        <v/>
      </c>
    </row>
    <row r="1096">
      <c r="A1096" s="2" t="n">
        <v>46250</v>
      </c>
      <c r="B1096" s="3" t="inlineStr">
        <is>
          <t>INV-2608-1105</t>
        </is>
      </c>
      <c r="C1096" s="3" t="inlineStr">
        <is>
          <t>Kumari Kirana</t>
        </is>
      </c>
      <c r="D1096" s="3" t="inlineStr">
        <is>
          <t>Floor Cleaner 1L</t>
        </is>
      </c>
      <c r="E1096" s="3" t="inlineStr">
        <is>
          <t>Household</t>
        </is>
      </c>
      <c r="F1096" s="4" t="n">
        <v>28</v>
      </c>
      <c r="G1096" s="5" t="n">
        <v>113.88</v>
      </c>
      <c r="H1096" s="5">
        <f>F1096*G1096</f>
        <v/>
      </c>
      <c r="I1096" s="5">
        <f>F1096*VLOOKUP(D1096,Products!$B$2:$E$13,3,FALSE)</f>
        <v/>
      </c>
    </row>
    <row r="1097">
      <c r="A1097" s="2" t="n">
        <v>46250</v>
      </c>
      <c r="B1097" s="3" t="inlineStr">
        <is>
          <t>INV-2608-1106</t>
        </is>
      </c>
      <c r="C1097" s="3" t="inlineStr">
        <is>
          <t>Mehta Retail</t>
        </is>
      </c>
      <c r="D1097" s="3" t="inlineStr">
        <is>
          <t>Floor Cleaner 1L</t>
        </is>
      </c>
      <c r="E1097" s="3" t="inlineStr">
        <is>
          <t>Household</t>
        </is>
      </c>
      <c r="F1097" s="4" t="n">
        <v>45</v>
      </c>
      <c r="G1097" s="5" t="n">
        <v>114.55</v>
      </c>
      <c r="H1097" s="5">
        <f>F1097*G1097</f>
        <v/>
      </c>
      <c r="I1097" s="5">
        <f>F1097*VLOOKUP(D1097,Products!$B$2:$E$13,3,FALSE)</f>
        <v/>
      </c>
    </row>
    <row r="1098">
      <c r="A1098" s="2" t="n">
        <v>46250</v>
      </c>
      <c r="B1098" s="3" t="inlineStr">
        <is>
          <t>INV-2608-1107</t>
        </is>
      </c>
      <c r="C1098" s="3" t="inlineStr">
        <is>
          <t>Dubey Kirana</t>
        </is>
      </c>
      <c r="D1098" s="3" t="inlineStr">
        <is>
          <t>Potato Chips 150g</t>
        </is>
      </c>
      <c r="E1098" s="3" t="inlineStr">
        <is>
          <t>Snacks</t>
        </is>
      </c>
      <c r="F1098" s="4" t="n">
        <v>20</v>
      </c>
      <c r="G1098" s="5" t="n">
        <v>52.14</v>
      </c>
      <c r="H1098" s="5">
        <f>F1098*G1098</f>
        <v/>
      </c>
      <c r="I1098" s="5">
        <f>F1098*VLOOKUP(D1098,Products!$B$2:$E$13,3,FALSE)</f>
        <v/>
      </c>
    </row>
    <row r="1099">
      <c r="A1099" s="2" t="n">
        <v>46250</v>
      </c>
      <c r="B1099" s="3" t="inlineStr">
        <is>
          <t>INV-2608-1108</t>
        </is>
      </c>
      <c r="C1099" s="3" t="inlineStr">
        <is>
          <t>Mishra Stores</t>
        </is>
      </c>
      <c r="D1099" s="3" t="inlineStr">
        <is>
          <t>Packaged Water 1L</t>
        </is>
      </c>
      <c r="E1099" s="3" t="inlineStr">
        <is>
          <t>Beverages</t>
        </is>
      </c>
      <c r="F1099" s="4" t="n">
        <v>35</v>
      </c>
      <c r="G1099" s="5" t="n">
        <v>20.61</v>
      </c>
      <c r="H1099" s="5">
        <f>F1099*G1099</f>
        <v/>
      </c>
      <c r="I1099" s="5">
        <f>F1099*VLOOKUP(D1099,Products!$B$2:$E$13,3,FALSE)</f>
        <v/>
      </c>
    </row>
    <row r="1100">
      <c r="A1100" s="2" t="n">
        <v>46250</v>
      </c>
      <c r="B1100" s="3" t="inlineStr">
        <is>
          <t>INV-2608-1109</t>
        </is>
      </c>
      <c r="C1100" s="3" t="inlineStr">
        <is>
          <t>Nath Provisions</t>
        </is>
      </c>
      <c r="D1100" s="3" t="inlineStr">
        <is>
          <t>Toned Milk 1L</t>
        </is>
      </c>
      <c r="E1100" s="3" t="inlineStr">
        <is>
          <t>Dairy</t>
        </is>
      </c>
      <c r="F1100" s="4" t="n">
        <v>55</v>
      </c>
      <c r="G1100" s="5" t="n">
        <v>66.09</v>
      </c>
      <c r="H1100" s="5">
        <f>F1100*G1100</f>
        <v/>
      </c>
      <c r="I1100" s="5">
        <f>F1100*VLOOKUP(D1100,Products!$B$2:$E$13,3,FALSE)</f>
        <v/>
      </c>
    </row>
    <row r="1101">
      <c r="A1101" s="2" t="n">
        <v>46251</v>
      </c>
      <c r="B1101" s="3" t="inlineStr">
        <is>
          <t>INV-2608-1110</t>
        </is>
      </c>
      <c r="C1101" s="3" t="inlineStr">
        <is>
          <t>Patel Traders</t>
        </is>
      </c>
      <c r="D1101" s="3" t="inlineStr">
        <is>
          <t>Instant Noodles 280g</t>
        </is>
      </c>
      <c r="E1101" s="3" t="inlineStr">
        <is>
          <t>Snacks</t>
        </is>
      </c>
      <c r="F1101" s="4" t="n">
        <v>18</v>
      </c>
      <c r="G1101" s="5" t="n">
        <v>58</v>
      </c>
      <c r="H1101" s="5">
        <f>F1101*G1101</f>
        <v/>
      </c>
      <c r="I1101" s="5">
        <f>F1101*VLOOKUP(D1101,Products!$B$2:$E$13,3,FALSE)</f>
        <v/>
      </c>
    </row>
    <row r="1102">
      <c r="A1102" s="2" t="n">
        <v>46251</v>
      </c>
      <c r="B1102" s="3" t="inlineStr">
        <is>
          <t>INV-2608-1111</t>
        </is>
      </c>
      <c r="C1102" s="3" t="inlineStr">
        <is>
          <t>Nath Provisions</t>
        </is>
      </c>
      <c r="D1102" s="3" t="inlineStr">
        <is>
          <t>Potato Chips 150g</t>
        </is>
      </c>
      <c r="E1102" s="3" t="inlineStr">
        <is>
          <t>Snacks</t>
        </is>
      </c>
      <c r="F1102" s="4" t="n">
        <v>30</v>
      </c>
      <c r="G1102" s="5" t="n">
        <v>49.73</v>
      </c>
      <c r="H1102" s="5">
        <f>F1102*G1102</f>
        <v/>
      </c>
      <c r="I1102" s="5">
        <f>F1102*VLOOKUP(D1102,Products!$B$2:$E$13,3,FALSE)</f>
        <v/>
      </c>
    </row>
    <row r="1103">
      <c r="A1103" s="2" t="n">
        <v>46251</v>
      </c>
      <c r="B1103" s="3" t="inlineStr">
        <is>
          <t>INV-2608-1112</t>
        </is>
      </c>
      <c r="C1103" s="3" t="inlineStr">
        <is>
          <t>Sahu Traders</t>
        </is>
      </c>
      <c r="D1103" s="3" t="inlineStr">
        <is>
          <t>Instant Noodles 280g</t>
        </is>
      </c>
      <c r="E1103" s="3" t="inlineStr">
        <is>
          <t>Snacks</t>
        </is>
      </c>
      <c r="F1103" s="4" t="n">
        <v>41</v>
      </c>
      <c r="G1103" s="5" t="n">
        <v>58.39</v>
      </c>
      <c r="H1103" s="5">
        <f>F1103*G1103</f>
        <v/>
      </c>
      <c r="I1103" s="5">
        <f>F1103*VLOOKUP(D1103,Products!$B$2:$E$13,3,FALSE)</f>
        <v/>
      </c>
    </row>
    <row r="1104">
      <c r="A1104" s="2" t="n">
        <v>46251</v>
      </c>
      <c r="B1104" s="3" t="inlineStr">
        <is>
          <t>INV-2608-1113</t>
        </is>
      </c>
      <c r="C1104" s="3" t="inlineStr">
        <is>
          <t>Jha Provisions</t>
        </is>
      </c>
      <c r="D1104" s="3" t="inlineStr">
        <is>
          <t>Floor Cleaner 1L</t>
        </is>
      </c>
      <c r="E1104" s="3" t="inlineStr">
        <is>
          <t>Household</t>
        </is>
      </c>
      <c r="F1104" s="4" t="n">
        <v>25</v>
      </c>
      <c r="G1104" s="5" t="n">
        <v>110.73</v>
      </c>
      <c r="H1104" s="5">
        <f>F1104*G1104</f>
        <v/>
      </c>
      <c r="I1104" s="5">
        <f>F1104*VLOOKUP(D1104,Products!$B$2:$E$13,3,FALSE)</f>
        <v/>
      </c>
    </row>
    <row r="1105">
      <c r="A1105" s="2" t="n">
        <v>46251</v>
      </c>
      <c r="B1105" s="3" t="inlineStr">
        <is>
          <t>INV-2608-1114</t>
        </is>
      </c>
      <c r="C1105" s="3" t="inlineStr">
        <is>
          <t>Khan Mart</t>
        </is>
      </c>
      <c r="D1105" s="3" t="inlineStr">
        <is>
          <t>Detergent 1kg</t>
        </is>
      </c>
      <c r="E1105" s="3" t="inlineStr">
        <is>
          <t>Household</t>
        </is>
      </c>
      <c r="F1105" s="4" t="n">
        <v>40</v>
      </c>
      <c r="G1105" s="5" t="n">
        <v>127.69</v>
      </c>
      <c r="H1105" s="5">
        <f>F1105*G1105</f>
        <v/>
      </c>
      <c r="I1105" s="5">
        <f>F1105*VLOOKUP(D1105,Products!$B$2:$E$13,3,FALSE)</f>
        <v/>
      </c>
    </row>
    <row r="1106">
      <c r="A1106" s="2" t="n">
        <v>46251</v>
      </c>
      <c r="B1106" s="3" t="inlineStr">
        <is>
          <t>INV-2608-1115</t>
        </is>
      </c>
      <c r="C1106" s="3" t="inlineStr">
        <is>
          <t>Raza Brothers</t>
        </is>
      </c>
      <c r="D1106" s="3" t="inlineStr">
        <is>
          <t>Instant Noodles 280g</t>
        </is>
      </c>
      <c r="E1106" s="3" t="inlineStr">
        <is>
          <t>Snacks</t>
        </is>
      </c>
      <c r="F1106" s="4" t="n">
        <v>15</v>
      </c>
      <c r="G1106" s="5" t="n">
        <v>55.44</v>
      </c>
      <c r="H1106" s="5">
        <f>F1106*G1106</f>
        <v/>
      </c>
      <c r="I1106" s="5">
        <f>F1106*VLOOKUP(D1106,Products!$B$2:$E$13,3,FALSE)</f>
        <v/>
      </c>
    </row>
    <row r="1107">
      <c r="A1107" s="2" t="n">
        <v>46251</v>
      </c>
      <c r="B1107" s="3" t="inlineStr">
        <is>
          <t>INV-2608-1116</t>
        </is>
      </c>
      <c r="C1107" s="3" t="inlineStr">
        <is>
          <t>Jha Provisions</t>
        </is>
      </c>
      <c r="D1107" s="3" t="inlineStr">
        <is>
          <t>Cola 750ml</t>
        </is>
      </c>
      <c r="E1107" s="3" t="inlineStr">
        <is>
          <t>Beverages</t>
        </is>
      </c>
      <c r="F1107" s="4" t="n">
        <v>57</v>
      </c>
      <c r="G1107" s="5" t="n">
        <v>43.88</v>
      </c>
      <c r="H1107" s="5">
        <f>F1107*G1107</f>
        <v/>
      </c>
      <c r="I1107" s="5">
        <f>F1107*VLOOKUP(D1107,Products!$B$2:$E$13,3,FALSE)</f>
        <v/>
      </c>
    </row>
    <row r="1108">
      <c r="A1108" s="2" t="n">
        <v>46251</v>
      </c>
      <c r="B1108" s="3" t="inlineStr">
        <is>
          <t>INV-2608-1117</t>
        </is>
      </c>
      <c r="C1108" s="3" t="inlineStr">
        <is>
          <t>Tiwari General</t>
        </is>
      </c>
      <c r="D1108" s="3" t="inlineStr">
        <is>
          <t>Potato Chips 150g</t>
        </is>
      </c>
      <c r="E1108" s="3" t="inlineStr">
        <is>
          <t>Snacks</t>
        </is>
      </c>
      <c r="F1108" s="4" t="n">
        <v>17</v>
      </c>
      <c r="G1108" s="5" t="n">
        <v>52.14</v>
      </c>
      <c r="H1108" s="5">
        <f>F1108*G1108</f>
        <v/>
      </c>
      <c r="I1108" s="5">
        <f>F1108*VLOOKUP(D1108,Products!$B$2:$E$13,3,FALSE)</f>
        <v/>
      </c>
    </row>
    <row r="1109">
      <c r="A1109" s="2" t="n">
        <v>46251</v>
      </c>
      <c r="B1109" s="3" t="inlineStr">
        <is>
          <t>INV-2608-1118</t>
        </is>
      </c>
      <c r="C1109" s="3" t="inlineStr">
        <is>
          <t>Jha Provisions</t>
        </is>
      </c>
      <c r="D1109" s="3" t="inlineStr">
        <is>
          <t>Paneer 200g</t>
        </is>
      </c>
      <c r="E1109" s="3" t="inlineStr">
        <is>
          <t>Dairy</t>
        </is>
      </c>
      <c r="F1109" s="4" t="n">
        <v>19</v>
      </c>
      <c r="G1109" s="5" t="n">
        <v>95.03</v>
      </c>
      <c r="H1109" s="5">
        <f>F1109*G1109</f>
        <v/>
      </c>
      <c r="I1109" s="5">
        <f>F1109*VLOOKUP(D1109,Products!$B$2:$E$13,3,FALSE)</f>
        <v/>
      </c>
    </row>
    <row r="1110">
      <c r="A1110" s="2" t="n">
        <v>46252</v>
      </c>
      <c r="B1110" s="3" t="inlineStr">
        <is>
          <t>INV-2608-1119</t>
        </is>
      </c>
      <c r="C1110" s="3" t="inlineStr">
        <is>
          <t>Sahu Traders</t>
        </is>
      </c>
      <c r="D1110" s="3" t="inlineStr">
        <is>
          <t>Instant Noodles 280g</t>
        </is>
      </c>
      <c r="E1110" s="3" t="inlineStr">
        <is>
          <t>Snacks</t>
        </is>
      </c>
      <c r="F1110" s="4" t="n">
        <v>12</v>
      </c>
      <c r="G1110" s="5" t="n">
        <v>56.45</v>
      </c>
      <c r="H1110" s="5">
        <f>F1110*G1110</f>
        <v/>
      </c>
      <c r="I1110" s="5">
        <f>F1110*VLOOKUP(D1110,Products!$B$2:$E$13,3,FALSE)</f>
        <v/>
      </c>
    </row>
    <row r="1111">
      <c r="A1111" s="2" t="n">
        <v>46252</v>
      </c>
      <c r="B1111" s="3" t="inlineStr">
        <is>
          <t>INV-2608-1120</t>
        </is>
      </c>
      <c r="C1111" s="3" t="inlineStr">
        <is>
          <t>Sharma Provision</t>
        </is>
      </c>
      <c r="D1111" s="3" t="inlineStr">
        <is>
          <t>Biscuits 400g</t>
        </is>
      </c>
      <c r="E1111" s="3" t="inlineStr">
        <is>
          <t>Snacks</t>
        </is>
      </c>
      <c r="F1111" s="4" t="n">
        <v>2</v>
      </c>
      <c r="G1111" s="5" t="n">
        <v>40.86</v>
      </c>
      <c r="H1111" s="5">
        <f>F1111*G1111</f>
        <v/>
      </c>
      <c r="I1111" s="5">
        <f>F1111*VLOOKUP(D1111,Products!$B$2:$E$13,3,FALSE)</f>
        <v/>
      </c>
    </row>
    <row r="1112">
      <c r="A1112" s="2" t="n">
        <v>46252</v>
      </c>
      <c r="B1112" s="3" t="inlineStr">
        <is>
          <t>INV-2608-1121</t>
        </is>
      </c>
      <c r="C1112" s="3" t="inlineStr">
        <is>
          <t>Gupta General Store</t>
        </is>
      </c>
      <c r="D1112" s="3" t="inlineStr">
        <is>
          <t>Dish Soap 500ml</t>
        </is>
      </c>
      <c r="E1112" s="3" t="inlineStr">
        <is>
          <t>Household</t>
        </is>
      </c>
      <c r="F1112" s="4" t="n">
        <v>44</v>
      </c>
      <c r="G1112" s="5" t="n">
        <v>96.11</v>
      </c>
      <c r="H1112" s="5">
        <f>F1112*G1112</f>
        <v/>
      </c>
      <c r="I1112" s="5">
        <f>F1112*VLOOKUP(D1112,Products!$B$2:$E$13,3,FALSE)</f>
        <v/>
      </c>
    </row>
    <row r="1113">
      <c r="A1113" s="2" t="n">
        <v>46252</v>
      </c>
      <c r="B1113" s="3" t="inlineStr">
        <is>
          <t>INV-2608-1122</t>
        </is>
      </c>
      <c r="C1113" s="3" t="inlineStr">
        <is>
          <t>Sharma Provision</t>
        </is>
      </c>
      <c r="D1113" s="3" t="inlineStr">
        <is>
          <t>Toned Milk 1L</t>
        </is>
      </c>
      <c r="E1113" s="3" t="inlineStr">
        <is>
          <t>Dairy</t>
        </is>
      </c>
      <c r="F1113" s="4" t="n">
        <v>26</v>
      </c>
      <c r="G1113" s="5" t="n">
        <v>66.27</v>
      </c>
      <c r="H1113" s="5">
        <f>F1113*G1113</f>
        <v/>
      </c>
      <c r="I1113" s="5">
        <f>F1113*VLOOKUP(D1113,Products!$B$2:$E$13,3,FALSE)</f>
        <v/>
      </c>
    </row>
    <row r="1114">
      <c r="A1114" s="2" t="n">
        <v>46252</v>
      </c>
      <c r="B1114" s="3" t="inlineStr">
        <is>
          <t>INV-2608-1123</t>
        </is>
      </c>
      <c r="C1114" s="3" t="inlineStr">
        <is>
          <t>Sinha Super Mart</t>
        </is>
      </c>
      <c r="D1114" s="3" t="inlineStr">
        <is>
          <t>Potato Chips 150g</t>
        </is>
      </c>
      <c r="E1114" s="3" t="inlineStr">
        <is>
          <t>Snacks</t>
        </is>
      </c>
      <c r="F1114" s="4" t="n">
        <v>32</v>
      </c>
      <c r="G1114" s="5" t="n">
        <v>52.4</v>
      </c>
      <c r="H1114" s="5">
        <f>F1114*G1114</f>
        <v/>
      </c>
      <c r="I1114" s="5">
        <f>F1114*VLOOKUP(D1114,Products!$B$2:$E$13,3,FALSE)</f>
        <v/>
      </c>
    </row>
    <row r="1115">
      <c r="A1115" s="2" t="n">
        <v>46252</v>
      </c>
      <c r="B1115" s="3" t="inlineStr">
        <is>
          <t>INV-2608-1124</t>
        </is>
      </c>
      <c r="C1115" s="3" t="inlineStr">
        <is>
          <t>Khan Mart</t>
        </is>
      </c>
      <c r="D1115" s="3" t="inlineStr">
        <is>
          <t>Mango Juice 1L</t>
        </is>
      </c>
      <c r="E1115" s="3" t="inlineStr">
        <is>
          <t>Beverages</t>
        </is>
      </c>
      <c r="F1115" s="4" t="n">
        <v>15</v>
      </c>
      <c r="G1115" s="5" t="n">
        <v>117.1</v>
      </c>
      <c r="H1115" s="5">
        <f>F1115*G1115</f>
        <v/>
      </c>
      <c r="I1115" s="5">
        <f>F1115*VLOOKUP(D1115,Products!$B$2:$E$13,3,FALSE)</f>
        <v/>
      </c>
    </row>
    <row r="1116">
      <c r="A1116" s="2" t="n">
        <v>46252</v>
      </c>
      <c r="B1116" s="3" t="inlineStr">
        <is>
          <t>INV-2608-1125</t>
        </is>
      </c>
      <c r="C1116" s="3" t="inlineStr">
        <is>
          <t>Sharma Provision</t>
        </is>
      </c>
      <c r="D1116" s="3" t="inlineStr">
        <is>
          <t>Packaged Water 1L</t>
        </is>
      </c>
      <c r="E1116" s="3" t="inlineStr">
        <is>
          <t>Beverages</t>
        </is>
      </c>
      <c r="F1116" s="4" t="n">
        <v>30</v>
      </c>
      <c r="G1116" s="5" t="n">
        <v>19.66</v>
      </c>
      <c r="H1116" s="5">
        <f>F1116*G1116</f>
        <v/>
      </c>
      <c r="I1116" s="5">
        <f>F1116*VLOOKUP(D1116,Products!$B$2:$E$13,3,FALSE)</f>
        <v/>
      </c>
    </row>
    <row r="1117">
      <c r="A1117" s="2" t="n">
        <v>46252</v>
      </c>
      <c r="B1117" s="3" t="inlineStr">
        <is>
          <t>INV-2608-1126</t>
        </is>
      </c>
      <c r="C1117" s="3" t="inlineStr">
        <is>
          <t>Sahu Traders</t>
        </is>
      </c>
      <c r="D1117" s="3" t="inlineStr">
        <is>
          <t>Dish Soap 500ml</t>
        </is>
      </c>
      <c r="E1117" s="3" t="inlineStr">
        <is>
          <t>Household</t>
        </is>
      </c>
      <c r="F1117" s="4" t="n">
        <v>12</v>
      </c>
      <c r="G1117" s="5" t="n">
        <v>103.03</v>
      </c>
      <c r="H1117" s="5">
        <f>F1117*G1117</f>
        <v/>
      </c>
      <c r="I1117" s="5">
        <f>F1117*VLOOKUP(D1117,Products!$B$2:$E$13,3,FALSE)</f>
        <v/>
      </c>
    </row>
    <row r="1118">
      <c r="A1118" s="2" t="n">
        <v>46252</v>
      </c>
      <c r="B1118" s="3" t="inlineStr">
        <is>
          <t>INV-2608-1127</t>
        </is>
      </c>
      <c r="C1118" s="3" t="inlineStr">
        <is>
          <t>Ali General Store</t>
        </is>
      </c>
      <c r="D1118" s="3" t="inlineStr">
        <is>
          <t>Detergent 1kg</t>
        </is>
      </c>
      <c r="E1118" s="3" t="inlineStr">
        <is>
          <t>Household</t>
        </is>
      </c>
      <c r="F1118" s="4" t="n">
        <v>18</v>
      </c>
      <c r="G1118" s="5" t="n">
        <v>131.29</v>
      </c>
      <c r="H1118" s="5">
        <f>F1118*G1118</f>
        <v/>
      </c>
      <c r="I1118" s="5">
        <f>F1118*VLOOKUP(D1118,Products!$B$2:$E$13,3,FALSE)</f>
        <v/>
      </c>
    </row>
    <row r="1119">
      <c r="A1119" s="2" t="n">
        <v>46252</v>
      </c>
      <c r="B1119" s="3" t="inlineStr">
        <is>
          <t>INV-2608-1128</t>
        </is>
      </c>
      <c r="C1119" s="3" t="inlineStr">
        <is>
          <t>Kumari Kirana</t>
        </is>
      </c>
      <c r="D1119" s="3" t="inlineStr">
        <is>
          <t>Potato Chips 150g</t>
        </is>
      </c>
      <c r="E1119" s="3" t="inlineStr">
        <is>
          <t>Snacks</t>
        </is>
      </c>
      <c r="F1119" s="4" t="n">
        <v>39</v>
      </c>
      <c r="G1119" s="5" t="n">
        <v>50.56</v>
      </c>
      <c r="H1119" s="5">
        <f>F1119*G1119</f>
        <v/>
      </c>
      <c r="I1119" s="5">
        <f>F1119*VLOOKUP(D1119,Products!$B$2:$E$13,3,FALSE)</f>
        <v/>
      </c>
    </row>
    <row r="1120">
      <c r="A1120" s="2" t="n">
        <v>46253</v>
      </c>
      <c r="B1120" s="3" t="inlineStr">
        <is>
          <t>INV-2608-1129</t>
        </is>
      </c>
      <c r="C1120" s="3" t="inlineStr">
        <is>
          <t>Sinha Super Mart</t>
        </is>
      </c>
      <c r="D1120" s="3" t="inlineStr">
        <is>
          <t>Curd Cup 400g</t>
        </is>
      </c>
      <c r="E1120" s="3" t="inlineStr">
        <is>
          <t>Dairy</t>
        </is>
      </c>
      <c r="F1120" s="4" t="n">
        <v>43</v>
      </c>
      <c r="G1120" s="5" t="n">
        <v>44.29</v>
      </c>
      <c r="H1120" s="5">
        <f>F1120*G1120</f>
        <v/>
      </c>
      <c r="I1120" s="5">
        <f>F1120*VLOOKUP(D1120,Products!$B$2:$E$13,3,FALSE)</f>
        <v/>
      </c>
    </row>
    <row r="1121">
      <c r="A1121" s="2" t="n">
        <v>46253</v>
      </c>
      <c r="B1121" s="3" t="inlineStr">
        <is>
          <t>INV-2608-1130</t>
        </is>
      </c>
      <c r="C1121" s="3" t="inlineStr">
        <is>
          <t>Rai Daily Mart</t>
        </is>
      </c>
      <c r="D1121" s="3" t="inlineStr">
        <is>
          <t>Floor Cleaner 1L</t>
        </is>
      </c>
      <c r="E1121" s="3" t="inlineStr">
        <is>
          <t>Household</t>
        </is>
      </c>
      <c r="F1121" s="4" t="n">
        <v>42</v>
      </c>
      <c r="G1121" s="5" t="n">
        <v>111.54</v>
      </c>
      <c r="H1121" s="5">
        <f>F1121*G1121</f>
        <v/>
      </c>
      <c r="I1121" s="5">
        <f>F1121*VLOOKUP(D1121,Products!$B$2:$E$13,3,FALSE)</f>
        <v/>
      </c>
    </row>
    <row r="1122">
      <c r="A1122" s="2" t="n">
        <v>46253</v>
      </c>
      <c r="B1122" s="3" t="inlineStr">
        <is>
          <t>INV-2608-1131</t>
        </is>
      </c>
      <c r="C1122" s="3" t="inlineStr">
        <is>
          <t>Mishra Stores</t>
        </is>
      </c>
      <c r="D1122" s="3" t="inlineStr">
        <is>
          <t>Toned Milk 1L</t>
        </is>
      </c>
      <c r="E1122" s="3" t="inlineStr">
        <is>
          <t>Dairy</t>
        </is>
      </c>
      <c r="F1122" s="4" t="n">
        <v>21</v>
      </c>
      <c r="G1122" s="5" t="n">
        <v>66.13</v>
      </c>
      <c r="H1122" s="5">
        <f>F1122*G1122</f>
        <v/>
      </c>
      <c r="I1122" s="5">
        <f>F1122*VLOOKUP(D1122,Products!$B$2:$E$13,3,FALSE)</f>
        <v/>
      </c>
    </row>
    <row r="1123">
      <c r="A1123" s="2" t="n">
        <v>46253</v>
      </c>
      <c r="B1123" s="3" t="inlineStr">
        <is>
          <t>INV-2608-1132</t>
        </is>
      </c>
      <c r="C1123" s="3" t="inlineStr">
        <is>
          <t>Jha Provisions</t>
        </is>
      </c>
      <c r="D1123" s="3" t="inlineStr">
        <is>
          <t>Toned Milk 1L</t>
        </is>
      </c>
      <c r="E1123" s="3" t="inlineStr">
        <is>
          <t>Dairy</t>
        </is>
      </c>
      <c r="F1123" s="4" t="n">
        <v>36</v>
      </c>
      <c r="G1123" s="5" t="n">
        <v>69.03</v>
      </c>
      <c r="H1123" s="5">
        <f>F1123*G1123</f>
        <v/>
      </c>
      <c r="I1123" s="5">
        <f>F1123*VLOOKUP(D1123,Products!$B$2:$E$13,3,FALSE)</f>
        <v/>
      </c>
    </row>
    <row r="1124">
      <c r="A1124" s="2" t="n">
        <v>46253</v>
      </c>
      <c r="B1124" s="3" t="inlineStr">
        <is>
          <t>INV-2608-1133</t>
        </is>
      </c>
      <c r="C1124" s="3" t="inlineStr">
        <is>
          <t>Tiwari General</t>
        </is>
      </c>
      <c r="D1124" s="3" t="inlineStr">
        <is>
          <t>Detergent 1kg</t>
        </is>
      </c>
      <c r="E1124" s="3" t="inlineStr">
        <is>
          <t>Household</t>
        </is>
      </c>
      <c r="F1124" s="4" t="n">
        <v>15</v>
      </c>
      <c r="G1124" s="5" t="n">
        <v>136.48</v>
      </c>
      <c r="H1124" s="5">
        <f>F1124*G1124</f>
        <v/>
      </c>
      <c r="I1124" s="5">
        <f>F1124*VLOOKUP(D1124,Products!$B$2:$E$13,3,FALSE)</f>
        <v/>
      </c>
    </row>
    <row r="1125">
      <c r="A1125" s="2" t="n">
        <v>46253</v>
      </c>
      <c r="B1125" s="3" t="inlineStr">
        <is>
          <t>INV-2608-1134</t>
        </is>
      </c>
      <c r="C1125" s="3" t="inlineStr">
        <is>
          <t>Jha Provisions</t>
        </is>
      </c>
      <c r="D1125" s="3" t="inlineStr">
        <is>
          <t>Curd Cup 400g</t>
        </is>
      </c>
      <c r="E1125" s="3" t="inlineStr">
        <is>
          <t>Dairy</t>
        </is>
      </c>
      <c r="F1125" s="4" t="n">
        <v>4</v>
      </c>
      <c r="G1125" s="5" t="n">
        <v>44.91</v>
      </c>
      <c r="H1125" s="5">
        <f>F1125*G1125</f>
        <v/>
      </c>
      <c r="I1125" s="5">
        <f>F1125*VLOOKUP(D1125,Products!$B$2:$E$13,3,FALSE)</f>
        <v/>
      </c>
    </row>
    <row r="1126">
      <c r="A1126" s="2" t="n">
        <v>46253</v>
      </c>
      <c r="B1126" s="3" t="inlineStr">
        <is>
          <t>INV-2608-1135</t>
        </is>
      </c>
      <c r="C1126" s="3" t="inlineStr">
        <is>
          <t>Sharma Provision</t>
        </is>
      </c>
      <c r="D1126" s="3" t="inlineStr">
        <is>
          <t>Mango Juice 1L</t>
        </is>
      </c>
      <c r="E1126" s="3" t="inlineStr">
        <is>
          <t>Beverages</t>
        </is>
      </c>
      <c r="F1126" s="4" t="n">
        <v>37</v>
      </c>
      <c r="G1126" s="5" t="n">
        <v>117.62</v>
      </c>
      <c r="H1126" s="5">
        <f>F1126*G1126</f>
        <v/>
      </c>
      <c r="I1126" s="5">
        <f>F1126*VLOOKUP(D1126,Products!$B$2:$E$13,3,FALSE)</f>
        <v/>
      </c>
    </row>
    <row r="1127">
      <c r="A1127" s="2" t="n">
        <v>46253</v>
      </c>
      <c r="B1127" s="3" t="inlineStr">
        <is>
          <t>INV-2608-1136</t>
        </is>
      </c>
      <c r="C1127" s="3" t="inlineStr">
        <is>
          <t>Sinha Super Mart</t>
        </is>
      </c>
      <c r="D1127" s="3" t="inlineStr">
        <is>
          <t>Detergent 1kg</t>
        </is>
      </c>
      <c r="E1127" s="3" t="inlineStr">
        <is>
          <t>Household</t>
        </is>
      </c>
      <c r="F1127" s="4" t="n">
        <v>40</v>
      </c>
      <c r="G1127" s="5" t="n">
        <v>132.99</v>
      </c>
      <c r="H1127" s="5">
        <f>F1127*G1127</f>
        <v/>
      </c>
      <c r="I1127" s="5">
        <f>F1127*VLOOKUP(D1127,Products!$B$2:$E$13,3,FALSE)</f>
        <v/>
      </c>
    </row>
    <row r="1128">
      <c r="A1128" s="2" t="n">
        <v>46253</v>
      </c>
      <c r="B1128" s="3" t="inlineStr">
        <is>
          <t>INV-2608-1137</t>
        </is>
      </c>
      <c r="C1128" s="3" t="inlineStr">
        <is>
          <t>Sinha Super Mart</t>
        </is>
      </c>
      <c r="D1128" s="3" t="inlineStr">
        <is>
          <t>Mango Juice 1L</t>
        </is>
      </c>
      <c r="E1128" s="3" t="inlineStr">
        <is>
          <t>Beverages</t>
        </is>
      </c>
      <c r="F1128" s="4" t="n">
        <v>27</v>
      </c>
      <c r="G1128" s="5" t="n">
        <v>121.47</v>
      </c>
      <c r="H1128" s="5">
        <f>F1128*G1128</f>
        <v/>
      </c>
      <c r="I1128" s="5">
        <f>F1128*VLOOKUP(D1128,Products!$B$2:$E$13,3,FALSE)</f>
        <v/>
      </c>
    </row>
    <row r="1129">
      <c r="A1129" s="2" t="n">
        <v>46253</v>
      </c>
      <c r="B1129" s="3" t="inlineStr">
        <is>
          <t>INV-2608-1138</t>
        </is>
      </c>
      <c r="C1129" s="3" t="inlineStr">
        <is>
          <t>Sharma Provision</t>
        </is>
      </c>
      <c r="D1129" s="3" t="inlineStr">
        <is>
          <t>Mango Juice 1L</t>
        </is>
      </c>
      <c r="E1129" s="3" t="inlineStr">
        <is>
          <t>Beverages</t>
        </is>
      </c>
      <c r="F1129" s="4" t="n">
        <v>48</v>
      </c>
      <c r="G1129" s="5" t="n">
        <v>119</v>
      </c>
      <c r="H1129" s="5">
        <f>F1129*G1129</f>
        <v/>
      </c>
      <c r="I1129" s="5">
        <f>F1129*VLOOKUP(D1129,Products!$B$2:$E$13,3,FALSE)</f>
        <v/>
      </c>
    </row>
    <row r="1130">
      <c r="A1130" s="2" t="n">
        <v>46253</v>
      </c>
      <c r="B1130" s="3" t="inlineStr">
        <is>
          <t>INV-2608-1139</t>
        </is>
      </c>
      <c r="C1130" s="3" t="inlineStr">
        <is>
          <t>Yadav Daily Needs</t>
        </is>
      </c>
      <c r="D1130" s="3" t="inlineStr">
        <is>
          <t>Dish Soap 500ml</t>
        </is>
      </c>
      <c r="E1130" s="3" t="inlineStr">
        <is>
          <t>Household</t>
        </is>
      </c>
      <c r="F1130" s="4" t="n">
        <v>52</v>
      </c>
      <c r="G1130" s="5" t="n">
        <v>102.87</v>
      </c>
      <c r="H1130" s="5">
        <f>F1130*G1130</f>
        <v/>
      </c>
      <c r="I1130" s="5">
        <f>F1130*VLOOKUP(D1130,Products!$B$2:$E$13,3,FALSE)</f>
        <v/>
      </c>
    </row>
    <row r="1131">
      <c r="A1131" s="2" t="n">
        <v>46254</v>
      </c>
      <c r="B1131" s="3" t="inlineStr">
        <is>
          <t>INV-2608-1140</t>
        </is>
      </c>
      <c r="C1131" s="3" t="inlineStr">
        <is>
          <t>Sharma Provision</t>
        </is>
      </c>
      <c r="D1131" s="3" t="inlineStr">
        <is>
          <t>Toned Milk 1L</t>
        </is>
      </c>
      <c r="E1131" s="3" t="inlineStr">
        <is>
          <t>Dairy</t>
        </is>
      </c>
      <c r="F1131" s="4" t="n">
        <v>15</v>
      </c>
      <c r="G1131" s="5" t="n">
        <v>68.05</v>
      </c>
      <c r="H1131" s="5">
        <f>F1131*G1131</f>
        <v/>
      </c>
      <c r="I1131" s="5">
        <f>F1131*VLOOKUP(D1131,Products!$B$2:$E$13,3,FALSE)</f>
        <v/>
      </c>
    </row>
    <row r="1132">
      <c r="A1132" s="2" t="n">
        <v>46254</v>
      </c>
      <c r="B1132" s="3" t="inlineStr">
        <is>
          <t>INV-2608-1141</t>
        </is>
      </c>
      <c r="C1132" s="3" t="inlineStr">
        <is>
          <t>Azad Stores</t>
        </is>
      </c>
      <c r="D1132" s="3" t="inlineStr">
        <is>
          <t>Mango Juice 1L</t>
        </is>
      </c>
      <c r="E1132" s="3" t="inlineStr">
        <is>
          <t>Beverages</t>
        </is>
      </c>
      <c r="F1132" s="4" t="n">
        <v>64</v>
      </c>
      <c r="G1132" s="5" t="n">
        <v>119.68</v>
      </c>
      <c r="H1132" s="5">
        <f>F1132*G1132</f>
        <v/>
      </c>
      <c r="I1132" s="5">
        <f>F1132*VLOOKUP(D1132,Products!$B$2:$E$13,3,FALSE)</f>
        <v/>
      </c>
    </row>
    <row r="1133">
      <c r="A1133" s="2" t="n">
        <v>46254</v>
      </c>
      <c r="B1133" s="3" t="inlineStr">
        <is>
          <t>INV-2608-1142</t>
        </is>
      </c>
      <c r="C1133" s="3" t="inlineStr">
        <is>
          <t>Prasad Traders</t>
        </is>
      </c>
      <c r="D1133" s="3" t="inlineStr">
        <is>
          <t>Packaged Water 1L</t>
        </is>
      </c>
      <c r="E1133" s="3" t="inlineStr">
        <is>
          <t>Beverages</t>
        </is>
      </c>
      <c r="F1133" s="4" t="n">
        <v>49</v>
      </c>
      <c r="G1133" s="5" t="n">
        <v>20.1</v>
      </c>
      <c r="H1133" s="5">
        <f>F1133*G1133</f>
        <v/>
      </c>
      <c r="I1133" s="5">
        <f>F1133*VLOOKUP(D1133,Products!$B$2:$E$13,3,FALSE)</f>
        <v/>
      </c>
    </row>
    <row r="1134">
      <c r="A1134" s="2" t="n">
        <v>46254</v>
      </c>
      <c r="B1134" s="3" t="inlineStr">
        <is>
          <t>INV-2608-1143</t>
        </is>
      </c>
      <c r="C1134" s="3" t="inlineStr">
        <is>
          <t>Pandey Stores</t>
        </is>
      </c>
      <c r="D1134" s="3" t="inlineStr">
        <is>
          <t>Paneer 200g</t>
        </is>
      </c>
      <c r="E1134" s="3" t="inlineStr">
        <is>
          <t>Dairy</t>
        </is>
      </c>
      <c r="F1134" s="4" t="n">
        <v>28</v>
      </c>
      <c r="G1134" s="5" t="n">
        <v>97.25</v>
      </c>
      <c r="H1134" s="5">
        <f>F1134*G1134</f>
        <v/>
      </c>
      <c r="I1134" s="5">
        <f>F1134*VLOOKUP(D1134,Products!$B$2:$E$13,3,FALSE)</f>
        <v/>
      </c>
    </row>
    <row r="1135">
      <c r="A1135" s="2" t="n">
        <v>46254</v>
      </c>
      <c r="B1135" s="3" t="inlineStr">
        <is>
          <t>INV-2608-1144</t>
        </is>
      </c>
      <c r="C1135" s="3" t="inlineStr">
        <is>
          <t>Gupta General Store</t>
        </is>
      </c>
      <c r="D1135" s="3" t="inlineStr">
        <is>
          <t>Curd Cup 400g</t>
        </is>
      </c>
      <c r="E1135" s="3" t="inlineStr">
        <is>
          <t>Dairy</t>
        </is>
      </c>
      <c r="F1135" s="4" t="n">
        <v>41</v>
      </c>
      <c r="G1135" s="5" t="n">
        <v>46.8</v>
      </c>
      <c r="H1135" s="5">
        <f>F1135*G1135</f>
        <v/>
      </c>
      <c r="I1135" s="5">
        <f>F1135*VLOOKUP(D1135,Products!$B$2:$E$13,3,FALSE)</f>
        <v/>
      </c>
    </row>
    <row r="1136">
      <c r="A1136" s="2" t="n">
        <v>46254</v>
      </c>
      <c r="B1136" s="3" t="inlineStr">
        <is>
          <t>INV-2608-1145</t>
        </is>
      </c>
      <c r="C1136" s="3" t="inlineStr">
        <is>
          <t>Ali General Store</t>
        </is>
      </c>
      <c r="D1136" s="3" t="inlineStr">
        <is>
          <t>Floor Cleaner 1L</t>
        </is>
      </c>
      <c r="E1136" s="3" t="inlineStr">
        <is>
          <t>Household</t>
        </is>
      </c>
      <c r="F1136" s="4" t="n">
        <v>31</v>
      </c>
      <c r="G1136" s="5" t="n">
        <v>115.34</v>
      </c>
      <c r="H1136" s="5">
        <f>F1136*G1136</f>
        <v/>
      </c>
      <c r="I1136" s="5">
        <f>F1136*VLOOKUP(D1136,Products!$B$2:$E$13,3,FALSE)</f>
        <v/>
      </c>
    </row>
    <row r="1137">
      <c r="A1137" s="2" t="n">
        <v>46255</v>
      </c>
      <c r="B1137" s="3" t="inlineStr">
        <is>
          <t>INV-2608-1146</t>
        </is>
      </c>
      <c r="C1137" s="3" t="inlineStr">
        <is>
          <t>Jha Provisions</t>
        </is>
      </c>
      <c r="D1137" s="3" t="inlineStr">
        <is>
          <t>Toned Milk 1L</t>
        </is>
      </c>
      <c r="E1137" s="3" t="inlineStr">
        <is>
          <t>Dairy</t>
        </is>
      </c>
      <c r="F1137" s="4" t="n">
        <v>45</v>
      </c>
      <c r="G1137" s="5" t="n">
        <v>68.31</v>
      </c>
      <c r="H1137" s="5">
        <f>F1137*G1137</f>
        <v/>
      </c>
      <c r="I1137" s="5">
        <f>F1137*VLOOKUP(D1137,Products!$B$2:$E$13,3,FALSE)</f>
        <v/>
      </c>
    </row>
    <row r="1138">
      <c r="A1138" s="2" t="n">
        <v>46255</v>
      </c>
      <c r="B1138" s="3" t="inlineStr">
        <is>
          <t>INV-2608-1147</t>
        </is>
      </c>
      <c r="C1138" s="3" t="inlineStr">
        <is>
          <t>Raza Brothers</t>
        </is>
      </c>
      <c r="D1138" s="3" t="inlineStr">
        <is>
          <t>Potato Chips 150g</t>
        </is>
      </c>
      <c r="E1138" s="3" t="inlineStr">
        <is>
          <t>Snacks</t>
        </is>
      </c>
      <c r="F1138" s="4" t="n">
        <v>4</v>
      </c>
      <c r="G1138" s="5" t="n">
        <v>49.6</v>
      </c>
      <c r="H1138" s="5">
        <f>F1138*G1138</f>
        <v/>
      </c>
      <c r="I1138" s="5">
        <f>F1138*VLOOKUP(D1138,Products!$B$2:$E$13,3,FALSE)</f>
        <v/>
      </c>
    </row>
    <row r="1139">
      <c r="A1139" s="2" t="n">
        <v>46255</v>
      </c>
      <c r="B1139" s="3" t="inlineStr">
        <is>
          <t>INV-2608-1148</t>
        </is>
      </c>
      <c r="C1139" s="3" t="inlineStr">
        <is>
          <t>Sharma Provision</t>
        </is>
      </c>
      <c r="D1139" s="3" t="inlineStr">
        <is>
          <t>Floor Cleaner 1L</t>
        </is>
      </c>
      <c r="E1139" s="3" t="inlineStr">
        <is>
          <t>Household</t>
        </is>
      </c>
      <c r="F1139" s="4" t="n">
        <v>17</v>
      </c>
      <c r="G1139" s="5" t="n">
        <v>107.6</v>
      </c>
      <c r="H1139" s="5">
        <f>F1139*G1139</f>
        <v/>
      </c>
      <c r="I1139" s="5">
        <f>F1139*VLOOKUP(D1139,Products!$B$2:$E$13,3,FALSE)</f>
        <v/>
      </c>
    </row>
    <row r="1140">
      <c r="A1140" s="2" t="n">
        <v>46255</v>
      </c>
      <c r="B1140" s="3" t="inlineStr">
        <is>
          <t>INV-2608-1149</t>
        </is>
      </c>
      <c r="C1140" s="3" t="inlineStr">
        <is>
          <t>Das &amp; Sons</t>
        </is>
      </c>
      <c r="D1140" s="3" t="inlineStr">
        <is>
          <t>Mango Juice 1L</t>
        </is>
      </c>
      <c r="E1140" s="3" t="inlineStr">
        <is>
          <t>Beverages</t>
        </is>
      </c>
      <c r="F1140" s="4" t="n">
        <v>36</v>
      </c>
      <c r="G1140" s="5" t="n">
        <v>118.89</v>
      </c>
      <c r="H1140" s="5">
        <f>F1140*G1140</f>
        <v/>
      </c>
      <c r="I1140" s="5">
        <f>F1140*VLOOKUP(D1140,Products!$B$2:$E$13,3,FALSE)</f>
        <v/>
      </c>
    </row>
    <row r="1141">
      <c r="A1141" s="2" t="n">
        <v>46255</v>
      </c>
      <c r="B1141" s="3" t="inlineStr">
        <is>
          <t>INV-2608-1150</t>
        </is>
      </c>
      <c r="C1141" s="3" t="inlineStr">
        <is>
          <t>Pandey Stores</t>
        </is>
      </c>
      <c r="D1141" s="3" t="inlineStr">
        <is>
          <t>Packaged Water 1L</t>
        </is>
      </c>
      <c r="E1141" s="3" t="inlineStr">
        <is>
          <t>Beverages</t>
        </is>
      </c>
      <c r="F1141" s="4" t="n">
        <v>35</v>
      </c>
      <c r="G1141" s="5" t="n">
        <v>20.45</v>
      </c>
      <c r="H1141" s="5">
        <f>F1141*G1141</f>
        <v/>
      </c>
      <c r="I1141" s="5">
        <f>F1141*VLOOKUP(D1141,Products!$B$2:$E$13,3,FALSE)</f>
        <v/>
      </c>
    </row>
    <row r="1142">
      <c r="A1142" s="2" t="n">
        <v>46255</v>
      </c>
      <c r="B1142" s="3" t="inlineStr">
        <is>
          <t>INV-2608-1151</t>
        </is>
      </c>
      <c r="C1142" s="3" t="inlineStr">
        <is>
          <t>Sinha Super Mart</t>
        </is>
      </c>
      <c r="D1142" s="3" t="inlineStr">
        <is>
          <t>Potato Chips 150g</t>
        </is>
      </c>
      <c r="E1142" s="3" t="inlineStr">
        <is>
          <t>Snacks</t>
        </is>
      </c>
      <c r="F1142" s="4" t="n">
        <v>4</v>
      </c>
      <c r="G1142" s="5" t="n">
        <v>50.32</v>
      </c>
      <c r="H1142" s="5">
        <f>F1142*G1142</f>
        <v/>
      </c>
      <c r="I1142" s="5">
        <f>F1142*VLOOKUP(D1142,Products!$B$2:$E$13,3,FALSE)</f>
        <v/>
      </c>
    </row>
    <row r="1143">
      <c r="A1143" s="2" t="n">
        <v>46255</v>
      </c>
      <c r="B1143" s="3" t="inlineStr">
        <is>
          <t>INV-2608-1152</t>
        </is>
      </c>
      <c r="C1143" s="3" t="inlineStr">
        <is>
          <t>Tiwari General</t>
        </is>
      </c>
      <c r="D1143" s="3" t="inlineStr">
        <is>
          <t>Potato Chips 150g</t>
        </is>
      </c>
      <c r="E1143" s="3" t="inlineStr">
        <is>
          <t>Snacks</t>
        </is>
      </c>
      <c r="F1143" s="4" t="n">
        <v>34</v>
      </c>
      <c r="G1143" s="5" t="n">
        <v>51.34</v>
      </c>
      <c r="H1143" s="5">
        <f>F1143*G1143</f>
        <v/>
      </c>
      <c r="I1143" s="5">
        <f>F1143*VLOOKUP(D1143,Products!$B$2:$E$13,3,FALSE)</f>
        <v/>
      </c>
    </row>
    <row r="1144">
      <c r="A1144" s="2" t="n">
        <v>46255</v>
      </c>
      <c r="B1144" s="3" t="inlineStr">
        <is>
          <t>INV-2608-1153</t>
        </is>
      </c>
      <c r="C1144" s="3" t="inlineStr">
        <is>
          <t>Gupta General Store</t>
        </is>
      </c>
      <c r="D1144" s="3" t="inlineStr">
        <is>
          <t>Biscuits 400g</t>
        </is>
      </c>
      <c r="E1144" s="3" t="inlineStr">
        <is>
          <t>Snacks</t>
        </is>
      </c>
      <c r="F1144" s="4" t="n">
        <v>22</v>
      </c>
      <c r="G1144" s="5" t="n">
        <v>41.82</v>
      </c>
      <c r="H1144" s="5">
        <f>F1144*G1144</f>
        <v/>
      </c>
      <c r="I1144" s="5">
        <f>F1144*VLOOKUP(D1144,Products!$B$2:$E$13,3,FALSE)</f>
        <v/>
      </c>
    </row>
    <row r="1145">
      <c r="A1145" s="2" t="n">
        <v>46256</v>
      </c>
      <c r="B1145" s="3" t="inlineStr">
        <is>
          <t>INV-2608-1154</t>
        </is>
      </c>
      <c r="C1145" s="3" t="inlineStr">
        <is>
          <t>Azad Stores</t>
        </is>
      </c>
      <c r="D1145" s="3" t="inlineStr">
        <is>
          <t>Detergent 1kg</t>
        </is>
      </c>
      <c r="E1145" s="3" t="inlineStr">
        <is>
          <t>Household</t>
        </is>
      </c>
      <c r="F1145" s="4" t="n">
        <v>4</v>
      </c>
      <c r="G1145" s="5" t="n">
        <v>131.67</v>
      </c>
      <c r="H1145" s="5">
        <f>F1145*G1145</f>
        <v/>
      </c>
      <c r="I1145" s="5">
        <f>F1145*VLOOKUP(D1145,Products!$B$2:$E$13,3,FALSE)</f>
        <v/>
      </c>
    </row>
    <row r="1146">
      <c r="A1146" s="2" t="n">
        <v>46256</v>
      </c>
      <c r="B1146" s="3" t="inlineStr">
        <is>
          <t>INV-2608-1155</t>
        </is>
      </c>
      <c r="C1146" s="3" t="inlineStr">
        <is>
          <t>Gupta General Store</t>
        </is>
      </c>
      <c r="D1146" s="3" t="inlineStr">
        <is>
          <t>Toned Milk 1L</t>
        </is>
      </c>
      <c r="E1146" s="3" t="inlineStr">
        <is>
          <t>Dairy</t>
        </is>
      </c>
      <c r="F1146" s="4" t="n">
        <v>58</v>
      </c>
      <c r="G1146" s="5" t="n">
        <v>68.33</v>
      </c>
      <c r="H1146" s="5">
        <f>F1146*G1146</f>
        <v/>
      </c>
      <c r="I1146" s="5">
        <f>F1146*VLOOKUP(D1146,Products!$B$2:$E$13,3,FALSE)</f>
        <v/>
      </c>
    </row>
    <row r="1147">
      <c r="A1147" s="2" t="n">
        <v>46256</v>
      </c>
      <c r="B1147" s="3" t="inlineStr">
        <is>
          <t>INV-2608-1156</t>
        </is>
      </c>
      <c r="C1147" s="3" t="inlineStr">
        <is>
          <t>Patel Traders</t>
        </is>
      </c>
      <c r="D1147" s="3" t="inlineStr">
        <is>
          <t>Biscuits 400g</t>
        </is>
      </c>
      <c r="E1147" s="3" t="inlineStr">
        <is>
          <t>Snacks</t>
        </is>
      </c>
      <c r="F1147" s="4" t="n">
        <v>61</v>
      </c>
      <c r="G1147" s="5" t="n">
        <v>40.46</v>
      </c>
      <c r="H1147" s="5">
        <f>F1147*G1147</f>
        <v/>
      </c>
      <c r="I1147" s="5">
        <f>F1147*VLOOKUP(D1147,Products!$B$2:$E$13,3,FALSE)</f>
        <v/>
      </c>
    </row>
    <row r="1148">
      <c r="A1148" s="2" t="n">
        <v>46256</v>
      </c>
      <c r="B1148" s="3" t="inlineStr">
        <is>
          <t>INV-2608-1157</t>
        </is>
      </c>
      <c r="C1148" s="3" t="inlineStr">
        <is>
          <t>Verma Retail</t>
        </is>
      </c>
      <c r="D1148" s="3" t="inlineStr">
        <is>
          <t>Biscuits 400g</t>
        </is>
      </c>
      <c r="E1148" s="3" t="inlineStr">
        <is>
          <t>Snacks</t>
        </is>
      </c>
      <c r="F1148" s="4" t="n">
        <v>45</v>
      </c>
      <c r="G1148" s="5" t="n">
        <v>41.83</v>
      </c>
      <c r="H1148" s="5">
        <f>F1148*G1148</f>
        <v/>
      </c>
      <c r="I1148" s="5">
        <f>F1148*VLOOKUP(D1148,Products!$B$2:$E$13,3,FALSE)</f>
        <v/>
      </c>
    </row>
    <row r="1149">
      <c r="A1149" s="2" t="n">
        <v>46256</v>
      </c>
      <c r="B1149" s="3" t="inlineStr">
        <is>
          <t>INV-2608-1158</t>
        </is>
      </c>
      <c r="C1149" s="3" t="inlineStr">
        <is>
          <t>Dubey Kirana</t>
        </is>
      </c>
      <c r="D1149" s="3" t="inlineStr">
        <is>
          <t>Paneer 200g</t>
        </is>
      </c>
      <c r="E1149" s="3" t="inlineStr">
        <is>
          <t>Dairy</t>
        </is>
      </c>
      <c r="F1149" s="4" t="n">
        <v>50</v>
      </c>
      <c r="G1149" s="5" t="n">
        <v>98.8</v>
      </c>
      <c r="H1149" s="5">
        <f>F1149*G1149</f>
        <v/>
      </c>
      <c r="I1149" s="5">
        <f>F1149*VLOOKUP(D1149,Products!$B$2:$E$13,3,FALSE)</f>
        <v/>
      </c>
    </row>
    <row r="1150">
      <c r="A1150" s="2" t="n">
        <v>46257</v>
      </c>
      <c r="B1150" s="3" t="inlineStr">
        <is>
          <t>INV-2608-1159</t>
        </is>
      </c>
      <c r="C1150" s="3" t="inlineStr">
        <is>
          <t>Sharma Provision</t>
        </is>
      </c>
      <c r="D1150" s="3" t="inlineStr">
        <is>
          <t>Potato Chips 150g</t>
        </is>
      </c>
      <c r="E1150" s="3" t="inlineStr">
        <is>
          <t>Snacks</t>
        </is>
      </c>
      <c r="F1150" s="4" t="n">
        <v>6</v>
      </c>
      <c r="G1150" s="5" t="n">
        <v>52.44</v>
      </c>
      <c r="H1150" s="5">
        <f>F1150*G1150</f>
        <v/>
      </c>
      <c r="I1150" s="5">
        <f>F1150*VLOOKUP(D1150,Products!$B$2:$E$13,3,FALSE)</f>
        <v/>
      </c>
    </row>
    <row r="1151">
      <c r="A1151" s="2" t="n">
        <v>46257</v>
      </c>
      <c r="B1151" s="3" t="inlineStr">
        <is>
          <t>INV-2608-1160</t>
        </is>
      </c>
      <c r="C1151" s="3" t="inlineStr">
        <is>
          <t>Gupta General Store</t>
        </is>
      </c>
      <c r="D1151" s="3" t="inlineStr">
        <is>
          <t>Biscuits 400g</t>
        </is>
      </c>
      <c r="E1151" s="3" t="inlineStr">
        <is>
          <t>Snacks</t>
        </is>
      </c>
      <c r="F1151" s="4" t="n">
        <v>26</v>
      </c>
      <c r="G1151" s="5" t="n">
        <v>41.33</v>
      </c>
      <c r="H1151" s="5">
        <f>F1151*G1151</f>
        <v/>
      </c>
      <c r="I1151" s="5">
        <f>F1151*VLOOKUP(D1151,Products!$B$2:$E$13,3,FALSE)</f>
        <v/>
      </c>
    </row>
    <row r="1152">
      <c r="A1152" s="2" t="n">
        <v>46257</v>
      </c>
      <c r="B1152" s="3" t="inlineStr">
        <is>
          <t>INV-2608-1161</t>
        </is>
      </c>
      <c r="C1152" s="3" t="inlineStr">
        <is>
          <t>Patel Traders</t>
        </is>
      </c>
      <c r="D1152" s="3" t="inlineStr">
        <is>
          <t>Packaged Water 1L</t>
        </is>
      </c>
      <c r="E1152" s="3" t="inlineStr">
        <is>
          <t>Beverages</t>
        </is>
      </c>
      <c r="F1152" s="4" t="n">
        <v>87</v>
      </c>
      <c r="G1152" s="5" t="n">
        <v>20.65</v>
      </c>
      <c r="H1152" s="5">
        <f>F1152*G1152</f>
        <v/>
      </c>
      <c r="I1152" s="5">
        <f>F1152*VLOOKUP(D1152,Products!$B$2:$E$13,3,FALSE)</f>
        <v/>
      </c>
    </row>
    <row r="1153">
      <c r="A1153" s="2" t="n">
        <v>46257</v>
      </c>
      <c r="B1153" s="3" t="inlineStr">
        <is>
          <t>INV-2608-1162</t>
        </is>
      </c>
      <c r="C1153" s="3" t="inlineStr">
        <is>
          <t>Prasad Traders</t>
        </is>
      </c>
      <c r="D1153" s="3" t="inlineStr">
        <is>
          <t>Floor Cleaner 1L</t>
        </is>
      </c>
      <c r="E1153" s="3" t="inlineStr">
        <is>
          <t>Household</t>
        </is>
      </c>
      <c r="F1153" s="4" t="n">
        <v>14</v>
      </c>
      <c r="G1153" s="5" t="n">
        <v>107.08</v>
      </c>
      <c r="H1153" s="5">
        <f>F1153*G1153</f>
        <v/>
      </c>
      <c r="I1153" s="5">
        <f>F1153*VLOOKUP(D1153,Products!$B$2:$E$13,3,FALSE)</f>
        <v/>
      </c>
    </row>
    <row r="1154">
      <c r="A1154" s="2" t="n">
        <v>46257</v>
      </c>
      <c r="B1154" s="3" t="inlineStr">
        <is>
          <t>INV-2608-1163</t>
        </is>
      </c>
      <c r="C1154" s="3" t="inlineStr">
        <is>
          <t>Jha Provisions</t>
        </is>
      </c>
      <c r="D1154" s="3" t="inlineStr">
        <is>
          <t>Instant Noodles 280g</t>
        </is>
      </c>
      <c r="E1154" s="3" t="inlineStr">
        <is>
          <t>Snacks</t>
        </is>
      </c>
      <c r="F1154" s="4" t="n">
        <v>38</v>
      </c>
      <c r="G1154" s="5" t="n">
        <v>55.7</v>
      </c>
      <c r="H1154" s="5">
        <f>F1154*G1154</f>
        <v/>
      </c>
      <c r="I1154" s="5">
        <f>F1154*VLOOKUP(D1154,Products!$B$2:$E$13,3,FALSE)</f>
        <v/>
      </c>
    </row>
    <row r="1155">
      <c r="A1155" s="2" t="n">
        <v>46257</v>
      </c>
      <c r="B1155" s="3" t="inlineStr">
        <is>
          <t>INV-2608-1164</t>
        </is>
      </c>
      <c r="C1155" s="3" t="inlineStr">
        <is>
          <t>Gupta General Store</t>
        </is>
      </c>
      <c r="D1155" s="3" t="inlineStr">
        <is>
          <t>Packaged Water 1L</t>
        </is>
      </c>
      <c r="E1155" s="3" t="inlineStr">
        <is>
          <t>Beverages</t>
        </is>
      </c>
      <c r="F1155" s="4" t="n">
        <v>74</v>
      </c>
      <c r="G1155" s="5" t="n">
        <v>19.9</v>
      </c>
      <c r="H1155" s="5">
        <f>F1155*G1155</f>
        <v/>
      </c>
      <c r="I1155" s="5">
        <f>F1155*VLOOKUP(D1155,Products!$B$2:$E$13,3,FALSE)</f>
        <v/>
      </c>
    </row>
    <row r="1156">
      <c r="A1156" s="2" t="n">
        <v>46257</v>
      </c>
      <c r="B1156" s="3" t="inlineStr">
        <is>
          <t>INV-2608-1165</t>
        </is>
      </c>
      <c r="C1156" s="3" t="inlineStr">
        <is>
          <t>Dubey Kirana</t>
        </is>
      </c>
      <c r="D1156" s="3" t="inlineStr">
        <is>
          <t>Instant Noodles 280g</t>
        </is>
      </c>
      <c r="E1156" s="3" t="inlineStr">
        <is>
          <t>Snacks</t>
        </is>
      </c>
      <c r="F1156" s="4" t="n">
        <v>47</v>
      </c>
      <c r="G1156" s="5" t="n">
        <v>58.78</v>
      </c>
      <c r="H1156" s="5">
        <f>F1156*G1156</f>
        <v/>
      </c>
      <c r="I1156" s="5">
        <f>F1156*VLOOKUP(D1156,Products!$B$2:$E$13,3,FALSE)</f>
        <v/>
      </c>
    </row>
    <row r="1157">
      <c r="A1157" s="2" t="n">
        <v>46257</v>
      </c>
      <c r="B1157" s="3" t="inlineStr">
        <is>
          <t>INV-2608-1166</t>
        </is>
      </c>
      <c r="C1157" s="3" t="inlineStr">
        <is>
          <t>Sinha Super Mart</t>
        </is>
      </c>
      <c r="D1157" s="3" t="inlineStr">
        <is>
          <t>Toned Milk 1L</t>
        </is>
      </c>
      <c r="E1157" s="3" t="inlineStr">
        <is>
          <t>Dairy</t>
        </is>
      </c>
      <c r="F1157" s="4" t="n">
        <v>43</v>
      </c>
      <c r="G1157" s="5" t="n">
        <v>65.67</v>
      </c>
      <c r="H1157" s="5">
        <f>F1157*G1157</f>
        <v/>
      </c>
      <c r="I1157" s="5">
        <f>F1157*VLOOKUP(D1157,Products!$B$2:$E$13,3,FALSE)</f>
        <v/>
      </c>
    </row>
    <row r="1158">
      <c r="A1158" s="2" t="n">
        <v>46257</v>
      </c>
      <c r="B1158" s="3" t="inlineStr">
        <is>
          <t>INV-2608-1167</t>
        </is>
      </c>
      <c r="C1158" s="3" t="inlineStr">
        <is>
          <t>Patel Traders</t>
        </is>
      </c>
      <c r="D1158" s="3" t="inlineStr">
        <is>
          <t>Floor Cleaner 1L</t>
        </is>
      </c>
      <c r="E1158" s="3" t="inlineStr">
        <is>
          <t>Household</t>
        </is>
      </c>
      <c r="F1158" s="4" t="n">
        <v>30</v>
      </c>
      <c r="G1158" s="5" t="n">
        <v>107.65</v>
      </c>
      <c r="H1158" s="5">
        <f>F1158*G1158</f>
        <v/>
      </c>
      <c r="I1158" s="5">
        <f>F1158*VLOOKUP(D1158,Products!$B$2:$E$13,3,FALSE)</f>
        <v/>
      </c>
    </row>
    <row r="1159">
      <c r="A1159" s="2" t="n">
        <v>46257</v>
      </c>
      <c r="B1159" s="3" t="inlineStr">
        <is>
          <t>INV-2608-1168</t>
        </is>
      </c>
      <c r="C1159" s="3" t="inlineStr">
        <is>
          <t>Mishra Stores</t>
        </is>
      </c>
      <c r="D1159" s="3" t="inlineStr">
        <is>
          <t>Cola 750ml</t>
        </is>
      </c>
      <c r="E1159" s="3" t="inlineStr">
        <is>
          <t>Beverages</t>
        </is>
      </c>
      <c r="F1159" s="4" t="n">
        <v>70</v>
      </c>
      <c r="G1159" s="5" t="n">
        <v>45.65</v>
      </c>
      <c r="H1159" s="5">
        <f>F1159*G1159</f>
        <v/>
      </c>
      <c r="I1159" s="5">
        <f>F1159*VLOOKUP(D1159,Products!$B$2:$E$13,3,FALSE)</f>
        <v/>
      </c>
    </row>
    <row r="1160">
      <c r="A1160" s="2" t="n">
        <v>46257</v>
      </c>
      <c r="B1160" s="3" t="inlineStr">
        <is>
          <t>INV-2608-1169</t>
        </is>
      </c>
      <c r="C1160" s="3" t="inlineStr">
        <is>
          <t>Das &amp; Sons</t>
        </is>
      </c>
      <c r="D1160" s="3" t="inlineStr">
        <is>
          <t>Cola 750ml</t>
        </is>
      </c>
      <c r="E1160" s="3" t="inlineStr">
        <is>
          <t>Beverages</t>
        </is>
      </c>
      <c r="F1160" s="4" t="n">
        <v>56</v>
      </c>
      <c r="G1160" s="5" t="n">
        <v>45.36</v>
      </c>
      <c r="H1160" s="5">
        <f>F1160*G1160</f>
        <v/>
      </c>
      <c r="I1160" s="5">
        <f>F1160*VLOOKUP(D1160,Products!$B$2:$E$13,3,FALSE)</f>
        <v/>
      </c>
    </row>
    <row r="1161">
      <c r="A1161" s="2" t="n">
        <v>46258</v>
      </c>
      <c r="B1161" s="3" t="inlineStr">
        <is>
          <t>INV-2608-1170</t>
        </is>
      </c>
      <c r="C1161" s="3" t="inlineStr">
        <is>
          <t>Patel Traders</t>
        </is>
      </c>
      <c r="D1161" s="3" t="inlineStr">
        <is>
          <t>Instant Noodles 280g</t>
        </is>
      </c>
      <c r="E1161" s="3" t="inlineStr">
        <is>
          <t>Snacks</t>
        </is>
      </c>
      <c r="F1161" s="4" t="n">
        <v>42</v>
      </c>
      <c r="G1161" s="5" t="n">
        <v>57.01</v>
      </c>
      <c r="H1161" s="5">
        <f>F1161*G1161</f>
        <v/>
      </c>
      <c r="I1161" s="5">
        <f>F1161*VLOOKUP(D1161,Products!$B$2:$E$13,3,FALSE)</f>
        <v/>
      </c>
    </row>
    <row r="1162">
      <c r="A1162" s="2" t="n">
        <v>46258</v>
      </c>
      <c r="B1162" s="3" t="inlineStr">
        <is>
          <t>INV-2608-1171</t>
        </is>
      </c>
      <c r="C1162" s="3" t="inlineStr">
        <is>
          <t>Raza Brothers</t>
        </is>
      </c>
      <c r="D1162" s="3" t="inlineStr">
        <is>
          <t>Dish Soap 500ml</t>
        </is>
      </c>
      <c r="E1162" s="3" t="inlineStr">
        <is>
          <t>Household</t>
        </is>
      </c>
      <c r="F1162" s="4" t="n">
        <v>44</v>
      </c>
      <c r="G1162" s="5" t="n">
        <v>99.93000000000001</v>
      </c>
      <c r="H1162" s="5">
        <f>F1162*G1162</f>
        <v/>
      </c>
      <c r="I1162" s="5">
        <f>F1162*VLOOKUP(D1162,Products!$B$2:$E$13,3,FALSE)</f>
        <v/>
      </c>
    </row>
    <row r="1163">
      <c r="A1163" s="2" t="n">
        <v>46258</v>
      </c>
      <c r="B1163" s="3" t="inlineStr">
        <is>
          <t>INV-2608-1172</t>
        </is>
      </c>
      <c r="C1163" s="3" t="inlineStr">
        <is>
          <t>Bhatt General Store</t>
        </is>
      </c>
      <c r="D1163" s="3" t="inlineStr">
        <is>
          <t>Detergent 1kg</t>
        </is>
      </c>
      <c r="E1163" s="3" t="inlineStr">
        <is>
          <t>Household</t>
        </is>
      </c>
      <c r="F1163" s="4" t="n">
        <v>55</v>
      </c>
      <c r="G1163" s="5" t="n">
        <v>129.3</v>
      </c>
      <c r="H1163" s="5">
        <f>F1163*G1163</f>
        <v/>
      </c>
      <c r="I1163" s="5">
        <f>F1163*VLOOKUP(D1163,Products!$B$2:$E$13,3,FALSE)</f>
        <v/>
      </c>
    </row>
    <row r="1164">
      <c r="A1164" s="2" t="n">
        <v>46258</v>
      </c>
      <c r="B1164" s="3" t="inlineStr">
        <is>
          <t>INV-2608-1173</t>
        </is>
      </c>
      <c r="C1164" s="3" t="inlineStr">
        <is>
          <t>Azad Stores</t>
        </is>
      </c>
      <c r="D1164" s="3" t="inlineStr">
        <is>
          <t>Cola 750ml</t>
        </is>
      </c>
      <c r="E1164" s="3" t="inlineStr">
        <is>
          <t>Beverages</t>
        </is>
      </c>
      <c r="F1164" s="4" t="n">
        <v>36</v>
      </c>
      <c r="G1164" s="5" t="n">
        <v>45.85</v>
      </c>
      <c r="H1164" s="5">
        <f>F1164*G1164</f>
        <v/>
      </c>
      <c r="I1164" s="5">
        <f>F1164*VLOOKUP(D1164,Products!$B$2:$E$13,3,FALSE)</f>
        <v/>
      </c>
    </row>
    <row r="1165">
      <c r="A1165" s="2" t="n">
        <v>46258</v>
      </c>
      <c r="B1165" s="3" t="inlineStr">
        <is>
          <t>INV-2608-1174</t>
        </is>
      </c>
      <c r="C1165" s="3" t="inlineStr">
        <is>
          <t>Prasad Traders</t>
        </is>
      </c>
      <c r="D1165" s="3" t="inlineStr">
        <is>
          <t>Curd Cup 400g</t>
        </is>
      </c>
      <c r="E1165" s="3" t="inlineStr">
        <is>
          <t>Dairy</t>
        </is>
      </c>
      <c r="F1165" s="4" t="n">
        <v>46</v>
      </c>
      <c r="G1165" s="5" t="n">
        <v>44.84</v>
      </c>
      <c r="H1165" s="5">
        <f>F1165*G1165</f>
        <v/>
      </c>
      <c r="I1165" s="5">
        <f>F1165*VLOOKUP(D1165,Products!$B$2:$E$13,3,FALSE)</f>
        <v/>
      </c>
    </row>
    <row r="1166">
      <c r="A1166" s="2" t="n">
        <v>46258</v>
      </c>
      <c r="B1166" s="3" t="inlineStr">
        <is>
          <t>INV-2608-1175</t>
        </is>
      </c>
      <c r="C1166" s="3" t="inlineStr">
        <is>
          <t>Pandey Stores</t>
        </is>
      </c>
      <c r="D1166" s="3" t="inlineStr">
        <is>
          <t>Cola 750ml</t>
        </is>
      </c>
      <c r="E1166" s="3" t="inlineStr">
        <is>
          <t>Beverages</t>
        </is>
      </c>
      <c r="F1166" s="4" t="n">
        <v>14</v>
      </c>
      <c r="G1166" s="5" t="n">
        <v>46.96</v>
      </c>
      <c r="H1166" s="5">
        <f>F1166*G1166</f>
        <v/>
      </c>
      <c r="I1166" s="5">
        <f>F1166*VLOOKUP(D1166,Products!$B$2:$E$13,3,FALSE)</f>
        <v/>
      </c>
    </row>
    <row r="1167">
      <c r="A1167" s="2" t="n">
        <v>46258</v>
      </c>
      <c r="B1167" s="3" t="inlineStr">
        <is>
          <t>INV-2608-1176</t>
        </is>
      </c>
      <c r="C1167" s="3" t="inlineStr">
        <is>
          <t>Sahu Traders</t>
        </is>
      </c>
      <c r="D1167" s="3" t="inlineStr">
        <is>
          <t>Detergent 1kg</t>
        </is>
      </c>
      <c r="E1167" s="3" t="inlineStr">
        <is>
          <t>Household</t>
        </is>
      </c>
      <c r="F1167" s="4" t="n">
        <v>8</v>
      </c>
      <c r="G1167" s="5" t="n">
        <v>129.64</v>
      </c>
      <c r="H1167" s="5">
        <f>F1167*G1167</f>
        <v/>
      </c>
      <c r="I1167" s="5">
        <f>F1167*VLOOKUP(D1167,Products!$B$2:$E$13,3,FALSE)</f>
        <v/>
      </c>
    </row>
    <row r="1168">
      <c r="A1168" s="2" t="n">
        <v>46258</v>
      </c>
      <c r="B1168" s="3" t="inlineStr">
        <is>
          <t>INV-2608-1177</t>
        </is>
      </c>
      <c r="C1168" s="3" t="inlineStr">
        <is>
          <t>Choudhary Mart</t>
        </is>
      </c>
      <c r="D1168" s="3" t="inlineStr">
        <is>
          <t>Cola 750ml</t>
        </is>
      </c>
      <c r="E1168" s="3" t="inlineStr">
        <is>
          <t>Beverages</t>
        </is>
      </c>
      <c r="F1168" s="4" t="n">
        <v>43</v>
      </c>
      <c r="G1168" s="5" t="n">
        <v>43.68</v>
      </c>
      <c r="H1168" s="5">
        <f>F1168*G1168</f>
        <v/>
      </c>
      <c r="I1168" s="5">
        <f>F1168*VLOOKUP(D1168,Products!$B$2:$E$13,3,FALSE)</f>
        <v/>
      </c>
    </row>
    <row r="1169">
      <c r="A1169" s="2" t="n">
        <v>46258</v>
      </c>
      <c r="B1169" s="3" t="inlineStr">
        <is>
          <t>INV-2608-1178</t>
        </is>
      </c>
      <c r="C1169" s="3" t="inlineStr">
        <is>
          <t>Prasad Traders</t>
        </is>
      </c>
      <c r="D1169" s="3" t="inlineStr">
        <is>
          <t>Biscuits 400g</t>
        </is>
      </c>
      <c r="E1169" s="3" t="inlineStr">
        <is>
          <t>Snacks</t>
        </is>
      </c>
      <c r="F1169" s="4" t="n">
        <v>56</v>
      </c>
      <c r="G1169" s="5" t="n">
        <v>41.28</v>
      </c>
      <c r="H1169" s="5">
        <f>F1169*G1169</f>
        <v/>
      </c>
      <c r="I1169" s="5">
        <f>F1169*VLOOKUP(D1169,Products!$B$2:$E$13,3,FALSE)</f>
        <v/>
      </c>
    </row>
    <row r="1170">
      <c r="A1170" s="2" t="n">
        <v>46259</v>
      </c>
      <c r="B1170" s="3" t="inlineStr">
        <is>
          <t>INV-2608-1179</t>
        </is>
      </c>
      <c r="C1170" s="3" t="inlineStr">
        <is>
          <t>Sinha Super Mart</t>
        </is>
      </c>
      <c r="D1170" s="3" t="inlineStr">
        <is>
          <t>Packaged Water 1L</t>
        </is>
      </c>
      <c r="E1170" s="3" t="inlineStr">
        <is>
          <t>Beverages</t>
        </is>
      </c>
      <c r="F1170" s="4" t="n">
        <v>39</v>
      </c>
      <c r="G1170" s="5" t="n">
        <v>20.39</v>
      </c>
      <c r="H1170" s="5">
        <f>F1170*G1170</f>
        <v/>
      </c>
      <c r="I1170" s="5">
        <f>F1170*VLOOKUP(D1170,Products!$B$2:$E$13,3,FALSE)</f>
        <v/>
      </c>
    </row>
    <row r="1171">
      <c r="A1171" s="2" t="n">
        <v>46259</v>
      </c>
      <c r="B1171" s="3" t="inlineStr">
        <is>
          <t>INV-2608-1180</t>
        </is>
      </c>
      <c r="C1171" s="3" t="inlineStr">
        <is>
          <t>Bhatt General Store</t>
        </is>
      </c>
      <c r="D1171" s="3" t="inlineStr">
        <is>
          <t>Paneer 200g</t>
        </is>
      </c>
      <c r="E1171" s="3" t="inlineStr">
        <is>
          <t>Dairy</t>
        </is>
      </c>
      <c r="F1171" s="4" t="n">
        <v>42</v>
      </c>
      <c r="G1171" s="5" t="n">
        <v>97.06999999999999</v>
      </c>
      <c r="H1171" s="5">
        <f>F1171*G1171</f>
        <v/>
      </c>
      <c r="I1171" s="5">
        <f>F1171*VLOOKUP(D1171,Products!$B$2:$E$13,3,FALSE)</f>
        <v/>
      </c>
    </row>
    <row r="1172">
      <c r="A1172" s="2" t="n">
        <v>46259</v>
      </c>
      <c r="B1172" s="3" t="inlineStr">
        <is>
          <t>INV-2608-1181</t>
        </is>
      </c>
      <c r="C1172" s="3" t="inlineStr">
        <is>
          <t>Nath Provisions</t>
        </is>
      </c>
      <c r="D1172" s="3" t="inlineStr">
        <is>
          <t>Floor Cleaner 1L</t>
        </is>
      </c>
      <c r="E1172" s="3" t="inlineStr">
        <is>
          <t>Household</t>
        </is>
      </c>
      <c r="F1172" s="4" t="n">
        <v>7</v>
      </c>
      <c r="G1172" s="5" t="n">
        <v>107.03</v>
      </c>
      <c r="H1172" s="5">
        <f>F1172*G1172</f>
        <v/>
      </c>
      <c r="I1172" s="5">
        <f>F1172*VLOOKUP(D1172,Products!$B$2:$E$13,3,FALSE)</f>
        <v/>
      </c>
    </row>
    <row r="1173">
      <c r="A1173" s="2" t="n">
        <v>46259</v>
      </c>
      <c r="B1173" s="3" t="inlineStr">
        <is>
          <t>INV-2608-1182</t>
        </is>
      </c>
      <c r="C1173" s="3" t="inlineStr">
        <is>
          <t>Bhatt General Store</t>
        </is>
      </c>
      <c r="D1173" s="3" t="inlineStr">
        <is>
          <t>Instant Noodles 280g</t>
        </is>
      </c>
      <c r="E1173" s="3" t="inlineStr">
        <is>
          <t>Snacks</t>
        </is>
      </c>
      <c r="F1173" s="4" t="n">
        <v>17</v>
      </c>
      <c r="G1173" s="5" t="n">
        <v>56.67</v>
      </c>
      <c r="H1173" s="5">
        <f>F1173*G1173</f>
        <v/>
      </c>
      <c r="I1173" s="5">
        <f>F1173*VLOOKUP(D1173,Products!$B$2:$E$13,3,FALSE)</f>
        <v/>
      </c>
    </row>
    <row r="1174">
      <c r="A1174" s="2" t="n">
        <v>46259</v>
      </c>
      <c r="B1174" s="3" t="inlineStr">
        <is>
          <t>INV-2608-1183</t>
        </is>
      </c>
      <c r="C1174" s="3" t="inlineStr">
        <is>
          <t>Prasad Traders</t>
        </is>
      </c>
      <c r="D1174" s="3" t="inlineStr">
        <is>
          <t>Cola 750ml</t>
        </is>
      </c>
      <c r="E1174" s="3" t="inlineStr">
        <is>
          <t>Beverages</t>
        </is>
      </c>
      <c r="F1174" s="4" t="n">
        <v>36</v>
      </c>
      <c r="G1174" s="5" t="n">
        <v>44.05</v>
      </c>
      <c r="H1174" s="5">
        <f>F1174*G1174</f>
        <v/>
      </c>
      <c r="I1174" s="5">
        <f>F1174*VLOOKUP(D1174,Products!$B$2:$E$13,3,FALSE)</f>
        <v/>
      </c>
    </row>
    <row r="1175">
      <c r="A1175" s="2" t="n">
        <v>46259</v>
      </c>
      <c r="B1175" s="3" t="inlineStr">
        <is>
          <t>INV-2608-1184</t>
        </is>
      </c>
      <c r="C1175" s="3" t="inlineStr">
        <is>
          <t>Nath Provisions</t>
        </is>
      </c>
      <c r="D1175" s="3" t="inlineStr">
        <is>
          <t>Mango Juice 1L</t>
        </is>
      </c>
      <c r="E1175" s="3" t="inlineStr">
        <is>
          <t>Beverages</t>
        </is>
      </c>
      <c r="F1175" s="4" t="n">
        <v>17</v>
      </c>
      <c r="G1175" s="5" t="n">
        <v>122.88</v>
      </c>
      <c r="H1175" s="5">
        <f>F1175*G1175</f>
        <v/>
      </c>
      <c r="I1175" s="5">
        <f>F1175*VLOOKUP(D1175,Products!$B$2:$E$13,3,FALSE)</f>
        <v/>
      </c>
    </row>
    <row r="1176">
      <c r="A1176" s="2" t="n">
        <v>46259</v>
      </c>
      <c r="B1176" s="3" t="inlineStr">
        <is>
          <t>INV-2608-1185</t>
        </is>
      </c>
      <c r="C1176" s="3" t="inlineStr">
        <is>
          <t>Verma Retail</t>
        </is>
      </c>
      <c r="D1176" s="3" t="inlineStr">
        <is>
          <t>Cola 750ml</t>
        </is>
      </c>
      <c r="E1176" s="3" t="inlineStr">
        <is>
          <t>Beverages</t>
        </is>
      </c>
      <c r="F1176" s="4" t="n">
        <v>43</v>
      </c>
      <c r="G1176" s="5" t="n">
        <v>46.07</v>
      </c>
      <c r="H1176" s="5">
        <f>F1176*G1176</f>
        <v/>
      </c>
      <c r="I1176" s="5">
        <f>F1176*VLOOKUP(D1176,Products!$B$2:$E$13,3,FALSE)</f>
        <v/>
      </c>
    </row>
    <row r="1177">
      <c r="A1177" s="2" t="n">
        <v>46259</v>
      </c>
      <c r="B1177" s="3" t="inlineStr">
        <is>
          <t>INV-2608-1186</t>
        </is>
      </c>
      <c r="C1177" s="3" t="inlineStr">
        <is>
          <t>Kumari Kirana</t>
        </is>
      </c>
      <c r="D1177" s="3" t="inlineStr">
        <is>
          <t>Paneer 200g</t>
        </is>
      </c>
      <c r="E1177" s="3" t="inlineStr">
        <is>
          <t>Dairy</t>
        </is>
      </c>
      <c r="F1177" s="4" t="n">
        <v>53</v>
      </c>
      <c r="G1177" s="5" t="n">
        <v>98.64</v>
      </c>
      <c r="H1177" s="5">
        <f>F1177*G1177</f>
        <v/>
      </c>
      <c r="I1177" s="5">
        <f>F1177*VLOOKUP(D1177,Products!$B$2:$E$13,3,FALSE)</f>
        <v/>
      </c>
    </row>
    <row r="1178">
      <c r="A1178" s="2" t="n">
        <v>46259</v>
      </c>
      <c r="B1178" s="3" t="inlineStr">
        <is>
          <t>INV-2608-1187</t>
        </is>
      </c>
      <c r="C1178" s="3" t="inlineStr">
        <is>
          <t>Das &amp; Sons</t>
        </is>
      </c>
      <c r="D1178" s="3" t="inlineStr">
        <is>
          <t>Toned Milk 1L</t>
        </is>
      </c>
      <c r="E1178" s="3" t="inlineStr">
        <is>
          <t>Dairy</t>
        </is>
      </c>
      <c r="F1178" s="4" t="n">
        <v>47</v>
      </c>
      <c r="G1178" s="5" t="n">
        <v>66.47</v>
      </c>
      <c r="H1178" s="5">
        <f>F1178*G1178</f>
        <v/>
      </c>
      <c r="I1178" s="5">
        <f>F1178*VLOOKUP(D1178,Products!$B$2:$E$13,3,FALSE)</f>
        <v/>
      </c>
    </row>
    <row r="1179">
      <c r="A1179" s="2" t="n">
        <v>46260</v>
      </c>
      <c r="B1179" s="3" t="inlineStr">
        <is>
          <t>INV-2608-1188</t>
        </is>
      </c>
      <c r="C1179" s="3" t="inlineStr">
        <is>
          <t>Yadav Daily Needs</t>
        </is>
      </c>
      <c r="D1179" s="3" t="inlineStr">
        <is>
          <t>Potato Chips 150g</t>
        </is>
      </c>
      <c r="E1179" s="3" t="inlineStr">
        <is>
          <t>Snacks</t>
        </is>
      </c>
      <c r="F1179" s="4" t="n">
        <v>8</v>
      </c>
      <c r="G1179" s="5" t="n">
        <v>50.75</v>
      </c>
      <c r="H1179" s="5">
        <f>F1179*G1179</f>
        <v/>
      </c>
      <c r="I1179" s="5">
        <f>F1179*VLOOKUP(D1179,Products!$B$2:$E$13,3,FALSE)</f>
        <v/>
      </c>
    </row>
    <row r="1180">
      <c r="A1180" s="2" t="n">
        <v>46260</v>
      </c>
      <c r="B1180" s="3" t="inlineStr">
        <is>
          <t>INV-2608-1189</t>
        </is>
      </c>
      <c r="C1180" s="3" t="inlineStr">
        <is>
          <t>Sahu Traders</t>
        </is>
      </c>
      <c r="D1180" s="3" t="inlineStr">
        <is>
          <t>Packaged Water 1L</t>
        </is>
      </c>
      <c r="E1180" s="3" t="inlineStr">
        <is>
          <t>Beverages</t>
        </is>
      </c>
      <c r="F1180" s="4" t="n">
        <v>26</v>
      </c>
      <c r="G1180" s="5" t="n">
        <v>20.17</v>
      </c>
      <c r="H1180" s="5">
        <f>F1180*G1180</f>
        <v/>
      </c>
      <c r="I1180" s="5">
        <f>F1180*VLOOKUP(D1180,Products!$B$2:$E$13,3,FALSE)</f>
        <v/>
      </c>
    </row>
    <row r="1181">
      <c r="A1181" s="2" t="n">
        <v>46260</v>
      </c>
      <c r="B1181" s="3" t="inlineStr">
        <is>
          <t>INV-2608-1190</t>
        </is>
      </c>
      <c r="C1181" s="3" t="inlineStr">
        <is>
          <t>Ali General Store</t>
        </is>
      </c>
      <c r="D1181" s="3" t="inlineStr">
        <is>
          <t>Dish Soap 500ml</t>
        </is>
      </c>
      <c r="E1181" s="3" t="inlineStr">
        <is>
          <t>Household</t>
        </is>
      </c>
      <c r="F1181" s="4" t="n">
        <v>17</v>
      </c>
      <c r="G1181" s="5" t="n">
        <v>96.88</v>
      </c>
      <c r="H1181" s="5">
        <f>F1181*G1181</f>
        <v/>
      </c>
      <c r="I1181" s="5">
        <f>F1181*VLOOKUP(D1181,Products!$B$2:$E$13,3,FALSE)</f>
        <v/>
      </c>
    </row>
    <row r="1182">
      <c r="A1182" s="2" t="n">
        <v>46260</v>
      </c>
      <c r="B1182" s="3" t="inlineStr">
        <is>
          <t>INV-2608-1191</t>
        </is>
      </c>
      <c r="C1182" s="3" t="inlineStr">
        <is>
          <t>Pandey Stores</t>
        </is>
      </c>
      <c r="D1182" s="3" t="inlineStr">
        <is>
          <t>Dish Soap 500ml</t>
        </is>
      </c>
      <c r="E1182" s="3" t="inlineStr">
        <is>
          <t>Household</t>
        </is>
      </c>
      <c r="F1182" s="4" t="n">
        <v>43</v>
      </c>
      <c r="G1182" s="5" t="n">
        <v>98.98999999999999</v>
      </c>
      <c r="H1182" s="5">
        <f>F1182*G1182</f>
        <v/>
      </c>
      <c r="I1182" s="5">
        <f>F1182*VLOOKUP(D1182,Products!$B$2:$E$13,3,FALSE)</f>
        <v/>
      </c>
    </row>
    <row r="1183">
      <c r="A1183" s="2" t="n">
        <v>46260</v>
      </c>
      <c r="B1183" s="3" t="inlineStr">
        <is>
          <t>INV-2608-1192</t>
        </is>
      </c>
      <c r="C1183" s="3" t="inlineStr">
        <is>
          <t>Pandey Stores</t>
        </is>
      </c>
      <c r="D1183" s="3" t="inlineStr">
        <is>
          <t>Mango Juice 1L</t>
        </is>
      </c>
      <c r="E1183" s="3" t="inlineStr">
        <is>
          <t>Beverages</t>
        </is>
      </c>
      <c r="F1183" s="4" t="n">
        <v>43</v>
      </c>
      <c r="G1183" s="5" t="n">
        <v>117.55</v>
      </c>
      <c r="H1183" s="5">
        <f>F1183*G1183</f>
        <v/>
      </c>
      <c r="I1183" s="5">
        <f>F1183*VLOOKUP(D1183,Products!$B$2:$E$13,3,FALSE)</f>
        <v/>
      </c>
    </row>
    <row r="1184">
      <c r="A1184" s="2" t="n">
        <v>46261</v>
      </c>
      <c r="B1184" s="3" t="inlineStr">
        <is>
          <t>INV-2608-1193</t>
        </is>
      </c>
      <c r="C1184" s="3" t="inlineStr">
        <is>
          <t>Tiwari General</t>
        </is>
      </c>
      <c r="D1184" s="3" t="inlineStr">
        <is>
          <t>Potato Chips 150g</t>
        </is>
      </c>
      <c r="E1184" s="3" t="inlineStr">
        <is>
          <t>Snacks</t>
        </is>
      </c>
      <c r="F1184" s="4" t="n">
        <v>42</v>
      </c>
      <c r="G1184" s="5" t="n">
        <v>51.33</v>
      </c>
      <c r="H1184" s="5">
        <f>F1184*G1184</f>
        <v/>
      </c>
      <c r="I1184" s="5">
        <f>F1184*VLOOKUP(D1184,Products!$B$2:$E$13,3,FALSE)</f>
        <v/>
      </c>
    </row>
    <row r="1185">
      <c r="A1185" s="2" t="n">
        <v>46261</v>
      </c>
      <c r="B1185" s="3" t="inlineStr">
        <is>
          <t>INV-2608-1194</t>
        </is>
      </c>
      <c r="C1185" s="3" t="inlineStr">
        <is>
          <t>Jha Provisions</t>
        </is>
      </c>
      <c r="D1185" s="3" t="inlineStr">
        <is>
          <t>Dish Soap 500ml</t>
        </is>
      </c>
      <c r="E1185" s="3" t="inlineStr">
        <is>
          <t>Household</t>
        </is>
      </c>
      <c r="F1185" s="4" t="n">
        <v>32</v>
      </c>
      <c r="G1185" s="5" t="n">
        <v>100.28</v>
      </c>
      <c r="H1185" s="5">
        <f>F1185*G1185</f>
        <v/>
      </c>
      <c r="I1185" s="5">
        <f>F1185*VLOOKUP(D1185,Products!$B$2:$E$13,3,FALSE)</f>
        <v/>
      </c>
    </row>
    <row r="1186">
      <c r="A1186" s="2" t="n">
        <v>46261</v>
      </c>
      <c r="B1186" s="3" t="inlineStr">
        <is>
          <t>INV-2608-1195</t>
        </is>
      </c>
      <c r="C1186" s="3" t="inlineStr">
        <is>
          <t>Singh Super Bazaar</t>
        </is>
      </c>
      <c r="D1186" s="3" t="inlineStr">
        <is>
          <t>Cola 750ml</t>
        </is>
      </c>
      <c r="E1186" s="3" t="inlineStr">
        <is>
          <t>Beverages</t>
        </is>
      </c>
      <c r="F1186" s="4" t="n">
        <v>37</v>
      </c>
      <c r="G1186" s="5" t="n">
        <v>45.81</v>
      </c>
      <c r="H1186" s="5">
        <f>F1186*G1186</f>
        <v/>
      </c>
      <c r="I1186" s="5">
        <f>F1186*VLOOKUP(D1186,Products!$B$2:$E$13,3,FALSE)</f>
        <v/>
      </c>
    </row>
    <row r="1187">
      <c r="A1187" s="2" t="n">
        <v>46261</v>
      </c>
      <c r="B1187" s="3" t="inlineStr">
        <is>
          <t>INV-2608-1196</t>
        </is>
      </c>
      <c r="C1187" s="3" t="inlineStr">
        <is>
          <t>Prasad Traders</t>
        </is>
      </c>
      <c r="D1187" s="3" t="inlineStr">
        <is>
          <t>Packaged Water 1L</t>
        </is>
      </c>
      <c r="E1187" s="3" t="inlineStr">
        <is>
          <t>Beverages</t>
        </is>
      </c>
      <c r="F1187" s="4" t="n">
        <v>46</v>
      </c>
      <c r="G1187" s="5" t="n">
        <v>19.9</v>
      </c>
      <c r="H1187" s="5">
        <f>F1187*G1187</f>
        <v/>
      </c>
      <c r="I1187" s="5">
        <f>F1187*VLOOKUP(D1187,Products!$B$2:$E$13,3,FALSE)</f>
        <v/>
      </c>
    </row>
    <row r="1188">
      <c r="A1188" s="2" t="n">
        <v>46261</v>
      </c>
      <c r="B1188" s="3" t="inlineStr">
        <is>
          <t>INV-2608-1197</t>
        </is>
      </c>
      <c r="C1188" s="3" t="inlineStr">
        <is>
          <t>Pandey Stores</t>
        </is>
      </c>
      <c r="D1188" s="3" t="inlineStr">
        <is>
          <t>Paneer 200g</t>
        </is>
      </c>
      <c r="E1188" s="3" t="inlineStr">
        <is>
          <t>Dairy</t>
        </is>
      </c>
      <c r="F1188" s="4" t="n">
        <v>7</v>
      </c>
      <c r="G1188" s="5" t="n">
        <v>99.52</v>
      </c>
      <c r="H1188" s="5">
        <f>F1188*G1188</f>
        <v/>
      </c>
      <c r="I1188" s="5">
        <f>F1188*VLOOKUP(D1188,Products!$B$2:$E$13,3,FALSE)</f>
        <v/>
      </c>
    </row>
    <row r="1189">
      <c r="A1189" s="2" t="n">
        <v>46261</v>
      </c>
      <c r="B1189" s="3" t="inlineStr">
        <is>
          <t>INV-2608-1198</t>
        </is>
      </c>
      <c r="C1189" s="3" t="inlineStr">
        <is>
          <t>Nath Provisions</t>
        </is>
      </c>
      <c r="D1189" s="3" t="inlineStr">
        <is>
          <t>Instant Noodles 280g</t>
        </is>
      </c>
      <c r="E1189" s="3" t="inlineStr">
        <is>
          <t>Snacks</t>
        </is>
      </c>
      <c r="F1189" s="4" t="n">
        <v>12</v>
      </c>
      <c r="G1189" s="5" t="n">
        <v>54.99</v>
      </c>
      <c r="H1189" s="5">
        <f>F1189*G1189</f>
        <v/>
      </c>
      <c r="I1189" s="5">
        <f>F1189*VLOOKUP(D1189,Products!$B$2:$E$13,3,FALSE)</f>
        <v/>
      </c>
    </row>
    <row r="1190">
      <c r="A1190" s="2" t="n">
        <v>46261</v>
      </c>
      <c r="B1190" s="3" t="inlineStr">
        <is>
          <t>INV-2608-1199</t>
        </is>
      </c>
      <c r="C1190" s="3" t="inlineStr">
        <is>
          <t>Sinha Super Mart</t>
        </is>
      </c>
      <c r="D1190" s="3" t="inlineStr">
        <is>
          <t>Potato Chips 150g</t>
        </is>
      </c>
      <c r="E1190" s="3" t="inlineStr">
        <is>
          <t>Snacks</t>
        </is>
      </c>
      <c r="F1190" s="4" t="n">
        <v>17</v>
      </c>
      <c r="G1190" s="5" t="n">
        <v>50.63</v>
      </c>
      <c r="H1190" s="5">
        <f>F1190*G1190</f>
        <v/>
      </c>
      <c r="I1190" s="5">
        <f>F1190*VLOOKUP(D1190,Products!$B$2:$E$13,3,FALSE)</f>
        <v/>
      </c>
    </row>
    <row r="1191">
      <c r="A1191" s="2" t="n">
        <v>46261</v>
      </c>
      <c r="B1191" s="3" t="inlineStr">
        <is>
          <t>INV-2608-1200</t>
        </is>
      </c>
      <c r="C1191" s="3" t="inlineStr">
        <is>
          <t>Gupta General Store</t>
        </is>
      </c>
      <c r="D1191" s="3" t="inlineStr">
        <is>
          <t>Paneer 200g</t>
        </is>
      </c>
      <c r="E1191" s="3" t="inlineStr">
        <is>
          <t>Dairy</t>
        </is>
      </c>
      <c r="F1191" s="4" t="n">
        <v>30</v>
      </c>
      <c r="G1191" s="5" t="n">
        <v>93.31999999999999</v>
      </c>
      <c r="H1191" s="5">
        <f>F1191*G1191</f>
        <v/>
      </c>
      <c r="I1191" s="5">
        <f>F1191*VLOOKUP(D1191,Products!$B$2:$E$13,3,FALSE)</f>
        <v/>
      </c>
    </row>
    <row r="1192">
      <c r="A1192" s="2" t="n">
        <v>46261</v>
      </c>
      <c r="B1192" s="3" t="inlineStr">
        <is>
          <t>INV-2608-1201</t>
        </is>
      </c>
      <c r="C1192" s="3" t="inlineStr">
        <is>
          <t>Bhatt General Store</t>
        </is>
      </c>
      <c r="D1192" s="3" t="inlineStr">
        <is>
          <t>Toned Milk 1L</t>
        </is>
      </c>
      <c r="E1192" s="3" t="inlineStr">
        <is>
          <t>Dairy</t>
        </is>
      </c>
      <c r="F1192" s="4" t="n">
        <v>14</v>
      </c>
      <c r="G1192" s="5" t="n">
        <v>68.89</v>
      </c>
      <c r="H1192" s="5">
        <f>F1192*G1192</f>
        <v/>
      </c>
      <c r="I1192" s="5">
        <f>F1192*VLOOKUP(D1192,Products!$B$2:$E$13,3,FALSE)</f>
        <v/>
      </c>
    </row>
    <row r="1193">
      <c r="A1193" s="2" t="n">
        <v>46261</v>
      </c>
      <c r="B1193" s="3" t="inlineStr">
        <is>
          <t>INV-2608-1202</t>
        </is>
      </c>
      <c r="C1193" s="3" t="inlineStr">
        <is>
          <t>Pandey Stores</t>
        </is>
      </c>
      <c r="D1193" s="3" t="inlineStr">
        <is>
          <t>Toned Milk 1L</t>
        </is>
      </c>
      <c r="E1193" s="3" t="inlineStr">
        <is>
          <t>Dairy</t>
        </is>
      </c>
      <c r="F1193" s="4" t="n">
        <v>58</v>
      </c>
      <c r="G1193" s="5" t="n">
        <v>65.15000000000001</v>
      </c>
      <c r="H1193" s="5">
        <f>F1193*G1193</f>
        <v/>
      </c>
      <c r="I1193" s="5">
        <f>F1193*VLOOKUP(D1193,Products!$B$2:$E$13,3,FALSE)</f>
        <v/>
      </c>
    </row>
    <row r="1194">
      <c r="A1194" s="2" t="n">
        <v>46261</v>
      </c>
      <c r="B1194" s="3" t="inlineStr">
        <is>
          <t>INV-2608-1203</t>
        </is>
      </c>
      <c r="C1194" s="3" t="inlineStr">
        <is>
          <t>Ali General Store</t>
        </is>
      </c>
      <c r="D1194" s="3" t="inlineStr">
        <is>
          <t>Toned Milk 1L</t>
        </is>
      </c>
      <c r="E1194" s="3" t="inlineStr">
        <is>
          <t>Dairy</t>
        </is>
      </c>
      <c r="F1194" s="4" t="n">
        <v>37</v>
      </c>
      <c r="G1194" s="5" t="n">
        <v>64.39</v>
      </c>
      <c r="H1194" s="5">
        <f>F1194*G1194</f>
        <v/>
      </c>
      <c r="I1194" s="5">
        <f>F1194*VLOOKUP(D1194,Products!$B$2:$E$13,3,FALSE)</f>
        <v/>
      </c>
    </row>
    <row r="1195">
      <c r="A1195" s="2" t="n">
        <v>46262</v>
      </c>
      <c r="B1195" s="3" t="inlineStr">
        <is>
          <t>INV-2608-1204</t>
        </is>
      </c>
      <c r="C1195" s="3" t="inlineStr">
        <is>
          <t>Gupta General Store</t>
        </is>
      </c>
      <c r="D1195" s="3" t="inlineStr">
        <is>
          <t>Mango Juice 1L</t>
        </is>
      </c>
      <c r="E1195" s="3" t="inlineStr">
        <is>
          <t>Beverages</t>
        </is>
      </c>
      <c r="F1195" s="4" t="n">
        <v>5</v>
      </c>
      <c r="G1195" s="5" t="n">
        <v>121.77</v>
      </c>
      <c r="H1195" s="5">
        <f>F1195*G1195</f>
        <v/>
      </c>
      <c r="I1195" s="5">
        <f>F1195*VLOOKUP(D1195,Products!$B$2:$E$13,3,FALSE)</f>
        <v/>
      </c>
    </row>
    <row r="1196">
      <c r="A1196" s="2" t="n">
        <v>46262</v>
      </c>
      <c r="B1196" s="3" t="inlineStr">
        <is>
          <t>INV-2608-1205</t>
        </is>
      </c>
      <c r="C1196" s="3" t="inlineStr">
        <is>
          <t>Ali General Store</t>
        </is>
      </c>
      <c r="D1196" s="3" t="inlineStr">
        <is>
          <t>Curd Cup 400g</t>
        </is>
      </c>
      <c r="E1196" s="3" t="inlineStr">
        <is>
          <t>Dairy</t>
        </is>
      </c>
      <c r="F1196" s="4" t="n">
        <v>38</v>
      </c>
      <c r="G1196" s="5" t="n">
        <v>45.22</v>
      </c>
      <c r="H1196" s="5">
        <f>F1196*G1196</f>
        <v/>
      </c>
      <c r="I1196" s="5">
        <f>F1196*VLOOKUP(D1196,Products!$B$2:$E$13,3,FALSE)</f>
        <v/>
      </c>
    </row>
    <row r="1197">
      <c r="A1197" s="2" t="n">
        <v>46262</v>
      </c>
      <c r="B1197" s="3" t="inlineStr">
        <is>
          <t>INV-2608-1206</t>
        </is>
      </c>
      <c r="C1197" s="3" t="inlineStr">
        <is>
          <t>Kumari Kirana</t>
        </is>
      </c>
      <c r="D1197" s="3" t="inlineStr">
        <is>
          <t>Paneer 200g</t>
        </is>
      </c>
      <c r="E1197" s="3" t="inlineStr">
        <is>
          <t>Dairy</t>
        </is>
      </c>
      <c r="F1197" s="4" t="n">
        <v>31</v>
      </c>
      <c r="G1197" s="5" t="n">
        <v>99.25</v>
      </c>
      <c r="H1197" s="5">
        <f>F1197*G1197</f>
        <v/>
      </c>
      <c r="I1197" s="5">
        <f>F1197*VLOOKUP(D1197,Products!$B$2:$E$13,3,FALSE)</f>
        <v/>
      </c>
    </row>
    <row r="1198">
      <c r="A1198" s="2" t="n">
        <v>46262</v>
      </c>
      <c r="B1198" s="3" t="inlineStr">
        <is>
          <t>INV-2608-1207</t>
        </is>
      </c>
      <c r="C1198" s="3" t="inlineStr">
        <is>
          <t>Yadav Daily Needs</t>
        </is>
      </c>
      <c r="D1198" s="3" t="inlineStr">
        <is>
          <t>Toned Milk 1L</t>
        </is>
      </c>
      <c r="E1198" s="3" t="inlineStr">
        <is>
          <t>Dairy</t>
        </is>
      </c>
      <c r="F1198" s="4" t="n">
        <v>51</v>
      </c>
      <c r="G1198" s="5" t="n">
        <v>66.88</v>
      </c>
      <c r="H1198" s="5">
        <f>F1198*G1198</f>
        <v/>
      </c>
      <c r="I1198" s="5">
        <f>F1198*VLOOKUP(D1198,Products!$B$2:$E$13,3,FALSE)</f>
        <v/>
      </c>
    </row>
    <row r="1199">
      <c r="A1199" s="2" t="n">
        <v>46262</v>
      </c>
      <c r="B1199" s="3" t="inlineStr">
        <is>
          <t>INV-2608-1208</t>
        </is>
      </c>
      <c r="C1199" s="3" t="inlineStr">
        <is>
          <t>Singh Super Bazaar</t>
        </is>
      </c>
      <c r="D1199" s="3" t="inlineStr">
        <is>
          <t>Packaged Water 1L</t>
        </is>
      </c>
      <c r="E1199" s="3" t="inlineStr">
        <is>
          <t>Beverages</t>
        </is>
      </c>
      <c r="F1199" s="4" t="n">
        <v>41</v>
      </c>
      <c r="G1199" s="5" t="n">
        <v>19.44</v>
      </c>
      <c r="H1199" s="5">
        <f>F1199*G1199</f>
        <v/>
      </c>
      <c r="I1199" s="5">
        <f>F1199*VLOOKUP(D1199,Products!$B$2:$E$13,3,FALSE)</f>
        <v/>
      </c>
    </row>
    <row r="1200">
      <c r="A1200" s="2" t="n">
        <v>46262</v>
      </c>
      <c r="B1200" s="3" t="inlineStr">
        <is>
          <t>INV-2608-1209</t>
        </is>
      </c>
      <c r="C1200" s="3" t="inlineStr">
        <is>
          <t>Das &amp; Sons</t>
        </is>
      </c>
      <c r="D1200" s="3" t="inlineStr">
        <is>
          <t>Dish Soap 500ml</t>
        </is>
      </c>
      <c r="E1200" s="3" t="inlineStr">
        <is>
          <t>Household</t>
        </is>
      </c>
      <c r="F1200" s="4" t="n">
        <v>55</v>
      </c>
      <c r="G1200" s="5" t="n">
        <v>99.37</v>
      </c>
      <c r="H1200" s="5">
        <f>F1200*G1200</f>
        <v/>
      </c>
      <c r="I1200" s="5">
        <f>F1200*VLOOKUP(D1200,Products!$B$2:$E$13,3,FALSE)</f>
        <v/>
      </c>
    </row>
    <row r="1201">
      <c r="A1201" s="2" t="n">
        <v>46262</v>
      </c>
      <c r="B1201" s="3" t="inlineStr">
        <is>
          <t>INV-2608-1210</t>
        </is>
      </c>
      <c r="C1201" s="3" t="inlineStr">
        <is>
          <t>Ali General Store</t>
        </is>
      </c>
      <c r="D1201" s="3" t="inlineStr">
        <is>
          <t>Packaged Water 1L</t>
        </is>
      </c>
      <c r="E1201" s="3" t="inlineStr">
        <is>
          <t>Beverages</t>
        </is>
      </c>
      <c r="F1201" s="4" t="n">
        <v>45</v>
      </c>
      <c r="G1201" s="5" t="n">
        <v>20.15</v>
      </c>
      <c r="H1201" s="5">
        <f>F1201*G1201</f>
        <v/>
      </c>
      <c r="I1201" s="5">
        <f>F1201*VLOOKUP(D1201,Products!$B$2:$E$13,3,FALSE)</f>
        <v/>
      </c>
    </row>
    <row r="1202">
      <c r="A1202" s="2" t="n">
        <v>46263</v>
      </c>
      <c r="B1202" s="3" t="inlineStr">
        <is>
          <t>INV-2608-1211</t>
        </is>
      </c>
      <c r="C1202" s="3" t="inlineStr">
        <is>
          <t>Jha Provisions</t>
        </is>
      </c>
      <c r="D1202" s="3" t="inlineStr">
        <is>
          <t>Paneer 200g</t>
        </is>
      </c>
      <c r="E1202" s="3" t="inlineStr">
        <is>
          <t>Dairy</t>
        </is>
      </c>
      <c r="F1202" s="4" t="n">
        <v>28</v>
      </c>
      <c r="G1202" s="5" t="n">
        <v>96.97</v>
      </c>
      <c r="H1202" s="5">
        <f>F1202*G1202</f>
        <v/>
      </c>
      <c r="I1202" s="5">
        <f>F1202*VLOOKUP(D1202,Products!$B$2:$E$13,3,FALSE)</f>
        <v/>
      </c>
    </row>
    <row r="1203">
      <c r="A1203" s="2" t="n">
        <v>46263</v>
      </c>
      <c r="B1203" s="3" t="inlineStr">
        <is>
          <t>INV-2608-1212</t>
        </is>
      </c>
      <c r="C1203" s="3" t="inlineStr">
        <is>
          <t>Patel Traders</t>
        </is>
      </c>
      <c r="D1203" s="3" t="inlineStr">
        <is>
          <t>Packaged Water 1L</t>
        </is>
      </c>
      <c r="E1203" s="3" t="inlineStr">
        <is>
          <t>Beverages</t>
        </is>
      </c>
      <c r="F1203" s="4" t="n">
        <v>33</v>
      </c>
      <c r="G1203" s="5" t="n">
        <v>19.67</v>
      </c>
      <c r="H1203" s="5">
        <f>F1203*G1203</f>
        <v/>
      </c>
      <c r="I1203" s="5">
        <f>F1203*VLOOKUP(D1203,Products!$B$2:$E$13,3,FALSE)</f>
        <v/>
      </c>
    </row>
    <row r="1204">
      <c r="A1204" s="2" t="n">
        <v>46263</v>
      </c>
      <c r="B1204" s="3" t="inlineStr">
        <is>
          <t>INV-2608-1213</t>
        </is>
      </c>
      <c r="C1204" s="3" t="inlineStr">
        <is>
          <t>Patel Traders</t>
        </is>
      </c>
      <c r="D1204" s="3" t="inlineStr">
        <is>
          <t>Toned Milk 1L</t>
        </is>
      </c>
      <c r="E1204" s="3" t="inlineStr">
        <is>
          <t>Dairy</t>
        </is>
      </c>
      <c r="F1204" s="4" t="n">
        <v>24</v>
      </c>
      <c r="G1204" s="5" t="n">
        <v>65.91</v>
      </c>
      <c r="H1204" s="5">
        <f>F1204*G1204</f>
        <v/>
      </c>
      <c r="I1204" s="5">
        <f>F1204*VLOOKUP(D1204,Products!$B$2:$E$13,3,FALSE)</f>
        <v/>
      </c>
    </row>
    <row r="1205">
      <c r="A1205" s="2" t="n">
        <v>46263</v>
      </c>
      <c r="B1205" s="3" t="inlineStr">
        <is>
          <t>INV-2608-1214</t>
        </is>
      </c>
      <c r="C1205" s="3" t="inlineStr">
        <is>
          <t>Sahu Traders</t>
        </is>
      </c>
      <c r="D1205" s="3" t="inlineStr">
        <is>
          <t>Floor Cleaner 1L</t>
        </is>
      </c>
      <c r="E1205" s="3" t="inlineStr">
        <is>
          <t>Household</t>
        </is>
      </c>
      <c r="F1205" s="4" t="n">
        <v>27</v>
      </c>
      <c r="G1205" s="5" t="n">
        <v>108.33</v>
      </c>
      <c r="H1205" s="5">
        <f>F1205*G1205</f>
        <v/>
      </c>
      <c r="I1205" s="5">
        <f>F1205*VLOOKUP(D1205,Products!$B$2:$E$13,3,FALSE)</f>
        <v/>
      </c>
    </row>
    <row r="1206">
      <c r="A1206" s="2" t="n">
        <v>46263</v>
      </c>
      <c r="B1206" s="3" t="inlineStr">
        <is>
          <t>INV-2608-1215</t>
        </is>
      </c>
      <c r="C1206" s="3" t="inlineStr">
        <is>
          <t>Kumari Kirana</t>
        </is>
      </c>
      <c r="D1206" s="3" t="inlineStr">
        <is>
          <t>Packaged Water 1L</t>
        </is>
      </c>
      <c r="E1206" s="3" t="inlineStr">
        <is>
          <t>Beverages</t>
        </is>
      </c>
      <c r="F1206" s="4" t="n">
        <v>61</v>
      </c>
      <c r="G1206" s="5" t="n">
        <v>20.42</v>
      </c>
      <c r="H1206" s="5">
        <f>F1206*G1206</f>
        <v/>
      </c>
      <c r="I1206" s="5">
        <f>F1206*VLOOKUP(D1206,Products!$B$2:$E$13,3,FALSE)</f>
        <v/>
      </c>
    </row>
    <row r="1207">
      <c r="A1207" s="2" t="n">
        <v>46263</v>
      </c>
      <c r="B1207" s="3" t="inlineStr">
        <is>
          <t>INV-2608-1216</t>
        </is>
      </c>
      <c r="C1207" s="3" t="inlineStr">
        <is>
          <t>Verma Retail</t>
        </is>
      </c>
      <c r="D1207" s="3" t="inlineStr">
        <is>
          <t>Paneer 200g</t>
        </is>
      </c>
      <c r="E1207" s="3" t="inlineStr">
        <is>
          <t>Dairy</t>
        </is>
      </c>
      <c r="F1207" s="4" t="n">
        <v>6</v>
      </c>
      <c r="G1207" s="5" t="n">
        <v>99.61</v>
      </c>
      <c r="H1207" s="5">
        <f>F1207*G1207</f>
        <v/>
      </c>
      <c r="I1207" s="5">
        <f>F1207*VLOOKUP(D1207,Products!$B$2:$E$13,3,FALSE)</f>
        <v/>
      </c>
    </row>
    <row r="1208">
      <c r="A1208" s="2" t="n">
        <v>46264</v>
      </c>
      <c r="B1208" s="3" t="inlineStr">
        <is>
          <t>INV-2608-1217</t>
        </is>
      </c>
      <c r="C1208" s="3" t="inlineStr">
        <is>
          <t>Raza Brothers</t>
        </is>
      </c>
      <c r="D1208" s="3" t="inlineStr">
        <is>
          <t>Cola 750ml</t>
        </is>
      </c>
      <c r="E1208" s="3" t="inlineStr">
        <is>
          <t>Beverages</t>
        </is>
      </c>
      <c r="F1208" s="4" t="n">
        <v>25</v>
      </c>
      <c r="G1208" s="5" t="n">
        <v>46.89</v>
      </c>
      <c r="H1208" s="5">
        <f>F1208*G1208</f>
        <v/>
      </c>
      <c r="I1208" s="5">
        <f>F1208*VLOOKUP(D1208,Products!$B$2:$E$13,3,FALSE)</f>
        <v/>
      </c>
    </row>
    <row r="1209">
      <c r="A1209" s="2" t="n">
        <v>46264</v>
      </c>
      <c r="B1209" s="3" t="inlineStr">
        <is>
          <t>INV-2608-1218</t>
        </is>
      </c>
      <c r="C1209" s="3" t="inlineStr">
        <is>
          <t>Rai Daily Mart</t>
        </is>
      </c>
      <c r="D1209" s="3" t="inlineStr">
        <is>
          <t>Biscuits 400g</t>
        </is>
      </c>
      <c r="E1209" s="3" t="inlineStr">
        <is>
          <t>Snacks</t>
        </is>
      </c>
      <c r="F1209" s="4" t="n">
        <v>38</v>
      </c>
      <c r="G1209" s="5" t="n">
        <v>41.63</v>
      </c>
      <c r="H1209" s="5">
        <f>F1209*G1209</f>
        <v/>
      </c>
      <c r="I1209" s="5">
        <f>F1209*VLOOKUP(D1209,Products!$B$2:$E$13,3,FALSE)</f>
        <v/>
      </c>
    </row>
    <row r="1210">
      <c r="A1210" s="2" t="n">
        <v>46264</v>
      </c>
      <c r="B1210" s="3" t="inlineStr">
        <is>
          <t>INV-2608-1219</t>
        </is>
      </c>
      <c r="C1210" s="3" t="inlineStr">
        <is>
          <t>Yadav Daily Needs</t>
        </is>
      </c>
      <c r="D1210" s="3" t="inlineStr">
        <is>
          <t>Dish Soap 500ml</t>
        </is>
      </c>
      <c r="E1210" s="3" t="inlineStr">
        <is>
          <t>Household</t>
        </is>
      </c>
      <c r="F1210" s="4" t="n">
        <v>77</v>
      </c>
      <c r="G1210" s="5" t="n">
        <v>96.98</v>
      </c>
      <c r="H1210" s="5">
        <f>F1210*G1210</f>
        <v/>
      </c>
      <c r="I1210" s="5">
        <f>F1210*VLOOKUP(D1210,Products!$B$2:$E$13,3,FALSE)</f>
        <v/>
      </c>
    </row>
    <row r="1211">
      <c r="A1211" s="2" t="n">
        <v>46264</v>
      </c>
      <c r="B1211" s="3" t="inlineStr">
        <is>
          <t>INV-2608-1220</t>
        </is>
      </c>
      <c r="C1211" s="3" t="inlineStr">
        <is>
          <t>Nath Provisions</t>
        </is>
      </c>
      <c r="D1211" s="3" t="inlineStr">
        <is>
          <t>Floor Cleaner 1L</t>
        </is>
      </c>
      <c r="E1211" s="3" t="inlineStr">
        <is>
          <t>Household</t>
        </is>
      </c>
      <c r="F1211" s="4" t="n">
        <v>55</v>
      </c>
      <c r="G1211" s="5" t="n">
        <v>108.19</v>
      </c>
      <c r="H1211" s="5">
        <f>F1211*G1211</f>
        <v/>
      </c>
      <c r="I1211" s="5">
        <f>F1211*VLOOKUP(D1211,Products!$B$2:$E$13,3,FALSE)</f>
        <v/>
      </c>
    </row>
    <row r="1212">
      <c r="A1212" s="2" t="n">
        <v>46264</v>
      </c>
      <c r="B1212" s="3" t="inlineStr">
        <is>
          <t>INV-2608-1221</t>
        </is>
      </c>
      <c r="C1212" s="3" t="inlineStr">
        <is>
          <t>Rai Daily Mart</t>
        </is>
      </c>
      <c r="D1212" s="3" t="inlineStr">
        <is>
          <t>Toned Milk 1L</t>
        </is>
      </c>
      <c r="E1212" s="3" t="inlineStr">
        <is>
          <t>Dairy</t>
        </is>
      </c>
      <c r="F1212" s="4" t="n">
        <v>67</v>
      </c>
      <c r="G1212" s="5" t="n">
        <v>64.16</v>
      </c>
      <c r="H1212" s="5">
        <f>F1212*G1212</f>
        <v/>
      </c>
      <c r="I1212" s="5">
        <f>F1212*VLOOKUP(D1212,Products!$B$2:$E$13,3,FALSE)</f>
        <v/>
      </c>
    </row>
    <row r="1213">
      <c r="A1213" s="2" t="n">
        <v>46264</v>
      </c>
      <c r="B1213" s="3" t="inlineStr">
        <is>
          <t>INV-2608-1222</t>
        </is>
      </c>
      <c r="C1213" s="3" t="inlineStr">
        <is>
          <t>Mishra Stores</t>
        </is>
      </c>
      <c r="D1213" s="3" t="inlineStr">
        <is>
          <t>Instant Noodles 280g</t>
        </is>
      </c>
      <c r="E1213" s="3" t="inlineStr">
        <is>
          <t>Snacks</t>
        </is>
      </c>
      <c r="F1213" s="4" t="n">
        <v>48</v>
      </c>
      <c r="G1213" s="5" t="n">
        <v>58.36</v>
      </c>
      <c r="H1213" s="5">
        <f>F1213*G1213</f>
        <v/>
      </c>
      <c r="I1213" s="5">
        <f>F1213*VLOOKUP(D1213,Products!$B$2:$E$13,3,FALSE)</f>
        <v/>
      </c>
    </row>
    <row r="1214">
      <c r="A1214" s="2" t="n">
        <v>46264</v>
      </c>
      <c r="B1214" s="3" t="inlineStr">
        <is>
          <t>INV-2608-1223</t>
        </is>
      </c>
      <c r="C1214" s="3" t="inlineStr">
        <is>
          <t>Jha Provisions</t>
        </is>
      </c>
      <c r="D1214" s="3" t="inlineStr">
        <is>
          <t>Toned Milk 1L</t>
        </is>
      </c>
      <c r="E1214" s="3" t="inlineStr">
        <is>
          <t>Dairy</t>
        </is>
      </c>
      <c r="F1214" s="4" t="n">
        <v>54</v>
      </c>
      <c r="G1214" s="5" t="n">
        <v>65.66</v>
      </c>
      <c r="H1214" s="5">
        <f>F1214*G1214</f>
        <v/>
      </c>
      <c r="I1214" s="5">
        <f>F1214*VLOOKUP(D1214,Products!$B$2:$E$13,3,FALSE)</f>
        <v/>
      </c>
    </row>
    <row r="1215">
      <c r="A1215" s="2" t="n">
        <v>46264</v>
      </c>
      <c r="B1215" s="3" t="inlineStr">
        <is>
          <t>INV-2608-1224</t>
        </is>
      </c>
      <c r="C1215" s="3" t="inlineStr">
        <is>
          <t>Azad Stores</t>
        </is>
      </c>
      <c r="D1215" s="3" t="inlineStr">
        <is>
          <t>Instant Noodles 280g</t>
        </is>
      </c>
      <c r="E1215" s="3" t="inlineStr">
        <is>
          <t>Snacks</t>
        </is>
      </c>
      <c r="F1215" s="4" t="n">
        <v>33</v>
      </c>
      <c r="G1215" s="5" t="n">
        <v>56.35</v>
      </c>
      <c r="H1215" s="5">
        <f>F1215*G1215</f>
        <v/>
      </c>
      <c r="I1215" s="5">
        <f>F1215*VLOOKUP(D1215,Products!$B$2:$E$13,3,FALSE)</f>
        <v/>
      </c>
    </row>
    <row r="1216">
      <c r="A1216" s="2" t="n">
        <v>46264</v>
      </c>
      <c r="B1216" s="3" t="inlineStr">
        <is>
          <t>INV-2608-1225</t>
        </is>
      </c>
      <c r="C1216" s="3" t="inlineStr">
        <is>
          <t>Bhatt General Store</t>
        </is>
      </c>
      <c r="D1216" s="3" t="inlineStr">
        <is>
          <t>Dish Soap 500ml</t>
        </is>
      </c>
      <c r="E1216" s="3" t="inlineStr">
        <is>
          <t>Household</t>
        </is>
      </c>
      <c r="F1216" s="4" t="n">
        <v>28</v>
      </c>
      <c r="G1216" s="5" t="n">
        <v>102.06</v>
      </c>
      <c r="H1216" s="5">
        <f>F1216*G1216</f>
        <v/>
      </c>
      <c r="I1216" s="5">
        <f>F1216*VLOOKUP(D1216,Products!$B$2:$E$13,3,FALSE)</f>
        <v/>
      </c>
    </row>
    <row r="1217">
      <c r="A1217" s="2" t="n">
        <v>46264</v>
      </c>
      <c r="B1217" s="3" t="inlineStr">
        <is>
          <t>INV-2608-1226</t>
        </is>
      </c>
      <c r="C1217" s="3" t="inlineStr">
        <is>
          <t>Singh Super Bazaar</t>
        </is>
      </c>
      <c r="D1217" s="3" t="inlineStr">
        <is>
          <t>Paneer 200g</t>
        </is>
      </c>
      <c r="E1217" s="3" t="inlineStr">
        <is>
          <t>Dairy</t>
        </is>
      </c>
      <c r="F1217" s="4" t="n">
        <v>38</v>
      </c>
      <c r="G1217" s="5" t="n">
        <v>94.97</v>
      </c>
      <c r="H1217" s="5">
        <f>F1217*G1217</f>
        <v/>
      </c>
      <c r="I1217" s="5">
        <f>F1217*VLOOKUP(D1217,Products!$B$2:$E$13,3,FALSE)</f>
        <v/>
      </c>
    </row>
    <row r="1218">
      <c r="A1218" s="2" t="n">
        <v>46264</v>
      </c>
      <c r="B1218" s="3" t="inlineStr">
        <is>
          <t>INV-2608-1227</t>
        </is>
      </c>
      <c r="C1218" s="3" t="inlineStr">
        <is>
          <t>Bhatt General Store</t>
        </is>
      </c>
      <c r="D1218" s="3" t="inlineStr">
        <is>
          <t>Cola 750ml</t>
        </is>
      </c>
      <c r="E1218" s="3" t="inlineStr">
        <is>
          <t>Beverages</t>
        </is>
      </c>
      <c r="F1218" s="4" t="n">
        <v>49</v>
      </c>
      <c r="G1218" s="5" t="n">
        <v>46.86</v>
      </c>
      <c r="H1218" s="5">
        <f>F1218*G1218</f>
        <v/>
      </c>
      <c r="I1218" s="5">
        <f>F1218*VLOOKUP(D1218,Products!$B$2:$E$13,3,FALSE)</f>
        <v/>
      </c>
    </row>
    <row r="1219">
      <c r="A1219" s="2" t="n">
        <v>46265</v>
      </c>
      <c r="B1219" s="3" t="inlineStr">
        <is>
          <t>INV-2608-1228</t>
        </is>
      </c>
      <c r="C1219" s="3" t="inlineStr">
        <is>
          <t>Jha Provisions</t>
        </is>
      </c>
      <c r="D1219" s="3" t="inlineStr">
        <is>
          <t>Dish Soap 500ml</t>
        </is>
      </c>
      <c r="E1219" s="3" t="inlineStr">
        <is>
          <t>Household</t>
        </is>
      </c>
      <c r="F1219" s="4" t="n">
        <v>28</v>
      </c>
      <c r="G1219" s="5" t="n">
        <v>99.28</v>
      </c>
      <c r="H1219" s="5">
        <f>F1219*G1219</f>
        <v/>
      </c>
      <c r="I1219" s="5">
        <f>F1219*VLOOKUP(D1219,Products!$B$2:$E$13,3,FALSE)</f>
        <v/>
      </c>
    </row>
    <row r="1220">
      <c r="A1220" s="2" t="n">
        <v>46265</v>
      </c>
      <c r="B1220" s="3" t="inlineStr">
        <is>
          <t>INV-2608-1229</t>
        </is>
      </c>
      <c r="C1220" s="3" t="inlineStr">
        <is>
          <t>Mehta Retail</t>
        </is>
      </c>
      <c r="D1220" s="3" t="inlineStr">
        <is>
          <t>Detergent 1kg</t>
        </is>
      </c>
      <c r="E1220" s="3" t="inlineStr">
        <is>
          <t>Household</t>
        </is>
      </c>
      <c r="F1220" s="4" t="n">
        <v>28</v>
      </c>
      <c r="G1220" s="5" t="n">
        <v>134.26</v>
      </c>
      <c r="H1220" s="5">
        <f>F1220*G1220</f>
        <v/>
      </c>
      <c r="I1220" s="5">
        <f>F1220*VLOOKUP(D1220,Products!$B$2:$E$13,3,FALSE)</f>
        <v/>
      </c>
    </row>
    <row r="1221">
      <c r="A1221" s="2" t="n">
        <v>46265</v>
      </c>
      <c r="B1221" s="3" t="inlineStr">
        <is>
          <t>INV-2608-1230</t>
        </is>
      </c>
      <c r="C1221" s="3" t="inlineStr">
        <is>
          <t>Sinha Super Mart</t>
        </is>
      </c>
      <c r="D1221" s="3" t="inlineStr">
        <is>
          <t>Floor Cleaner 1L</t>
        </is>
      </c>
      <c r="E1221" s="3" t="inlineStr">
        <is>
          <t>Household</t>
        </is>
      </c>
      <c r="F1221" s="4" t="n">
        <v>30</v>
      </c>
      <c r="G1221" s="5" t="n">
        <v>113.8</v>
      </c>
      <c r="H1221" s="5">
        <f>F1221*G1221</f>
        <v/>
      </c>
      <c r="I1221" s="5">
        <f>F1221*VLOOKUP(D1221,Products!$B$2:$E$13,3,FALSE)</f>
        <v/>
      </c>
    </row>
    <row r="1222">
      <c r="A1222" s="2" t="n">
        <v>46265</v>
      </c>
      <c r="B1222" s="3" t="inlineStr">
        <is>
          <t>INV-2608-1231</t>
        </is>
      </c>
      <c r="C1222" s="3" t="inlineStr">
        <is>
          <t>Jha Provisions</t>
        </is>
      </c>
      <c r="D1222" s="3" t="inlineStr">
        <is>
          <t>Packaged Water 1L</t>
        </is>
      </c>
      <c r="E1222" s="3" t="inlineStr">
        <is>
          <t>Beverages</t>
        </is>
      </c>
      <c r="F1222" s="4" t="n">
        <v>11</v>
      </c>
      <c r="G1222" s="5" t="n">
        <v>20.98</v>
      </c>
      <c r="H1222" s="5">
        <f>F1222*G1222</f>
        <v/>
      </c>
      <c r="I1222" s="5">
        <f>F1222*VLOOKUP(D1222,Products!$B$2:$E$13,3,FALSE)</f>
        <v/>
      </c>
    </row>
    <row r="1223">
      <c r="A1223" s="2" t="n">
        <v>46265</v>
      </c>
      <c r="B1223" s="3" t="inlineStr">
        <is>
          <t>INV-2608-1232</t>
        </is>
      </c>
      <c r="C1223" s="3" t="inlineStr">
        <is>
          <t>Sahu Traders</t>
        </is>
      </c>
      <c r="D1223" s="3" t="inlineStr">
        <is>
          <t>Toned Milk 1L</t>
        </is>
      </c>
      <c r="E1223" s="3" t="inlineStr">
        <is>
          <t>Dairy</t>
        </is>
      </c>
      <c r="F1223" s="4" t="n">
        <v>16</v>
      </c>
      <c r="G1223" s="5" t="n">
        <v>67.52</v>
      </c>
      <c r="H1223" s="5">
        <f>F1223*G1223</f>
        <v/>
      </c>
      <c r="I1223" s="5">
        <f>F1223*VLOOKUP(D1223,Products!$B$2:$E$13,3,FALSE)</f>
        <v/>
      </c>
    </row>
    <row r="1224">
      <c r="A1224" s="2" t="n">
        <v>46265</v>
      </c>
      <c r="B1224" s="3" t="inlineStr">
        <is>
          <t>INV-2608-1233</t>
        </is>
      </c>
      <c r="C1224" s="3" t="inlineStr">
        <is>
          <t>Khan Mart</t>
        </is>
      </c>
      <c r="D1224" s="3" t="inlineStr">
        <is>
          <t>Dish Soap 500ml</t>
        </is>
      </c>
      <c r="E1224" s="3" t="inlineStr">
        <is>
          <t>Household</t>
        </is>
      </c>
      <c r="F1224" s="4" t="n">
        <v>13</v>
      </c>
      <c r="G1224" s="5" t="n">
        <v>102.49</v>
      </c>
      <c r="H1224" s="5">
        <f>F1224*G1224</f>
        <v/>
      </c>
      <c r="I1224" s="5">
        <f>F1224*VLOOKUP(D1224,Products!$B$2:$E$13,3,FALSE)</f>
        <v/>
      </c>
    </row>
    <row r="1225">
      <c r="A1225" s="2" t="n">
        <v>46265</v>
      </c>
      <c r="B1225" s="3" t="inlineStr">
        <is>
          <t>INV-2608-1234</t>
        </is>
      </c>
      <c r="C1225" s="3" t="inlineStr">
        <is>
          <t>Mishra Stores</t>
        </is>
      </c>
      <c r="D1225" s="3" t="inlineStr">
        <is>
          <t>Biscuits 400g</t>
        </is>
      </c>
      <c r="E1225" s="3" t="inlineStr">
        <is>
          <t>Snacks</t>
        </is>
      </c>
      <c r="F1225" s="4" t="n">
        <v>20</v>
      </c>
      <c r="G1225" s="5" t="n">
        <v>41.11</v>
      </c>
      <c r="H1225" s="5">
        <f>F1225*G1225</f>
        <v/>
      </c>
      <c r="I1225" s="5">
        <f>F1225*VLOOKUP(D1225,Products!$B$2:$E$13,3,FALSE)</f>
        <v/>
      </c>
    </row>
    <row r="1226">
      <c r="A1226" s="2" t="n">
        <v>46265</v>
      </c>
      <c r="B1226" s="3" t="inlineStr">
        <is>
          <t>INV-2608-1235</t>
        </is>
      </c>
      <c r="C1226" s="3" t="inlineStr">
        <is>
          <t>Sinha Super Mart</t>
        </is>
      </c>
      <c r="D1226" s="3" t="inlineStr">
        <is>
          <t>Detergent 1kg</t>
        </is>
      </c>
      <c r="E1226" s="3" t="inlineStr">
        <is>
          <t>Household</t>
        </is>
      </c>
      <c r="F1226" s="4" t="n">
        <v>36</v>
      </c>
      <c r="G1226" s="5" t="n">
        <v>130.65</v>
      </c>
      <c r="H1226" s="5">
        <f>F1226*G1226</f>
        <v/>
      </c>
      <c r="I1226" s="5">
        <f>F1226*VLOOKUP(D1226,Products!$B$2:$E$13,3,FALSE)</f>
        <v/>
      </c>
    </row>
    <row r="1227">
      <c r="A1227" s="2" t="n">
        <v>46265</v>
      </c>
      <c r="B1227" s="3" t="inlineStr">
        <is>
          <t>INV-2608-1236</t>
        </is>
      </c>
      <c r="C1227" s="3" t="inlineStr">
        <is>
          <t>Sinha Super Mart</t>
        </is>
      </c>
      <c r="D1227" s="3" t="inlineStr">
        <is>
          <t>Paneer 200g</t>
        </is>
      </c>
      <c r="E1227" s="3" t="inlineStr">
        <is>
          <t>Dairy</t>
        </is>
      </c>
      <c r="F1227" s="4" t="n">
        <v>30</v>
      </c>
      <c r="G1227" s="5" t="n">
        <v>95.92</v>
      </c>
      <c r="H1227" s="5">
        <f>F1227*G1227</f>
        <v/>
      </c>
      <c r="I1227" s="5">
        <f>F1227*VLOOKUP(D1227,Products!$B$2:$E$13,3,FALSE)</f>
        <v/>
      </c>
    </row>
    <row r="1228">
      <c r="A1228" s="2" t="n">
        <v>46265</v>
      </c>
      <c r="B1228" s="3" t="inlineStr">
        <is>
          <t>INV-2608-1237</t>
        </is>
      </c>
      <c r="C1228" s="3" t="inlineStr">
        <is>
          <t>Das &amp; Sons</t>
        </is>
      </c>
      <c r="D1228" s="3" t="inlineStr">
        <is>
          <t>Paneer 200g</t>
        </is>
      </c>
      <c r="E1228" s="3" t="inlineStr">
        <is>
          <t>Dairy</t>
        </is>
      </c>
      <c r="F1228" s="4" t="n">
        <v>35</v>
      </c>
      <c r="G1228" s="5" t="n">
        <v>95.38</v>
      </c>
      <c r="H1228" s="5">
        <f>F1228*G1228</f>
        <v/>
      </c>
      <c r="I1228" s="5">
        <f>F1228*VLOOKUP(D1228,Products!$B$2:$E$13,3,FALSE)</f>
        <v/>
      </c>
    </row>
    <row r="1229">
      <c r="A1229" s="2" t="n">
        <v>46266</v>
      </c>
      <c r="B1229" s="3" t="inlineStr">
        <is>
          <t>INV-2609-1238</t>
        </is>
      </c>
      <c r="C1229" s="3" t="inlineStr">
        <is>
          <t>Singh Super Bazaar</t>
        </is>
      </c>
      <c r="D1229" s="3" t="inlineStr">
        <is>
          <t>Curd Cup 400g</t>
        </is>
      </c>
      <c r="E1229" s="3" t="inlineStr">
        <is>
          <t>Dairy</t>
        </is>
      </c>
      <c r="F1229" s="4" t="n">
        <v>27</v>
      </c>
      <c r="G1229" s="5" t="n">
        <v>43.77</v>
      </c>
      <c r="H1229" s="5">
        <f>F1229*G1229</f>
        <v/>
      </c>
      <c r="I1229" s="5">
        <f>F1229*VLOOKUP(D1229,Products!$B$2:$E$13,3,FALSE)</f>
        <v/>
      </c>
    </row>
    <row r="1230">
      <c r="A1230" s="2" t="n">
        <v>46266</v>
      </c>
      <c r="B1230" s="3" t="inlineStr">
        <is>
          <t>INV-2609-1239</t>
        </is>
      </c>
      <c r="C1230" s="3" t="inlineStr">
        <is>
          <t>Prasad Traders</t>
        </is>
      </c>
      <c r="D1230" s="3" t="inlineStr">
        <is>
          <t>Toned Milk 1L</t>
        </is>
      </c>
      <c r="E1230" s="3" t="inlineStr">
        <is>
          <t>Dairy</t>
        </is>
      </c>
      <c r="F1230" s="4" t="n">
        <v>31</v>
      </c>
      <c r="G1230" s="5" t="n">
        <v>66.22</v>
      </c>
      <c r="H1230" s="5">
        <f>F1230*G1230</f>
        <v/>
      </c>
      <c r="I1230" s="5">
        <f>F1230*VLOOKUP(D1230,Products!$B$2:$E$13,3,FALSE)</f>
        <v/>
      </c>
    </row>
    <row r="1231">
      <c r="A1231" s="2" t="n">
        <v>46266</v>
      </c>
      <c r="B1231" s="3" t="inlineStr">
        <is>
          <t>INV-2609-1240</t>
        </is>
      </c>
      <c r="C1231" s="3" t="inlineStr">
        <is>
          <t>Raza Brothers</t>
        </is>
      </c>
      <c r="D1231" s="3" t="inlineStr">
        <is>
          <t>Curd Cup 400g</t>
        </is>
      </c>
      <c r="E1231" s="3" t="inlineStr">
        <is>
          <t>Dairy</t>
        </is>
      </c>
      <c r="F1231" s="4" t="n">
        <v>6</v>
      </c>
      <c r="G1231" s="5" t="n">
        <v>43.67</v>
      </c>
      <c r="H1231" s="5">
        <f>F1231*G1231</f>
        <v/>
      </c>
      <c r="I1231" s="5">
        <f>F1231*VLOOKUP(D1231,Products!$B$2:$E$13,3,FALSE)</f>
        <v/>
      </c>
    </row>
    <row r="1232">
      <c r="A1232" s="2" t="n">
        <v>46266</v>
      </c>
      <c r="B1232" s="3" t="inlineStr">
        <is>
          <t>INV-2609-1241</t>
        </is>
      </c>
      <c r="C1232" s="3" t="inlineStr">
        <is>
          <t>Verma Retail</t>
        </is>
      </c>
      <c r="D1232" s="3" t="inlineStr">
        <is>
          <t>Floor Cleaner 1L</t>
        </is>
      </c>
      <c r="E1232" s="3" t="inlineStr">
        <is>
          <t>Household</t>
        </is>
      </c>
      <c r="F1232" s="4" t="n">
        <v>16</v>
      </c>
      <c r="G1232" s="5" t="n">
        <v>113.96</v>
      </c>
      <c r="H1232" s="5">
        <f>F1232*G1232</f>
        <v/>
      </c>
      <c r="I1232" s="5">
        <f>F1232*VLOOKUP(D1232,Products!$B$2:$E$13,3,FALSE)</f>
        <v/>
      </c>
    </row>
    <row r="1233">
      <c r="A1233" s="2" t="n">
        <v>46266</v>
      </c>
      <c r="B1233" s="3" t="inlineStr">
        <is>
          <t>INV-2609-1242</t>
        </is>
      </c>
      <c r="C1233" s="3" t="inlineStr">
        <is>
          <t>Ali General Store</t>
        </is>
      </c>
      <c r="D1233" s="3" t="inlineStr">
        <is>
          <t>Paneer 200g</t>
        </is>
      </c>
      <c r="E1233" s="3" t="inlineStr">
        <is>
          <t>Dairy</t>
        </is>
      </c>
      <c r="F1233" s="4" t="n">
        <v>43</v>
      </c>
      <c r="G1233" s="5" t="n">
        <v>97.51000000000001</v>
      </c>
      <c r="H1233" s="5">
        <f>F1233*G1233</f>
        <v/>
      </c>
      <c r="I1233" s="5">
        <f>F1233*VLOOKUP(D1233,Products!$B$2:$E$13,3,FALSE)</f>
        <v/>
      </c>
    </row>
    <row r="1234">
      <c r="A1234" s="2" t="n">
        <v>46266</v>
      </c>
      <c r="B1234" s="3" t="inlineStr">
        <is>
          <t>INV-2609-1243</t>
        </is>
      </c>
      <c r="C1234" s="3" t="inlineStr">
        <is>
          <t>Rai Daily Mart</t>
        </is>
      </c>
      <c r="D1234" s="3" t="inlineStr">
        <is>
          <t>Instant Noodles 280g</t>
        </is>
      </c>
      <c r="E1234" s="3" t="inlineStr">
        <is>
          <t>Snacks</t>
        </is>
      </c>
      <c r="F1234" s="4" t="n">
        <v>10</v>
      </c>
      <c r="G1234" s="5" t="n">
        <v>55.59</v>
      </c>
      <c r="H1234" s="5">
        <f>F1234*G1234</f>
        <v/>
      </c>
      <c r="I1234" s="5">
        <f>F1234*VLOOKUP(D1234,Products!$B$2:$E$13,3,FALSE)</f>
        <v/>
      </c>
    </row>
    <row r="1235">
      <c r="A1235" s="2" t="n">
        <v>46266</v>
      </c>
      <c r="B1235" s="3" t="inlineStr">
        <is>
          <t>INV-2609-1244</t>
        </is>
      </c>
      <c r="C1235" s="3" t="inlineStr">
        <is>
          <t>Rai Daily Mart</t>
        </is>
      </c>
      <c r="D1235" s="3" t="inlineStr">
        <is>
          <t>Packaged Water 1L</t>
        </is>
      </c>
      <c r="E1235" s="3" t="inlineStr">
        <is>
          <t>Beverages</t>
        </is>
      </c>
      <c r="F1235" s="4" t="n">
        <v>69</v>
      </c>
      <c r="G1235" s="5" t="n">
        <v>19.73</v>
      </c>
      <c r="H1235" s="5">
        <f>F1235*G1235</f>
        <v/>
      </c>
      <c r="I1235" s="5">
        <f>F1235*VLOOKUP(D1235,Products!$B$2:$E$13,3,FALSE)</f>
        <v/>
      </c>
    </row>
    <row r="1236">
      <c r="A1236" s="2" t="n">
        <v>46266</v>
      </c>
      <c r="B1236" s="3" t="inlineStr">
        <is>
          <t>INV-2609-1245</t>
        </is>
      </c>
      <c r="C1236" s="3" t="inlineStr">
        <is>
          <t>Gupta General Store</t>
        </is>
      </c>
      <c r="D1236" s="3" t="inlineStr">
        <is>
          <t>Paneer 200g</t>
        </is>
      </c>
      <c r="E1236" s="3" t="inlineStr">
        <is>
          <t>Dairy</t>
        </is>
      </c>
      <c r="F1236" s="4" t="n">
        <v>4</v>
      </c>
      <c r="G1236" s="5" t="n">
        <v>95.25</v>
      </c>
      <c r="H1236" s="5">
        <f>F1236*G1236</f>
        <v/>
      </c>
      <c r="I1236" s="5">
        <f>F1236*VLOOKUP(D1236,Products!$B$2:$E$13,3,FALSE)</f>
        <v/>
      </c>
    </row>
    <row r="1237">
      <c r="A1237" s="2" t="n">
        <v>46266</v>
      </c>
      <c r="B1237" s="3" t="inlineStr">
        <is>
          <t>INV-2609-1246</t>
        </is>
      </c>
      <c r="C1237" s="3" t="inlineStr">
        <is>
          <t>Jha Provisions</t>
        </is>
      </c>
      <c r="D1237" s="3" t="inlineStr">
        <is>
          <t>Potato Chips 150g</t>
        </is>
      </c>
      <c r="E1237" s="3" t="inlineStr">
        <is>
          <t>Snacks</t>
        </is>
      </c>
      <c r="F1237" s="4" t="n">
        <v>27</v>
      </c>
      <c r="G1237" s="5" t="n">
        <v>49.42</v>
      </c>
      <c r="H1237" s="5">
        <f>F1237*G1237</f>
        <v/>
      </c>
      <c r="I1237" s="5">
        <f>F1237*VLOOKUP(D1237,Products!$B$2:$E$13,3,FALSE)</f>
        <v/>
      </c>
    </row>
    <row r="1238">
      <c r="A1238" s="2" t="n">
        <v>46266</v>
      </c>
      <c r="B1238" s="3" t="inlineStr">
        <is>
          <t>INV-2609-1247</t>
        </is>
      </c>
      <c r="C1238" s="3" t="inlineStr">
        <is>
          <t>Jha Provisions</t>
        </is>
      </c>
      <c r="D1238" s="3" t="inlineStr">
        <is>
          <t>Paneer 200g</t>
        </is>
      </c>
      <c r="E1238" s="3" t="inlineStr">
        <is>
          <t>Dairy</t>
        </is>
      </c>
      <c r="F1238" s="4" t="n">
        <v>47</v>
      </c>
      <c r="G1238" s="5" t="n">
        <v>93.08</v>
      </c>
      <c r="H1238" s="5">
        <f>F1238*G1238</f>
        <v/>
      </c>
      <c r="I1238" s="5">
        <f>F1238*VLOOKUP(D1238,Products!$B$2:$E$13,3,FALSE)</f>
        <v/>
      </c>
    </row>
    <row r="1239">
      <c r="A1239" s="2" t="n">
        <v>46266</v>
      </c>
      <c r="B1239" s="3" t="inlineStr">
        <is>
          <t>INV-2609-1248</t>
        </is>
      </c>
      <c r="C1239" s="3" t="inlineStr">
        <is>
          <t>Mehta Retail</t>
        </is>
      </c>
      <c r="D1239" s="3" t="inlineStr">
        <is>
          <t>Cola 750ml</t>
        </is>
      </c>
      <c r="E1239" s="3" t="inlineStr">
        <is>
          <t>Beverages</t>
        </is>
      </c>
      <c r="F1239" s="4" t="n">
        <v>15</v>
      </c>
      <c r="G1239" s="5" t="n">
        <v>44.98</v>
      </c>
      <c r="H1239" s="5">
        <f>F1239*G1239</f>
        <v/>
      </c>
      <c r="I1239" s="5">
        <f>F1239*VLOOKUP(D1239,Products!$B$2:$E$13,3,FALSE)</f>
        <v/>
      </c>
    </row>
    <row r="1240">
      <c r="A1240" s="2" t="n">
        <v>46267</v>
      </c>
      <c r="B1240" s="3" t="inlineStr">
        <is>
          <t>INV-2609-1249</t>
        </is>
      </c>
      <c r="C1240" s="3" t="inlineStr">
        <is>
          <t>Sinha Super Mart</t>
        </is>
      </c>
      <c r="D1240" s="3" t="inlineStr">
        <is>
          <t>Detergent 1kg</t>
        </is>
      </c>
      <c r="E1240" s="3" t="inlineStr">
        <is>
          <t>Household</t>
        </is>
      </c>
      <c r="F1240" s="4" t="n">
        <v>41</v>
      </c>
      <c r="G1240" s="5" t="n">
        <v>135.38</v>
      </c>
      <c r="H1240" s="5">
        <f>F1240*G1240</f>
        <v/>
      </c>
      <c r="I1240" s="5">
        <f>F1240*VLOOKUP(D1240,Products!$B$2:$E$13,3,FALSE)</f>
        <v/>
      </c>
    </row>
    <row r="1241">
      <c r="A1241" s="2" t="n">
        <v>46267</v>
      </c>
      <c r="B1241" s="3" t="inlineStr">
        <is>
          <t>INV-2609-1250</t>
        </is>
      </c>
      <c r="C1241" s="3" t="inlineStr">
        <is>
          <t>Sahu Traders</t>
        </is>
      </c>
      <c r="D1241" s="3" t="inlineStr">
        <is>
          <t>Potato Chips 150g</t>
        </is>
      </c>
      <c r="E1241" s="3" t="inlineStr">
        <is>
          <t>Snacks</t>
        </is>
      </c>
      <c r="F1241" s="4" t="n">
        <v>34</v>
      </c>
      <c r="G1241" s="5" t="n">
        <v>48.69</v>
      </c>
      <c r="H1241" s="5">
        <f>F1241*G1241</f>
        <v/>
      </c>
      <c r="I1241" s="5">
        <f>F1241*VLOOKUP(D1241,Products!$B$2:$E$13,3,FALSE)</f>
        <v/>
      </c>
    </row>
    <row r="1242">
      <c r="A1242" s="2" t="n">
        <v>46267</v>
      </c>
      <c r="B1242" s="3" t="inlineStr">
        <is>
          <t>INV-2609-1251</t>
        </is>
      </c>
      <c r="C1242" s="3" t="inlineStr">
        <is>
          <t>Singh Super Bazaar</t>
        </is>
      </c>
      <c r="D1242" s="3" t="inlineStr">
        <is>
          <t>Biscuits 400g</t>
        </is>
      </c>
      <c r="E1242" s="3" t="inlineStr">
        <is>
          <t>Snacks</t>
        </is>
      </c>
      <c r="F1242" s="4" t="n">
        <v>4</v>
      </c>
      <c r="G1242" s="5" t="n">
        <v>40.8</v>
      </c>
      <c r="H1242" s="5">
        <f>F1242*G1242</f>
        <v/>
      </c>
      <c r="I1242" s="5">
        <f>F1242*VLOOKUP(D1242,Products!$B$2:$E$13,3,FALSE)</f>
        <v/>
      </c>
    </row>
    <row r="1243">
      <c r="A1243" s="2" t="n">
        <v>46267</v>
      </c>
      <c r="B1243" s="3" t="inlineStr">
        <is>
          <t>INV-2609-1252</t>
        </is>
      </c>
      <c r="C1243" s="3" t="inlineStr">
        <is>
          <t>Bhatt General Store</t>
        </is>
      </c>
      <c r="D1243" s="3" t="inlineStr">
        <is>
          <t>Curd Cup 400g</t>
        </is>
      </c>
      <c r="E1243" s="3" t="inlineStr">
        <is>
          <t>Dairy</t>
        </is>
      </c>
      <c r="F1243" s="4" t="n">
        <v>22</v>
      </c>
      <c r="G1243" s="5" t="n">
        <v>45.8</v>
      </c>
      <c r="H1243" s="5">
        <f>F1243*G1243</f>
        <v/>
      </c>
      <c r="I1243" s="5">
        <f>F1243*VLOOKUP(D1243,Products!$B$2:$E$13,3,FALSE)</f>
        <v/>
      </c>
    </row>
    <row r="1244">
      <c r="A1244" s="2" t="n">
        <v>46267</v>
      </c>
      <c r="B1244" s="3" t="inlineStr">
        <is>
          <t>INV-2609-1253</t>
        </is>
      </c>
      <c r="C1244" s="3" t="inlineStr">
        <is>
          <t>Sinha Super Mart</t>
        </is>
      </c>
      <c r="D1244" s="3" t="inlineStr">
        <is>
          <t>Paneer 200g</t>
        </is>
      </c>
      <c r="E1244" s="3" t="inlineStr">
        <is>
          <t>Dairy</t>
        </is>
      </c>
      <c r="F1244" s="4" t="n">
        <v>40</v>
      </c>
      <c r="G1244" s="5" t="n">
        <v>99.25</v>
      </c>
      <c r="H1244" s="5">
        <f>F1244*G1244</f>
        <v/>
      </c>
      <c r="I1244" s="5">
        <f>F1244*VLOOKUP(D1244,Products!$B$2:$E$13,3,FALSE)</f>
        <v/>
      </c>
    </row>
    <row r="1245">
      <c r="A1245" s="2" t="n">
        <v>46267</v>
      </c>
      <c r="B1245" s="3" t="inlineStr">
        <is>
          <t>INV-2609-1254</t>
        </is>
      </c>
      <c r="C1245" s="3" t="inlineStr">
        <is>
          <t>Sahu Traders</t>
        </is>
      </c>
      <c r="D1245" s="3" t="inlineStr">
        <is>
          <t>Dish Soap 500ml</t>
        </is>
      </c>
      <c r="E1245" s="3" t="inlineStr">
        <is>
          <t>Household</t>
        </is>
      </c>
      <c r="F1245" s="4" t="n">
        <v>25</v>
      </c>
      <c r="G1245" s="5" t="n">
        <v>101.54</v>
      </c>
      <c r="H1245" s="5">
        <f>F1245*G1245</f>
        <v/>
      </c>
      <c r="I1245" s="5">
        <f>F1245*VLOOKUP(D1245,Products!$B$2:$E$13,3,FALSE)</f>
        <v/>
      </c>
    </row>
    <row r="1246">
      <c r="A1246" s="2" t="n">
        <v>46267</v>
      </c>
      <c r="B1246" s="3" t="inlineStr">
        <is>
          <t>INV-2609-1255</t>
        </is>
      </c>
      <c r="C1246" s="3" t="inlineStr">
        <is>
          <t>Choudhary Mart</t>
        </is>
      </c>
      <c r="D1246" s="3" t="inlineStr">
        <is>
          <t>Floor Cleaner 1L</t>
        </is>
      </c>
      <c r="E1246" s="3" t="inlineStr">
        <is>
          <t>Household</t>
        </is>
      </c>
      <c r="F1246" s="4" t="n">
        <v>16</v>
      </c>
      <c r="G1246" s="5" t="n">
        <v>114.56</v>
      </c>
      <c r="H1246" s="5">
        <f>F1246*G1246</f>
        <v/>
      </c>
      <c r="I1246" s="5">
        <f>F1246*VLOOKUP(D1246,Products!$B$2:$E$13,3,FALSE)</f>
        <v/>
      </c>
    </row>
    <row r="1247">
      <c r="A1247" s="2" t="n">
        <v>46268</v>
      </c>
      <c r="B1247" s="3" t="inlineStr">
        <is>
          <t>INV-2609-1256</t>
        </is>
      </c>
      <c r="C1247" s="3" t="inlineStr">
        <is>
          <t>Nath Provisions</t>
        </is>
      </c>
      <c r="D1247" s="3" t="inlineStr">
        <is>
          <t>Potato Chips 150g</t>
        </is>
      </c>
      <c r="E1247" s="3" t="inlineStr">
        <is>
          <t>Snacks</t>
        </is>
      </c>
      <c r="F1247" s="4" t="n">
        <v>39</v>
      </c>
      <c r="G1247" s="5" t="n">
        <v>49.7</v>
      </c>
      <c r="H1247" s="5">
        <f>F1247*G1247</f>
        <v/>
      </c>
      <c r="I1247" s="5">
        <f>F1247*VLOOKUP(D1247,Products!$B$2:$E$13,3,FALSE)</f>
        <v/>
      </c>
    </row>
    <row r="1248">
      <c r="A1248" s="2" t="n">
        <v>46268</v>
      </c>
      <c r="B1248" s="3" t="inlineStr">
        <is>
          <t>INV-2609-1257</t>
        </is>
      </c>
      <c r="C1248" s="3" t="inlineStr">
        <is>
          <t>Jha Provisions</t>
        </is>
      </c>
      <c r="D1248" s="3" t="inlineStr">
        <is>
          <t>Potato Chips 150g</t>
        </is>
      </c>
      <c r="E1248" s="3" t="inlineStr">
        <is>
          <t>Snacks</t>
        </is>
      </c>
      <c r="F1248" s="4" t="n">
        <v>27</v>
      </c>
      <c r="G1248" s="5" t="n">
        <v>50</v>
      </c>
      <c r="H1248" s="5">
        <f>F1248*G1248</f>
        <v/>
      </c>
      <c r="I1248" s="5">
        <f>F1248*VLOOKUP(D1248,Products!$B$2:$E$13,3,FALSE)</f>
        <v/>
      </c>
    </row>
    <row r="1249">
      <c r="A1249" s="2" t="n">
        <v>46268</v>
      </c>
      <c r="B1249" s="3" t="inlineStr">
        <is>
          <t>INV-2609-1258</t>
        </is>
      </c>
      <c r="C1249" s="3" t="inlineStr">
        <is>
          <t>Pandey Stores</t>
        </is>
      </c>
      <c r="D1249" s="3" t="inlineStr">
        <is>
          <t>Instant Noodles 280g</t>
        </is>
      </c>
      <c r="E1249" s="3" t="inlineStr">
        <is>
          <t>Snacks</t>
        </is>
      </c>
      <c r="F1249" s="4" t="n">
        <v>17</v>
      </c>
      <c r="G1249" s="5" t="n">
        <v>56.54</v>
      </c>
      <c r="H1249" s="5">
        <f>F1249*G1249</f>
        <v/>
      </c>
      <c r="I1249" s="5">
        <f>F1249*VLOOKUP(D1249,Products!$B$2:$E$13,3,FALSE)</f>
        <v/>
      </c>
    </row>
    <row r="1250">
      <c r="A1250" s="2" t="n">
        <v>46268</v>
      </c>
      <c r="B1250" s="3" t="inlineStr">
        <is>
          <t>INV-2609-1259</t>
        </is>
      </c>
      <c r="C1250" s="3" t="inlineStr">
        <is>
          <t>Singh Super Bazaar</t>
        </is>
      </c>
      <c r="D1250" s="3" t="inlineStr">
        <is>
          <t>Toned Milk 1L</t>
        </is>
      </c>
      <c r="E1250" s="3" t="inlineStr">
        <is>
          <t>Dairy</t>
        </is>
      </c>
      <c r="F1250" s="4" t="n">
        <v>38</v>
      </c>
      <c r="G1250" s="5" t="n">
        <v>66.12</v>
      </c>
      <c r="H1250" s="5">
        <f>F1250*G1250</f>
        <v/>
      </c>
      <c r="I1250" s="5">
        <f>F1250*VLOOKUP(D1250,Products!$B$2:$E$13,3,FALSE)</f>
        <v/>
      </c>
    </row>
    <row r="1251">
      <c r="A1251" s="2" t="n">
        <v>46268</v>
      </c>
      <c r="B1251" s="3" t="inlineStr">
        <is>
          <t>INV-2609-1260</t>
        </is>
      </c>
      <c r="C1251" s="3" t="inlineStr">
        <is>
          <t>Rai Daily Mart</t>
        </is>
      </c>
      <c r="D1251" s="3" t="inlineStr">
        <is>
          <t>Detergent 1kg</t>
        </is>
      </c>
      <c r="E1251" s="3" t="inlineStr">
        <is>
          <t>Household</t>
        </is>
      </c>
      <c r="F1251" s="4" t="n">
        <v>47</v>
      </c>
      <c r="G1251" s="5" t="n">
        <v>133.54</v>
      </c>
      <c r="H1251" s="5">
        <f>F1251*G1251</f>
        <v/>
      </c>
      <c r="I1251" s="5">
        <f>F1251*VLOOKUP(D1251,Products!$B$2:$E$13,3,FALSE)</f>
        <v/>
      </c>
    </row>
    <row r="1252">
      <c r="A1252" s="2" t="n">
        <v>46268</v>
      </c>
      <c r="B1252" s="3" t="inlineStr">
        <is>
          <t>INV-2609-1261</t>
        </is>
      </c>
      <c r="C1252" s="3" t="inlineStr">
        <is>
          <t>Sinha Super Mart</t>
        </is>
      </c>
      <c r="D1252" s="3" t="inlineStr">
        <is>
          <t>Detergent 1kg</t>
        </is>
      </c>
      <c r="E1252" s="3" t="inlineStr">
        <is>
          <t>Household</t>
        </is>
      </c>
      <c r="F1252" s="4" t="n">
        <v>31</v>
      </c>
      <c r="G1252" s="5" t="n">
        <v>128.63</v>
      </c>
      <c r="H1252" s="5">
        <f>F1252*G1252</f>
        <v/>
      </c>
      <c r="I1252" s="5">
        <f>F1252*VLOOKUP(D1252,Products!$B$2:$E$13,3,FALSE)</f>
        <v/>
      </c>
    </row>
    <row r="1253">
      <c r="A1253" s="2" t="n">
        <v>46268</v>
      </c>
      <c r="B1253" s="3" t="inlineStr">
        <is>
          <t>INV-2609-1262</t>
        </is>
      </c>
      <c r="C1253" s="3" t="inlineStr">
        <is>
          <t>Gupta General Store</t>
        </is>
      </c>
      <c r="D1253" s="3" t="inlineStr">
        <is>
          <t>Toned Milk 1L</t>
        </is>
      </c>
      <c r="E1253" s="3" t="inlineStr">
        <is>
          <t>Dairy</t>
        </is>
      </c>
      <c r="F1253" s="4" t="n">
        <v>6</v>
      </c>
      <c r="G1253" s="5" t="n">
        <v>67.48999999999999</v>
      </c>
      <c r="H1253" s="5">
        <f>F1253*G1253</f>
        <v/>
      </c>
      <c r="I1253" s="5">
        <f>F1253*VLOOKUP(D1253,Products!$B$2:$E$13,3,FALSE)</f>
        <v/>
      </c>
    </row>
    <row r="1254">
      <c r="A1254" s="2" t="n">
        <v>46269</v>
      </c>
      <c r="B1254" s="3" t="inlineStr">
        <is>
          <t>INV-2609-1263</t>
        </is>
      </c>
      <c r="C1254" s="3" t="inlineStr">
        <is>
          <t>Rai Daily Mart</t>
        </is>
      </c>
      <c r="D1254" s="3" t="inlineStr">
        <is>
          <t>Packaged Water 1L</t>
        </is>
      </c>
      <c r="E1254" s="3" t="inlineStr">
        <is>
          <t>Beverages</t>
        </is>
      </c>
      <c r="F1254" s="4" t="n">
        <v>35</v>
      </c>
      <c r="G1254" s="5" t="n">
        <v>19.85</v>
      </c>
      <c r="H1254" s="5">
        <f>F1254*G1254</f>
        <v/>
      </c>
      <c r="I1254" s="5">
        <f>F1254*VLOOKUP(D1254,Products!$B$2:$E$13,3,FALSE)</f>
        <v/>
      </c>
    </row>
    <row r="1255">
      <c r="A1255" s="2" t="n">
        <v>46269</v>
      </c>
      <c r="B1255" s="3" t="inlineStr">
        <is>
          <t>INV-2609-1264</t>
        </is>
      </c>
      <c r="C1255" s="3" t="inlineStr">
        <is>
          <t>Mehta Retail</t>
        </is>
      </c>
      <c r="D1255" s="3" t="inlineStr">
        <is>
          <t>Instant Noodles 280g</t>
        </is>
      </c>
      <c r="E1255" s="3" t="inlineStr">
        <is>
          <t>Snacks</t>
        </is>
      </c>
      <c r="F1255" s="4" t="n">
        <v>59</v>
      </c>
      <c r="G1255" s="5" t="n">
        <v>57.7</v>
      </c>
      <c r="H1255" s="5">
        <f>F1255*G1255</f>
        <v/>
      </c>
      <c r="I1255" s="5">
        <f>F1255*VLOOKUP(D1255,Products!$B$2:$E$13,3,FALSE)</f>
        <v/>
      </c>
    </row>
    <row r="1256">
      <c r="A1256" s="2" t="n">
        <v>46269</v>
      </c>
      <c r="B1256" s="3" t="inlineStr">
        <is>
          <t>INV-2609-1265</t>
        </is>
      </c>
      <c r="C1256" s="3" t="inlineStr">
        <is>
          <t>Das &amp; Sons</t>
        </is>
      </c>
      <c r="D1256" s="3" t="inlineStr">
        <is>
          <t>Toned Milk 1L</t>
        </is>
      </c>
      <c r="E1256" s="3" t="inlineStr">
        <is>
          <t>Dairy</t>
        </is>
      </c>
      <c r="F1256" s="4" t="n">
        <v>25</v>
      </c>
      <c r="G1256" s="5" t="n">
        <v>66.14</v>
      </c>
      <c r="H1256" s="5">
        <f>F1256*G1256</f>
        <v/>
      </c>
      <c r="I1256" s="5">
        <f>F1256*VLOOKUP(D1256,Products!$B$2:$E$13,3,FALSE)</f>
        <v/>
      </c>
    </row>
    <row r="1257">
      <c r="A1257" s="2" t="n">
        <v>46269</v>
      </c>
      <c r="B1257" s="3" t="inlineStr">
        <is>
          <t>INV-2609-1266</t>
        </is>
      </c>
      <c r="C1257" s="3" t="inlineStr">
        <is>
          <t>Mishra Stores</t>
        </is>
      </c>
      <c r="D1257" s="3" t="inlineStr">
        <is>
          <t>Paneer 200g</t>
        </is>
      </c>
      <c r="E1257" s="3" t="inlineStr">
        <is>
          <t>Dairy</t>
        </is>
      </c>
      <c r="F1257" s="4" t="n">
        <v>35</v>
      </c>
      <c r="G1257" s="5" t="n">
        <v>95.87</v>
      </c>
      <c r="H1257" s="5">
        <f>F1257*G1257</f>
        <v/>
      </c>
      <c r="I1257" s="5">
        <f>F1257*VLOOKUP(D1257,Products!$B$2:$E$13,3,FALSE)</f>
        <v/>
      </c>
    </row>
    <row r="1258">
      <c r="A1258" s="2" t="n">
        <v>46269</v>
      </c>
      <c r="B1258" s="3" t="inlineStr">
        <is>
          <t>INV-2609-1267</t>
        </is>
      </c>
      <c r="C1258" s="3" t="inlineStr">
        <is>
          <t>Tiwari General</t>
        </is>
      </c>
      <c r="D1258" s="3" t="inlineStr">
        <is>
          <t>Curd Cup 400g</t>
        </is>
      </c>
      <c r="E1258" s="3" t="inlineStr">
        <is>
          <t>Dairy</t>
        </is>
      </c>
      <c r="F1258" s="4" t="n">
        <v>20</v>
      </c>
      <c r="G1258" s="5" t="n">
        <v>43.67</v>
      </c>
      <c r="H1258" s="5">
        <f>F1258*G1258</f>
        <v/>
      </c>
      <c r="I1258" s="5">
        <f>F1258*VLOOKUP(D1258,Products!$B$2:$E$13,3,FALSE)</f>
        <v/>
      </c>
    </row>
    <row r="1259">
      <c r="A1259" s="2" t="n">
        <v>46269</v>
      </c>
      <c r="B1259" s="3" t="inlineStr">
        <is>
          <t>INV-2609-1268</t>
        </is>
      </c>
      <c r="C1259" s="3" t="inlineStr">
        <is>
          <t>Gupta General Store</t>
        </is>
      </c>
      <c r="D1259" s="3" t="inlineStr">
        <is>
          <t>Detergent 1kg</t>
        </is>
      </c>
      <c r="E1259" s="3" t="inlineStr">
        <is>
          <t>Household</t>
        </is>
      </c>
      <c r="F1259" s="4" t="n">
        <v>46</v>
      </c>
      <c r="G1259" s="5" t="n">
        <v>129.06</v>
      </c>
      <c r="H1259" s="5">
        <f>F1259*G1259</f>
        <v/>
      </c>
      <c r="I1259" s="5">
        <f>F1259*VLOOKUP(D1259,Products!$B$2:$E$13,3,FALSE)</f>
        <v/>
      </c>
    </row>
    <row r="1260">
      <c r="A1260" s="2" t="n">
        <v>46269</v>
      </c>
      <c r="B1260" s="3" t="inlineStr">
        <is>
          <t>INV-2609-1269</t>
        </is>
      </c>
      <c r="C1260" s="3" t="inlineStr">
        <is>
          <t>Kumari Kirana</t>
        </is>
      </c>
      <c r="D1260" s="3" t="inlineStr">
        <is>
          <t>Paneer 200g</t>
        </is>
      </c>
      <c r="E1260" s="3" t="inlineStr">
        <is>
          <t>Dairy</t>
        </is>
      </c>
      <c r="F1260" s="4" t="n">
        <v>27</v>
      </c>
      <c r="G1260" s="5" t="n">
        <v>92.73</v>
      </c>
      <c r="H1260" s="5">
        <f>F1260*G1260</f>
        <v/>
      </c>
      <c r="I1260" s="5">
        <f>F1260*VLOOKUP(D1260,Products!$B$2:$E$13,3,FALSE)</f>
        <v/>
      </c>
    </row>
    <row r="1261">
      <c r="A1261" s="2" t="n">
        <v>46269</v>
      </c>
      <c r="B1261" s="3" t="inlineStr">
        <is>
          <t>INV-2609-1270</t>
        </is>
      </c>
      <c r="C1261" s="3" t="inlineStr">
        <is>
          <t>Rai Daily Mart</t>
        </is>
      </c>
      <c r="D1261" s="3" t="inlineStr">
        <is>
          <t>Detergent 1kg</t>
        </is>
      </c>
      <c r="E1261" s="3" t="inlineStr">
        <is>
          <t>Household</t>
        </is>
      </c>
      <c r="F1261" s="4" t="n">
        <v>12</v>
      </c>
      <c r="G1261" s="5" t="n">
        <v>126.18</v>
      </c>
      <c r="H1261" s="5">
        <f>F1261*G1261</f>
        <v/>
      </c>
      <c r="I1261" s="5">
        <f>F1261*VLOOKUP(D1261,Products!$B$2:$E$13,3,FALSE)</f>
        <v/>
      </c>
    </row>
    <row r="1262">
      <c r="A1262" s="2" t="n">
        <v>46270</v>
      </c>
      <c r="B1262" s="3" t="inlineStr">
        <is>
          <t>INV-2609-1271</t>
        </is>
      </c>
      <c r="C1262" s="3" t="inlineStr">
        <is>
          <t>Das &amp; Sons</t>
        </is>
      </c>
      <c r="D1262" s="3" t="inlineStr">
        <is>
          <t>Potato Chips 150g</t>
        </is>
      </c>
      <c r="E1262" s="3" t="inlineStr">
        <is>
          <t>Snacks</t>
        </is>
      </c>
      <c r="F1262" s="4" t="n">
        <v>17</v>
      </c>
      <c r="G1262" s="5" t="n">
        <v>52.09</v>
      </c>
      <c r="H1262" s="5">
        <f>F1262*G1262</f>
        <v/>
      </c>
      <c r="I1262" s="5">
        <f>F1262*VLOOKUP(D1262,Products!$B$2:$E$13,3,FALSE)</f>
        <v/>
      </c>
    </row>
    <row r="1263">
      <c r="A1263" s="2" t="n">
        <v>46270</v>
      </c>
      <c r="B1263" s="3" t="inlineStr">
        <is>
          <t>INV-2609-1272</t>
        </is>
      </c>
      <c r="C1263" s="3" t="inlineStr">
        <is>
          <t>Choudhary Mart</t>
        </is>
      </c>
      <c r="D1263" s="3" t="inlineStr">
        <is>
          <t>Dish Soap 500ml</t>
        </is>
      </c>
      <c r="E1263" s="3" t="inlineStr">
        <is>
          <t>Household</t>
        </is>
      </c>
      <c r="F1263" s="4" t="n">
        <v>37</v>
      </c>
      <c r="G1263" s="5" t="n">
        <v>98.84</v>
      </c>
      <c r="H1263" s="5">
        <f>F1263*G1263</f>
        <v/>
      </c>
      <c r="I1263" s="5">
        <f>F1263*VLOOKUP(D1263,Products!$B$2:$E$13,3,FALSE)</f>
        <v/>
      </c>
    </row>
    <row r="1264">
      <c r="A1264" s="2" t="n">
        <v>46270</v>
      </c>
      <c r="B1264" s="3" t="inlineStr">
        <is>
          <t>INV-2609-1273</t>
        </is>
      </c>
      <c r="C1264" s="3" t="inlineStr">
        <is>
          <t>Azad Stores</t>
        </is>
      </c>
      <c r="D1264" s="3" t="inlineStr">
        <is>
          <t>Toned Milk 1L</t>
        </is>
      </c>
      <c r="E1264" s="3" t="inlineStr">
        <is>
          <t>Dairy</t>
        </is>
      </c>
      <c r="F1264" s="4" t="n">
        <v>69</v>
      </c>
      <c r="G1264" s="5" t="n">
        <v>64.18000000000001</v>
      </c>
      <c r="H1264" s="5">
        <f>F1264*G1264</f>
        <v/>
      </c>
      <c r="I1264" s="5">
        <f>F1264*VLOOKUP(D1264,Products!$B$2:$E$13,3,FALSE)</f>
        <v/>
      </c>
    </row>
    <row r="1265">
      <c r="A1265" s="2" t="n">
        <v>46270</v>
      </c>
      <c r="B1265" s="3" t="inlineStr">
        <is>
          <t>INV-2609-1274</t>
        </is>
      </c>
      <c r="C1265" s="3" t="inlineStr">
        <is>
          <t>Patel Traders</t>
        </is>
      </c>
      <c r="D1265" s="3" t="inlineStr">
        <is>
          <t>Packaged Water 1L</t>
        </is>
      </c>
      <c r="E1265" s="3" t="inlineStr">
        <is>
          <t>Beverages</t>
        </is>
      </c>
      <c r="F1265" s="4" t="n">
        <v>9</v>
      </c>
      <c r="G1265" s="5" t="n">
        <v>20.46</v>
      </c>
      <c r="H1265" s="5">
        <f>F1265*G1265</f>
        <v/>
      </c>
      <c r="I1265" s="5">
        <f>F1265*VLOOKUP(D1265,Products!$B$2:$E$13,3,FALSE)</f>
        <v/>
      </c>
    </row>
    <row r="1266">
      <c r="A1266" s="2" t="n">
        <v>46270</v>
      </c>
      <c r="B1266" s="3" t="inlineStr">
        <is>
          <t>INV-2609-1275</t>
        </is>
      </c>
      <c r="C1266" s="3" t="inlineStr">
        <is>
          <t>Rai Daily Mart</t>
        </is>
      </c>
      <c r="D1266" s="3" t="inlineStr">
        <is>
          <t>Biscuits 400g</t>
        </is>
      </c>
      <c r="E1266" s="3" t="inlineStr">
        <is>
          <t>Snacks</t>
        </is>
      </c>
      <c r="F1266" s="4" t="n">
        <v>46</v>
      </c>
      <c r="G1266" s="5" t="n">
        <v>41.66</v>
      </c>
      <c r="H1266" s="5">
        <f>F1266*G1266</f>
        <v/>
      </c>
      <c r="I1266" s="5">
        <f>F1266*VLOOKUP(D1266,Products!$B$2:$E$13,3,FALSE)</f>
        <v/>
      </c>
    </row>
    <row r="1267">
      <c r="A1267" s="2" t="n">
        <v>46270</v>
      </c>
      <c r="B1267" s="3" t="inlineStr">
        <is>
          <t>INV-2609-1276</t>
        </is>
      </c>
      <c r="C1267" s="3" t="inlineStr">
        <is>
          <t>Yadav Daily Needs</t>
        </is>
      </c>
      <c r="D1267" s="3" t="inlineStr">
        <is>
          <t>Paneer 200g</t>
        </is>
      </c>
      <c r="E1267" s="3" t="inlineStr">
        <is>
          <t>Dairy</t>
        </is>
      </c>
      <c r="F1267" s="4" t="n">
        <v>30</v>
      </c>
      <c r="G1267" s="5" t="n">
        <v>95</v>
      </c>
      <c r="H1267" s="5">
        <f>F1267*G1267</f>
        <v/>
      </c>
      <c r="I1267" s="5">
        <f>F1267*VLOOKUP(D1267,Products!$B$2:$E$13,3,FALSE)</f>
        <v/>
      </c>
    </row>
    <row r="1268">
      <c r="A1268" s="2" t="n">
        <v>46270</v>
      </c>
      <c r="B1268" s="3" t="inlineStr">
        <is>
          <t>INV-2609-1277</t>
        </is>
      </c>
      <c r="C1268" s="3" t="inlineStr">
        <is>
          <t>Patel Traders</t>
        </is>
      </c>
      <c r="D1268" s="3" t="inlineStr">
        <is>
          <t>Cola 750ml</t>
        </is>
      </c>
      <c r="E1268" s="3" t="inlineStr">
        <is>
          <t>Beverages</t>
        </is>
      </c>
      <c r="F1268" s="4" t="n">
        <v>95</v>
      </c>
      <c r="G1268" s="5" t="n">
        <v>45.96</v>
      </c>
      <c r="H1268" s="5">
        <f>F1268*G1268</f>
        <v/>
      </c>
      <c r="I1268" s="5">
        <f>F1268*VLOOKUP(D1268,Products!$B$2:$E$13,3,FALSE)</f>
        <v/>
      </c>
    </row>
    <row r="1269">
      <c r="A1269" s="2" t="n">
        <v>46270</v>
      </c>
      <c r="B1269" s="3" t="inlineStr">
        <is>
          <t>INV-2609-1278</t>
        </is>
      </c>
      <c r="C1269" s="3" t="inlineStr">
        <is>
          <t>Nath Provisions</t>
        </is>
      </c>
      <c r="D1269" s="3" t="inlineStr">
        <is>
          <t>Toned Milk 1L</t>
        </is>
      </c>
      <c r="E1269" s="3" t="inlineStr">
        <is>
          <t>Dairy</t>
        </is>
      </c>
      <c r="F1269" s="4" t="n">
        <v>34</v>
      </c>
      <c r="G1269" s="5" t="n">
        <v>69</v>
      </c>
      <c r="H1269" s="5">
        <f>F1269*G1269</f>
        <v/>
      </c>
      <c r="I1269" s="5">
        <f>F1269*VLOOKUP(D1269,Products!$B$2:$E$13,3,FALSE)</f>
        <v/>
      </c>
    </row>
    <row r="1270">
      <c r="A1270" s="2" t="n">
        <v>46271</v>
      </c>
      <c r="B1270" s="3" t="inlineStr">
        <is>
          <t>INV-2609-1279</t>
        </is>
      </c>
      <c r="C1270" s="3" t="inlineStr">
        <is>
          <t>Ali General Store</t>
        </is>
      </c>
      <c r="D1270" s="3" t="inlineStr">
        <is>
          <t>Floor Cleaner 1L</t>
        </is>
      </c>
      <c r="E1270" s="3" t="inlineStr">
        <is>
          <t>Household</t>
        </is>
      </c>
      <c r="F1270" s="4" t="n">
        <v>101</v>
      </c>
      <c r="G1270" s="5" t="n">
        <v>109.4</v>
      </c>
      <c r="H1270" s="5">
        <f>F1270*G1270</f>
        <v/>
      </c>
      <c r="I1270" s="5">
        <f>F1270*VLOOKUP(D1270,Products!$B$2:$E$13,3,FALSE)</f>
        <v/>
      </c>
    </row>
    <row r="1271">
      <c r="A1271" s="2" t="n">
        <v>46271</v>
      </c>
      <c r="B1271" s="3" t="inlineStr">
        <is>
          <t>INV-2609-1280</t>
        </is>
      </c>
      <c r="C1271" s="3" t="inlineStr">
        <is>
          <t>Jha Provisions</t>
        </is>
      </c>
      <c r="D1271" s="3" t="inlineStr">
        <is>
          <t>Cola 750ml</t>
        </is>
      </c>
      <c r="E1271" s="3" t="inlineStr">
        <is>
          <t>Beverages</t>
        </is>
      </c>
      <c r="F1271" s="4" t="n">
        <v>84</v>
      </c>
      <c r="G1271" s="5" t="n">
        <v>46.44</v>
      </c>
      <c r="H1271" s="5">
        <f>F1271*G1271</f>
        <v/>
      </c>
      <c r="I1271" s="5">
        <f>F1271*VLOOKUP(D1271,Products!$B$2:$E$13,3,FALSE)</f>
        <v/>
      </c>
    </row>
    <row r="1272">
      <c r="A1272" s="2" t="n">
        <v>46271</v>
      </c>
      <c r="B1272" s="3" t="inlineStr">
        <is>
          <t>INV-2609-1281</t>
        </is>
      </c>
      <c r="C1272" s="3" t="inlineStr">
        <is>
          <t>Gupta General Store</t>
        </is>
      </c>
      <c r="D1272" s="3" t="inlineStr">
        <is>
          <t>Toned Milk 1L</t>
        </is>
      </c>
      <c r="E1272" s="3" t="inlineStr">
        <is>
          <t>Dairy</t>
        </is>
      </c>
      <c r="F1272" s="4" t="n">
        <v>47</v>
      </c>
      <c r="G1272" s="5" t="n">
        <v>64.33</v>
      </c>
      <c r="H1272" s="5">
        <f>F1272*G1272</f>
        <v/>
      </c>
      <c r="I1272" s="5">
        <f>F1272*VLOOKUP(D1272,Products!$B$2:$E$13,3,FALSE)</f>
        <v/>
      </c>
    </row>
    <row r="1273">
      <c r="A1273" s="2" t="n">
        <v>46271</v>
      </c>
      <c r="B1273" s="3" t="inlineStr">
        <is>
          <t>INV-2609-1282</t>
        </is>
      </c>
      <c r="C1273" s="3" t="inlineStr">
        <is>
          <t>Azad Stores</t>
        </is>
      </c>
      <c r="D1273" s="3" t="inlineStr">
        <is>
          <t>Potato Chips 150g</t>
        </is>
      </c>
      <c r="E1273" s="3" t="inlineStr">
        <is>
          <t>Snacks</t>
        </is>
      </c>
      <c r="F1273" s="4" t="n">
        <v>38</v>
      </c>
      <c r="G1273" s="5" t="n">
        <v>48.84</v>
      </c>
      <c r="H1273" s="5">
        <f>F1273*G1273</f>
        <v/>
      </c>
      <c r="I1273" s="5">
        <f>F1273*VLOOKUP(D1273,Products!$B$2:$E$13,3,FALSE)</f>
        <v/>
      </c>
    </row>
    <row r="1274">
      <c r="A1274" s="2" t="n">
        <v>46271</v>
      </c>
      <c r="B1274" s="3" t="inlineStr">
        <is>
          <t>INV-2609-1283</t>
        </is>
      </c>
      <c r="C1274" s="3" t="inlineStr">
        <is>
          <t>Patel Traders</t>
        </is>
      </c>
      <c r="D1274" s="3" t="inlineStr">
        <is>
          <t>Floor Cleaner 1L</t>
        </is>
      </c>
      <c r="E1274" s="3" t="inlineStr">
        <is>
          <t>Household</t>
        </is>
      </c>
      <c r="F1274" s="4" t="n">
        <v>56</v>
      </c>
      <c r="G1274" s="5" t="n">
        <v>110.48</v>
      </c>
      <c r="H1274" s="5">
        <f>F1274*G1274</f>
        <v/>
      </c>
      <c r="I1274" s="5">
        <f>F1274*VLOOKUP(D1274,Products!$B$2:$E$13,3,FALSE)</f>
        <v/>
      </c>
    </row>
    <row r="1275">
      <c r="A1275" s="2" t="n">
        <v>46271</v>
      </c>
      <c r="B1275" s="3" t="inlineStr">
        <is>
          <t>INV-2609-1284</t>
        </is>
      </c>
      <c r="C1275" s="3" t="inlineStr">
        <is>
          <t>Sharma Provision</t>
        </is>
      </c>
      <c r="D1275" s="3" t="inlineStr">
        <is>
          <t>Instant Noodles 280g</t>
        </is>
      </c>
      <c r="E1275" s="3" t="inlineStr">
        <is>
          <t>Snacks</t>
        </is>
      </c>
      <c r="F1275" s="4" t="n">
        <v>39</v>
      </c>
      <c r="G1275" s="5" t="n">
        <v>58.42</v>
      </c>
      <c r="H1275" s="5">
        <f>F1275*G1275</f>
        <v/>
      </c>
      <c r="I1275" s="5">
        <f>F1275*VLOOKUP(D1275,Products!$B$2:$E$13,3,FALSE)</f>
        <v/>
      </c>
    </row>
    <row r="1276">
      <c r="A1276" s="2" t="n">
        <v>46271</v>
      </c>
      <c r="B1276" s="3" t="inlineStr">
        <is>
          <t>INV-2609-1285</t>
        </is>
      </c>
      <c r="C1276" s="3" t="inlineStr">
        <is>
          <t>Verma Retail</t>
        </is>
      </c>
      <c r="D1276" s="3" t="inlineStr">
        <is>
          <t>Curd Cup 400g</t>
        </is>
      </c>
      <c r="E1276" s="3" t="inlineStr">
        <is>
          <t>Dairy</t>
        </is>
      </c>
      <c r="F1276" s="4" t="n">
        <v>51</v>
      </c>
      <c r="G1276" s="5" t="n">
        <v>45.18</v>
      </c>
      <c r="H1276" s="5">
        <f>F1276*G1276</f>
        <v/>
      </c>
      <c r="I1276" s="5">
        <f>F1276*VLOOKUP(D1276,Products!$B$2:$E$13,3,FALSE)</f>
        <v/>
      </c>
    </row>
    <row r="1277">
      <c r="A1277" s="2" t="n">
        <v>46271</v>
      </c>
      <c r="B1277" s="3" t="inlineStr">
        <is>
          <t>INV-2609-1286</t>
        </is>
      </c>
      <c r="C1277" s="3" t="inlineStr">
        <is>
          <t>Sharma Provision</t>
        </is>
      </c>
      <c r="D1277" s="3" t="inlineStr">
        <is>
          <t>Cola 750ml</t>
        </is>
      </c>
      <c r="E1277" s="3" t="inlineStr">
        <is>
          <t>Beverages</t>
        </is>
      </c>
      <c r="F1277" s="4" t="n">
        <v>93</v>
      </c>
      <c r="G1277" s="5" t="n">
        <v>46.74</v>
      </c>
      <c r="H1277" s="5">
        <f>F1277*G1277</f>
        <v/>
      </c>
      <c r="I1277" s="5">
        <f>F1277*VLOOKUP(D1277,Products!$B$2:$E$13,3,FALSE)</f>
        <v/>
      </c>
    </row>
    <row r="1278">
      <c r="A1278" s="2" t="n">
        <v>46271</v>
      </c>
      <c r="B1278" s="3" t="inlineStr">
        <is>
          <t>INV-2609-1287</t>
        </is>
      </c>
      <c r="C1278" s="3" t="inlineStr">
        <is>
          <t>Raza Brothers</t>
        </is>
      </c>
      <c r="D1278" s="3" t="inlineStr">
        <is>
          <t>Packaged Water 1L</t>
        </is>
      </c>
      <c r="E1278" s="3" t="inlineStr">
        <is>
          <t>Beverages</t>
        </is>
      </c>
      <c r="F1278" s="4" t="n">
        <v>72</v>
      </c>
      <c r="G1278" s="5" t="n">
        <v>19.43</v>
      </c>
      <c r="H1278" s="5">
        <f>F1278*G1278</f>
        <v/>
      </c>
      <c r="I1278" s="5">
        <f>F1278*VLOOKUP(D1278,Products!$B$2:$E$13,3,FALSE)</f>
        <v/>
      </c>
    </row>
    <row r="1279">
      <c r="A1279" s="2" t="n">
        <v>46271</v>
      </c>
      <c r="B1279" s="3" t="inlineStr">
        <is>
          <t>INV-2609-1288</t>
        </is>
      </c>
      <c r="C1279" s="3" t="inlineStr">
        <is>
          <t>Bhatt General Store</t>
        </is>
      </c>
      <c r="D1279" s="3" t="inlineStr">
        <is>
          <t>Potato Chips 150g</t>
        </is>
      </c>
      <c r="E1279" s="3" t="inlineStr">
        <is>
          <t>Snacks</t>
        </is>
      </c>
      <c r="F1279" s="4" t="n">
        <v>70</v>
      </c>
      <c r="G1279" s="5" t="n">
        <v>50.89</v>
      </c>
      <c r="H1279" s="5">
        <f>F1279*G1279</f>
        <v/>
      </c>
      <c r="I1279" s="5">
        <f>F1279*VLOOKUP(D1279,Products!$B$2:$E$13,3,FALSE)</f>
        <v/>
      </c>
    </row>
    <row r="1280">
      <c r="A1280" s="2" t="n">
        <v>46272</v>
      </c>
      <c r="B1280" s="3" t="inlineStr">
        <is>
          <t>INV-2609-1289</t>
        </is>
      </c>
      <c r="C1280" s="3" t="inlineStr">
        <is>
          <t>Azad Stores</t>
        </is>
      </c>
      <c r="D1280" s="3" t="inlineStr">
        <is>
          <t>Packaged Water 1L</t>
        </is>
      </c>
      <c r="E1280" s="3" t="inlineStr">
        <is>
          <t>Beverages</t>
        </is>
      </c>
      <c r="F1280" s="4" t="n">
        <v>47</v>
      </c>
      <c r="G1280" s="5" t="n">
        <v>19.72</v>
      </c>
      <c r="H1280" s="5">
        <f>F1280*G1280</f>
        <v/>
      </c>
      <c r="I1280" s="5">
        <f>F1280*VLOOKUP(D1280,Products!$B$2:$E$13,3,FALSE)</f>
        <v/>
      </c>
    </row>
    <row r="1281">
      <c r="A1281" s="2" t="n">
        <v>46272</v>
      </c>
      <c r="B1281" s="3" t="inlineStr">
        <is>
          <t>INV-2609-1290</t>
        </is>
      </c>
      <c r="C1281" s="3" t="inlineStr">
        <is>
          <t>Verma Retail</t>
        </is>
      </c>
      <c r="D1281" s="3" t="inlineStr">
        <is>
          <t>Packaged Water 1L</t>
        </is>
      </c>
      <c r="E1281" s="3" t="inlineStr">
        <is>
          <t>Beverages</t>
        </is>
      </c>
      <c r="F1281" s="4" t="n">
        <v>7</v>
      </c>
      <c r="G1281" s="5" t="n">
        <v>19.94</v>
      </c>
      <c r="H1281" s="5">
        <f>F1281*G1281</f>
        <v/>
      </c>
      <c r="I1281" s="5">
        <f>F1281*VLOOKUP(D1281,Products!$B$2:$E$13,3,FALSE)</f>
        <v/>
      </c>
    </row>
    <row r="1282">
      <c r="A1282" s="2" t="n">
        <v>46272</v>
      </c>
      <c r="B1282" s="3" t="inlineStr">
        <is>
          <t>INV-2609-1291</t>
        </is>
      </c>
      <c r="C1282" s="3" t="inlineStr">
        <is>
          <t>Das &amp; Sons</t>
        </is>
      </c>
      <c r="D1282" s="3" t="inlineStr">
        <is>
          <t>Paneer 200g</t>
        </is>
      </c>
      <c r="E1282" s="3" t="inlineStr">
        <is>
          <t>Dairy</t>
        </is>
      </c>
      <c r="F1282" s="4" t="n">
        <v>65</v>
      </c>
      <c r="G1282" s="5" t="n">
        <v>99.54000000000001</v>
      </c>
      <c r="H1282" s="5">
        <f>F1282*G1282</f>
        <v/>
      </c>
      <c r="I1282" s="5">
        <f>F1282*VLOOKUP(D1282,Products!$B$2:$E$13,3,FALSE)</f>
        <v/>
      </c>
    </row>
    <row r="1283">
      <c r="A1283" s="2" t="n">
        <v>46272</v>
      </c>
      <c r="B1283" s="3" t="inlineStr">
        <is>
          <t>INV-2609-1292</t>
        </is>
      </c>
      <c r="C1283" s="3" t="inlineStr">
        <is>
          <t>Nath Provisions</t>
        </is>
      </c>
      <c r="D1283" s="3" t="inlineStr">
        <is>
          <t>Cola 750ml</t>
        </is>
      </c>
      <c r="E1283" s="3" t="inlineStr">
        <is>
          <t>Beverages</t>
        </is>
      </c>
      <c r="F1283" s="4" t="n">
        <v>38</v>
      </c>
      <c r="G1283" s="5" t="n">
        <v>45.4</v>
      </c>
      <c r="H1283" s="5">
        <f>F1283*G1283</f>
        <v/>
      </c>
      <c r="I1283" s="5">
        <f>F1283*VLOOKUP(D1283,Products!$B$2:$E$13,3,FALSE)</f>
        <v/>
      </c>
    </row>
    <row r="1284">
      <c r="A1284" s="2" t="n">
        <v>46272</v>
      </c>
      <c r="B1284" s="3" t="inlineStr">
        <is>
          <t>INV-2609-1293</t>
        </is>
      </c>
      <c r="C1284" s="3" t="inlineStr">
        <is>
          <t>Rai Daily Mart</t>
        </is>
      </c>
      <c r="D1284" s="3" t="inlineStr">
        <is>
          <t>Cola 750ml</t>
        </is>
      </c>
      <c r="E1284" s="3" t="inlineStr">
        <is>
          <t>Beverages</t>
        </is>
      </c>
      <c r="F1284" s="4" t="n">
        <v>74</v>
      </c>
      <c r="G1284" s="5" t="n">
        <v>46.75</v>
      </c>
      <c r="H1284" s="5">
        <f>F1284*G1284</f>
        <v/>
      </c>
      <c r="I1284" s="5">
        <f>F1284*VLOOKUP(D1284,Products!$B$2:$E$13,3,FALSE)</f>
        <v/>
      </c>
    </row>
    <row r="1285">
      <c r="A1285" s="2" t="n">
        <v>46272</v>
      </c>
      <c r="B1285" s="3" t="inlineStr">
        <is>
          <t>INV-2609-1294</t>
        </is>
      </c>
      <c r="C1285" s="3" t="inlineStr">
        <is>
          <t>Yadav Daily Needs</t>
        </is>
      </c>
      <c r="D1285" s="3" t="inlineStr">
        <is>
          <t>Floor Cleaner 1L</t>
        </is>
      </c>
      <c r="E1285" s="3" t="inlineStr">
        <is>
          <t>Household</t>
        </is>
      </c>
      <c r="F1285" s="4" t="n">
        <v>48</v>
      </c>
      <c r="G1285" s="5" t="n">
        <v>112.58</v>
      </c>
      <c r="H1285" s="5">
        <f>F1285*G1285</f>
        <v/>
      </c>
      <c r="I1285" s="5">
        <f>F1285*VLOOKUP(D1285,Products!$B$2:$E$13,3,FALSE)</f>
        <v/>
      </c>
    </row>
    <row r="1286">
      <c r="A1286" s="2" t="n">
        <v>46272</v>
      </c>
      <c r="B1286" s="3" t="inlineStr">
        <is>
          <t>INV-2609-1295</t>
        </is>
      </c>
      <c r="C1286" s="3" t="inlineStr">
        <is>
          <t>Singh Super Bazaar</t>
        </is>
      </c>
      <c r="D1286" s="3" t="inlineStr">
        <is>
          <t>Detergent 1kg</t>
        </is>
      </c>
      <c r="E1286" s="3" t="inlineStr">
        <is>
          <t>Household</t>
        </is>
      </c>
      <c r="F1286" s="4" t="n">
        <v>10</v>
      </c>
      <c r="G1286" s="5" t="n">
        <v>132.57</v>
      </c>
      <c r="H1286" s="5">
        <f>F1286*G1286</f>
        <v/>
      </c>
      <c r="I1286" s="5">
        <f>F1286*VLOOKUP(D1286,Products!$B$2:$E$13,3,FALSE)</f>
        <v/>
      </c>
    </row>
    <row r="1287">
      <c r="A1287" s="2" t="n">
        <v>46272</v>
      </c>
      <c r="B1287" s="3" t="inlineStr">
        <is>
          <t>INV-2609-1296</t>
        </is>
      </c>
      <c r="C1287" s="3" t="inlineStr">
        <is>
          <t>Singh Super Bazaar</t>
        </is>
      </c>
      <c r="D1287" s="3" t="inlineStr">
        <is>
          <t>Toned Milk 1L</t>
        </is>
      </c>
      <c r="E1287" s="3" t="inlineStr">
        <is>
          <t>Dairy</t>
        </is>
      </c>
      <c r="F1287" s="4" t="n">
        <v>21</v>
      </c>
      <c r="G1287" s="5" t="n">
        <v>68.47</v>
      </c>
      <c r="H1287" s="5">
        <f>F1287*G1287</f>
        <v/>
      </c>
      <c r="I1287" s="5">
        <f>F1287*VLOOKUP(D1287,Products!$B$2:$E$13,3,FALSE)</f>
        <v/>
      </c>
    </row>
    <row r="1288">
      <c r="A1288" s="2" t="n">
        <v>46272</v>
      </c>
      <c r="B1288" s="3" t="inlineStr">
        <is>
          <t>INV-2609-1297</t>
        </is>
      </c>
      <c r="C1288" s="3" t="inlineStr">
        <is>
          <t>Sharma Provision</t>
        </is>
      </c>
      <c r="D1288" s="3" t="inlineStr">
        <is>
          <t>Detergent 1kg</t>
        </is>
      </c>
      <c r="E1288" s="3" t="inlineStr">
        <is>
          <t>Household</t>
        </is>
      </c>
      <c r="F1288" s="4" t="n">
        <v>6</v>
      </c>
      <c r="G1288" s="5" t="n">
        <v>135.64</v>
      </c>
      <c r="H1288" s="5">
        <f>F1288*G1288</f>
        <v/>
      </c>
      <c r="I1288" s="5">
        <f>F1288*VLOOKUP(D1288,Products!$B$2:$E$13,3,FALSE)</f>
        <v/>
      </c>
    </row>
    <row r="1289">
      <c r="A1289" s="2" t="n">
        <v>46273</v>
      </c>
      <c r="B1289" s="3" t="inlineStr">
        <is>
          <t>INV-2609-1298</t>
        </is>
      </c>
      <c r="C1289" s="3" t="inlineStr">
        <is>
          <t>Mishra Stores</t>
        </is>
      </c>
      <c r="D1289" s="3" t="inlineStr">
        <is>
          <t>Potato Chips 150g</t>
        </is>
      </c>
      <c r="E1289" s="3" t="inlineStr">
        <is>
          <t>Snacks</t>
        </is>
      </c>
      <c r="F1289" s="4" t="n">
        <v>20</v>
      </c>
      <c r="G1289" s="5" t="n">
        <v>48.71</v>
      </c>
      <c r="H1289" s="5">
        <f>F1289*G1289</f>
        <v/>
      </c>
      <c r="I1289" s="5">
        <f>F1289*VLOOKUP(D1289,Products!$B$2:$E$13,3,FALSE)</f>
        <v/>
      </c>
    </row>
    <row r="1290">
      <c r="A1290" s="2" t="n">
        <v>46273</v>
      </c>
      <c r="B1290" s="3" t="inlineStr">
        <is>
          <t>INV-2609-1299</t>
        </is>
      </c>
      <c r="C1290" s="3" t="inlineStr">
        <is>
          <t>Yadav Daily Needs</t>
        </is>
      </c>
      <c r="D1290" s="3" t="inlineStr">
        <is>
          <t>Curd Cup 400g</t>
        </is>
      </c>
      <c r="E1290" s="3" t="inlineStr">
        <is>
          <t>Dairy</t>
        </is>
      </c>
      <c r="F1290" s="4" t="n">
        <v>41</v>
      </c>
      <c r="G1290" s="5" t="n">
        <v>44.67</v>
      </c>
      <c r="H1290" s="5">
        <f>F1290*G1290</f>
        <v/>
      </c>
      <c r="I1290" s="5">
        <f>F1290*VLOOKUP(D1290,Products!$B$2:$E$13,3,FALSE)</f>
        <v/>
      </c>
    </row>
    <row r="1291">
      <c r="A1291" s="2" t="n">
        <v>46273</v>
      </c>
      <c r="B1291" s="3" t="inlineStr">
        <is>
          <t>INV-2609-1300</t>
        </is>
      </c>
      <c r="C1291" s="3" t="inlineStr">
        <is>
          <t>Raza Brothers</t>
        </is>
      </c>
      <c r="D1291" s="3" t="inlineStr">
        <is>
          <t>Biscuits 400g</t>
        </is>
      </c>
      <c r="E1291" s="3" t="inlineStr">
        <is>
          <t>Snacks</t>
        </is>
      </c>
      <c r="F1291" s="4" t="n">
        <v>19</v>
      </c>
      <c r="G1291" s="5" t="n">
        <v>40.15</v>
      </c>
      <c r="H1291" s="5">
        <f>F1291*G1291</f>
        <v/>
      </c>
      <c r="I1291" s="5">
        <f>F1291*VLOOKUP(D1291,Products!$B$2:$E$13,3,FALSE)</f>
        <v/>
      </c>
    </row>
    <row r="1292">
      <c r="A1292" s="2" t="n">
        <v>46273</v>
      </c>
      <c r="B1292" s="3" t="inlineStr">
        <is>
          <t>INV-2609-1301</t>
        </is>
      </c>
      <c r="C1292" s="3" t="inlineStr">
        <is>
          <t>Singh Super Bazaar</t>
        </is>
      </c>
      <c r="D1292" s="3" t="inlineStr">
        <is>
          <t>Cola 750ml</t>
        </is>
      </c>
      <c r="E1292" s="3" t="inlineStr">
        <is>
          <t>Beverages</t>
        </is>
      </c>
      <c r="F1292" s="4" t="n">
        <v>30</v>
      </c>
      <c r="G1292" s="5" t="n">
        <v>45.68</v>
      </c>
      <c r="H1292" s="5">
        <f>F1292*G1292</f>
        <v/>
      </c>
      <c r="I1292" s="5">
        <f>F1292*VLOOKUP(D1292,Products!$B$2:$E$13,3,FALSE)</f>
        <v/>
      </c>
    </row>
    <row r="1293">
      <c r="A1293" s="2" t="n">
        <v>46273</v>
      </c>
      <c r="B1293" s="3" t="inlineStr">
        <is>
          <t>INV-2609-1302</t>
        </is>
      </c>
      <c r="C1293" s="3" t="inlineStr">
        <is>
          <t>Sinha Super Mart</t>
        </is>
      </c>
      <c r="D1293" s="3" t="inlineStr">
        <is>
          <t>Curd Cup 400g</t>
        </is>
      </c>
      <c r="E1293" s="3" t="inlineStr">
        <is>
          <t>Dairy</t>
        </is>
      </c>
      <c r="F1293" s="4" t="n">
        <v>56</v>
      </c>
      <c r="G1293" s="5" t="n">
        <v>46.65</v>
      </c>
      <c r="H1293" s="5">
        <f>F1293*G1293</f>
        <v/>
      </c>
      <c r="I1293" s="5">
        <f>F1293*VLOOKUP(D1293,Products!$B$2:$E$13,3,FALSE)</f>
        <v/>
      </c>
    </row>
    <row r="1294">
      <c r="A1294" s="2" t="n">
        <v>46273</v>
      </c>
      <c r="B1294" s="3" t="inlineStr">
        <is>
          <t>INV-2609-1303</t>
        </is>
      </c>
      <c r="C1294" s="3" t="inlineStr">
        <is>
          <t>Choudhary Mart</t>
        </is>
      </c>
      <c r="D1294" s="3" t="inlineStr">
        <is>
          <t>Dish Soap 500ml</t>
        </is>
      </c>
      <c r="E1294" s="3" t="inlineStr">
        <is>
          <t>Household</t>
        </is>
      </c>
      <c r="F1294" s="4" t="n">
        <v>8</v>
      </c>
      <c r="G1294" s="5" t="n">
        <v>99.25</v>
      </c>
      <c r="H1294" s="5">
        <f>F1294*G1294</f>
        <v/>
      </c>
      <c r="I1294" s="5">
        <f>F1294*VLOOKUP(D1294,Products!$B$2:$E$13,3,FALSE)</f>
        <v/>
      </c>
    </row>
    <row r="1295">
      <c r="A1295" s="2" t="n">
        <v>46273</v>
      </c>
      <c r="B1295" s="3" t="inlineStr">
        <is>
          <t>INV-2609-1304</t>
        </is>
      </c>
      <c r="C1295" s="3" t="inlineStr">
        <is>
          <t>Nath Provisions</t>
        </is>
      </c>
      <c r="D1295" s="3" t="inlineStr">
        <is>
          <t>Detergent 1kg</t>
        </is>
      </c>
      <c r="E1295" s="3" t="inlineStr">
        <is>
          <t>Household</t>
        </is>
      </c>
      <c r="F1295" s="4" t="n">
        <v>71</v>
      </c>
      <c r="G1295" s="5" t="n">
        <v>126.41</v>
      </c>
      <c r="H1295" s="5">
        <f>F1295*G1295</f>
        <v/>
      </c>
      <c r="I1295" s="5">
        <f>F1295*VLOOKUP(D1295,Products!$B$2:$E$13,3,FALSE)</f>
        <v/>
      </c>
    </row>
    <row r="1296">
      <c r="A1296" s="2" t="n">
        <v>46273</v>
      </c>
      <c r="B1296" s="3" t="inlineStr">
        <is>
          <t>INV-2609-1305</t>
        </is>
      </c>
      <c r="C1296" s="3" t="inlineStr">
        <is>
          <t>Sahu Traders</t>
        </is>
      </c>
      <c r="D1296" s="3" t="inlineStr">
        <is>
          <t>Potato Chips 150g</t>
        </is>
      </c>
      <c r="E1296" s="3" t="inlineStr">
        <is>
          <t>Snacks</t>
        </is>
      </c>
      <c r="F1296" s="4" t="n">
        <v>7</v>
      </c>
      <c r="G1296" s="5" t="n">
        <v>52.5</v>
      </c>
      <c r="H1296" s="5">
        <f>F1296*G1296</f>
        <v/>
      </c>
      <c r="I1296" s="5">
        <f>F1296*VLOOKUP(D1296,Products!$B$2:$E$13,3,FALSE)</f>
        <v/>
      </c>
    </row>
    <row r="1297">
      <c r="A1297" s="2" t="n">
        <v>46273</v>
      </c>
      <c r="B1297" s="3" t="inlineStr">
        <is>
          <t>INV-2609-1306</t>
        </is>
      </c>
      <c r="C1297" s="3" t="inlineStr">
        <is>
          <t>Choudhary Mart</t>
        </is>
      </c>
      <c r="D1297" s="3" t="inlineStr">
        <is>
          <t>Packaged Water 1L</t>
        </is>
      </c>
      <c r="E1297" s="3" t="inlineStr">
        <is>
          <t>Beverages</t>
        </is>
      </c>
      <c r="F1297" s="4" t="n">
        <v>33</v>
      </c>
      <c r="G1297" s="5" t="n">
        <v>20.51</v>
      </c>
      <c r="H1297" s="5">
        <f>F1297*G1297</f>
        <v/>
      </c>
      <c r="I1297" s="5">
        <f>F1297*VLOOKUP(D1297,Products!$B$2:$E$13,3,FALSE)</f>
        <v/>
      </c>
    </row>
    <row r="1298">
      <c r="A1298" s="2" t="n">
        <v>46273</v>
      </c>
      <c r="B1298" s="3" t="inlineStr">
        <is>
          <t>INV-2609-1307</t>
        </is>
      </c>
      <c r="C1298" s="3" t="inlineStr">
        <is>
          <t>Patel Traders</t>
        </is>
      </c>
      <c r="D1298" s="3" t="inlineStr">
        <is>
          <t>Detergent 1kg</t>
        </is>
      </c>
      <c r="E1298" s="3" t="inlineStr">
        <is>
          <t>Household</t>
        </is>
      </c>
      <c r="F1298" s="4" t="n">
        <v>9</v>
      </c>
      <c r="G1298" s="5" t="n">
        <v>136.38</v>
      </c>
      <c r="H1298" s="5">
        <f>F1298*G1298</f>
        <v/>
      </c>
      <c r="I1298" s="5">
        <f>F1298*VLOOKUP(D1298,Products!$B$2:$E$13,3,FALSE)</f>
        <v/>
      </c>
    </row>
    <row r="1299">
      <c r="A1299" s="2" t="n">
        <v>46273</v>
      </c>
      <c r="B1299" s="3" t="inlineStr">
        <is>
          <t>INV-2609-1308</t>
        </is>
      </c>
      <c r="C1299" s="3" t="inlineStr">
        <is>
          <t>Pandey Stores</t>
        </is>
      </c>
      <c r="D1299" s="3" t="inlineStr">
        <is>
          <t>Curd Cup 400g</t>
        </is>
      </c>
      <c r="E1299" s="3" t="inlineStr">
        <is>
          <t>Dairy</t>
        </is>
      </c>
      <c r="F1299" s="4" t="n">
        <v>42</v>
      </c>
      <c r="G1299" s="5" t="n">
        <v>44.88</v>
      </c>
      <c r="H1299" s="5">
        <f>F1299*G1299</f>
        <v/>
      </c>
      <c r="I1299" s="5">
        <f>F1299*VLOOKUP(D1299,Products!$B$2:$E$13,3,FALSE)</f>
        <v/>
      </c>
    </row>
    <row r="1300">
      <c r="A1300" s="2" t="n">
        <v>46274</v>
      </c>
      <c r="B1300" s="3" t="inlineStr">
        <is>
          <t>INV-2609-1309</t>
        </is>
      </c>
      <c r="C1300" s="3" t="inlineStr">
        <is>
          <t>Pandey Stores</t>
        </is>
      </c>
      <c r="D1300" s="3" t="inlineStr">
        <is>
          <t>Curd Cup 400g</t>
        </is>
      </c>
      <c r="E1300" s="3" t="inlineStr">
        <is>
          <t>Dairy</t>
        </is>
      </c>
      <c r="F1300" s="4" t="n">
        <v>38</v>
      </c>
      <c r="G1300" s="5" t="n">
        <v>44.54</v>
      </c>
      <c r="H1300" s="5">
        <f>F1300*G1300</f>
        <v/>
      </c>
      <c r="I1300" s="5">
        <f>F1300*VLOOKUP(D1300,Products!$B$2:$E$13,3,FALSE)</f>
        <v/>
      </c>
    </row>
    <row r="1301">
      <c r="A1301" s="2" t="n">
        <v>46274</v>
      </c>
      <c r="B1301" s="3" t="inlineStr">
        <is>
          <t>INV-2609-1310</t>
        </is>
      </c>
      <c r="C1301" s="3" t="inlineStr">
        <is>
          <t>Yadav Daily Needs</t>
        </is>
      </c>
      <c r="D1301" s="3" t="inlineStr">
        <is>
          <t>Floor Cleaner 1L</t>
        </is>
      </c>
      <c r="E1301" s="3" t="inlineStr">
        <is>
          <t>Household</t>
        </is>
      </c>
      <c r="F1301" s="4" t="n">
        <v>50</v>
      </c>
      <c r="G1301" s="5" t="n">
        <v>111.94</v>
      </c>
      <c r="H1301" s="5">
        <f>F1301*G1301</f>
        <v/>
      </c>
      <c r="I1301" s="5">
        <f>F1301*VLOOKUP(D1301,Products!$B$2:$E$13,3,FALSE)</f>
        <v/>
      </c>
    </row>
    <row r="1302">
      <c r="A1302" s="2" t="n">
        <v>46274</v>
      </c>
      <c r="B1302" s="3" t="inlineStr">
        <is>
          <t>INV-2609-1311</t>
        </is>
      </c>
      <c r="C1302" s="3" t="inlineStr">
        <is>
          <t>Sinha Super Mart</t>
        </is>
      </c>
      <c r="D1302" s="3" t="inlineStr">
        <is>
          <t>Mango Juice 1L</t>
        </is>
      </c>
      <c r="E1302" s="3" t="inlineStr">
        <is>
          <t>Beverages</t>
        </is>
      </c>
      <c r="F1302" s="4" t="n">
        <v>25</v>
      </c>
      <c r="G1302" s="5" t="n">
        <v>116.98</v>
      </c>
      <c r="H1302" s="5">
        <f>F1302*G1302</f>
        <v/>
      </c>
      <c r="I1302" s="5">
        <f>F1302*VLOOKUP(D1302,Products!$B$2:$E$13,3,FALSE)</f>
        <v/>
      </c>
    </row>
    <row r="1303">
      <c r="A1303" s="2" t="n">
        <v>46274</v>
      </c>
      <c r="B1303" s="3" t="inlineStr">
        <is>
          <t>INV-2609-1312</t>
        </is>
      </c>
      <c r="C1303" s="3" t="inlineStr">
        <is>
          <t>Prasad Traders</t>
        </is>
      </c>
      <c r="D1303" s="3" t="inlineStr">
        <is>
          <t>Biscuits 400g</t>
        </is>
      </c>
      <c r="E1303" s="3" t="inlineStr">
        <is>
          <t>Snacks</t>
        </is>
      </c>
      <c r="F1303" s="4" t="n">
        <v>14</v>
      </c>
      <c r="G1303" s="5" t="n">
        <v>41.45</v>
      </c>
      <c r="H1303" s="5">
        <f>F1303*G1303</f>
        <v/>
      </c>
      <c r="I1303" s="5">
        <f>F1303*VLOOKUP(D1303,Products!$B$2:$E$13,3,FALSE)</f>
        <v/>
      </c>
    </row>
    <row r="1304">
      <c r="A1304" s="2" t="n">
        <v>46274</v>
      </c>
      <c r="B1304" s="3" t="inlineStr">
        <is>
          <t>INV-2609-1313</t>
        </is>
      </c>
      <c r="C1304" s="3" t="inlineStr">
        <is>
          <t>Prasad Traders</t>
        </is>
      </c>
      <c r="D1304" s="3" t="inlineStr">
        <is>
          <t>Curd Cup 400g</t>
        </is>
      </c>
      <c r="E1304" s="3" t="inlineStr">
        <is>
          <t>Dairy</t>
        </is>
      </c>
      <c r="F1304" s="4" t="n">
        <v>9</v>
      </c>
      <c r="G1304" s="5" t="n">
        <v>46.81</v>
      </c>
      <c r="H1304" s="5">
        <f>F1304*G1304</f>
        <v/>
      </c>
      <c r="I1304" s="5">
        <f>F1304*VLOOKUP(D1304,Products!$B$2:$E$13,3,FALSE)</f>
        <v/>
      </c>
    </row>
    <row r="1305">
      <c r="A1305" s="2" t="n">
        <v>46274</v>
      </c>
      <c r="B1305" s="3" t="inlineStr">
        <is>
          <t>INV-2609-1314</t>
        </is>
      </c>
      <c r="C1305" s="3" t="inlineStr">
        <is>
          <t>Das &amp; Sons</t>
        </is>
      </c>
      <c r="D1305" s="3" t="inlineStr">
        <is>
          <t>Paneer 200g</t>
        </is>
      </c>
      <c r="E1305" s="3" t="inlineStr">
        <is>
          <t>Dairy</t>
        </is>
      </c>
      <c r="F1305" s="4" t="n">
        <v>62</v>
      </c>
      <c r="G1305" s="5" t="n">
        <v>98.44</v>
      </c>
      <c r="H1305" s="5">
        <f>F1305*G1305</f>
        <v/>
      </c>
      <c r="I1305" s="5">
        <f>F1305*VLOOKUP(D1305,Products!$B$2:$E$13,3,FALSE)</f>
        <v/>
      </c>
    </row>
    <row r="1306">
      <c r="A1306" s="2" t="n">
        <v>46274</v>
      </c>
      <c r="B1306" s="3" t="inlineStr">
        <is>
          <t>INV-2609-1315</t>
        </is>
      </c>
      <c r="C1306" s="3" t="inlineStr">
        <is>
          <t>Prasad Traders</t>
        </is>
      </c>
      <c r="D1306" s="3" t="inlineStr">
        <is>
          <t>Instant Noodles 280g</t>
        </is>
      </c>
      <c r="E1306" s="3" t="inlineStr">
        <is>
          <t>Snacks</t>
        </is>
      </c>
      <c r="F1306" s="4" t="n">
        <v>20</v>
      </c>
      <c r="G1306" s="5" t="n">
        <v>57.12</v>
      </c>
      <c r="H1306" s="5">
        <f>F1306*G1306</f>
        <v/>
      </c>
      <c r="I1306" s="5">
        <f>F1306*VLOOKUP(D1306,Products!$B$2:$E$13,3,FALSE)</f>
        <v/>
      </c>
    </row>
    <row r="1307">
      <c r="A1307" s="2" t="n">
        <v>46275</v>
      </c>
      <c r="B1307" s="3" t="inlineStr">
        <is>
          <t>INV-2609-1316</t>
        </is>
      </c>
      <c r="C1307" s="3" t="inlineStr">
        <is>
          <t>Kumari Kirana</t>
        </is>
      </c>
      <c r="D1307" s="3" t="inlineStr">
        <is>
          <t>Packaged Water 1L</t>
        </is>
      </c>
      <c r="E1307" s="3" t="inlineStr">
        <is>
          <t>Beverages</t>
        </is>
      </c>
      <c r="F1307" s="4" t="n">
        <v>11</v>
      </c>
      <c r="G1307" s="5" t="n">
        <v>19.97</v>
      </c>
      <c r="H1307" s="5">
        <f>F1307*G1307</f>
        <v/>
      </c>
      <c r="I1307" s="5">
        <f>F1307*VLOOKUP(D1307,Products!$B$2:$E$13,3,FALSE)</f>
        <v/>
      </c>
    </row>
    <row r="1308">
      <c r="A1308" s="2" t="n">
        <v>46275</v>
      </c>
      <c r="B1308" s="3" t="inlineStr">
        <is>
          <t>INV-2609-1317</t>
        </is>
      </c>
      <c r="C1308" s="3" t="inlineStr">
        <is>
          <t>Sharma Provision</t>
        </is>
      </c>
      <c r="D1308" s="3" t="inlineStr">
        <is>
          <t>Instant Noodles 280g</t>
        </is>
      </c>
      <c r="E1308" s="3" t="inlineStr">
        <is>
          <t>Snacks</t>
        </is>
      </c>
      <c r="F1308" s="4" t="n">
        <v>31</v>
      </c>
      <c r="G1308" s="5" t="n">
        <v>56.82</v>
      </c>
      <c r="H1308" s="5">
        <f>F1308*G1308</f>
        <v/>
      </c>
      <c r="I1308" s="5">
        <f>F1308*VLOOKUP(D1308,Products!$B$2:$E$13,3,FALSE)</f>
        <v/>
      </c>
    </row>
    <row r="1309">
      <c r="A1309" s="2" t="n">
        <v>46275</v>
      </c>
      <c r="B1309" s="3" t="inlineStr">
        <is>
          <t>INV-2609-1318</t>
        </is>
      </c>
      <c r="C1309" s="3" t="inlineStr">
        <is>
          <t>Bhatt General Store</t>
        </is>
      </c>
      <c r="D1309" s="3" t="inlineStr">
        <is>
          <t>Floor Cleaner 1L</t>
        </is>
      </c>
      <c r="E1309" s="3" t="inlineStr">
        <is>
          <t>Household</t>
        </is>
      </c>
      <c r="F1309" s="4" t="n">
        <v>26</v>
      </c>
      <c r="G1309" s="5" t="n">
        <v>111.25</v>
      </c>
      <c r="H1309" s="5">
        <f>F1309*G1309</f>
        <v/>
      </c>
      <c r="I1309" s="5">
        <f>F1309*VLOOKUP(D1309,Products!$B$2:$E$13,3,FALSE)</f>
        <v/>
      </c>
    </row>
    <row r="1310">
      <c r="A1310" s="2" t="n">
        <v>46275</v>
      </c>
      <c r="B1310" s="3" t="inlineStr">
        <is>
          <t>INV-2609-1319</t>
        </is>
      </c>
      <c r="C1310" s="3" t="inlineStr">
        <is>
          <t>Sharma Provision</t>
        </is>
      </c>
      <c r="D1310" s="3" t="inlineStr">
        <is>
          <t>Cola 750ml</t>
        </is>
      </c>
      <c r="E1310" s="3" t="inlineStr">
        <is>
          <t>Beverages</t>
        </is>
      </c>
      <c r="F1310" s="4" t="n">
        <v>74</v>
      </c>
      <c r="G1310" s="5" t="n">
        <v>45.73</v>
      </c>
      <c r="H1310" s="5">
        <f>F1310*G1310</f>
        <v/>
      </c>
      <c r="I1310" s="5">
        <f>F1310*VLOOKUP(D1310,Products!$B$2:$E$13,3,FALSE)</f>
        <v/>
      </c>
    </row>
    <row r="1311">
      <c r="A1311" s="2" t="n">
        <v>46275</v>
      </c>
      <c r="B1311" s="3" t="inlineStr">
        <is>
          <t>INV-2609-1320</t>
        </is>
      </c>
      <c r="C1311" s="3" t="inlineStr">
        <is>
          <t>Sahu Traders</t>
        </is>
      </c>
      <c r="D1311" s="3" t="inlineStr">
        <is>
          <t>Floor Cleaner 1L</t>
        </is>
      </c>
      <c r="E1311" s="3" t="inlineStr">
        <is>
          <t>Household</t>
        </is>
      </c>
      <c r="F1311" s="4" t="n">
        <v>59</v>
      </c>
      <c r="G1311" s="5" t="n">
        <v>112.91</v>
      </c>
      <c r="H1311" s="5">
        <f>F1311*G1311</f>
        <v/>
      </c>
      <c r="I1311" s="5">
        <f>F1311*VLOOKUP(D1311,Products!$B$2:$E$13,3,FALSE)</f>
        <v/>
      </c>
    </row>
    <row r="1312">
      <c r="A1312" s="2" t="n">
        <v>46275</v>
      </c>
      <c r="B1312" s="3" t="inlineStr">
        <is>
          <t>INV-2609-1321</t>
        </is>
      </c>
      <c r="C1312" s="3" t="inlineStr">
        <is>
          <t>Raza Brothers</t>
        </is>
      </c>
      <c r="D1312" s="3" t="inlineStr">
        <is>
          <t>Toned Milk 1L</t>
        </is>
      </c>
      <c r="E1312" s="3" t="inlineStr">
        <is>
          <t>Dairy</t>
        </is>
      </c>
      <c r="F1312" s="4" t="n">
        <v>11</v>
      </c>
      <c r="G1312" s="5" t="n">
        <v>68</v>
      </c>
      <c r="H1312" s="5">
        <f>F1312*G1312</f>
        <v/>
      </c>
      <c r="I1312" s="5">
        <f>F1312*VLOOKUP(D1312,Products!$B$2:$E$13,3,FALSE)</f>
        <v/>
      </c>
    </row>
    <row r="1313">
      <c r="A1313" s="2" t="n">
        <v>46275</v>
      </c>
      <c r="B1313" s="3" t="inlineStr">
        <is>
          <t>INV-2609-1322</t>
        </is>
      </c>
      <c r="C1313" s="3" t="inlineStr">
        <is>
          <t>Yadav Daily Needs</t>
        </is>
      </c>
      <c r="D1313" s="3" t="inlineStr">
        <is>
          <t>Packaged Water 1L</t>
        </is>
      </c>
      <c r="E1313" s="3" t="inlineStr">
        <is>
          <t>Beverages</t>
        </is>
      </c>
      <c r="F1313" s="4" t="n">
        <v>18</v>
      </c>
      <c r="G1313" s="5" t="n">
        <v>20.84</v>
      </c>
      <c r="H1313" s="5">
        <f>F1313*G1313</f>
        <v/>
      </c>
      <c r="I1313" s="5">
        <f>F1313*VLOOKUP(D1313,Products!$B$2:$E$13,3,FALSE)</f>
        <v/>
      </c>
    </row>
    <row r="1314">
      <c r="A1314" s="2" t="n">
        <v>46275</v>
      </c>
      <c r="B1314" s="3" t="inlineStr">
        <is>
          <t>INV-2609-1323</t>
        </is>
      </c>
      <c r="C1314" s="3" t="inlineStr">
        <is>
          <t>Yadav Daily Needs</t>
        </is>
      </c>
      <c r="D1314" s="3" t="inlineStr">
        <is>
          <t>Mango Juice 1L</t>
        </is>
      </c>
      <c r="E1314" s="3" t="inlineStr">
        <is>
          <t>Beverages</t>
        </is>
      </c>
      <c r="F1314" s="4" t="n">
        <v>49</v>
      </c>
      <c r="G1314" s="5" t="n">
        <v>116.83</v>
      </c>
      <c r="H1314" s="5">
        <f>F1314*G1314</f>
        <v/>
      </c>
      <c r="I1314" s="5">
        <f>F1314*VLOOKUP(D1314,Products!$B$2:$E$13,3,FALSE)</f>
        <v/>
      </c>
    </row>
    <row r="1315">
      <c r="A1315" s="2" t="n">
        <v>46275</v>
      </c>
      <c r="B1315" s="3" t="inlineStr">
        <is>
          <t>INV-2609-1324</t>
        </is>
      </c>
      <c r="C1315" s="3" t="inlineStr">
        <is>
          <t>Mehta Retail</t>
        </is>
      </c>
      <c r="D1315" s="3" t="inlineStr">
        <is>
          <t>Detergent 1kg</t>
        </is>
      </c>
      <c r="E1315" s="3" t="inlineStr">
        <is>
          <t>Household</t>
        </is>
      </c>
      <c r="F1315" s="4" t="n">
        <v>25</v>
      </c>
      <c r="G1315" s="5" t="n">
        <v>136.38</v>
      </c>
      <c r="H1315" s="5">
        <f>F1315*G1315</f>
        <v/>
      </c>
      <c r="I1315" s="5">
        <f>F1315*VLOOKUP(D1315,Products!$B$2:$E$13,3,FALSE)</f>
        <v/>
      </c>
    </row>
    <row r="1316">
      <c r="A1316" s="2" t="n">
        <v>46275</v>
      </c>
      <c r="B1316" s="3" t="inlineStr">
        <is>
          <t>INV-2609-1325</t>
        </is>
      </c>
      <c r="C1316" s="3" t="inlineStr">
        <is>
          <t>Jha Provisions</t>
        </is>
      </c>
      <c r="D1316" s="3" t="inlineStr">
        <is>
          <t>Detergent 1kg</t>
        </is>
      </c>
      <c r="E1316" s="3" t="inlineStr">
        <is>
          <t>Household</t>
        </is>
      </c>
      <c r="F1316" s="4" t="n">
        <v>8</v>
      </c>
      <c r="G1316" s="5" t="n">
        <v>131.36</v>
      </c>
      <c r="H1316" s="5">
        <f>F1316*G1316</f>
        <v/>
      </c>
      <c r="I1316" s="5">
        <f>F1316*VLOOKUP(D1316,Products!$B$2:$E$13,3,FALSE)</f>
        <v/>
      </c>
    </row>
    <row r="1317">
      <c r="A1317" s="2" t="n">
        <v>46276</v>
      </c>
      <c r="B1317" s="3" t="inlineStr">
        <is>
          <t>INV-2609-1326</t>
        </is>
      </c>
      <c r="C1317" s="3" t="inlineStr">
        <is>
          <t>Choudhary Mart</t>
        </is>
      </c>
      <c r="D1317" s="3" t="inlineStr">
        <is>
          <t>Instant Noodles 280g</t>
        </is>
      </c>
      <c r="E1317" s="3" t="inlineStr">
        <is>
          <t>Snacks</t>
        </is>
      </c>
      <c r="F1317" s="4" t="n">
        <v>37</v>
      </c>
      <c r="G1317" s="5" t="n">
        <v>55.74</v>
      </c>
      <c r="H1317" s="5">
        <f>F1317*G1317</f>
        <v/>
      </c>
      <c r="I1317" s="5">
        <f>F1317*VLOOKUP(D1317,Products!$B$2:$E$13,3,FALSE)</f>
        <v/>
      </c>
    </row>
    <row r="1318">
      <c r="A1318" s="2" t="n">
        <v>46276</v>
      </c>
      <c r="B1318" s="3" t="inlineStr">
        <is>
          <t>INV-2609-1327</t>
        </is>
      </c>
      <c r="C1318" s="3" t="inlineStr">
        <is>
          <t>Mishra Stores</t>
        </is>
      </c>
      <c r="D1318" s="3" t="inlineStr">
        <is>
          <t>Curd Cup 400g</t>
        </is>
      </c>
      <c r="E1318" s="3" t="inlineStr">
        <is>
          <t>Dairy</t>
        </is>
      </c>
      <c r="F1318" s="4" t="n">
        <v>69</v>
      </c>
      <c r="G1318" s="5" t="n">
        <v>46.26</v>
      </c>
      <c r="H1318" s="5">
        <f>F1318*G1318</f>
        <v/>
      </c>
      <c r="I1318" s="5">
        <f>F1318*VLOOKUP(D1318,Products!$B$2:$E$13,3,FALSE)</f>
        <v/>
      </c>
    </row>
    <row r="1319">
      <c r="A1319" s="2" t="n">
        <v>46276</v>
      </c>
      <c r="B1319" s="3" t="inlineStr">
        <is>
          <t>INV-2609-1328</t>
        </is>
      </c>
      <c r="C1319" s="3" t="inlineStr">
        <is>
          <t>Ali General Store</t>
        </is>
      </c>
      <c r="D1319" s="3" t="inlineStr">
        <is>
          <t>Toned Milk 1L</t>
        </is>
      </c>
      <c r="E1319" s="3" t="inlineStr">
        <is>
          <t>Dairy</t>
        </is>
      </c>
      <c r="F1319" s="4" t="n">
        <v>42</v>
      </c>
      <c r="G1319" s="5" t="n">
        <v>67.42</v>
      </c>
      <c r="H1319" s="5">
        <f>F1319*G1319</f>
        <v/>
      </c>
      <c r="I1319" s="5">
        <f>F1319*VLOOKUP(D1319,Products!$B$2:$E$13,3,FALSE)</f>
        <v/>
      </c>
    </row>
    <row r="1320">
      <c r="A1320" s="2" t="n">
        <v>46276</v>
      </c>
      <c r="B1320" s="3" t="inlineStr">
        <is>
          <t>INV-2609-1329</t>
        </is>
      </c>
      <c r="C1320" s="3" t="inlineStr">
        <is>
          <t>Nath Provisions</t>
        </is>
      </c>
      <c r="D1320" s="3" t="inlineStr">
        <is>
          <t>Packaged Water 1L</t>
        </is>
      </c>
      <c r="E1320" s="3" t="inlineStr">
        <is>
          <t>Beverages</t>
        </is>
      </c>
      <c r="F1320" s="4" t="n">
        <v>24</v>
      </c>
      <c r="G1320" s="5" t="n">
        <v>20.33</v>
      </c>
      <c r="H1320" s="5">
        <f>F1320*G1320</f>
        <v/>
      </c>
      <c r="I1320" s="5">
        <f>F1320*VLOOKUP(D1320,Products!$B$2:$E$13,3,FALSE)</f>
        <v/>
      </c>
    </row>
    <row r="1321">
      <c r="A1321" s="2" t="n">
        <v>46276</v>
      </c>
      <c r="B1321" s="3" t="inlineStr">
        <is>
          <t>INV-2609-1330</t>
        </is>
      </c>
      <c r="C1321" s="3" t="inlineStr">
        <is>
          <t>Ali General Store</t>
        </is>
      </c>
      <c r="D1321" s="3" t="inlineStr">
        <is>
          <t>Floor Cleaner 1L</t>
        </is>
      </c>
      <c r="E1321" s="3" t="inlineStr">
        <is>
          <t>Household</t>
        </is>
      </c>
      <c r="F1321" s="4" t="n">
        <v>44</v>
      </c>
      <c r="G1321" s="5" t="n">
        <v>113.54</v>
      </c>
      <c r="H1321" s="5">
        <f>F1321*G1321</f>
        <v/>
      </c>
      <c r="I1321" s="5">
        <f>F1321*VLOOKUP(D1321,Products!$B$2:$E$13,3,FALSE)</f>
        <v/>
      </c>
    </row>
    <row r="1322">
      <c r="A1322" s="2" t="n">
        <v>46276</v>
      </c>
      <c r="B1322" s="3" t="inlineStr">
        <is>
          <t>INV-2609-1331</t>
        </is>
      </c>
      <c r="C1322" s="3" t="inlineStr">
        <is>
          <t>Yadav Daily Needs</t>
        </is>
      </c>
      <c r="D1322" s="3" t="inlineStr">
        <is>
          <t>Floor Cleaner 1L</t>
        </is>
      </c>
      <c r="E1322" s="3" t="inlineStr">
        <is>
          <t>Household</t>
        </is>
      </c>
      <c r="F1322" s="4" t="n">
        <v>15</v>
      </c>
      <c r="G1322" s="5" t="n">
        <v>108.79</v>
      </c>
      <c r="H1322" s="5">
        <f>F1322*G1322</f>
        <v/>
      </c>
      <c r="I1322" s="5">
        <f>F1322*VLOOKUP(D1322,Products!$B$2:$E$13,3,FALSE)</f>
        <v/>
      </c>
    </row>
    <row r="1323">
      <c r="A1323" s="2" t="n">
        <v>46276</v>
      </c>
      <c r="B1323" s="3" t="inlineStr">
        <is>
          <t>INV-2609-1332</t>
        </is>
      </c>
      <c r="C1323" s="3" t="inlineStr">
        <is>
          <t>Mehta Retail</t>
        </is>
      </c>
      <c r="D1323" s="3" t="inlineStr">
        <is>
          <t>Instant Noodles 280g</t>
        </is>
      </c>
      <c r="E1323" s="3" t="inlineStr">
        <is>
          <t>Snacks</t>
        </is>
      </c>
      <c r="F1323" s="4" t="n">
        <v>18</v>
      </c>
      <c r="G1323" s="5" t="n">
        <v>56.87</v>
      </c>
      <c r="H1323" s="5">
        <f>F1323*G1323</f>
        <v/>
      </c>
      <c r="I1323" s="5">
        <f>F1323*VLOOKUP(D1323,Products!$B$2:$E$13,3,FALSE)</f>
        <v/>
      </c>
    </row>
    <row r="1324">
      <c r="A1324" s="2" t="n">
        <v>46276</v>
      </c>
      <c r="B1324" s="3" t="inlineStr">
        <is>
          <t>INV-2609-1333</t>
        </is>
      </c>
      <c r="C1324" s="3" t="inlineStr">
        <is>
          <t>Kumari Kirana</t>
        </is>
      </c>
      <c r="D1324" s="3" t="inlineStr">
        <is>
          <t>Detergent 1kg</t>
        </is>
      </c>
      <c r="E1324" s="3" t="inlineStr">
        <is>
          <t>Household</t>
        </is>
      </c>
      <c r="F1324" s="4" t="n">
        <v>40</v>
      </c>
      <c r="G1324" s="5" t="n">
        <v>134.28</v>
      </c>
      <c r="H1324" s="5">
        <f>F1324*G1324</f>
        <v/>
      </c>
      <c r="I1324" s="5">
        <f>F1324*VLOOKUP(D1324,Products!$B$2:$E$13,3,FALSE)</f>
        <v/>
      </c>
    </row>
    <row r="1325">
      <c r="A1325" s="2" t="n">
        <v>46277</v>
      </c>
      <c r="B1325" s="3" t="inlineStr">
        <is>
          <t>INV-2609-1334</t>
        </is>
      </c>
      <c r="C1325" s="3" t="inlineStr">
        <is>
          <t>Singh Super Bazaar</t>
        </is>
      </c>
      <c r="D1325" s="3" t="inlineStr">
        <is>
          <t>Paneer 200g</t>
        </is>
      </c>
      <c r="E1325" s="3" t="inlineStr">
        <is>
          <t>Dairy</t>
        </is>
      </c>
      <c r="F1325" s="4" t="n">
        <v>19</v>
      </c>
      <c r="G1325" s="5" t="n">
        <v>99.31999999999999</v>
      </c>
      <c r="H1325" s="5">
        <f>F1325*G1325</f>
        <v/>
      </c>
      <c r="I1325" s="5">
        <f>F1325*VLOOKUP(D1325,Products!$B$2:$E$13,3,FALSE)</f>
        <v/>
      </c>
    </row>
    <row r="1326">
      <c r="A1326" s="2" t="n">
        <v>46277</v>
      </c>
      <c r="B1326" s="3" t="inlineStr">
        <is>
          <t>INV-2609-1335</t>
        </is>
      </c>
      <c r="C1326" s="3" t="inlineStr">
        <is>
          <t>Mishra Stores</t>
        </is>
      </c>
      <c r="D1326" s="3" t="inlineStr">
        <is>
          <t>Dish Soap 500ml</t>
        </is>
      </c>
      <c r="E1326" s="3" t="inlineStr">
        <is>
          <t>Household</t>
        </is>
      </c>
      <c r="F1326" s="4" t="n">
        <v>64</v>
      </c>
      <c r="G1326" s="5" t="n">
        <v>100.95</v>
      </c>
      <c r="H1326" s="5">
        <f>F1326*G1326</f>
        <v/>
      </c>
      <c r="I1326" s="5">
        <f>F1326*VLOOKUP(D1326,Products!$B$2:$E$13,3,FALSE)</f>
        <v/>
      </c>
    </row>
    <row r="1327">
      <c r="A1327" s="2" t="n">
        <v>46277</v>
      </c>
      <c r="B1327" s="3" t="inlineStr">
        <is>
          <t>INV-2609-1336</t>
        </is>
      </c>
      <c r="C1327" s="3" t="inlineStr">
        <is>
          <t>Yadav Daily Needs</t>
        </is>
      </c>
      <c r="D1327" s="3" t="inlineStr">
        <is>
          <t>Toned Milk 1L</t>
        </is>
      </c>
      <c r="E1327" s="3" t="inlineStr">
        <is>
          <t>Dairy</t>
        </is>
      </c>
      <c r="F1327" s="4" t="n">
        <v>48</v>
      </c>
      <c r="G1327" s="5" t="n">
        <v>68.98999999999999</v>
      </c>
      <c r="H1327" s="5">
        <f>F1327*G1327</f>
        <v/>
      </c>
      <c r="I1327" s="5">
        <f>F1327*VLOOKUP(D1327,Products!$B$2:$E$13,3,FALSE)</f>
        <v/>
      </c>
    </row>
    <row r="1328">
      <c r="A1328" s="2" t="n">
        <v>46277</v>
      </c>
      <c r="B1328" s="3" t="inlineStr">
        <is>
          <t>INV-2609-1337</t>
        </is>
      </c>
      <c r="C1328" s="3" t="inlineStr">
        <is>
          <t>Dubey Kirana</t>
        </is>
      </c>
      <c r="D1328" s="3" t="inlineStr">
        <is>
          <t>Instant Noodles 280g</t>
        </is>
      </c>
      <c r="E1328" s="3" t="inlineStr">
        <is>
          <t>Snacks</t>
        </is>
      </c>
      <c r="F1328" s="4" t="n">
        <v>49</v>
      </c>
      <c r="G1328" s="5" t="n">
        <v>57.11</v>
      </c>
      <c r="H1328" s="5">
        <f>F1328*G1328</f>
        <v/>
      </c>
      <c r="I1328" s="5">
        <f>F1328*VLOOKUP(D1328,Products!$B$2:$E$13,3,FALSE)</f>
        <v/>
      </c>
    </row>
    <row r="1329">
      <c r="A1329" s="2" t="n">
        <v>46277</v>
      </c>
      <c r="B1329" s="3" t="inlineStr">
        <is>
          <t>INV-2609-1338</t>
        </is>
      </c>
      <c r="C1329" s="3" t="inlineStr">
        <is>
          <t>Gupta General Store</t>
        </is>
      </c>
      <c r="D1329" s="3" t="inlineStr">
        <is>
          <t>Mango Juice 1L</t>
        </is>
      </c>
      <c r="E1329" s="3" t="inlineStr">
        <is>
          <t>Beverages</t>
        </is>
      </c>
      <c r="F1329" s="4" t="n">
        <v>9</v>
      </c>
      <c r="G1329" s="5" t="n">
        <v>119.37</v>
      </c>
      <c r="H1329" s="5">
        <f>F1329*G1329</f>
        <v/>
      </c>
      <c r="I1329" s="5">
        <f>F1329*VLOOKUP(D1329,Products!$B$2:$E$13,3,FALSE)</f>
        <v/>
      </c>
    </row>
    <row r="1330">
      <c r="A1330" s="2" t="n">
        <v>46277</v>
      </c>
      <c r="B1330" s="3" t="inlineStr">
        <is>
          <t>INV-2609-1339</t>
        </is>
      </c>
      <c r="C1330" s="3" t="inlineStr">
        <is>
          <t>Kumari Kirana</t>
        </is>
      </c>
      <c r="D1330" s="3" t="inlineStr">
        <is>
          <t>Floor Cleaner 1L</t>
        </is>
      </c>
      <c r="E1330" s="3" t="inlineStr">
        <is>
          <t>Household</t>
        </is>
      </c>
      <c r="F1330" s="4" t="n">
        <v>75</v>
      </c>
      <c r="G1330" s="5" t="n">
        <v>115.28</v>
      </c>
      <c r="H1330" s="5">
        <f>F1330*G1330</f>
        <v/>
      </c>
      <c r="I1330" s="5">
        <f>F1330*VLOOKUP(D1330,Products!$B$2:$E$13,3,FALSE)</f>
        <v/>
      </c>
    </row>
    <row r="1331">
      <c r="A1331" s="2" t="n">
        <v>46277</v>
      </c>
      <c r="B1331" s="3" t="inlineStr">
        <is>
          <t>INV-2609-1340</t>
        </is>
      </c>
      <c r="C1331" s="3" t="inlineStr">
        <is>
          <t>Ali General Store</t>
        </is>
      </c>
      <c r="D1331" s="3" t="inlineStr">
        <is>
          <t>Curd Cup 400g</t>
        </is>
      </c>
      <c r="E1331" s="3" t="inlineStr">
        <is>
          <t>Dairy</t>
        </is>
      </c>
      <c r="F1331" s="4" t="n">
        <v>29</v>
      </c>
      <c r="G1331" s="5" t="n">
        <v>44.88</v>
      </c>
      <c r="H1331" s="5">
        <f>F1331*G1331</f>
        <v/>
      </c>
      <c r="I1331" s="5">
        <f>F1331*VLOOKUP(D1331,Products!$B$2:$E$13,3,FALSE)</f>
        <v/>
      </c>
    </row>
    <row r="1332">
      <c r="A1332" s="2" t="n">
        <v>46277</v>
      </c>
      <c r="B1332" s="3" t="inlineStr">
        <is>
          <t>INV-2609-1341</t>
        </is>
      </c>
      <c r="C1332" s="3" t="inlineStr">
        <is>
          <t>Gupta General Store</t>
        </is>
      </c>
      <c r="D1332" s="3" t="inlineStr">
        <is>
          <t>Instant Noodles 280g</t>
        </is>
      </c>
      <c r="E1332" s="3" t="inlineStr">
        <is>
          <t>Snacks</t>
        </is>
      </c>
      <c r="F1332" s="4" t="n">
        <v>46</v>
      </c>
      <c r="G1332" s="5" t="n">
        <v>55.54</v>
      </c>
      <c r="H1332" s="5">
        <f>F1332*G1332</f>
        <v/>
      </c>
      <c r="I1332" s="5">
        <f>F1332*VLOOKUP(D1332,Products!$B$2:$E$13,3,FALSE)</f>
        <v/>
      </c>
    </row>
    <row r="1333">
      <c r="A1333" s="2" t="n">
        <v>46277</v>
      </c>
      <c r="B1333" s="3" t="inlineStr">
        <is>
          <t>INV-2609-1342</t>
        </is>
      </c>
      <c r="C1333" s="3" t="inlineStr">
        <is>
          <t>Gupta General Store</t>
        </is>
      </c>
      <c r="D1333" s="3" t="inlineStr">
        <is>
          <t>Packaged Water 1L</t>
        </is>
      </c>
      <c r="E1333" s="3" t="inlineStr">
        <is>
          <t>Beverages</t>
        </is>
      </c>
      <c r="F1333" s="4" t="n">
        <v>7</v>
      </c>
      <c r="G1333" s="5" t="n">
        <v>20.07</v>
      </c>
      <c r="H1333" s="5">
        <f>F1333*G1333</f>
        <v/>
      </c>
      <c r="I1333" s="5">
        <f>F1333*VLOOKUP(D1333,Products!$B$2:$E$13,3,FALSE)</f>
        <v/>
      </c>
    </row>
    <row r="1334">
      <c r="A1334" s="2" t="n">
        <v>46277</v>
      </c>
      <c r="B1334" s="3" t="inlineStr">
        <is>
          <t>INV-2609-1343</t>
        </is>
      </c>
      <c r="C1334" s="3" t="inlineStr">
        <is>
          <t>Khan Mart</t>
        </is>
      </c>
      <c r="D1334" s="3" t="inlineStr">
        <is>
          <t>Floor Cleaner 1L</t>
        </is>
      </c>
      <c r="E1334" s="3" t="inlineStr">
        <is>
          <t>Household</t>
        </is>
      </c>
      <c r="F1334" s="4" t="n">
        <v>69</v>
      </c>
      <c r="G1334" s="5" t="n">
        <v>112.64</v>
      </c>
      <c r="H1334" s="5">
        <f>F1334*G1334</f>
        <v/>
      </c>
      <c r="I1334" s="5">
        <f>F1334*VLOOKUP(D1334,Products!$B$2:$E$13,3,FALSE)</f>
        <v/>
      </c>
    </row>
    <row r="1335">
      <c r="A1335" s="2" t="n">
        <v>46278</v>
      </c>
      <c r="B1335" s="3" t="inlineStr">
        <is>
          <t>INV-2609-1344</t>
        </is>
      </c>
      <c r="C1335" s="3" t="inlineStr">
        <is>
          <t>Azad Stores</t>
        </is>
      </c>
      <c r="D1335" s="3" t="inlineStr">
        <is>
          <t>Packaged Water 1L</t>
        </is>
      </c>
      <c r="E1335" s="3" t="inlineStr">
        <is>
          <t>Beverages</t>
        </is>
      </c>
      <c r="F1335" s="4" t="n">
        <v>49</v>
      </c>
      <c r="G1335" s="5" t="n">
        <v>19.88</v>
      </c>
      <c r="H1335" s="5">
        <f>F1335*G1335</f>
        <v/>
      </c>
      <c r="I1335" s="5">
        <f>F1335*VLOOKUP(D1335,Products!$B$2:$E$13,3,FALSE)</f>
        <v/>
      </c>
    </row>
    <row r="1336">
      <c r="A1336" s="2" t="n">
        <v>46278</v>
      </c>
      <c r="B1336" s="3" t="inlineStr">
        <is>
          <t>INV-2609-1345</t>
        </is>
      </c>
      <c r="C1336" s="3" t="inlineStr">
        <is>
          <t>Prasad Traders</t>
        </is>
      </c>
      <c r="D1336" s="3" t="inlineStr">
        <is>
          <t>Mango Juice 1L</t>
        </is>
      </c>
      <c r="E1336" s="3" t="inlineStr">
        <is>
          <t>Beverages</t>
        </is>
      </c>
      <c r="F1336" s="4" t="n">
        <v>8</v>
      </c>
      <c r="G1336" s="5" t="n">
        <v>119.32</v>
      </c>
      <c r="H1336" s="5">
        <f>F1336*G1336</f>
        <v/>
      </c>
      <c r="I1336" s="5">
        <f>F1336*VLOOKUP(D1336,Products!$B$2:$E$13,3,FALSE)</f>
        <v/>
      </c>
    </row>
    <row r="1337">
      <c r="A1337" s="2" t="n">
        <v>46278</v>
      </c>
      <c r="B1337" s="3" t="inlineStr">
        <is>
          <t>INV-2609-1346</t>
        </is>
      </c>
      <c r="C1337" s="3" t="inlineStr">
        <is>
          <t>Choudhary Mart</t>
        </is>
      </c>
      <c r="D1337" s="3" t="inlineStr">
        <is>
          <t>Instant Noodles 280g</t>
        </is>
      </c>
      <c r="E1337" s="3" t="inlineStr">
        <is>
          <t>Snacks</t>
        </is>
      </c>
      <c r="F1337" s="4" t="n">
        <v>45</v>
      </c>
      <c r="G1337" s="5" t="n">
        <v>54.72</v>
      </c>
      <c r="H1337" s="5">
        <f>F1337*G1337</f>
        <v/>
      </c>
      <c r="I1337" s="5">
        <f>F1337*VLOOKUP(D1337,Products!$B$2:$E$13,3,FALSE)</f>
        <v/>
      </c>
    </row>
    <row r="1338">
      <c r="A1338" s="2" t="n">
        <v>46278</v>
      </c>
      <c r="B1338" s="3" t="inlineStr">
        <is>
          <t>INV-2609-1347</t>
        </is>
      </c>
      <c r="C1338" s="3" t="inlineStr">
        <is>
          <t>Nath Provisions</t>
        </is>
      </c>
      <c r="D1338" s="3" t="inlineStr">
        <is>
          <t>Instant Noodles 280g</t>
        </is>
      </c>
      <c r="E1338" s="3" t="inlineStr">
        <is>
          <t>Snacks</t>
        </is>
      </c>
      <c r="F1338" s="4" t="n">
        <v>105</v>
      </c>
      <c r="G1338" s="5" t="n">
        <v>54.36</v>
      </c>
      <c r="H1338" s="5">
        <f>F1338*G1338</f>
        <v/>
      </c>
      <c r="I1338" s="5">
        <f>F1338*VLOOKUP(D1338,Products!$B$2:$E$13,3,FALSE)</f>
        <v/>
      </c>
    </row>
    <row r="1339">
      <c r="A1339" s="2" t="n">
        <v>46278</v>
      </c>
      <c r="B1339" s="3" t="inlineStr">
        <is>
          <t>INV-2609-1348</t>
        </is>
      </c>
      <c r="C1339" s="3" t="inlineStr">
        <is>
          <t>Pandey Stores</t>
        </is>
      </c>
      <c r="D1339" s="3" t="inlineStr">
        <is>
          <t>Potato Chips 150g</t>
        </is>
      </c>
      <c r="E1339" s="3" t="inlineStr">
        <is>
          <t>Snacks</t>
        </is>
      </c>
      <c r="F1339" s="4" t="n">
        <v>42</v>
      </c>
      <c r="G1339" s="5" t="n">
        <v>50.62</v>
      </c>
      <c r="H1339" s="5">
        <f>F1339*G1339</f>
        <v/>
      </c>
      <c r="I1339" s="5">
        <f>F1339*VLOOKUP(D1339,Products!$B$2:$E$13,3,FALSE)</f>
        <v/>
      </c>
    </row>
    <row r="1340">
      <c r="A1340" s="2" t="n">
        <v>46279</v>
      </c>
      <c r="B1340" s="3" t="inlineStr">
        <is>
          <t>INV-2609-1349</t>
        </is>
      </c>
      <c r="C1340" s="3" t="inlineStr">
        <is>
          <t>Dubey Kirana</t>
        </is>
      </c>
      <c r="D1340" s="3" t="inlineStr">
        <is>
          <t>Toned Milk 1L</t>
        </is>
      </c>
      <c r="E1340" s="3" t="inlineStr">
        <is>
          <t>Dairy</t>
        </is>
      </c>
      <c r="F1340" s="4" t="n">
        <v>35</v>
      </c>
      <c r="G1340" s="5" t="n">
        <v>64.86</v>
      </c>
      <c r="H1340" s="5">
        <f>F1340*G1340</f>
        <v/>
      </c>
      <c r="I1340" s="5">
        <f>F1340*VLOOKUP(D1340,Products!$B$2:$E$13,3,FALSE)</f>
        <v/>
      </c>
    </row>
    <row r="1341">
      <c r="A1341" s="2" t="n">
        <v>46279</v>
      </c>
      <c r="B1341" s="3" t="inlineStr">
        <is>
          <t>INV-2609-1350</t>
        </is>
      </c>
      <c r="C1341" s="3" t="inlineStr">
        <is>
          <t>Das &amp; Sons</t>
        </is>
      </c>
      <c r="D1341" s="3" t="inlineStr">
        <is>
          <t>Cola 750ml</t>
        </is>
      </c>
      <c r="E1341" s="3" t="inlineStr">
        <is>
          <t>Beverages</t>
        </is>
      </c>
      <c r="F1341" s="4" t="n">
        <v>14</v>
      </c>
      <c r="G1341" s="5" t="n">
        <v>44.57</v>
      </c>
      <c r="H1341" s="5">
        <f>F1341*G1341</f>
        <v/>
      </c>
      <c r="I1341" s="5">
        <f>F1341*VLOOKUP(D1341,Products!$B$2:$E$13,3,FALSE)</f>
        <v/>
      </c>
    </row>
    <row r="1342">
      <c r="A1342" s="2" t="n">
        <v>46279</v>
      </c>
      <c r="B1342" s="3" t="inlineStr">
        <is>
          <t>INV-2609-1351</t>
        </is>
      </c>
      <c r="C1342" s="3" t="inlineStr">
        <is>
          <t>Dubey Kirana</t>
        </is>
      </c>
      <c r="D1342" s="3" t="inlineStr">
        <is>
          <t>Potato Chips 150g</t>
        </is>
      </c>
      <c r="E1342" s="3" t="inlineStr">
        <is>
          <t>Snacks</t>
        </is>
      </c>
      <c r="F1342" s="4" t="n">
        <v>20</v>
      </c>
      <c r="G1342" s="5" t="n">
        <v>50.2</v>
      </c>
      <c r="H1342" s="5">
        <f>F1342*G1342</f>
        <v/>
      </c>
      <c r="I1342" s="5">
        <f>F1342*VLOOKUP(D1342,Products!$B$2:$E$13,3,FALSE)</f>
        <v/>
      </c>
    </row>
    <row r="1343">
      <c r="A1343" s="2" t="n">
        <v>46279</v>
      </c>
      <c r="B1343" s="3" t="inlineStr">
        <is>
          <t>INV-2609-1352</t>
        </is>
      </c>
      <c r="C1343" s="3" t="inlineStr">
        <is>
          <t>Sahu Traders</t>
        </is>
      </c>
      <c r="D1343" s="3" t="inlineStr">
        <is>
          <t>Toned Milk 1L</t>
        </is>
      </c>
      <c r="E1343" s="3" t="inlineStr">
        <is>
          <t>Dairy</t>
        </is>
      </c>
      <c r="F1343" s="4" t="n">
        <v>57</v>
      </c>
      <c r="G1343" s="5" t="n">
        <v>66.72</v>
      </c>
      <c r="H1343" s="5">
        <f>F1343*G1343</f>
        <v/>
      </c>
      <c r="I1343" s="5">
        <f>F1343*VLOOKUP(D1343,Products!$B$2:$E$13,3,FALSE)</f>
        <v/>
      </c>
    </row>
    <row r="1344">
      <c r="A1344" s="2" t="n">
        <v>46279</v>
      </c>
      <c r="B1344" s="3" t="inlineStr">
        <is>
          <t>INV-2609-1353</t>
        </is>
      </c>
      <c r="C1344" s="3" t="inlineStr">
        <is>
          <t>Prasad Traders</t>
        </is>
      </c>
      <c r="D1344" s="3" t="inlineStr">
        <is>
          <t>Biscuits 400g</t>
        </is>
      </c>
      <c r="E1344" s="3" t="inlineStr">
        <is>
          <t>Snacks</t>
        </is>
      </c>
      <c r="F1344" s="4" t="n">
        <v>53</v>
      </c>
      <c r="G1344" s="5" t="n">
        <v>39.47</v>
      </c>
      <c r="H1344" s="5">
        <f>F1344*G1344</f>
        <v/>
      </c>
      <c r="I1344" s="5">
        <f>F1344*VLOOKUP(D1344,Products!$B$2:$E$13,3,FALSE)</f>
        <v/>
      </c>
    </row>
    <row r="1345">
      <c r="A1345" s="2" t="n">
        <v>46279</v>
      </c>
      <c r="B1345" s="3" t="inlineStr">
        <is>
          <t>INV-2609-1354</t>
        </is>
      </c>
      <c r="C1345" s="3" t="inlineStr">
        <is>
          <t>Verma Retail</t>
        </is>
      </c>
      <c r="D1345" s="3" t="inlineStr">
        <is>
          <t>Curd Cup 400g</t>
        </is>
      </c>
      <c r="E1345" s="3" t="inlineStr">
        <is>
          <t>Dairy</t>
        </is>
      </c>
      <c r="F1345" s="4" t="n">
        <v>41</v>
      </c>
      <c r="G1345" s="5" t="n">
        <v>46.36</v>
      </c>
      <c r="H1345" s="5">
        <f>F1345*G1345</f>
        <v/>
      </c>
      <c r="I1345" s="5">
        <f>F1345*VLOOKUP(D1345,Products!$B$2:$E$13,3,FALSE)</f>
        <v/>
      </c>
    </row>
    <row r="1346">
      <c r="A1346" s="2" t="n">
        <v>46279</v>
      </c>
      <c r="B1346" s="3" t="inlineStr">
        <is>
          <t>INV-2609-1355</t>
        </is>
      </c>
      <c r="C1346" s="3" t="inlineStr">
        <is>
          <t>Jha Provisions</t>
        </is>
      </c>
      <c r="D1346" s="3" t="inlineStr">
        <is>
          <t>Toned Milk 1L</t>
        </is>
      </c>
      <c r="E1346" s="3" t="inlineStr">
        <is>
          <t>Dairy</t>
        </is>
      </c>
      <c r="F1346" s="4" t="n">
        <v>49</v>
      </c>
      <c r="G1346" s="5" t="n">
        <v>68.67</v>
      </c>
      <c r="H1346" s="5">
        <f>F1346*G1346</f>
        <v/>
      </c>
      <c r="I1346" s="5">
        <f>F1346*VLOOKUP(D1346,Products!$B$2:$E$13,3,FALSE)</f>
        <v/>
      </c>
    </row>
    <row r="1347">
      <c r="A1347" s="2" t="n">
        <v>46279</v>
      </c>
      <c r="B1347" s="3" t="inlineStr">
        <is>
          <t>INV-2609-1356</t>
        </is>
      </c>
      <c r="C1347" s="3" t="inlineStr">
        <is>
          <t>Nath Provisions</t>
        </is>
      </c>
      <c r="D1347" s="3" t="inlineStr">
        <is>
          <t>Instant Noodles 280g</t>
        </is>
      </c>
      <c r="E1347" s="3" t="inlineStr">
        <is>
          <t>Snacks</t>
        </is>
      </c>
      <c r="F1347" s="4" t="n">
        <v>46</v>
      </c>
      <c r="G1347" s="5" t="n">
        <v>58.26</v>
      </c>
      <c r="H1347" s="5">
        <f>F1347*G1347</f>
        <v/>
      </c>
      <c r="I1347" s="5">
        <f>F1347*VLOOKUP(D1347,Products!$B$2:$E$13,3,FALSE)</f>
        <v/>
      </c>
    </row>
    <row r="1348">
      <c r="A1348" s="2" t="n">
        <v>46279</v>
      </c>
      <c r="B1348" s="3" t="inlineStr">
        <is>
          <t>INV-2609-1357</t>
        </is>
      </c>
      <c r="C1348" s="3" t="inlineStr">
        <is>
          <t>Kumari Kirana</t>
        </is>
      </c>
      <c r="D1348" s="3" t="inlineStr">
        <is>
          <t>Detergent 1kg</t>
        </is>
      </c>
      <c r="E1348" s="3" t="inlineStr">
        <is>
          <t>Household</t>
        </is>
      </c>
      <c r="F1348" s="4" t="n">
        <v>70</v>
      </c>
      <c r="G1348" s="5" t="n">
        <v>127.12</v>
      </c>
      <c r="H1348" s="5">
        <f>F1348*G1348</f>
        <v/>
      </c>
      <c r="I1348" s="5">
        <f>F1348*VLOOKUP(D1348,Products!$B$2:$E$13,3,FALSE)</f>
        <v/>
      </c>
    </row>
    <row r="1349">
      <c r="A1349" s="2" t="n">
        <v>46279</v>
      </c>
      <c r="B1349" s="3" t="inlineStr">
        <is>
          <t>INV-2609-1358</t>
        </is>
      </c>
      <c r="C1349" s="3" t="inlineStr">
        <is>
          <t>Bhatt General Store</t>
        </is>
      </c>
      <c r="D1349" s="3" t="inlineStr">
        <is>
          <t>Potato Chips 150g</t>
        </is>
      </c>
      <c r="E1349" s="3" t="inlineStr">
        <is>
          <t>Snacks</t>
        </is>
      </c>
      <c r="F1349" s="4" t="n">
        <v>26</v>
      </c>
      <c r="G1349" s="5" t="n">
        <v>52.12</v>
      </c>
      <c r="H1349" s="5">
        <f>F1349*G1349</f>
        <v/>
      </c>
      <c r="I1349" s="5">
        <f>F1349*VLOOKUP(D1349,Products!$B$2:$E$13,3,FALSE)</f>
        <v/>
      </c>
    </row>
    <row r="1350">
      <c r="A1350" s="2" t="n">
        <v>46279</v>
      </c>
      <c r="B1350" s="3" t="inlineStr">
        <is>
          <t>INV-2609-1359</t>
        </is>
      </c>
      <c r="C1350" s="3" t="inlineStr">
        <is>
          <t>Patel Traders</t>
        </is>
      </c>
      <c r="D1350" s="3" t="inlineStr">
        <is>
          <t>Potato Chips 150g</t>
        </is>
      </c>
      <c r="E1350" s="3" t="inlineStr">
        <is>
          <t>Snacks</t>
        </is>
      </c>
      <c r="F1350" s="4" t="n">
        <v>51</v>
      </c>
      <c r="G1350" s="5" t="n">
        <v>50.33</v>
      </c>
      <c r="H1350" s="5">
        <f>F1350*G1350</f>
        <v/>
      </c>
      <c r="I1350" s="5">
        <f>F1350*VLOOKUP(D1350,Products!$B$2:$E$13,3,FALSE)</f>
        <v/>
      </c>
    </row>
    <row r="1351">
      <c r="A1351" s="2" t="n">
        <v>46280</v>
      </c>
      <c r="B1351" s="3" t="inlineStr">
        <is>
          <t>INV-2609-1360</t>
        </is>
      </c>
      <c r="C1351" s="3" t="inlineStr">
        <is>
          <t>Bhatt General Store</t>
        </is>
      </c>
      <c r="D1351" s="3" t="inlineStr">
        <is>
          <t>Biscuits 400g</t>
        </is>
      </c>
      <c r="E1351" s="3" t="inlineStr">
        <is>
          <t>Snacks</t>
        </is>
      </c>
      <c r="F1351" s="4" t="n">
        <v>54</v>
      </c>
      <c r="G1351" s="5" t="n">
        <v>38.98</v>
      </c>
      <c r="H1351" s="5">
        <f>F1351*G1351</f>
        <v/>
      </c>
      <c r="I1351" s="5">
        <f>F1351*VLOOKUP(D1351,Products!$B$2:$E$13,3,FALSE)</f>
        <v/>
      </c>
    </row>
    <row r="1352">
      <c r="A1352" s="2" t="n">
        <v>46280</v>
      </c>
      <c r="B1352" s="3" t="inlineStr">
        <is>
          <t>INV-2609-1361</t>
        </is>
      </c>
      <c r="C1352" s="3" t="inlineStr">
        <is>
          <t>Ali General Store</t>
        </is>
      </c>
      <c r="D1352" s="3" t="inlineStr">
        <is>
          <t>Biscuits 400g</t>
        </is>
      </c>
      <c r="E1352" s="3" t="inlineStr">
        <is>
          <t>Snacks</t>
        </is>
      </c>
      <c r="F1352" s="4" t="n">
        <v>53</v>
      </c>
      <c r="G1352" s="5" t="n">
        <v>39.31</v>
      </c>
      <c r="H1352" s="5">
        <f>F1352*G1352</f>
        <v/>
      </c>
      <c r="I1352" s="5">
        <f>F1352*VLOOKUP(D1352,Products!$B$2:$E$13,3,FALSE)</f>
        <v/>
      </c>
    </row>
    <row r="1353">
      <c r="A1353" s="2" t="n">
        <v>46280</v>
      </c>
      <c r="B1353" s="3" t="inlineStr">
        <is>
          <t>INV-2609-1362</t>
        </is>
      </c>
      <c r="C1353" s="3" t="inlineStr">
        <is>
          <t>Pandey Stores</t>
        </is>
      </c>
      <c r="D1353" s="3" t="inlineStr">
        <is>
          <t>Dish Soap 500ml</t>
        </is>
      </c>
      <c r="E1353" s="3" t="inlineStr">
        <is>
          <t>Household</t>
        </is>
      </c>
      <c r="F1353" s="4" t="n">
        <v>41</v>
      </c>
      <c r="G1353" s="5" t="n">
        <v>97.7</v>
      </c>
      <c r="H1353" s="5">
        <f>F1353*G1353</f>
        <v/>
      </c>
      <c r="I1353" s="5">
        <f>F1353*VLOOKUP(D1353,Products!$B$2:$E$13,3,FALSE)</f>
        <v/>
      </c>
    </row>
    <row r="1354">
      <c r="A1354" s="2" t="n">
        <v>46280</v>
      </c>
      <c r="B1354" s="3" t="inlineStr">
        <is>
          <t>INV-2609-1363</t>
        </is>
      </c>
      <c r="C1354" s="3" t="inlineStr">
        <is>
          <t>Gupta General Store</t>
        </is>
      </c>
      <c r="D1354" s="3" t="inlineStr">
        <is>
          <t>Paneer 200g</t>
        </is>
      </c>
      <c r="E1354" s="3" t="inlineStr">
        <is>
          <t>Dairy</t>
        </is>
      </c>
      <c r="F1354" s="4" t="n">
        <v>38</v>
      </c>
      <c r="G1354" s="5" t="n">
        <v>93.25</v>
      </c>
      <c r="H1354" s="5">
        <f>F1354*G1354</f>
        <v/>
      </c>
      <c r="I1354" s="5">
        <f>F1354*VLOOKUP(D1354,Products!$B$2:$E$13,3,FALSE)</f>
        <v/>
      </c>
    </row>
    <row r="1355">
      <c r="A1355" s="2" t="n">
        <v>46280</v>
      </c>
      <c r="B1355" s="3" t="inlineStr">
        <is>
          <t>INV-2609-1364</t>
        </is>
      </c>
      <c r="C1355" s="3" t="inlineStr">
        <is>
          <t>Ali General Store</t>
        </is>
      </c>
      <c r="D1355" s="3" t="inlineStr">
        <is>
          <t>Packaged Water 1L</t>
        </is>
      </c>
      <c r="E1355" s="3" t="inlineStr">
        <is>
          <t>Beverages</t>
        </is>
      </c>
      <c r="F1355" s="4" t="n">
        <v>51</v>
      </c>
      <c r="G1355" s="5" t="n">
        <v>20.64</v>
      </c>
      <c r="H1355" s="5">
        <f>F1355*G1355</f>
        <v/>
      </c>
      <c r="I1355" s="5">
        <f>F1355*VLOOKUP(D1355,Products!$B$2:$E$13,3,FALSE)</f>
        <v/>
      </c>
    </row>
    <row r="1356">
      <c r="A1356" s="2" t="n">
        <v>46280</v>
      </c>
      <c r="B1356" s="3" t="inlineStr">
        <is>
          <t>INV-2609-1365</t>
        </is>
      </c>
      <c r="C1356" s="3" t="inlineStr">
        <is>
          <t>Gupta General Store</t>
        </is>
      </c>
      <c r="D1356" s="3" t="inlineStr">
        <is>
          <t>Cola 750ml</t>
        </is>
      </c>
      <c r="E1356" s="3" t="inlineStr">
        <is>
          <t>Beverages</t>
        </is>
      </c>
      <c r="F1356" s="4" t="n">
        <v>28</v>
      </c>
      <c r="G1356" s="5" t="n">
        <v>45.82</v>
      </c>
      <c r="H1356" s="5">
        <f>F1356*G1356</f>
        <v/>
      </c>
      <c r="I1356" s="5">
        <f>F1356*VLOOKUP(D1356,Products!$B$2:$E$13,3,FALSE)</f>
        <v/>
      </c>
    </row>
    <row r="1357">
      <c r="A1357" s="2" t="n">
        <v>46280</v>
      </c>
      <c r="B1357" s="3" t="inlineStr">
        <is>
          <t>INV-2609-1366</t>
        </is>
      </c>
      <c r="C1357" s="3" t="inlineStr">
        <is>
          <t>Verma Retail</t>
        </is>
      </c>
      <c r="D1357" s="3" t="inlineStr">
        <is>
          <t>Instant Noodles 280g</t>
        </is>
      </c>
      <c r="E1357" s="3" t="inlineStr">
        <is>
          <t>Snacks</t>
        </is>
      </c>
      <c r="F1357" s="4" t="n">
        <v>22</v>
      </c>
      <c r="G1357" s="5" t="n">
        <v>56.83</v>
      </c>
      <c r="H1357" s="5">
        <f>F1357*G1357</f>
        <v/>
      </c>
      <c r="I1357" s="5">
        <f>F1357*VLOOKUP(D1357,Products!$B$2:$E$13,3,FALSE)</f>
        <v/>
      </c>
    </row>
    <row r="1358">
      <c r="A1358" s="2" t="n">
        <v>46280</v>
      </c>
      <c r="B1358" s="3" t="inlineStr">
        <is>
          <t>INV-2609-1367</t>
        </is>
      </c>
      <c r="C1358" s="3" t="inlineStr">
        <is>
          <t>Prasad Traders</t>
        </is>
      </c>
      <c r="D1358" s="3" t="inlineStr">
        <is>
          <t>Packaged Water 1L</t>
        </is>
      </c>
      <c r="E1358" s="3" t="inlineStr">
        <is>
          <t>Beverages</t>
        </is>
      </c>
      <c r="F1358" s="4" t="n">
        <v>35</v>
      </c>
      <c r="G1358" s="5" t="n">
        <v>20.58</v>
      </c>
      <c r="H1358" s="5">
        <f>F1358*G1358</f>
        <v/>
      </c>
      <c r="I1358" s="5">
        <f>F1358*VLOOKUP(D1358,Products!$B$2:$E$13,3,FALSE)</f>
        <v/>
      </c>
    </row>
    <row r="1359">
      <c r="A1359" s="2" t="n">
        <v>46280</v>
      </c>
      <c r="B1359" s="3" t="inlineStr">
        <is>
          <t>INV-2609-1368</t>
        </is>
      </c>
      <c r="C1359" s="3" t="inlineStr">
        <is>
          <t>Sinha Super Mart</t>
        </is>
      </c>
      <c r="D1359" s="3" t="inlineStr">
        <is>
          <t>Mango Juice 1L</t>
        </is>
      </c>
      <c r="E1359" s="3" t="inlineStr">
        <is>
          <t>Beverages</t>
        </is>
      </c>
      <c r="F1359" s="4" t="n">
        <v>50</v>
      </c>
      <c r="G1359" s="5" t="n">
        <v>117.05</v>
      </c>
      <c r="H1359" s="5">
        <f>F1359*G1359</f>
        <v/>
      </c>
      <c r="I1359" s="5">
        <f>F1359*VLOOKUP(D1359,Products!$B$2:$E$13,3,FALSE)</f>
        <v/>
      </c>
    </row>
    <row r="1360">
      <c r="A1360" s="2" t="n">
        <v>46280</v>
      </c>
      <c r="B1360" s="3" t="inlineStr">
        <is>
          <t>INV-2609-1369</t>
        </is>
      </c>
      <c r="C1360" s="3" t="inlineStr">
        <is>
          <t>Azad Stores</t>
        </is>
      </c>
      <c r="D1360" s="3" t="inlineStr">
        <is>
          <t>Toned Milk 1L</t>
        </is>
      </c>
      <c r="E1360" s="3" t="inlineStr">
        <is>
          <t>Dairy</t>
        </is>
      </c>
      <c r="F1360" s="4" t="n">
        <v>73</v>
      </c>
      <c r="G1360" s="5" t="n">
        <v>67.95999999999999</v>
      </c>
      <c r="H1360" s="5">
        <f>F1360*G1360</f>
        <v/>
      </c>
      <c r="I1360" s="5">
        <f>F1360*VLOOKUP(D1360,Products!$B$2:$E$13,3,FALSE)</f>
        <v/>
      </c>
    </row>
    <row r="1361">
      <c r="A1361" s="2" t="n">
        <v>46280</v>
      </c>
      <c r="B1361" s="3" t="inlineStr">
        <is>
          <t>INV-2609-1370</t>
        </is>
      </c>
      <c r="C1361" s="3" t="inlineStr">
        <is>
          <t>Kumari Kirana</t>
        </is>
      </c>
      <c r="D1361" s="3" t="inlineStr">
        <is>
          <t>Mango Juice 1L</t>
        </is>
      </c>
      <c r="E1361" s="3" t="inlineStr">
        <is>
          <t>Beverages</t>
        </is>
      </c>
      <c r="F1361" s="4" t="n">
        <v>6</v>
      </c>
      <c r="G1361" s="5" t="n">
        <v>124.49</v>
      </c>
      <c r="H1361" s="5">
        <f>F1361*G1361</f>
        <v/>
      </c>
      <c r="I1361" s="5">
        <f>F1361*VLOOKUP(D1361,Products!$B$2:$E$13,3,FALSE)</f>
        <v/>
      </c>
    </row>
    <row r="1362">
      <c r="A1362" s="2" t="n">
        <v>46281</v>
      </c>
      <c r="B1362" s="3" t="inlineStr">
        <is>
          <t>INV-2609-1371</t>
        </is>
      </c>
      <c r="C1362" s="3" t="inlineStr">
        <is>
          <t>Ali General Store</t>
        </is>
      </c>
      <c r="D1362" s="3" t="inlineStr">
        <is>
          <t>Mango Juice 1L</t>
        </is>
      </c>
      <c r="E1362" s="3" t="inlineStr">
        <is>
          <t>Beverages</t>
        </is>
      </c>
      <c r="F1362" s="4" t="n">
        <v>15</v>
      </c>
      <c r="G1362" s="5" t="n">
        <v>119.41</v>
      </c>
      <c r="H1362" s="5">
        <f>F1362*G1362</f>
        <v/>
      </c>
      <c r="I1362" s="5">
        <f>F1362*VLOOKUP(D1362,Products!$B$2:$E$13,3,FALSE)</f>
        <v/>
      </c>
    </row>
    <row r="1363">
      <c r="A1363" s="2" t="n">
        <v>46281</v>
      </c>
      <c r="B1363" s="3" t="inlineStr">
        <is>
          <t>INV-2609-1372</t>
        </is>
      </c>
      <c r="C1363" s="3" t="inlineStr">
        <is>
          <t>Bhatt General Store</t>
        </is>
      </c>
      <c r="D1363" s="3" t="inlineStr">
        <is>
          <t>Instant Noodles 280g</t>
        </is>
      </c>
      <c r="E1363" s="3" t="inlineStr">
        <is>
          <t>Snacks</t>
        </is>
      </c>
      <c r="F1363" s="4" t="n">
        <v>51</v>
      </c>
      <c r="G1363" s="5" t="n">
        <v>56.24</v>
      </c>
      <c r="H1363" s="5">
        <f>F1363*G1363</f>
        <v/>
      </c>
      <c r="I1363" s="5">
        <f>F1363*VLOOKUP(D1363,Products!$B$2:$E$13,3,FALSE)</f>
        <v/>
      </c>
    </row>
    <row r="1364">
      <c r="A1364" s="2" t="n">
        <v>46281</v>
      </c>
      <c r="B1364" s="3" t="inlineStr">
        <is>
          <t>INV-2609-1373</t>
        </is>
      </c>
      <c r="C1364" s="3" t="inlineStr">
        <is>
          <t>Khan Mart</t>
        </is>
      </c>
      <c r="D1364" s="3" t="inlineStr">
        <is>
          <t>Toned Milk 1L</t>
        </is>
      </c>
      <c r="E1364" s="3" t="inlineStr">
        <is>
          <t>Dairy</t>
        </is>
      </c>
      <c r="F1364" s="4" t="n">
        <v>20</v>
      </c>
      <c r="G1364" s="5" t="n">
        <v>65.34</v>
      </c>
      <c r="H1364" s="5">
        <f>F1364*G1364</f>
        <v/>
      </c>
      <c r="I1364" s="5">
        <f>F1364*VLOOKUP(D1364,Products!$B$2:$E$13,3,FALSE)</f>
        <v/>
      </c>
    </row>
    <row r="1365">
      <c r="A1365" s="2" t="n">
        <v>46281</v>
      </c>
      <c r="B1365" s="3" t="inlineStr">
        <is>
          <t>INV-2609-1374</t>
        </is>
      </c>
      <c r="C1365" s="3" t="inlineStr">
        <is>
          <t>Raza Brothers</t>
        </is>
      </c>
      <c r="D1365" s="3" t="inlineStr">
        <is>
          <t>Detergent 1kg</t>
        </is>
      </c>
      <c r="E1365" s="3" t="inlineStr">
        <is>
          <t>Household</t>
        </is>
      </c>
      <c r="F1365" s="4" t="n">
        <v>34</v>
      </c>
      <c r="G1365" s="5" t="n">
        <v>128.01</v>
      </c>
      <c r="H1365" s="5">
        <f>F1365*G1365</f>
        <v/>
      </c>
      <c r="I1365" s="5">
        <f>F1365*VLOOKUP(D1365,Products!$B$2:$E$13,3,FALSE)</f>
        <v/>
      </c>
    </row>
    <row r="1366">
      <c r="A1366" s="2" t="n">
        <v>46281</v>
      </c>
      <c r="B1366" s="3" t="inlineStr">
        <is>
          <t>INV-2609-1375</t>
        </is>
      </c>
      <c r="C1366" s="3" t="inlineStr">
        <is>
          <t>Verma Retail</t>
        </is>
      </c>
      <c r="D1366" s="3" t="inlineStr">
        <is>
          <t>Paneer 200g</t>
        </is>
      </c>
      <c r="E1366" s="3" t="inlineStr">
        <is>
          <t>Dairy</t>
        </is>
      </c>
      <c r="F1366" s="4" t="n">
        <v>29</v>
      </c>
      <c r="G1366" s="5" t="n">
        <v>95.3</v>
      </c>
      <c r="H1366" s="5">
        <f>F1366*G1366</f>
        <v/>
      </c>
      <c r="I1366" s="5">
        <f>F1366*VLOOKUP(D1366,Products!$B$2:$E$13,3,FALSE)</f>
        <v/>
      </c>
    </row>
    <row r="1367">
      <c r="A1367" s="2" t="n">
        <v>46281</v>
      </c>
      <c r="B1367" s="3" t="inlineStr">
        <is>
          <t>INV-2609-1376</t>
        </is>
      </c>
      <c r="C1367" s="3" t="inlineStr">
        <is>
          <t>Azad Stores</t>
        </is>
      </c>
      <c r="D1367" s="3" t="inlineStr">
        <is>
          <t>Biscuits 400g</t>
        </is>
      </c>
      <c r="E1367" s="3" t="inlineStr">
        <is>
          <t>Snacks</t>
        </is>
      </c>
      <c r="F1367" s="4" t="n">
        <v>55</v>
      </c>
      <c r="G1367" s="5" t="n">
        <v>39.46</v>
      </c>
      <c r="H1367" s="5">
        <f>F1367*G1367</f>
        <v/>
      </c>
      <c r="I1367" s="5">
        <f>F1367*VLOOKUP(D1367,Products!$B$2:$E$13,3,FALSE)</f>
        <v/>
      </c>
    </row>
    <row r="1368">
      <c r="A1368" s="2" t="n">
        <v>46282</v>
      </c>
      <c r="B1368" s="3" t="inlineStr">
        <is>
          <t>INV-2609-1377</t>
        </is>
      </c>
      <c r="C1368" s="3" t="inlineStr">
        <is>
          <t>Mishra Stores</t>
        </is>
      </c>
      <c r="D1368" s="3" t="inlineStr">
        <is>
          <t>Paneer 200g</t>
        </is>
      </c>
      <c r="E1368" s="3" t="inlineStr">
        <is>
          <t>Dairy</t>
        </is>
      </c>
      <c r="F1368" s="4" t="n">
        <v>5</v>
      </c>
      <c r="G1368" s="5" t="n">
        <v>97.98999999999999</v>
      </c>
      <c r="H1368" s="5">
        <f>F1368*G1368</f>
        <v/>
      </c>
      <c r="I1368" s="5">
        <f>F1368*VLOOKUP(D1368,Products!$B$2:$E$13,3,FALSE)</f>
        <v/>
      </c>
    </row>
    <row r="1369">
      <c r="A1369" s="2" t="n">
        <v>46282</v>
      </c>
      <c r="B1369" s="3" t="inlineStr">
        <is>
          <t>INV-2609-1378</t>
        </is>
      </c>
      <c r="C1369" s="3" t="inlineStr">
        <is>
          <t>Gupta General Store</t>
        </is>
      </c>
      <c r="D1369" s="3" t="inlineStr">
        <is>
          <t>Instant Noodles 280g</t>
        </is>
      </c>
      <c r="E1369" s="3" t="inlineStr">
        <is>
          <t>Snacks</t>
        </is>
      </c>
      <c r="F1369" s="4" t="n">
        <v>52</v>
      </c>
      <c r="G1369" s="5" t="n">
        <v>57.41</v>
      </c>
      <c r="H1369" s="5">
        <f>F1369*G1369</f>
        <v/>
      </c>
      <c r="I1369" s="5">
        <f>F1369*VLOOKUP(D1369,Products!$B$2:$E$13,3,FALSE)</f>
        <v/>
      </c>
    </row>
    <row r="1370">
      <c r="A1370" s="2" t="n">
        <v>46282</v>
      </c>
      <c r="B1370" s="3" t="inlineStr">
        <is>
          <t>INV-2609-1379</t>
        </is>
      </c>
      <c r="C1370" s="3" t="inlineStr">
        <is>
          <t>Jha Provisions</t>
        </is>
      </c>
      <c r="D1370" s="3" t="inlineStr">
        <is>
          <t>Cola 750ml</t>
        </is>
      </c>
      <c r="E1370" s="3" t="inlineStr">
        <is>
          <t>Beverages</t>
        </is>
      </c>
      <c r="F1370" s="4" t="n">
        <v>14</v>
      </c>
      <c r="G1370" s="5" t="n">
        <v>44.79</v>
      </c>
      <c r="H1370" s="5">
        <f>F1370*G1370</f>
        <v/>
      </c>
      <c r="I1370" s="5">
        <f>F1370*VLOOKUP(D1370,Products!$B$2:$E$13,3,FALSE)</f>
        <v/>
      </c>
    </row>
    <row r="1371">
      <c r="A1371" s="2" t="n">
        <v>46282</v>
      </c>
      <c r="B1371" s="3" t="inlineStr">
        <is>
          <t>INV-2609-1380</t>
        </is>
      </c>
      <c r="C1371" s="3" t="inlineStr">
        <is>
          <t>Das &amp; Sons</t>
        </is>
      </c>
      <c r="D1371" s="3" t="inlineStr">
        <is>
          <t>Packaged Water 1L</t>
        </is>
      </c>
      <c r="E1371" s="3" t="inlineStr">
        <is>
          <t>Beverages</t>
        </is>
      </c>
      <c r="F1371" s="4" t="n">
        <v>39</v>
      </c>
      <c r="G1371" s="5" t="n">
        <v>20.9</v>
      </c>
      <c r="H1371" s="5">
        <f>F1371*G1371</f>
        <v/>
      </c>
      <c r="I1371" s="5">
        <f>F1371*VLOOKUP(D1371,Products!$B$2:$E$13,3,FALSE)</f>
        <v/>
      </c>
    </row>
    <row r="1372">
      <c r="A1372" s="2" t="n">
        <v>46282</v>
      </c>
      <c r="B1372" s="3" t="inlineStr">
        <is>
          <t>INV-2609-1381</t>
        </is>
      </c>
      <c r="C1372" s="3" t="inlineStr">
        <is>
          <t>Mishra Stores</t>
        </is>
      </c>
      <c r="D1372" s="3" t="inlineStr">
        <is>
          <t>Cola 750ml</t>
        </is>
      </c>
      <c r="E1372" s="3" t="inlineStr">
        <is>
          <t>Beverages</t>
        </is>
      </c>
      <c r="F1372" s="4" t="n">
        <v>32</v>
      </c>
      <c r="G1372" s="5" t="n">
        <v>44.55</v>
      </c>
      <c r="H1372" s="5">
        <f>F1372*G1372</f>
        <v/>
      </c>
      <c r="I1372" s="5">
        <f>F1372*VLOOKUP(D1372,Products!$B$2:$E$13,3,FALSE)</f>
        <v/>
      </c>
    </row>
    <row r="1373">
      <c r="A1373" s="2" t="n">
        <v>46282</v>
      </c>
      <c r="B1373" s="3" t="inlineStr">
        <is>
          <t>INV-2609-1382</t>
        </is>
      </c>
      <c r="C1373" s="3" t="inlineStr">
        <is>
          <t>Sahu Traders</t>
        </is>
      </c>
      <c r="D1373" s="3" t="inlineStr">
        <is>
          <t>Detergent 1kg</t>
        </is>
      </c>
      <c r="E1373" s="3" t="inlineStr">
        <is>
          <t>Household</t>
        </is>
      </c>
      <c r="F1373" s="4" t="n">
        <v>25</v>
      </c>
      <c r="G1373" s="5" t="n">
        <v>133.6</v>
      </c>
      <c r="H1373" s="5">
        <f>F1373*G1373</f>
        <v/>
      </c>
      <c r="I1373" s="5">
        <f>F1373*VLOOKUP(D1373,Products!$B$2:$E$13,3,FALSE)</f>
        <v/>
      </c>
    </row>
    <row r="1374">
      <c r="A1374" s="2" t="n">
        <v>46283</v>
      </c>
      <c r="B1374" s="3" t="inlineStr">
        <is>
          <t>INV-2609-1383</t>
        </is>
      </c>
      <c r="C1374" s="3" t="inlineStr">
        <is>
          <t>Raza Brothers</t>
        </is>
      </c>
      <c r="D1374" s="3" t="inlineStr">
        <is>
          <t>Paneer 200g</t>
        </is>
      </c>
      <c r="E1374" s="3" t="inlineStr">
        <is>
          <t>Dairy</t>
        </is>
      </c>
      <c r="F1374" s="4" t="n">
        <v>35</v>
      </c>
      <c r="G1374" s="5" t="n">
        <v>96.68000000000001</v>
      </c>
      <c r="H1374" s="5">
        <f>F1374*G1374</f>
        <v/>
      </c>
      <c r="I1374" s="5">
        <f>F1374*VLOOKUP(D1374,Products!$B$2:$E$13,3,FALSE)</f>
        <v/>
      </c>
    </row>
    <row r="1375">
      <c r="A1375" s="2" t="n">
        <v>46283</v>
      </c>
      <c r="B1375" s="3" t="inlineStr">
        <is>
          <t>INV-2609-1384</t>
        </is>
      </c>
      <c r="C1375" s="3" t="inlineStr">
        <is>
          <t>Patel Traders</t>
        </is>
      </c>
      <c r="D1375" s="3" t="inlineStr">
        <is>
          <t>Dish Soap 500ml</t>
        </is>
      </c>
      <c r="E1375" s="3" t="inlineStr">
        <is>
          <t>Household</t>
        </is>
      </c>
      <c r="F1375" s="4" t="n">
        <v>4</v>
      </c>
      <c r="G1375" s="5" t="n">
        <v>101.53</v>
      </c>
      <c r="H1375" s="5">
        <f>F1375*G1375</f>
        <v/>
      </c>
      <c r="I1375" s="5">
        <f>F1375*VLOOKUP(D1375,Products!$B$2:$E$13,3,FALSE)</f>
        <v/>
      </c>
    </row>
    <row r="1376">
      <c r="A1376" s="2" t="n">
        <v>46283</v>
      </c>
      <c r="B1376" s="3" t="inlineStr">
        <is>
          <t>INV-2609-1385</t>
        </is>
      </c>
      <c r="C1376" s="3" t="inlineStr">
        <is>
          <t>Das &amp; Sons</t>
        </is>
      </c>
      <c r="D1376" s="3" t="inlineStr">
        <is>
          <t>Instant Noodles 280g</t>
        </is>
      </c>
      <c r="E1376" s="3" t="inlineStr">
        <is>
          <t>Snacks</t>
        </is>
      </c>
      <c r="F1376" s="4" t="n">
        <v>14</v>
      </c>
      <c r="G1376" s="5" t="n">
        <v>57.72</v>
      </c>
      <c r="H1376" s="5">
        <f>F1376*G1376</f>
        <v/>
      </c>
      <c r="I1376" s="5">
        <f>F1376*VLOOKUP(D1376,Products!$B$2:$E$13,3,FALSE)</f>
        <v/>
      </c>
    </row>
    <row r="1377">
      <c r="A1377" s="2" t="n">
        <v>46283</v>
      </c>
      <c r="B1377" s="3" t="inlineStr">
        <is>
          <t>INV-2609-1386</t>
        </is>
      </c>
      <c r="C1377" s="3" t="inlineStr">
        <is>
          <t>Jha Provisions</t>
        </is>
      </c>
      <c r="D1377" s="3" t="inlineStr">
        <is>
          <t>Detergent 1kg</t>
        </is>
      </c>
      <c r="E1377" s="3" t="inlineStr">
        <is>
          <t>Household</t>
        </is>
      </c>
      <c r="F1377" s="4" t="n">
        <v>35</v>
      </c>
      <c r="G1377" s="5" t="n">
        <v>126.43</v>
      </c>
      <c r="H1377" s="5">
        <f>F1377*G1377</f>
        <v/>
      </c>
      <c r="I1377" s="5">
        <f>F1377*VLOOKUP(D1377,Products!$B$2:$E$13,3,FALSE)</f>
        <v/>
      </c>
    </row>
    <row r="1378">
      <c r="A1378" s="2" t="n">
        <v>46283</v>
      </c>
      <c r="B1378" s="3" t="inlineStr">
        <is>
          <t>INV-2609-1387</t>
        </is>
      </c>
      <c r="C1378" s="3" t="inlineStr">
        <is>
          <t>Azad Stores</t>
        </is>
      </c>
      <c r="D1378" s="3" t="inlineStr">
        <is>
          <t>Mango Juice 1L</t>
        </is>
      </c>
      <c r="E1378" s="3" t="inlineStr">
        <is>
          <t>Beverages</t>
        </is>
      </c>
      <c r="F1378" s="4" t="n">
        <v>52</v>
      </c>
      <c r="G1378" s="5" t="n">
        <v>123.94</v>
      </c>
      <c r="H1378" s="5">
        <f>F1378*G1378</f>
        <v/>
      </c>
      <c r="I1378" s="5">
        <f>F1378*VLOOKUP(D1378,Products!$B$2:$E$13,3,FALSE)</f>
        <v/>
      </c>
    </row>
    <row r="1379">
      <c r="A1379" s="2" t="n">
        <v>46283</v>
      </c>
      <c r="B1379" s="3" t="inlineStr">
        <is>
          <t>INV-2609-1388</t>
        </is>
      </c>
      <c r="C1379" s="3" t="inlineStr">
        <is>
          <t>Yadav Daily Needs</t>
        </is>
      </c>
      <c r="D1379" s="3" t="inlineStr">
        <is>
          <t>Paneer 200g</t>
        </is>
      </c>
      <c r="E1379" s="3" t="inlineStr">
        <is>
          <t>Dairy</t>
        </is>
      </c>
      <c r="F1379" s="4" t="n">
        <v>65</v>
      </c>
      <c r="G1379" s="5" t="n">
        <v>97.95</v>
      </c>
      <c r="H1379" s="5">
        <f>F1379*G1379</f>
        <v/>
      </c>
      <c r="I1379" s="5">
        <f>F1379*VLOOKUP(D1379,Products!$B$2:$E$13,3,FALSE)</f>
        <v/>
      </c>
    </row>
    <row r="1380">
      <c r="A1380" s="2" t="n">
        <v>46283</v>
      </c>
      <c r="B1380" s="3" t="inlineStr">
        <is>
          <t>INV-2609-1389</t>
        </is>
      </c>
      <c r="C1380" s="3" t="inlineStr">
        <is>
          <t>Choudhary Mart</t>
        </is>
      </c>
      <c r="D1380" s="3" t="inlineStr">
        <is>
          <t>Detergent 1kg</t>
        </is>
      </c>
      <c r="E1380" s="3" t="inlineStr">
        <is>
          <t>Household</t>
        </is>
      </c>
      <c r="F1380" s="4" t="n">
        <v>39</v>
      </c>
      <c r="G1380" s="5" t="n">
        <v>127.91</v>
      </c>
      <c r="H1380" s="5">
        <f>F1380*G1380</f>
        <v/>
      </c>
      <c r="I1380" s="5">
        <f>F1380*VLOOKUP(D1380,Products!$B$2:$E$13,3,FALSE)</f>
        <v/>
      </c>
    </row>
    <row r="1381">
      <c r="A1381" s="2" t="n">
        <v>46283</v>
      </c>
      <c r="B1381" s="3" t="inlineStr">
        <is>
          <t>INV-2609-1390</t>
        </is>
      </c>
      <c r="C1381" s="3" t="inlineStr">
        <is>
          <t>Jha Provisions</t>
        </is>
      </c>
      <c r="D1381" s="3" t="inlineStr">
        <is>
          <t>Cola 750ml</t>
        </is>
      </c>
      <c r="E1381" s="3" t="inlineStr">
        <is>
          <t>Beverages</t>
        </is>
      </c>
      <c r="F1381" s="4" t="n">
        <v>9</v>
      </c>
      <c r="G1381" s="5" t="n">
        <v>44.87</v>
      </c>
      <c r="H1381" s="5">
        <f>F1381*G1381</f>
        <v/>
      </c>
      <c r="I1381" s="5">
        <f>F1381*VLOOKUP(D1381,Products!$B$2:$E$13,3,FALSE)</f>
        <v/>
      </c>
    </row>
    <row r="1382">
      <c r="A1382" s="2" t="n">
        <v>46283</v>
      </c>
      <c r="B1382" s="3" t="inlineStr">
        <is>
          <t>INV-2609-1391</t>
        </is>
      </c>
      <c r="C1382" s="3" t="inlineStr">
        <is>
          <t>Azad Stores</t>
        </is>
      </c>
      <c r="D1382" s="3" t="inlineStr">
        <is>
          <t>Packaged Water 1L</t>
        </is>
      </c>
      <c r="E1382" s="3" t="inlineStr">
        <is>
          <t>Beverages</t>
        </is>
      </c>
      <c r="F1382" s="4" t="n">
        <v>53</v>
      </c>
      <c r="G1382" s="5" t="n">
        <v>19.8</v>
      </c>
      <c r="H1382" s="5">
        <f>F1382*G1382</f>
        <v/>
      </c>
      <c r="I1382" s="5">
        <f>F1382*VLOOKUP(D1382,Products!$B$2:$E$13,3,FALSE)</f>
        <v/>
      </c>
    </row>
    <row r="1383">
      <c r="A1383" s="2" t="n">
        <v>46283</v>
      </c>
      <c r="B1383" s="3" t="inlineStr">
        <is>
          <t>INV-2609-1392</t>
        </is>
      </c>
      <c r="C1383" s="3" t="inlineStr">
        <is>
          <t>Sharma Provision</t>
        </is>
      </c>
      <c r="D1383" s="3" t="inlineStr">
        <is>
          <t>Dish Soap 500ml</t>
        </is>
      </c>
      <c r="E1383" s="3" t="inlineStr">
        <is>
          <t>Household</t>
        </is>
      </c>
      <c r="F1383" s="4" t="n">
        <v>30</v>
      </c>
      <c r="G1383" s="5" t="n">
        <v>97.04000000000001</v>
      </c>
      <c r="H1383" s="5">
        <f>F1383*G1383</f>
        <v/>
      </c>
      <c r="I1383" s="5">
        <f>F1383*VLOOKUP(D1383,Products!$B$2:$E$13,3,FALSE)</f>
        <v/>
      </c>
    </row>
    <row r="1384">
      <c r="A1384" s="2" t="n">
        <v>46284</v>
      </c>
      <c r="B1384" s="3" t="inlineStr">
        <is>
          <t>INV-2609-1393</t>
        </is>
      </c>
      <c r="C1384" s="3" t="inlineStr">
        <is>
          <t>Pandey Stores</t>
        </is>
      </c>
      <c r="D1384" s="3" t="inlineStr">
        <is>
          <t>Floor Cleaner 1L</t>
        </is>
      </c>
      <c r="E1384" s="3" t="inlineStr">
        <is>
          <t>Household</t>
        </is>
      </c>
      <c r="F1384" s="4" t="n">
        <v>68</v>
      </c>
      <c r="G1384" s="5" t="n">
        <v>106.85</v>
      </c>
      <c r="H1384" s="5">
        <f>F1384*G1384</f>
        <v/>
      </c>
      <c r="I1384" s="5">
        <f>F1384*VLOOKUP(D1384,Products!$B$2:$E$13,3,FALSE)</f>
        <v/>
      </c>
    </row>
    <row r="1385">
      <c r="A1385" s="2" t="n">
        <v>46284</v>
      </c>
      <c r="B1385" s="3" t="inlineStr">
        <is>
          <t>INV-2609-1394</t>
        </is>
      </c>
      <c r="C1385" s="3" t="inlineStr">
        <is>
          <t>Azad Stores</t>
        </is>
      </c>
      <c r="D1385" s="3" t="inlineStr">
        <is>
          <t>Detergent 1kg</t>
        </is>
      </c>
      <c r="E1385" s="3" t="inlineStr">
        <is>
          <t>Household</t>
        </is>
      </c>
      <c r="F1385" s="4" t="n">
        <v>17</v>
      </c>
      <c r="G1385" s="5" t="n">
        <v>128.58</v>
      </c>
      <c r="H1385" s="5">
        <f>F1385*G1385</f>
        <v/>
      </c>
      <c r="I1385" s="5">
        <f>F1385*VLOOKUP(D1385,Products!$B$2:$E$13,3,FALSE)</f>
        <v/>
      </c>
    </row>
    <row r="1386">
      <c r="A1386" s="2" t="n">
        <v>46284</v>
      </c>
      <c r="B1386" s="3" t="inlineStr">
        <is>
          <t>INV-2609-1395</t>
        </is>
      </c>
      <c r="C1386" s="3" t="inlineStr">
        <is>
          <t>Nath Provisions</t>
        </is>
      </c>
      <c r="D1386" s="3" t="inlineStr">
        <is>
          <t>Paneer 200g</t>
        </is>
      </c>
      <c r="E1386" s="3" t="inlineStr">
        <is>
          <t>Dairy</t>
        </is>
      </c>
      <c r="F1386" s="4" t="n">
        <v>67</v>
      </c>
      <c r="G1386" s="5" t="n">
        <v>93.41</v>
      </c>
      <c r="H1386" s="5">
        <f>F1386*G1386</f>
        <v/>
      </c>
      <c r="I1386" s="5">
        <f>F1386*VLOOKUP(D1386,Products!$B$2:$E$13,3,FALSE)</f>
        <v/>
      </c>
    </row>
    <row r="1387">
      <c r="A1387" s="2" t="n">
        <v>46284</v>
      </c>
      <c r="B1387" s="3" t="inlineStr">
        <is>
          <t>INV-2609-1396</t>
        </is>
      </c>
      <c r="C1387" s="3" t="inlineStr">
        <is>
          <t>Gupta General Store</t>
        </is>
      </c>
      <c r="D1387" s="3" t="inlineStr">
        <is>
          <t>Curd Cup 400g</t>
        </is>
      </c>
      <c r="E1387" s="3" t="inlineStr">
        <is>
          <t>Dairy</t>
        </is>
      </c>
      <c r="F1387" s="4" t="n">
        <v>9</v>
      </c>
      <c r="G1387" s="5" t="n">
        <v>44.17</v>
      </c>
      <c r="H1387" s="5">
        <f>F1387*G1387</f>
        <v/>
      </c>
      <c r="I1387" s="5">
        <f>F1387*VLOOKUP(D1387,Products!$B$2:$E$13,3,FALSE)</f>
        <v/>
      </c>
    </row>
    <row r="1388">
      <c r="A1388" s="2" t="n">
        <v>46284</v>
      </c>
      <c r="B1388" s="3" t="inlineStr">
        <is>
          <t>INV-2609-1397</t>
        </is>
      </c>
      <c r="C1388" s="3" t="inlineStr">
        <is>
          <t>Khan Mart</t>
        </is>
      </c>
      <c r="D1388" s="3" t="inlineStr">
        <is>
          <t>Curd Cup 400g</t>
        </is>
      </c>
      <c r="E1388" s="3" t="inlineStr">
        <is>
          <t>Dairy</t>
        </is>
      </c>
      <c r="F1388" s="4" t="n">
        <v>44</v>
      </c>
      <c r="G1388" s="5" t="n">
        <v>45.39</v>
      </c>
      <c r="H1388" s="5">
        <f>F1388*G1388</f>
        <v/>
      </c>
      <c r="I1388" s="5">
        <f>F1388*VLOOKUP(D1388,Products!$B$2:$E$13,3,FALSE)</f>
        <v/>
      </c>
    </row>
    <row r="1389">
      <c r="A1389" s="2" t="n">
        <v>46284</v>
      </c>
      <c r="B1389" s="3" t="inlineStr">
        <is>
          <t>INV-2609-1398</t>
        </is>
      </c>
      <c r="C1389" s="3" t="inlineStr">
        <is>
          <t>Tiwari General</t>
        </is>
      </c>
      <c r="D1389" s="3" t="inlineStr">
        <is>
          <t>Cola 750ml</t>
        </is>
      </c>
      <c r="E1389" s="3" t="inlineStr">
        <is>
          <t>Beverages</t>
        </is>
      </c>
      <c r="F1389" s="4" t="n">
        <v>14</v>
      </c>
      <c r="G1389" s="5" t="n">
        <v>46.84</v>
      </c>
      <c r="H1389" s="5">
        <f>F1389*G1389</f>
        <v/>
      </c>
      <c r="I1389" s="5">
        <f>F1389*VLOOKUP(D1389,Products!$B$2:$E$13,3,FALSE)</f>
        <v/>
      </c>
    </row>
    <row r="1390">
      <c r="A1390" s="2" t="n">
        <v>46284</v>
      </c>
      <c r="B1390" s="3" t="inlineStr">
        <is>
          <t>INV-2609-1399</t>
        </is>
      </c>
      <c r="C1390" s="3" t="inlineStr">
        <is>
          <t>Prasad Traders</t>
        </is>
      </c>
      <c r="D1390" s="3" t="inlineStr">
        <is>
          <t>Instant Noodles 280g</t>
        </is>
      </c>
      <c r="E1390" s="3" t="inlineStr">
        <is>
          <t>Snacks</t>
        </is>
      </c>
      <c r="F1390" s="4" t="n">
        <v>62</v>
      </c>
      <c r="G1390" s="5" t="n">
        <v>57.41</v>
      </c>
      <c r="H1390" s="5">
        <f>F1390*G1390</f>
        <v/>
      </c>
      <c r="I1390" s="5">
        <f>F1390*VLOOKUP(D1390,Products!$B$2:$E$13,3,FALSE)</f>
        <v/>
      </c>
    </row>
    <row r="1391">
      <c r="A1391" s="2" t="n">
        <v>46284</v>
      </c>
      <c r="B1391" s="3" t="inlineStr">
        <is>
          <t>INV-2609-1400</t>
        </is>
      </c>
      <c r="C1391" s="3" t="inlineStr">
        <is>
          <t>Khan Mart</t>
        </is>
      </c>
      <c r="D1391" s="3" t="inlineStr">
        <is>
          <t>Floor Cleaner 1L</t>
        </is>
      </c>
      <c r="E1391" s="3" t="inlineStr">
        <is>
          <t>Household</t>
        </is>
      </c>
      <c r="F1391" s="4" t="n">
        <v>37</v>
      </c>
      <c r="G1391" s="5" t="n">
        <v>106.96</v>
      </c>
      <c r="H1391" s="5">
        <f>F1391*G1391</f>
        <v/>
      </c>
      <c r="I1391" s="5">
        <f>F1391*VLOOKUP(D1391,Products!$B$2:$E$13,3,FALSE)</f>
        <v/>
      </c>
    </row>
    <row r="1392">
      <c r="A1392" s="2" t="n">
        <v>46285</v>
      </c>
      <c r="B1392" s="3" t="inlineStr">
        <is>
          <t>INV-2609-1401</t>
        </is>
      </c>
      <c r="C1392" s="3" t="inlineStr">
        <is>
          <t>Choudhary Mart</t>
        </is>
      </c>
      <c r="D1392" s="3" t="inlineStr">
        <is>
          <t>Curd Cup 400g</t>
        </is>
      </c>
      <c r="E1392" s="3" t="inlineStr">
        <is>
          <t>Dairy</t>
        </is>
      </c>
      <c r="F1392" s="4" t="n">
        <v>66</v>
      </c>
      <c r="G1392" s="5" t="n">
        <v>45.62</v>
      </c>
      <c r="H1392" s="5">
        <f>F1392*G1392</f>
        <v/>
      </c>
      <c r="I1392" s="5">
        <f>F1392*VLOOKUP(D1392,Products!$B$2:$E$13,3,FALSE)</f>
        <v/>
      </c>
    </row>
    <row r="1393">
      <c r="A1393" s="2" t="n">
        <v>46285</v>
      </c>
      <c r="B1393" s="3" t="inlineStr">
        <is>
          <t>INV-2609-1402</t>
        </is>
      </c>
      <c r="C1393" s="3" t="inlineStr">
        <is>
          <t>Jha Provisions</t>
        </is>
      </c>
      <c r="D1393" s="3" t="inlineStr">
        <is>
          <t>Packaged Water 1L</t>
        </is>
      </c>
      <c r="E1393" s="3" t="inlineStr">
        <is>
          <t>Beverages</t>
        </is>
      </c>
      <c r="F1393" s="4" t="n">
        <v>59</v>
      </c>
      <c r="G1393" s="5" t="n">
        <v>19.95</v>
      </c>
      <c r="H1393" s="5">
        <f>F1393*G1393</f>
        <v/>
      </c>
      <c r="I1393" s="5">
        <f>F1393*VLOOKUP(D1393,Products!$B$2:$E$13,3,FALSE)</f>
        <v/>
      </c>
    </row>
    <row r="1394">
      <c r="A1394" s="2" t="n">
        <v>46285</v>
      </c>
      <c r="B1394" s="3" t="inlineStr">
        <is>
          <t>INV-2609-1403</t>
        </is>
      </c>
      <c r="C1394" s="3" t="inlineStr">
        <is>
          <t>Mehta Retail</t>
        </is>
      </c>
      <c r="D1394" s="3" t="inlineStr">
        <is>
          <t>Cola 750ml</t>
        </is>
      </c>
      <c r="E1394" s="3" t="inlineStr">
        <is>
          <t>Beverages</t>
        </is>
      </c>
      <c r="F1394" s="4" t="n">
        <v>80</v>
      </c>
      <c r="G1394" s="5" t="n">
        <v>43.79</v>
      </c>
      <c r="H1394" s="5">
        <f>F1394*G1394</f>
        <v/>
      </c>
      <c r="I1394" s="5">
        <f>F1394*VLOOKUP(D1394,Products!$B$2:$E$13,3,FALSE)</f>
        <v/>
      </c>
    </row>
    <row r="1395">
      <c r="A1395" s="2" t="n">
        <v>46285</v>
      </c>
      <c r="B1395" s="3" t="inlineStr">
        <is>
          <t>INV-2609-1404</t>
        </is>
      </c>
      <c r="C1395" s="3" t="inlineStr">
        <is>
          <t>Dubey Kirana</t>
        </is>
      </c>
      <c r="D1395" s="3" t="inlineStr">
        <is>
          <t>Curd Cup 400g</t>
        </is>
      </c>
      <c r="E1395" s="3" t="inlineStr">
        <is>
          <t>Dairy</t>
        </is>
      </c>
      <c r="F1395" s="4" t="n">
        <v>65</v>
      </c>
      <c r="G1395" s="5" t="n">
        <v>45.44</v>
      </c>
      <c r="H1395" s="5">
        <f>F1395*G1395</f>
        <v/>
      </c>
      <c r="I1395" s="5">
        <f>F1395*VLOOKUP(D1395,Products!$B$2:$E$13,3,FALSE)</f>
        <v/>
      </c>
    </row>
    <row r="1396">
      <c r="A1396" s="2" t="n">
        <v>46285</v>
      </c>
      <c r="B1396" s="3" t="inlineStr">
        <is>
          <t>INV-2609-1405</t>
        </is>
      </c>
      <c r="C1396" s="3" t="inlineStr">
        <is>
          <t>Azad Stores</t>
        </is>
      </c>
      <c r="D1396" s="3" t="inlineStr">
        <is>
          <t>Packaged Water 1L</t>
        </is>
      </c>
      <c r="E1396" s="3" t="inlineStr">
        <is>
          <t>Beverages</t>
        </is>
      </c>
      <c r="F1396" s="4" t="n">
        <v>16</v>
      </c>
      <c r="G1396" s="5" t="n">
        <v>20.3</v>
      </c>
      <c r="H1396" s="5">
        <f>F1396*G1396</f>
        <v/>
      </c>
      <c r="I1396" s="5">
        <f>F1396*VLOOKUP(D1396,Products!$B$2:$E$13,3,FALSE)</f>
        <v/>
      </c>
    </row>
    <row r="1397">
      <c r="A1397" s="2" t="n">
        <v>46285</v>
      </c>
      <c r="B1397" s="3" t="inlineStr">
        <is>
          <t>INV-2609-1406</t>
        </is>
      </c>
      <c r="C1397" s="3" t="inlineStr">
        <is>
          <t>Prasad Traders</t>
        </is>
      </c>
      <c r="D1397" s="3" t="inlineStr">
        <is>
          <t>Floor Cleaner 1L</t>
        </is>
      </c>
      <c r="E1397" s="3" t="inlineStr">
        <is>
          <t>Household</t>
        </is>
      </c>
      <c r="F1397" s="4" t="n">
        <v>50</v>
      </c>
      <c r="G1397" s="5" t="n">
        <v>112.67</v>
      </c>
      <c r="H1397" s="5">
        <f>F1397*G1397</f>
        <v/>
      </c>
      <c r="I1397" s="5">
        <f>F1397*VLOOKUP(D1397,Products!$B$2:$E$13,3,FALSE)</f>
        <v/>
      </c>
    </row>
    <row r="1398">
      <c r="A1398" s="2" t="n">
        <v>46285</v>
      </c>
      <c r="B1398" s="3" t="inlineStr">
        <is>
          <t>INV-2609-1407</t>
        </is>
      </c>
      <c r="C1398" s="3" t="inlineStr">
        <is>
          <t>Azad Stores</t>
        </is>
      </c>
      <c r="D1398" s="3" t="inlineStr">
        <is>
          <t>Curd Cup 400g</t>
        </is>
      </c>
      <c r="E1398" s="3" t="inlineStr">
        <is>
          <t>Dairy</t>
        </is>
      </c>
      <c r="F1398" s="4" t="n">
        <v>81</v>
      </c>
      <c r="G1398" s="5" t="n">
        <v>44.88</v>
      </c>
      <c r="H1398" s="5">
        <f>F1398*G1398</f>
        <v/>
      </c>
      <c r="I1398" s="5">
        <f>F1398*VLOOKUP(D1398,Products!$B$2:$E$13,3,FALSE)</f>
        <v/>
      </c>
    </row>
    <row r="1399">
      <c r="A1399" s="2" t="n">
        <v>46286</v>
      </c>
      <c r="B1399" s="3" t="inlineStr">
        <is>
          <t>INV-2609-1408</t>
        </is>
      </c>
      <c r="C1399" s="3" t="inlineStr">
        <is>
          <t>Mishra Stores</t>
        </is>
      </c>
      <c r="D1399" s="3" t="inlineStr">
        <is>
          <t>Floor Cleaner 1L</t>
        </is>
      </c>
      <c r="E1399" s="3" t="inlineStr">
        <is>
          <t>Household</t>
        </is>
      </c>
      <c r="F1399" s="4" t="n">
        <v>12</v>
      </c>
      <c r="G1399" s="5" t="n">
        <v>115.34</v>
      </c>
      <c r="H1399" s="5">
        <f>F1399*G1399</f>
        <v/>
      </c>
      <c r="I1399" s="5">
        <f>F1399*VLOOKUP(D1399,Products!$B$2:$E$13,3,FALSE)</f>
        <v/>
      </c>
    </row>
    <row r="1400">
      <c r="A1400" s="2" t="n">
        <v>46286</v>
      </c>
      <c r="B1400" s="3" t="inlineStr">
        <is>
          <t>INV-2609-1409</t>
        </is>
      </c>
      <c r="C1400" s="3" t="inlineStr">
        <is>
          <t>Yadav Daily Needs</t>
        </is>
      </c>
      <c r="D1400" s="3" t="inlineStr">
        <is>
          <t>Instant Noodles 280g</t>
        </is>
      </c>
      <c r="E1400" s="3" t="inlineStr">
        <is>
          <t>Snacks</t>
        </is>
      </c>
      <c r="F1400" s="4" t="n">
        <v>11</v>
      </c>
      <c r="G1400" s="5" t="n">
        <v>56.51</v>
      </c>
      <c r="H1400" s="5">
        <f>F1400*G1400</f>
        <v/>
      </c>
      <c r="I1400" s="5">
        <f>F1400*VLOOKUP(D1400,Products!$B$2:$E$13,3,FALSE)</f>
        <v/>
      </c>
    </row>
    <row r="1401">
      <c r="A1401" s="2" t="n">
        <v>46286</v>
      </c>
      <c r="B1401" s="3" t="inlineStr">
        <is>
          <t>INV-2609-1410</t>
        </is>
      </c>
      <c r="C1401" s="3" t="inlineStr">
        <is>
          <t>Sinha Super Mart</t>
        </is>
      </c>
      <c r="D1401" s="3" t="inlineStr">
        <is>
          <t>Biscuits 400g</t>
        </is>
      </c>
      <c r="E1401" s="3" t="inlineStr">
        <is>
          <t>Snacks</t>
        </is>
      </c>
      <c r="F1401" s="4" t="n">
        <v>44</v>
      </c>
      <c r="G1401" s="5" t="n">
        <v>41.14</v>
      </c>
      <c r="H1401" s="5">
        <f>F1401*G1401</f>
        <v/>
      </c>
      <c r="I1401" s="5">
        <f>F1401*VLOOKUP(D1401,Products!$B$2:$E$13,3,FALSE)</f>
        <v/>
      </c>
    </row>
    <row r="1402">
      <c r="A1402" s="2" t="n">
        <v>46286</v>
      </c>
      <c r="B1402" s="3" t="inlineStr">
        <is>
          <t>INV-2609-1411</t>
        </is>
      </c>
      <c r="C1402" s="3" t="inlineStr">
        <is>
          <t>Das &amp; Sons</t>
        </is>
      </c>
      <c r="D1402" s="3" t="inlineStr">
        <is>
          <t>Instant Noodles 280g</t>
        </is>
      </c>
      <c r="E1402" s="3" t="inlineStr">
        <is>
          <t>Snacks</t>
        </is>
      </c>
      <c r="F1402" s="4" t="n">
        <v>40</v>
      </c>
      <c r="G1402" s="5" t="n">
        <v>58.54</v>
      </c>
      <c r="H1402" s="5">
        <f>F1402*G1402</f>
        <v/>
      </c>
      <c r="I1402" s="5">
        <f>F1402*VLOOKUP(D1402,Products!$B$2:$E$13,3,FALSE)</f>
        <v/>
      </c>
    </row>
    <row r="1403">
      <c r="A1403" s="2" t="n">
        <v>46286</v>
      </c>
      <c r="B1403" s="3" t="inlineStr">
        <is>
          <t>INV-2609-1412</t>
        </is>
      </c>
      <c r="C1403" s="3" t="inlineStr">
        <is>
          <t>Yadav Daily Needs</t>
        </is>
      </c>
      <c r="D1403" s="3" t="inlineStr">
        <is>
          <t>Floor Cleaner 1L</t>
        </is>
      </c>
      <c r="E1403" s="3" t="inlineStr">
        <is>
          <t>Household</t>
        </is>
      </c>
      <c r="F1403" s="4" t="n">
        <v>40</v>
      </c>
      <c r="G1403" s="5" t="n">
        <v>114.31</v>
      </c>
      <c r="H1403" s="5">
        <f>F1403*G1403</f>
        <v/>
      </c>
      <c r="I1403" s="5">
        <f>F1403*VLOOKUP(D1403,Products!$B$2:$E$13,3,FALSE)</f>
        <v/>
      </c>
    </row>
    <row r="1404">
      <c r="A1404" s="2" t="n">
        <v>46287</v>
      </c>
      <c r="B1404" s="3" t="inlineStr">
        <is>
          <t>INV-2609-1413</t>
        </is>
      </c>
      <c r="C1404" s="3" t="inlineStr">
        <is>
          <t>Sahu Traders</t>
        </is>
      </c>
      <c r="D1404" s="3" t="inlineStr">
        <is>
          <t>Mango Juice 1L</t>
        </is>
      </c>
      <c r="E1404" s="3" t="inlineStr">
        <is>
          <t>Beverages</t>
        </is>
      </c>
      <c r="F1404" s="4" t="n">
        <v>25</v>
      </c>
      <c r="G1404" s="5" t="n">
        <v>120.43</v>
      </c>
      <c r="H1404" s="5">
        <f>F1404*G1404</f>
        <v/>
      </c>
      <c r="I1404" s="5">
        <f>F1404*VLOOKUP(D1404,Products!$B$2:$E$13,3,FALSE)</f>
        <v/>
      </c>
    </row>
    <row r="1405">
      <c r="A1405" s="2" t="n">
        <v>46287</v>
      </c>
      <c r="B1405" s="3" t="inlineStr">
        <is>
          <t>INV-2609-1414</t>
        </is>
      </c>
      <c r="C1405" s="3" t="inlineStr">
        <is>
          <t>Sahu Traders</t>
        </is>
      </c>
      <c r="D1405" s="3" t="inlineStr">
        <is>
          <t>Instant Noodles 280g</t>
        </is>
      </c>
      <c r="E1405" s="3" t="inlineStr">
        <is>
          <t>Snacks</t>
        </is>
      </c>
      <c r="F1405" s="4" t="n">
        <v>17</v>
      </c>
      <c r="G1405" s="5" t="n">
        <v>57.48</v>
      </c>
      <c r="H1405" s="5">
        <f>F1405*G1405</f>
        <v/>
      </c>
      <c r="I1405" s="5">
        <f>F1405*VLOOKUP(D1405,Products!$B$2:$E$13,3,FALSE)</f>
        <v/>
      </c>
    </row>
    <row r="1406">
      <c r="A1406" s="2" t="n">
        <v>46287</v>
      </c>
      <c r="B1406" s="3" t="inlineStr">
        <is>
          <t>INV-2609-1415</t>
        </is>
      </c>
      <c r="C1406" s="3" t="inlineStr">
        <is>
          <t>Mehta Retail</t>
        </is>
      </c>
      <c r="D1406" s="3" t="inlineStr">
        <is>
          <t>Mango Juice 1L</t>
        </is>
      </c>
      <c r="E1406" s="3" t="inlineStr">
        <is>
          <t>Beverages</t>
        </is>
      </c>
      <c r="F1406" s="4" t="n">
        <v>12</v>
      </c>
      <c r="G1406" s="5" t="n">
        <v>120.72</v>
      </c>
      <c r="H1406" s="5">
        <f>F1406*G1406</f>
        <v/>
      </c>
      <c r="I1406" s="5">
        <f>F1406*VLOOKUP(D1406,Products!$B$2:$E$13,3,FALSE)</f>
        <v/>
      </c>
    </row>
    <row r="1407">
      <c r="A1407" s="2" t="n">
        <v>46287</v>
      </c>
      <c r="B1407" s="3" t="inlineStr">
        <is>
          <t>INV-2609-1416</t>
        </is>
      </c>
      <c r="C1407" s="3" t="inlineStr">
        <is>
          <t>Patel Traders</t>
        </is>
      </c>
      <c r="D1407" s="3" t="inlineStr">
        <is>
          <t>Cola 750ml</t>
        </is>
      </c>
      <c r="E1407" s="3" t="inlineStr">
        <is>
          <t>Beverages</t>
        </is>
      </c>
      <c r="F1407" s="4" t="n">
        <v>51</v>
      </c>
      <c r="G1407" s="5" t="n">
        <v>44.04</v>
      </c>
      <c r="H1407" s="5">
        <f>F1407*G1407</f>
        <v/>
      </c>
      <c r="I1407" s="5">
        <f>F1407*VLOOKUP(D1407,Products!$B$2:$E$13,3,FALSE)</f>
        <v/>
      </c>
    </row>
    <row r="1408">
      <c r="A1408" s="2" t="n">
        <v>46287</v>
      </c>
      <c r="B1408" s="3" t="inlineStr">
        <is>
          <t>INV-2609-1417</t>
        </is>
      </c>
      <c r="C1408" s="3" t="inlineStr">
        <is>
          <t>Prasad Traders</t>
        </is>
      </c>
      <c r="D1408" s="3" t="inlineStr">
        <is>
          <t>Mango Juice 1L</t>
        </is>
      </c>
      <c r="E1408" s="3" t="inlineStr">
        <is>
          <t>Beverages</t>
        </is>
      </c>
      <c r="F1408" s="4" t="n">
        <v>4</v>
      </c>
      <c r="G1408" s="5" t="n">
        <v>117.76</v>
      </c>
      <c r="H1408" s="5">
        <f>F1408*G1408</f>
        <v/>
      </c>
      <c r="I1408" s="5">
        <f>F1408*VLOOKUP(D1408,Products!$B$2:$E$13,3,FALSE)</f>
        <v/>
      </c>
    </row>
    <row r="1409">
      <c r="A1409" s="2" t="n">
        <v>46288</v>
      </c>
      <c r="B1409" s="3" t="inlineStr">
        <is>
          <t>INV-2609-1418</t>
        </is>
      </c>
      <c r="C1409" s="3" t="inlineStr">
        <is>
          <t>Mehta Retail</t>
        </is>
      </c>
      <c r="D1409" s="3" t="inlineStr">
        <is>
          <t>Toned Milk 1L</t>
        </is>
      </c>
      <c r="E1409" s="3" t="inlineStr">
        <is>
          <t>Dairy</t>
        </is>
      </c>
      <c r="F1409" s="4" t="n">
        <v>45</v>
      </c>
      <c r="G1409" s="5" t="n">
        <v>68.97</v>
      </c>
      <c r="H1409" s="5">
        <f>F1409*G1409</f>
        <v/>
      </c>
      <c r="I1409" s="5">
        <f>F1409*VLOOKUP(D1409,Products!$B$2:$E$13,3,FALSE)</f>
        <v/>
      </c>
    </row>
    <row r="1410">
      <c r="A1410" s="2" t="n">
        <v>46288</v>
      </c>
      <c r="B1410" s="3" t="inlineStr">
        <is>
          <t>INV-2609-1419</t>
        </is>
      </c>
      <c r="C1410" s="3" t="inlineStr">
        <is>
          <t>Mehta Retail</t>
        </is>
      </c>
      <c r="D1410" s="3" t="inlineStr">
        <is>
          <t>Potato Chips 150g</t>
        </is>
      </c>
      <c r="E1410" s="3" t="inlineStr">
        <is>
          <t>Snacks</t>
        </is>
      </c>
      <c r="F1410" s="4" t="n">
        <v>27</v>
      </c>
      <c r="G1410" s="5" t="n">
        <v>50.71</v>
      </c>
      <c r="H1410" s="5">
        <f>F1410*G1410</f>
        <v/>
      </c>
      <c r="I1410" s="5">
        <f>F1410*VLOOKUP(D1410,Products!$B$2:$E$13,3,FALSE)</f>
        <v/>
      </c>
    </row>
    <row r="1411">
      <c r="A1411" s="2" t="n">
        <v>46288</v>
      </c>
      <c r="B1411" s="3" t="inlineStr">
        <is>
          <t>INV-2609-1420</t>
        </is>
      </c>
      <c r="C1411" s="3" t="inlineStr">
        <is>
          <t>Azad Stores</t>
        </is>
      </c>
      <c r="D1411" s="3" t="inlineStr">
        <is>
          <t>Floor Cleaner 1L</t>
        </is>
      </c>
      <c r="E1411" s="3" t="inlineStr">
        <is>
          <t>Household</t>
        </is>
      </c>
      <c r="F1411" s="4" t="n">
        <v>63</v>
      </c>
      <c r="G1411" s="5" t="n">
        <v>111.07</v>
      </c>
      <c r="H1411" s="5">
        <f>F1411*G1411</f>
        <v/>
      </c>
      <c r="I1411" s="5">
        <f>F1411*VLOOKUP(D1411,Products!$B$2:$E$13,3,FALSE)</f>
        <v/>
      </c>
    </row>
    <row r="1412">
      <c r="A1412" s="2" t="n">
        <v>46288</v>
      </c>
      <c r="B1412" s="3" t="inlineStr">
        <is>
          <t>INV-2609-1421</t>
        </is>
      </c>
      <c r="C1412" s="3" t="inlineStr">
        <is>
          <t>Raza Brothers</t>
        </is>
      </c>
      <c r="D1412" s="3" t="inlineStr">
        <is>
          <t>Biscuits 400g</t>
        </is>
      </c>
      <c r="E1412" s="3" t="inlineStr">
        <is>
          <t>Snacks</t>
        </is>
      </c>
      <c r="F1412" s="4" t="n">
        <v>54</v>
      </c>
      <c r="G1412" s="5" t="n">
        <v>41.01</v>
      </c>
      <c r="H1412" s="5">
        <f>F1412*G1412</f>
        <v/>
      </c>
      <c r="I1412" s="5">
        <f>F1412*VLOOKUP(D1412,Products!$B$2:$E$13,3,FALSE)</f>
        <v/>
      </c>
    </row>
    <row r="1413">
      <c r="A1413" s="2" t="n">
        <v>46288</v>
      </c>
      <c r="B1413" s="3" t="inlineStr">
        <is>
          <t>INV-2609-1422</t>
        </is>
      </c>
      <c r="C1413" s="3" t="inlineStr">
        <is>
          <t>Mishra Stores</t>
        </is>
      </c>
      <c r="D1413" s="3" t="inlineStr">
        <is>
          <t>Paneer 200g</t>
        </is>
      </c>
      <c r="E1413" s="3" t="inlineStr">
        <is>
          <t>Dairy</t>
        </is>
      </c>
      <c r="F1413" s="4" t="n">
        <v>45</v>
      </c>
      <c r="G1413" s="5" t="n">
        <v>97.25</v>
      </c>
      <c r="H1413" s="5">
        <f>F1413*G1413</f>
        <v/>
      </c>
      <c r="I1413" s="5">
        <f>F1413*VLOOKUP(D1413,Products!$B$2:$E$13,3,FALSE)</f>
        <v/>
      </c>
    </row>
    <row r="1414">
      <c r="A1414" s="2" t="n">
        <v>46288</v>
      </c>
      <c r="B1414" s="3" t="inlineStr">
        <is>
          <t>INV-2609-1423</t>
        </is>
      </c>
      <c r="C1414" s="3" t="inlineStr">
        <is>
          <t>Mishra Stores</t>
        </is>
      </c>
      <c r="D1414" s="3" t="inlineStr">
        <is>
          <t>Mango Juice 1L</t>
        </is>
      </c>
      <c r="E1414" s="3" t="inlineStr">
        <is>
          <t>Beverages</t>
        </is>
      </c>
      <c r="F1414" s="4" t="n">
        <v>24</v>
      </c>
      <c r="G1414" s="5" t="n">
        <v>119.01</v>
      </c>
      <c r="H1414" s="5">
        <f>F1414*G1414</f>
        <v/>
      </c>
      <c r="I1414" s="5">
        <f>F1414*VLOOKUP(D1414,Products!$B$2:$E$13,3,FALSE)</f>
        <v/>
      </c>
    </row>
    <row r="1415">
      <c r="A1415" s="2" t="n">
        <v>46288</v>
      </c>
      <c r="B1415" s="3" t="inlineStr">
        <is>
          <t>INV-2609-1424</t>
        </is>
      </c>
      <c r="C1415" s="3" t="inlineStr">
        <is>
          <t>Raza Brothers</t>
        </is>
      </c>
      <c r="D1415" s="3" t="inlineStr">
        <is>
          <t>Mango Juice 1L</t>
        </is>
      </c>
      <c r="E1415" s="3" t="inlineStr">
        <is>
          <t>Beverages</t>
        </is>
      </c>
      <c r="F1415" s="4" t="n">
        <v>22</v>
      </c>
      <c r="G1415" s="5" t="n">
        <v>125.9</v>
      </c>
      <c r="H1415" s="5">
        <f>F1415*G1415</f>
        <v/>
      </c>
      <c r="I1415" s="5">
        <f>F1415*VLOOKUP(D1415,Products!$B$2:$E$13,3,FALSE)</f>
        <v/>
      </c>
    </row>
    <row r="1416">
      <c r="A1416" s="2" t="n">
        <v>46288</v>
      </c>
      <c r="B1416" s="3" t="inlineStr">
        <is>
          <t>INV-2609-1425</t>
        </is>
      </c>
      <c r="C1416" s="3" t="inlineStr">
        <is>
          <t>Raza Brothers</t>
        </is>
      </c>
      <c r="D1416" s="3" t="inlineStr">
        <is>
          <t>Potato Chips 150g</t>
        </is>
      </c>
      <c r="E1416" s="3" t="inlineStr">
        <is>
          <t>Snacks</t>
        </is>
      </c>
      <c r="F1416" s="4" t="n">
        <v>64</v>
      </c>
      <c r="G1416" s="5" t="n">
        <v>52.29</v>
      </c>
      <c r="H1416" s="5">
        <f>F1416*G1416</f>
        <v/>
      </c>
      <c r="I1416" s="5">
        <f>F1416*VLOOKUP(D1416,Products!$B$2:$E$13,3,FALSE)</f>
        <v/>
      </c>
    </row>
    <row r="1417">
      <c r="A1417" s="2" t="n">
        <v>46289</v>
      </c>
      <c r="B1417" s="3" t="inlineStr">
        <is>
          <t>INV-2609-1426</t>
        </is>
      </c>
      <c r="C1417" s="3" t="inlineStr">
        <is>
          <t>Mishra Stores</t>
        </is>
      </c>
      <c r="D1417" s="3" t="inlineStr">
        <is>
          <t>Mango Juice 1L</t>
        </is>
      </c>
      <c r="E1417" s="3" t="inlineStr">
        <is>
          <t>Beverages</t>
        </is>
      </c>
      <c r="F1417" s="4" t="n">
        <v>33</v>
      </c>
      <c r="G1417" s="5" t="n">
        <v>117.33</v>
      </c>
      <c r="H1417" s="5">
        <f>F1417*G1417</f>
        <v/>
      </c>
      <c r="I1417" s="5">
        <f>F1417*VLOOKUP(D1417,Products!$B$2:$E$13,3,FALSE)</f>
        <v/>
      </c>
    </row>
    <row r="1418">
      <c r="A1418" s="2" t="n">
        <v>46289</v>
      </c>
      <c r="B1418" s="3" t="inlineStr">
        <is>
          <t>INV-2609-1427</t>
        </is>
      </c>
      <c r="C1418" s="3" t="inlineStr">
        <is>
          <t>Yadav Daily Needs</t>
        </is>
      </c>
      <c r="D1418" s="3" t="inlineStr">
        <is>
          <t>Cola 750ml</t>
        </is>
      </c>
      <c r="E1418" s="3" t="inlineStr">
        <is>
          <t>Beverages</t>
        </is>
      </c>
      <c r="F1418" s="4" t="n">
        <v>6</v>
      </c>
      <c r="G1418" s="5" t="n">
        <v>43.95</v>
      </c>
      <c r="H1418" s="5">
        <f>F1418*G1418</f>
        <v/>
      </c>
      <c r="I1418" s="5">
        <f>F1418*VLOOKUP(D1418,Products!$B$2:$E$13,3,FALSE)</f>
        <v/>
      </c>
    </row>
    <row r="1419">
      <c r="A1419" s="2" t="n">
        <v>46289</v>
      </c>
      <c r="B1419" s="3" t="inlineStr">
        <is>
          <t>INV-2609-1428</t>
        </is>
      </c>
      <c r="C1419" s="3" t="inlineStr">
        <is>
          <t>Mehta Retail</t>
        </is>
      </c>
      <c r="D1419" s="3" t="inlineStr">
        <is>
          <t>Detergent 1kg</t>
        </is>
      </c>
      <c r="E1419" s="3" t="inlineStr">
        <is>
          <t>Household</t>
        </is>
      </c>
      <c r="F1419" s="4" t="n">
        <v>69</v>
      </c>
      <c r="G1419" s="5" t="n">
        <v>126.71</v>
      </c>
      <c r="H1419" s="5">
        <f>F1419*G1419</f>
        <v/>
      </c>
      <c r="I1419" s="5">
        <f>F1419*VLOOKUP(D1419,Products!$B$2:$E$13,3,FALSE)</f>
        <v/>
      </c>
    </row>
    <row r="1420">
      <c r="A1420" s="2" t="n">
        <v>46289</v>
      </c>
      <c r="B1420" s="3" t="inlineStr">
        <is>
          <t>INV-2609-1429</t>
        </is>
      </c>
      <c r="C1420" s="3" t="inlineStr">
        <is>
          <t>Yadav Daily Needs</t>
        </is>
      </c>
      <c r="D1420" s="3" t="inlineStr">
        <is>
          <t>Floor Cleaner 1L</t>
        </is>
      </c>
      <c r="E1420" s="3" t="inlineStr">
        <is>
          <t>Household</t>
        </is>
      </c>
      <c r="F1420" s="4" t="n">
        <v>20</v>
      </c>
      <c r="G1420" s="5" t="n">
        <v>109.88</v>
      </c>
      <c r="H1420" s="5">
        <f>F1420*G1420</f>
        <v/>
      </c>
      <c r="I1420" s="5">
        <f>F1420*VLOOKUP(D1420,Products!$B$2:$E$13,3,FALSE)</f>
        <v/>
      </c>
    </row>
    <row r="1421">
      <c r="A1421" s="2" t="n">
        <v>46289</v>
      </c>
      <c r="B1421" s="3" t="inlineStr">
        <is>
          <t>INV-2609-1430</t>
        </is>
      </c>
      <c r="C1421" s="3" t="inlineStr">
        <is>
          <t>Bhatt General Store</t>
        </is>
      </c>
      <c r="D1421" s="3" t="inlineStr">
        <is>
          <t>Potato Chips 150g</t>
        </is>
      </c>
      <c r="E1421" s="3" t="inlineStr">
        <is>
          <t>Snacks</t>
        </is>
      </c>
      <c r="F1421" s="4" t="n">
        <v>4</v>
      </c>
      <c r="G1421" s="5" t="n">
        <v>51.65</v>
      </c>
      <c r="H1421" s="5">
        <f>F1421*G1421</f>
        <v/>
      </c>
      <c r="I1421" s="5">
        <f>F1421*VLOOKUP(D1421,Products!$B$2:$E$13,3,FALSE)</f>
        <v/>
      </c>
    </row>
    <row r="1422">
      <c r="A1422" s="2" t="n">
        <v>46289</v>
      </c>
      <c r="B1422" s="3" t="inlineStr">
        <is>
          <t>INV-2609-1431</t>
        </is>
      </c>
      <c r="C1422" s="3" t="inlineStr">
        <is>
          <t>Prasad Traders</t>
        </is>
      </c>
      <c r="D1422" s="3" t="inlineStr">
        <is>
          <t>Cola 750ml</t>
        </is>
      </c>
      <c r="E1422" s="3" t="inlineStr">
        <is>
          <t>Beverages</t>
        </is>
      </c>
      <c r="F1422" s="4" t="n">
        <v>33</v>
      </c>
      <c r="G1422" s="5" t="n">
        <v>46.75</v>
      </c>
      <c r="H1422" s="5">
        <f>F1422*G1422</f>
        <v/>
      </c>
      <c r="I1422" s="5">
        <f>F1422*VLOOKUP(D1422,Products!$B$2:$E$13,3,FALSE)</f>
        <v/>
      </c>
    </row>
    <row r="1423">
      <c r="A1423" s="2" t="n">
        <v>46289</v>
      </c>
      <c r="B1423" s="3" t="inlineStr">
        <is>
          <t>INV-2609-1432</t>
        </is>
      </c>
      <c r="C1423" s="3" t="inlineStr">
        <is>
          <t>Mishra Stores</t>
        </is>
      </c>
      <c r="D1423" s="3" t="inlineStr">
        <is>
          <t>Potato Chips 150g</t>
        </is>
      </c>
      <c r="E1423" s="3" t="inlineStr">
        <is>
          <t>Snacks</t>
        </is>
      </c>
      <c r="F1423" s="4" t="n">
        <v>25</v>
      </c>
      <c r="G1423" s="5" t="n">
        <v>49.16</v>
      </c>
      <c r="H1423" s="5">
        <f>F1423*G1423</f>
        <v/>
      </c>
      <c r="I1423" s="5">
        <f>F1423*VLOOKUP(D1423,Products!$B$2:$E$13,3,FALSE)</f>
        <v/>
      </c>
    </row>
    <row r="1424">
      <c r="A1424" s="2" t="n">
        <v>46289</v>
      </c>
      <c r="B1424" s="3" t="inlineStr">
        <is>
          <t>INV-2609-1433</t>
        </is>
      </c>
      <c r="C1424" s="3" t="inlineStr">
        <is>
          <t>Gupta General Store</t>
        </is>
      </c>
      <c r="D1424" s="3" t="inlineStr">
        <is>
          <t>Packaged Water 1L</t>
        </is>
      </c>
      <c r="E1424" s="3" t="inlineStr">
        <is>
          <t>Beverages</t>
        </is>
      </c>
      <c r="F1424" s="4" t="n">
        <v>66</v>
      </c>
      <c r="G1424" s="5" t="n">
        <v>20.35</v>
      </c>
      <c r="H1424" s="5">
        <f>F1424*G1424</f>
        <v/>
      </c>
      <c r="I1424" s="5">
        <f>F1424*VLOOKUP(D1424,Products!$B$2:$E$13,3,FALSE)</f>
        <v/>
      </c>
    </row>
    <row r="1425">
      <c r="A1425" s="2" t="n">
        <v>46289</v>
      </c>
      <c r="B1425" s="3" t="inlineStr">
        <is>
          <t>INV-2609-1434</t>
        </is>
      </c>
      <c r="C1425" s="3" t="inlineStr">
        <is>
          <t>Mehta Retail</t>
        </is>
      </c>
      <c r="D1425" s="3" t="inlineStr">
        <is>
          <t>Potato Chips 150g</t>
        </is>
      </c>
      <c r="E1425" s="3" t="inlineStr">
        <is>
          <t>Snacks</t>
        </is>
      </c>
      <c r="F1425" s="4" t="n">
        <v>24</v>
      </c>
      <c r="G1425" s="5" t="n">
        <v>50.41</v>
      </c>
      <c r="H1425" s="5">
        <f>F1425*G1425</f>
        <v/>
      </c>
      <c r="I1425" s="5">
        <f>F1425*VLOOKUP(D1425,Products!$B$2:$E$13,3,FALSE)</f>
        <v/>
      </c>
    </row>
    <row r="1426">
      <c r="A1426" s="2" t="n">
        <v>46289</v>
      </c>
      <c r="B1426" s="3" t="inlineStr">
        <is>
          <t>INV-2609-1435</t>
        </is>
      </c>
      <c r="C1426" s="3" t="inlineStr">
        <is>
          <t>Kumari Kirana</t>
        </is>
      </c>
      <c r="D1426" s="3" t="inlineStr">
        <is>
          <t>Paneer 200g</t>
        </is>
      </c>
      <c r="E1426" s="3" t="inlineStr">
        <is>
          <t>Dairy</t>
        </is>
      </c>
      <c r="F1426" s="4" t="n">
        <v>30</v>
      </c>
      <c r="G1426" s="5" t="n">
        <v>95.48</v>
      </c>
      <c r="H1426" s="5">
        <f>F1426*G1426</f>
        <v/>
      </c>
      <c r="I1426" s="5">
        <f>F1426*VLOOKUP(D1426,Products!$B$2:$E$13,3,FALSE)</f>
        <v/>
      </c>
    </row>
    <row r="1427">
      <c r="A1427" s="2" t="n">
        <v>46290</v>
      </c>
      <c r="B1427" s="3" t="inlineStr">
        <is>
          <t>INV-2609-1436</t>
        </is>
      </c>
      <c r="C1427" s="3" t="inlineStr">
        <is>
          <t>Verma Retail</t>
        </is>
      </c>
      <c r="D1427" s="3" t="inlineStr">
        <is>
          <t>Dish Soap 500ml</t>
        </is>
      </c>
      <c r="E1427" s="3" t="inlineStr">
        <is>
          <t>Household</t>
        </is>
      </c>
      <c r="F1427" s="4" t="n">
        <v>25</v>
      </c>
      <c r="G1427" s="5" t="n">
        <v>97.18000000000001</v>
      </c>
      <c r="H1427" s="5">
        <f>F1427*G1427</f>
        <v/>
      </c>
      <c r="I1427" s="5">
        <f>F1427*VLOOKUP(D1427,Products!$B$2:$E$13,3,FALSE)</f>
        <v/>
      </c>
    </row>
    <row r="1428">
      <c r="A1428" s="2" t="n">
        <v>46290</v>
      </c>
      <c r="B1428" s="3" t="inlineStr">
        <is>
          <t>INV-2609-1437</t>
        </is>
      </c>
      <c r="C1428" s="3" t="inlineStr">
        <is>
          <t>Patel Traders</t>
        </is>
      </c>
      <c r="D1428" s="3" t="inlineStr">
        <is>
          <t>Curd Cup 400g</t>
        </is>
      </c>
      <c r="E1428" s="3" t="inlineStr">
        <is>
          <t>Dairy</t>
        </is>
      </c>
      <c r="F1428" s="4" t="n">
        <v>25</v>
      </c>
      <c r="G1428" s="5" t="n">
        <v>46.78</v>
      </c>
      <c r="H1428" s="5">
        <f>F1428*G1428</f>
        <v/>
      </c>
      <c r="I1428" s="5">
        <f>F1428*VLOOKUP(D1428,Products!$B$2:$E$13,3,FALSE)</f>
        <v/>
      </c>
    </row>
    <row r="1429">
      <c r="A1429" s="2" t="n">
        <v>46290</v>
      </c>
      <c r="B1429" s="3" t="inlineStr">
        <is>
          <t>INV-2609-1438</t>
        </is>
      </c>
      <c r="C1429" s="3" t="inlineStr">
        <is>
          <t>Ali General Store</t>
        </is>
      </c>
      <c r="D1429" s="3" t="inlineStr">
        <is>
          <t>Toned Milk 1L</t>
        </is>
      </c>
      <c r="E1429" s="3" t="inlineStr">
        <is>
          <t>Dairy</t>
        </is>
      </c>
      <c r="F1429" s="4" t="n">
        <v>23</v>
      </c>
      <c r="G1429" s="5" t="n">
        <v>66.04000000000001</v>
      </c>
      <c r="H1429" s="5">
        <f>F1429*G1429</f>
        <v/>
      </c>
      <c r="I1429" s="5">
        <f>F1429*VLOOKUP(D1429,Products!$B$2:$E$13,3,FALSE)</f>
        <v/>
      </c>
    </row>
    <row r="1430">
      <c r="A1430" s="2" t="n">
        <v>46290</v>
      </c>
      <c r="B1430" s="3" t="inlineStr">
        <is>
          <t>INV-2609-1439</t>
        </is>
      </c>
      <c r="C1430" s="3" t="inlineStr">
        <is>
          <t>Azad Stores</t>
        </is>
      </c>
      <c r="D1430" s="3" t="inlineStr">
        <is>
          <t>Packaged Water 1L</t>
        </is>
      </c>
      <c r="E1430" s="3" t="inlineStr">
        <is>
          <t>Beverages</t>
        </is>
      </c>
      <c r="F1430" s="4" t="n">
        <v>34</v>
      </c>
      <c r="G1430" s="5" t="n">
        <v>20.92</v>
      </c>
      <c r="H1430" s="5">
        <f>F1430*G1430</f>
        <v/>
      </c>
      <c r="I1430" s="5">
        <f>F1430*VLOOKUP(D1430,Products!$B$2:$E$13,3,FALSE)</f>
        <v/>
      </c>
    </row>
    <row r="1431">
      <c r="A1431" s="2" t="n">
        <v>46290</v>
      </c>
      <c r="B1431" s="3" t="inlineStr">
        <is>
          <t>INV-2609-1440</t>
        </is>
      </c>
      <c r="C1431" s="3" t="inlineStr">
        <is>
          <t>Tiwari General</t>
        </is>
      </c>
      <c r="D1431" s="3" t="inlineStr">
        <is>
          <t>Packaged Water 1L</t>
        </is>
      </c>
      <c r="E1431" s="3" t="inlineStr">
        <is>
          <t>Beverages</t>
        </is>
      </c>
      <c r="F1431" s="4" t="n">
        <v>54</v>
      </c>
      <c r="G1431" s="5" t="n">
        <v>19.51</v>
      </c>
      <c r="H1431" s="5">
        <f>F1431*G1431</f>
        <v/>
      </c>
      <c r="I1431" s="5">
        <f>F1431*VLOOKUP(D1431,Products!$B$2:$E$13,3,FALSE)</f>
        <v/>
      </c>
    </row>
    <row r="1432">
      <c r="A1432" s="2" t="n">
        <v>46290</v>
      </c>
      <c r="B1432" s="3" t="inlineStr">
        <is>
          <t>INV-2609-1441</t>
        </is>
      </c>
      <c r="C1432" s="3" t="inlineStr">
        <is>
          <t>Sahu Traders</t>
        </is>
      </c>
      <c r="D1432" s="3" t="inlineStr">
        <is>
          <t>Curd Cup 400g</t>
        </is>
      </c>
      <c r="E1432" s="3" t="inlineStr">
        <is>
          <t>Dairy</t>
        </is>
      </c>
      <c r="F1432" s="4" t="n">
        <v>52</v>
      </c>
      <c r="G1432" s="5" t="n">
        <v>46.85</v>
      </c>
      <c r="H1432" s="5">
        <f>F1432*G1432</f>
        <v/>
      </c>
      <c r="I1432" s="5">
        <f>F1432*VLOOKUP(D1432,Products!$B$2:$E$13,3,FALSE)</f>
        <v/>
      </c>
    </row>
    <row r="1433">
      <c r="A1433" s="2" t="n">
        <v>46290</v>
      </c>
      <c r="B1433" s="3" t="inlineStr">
        <is>
          <t>INV-2609-1442</t>
        </is>
      </c>
      <c r="C1433" s="3" t="inlineStr">
        <is>
          <t>Patel Traders</t>
        </is>
      </c>
      <c r="D1433" s="3" t="inlineStr">
        <is>
          <t>Mango Juice 1L</t>
        </is>
      </c>
      <c r="E1433" s="3" t="inlineStr">
        <is>
          <t>Beverages</t>
        </is>
      </c>
      <c r="F1433" s="4" t="n">
        <v>49</v>
      </c>
      <c r="G1433" s="5" t="n">
        <v>125.46</v>
      </c>
      <c r="H1433" s="5">
        <f>F1433*G1433</f>
        <v/>
      </c>
      <c r="I1433" s="5">
        <f>F1433*VLOOKUP(D1433,Products!$B$2:$E$13,3,FALSE)</f>
        <v/>
      </c>
    </row>
    <row r="1434">
      <c r="A1434" s="2" t="n">
        <v>46291</v>
      </c>
      <c r="B1434" s="3" t="inlineStr">
        <is>
          <t>INV-2609-1443</t>
        </is>
      </c>
      <c r="C1434" s="3" t="inlineStr">
        <is>
          <t>Prasad Traders</t>
        </is>
      </c>
      <c r="D1434" s="3" t="inlineStr">
        <is>
          <t>Paneer 200g</t>
        </is>
      </c>
      <c r="E1434" s="3" t="inlineStr">
        <is>
          <t>Dairy</t>
        </is>
      </c>
      <c r="F1434" s="4" t="n">
        <v>44</v>
      </c>
      <c r="G1434" s="5" t="n">
        <v>97.94</v>
      </c>
      <c r="H1434" s="5">
        <f>F1434*G1434</f>
        <v/>
      </c>
      <c r="I1434" s="5">
        <f>F1434*VLOOKUP(D1434,Products!$B$2:$E$13,3,FALSE)</f>
        <v/>
      </c>
    </row>
    <row r="1435">
      <c r="A1435" s="2" t="n">
        <v>46291</v>
      </c>
      <c r="B1435" s="3" t="inlineStr">
        <is>
          <t>INV-2609-1444</t>
        </is>
      </c>
      <c r="C1435" s="3" t="inlineStr">
        <is>
          <t>Bhatt General Store</t>
        </is>
      </c>
      <c r="D1435" s="3" t="inlineStr">
        <is>
          <t>Curd Cup 400g</t>
        </is>
      </c>
      <c r="E1435" s="3" t="inlineStr">
        <is>
          <t>Dairy</t>
        </is>
      </c>
      <c r="F1435" s="4" t="n">
        <v>30</v>
      </c>
      <c r="G1435" s="5" t="n">
        <v>44.47</v>
      </c>
      <c r="H1435" s="5">
        <f>F1435*G1435</f>
        <v/>
      </c>
      <c r="I1435" s="5">
        <f>F1435*VLOOKUP(D1435,Products!$B$2:$E$13,3,FALSE)</f>
        <v/>
      </c>
    </row>
    <row r="1436">
      <c r="A1436" s="2" t="n">
        <v>46291</v>
      </c>
      <c r="B1436" s="3" t="inlineStr">
        <is>
          <t>INV-2609-1445</t>
        </is>
      </c>
      <c r="C1436" s="3" t="inlineStr">
        <is>
          <t>Sahu Traders</t>
        </is>
      </c>
      <c r="D1436" s="3" t="inlineStr">
        <is>
          <t>Potato Chips 150g</t>
        </is>
      </c>
      <c r="E1436" s="3" t="inlineStr">
        <is>
          <t>Snacks</t>
        </is>
      </c>
      <c r="F1436" s="4" t="n">
        <v>46</v>
      </c>
      <c r="G1436" s="5" t="n">
        <v>51.08</v>
      </c>
      <c r="H1436" s="5">
        <f>F1436*G1436</f>
        <v/>
      </c>
      <c r="I1436" s="5">
        <f>F1436*VLOOKUP(D1436,Products!$B$2:$E$13,3,FALSE)</f>
        <v/>
      </c>
    </row>
    <row r="1437">
      <c r="A1437" s="2" t="n">
        <v>46291</v>
      </c>
      <c r="B1437" s="3" t="inlineStr">
        <is>
          <t>INV-2609-1446</t>
        </is>
      </c>
      <c r="C1437" s="3" t="inlineStr">
        <is>
          <t>Pandey Stores</t>
        </is>
      </c>
      <c r="D1437" s="3" t="inlineStr">
        <is>
          <t>Paneer 200g</t>
        </is>
      </c>
      <c r="E1437" s="3" t="inlineStr">
        <is>
          <t>Dairy</t>
        </is>
      </c>
      <c r="F1437" s="4" t="n">
        <v>43</v>
      </c>
      <c r="G1437" s="5" t="n">
        <v>96.92</v>
      </c>
      <c r="H1437" s="5">
        <f>F1437*G1437</f>
        <v/>
      </c>
      <c r="I1437" s="5">
        <f>F1437*VLOOKUP(D1437,Products!$B$2:$E$13,3,FALSE)</f>
        <v/>
      </c>
    </row>
    <row r="1438">
      <c r="A1438" s="2" t="n">
        <v>46291</v>
      </c>
      <c r="B1438" s="3" t="inlineStr">
        <is>
          <t>INV-2609-1447</t>
        </is>
      </c>
      <c r="C1438" s="3" t="inlineStr">
        <is>
          <t>Pandey Stores</t>
        </is>
      </c>
      <c r="D1438" s="3" t="inlineStr">
        <is>
          <t>Floor Cleaner 1L</t>
        </is>
      </c>
      <c r="E1438" s="3" t="inlineStr">
        <is>
          <t>Household</t>
        </is>
      </c>
      <c r="F1438" s="4" t="n">
        <v>73</v>
      </c>
      <c r="G1438" s="5" t="n">
        <v>112.49</v>
      </c>
      <c r="H1438" s="5">
        <f>F1438*G1438</f>
        <v/>
      </c>
      <c r="I1438" s="5">
        <f>F1438*VLOOKUP(D1438,Products!$B$2:$E$13,3,FALSE)</f>
        <v/>
      </c>
    </row>
    <row r="1439">
      <c r="A1439" s="2" t="n">
        <v>46291</v>
      </c>
      <c r="B1439" s="3" t="inlineStr">
        <is>
          <t>INV-2609-1448</t>
        </is>
      </c>
      <c r="C1439" s="3" t="inlineStr">
        <is>
          <t>Sharma Provision</t>
        </is>
      </c>
      <c r="D1439" s="3" t="inlineStr">
        <is>
          <t>Biscuits 400g</t>
        </is>
      </c>
      <c r="E1439" s="3" t="inlineStr">
        <is>
          <t>Snacks</t>
        </is>
      </c>
      <c r="F1439" s="4" t="n">
        <v>71</v>
      </c>
      <c r="G1439" s="5" t="n">
        <v>41.02</v>
      </c>
      <c r="H1439" s="5">
        <f>F1439*G1439</f>
        <v/>
      </c>
      <c r="I1439" s="5">
        <f>F1439*VLOOKUP(D1439,Products!$B$2:$E$13,3,FALSE)</f>
        <v/>
      </c>
    </row>
    <row r="1440">
      <c r="A1440" s="2" t="n">
        <v>46291</v>
      </c>
      <c r="B1440" s="3" t="inlineStr">
        <is>
          <t>INV-2609-1449</t>
        </is>
      </c>
      <c r="C1440" s="3" t="inlineStr">
        <is>
          <t>Jha Provisions</t>
        </is>
      </c>
      <c r="D1440" s="3" t="inlineStr">
        <is>
          <t>Floor Cleaner 1L</t>
        </is>
      </c>
      <c r="E1440" s="3" t="inlineStr">
        <is>
          <t>Household</t>
        </is>
      </c>
      <c r="F1440" s="4" t="n">
        <v>33</v>
      </c>
      <c r="G1440" s="5" t="n">
        <v>114.6</v>
      </c>
      <c r="H1440" s="5">
        <f>F1440*G1440</f>
        <v/>
      </c>
      <c r="I1440" s="5">
        <f>F1440*VLOOKUP(D1440,Products!$B$2:$E$13,3,FALSE)</f>
        <v/>
      </c>
    </row>
    <row r="1441">
      <c r="A1441" s="2" t="n">
        <v>46291</v>
      </c>
      <c r="B1441" s="3" t="inlineStr">
        <is>
          <t>INV-2609-1450</t>
        </is>
      </c>
      <c r="C1441" s="3" t="inlineStr">
        <is>
          <t>Jha Provisions</t>
        </is>
      </c>
      <c r="D1441" s="3" t="inlineStr">
        <is>
          <t>Mango Juice 1L</t>
        </is>
      </c>
      <c r="E1441" s="3" t="inlineStr">
        <is>
          <t>Beverages</t>
        </is>
      </c>
      <c r="F1441" s="4" t="n">
        <v>85</v>
      </c>
      <c r="G1441" s="5" t="n">
        <v>124.43</v>
      </c>
      <c r="H1441" s="5">
        <f>F1441*G1441</f>
        <v/>
      </c>
      <c r="I1441" s="5">
        <f>F1441*VLOOKUP(D1441,Products!$B$2:$E$13,3,FALSE)</f>
        <v/>
      </c>
    </row>
    <row r="1442">
      <c r="A1442" s="2" t="n">
        <v>46292</v>
      </c>
      <c r="B1442" s="3" t="inlineStr">
        <is>
          <t>INV-2609-1451</t>
        </is>
      </c>
      <c r="C1442" s="3" t="inlineStr">
        <is>
          <t>Nath Provisions</t>
        </is>
      </c>
      <c r="D1442" s="3" t="inlineStr">
        <is>
          <t>Cola 750ml</t>
        </is>
      </c>
      <c r="E1442" s="3" t="inlineStr">
        <is>
          <t>Beverages</t>
        </is>
      </c>
      <c r="F1442" s="4" t="n">
        <v>62</v>
      </c>
      <c r="G1442" s="5" t="n">
        <v>45.81</v>
      </c>
      <c r="H1442" s="5">
        <f>F1442*G1442</f>
        <v/>
      </c>
      <c r="I1442" s="5">
        <f>F1442*VLOOKUP(D1442,Products!$B$2:$E$13,3,FALSE)</f>
        <v/>
      </c>
    </row>
    <row r="1443">
      <c r="A1443" s="2" t="n">
        <v>46292</v>
      </c>
      <c r="B1443" s="3" t="inlineStr">
        <is>
          <t>INV-2609-1452</t>
        </is>
      </c>
      <c r="C1443" s="3" t="inlineStr">
        <is>
          <t>Khan Mart</t>
        </is>
      </c>
      <c r="D1443" s="3" t="inlineStr">
        <is>
          <t>Toned Milk 1L</t>
        </is>
      </c>
      <c r="E1443" s="3" t="inlineStr">
        <is>
          <t>Dairy</t>
        </is>
      </c>
      <c r="F1443" s="4" t="n">
        <v>28</v>
      </c>
      <c r="G1443" s="5" t="n">
        <v>66.66</v>
      </c>
      <c r="H1443" s="5">
        <f>F1443*G1443</f>
        <v/>
      </c>
      <c r="I1443" s="5">
        <f>F1443*VLOOKUP(D1443,Products!$B$2:$E$13,3,FALSE)</f>
        <v/>
      </c>
    </row>
    <row r="1444">
      <c r="A1444" s="2" t="n">
        <v>46292</v>
      </c>
      <c r="B1444" s="3" t="inlineStr">
        <is>
          <t>INV-2609-1453</t>
        </is>
      </c>
      <c r="C1444" s="3" t="inlineStr">
        <is>
          <t>Pandey Stores</t>
        </is>
      </c>
      <c r="D1444" s="3" t="inlineStr">
        <is>
          <t>Dish Soap 500ml</t>
        </is>
      </c>
      <c r="E1444" s="3" t="inlineStr">
        <is>
          <t>Household</t>
        </is>
      </c>
      <c r="F1444" s="4" t="n">
        <v>40</v>
      </c>
      <c r="G1444" s="5" t="n">
        <v>99.06999999999999</v>
      </c>
      <c r="H1444" s="5">
        <f>F1444*G1444</f>
        <v/>
      </c>
      <c r="I1444" s="5">
        <f>F1444*VLOOKUP(D1444,Products!$B$2:$E$13,3,FALSE)</f>
        <v/>
      </c>
    </row>
    <row r="1445">
      <c r="A1445" s="2" t="n">
        <v>46292</v>
      </c>
      <c r="B1445" s="3" t="inlineStr">
        <is>
          <t>INV-2609-1454</t>
        </is>
      </c>
      <c r="C1445" s="3" t="inlineStr">
        <is>
          <t>Ali General Store</t>
        </is>
      </c>
      <c r="D1445" s="3" t="inlineStr">
        <is>
          <t>Packaged Water 1L</t>
        </is>
      </c>
      <c r="E1445" s="3" t="inlineStr">
        <is>
          <t>Beverages</t>
        </is>
      </c>
      <c r="F1445" s="4" t="n">
        <v>83</v>
      </c>
      <c r="G1445" s="5" t="n">
        <v>20.15</v>
      </c>
      <c r="H1445" s="5">
        <f>F1445*G1445</f>
        <v/>
      </c>
      <c r="I1445" s="5">
        <f>F1445*VLOOKUP(D1445,Products!$B$2:$E$13,3,FALSE)</f>
        <v/>
      </c>
    </row>
    <row r="1446">
      <c r="A1446" s="2" t="n">
        <v>46292</v>
      </c>
      <c r="B1446" s="3" t="inlineStr">
        <is>
          <t>INV-2609-1455</t>
        </is>
      </c>
      <c r="C1446" s="3" t="inlineStr">
        <is>
          <t>Mehta Retail</t>
        </is>
      </c>
      <c r="D1446" s="3" t="inlineStr">
        <is>
          <t>Toned Milk 1L</t>
        </is>
      </c>
      <c r="E1446" s="3" t="inlineStr">
        <is>
          <t>Dairy</t>
        </is>
      </c>
      <c r="F1446" s="4" t="n">
        <v>30</v>
      </c>
      <c r="G1446" s="5" t="n">
        <v>67.25</v>
      </c>
      <c r="H1446" s="5">
        <f>F1446*G1446</f>
        <v/>
      </c>
      <c r="I1446" s="5">
        <f>F1446*VLOOKUP(D1446,Products!$B$2:$E$13,3,FALSE)</f>
        <v/>
      </c>
    </row>
    <row r="1447">
      <c r="A1447" s="2" t="n">
        <v>46292</v>
      </c>
      <c r="B1447" s="3" t="inlineStr">
        <is>
          <t>INV-2609-1456</t>
        </is>
      </c>
      <c r="C1447" s="3" t="inlineStr">
        <is>
          <t>Nath Provisions</t>
        </is>
      </c>
      <c r="D1447" s="3" t="inlineStr">
        <is>
          <t>Cola 750ml</t>
        </is>
      </c>
      <c r="E1447" s="3" t="inlineStr">
        <is>
          <t>Beverages</t>
        </is>
      </c>
      <c r="F1447" s="4" t="n">
        <v>7</v>
      </c>
      <c r="G1447" s="5" t="n">
        <v>44.16</v>
      </c>
      <c r="H1447" s="5">
        <f>F1447*G1447</f>
        <v/>
      </c>
      <c r="I1447" s="5">
        <f>F1447*VLOOKUP(D1447,Products!$B$2:$E$13,3,FALSE)</f>
        <v/>
      </c>
    </row>
    <row r="1448">
      <c r="A1448" s="2" t="n">
        <v>46292</v>
      </c>
      <c r="B1448" s="3" t="inlineStr">
        <is>
          <t>INV-2609-1457</t>
        </is>
      </c>
      <c r="C1448" s="3" t="inlineStr">
        <is>
          <t>Patel Traders</t>
        </is>
      </c>
      <c r="D1448" s="3" t="inlineStr">
        <is>
          <t>Cola 750ml</t>
        </is>
      </c>
      <c r="E1448" s="3" t="inlineStr">
        <is>
          <t>Beverages</t>
        </is>
      </c>
      <c r="F1448" s="4" t="n">
        <v>34</v>
      </c>
      <c r="G1448" s="5" t="n">
        <v>46.37</v>
      </c>
      <c r="H1448" s="5">
        <f>F1448*G1448</f>
        <v/>
      </c>
      <c r="I1448" s="5">
        <f>F1448*VLOOKUP(D1448,Products!$B$2:$E$13,3,FALSE)</f>
        <v/>
      </c>
    </row>
    <row r="1449">
      <c r="A1449" s="2" t="n">
        <v>46292</v>
      </c>
      <c r="B1449" s="3" t="inlineStr">
        <is>
          <t>INV-2609-1458</t>
        </is>
      </c>
      <c r="C1449" s="3" t="inlineStr">
        <is>
          <t>Prasad Traders</t>
        </is>
      </c>
      <c r="D1449" s="3" t="inlineStr">
        <is>
          <t>Mango Juice 1L</t>
        </is>
      </c>
      <c r="E1449" s="3" t="inlineStr">
        <is>
          <t>Beverages</t>
        </is>
      </c>
      <c r="F1449" s="4" t="n">
        <v>60</v>
      </c>
      <c r="G1449" s="5" t="n">
        <v>122.79</v>
      </c>
      <c r="H1449" s="5">
        <f>F1449*G1449</f>
        <v/>
      </c>
      <c r="I1449" s="5">
        <f>F1449*VLOOKUP(D1449,Products!$B$2:$E$13,3,FALSE)</f>
        <v/>
      </c>
    </row>
    <row r="1450">
      <c r="A1450" s="2" t="n">
        <v>46292</v>
      </c>
      <c r="B1450" s="3" t="inlineStr">
        <is>
          <t>INV-2609-1459</t>
        </is>
      </c>
      <c r="C1450" s="3" t="inlineStr">
        <is>
          <t>Mishra Stores</t>
        </is>
      </c>
      <c r="D1450" s="3" t="inlineStr">
        <is>
          <t>Detergent 1kg</t>
        </is>
      </c>
      <c r="E1450" s="3" t="inlineStr">
        <is>
          <t>Household</t>
        </is>
      </c>
      <c r="F1450" s="4" t="n">
        <v>45</v>
      </c>
      <c r="G1450" s="5" t="n">
        <v>134.71</v>
      </c>
      <c r="H1450" s="5">
        <f>F1450*G1450</f>
        <v/>
      </c>
      <c r="I1450" s="5">
        <f>F1450*VLOOKUP(D1450,Products!$B$2:$E$13,3,FALSE)</f>
        <v/>
      </c>
    </row>
    <row r="1451">
      <c r="A1451" s="2" t="n">
        <v>46292</v>
      </c>
      <c r="B1451" s="3" t="inlineStr">
        <is>
          <t>INV-2609-1460</t>
        </is>
      </c>
      <c r="C1451" s="3" t="inlineStr">
        <is>
          <t>Sinha Super Mart</t>
        </is>
      </c>
      <c r="D1451" s="3" t="inlineStr">
        <is>
          <t>Packaged Water 1L</t>
        </is>
      </c>
      <c r="E1451" s="3" t="inlineStr">
        <is>
          <t>Beverages</t>
        </is>
      </c>
      <c r="F1451" s="4" t="n">
        <v>55</v>
      </c>
      <c r="G1451" s="5" t="n">
        <v>19.54</v>
      </c>
      <c r="H1451" s="5">
        <f>F1451*G1451</f>
        <v/>
      </c>
      <c r="I1451" s="5">
        <f>F1451*VLOOKUP(D1451,Products!$B$2:$E$13,3,FALSE)</f>
        <v/>
      </c>
    </row>
    <row r="1452">
      <c r="A1452" s="2" t="n">
        <v>46292</v>
      </c>
      <c r="B1452" s="3" t="inlineStr">
        <is>
          <t>INV-2609-1461</t>
        </is>
      </c>
      <c r="C1452" s="3" t="inlineStr">
        <is>
          <t>Yadav Daily Needs</t>
        </is>
      </c>
      <c r="D1452" s="3" t="inlineStr">
        <is>
          <t>Packaged Water 1L</t>
        </is>
      </c>
      <c r="E1452" s="3" t="inlineStr">
        <is>
          <t>Beverages</t>
        </is>
      </c>
      <c r="F1452" s="4" t="n">
        <v>60</v>
      </c>
      <c r="G1452" s="5" t="n">
        <v>19.9</v>
      </c>
      <c r="H1452" s="5">
        <f>F1452*G1452</f>
        <v/>
      </c>
      <c r="I1452" s="5">
        <f>F1452*VLOOKUP(D1452,Products!$B$2:$E$13,3,FALSE)</f>
        <v/>
      </c>
    </row>
    <row r="1453">
      <c r="A1453" s="2" t="n">
        <v>46293</v>
      </c>
      <c r="B1453" s="3" t="inlineStr">
        <is>
          <t>INV-2609-1462</t>
        </is>
      </c>
      <c r="C1453" s="3" t="inlineStr">
        <is>
          <t>Gupta General Store</t>
        </is>
      </c>
      <c r="D1453" s="3" t="inlineStr">
        <is>
          <t>Mango Juice 1L</t>
        </is>
      </c>
      <c r="E1453" s="3" t="inlineStr">
        <is>
          <t>Beverages</t>
        </is>
      </c>
      <c r="F1453" s="4" t="n">
        <v>27</v>
      </c>
      <c r="G1453" s="5" t="n">
        <v>118</v>
      </c>
      <c r="H1453" s="5">
        <f>F1453*G1453</f>
        <v/>
      </c>
      <c r="I1453" s="5">
        <f>F1453*VLOOKUP(D1453,Products!$B$2:$E$13,3,FALSE)</f>
        <v/>
      </c>
    </row>
    <row r="1454">
      <c r="A1454" s="2" t="n">
        <v>46293</v>
      </c>
      <c r="B1454" s="3" t="inlineStr">
        <is>
          <t>INV-2609-1463</t>
        </is>
      </c>
      <c r="C1454" s="3" t="inlineStr">
        <is>
          <t>Sharma Provision</t>
        </is>
      </c>
      <c r="D1454" s="3" t="inlineStr">
        <is>
          <t>Paneer 200g</t>
        </is>
      </c>
      <c r="E1454" s="3" t="inlineStr">
        <is>
          <t>Dairy</t>
        </is>
      </c>
      <c r="F1454" s="4" t="n">
        <v>9</v>
      </c>
      <c r="G1454" s="5" t="n">
        <v>98.26000000000001</v>
      </c>
      <c r="H1454" s="5">
        <f>F1454*G1454</f>
        <v/>
      </c>
      <c r="I1454" s="5">
        <f>F1454*VLOOKUP(D1454,Products!$B$2:$E$13,3,FALSE)</f>
        <v/>
      </c>
    </row>
    <row r="1455">
      <c r="A1455" s="2" t="n">
        <v>46293</v>
      </c>
      <c r="B1455" s="3" t="inlineStr">
        <is>
          <t>INV-2609-1464</t>
        </is>
      </c>
      <c r="C1455" s="3" t="inlineStr">
        <is>
          <t>Rai Daily Mart</t>
        </is>
      </c>
      <c r="D1455" s="3" t="inlineStr">
        <is>
          <t>Dish Soap 500ml</t>
        </is>
      </c>
      <c r="E1455" s="3" t="inlineStr">
        <is>
          <t>Household</t>
        </is>
      </c>
      <c r="F1455" s="4" t="n">
        <v>58</v>
      </c>
      <c r="G1455" s="5" t="n">
        <v>98.34999999999999</v>
      </c>
      <c r="H1455" s="5">
        <f>F1455*G1455</f>
        <v/>
      </c>
      <c r="I1455" s="5">
        <f>F1455*VLOOKUP(D1455,Products!$B$2:$E$13,3,FALSE)</f>
        <v/>
      </c>
    </row>
    <row r="1456">
      <c r="A1456" s="2" t="n">
        <v>46293</v>
      </c>
      <c r="B1456" s="3" t="inlineStr">
        <is>
          <t>INV-2609-1465</t>
        </is>
      </c>
      <c r="C1456" s="3" t="inlineStr">
        <is>
          <t>Sharma Provision</t>
        </is>
      </c>
      <c r="D1456" s="3" t="inlineStr">
        <is>
          <t>Mango Juice 1L</t>
        </is>
      </c>
      <c r="E1456" s="3" t="inlineStr">
        <is>
          <t>Beverages</t>
        </is>
      </c>
      <c r="F1456" s="4" t="n">
        <v>11</v>
      </c>
      <c r="G1456" s="5" t="n">
        <v>117.97</v>
      </c>
      <c r="H1456" s="5">
        <f>F1456*G1456</f>
        <v/>
      </c>
      <c r="I1456" s="5">
        <f>F1456*VLOOKUP(D1456,Products!$B$2:$E$13,3,FALSE)</f>
        <v/>
      </c>
    </row>
    <row r="1457">
      <c r="A1457" s="2" t="n">
        <v>46293</v>
      </c>
      <c r="B1457" s="3" t="inlineStr">
        <is>
          <t>INV-2609-1466</t>
        </is>
      </c>
      <c r="C1457" s="3" t="inlineStr">
        <is>
          <t>Tiwari General</t>
        </is>
      </c>
      <c r="D1457" s="3" t="inlineStr">
        <is>
          <t>Biscuits 400g</t>
        </is>
      </c>
      <c r="E1457" s="3" t="inlineStr">
        <is>
          <t>Snacks</t>
        </is>
      </c>
      <c r="F1457" s="4" t="n">
        <v>33</v>
      </c>
      <c r="G1457" s="5" t="n">
        <v>41.02</v>
      </c>
      <c r="H1457" s="5">
        <f>F1457*G1457</f>
        <v/>
      </c>
      <c r="I1457" s="5">
        <f>F1457*VLOOKUP(D1457,Products!$B$2:$E$13,3,FALSE)</f>
        <v/>
      </c>
    </row>
    <row r="1458">
      <c r="A1458" s="2" t="n">
        <v>46293</v>
      </c>
      <c r="B1458" s="3" t="inlineStr">
        <is>
          <t>INV-2609-1467</t>
        </is>
      </c>
      <c r="C1458" s="3" t="inlineStr">
        <is>
          <t>Nath Provisions</t>
        </is>
      </c>
      <c r="D1458" s="3" t="inlineStr">
        <is>
          <t>Paneer 200g</t>
        </is>
      </c>
      <c r="E1458" s="3" t="inlineStr">
        <is>
          <t>Dairy</t>
        </is>
      </c>
      <c r="F1458" s="4" t="n">
        <v>45</v>
      </c>
      <c r="G1458" s="5" t="n">
        <v>93.04000000000001</v>
      </c>
      <c r="H1458" s="5">
        <f>F1458*G1458</f>
        <v/>
      </c>
      <c r="I1458" s="5">
        <f>F1458*VLOOKUP(D1458,Products!$B$2:$E$13,3,FALSE)</f>
        <v/>
      </c>
    </row>
    <row r="1459">
      <c r="A1459" s="2" t="n">
        <v>46293</v>
      </c>
      <c r="B1459" s="3" t="inlineStr">
        <is>
          <t>INV-2609-1468</t>
        </is>
      </c>
      <c r="C1459" s="3" t="inlineStr">
        <is>
          <t>Gupta General Store</t>
        </is>
      </c>
      <c r="D1459" s="3" t="inlineStr">
        <is>
          <t>Packaged Water 1L</t>
        </is>
      </c>
      <c r="E1459" s="3" t="inlineStr">
        <is>
          <t>Beverages</t>
        </is>
      </c>
      <c r="F1459" s="4" t="n">
        <v>38</v>
      </c>
      <c r="G1459" s="5" t="n">
        <v>20.43</v>
      </c>
      <c r="H1459" s="5">
        <f>F1459*G1459</f>
        <v/>
      </c>
      <c r="I1459" s="5">
        <f>F1459*VLOOKUP(D1459,Products!$B$2:$E$13,3,FALSE)</f>
        <v/>
      </c>
    </row>
    <row r="1460">
      <c r="A1460" s="2" t="n">
        <v>46293</v>
      </c>
      <c r="B1460" s="3" t="inlineStr">
        <is>
          <t>INV-2609-1469</t>
        </is>
      </c>
      <c r="C1460" s="3" t="inlineStr">
        <is>
          <t>Rai Daily Mart</t>
        </is>
      </c>
      <c r="D1460" s="3" t="inlineStr">
        <is>
          <t>Detergent 1kg</t>
        </is>
      </c>
      <c r="E1460" s="3" t="inlineStr">
        <is>
          <t>Household</t>
        </is>
      </c>
      <c r="F1460" s="4" t="n">
        <v>50</v>
      </c>
      <c r="G1460" s="5" t="n">
        <v>127.48</v>
      </c>
      <c r="H1460" s="5">
        <f>F1460*G1460</f>
        <v/>
      </c>
      <c r="I1460" s="5">
        <f>F1460*VLOOKUP(D1460,Products!$B$2:$E$13,3,FALSE)</f>
        <v/>
      </c>
    </row>
    <row r="1461">
      <c r="A1461" s="2" t="n">
        <v>46293</v>
      </c>
      <c r="B1461" s="3" t="inlineStr">
        <is>
          <t>INV-2609-1470</t>
        </is>
      </c>
      <c r="C1461" s="3" t="inlineStr">
        <is>
          <t>Ali General Store</t>
        </is>
      </c>
      <c r="D1461" s="3" t="inlineStr">
        <is>
          <t>Paneer 200g</t>
        </is>
      </c>
      <c r="E1461" s="3" t="inlineStr">
        <is>
          <t>Dairy</t>
        </is>
      </c>
      <c r="F1461" s="4" t="n">
        <v>17</v>
      </c>
      <c r="G1461" s="5" t="n">
        <v>94.55</v>
      </c>
      <c r="H1461" s="5">
        <f>F1461*G1461</f>
        <v/>
      </c>
      <c r="I1461" s="5">
        <f>F1461*VLOOKUP(D1461,Products!$B$2:$E$13,3,FALSE)</f>
        <v/>
      </c>
    </row>
    <row r="1462">
      <c r="A1462" s="2" t="n">
        <v>46294</v>
      </c>
      <c r="B1462" s="3" t="inlineStr">
        <is>
          <t>INV-2609-1471</t>
        </is>
      </c>
      <c r="C1462" s="3" t="inlineStr">
        <is>
          <t>Khan Mart</t>
        </is>
      </c>
      <c r="D1462" s="3" t="inlineStr">
        <is>
          <t>Cola 750ml</t>
        </is>
      </c>
      <c r="E1462" s="3" t="inlineStr">
        <is>
          <t>Beverages</t>
        </is>
      </c>
      <c r="F1462" s="4" t="n">
        <v>45</v>
      </c>
      <c r="G1462" s="5" t="n">
        <v>47.15</v>
      </c>
      <c r="H1462" s="5">
        <f>F1462*G1462</f>
        <v/>
      </c>
      <c r="I1462" s="5">
        <f>F1462*VLOOKUP(D1462,Products!$B$2:$E$13,3,FALSE)</f>
        <v/>
      </c>
    </row>
    <row r="1463">
      <c r="A1463" s="2" t="n">
        <v>46294</v>
      </c>
      <c r="B1463" s="3" t="inlineStr">
        <is>
          <t>INV-2609-1472</t>
        </is>
      </c>
      <c r="C1463" s="3" t="inlineStr">
        <is>
          <t>Rai Daily Mart</t>
        </is>
      </c>
      <c r="D1463" s="3" t="inlineStr">
        <is>
          <t>Curd Cup 400g</t>
        </is>
      </c>
      <c r="E1463" s="3" t="inlineStr">
        <is>
          <t>Dairy</t>
        </is>
      </c>
      <c r="F1463" s="4" t="n">
        <v>19</v>
      </c>
      <c r="G1463" s="5" t="n">
        <v>44.31</v>
      </c>
      <c r="H1463" s="5">
        <f>F1463*G1463</f>
        <v/>
      </c>
      <c r="I1463" s="5">
        <f>F1463*VLOOKUP(D1463,Products!$B$2:$E$13,3,FALSE)</f>
        <v/>
      </c>
    </row>
    <row r="1464">
      <c r="A1464" s="2" t="n">
        <v>46294</v>
      </c>
      <c r="B1464" s="3" t="inlineStr">
        <is>
          <t>INV-2609-1473</t>
        </is>
      </c>
      <c r="C1464" s="3" t="inlineStr">
        <is>
          <t>Mehta Retail</t>
        </is>
      </c>
      <c r="D1464" s="3" t="inlineStr">
        <is>
          <t>Packaged Water 1L</t>
        </is>
      </c>
      <c r="E1464" s="3" t="inlineStr">
        <is>
          <t>Beverages</t>
        </is>
      </c>
      <c r="F1464" s="4" t="n">
        <v>24</v>
      </c>
      <c r="G1464" s="5" t="n">
        <v>20.12</v>
      </c>
      <c r="H1464" s="5">
        <f>F1464*G1464</f>
        <v/>
      </c>
      <c r="I1464" s="5">
        <f>F1464*VLOOKUP(D1464,Products!$B$2:$E$13,3,FALSE)</f>
        <v/>
      </c>
    </row>
    <row r="1465">
      <c r="A1465" s="2" t="n">
        <v>46294</v>
      </c>
      <c r="B1465" s="3" t="inlineStr">
        <is>
          <t>INV-2609-1474</t>
        </is>
      </c>
      <c r="C1465" s="3" t="inlineStr">
        <is>
          <t>Gupta General Store</t>
        </is>
      </c>
      <c r="D1465" s="3" t="inlineStr">
        <is>
          <t>Toned Milk 1L</t>
        </is>
      </c>
      <c r="E1465" s="3" t="inlineStr">
        <is>
          <t>Dairy</t>
        </is>
      </c>
      <c r="F1465" s="4" t="n">
        <v>36</v>
      </c>
      <c r="G1465" s="5" t="n">
        <v>65.06</v>
      </c>
      <c r="H1465" s="5">
        <f>F1465*G1465</f>
        <v/>
      </c>
      <c r="I1465" s="5">
        <f>F1465*VLOOKUP(D1465,Products!$B$2:$E$13,3,FALSE)</f>
        <v/>
      </c>
    </row>
    <row r="1466">
      <c r="A1466" s="2" t="n">
        <v>46294</v>
      </c>
      <c r="B1466" s="3" t="inlineStr">
        <is>
          <t>INV-2609-1475</t>
        </is>
      </c>
      <c r="C1466" s="3" t="inlineStr">
        <is>
          <t>Bhatt General Store</t>
        </is>
      </c>
      <c r="D1466" s="3" t="inlineStr">
        <is>
          <t>Potato Chips 150g</t>
        </is>
      </c>
      <c r="E1466" s="3" t="inlineStr">
        <is>
          <t>Snacks</t>
        </is>
      </c>
      <c r="F1466" s="4" t="n">
        <v>32</v>
      </c>
      <c r="G1466" s="5" t="n">
        <v>51.75</v>
      </c>
      <c r="H1466" s="5">
        <f>F1466*G1466</f>
        <v/>
      </c>
      <c r="I1466" s="5">
        <f>F1466*VLOOKUP(D1466,Products!$B$2:$E$13,3,FALSE)</f>
        <v/>
      </c>
    </row>
    <row r="1467">
      <c r="A1467" s="2" t="n">
        <v>46294</v>
      </c>
      <c r="B1467" s="3" t="inlineStr">
        <is>
          <t>INV-2609-1476</t>
        </is>
      </c>
      <c r="C1467" s="3" t="inlineStr">
        <is>
          <t>Mehta Retail</t>
        </is>
      </c>
      <c r="D1467" s="3" t="inlineStr">
        <is>
          <t>Paneer 200g</t>
        </is>
      </c>
      <c r="E1467" s="3" t="inlineStr">
        <is>
          <t>Dairy</t>
        </is>
      </c>
      <c r="F1467" s="4" t="n">
        <v>4</v>
      </c>
      <c r="G1467" s="5" t="n">
        <v>92.54000000000001</v>
      </c>
      <c r="H1467" s="5">
        <f>F1467*G1467</f>
        <v/>
      </c>
      <c r="I1467" s="5">
        <f>F1467*VLOOKUP(D1467,Products!$B$2:$E$13,3,FALSE)</f>
        <v/>
      </c>
    </row>
    <row r="1468">
      <c r="A1468" s="2" t="n">
        <v>46294</v>
      </c>
      <c r="B1468" s="3" t="inlineStr">
        <is>
          <t>INV-2609-1477</t>
        </is>
      </c>
      <c r="C1468" s="3" t="inlineStr">
        <is>
          <t>Raza Brothers</t>
        </is>
      </c>
      <c r="D1468" s="3" t="inlineStr">
        <is>
          <t>Instant Noodles 280g</t>
        </is>
      </c>
      <c r="E1468" s="3" t="inlineStr">
        <is>
          <t>Snacks</t>
        </is>
      </c>
      <c r="F1468" s="4" t="n">
        <v>12</v>
      </c>
      <c r="G1468" s="5" t="n">
        <v>57.75</v>
      </c>
      <c r="H1468" s="5">
        <f>F1468*G1468</f>
        <v/>
      </c>
      <c r="I1468" s="5">
        <f>F1468*VLOOKUP(D1468,Products!$B$2:$E$13,3,FALSE)</f>
        <v/>
      </c>
    </row>
    <row r="1469">
      <c r="A1469" s="2" t="n">
        <v>46294</v>
      </c>
      <c r="B1469" s="3" t="inlineStr">
        <is>
          <t>INV-2609-1478</t>
        </is>
      </c>
      <c r="C1469" s="3" t="inlineStr">
        <is>
          <t>Sinha Super Mart</t>
        </is>
      </c>
      <c r="D1469" s="3" t="inlineStr">
        <is>
          <t>Paneer 200g</t>
        </is>
      </c>
      <c r="E1469" s="3" t="inlineStr">
        <is>
          <t>Dairy</t>
        </is>
      </c>
      <c r="F1469" s="4" t="n">
        <v>62</v>
      </c>
      <c r="G1469" s="5" t="n">
        <v>92.55</v>
      </c>
      <c r="H1469" s="5">
        <f>F1469*G1469</f>
        <v/>
      </c>
      <c r="I1469" s="5">
        <f>F1469*VLOOKUP(D1469,Products!$B$2:$E$13,3,FALSE)</f>
        <v/>
      </c>
    </row>
    <row r="1470">
      <c r="A1470" s="2" t="n">
        <v>46294</v>
      </c>
      <c r="B1470" s="3" t="inlineStr">
        <is>
          <t>INV-2609-1479</t>
        </is>
      </c>
      <c r="C1470" s="3" t="inlineStr">
        <is>
          <t>Mehta Retail</t>
        </is>
      </c>
      <c r="D1470" s="3" t="inlineStr">
        <is>
          <t>Paneer 200g</t>
        </is>
      </c>
      <c r="E1470" s="3" t="inlineStr">
        <is>
          <t>Dairy</t>
        </is>
      </c>
      <c r="F1470" s="4" t="n">
        <v>48</v>
      </c>
      <c r="G1470" s="5" t="n">
        <v>96.13</v>
      </c>
      <c r="H1470" s="5">
        <f>F1470*G1470</f>
        <v/>
      </c>
      <c r="I1470" s="5">
        <f>F1470*VLOOKUP(D1470,Products!$B$2:$E$13,3,FALSE)</f>
        <v/>
      </c>
    </row>
    <row r="1471">
      <c r="A1471" s="2" t="n">
        <v>46295</v>
      </c>
      <c r="B1471" s="3" t="inlineStr">
        <is>
          <t>INV-2609-1480</t>
        </is>
      </c>
      <c r="C1471" s="3" t="inlineStr">
        <is>
          <t>Sahu Traders</t>
        </is>
      </c>
      <c r="D1471" s="3" t="inlineStr">
        <is>
          <t>Paneer 200g</t>
        </is>
      </c>
      <c r="E1471" s="3" t="inlineStr">
        <is>
          <t>Dairy</t>
        </is>
      </c>
      <c r="F1471" s="4" t="n">
        <v>31</v>
      </c>
      <c r="G1471" s="5" t="n">
        <v>99.51000000000001</v>
      </c>
      <c r="H1471" s="5">
        <f>F1471*G1471</f>
        <v/>
      </c>
      <c r="I1471" s="5">
        <f>F1471*VLOOKUP(D1471,Products!$B$2:$E$13,3,FALSE)</f>
        <v/>
      </c>
    </row>
    <row r="1472">
      <c r="A1472" s="2" t="n">
        <v>46295</v>
      </c>
      <c r="B1472" s="3" t="inlineStr">
        <is>
          <t>INV-2609-1481</t>
        </is>
      </c>
      <c r="C1472" s="3" t="inlineStr">
        <is>
          <t>Jha Provisions</t>
        </is>
      </c>
      <c r="D1472" s="3" t="inlineStr">
        <is>
          <t>Toned Milk 1L</t>
        </is>
      </c>
      <c r="E1472" s="3" t="inlineStr">
        <is>
          <t>Dairy</t>
        </is>
      </c>
      <c r="F1472" s="4" t="n">
        <v>15</v>
      </c>
      <c r="G1472" s="5" t="n">
        <v>66.37</v>
      </c>
      <c r="H1472" s="5">
        <f>F1472*G1472</f>
        <v/>
      </c>
      <c r="I1472" s="5">
        <f>F1472*VLOOKUP(D1472,Products!$B$2:$E$13,3,FALSE)</f>
        <v/>
      </c>
    </row>
    <row r="1473">
      <c r="A1473" s="2" t="n">
        <v>46295</v>
      </c>
      <c r="B1473" s="3" t="inlineStr">
        <is>
          <t>INV-2609-1482</t>
        </is>
      </c>
      <c r="C1473" s="3" t="inlineStr">
        <is>
          <t>Ali General Store</t>
        </is>
      </c>
      <c r="D1473" s="3" t="inlineStr">
        <is>
          <t>Instant Noodles 280g</t>
        </is>
      </c>
      <c r="E1473" s="3" t="inlineStr">
        <is>
          <t>Snacks</t>
        </is>
      </c>
      <c r="F1473" s="4" t="n">
        <v>27</v>
      </c>
      <c r="G1473" s="5" t="n">
        <v>57.26</v>
      </c>
      <c r="H1473" s="5">
        <f>F1473*G1473</f>
        <v/>
      </c>
      <c r="I1473" s="5">
        <f>F1473*VLOOKUP(D1473,Products!$B$2:$E$13,3,FALSE)</f>
        <v/>
      </c>
    </row>
    <row r="1474">
      <c r="A1474" s="2" t="n">
        <v>46295</v>
      </c>
      <c r="B1474" s="3" t="inlineStr">
        <is>
          <t>INV-2609-1483</t>
        </is>
      </c>
      <c r="C1474" s="3" t="inlineStr">
        <is>
          <t>Nath Provisions</t>
        </is>
      </c>
      <c r="D1474" s="3" t="inlineStr">
        <is>
          <t>Biscuits 400g</t>
        </is>
      </c>
      <c r="E1474" s="3" t="inlineStr">
        <is>
          <t>Snacks</t>
        </is>
      </c>
      <c r="F1474" s="4" t="n">
        <v>26</v>
      </c>
      <c r="G1474" s="5" t="n">
        <v>39.01</v>
      </c>
      <c r="H1474" s="5">
        <f>F1474*G1474</f>
        <v/>
      </c>
      <c r="I1474" s="5">
        <f>F1474*VLOOKUP(D1474,Products!$B$2:$E$13,3,FALSE)</f>
        <v/>
      </c>
    </row>
    <row r="1475">
      <c r="A1475" s="2" t="n">
        <v>46295</v>
      </c>
      <c r="B1475" s="3" t="inlineStr">
        <is>
          <t>INV-2609-1484</t>
        </is>
      </c>
      <c r="C1475" s="3" t="inlineStr">
        <is>
          <t>Gupta General Store</t>
        </is>
      </c>
      <c r="D1475" s="3" t="inlineStr">
        <is>
          <t>Packaged Water 1L</t>
        </is>
      </c>
      <c r="E1475" s="3" t="inlineStr">
        <is>
          <t>Beverages</t>
        </is>
      </c>
      <c r="F1475" s="4" t="n">
        <v>6</v>
      </c>
      <c r="G1475" s="5" t="n">
        <v>20.31</v>
      </c>
      <c r="H1475" s="5">
        <f>F1475*G1475</f>
        <v/>
      </c>
      <c r="I1475" s="5">
        <f>F1475*VLOOKUP(D1475,Products!$B$2:$E$13,3,FALSE)</f>
        <v/>
      </c>
    </row>
    <row r="1476">
      <c r="A1476" s="2" t="n">
        <v>46295</v>
      </c>
      <c r="B1476" s="3" t="inlineStr">
        <is>
          <t>INV-2609-1485</t>
        </is>
      </c>
      <c r="C1476" s="3" t="inlineStr">
        <is>
          <t>Khan Mart</t>
        </is>
      </c>
      <c r="D1476" s="3" t="inlineStr">
        <is>
          <t>Packaged Water 1L</t>
        </is>
      </c>
      <c r="E1476" s="3" t="inlineStr">
        <is>
          <t>Beverages</t>
        </is>
      </c>
      <c r="F1476" s="4" t="n">
        <v>42</v>
      </c>
      <c r="G1476" s="5" t="n">
        <v>20.8</v>
      </c>
      <c r="H1476" s="5">
        <f>F1476*G1476</f>
        <v/>
      </c>
      <c r="I1476" s="5">
        <f>F1476*VLOOKUP(D1476,Products!$B$2:$E$13,3,FALSE)</f>
        <v/>
      </c>
    </row>
    <row r="1477">
      <c r="A1477" s="2" t="n">
        <v>46295</v>
      </c>
      <c r="B1477" s="3" t="inlineStr">
        <is>
          <t>INV-2609-1486</t>
        </is>
      </c>
      <c r="C1477" s="3" t="inlineStr">
        <is>
          <t>Khan Mart</t>
        </is>
      </c>
      <c r="D1477" s="3" t="inlineStr">
        <is>
          <t>Biscuits 400g</t>
        </is>
      </c>
      <c r="E1477" s="3" t="inlineStr">
        <is>
          <t>Snacks</t>
        </is>
      </c>
      <c r="F1477" s="4" t="n">
        <v>51</v>
      </c>
      <c r="G1477" s="5" t="n">
        <v>39.49</v>
      </c>
      <c r="H1477" s="5">
        <f>F1477*G1477</f>
        <v/>
      </c>
      <c r="I1477" s="5">
        <f>F1477*VLOOKUP(D1477,Products!$B$2:$E$13,3,FALSE)</f>
        <v/>
      </c>
    </row>
    <row r="1478">
      <c r="A1478" s="2" t="n">
        <v>46295</v>
      </c>
      <c r="B1478" s="3" t="inlineStr">
        <is>
          <t>INV-2609-1487</t>
        </is>
      </c>
      <c r="C1478" s="3" t="inlineStr">
        <is>
          <t>Gupta General Store</t>
        </is>
      </c>
      <c r="D1478" s="3" t="inlineStr">
        <is>
          <t>Potato Chips 150g</t>
        </is>
      </c>
      <c r="E1478" s="3" t="inlineStr">
        <is>
          <t>Snacks</t>
        </is>
      </c>
      <c r="F1478" s="4" t="n">
        <v>68</v>
      </c>
      <c r="G1478" s="5" t="n">
        <v>50.03</v>
      </c>
      <c r="H1478" s="5">
        <f>F1478*G1478</f>
        <v/>
      </c>
      <c r="I1478" s="5">
        <f>F1478*VLOOKUP(D1478,Products!$B$2:$E$13,3,FALSE)</f>
        <v/>
      </c>
    </row>
    <row r="1479">
      <c r="A1479" s="2" t="n">
        <v>46295</v>
      </c>
      <c r="B1479" s="3" t="inlineStr">
        <is>
          <t>INV-2609-1488</t>
        </is>
      </c>
      <c r="C1479" s="3" t="inlineStr">
        <is>
          <t>Azad Stores</t>
        </is>
      </c>
      <c r="D1479" s="3" t="inlineStr">
        <is>
          <t>Mango Juice 1L</t>
        </is>
      </c>
      <c r="E1479" s="3" t="inlineStr">
        <is>
          <t>Beverages</t>
        </is>
      </c>
      <c r="F1479" s="4" t="n">
        <v>19</v>
      </c>
      <c r="G1479" s="5" t="n">
        <v>125.34</v>
      </c>
      <c r="H1479" s="5">
        <f>F1479*G1479</f>
        <v/>
      </c>
      <c r="I1479" s="5">
        <f>F1479*VLOOKUP(D1479,Products!$B$2:$E$13,3,FALSE)</f>
        <v/>
      </c>
    </row>
    <row r="1480">
      <c r="A1480" s="2" t="n">
        <v>46160</v>
      </c>
      <c r="B1480" s="3" t="inlineStr">
        <is>
          <t>INV-2605-1489</t>
        </is>
      </c>
      <c r="C1480" s="3" t="inlineStr">
        <is>
          <t>Singh Super Bazaar</t>
        </is>
      </c>
      <c r="D1480" s="3" t="inlineStr">
        <is>
          <t>Mango Juice 1L</t>
        </is>
      </c>
      <c r="E1480" s="3" t="inlineStr">
        <is>
          <t>Beverages</t>
        </is>
      </c>
      <c r="F1480" s="4" t="n">
        <v>4000</v>
      </c>
      <c r="G1480" s="5" t="n">
        <v>118</v>
      </c>
      <c r="H1480" s="5">
        <f>F1480*G1480</f>
        <v/>
      </c>
      <c r="I1480" s="5">
        <f>F1480*VLOOKUP(D1480,Products!$B$2:$E$13,3,FALSE)</f>
        <v/>
      </c>
    </row>
    <row r="1481">
      <c r="H1481" s="5">
        <f>F1481*G1481</f>
        <v/>
      </c>
      <c r="I1481" s="5">
        <f>IF(D1481="","",F1481*VLOOKUP(D1481,Products!$B$2:$E$13,3,FALSE))</f>
        <v/>
      </c>
    </row>
    <row r="1482">
      <c r="H1482" s="5">
        <f>F1482*G1482</f>
        <v/>
      </c>
      <c r="I1482" s="5">
        <f>IF(D1482="","",F1482*VLOOKUP(D1482,Products!$B$2:$E$13,3,FALSE))</f>
        <v/>
      </c>
    </row>
    <row r="1483">
      <c r="H1483" s="5">
        <f>F1483*G1483</f>
        <v/>
      </c>
      <c r="I1483" s="5">
        <f>IF(D1483="","",F1483*VLOOKUP(D1483,Products!$B$2:$E$13,3,FALSE))</f>
        <v/>
      </c>
    </row>
    <row r="1484">
      <c r="H1484" s="5">
        <f>F1484*G1484</f>
        <v/>
      </c>
      <c r="I1484" s="5">
        <f>IF(D1484="","",F1484*VLOOKUP(D1484,Products!$B$2:$E$13,3,FALSE))</f>
        <v/>
      </c>
    </row>
    <row r="1485">
      <c r="H1485" s="5">
        <f>F1485*G1485</f>
        <v/>
      </c>
      <c r="I1485" s="5">
        <f>IF(D1485="","",F1485*VLOOKUP(D1485,Products!$B$2:$E$13,3,FALSE))</f>
        <v/>
      </c>
    </row>
    <row r="1486">
      <c r="H1486" s="5">
        <f>F1486*G1486</f>
        <v/>
      </c>
      <c r="I1486" s="5">
        <f>IF(D1486="","",F1486*VLOOKUP(D1486,Products!$B$2:$E$13,3,FALSE))</f>
        <v/>
      </c>
    </row>
    <row r="1487">
      <c r="H1487" s="5">
        <f>F1487*G1487</f>
        <v/>
      </c>
      <c r="I1487" s="5">
        <f>IF(D1487="","",F1487*VLOOKUP(D1487,Products!$B$2:$E$13,3,FALSE))</f>
        <v/>
      </c>
    </row>
    <row r="1488">
      <c r="H1488" s="5">
        <f>F1488*G1488</f>
        <v/>
      </c>
      <c r="I1488" s="5">
        <f>IF(D1488="","",F1488*VLOOKUP(D1488,Products!$B$2:$E$13,3,FALSE))</f>
        <v/>
      </c>
    </row>
    <row r="1489">
      <c r="H1489" s="5">
        <f>F1489*G1489</f>
        <v/>
      </c>
      <c r="I1489" s="5">
        <f>IF(D1489="","",F1489*VLOOKUP(D1489,Products!$B$2:$E$13,3,FALSE))</f>
        <v/>
      </c>
    </row>
    <row r="1490">
      <c r="H1490" s="5">
        <f>F1490*G1490</f>
        <v/>
      </c>
      <c r="I1490" s="5">
        <f>IF(D1490="","",F1490*VLOOKUP(D1490,Products!$B$2:$E$13,3,FALSE))</f>
        <v/>
      </c>
    </row>
    <row r="1491">
      <c r="H1491" s="5">
        <f>F1491*G1491</f>
        <v/>
      </c>
      <c r="I1491" s="5">
        <f>IF(D1491="","",F1491*VLOOKUP(D1491,Products!$B$2:$E$13,3,FALSE))</f>
        <v/>
      </c>
    </row>
    <row r="1492">
      <c r="H1492" s="5">
        <f>F1492*G1492</f>
        <v/>
      </c>
      <c r="I1492" s="5">
        <f>IF(D1492="","",F1492*VLOOKUP(D1492,Products!$B$2:$E$13,3,FALSE))</f>
        <v/>
      </c>
    </row>
    <row r="1493">
      <c r="H1493" s="5">
        <f>F1493*G1493</f>
        <v/>
      </c>
      <c r="I1493" s="5">
        <f>IF(D1493="","",F1493*VLOOKUP(D1493,Products!$B$2:$E$13,3,FALSE))</f>
        <v/>
      </c>
    </row>
    <row r="1494">
      <c r="H1494" s="5">
        <f>F1494*G1494</f>
        <v/>
      </c>
      <c r="I1494" s="5">
        <f>IF(D1494="","",F1494*VLOOKUP(D1494,Products!$B$2:$E$13,3,FALSE))</f>
        <v/>
      </c>
    </row>
    <row r="1495">
      <c r="H1495" s="5">
        <f>F1495*G1495</f>
        <v/>
      </c>
      <c r="I1495" s="5">
        <f>IF(D1495="","",F1495*VLOOKUP(D1495,Products!$B$2:$E$13,3,FALSE))</f>
        <v/>
      </c>
    </row>
    <row r="1496">
      <c r="H1496" s="5">
        <f>F1496*G1496</f>
        <v/>
      </c>
      <c r="I1496" s="5">
        <f>IF(D1496="","",F1496*VLOOKUP(D1496,Products!$B$2:$E$13,3,FALSE))</f>
        <v/>
      </c>
    </row>
    <row r="1497">
      <c r="H1497" s="5">
        <f>F1497*G1497</f>
        <v/>
      </c>
      <c r="I1497" s="5">
        <f>IF(D1497="","",F1497*VLOOKUP(D1497,Products!$B$2:$E$13,3,FALSE))</f>
        <v/>
      </c>
    </row>
    <row r="1498">
      <c r="H1498" s="5">
        <f>F1498*G1498</f>
        <v/>
      </c>
      <c r="I1498" s="5">
        <f>IF(D1498="","",F1498*VLOOKUP(D1498,Products!$B$2:$E$13,3,FALSE))</f>
        <v/>
      </c>
    </row>
    <row r="1499">
      <c r="H1499" s="5">
        <f>F1499*G1499</f>
        <v/>
      </c>
      <c r="I1499" s="5">
        <f>IF(D1499="","",F1499*VLOOKUP(D1499,Products!$B$2:$E$13,3,FALSE))</f>
        <v/>
      </c>
    </row>
    <row r="1500">
      <c r="H1500" s="5">
        <f>F1500*G1500</f>
        <v/>
      </c>
      <c r="I1500" s="5">
        <f>IF(D1500="","",F1500*VLOOKUP(D1500,Products!$B$2:$E$13,3,FALSE))</f>
        <v/>
      </c>
    </row>
    <row r="1501">
      <c r="H1501" s="5">
        <f>F1501*G1501</f>
        <v/>
      </c>
      <c r="I1501" s="5">
        <f>IF(D1501="","",F1501*VLOOKUP(D1501,Products!$B$2:$E$13,3,FALSE))</f>
        <v/>
      </c>
    </row>
    <row r="1502">
      <c r="H1502" s="5">
        <f>F1502*G1502</f>
        <v/>
      </c>
      <c r="I1502" s="5">
        <f>IF(D1502="","",F1502*VLOOKUP(D1502,Products!$B$2:$E$13,3,FALSE))</f>
        <v/>
      </c>
    </row>
    <row r="1503">
      <c r="H1503" s="5">
        <f>F1503*G1503</f>
        <v/>
      </c>
      <c r="I1503" s="5">
        <f>IF(D1503="","",F1503*VLOOKUP(D1503,Products!$B$2:$E$13,3,FALSE))</f>
        <v/>
      </c>
    </row>
    <row r="1504">
      <c r="H1504" s="5">
        <f>F1504*G1504</f>
        <v/>
      </c>
      <c r="I1504" s="5">
        <f>IF(D1504="","",F1504*VLOOKUP(D1504,Products!$B$2:$E$13,3,FALSE))</f>
        <v/>
      </c>
    </row>
    <row r="1505">
      <c r="H1505" s="5">
        <f>F1505*G1505</f>
        <v/>
      </c>
      <c r="I1505" s="5">
        <f>IF(D1505="","",F1505*VLOOKUP(D1505,Products!$B$2:$E$13,3,FALSE))</f>
        <v/>
      </c>
    </row>
    <row r="1506">
      <c r="H1506" s="5">
        <f>F1506*G1506</f>
        <v/>
      </c>
      <c r="I1506" s="5">
        <f>IF(D1506="","",F1506*VLOOKUP(D1506,Products!$B$2:$E$13,3,FALSE))</f>
        <v/>
      </c>
    </row>
    <row r="1507">
      <c r="H1507" s="5">
        <f>F1507*G1507</f>
        <v/>
      </c>
      <c r="I1507" s="5">
        <f>IF(D1507="","",F1507*VLOOKUP(D1507,Products!$B$2:$E$13,3,FALSE))</f>
        <v/>
      </c>
    </row>
    <row r="1508">
      <c r="H1508" s="5">
        <f>F1508*G1508</f>
        <v/>
      </c>
      <c r="I1508" s="5">
        <f>IF(D1508="","",F1508*VLOOKUP(D1508,Products!$B$2:$E$13,3,FALSE))</f>
        <v/>
      </c>
    </row>
    <row r="1509">
      <c r="H1509" s="5">
        <f>F1509*G1509</f>
        <v/>
      </c>
      <c r="I1509" s="5">
        <f>IF(D1509="","",F1509*VLOOKUP(D1509,Products!$B$2:$E$13,3,FALSE))</f>
        <v/>
      </c>
    </row>
    <row r="1510">
      <c r="H1510" s="5">
        <f>F1510*G1510</f>
        <v/>
      </c>
      <c r="I1510" s="5">
        <f>IF(D1510="","",F1510*VLOOKUP(D1510,Products!$B$2:$E$13,3,FALSE))</f>
        <v/>
      </c>
    </row>
    <row r="1511">
      <c r="H1511" s="5">
        <f>F1511*G1511</f>
        <v/>
      </c>
      <c r="I1511" s="5">
        <f>IF(D1511="","",F1511*VLOOKUP(D1511,Products!$B$2:$E$13,3,FALSE))</f>
        <v/>
      </c>
    </row>
    <row r="1512">
      <c r="H1512" s="5">
        <f>F1512*G1512</f>
        <v/>
      </c>
      <c r="I1512" s="5">
        <f>IF(D1512="","",F1512*VLOOKUP(D1512,Products!$B$2:$E$13,3,FALSE))</f>
        <v/>
      </c>
    </row>
    <row r="1513">
      <c r="H1513" s="5">
        <f>F1513*G1513</f>
        <v/>
      </c>
      <c r="I1513" s="5">
        <f>IF(D1513="","",F1513*VLOOKUP(D1513,Products!$B$2:$E$13,3,FALSE))</f>
        <v/>
      </c>
    </row>
    <row r="1514">
      <c r="H1514" s="5">
        <f>F1514*G1514</f>
        <v/>
      </c>
      <c r="I1514" s="5">
        <f>IF(D1514="","",F1514*VLOOKUP(D1514,Products!$B$2:$E$13,3,FALSE))</f>
        <v/>
      </c>
    </row>
    <row r="1515">
      <c r="H1515" s="5">
        <f>F1515*G1515</f>
        <v/>
      </c>
      <c r="I1515" s="5">
        <f>IF(D1515="","",F1515*VLOOKUP(D1515,Products!$B$2:$E$13,3,FALSE))</f>
        <v/>
      </c>
    </row>
    <row r="1516">
      <c r="H1516" s="5">
        <f>F1516*G1516</f>
        <v/>
      </c>
      <c r="I1516" s="5">
        <f>IF(D1516="","",F1516*VLOOKUP(D1516,Products!$B$2:$E$13,3,FALSE))</f>
        <v/>
      </c>
    </row>
    <row r="1517">
      <c r="H1517" s="5">
        <f>F1517*G1517</f>
        <v/>
      </c>
      <c r="I1517" s="5">
        <f>IF(D1517="","",F1517*VLOOKUP(D1517,Products!$B$2:$E$13,3,FALSE))</f>
        <v/>
      </c>
    </row>
    <row r="1518">
      <c r="H1518" s="5">
        <f>F1518*G1518</f>
        <v/>
      </c>
      <c r="I1518" s="5">
        <f>IF(D1518="","",F1518*VLOOKUP(D1518,Products!$B$2:$E$13,3,FALSE))</f>
        <v/>
      </c>
    </row>
    <row r="1519">
      <c r="H1519" s="5">
        <f>F1519*G1519</f>
        <v/>
      </c>
      <c r="I1519" s="5">
        <f>IF(D1519="","",F1519*VLOOKUP(D1519,Products!$B$2:$E$13,3,FALSE))</f>
        <v/>
      </c>
    </row>
    <row r="1520">
      <c r="H1520" s="5">
        <f>F1520*G1520</f>
        <v/>
      </c>
      <c r="I1520" s="5">
        <f>IF(D1520="","",F1520*VLOOKUP(D1520,Products!$B$2:$E$13,3,FALSE))</f>
        <v/>
      </c>
    </row>
    <row r="1521">
      <c r="H1521" s="5">
        <f>F1521*G1521</f>
        <v/>
      </c>
      <c r="I1521" s="5">
        <f>IF(D1521="","",F1521*VLOOKUP(D1521,Products!$B$2:$E$13,3,FALSE))</f>
        <v/>
      </c>
    </row>
    <row r="1522">
      <c r="H1522" s="5">
        <f>F1522*G1522</f>
        <v/>
      </c>
      <c r="I1522" s="5">
        <f>IF(D1522="","",F1522*VLOOKUP(D1522,Products!$B$2:$E$13,3,FALSE))</f>
        <v/>
      </c>
    </row>
    <row r="1523">
      <c r="H1523" s="5">
        <f>F1523*G1523</f>
        <v/>
      </c>
      <c r="I1523" s="5">
        <f>IF(D1523="","",F1523*VLOOKUP(D1523,Products!$B$2:$E$13,3,FALSE))</f>
        <v/>
      </c>
    </row>
    <row r="1524">
      <c r="H1524" s="5">
        <f>F1524*G1524</f>
        <v/>
      </c>
      <c r="I1524" s="5">
        <f>IF(D1524="","",F1524*VLOOKUP(D1524,Products!$B$2:$E$13,3,FALSE))</f>
        <v/>
      </c>
    </row>
    <row r="1525">
      <c r="H1525" s="5">
        <f>F1525*G1525</f>
        <v/>
      </c>
      <c r="I1525" s="5">
        <f>IF(D1525="","",F1525*VLOOKUP(D1525,Products!$B$2:$E$13,3,FALSE))</f>
        <v/>
      </c>
    </row>
    <row r="1526">
      <c r="H1526" s="5">
        <f>F1526*G1526</f>
        <v/>
      </c>
      <c r="I1526" s="5">
        <f>IF(D1526="","",F1526*VLOOKUP(D1526,Products!$B$2:$E$13,3,FALSE))</f>
        <v/>
      </c>
    </row>
    <row r="1527">
      <c r="H1527" s="5">
        <f>F1527*G1527</f>
        <v/>
      </c>
      <c r="I1527" s="5">
        <f>IF(D1527="","",F1527*VLOOKUP(D1527,Products!$B$2:$E$13,3,FALSE))</f>
        <v/>
      </c>
    </row>
    <row r="1528">
      <c r="H1528" s="5">
        <f>F1528*G1528</f>
        <v/>
      </c>
      <c r="I1528" s="5">
        <f>IF(D1528="","",F1528*VLOOKUP(D1528,Products!$B$2:$E$13,3,FALSE))</f>
        <v/>
      </c>
    </row>
    <row r="1529">
      <c r="H1529" s="5">
        <f>F1529*G1529</f>
        <v/>
      </c>
      <c r="I1529" s="5">
        <f>IF(D1529="","",F1529*VLOOKUP(D1529,Products!$B$2:$E$13,3,FALSE))</f>
        <v/>
      </c>
    </row>
    <row r="1530">
      <c r="H1530" s="5">
        <f>F1530*G1530</f>
        <v/>
      </c>
      <c r="I1530" s="5">
        <f>IF(D1530="","",F1530*VLOOKUP(D1530,Products!$B$2:$E$13,3,FALSE))</f>
        <v/>
      </c>
    </row>
    <row r="1531">
      <c r="H1531" s="5">
        <f>F1531*G1531</f>
        <v/>
      </c>
      <c r="I1531" s="5">
        <f>IF(D1531="","",F1531*VLOOKUP(D1531,Products!$B$2:$E$13,3,FALSE))</f>
        <v/>
      </c>
    </row>
    <row r="1532">
      <c r="H1532" s="5">
        <f>F1532*G1532</f>
        <v/>
      </c>
      <c r="I1532" s="5">
        <f>IF(D1532="","",F1532*VLOOKUP(D1532,Products!$B$2:$E$13,3,FALSE))</f>
        <v/>
      </c>
    </row>
    <row r="1533">
      <c r="H1533" s="5">
        <f>F1533*G1533</f>
        <v/>
      </c>
      <c r="I1533" s="5">
        <f>IF(D1533="","",F1533*VLOOKUP(D1533,Products!$B$2:$E$13,3,FALSE))</f>
        <v/>
      </c>
    </row>
    <row r="1534">
      <c r="H1534" s="5">
        <f>F1534*G1534</f>
        <v/>
      </c>
      <c r="I1534" s="5">
        <f>IF(D1534="","",F1534*VLOOKUP(D1534,Products!$B$2:$E$13,3,FALSE))</f>
        <v/>
      </c>
    </row>
    <row r="1535">
      <c r="H1535" s="5">
        <f>F1535*G1535</f>
        <v/>
      </c>
      <c r="I1535" s="5">
        <f>IF(D1535="","",F1535*VLOOKUP(D1535,Products!$B$2:$E$13,3,FALSE))</f>
        <v/>
      </c>
    </row>
    <row r="1536">
      <c r="H1536" s="5">
        <f>F1536*G1536</f>
        <v/>
      </c>
      <c r="I1536" s="5">
        <f>IF(D1536="","",F1536*VLOOKUP(D1536,Products!$B$2:$E$13,3,FALSE))</f>
        <v/>
      </c>
    </row>
    <row r="1537">
      <c r="H1537" s="5">
        <f>F1537*G1537</f>
        <v/>
      </c>
      <c r="I1537" s="5">
        <f>IF(D1537="","",F1537*VLOOKUP(D1537,Products!$B$2:$E$13,3,FALSE))</f>
        <v/>
      </c>
    </row>
    <row r="1538">
      <c r="H1538" s="5">
        <f>F1538*G1538</f>
        <v/>
      </c>
      <c r="I1538" s="5">
        <f>IF(D1538="","",F1538*VLOOKUP(D1538,Products!$B$2:$E$13,3,FALSE))</f>
        <v/>
      </c>
    </row>
    <row r="1539">
      <c r="H1539" s="5">
        <f>F1539*G1539</f>
        <v/>
      </c>
      <c r="I1539" s="5">
        <f>IF(D1539="","",F1539*VLOOKUP(D1539,Products!$B$2:$E$13,3,FALSE))</f>
        <v/>
      </c>
    </row>
    <row r="1540">
      <c r="H1540" s="5">
        <f>F1540*G1540</f>
        <v/>
      </c>
      <c r="I1540" s="5">
        <f>IF(D1540="","",F1540*VLOOKUP(D1540,Products!$B$2:$E$13,3,FALSE))</f>
        <v/>
      </c>
    </row>
    <row r="1541">
      <c r="H1541" s="5">
        <f>F1541*G1541</f>
        <v/>
      </c>
      <c r="I1541" s="5">
        <f>IF(D1541="","",F1541*VLOOKUP(D1541,Products!$B$2:$E$13,3,FALSE))</f>
        <v/>
      </c>
    </row>
    <row r="1542">
      <c r="H1542" s="5">
        <f>F1542*G1542</f>
        <v/>
      </c>
      <c r="I1542" s="5">
        <f>IF(D1542="","",F1542*VLOOKUP(D1542,Products!$B$2:$E$13,3,FALSE))</f>
        <v/>
      </c>
    </row>
    <row r="1543">
      <c r="H1543" s="5">
        <f>F1543*G1543</f>
        <v/>
      </c>
      <c r="I1543" s="5">
        <f>IF(D1543="","",F1543*VLOOKUP(D1543,Products!$B$2:$E$13,3,FALSE))</f>
        <v/>
      </c>
    </row>
    <row r="1544">
      <c r="H1544" s="5">
        <f>F1544*G1544</f>
        <v/>
      </c>
      <c r="I1544" s="5">
        <f>IF(D1544="","",F1544*VLOOKUP(D1544,Products!$B$2:$E$13,3,FALSE))</f>
        <v/>
      </c>
    </row>
    <row r="1545">
      <c r="H1545" s="5">
        <f>F1545*G1545</f>
        <v/>
      </c>
      <c r="I1545" s="5">
        <f>IF(D1545="","",F1545*VLOOKUP(D1545,Products!$B$2:$E$13,3,FALSE))</f>
        <v/>
      </c>
    </row>
    <row r="1546">
      <c r="H1546" s="5">
        <f>F1546*G1546</f>
        <v/>
      </c>
      <c r="I1546" s="5">
        <f>IF(D1546="","",F1546*VLOOKUP(D1546,Products!$B$2:$E$13,3,FALSE))</f>
        <v/>
      </c>
    </row>
    <row r="1547">
      <c r="H1547" s="5">
        <f>F1547*G1547</f>
        <v/>
      </c>
      <c r="I1547" s="5">
        <f>IF(D1547="","",F1547*VLOOKUP(D1547,Products!$B$2:$E$13,3,FALSE))</f>
        <v/>
      </c>
    </row>
    <row r="1548">
      <c r="H1548" s="5">
        <f>F1548*G1548</f>
        <v/>
      </c>
      <c r="I1548" s="5">
        <f>IF(D1548="","",F1548*VLOOKUP(D1548,Products!$B$2:$E$13,3,FALSE))</f>
        <v/>
      </c>
    </row>
    <row r="1549">
      <c r="H1549" s="5">
        <f>F1549*G1549</f>
        <v/>
      </c>
      <c r="I1549" s="5">
        <f>IF(D1549="","",F1549*VLOOKUP(D1549,Products!$B$2:$E$13,3,FALSE))</f>
        <v/>
      </c>
    </row>
    <row r="1550">
      <c r="H1550" s="5">
        <f>F1550*G1550</f>
        <v/>
      </c>
      <c r="I1550" s="5">
        <f>IF(D1550="","",F1550*VLOOKUP(D1550,Products!$B$2:$E$13,3,FALSE))</f>
        <v/>
      </c>
    </row>
    <row r="1551">
      <c r="H1551" s="5">
        <f>F1551*G1551</f>
        <v/>
      </c>
      <c r="I1551" s="5">
        <f>IF(D1551="","",F1551*VLOOKUP(D1551,Products!$B$2:$E$13,3,FALSE))</f>
        <v/>
      </c>
    </row>
    <row r="1552">
      <c r="H1552" s="5">
        <f>F1552*G1552</f>
        <v/>
      </c>
      <c r="I1552" s="5">
        <f>IF(D1552="","",F1552*VLOOKUP(D1552,Products!$B$2:$E$13,3,FALSE))</f>
        <v/>
      </c>
    </row>
    <row r="1553">
      <c r="H1553" s="5">
        <f>F1553*G1553</f>
        <v/>
      </c>
      <c r="I1553" s="5">
        <f>IF(D1553="","",F1553*VLOOKUP(D1553,Products!$B$2:$E$13,3,FALSE))</f>
        <v/>
      </c>
    </row>
    <row r="1554">
      <c r="H1554" s="5">
        <f>F1554*G1554</f>
        <v/>
      </c>
      <c r="I1554" s="5">
        <f>IF(D1554="","",F1554*VLOOKUP(D1554,Products!$B$2:$E$13,3,FALSE))</f>
        <v/>
      </c>
    </row>
    <row r="1555">
      <c r="H1555" s="5">
        <f>F1555*G1555</f>
        <v/>
      </c>
      <c r="I1555" s="5">
        <f>IF(D1555="","",F1555*VLOOKUP(D1555,Products!$B$2:$E$13,3,FALSE))</f>
        <v/>
      </c>
    </row>
    <row r="1556">
      <c r="H1556" s="5">
        <f>F1556*G1556</f>
        <v/>
      </c>
      <c r="I1556" s="5">
        <f>IF(D1556="","",F1556*VLOOKUP(D1556,Products!$B$2:$E$13,3,FALSE))</f>
        <v/>
      </c>
    </row>
    <row r="1557">
      <c r="H1557" s="5">
        <f>F1557*G1557</f>
        <v/>
      </c>
      <c r="I1557" s="5">
        <f>IF(D1557="","",F1557*VLOOKUP(D1557,Products!$B$2:$E$13,3,FALSE))</f>
        <v/>
      </c>
    </row>
    <row r="1558">
      <c r="H1558" s="5">
        <f>F1558*G1558</f>
        <v/>
      </c>
      <c r="I1558" s="5">
        <f>IF(D1558="","",F1558*VLOOKUP(D1558,Products!$B$2:$E$13,3,FALSE))</f>
        <v/>
      </c>
    </row>
    <row r="1559">
      <c r="H1559" s="5">
        <f>F1559*G1559</f>
        <v/>
      </c>
      <c r="I1559" s="5">
        <f>IF(D1559="","",F1559*VLOOKUP(D1559,Products!$B$2:$E$13,3,FALSE))</f>
        <v/>
      </c>
    </row>
    <row r="1560">
      <c r="H1560" s="5">
        <f>F1560*G1560</f>
        <v/>
      </c>
      <c r="I1560" s="5">
        <f>IF(D1560="","",F1560*VLOOKUP(D1560,Products!$B$2:$E$13,3,FALSE))</f>
        <v/>
      </c>
    </row>
    <row r="1561">
      <c r="H1561" s="5">
        <f>F1561*G1561</f>
        <v/>
      </c>
      <c r="I1561" s="5">
        <f>IF(D1561="","",F1561*VLOOKUP(D1561,Products!$B$2:$E$13,3,FALSE))</f>
        <v/>
      </c>
    </row>
    <row r="1562">
      <c r="H1562" s="5">
        <f>F1562*G1562</f>
        <v/>
      </c>
      <c r="I1562" s="5">
        <f>IF(D1562="","",F1562*VLOOKUP(D1562,Products!$B$2:$E$13,3,FALSE))</f>
        <v/>
      </c>
    </row>
    <row r="1563">
      <c r="H1563" s="5">
        <f>F1563*G1563</f>
        <v/>
      </c>
      <c r="I1563" s="5">
        <f>IF(D1563="","",F1563*VLOOKUP(D1563,Products!$B$2:$E$13,3,FALSE))</f>
        <v/>
      </c>
    </row>
    <row r="1564">
      <c r="H1564" s="5">
        <f>F1564*G1564</f>
        <v/>
      </c>
      <c r="I1564" s="5">
        <f>IF(D1564="","",F1564*VLOOKUP(D1564,Products!$B$2:$E$13,3,FALSE))</f>
        <v/>
      </c>
    </row>
    <row r="1565">
      <c r="H1565" s="5">
        <f>F1565*G1565</f>
        <v/>
      </c>
      <c r="I1565" s="5">
        <f>IF(D1565="","",F1565*VLOOKUP(D1565,Products!$B$2:$E$13,3,FALSE))</f>
        <v/>
      </c>
    </row>
    <row r="1566">
      <c r="H1566" s="5">
        <f>F1566*G1566</f>
        <v/>
      </c>
      <c r="I1566" s="5">
        <f>IF(D1566="","",F1566*VLOOKUP(D1566,Products!$B$2:$E$13,3,FALSE))</f>
        <v/>
      </c>
    </row>
    <row r="1567">
      <c r="H1567" s="5">
        <f>F1567*G1567</f>
        <v/>
      </c>
      <c r="I1567" s="5">
        <f>IF(D1567="","",F1567*VLOOKUP(D1567,Products!$B$2:$E$13,3,FALSE))</f>
        <v/>
      </c>
    </row>
    <row r="1568">
      <c r="H1568" s="5">
        <f>F1568*G1568</f>
        <v/>
      </c>
      <c r="I1568" s="5">
        <f>IF(D1568="","",F1568*VLOOKUP(D1568,Products!$B$2:$E$13,3,FALSE))</f>
        <v/>
      </c>
    </row>
    <row r="1569">
      <c r="H1569" s="5">
        <f>F1569*G1569</f>
        <v/>
      </c>
      <c r="I1569" s="5">
        <f>IF(D1569="","",F1569*VLOOKUP(D1569,Products!$B$2:$E$13,3,FALSE))</f>
        <v/>
      </c>
    </row>
    <row r="1570">
      <c r="H1570" s="5">
        <f>F1570*G1570</f>
        <v/>
      </c>
      <c r="I1570" s="5">
        <f>IF(D1570="","",F1570*VLOOKUP(D1570,Products!$B$2:$E$13,3,FALSE))</f>
        <v/>
      </c>
    </row>
    <row r="1571">
      <c r="H1571" s="5">
        <f>F1571*G1571</f>
        <v/>
      </c>
      <c r="I1571" s="5">
        <f>IF(D1571="","",F1571*VLOOKUP(D1571,Products!$B$2:$E$13,3,FALSE))</f>
        <v/>
      </c>
    </row>
    <row r="1572">
      <c r="H1572" s="5">
        <f>F1572*G1572</f>
        <v/>
      </c>
      <c r="I1572" s="5">
        <f>IF(D1572="","",F1572*VLOOKUP(D1572,Products!$B$2:$E$13,3,FALSE))</f>
        <v/>
      </c>
    </row>
    <row r="1573">
      <c r="H1573" s="5">
        <f>F1573*G1573</f>
        <v/>
      </c>
      <c r="I1573" s="5">
        <f>IF(D1573="","",F1573*VLOOKUP(D1573,Products!$B$2:$E$13,3,FALSE))</f>
        <v/>
      </c>
    </row>
    <row r="1574">
      <c r="H1574" s="5">
        <f>F1574*G1574</f>
        <v/>
      </c>
      <c r="I1574" s="5">
        <f>IF(D1574="","",F1574*VLOOKUP(D1574,Products!$B$2:$E$13,3,FALSE))</f>
        <v/>
      </c>
    </row>
    <row r="1575">
      <c r="H1575" s="5">
        <f>F1575*G1575</f>
        <v/>
      </c>
      <c r="I1575" s="5">
        <f>IF(D1575="","",F1575*VLOOKUP(D1575,Products!$B$2:$E$13,3,FALSE))</f>
        <v/>
      </c>
    </row>
    <row r="1576">
      <c r="H1576" s="5">
        <f>F1576*G1576</f>
        <v/>
      </c>
      <c r="I1576" s="5">
        <f>IF(D1576="","",F1576*VLOOKUP(D1576,Products!$B$2:$E$13,3,FALSE))</f>
        <v/>
      </c>
    </row>
    <row r="1577">
      <c r="H1577" s="5">
        <f>F1577*G1577</f>
        <v/>
      </c>
      <c r="I1577" s="5">
        <f>IF(D1577="","",F1577*VLOOKUP(D1577,Products!$B$2:$E$13,3,FALSE))</f>
        <v/>
      </c>
    </row>
    <row r="1578">
      <c r="H1578" s="5">
        <f>F1578*G1578</f>
        <v/>
      </c>
      <c r="I1578" s="5">
        <f>IF(D1578="","",F1578*VLOOKUP(D1578,Products!$B$2:$E$13,3,FALSE))</f>
        <v/>
      </c>
    </row>
    <row r="1579">
      <c r="H1579" s="5">
        <f>F1579*G1579</f>
        <v/>
      </c>
      <c r="I1579" s="5">
        <f>IF(D1579="","",F1579*VLOOKUP(D1579,Products!$B$2:$E$13,3,FALSE))</f>
        <v/>
      </c>
    </row>
    <row r="1580">
      <c r="H1580" s="5">
        <f>F1580*G1580</f>
        <v/>
      </c>
      <c r="I1580" s="5">
        <f>IF(D1580="","",F1580*VLOOKUP(D1580,Products!$B$2:$E$13,3,FALSE))</f>
        <v/>
      </c>
    </row>
    <row r="1581">
      <c r="H1581" s="5">
        <f>F1581*G1581</f>
        <v/>
      </c>
      <c r="I1581" s="5">
        <f>IF(D1581="","",F1581*VLOOKUP(D1581,Products!$B$2:$E$13,3,FALSE))</f>
        <v/>
      </c>
    </row>
    <row r="1582">
      <c r="H1582" s="5">
        <f>F1582*G1582</f>
        <v/>
      </c>
      <c r="I1582" s="5">
        <f>IF(D1582="","",F1582*VLOOKUP(D1582,Products!$B$2:$E$13,3,FALSE))</f>
        <v/>
      </c>
    </row>
    <row r="1583">
      <c r="H1583" s="5">
        <f>F1583*G1583</f>
        <v/>
      </c>
      <c r="I1583" s="5">
        <f>IF(D1583="","",F1583*VLOOKUP(D1583,Products!$B$2:$E$13,3,FALSE))</f>
        <v/>
      </c>
    </row>
    <row r="1584">
      <c r="H1584" s="5">
        <f>F1584*G1584</f>
        <v/>
      </c>
      <c r="I1584" s="5">
        <f>IF(D1584="","",F1584*VLOOKUP(D1584,Products!$B$2:$E$13,3,FALSE))</f>
        <v/>
      </c>
    </row>
    <row r="1585">
      <c r="H1585" s="5">
        <f>F1585*G1585</f>
        <v/>
      </c>
      <c r="I1585" s="5">
        <f>IF(D1585="","",F1585*VLOOKUP(D1585,Products!$B$2:$E$13,3,FALSE))</f>
        <v/>
      </c>
    </row>
    <row r="1586">
      <c r="H1586" s="5">
        <f>F1586*G1586</f>
        <v/>
      </c>
      <c r="I1586" s="5">
        <f>IF(D1586="","",F1586*VLOOKUP(D1586,Products!$B$2:$E$13,3,FALSE))</f>
        <v/>
      </c>
    </row>
    <row r="1587">
      <c r="H1587" s="5">
        <f>F1587*G1587</f>
        <v/>
      </c>
      <c r="I1587" s="5">
        <f>IF(D1587="","",F1587*VLOOKUP(D1587,Products!$B$2:$E$13,3,FALSE))</f>
        <v/>
      </c>
    </row>
    <row r="1588">
      <c r="H1588" s="5">
        <f>F1588*G1588</f>
        <v/>
      </c>
      <c r="I1588" s="5">
        <f>IF(D1588="","",F1588*VLOOKUP(D1588,Products!$B$2:$E$13,3,FALSE))</f>
        <v/>
      </c>
    </row>
    <row r="1589">
      <c r="H1589" s="5">
        <f>F1589*G1589</f>
        <v/>
      </c>
      <c r="I1589" s="5">
        <f>IF(D1589="","",F1589*VLOOKUP(D1589,Products!$B$2:$E$13,3,FALSE))</f>
        <v/>
      </c>
    </row>
    <row r="1590">
      <c r="H1590" s="5">
        <f>F1590*G1590</f>
        <v/>
      </c>
      <c r="I1590" s="5">
        <f>IF(D1590="","",F1590*VLOOKUP(D1590,Products!$B$2:$E$13,3,FALSE))</f>
        <v/>
      </c>
    </row>
    <row r="1591">
      <c r="H1591" s="5">
        <f>F1591*G1591</f>
        <v/>
      </c>
      <c r="I1591" s="5">
        <f>IF(D1591="","",F1591*VLOOKUP(D1591,Products!$B$2:$E$13,3,FALSE))</f>
        <v/>
      </c>
    </row>
    <row r="1592">
      <c r="H1592" s="5">
        <f>F1592*G1592</f>
        <v/>
      </c>
      <c r="I1592" s="5">
        <f>IF(D1592="","",F1592*VLOOKUP(D1592,Products!$B$2:$E$13,3,FALSE))</f>
        <v/>
      </c>
    </row>
    <row r="1593">
      <c r="H1593" s="5">
        <f>F1593*G1593</f>
        <v/>
      </c>
      <c r="I1593" s="5">
        <f>IF(D1593="","",F1593*VLOOKUP(D1593,Products!$B$2:$E$13,3,FALSE))</f>
        <v/>
      </c>
    </row>
    <row r="1594">
      <c r="H1594" s="5">
        <f>F1594*G1594</f>
        <v/>
      </c>
      <c r="I1594" s="5">
        <f>IF(D1594="","",F1594*VLOOKUP(D1594,Products!$B$2:$E$13,3,FALSE))</f>
        <v/>
      </c>
    </row>
    <row r="1595">
      <c r="H1595" s="5">
        <f>F1595*G1595</f>
        <v/>
      </c>
      <c r="I1595" s="5">
        <f>IF(D1595="","",F1595*VLOOKUP(D1595,Products!$B$2:$E$13,3,FALSE))</f>
        <v/>
      </c>
    </row>
    <row r="1596">
      <c r="H1596" s="5">
        <f>F1596*G1596</f>
        <v/>
      </c>
      <c r="I1596" s="5">
        <f>IF(D1596="","",F1596*VLOOKUP(D1596,Products!$B$2:$E$13,3,FALSE))</f>
        <v/>
      </c>
    </row>
    <row r="1597">
      <c r="H1597" s="5">
        <f>F1597*G1597</f>
        <v/>
      </c>
      <c r="I1597" s="5">
        <f>IF(D1597="","",F1597*VLOOKUP(D1597,Products!$B$2:$E$13,3,FALSE))</f>
        <v/>
      </c>
    </row>
    <row r="1598">
      <c r="H1598" s="5">
        <f>F1598*G1598</f>
        <v/>
      </c>
      <c r="I1598" s="5">
        <f>IF(D1598="","",F1598*VLOOKUP(D1598,Products!$B$2:$E$13,3,FALSE))</f>
        <v/>
      </c>
    </row>
    <row r="1599">
      <c r="H1599" s="5">
        <f>F1599*G1599</f>
        <v/>
      </c>
      <c r="I1599" s="5">
        <f>IF(D1599="","",F1599*VLOOKUP(D1599,Products!$B$2:$E$13,3,FALSE))</f>
        <v/>
      </c>
    </row>
    <row r="1600">
      <c r="H1600" s="5">
        <f>F1600*G1600</f>
        <v/>
      </c>
      <c r="I1600" s="5">
        <f>IF(D1600="","",F1600*VLOOKUP(D1600,Products!$B$2:$E$13,3,FALSE))</f>
        <v/>
      </c>
    </row>
    <row r="1601">
      <c r="H1601" s="5">
        <f>F1601*G1601</f>
        <v/>
      </c>
      <c r="I1601" s="5">
        <f>IF(D1601="","",F1601*VLOOKUP(D1601,Products!$B$2:$E$13,3,FALSE))</f>
        <v/>
      </c>
    </row>
    <row r="1602">
      <c r="H1602" s="5">
        <f>F1602*G1602</f>
        <v/>
      </c>
      <c r="I1602" s="5">
        <f>IF(D1602="","",F1602*VLOOKUP(D1602,Products!$B$2:$E$13,3,FALSE))</f>
        <v/>
      </c>
    </row>
    <row r="1603">
      <c r="H1603" s="5">
        <f>F1603*G1603</f>
        <v/>
      </c>
      <c r="I1603" s="5">
        <f>IF(D1603="","",F1603*VLOOKUP(D1603,Products!$B$2:$E$13,3,FALSE))</f>
        <v/>
      </c>
    </row>
    <row r="1604">
      <c r="H1604" s="5">
        <f>F1604*G1604</f>
        <v/>
      </c>
      <c r="I1604" s="5">
        <f>IF(D1604="","",F1604*VLOOKUP(D1604,Products!$B$2:$E$13,3,FALSE))</f>
        <v/>
      </c>
    </row>
    <row r="1605">
      <c r="H1605" s="5">
        <f>F1605*G1605</f>
        <v/>
      </c>
      <c r="I1605" s="5">
        <f>IF(D1605="","",F1605*VLOOKUP(D1605,Products!$B$2:$E$13,3,FALSE))</f>
        <v/>
      </c>
    </row>
    <row r="1606">
      <c r="H1606" s="5">
        <f>F1606*G1606</f>
        <v/>
      </c>
      <c r="I1606" s="5">
        <f>IF(D1606="","",F1606*VLOOKUP(D1606,Products!$B$2:$E$13,3,FALSE))</f>
        <v/>
      </c>
    </row>
    <row r="1607">
      <c r="H1607" s="5">
        <f>F1607*G1607</f>
        <v/>
      </c>
      <c r="I1607" s="5">
        <f>IF(D1607="","",F1607*VLOOKUP(D1607,Products!$B$2:$E$13,3,FALSE))</f>
        <v/>
      </c>
    </row>
    <row r="1608">
      <c r="H1608" s="5">
        <f>F1608*G1608</f>
        <v/>
      </c>
      <c r="I1608" s="5">
        <f>IF(D1608="","",F1608*VLOOKUP(D1608,Products!$B$2:$E$13,3,FALSE))</f>
        <v/>
      </c>
    </row>
    <row r="1609">
      <c r="H1609" s="5">
        <f>F1609*G1609</f>
        <v/>
      </c>
      <c r="I1609" s="5">
        <f>IF(D1609="","",F1609*VLOOKUP(D1609,Products!$B$2:$E$13,3,FALSE))</f>
        <v/>
      </c>
    </row>
    <row r="1610">
      <c r="H1610" s="5">
        <f>F1610*G1610</f>
        <v/>
      </c>
      <c r="I1610" s="5">
        <f>IF(D1610="","",F1610*VLOOKUP(D1610,Products!$B$2:$E$13,3,FALSE))</f>
        <v/>
      </c>
    </row>
    <row r="1611">
      <c r="H1611" s="5">
        <f>F1611*G1611</f>
        <v/>
      </c>
      <c r="I1611" s="5">
        <f>IF(D1611="","",F1611*VLOOKUP(D1611,Products!$B$2:$E$13,3,FALSE))</f>
        <v/>
      </c>
    </row>
    <row r="1612">
      <c r="H1612" s="5">
        <f>F1612*G1612</f>
        <v/>
      </c>
      <c r="I1612" s="5">
        <f>IF(D1612="","",F1612*VLOOKUP(D1612,Products!$B$2:$E$13,3,FALSE))</f>
        <v/>
      </c>
    </row>
    <row r="1613">
      <c r="H1613" s="5">
        <f>F1613*G1613</f>
        <v/>
      </c>
      <c r="I1613" s="5">
        <f>IF(D1613="","",F1613*VLOOKUP(D1613,Products!$B$2:$E$13,3,FALSE))</f>
        <v/>
      </c>
    </row>
    <row r="1614">
      <c r="H1614" s="5">
        <f>F1614*G1614</f>
        <v/>
      </c>
      <c r="I1614" s="5">
        <f>IF(D1614="","",F1614*VLOOKUP(D1614,Products!$B$2:$E$13,3,FALSE))</f>
        <v/>
      </c>
    </row>
    <row r="1615">
      <c r="H1615" s="5">
        <f>F1615*G1615</f>
        <v/>
      </c>
      <c r="I1615" s="5">
        <f>IF(D1615="","",F1615*VLOOKUP(D1615,Products!$B$2:$E$13,3,FALSE))</f>
        <v/>
      </c>
    </row>
    <row r="1616">
      <c r="H1616" s="5">
        <f>F1616*G1616</f>
        <v/>
      </c>
      <c r="I1616" s="5">
        <f>IF(D1616="","",F1616*VLOOKUP(D1616,Products!$B$2:$E$13,3,FALSE))</f>
        <v/>
      </c>
    </row>
    <row r="1617">
      <c r="H1617" s="5">
        <f>F1617*G1617</f>
        <v/>
      </c>
      <c r="I1617" s="5">
        <f>IF(D1617="","",F1617*VLOOKUP(D1617,Products!$B$2:$E$13,3,FALSE))</f>
        <v/>
      </c>
    </row>
    <row r="1618">
      <c r="H1618" s="5">
        <f>F1618*G1618</f>
        <v/>
      </c>
      <c r="I1618" s="5">
        <f>IF(D1618="","",F1618*VLOOKUP(D1618,Products!$B$2:$E$13,3,FALSE))</f>
        <v/>
      </c>
    </row>
    <row r="1619">
      <c r="H1619" s="5">
        <f>F1619*G1619</f>
        <v/>
      </c>
      <c r="I1619" s="5">
        <f>IF(D1619="","",F1619*VLOOKUP(D1619,Products!$B$2:$E$13,3,FALSE))</f>
        <v/>
      </c>
    </row>
    <row r="1620">
      <c r="H1620" s="5">
        <f>F1620*G1620</f>
        <v/>
      </c>
      <c r="I1620" s="5">
        <f>IF(D1620="","",F1620*VLOOKUP(D1620,Products!$B$2:$E$13,3,FALSE))</f>
        <v/>
      </c>
    </row>
    <row r="1621">
      <c r="H1621" s="5">
        <f>F1621*G1621</f>
        <v/>
      </c>
      <c r="I1621" s="5">
        <f>IF(D1621="","",F1621*VLOOKUP(D1621,Products!$B$2:$E$13,3,FALSE))</f>
        <v/>
      </c>
    </row>
    <row r="1622">
      <c r="H1622" s="5">
        <f>F1622*G1622</f>
        <v/>
      </c>
      <c r="I1622" s="5">
        <f>IF(D1622="","",F1622*VLOOKUP(D1622,Products!$B$2:$E$13,3,FALSE))</f>
        <v/>
      </c>
    </row>
    <row r="1623">
      <c r="H1623" s="5">
        <f>F1623*G1623</f>
        <v/>
      </c>
      <c r="I1623" s="5">
        <f>IF(D1623="","",F1623*VLOOKUP(D1623,Products!$B$2:$E$13,3,FALSE))</f>
        <v/>
      </c>
    </row>
    <row r="1624">
      <c r="H1624" s="5">
        <f>F1624*G1624</f>
        <v/>
      </c>
      <c r="I1624" s="5">
        <f>IF(D1624="","",F1624*VLOOKUP(D1624,Products!$B$2:$E$13,3,FALSE))</f>
        <v/>
      </c>
    </row>
    <row r="1625">
      <c r="H1625" s="5">
        <f>F1625*G1625</f>
        <v/>
      </c>
      <c r="I1625" s="5">
        <f>IF(D1625="","",F1625*VLOOKUP(D1625,Products!$B$2:$E$13,3,FALSE))</f>
        <v/>
      </c>
    </row>
    <row r="1626">
      <c r="H1626" s="5">
        <f>F1626*G1626</f>
        <v/>
      </c>
      <c r="I1626" s="5">
        <f>IF(D1626="","",F1626*VLOOKUP(D1626,Products!$B$2:$E$13,3,FALSE))</f>
        <v/>
      </c>
    </row>
    <row r="1627">
      <c r="H1627" s="5">
        <f>F1627*G1627</f>
        <v/>
      </c>
      <c r="I1627" s="5">
        <f>IF(D1627="","",F1627*VLOOKUP(D1627,Products!$B$2:$E$13,3,FALSE))</f>
        <v/>
      </c>
    </row>
    <row r="1628">
      <c r="H1628" s="5">
        <f>F1628*G1628</f>
        <v/>
      </c>
      <c r="I1628" s="5">
        <f>IF(D1628="","",F1628*VLOOKUP(D1628,Products!$B$2:$E$13,3,FALSE))</f>
        <v/>
      </c>
    </row>
    <row r="1629">
      <c r="H1629" s="5">
        <f>F1629*G1629</f>
        <v/>
      </c>
      <c r="I1629" s="5">
        <f>IF(D1629="","",F1629*VLOOKUP(D1629,Products!$B$2:$E$13,3,FALSE))</f>
        <v/>
      </c>
    </row>
    <row r="1630">
      <c r="H1630" s="5">
        <f>F1630*G1630</f>
        <v/>
      </c>
      <c r="I1630" s="5">
        <f>IF(D1630="","",F1630*VLOOKUP(D1630,Products!$B$2:$E$13,3,FALSE))</f>
        <v/>
      </c>
    </row>
    <row r="1631">
      <c r="H1631" s="5">
        <f>F1631*G1631</f>
        <v/>
      </c>
      <c r="I1631" s="5">
        <f>IF(D1631="","",F1631*VLOOKUP(D1631,Products!$B$2:$E$13,3,FALSE))</f>
        <v/>
      </c>
    </row>
    <row r="1632">
      <c r="H1632" s="5">
        <f>F1632*G1632</f>
        <v/>
      </c>
      <c r="I1632" s="5">
        <f>IF(D1632="","",F1632*VLOOKUP(D1632,Products!$B$2:$E$13,3,FALSE))</f>
        <v/>
      </c>
    </row>
    <row r="1633">
      <c r="H1633" s="5">
        <f>F1633*G1633</f>
        <v/>
      </c>
      <c r="I1633" s="5">
        <f>IF(D1633="","",F1633*VLOOKUP(D1633,Products!$B$2:$E$13,3,FALSE))</f>
        <v/>
      </c>
    </row>
    <row r="1634">
      <c r="H1634" s="5">
        <f>F1634*G1634</f>
        <v/>
      </c>
      <c r="I1634" s="5">
        <f>IF(D1634="","",F1634*VLOOKUP(D1634,Products!$B$2:$E$13,3,FALSE))</f>
        <v/>
      </c>
    </row>
    <row r="1635">
      <c r="H1635" s="5">
        <f>F1635*G1635</f>
        <v/>
      </c>
      <c r="I1635" s="5">
        <f>IF(D1635="","",F1635*VLOOKUP(D1635,Products!$B$2:$E$13,3,FALSE))</f>
        <v/>
      </c>
    </row>
    <row r="1636">
      <c r="H1636" s="5">
        <f>F1636*G1636</f>
        <v/>
      </c>
      <c r="I1636" s="5">
        <f>IF(D1636="","",F1636*VLOOKUP(D1636,Products!$B$2:$E$13,3,FALSE))</f>
        <v/>
      </c>
    </row>
    <row r="1637">
      <c r="H1637" s="5">
        <f>F1637*G1637</f>
        <v/>
      </c>
      <c r="I1637" s="5">
        <f>IF(D1637="","",F1637*VLOOKUP(D1637,Products!$B$2:$E$13,3,FALSE))</f>
        <v/>
      </c>
    </row>
    <row r="1638">
      <c r="H1638" s="5">
        <f>F1638*G1638</f>
        <v/>
      </c>
      <c r="I1638" s="5">
        <f>IF(D1638="","",F1638*VLOOKUP(D1638,Products!$B$2:$E$13,3,FALSE))</f>
        <v/>
      </c>
    </row>
    <row r="1639">
      <c r="H1639" s="5">
        <f>F1639*G1639</f>
        <v/>
      </c>
      <c r="I1639" s="5">
        <f>IF(D1639="","",F1639*VLOOKUP(D1639,Products!$B$2:$E$13,3,FALSE))</f>
        <v/>
      </c>
    </row>
    <row r="1640">
      <c r="H1640" s="5">
        <f>F1640*G1640</f>
        <v/>
      </c>
      <c r="I1640" s="5">
        <f>IF(D1640="","",F1640*VLOOKUP(D1640,Products!$B$2:$E$13,3,FALSE))</f>
        <v/>
      </c>
    </row>
    <row r="1641">
      <c r="H1641" s="5">
        <f>F1641*G1641</f>
        <v/>
      </c>
      <c r="I1641" s="5">
        <f>IF(D1641="","",F1641*VLOOKUP(D1641,Products!$B$2:$E$13,3,FALSE))</f>
        <v/>
      </c>
    </row>
    <row r="1642">
      <c r="H1642" s="5">
        <f>F1642*G1642</f>
        <v/>
      </c>
      <c r="I1642" s="5">
        <f>IF(D1642="","",F1642*VLOOKUP(D1642,Products!$B$2:$E$13,3,FALSE))</f>
        <v/>
      </c>
    </row>
    <row r="1643">
      <c r="H1643" s="5">
        <f>F1643*G1643</f>
        <v/>
      </c>
      <c r="I1643" s="5">
        <f>IF(D1643="","",F1643*VLOOKUP(D1643,Products!$B$2:$E$13,3,FALSE))</f>
        <v/>
      </c>
    </row>
    <row r="1644">
      <c r="H1644" s="5">
        <f>F1644*G1644</f>
        <v/>
      </c>
      <c r="I1644" s="5">
        <f>IF(D1644="","",F1644*VLOOKUP(D1644,Products!$B$2:$E$13,3,FALSE))</f>
        <v/>
      </c>
    </row>
    <row r="1645">
      <c r="H1645" s="5">
        <f>F1645*G1645</f>
        <v/>
      </c>
      <c r="I1645" s="5">
        <f>IF(D1645="","",F1645*VLOOKUP(D1645,Products!$B$2:$E$13,3,FALSE))</f>
        <v/>
      </c>
    </row>
    <row r="1646">
      <c r="H1646" s="5">
        <f>F1646*G1646</f>
        <v/>
      </c>
      <c r="I1646" s="5">
        <f>IF(D1646="","",F1646*VLOOKUP(D1646,Products!$B$2:$E$13,3,FALSE))</f>
        <v/>
      </c>
    </row>
    <row r="1647">
      <c r="H1647" s="5">
        <f>F1647*G1647</f>
        <v/>
      </c>
      <c r="I1647" s="5">
        <f>IF(D1647="","",F1647*VLOOKUP(D1647,Products!$B$2:$E$13,3,FALSE))</f>
        <v/>
      </c>
    </row>
    <row r="1648">
      <c r="H1648" s="5">
        <f>F1648*G1648</f>
        <v/>
      </c>
      <c r="I1648" s="5">
        <f>IF(D1648="","",F1648*VLOOKUP(D1648,Products!$B$2:$E$13,3,FALSE))</f>
        <v/>
      </c>
    </row>
    <row r="1649">
      <c r="H1649" s="5">
        <f>F1649*G1649</f>
        <v/>
      </c>
      <c r="I1649" s="5">
        <f>IF(D1649="","",F1649*VLOOKUP(D1649,Products!$B$2:$E$13,3,FALSE))</f>
        <v/>
      </c>
    </row>
    <row r="1650">
      <c r="H1650" s="5">
        <f>F1650*G1650</f>
        <v/>
      </c>
      <c r="I1650" s="5">
        <f>IF(D1650="","",F1650*VLOOKUP(D1650,Products!$B$2:$E$13,3,FALSE))</f>
        <v/>
      </c>
    </row>
    <row r="1651">
      <c r="H1651" s="5">
        <f>F1651*G1651</f>
        <v/>
      </c>
      <c r="I1651" s="5">
        <f>IF(D1651="","",F1651*VLOOKUP(D1651,Products!$B$2:$E$13,3,FALSE))</f>
        <v/>
      </c>
    </row>
    <row r="1652">
      <c r="H1652" s="5">
        <f>F1652*G1652</f>
        <v/>
      </c>
      <c r="I1652" s="5">
        <f>IF(D1652="","",F1652*VLOOKUP(D1652,Products!$B$2:$E$13,3,FALSE))</f>
        <v/>
      </c>
    </row>
    <row r="1653">
      <c r="H1653" s="5">
        <f>F1653*G1653</f>
        <v/>
      </c>
      <c r="I1653" s="5">
        <f>IF(D1653="","",F1653*VLOOKUP(D1653,Products!$B$2:$E$13,3,FALSE))</f>
        <v/>
      </c>
    </row>
    <row r="1654">
      <c r="H1654" s="5">
        <f>F1654*G1654</f>
        <v/>
      </c>
      <c r="I1654" s="5">
        <f>IF(D1654="","",F1654*VLOOKUP(D1654,Products!$B$2:$E$13,3,FALSE))</f>
        <v/>
      </c>
    </row>
    <row r="1655">
      <c r="H1655" s="5">
        <f>F1655*G1655</f>
        <v/>
      </c>
      <c r="I1655" s="5">
        <f>IF(D1655="","",F1655*VLOOKUP(D1655,Products!$B$2:$E$13,3,FALSE))</f>
        <v/>
      </c>
    </row>
    <row r="1656">
      <c r="H1656" s="5">
        <f>F1656*G1656</f>
        <v/>
      </c>
      <c r="I1656" s="5">
        <f>IF(D1656="","",F1656*VLOOKUP(D1656,Products!$B$2:$E$13,3,FALSE))</f>
        <v/>
      </c>
    </row>
    <row r="1657">
      <c r="H1657" s="5">
        <f>F1657*G1657</f>
        <v/>
      </c>
      <c r="I1657" s="5">
        <f>IF(D1657="","",F1657*VLOOKUP(D1657,Products!$B$2:$E$13,3,FALSE))</f>
        <v/>
      </c>
    </row>
    <row r="1658">
      <c r="H1658" s="5">
        <f>F1658*G1658</f>
        <v/>
      </c>
      <c r="I1658" s="5">
        <f>IF(D1658="","",F1658*VLOOKUP(D1658,Products!$B$2:$E$13,3,FALSE))</f>
        <v/>
      </c>
    </row>
    <row r="1659">
      <c r="H1659" s="5">
        <f>F1659*G1659</f>
        <v/>
      </c>
      <c r="I1659" s="5">
        <f>IF(D1659="","",F1659*VLOOKUP(D1659,Products!$B$2:$E$13,3,FALSE))</f>
        <v/>
      </c>
    </row>
    <row r="1660">
      <c r="H1660" s="5">
        <f>F1660*G1660</f>
        <v/>
      </c>
      <c r="I1660" s="5">
        <f>IF(D1660="","",F1660*VLOOKUP(D1660,Products!$B$2:$E$13,3,FALSE))</f>
        <v/>
      </c>
    </row>
    <row r="1661">
      <c r="H1661" s="5">
        <f>F1661*G1661</f>
        <v/>
      </c>
      <c r="I1661" s="5">
        <f>IF(D1661="","",F1661*VLOOKUP(D1661,Products!$B$2:$E$13,3,FALSE))</f>
        <v/>
      </c>
    </row>
    <row r="1662">
      <c r="H1662" s="5">
        <f>F1662*G1662</f>
        <v/>
      </c>
      <c r="I1662" s="5">
        <f>IF(D1662="","",F1662*VLOOKUP(D1662,Products!$B$2:$E$13,3,FALSE))</f>
        <v/>
      </c>
    </row>
    <row r="1663">
      <c r="H1663" s="5">
        <f>F1663*G1663</f>
        <v/>
      </c>
      <c r="I1663" s="5">
        <f>IF(D1663="","",F1663*VLOOKUP(D1663,Products!$B$2:$E$13,3,FALSE))</f>
        <v/>
      </c>
    </row>
    <row r="1664">
      <c r="H1664" s="5">
        <f>F1664*G1664</f>
        <v/>
      </c>
      <c r="I1664" s="5">
        <f>IF(D1664="","",F1664*VLOOKUP(D1664,Products!$B$2:$E$13,3,FALSE))</f>
        <v/>
      </c>
    </row>
    <row r="1665">
      <c r="H1665" s="5">
        <f>F1665*G1665</f>
        <v/>
      </c>
      <c r="I1665" s="5">
        <f>IF(D1665="","",F1665*VLOOKUP(D1665,Products!$B$2:$E$13,3,FALSE))</f>
        <v/>
      </c>
    </row>
    <row r="1666">
      <c r="H1666" s="5">
        <f>F1666*G1666</f>
        <v/>
      </c>
      <c r="I1666" s="5">
        <f>IF(D1666="","",F1666*VLOOKUP(D1666,Products!$B$2:$E$13,3,FALSE))</f>
        <v/>
      </c>
    </row>
    <row r="1667">
      <c r="H1667" s="5">
        <f>F1667*G1667</f>
        <v/>
      </c>
      <c r="I1667" s="5">
        <f>IF(D1667="","",F1667*VLOOKUP(D1667,Products!$B$2:$E$13,3,FALSE))</f>
        <v/>
      </c>
    </row>
    <row r="1668">
      <c r="H1668" s="5">
        <f>F1668*G1668</f>
        <v/>
      </c>
      <c r="I1668" s="5">
        <f>IF(D1668="","",F1668*VLOOKUP(D1668,Products!$B$2:$E$13,3,FALSE))</f>
        <v/>
      </c>
    </row>
    <row r="1669">
      <c r="H1669" s="5">
        <f>F1669*G1669</f>
        <v/>
      </c>
      <c r="I1669" s="5">
        <f>IF(D1669="","",F1669*VLOOKUP(D1669,Products!$B$2:$E$13,3,FALSE))</f>
        <v/>
      </c>
    </row>
    <row r="1670">
      <c r="H1670" s="5">
        <f>F1670*G1670</f>
        <v/>
      </c>
      <c r="I1670" s="5">
        <f>IF(D1670="","",F1670*VLOOKUP(D1670,Products!$B$2:$E$13,3,FALSE))</f>
        <v/>
      </c>
    </row>
    <row r="1671">
      <c r="H1671" s="5">
        <f>F1671*G1671</f>
        <v/>
      </c>
      <c r="I1671" s="5">
        <f>IF(D1671="","",F1671*VLOOKUP(D1671,Products!$B$2:$E$13,3,FALSE))</f>
        <v/>
      </c>
    </row>
    <row r="1672">
      <c r="H1672" s="5">
        <f>F1672*G1672</f>
        <v/>
      </c>
      <c r="I1672" s="5">
        <f>IF(D1672="","",F1672*VLOOKUP(D1672,Products!$B$2:$E$13,3,FALSE))</f>
        <v/>
      </c>
    </row>
    <row r="1673">
      <c r="H1673" s="5">
        <f>F1673*G1673</f>
        <v/>
      </c>
      <c r="I1673" s="5">
        <f>IF(D1673="","",F1673*VLOOKUP(D1673,Products!$B$2:$E$13,3,FALSE))</f>
        <v/>
      </c>
    </row>
    <row r="1674">
      <c r="H1674" s="5">
        <f>F1674*G1674</f>
        <v/>
      </c>
      <c r="I1674" s="5">
        <f>IF(D1674="","",F1674*VLOOKUP(D1674,Products!$B$2:$E$13,3,FALSE))</f>
        <v/>
      </c>
    </row>
    <row r="1675">
      <c r="H1675" s="5">
        <f>F1675*G1675</f>
        <v/>
      </c>
      <c r="I1675" s="5">
        <f>IF(D1675="","",F1675*VLOOKUP(D1675,Products!$B$2:$E$13,3,FALSE))</f>
        <v/>
      </c>
    </row>
    <row r="1676">
      <c r="H1676" s="5">
        <f>F1676*G1676</f>
        <v/>
      </c>
      <c r="I1676" s="5">
        <f>IF(D1676="","",F1676*VLOOKUP(D1676,Products!$B$2:$E$13,3,FALSE))</f>
        <v/>
      </c>
    </row>
    <row r="1677">
      <c r="H1677" s="5">
        <f>F1677*G1677</f>
        <v/>
      </c>
      <c r="I1677" s="5">
        <f>IF(D1677="","",F1677*VLOOKUP(D1677,Products!$B$2:$E$13,3,FALSE))</f>
        <v/>
      </c>
    </row>
    <row r="1678">
      <c r="H1678" s="5">
        <f>F1678*G1678</f>
        <v/>
      </c>
      <c r="I1678" s="5">
        <f>IF(D1678="","",F1678*VLOOKUP(D1678,Products!$B$2:$E$13,3,FALSE))</f>
        <v/>
      </c>
    </row>
    <row r="1679">
      <c r="H1679" s="5">
        <f>F1679*G1679</f>
        <v/>
      </c>
      <c r="I1679" s="5">
        <f>IF(D1679="","",F1679*VLOOKUP(D1679,Products!$B$2:$E$13,3,FALSE))</f>
        <v/>
      </c>
    </row>
    <row r="1680">
      <c r="H1680" s="5">
        <f>F1680*G1680</f>
        <v/>
      </c>
      <c r="I1680" s="5">
        <f>IF(D1680="","",F1680*VLOOKUP(D1680,Products!$B$2:$E$13,3,FALSE))</f>
        <v/>
      </c>
    </row>
    <row r="1681">
      <c r="H1681" s="5">
        <f>F1681*G1681</f>
        <v/>
      </c>
      <c r="I1681" s="5">
        <f>IF(D1681="","",F1681*VLOOKUP(D1681,Products!$B$2:$E$13,3,FALSE))</f>
        <v/>
      </c>
    </row>
    <row r="1682">
      <c r="H1682" s="5">
        <f>F1682*G1682</f>
        <v/>
      </c>
      <c r="I1682" s="5">
        <f>IF(D1682="","",F1682*VLOOKUP(D1682,Products!$B$2:$E$13,3,FALSE))</f>
        <v/>
      </c>
    </row>
    <row r="1683">
      <c r="H1683" s="5">
        <f>F1683*G1683</f>
        <v/>
      </c>
      <c r="I1683" s="5">
        <f>IF(D1683="","",F1683*VLOOKUP(D1683,Products!$B$2:$E$13,3,FALSE))</f>
        <v/>
      </c>
    </row>
    <row r="1684">
      <c r="H1684" s="5">
        <f>F1684*G1684</f>
        <v/>
      </c>
      <c r="I1684" s="5">
        <f>IF(D1684="","",F1684*VLOOKUP(D1684,Products!$B$2:$E$13,3,FALSE))</f>
        <v/>
      </c>
    </row>
    <row r="1685">
      <c r="H1685" s="5">
        <f>F1685*G1685</f>
        <v/>
      </c>
      <c r="I1685" s="5">
        <f>IF(D1685="","",F1685*VLOOKUP(D1685,Products!$B$2:$E$13,3,FALSE))</f>
        <v/>
      </c>
    </row>
    <row r="1686">
      <c r="H1686" s="5">
        <f>F1686*G1686</f>
        <v/>
      </c>
      <c r="I1686" s="5">
        <f>IF(D1686="","",F1686*VLOOKUP(D1686,Products!$B$2:$E$13,3,FALSE))</f>
        <v/>
      </c>
    </row>
    <row r="1687">
      <c r="H1687" s="5">
        <f>F1687*G1687</f>
        <v/>
      </c>
      <c r="I1687" s="5">
        <f>IF(D1687="","",F1687*VLOOKUP(D1687,Products!$B$2:$E$13,3,FALSE))</f>
        <v/>
      </c>
    </row>
    <row r="1688">
      <c r="H1688" s="5">
        <f>F1688*G1688</f>
        <v/>
      </c>
      <c r="I1688" s="5">
        <f>IF(D1688="","",F1688*VLOOKUP(D1688,Products!$B$2:$E$13,3,FALSE))</f>
        <v/>
      </c>
    </row>
    <row r="1689">
      <c r="H1689" s="5">
        <f>F1689*G1689</f>
        <v/>
      </c>
      <c r="I1689" s="5">
        <f>IF(D1689="","",F1689*VLOOKUP(D1689,Products!$B$2:$E$13,3,FALSE))</f>
        <v/>
      </c>
    </row>
    <row r="1690">
      <c r="H1690" s="5">
        <f>F1690*G1690</f>
        <v/>
      </c>
      <c r="I1690" s="5">
        <f>IF(D1690="","",F1690*VLOOKUP(D1690,Products!$B$2:$E$13,3,FALSE))</f>
        <v/>
      </c>
    </row>
    <row r="1691">
      <c r="H1691" s="5">
        <f>F1691*G1691</f>
        <v/>
      </c>
      <c r="I1691" s="5">
        <f>IF(D1691="","",F1691*VLOOKUP(D1691,Products!$B$2:$E$13,3,FALSE))</f>
        <v/>
      </c>
    </row>
    <row r="1692">
      <c r="H1692" s="5">
        <f>F1692*G1692</f>
        <v/>
      </c>
      <c r="I1692" s="5">
        <f>IF(D1692="","",F1692*VLOOKUP(D1692,Products!$B$2:$E$13,3,FALSE))</f>
        <v/>
      </c>
    </row>
    <row r="1693">
      <c r="H1693" s="5">
        <f>F1693*G1693</f>
        <v/>
      </c>
      <c r="I1693" s="5">
        <f>IF(D1693="","",F1693*VLOOKUP(D1693,Products!$B$2:$E$13,3,FALSE))</f>
        <v/>
      </c>
    </row>
    <row r="1694">
      <c r="H1694" s="5">
        <f>F1694*G1694</f>
        <v/>
      </c>
      <c r="I1694" s="5">
        <f>IF(D1694="","",F1694*VLOOKUP(D1694,Products!$B$2:$E$13,3,FALSE))</f>
        <v/>
      </c>
    </row>
    <row r="1695">
      <c r="H1695" s="5">
        <f>F1695*G1695</f>
        <v/>
      </c>
      <c r="I1695" s="5">
        <f>IF(D1695="","",F1695*VLOOKUP(D1695,Products!$B$2:$E$13,3,FALSE))</f>
        <v/>
      </c>
    </row>
    <row r="1696">
      <c r="H1696" s="5">
        <f>F1696*G1696</f>
        <v/>
      </c>
      <c r="I1696" s="5">
        <f>IF(D1696="","",F1696*VLOOKUP(D1696,Products!$B$2:$E$13,3,FALSE))</f>
        <v/>
      </c>
    </row>
    <row r="1697">
      <c r="H1697" s="5">
        <f>F1697*G1697</f>
        <v/>
      </c>
      <c r="I1697" s="5">
        <f>IF(D1697="","",F1697*VLOOKUP(D1697,Products!$B$2:$E$13,3,FALSE))</f>
        <v/>
      </c>
    </row>
    <row r="1698">
      <c r="H1698" s="5">
        <f>F1698*G1698</f>
        <v/>
      </c>
      <c r="I1698" s="5">
        <f>IF(D1698="","",F1698*VLOOKUP(D1698,Products!$B$2:$E$13,3,FALSE))</f>
        <v/>
      </c>
    </row>
    <row r="1699">
      <c r="H1699" s="5">
        <f>F1699*G1699</f>
        <v/>
      </c>
      <c r="I1699" s="5">
        <f>IF(D1699="","",F1699*VLOOKUP(D1699,Products!$B$2:$E$13,3,FALSE))</f>
        <v/>
      </c>
    </row>
    <row r="1700">
      <c r="H1700" s="5">
        <f>F1700*G1700</f>
        <v/>
      </c>
      <c r="I1700" s="5">
        <f>IF(D1700="","",F1700*VLOOKUP(D1700,Products!$B$2:$E$13,3,FALSE))</f>
        <v/>
      </c>
    </row>
    <row r="1701">
      <c r="H1701" s="5">
        <f>F1701*G1701</f>
        <v/>
      </c>
      <c r="I1701" s="5">
        <f>IF(D1701="","",F1701*VLOOKUP(D1701,Products!$B$2:$E$13,3,FALSE))</f>
        <v/>
      </c>
    </row>
    <row r="1702">
      <c r="H1702" s="5">
        <f>F1702*G1702</f>
        <v/>
      </c>
      <c r="I1702" s="5">
        <f>IF(D1702="","",F1702*VLOOKUP(D1702,Products!$B$2:$E$13,3,FALSE))</f>
        <v/>
      </c>
    </row>
    <row r="1703">
      <c r="H1703" s="5">
        <f>F1703*G1703</f>
        <v/>
      </c>
      <c r="I1703" s="5">
        <f>IF(D1703="","",F1703*VLOOKUP(D1703,Products!$B$2:$E$13,3,FALSE))</f>
        <v/>
      </c>
    </row>
    <row r="1704">
      <c r="H1704" s="5">
        <f>F1704*G1704</f>
        <v/>
      </c>
      <c r="I1704" s="5">
        <f>IF(D1704="","",F1704*VLOOKUP(D1704,Products!$B$2:$E$13,3,FALSE))</f>
        <v/>
      </c>
    </row>
    <row r="1705">
      <c r="H1705" s="5">
        <f>F1705*G1705</f>
        <v/>
      </c>
      <c r="I1705" s="5">
        <f>IF(D1705="","",F1705*VLOOKUP(D1705,Products!$B$2:$E$13,3,FALSE))</f>
        <v/>
      </c>
    </row>
    <row r="1706">
      <c r="H1706" s="5">
        <f>F1706*G1706</f>
        <v/>
      </c>
      <c r="I1706" s="5">
        <f>IF(D1706="","",F1706*VLOOKUP(D1706,Products!$B$2:$E$13,3,FALSE))</f>
        <v/>
      </c>
    </row>
    <row r="1707">
      <c r="H1707" s="5">
        <f>F1707*G1707</f>
        <v/>
      </c>
      <c r="I1707" s="5">
        <f>IF(D1707="","",F1707*VLOOKUP(D1707,Products!$B$2:$E$13,3,FALSE))</f>
        <v/>
      </c>
    </row>
    <row r="1708">
      <c r="H1708" s="5">
        <f>F1708*G1708</f>
        <v/>
      </c>
      <c r="I1708" s="5">
        <f>IF(D1708="","",F1708*VLOOKUP(D1708,Products!$B$2:$E$13,3,FALSE))</f>
        <v/>
      </c>
    </row>
    <row r="1709">
      <c r="H1709" s="5">
        <f>F1709*G1709</f>
        <v/>
      </c>
      <c r="I1709" s="5">
        <f>IF(D1709="","",F1709*VLOOKUP(D1709,Products!$B$2:$E$13,3,FALSE))</f>
        <v/>
      </c>
    </row>
    <row r="1710">
      <c r="H1710" s="5">
        <f>F1710*G1710</f>
        <v/>
      </c>
      <c r="I1710" s="5">
        <f>IF(D1710="","",F1710*VLOOKUP(D1710,Products!$B$2:$E$13,3,FALSE))</f>
        <v/>
      </c>
    </row>
    <row r="1711">
      <c r="H1711" s="5">
        <f>F1711*G1711</f>
        <v/>
      </c>
      <c r="I1711" s="5">
        <f>IF(D1711="","",F1711*VLOOKUP(D1711,Products!$B$2:$E$13,3,FALSE))</f>
        <v/>
      </c>
    </row>
    <row r="1712">
      <c r="H1712" s="5">
        <f>F1712*G1712</f>
        <v/>
      </c>
      <c r="I1712" s="5">
        <f>IF(D1712="","",F1712*VLOOKUP(D1712,Products!$B$2:$E$13,3,FALSE))</f>
        <v/>
      </c>
    </row>
    <row r="1713">
      <c r="H1713" s="5">
        <f>F1713*G1713</f>
        <v/>
      </c>
      <c r="I1713" s="5">
        <f>IF(D1713="","",F1713*VLOOKUP(D1713,Products!$B$2:$E$13,3,FALSE))</f>
        <v/>
      </c>
    </row>
    <row r="1714">
      <c r="H1714" s="5">
        <f>F1714*G1714</f>
        <v/>
      </c>
      <c r="I1714" s="5">
        <f>IF(D1714="","",F1714*VLOOKUP(D1714,Products!$B$2:$E$13,3,FALSE))</f>
        <v/>
      </c>
    </row>
    <row r="1715">
      <c r="H1715" s="5">
        <f>F1715*G1715</f>
        <v/>
      </c>
      <c r="I1715" s="5">
        <f>IF(D1715="","",F1715*VLOOKUP(D1715,Products!$B$2:$E$13,3,FALSE))</f>
        <v/>
      </c>
    </row>
    <row r="1716">
      <c r="H1716" s="5">
        <f>F1716*G1716</f>
        <v/>
      </c>
      <c r="I1716" s="5">
        <f>IF(D1716="","",F1716*VLOOKUP(D1716,Products!$B$2:$E$13,3,FALSE))</f>
        <v/>
      </c>
    </row>
    <row r="1717">
      <c r="H1717" s="5">
        <f>F1717*G1717</f>
        <v/>
      </c>
      <c r="I1717" s="5">
        <f>IF(D1717="","",F1717*VLOOKUP(D1717,Products!$B$2:$E$13,3,FALSE))</f>
        <v/>
      </c>
    </row>
    <row r="1718">
      <c r="H1718" s="5">
        <f>F1718*G1718</f>
        <v/>
      </c>
      <c r="I1718" s="5">
        <f>IF(D1718="","",F1718*VLOOKUP(D1718,Products!$B$2:$E$13,3,FALSE))</f>
        <v/>
      </c>
    </row>
    <row r="1719">
      <c r="H1719" s="5">
        <f>F1719*G1719</f>
        <v/>
      </c>
      <c r="I1719" s="5">
        <f>IF(D1719="","",F1719*VLOOKUP(D1719,Products!$B$2:$E$13,3,FALSE))</f>
        <v/>
      </c>
    </row>
    <row r="1720">
      <c r="H1720" s="5">
        <f>F1720*G1720</f>
        <v/>
      </c>
      <c r="I1720" s="5">
        <f>IF(D1720="","",F1720*VLOOKUP(D1720,Products!$B$2:$E$13,3,FALSE))</f>
        <v/>
      </c>
    </row>
    <row r="1721">
      <c r="H1721" s="5">
        <f>F1721*G1721</f>
        <v/>
      </c>
      <c r="I1721" s="5">
        <f>IF(D1721="","",F1721*VLOOKUP(D1721,Products!$B$2:$E$13,3,FALSE))</f>
        <v/>
      </c>
    </row>
    <row r="1722">
      <c r="H1722" s="5">
        <f>F1722*G1722</f>
        <v/>
      </c>
      <c r="I1722" s="5">
        <f>IF(D1722="","",F1722*VLOOKUP(D1722,Products!$B$2:$E$13,3,FALSE))</f>
        <v/>
      </c>
    </row>
    <row r="1723">
      <c r="H1723" s="5">
        <f>F1723*G1723</f>
        <v/>
      </c>
      <c r="I1723" s="5">
        <f>IF(D1723="","",F1723*VLOOKUP(D1723,Products!$B$2:$E$13,3,FALSE))</f>
        <v/>
      </c>
    </row>
    <row r="1724">
      <c r="H1724" s="5">
        <f>F1724*G1724</f>
        <v/>
      </c>
      <c r="I1724" s="5">
        <f>IF(D1724="","",F1724*VLOOKUP(D1724,Products!$B$2:$E$13,3,FALSE))</f>
        <v/>
      </c>
    </row>
    <row r="1725">
      <c r="H1725" s="5">
        <f>F1725*G1725</f>
        <v/>
      </c>
      <c r="I1725" s="5">
        <f>IF(D1725="","",F1725*VLOOKUP(D1725,Products!$B$2:$E$13,3,FALSE))</f>
        <v/>
      </c>
    </row>
    <row r="1726">
      <c r="H1726" s="5">
        <f>F1726*G1726</f>
        <v/>
      </c>
      <c r="I1726" s="5">
        <f>IF(D1726="","",F1726*VLOOKUP(D1726,Products!$B$2:$E$13,3,FALSE))</f>
        <v/>
      </c>
    </row>
    <row r="1727">
      <c r="H1727" s="5">
        <f>F1727*G1727</f>
        <v/>
      </c>
      <c r="I1727" s="5">
        <f>IF(D1727="","",F1727*VLOOKUP(D1727,Products!$B$2:$E$13,3,FALSE))</f>
        <v/>
      </c>
    </row>
    <row r="1728">
      <c r="H1728" s="5">
        <f>F1728*G1728</f>
        <v/>
      </c>
      <c r="I1728" s="5">
        <f>IF(D1728="","",F1728*VLOOKUP(D1728,Products!$B$2:$E$13,3,FALSE))</f>
        <v/>
      </c>
    </row>
    <row r="1729">
      <c r="H1729" s="5">
        <f>F1729*G1729</f>
        <v/>
      </c>
      <c r="I1729" s="5">
        <f>IF(D1729="","",F1729*VLOOKUP(D1729,Products!$B$2:$E$13,3,FALSE))</f>
        <v/>
      </c>
    </row>
    <row r="1730">
      <c r="H1730" s="5">
        <f>F1730*G1730</f>
        <v/>
      </c>
      <c r="I1730" s="5">
        <f>IF(D1730="","",F1730*VLOOKUP(D1730,Products!$B$2:$E$13,3,FALSE))</f>
        <v/>
      </c>
    </row>
    <row r="1731">
      <c r="H1731" s="5">
        <f>F1731*G1731</f>
        <v/>
      </c>
      <c r="I1731" s="5">
        <f>IF(D1731="","",F1731*VLOOKUP(D1731,Products!$B$2:$E$13,3,FALSE))</f>
        <v/>
      </c>
    </row>
    <row r="1732">
      <c r="H1732" s="5">
        <f>F1732*G1732</f>
        <v/>
      </c>
      <c r="I1732" s="5">
        <f>IF(D1732="","",F1732*VLOOKUP(D1732,Products!$B$2:$E$13,3,FALSE))</f>
        <v/>
      </c>
    </row>
    <row r="1733">
      <c r="H1733" s="5">
        <f>F1733*G1733</f>
        <v/>
      </c>
      <c r="I1733" s="5">
        <f>IF(D1733="","",F1733*VLOOKUP(D1733,Products!$B$2:$E$13,3,FALSE))</f>
        <v/>
      </c>
    </row>
    <row r="1734">
      <c r="H1734" s="5">
        <f>F1734*G1734</f>
        <v/>
      </c>
      <c r="I1734" s="5">
        <f>IF(D1734="","",F1734*VLOOKUP(D1734,Products!$B$2:$E$13,3,FALSE))</f>
        <v/>
      </c>
    </row>
    <row r="1735">
      <c r="H1735" s="5">
        <f>F1735*G1735</f>
        <v/>
      </c>
      <c r="I1735" s="5">
        <f>IF(D1735="","",F1735*VLOOKUP(D1735,Products!$B$2:$E$13,3,FALSE))</f>
        <v/>
      </c>
    </row>
    <row r="1736">
      <c r="H1736" s="5">
        <f>F1736*G1736</f>
        <v/>
      </c>
      <c r="I1736" s="5">
        <f>IF(D1736="","",F1736*VLOOKUP(D1736,Products!$B$2:$E$13,3,FALSE))</f>
        <v/>
      </c>
    </row>
    <row r="1737">
      <c r="H1737" s="5">
        <f>F1737*G1737</f>
        <v/>
      </c>
      <c r="I1737" s="5">
        <f>IF(D1737="","",F1737*VLOOKUP(D1737,Products!$B$2:$E$13,3,FALSE))</f>
        <v/>
      </c>
    </row>
    <row r="1738">
      <c r="H1738" s="5">
        <f>F1738*G1738</f>
        <v/>
      </c>
      <c r="I1738" s="5">
        <f>IF(D1738="","",F1738*VLOOKUP(D1738,Products!$B$2:$E$13,3,FALSE))</f>
        <v/>
      </c>
    </row>
    <row r="1739">
      <c r="H1739" s="5">
        <f>F1739*G1739</f>
        <v/>
      </c>
      <c r="I1739" s="5">
        <f>IF(D1739="","",F1739*VLOOKUP(D1739,Products!$B$2:$E$13,3,FALSE))</f>
        <v/>
      </c>
    </row>
    <row r="1740">
      <c r="H1740" s="5">
        <f>F1740*G1740</f>
        <v/>
      </c>
      <c r="I1740" s="5">
        <f>IF(D1740="","",F1740*VLOOKUP(D1740,Products!$B$2:$E$13,3,FALSE))</f>
        <v/>
      </c>
    </row>
    <row r="1741">
      <c r="H1741" s="5">
        <f>F1741*G1741</f>
        <v/>
      </c>
      <c r="I1741" s="5">
        <f>IF(D1741="","",F1741*VLOOKUP(D1741,Products!$B$2:$E$13,3,FALSE))</f>
        <v/>
      </c>
    </row>
    <row r="1742">
      <c r="H1742" s="5">
        <f>F1742*G1742</f>
        <v/>
      </c>
      <c r="I1742" s="5">
        <f>IF(D1742="","",F1742*VLOOKUP(D1742,Products!$B$2:$E$13,3,FALSE))</f>
        <v/>
      </c>
    </row>
    <row r="1743">
      <c r="H1743" s="5">
        <f>F1743*G1743</f>
        <v/>
      </c>
      <c r="I1743" s="5">
        <f>IF(D1743="","",F1743*VLOOKUP(D1743,Products!$B$2:$E$13,3,FALSE))</f>
        <v/>
      </c>
    </row>
    <row r="1744">
      <c r="H1744" s="5">
        <f>F1744*G1744</f>
        <v/>
      </c>
      <c r="I1744" s="5">
        <f>IF(D1744="","",F1744*VLOOKUP(D1744,Products!$B$2:$E$13,3,FALSE))</f>
        <v/>
      </c>
    </row>
    <row r="1745">
      <c r="H1745" s="5">
        <f>F1745*G1745</f>
        <v/>
      </c>
      <c r="I1745" s="5">
        <f>IF(D1745="","",F1745*VLOOKUP(D1745,Products!$B$2:$E$13,3,FALSE))</f>
        <v/>
      </c>
    </row>
    <row r="1746">
      <c r="H1746" s="5">
        <f>F1746*G1746</f>
        <v/>
      </c>
      <c r="I1746" s="5">
        <f>IF(D1746="","",F1746*VLOOKUP(D1746,Products!$B$2:$E$13,3,FALSE))</f>
        <v/>
      </c>
    </row>
    <row r="1747">
      <c r="H1747" s="5">
        <f>F1747*G1747</f>
        <v/>
      </c>
      <c r="I1747" s="5">
        <f>IF(D1747="","",F1747*VLOOKUP(D1747,Products!$B$2:$E$13,3,FALSE))</f>
        <v/>
      </c>
    </row>
    <row r="1748">
      <c r="H1748" s="5">
        <f>F1748*G1748</f>
        <v/>
      </c>
      <c r="I1748" s="5">
        <f>IF(D1748="","",F1748*VLOOKUP(D1748,Products!$B$2:$E$13,3,FALSE))</f>
        <v/>
      </c>
    </row>
    <row r="1749">
      <c r="H1749" s="5">
        <f>F1749*G1749</f>
        <v/>
      </c>
      <c r="I1749" s="5">
        <f>IF(D1749="","",F1749*VLOOKUP(D1749,Products!$B$2:$E$13,3,FALSE))</f>
        <v/>
      </c>
    </row>
    <row r="1750">
      <c r="H1750" s="5">
        <f>F1750*G1750</f>
        <v/>
      </c>
      <c r="I1750" s="5">
        <f>IF(D1750="","",F1750*VLOOKUP(D1750,Products!$B$2:$E$13,3,FALSE))</f>
        <v/>
      </c>
    </row>
    <row r="1751">
      <c r="H1751" s="5">
        <f>F1751*G1751</f>
        <v/>
      </c>
      <c r="I1751" s="5">
        <f>IF(D1751="","",F1751*VLOOKUP(D1751,Products!$B$2:$E$13,3,FALSE))</f>
        <v/>
      </c>
    </row>
    <row r="1752">
      <c r="H1752" s="5">
        <f>F1752*G1752</f>
        <v/>
      </c>
      <c r="I1752" s="5">
        <f>IF(D1752="","",F1752*VLOOKUP(D1752,Products!$B$2:$E$13,3,FALSE))</f>
        <v/>
      </c>
    </row>
    <row r="1753">
      <c r="H1753" s="5">
        <f>F1753*G1753</f>
        <v/>
      </c>
      <c r="I1753" s="5">
        <f>IF(D1753="","",F1753*VLOOKUP(D1753,Products!$B$2:$E$13,3,FALSE))</f>
        <v/>
      </c>
    </row>
    <row r="1754">
      <c r="H1754" s="5">
        <f>F1754*G1754</f>
        <v/>
      </c>
      <c r="I1754" s="5">
        <f>IF(D1754="","",F1754*VLOOKUP(D1754,Products!$B$2:$E$13,3,FALSE))</f>
        <v/>
      </c>
    </row>
    <row r="1755">
      <c r="H1755" s="5">
        <f>F1755*G1755</f>
        <v/>
      </c>
      <c r="I1755" s="5">
        <f>IF(D1755="","",F1755*VLOOKUP(D1755,Products!$B$2:$E$13,3,FALSE))</f>
        <v/>
      </c>
    </row>
    <row r="1756">
      <c r="H1756" s="5">
        <f>F1756*G1756</f>
        <v/>
      </c>
      <c r="I1756" s="5">
        <f>IF(D1756="","",F1756*VLOOKUP(D1756,Products!$B$2:$E$13,3,FALSE))</f>
        <v/>
      </c>
    </row>
    <row r="1757">
      <c r="H1757" s="5">
        <f>F1757*G1757</f>
        <v/>
      </c>
      <c r="I1757" s="5">
        <f>IF(D1757="","",F1757*VLOOKUP(D1757,Products!$B$2:$E$13,3,FALSE))</f>
        <v/>
      </c>
    </row>
    <row r="1758">
      <c r="H1758" s="5">
        <f>F1758*G1758</f>
        <v/>
      </c>
      <c r="I1758" s="5">
        <f>IF(D1758="","",F1758*VLOOKUP(D1758,Products!$B$2:$E$13,3,FALSE))</f>
        <v/>
      </c>
    </row>
    <row r="1759">
      <c r="H1759" s="5">
        <f>F1759*G1759</f>
        <v/>
      </c>
      <c r="I1759" s="5">
        <f>IF(D1759="","",F1759*VLOOKUP(D1759,Products!$B$2:$E$13,3,FALSE))</f>
        <v/>
      </c>
    </row>
    <row r="1760">
      <c r="H1760" s="5">
        <f>F1760*G1760</f>
        <v/>
      </c>
      <c r="I1760" s="5">
        <f>IF(D1760="","",F1760*VLOOKUP(D1760,Products!$B$2:$E$13,3,FALSE))</f>
        <v/>
      </c>
    </row>
    <row r="1761">
      <c r="H1761" s="5">
        <f>F1761*G1761</f>
        <v/>
      </c>
      <c r="I1761" s="5">
        <f>IF(D1761="","",F1761*VLOOKUP(D1761,Products!$B$2:$E$13,3,FALSE))</f>
        <v/>
      </c>
    </row>
    <row r="1762">
      <c r="H1762" s="5">
        <f>F1762*G1762</f>
        <v/>
      </c>
      <c r="I1762" s="5">
        <f>IF(D1762="","",F1762*VLOOKUP(D1762,Products!$B$2:$E$13,3,FALSE))</f>
        <v/>
      </c>
    </row>
    <row r="1763">
      <c r="H1763" s="5">
        <f>F1763*G1763</f>
        <v/>
      </c>
      <c r="I1763" s="5">
        <f>IF(D1763="","",F1763*VLOOKUP(D1763,Products!$B$2:$E$13,3,FALSE))</f>
        <v/>
      </c>
    </row>
    <row r="1764">
      <c r="H1764" s="5">
        <f>F1764*G1764</f>
        <v/>
      </c>
      <c r="I1764" s="5">
        <f>IF(D1764="","",F1764*VLOOKUP(D1764,Products!$B$2:$E$13,3,FALSE))</f>
        <v/>
      </c>
    </row>
    <row r="1765">
      <c r="H1765" s="5">
        <f>F1765*G1765</f>
        <v/>
      </c>
      <c r="I1765" s="5">
        <f>IF(D1765="","",F1765*VLOOKUP(D1765,Products!$B$2:$E$13,3,FALSE))</f>
        <v/>
      </c>
    </row>
    <row r="1766">
      <c r="H1766" s="5">
        <f>F1766*G1766</f>
        <v/>
      </c>
      <c r="I1766" s="5">
        <f>IF(D1766="","",F1766*VLOOKUP(D1766,Products!$B$2:$E$13,3,FALSE))</f>
        <v/>
      </c>
    </row>
    <row r="1767">
      <c r="H1767" s="5">
        <f>F1767*G1767</f>
        <v/>
      </c>
      <c r="I1767" s="5">
        <f>IF(D1767="","",F1767*VLOOKUP(D1767,Products!$B$2:$E$13,3,FALSE))</f>
        <v/>
      </c>
    </row>
    <row r="1768">
      <c r="H1768" s="5">
        <f>F1768*G1768</f>
        <v/>
      </c>
      <c r="I1768" s="5">
        <f>IF(D1768="","",F1768*VLOOKUP(D1768,Products!$B$2:$E$13,3,FALSE))</f>
        <v/>
      </c>
    </row>
    <row r="1769">
      <c r="H1769" s="5">
        <f>F1769*G1769</f>
        <v/>
      </c>
      <c r="I1769" s="5">
        <f>IF(D1769="","",F1769*VLOOKUP(D1769,Products!$B$2:$E$13,3,FALSE))</f>
        <v/>
      </c>
    </row>
    <row r="1770">
      <c r="H1770" s="5">
        <f>F1770*G1770</f>
        <v/>
      </c>
      <c r="I1770" s="5">
        <f>IF(D1770="","",F1770*VLOOKUP(D1770,Products!$B$2:$E$13,3,FALSE))</f>
        <v/>
      </c>
    </row>
    <row r="1771">
      <c r="H1771" s="5">
        <f>F1771*G1771</f>
        <v/>
      </c>
      <c r="I1771" s="5">
        <f>IF(D1771="","",F1771*VLOOKUP(D1771,Products!$B$2:$E$13,3,FALSE))</f>
        <v/>
      </c>
    </row>
    <row r="1772">
      <c r="H1772" s="5">
        <f>F1772*G1772</f>
        <v/>
      </c>
      <c r="I1772" s="5">
        <f>IF(D1772="","",F1772*VLOOKUP(D1772,Products!$B$2:$E$13,3,FALSE))</f>
        <v/>
      </c>
    </row>
    <row r="1773">
      <c r="H1773" s="5">
        <f>F1773*G1773</f>
        <v/>
      </c>
      <c r="I1773" s="5">
        <f>IF(D1773="","",F1773*VLOOKUP(D1773,Products!$B$2:$E$13,3,FALSE))</f>
        <v/>
      </c>
    </row>
    <row r="1774">
      <c r="H1774" s="5">
        <f>F1774*G1774</f>
        <v/>
      </c>
      <c r="I1774" s="5">
        <f>IF(D1774="","",F1774*VLOOKUP(D1774,Products!$B$2:$E$13,3,FALSE))</f>
        <v/>
      </c>
    </row>
    <row r="1775">
      <c r="H1775" s="5">
        <f>F1775*G1775</f>
        <v/>
      </c>
      <c r="I1775" s="5">
        <f>IF(D1775="","",F1775*VLOOKUP(D1775,Products!$B$2:$E$13,3,FALSE))</f>
        <v/>
      </c>
    </row>
    <row r="1776">
      <c r="H1776" s="5">
        <f>F1776*G1776</f>
        <v/>
      </c>
      <c r="I1776" s="5">
        <f>IF(D1776="","",F1776*VLOOKUP(D1776,Products!$B$2:$E$13,3,FALSE))</f>
        <v/>
      </c>
    </row>
    <row r="1777">
      <c r="H1777" s="5">
        <f>F1777*G1777</f>
        <v/>
      </c>
      <c r="I1777" s="5">
        <f>IF(D1777="","",F1777*VLOOKUP(D1777,Products!$B$2:$E$13,3,FALSE))</f>
        <v/>
      </c>
    </row>
    <row r="1778">
      <c r="H1778" s="5">
        <f>F1778*G1778</f>
        <v/>
      </c>
      <c r="I1778" s="5">
        <f>IF(D1778="","",F1778*VLOOKUP(D1778,Products!$B$2:$E$13,3,FALSE))</f>
        <v/>
      </c>
    </row>
    <row r="1779">
      <c r="H1779" s="5">
        <f>F1779*G1779</f>
        <v/>
      </c>
      <c r="I1779" s="5">
        <f>IF(D1779="","",F1779*VLOOKUP(D1779,Products!$B$2:$E$13,3,FALSE))</f>
        <v/>
      </c>
    </row>
    <row r="1780">
      <c r="H1780" s="5">
        <f>F1780*G1780</f>
        <v/>
      </c>
      <c r="I1780" s="5">
        <f>IF(D1780="","",F1780*VLOOKUP(D1780,Products!$B$2:$E$13,3,FALSE))</f>
        <v/>
      </c>
    </row>
    <row r="1781">
      <c r="H1781" s="5">
        <f>F1781*G1781</f>
        <v/>
      </c>
      <c r="I1781" s="5">
        <f>IF(D1781="","",F1781*VLOOKUP(D1781,Products!$B$2:$E$13,3,FALSE))</f>
        <v/>
      </c>
    </row>
    <row r="1782">
      <c r="H1782" s="5">
        <f>F1782*G1782</f>
        <v/>
      </c>
      <c r="I1782" s="5">
        <f>IF(D1782="","",F1782*VLOOKUP(D1782,Products!$B$2:$E$13,3,FALSE))</f>
        <v/>
      </c>
    </row>
    <row r="1783">
      <c r="H1783" s="5">
        <f>F1783*G1783</f>
        <v/>
      </c>
      <c r="I1783" s="5">
        <f>IF(D1783="","",F1783*VLOOKUP(D1783,Products!$B$2:$E$13,3,FALSE))</f>
        <v/>
      </c>
    </row>
    <row r="1784">
      <c r="H1784" s="5">
        <f>F1784*G1784</f>
        <v/>
      </c>
      <c r="I1784" s="5">
        <f>IF(D1784="","",F1784*VLOOKUP(D1784,Products!$B$2:$E$13,3,FALSE))</f>
        <v/>
      </c>
    </row>
    <row r="1785">
      <c r="H1785" s="5">
        <f>F1785*G1785</f>
        <v/>
      </c>
      <c r="I1785" s="5">
        <f>IF(D1785="","",F1785*VLOOKUP(D1785,Products!$B$2:$E$13,3,FALSE))</f>
        <v/>
      </c>
    </row>
    <row r="1786">
      <c r="H1786" s="5">
        <f>F1786*G1786</f>
        <v/>
      </c>
      <c r="I1786" s="5">
        <f>IF(D1786="","",F1786*VLOOKUP(D1786,Products!$B$2:$E$13,3,FALSE))</f>
        <v/>
      </c>
    </row>
    <row r="1787">
      <c r="H1787" s="5">
        <f>F1787*G1787</f>
        <v/>
      </c>
      <c r="I1787" s="5">
        <f>IF(D1787="","",F1787*VLOOKUP(D1787,Products!$B$2:$E$13,3,FALSE))</f>
        <v/>
      </c>
    </row>
    <row r="1788">
      <c r="H1788" s="5">
        <f>F1788*G1788</f>
        <v/>
      </c>
      <c r="I1788" s="5">
        <f>IF(D1788="","",F1788*VLOOKUP(D1788,Products!$B$2:$E$13,3,FALSE))</f>
        <v/>
      </c>
    </row>
    <row r="1789">
      <c r="H1789" s="5">
        <f>F1789*G1789</f>
        <v/>
      </c>
      <c r="I1789" s="5">
        <f>IF(D1789="","",F1789*VLOOKUP(D1789,Products!$B$2:$E$13,3,FALSE))</f>
        <v/>
      </c>
    </row>
    <row r="1790">
      <c r="H1790" s="5">
        <f>F1790*G1790</f>
        <v/>
      </c>
      <c r="I1790" s="5">
        <f>IF(D1790="","",F1790*VLOOKUP(D1790,Products!$B$2:$E$13,3,FALSE))</f>
        <v/>
      </c>
    </row>
    <row r="1791">
      <c r="H1791" s="5">
        <f>F1791*G1791</f>
        <v/>
      </c>
      <c r="I1791" s="5">
        <f>IF(D1791="","",F1791*VLOOKUP(D1791,Products!$B$2:$E$13,3,FALSE))</f>
        <v/>
      </c>
    </row>
    <row r="1792">
      <c r="H1792" s="5">
        <f>F1792*G1792</f>
        <v/>
      </c>
      <c r="I1792" s="5">
        <f>IF(D1792="","",F1792*VLOOKUP(D1792,Products!$B$2:$E$13,3,FALSE))</f>
        <v/>
      </c>
    </row>
    <row r="1793">
      <c r="H1793" s="5">
        <f>F1793*G1793</f>
        <v/>
      </c>
      <c r="I1793" s="5">
        <f>IF(D1793="","",F1793*VLOOKUP(D1793,Products!$B$2:$E$13,3,FALSE))</f>
        <v/>
      </c>
    </row>
    <row r="1794">
      <c r="H1794" s="5">
        <f>F1794*G1794</f>
        <v/>
      </c>
      <c r="I1794" s="5">
        <f>IF(D1794="","",F1794*VLOOKUP(D1794,Products!$B$2:$E$13,3,FALSE))</f>
        <v/>
      </c>
    </row>
    <row r="1795">
      <c r="H1795" s="5">
        <f>F1795*G1795</f>
        <v/>
      </c>
      <c r="I1795" s="5">
        <f>IF(D1795="","",F1795*VLOOKUP(D1795,Products!$B$2:$E$13,3,FALSE))</f>
        <v/>
      </c>
    </row>
    <row r="1796">
      <c r="H1796" s="5">
        <f>F1796*G1796</f>
        <v/>
      </c>
      <c r="I1796" s="5">
        <f>IF(D1796="","",F1796*VLOOKUP(D1796,Products!$B$2:$E$13,3,FALSE))</f>
        <v/>
      </c>
    </row>
    <row r="1797">
      <c r="H1797" s="5">
        <f>F1797*G1797</f>
        <v/>
      </c>
      <c r="I1797" s="5">
        <f>IF(D1797="","",F1797*VLOOKUP(D1797,Products!$B$2:$E$13,3,FALSE))</f>
        <v/>
      </c>
    </row>
    <row r="1798">
      <c r="H1798" s="5">
        <f>F1798*G1798</f>
        <v/>
      </c>
      <c r="I1798" s="5">
        <f>IF(D1798="","",F1798*VLOOKUP(D1798,Products!$B$2:$E$13,3,FALSE))</f>
        <v/>
      </c>
    </row>
    <row r="1799">
      <c r="H1799" s="5">
        <f>F1799*G1799</f>
        <v/>
      </c>
      <c r="I1799" s="5">
        <f>IF(D1799="","",F1799*VLOOKUP(D1799,Products!$B$2:$E$13,3,FALSE))</f>
        <v/>
      </c>
    </row>
    <row r="1800">
      <c r="H1800" s="5">
        <f>F1800*G1800</f>
        <v/>
      </c>
      <c r="I1800" s="5">
        <f>IF(D1800="","",F1800*VLOOKUP(D1800,Products!$B$2:$E$13,3,FALSE))</f>
        <v/>
      </c>
    </row>
    <row r="1801">
      <c r="H1801" s="5">
        <f>F1801*G1801</f>
        <v/>
      </c>
      <c r="I1801" s="5">
        <f>IF(D1801="","",F1801*VLOOKUP(D1801,Products!$B$2:$E$13,3,FALSE))</f>
        <v/>
      </c>
    </row>
    <row r="1802">
      <c r="H1802" s="5">
        <f>F1802*G1802</f>
        <v/>
      </c>
      <c r="I1802" s="5">
        <f>IF(D1802="","",F1802*VLOOKUP(D1802,Products!$B$2:$E$13,3,FALSE))</f>
        <v/>
      </c>
    </row>
    <row r="1803">
      <c r="H1803" s="5">
        <f>F1803*G1803</f>
        <v/>
      </c>
      <c r="I1803" s="5">
        <f>IF(D1803="","",F1803*VLOOKUP(D1803,Products!$B$2:$E$13,3,FALSE))</f>
        <v/>
      </c>
    </row>
    <row r="1804">
      <c r="H1804" s="5">
        <f>F1804*G1804</f>
        <v/>
      </c>
      <c r="I1804" s="5">
        <f>IF(D1804="","",F1804*VLOOKUP(D1804,Products!$B$2:$E$13,3,FALSE))</f>
        <v/>
      </c>
    </row>
    <row r="1805">
      <c r="H1805" s="5">
        <f>F1805*G1805</f>
        <v/>
      </c>
      <c r="I1805" s="5">
        <f>IF(D1805="","",F1805*VLOOKUP(D1805,Products!$B$2:$E$13,3,FALSE))</f>
        <v/>
      </c>
    </row>
    <row r="1806">
      <c r="H1806" s="5">
        <f>F1806*G1806</f>
        <v/>
      </c>
      <c r="I1806" s="5">
        <f>IF(D1806="","",F1806*VLOOKUP(D1806,Products!$B$2:$E$13,3,FALSE))</f>
        <v/>
      </c>
    </row>
    <row r="1807">
      <c r="H1807" s="5">
        <f>F1807*G1807</f>
        <v/>
      </c>
      <c r="I1807" s="5">
        <f>IF(D1807="","",F1807*VLOOKUP(D1807,Products!$B$2:$E$13,3,FALSE))</f>
        <v/>
      </c>
    </row>
    <row r="1808">
      <c r="H1808" s="5">
        <f>F1808*G1808</f>
        <v/>
      </c>
      <c r="I1808" s="5">
        <f>IF(D1808="","",F1808*VLOOKUP(D1808,Products!$B$2:$E$13,3,FALSE))</f>
        <v/>
      </c>
    </row>
    <row r="1809">
      <c r="H1809" s="5">
        <f>F1809*G1809</f>
        <v/>
      </c>
      <c r="I1809" s="5">
        <f>IF(D1809="","",F1809*VLOOKUP(D1809,Products!$B$2:$E$13,3,FALSE))</f>
        <v/>
      </c>
    </row>
    <row r="1810">
      <c r="H1810" s="5">
        <f>F1810*G1810</f>
        <v/>
      </c>
      <c r="I1810" s="5">
        <f>IF(D1810="","",F1810*VLOOKUP(D1810,Products!$B$2:$E$13,3,FALSE))</f>
        <v/>
      </c>
    </row>
    <row r="1811">
      <c r="H1811" s="5">
        <f>F1811*G1811</f>
        <v/>
      </c>
      <c r="I1811" s="5">
        <f>IF(D1811="","",F1811*VLOOKUP(D1811,Products!$B$2:$E$13,3,FALSE))</f>
        <v/>
      </c>
    </row>
    <row r="1812">
      <c r="H1812" s="5">
        <f>F1812*G1812</f>
        <v/>
      </c>
      <c r="I1812" s="5">
        <f>IF(D1812="","",F1812*VLOOKUP(D1812,Products!$B$2:$E$13,3,FALSE))</f>
        <v/>
      </c>
    </row>
    <row r="1813">
      <c r="H1813" s="5">
        <f>F1813*G1813</f>
        <v/>
      </c>
      <c r="I1813" s="5">
        <f>IF(D1813="","",F1813*VLOOKUP(D1813,Products!$B$2:$E$13,3,FALSE))</f>
        <v/>
      </c>
    </row>
    <row r="1814">
      <c r="H1814" s="5">
        <f>F1814*G1814</f>
        <v/>
      </c>
      <c r="I1814" s="5">
        <f>IF(D1814="","",F1814*VLOOKUP(D1814,Products!$B$2:$E$13,3,FALSE))</f>
        <v/>
      </c>
    </row>
    <row r="1815">
      <c r="H1815" s="5">
        <f>F1815*G1815</f>
        <v/>
      </c>
      <c r="I1815" s="5">
        <f>IF(D1815="","",F1815*VLOOKUP(D1815,Products!$B$2:$E$13,3,FALSE))</f>
        <v/>
      </c>
    </row>
    <row r="1816">
      <c r="H1816" s="5">
        <f>F1816*G1816</f>
        <v/>
      </c>
      <c r="I1816" s="5">
        <f>IF(D1816="","",F1816*VLOOKUP(D1816,Products!$B$2:$E$13,3,FALSE))</f>
        <v/>
      </c>
    </row>
    <row r="1817">
      <c r="H1817" s="5">
        <f>F1817*G1817</f>
        <v/>
      </c>
      <c r="I1817" s="5">
        <f>IF(D1817="","",F1817*VLOOKUP(D1817,Products!$B$2:$E$13,3,FALSE))</f>
        <v/>
      </c>
    </row>
    <row r="1818">
      <c r="H1818" s="5">
        <f>F1818*G1818</f>
        <v/>
      </c>
      <c r="I1818" s="5">
        <f>IF(D1818="","",F1818*VLOOKUP(D1818,Products!$B$2:$E$13,3,FALSE))</f>
        <v/>
      </c>
    </row>
    <row r="1819">
      <c r="H1819" s="5">
        <f>F1819*G1819</f>
        <v/>
      </c>
      <c r="I1819" s="5">
        <f>IF(D1819="","",F1819*VLOOKUP(D1819,Products!$B$2:$E$13,3,FALSE))</f>
        <v/>
      </c>
    </row>
    <row r="1820">
      <c r="H1820" s="5">
        <f>F1820*G1820</f>
        <v/>
      </c>
      <c r="I1820" s="5">
        <f>IF(D1820="","",F1820*VLOOKUP(D1820,Products!$B$2:$E$13,3,FALSE))</f>
        <v/>
      </c>
    </row>
    <row r="1821">
      <c r="H1821" s="5">
        <f>F1821*G1821</f>
        <v/>
      </c>
      <c r="I1821" s="5">
        <f>IF(D1821="","",F1821*VLOOKUP(D1821,Products!$B$2:$E$13,3,FALSE))</f>
        <v/>
      </c>
    </row>
    <row r="1822">
      <c r="H1822" s="5">
        <f>F1822*G1822</f>
        <v/>
      </c>
      <c r="I1822" s="5">
        <f>IF(D1822="","",F1822*VLOOKUP(D1822,Products!$B$2:$E$13,3,FALSE))</f>
        <v/>
      </c>
    </row>
    <row r="1823">
      <c r="H1823" s="5">
        <f>F1823*G1823</f>
        <v/>
      </c>
      <c r="I1823" s="5">
        <f>IF(D1823="","",F1823*VLOOKUP(D1823,Products!$B$2:$E$13,3,FALSE))</f>
        <v/>
      </c>
    </row>
    <row r="1824">
      <c r="H1824" s="5">
        <f>F1824*G1824</f>
        <v/>
      </c>
      <c r="I1824" s="5">
        <f>IF(D1824="","",F1824*VLOOKUP(D1824,Products!$B$2:$E$13,3,FALSE))</f>
        <v/>
      </c>
    </row>
    <row r="1825">
      <c r="H1825" s="5">
        <f>F1825*G1825</f>
        <v/>
      </c>
      <c r="I1825" s="5">
        <f>IF(D1825="","",F1825*VLOOKUP(D1825,Products!$B$2:$E$13,3,FALSE))</f>
        <v/>
      </c>
    </row>
    <row r="1826">
      <c r="H1826" s="5">
        <f>F1826*G1826</f>
        <v/>
      </c>
      <c r="I1826" s="5">
        <f>IF(D1826="","",F1826*VLOOKUP(D1826,Products!$B$2:$E$13,3,FALSE))</f>
        <v/>
      </c>
    </row>
    <row r="1827">
      <c r="H1827" s="5">
        <f>F1827*G1827</f>
        <v/>
      </c>
      <c r="I1827" s="5">
        <f>IF(D1827="","",F1827*VLOOKUP(D1827,Products!$B$2:$E$13,3,FALSE))</f>
        <v/>
      </c>
    </row>
    <row r="1828">
      <c r="H1828" s="5">
        <f>F1828*G1828</f>
        <v/>
      </c>
      <c r="I1828" s="5">
        <f>IF(D1828="","",F1828*VLOOKUP(D1828,Products!$B$2:$E$13,3,FALSE))</f>
        <v/>
      </c>
    </row>
    <row r="1829">
      <c r="H1829" s="5">
        <f>F1829*G1829</f>
        <v/>
      </c>
      <c r="I1829" s="5">
        <f>IF(D1829="","",F1829*VLOOKUP(D1829,Products!$B$2:$E$13,3,FALSE))</f>
        <v/>
      </c>
    </row>
    <row r="1830">
      <c r="H1830" s="5">
        <f>F1830*G1830</f>
        <v/>
      </c>
      <c r="I1830" s="5">
        <f>IF(D1830="","",F1830*VLOOKUP(D1830,Products!$B$2:$E$13,3,FALSE))</f>
        <v/>
      </c>
    </row>
    <row r="1831">
      <c r="H1831" s="5">
        <f>F1831*G1831</f>
        <v/>
      </c>
      <c r="I1831" s="5">
        <f>IF(D1831="","",F1831*VLOOKUP(D1831,Products!$B$2:$E$13,3,FALSE))</f>
        <v/>
      </c>
    </row>
    <row r="1832">
      <c r="H1832" s="5">
        <f>F1832*G1832</f>
        <v/>
      </c>
      <c r="I1832" s="5">
        <f>IF(D1832="","",F1832*VLOOKUP(D1832,Products!$B$2:$E$13,3,FALSE))</f>
        <v/>
      </c>
    </row>
    <row r="1833">
      <c r="H1833" s="5">
        <f>F1833*G1833</f>
        <v/>
      </c>
      <c r="I1833" s="5">
        <f>IF(D1833="","",F1833*VLOOKUP(D1833,Products!$B$2:$E$13,3,FALSE))</f>
        <v/>
      </c>
    </row>
    <row r="1834">
      <c r="H1834" s="5">
        <f>F1834*G1834</f>
        <v/>
      </c>
      <c r="I1834" s="5">
        <f>IF(D1834="","",F1834*VLOOKUP(D1834,Products!$B$2:$E$13,3,FALSE))</f>
        <v/>
      </c>
    </row>
    <row r="1835">
      <c r="H1835" s="5">
        <f>F1835*G1835</f>
        <v/>
      </c>
      <c r="I1835" s="5">
        <f>IF(D1835="","",F1835*VLOOKUP(D1835,Products!$B$2:$E$13,3,FALSE))</f>
        <v/>
      </c>
    </row>
    <row r="1836">
      <c r="H1836" s="5">
        <f>F1836*G1836</f>
        <v/>
      </c>
      <c r="I1836" s="5">
        <f>IF(D1836="","",F1836*VLOOKUP(D1836,Products!$B$2:$E$13,3,FALSE))</f>
        <v/>
      </c>
    </row>
    <row r="1837">
      <c r="H1837" s="5">
        <f>F1837*G1837</f>
        <v/>
      </c>
      <c r="I1837" s="5">
        <f>IF(D1837="","",F1837*VLOOKUP(D1837,Products!$B$2:$E$13,3,FALSE))</f>
        <v/>
      </c>
    </row>
    <row r="1838">
      <c r="H1838" s="5">
        <f>F1838*G1838</f>
        <v/>
      </c>
      <c r="I1838" s="5">
        <f>IF(D1838="","",F1838*VLOOKUP(D1838,Products!$B$2:$E$13,3,FALSE))</f>
        <v/>
      </c>
    </row>
    <row r="1839">
      <c r="H1839" s="5">
        <f>F1839*G1839</f>
        <v/>
      </c>
      <c r="I1839" s="5">
        <f>IF(D1839="","",F1839*VLOOKUP(D1839,Products!$B$2:$E$13,3,FALSE))</f>
        <v/>
      </c>
    </row>
    <row r="1840">
      <c r="H1840" s="5">
        <f>F1840*G1840</f>
        <v/>
      </c>
      <c r="I1840" s="5">
        <f>IF(D1840="","",F1840*VLOOKUP(D1840,Products!$B$2:$E$13,3,FALSE))</f>
        <v/>
      </c>
    </row>
    <row r="1841">
      <c r="H1841" s="5">
        <f>F1841*G1841</f>
        <v/>
      </c>
      <c r="I1841" s="5">
        <f>IF(D1841="","",F1841*VLOOKUP(D1841,Products!$B$2:$E$13,3,FALSE))</f>
        <v/>
      </c>
    </row>
    <row r="1842">
      <c r="H1842" s="5">
        <f>F1842*G1842</f>
        <v/>
      </c>
      <c r="I1842" s="5">
        <f>IF(D1842="","",F1842*VLOOKUP(D1842,Products!$B$2:$E$13,3,FALSE))</f>
        <v/>
      </c>
    </row>
    <row r="1843">
      <c r="H1843" s="5">
        <f>F1843*G1843</f>
        <v/>
      </c>
      <c r="I1843" s="5">
        <f>IF(D1843="","",F1843*VLOOKUP(D1843,Products!$B$2:$E$13,3,FALSE))</f>
        <v/>
      </c>
    </row>
    <row r="1844">
      <c r="H1844" s="5">
        <f>F1844*G1844</f>
        <v/>
      </c>
      <c r="I1844" s="5">
        <f>IF(D1844="","",F1844*VLOOKUP(D1844,Products!$B$2:$E$13,3,FALSE))</f>
        <v/>
      </c>
    </row>
    <row r="1845">
      <c r="H1845" s="5">
        <f>F1845*G1845</f>
        <v/>
      </c>
      <c r="I1845" s="5">
        <f>IF(D1845="","",F1845*VLOOKUP(D1845,Products!$B$2:$E$13,3,FALSE))</f>
        <v/>
      </c>
    </row>
    <row r="1846">
      <c r="H1846" s="5">
        <f>F1846*G1846</f>
        <v/>
      </c>
      <c r="I1846" s="5">
        <f>IF(D1846="","",F1846*VLOOKUP(D1846,Products!$B$2:$E$13,3,FALSE))</f>
        <v/>
      </c>
    </row>
    <row r="1847">
      <c r="H1847" s="5">
        <f>F1847*G1847</f>
        <v/>
      </c>
      <c r="I1847" s="5">
        <f>IF(D1847="","",F1847*VLOOKUP(D1847,Products!$B$2:$E$13,3,FALSE))</f>
        <v/>
      </c>
    </row>
    <row r="1848">
      <c r="H1848" s="5">
        <f>F1848*G1848</f>
        <v/>
      </c>
      <c r="I1848" s="5">
        <f>IF(D1848="","",F1848*VLOOKUP(D1848,Products!$B$2:$E$13,3,FALSE))</f>
        <v/>
      </c>
    </row>
    <row r="1849">
      <c r="H1849" s="5">
        <f>F1849*G1849</f>
        <v/>
      </c>
      <c r="I1849" s="5">
        <f>IF(D1849="","",F1849*VLOOKUP(D1849,Products!$B$2:$E$13,3,FALSE))</f>
        <v/>
      </c>
    </row>
    <row r="1850">
      <c r="H1850" s="5">
        <f>F1850*G1850</f>
        <v/>
      </c>
      <c r="I1850" s="5">
        <f>IF(D1850="","",F1850*VLOOKUP(D1850,Products!$B$2:$E$13,3,FALSE))</f>
        <v/>
      </c>
    </row>
    <row r="1851">
      <c r="H1851" s="5">
        <f>F1851*G1851</f>
        <v/>
      </c>
      <c r="I1851" s="5">
        <f>IF(D1851="","",F1851*VLOOKUP(D1851,Products!$B$2:$E$13,3,FALSE))</f>
        <v/>
      </c>
    </row>
    <row r="1852">
      <c r="H1852" s="5">
        <f>F1852*G1852</f>
        <v/>
      </c>
      <c r="I1852" s="5">
        <f>IF(D1852="","",F1852*VLOOKUP(D1852,Products!$B$2:$E$13,3,FALSE))</f>
        <v/>
      </c>
    </row>
    <row r="1853">
      <c r="H1853" s="5">
        <f>F1853*G1853</f>
        <v/>
      </c>
      <c r="I1853" s="5">
        <f>IF(D1853="","",F1853*VLOOKUP(D1853,Products!$B$2:$E$13,3,FALSE))</f>
        <v/>
      </c>
    </row>
    <row r="1854">
      <c r="H1854" s="5">
        <f>F1854*G1854</f>
        <v/>
      </c>
      <c r="I1854" s="5">
        <f>IF(D1854="","",F1854*VLOOKUP(D1854,Products!$B$2:$E$13,3,FALSE))</f>
        <v/>
      </c>
    </row>
    <row r="1855">
      <c r="H1855" s="5">
        <f>F1855*G1855</f>
        <v/>
      </c>
      <c r="I1855" s="5">
        <f>IF(D1855="","",F1855*VLOOKUP(D1855,Products!$B$2:$E$13,3,FALSE))</f>
        <v/>
      </c>
    </row>
    <row r="1856">
      <c r="H1856" s="5">
        <f>F1856*G1856</f>
        <v/>
      </c>
      <c r="I1856" s="5">
        <f>IF(D1856="","",F1856*VLOOKUP(D1856,Products!$B$2:$E$13,3,FALSE))</f>
        <v/>
      </c>
    </row>
    <row r="1857">
      <c r="H1857" s="5">
        <f>F1857*G1857</f>
        <v/>
      </c>
      <c r="I1857" s="5">
        <f>IF(D1857="","",F1857*VLOOKUP(D1857,Products!$B$2:$E$13,3,FALSE))</f>
        <v/>
      </c>
    </row>
    <row r="1858">
      <c r="H1858" s="5">
        <f>F1858*G1858</f>
        <v/>
      </c>
      <c r="I1858" s="5">
        <f>IF(D1858="","",F1858*VLOOKUP(D1858,Products!$B$2:$E$13,3,FALSE))</f>
        <v/>
      </c>
    </row>
    <row r="1859">
      <c r="H1859" s="5">
        <f>F1859*G1859</f>
        <v/>
      </c>
      <c r="I1859" s="5">
        <f>IF(D1859="","",F1859*VLOOKUP(D1859,Products!$B$2:$E$13,3,FALSE))</f>
        <v/>
      </c>
    </row>
    <row r="1860">
      <c r="H1860" s="5">
        <f>F1860*G1860</f>
        <v/>
      </c>
      <c r="I1860" s="5">
        <f>IF(D1860="","",F1860*VLOOKUP(D1860,Products!$B$2:$E$13,3,FALSE))</f>
        <v/>
      </c>
    </row>
    <row r="1861">
      <c r="H1861" s="5">
        <f>F1861*G1861</f>
        <v/>
      </c>
      <c r="I1861" s="5">
        <f>IF(D1861="","",F1861*VLOOKUP(D1861,Products!$B$2:$E$13,3,FALSE))</f>
        <v/>
      </c>
    </row>
    <row r="1862">
      <c r="H1862" s="5">
        <f>F1862*G1862</f>
        <v/>
      </c>
      <c r="I1862" s="5">
        <f>IF(D1862="","",F1862*VLOOKUP(D1862,Products!$B$2:$E$13,3,FALSE))</f>
        <v/>
      </c>
    </row>
    <row r="1863">
      <c r="H1863" s="5">
        <f>F1863*G1863</f>
        <v/>
      </c>
      <c r="I1863" s="5">
        <f>IF(D1863="","",F1863*VLOOKUP(D1863,Products!$B$2:$E$13,3,FALSE))</f>
        <v/>
      </c>
    </row>
    <row r="1864">
      <c r="H1864" s="5">
        <f>F1864*G1864</f>
        <v/>
      </c>
      <c r="I1864" s="5">
        <f>IF(D1864="","",F1864*VLOOKUP(D1864,Products!$B$2:$E$13,3,FALSE))</f>
        <v/>
      </c>
    </row>
    <row r="1865">
      <c r="H1865" s="5">
        <f>F1865*G1865</f>
        <v/>
      </c>
      <c r="I1865" s="5">
        <f>IF(D1865="","",F1865*VLOOKUP(D1865,Products!$B$2:$E$13,3,FALSE))</f>
        <v/>
      </c>
    </row>
    <row r="1866">
      <c r="H1866" s="5">
        <f>F1866*G1866</f>
        <v/>
      </c>
      <c r="I1866" s="5">
        <f>IF(D1866="","",F1866*VLOOKUP(D1866,Products!$B$2:$E$13,3,FALSE))</f>
        <v/>
      </c>
    </row>
    <row r="1867">
      <c r="H1867" s="5">
        <f>F1867*G1867</f>
        <v/>
      </c>
      <c r="I1867" s="5">
        <f>IF(D1867="","",F1867*VLOOKUP(D1867,Products!$B$2:$E$13,3,FALSE))</f>
        <v/>
      </c>
    </row>
    <row r="1868">
      <c r="H1868" s="5">
        <f>F1868*G1868</f>
        <v/>
      </c>
      <c r="I1868" s="5">
        <f>IF(D1868="","",F1868*VLOOKUP(D1868,Products!$B$2:$E$13,3,FALSE))</f>
        <v/>
      </c>
    </row>
    <row r="1869">
      <c r="H1869" s="5">
        <f>F1869*G1869</f>
        <v/>
      </c>
      <c r="I1869" s="5">
        <f>IF(D1869="","",F1869*VLOOKUP(D1869,Products!$B$2:$E$13,3,FALSE))</f>
        <v/>
      </c>
    </row>
    <row r="1870">
      <c r="H1870" s="5">
        <f>F1870*G1870</f>
        <v/>
      </c>
      <c r="I1870" s="5">
        <f>IF(D1870="","",F1870*VLOOKUP(D1870,Products!$B$2:$E$13,3,FALSE))</f>
        <v/>
      </c>
    </row>
    <row r="1871">
      <c r="H1871" s="5">
        <f>F1871*G1871</f>
        <v/>
      </c>
      <c r="I1871" s="5">
        <f>IF(D1871="","",F1871*VLOOKUP(D1871,Products!$B$2:$E$13,3,FALSE))</f>
        <v/>
      </c>
    </row>
    <row r="1872">
      <c r="H1872" s="5">
        <f>F1872*G1872</f>
        <v/>
      </c>
      <c r="I1872" s="5">
        <f>IF(D1872="","",F1872*VLOOKUP(D1872,Products!$B$2:$E$13,3,FALSE))</f>
        <v/>
      </c>
    </row>
    <row r="1873">
      <c r="H1873" s="5">
        <f>F1873*G1873</f>
        <v/>
      </c>
      <c r="I1873" s="5">
        <f>IF(D1873="","",F1873*VLOOKUP(D1873,Products!$B$2:$E$13,3,FALSE))</f>
        <v/>
      </c>
    </row>
    <row r="1874">
      <c r="H1874" s="5">
        <f>F1874*G1874</f>
        <v/>
      </c>
      <c r="I1874" s="5">
        <f>IF(D1874="","",F1874*VLOOKUP(D1874,Products!$B$2:$E$13,3,FALSE))</f>
        <v/>
      </c>
    </row>
    <row r="1875">
      <c r="H1875" s="5">
        <f>F1875*G1875</f>
        <v/>
      </c>
      <c r="I1875" s="5">
        <f>IF(D1875="","",F1875*VLOOKUP(D1875,Products!$B$2:$E$13,3,FALSE))</f>
        <v/>
      </c>
    </row>
    <row r="1876">
      <c r="H1876" s="5">
        <f>F1876*G1876</f>
        <v/>
      </c>
      <c r="I1876" s="5">
        <f>IF(D1876="","",F1876*VLOOKUP(D1876,Products!$B$2:$E$13,3,FALSE))</f>
        <v/>
      </c>
    </row>
    <row r="1877">
      <c r="H1877" s="5">
        <f>F1877*G1877</f>
        <v/>
      </c>
      <c r="I1877" s="5">
        <f>IF(D1877="","",F1877*VLOOKUP(D1877,Products!$B$2:$E$13,3,FALSE))</f>
        <v/>
      </c>
    </row>
    <row r="1878">
      <c r="H1878" s="5">
        <f>F1878*G1878</f>
        <v/>
      </c>
      <c r="I1878" s="5">
        <f>IF(D1878="","",F1878*VLOOKUP(D1878,Products!$B$2:$E$13,3,FALSE))</f>
        <v/>
      </c>
    </row>
    <row r="1879">
      <c r="H1879" s="5">
        <f>F1879*G1879</f>
        <v/>
      </c>
      <c r="I1879" s="5">
        <f>IF(D1879="","",F1879*VLOOKUP(D1879,Products!$B$2:$E$13,3,FALSE))</f>
        <v/>
      </c>
    </row>
    <row r="1880">
      <c r="H1880" s="5">
        <f>F1880*G1880</f>
        <v/>
      </c>
      <c r="I1880" s="5">
        <f>IF(D1880="","",F1880*VLOOKUP(D1880,Products!$B$2:$E$13,3,FALSE))</f>
        <v/>
      </c>
    </row>
    <row r="1881">
      <c r="H1881" s="5">
        <f>F1881*G1881</f>
        <v/>
      </c>
      <c r="I1881" s="5">
        <f>IF(D1881="","",F1881*VLOOKUP(D1881,Products!$B$2:$E$13,3,FALSE))</f>
        <v/>
      </c>
    </row>
    <row r="1882">
      <c r="H1882" s="5">
        <f>F1882*G1882</f>
        <v/>
      </c>
      <c r="I1882" s="5">
        <f>IF(D1882="","",F1882*VLOOKUP(D1882,Products!$B$2:$E$13,3,FALSE))</f>
        <v/>
      </c>
    </row>
    <row r="1883">
      <c r="H1883" s="5">
        <f>F1883*G1883</f>
        <v/>
      </c>
      <c r="I1883" s="5">
        <f>IF(D1883="","",F1883*VLOOKUP(D1883,Products!$B$2:$E$13,3,FALSE))</f>
        <v/>
      </c>
    </row>
    <row r="1884">
      <c r="H1884" s="5">
        <f>F1884*G1884</f>
        <v/>
      </c>
      <c r="I1884" s="5">
        <f>IF(D1884="","",F1884*VLOOKUP(D1884,Products!$B$2:$E$13,3,FALSE))</f>
        <v/>
      </c>
    </row>
    <row r="1885">
      <c r="H1885" s="5">
        <f>F1885*G1885</f>
        <v/>
      </c>
      <c r="I1885" s="5">
        <f>IF(D1885="","",F1885*VLOOKUP(D1885,Products!$B$2:$E$13,3,FALSE))</f>
        <v/>
      </c>
    </row>
    <row r="1886">
      <c r="H1886" s="5">
        <f>F1886*G1886</f>
        <v/>
      </c>
      <c r="I1886" s="5">
        <f>IF(D1886="","",F1886*VLOOKUP(D1886,Products!$B$2:$E$13,3,FALSE))</f>
        <v/>
      </c>
    </row>
    <row r="1887">
      <c r="H1887" s="5">
        <f>F1887*G1887</f>
        <v/>
      </c>
      <c r="I1887" s="5">
        <f>IF(D1887="","",F1887*VLOOKUP(D1887,Products!$B$2:$E$13,3,FALSE))</f>
        <v/>
      </c>
    </row>
    <row r="1888">
      <c r="H1888" s="5">
        <f>F1888*G1888</f>
        <v/>
      </c>
      <c r="I1888" s="5">
        <f>IF(D1888="","",F1888*VLOOKUP(D1888,Products!$B$2:$E$13,3,FALSE))</f>
        <v/>
      </c>
    </row>
    <row r="1889">
      <c r="H1889" s="5">
        <f>F1889*G1889</f>
        <v/>
      </c>
      <c r="I1889" s="5">
        <f>IF(D1889="","",F1889*VLOOKUP(D1889,Products!$B$2:$E$13,3,FALSE))</f>
        <v/>
      </c>
    </row>
    <row r="1890">
      <c r="H1890" s="5">
        <f>F1890*G1890</f>
        <v/>
      </c>
      <c r="I1890" s="5">
        <f>IF(D1890="","",F1890*VLOOKUP(D1890,Products!$B$2:$E$13,3,FALSE))</f>
        <v/>
      </c>
    </row>
    <row r="1891">
      <c r="H1891" s="5">
        <f>F1891*G1891</f>
        <v/>
      </c>
      <c r="I1891" s="5">
        <f>IF(D1891="","",F1891*VLOOKUP(D1891,Products!$B$2:$E$13,3,FALSE))</f>
        <v/>
      </c>
    </row>
    <row r="1892">
      <c r="H1892" s="5">
        <f>F1892*G1892</f>
        <v/>
      </c>
      <c r="I1892" s="5">
        <f>IF(D1892="","",F1892*VLOOKUP(D1892,Products!$B$2:$E$13,3,FALSE))</f>
        <v/>
      </c>
    </row>
    <row r="1893">
      <c r="H1893" s="5">
        <f>F1893*G1893</f>
        <v/>
      </c>
      <c r="I1893" s="5">
        <f>IF(D1893="","",F1893*VLOOKUP(D1893,Products!$B$2:$E$13,3,FALSE))</f>
        <v/>
      </c>
    </row>
    <row r="1894">
      <c r="H1894" s="5">
        <f>F1894*G1894</f>
        <v/>
      </c>
      <c r="I1894" s="5">
        <f>IF(D1894="","",F1894*VLOOKUP(D1894,Products!$B$2:$E$13,3,FALSE))</f>
        <v/>
      </c>
    </row>
    <row r="1895">
      <c r="H1895" s="5">
        <f>F1895*G1895</f>
        <v/>
      </c>
      <c r="I1895" s="5">
        <f>IF(D1895="","",F1895*VLOOKUP(D1895,Products!$B$2:$E$13,3,FALSE))</f>
        <v/>
      </c>
    </row>
    <row r="1896">
      <c r="H1896" s="5">
        <f>F1896*G1896</f>
        <v/>
      </c>
      <c r="I1896" s="5">
        <f>IF(D1896="","",F1896*VLOOKUP(D1896,Products!$B$2:$E$13,3,FALSE))</f>
        <v/>
      </c>
    </row>
    <row r="1897">
      <c r="H1897" s="5">
        <f>F1897*G1897</f>
        <v/>
      </c>
      <c r="I1897" s="5">
        <f>IF(D1897="","",F1897*VLOOKUP(D1897,Products!$B$2:$E$13,3,FALSE))</f>
        <v/>
      </c>
    </row>
    <row r="1898">
      <c r="H1898" s="5">
        <f>F1898*G1898</f>
        <v/>
      </c>
      <c r="I1898" s="5">
        <f>IF(D1898="","",F1898*VLOOKUP(D1898,Products!$B$2:$E$13,3,FALSE))</f>
        <v/>
      </c>
    </row>
    <row r="1899">
      <c r="H1899" s="5">
        <f>F1899*G1899</f>
        <v/>
      </c>
      <c r="I1899" s="5">
        <f>IF(D1899="","",F1899*VLOOKUP(D1899,Products!$B$2:$E$13,3,FALSE))</f>
        <v/>
      </c>
    </row>
    <row r="1900">
      <c r="H1900" s="5">
        <f>F1900*G1900</f>
        <v/>
      </c>
      <c r="I1900" s="5">
        <f>IF(D1900="","",F1900*VLOOKUP(D1900,Products!$B$2:$E$13,3,FALSE))</f>
        <v/>
      </c>
    </row>
    <row r="1901">
      <c r="H1901" s="5">
        <f>F1901*G1901</f>
        <v/>
      </c>
      <c r="I1901" s="5">
        <f>IF(D1901="","",F1901*VLOOKUP(D1901,Products!$B$2:$E$13,3,FALSE))</f>
        <v/>
      </c>
    </row>
    <row r="1902">
      <c r="H1902" s="5">
        <f>F1902*G1902</f>
        <v/>
      </c>
      <c r="I1902" s="5">
        <f>IF(D1902="","",F1902*VLOOKUP(D1902,Products!$B$2:$E$13,3,FALSE))</f>
        <v/>
      </c>
    </row>
    <row r="1903">
      <c r="H1903" s="5">
        <f>F1903*G1903</f>
        <v/>
      </c>
      <c r="I1903" s="5">
        <f>IF(D1903="","",F1903*VLOOKUP(D1903,Products!$B$2:$E$13,3,FALSE))</f>
        <v/>
      </c>
    </row>
    <row r="1904">
      <c r="H1904" s="5">
        <f>F1904*G1904</f>
        <v/>
      </c>
      <c r="I1904" s="5">
        <f>IF(D1904="","",F1904*VLOOKUP(D1904,Products!$B$2:$E$13,3,FALSE))</f>
        <v/>
      </c>
    </row>
    <row r="1905">
      <c r="H1905" s="5">
        <f>F1905*G1905</f>
        <v/>
      </c>
      <c r="I1905" s="5">
        <f>IF(D1905="","",F1905*VLOOKUP(D1905,Products!$B$2:$E$13,3,FALSE))</f>
        <v/>
      </c>
    </row>
    <row r="1906">
      <c r="H1906" s="5">
        <f>F1906*G1906</f>
        <v/>
      </c>
      <c r="I1906" s="5">
        <f>IF(D1906="","",F1906*VLOOKUP(D1906,Products!$B$2:$E$13,3,FALSE))</f>
        <v/>
      </c>
    </row>
    <row r="1907">
      <c r="H1907" s="5">
        <f>F1907*G1907</f>
        <v/>
      </c>
      <c r="I1907" s="5">
        <f>IF(D1907="","",F1907*VLOOKUP(D1907,Products!$B$2:$E$13,3,FALSE))</f>
        <v/>
      </c>
    </row>
    <row r="1908">
      <c r="H1908" s="5">
        <f>F1908*G1908</f>
        <v/>
      </c>
      <c r="I1908" s="5">
        <f>IF(D1908="","",F1908*VLOOKUP(D1908,Products!$B$2:$E$13,3,FALSE))</f>
        <v/>
      </c>
    </row>
    <row r="1909">
      <c r="H1909" s="5">
        <f>F1909*G1909</f>
        <v/>
      </c>
      <c r="I1909" s="5">
        <f>IF(D1909="","",F1909*VLOOKUP(D1909,Products!$B$2:$E$13,3,FALSE))</f>
        <v/>
      </c>
    </row>
    <row r="1910">
      <c r="H1910" s="5">
        <f>F1910*G1910</f>
        <v/>
      </c>
      <c r="I1910" s="5">
        <f>IF(D1910="","",F1910*VLOOKUP(D1910,Products!$B$2:$E$13,3,FALSE))</f>
        <v/>
      </c>
    </row>
    <row r="1911">
      <c r="H1911" s="5">
        <f>F1911*G1911</f>
        <v/>
      </c>
      <c r="I1911" s="5">
        <f>IF(D1911="","",F1911*VLOOKUP(D1911,Products!$B$2:$E$13,3,FALSE))</f>
        <v/>
      </c>
    </row>
    <row r="1912">
      <c r="H1912" s="5">
        <f>F1912*G1912</f>
        <v/>
      </c>
      <c r="I1912" s="5">
        <f>IF(D1912="","",F1912*VLOOKUP(D1912,Products!$B$2:$E$13,3,FALSE))</f>
        <v/>
      </c>
    </row>
    <row r="1913">
      <c r="H1913" s="5">
        <f>F1913*G1913</f>
        <v/>
      </c>
      <c r="I1913" s="5">
        <f>IF(D1913="","",F1913*VLOOKUP(D1913,Products!$B$2:$E$13,3,FALSE))</f>
        <v/>
      </c>
    </row>
    <row r="1914">
      <c r="H1914" s="5">
        <f>F1914*G1914</f>
        <v/>
      </c>
      <c r="I1914" s="5">
        <f>IF(D1914="","",F1914*VLOOKUP(D1914,Products!$B$2:$E$13,3,FALSE))</f>
        <v/>
      </c>
    </row>
    <row r="1915">
      <c r="H1915" s="5">
        <f>F1915*G1915</f>
        <v/>
      </c>
      <c r="I1915" s="5">
        <f>IF(D1915="","",F1915*VLOOKUP(D1915,Products!$B$2:$E$13,3,FALSE))</f>
        <v/>
      </c>
    </row>
    <row r="1916">
      <c r="H1916" s="5">
        <f>F1916*G1916</f>
        <v/>
      </c>
      <c r="I1916" s="5">
        <f>IF(D1916="","",F1916*VLOOKUP(D1916,Products!$B$2:$E$13,3,FALSE))</f>
        <v/>
      </c>
    </row>
    <row r="1917">
      <c r="H1917" s="5">
        <f>F1917*G1917</f>
        <v/>
      </c>
      <c r="I1917" s="5">
        <f>IF(D1917="","",F1917*VLOOKUP(D1917,Products!$B$2:$E$13,3,FALSE))</f>
        <v/>
      </c>
    </row>
    <row r="1918">
      <c r="H1918" s="5">
        <f>F1918*G1918</f>
        <v/>
      </c>
      <c r="I1918" s="5">
        <f>IF(D1918="","",F1918*VLOOKUP(D1918,Products!$B$2:$E$13,3,FALSE))</f>
        <v/>
      </c>
    </row>
    <row r="1919">
      <c r="H1919" s="5">
        <f>F1919*G1919</f>
        <v/>
      </c>
      <c r="I1919" s="5">
        <f>IF(D1919="","",F1919*VLOOKUP(D1919,Products!$B$2:$E$13,3,FALSE))</f>
        <v/>
      </c>
    </row>
    <row r="1920">
      <c r="H1920" s="5">
        <f>F1920*G1920</f>
        <v/>
      </c>
      <c r="I1920" s="5">
        <f>IF(D1920="","",F1920*VLOOKUP(D1920,Products!$B$2:$E$13,3,FALSE))</f>
        <v/>
      </c>
    </row>
    <row r="1921">
      <c r="H1921" s="5">
        <f>F1921*G1921</f>
        <v/>
      </c>
      <c r="I1921" s="5">
        <f>IF(D1921="","",F1921*VLOOKUP(D1921,Products!$B$2:$E$13,3,FALSE))</f>
        <v/>
      </c>
    </row>
    <row r="1922">
      <c r="H1922" s="5">
        <f>F1922*G1922</f>
        <v/>
      </c>
      <c r="I1922" s="5">
        <f>IF(D1922="","",F1922*VLOOKUP(D1922,Products!$B$2:$E$13,3,FALSE))</f>
        <v/>
      </c>
    </row>
    <row r="1923">
      <c r="H1923" s="5">
        <f>F1923*G1923</f>
        <v/>
      </c>
      <c r="I1923" s="5">
        <f>IF(D1923="","",F1923*VLOOKUP(D1923,Products!$B$2:$E$13,3,FALSE))</f>
        <v/>
      </c>
    </row>
    <row r="1924">
      <c r="H1924" s="5">
        <f>F1924*G1924</f>
        <v/>
      </c>
      <c r="I1924" s="5">
        <f>IF(D1924="","",F1924*VLOOKUP(D1924,Products!$B$2:$E$13,3,FALSE))</f>
        <v/>
      </c>
    </row>
    <row r="1925">
      <c r="H1925" s="5">
        <f>F1925*G1925</f>
        <v/>
      </c>
      <c r="I1925" s="5">
        <f>IF(D1925="","",F1925*VLOOKUP(D1925,Products!$B$2:$E$13,3,FALSE))</f>
        <v/>
      </c>
    </row>
    <row r="1926">
      <c r="H1926" s="5">
        <f>F1926*G1926</f>
        <v/>
      </c>
      <c r="I1926" s="5">
        <f>IF(D1926="","",F1926*VLOOKUP(D1926,Products!$B$2:$E$13,3,FALSE))</f>
        <v/>
      </c>
    </row>
    <row r="1927">
      <c r="H1927" s="5">
        <f>F1927*G1927</f>
        <v/>
      </c>
      <c r="I1927" s="5">
        <f>IF(D1927="","",F1927*VLOOKUP(D1927,Products!$B$2:$E$13,3,FALSE))</f>
        <v/>
      </c>
    </row>
    <row r="1928">
      <c r="H1928" s="5">
        <f>F1928*G1928</f>
        <v/>
      </c>
      <c r="I1928" s="5">
        <f>IF(D1928="","",F1928*VLOOKUP(D1928,Products!$B$2:$E$13,3,FALSE))</f>
        <v/>
      </c>
    </row>
    <row r="1929">
      <c r="H1929" s="5">
        <f>F1929*G1929</f>
        <v/>
      </c>
      <c r="I1929" s="5">
        <f>IF(D1929="","",F1929*VLOOKUP(D1929,Products!$B$2:$E$13,3,FALSE))</f>
        <v/>
      </c>
    </row>
    <row r="1930">
      <c r="H1930" s="5">
        <f>F1930*G1930</f>
        <v/>
      </c>
      <c r="I1930" s="5">
        <f>IF(D1930="","",F1930*VLOOKUP(D1930,Products!$B$2:$E$13,3,FALSE))</f>
        <v/>
      </c>
    </row>
    <row r="1931">
      <c r="H1931" s="5">
        <f>F1931*G1931</f>
        <v/>
      </c>
      <c r="I1931" s="5">
        <f>IF(D1931="","",F1931*VLOOKUP(D1931,Products!$B$2:$E$13,3,FALSE))</f>
        <v/>
      </c>
    </row>
    <row r="1932">
      <c r="H1932" s="5">
        <f>F1932*G1932</f>
        <v/>
      </c>
      <c r="I1932" s="5">
        <f>IF(D1932="","",F1932*VLOOKUP(D1932,Products!$B$2:$E$13,3,FALSE))</f>
        <v/>
      </c>
    </row>
    <row r="1933">
      <c r="H1933" s="5">
        <f>F1933*G1933</f>
        <v/>
      </c>
      <c r="I1933" s="5">
        <f>IF(D1933="","",F1933*VLOOKUP(D1933,Products!$B$2:$E$13,3,FALSE))</f>
        <v/>
      </c>
    </row>
    <row r="1934">
      <c r="H1934" s="5">
        <f>F1934*G1934</f>
        <v/>
      </c>
      <c r="I1934" s="5">
        <f>IF(D1934="","",F1934*VLOOKUP(D1934,Products!$B$2:$E$13,3,FALSE))</f>
        <v/>
      </c>
    </row>
    <row r="1935">
      <c r="H1935" s="5">
        <f>F1935*G1935</f>
        <v/>
      </c>
      <c r="I1935" s="5">
        <f>IF(D1935="","",F1935*VLOOKUP(D1935,Products!$B$2:$E$13,3,FALSE))</f>
        <v/>
      </c>
    </row>
    <row r="1936">
      <c r="H1936" s="5">
        <f>F1936*G1936</f>
        <v/>
      </c>
      <c r="I1936" s="5">
        <f>IF(D1936="","",F1936*VLOOKUP(D1936,Products!$B$2:$E$13,3,FALSE))</f>
        <v/>
      </c>
    </row>
    <row r="1937">
      <c r="H1937" s="5">
        <f>F1937*G1937</f>
        <v/>
      </c>
      <c r="I1937" s="5">
        <f>IF(D1937="","",F1937*VLOOKUP(D1937,Products!$B$2:$E$13,3,FALSE))</f>
        <v/>
      </c>
    </row>
    <row r="1938">
      <c r="H1938" s="5">
        <f>F1938*G1938</f>
        <v/>
      </c>
      <c r="I1938" s="5">
        <f>IF(D1938="","",F1938*VLOOKUP(D1938,Products!$B$2:$E$13,3,FALSE))</f>
        <v/>
      </c>
    </row>
    <row r="1939">
      <c r="H1939" s="5">
        <f>F1939*G1939</f>
        <v/>
      </c>
      <c r="I1939" s="5">
        <f>IF(D1939="","",F1939*VLOOKUP(D1939,Products!$B$2:$E$13,3,FALSE))</f>
        <v/>
      </c>
    </row>
    <row r="1940">
      <c r="H1940" s="5">
        <f>F1940*G1940</f>
        <v/>
      </c>
      <c r="I1940" s="5">
        <f>IF(D1940="","",F1940*VLOOKUP(D1940,Products!$B$2:$E$13,3,FALSE))</f>
        <v/>
      </c>
    </row>
    <row r="1941">
      <c r="H1941" s="5">
        <f>F1941*G1941</f>
        <v/>
      </c>
      <c r="I1941" s="5">
        <f>IF(D1941="","",F1941*VLOOKUP(D1941,Products!$B$2:$E$13,3,FALSE))</f>
        <v/>
      </c>
    </row>
    <row r="1942">
      <c r="H1942" s="5">
        <f>F1942*G1942</f>
        <v/>
      </c>
      <c r="I1942" s="5">
        <f>IF(D1942="","",F1942*VLOOKUP(D1942,Products!$B$2:$E$13,3,FALSE))</f>
        <v/>
      </c>
    </row>
    <row r="1943">
      <c r="H1943" s="5">
        <f>F1943*G1943</f>
        <v/>
      </c>
      <c r="I1943" s="5">
        <f>IF(D1943="","",F1943*VLOOKUP(D1943,Products!$B$2:$E$13,3,FALSE))</f>
        <v/>
      </c>
    </row>
    <row r="1944">
      <c r="H1944" s="5">
        <f>F1944*G1944</f>
        <v/>
      </c>
      <c r="I1944" s="5">
        <f>IF(D1944="","",F1944*VLOOKUP(D1944,Products!$B$2:$E$13,3,FALSE))</f>
        <v/>
      </c>
    </row>
    <row r="1945">
      <c r="H1945" s="5">
        <f>F1945*G1945</f>
        <v/>
      </c>
      <c r="I1945" s="5">
        <f>IF(D1945="","",F1945*VLOOKUP(D1945,Products!$B$2:$E$13,3,FALSE))</f>
        <v/>
      </c>
    </row>
    <row r="1946">
      <c r="H1946" s="5">
        <f>F1946*G1946</f>
        <v/>
      </c>
      <c r="I1946" s="5">
        <f>IF(D1946="","",F1946*VLOOKUP(D1946,Products!$B$2:$E$13,3,FALSE))</f>
        <v/>
      </c>
    </row>
    <row r="1947">
      <c r="H1947" s="5">
        <f>F1947*G1947</f>
        <v/>
      </c>
      <c r="I1947" s="5">
        <f>IF(D1947="","",F1947*VLOOKUP(D1947,Products!$B$2:$E$13,3,FALSE))</f>
        <v/>
      </c>
    </row>
    <row r="1948">
      <c r="H1948" s="5">
        <f>F1948*G1948</f>
        <v/>
      </c>
      <c r="I1948" s="5">
        <f>IF(D1948="","",F1948*VLOOKUP(D1948,Products!$B$2:$E$13,3,FALSE))</f>
        <v/>
      </c>
    </row>
    <row r="1949">
      <c r="H1949" s="5">
        <f>F1949*G1949</f>
        <v/>
      </c>
      <c r="I1949" s="5">
        <f>IF(D1949="","",F1949*VLOOKUP(D1949,Products!$B$2:$E$13,3,FALSE))</f>
        <v/>
      </c>
    </row>
    <row r="1950">
      <c r="H1950" s="5">
        <f>F1950*G1950</f>
        <v/>
      </c>
      <c r="I1950" s="5">
        <f>IF(D1950="","",F1950*VLOOKUP(D1950,Products!$B$2:$E$13,3,FALSE))</f>
        <v/>
      </c>
    </row>
    <row r="1951">
      <c r="H1951" s="5">
        <f>F1951*G1951</f>
        <v/>
      </c>
      <c r="I1951" s="5">
        <f>IF(D1951="","",F1951*VLOOKUP(D1951,Products!$B$2:$E$13,3,FALSE))</f>
        <v/>
      </c>
    </row>
    <row r="1952">
      <c r="H1952" s="5">
        <f>F1952*G1952</f>
        <v/>
      </c>
      <c r="I1952" s="5">
        <f>IF(D1952="","",F1952*VLOOKUP(D1952,Products!$B$2:$E$13,3,FALSE))</f>
        <v/>
      </c>
    </row>
    <row r="1953">
      <c r="H1953" s="5">
        <f>F1953*G1953</f>
        <v/>
      </c>
      <c r="I1953" s="5">
        <f>IF(D1953="","",F1953*VLOOKUP(D1953,Products!$B$2:$E$13,3,FALSE))</f>
        <v/>
      </c>
    </row>
    <row r="1954">
      <c r="H1954" s="5">
        <f>F1954*G1954</f>
        <v/>
      </c>
      <c r="I1954" s="5">
        <f>IF(D1954="","",F1954*VLOOKUP(D1954,Products!$B$2:$E$13,3,FALSE))</f>
        <v/>
      </c>
    </row>
    <row r="1955">
      <c r="H1955" s="5">
        <f>F1955*G1955</f>
        <v/>
      </c>
      <c r="I1955" s="5">
        <f>IF(D1955="","",F1955*VLOOKUP(D1955,Products!$B$2:$E$13,3,FALSE))</f>
        <v/>
      </c>
    </row>
    <row r="1956">
      <c r="H1956" s="5">
        <f>F1956*G1956</f>
        <v/>
      </c>
      <c r="I1956" s="5">
        <f>IF(D1956="","",F1956*VLOOKUP(D1956,Products!$B$2:$E$13,3,FALSE))</f>
        <v/>
      </c>
    </row>
    <row r="1957">
      <c r="H1957" s="5">
        <f>F1957*G1957</f>
        <v/>
      </c>
      <c r="I1957" s="5">
        <f>IF(D1957="","",F1957*VLOOKUP(D1957,Products!$B$2:$E$13,3,FALSE))</f>
        <v/>
      </c>
    </row>
    <row r="1958">
      <c r="H1958" s="5">
        <f>F1958*G1958</f>
        <v/>
      </c>
      <c r="I1958" s="5">
        <f>IF(D1958="","",F1958*VLOOKUP(D1958,Products!$B$2:$E$13,3,FALSE))</f>
        <v/>
      </c>
    </row>
    <row r="1959">
      <c r="H1959" s="5">
        <f>F1959*G1959</f>
        <v/>
      </c>
      <c r="I1959" s="5">
        <f>IF(D1959="","",F1959*VLOOKUP(D1959,Products!$B$2:$E$13,3,FALSE))</f>
        <v/>
      </c>
    </row>
    <row r="1960">
      <c r="H1960" s="5">
        <f>F1960*G1960</f>
        <v/>
      </c>
      <c r="I1960" s="5">
        <f>IF(D1960="","",F1960*VLOOKUP(D1960,Products!$B$2:$E$13,3,FALSE))</f>
        <v/>
      </c>
    </row>
    <row r="1961">
      <c r="H1961" s="5">
        <f>F1961*G1961</f>
        <v/>
      </c>
      <c r="I1961" s="5">
        <f>IF(D1961="","",F1961*VLOOKUP(D1961,Products!$B$2:$E$13,3,FALSE))</f>
        <v/>
      </c>
    </row>
    <row r="1962">
      <c r="H1962" s="5">
        <f>F1962*G1962</f>
        <v/>
      </c>
      <c r="I1962" s="5">
        <f>IF(D1962="","",F1962*VLOOKUP(D1962,Products!$B$2:$E$13,3,FALSE))</f>
        <v/>
      </c>
    </row>
    <row r="1963">
      <c r="H1963" s="5">
        <f>F1963*G1963</f>
        <v/>
      </c>
      <c r="I1963" s="5">
        <f>IF(D1963="","",F1963*VLOOKUP(D1963,Products!$B$2:$E$13,3,FALSE))</f>
        <v/>
      </c>
    </row>
    <row r="1964">
      <c r="H1964" s="5">
        <f>F1964*G1964</f>
        <v/>
      </c>
      <c r="I1964" s="5">
        <f>IF(D1964="","",F1964*VLOOKUP(D1964,Products!$B$2:$E$13,3,FALSE))</f>
        <v/>
      </c>
    </row>
    <row r="1965">
      <c r="H1965" s="5">
        <f>F1965*G1965</f>
        <v/>
      </c>
      <c r="I1965" s="5">
        <f>IF(D1965="","",F1965*VLOOKUP(D1965,Products!$B$2:$E$13,3,FALSE))</f>
        <v/>
      </c>
    </row>
    <row r="1966">
      <c r="H1966" s="5">
        <f>F1966*G1966</f>
        <v/>
      </c>
      <c r="I1966" s="5">
        <f>IF(D1966="","",F1966*VLOOKUP(D1966,Products!$B$2:$E$13,3,FALSE))</f>
        <v/>
      </c>
    </row>
    <row r="1967">
      <c r="H1967" s="5">
        <f>F1967*G1967</f>
        <v/>
      </c>
      <c r="I1967" s="5">
        <f>IF(D1967="","",F1967*VLOOKUP(D1967,Products!$B$2:$E$13,3,FALSE))</f>
        <v/>
      </c>
    </row>
    <row r="1968">
      <c r="H1968" s="5">
        <f>F1968*G1968</f>
        <v/>
      </c>
      <c r="I1968" s="5">
        <f>IF(D1968="","",F1968*VLOOKUP(D1968,Products!$B$2:$E$13,3,FALSE))</f>
        <v/>
      </c>
    </row>
    <row r="1969">
      <c r="H1969" s="5">
        <f>F1969*G1969</f>
        <v/>
      </c>
      <c r="I1969" s="5">
        <f>IF(D1969="","",F1969*VLOOKUP(D1969,Products!$B$2:$E$13,3,FALSE))</f>
        <v/>
      </c>
    </row>
    <row r="1970">
      <c r="H1970" s="5">
        <f>F1970*G1970</f>
        <v/>
      </c>
      <c r="I1970" s="5">
        <f>IF(D1970="","",F1970*VLOOKUP(D1970,Products!$B$2:$E$13,3,FALSE))</f>
        <v/>
      </c>
    </row>
    <row r="1971">
      <c r="H1971" s="5">
        <f>F1971*G1971</f>
        <v/>
      </c>
      <c r="I1971" s="5">
        <f>IF(D1971="","",F1971*VLOOKUP(D1971,Products!$B$2:$E$13,3,FALSE))</f>
        <v/>
      </c>
    </row>
    <row r="1972">
      <c r="H1972" s="5">
        <f>F1972*G1972</f>
        <v/>
      </c>
      <c r="I1972" s="5">
        <f>IF(D1972="","",F1972*VLOOKUP(D1972,Products!$B$2:$E$13,3,FALSE))</f>
        <v/>
      </c>
    </row>
    <row r="1973">
      <c r="H1973" s="5">
        <f>F1973*G1973</f>
        <v/>
      </c>
      <c r="I1973" s="5">
        <f>IF(D1973="","",F1973*VLOOKUP(D1973,Products!$B$2:$E$13,3,FALSE))</f>
        <v/>
      </c>
    </row>
    <row r="1974">
      <c r="H1974" s="5">
        <f>F1974*G1974</f>
        <v/>
      </c>
      <c r="I1974" s="5">
        <f>IF(D1974="","",F1974*VLOOKUP(D1974,Products!$B$2:$E$13,3,FALSE))</f>
        <v/>
      </c>
    </row>
    <row r="1975">
      <c r="H1975" s="5">
        <f>F1975*G1975</f>
        <v/>
      </c>
      <c r="I1975" s="5">
        <f>IF(D1975="","",F1975*VLOOKUP(D1975,Products!$B$2:$E$13,3,FALSE))</f>
        <v/>
      </c>
    </row>
    <row r="1976">
      <c r="H1976" s="5">
        <f>F1976*G1976</f>
        <v/>
      </c>
      <c r="I1976" s="5">
        <f>IF(D1976="","",F1976*VLOOKUP(D1976,Products!$B$2:$E$13,3,FALSE))</f>
        <v/>
      </c>
    </row>
    <row r="1977">
      <c r="H1977" s="5">
        <f>F1977*G1977</f>
        <v/>
      </c>
      <c r="I1977" s="5">
        <f>IF(D1977="","",F1977*VLOOKUP(D1977,Products!$B$2:$E$13,3,FALSE))</f>
        <v/>
      </c>
    </row>
    <row r="1978">
      <c r="H1978" s="5">
        <f>F1978*G1978</f>
        <v/>
      </c>
      <c r="I1978" s="5">
        <f>IF(D1978="","",F1978*VLOOKUP(D1978,Products!$B$2:$E$13,3,FALSE))</f>
        <v/>
      </c>
    </row>
    <row r="1979">
      <c r="H1979" s="5">
        <f>F1979*G1979</f>
        <v/>
      </c>
      <c r="I1979" s="5">
        <f>IF(D1979="","",F1979*VLOOKUP(D1979,Products!$B$2:$E$13,3,FALSE))</f>
        <v/>
      </c>
    </row>
    <row r="1980">
      <c r="H1980" s="5">
        <f>F1980*G1980</f>
        <v/>
      </c>
      <c r="I1980" s="5">
        <f>IF(D1980="","",F1980*VLOOKUP(D1980,Products!$B$2:$E$13,3,FALSE))</f>
        <v/>
      </c>
    </row>
    <row r="1981">
      <c r="H1981" s="5">
        <f>F1981*G1981</f>
        <v/>
      </c>
      <c r="I1981" s="5">
        <f>IF(D1981="","",F1981*VLOOKUP(D1981,Products!$B$2:$E$13,3,FALSE))</f>
        <v/>
      </c>
    </row>
    <row r="1982">
      <c r="H1982" s="5">
        <f>F1982*G1982</f>
        <v/>
      </c>
      <c r="I1982" s="5">
        <f>IF(D1982="","",F1982*VLOOKUP(D1982,Products!$B$2:$E$13,3,FALSE))</f>
        <v/>
      </c>
    </row>
    <row r="1983">
      <c r="H1983" s="5">
        <f>F1983*G1983</f>
        <v/>
      </c>
      <c r="I1983" s="5">
        <f>IF(D1983="","",F1983*VLOOKUP(D1983,Products!$B$2:$E$13,3,FALSE))</f>
        <v/>
      </c>
    </row>
    <row r="1984">
      <c r="H1984" s="5">
        <f>F1984*G1984</f>
        <v/>
      </c>
      <c r="I1984" s="5">
        <f>IF(D1984="","",F1984*VLOOKUP(D1984,Products!$B$2:$E$13,3,FALSE))</f>
        <v/>
      </c>
    </row>
    <row r="1985">
      <c r="H1985" s="5">
        <f>F1985*G1985</f>
        <v/>
      </c>
      <c r="I1985" s="5">
        <f>IF(D1985="","",F1985*VLOOKUP(D1985,Products!$B$2:$E$13,3,FALSE))</f>
        <v/>
      </c>
    </row>
    <row r="1986">
      <c r="H1986" s="5">
        <f>F1986*G1986</f>
        <v/>
      </c>
      <c r="I1986" s="5">
        <f>IF(D1986="","",F1986*VLOOKUP(D1986,Products!$B$2:$E$13,3,FALSE))</f>
        <v/>
      </c>
    </row>
    <row r="1987">
      <c r="H1987" s="5">
        <f>F1987*G1987</f>
        <v/>
      </c>
      <c r="I1987" s="5">
        <f>IF(D1987="","",F1987*VLOOKUP(D1987,Products!$B$2:$E$13,3,FALSE))</f>
        <v/>
      </c>
    </row>
    <row r="1988">
      <c r="H1988" s="5">
        <f>F1988*G1988</f>
        <v/>
      </c>
      <c r="I1988" s="5">
        <f>IF(D1988="","",F1988*VLOOKUP(D1988,Products!$B$2:$E$13,3,FALSE))</f>
        <v/>
      </c>
    </row>
    <row r="1989">
      <c r="H1989" s="5">
        <f>F1989*G1989</f>
        <v/>
      </c>
      <c r="I1989" s="5">
        <f>IF(D1989="","",F1989*VLOOKUP(D1989,Products!$B$2:$E$13,3,FALSE))</f>
        <v/>
      </c>
    </row>
    <row r="1990">
      <c r="H1990" s="5">
        <f>F1990*G1990</f>
        <v/>
      </c>
      <c r="I1990" s="5">
        <f>IF(D1990="","",F1990*VLOOKUP(D1990,Products!$B$2:$E$13,3,FALSE))</f>
        <v/>
      </c>
    </row>
    <row r="1991">
      <c r="H1991" s="5">
        <f>F1991*G1991</f>
        <v/>
      </c>
      <c r="I1991" s="5">
        <f>IF(D1991="","",F1991*VLOOKUP(D1991,Products!$B$2:$E$13,3,FALSE))</f>
        <v/>
      </c>
    </row>
    <row r="1992">
      <c r="H1992" s="5">
        <f>F1992*G1992</f>
        <v/>
      </c>
      <c r="I1992" s="5">
        <f>IF(D1992="","",F1992*VLOOKUP(D1992,Products!$B$2:$E$13,3,FALSE))</f>
        <v/>
      </c>
    </row>
    <row r="1993">
      <c r="H1993" s="5">
        <f>F1993*G1993</f>
        <v/>
      </c>
      <c r="I1993" s="5">
        <f>IF(D1993="","",F1993*VLOOKUP(D1993,Products!$B$2:$E$13,3,FALSE))</f>
        <v/>
      </c>
    </row>
    <row r="1994">
      <c r="H1994" s="5">
        <f>F1994*G1994</f>
        <v/>
      </c>
      <c r="I1994" s="5">
        <f>IF(D1994="","",F1994*VLOOKUP(D1994,Products!$B$2:$E$13,3,FALSE))</f>
        <v/>
      </c>
    </row>
    <row r="1995">
      <c r="H1995" s="5">
        <f>F1995*G1995</f>
        <v/>
      </c>
      <c r="I1995" s="5">
        <f>IF(D1995="","",F1995*VLOOKUP(D1995,Products!$B$2:$E$13,3,FALSE))</f>
        <v/>
      </c>
    </row>
    <row r="1996">
      <c r="H1996" s="5">
        <f>F1996*G1996</f>
        <v/>
      </c>
      <c r="I1996" s="5">
        <f>IF(D1996="","",F1996*VLOOKUP(D1996,Products!$B$2:$E$13,3,FALSE))</f>
        <v/>
      </c>
    </row>
    <row r="1997">
      <c r="H1997" s="5">
        <f>F1997*G1997</f>
        <v/>
      </c>
      <c r="I1997" s="5">
        <f>IF(D1997="","",F1997*VLOOKUP(D1997,Products!$B$2:$E$13,3,FALSE))</f>
        <v/>
      </c>
    </row>
    <row r="1998">
      <c r="H1998" s="5">
        <f>F1998*G1998</f>
        <v/>
      </c>
      <c r="I1998" s="5">
        <f>IF(D1998="","",F1998*VLOOKUP(D1998,Products!$B$2:$E$13,3,FALSE))</f>
        <v/>
      </c>
    </row>
    <row r="1999">
      <c r="H1999" s="5">
        <f>F1999*G1999</f>
        <v/>
      </c>
      <c r="I1999" s="5">
        <f>IF(D1999="","",F1999*VLOOKUP(D1999,Products!$B$2:$E$13,3,FALSE))</f>
        <v/>
      </c>
    </row>
    <row r="2000">
      <c r="H2000" s="5">
        <f>F2000*G2000</f>
        <v/>
      </c>
      <c r="I2000" s="5">
        <f>IF(D2000="","",F2000*VLOOKUP(D2000,Products!$B$2:$E$13,3,FALSE))</f>
        <v/>
      </c>
    </row>
    <row r="2001">
      <c r="H2001" s="5">
        <f>F2001*G2001</f>
        <v/>
      </c>
      <c r="I2001" s="5">
        <f>IF(D2001="","",F2001*VLOOKUP(D2001,Products!$B$2:$E$13,3,FALSE))</f>
        <v/>
      </c>
    </row>
    <row r="2002">
      <c r="H2002" s="5">
        <f>F2002*G2002</f>
        <v/>
      </c>
      <c r="I2002" s="5">
        <f>IF(D2002="","",F2002*VLOOKUP(D2002,Products!$B$2:$E$13,3,FALSE))</f>
        <v/>
      </c>
    </row>
    <row r="2003">
      <c r="H2003" s="5">
        <f>F2003*G2003</f>
        <v/>
      </c>
      <c r="I2003" s="5">
        <f>IF(D2003="","",F2003*VLOOKUP(D2003,Products!$B$2:$E$13,3,FALSE))</f>
        <v/>
      </c>
    </row>
    <row r="2004">
      <c r="H2004" s="5">
        <f>F2004*G2004</f>
        <v/>
      </c>
      <c r="I2004" s="5">
        <f>IF(D2004="","",F2004*VLOOKUP(D2004,Products!$B$2:$E$13,3,FALSE))</f>
        <v/>
      </c>
    </row>
    <row r="2005">
      <c r="H2005" s="5">
        <f>F2005*G2005</f>
        <v/>
      </c>
      <c r="I2005" s="5">
        <f>IF(D2005="","",F2005*VLOOKUP(D2005,Products!$B$2:$E$13,3,FALSE))</f>
        <v/>
      </c>
    </row>
    <row r="2006">
      <c r="H2006" s="5">
        <f>F2006*G2006</f>
        <v/>
      </c>
      <c r="I2006" s="5">
        <f>IF(D2006="","",F2006*VLOOKUP(D2006,Products!$B$2:$E$13,3,FALSE))</f>
        <v/>
      </c>
    </row>
    <row r="2007">
      <c r="H2007" s="5">
        <f>F2007*G2007</f>
        <v/>
      </c>
      <c r="I2007" s="5">
        <f>IF(D2007="","",F2007*VLOOKUP(D2007,Products!$B$2:$E$13,3,FALSE))</f>
        <v/>
      </c>
    </row>
    <row r="2008">
      <c r="H2008" s="5">
        <f>F2008*G2008</f>
        <v/>
      </c>
      <c r="I2008" s="5">
        <f>IF(D2008="","",F2008*VLOOKUP(D2008,Products!$B$2:$E$13,3,FALSE))</f>
        <v/>
      </c>
    </row>
    <row r="2009">
      <c r="H2009" s="5">
        <f>F2009*G2009</f>
        <v/>
      </c>
      <c r="I2009" s="5">
        <f>IF(D2009="","",F2009*VLOOKUP(D2009,Products!$B$2:$E$13,3,FALSE))</f>
        <v/>
      </c>
    </row>
    <row r="2010">
      <c r="H2010" s="5">
        <f>F2010*G2010</f>
        <v/>
      </c>
      <c r="I2010" s="5">
        <f>IF(D2010="","",F2010*VLOOKUP(D2010,Products!$B$2:$E$13,3,FALSE))</f>
        <v/>
      </c>
    </row>
    <row r="2011">
      <c r="H2011" s="5">
        <f>F2011*G2011</f>
        <v/>
      </c>
      <c r="I2011" s="5">
        <f>IF(D2011="","",F2011*VLOOKUP(D2011,Products!$B$2:$E$13,3,FALSE))</f>
        <v/>
      </c>
    </row>
    <row r="2012">
      <c r="H2012" s="5">
        <f>F2012*G2012</f>
        <v/>
      </c>
      <c r="I2012" s="5">
        <f>IF(D2012="","",F2012*VLOOKUP(D2012,Products!$B$2:$E$13,3,FALSE))</f>
        <v/>
      </c>
    </row>
    <row r="2013">
      <c r="H2013" s="5">
        <f>F2013*G2013</f>
        <v/>
      </c>
      <c r="I2013" s="5">
        <f>IF(D2013="","",F2013*VLOOKUP(D2013,Products!$B$2:$E$13,3,FALSE))</f>
        <v/>
      </c>
    </row>
    <row r="2014">
      <c r="H2014" s="5">
        <f>F2014*G2014</f>
        <v/>
      </c>
      <c r="I2014" s="5">
        <f>IF(D2014="","",F2014*VLOOKUP(D2014,Products!$B$2:$E$13,3,FALSE))</f>
        <v/>
      </c>
    </row>
    <row r="2015">
      <c r="H2015" s="5">
        <f>F2015*G2015</f>
        <v/>
      </c>
      <c r="I2015" s="5">
        <f>IF(D2015="","",F2015*VLOOKUP(D2015,Products!$B$2:$E$13,3,FALSE))</f>
        <v/>
      </c>
    </row>
    <row r="2016">
      <c r="H2016" s="5">
        <f>F2016*G2016</f>
        <v/>
      </c>
      <c r="I2016" s="5">
        <f>IF(D2016="","",F2016*VLOOKUP(D2016,Products!$B$2:$E$13,3,FALSE))</f>
        <v/>
      </c>
    </row>
    <row r="2017">
      <c r="H2017" s="5">
        <f>F2017*G2017</f>
        <v/>
      </c>
      <c r="I2017" s="5">
        <f>IF(D2017="","",F2017*VLOOKUP(D2017,Products!$B$2:$E$13,3,FALSE))</f>
        <v/>
      </c>
    </row>
    <row r="2018">
      <c r="H2018" s="5">
        <f>F2018*G2018</f>
        <v/>
      </c>
      <c r="I2018" s="5">
        <f>IF(D2018="","",F2018*VLOOKUP(D2018,Products!$B$2:$E$13,3,FALSE))</f>
        <v/>
      </c>
    </row>
    <row r="2019">
      <c r="H2019" s="5">
        <f>F2019*G2019</f>
        <v/>
      </c>
      <c r="I2019" s="5">
        <f>IF(D2019="","",F2019*VLOOKUP(D2019,Products!$B$2:$E$13,3,FALSE))</f>
        <v/>
      </c>
    </row>
    <row r="2020">
      <c r="H2020" s="5">
        <f>F2020*G2020</f>
        <v/>
      </c>
      <c r="I2020" s="5">
        <f>IF(D2020="","",F2020*VLOOKUP(D2020,Products!$B$2:$E$13,3,FALSE))</f>
        <v/>
      </c>
    </row>
    <row r="2021">
      <c r="H2021" s="5">
        <f>F2021*G2021</f>
        <v/>
      </c>
      <c r="I2021" s="5">
        <f>IF(D2021="","",F2021*VLOOKUP(D2021,Products!$B$2:$E$13,3,FALSE))</f>
        <v/>
      </c>
    </row>
    <row r="2022">
      <c r="H2022" s="5">
        <f>F2022*G2022</f>
        <v/>
      </c>
      <c r="I2022" s="5">
        <f>IF(D2022="","",F2022*VLOOKUP(D2022,Products!$B$2:$E$13,3,FALSE))</f>
        <v/>
      </c>
    </row>
    <row r="2023">
      <c r="H2023" s="5">
        <f>F2023*G2023</f>
        <v/>
      </c>
      <c r="I2023" s="5">
        <f>IF(D2023="","",F2023*VLOOKUP(D2023,Products!$B$2:$E$13,3,FALSE))</f>
        <v/>
      </c>
    </row>
    <row r="2024">
      <c r="H2024" s="5">
        <f>F2024*G2024</f>
        <v/>
      </c>
      <c r="I2024" s="5">
        <f>IF(D2024="","",F2024*VLOOKUP(D2024,Products!$B$2:$E$13,3,FALSE))</f>
        <v/>
      </c>
    </row>
    <row r="2025">
      <c r="H2025" s="5">
        <f>F2025*G2025</f>
        <v/>
      </c>
      <c r="I2025" s="5">
        <f>IF(D2025="","",F2025*VLOOKUP(D2025,Products!$B$2:$E$13,3,FALSE))</f>
        <v/>
      </c>
    </row>
    <row r="2026">
      <c r="H2026" s="5">
        <f>F2026*G2026</f>
        <v/>
      </c>
      <c r="I2026" s="5">
        <f>IF(D2026="","",F2026*VLOOKUP(D2026,Products!$B$2:$E$13,3,FALSE))</f>
        <v/>
      </c>
    </row>
    <row r="2027">
      <c r="H2027" s="5">
        <f>F2027*G2027</f>
        <v/>
      </c>
      <c r="I2027" s="5">
        <f>IF(D2027="","",F2027*VLOOKUP(D2027,Products!$B$2:$E$13,3,FALSE))</f>
        <v/>
      </c>
    </row>
    <row r="2028">
      <c r="H2028" s="5">
        <f>F2028*G2028</f>
        <v/>
      </c>
      <c r="I2028" s="5">
        <f>IF(D2028="","",F2028*VLOOKUP(D2028,Products!$B$2:$E$13,3,FALSE))</f>
        <v/>
      </c>
    </row>
    <row r="2029">
      <c r="H2029" s="5">
        <f>F2029*G2029</f>
        <v/>
      </c>
      <c r="I2029" s="5">
        <f>IF(D2029="","",F2029*VLOOKUP(D2029,Products!$B$2:$E$13,3,FALSE))</f>
        <v/>
      </c>
    </row>
    <row r="2030">
      <c r="H2030" s="5">
        <f>F2030*G2030</f>
        <v/>
      </c>
      <c r="I2030" s="5">
        <f>IF(D2030="","",F2030*VLOOKUP(D2030,Products!$B$2:$E$13,3,FALSE))</f>
        <v/>
      </c>
    </row>
    <row r="2031">
      <c r="H2031" s="5">
        <f>F2031*G2031</f>
        <v/>
      </c>
      <c r="I2031" s="5">
        <f>IF(D2031="","",F2031*VLOOKUP(D2031,Products!$B$2:$E$13,3,FALSE))</f>
        <v/>
      </c>
    </row>
    <row r="2032">
      <c r="H2032" s="5">
        <f>F2032*G2032</f>
        <v/>
      </c>
      <c r="I2032" s="5">
        <f>IF(D2032="","",F2032*VLOOKUP(D2032,Products!$B$2:$E$13,3,FALSE))</f>
        <v/>
      </c>
    </row>
    <row r="2033">
      <c r="H2033" s="5">
        <f>F2033*G2033</f>
        <v/>
      </c>
      <c r="I2033" s="5">
        <f>IF(D2033="","",F2033*VLOOKUP(D2033,Products!$B$2:$E$13,3,FALSE))</f>
        <v/>
      </c>
    </row>
    <row r="2034">
      <c r="H2034" s="5">
        <f>F2034*G2034</f>
        <v/>
      </c>
      <c r="I2034" s="5">
        <f>IF(D2034="","",F2034*VLOOKUP(D2034,Products!$B$2:$E$13,3,FALSE))</f>
        <v/>
      </c>
    </row>
    <row r="2035">
      <c r="H2035" s="5">
        <f>F2035*G2035</f>
        <v/>
      </c>
      <c r="I2035" s="5">
        <f>IF(D2035="","",F2035*VLOOKUP(D2035,Products!$B$2:$E$13,3,FALSE))</f>
        <v/>
      </c>
    </row>
    <row r="2036">
      <c r="H2036" s="5">
        <f>F2036*G2036</f>
        <v/>
      </c>
      <c r="I2036" s="5">
        <f>IF(D2036="","",F2036*VLOOKUP(D2036,Products!$B$2:$E$13,3,FALSE))</f>
        <v/>
      </c>
    </row>
    <row r="2037">
      <c r="H2037" s="5">
        <f>F2037*G2037</f>
        <v/>
      </c>
      <c r="I2037" s="5">
        <f>IF(D2037="","",F2037*VLOOKUP(D2037,Products!$B$2:$E$13,3,FALSE))</f>
        <v/>
      </c>
    </row>
    <row r="2038">
      <c r="H2038" s="5">
        <f>F2038*G2038</f>
        <v/>
      </c>
      <c r="I2038" s="5">
        <f>IF(D2038="","",F2038*VLOOKUP(D2038,Products!$B$2:$E$13,3,FALSE))</f>
        <v/>
      </c>
    </row>
    <row r="2039">
      <c r="H2039" s="5">
        <f>F2039*G2039</f>
        <v/>
      </c>
      <c r="I2039" s="5">
        <f>IF(D2039="","",F2039*VLOOKUP(D2039,Products!$B$2:$E$13,3,FALSE))</f>
        <v/>
      </c>
    </row>
    <row r="2040">
      <c r="H2040" s="5">
        <f>F2040*G2040</f>
        <v/>
      </c>
      <c r="I2040" s="5">
        <f>IF(D2040="","",F2040*VLOOKUP(D2040,Products!$B$2:$E$13,3,FALSE))</f>
        <v/>
      </c>
    </row>
    <row r="2041">
      <c r="H2041" s="5">
        <f>F2041*G2041</f>
        <v/>
      </c>
      <c r="I2041" s="5">
        <f>IF(D2041="","",F2041*VLOOKUP(D2041,Products!$B$2:$E$13,3,FALSE))</f>
        <v/>
      </c>
    </row>
    <row r="2042">
      <c r="H2042" s="5">
        <f>F2042*G2042</f>
        <v/>
      </c>
      <c r="I2042" s="5">
        <f>IF(D2042="","",F2042*VLOOKUP(D2042,Products!$B$2:$E$13,3,FALSE))</f>
        <v/>
      </c>
    </row>
    <row r="2043">
      <c r="H2043" s="5">
        <f>F2043*G2043</f>
        <v/>
      </c>
      <c r="I2043" s="5">
        <f>IF(D2043="","",F2043*VLOOKUP(D2043,Products!$B$2:$E$13,3,FALSE))</f>
        <v/>
      </c>
    </row>
    <row r="2044">
      <c r="H2044" s="5">
        <f>F2044*G2044</f>
        <v/>
      </c>
      <c r="I2044" s="5">
        <f>IF(D2044="","",F2044*VLOOKUP(D2044,Products!$B$2:$E$13,3,FALSE))</f>
        <v/>
      </c>
    </row>
    <row r="2045">
      <c r="H2045" s="5">
        <f>F2045*G2045</f>
        <v/>
      </c>
      <c r="I2045" s="5">
        <f>IF(D2045="","",F2045*VLOOKUP(D2045,Products!$B$2:$E$13,3,FALSE))</f>
        <v/>
      </c>
    </row>
    <row r="2046">
      <c r="H2046" s="5">
        <f>F2046*G2046</f>
        <v/>
      </c>
      <c r="I2046" s="5">
        <f>IF(D2046="","",F2046*VLOOKUP(D2046,Products!$B$2:$E$13,3,FALSE))</f>
        <v/>
      </c>
    </row>
    <row r="2047">
      <c r="H2047" s="5">
        <f>F2047*G2047</f>
        <v/>
      </c>
      <c r="I2047" s="5">
        <f>IF(D2047="","",F2047*VLOOKUP(D2047,Products!$B$2:$E$13,3,FALSE))</f>
        <v/>
      </c>
    </row>
    <row r="2048">
      <c r="H2048" s="5">
        <f>F2048*G2048</f>
        <v/>
      </c>
      <c r="I2048" s="5">
        <f>IF(D2048="","",F2048*VLOOKUP(D2048,Products!$B$2:$E$13,3,FALSE))</f>
        <v/>
      </c>
    </row>
    <row r="2049">
      <c r="H2049" s="5">
        <f>F2049*G2049</f>
        <v/>
      </c>
      <c r="I2049" s="5">
        <f>IF(D2049="","",F2049*VLOOKUP(D2049,Products!$B$2:$E$13,3,FALSE))</f>
        <v/>
      </c>
    </row>
    <row r="2050">
      <c r="H2050" s="5">
        <f>F2050*G2050</f>
        <v/>
      </c>
      <c r="I2050" s="5">
        <f>IF(D2050="","",F2050*VLOOKUP(D2050,Products!$B$2:$E$13,3,FALSE))</f>
        <v/>
      </c>
    </row>
    <row r="2051">
      <c r="H2051" s="5">
        <f>F2051*G2051</f>
        <v/>
      </c>
      <c r="I2051" s="5">
        <f>IF(D2051="","",F2051*VLOOKUP(D2051,Products!$B$2:$E$13,3,FALSE))</f>
        <v/>
      </c>
    </row>
    <row r="2052">
      <c r="H2052" s="5">
        <f>F2052*G2052</f>
        <v/>
      </c>
      <c r="I2052" s="5">
        <f>IF(D2052="","",F2052*VLOOKUP(D2052,Products!$B$2:$E$13,3,FALSE))</f>
        <v/>
      </c>
    </row>
    <row r="2053">
      <c r="H2053" s="5">
        <f>F2053*G2053</f>
        <v/>
      </c>
      <c r="I2053" s="5">
        <f>IF(D2053="","",F2053*VLOOKUP(D2053,Products!$B$2:$E$13,3,FALSE))</f>
        <v/>
      </c>
    </row>
    <row r="2054">
      <c r="H2054" s="5">
        <f>F2054*G2054</f>
        <v/>
      </c>
      <c r="I2054" s="5">
        <f>IF(D2054="","",F2054*VLOOKUP(D2054,Products!$B$2:$E$13,3,FALSE))</f>
        <v/>
      </c>
    </row>
    <row r="2055">
      <c r="H2055" s="5">
        <f>F2055*G2055</f>
        <v/>
      </c>
      <c r="I2055" s="5">
        <f>IF(D2055="","",F2055*VLOOKUP(D2055,Products!$B$2:$E$13,3,FALSE))</f>
        <v/>
      </c>
    </row>
    <row r="2056">
      <c r="H2056" s="5">
        <f>F2056*G2056</f>
        <v/>
      </c>
      <c r="I2056" s="5">
        <f>IF(D2056="","",F2056*VLOOKUP(D2056,Products!$B$2:$E$13,3,FALSE))</f>
        <v/>
      </c>
    </row>
    <row r="2057">
      <c r="H2057" s="5">
        <f>F2057*G2057</f>
        <v/>
      </c>
      <c r="I2057" s="5">
        <f>IF(D2057="","",F2057*VLOOKUP(D2057,Products!$B$2:$E$13,3,FALSE))</f>
        <v/>
      </c>
    </row>
    <row r="2058">
      <c r="H2058" s="5">
        <f>F2058*G2058</f>
        <v/>
      </c>
      <c r="I2058" s="5">
        <f>IF(D2058="","",F2058*VLOOKUP(D2058,Products!$B$2:$E$13,3,FALSE))</f>
        <v/>
      </c>
    </row>
    <row r="2059">
      <c r="H2059" s="5">
        <f>F2059*G2059</f>
        <v/>
      </c>
      <c r="I2059" s="5">
        <f>IF(D2059="","",F2059*VLOOKUP(D2059,Products!$B$2:$E$13,3,FALSE))</f>
        <v/>
      </c>
    </row>
    <row r="2060">
      <c r="H2060" s="5">
        <f>F2060*G2060</f>
        <v/>
      </c>
      <c r="I2060" s="5">
        <f>IF(D2060="","",F2060*VLOOKUP(D2060,Products!$B$2:$E$13,3,FALSE))</f>
        <v/>
      </c>
    </row>
    <row r="2061">
      <c r="H2061" s="5">
        <f>F2061*G2061</f>
        <v/>
      </c>
      <c r="I2061" s="5">
        <f>IF(D2061="","",F2061*VLOOKUP(D2061,Products!$B$2:$E$13,3,FALSE))</f>
        <v/>
      </c>
    </row>
    <row r="2062">
      <c r="H2062" s="5">
        <f>F2062*G2062</f>
        <v/>
      </c>
      <c r="I2062" s="5">
        <f>IF(D2062="","",F2062*VLOOKUP(D2062,Products!$B$2:$E$13,3,FALSE))</f>
        <v/>
      </c>
    </row>
    <row r="2063">
      <c r="H2063" s="5">
        <f>F2063*G2063</f>
        <v/>
      </c>
      <c r="I2063" s="5">
        <f>IF(D2063="","",F2063*VLOOKUP(D2063,Products!$B$2:$E$13,3,FALSE))</f>
        <v/>
      </c>
    </row>
    <row r="2064">
      <c r="H2064" s="5">
        <f>F2064*G2064</f>
        <v/>
      </c>
      <c r="I2064" s="5">
        <f>IF(D2064="","",F2064*VLOOKUP(D2064,Products!$B$2:$E$13,3,FALSE))</f>
        <v/>
      </c>
    </row>
    <row r="2065">
      <c r="H2065" s="5">
        <f>F2065*G2065</f>
        <v/>
      </c>
      <c r="I2065" s="5">
        <f>IF(D2065="","",F2065*VLOOKUP(D2065,Products!$B$2:$E$13,3,FALSE))</f>
        <v/>
      </c>
    </row>
    <row r="2066">
      <c r="H2066" s="5">
        <f>F2066*G2066</f>
        <v/>
      </c>
      <c r="I2066" s="5">
        <f>IF(D2066="","",F2066*VLOOKUP(D2066,Products!$B$2:$E$13,3,FALSE))</f>
        <v/>
      </c>
    </row>
    <row r="2067">
      <c r="H2067" s="5">
        <f>F2067*G2067</f>
        <v/>
      </c>
      <c r="I2067" s="5">
        <f>IF(D2067="","",F2067*VLOOKUP(D2067,Products!$B$2:$E$13,3,FALSE))</f>
        <v/>
      </c>
    </row>
    <row r="2068">
      <c r="H2068" s="5">
        <f>F2068*G2068</f>
        <v/>
      </c>
      <c r="I2068" s="5">
        <f>IF(D2068="","",F2068*VLOOKUP(D2068,Products!$B$2:$E$13,3,FALSE))</f>
        <v/>
      </c>
    </row>
    <row r="2069">
      <c r="H2069" s="5">
        <f>F2069*G2069</f>
        <v/>
      </c>
      <c r="I2069" s="5">
        <f>IF(D2069="","",F2069*VLOOKUP(D2069,Products!$B$2:$E$13,3,FALSE))</f>
        <v/>
      </c>
    </row>
    <row r="2070">
      <c r="H2070" s="5">
        <f>F2070*G2070</f>
        <v/>
      </c>
      <c r="I2070" s="5">
        <f>IF(D2070="","",F2070*VLOOKUP(D2070,Products!$B$2:$E$13,3,FALSE))</f>
        <v/>
      </c>
    </row>
    <row r="2071">
      <c r="H2071" s="5">
        <f>F2071*G2071</f>
        <v/>
      </c>
      <c r="I2071" s="5">
        <f>IF(D2071="","",F2071*VLOOKUP(D2071,Products!$B$2:$E$13,3,FALSE))</f>
        <v/>
      </c>
    </row>
    <row r="2072">
      <c r="H2072" s="5">
        <f>F2072*G2072</f>
        <v/>
      </c>
      <c r="I2072" s="5">
        <f>IF(D2072="","",F2072*VLOOKUP(D2072,Products!$B$2:$E$13,3,FALSE))</f>
        <v/>
      </c>
    </row>
    <row r="2073">
      <c r="H2073" s="5">
        <f>F2073*G2073</f>
        <v/>
      </c>
      <c r="I2073" s="5">
        <f>IF(D2073="","",F2073*VLOOKUP(D2073,Products!$B$2:$E$13,3,FALSE))</f>
        <v/>
      </c>
    </row>
    <row r="2074">
      <c r="H2074" s="5">
        <f>F2074*G2074</f>
        <v/>
      </c>
      <c r="I2074" s="5">
        <f>IF(D2074="","",F2074*VLOOKUP(D2074,Products!$B$2:$E$13,3,FALSE))</f>
        <v/>
      </c>
    </row>
    <row r="2075">
      <c r="H2075" s="5">
        <f>F2075*G2075</f>
        <v/>
      </c>
      <c r="I2075" s="5">
        <f>IF(D2075="","",F2075*VLOOKUP(D2075,Products!$B$2:$E$13,3,FALSE))</f>
        <v/>
      </c>
    </row>
    <row r="2076">
      <c r="H2076" s="5">
        <f>F2076*G2076</f>
        <v/>
      </c>
      <c r="I2076" s="5">
        <f>IF(D2076="","",F2076*VLOOKUP(D2076,Products!$B$2:$E$13,3,FALSE))</f>
        <v/>
      </c>
    </row>
    <row r="2077">
      <c r="H2077" s="5">
        <f>F2077*G2077</f>
        <v/>
      </c>
      <c r="I2077" s="5">
        <f>IF(D2077="","",F2077*VLOOKUP(D2077,Products!$B$2:$E$13,3,FALSE))</f>
        <v/>
      </c>
    </row>
    <row r="2078">
      <c r="H2078" s="5">
        <f>F2078*G2078</f>
        <v/>
      </c>
      <c r="I2078" s="5">
        <f>IF(D2078="","",F2078*VLOOKUP(D2078,Products!$B$2:$E$13,3,FALSE))</f>
        <v/>
      </c>
    </row>
    <row r="2079">
      <c r="H2079" s="5">
        <f>F2079*G2079</f>
        <v/>
      </c>
      <c r="I2079" s="5">
        <f>IF(D2079="","",F2079*VLOOKUP(D2079,Products!$B$2:$E$13,3,FALSE))</f>
        <v/>
      </c>
    </row>
    <row r="2080">
      <c r="H2080" s="5">
        <f>F2080*G2080</f>
        <v/>
      </c>
      <c r="I2080" s="5">
        <f>IF(D2080="","",F2080*VLOOKUP(D2080,Products!$B$2:$E$13,3,FALSE))</f>
        <v/>
      </c>
    </row>
    <row r="2081">
      <c r="H2081" s="5">
        <f>F2081*G2081</f>
        <v/>
      </c>
      <c r="I2081" s="5">
        <f>IF(D2081="","",F2081*VLOOKUP(D2081,Products!$B$2:$E$13,3,FALSE))</f>
        <v/>
      </c>
    </row>
    <row r="2082">
      <c r="H2082" s="5">
        <f>F2082*G2082</f>
        <v/>
      </c>
      <c r="I2082" s="5">
        <f>IF(D2082="","",F2082*VLOOKUP(D2082,Products!$B$2:$E$13,3,FALSE))</f>
        <v/>
      </c>
    </row>
    <row r="2083">
      <c r="H2083" s="5">
        <f>F2083*G2083</f>
        <v/>
      </c>
      <c r="I2083" s="5">
        <f>IF(D2083="","",F2083*VLOOKUP(D2083,Products!$B$2:$E$13,3,FALSE))</f>
        <v/>
      </c>
    </row>
    <row r="2084">
      <c r="H2084" s="5">
        <f>F2084*G2084</f>
        <v/>
      </c>
      <c r="I2084" s="5">
        <f>IF(D2084="","",F2084*VLOOKUP(D2084,Products!$B$2:$E$13,3,FALSE))</f>
        <v/>
      </c>
    </row>
    <row r="2085">
      <c r="H2085" s="5">
        <f>F2085*G2085</f>
        <v/>
      </c>
      <c r="I2085" s="5">
        <f>IF(D2085="","",F2085*VLOOKUP(D2085,Products!$B$2:$E$13,3,FALSE))</f>
        <v/>
      </c>
    </row>
    <row r="2086">
      <c r="H2086" s="5">
        <f>F2086*G2086</f>
        <v/>
      </c>
      <c r="I2086" s="5">
        <f>IF(D2086="","",F2086*VLOOKUP(D2086,Products!$B$2:$E$13,3,FALSE))</f>
        <v/>
      </c>
    </row>
    <row r="2087">
      <c r="H2087" s="5">
        <f>F2087*G2087</f>
        <v/>
      </c>
      <c r="I2087" s="5">
        <f>IF(D2087="","",F2087*VLOOKUP(D2087,Products!$B$2:$E$13,3,FALSE))</f>
        <v/>
      </c>
    </row>
    <row r="2088">
      <c r="H2088" s="5">
        <f>F2088*G2088</f>
        <v/>
      </c>
      <c r="I2088" s="5">
        <f>IF(D2088="","",F2088*VLOOKUP(D2088,Products!$B$2:$E$13,3,FALSE))</f>
        <v/>
      </c>
    </row>
    <row r="2089">
      <c r="H2089" s="5">
        <f>F2089*G2089</f>
        <v/>
      </c>
      <c r="I2089" s="5">
        <f>IF(D2089="","",F2089*VLOOKUP(D2089,Products!$B$2:$E$13,3,FALSE))</f>
        <v/>
      </c>
    </row>
    <row r="2090">
      <c r="H2090" s="5">
        <f>F2090*G2090</f>
        <v/>
      </c>
      <c r="I2090" s="5">
        <f>IF(D2090="","",F2090*VLOOKUP(D2090,Products!$B$2:$E$13,3,FALSE))</f>
        <v/>
      </c>
    </row>
    <row r="2091">
      <c r="H2091" s="5">
        <f>F2091*G2091</f>
        <v/>
      </c>
      <c r="I2091" s="5">
        <f>IF(D2091="","",F2091*VLOOKUP(D2091,Products!$B$2:$E$13,3,FALSE))</f>
        <v/>
      </c>
    </row>
    <row r="2092">
      <c r="H2092" s="5">
        <f>F2092*G2092</f>
        <v/>
      </c>
      <c r="I2092" s="5">
        <f>IF(D2092="","",F2092*VLOOKUP(D2092,Products!$B$2:$E$13,3,FALSE))</f>
        <v/>
      </c>
    </row>
    <row r="2093">
      <c r="H2093" s="5">
        <f>F2093*G2093</f>
        <v/>
      </c>
      <c r="I2093" s="5">
        <f>IF(D2093="","",F2093*VLOOKUP(D2093,Products!$B$2:$E$13,3,FALSE))</f>
        <v/>
      </c>
    </row>
    <row r="2094">
      <c r="H2094" s="5">
        <f>F2094*G2094</f>
        <v/>
      </c>
      <c r="I2094" s="5">
        <f>IF(D2094="","",F2094*VLOOKUP(D2094,Products!$B$2:$E$13,3,FALSE))</f>
        <v/>
      </c>
    </row>
    <row r="2095">
      <c r="H2095" s="5">
        <f>F2095*G2095</f>
        <v/>
      </c>
      <c r="I2095" s="5">
        <f>IF(D2095="","",F2095*VLOOKUP(D2095,Products!$B$2:$E$13,3,FALSE))</f>
        <v/>
      </c>
    </row>
    <row r="2096">
      <c r="H2096" s="5">
        <f>F2096*G2096</f>
        <v/>
      </c>
      <c r="I2096" s="5">
        <f>IF(D2096="","",F2096*VLOOKUP(D2096,Products!$B$2:$E$13,3,FALSE))</f>
        <v/>
      </c>
    </row>
    <row r="2097">
      <c r="H2097" s="5">
        <f>F2097*G2097</f>
        <v/>
      </c>
      <c r="I2097" s="5">
        <f>IF(D2097="","",F2097*VLOOKUP(D2097,Products!$B$2:$E$13,3,FALSE))</f>
        <v/>
      </c>
    </row>
    <row r="2098">
      <c r="H2098" s="5">
        <f>F2098*G2098</f>
        <v/>
      </c>
      <c r="I2098" s="5">
        <f>IF(D2098="","",F2098*VLOOKUP(D2098,Products!$B$2:$E$13,3,FALSE))</f>
        <v/>
      </c>
    </row>
    <row r="2099">
      <c r="H2099" s="5">
        <f>F2099*G2099</f>
        <v/>
      </c>
      <c r="I2099" s="5">
        <f>IF(D2099="","",F2099*VLOOKUP(D2099,Products!$B$2:$E$13,3,FALSE))</f>
        <v/>
      </c>
    </row>
    <row r="2100">
      <c r="H2100" s="5">
        <f>F2100*G2100</f>
        <v/>
      </c>
      <c r="I2100" s="5">
        <f>IF(D2100="","",F2100*VLOOKUP(D2100,Products!$B$2:$E$13,3,FALSE))</f>
        <v/>
      </c>
    </row>
    <row r="2101">
      <c r="H2101" s="5">
        <f>F2101*G2101</f>
        <v/>
      </c>
      <c r="I2101" s="5">
        <f>IF(D2101="","",F2101*VLOOKUP(D2101,Products!$B$2:$E$13,3,FALSE))</f>
        <v/>
      </c>
    </row>
    <row r="2102">
      <c r="H2102" s="5">
        <f>F2102*G2102</f>
        <v/>
      </c>
      <c r="I2102" s="5">
        <f>IF(D2102="","",F2102*VLOOKUP(D2102,Products!$B$2:$E$13,3,FALSE))</f>
        <v/>
      </c>
    </row>
    <row r="2103">
      <c r="H2103" s="5">
        <f>F2103*G2103</f>
        <v/>
      </c>
      <c r="I2103" s="5">
        <f>IF(D2103="","",F2103*VLOOKUP(D2103,Products!$B$2:$E$13,3,FALSE))</f>
        <v/>
      </c>
    </row>
    <row r="2104">
      <c r="H2104" s="5">
        <f>F2104*G2104</f>
        <v/>
      </c>
      <c r="I2104" s="5">
        <f>IF(D2104="","",F2104*VLOOKUP(D2104,Products!$B$2:$E$13,3,FALSE))</f>
        <v/>
      </c>
    </row>
    <row r="2105">
      <c r="H2105" s="5">
        <f>F2105*G2105</f>
        <v/>
      </c>
      <c r="I2105" s="5">
        <f>IF(D2105="","",F2105*VLOOKUP(D2105,Products!$B$2:$E$13,3,FALSE))</f>
        <v/>
      </c>
    </row>
    <row r="2106">
      <c r="H2106" s="5">
        <f>F2106*G2106</f>
        <v/>
      </c>
      <c r="I2106" s="5">
        <f>IF(D2106="","",F2106*VLOOKUP(D2106,Products!$B$2:$E$13,3,FALSE))</f>
        <v/>
      </c>
    </row>
    <row r="2107">
      <c r="H2107" s="5">
        <f>F2107*G2107</f>
        <v/>
      </c>
      <c r="I2107" s="5">
        <f>IF(D2107="","",F2107*VLOOKUP(D2107,Products!$B$2:$E$13,3,FALSE))</f>
        <v/>
      </c>
    </row>
    <row r="2108">
      <c r="H2108" s="5">
        <f>F2108*G2108</f>
        <v/>
      </c>
      <c r="I2108" s="5">
        <f>IF(D2108="","",F2108*VLOOKUP(D2108,Products!$B$2:$E$13,3,FALSE))</f>
        <v/>
      </c>
    </row>
    <row r="2109">
      <c r="H2109" s="5">
        <f>F2109*G2109</f>
        <v/>
      </c>
      <c r="I2109" s="5">
        <f>IF(D2109="","",F2109*VLOOKUP(D2109,Products!$B$2:$E$13,3,FALSE))</f>
        <v/>
      </c>
    </row>
    <row r="2110">
      <c r="H2110" s="5">
        <f>F2110*G2110</f>
        <v/>
      </c>
      <c r="I2110" s="5">
        <f>IF(D2110="","",F2110*VLOOKUP(D2110,Products!$B$2:$E$13,3,FALSE))</f>
        <v/>
      </c>
    </row>
    <row r="2111">
      <c r="H2111" s="5">
        <f>F2111*G2111</f>
        <v/>
      </c>
      <c r="I2111" s="5">
        <f>IF(D2111="","",F2111*VLOOKUP(D2111,Products!$B$2:$E$13,3,FALSE))</f>
        <v/>
      </c>
    </row>
    <row r="2112">
      <c r="H2112" s="5">
        <f>F2112*G2112</f>
        <v/>
      </c>
      <c r="I2112" s="5">
        <f>IF(D2112="","",F2112*VLOOKUP(D2112,Products!$B$2:$E$13,3,FALSE))</f>
        <v/>
      </c>
    </row>
    <row r="2113">
      <c r="H2113" s="5">
        <f>F2113*G2113</f>
        <v/>
      </c>
      <c r="I2113" s="5">
        <f>IF(D2113="","",F2113*VLOOKUP(D2113,Products!$B$2:$E$13,3,FALSE))</f>
        <v/>
      </c>
    </row>
    <row r="2114">
      <c r="H2114" s="5">
        <f>F2114*G2114</f>
        <v/>
      </c>
      <c r="I2114" s="5">
        <f>IF(D2114="","",F2114*VLOOKUP(D2114,Products!$B$2:$E$13,3,FALSE))</f>
        <v/>
      </c>
    </row>
    <row r="2115">
      <c r="H2115" s="5">
        <f>F2115*G2115</f>
        <v/>
      </c>
      <c r="I2115" s="5">
        <f>IF(D2115="","",F2115*VLOOKUP(D2115,Products!$B$2:$E$13,3,FALSE))</f>
        <v/>
      </c>
    </row>
    <row r="2116">
      <c r="H2116" s="5">
        <f>F2116*G2116</f>
        <v/>
      </c>
      <c r="I2116" s="5">
        <f>IF(D2116="","",F2116*VLOOKUP(D2116,Products!$B$2:$E$13,3,FALSE))</f>
        <v/>
      </c>
    </row>
    <row r="2117">
      <c r="H2117" s="5">
        <f>F2117*G2117</f>
        <v/>
      </c>
      <c r="I2117" s="5">
        <f>IF(D2117="","",F2117*VLOOKUP(D2117,Products!$B$2:$E$13,3,FALSE))</f>
        <v/>
      </c>
    </row>
    <row r="2118">
      <c r="H2118" s="5">
        <f>F2118*G2118</f>
        <v/>
      </c>
      <c r="I2118" s="5">
        <f>IF(D2118="","",F2118*VLOOKUP(D2118,Products!$B$2:$E$13,3,FALSE))</f>
        <v/>
      </c>
    </row>
    <row r="2119">
      <c r="H2119" s="5">
        <f>F2119*G2119</f>
        <v/>
      </c>
      <c r="I2119" s="5">
        <f>IF(D2119="","",F2119*VLOOKUP(D2119,Products!$B$2:$E$13,3,FALSE))</f>
        <v/>
      </c>
    </row>
    <row r="2120">
      <c r="H2120" s="5">
        <f>F2120*G2120</f>
        <v/>
      </c>
      <c r="I2120" s="5">
        <f>IF(D2120="","",F2120*VLOOKUP(D2120,Products!$B$2:$E$13,3,FALSE))</f>
        <v/>
      </c>
    </row>
    <row r="2121">
      <c r="H2121" s="5">
        <f>F2121*G2121</f>
        <v/>
      </c>
      <c r="I2121" s="5">
        <f>IF(D2121="","",F2121*VLOOKUP(D2121,Products!$B$2:$E$13,3,FALSE))</f>
        <v/>
      </c>
    </row>
    <row r="2122">
      <c r="H2122" s="5">
        <f>F2122*G2122</f>
        <v/>
      </c>
      <c r="I2122" s="5">
        <f>IF(D2122="","",F2122*VLOOKUP(D2122,Products!$B$2:$E$13,3,FALSE))</f>
        <v/>
      </c>
    </row>
    <row r="2123">
      <c r="H2123" s="5">
        <f>F2123*G2123</f>
        <v/>
      </c>
      <c r="I2123" s="5">
        <f>IF(D2123="","",F2123*VLOOKUP(D2123,Products!$B$2:$E$13,3,FALSE))</f>
        <v/>
      </c>
    </row>
    <row r="2124">
      <c r="H2124" s="5">
        <f>F2124*G2124</f>
        <v/>
      </c>
      <c r="I2124" s="5">
        <f>IF(D2124="","",F2124*VLOOKUP(D2124,Products!$B$2:$E$13,3,FALSE))</f>
        <v/>
      </c>
    </row>
    <row r="2125">
      <c r="H2125" s="5">
        <f>F2125*G2125</f>
        <v/>
      </c>
      <c r="I2125" s="5">
        <f>IF(D2125="","",F2125*VLOOKUP(D2125,Products!$B$2:$E$13,3,FALSE))</f>
        <v/>
      </c>
    </row>
    <row r="2126">
      <c r="H2126" s="5">
        <f>F2126*G2126</f>
        <v/>
      </c>
      <c r="I2126" s="5">
        <f>IF(D2126="","",F2126*VLOOKUP(D2126,Products!$B$2:$E$13,3,FALSE))</f>
        <v/>
      </c>
    </row>
    <row r="2127">
      <c r="H2127" s="5">
        <f>F2127*G2127</f>
        <v/>
      </c>
      <c r="I2127" s="5">
        <f>IF(D2127="","",F2127*VLOOKUP(D2127,Products!$B$2:$E$13,3,FALSE))</f>
        <v/>
      </c>
    </row>
    <row r="2128">
      <c r="H2128" s="5">
        <f>F2128*G2128</f>
        <v/>
      </c>
      <c r="I2128" s="5">
        <f>IF(D2128="","",F2128*VLOOKUP(D2128,Products!$B$2:$E$13,3,FALSE))</f>
        <v/>
      </c>
    </row>
    <row r="2129">
      <c r="H2129" s="5">
        <f>F2129*G2129</f>
        <v/>
      </c>
      <c r="I2129" s="5">
        <f>IF(D2129="","",F2129*VLOOKUP(D2129,Products!$B$2:$E$13,3,FALSE))</f>
        <v/>
      </c>
    </row>
    <row r="2130">
      <c r="H2130" s="5">
        <f>F2130*G2130</f>
        <v/>
      </c>
      <c r="I2130" s="5">
        <f>IF(D2130="","",F2130*VLOOKUP(D2130,Products!$B$2:$E$13,3,FALSE))</f>
        <v/>
      </c>
    </row>
    <row r="2131">
      <c r="H2131" s="5">
        <f>F2131*G2131</f>
        <v/>
      </c>
      <c r="I2131" s="5">
        <f>IF(D2131="","",F2131*VLOOKUP(D2131,Products!$B$2:$E$13,3,FALSE))</f>
        <v/>
      </c>
    </row>
    <row r="2132">
      <c r="H2132" s="5">
        <f>F2132*G2132</f>
        <v/>
      </c>
      <c r="I2132" s="5">
        <f>IF(D2132="","",F2132*VLOOKUP(D2132,Products!$B$2:$E$13,3,FALSE))</f>
        <v/>
      </c>
    </row>
    <row r="2133">
      <c r="H2133" s="5">
        <f>F2133*G2133</f>
        <v/>
      </c>
      <c r="I2133" s="5">
        <f>IF(D2133="","",F2133*VLOOKUP(D2133,Products!$B$2:$E$13,3,FALSE))</f>
        <v/>
      </c>
    </row>
    <row r="2134">
      <c r="H2134" s="5">
        <f>F2134*G2134</f>
        <v/>
      </c>
      <c r="I2134" s="5">
        <f>IF(D2134="","",F2134*VLOOKUP(D2134,Products!$B$2:$E$13,3,FALSE))</f>
        <v/>
      </c>
    </row>
    <row r="2135">
      <c r="H2135" s="5">
        <f>F2135*G2135</f>
        <v/>
      </c>
      <c r="I2135" s="5">
        <f>IF(D2135="","",F2135*VLOOKUP(D2135,Products!$B$2:$E$13,3,FALSE))</f>
        <v/>
      </c>
    </row>
    <row r="2136">
      <c r="H2136" s="5">
        <f>F2136*G2136</f>
        <v/>
      </c>
      <c r="I2136" s="5">
        <f>IF(D2136="","",F2136*VLOOKUP(D2136,Products!$B$2:$E$13,3,FALSE))</f>
        <v/>
      </c>
    </row>
    <row r="2137">
      <c r="H2137" s="5">
        <f>F2137*G2137</f>
        <v/>
      </c>
      <c r="I2137" s="5">
        <f>IF(D2137="","",F2137*VLOOKUP(D2137,Products!$B$2:$E$13,3,FALSE))</f>
        <v/>
      </c>
    </row>
    <row r="2138">
      <c r="H2138" s="5">
        <f>F2138*G2138</f>
        <v/>
      </c>
      <c r="I2138" s="5">
        <f>IF(D2138="","",F2138*VLOOKUP(D2138,Products!$B$2:$E$13,3,FALSE))</f>
        <v/>
      </c>
    </row>
    <row r="2139">
      <c r="H2139" s="5">
        <f>F2139*G2139</f>
        <v/>
      </c>
      <c r="I2139" s="5">
        <f>IF(D2139="","",F2139*VLOOKUP(D2139,Products!$B$2:$E$13,3,FALSE))</f>
        <v/>
      </c>
    </row>
    <row r="2140">
      <c r="H2140" s="5">
        <f>F2140*G2140</f>
        <v/>
      </c>
      <c r="I2140" s="5">
        <f>IF(D2140="","",F2140*VLOOKUP(D2140,Products!$B$2:$E$13,3,FALSE))</f>
        <v/>
      </c>
    </row>
    <row r="2141">
      <c r="H2141" s="5">
        <f>F2141*G2141</f>
        <v/>
      </c>
      <c r="I2141" s="5">
        <f>IF(D2141="","",F2141*VLOOKUP(D2141,Products!$B$2:$E$13,3,FALSE))</f>
        <v/>
      </c>
    </row>
    <row r="2142">
      <c r="H2142" s="5">
        <f>F2142*G2142</f>
        <v/>
      </c>
      <c r="I2142" s="5">
        <f>IF(D2142="","",F2142*VLOOKUP(D2142,Products!$B$2:$E$13,3,FALSE))</f>
        <v/>
      </c>
    </row>
    <row r="2143">
      <c r="H2143" s="5">
        <f>F2143*G2143</f>
        <v/>
      </c>
      <c r="I2143" s="5">
        <f>IF(D2143="","",F2143*VLOOKUP(D2143,Products!$B$2:$E$13,3,FALSE))</f>
        <v/>
      </c>
    </row>
    <row r="2144">
      <c r="H2144" s="5">
        <f>F2144*G2144</f>
        <v/>
      </c>
      <c r="I2144" s="5">
        <f>IF(D2144="","",F2144*VLOOKUP(D2144,Products!$B$2:$E$13,3,FALSE))</f>
        <v/>
      </c>
    </row>
    <row r="2145">
      <c r="H2145" s="5">
        <f>F2145*G2145</f>
        <v/>
      </c>
      <c r="I2145" s="5">
        <f>IF(D2145="","",F2145*VLOOKUP(D2145,Products!$B$2:$E$13,3,FALSE))</f>
        <v/>
      </c>
    </row>
    <row r="2146">
      <c r="H2146" s="5">
        <f>F2146*G2146</f>
        <v/>
      </c>
      <c r="I2146" s="5">
        <f>IF(D2146="","",F2146*VLOOKUP(D2146,Products!$B$2:$E$13,3,FALSE))</f>
        <v/>
      </c>
    </row>
    <row r="2147">
      <c r="H2147" s="5">
        <f>F2147*G2147</f>
        <v/>
      </c>
      <c r="I2147" s="5">
        <f>IF(D2147="","",F2147*VLOOKUP(D2147,Products!$B$2:$E$13,3,FALSE))</f>
        <v/>
      </c>
    </row>
    <row r="2148">
      <c r="H2148" s="5">
        <f>F2148*G2148</f>
        <v/>
      </c>
      <c r="I2148" s="5">
        <f>IF(D2148="","",F2148*VLOOKUP(D2148,Products!$B$2:$E$13,3,FALSE))</f>
        <v/>
      </c>
    </row>
    <row r="2149">
      <c r="H2149" s="5">
        <f>F2149*G2149</f>
        <v/>
      </c>
      <c r="I2149" s="5">
        <f>IF(D2149="","",F2149*VLOOKUP(D2149,Products!$B$2:$E$13,3,FALSE))</f>
        <v/>
      </c>
    </row>
    <row r="2150">
      <c r="H2150" s="5">
        <f>F2150*G2150</f>
        <v/>
      </c>
      <c r="I2150" s="5">
        <f>IF(D2150="","",F2150*VLOOKUP(D2150,Products!$B$2:$E$13,3,FALSE))</f>
        <v/>
      </c>
    </row>
    <row r="2151">
      <c r="H2151" s="5">
        <f>F2151*G2151</f>
        <v/>
      </c>
      <c r="I2151" s="5">
        <f>IF(D2151="","",F2151*VLOOKUP(D2151,Products!$B$2:$E$13,3,FALSE))</f>
        <v/>
      </c>
    </row>
    <row r="2152">
      <c r="H2152" s="5">
        <f>F2152*G2152</f>
        <v/>
      </c>
      <c r="I2152" s="5">
        <f>IF(D2152="","",F2152*VLOOKUP(D2152,Products!$B$2:$E$13,3,FALSE))</f>
        <v/>
      </c>
    </row>
    <row r="2153">
      <c r="H2153" s="5">
        <f>F2153*G2153</f>
        <v/>
      </c>
      <c r="I2153" s="5">
        <f>IF(D2153="","",F2153*VLOOKUP(D2153,Products!$B$2:$E$13,3,FALSE))</f>
        <v/>
      </c>
    </row>
    <row r="2154">
      <c r="H2154" s="5">
        <f>F2154*G2154</f>
        <v/>
      </c>
      <c r="I2154" s="5">
        <f>IF(D2154="","",F2154*VLOOKUP(D2154,Products!$B$2:$E$13,3,FALSE))</f>
        <v/>
      </c>
    </row>
    <row r="2155">
      <c r="H2155" s="5">
        <f>F2155*G2155</f>
        <v/>
      </c>
      <c r="I2155" s="5">
        <f>IF(D2155="","",F2155*VLOOKUP(D2155,Products!$B$2:$E$13,3,FALSE))</f>
        <v/>
      </c>
    </row>
    <row r="2156">
      <c r="H2156" s="5">
        <f>F2156*G2156</f>
        <v/>
      </c>
      <c r="I2156" s="5">
        <f>IF(D2156="","",F2156*VLOOKUP(D2156,Products!$B$2:$E$13,3,FALSE))</f>
        <v/>
      </c>
    </row>
    <row r="2157">
      <c r="H2157" s="5">
        <f>F2157*G2157</f>
        <v/>
      </c>
      <c r="I2157" s="5">
        <f>IF(D2157="","",F2157*VLOOKUP(D2157,Products!$B$2:$E$13,3,FALSE))</f>
        <v/>
      </c>
    </row>
    <row r="2158">
      <c r="H2158" s="5">
        <f>F2158*G2158</f>
        <v/>
      </c>
      <c r="I2158" s="5">
        <f>IF(D2158="","",F2158*VLOOKUP(D2158,Products!$B$2:$E$13,3,FALSE))</f>
        <v/>
      </c>
    </row>
    <row r="2159">
      <c r="H2159" s="5">
        <f>F2159*G2159</f>
        <v/>
      </c>
      <c r="I2159" s="5">
        <f>IF(D2159="","",F2159*VLOOKUP(D2159,Products!$B$2:$E$13,3,FALSE))</f>
        <v/>
      </c>
    </row>
    <row r="2160">
      <c r="H2160" s="5">
        <f>F2160*G2160</f>
        <v/>
      </c>
      <c r="I2160" s="5">
        <f>IF(D2160="","",F2160*VLOOKUP(D2160,Products!$B$2:$E$13,3,FALSE))</f>
        <v/>
      </c>
    </row>
    <row r="2161">
      <c r="H2161" s="5">
        <f>F2161*G2161</f>
        <v/>
      </c>
      <c r="I2161" s="5">
        <f>IF(D2161="","",F2161*VLOOKUP(D2161,Products!$B$2:$E$13,3,FALSE))</f>
        <v/>
      </c>
    </row>
    <row r="2162">
      <c r="H2162" s="5">
        <f>F2162*G2162</f>
        <v/>
      </c>
      <c r="I2162" s="5">
        <f>IF(D2162="","",F2162*VLOOKUP(D2162,Products!$B$2:$E$13,3,FALSE))</f>
        <v/>
      </c>
    </row>
    <row r="2163">
      <c r="H2163" s="5">
        <f>F2163*G2163</f>
        <v/>
      </c>
      <c r="I2163" s="5">
        <f>IF(D2163="","",F2163*VLOOKUP(D2163,Products!$B$2:$E$13,3,FALSE))</f>
        <v/>
      </c>
    </row>
    <row r="2164">
      <c r="H2164" s="5">
        <f>F2164*G2164</f>
        <v/>
      </c>
      <c r="I2164" s="5">
        <f>IF(D2164="","",F2164*VLOOKUP(D2164,Products!$B$2:$E$13,3,FALSE))</f>
        <v/>
      </c>
    </row>
    <row r="2165">
      <c r="H2165" s="5">
        <f>F2165*G2165</f>
        <v/>
      </c>
      <c r="I2165" s="5">
        <f>IF(D2165="","",F2165*VLOOKUP(D2165,Products!$B$2:$E$13,3,FALSE))</f>
        <v/>
      </c>
    </row>
    <row r="2166">
      <c r="H2166" s="5">
        <f>F2166*G2166</f>
        <v/>
      </c>
      <c r="I2166" s="5">
        <f>IF(D2166="","",F2166*VLOOKUP(D2166,Products!$B$2:$E$13,3,FALSE))</f>
        <v/>
      </c>
    </row>
    <row r="2167">
      <c r="H2167" s="5">
        <f>F2167*G2167</f>
        <v/>
      </c>
      <c r="I2167" s="5">
        <f>IF(D2167="","",F2167*VLOOKUP(D2167,Products!$B$2:$E$13,3,FALSE))</f>
        <v/>
      </c>
    </row>
    <row r="2168">
      <c r="H2168" s="5">
        <f>F2168*G2168</f>
        <v/>
      </c>
      <c r="I2168" s="5">
        <f>IF(D2168="","",F2168*VLOOKUP(D2168,Products!$B$2:$E$13,3,FALSE))</f>
        <v/>
      </c>
    </row>
    <row r="2169">
      <c r="H2169" s="5">
        <f>F2169*G2169</f>
        <v/>
      </c>
      <c r="I2169" s="5">
        <f>IF(D2169="","",F2169*VLOOKUP(D2169,Products!$B$2:$E$13,3,FALSE))</f>
        <v/>
      </c>
    </row>
    <row r="2170">
      <c r="H2170" s="5">
        <f>F2170*G2170</f>
        <v/>
      </c>
      <c r="I2170" s="5">
        <f>IF(D2170="","",F2170*VLOOKUP(D2170,Products!$B$2:$E$13,3,FALSE))</f>
        <v/>
      </c>
    </row>
    <row r="2171">
      <c r="H2171" s="5">
        <f>F2171*G2171</f>
        <v/>
      </c>
      <c r="I2171" s="5">
        <f>IF(D2171="","",F2171*VLOOKUP(D2171,Products!$B$2:$E$13,3,FALSE))</f>
        <v/>
      </c>
    </row>
    <row r="2172">
      <c r="H2172" s="5">
        <f>F2172*G2172</f>
        <v/>
      </c>
      <c r="I2172" s="5">
        <f>IF(D2172="","",F2172*VLOOKUP(D2172,Products!$B$2:$E$13,3,FALSE))</f>
        <v/>
      </c>
    </row>
    <row r="2173">
      <c r="H2173" s="5">
        <f>F2173*G2173</f>
        <v/>
      </c>
      <c r="I2173" s="5">
        <f>IF(D2173="","",F2173*VLOOKUP(D2173,Products!$B$2:$E$13,3,FALSE))</f>
        <v/>
      </c>
    </row>
    <row r="2174">
      <c r="H2174" s="5">
        <f>F2174*G2174</f>
        <v/>
      </c>
      <c r="I2174" s="5">
        <f>IF(D2174="","",F2174*VLOOKUP(D2174,Products!$B$2:$E$13,3,FALSE))</f>
        <v/>
      </c>
    </row>
    <row r="2175">
      <c r="H2175" s="5">
        <f>F2175*G2175</f>
        <v/>
      </c>
      <c r="I2175" s="5">
        <f>IF(D2175="","",F2175*VLOOKUP(D2175,Products!$B$2:$E$13,3,FALSE))</f>
        <v/>
      </c>
    </row>
    <row r="2176">
      <c r="H2176" s="5">
        <f>F2176*G2176</f>
        <v/>
      </c>
      <c r="I2176" s="5">
        <f>IF(D2176="","",F2176*VLOOKUP(D2176,Products!$B$2:$E$13,3,FALSE))</f>
        <v/>
      </c>
    </row>
    <row r="2177">
      <c r="H2177" s="5">
        <f>F2177*G2177</f>
        <v/>
      </c>
      <c r="I2177" s="5">
        <f>IF(D2177="","",F2177*VLOOKUP(D2177,Products!$B$2:$E$13,3,FALSE))</f>
        <v/>
      </c>
    </row>
    <row r="2178">
      <c r="H2178" s="5">
        <f>F2178*G2178</f>
        <v/>
      </c>
      <c r="I2178" s="5">
        <f>IF(D2178="","",F2178*VLOOKUP(D2178,Products!$B$2:$E$13,3,FALSE))</f>
        <v/>
      </c>
    </row>
    <row r="2179">
      <c r="H2179" s="5">
        <f>F2179*G2179</f>
        <v/>
      </c>
      <c r="I2179" s="5">
        <f>IF(D2179="","",F2179*VLOOKUP(D2179,Products!$B$2:$E$13,3,FALSE))</f>
        <v/>
      </c>
    </row>
    <row r="2180">
      <c r="H2180" s="5">
        <f>F2180*G2180</f>
        <v/>
      </c>
      <c r="I2180" s="5">
        <f>IF(D2180="","",F2180*VLOOKUP(D2180,Products!$B$2:$E$13,3,FALSE))</f>
        <v/>
      </c>
    </row>
    <row r="2181">
      <c r="H2181" s="5">
        <f>F2181*G2181</f>
        <v/>
      </c>
      <c r="I2181" s="5">
        <f>IF(D2181="","",F2181*VLOOKUP(D2181,Products!$B$2:$E$13,3,FALSE))</f>
        <v/>
      </c>
    </row>
    <row r="2182">
      <c r="H2182" s="5">
        <f>F2182*G2182</f>
        <v/>
      </c>
      <c r="I2182" s="5">
        <f>IF(D2182="","",F2182*VLOOKUP(D2182,Products!$B$2:$E$13,3,FALSE))</f>
        <v/>
      </c>
    </row>
    <row r="2183">
      <c r="H2183" s="5">
        <f>F2183*G2183</f>
        <v/>
      </c>
      <c r="I2183" s="5">
        <f>IF(D2183="","",F2183*VLOOKUP(D2183,Products!$B$2:$E$13,3,FALSE))</f>
        <v/>
      </c>
    </row>
    <row r="2184">
      <c r="H2184" s="5">
        <f>F2184*G2184</f>
        <v/>
      </c>
      <c r="I2184" s="5">
        <f>IF(D2184="","",F2184*VLOOKUP(D2184,Products!$B$2:$E$13,3,FALSE))</f>
        <v/>
      </c>
    </row>
    <row r="2185">
      <c r="H2185" s="5">
        <f>F2185*G2185</f>
        <v/>
      </c>
      <c r="I2185" s="5">
        <f>IF(D2185="","",F2185*VLOOKUP(D2185,Products!$B$2:$E$13,3,FALSE))</f>
        <v/>
      </c>
    </row>
    <row r="2186">
      <c r="H2186" s="5">
        <f>F2186*G2186</f>
        <v/>
      </c>
      <c r="I2186" s="5">
        <f>IF(D2186="","",F2186*VLOOKUP(D2186,Products!$B$2:$E$13,3,FALSE))</f>
        <v/>
      </c>
    </row>
    <row r="2187">
      <c r="H2187" s="5">
        <f>F2187*G2187</f>
        <v/>
      </c>
      <c r="I2187" s="5">
        <f>IF(D2187="","",F2187*VLOOKUP(D2187,Products!$B$2:$E$13,3,FALSE))</f>
        <v/>
      </c>
    </row>
    <row r="2188">
      <c r="H2188" s="5">
        <f>F2188*G2188</f>
        <v/>
      </c>
      <c r="I2188" s="5">
        <f>IF(D2188="","",F2188*VLOOKUP(D2188,Products!$B$2:$E$13,3,FALSE))</f>
        <v/>
      </c>
    </row>
    <row r="2189">
      <c r="H2189" s="5">
        <f>F2189*G2189</f>
        <v/>
      </c>
      <c r="I2189" s="5">
        <f>IF(D2189="","",F2189*VLOOKUP(D2189,Products!$B$2:$E$13,3,FALSE))</f>
        <v/>
      </c>
    </row>
    <row r="2190">
      <c r="H2190" s="5">
        <f>F2190*G2190</f>
        <v/>
      </c>
      <c r="I2190" s="5">
        <f>IF(D2190="","",F2190*VLOOKUP(D2190,Products!$B$2:$E$13,3,FALSE))</f>
        <v/>
      </c>
    </row>
    <row r="2191">
      <c r="H2191" s="5">
        <f>F2191*G2191</f>
        <v/>
      </c>
      <c r="I2191" s="5">
        <f>IF(D2191="","",F2191*VLOOKUP(D2191,Products!$B$2:$E$13,3,FALSE))</f>
        <v/>
      </c>
    </row>
    <row r="2192">
      <c r="H2192" s="5">
        <f>F2192*G2192</f>
        <v/>
      </c>
      <c r="I2192" s="5">
        <f>IF(D2192="","",F2192*VLOOKUP(D2192,Products!$B$2:$E$13,3,FALSE))</f>
        <v/>
      </c>
    </row>
    <row r="2193">
      <c r="H2193" s="5">
        <f>F2193*G2193</f>
        <v/>
      </c>
      <c r="I2193" s="5">
        <f>IF(D2193="","",F2193*VLOOKUP(D2193,Products!$B$2:$E$13,3,FALSE))</f>
        <v/>
      </c>
    </row>
    <row r="2194">
      <c r="H2194" s="5">
        <f>F2194*G2194</f>
        <v/>
      </c>
      <c r="I2194" s="5">
        <f>IF(D2194="","",F2194*VLOOKUP(D2194,Products!$B$2:$E$13,3,FALSE))</f>
        <v/>
      </c>
    </row>
    <row r="2195">
      <c r="H2195" s="5">
        <f>F2195*G2195</f>
        <v/>
      </c>
      <c r="I2195" s="5">
        <f>IF(D2195="","",F2195*VLOOKUP(D2195,Products!$B$2:$E$13,3,FALSE))</f>
        <v/>
      </c>
    </row>
    <row r="2196">
      <c r="H2196" s="5">
        <f>F2196*G2196</f>
        <v/>
      </c>
      <c r="I2196" s="5">
        <f>IF(D2196="","",F2196*VLOOKUP(D2196,Products!$B$2:$E$13,3,FALSE))</f>
        <v/>
      </c>
    </row>
    <row r="2197">
      <c r="H2197" s="5">
        <f>F2197*G2197</f>
        <v/>
      </c>
      <c r="I2197" s="5">
        <f>IF(D2197="","",F2197*VLOOKUP(D2197,Products!$B$2:$E$13,3,FALSE))</f>
        <v/>
      </c>
    </row>
    <row r="2198">
      <c r="H2198" s="5">
        <f>F2198*G2198</f>
        <v/>
      </c>
      <c r="I2198" s="5">
        <f>IF(D2198="","",F2198*VLOOKUP(D2198,Products!$B$2:$E$13,3,FALSE))</f>
        <v/>
      </c>
    </row>
    <row r="2199">
      <c r="H2199" s="5">
        <f>F2199*G2199</f>
        <v/>
      </c>
      <c r="I2199" s="5">
        <f>IF(D2199="","",F2199*VLOOKUP(D2199,Products!$B$2:$E$13,3,FALSE))</f>
        <v/>
      </c>
    </row>
    <row r="2200">
      <c r="H2200" s="5">
        <f>F2200*G2200</f>
        <v/>
      </c>
      <c r="I2200" s="5">
        <f>IF(D2200="","",F2200*VLOOKUP(D2200,Products!$B$2:$E$13,3,FALSE))</f>
        <v/>
      </c>
    </row>
    <row r="2201">
      <c r="H2201" s="5">
        <f>F2201*G2201</f>
        <v/>
      </c>
      <c r="I2201" s="5">
        <f>IF(D2201="","",F2201*VLOOKUP(D2201,Products!$B$2:$E$13,3,FALSE))</f>
        <v/>
      </c>
    </row>
    <row r="2202">
      <c r="H2202" s="5">
        <f>F2202*G2202</f>
        <v/>
      </c>
      <c r="I2202" s="5">
        <f>IF(D2202="","",F2202*VLOOKUP(D2202,Products!$B$2:$E$13,3,FALSE))</f>
        <v/>
      </c>
    </row>
    <row r="2203">
      <c r="H2203" s="5">
        <f>F2203*G2203</f>
        <v/>
      </c>
      <c r="I2203" s="5">
        <f>IF(D2203="","",F2203*VLOOKUP(D2203,Products!$B$2:$E$13,3,FALSE))</f>
        <v/>
      </c>
    </row>
    <row r="2204">
      <c r="H2204" s="5">
        <f>F2204*G2204</f>
        <v/>
      </c>
      <c r="I2204" s="5">
        <f>IF(D2204="","",F2204*VLOOKUP(D2204,Products!$B$2:$E$13,3,FALSE))</f>
        <v/>
      </c>
    </row>
    <row r="2205">
      <c r="H2205" s="5">
        <f>F2205*G2205</f>
        <v/>
      </c>
      <c r="I2205" s="5">
        <f>IF(D2205="","",F2205*VLOOKUP(D2205,Products!$B$2:$E$13,3,FALSE))</f>
        <v/>
      </c>
    </row>
    <row r="2206">
      <c r="H2206" s="5">
        <f>F2206*G2206</f>
        <v/>
      </c>
      <c r="I2206" s="5">
        <f>IF(D2206="","",F2206*VLOOKUP(D2206,Products!$B$2:$E$13,3,FALSE))</f>
        <v/>
      </c>
    </row>
    <row r="2207">
      <c r="H2207" s="5">
        <f>F2207*G2207</f>
        <v/>
      </c>
      <c r="I2207" s="5">
        <f>IF(D2207="","",F2207*VLOOKUP(D2207,Products!$B$2:$E$13,3,FALSE))</f>
        <v/>
      </c>
    </row>
    <row r="2208">
      <c r="H2208" s="5">
        <f>F2208*G2208</f>
        <v/>
      </c>
      <c r="I2208" s="5">
        <f>IF(D2208="","",F2208*VLOOKUP(D2208,Products!$B$2:$E$13,3,FALSE))</f>
        <v/>
      </c>
    </row>
    <row r="2209">
      <c r="H2209" s="5">
        <f>F2209*G2209</f>
        <v/>
      </c>
      <c r="I2209" s="5">
        <f>IF(D2209="","",F2209*VLOOKUP(D2209,Products!$B$2:$E$13,3,FALSE))</f>
        <v/>
      </c>
    </row>
    <row r="2210">
      <c r="H2210" s="5">
        <f>F2210*G2210</f>
        <v/>
      </c>
      <c r="I2210" s="5">
        <f>IF(D2210="","",F2210*VLOOKUP(D2210,Products!$B$2:$E$13,3,FALSE))</f>
        <v/>
      </c>
    </row>
    <row r="2211">
      <c r="H2211" s="5">
        <f>F2211*G2211</f>
        <v/>
      </c>
      <c r="I2211" s="5">
        <f>IF(D2211="","",F2211*VLOOKUP(D2211,Products!$B$2:$E$13,3,FALSE))</f>
        <v/>
      </c>
    </row>
    <row r="2212">
      <c r="H2212" s="5">
        <f>F2212*G2212</f>
        <v/>
      </c>
      <c r="I2212" s="5">
        <f>IF(D2212="","",F2212*VLOOKUP(D2212,Products!$B$2:$E$13,3,FALSE))</f>
        <v/>
      </c>
    </row>
    <row r="2213">
      <c r="H2213" s="5">
        <f>F2213*G2213</f>
        <v/>
      </c>
      <c r="I2213" s="5">
        <f>IF(D2213="","",F2213*VLOOKUP(D2213,Products!$B$2:$E$13,3,FALSE))</f>
        <v/>
      </c>
    </row>
    <row r="2214">
      <c r="H2214" s="5">
        <f>F2214*G2214</f>
        <v/>
      </c>
      <c r="I2214" s="5">
        <f>IF(D2214="","",F2214*VLOOKUP(D2214,Products!$B$2:$E$13,3,FALSE))</f>
        <v/>
      </c>
    </row>
    <row r="2215">
      <c r="H2215" s="5">
        <f>F2215*G2215</f>
        <v/>
      </c>
      <c r="I2215" s="5">
        <f>IF(D2215="","",F2215*VLOOKUP(D2215,Products!$B$2:$E$13,3,FALSE))</f>
        <v/>
      </c>
    </row>
    <row r="2216">
      <c r="H2216" s="5">
        <f>F2216*G2216</f>
        <v/>
      </c>
      <c r="I2216" s="5">
        <f>IF(D2216="","",F2216*VLOOKUP(D2216,Products!$B$2:$E$13,3,FALSE))</f>
        <v/>
      </c>
    </row>
    <row r="2217">
      <c r="H2217" s="5">
        <f>F2217*G2217</f>
        <v/>
      </c>
      <c r="I2217" s="5">
        <f>IF(D2217="","",F2217*VLOOKUP(D2217,Products!$B$2:$E$13,3,FALSE))</f>
        <v/>
      </c>
    </row>
    <row r="2218">
      <c r="H2218" s="5">
        <f>F2218*G2218</f>
        <v/>
      </c>
      <c r="I2218" s="5">
        <f>IF(D2218="","",F2218*VLOOKUP(D2218,Products!$B$2:$E$13,3,FALSE))</f>
        <v/>
      </c>
    </row>
    <row r="2219">
      <c r="H2219" s="5">
        <f>F2219*G2219</f>
        <v/>
      </c>
      <c r="I2219" s="5">
        <f>IF(D2219="","",F2219*VLOOKUP(D2219,Products!$B$2:$E$13,3,FALSE))</f>
        <v/>
      </c>
    </row>
    <row r="2220">
      <c r="H2220" s="5">
        <f>F2220*G2220</f>
        <v/>
      </c>
      <c r="I2220" s="5">
        <f>IF(D2220="","",F2220*VLOOKUP(D2220,Products!$B$2:$E$13,3,FALSE))</f>
        <v/>
      </c>
    </row>
    <row r="2221">
      <c r="H2221" s="5">
        <f>F2221*G2221</f>
        <v/>
      </c>
      <c r="I2221" s="5">
        <f>IF(D2221="","",F2221*VLOOKUP(D2221,Products!$B$2:$E$13,3,FALSE))</f>
        <v/>
      </c>
    </row>
    <row r="2222">
      <c r="H2222" s="5">
        <f>F2222*G2222</f>
        <v/>
      </c>
      <c r="I2222" s="5">
        <f>IF(D2222="","",F2222*VLOOKUP(D2222,Products!$B$2:$E$13,3,FALSE))</f>
        <v/>
      </c>
    </row>
    <row r="2223">
      <c r="H2223" s="5">
        <f>F2223*G2223</f>
        <v/>
      </c>
      <c r="I2223" s="5">
        <f>IF(D2223="","",F2223*VLOOKUP(D2223,Products!$B$2:$E$13,3,FALSE))</f>
        <v/>
      </c>
    </row>
    <row r="2224">
      <c r="H2224" s="5">
        <f>F2224*G2224</f>
        <v/>
      </c>
      <c r="I2224" s="5">
        <f>IF(D2224="","",F2224*VLOOKUP(D2224,Products!$B$2:$E$13,3,FALSE))</f>
        <v/>
      </c>
    </row>
    <row r="2225">
      <c r="H2225" s="5">
        <f>F2225*G2225</f>
        <v/>
      </c>
      <c r="I2225" s="5">
        <f>IF(D2225="","",F2225*VLOOKUP(D2225,Products!$B$2:$E$13,3,FALSE))</f>
        <v/>
      </c>
    </row>
    <row r="2226">
      <c r="H2226" s="5">
        <f>F2226*G2226</f>
        <v/>
      </c>
      <c r="I2226" s="5">
        <f>IF(D2226="","",F2226*VLOOKUP(D2226,Products!$B$2:$E$13,3,FALSE))</f>
        <v/>
      </c>
    </row>
    <row r="2227">
      <c r="H2227" s="5">
        <f>F2227*G2227</f>
        <v/>
      </c>
      <c r="I2227" s="5">
        <f>IF(D2227="","",F2227*VLOOKUP(D2227,Products!$B$2:$E$13,3,FALSE))</f>
        <v/>
      </c>
    </row>
    <row r="2228">
      <c r="H2228" s="5">
        <f>F2228*G2228</f>
        <v/>
      </c>
      <c r="I2228" s="5">
        <f>IF(D2228="","",F2228*VLOOKUP(D2228,Products!$B$2:$E$13,3,FALSE))</f>
        <v/>
      </c>
    </row>
    <row r="2229">
      <c r="H2229" s="5">
        <f>F2229*G2229</f>
        <v/>
      </c>
      <c r="I2229" s="5">
        <f>IF(D2229="","",F2229*VLOOKUP(D2229,Products!$B$2:$E$13,3,FALSE))</f>
        <v/>
      </c>
    </row>
    <row r="2230">
      <c r="H2230" s="5">
        <f>F2230*G2230</f>
        <v/>
      </c>
      <c r="I2230" s="5">
        <f>IF(D2230="","",F2230*VLOOKUP(D2230,Products!$B$2:$E$13,3,FALSE))</f>
        <v/>
      </c>
    </row>
    <row r="2231">
      <c r="H2231" s="5">
        <f>F2231*G2231</f>
        <v/>
      </c>
      <c r="I2231" s="5">
        <f>IF(D2231="","",F2231*VLOOKUP(D2231,Products!$B$2:$E$13,3,FALSE))</f>
        <v/>
      </c>
    </row>
    <row r="2232">
      <c r="H2232" s="5">
        <f>F2232*G2232</f>
        <v/>
      </c>
      <c r="I2232" s="5">
        <f>IF(D2232="","",F2232*VLOOKUP(D2232,Products!$B$2:$E$13,3,FALSE))</f>
        <v/>
      </c>
    </row>
    <row r="2233">
      <c r="H2233" s="5">
        <f>F2233*G2233</f>
        <v/>
      </c>
      <c r="I2233" s="5">
        <f>IF(D2233="","",F2233*VLOOKUP(D2233,Products!$B$2:$E$13,3,FALSE))</f>
        <v/>
      </c>
    </row>
    <row r="2234">
      <c r="H2234" s="5">
        <f>F2234*G2234</f>
        <v/>
      </c>
      <c r="I2234" s="5">
        <f>IF(D2234="","",F2234*VLOOKUP(D2234,Products!$B$2:$E$13,3,FALSE))</f>
        <v/>
      </c>
    </row>
    <row r="2235">
      <c r="H2235" s="5">
        <f>F2235*G2235</f>
        <v/>
      </c>
      <c r="I2235" s="5">
        <f>IF(D2235="","",F2235*VLOOKUP(D2235,Products!$B$2:$E$13,3,FALSE))</f>
        <v/>
      </c>
    </row>
    <row r="2236">
      <c r="H2236" s="5">
        <f>F2236*G2236</f>
        <v/>
      </c>
      <c r="I2236" s="5">
        <f>IF(D2236="","",F2236*VLOOKUP(D2236,Products!$B$2:$E$13,3,FALSE))</f>
        <v/>
      </c>
    </row>
    <row r="2237">
      <c r="H2237" s="5">
        <f>F2237*G2237</f>
        <v/>
      </c>
      <c r="I2237" s="5">
        <f>IF(D2237="","",F2237*VLOOKUP(D2237,Products!$B$2:$E$13,3,FALSE))</f>
        <v/>
      </c>
    </row>
    <row r="2238">
      <c r="H2238" s="5">
        <f>F2238*G2238</f>
        <v/>
      </c>
      <c r="I2238" s="5">
        <f>IF(D2238="","",F2238*VLOOKUP(D2238,Products!$B$2:$E$13,3,FALSE))</f>
        <v/>
      </c>
    </row>
    <row r="2239">
      <c r="H2239" s="5">
        <f>F2239*G2239</f>
        <v/>
      </c>
      <c r="I2239" s="5">
        <f>IF(D2239="","",F2239*VLOOKUP(D2239,Products!$B$2:$E$13,3,FALSE))</f>
        <v/>
      </c>
    </row>
    <row r="2240">
      <c r="H2240" s="5">
        <f>F2240*G2240</f>
        <v/>
      </c>
      <c r="I2240" s="5">
        <f>IF(D2240="","",F2240*VLOOKUP(D2240,Products!$B$2:$E$13,3,FALSE))</f>
        <v/>
      </c>
    </row>
    <row r="2241">
      <c r="H2241" s="5">
        <f>F2241*G2241</f>
        <v/>
      </c>
      <c r="I2241" s="5">
        <f>IF(D2241="","",F2241*VLOOKUP(D2241,Products!$B$2:$E$13,3,FALSE))</f>
        <v/>
      </c>
    </row>
    <row r="2242">
      <c r="H2242" s="5">
        <f>F2242*G2242</f>
        <v/>
      </c>
      <c r="I2242" s="5">
        <f>IF(D2242="","",F2242*VLOOKUP(D2242,Products!$B$2:$E$13,3,FALSE))</f>
        <v/>
      </c>
    </row>
    <row r="2243">
      <c r="H2243" s="5">
        <f>F2243*G2243</f>
        <v/>
      </c>
      <c r="I2243" s="5">
        <f>IF(D2243="","",F2243*VLOOKUP(D2243,Products!$B$2:$E$13,3,FALSE))</f>
        <v/>
      </c>
    </row>
    <row r="2244">
      <c r="H2244" s="5">
        <f>F2244*G2244</f>
        <v/>
      </c>
      <c r="I2244" s="5">
        <f>IF(D2244="","",F2244*VLOOKUP(D2244,Products!$B$2:$E$13,3,FALSE))</f>
        <v/>
      </c>
    </row>
    <row r="2245">
      <c r="H2245" s="5">
        <f>F2245*G2245</f>
        <v/>
      </c>
      <c r="I2245" s="5">
        <f>IF(D2245="","",F2245*VLOOKUP(D2245,Products!$B$2:$E$13,3,FALSE))</f>
        <v/>
      </c>
    </row>
    <row r="2246">
      <c r="H2246" s="5">
        <f>F2246*G2246</f>
        <v/>
      </c>
      <c r="I2246" s="5">
        <f>IF(D2246="","",F2246*VLOOKUP(D2246,Products!$B$2:$E$13,3,FALSE))</f>
        <v/>
      </c>
    </row>
    <row r="2247">
      <c r="H2247" s="5">
        <f>F2247*G2247</f>
        <v/>
      </c>
      <c r="I2247" s="5">
        <f>IF(D2247="","",F2247*VLOOKUP(D2247,Products!$B$2:$E$13,3,FALSE))</f>
        <v/>
      </c>
    </row>
    <row r="2248">
      <c r="H2248" s="5">
        <f>F2248*G2248</f>
        <v/>
      </c>
      <c r="I2248" s="5">
        <f>IF(D2248="","",F2248*VLOOKUP(D2248,Products!$B$2:$E$13,3,FALSE))</f>
        <v/>
      </c>
    </row>
    <row r="2249">
      <c r="H2249" s="5">
        <f>F2249*G2249</f>
        <v/>
      </c>
      <c r="I2249" s="5">
        <f>IF(D2249="","",F2249*VLOOKUP(D2249,Products!$B$2:$E$13,3,FALSE))</f>
        <v/>
      </c>
    </row>
    <row r="2250">
      <c r="H2250" s="5">
        <f>F2250*G2250</f>
        <v/>
      </c>
      <c r="I2250" s="5">
        <f>IF(D2250="","",F2250*VLOOKUP(D2250,Products!$B$2:$E$13,3,FALSE))</f>
        <v/>
      </c>
    </row>
    <row r="2251">
      <c r="H2251" s="5">
        <f>F2251*G2251</f>
        <v/>
      </c>
      <c r="I2251" s="5">
        <f>IF(D2251="","",F2251*VLOOKUP(D2251,Products!$B$2:$E$13,3,FALSE))</f>
        <v/>
      </c>
    </row>
    <row r="2252">
      <c r="H2252" s="5">
        <f>F2252*G2252</f>
        <v/>
      </c>
      <c r="I2252" s="5">
        <f>IF(D2252="","",F2252*VLOOKUP(D2252,Products!$B$2:$E$13,3,FALSE))</f>
        <v/>
      </c>
    </row>
    <row r="2253">
      <c r="H2253" s="5">
        <f>F2253*G2253</f>
        <v/>
      </c>
      <c r="I2253" s="5">
        <f>IF(D2253="","",F2253*VLOOKUP(D2253,Products!$B$2:$E$13,3,FALSE))</f>
        <v/>
      </c>
    </row>
    <row r="2254">
      <c r="H2254" s="5">
        <f>F2254*G2254</f>
        <v/>
      </c>
      <c r="I2254" s="5">
        <f>IF(D2254="","",F2254*VLOOKUP(D2254,Products!$B$2:$E$13,3,FALSE))</f>
        <v/>
      </c>
    </row>
    <row r="2255">
      <c r="H2255" s="5">
        <f>F2255*G2255</f>
        <v/>
      </c>
      <c r="I2255" s="5">
        <f>IF(D2255="","",F2255*VLOOKUP(D2255,Products!$B$2:$E$13,3,FALSE))</f>
        <v/>
      </c>
    </row>
    <row r="2256">
      <c r="H2256" s="5">
        <f>F2256*G2256</f>
        <v/>
      </c>
      <c r="I2256" s="5">
        <f>IF(D2256="","",F2256*VLOOKUP(D2256,Products!$B$2:$E$13,3,FALSE))</f>
        <v/>
      </c>
    </row>
    <row r="2257">
      <c r="H2257" s="5">
        <f>F2257*G2257</f>
        <v/>
      </c>
      <c r="I2257" s="5">
        <f>IF(D2257="","",F2257*VLOOKUP(D2257,Products!$B$2:$E$13,3,FALSE))</f>
        <v/>
      </c>
    </row>
    <row r="2258">
      <c r="H2258" s="5">
        <f>F2258*G2258</f>
        <v/>
      </c>
      <c r="I2258" s="5">
        <f>IF(D2258="","",F2258*VLOOKUP(D2258,Products!$B$2:$E$13,3,FALSE))</f>
        <v/>
      </c>
    </row>
    <row r="2259">
      <c r="H2259" s="5">
        <f>F2259*G2259</f>
        <v/>
      </c>
      <c r="I2259" s="5">
        <f>IF(D2259="","",F2259*VLOOKUP(D2259,Products!$B$2:$E$13,3,FALSE))</f>
        <v/>
      </c>
    </row>
    <row r="2260">
      <c r="H2260" s="5">
        <f>F2260*G2260</f>
        <v/>
      </c>
      <c r="I2260" s="5">
        <f>IF(D2260="","",F2260*VLOOKUP(D2260,Products!$B$2:$E$13,3,FALSE))</f>
        <v/>
      </c>
    </row>
    <row r="2261">
      <c r="H2261" s="5">
        <f>F2261*G2261</f>
        <v/>
      </c>
      <c r="I2261" s="5">
        <f>IF(D2261="","",F2261*VLOOKUP(D2261,Products!$B$2:$E$13,3,FALSE))</f>
        <v/>
      </c>
    </row>
    <row r="2262">
      <c r="H2262" s="5">
        <f>F2262*G2262</f>
        <v/>
      </c>
      <c r="I2262" s="5">
        <f>IF(D2262="","",F2262*VLOOKUP(D2262,Products!$B$2:$E$13,3,FALSE))</f>
        <v/>
      </c>
    </row>
    <row r="2263">
      <c r="H2263" s="5">
        <f>F2263*G2263</f>
        <v/>
      </c>
      <c r="I2263" s="5">
        <f>IF(D2263="","",F2263*VLOOKUP(D2263,Products!$B$2:$E$13,3,FALSE))</f>
        <v/>
      </c>
    </row>
    <row r="2264">
      <c r="H2264" s="5">
        <f>F2264*G2264</f>
        <v/>
      </c>
      <c r="I2264" s="5">
        <f>IF(D2264="","",F2264*VLOOKUP(D2264,Products!$B$2:$E$13,3,FALSE))</f>
        <v/>
      </c>
    </row>
    <row r="2265">
      <c r="H2265" s="5">
        <f>F2265*G2265</f>
        <v/>
      </c>
      <c r="I2265" s="5">
        <f>IF(D2265="","",F2265*VLOOKUP(D2265,Products!$B$2:$E$13,3,FALSE))</f>
        <v/>
      </c>
    </row>
    <row r="2266">
      <c r="H2266" s="5">
        <f>F2266*G2266</f>
        <v/>
      </c>
      <c r="I2266" s="5">
        <f>IF(D2266="","",F2266*VLOOKUP(D2266,Products!$B$2:$E$13,3,FALSE))</f>
        <v/>
      </c>
    </row>
    <row r="2267">
      <c r="H2267" s="5">
        <f>F2267*G2267</f>
        <v/>
      </c>
      <c r="I2267" s="5">
        <f>IF(D2267="","",F2267*VLOOKUP(D2267,Products!$B$2:$E$13,3,FALSE))</f>
        <v/>
      </c>
    </row>
    <row r="2268">
      <c r="H2268" s="5">
        <f>F2268*G2268</f>
        <v/>
      </c>
      <c r="I2268" s="5">
        <f>IF(D2268="","",F2268*VLOOKUP(D2268,Products!$B$2:$E$13,3,FALSE))</f>
        <v/>
      </c>
    </row>
    <row r="2269">
      <c r="H2269" s="5">
        <f>F2269*G2269</f>
        <v/>
      </c>
      <c r="I2269" s="5">
        <f>IF(D2269="","",F2269*VLOOKUP(D2269,Products!$B$2:$E$13,3,FALSE))</f>
        <v/>
      </c>
    </row>
    <row r="2270">
      <c r="H2270" s="5">
        <f>F2270*G2270</f>
        <v/>
      </c>
      <c r="I2270" s="5">
        <f>IF(D2270="","",F2270*VLOOKUP(D2270,Products!$B$2:$E$13,3,FALSE))</f>
        <v/>
      </c>
    </row>
    <row r="2271">
      <c r="H2271" s="5">
        <f>F2271*G2271</f>
        <v/>
      </c>
      <c r="I2271" s="5">
        <f>IF(D2271="","",F2271*VLOOKUP(D2271,Products!$B$2:$E$13,3,FALSE))</f>
        <v/>
      </c>
    </row>
    <row r="2272">
      <c r="H2272" s="5">
        <f>F2272*G2272</f>
        <v/>
      </c>
      <c r="I2272" s="5">
        <f>IF(D2272="","",F2272*VLOOKUP(D2272,Products!$B$2:$E$13,3,FALSE))</f>
        <v/>
      </c>
    </row>
    <row r="2273">
      <c r="H2273" s="5">
        <f>F2273*G2273</f>
        <v/>
      </c>
      <c r="I2273" s="5">
        <f>IF(D2273="","",F2273*VLOOKUP(D2273,Products!$B$2:$E$13,3,FALSE))</f>
        <v/>
      </c>
    </row>
    <row r="2274">
      <c r="H2274" s="5">
        <f>F2274*G2274</f>
        <v/>
      </c>
      <c r="I2274" s="5">
        <f>IF(D2274="","",F2274*VLOOKUP(D2274,Products!$B$2:$E$13,3,FALSE))</f>
        <v/>
      </c>
    </row>
    <row r="2275">
      <c r="H2275" s="5">
        <f>F2275*G2275</f>
        <v/>
      </c>
      <c r="I2275" s="5">
        <f>IF(D2275="","",F2275*VLOOKUP(D2275,Products!$B$2:$E$13,3,FALSE))</f>
        <v/>
      </c>
    </row>
    <row r="2276">
      <c r="H2276" s="5">
        <f>F2276*G2276</f>
        <v/>
      </c>
      <c r="I2276" s="5">
        <f>IF(D2276="","",F2276*VLOOKUP(D2276,Products!$B$2:$E$13,3,FALSE))</f>
        <v/>
      </c>
    </row>
    <row r="2277">
      <c r="H2277" s="5">
        <f>F2277*G2277</f>
        <v/>
      </c>
      <c r="I2277" s="5">
        <f>IF(D2277="","",F2277*VLOOKUP(D2277,Products!$B$2:$E$13,3,FALSE))</f>
        <v/>
      </c>
    </row>
    <row r="2278">
      <c r="H2278" s="5">
        <f>F2278*G2278</f>
        <v/>
      </c>
      <c r="I2278" s="5">
        <f>IF(D2278="","",F2278*VLOOKUP(D2278,Products!$B$2:$E$13,3,FALSE))</f>
        <v/>
      </c>
    </row>
    <row r="2279">
      <c r="H2279" s="5">
        <f>F2279*G2279</f>
        <v/>
      </c>
      <c r="I2279" s="5">
        <f>IF(D2279="","",F2279*VLOOKUP(D2279,Products!$B$2:$E$13,3,FALSE))</f>
        <v/>
      </c>
    </row>
    <row r="2280">
      <c r="H2280" s="5">
        <f>F2280*G2280</f>
        <v/>
      </c>
      <c r="I2280" s="5">
        <f>IF(D2280="","",F2280*VLOOKUP(D2280,Products!$B$2:$E$13,3,FALSE))</f>
        <v/>
      </c>
    </row>
    <row r="2281">
      <c r="H2281" s="5">
        <f>F2281*G2281</f>
        <v/>
      </c>
      <c r="I2281" s="5">
        <f>IF(D2281="","",F2281*VLOOKUP(D2281,Products!$B$2:$E$13,3,FALSE))</f>
        <v/>
      </c>
    </row>
    <row r="2282">
      <c r="H2282" s="5">
        <f>F2282*G2282</f>
        <v/>
      </c>
      <c r="I2282" s="5">
        <f>IF(D2282="","",F2282*VLOOKUP(D2282,Products!$B$2:$E$13,3,FALSE))</f>
        <v/>
      </c>
    </row>
    <row r="2283">
      <c r="H2283" s="5">
        <f>F2283*G2283</f>
        <v/>
      </c>
      <c r="I2283" s="5">
        <f>IF(D2283="","",F2283*VLOOKUP(D2283,Products!$B$2:$E$13,3,FALSE))</f>
        <v/>
      </c>
    </row>
    <row r="2284">
      <c r="H2284" s="5">
        <f>F2284*G2284</f>
        <v/>
      </c>
      <c r="I2284" s="5">
        <f>IF(D2284="","",F2284*VLOOKUP(D2284,Products!$B$2:$E$13,3,FALSE))</f>
        <v/>
      </c>
    </row>
    <row r="2285">
      <c r="H2285" s="5">
        <f>F2285*G2285</f>
        <v/>
      </c>
      <c r="I2285" s="5">
        <f>IF(D2285="","",F2285*VLOOKUP(D2285,Products!$B$2:$E$13,3,FALSE))</f>
        <v/>
      </c>
    </row>
    <row r="2286">
      <c r="H2286" s="5">
        <f>F2286*G2286</f>
        <v/>
      </c>
      <c r="I2286" s="5">
        <f>IF(D2286="","",F2286*VLOOKUP(D2286,Products!$B$2:$E$13,3,FALSE))</f>
        <v/>
      </c>
    </row>
    <row r="2287">
      <c r="H2287" s="5">
        <f>F2287*G2287</f>
        <v/>
      </c>
      <c r="I2287" s="5">
        <f>IF(D2287="","",F2287*VLOOKUP(D2287,Products!$B$2:$E$13,3,FALSE))</f>
        <v/>
      </c>
    </row>
    <row r="2288">
      <c r="H2288" s="5">
        <f>F2288*G2288</f>
        <v/>
      </c>
      <c r="I2288" s="5">
        <f>IF(D2288="","",F2288*VLOOKUP(D2288,Products!$B$2:$E$13,3,FALSE))</f>
        <v/>
      </c>
    </row>
    <row r="2289">
      <c r="H2289" s="5">
        <f>F2289*G2289</f>
        <v/>
      </c>
      <c r="I2289" s="5">
        <f>IF(D2289="","",F2289*VLOOKUP(D2289,Products!$B$2:$E$13,3,FALSE))</f>
        <v/>
      </c>
    </row>
    <row r="2290">
      <c r="H2290" s="5">
        <f>F2290*G2290</f>
        <v/>
      </c>
      <c r="I2290" s="5">
        <f>IF(D2290="","",F2290*VLOOKUP(D2290,Products!$B$2:$E$13,3,FALSE))</f>
        <v/>
      </c>
    </row>
    <row r="2291">
      <c r="H2291" s="5">
        <f>F2291*G2291</f>
        <v/>
      </c>
      <c r="I2291" s="5">
        <f>IF(D2291="","",F2291*VLOOKUP(D2291,Products!$B$2:$E$13,3,FALSE))</f>
        <v/>
      </c>
    </row>
    <row r="2292">
      <c r="H2292" s="5">
        <f>F2292*G2292</f>
        <v/>
      </c>
      <c r="I2292" s="5">
        <f>IF(D2292="","",F2292*VLOOKUP(D2292,Products!$B$2:$E$13,3,FALSE))</f>
        <v/>
      </c>
    </row>
    <row r="2293">
      <c r="H2293" s="5">
        <f>F2293*G2293</f>
        <v/>
      </c>
      <c r="I2293" s="5">
        <f>IF(D2293="","",F2293*VLOOKUP(D2293,Products!$B$2:$E$13,3,FALSE))</f>
        <v/>
      </c>
    </row>
    <row r="2294">
      <c r="H2294" s="5">
        <f>F2294*G2294</f>
        <v/>
      </c>
      <c r="I2294" s="5">
        <f>IF(D2294="","",F2294*VLOOKUP(D2294,Products!$B$2:$E$13,3,FALSE))</f>
        <v/>
      </c>
    </row>
    <row r="2295">
      <c r="H2295" s="5">
        <f>F2295*G2295</f>
        <v/>
      </c>
      <c r="I2295" s="5">
        <f>IF(D2295="","",F2295*VLOOKUP(D2295,Products!$B$2:$E$13,3,FALSE))</f>
        <v/>
      </c>
    </row>
    <row r="2296">
      <c r="H2296" s="5">
        <f>F2296*G2296</f>
        <v/>
      </c>
      <c r="I2296" s="5">
        <f>IF(D2296="","",F2296*VLOOKUP(D2296,Products!$B$2:$E$13,3,FALSE))</f>
        <v/>
      </c>
    </row>
    <row r="2297">
      <c r="H2297" s="5">
        <f>F2297*G2297</f>
        <v/>
      </c>
      <c r="I2297" s="5">
        <f>IF(D2297="","",F2297*VLOOKUP(D2297,Products!$B$2:$E$13,3,FALSE))</f>
        <v/>
      </c>
    </row>
    <row r="2298">
      <c r="H2298" s="5">
        <f>F2298*G2298</f>
        <v/>
      </c>
      <c r="I2298" s="5">
        <f>IF(D2298="","",F2298*VLOOKUP(D2298,Products!$B$2:$E$13,3,FALSE))</f>
        <v/>
      </c>
    </row>
    <row r="2299">
      <c r="H2299" s="5">
        <f>F2299*G2299</f>
        <v/>
      </c>
      <c r="I2299" s="5">
        <f>IF(D2299="","",F2299*VLOOKUP(D2299,Products!$B$2:$E$13,3,FALSE))</f>
        <v/>
      </c>
    </row>
    <row r="2300">
      <c r="H2300" s="5">
        <f>F2300*G2300</f>
        <v/>
      </c>
      <c r="I2300" s="5">
        <f>IF(D2300="","",F2300*VLOOKUP(D2300,Products!$B$2:$E$13,3,FALSE))</f>
        <v/>
      </c>
    </row>
    <row r="2301">
      <c r="H2301" s="5">
        <f>F2301*G2301</f>
        <v/>
      </c>
      <c r="I2301" s="5">
        <f>IF(D2301="","",F2301*VLOOKUP(D2301,Products!$B$2:$E$13,3,FALSE))</f>
        <v/>
      </c>
    </row>
    <row r="2302">
      <c r="H2302" s="5">
        <f>F2302*G2302</f>
        <v/>
      </c>
      <c r="I2302" s="5">
        <f>IF(D2302="","",F2302*VLOOKUP(D2302,Products!$B$2:$E$13,3,FALSE))</f>
        <v/>
      </c>
    </row>
    <row r="2303">
      <c r="H2303" s="5">
        <f>F2303*G2303</f>
        <v/>
      </c>
      <c r="I2303" s="5">
        <f>IF(D2303="","",F2303*VLOOKUP(D2303,Products!$B$2:$E$13,3,FALSE))</f>
        <v/>
      </c>
    </row>
    <row r="2304">
      <c r="H2304" s="5">
        <f>F2304*G2304</f>
        <v/>
      </c>
      <c r="I2304" s="5">
        <f>IF(D2304="","",F2304*VLOOKUP(D2304,Products!$B$2:$E$13,3,FALSE))</f>
        <v/>
      </c>
    </row>
    <row r="2305">
      <c r="H2305" s="5">
        <f>F2305*G2305</f>
        <v/>
      </c>
      <c r="I2305" s="5">
        <f>IF(D2305="","",F2305*VLOOKUP(D2305,Products!$B$2:$E$13,3,FALSE))</f>
        <v/>
      </c>
    </row>
    <row r="2306">
      <c r="H2306" s="5">
        <f>F2306*G2306</f>
        <v/>
      </c>
      <c r="I2306" s="5">
        <f>IF(D2306="","",F2306*VLOOKUP(D2306,Products!$B$2:$E$13,3,FALSE))</f>
        <v/>
      </c>
    </row>
    <row r="2307">
      <c r="H2307" s="5">
        <f>F2307*G2307</f>
        <v/>
      </c>
      <c r="I2307" s="5">
        <f>IF(D2307="","",F2307*VLOOKUP(D2307,Products!$B$2:$E$13,3,FALSE))</f>
        <v/>
      </c>
    </row>
    <row r="2308">
      <c r="H2308" s="5">
        <f>F2308*G2308</f>
        <v/>
      </c>
      <c r="I2308" s="5">
        <f>IF(D2308="","",F2308*VLOOKUP(D2308,Products!$B$2:$E$13,3,FALSE))</f>
        <v/>
      </c>
    </row>
    <row r="2309">
      <c r="H2309" s="5">
        <f>F2309*G2309</f>
        <v/>
      </c>
      <c r="I2309" s="5">
        <f>IF(D2309="","",F2309*VLOOKUP(D2309,Products!$B$2:$E$13,3,FALSE))</f>
        <v/>
      </c>
    </row>
    <row r="2310">
      <c r="H2310" s="5">
        <f>F2310*G2310</f>
        <v/>
      </c>
      <c r="I2310" s="5">
        <f>IF(D2310="","",F2310*VLOOKUP(D2310,Products!$B$2:$E$13,3,FALSE))</f>
        <v/>
      </c>
    </row>
    <row r="2311">
      <c r="H2311" s="5">
        <f>F2311*G2311</f>
        <v/>
      </c>
      <c r="I2311" s="5">
        <f>IF(D2311="","",F2311*VLOOKUP(D2311,Products!$B$2:$E$13,3,FALSE))</f>
        <v/>
      </c>
    </row>
    <row r="2312">
      <c r="H2312" s="5">
        <f>F2312*G2312</f>
        <v/>
      </c>
      <c r="I2312" s="5">
        <f>IF(D2312="","",F2312*VLOOKUP(D2312,Products!$B$2:$E$13,3,FALSE))</f>
        <v/>
      </c>
    </row>
    <row r="2313">
      <c r="H2313" s="5">
        <f>F2313*G2313</f>
        <v/>
      </c>
      <c r="I2313" s="5">
        <f>IF(D2313="","",F2313*VLOOKUP(D2313,Products!$B$2:$E$13,3,FALSE))</f>
        <v/>
      </c>
    </row>
    <row r="2314">
      <c r="H2314" s="5">
        <f>F2314*G2314</f>
        <v/>
      </c>
      <c r="I2314" s="5">
        <f>IF(D2314="","",F2314*VLOOKUP(D2314,Products!$B$2:$E$13,3,FALSE))</f>
        <v/>
      </c>
    </row>
    <row r="2315">
      <c r="H2315" s="5">
        <f>F2315*G2315</f>
        <v/>
      </c>
      <c r="I2315" s="5">
        <f>IF(D2315="","",F2315*VLOOKUP(D2315,Products!$B$2:$E$13,3,FALSE))</f>
        <v/>
      </c>
    </row>
    <row r="2316">
      <c r="H2316" s="5">
        <f>F2316*G2316</f>
        <v/>
      </c>
      <c r="I2316" s="5">
        <f>IF(D2316="","",F2316*VLOOKUP(D2316,Products!$B$2:$E$13,3,FALSE))</f>
        <v/>
      </c>
    </row>
    <row r="2317">
      <c r="H2317" s="5">
        <f>F2317*G2317</f>
        <v/>
      </c>
      <c r="I2317" s="5">
        <f>IF(D2317="","",F2317*VLOOKUP(D2317,Products!$B$2:$E$13,3,FALSE))</f>
        <v/>
      </c>
    </row>
    <row r="2318">
      <c r="H2318" s="5">
        <f>F2318*G2318</f>
        <v/>
      </c>
      <c r="I2318" s="5">
        <f>IF(D2318="","",F2318*VLOOKUP(D2318,Products!$B$2:$E$13,3,FALSE))</f>
        <v/>
      </c>
    </row>
    <row r="2319">
      <c r="H2319" s="5">
        <f>F2319*G2319</f>
        <v/>
      </c>
      <c r="I2319" s="5">
        <f>IF(D2319="","",F2319*VLOOKUP(D2319,Products!$B$2:$E$13,3,FALSE))</f>
        <v/>
      </c>
    </row>
    <row r="2320">
      <c r="H2320" s="5">
        <f>F2320*G2320</f>
        <v/>
      </c>
      <c r="I2320" s="5">
        <f>IF(D2320="","",F2320*VLOOKUP(D2320,Products!$B$2:$E$13,3,FALSE))</f>
        <v/>
      </c>
    </row>
    <row r="2321">
      <c r="H2321" s="5">
        <f>F2321*G2321</f>
        <v/>
      </c>
      <c r="I2321" s="5">
        <f>IF(D2321="","",F2321*VLOOKUP(D2321,Products!$B$2:$E$13,3,FALSE))</f>
        <v/>
      </c>
    </row>
    <row r="2322">
      <c r="H2322" s="5">
        <f>F2322*G2322</f>
        <v/>
      </c>
      <c r="I2322" s="5">
        <f>IF(D2322="","",F2322*VLOOKUP(D2322,Products!$B$2:$E$13,3,FALSE))</f>
        <v/>
      </c>
    </row>
    <row r="2323">
      <c r="H2323" s="5">
        <f>F2323*G2323</f>
        <v/>
      </c>
      <c r="I2323" s="5">
        <f>IF(D2323="","",F2323*VLOOKUP(D2323,Products!$B$2:$E$13,3,FALSE))</f>
        <v/>
      </c>
    </row>
    <row r="2324">
      <c r="H2324" s="5">
        <f>F2324*G2324</f>
        <v/>
      </c>
      <c r="I2324" s="5">
        <f>IF(D2324="","",F2324*VLOOKUP(D2324,Products!$B$2:$E$13,3,FALSE))</f>
        <v/>
      </c>
    </row>
    <row r="2325">
      <c r="H2325" s="5">
        <f>F2325*G2325</f>
        <v/>
      </c>
      <c r="I2325" s="5">
        <f>IF(D2325="","",F2325*VLOOKUP(D2325,Products!$B$2:$E$13,3,FALSE))</f>
        <v/>
      </c>
    </row>
    <row r="2326">
      <c r="H2326" s="5">
        <f>F2326*G2326</f>
        <v/>
      </c>
      <c r="I2326" s="5">
        <f>IF(D2326="","",F2326*VLOOKUP(D2326,Products!$B$2:$E$13,3,FALSE))</f>
        <v/>
      </c>
    </row>
    <row r="2327">
      <c r="H2327" s="5">
        <f>F2327*G2327</f>
        <v/>
      </c>
      <c r="I2327" s="5">
        <f>IF(D2327="","",F2327*VLOOKUP(D2327,Products!$B$2:$E$13,3,FALSE))</f>
        <v/>
      </c>
    </row>
    <row r="2328">
      <c r="H2328" s="5">
        <f>F2328*G2328</f>
        <v/>
      </c>
      <c r="I2328" s="5">
        <f>IF(D2328="","",F2328*VLOOKUP(D2328,Products!$B$2:$E$13,3,FALSE))</f>
        <v/>
      </c>
    </row>
    <row r="2329">
      <c r="H2329" s="5">
        <f>F2329*G2329</f>
        <v/>
      </c>
      <c r="I2329" s="5">
        <f>IF(D2329="","",F2329*VLOOKUP(D2329,Products!$B$2:$E$13,3,FALSE))</f>
        <v/>
      </c>
    </row>
    <row r="2330">
      <c r="H2330" s="5">
        <f>F2330*G2330</f>
        <v/>
      </c>
      <c r="I2330" s="5">
        <f>IF(D2330="","",F2330*VLOOKUP(D2330,Products!$B$2:$E$13,3,FALSE))</f>
        <v/>
      </c>
    </row>
    <row r="2331">
      <c r="H2331" s="5">
        <f>F2331*G2331</f>
        <v/>
      </c>
      <c r="I2331" s="5">
        <f>IF(D2331="","",F2331*VLOOKUP(D2331,Products!$B$2:$E$13,3,FALSE))</f>
        <v/>
      </c>
    </row>
    <row r="2332">
      <c r="H2332" s="5">
        <f>F2332*G2332</f>
        <v/>
      </c>
      <c r="I2332" s="5">
        <f>IF(D2332="","",F2332*VLOOKUP(D2332,Products!$B$2:$E$13,3,FALSE))</f>
        <v/>
      </c>
    </row>
    <row r="2333">
      <c r="H2333" s="5">
        <f>F2333*G2333</f>
        <v/>
      </c>
      <c r="I2333" s="5">
        <f>IF(D2333="","",F2333*VLOOKUP(D2333,Products!$B$2:$E$13,3,FALSE))</f>
        <v/>
      </c>
    </row>
    <row r="2334">
      <c r="H2334" s="5">
        <f>F2334*G2334</f>
        <v/>
      </c>
      <c r="I2334" s="5">
        <f>IF(D2334="","",F2334*VLOOKUP(D2334,Products!$B$2:$E$13,3,FALSE))</f>
        <v/>
      </c>
    </row>
    <row r="2335">
      <c r="H2335" s="5">
        <f>F2335*G2335</f>
        <v/>
      </c>
      <c r="I2335" s="5">
        <f>IF(D2335="","",F2335*VLOOKUP(D2335,Products!$B$2:$E$13,3,FALSE))</f>
        <v/>
      </c>
    </row>
    <row r="2336">
      <c r="H2336" s="5">
        <f>F2336*G2336</f>
        <v/>
      </c>
      <c r="I2336" s="5">
        <f>IF(D2336="","",F2336*VLOOKUP(D2336,Products!$B$2:$E$13,3,FALSE))</f>
        <v/>
      </c>
    </row>
    <row r="2337">
      <c r="H2337" s="5">
        <f>F2337*G2337</f>
        <v/>
      </c>
      <c r="I2337" s="5">
        <f>IF(D2337="","",F2337*VLOOKUP(D2337,Products!$B$2:$E$13,3,FALSE))</f>
        <v/>
      </c>
    </row>
    <row r="2338">
      <c r="H2338" s="5">
        <f>F2338*G2338</f>
        <v/>
      </c>
      <c r="I2338" s="5">
        <f>IF(D2338="","",F2338*VLOOKUP(D2338,Products!$B$2:$E$13,3,FALSE))</f>
        <v/>
      </c>
    </row>
    <row r="2339">
      <c r="H2339" s="5">
        <f>F2339*G2339</f>
        <v/>
      </c>
      <c r="I2339" s="5">
        <f>IF(D2339="","",F2339*VLOOKUP(D2339,Products!$B$2:$E$13,3,FALSE))</f>
        <v/>
      </c>
    </row>
    <row r="2340">
      <c r="H2340" s="5">
        <f>F2340*G2340</f>
        <v/>
      </c>
      <c r="I2340" s="5">
        <f>IF(D2340="","",F2340*VLOOKUP(D2340,Products!$B$2:$E$13,3,FALSE))</f>
        <v/>
      </c>
    </row>
    <row r="2341">
      <c r="H2341" s="5">
        <f>F2341*G2341</f>
        <v/>
      </c>
      <c r="I2341" s="5">
        <f>IF(D2341="","",F2341*VLOOKUP(D2341,Products!$B$2:$E$13,3,FALSE))</f>
        <v/>
      </c>
    </row>
    <row r="2342">
      <c r="H2342" s="5">
        <f>F2342*G2342</f>
        <v/>
      </c>
      <c r="I2342" s="5">
        <f>IF(D2342="","",F2342*VLOOKUP(D2342,Products!$B$2:$E$13,3,FALSE))</f>
        <v/>
      </c>
    </row>
    <row r="2343">
      <c r="H2343" s="5">
        <f>F2343*G2343</f>
        <v/>
      </c>
      <c r="I2343" s="5">
        <f>IF(D2343="","",F2343*VLOOKUP(D2343,Products!$B$2:$E$13,3,FALSE))</f>
        <v/>
      </c>
    </row>
    <row r="2344">
      <c r="H2344" s="5">
        <f>F2344*G2344</f>
        <v/>
      </c>
      <c r="I2344" s="5">
        <f>IF(D2344="","",F2344*VLOOKUP(D2344,Products!$B$2:$E$13,3,FALSE))</f>
        <v/>
      </c>
    </row>
    <row r="2345">
      <c r="H2345" s="5">
        <f>F2345*G2345</f>
        <v/>
      </c>
      <c r="I2345" s="5">
        <f>IF(D2345="","",F2345*VLOOKUP(D2345,Products!$B$2:$E$13,3,FALSE))</f>
        <v/>
      </c>
    </row>
    <row r="2346">
      <c r="H2346" s="5">
        <f>F2346*G2346</f>
        <v/>
      </c>
      <c r="I2346" s="5">
        <f>IF(D2346="","",F2346*VLOOKUP(D2346,Products!$B$2:$E$13,3,FALSE))</f>
        <v/>
      </c>
    </row>
    <row r="2347">
      <c r="H2347" s="5">
        <f>F2347*G2347</f>
        <v/>
      </c>
      <c r="I2347" s="5">
        <f>IF(D2347="","",F2347*VLOOKUP(D2347,Products!$B$2:$E$13,3,FALSE))</f>
        <v/>
      </c>
    </row>
    <row r="2348">
      <c r="H2348" s="5">
        <f>F2348*G2348</f>
        <v/>
      </c>
      <c r="I2348" s="5">
        <f>IF(D2348="","",F2348*VLOOKUP(D2348,Products!$B$2:$E$13,3,FALSE))</f>
        <v/>
      </c>
    </row>
    <row r="2349">
      <c r="H2349" s="5">
        <f>F2349*G2349</f>
        <v/>
      </c>
      <c r="I2349" s="5">
        <f>IF(D2349="","",F2349*VLOOKUP(D2349,Products!$B$2:$E$13,3,FALSE))</f>
        <v/>
      </c>
    </row>
    <row r="2350">
      <c r="H2350" s="5">
        <f>F2350*G2350</f>
        <v/>
      </c>
      <c r="I2350" s="5">
        <f>IF(D2350="","",F2350*VLOOKUP(D2350,Products!$B$2:$E$13,3,FALSE))</f>
        <v/>
      </c>
    </row>
    <row r="2351">
      <c r="H2351" s="5">
        <f>F2351*G2351</f>
        <v/>
      </c>
      <c r="I2351" s="5">
        <f>IF(D2351="","",F2351*VLOOKUP(D2351,Products!$B$2:$E$13,3,FALSE))</f>
        <v/>
      </c>
    </row>
    <row r="2352">
      <c r="H2352" s="5">
        <f>F2352*G2352</f>
        <v/>
      </c>
      <c r="I2352" s="5">
        <f>IF(D2352="","",F2352*VLOOKUP(D2352,Products!$B$2:$E$13,3,FALSE))</f>
        <v/>
      </c>
    </row>
    <row r="2353">
      <c r="H2353" s="5">
        <f>F2353*G2353</f>
        <v/>
      </c>
      <c r="I2353" s="5">
        <f>IF(D2353="","",F2353*VLOOKUP(D2353,Products!$B$2:$E$13,3,FALSE))</f>
        <v/>
      </c>
    </row>
    <row r="2354">
      <c r="H2354" s="5">
        <f>F2354*G2354</f>
        <v/>
      </c>
      <c r="I2354" s="5">
        <f>IF(D2354="","",F2354*VLOOKUP(D2354,Products!$B$2:$E$13,3,FALSE))</f>
        <v/>
      </c>
    </row>
    <row r="2355">
      <c r="H2355" s="5">
        <f>F2355*G2355</f>
        <v/>
      </c>
      <c r="I2355" s="5">
        <f>IF(D2355="","",F2355*VLOOKUP(D2355,Products!$B$2:$E$13,3,FALSE))</f>
        <v/>
      </c>
    </row>
    <row r="2356">
      <c r="H2356" s="5">
        <f>F2356*G2356</f>
        <v/>
      </c>
      <c r="I2356" s="5">
        <f>IF(D2356="","",F2356*VLOOKUP(D2356,Products!$B$2:$E$13,3,FALSE))</f>
        <v/>
      </c>
    </row>
    <row r="2357">
      <c r="H2357" s="5">
        <f>F2357*G2357</f>
        <v/>
      </c>
      <c r="I2357" s="5">
        <f>IF(D2357="","",F2357*VLOOKUP(D2357,Products!$B$2:$E$13,3,FALSE))</f>
        <v/>
      </c>
    </row>
    <row r="2358">
      <c r="H2358" s="5">
        <f>F2358*G2358</f>
        <v/>
      </c>
      <c r="I2358" s="5">
        <f>IF(D2358="","",F2358*VLOOKUP(D2358,Products!$B$2:$E$13,3,FALSE))</f>
        <v/>
      </c>
    </row>
    <row r="2359">
      <c r="H2359" s="5">
        <f>F2359*G2359</f>
        <v/>
      </c>
      <c r="I2359" s="5">
        <f>IF(D2359="","",F2359*VLOOKUP(D2359,Products!$B$2:$E$13,3,FALSE))</f>
        <v/>
      </c>
    </row>
    <row r="2360">
      <c r="H2360" s="5">
        <f>F2360*G2360</f>
        <v/>
      </c>
      <c r="I2360" s="5">
        <f>IF(D2360="","",F2360*VLOOKUP(D2360,Products!$B$2:$E$13,3,FALSE))</f>
        <v/>
      </c>
    </row>
    <row r="2361">
      <c r="H2361" s="5">
        <f>F2361*G2361</f>
        <v/>
      </c>
      <c r="I2361" s="5">
        <f>IF(D2361="","",F2361*VLOOKUP(D2361,Products!$B$2:$E$13,3,FALSE))</f>
        <v/>
      </c>
    </row>
    <row r="2362">
      <c r="H2362" s="5">
        <f>F2362*G2362</f>
        <v/>
      </c>
      <c r="I2362" s="5">
        <f>IF(D2362="","",F2362*VLOOKUP(D2362,Products!$B$2:$E$13,3,FALSE))</f>
        <v/>
      </c>
    </row>
    <row r="2363">
      <c r="H2363" s="5">
        <f>F2363*G2363</f>
        <v/>
      </c>
      <c r="I2363" s="5">
        <f>IF(D2363="","",F2363*VLOOKUP(D2363,Products!$B$2:$E$13,3,FALSE))</f>
        <v/>
      </c>
    </row>
    <row r="2364">
      <c r="H2364" s="5">
        <f>F2364*G2364</f>
        <v/>
      </c>
      <c r="I2364" s="5">
        <f>IF(D2364="","",F2364*VLOOKUP(D2364,Products!$B$2:$E$13,3,FALSE))</f>
        <v/>
      </c>
    </row>
    <row r="2365">
      <c r="H2365" s="5">
        <f>F2365*G2365</f>
        <v/>
      </c>
      <c r="I2365" s="5">
        <f>IF(D2365="","",F2365*VLOOKUP(D2365,Products!$B$2:$E$13,3,FALSE))</f>
        <v/>
      </c>
    </row>
    <row r="2366">
      <c r="H2366" s="5">
        <f>F2366*G2366</f>
        <v/>
      </c>
      <c r="I2366" s="5">
        <f>IF(D2366="","",F2366*VLOOKUP(D2366,Products!$B$2:$E$13,3,FALSE))</f>
        <v/>
      </c>
    </row>
    <row r="2367">
      <c r="H2367" s="5">
        <f>F2367*G2367</f>
        <v/>
      </c>
      <c r="I2367" s="5">
        <f>IF(D2367="","",F2367*VLOOKUP(D2367,Products!$B$2:$E$13,3,FALSE))</f>
        <v/>
      </c>
    </row>
    <row r="2368">
      <c r="H2368" s="5">
        <f>F2368*G2368</f>
        <v/>
      </c>
      <c r="I2368" s="5">
        <f>IF(D2368="","",F2368*VLOOKUP(D2368,Products!$B$2:$E$13,3,FALSE))</f>
        <v/>
      </c>
    </row>
    <row r="2369">
      <c r="H2369" s="5">
        <f>F2369*G2369</f>
        <v/>
      </c>
      <c r="I2369" s="5">
        <f>IF(D2369="","",F2369*VLOOKUP(D2369,Products!$B$2:$E$13,3,FALSE))</f>
        <v/>
      </c>
    </row>
    <row r="2370">
      <c r="H2370" s="5">
        <f>F2370*G2370</f>
        <v/>
      </c>
      <c r="I2370" s="5">
        <f>IF(D2370="","",F2370*VLOOKUP(D2370,Products!$B$2:$E$13,3,FALSE))</f>
        <v/>
      </c>
    </row>
    <row r="2371">
      <c r="H2371" s="5">
        <f>F2371*G2371</f>
        <v/>
      </c>
      <c r="I2371" s="5">
        <f>IF(D2371="","",F2371*VLOOKUP(D2371,Products!$B$2:$E$13,3,FALSE))</f>
        <v/>
      </c>
    </row>
    <row r="2372">
      <c r="H2372" s="5">
        <f>F2372*G2372</f>
        <v/>
      </c>
      <c r="I2372" s="5">
        <f>IF(D2372="","",F2372*VLOOKUP(D2372,Products!$B$2:$E$13,3,FALSE))</f>
        <v/>
      </c>
    </row>
    <row r="2373">
      <c r="H2373" s="5">
        <f>F2373*G2373</f>
        <v/>
      </c>
      <c r="I2373" s="5">
        <f>IF(D2373="","",F2373*VLOOKUP(D2373,Products!$B$2:$E$13,3,FALSE))</f>
        <v/>
      </c>
    </row>
    <row r="2374">
      <c r="H2374" s="5">
        <f>F2374*G2374</f>
        <v/>
      </c>
      <c r="I2374" s="5">
        <f>IF(D2374="","",F2374*VLOOKUP(D2374,Products!$B$2:$E$13,3,FALSE))</f>
        <v/>
      </c>
    </row>
    <row r="2375">
      <c r="H2375" s="5">
        <f>F2375*G2375</f>
        <v/>
      </c>
      <c r="I2375" s="5">
        <f>IF(D2375="","",F2375*VLOOKUP(D2375,Products!$B$2:$E$13,3,FALSE))</f>
        <v/>
      </c>
    </row>
    <row r="2376">
      <c r="H2376" s="5">
        <f>F2376*G2376</f>
        <v/>
      </c>
      <c r="I2376" s="5">
        <f>IF(D2376="","",F2376*VLOOKUP(D2376,Products!$B$2:$E$13,3,FALSE))</f>
        <v/>
      </c>
    </row>
    <row r="2377">
      <c r="H2377" s="5">
        <f>F2377*G2377</f>
        <v/>
      </c>
      <c r="I2377" s="5">
        <f>IF(D2377="","",F2377*VLOOKUP(D2377,Products!$B$2:$E$13,3,FALSE))</f>
        <v/>
      </c>
    </row>
    <row r="2378">
      <c r="H2378" s="5">
        <f>F2378*G2378</f>
        <v/>
      </c>
      <c r="I2378" s="5">
        <f>IF(D2378="","",F2378*VLOOKUP(D2378,Products!$B$2:$E$13,3,FALSE))</f>
        <v/>
      </c>
    </row>
    <row r="2379">
      <c r="H2379" s="5">
        <f>F2379*G2379</f>
        <v/>
      </c>
      <c r="I2379" s="5">
        <f>IF(D2379="","",F2379*VLOOKUP(D2379,Products!$B$2:$E$13,3,FALSE))</f>
        <v/>
      </c>
    </row>
    <row r="2380">
      <c r="H2380" s="5">
        <f>F2380*G2380</f>
        <v/>
      </c>
      <c r="I2380" s="5">
        <f>IF(D2380="","",F2380*VLOOKUP(D2380,Products!$B$2:$E$13,3,FALSE))</f>
        <v/>
      </c>
    </row>
    <row r="2381">
      <c r="H2381" s="5">
        <f>F2381*G2381</f>
        <v/>
      </c>
      <c r="I2381" s="5">
        <f>IF(D2381="","",F2381*VLOOKUP(D2381,Products!$B$2:$E$13,3,FALSE))</f>
        <v/>
      </c>
    </row>
    <row r="2382">
      <c r="H2382" s="5">
        <f>F2382*G2382</f>
        <v/>
      </c>
      <c r="I2382" s="5">
        <f>IF(D2382="","",F2382*VLOOKUP(D2382,Products!$B$2:$E$13,3,FALSE))</f>
        <v/>
      </c>
    </row>
    <row r="2383">
      <c r="H2383" s="5">
        <f>F2383*G2383</f>
        <v/>
      </c>
      <c r="I2383" s="5">
        <f>IF(D2383="","",F2383*VLOOKUP(D2383,Products!$B$2:$E$13,3,FALSE))</f>
        <v/>
      </c>
    </row>
    <row r="2384">
      <c r="H2384" s="5">
        <f>F2384*G2384</f>
        <v/>
      </c>
      <c r="I2384" s="5">
        <f>IF(D2384="","",F2384*VLOOKUP(D2384,Products!$B$2:$E$13,3,FALSE))</f>
        <v/>
      </c>
    </row>
    <row r="2385">
      <c r="H2385" s="5">
        <f>F2385*G2385</f>
        <v/>
      </c>
      <c r="I2385" s="5">
        <f>IF(D2385="","",F2385*VLOOKUP(D2385,Products!$B$2:$E$13,3,FALSE))</f>
        <v/>
      </c>
    </row>
    <row r="2386">
      <c r="H2386" s="5">
        <f>F2386*G2386</f>
        <v/>
      </c>
      <c r="I2386" s="5">
        <f>IF(D2386="","",F2386*VLOOKUP(D2386,Products!$B$2:$E$13,3,FALSE))</f>
        <v/>
      </c>
    </row>
    <row r="2387">
      <c r="H2387" s="5">
        <f>F2387*G2387</f>
        <v/>
      </c>
      <c r="I2387" s="5">
        <f>IF(D2387="","",F2387*VLOOKUP(D2387,Products!$B$2:$E$13,3,FALSE))</f>
        <v/>
      </c>
    </row>
    <row r="2388">
      <c r="H2388" s="5">
        <f>F2388*G2388</f>
        <v/>
      </c>
      <c r="I2388" s="5">
        <f>IF(D2388="","",F2388*VLOOKUP(D2388,Products!$B$2:$E$13,3,FALSE))</f>
        <v/>
      </c>
    </row>
    <row r="2389">
      <c r="H2389" s="5">
        <f>F2389*G2389</f>
        <v/>
      </c>
      <c r="I2389" s="5">
        <f>IF(D2389="","",F2389*VLOOKUP(D2389,Products!$B$2:$E$13,3,FALSE))</f>
        <v/>
      </c>
    </row>
    <row r="2390">
      <c r="H2390" s="5">
        <f>F2390*G2390</f>
        <v/>
      </c>
      <c r="I2390" s="5">
        <f>IF(D2390="","",F2390*VLOOKUP(D2390,Products!$B$2:$E$13,3,FALSE))</f>
        <v/>
      </c>
    </row>
    <row r="2391">
      <c r="H2391" s="5">
        <f>F2391*G2391</f>
        <v/>
      </c>
      <c r="I2391" s="5">
        <f>IF(D2391="","",F2391*VLOOKUP(D2391,Products!$B$2:$E$13,3,FALSE))</f>
        <v/>
      </c>
    </row>
    <row r="2392">
      <c r="H2392" s="5">
        <f>F2392*G2392</f>
        <v/>
      </c>
      <c r="I2392" s="5">
        <f>IF(D2392="","",F2392*VLOOKUP(D2392,Products!$B$2:$E$13,3,FALSE))</f>
        <v/>
      </c>
    </row>
    <row r="2393">
      <c r="H2393" s="5">
        <f>F2393*G2393</f>
        <v/>
      </c>
      <c r="I2393" s="5">
        <f>IF(D2393="","",F2393*VLOOKUP(D2393,Products!$B$2:$E$13,3,FALSE))</f>
        <v/>
      </c>
    </row>
    <row r="2394">
      <c r="H2394" s="5">
        <f>F2394*G2394</f>
        <v/>
      </c>
      <c r="I2394" s="5">
        <f>IF(D2394="","",F2394*VLOOKUP(D2394,Products!$B$2:$E$13,3,FALSE))</f>
        <v/>
      </c>
    </row>
    <row r="2395">
      <c r="H2395" s="5">
        <f>F2395*G2395</f>
        <v/>
      </c>
      <c r="I2395" s="5">
        <f>IF(D2395="","",F2395*VLOOKUP(D2395,Products!$B$2:$E$13,3,FALSE))</f>
        <v/>
      </c>
    </row>
    <row r="2396">
      <c r="H2396" s="5">
        <f>F2396*G2396</f>
        <v/>
      </c>
      <c r="I2396" s="5">
        <f>IF(D2396="","",F2396*VLOOKUP(D2396,Products!$B$2:$E$13,3,FALSE))</f>
        <v/>
      </c>
    </row>
    <row r="2397">
      <c r="H2397" s="5">
        <f>F2397*G2397</f>
        <v/>
      </c>
      <c r="I2397" s="5">
        <f>IF(D2397="","",F2397*VLOOKUP(D2397,Products!$B$2:$E$13,3,FALSE))</f>
        <v/>
      </c>
    </row>
    <row r="2398">
      <c r="H2398" s="5">
        <f>F2398*G2398</f>
        <v/>
      </c>
      <c r="I2398" s="5">
        <f>IF(D2398="","",F2398*VLOOKUP(D2398,Products!$B$2:$E$13,3,FALSE))</f>
        <v/>
      </c>
    </row>
    <row r="2399">
      <c r="H2399" s="5">
        <f>F2399*G2399</f>
        <v/>
      </c>
      <c r="I2399" s="5">
        <f>IF(D2399="","",F2399*VLOOKUP(D2399,Products!$B$2:$E$13,3,FALSE))</f>
        <v/>
      </c>
    </row>
    <row r="2400">
      <c r="H2400" s="5">
        <f>F2400*G2400</f>
        <v/>
      </c>
      <c r="I2400" s="5">
        <f>IF(D2400="","",F2400*VLOOKUP(D2400,Products!$B$2:$E$13,3,FALSE))</f>
        <v/>
      </c>
    </row>
    <row r="2401">
      <c r="H2401" s="5">
        <f>F2401*G2401</f>
        <v/>
      </c>
      <c r="I2401" s="5">
        <f>IF(D2401="","",F2401*VLOOKUP(D2401,Products!$B$2:$E$13,3,FALSE))</f>
        <v/>
      </c>
    </row>
    <row r="2402">
      <c r="H2402" s="5">
        <f>F2402*G2402</f>
        <v/>
      </c>
      <c r="I2402" s="5">
        <f>IF(D2402="","",F2402*VLOOKUP(D2402,Products!$B$2:$E$13,3,FALSE))</f>
        <v/>
      </c>
    </row>
    <row r="2403">
      <c r="H2403" s="5">
        <f>F2403*G2403</f>
        <v/>
      </c>
      <c r="I2403" s="5">
        <f>IF(D2403="","",F2403*VLOOKUP(D2403,Products!$B$2:$E$13,3,FALSE))</f>
        <v/>
      </c>
    </row>
    <row r="2404">
      <c r="H2404" s="5">
        <f>F2404*G2404</f>
        <v/>
      </c>
      <c r="I2404" s="5">
        <f>IF(D2404="","",F2404*VLOOKUP(D2404,Products!$B$2:$E$13,3,FALSE))</f>
        <v/>
      </c>
    </row>
    <row r="2405">
      <c r="H2405" s="5">
        <f>F2405*G2405</f>
        <v/>
      </c>
      <c r="I2405" s="5">
        <f>IF(D2405="","",F2405*VLOOKUP(D2405,Products!$B$2:$E$13,3,FALSE))</f>
        <v/>
      </c>
    </row>
    <row r="2406">
      <c r="H2406" s="5">
        <f>F2406*G2406</f>
        <v/>
      </c>
      <c r="I2406" s="5">
        <f>IF(D2406="","",F2406*VLOOKUP(D2406,Products!$B$2:$E$13,3,FALSE))</f>
        <v/>
      </c>
    </row>
    <row r="2407">
      <c r="H2407" s="5">
        <f>F2407*G2407</f>
        <v/>
      </c>
      <c r="I2407" s="5">
        <f>IF(D2407="","",F2407*VLOOKUP(D2407,Products!$B$2:$E$13,3,FALSE))</f>
        <v/>
      </c>
    </row>
    <row r="2408">
      <c r="H2408" s="5">
        <f>F2408*G2408</f>
        <v/>
      </c>
      <c r="I2408" s="5">
        <f>IF(D2408="","",F2408*VLOOKUP(D2408,Products!$B$2:$E$13,3,FALSE))</f>
        <v/>
      </c>
    </row>
    <row r="2409">
      <c r="H2409" s="5">
        <f>F2409*G2409</f>
        <v/>
      </c>
      <c r="I2409" s="5">
        <f>IF(D2409="","",F2409*VLOOKUP(D2409,Products!$B$2:$E$13,3,FALSE))</f>
        <v/>
      </c>
    </row>
    <row r="2410">
      <c r="H2410" s="5">
        <f>F2410*G2410</f>
        <v/>
      </c>
      <c r="I2410" s="5">
        <f>IF(D2410="","",F2410*VLOOKUP(D2410,Products!$B$2:$E$13,3,FALSE))</f>
        <v/>
      </c>
    </row>
    <row r="2411">
      <c r="H2411" s="5">
        <f>F2411*G2411</f>
        <v/>
      </c>
      <c r="I2411" s="5">
        <f>IF(D2411="","",F2411*VLOOKUP(D2411,Products!$B$2:$E$13,3,FALSE))</f>
        <v/>
      </c>
    </row>
    <row r="2412">
      <c r="H2412" s="5">
        <f>F2412*G2412</f>
        <v/>
      </c>
      <c r="I2412" s="5">
        <f>IF(D2412="","",F2412*VLOOKUP(D2412,Products!$B$2:$E$13,3,FALSE))</f>
        <v/>
      </c>
    </row>
    <row r="2413">
      <c r="H2413" s="5">
        <f>F2413*G2413</f>
        <v/>
      </c>
      <c r="I2413" s="5">
        <f>IF(D2413="","",F2413*VLOOKUP(D2413,Products!$B$2:$E$13,3,FALSE))</f>
        <v/>
      </c>
    </row>
    <row r="2414">
      <c r="H2414" s="5">
        <f>F2414*G2414</f>
        <v/>
      </c>
      <c r="I2414" s="5">
        <f>IF(D2414="","",F2414*VLOOKUP(D2414,Products!$B$2:$E$13,3,FALSE))</f>
        <v/>
      </c>
    </row>
    <row r="2415">
      <c r="H2415" s="5">
        <f>F2415*G2415</f>
        <v/>
      </c>
      <c r="I2415" s="5">
        <f>IF(D2415="","",F2415*VLOOKUP(D2415,Products!$B$2:$E$13,3,FALSE))</f>
        <v/>
      </c>
    </row>
    <row r="2416">
      <c r="H2416" s="5">
        <f>F2416*G2416</f>
        <v/>
      </c>
      <c r="I2416" s="5">
        <f>IF(D2416="","",F2416*VLOOKUP(D2416,Products!$B$2:$E$13,3,FALSE))</f>
        <v/>
      </c>
    </row>
    <row r="2417">
      <c r="H2417" s="5">
        <f>F2417*G2417</f>
        <v/>
      </c>
      <c r="I2417" s="5">
        <f>IF(D2417="","",F2417*VLOOKUP(D2417,Products!$B$2:$E$13,3,FALSE))</f>
        <v/>
      </c>
    </row>
    <row r="2418">
      <c r="H2418" s="5">
        <f>F2418*G2418</f>
        <v/>
      </c>
      <c r="I2418" s="5">
        <f>IF(D2418="","",F2418*VLOOKUP(D2418,Products!$B$2:$E$13,3,FALSE))</f>
        <v/>
      </c>
    </row>
    <row r="2419">
      <c r="H2419" s="5">
        <f>F2419*G2419</f>
        <v/>
      </c>
      <c r="I2419" s="5">
        <f>IF(D2419="","",F2419*VLOOKUP(D2419,Products!$B$2:$E$13,3,FALSE))</f>
        <v/>
      </c>
    </row>
    <row r="2420">
      <c r="H2420" s="5">
        <f>F2420*G2420</f>
        <v/>
      </c>
      <c r="I2420" s="5">
        <f>IF(D2420="","",F2420*VLOOKUP(D2420,Products!$B$2:$E$13,3,FALSE))</f>
        <v/>
      </c>
    </row>
    <row r="2421">
      <c r="H2421" s="5">
        <f>F2421*G2421</f>
        <v/>
      </c>
      <c r="I2421" s="5">
        <f>IF(D2421="","",F2421*VLOOKUP(D2421,Products!$B$2:$E$13,3,FALSE))</f>
        <v/>
      </c>
    </row>
    <row r="2422">
      <c r="H2422" s="5">
        <f>F2422*G2422</f>
        <v/>
      </c>
      <c r="I2422" s="5">
        <f>IF(D2422="","",F2422*VLOOKUP(D2422,Products!$B$2:$E$13,3,FALSE))</f>
        <v/>
      </c>
    </row>
    <row r="2423">
      <c r="H2423" s="5">
        <f>F2423*G2423</f>
        <v/>
      </c>
      <c r="I2423" s="5">
        <f>IF(D2423="","",F2423*VLOOKUP(D2423,Products!$B$2:$E$13,3,FALSE))</f>
        <v/>
      </c>
    </row>
    <row r="2424">
      <c r="H2424" s="5">
        <f>F2424*G2424</f>
        <v/>
      </c>
      <c r="I2424" s="5">
        <f>IF(D2424="","",F2424*VLOOKUP(D2424,Products!$B$2:$E$13,3,FALSE))</f>
        <v/>
      </c>
    </row>
    <row r="2425">
      <c r="H2425" s="5">
        <f>F2425*G2425</f>
        <v/>
      </c>
      <c r="I2425" s="5">
        <f>IF(D2425="","",F2425*VLOOKUP(D2425,Products!$B$2:$E$13,3,FALSE))</f>
        <v/>
      </c>
    </row>
    <row r="2426">
      <c r="H2426" s="5">
        <f>F2426*G2426</f>
        <v/>
      </c>
      <c r="I2426" s="5">
        <f>IF(D2426="","",F2426*VLOOKUP(D2426,Products!$B$2:$E$13,3,FALSE))</f>
        <v/>
      </c>
    </row>
    <row r="2427">
      <c r="H2427" s="5">
        <f>F2427*G2427</f>
        <v/>
      </c>
      <c r="I2427" s="5">
        <f>IF(D2427="","",F2427*VLOOKUP(D2427,Products!$B$2:$E$13,3,FALSE))</f>
        <v/>
      </c>
    </row>
    <row r="2428">
      <c r="H2428" s="5">
        <f>F2428*G2428</f>
        <v/>
      </c>
      <c r="I2428" s="5">
        <f>IF(D2428="","",F2428*VLOOKUP(D2428,Products!$B$2:$E$13,3,FALSE))</f>
        <v/>
      </c>
    </row>
    <row r="2429">
      <c r="H2429" s="5">
        <f>F2429*G2429</f>
        <v/>
      </c>
      <c r="I2429" s="5">
        <f>IF(D2429="","",F2429*VLOOKUP(D2429,Products!$B$2:$E$13,3,FALSE))</f>
        <v/>
      </c>
    </row>
    <row r="2430">
      <c r="H2430" s="5">
        <f>F2430*G2430</f>
        <v/>
      </c>
      <c r="I2430" s="5">
        <f>IF(D2430="","",F2430*VLOOKUP(D2430,Products!$B$2:$E$13,3,FALSE))</f>
        <v/>
      </c>
    </row>
    <row r="2431">
      <c r="H2431" s="5">
        <f>F2431*G2431</f>
        <v/>
      </c>
      <c r="I2431" s="5">
        <f>IF(D2431="","",F2431*VLOOKUP(D2431,Products!$B$2:$E$13,3,FALSE))</f>
        <v/>
      </c>
    </row>
    <row r="2432">
      <c r="H2432" s="5">
        <f>F2432*G2432</f>
        <v/>
      </c>
      <c r="I2432" s="5">
        <f>IF(D2432="","",F2432*VLOOKUP(D2432,Products!$B$2:$E$13,3,FALSE))</f>
        <v/>
      </c>
    </row>
    <row r="2433">
      <c r="H2433" s="5">
        <f>F2433*G2433</f>
        <v/>
      </c>
      <c r="I2433" s="5">
        <f>IF(D2433="","",F2433*VLOOKUP(D2433,Products!$B$2:$E$13,3,FALSE))</f>
        <v/>
      </c>
    </row>
    <row r="2434">
      <c r="H2434" s="5">
        <f>F2434*G2434</f>
        <v/>
      </c>
      <c r="I2434" s="5">
        <f>IF(D2434="","",F2434*VLOOKUP(D2434,Products!$B$2:$E$13,3,FALSE))</f>
        <v/>
      </c>
    </row>
    <row r="2435">
      <c r="H2435" s="5">
        <f>F2435*G2435</f>
        <v/>
      </c>
      <c r="I2435" s="5">
        <f>IF(D2435="","",F2435*VLOOKUP(D2435,Products!$B$2:$E$13,3,FALSE))</f>
        <v/>
      </c>
    </row>
    <row r="2436">
      <c r="H2436" s="5">
        <f>F2436*G2436</f>
        <v/>
      </c>
      <c r="I2436" s="5">
        <f>IF(D2436="","",F2436*VLOOKUP(D2436,Products!$B$2:$E$13,3,FALSE))</f>
        <v/>
      </c>
    </row>
    <row r="2437">
      <c r="H2437" s="5">
        <f>F2437*G2437</f>
        <v/>
      </c>
      <c r="I2437" s="5">
        <f>IF(D2437="","",F2437*VLOOKUP(D2437,Products!$B$2:$E$13,3,FALSE))</f>
        <v/>
      </c>
    </row>
    <row r="2438">
      <c r="H2438" s="5">
        <f>F2438*G2438</f>
        <v/>
      </c>
      <c r="I2438" s="5">
        <f>IF(D2438="","",F2438*VLOOKUP(D2438,Products!$B$2:$E$13,3,FALSE))</f>
        <v/>
      </c>
    </row>
    <row r="2439">
      <c r="H2439" s="5">
        <f>F2439*G2439</f>
        <v/>
      </c>
      <c r="I2439" s="5">
        <f>IF(D2439="","",F2439*VLOOKUP(D2439,Products!$B$2:$E$13,3,FALSE))</f>
        <v/>
      </c>
    </row>
    <row r="2440">
      <c r="H2440" s="5">
        <f>F2440*G2440</f>
        <v/>
      </c>
      <c r="I2440" s="5">
        <f>IF(D2440="","",F2440*VLOOKUP(D2440,Products!$B$2:$E$13,3,FALSE))</f>
        <v/>
      </c>
    </row>
    <row r="2441">
      <c r="H2441" s="5">
        <f>F2441*G2441</f>
        <v/>
      </c>
      <c r="I2441" s="5">
        <f>IF(D2441="","",F2441*VLOOKUP(D2441,Products!$B$2:$E$13,3,FALSE))</f>
        <v/>
      </c>
    </row>
    <row r="2442">
      <c r="H2442" s="5">
        <f>F2442*G2442</f>
        <v/>
      </c>
      <c r="I2442" s="5">
        <f>IF(D2442="","",F2442*VLOOKUP(D2442,Products!$B$2:$E$13,3,FALSE))</f>
        <v/>
      </c>
    </row>
    <row r="2443">
      <c r="H2443" s="5">
        <f>F2443*G2443</f>
        <v/>
      </c>
      <c r="I2443" s="5">
        <f>IF(D2443="","",F2443*VLOOKUP(D2443,Products!$B$2:$E$13,3,FALSE))</f>
        <v/>
      </c>
    </row>
    <row r="2444">
      <c r="H2444" s="5">
        <f>F2444*G2444</f>
        <v/>
      </c>
      <c r="I2444" s="5">
        <f>IF(D2444="","",F2444*VLOOKUP(D2444,Products!$B$2:$E$13,3,FALSE))</f>
        <v/>
      </c>
    </row>
    <row r="2445">
      <c r="H2445" s="5">
        <f>F2445*G2445</f>
        <v/>
      </c>
      <c r="I2445" s="5">
        <f>IF(D2445="","",F2445*VLOOKUP(D2445,Products!$B$2:$E$13,3,FALSE))</f>
        <v/>
      </c>
    </row>
    <row r="2446">
      <c r="H2446" s="5">
        <f>F2446*G2446</f>
        <v/>
      </c>
      <c r="I2446" s="5">
        <f>IF(D2446="","",F2446*VLOOKUP(D2446,Products!$B$2:$E$13,3,FALSE))</f>
        <v/>
      </c>
    </row>
    <row r="2447">
      <c r="H2447" s="5">
        <f>F2447*G2447</f>
        <v/>
      </c>
      <c r="I2447" s="5">
        <f>IF(D2447="","",F2447*VLOOKUP(D2447,Products!$B$2:$E$13,3,FALSE))</f>
        <v/>
      </c>
    </row>
    <row r="2448">
      <c r="H2448" s="5">
        <f>F2448*G2448</f>
        <v/>
      </c>
      <c r="I2448" s="5">
        <f>IF(D2448="","",F2448*VLOOKUP(D2448,Products!$B$2:$E$13,3,FALSE))</f>
        <v/>
      </c>
    </row>
    <row r="2449">
      <c r="H2449" s="5">
        <f>F2449*G2449</f>
        <v/>
      </c>
      <c r="I2449" s="5">
        <f>IF(D2449="","",F2449*VLOOKUP(D2449,Products!$B$2:$E$13,3,FALSE))</f>
        <v/>
      </c>
    </row>
    <row r="2450">
      <c r="H2450" s="5">
        <f>F2450*G2450</f>
        <v/>
      </c>
      <c r="I2450" s="5">
        <f>IF(D2450="","",F2450*VLOOKUP(D2450,Products!$B$2:$E$13,3,FALSE))</f>
        <v/>
      </c>
    </row>
    <row r="2451">
      <c r="H2451" s="5">
        <f>F2451*G2451</f>
        <v/>
      </c>
      <c r="I2451" s="5">
        <f>IF(D2451="","",F2451*VLOOKUP(D2451,Products!$B$2:$E$13,3,FALSE))</f>
        <v/>
      </c>
    </row>
    <row r="2452">
      <c r="H2452" s="5">
        <f>F2452*G2452</f>
        <v/>
      </c>
      <c r="I2452" s="5">
        <f>IF(D2452="","",F2452*VLOOKUP(D2452,Products!$B$2:$E$13,3,FALSE))</f>
        <v/>
      </c>
    </row>
    <row r="2453">
      <c r="H2453" s="5">
        <f>F2453*G2453</f>
        <v/>
      </c>
      <c r="I2453" s="5">
        <f>IF(D2453="","",F2453*VLOOKUP(D2453,Products!$B$2:$E$13,3,FALSE))</f>
        <v/>
      </c>
    </row>
    <row r="2454">
      <c r="H2454" s="5">
        <f>F2454*G2454</f>
        <v/>
      </c>
      <c r="I2454" s="5">
        <f>IF(D2454="","",F2454*VLOOKUP(D2454,Products!$B$2:$E$13,3,FALSE))</f>
        <v/>
      </c>
    </row>
    <row r="2455">
      <c r="H2455" s="5">
        <f>F2455*G2455</f>
        <v/>
      </c>
      <c r="I2455" s="5">
        <f>IF(D2455="","",F2455*VLOOKUP(D2455,Products!$B$2:$E$13,3,FALSE))</f>
        <v/>
      </c>
    </row>
    <row r="2456">
      <c r="H2456" s="5">
        <f>F2456*G2456</f>
        <v/>
      </c>
      <c r="I2456" s="5">
        <f>IF(D2456="","",F2456*VLOOKUP(D2456,Products!$B$2:$E$13,3,FALSE))</f>
        <v/>
      </c>
    </row>
    <row r="2457">
      <c r="H2457" s="5">
        <f>F2457*G2457</f>
        <v/>
      </c>
      <c r="I2457" s="5">
        <f>IF(D2457="","",F2457*VLOOKUP(D2457,Products!$B$2:$E$13,3,FALSE))</f>
        <v/>
      </c>
    </row>
    <row r="2458">
      <c r="H2458" s="5">
        <f>F2458*G2458</f>
        <v/>
      </c>
      <c r="I2458" s="5">
        <f>IF(D2458="","",F2458*VLOOKUP(D2458,Products!$B$2:$E$13,3,FALSE))</f>
        <v/>
      </c>
    </row>
    <row r="2459">
      <c r="H2459" s="5">
        <f>F2459*G2459</f>
        <v/>
      </c>
      <c r="I2459" s="5">
        <f>IF(D2459="","",F2459*VLOOKUP(D2459,Products!$B$2:$E$13,3,FALSE))</f>
        <v/>
      </c>
    </row>
    <row r="2460">
      <c r="H2460" s="5">
        <f>F2460*G2460</f>
        <v/>
      </c>
      <c r="I2460" s="5">
        <f>IF(D2460="","",F2460*VLOOKUP(D2460,Products!$B$2:$E$13,3,FALSE))</f>
        <v/>
      </c>
    </row>
    <row r="2461">
      <c r="H2461" s="5">
        <f>F2461*G2461</f>
        <v/>
      </c>
      <c r="I2461" s="5">
        <f>IF(D2461="","",F2461*VLOOKUP(D2461,Products!$B$2:$E$13,3,FALSE))</f>
        <v/>
      </c>
    </row>
    <row r="2462">
      <c r="H2462" s="5">
        <f>F2462*G2462</f>
        <v/>
      </c>
      <c r="I2462" s="5">
        <f>IF(D2462="","",F2462*VLOOKUP(D2462,Products!$B$2:$E$13,3,FALSE))</f>
        <v/>
      </c>
    </row>
    <row r="2463">
      <c r="H2463" s="5">
        <f>F2463*G2463</f>
        <v/>
      </c>
      <c r="I2463" s="5">
        <f>IF(D2463="","",F2463*VLOOKUP(D2463,Products!$B$2:$E$13,3,FALSE))</f>
        <v/>
      </c>
    </row>
    <row r="2464">
      <c r="H2464" s="5">
        <f>F2464*G2464</f>
        <v/>
      </c>
      <c r="I2464" s="5">
        <f>IF(D2464="","",F2464*VLOOKUP(D2464,Products!$B$2:$E$13,3,FALSE))</f>
        <v/>
      </c>
    </row>
    <row r="2465">
      <c r="H2465" s="5">
        <f>F2465*G2465</f>
        <v/>
      </c>
      <c r="I2465" s="5">
        <f>IF(D2465="","",F2465*VLOOKUP(D2465,Products!$B$2:$E$13,3,FALSE))</f>
        <v/>
      </c>
    </row>
    <row r="2466">
      <c r="H2466" s="5">
        <f>F2466*G2466</f>
        <v/>
      </c>
      <c r="I2466" s="5">
        <f>IF(D2466="","",F2466*VLOOKUP(D2466,Products!$B$2:$E$13,3,FALSE))</f>
        <v/>
      </c>
    </row>
    <row r="2467">
      <c r="H2467" s="5">
        <f>F2467*G2467</f>
        <v/>
      </c>
      <c r="I2467" s="5">
        <f>IF(D2467="","",F2467*VLOOKUP(D2467,Products!$B$2:$E$13,3,FALSE))</f>
        <v/>
      </c>
    </row>
    <row r="2468">
      <c r="H2468" s="5">
        <f>F2468*G2468</f>
        <v/>
      </c>
      <c r="I2468" s="5">
        <f>IF(D2468="","",F2468*VLOOKUP(D2468,Products!$B$2:$E$13,3,FALSE))</f>
        <v/>
      </c>
    </row>
    <row r="2469">
      <c r="H2469" s="5">
        <f>F2469*G2469</f>
        <v/>
      </c>
      <c r="I2469" s="5">
        <f>IF(D2469="","",F2469*VLOOKUP(D2469,Products!$B$2:$E$13,3,FALSE))</f>
        <v/>
      </c>
    </row>
    <row r="2470">
      <c r="H2470" s="5">
        <f>F2470*G2470</f>
        <v/>
      </c>
      <c r="I2470" s="5">
        <f>IF(D2470="","",F2470*VLOOKUP(D2470,Products!$B$2:$E$13,3,FALSE))</f>
        <v/>
      </c>
    </row>
    <row r="2471">
      <c r="H2471" s="5">
        <f>F2471*G2471</f>
        <v/>
      </c>
      <c r="I2471" s="5">
        <f>IF(D2471="","",F2471*VLOOKUP(D2471,Products!$B$2:$E$13,3,FALSE))</f>
        <v/>
      </c>
    </row>
    <row r="2472">
      <c r="H2472" s="5">
        <f>F2472*G2472</f>
        <v/>
      </c>
      <c r="I2472" s="5">
        <f>IF(D2472="","",F2472*VLOOKUP(D2472,Products!$B$2:$E$13,3,FALSE))</f>
        <v/>
      </c>
    </row>
    <row r="2473">
      <c r="H2473" s="5">
        <f>F2473*G2473</f>
        <v/>
      </c>
      <c r="I2473" s="5">
        <f>IF(D2473="","",F2473*VLOOKUP(D2473,Products!$B$2:$E$13,3,FALSE))</f>
        <v/>
      </c>
    </row>
    <row r="2474">
      <c r="H2474" s="5">
        <f>F2474*G2474</f>
        <v/>
      </c>
      <c r="I2474" s="5">
        <f>IF(D2474="","",F2474*VLOOKUP(D2474,Products!$B$2:$E$13,3,FALSE))</f>
        <v/>
      </c>
    </row>
    <row r="2475">
      <c r="H2475" s="5">
        <f>F2475*G2475</f>
        <v/>
      </c>
      <c r="I2475" s="5">
        <f>IF(D2475="","",F2475*VLOOKUP(D2475,Products!$B$2:$E$13,3,FALSE))</f>
        <v/>
      </c>
    </row>
    <row r="2476">
      <c r="H2476" s="5">
        <f>F2476*G2476</f>
        <v/>
      </c>
      <c r="I2476" s="5">
        <f>IF(D2476="","",F2476*VLOOKUP(D2476,Products!$B$2:$E$13,3,FALSE))</f>
        <v/>
      </c>
    </row>
    <row r="2477">
      <c r="H2477" s="5">
        <f>F2477*G2477</f>
        <v/>
      </c>
      <c r="I2477" s="5">
        <f>IF(D2477="","",F2477*VLOOKUP(D2477,Products!$B$2:$E$13,3,FALSE))</f>
        <v/>
      </c>
    </row>
    <row r="2478">
      <c r="H2478" s="5">
        <f>F2478*G2478</f>
        <v/>
      </c>
      <c r="I2478" s="5">
        <f>IF(D2478="","",F2478*VLOOKUP(D2478,Products!$B$2:$E$13,3,FALSE))</f>
        <v/>
      </c>
    </row>
    <row r="2479">
      <c r="H2479" s="5">
        <f>F2479*G2479</f>
        <v/>
      </c>
      <c r="I2479" s="5">
        <f>IF(D2479="","",F2479*VLOOKUP(D2479,Products!$B$2:$E$13,3,FALSE))</f>
        <v/>
      </c>
    </row>
    <row r="2480">
      <c r="H2480" s="5">
        <f>F2480*G2480</f>
        <v/>
      </c>
      <c r="I2480" s="5">
        <f>IF(D2480="","",F2480*VLOOKUP(D2480,Products!$B$2:$E$13,3,FALSE))</f>
        <v/>
      </c>
    </row>
    <row r="2481">
      <c r="H2481" s="5">
        <f>F2481*G2481</f>
        <v/>
      </c>
      <c r="I2481" s="5">
        <f>IF(D2481="","",F2481*VLOOKUP(D2481,Products!$B$2:$E$13,3,FALSE))</f>
        <v/>
      </c>
    </row>
    <row r="2482">
      <c r="H2482" s="5">
        <f>F2482*G2482</f>
        <v/>
      </c>
      <c r="I2482" s="5">
        <f>IF(D2482="","",F2482*VLOOKUP(D2482,Products!$B$2:$E$13,3,FALSE))</f>
        <v/>
      </c>
    </row>
    <row r="2483">
      <c r="H2483" s="5">
        <f>F2483*G2483</f>
        <v/>
      </c>
      <c r="I2483" s="5">
        <f>IF(D2483="","",F2483*VLOOKUP(D2483,Products!$B$2:$E$13,3,FALSE))</f>
        <v/>
      </c>
    </row>
    <row r="2484">
      <c r="H2484" s="5">
        <f>F2484*G2484</f>
        <v/>
      </c>
      <c r="I2484" s="5">
        <f>IF(D2484="","",F2484*VLOOKUP(D2484,Products!$B$2:$E$13,3,FALSE))</f>
        <v/>
      </c>
    </row>
    <row r="2485">
      <c r="H2485" s="5">
        <f>F2485*G2485</f>
        <v/>
      </c>
      <c r="I2485" s="5">
        <f>IF(D2485="","",F2485*VLOOKUP(D2485,Products!$B$2:$E$13,3,FALSE))</f>
        <v/>
      </c>
    </row>
    <row r="2486">
      <c r="H2486" s="5">
        <f>F2486*G2486</f>
        <v/>
      </c>
      <c r="I2486" s="5">
        <f>IF(D2486="","",F2486*VLOOKUP(D2486,Products!$B$2:$E$13,3,FALSE))</f>
        <v/>
      </c>
    </row>
    <row r="2487">
      <c r="H2487" s="5">
        <f>F2487*G2487</f>
        <v/>
      </c>
      <c r="I2487" s="5">
        <f>IF(D2487="","",F2487*VLOOKUP(D2487,Products!$B$2:$E$13,3,FALSE))</f>
        <v/>
      </c>
    </row>
    <row r="2488">
      <c r="H2488" s="5">
        <f>F2488*G2488</f>
        <v/>
      </c>
      <c r="I2488" s="5">
        <f>IF(D2488="","",F2488*VLOOKUP(D2488,Products!$B$2:$E$13,3,FALSE))</f>
        <v/>
      </c>
    </row>
    <row r="2489">
      <c r="H2489" s="5">
        <f>F2489*G2489</f>
        <v/>
      </c>
      <c r="I2489" s="5">
        <f>IF(D2489="","",F2489*VLOOKUP(D2489,Products!$B$2:$E$13,3,FALSE))</f>
        <v/>
      </c>
    </row>
    <row r="2490">
      <c r="H2490" s="5">
        <f>F2490*G2490</f>
        <v/>
      </c>
      <c r="I2490" s="5">
        <f>IF(D2490="","",F2490*VLOOKUP(D2490,Products!$B$2:$E$13,3,FALSE))</f>
        <v/>
      </c>
    </row>
    <row r="2491">
      <c r="H2491" s="5">
        <f>F2491*G2491</f>
        <v/>
      </c>
      <c r="I2491" s="5">
        <f>IF(D2491="","",F2491*VLOOKUP(D2491,Products!$B$2:$E$13,3,FALSE))</f>
        <v/>
      </c>
    </row>
    <row r="2492">
      <c r="H2492" s="5">
        <f>F2492*G2492</f>
        <v/>
      </c>
      <c r="I2492" s="5">
        <f>IF(D2492="","",F2492*VLOOKUP(D2492,Products!$B$2:$E$13,3,FALSE))</f>
        <v/>
      </c>
    </row>
    <row r="2493">
      <c r="H2493" s="5">
        <f>F2493*G2493</f>
        <v/>
      </c>
      <c r="I2493" s="5">
        <f>IF(D2493="","",F2493*VLOOKUP(D2493,Products!$B$2:$E$13,3,FALSE))</f>
        <v/>
      </c>
    </row>
    <row r="2494">
      <c r="H2494" s="5">
        <f>F2494*G2494</f>
        <v/>
      </c>
      <c r="I2494" s="5">
        <f>IF(D2494="","",F2494*VLOOKUP(D2494,Products!$B$2:$E$13,3,FALSE))</f>
        <v/>
      </c>
    </row>
    <row r="2495">
      <c r="H2495" s="5">
        <f>F2495*G2495</f>
        <v/>
      </c>
      <c r="I2495" s="5">
        <f>IF(D2495="","",F2495*VLOOKUP(D2495,Products!$B$2:$E$13,3,FALSE))</f>
        <v/>
      </c>
    </row>
    <row r="2496">
      <c r="H2496" s="5">
        <f>F2496*G2496</f>
        <v/>
      </c>
      <c r="I2496" s="5">
        <f>IF(D2496="","",F2496*VLOOKUP(D2496,Products!$B$2:$E$13,3,FALSE))</f>
        <v/>
      </c>
    </row>
    <row r="2497">
      <c r="H2497" s="5">
        <f>F2497*G2497</f>
        <v/>
      </c>
      <c r="I2497" s="5">
        <f>IF(D2497="","",F2497*VLOOKUP(D2497,Products!$B$2:$E$13,3,FALSE))</f>
        <v/>
      </c>
    </row>
    <row r="2498">
      <c r="H2498" s="5">
        <f>F2498*G2498</f>
        <v/>
      </c>
      <c r="I2498" s="5">
        <f>IF(D2498="","",F2498*VLOOKUP(D2498,Products!$B$2:$E$13,3,FALSE))</f>
        <v/>
      </c>
    </row>
    <row r="2499">
      <c r="H2499" s="5">
        <f>F2499*G2499</f>
        <v/>
      </c>
      <c r="I2499" s="5">
        <f>IF(D2499="","",F2499*VLOOKUP(D2499,Products!$B$2:$E$13,3,FALSE))</f>
        <v/>
      </c>
    </row>
    <row r="2500">
      <c r="H2500" s="5">
        <f>F2500*G2500</f>
        <v/>
      </c>
      <c r="I2500" s="5">
        <f>IF(D2500="","",F2500*VLOOKUP(D2500,Products!$B$2:$E$13,3,FALSE))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22" customHeight="1">
      <c r="A1" s="1" t="inlineStr">
        <is>
          <t>Date</t>
        </is>
      </c>
      <c r="B1" s="1" t="inlineStr">
        <is>
          <t>Bill</t>
        </is>
      </c>
      <c r="C1" s="1" t="inlineStr">
        <is>
          <t>Supplier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Qty</t>
        </is>
      </c>
      <c r="G1" s="1" t="inlineStr">
        <is>
          <t>CostRate</t>
        </is>
      </c>
      <c r="H1" s="1" t="inlineStr">
        <is>
          <t>Amount</t>
        </is>
      </c>
    </row>
    <row r="2">
      <c r="A2" s="2" t="n">
        <v>46113</v>
      </c>
      <c r="B2" s="3" t="inlineStr">
        <is>
          <t>BIL-2604-0001</t>
        </is>
      </c>
      <c r="C2" s="3" t="inlineStr">
        <is>
          <t>Patliputra Agencies</t>
        </is>
      </c>
      <c r="D2" s="3" t="inlineStr">
        <is>
          <t>Biscuits 400g</t>
        </is>
      </c>
      <c r="E2" s="3" t="inlineStr">
        <is>
          <t>Snacks</t>
        </is>
      </c>
      <c r="F2" s="4" t="n">
        <v>114</v>
      </c>
      <c r="G2" s="5" t="n">
        <v>30.01</v>
      </c>
      <c r="H2" s="5">
        <f>F2*G2</f>
        <v/>
      </c>
    </row>
    <row r="3">
      <c r="A3" s="2" t="n">
        <v>46115</v>
      </c>
      <c r="B3" s="3" t="inlineStr">
        <is>
          <t>BIL-2604-0002</t>
        </is>
      </c>
      <c r="C3" s="3" t="inlineStr">
        <is>
          <t>Ganga FMCG Supply</t>
        </is>
      </c>
      <c r="D3" s="3" t="inlineStr">
        <is>
          <t>Packaged Water 1L</t>
        </is>
      </c>
      <c r="E3" s="3" t="inlineStr">
        <is>
          <t>Beverages</t>
        </is>
      </c>
      <c r="F3" s="4" t="n">
        <v>337</v>
      </c>
      <c r="G3" s="5" t="n">
        <v>14.96</v>
      </c>
      <c r="H3" s="5">
        <f>F3*G3</f>
        <v/>
      </c>
    </row>
    <row r="4">
      <c r="A4" s="2" t="n">
        <v>46115</v>
      </c>
      <c r="B4" s="3" t="inlineStr">
        <is>
          <t>BIL-2604-0003</t>
        </is>
      </c>
      <c r="C4" s="3" t="inlineStr">
        <is>
          <t>Nalanda Distribution</t>
        </is>
      </c>
      <c r="D4" s="3" t="inlineStr">
        <is>
          <t>Potato Chips 150g</t>
        </is>
      </c>
      <c r="E4" s="3" t="inlineStr">
        <is>
          <t>Snacks</t>
        </is>
      </c>
      <c r="F4" s="4" t="n">
        <v>58</v>
      </c>
      <c r="G4" s="5" t="n">
        <v>38.34</v>
      </c>
      <c r="H4" s="5">
        <f>F4*G4</f>
        <v/>
      </c>
    </row>
    <row r="5">
      <c r="A5" s="2" t="n">
        <v>46115</v>
      </c>
      <c r="B5" s="3" t="inlineStr">
        <is>
          <t>BIL-2604-0004</t>
        </is>
      </c>
      <c r="C5" s="3" t="inlineStr">
        <is>
          <t>Patliputra Agencies</t>
        </is>
      </c>
      <c r="D5" s="3" t="inlineStr">
        <is>
          <t>Dish Soap 500ml</t>
        </is>
      </c>
      <c r="E5" s="3" t="inlineStr">
        <is>
          <t>Household</t>
        </is>
      </c>
      <c r="F5" s="4" t="n">
        <v>328</v>
      </c>
      <c r="G5" s="5" t="n">
        <v>80.47</v>
      </c>
      <c r="H5" s="5">
        <f>F5*G5</f>
        <v/>
      </c>
    </row>
    <row r="6">
      <c r="A6" s="2" t="n">
        <v>46115</v>
      </c>
      <c r="B6" s="3" t="inlineStr">
        <is>
          <t>BIL-2604-0005</t>
        </is>
      </c>
      <c r="C6" s="3" t="inlineStr">
        <is>
          <t>Vaishali Supply House</t>
        </is>
      </c>
      <c r="D6" s="3" t="inlineStr">
        <is>
          <t>Instant Noodles 280g</t>
        </is>
      </c>
      <c r="E6" s="3" t="inlineStr">
        <is>
          <t>Snacks</t>
        </is>
      </c>
      <c r="F6" s="4" t="n">
        <v>342</v>
      </c>
      <c r="G6" s="5" t="n">
        <v>42.73</v>
      </c>
      <c r="H6" s="5">
        <f>F6*G6</f>
        <v/>
      </c>
    </row>
    <row r="7">
      <c r="A7" s="2" t="n">
        <v>46116</v>
      </c>
      <c r="B7" s="3" t="inlineStr">
        <is>
          <t>BIL-2604-0006</t>
        </is>
      </c>
      <c r="C7" s="3" t="inlineStr">
        <is>
          <t>Bihar Foods Distributors</t>
        </is>
      </c>
      <c r="D7" s="3" t="inlineStr">
        <is>
          <t>Floor Cleaner 1L</t>
        </is>
      </c>
      <c r="E7" s="3" t="inlineStr">
        <is>
          <t>Household</t>
        </is>
      </c>
      <c r="F7" s="4" t="n">
        <v>312</v>
      </c>
      <c r="G7" s="5" t="n">
        <v>88.19</v>
      </c>
      <c r="H7" s="5">
        <f>F7*G7</f>
        <v/>
      </c>
    </row>
    <row r="8">
      <c r="A8" s="2" t="n">
        <v>46116</v>
      </c>
      <c r="B8" s="3" t="inlineStr">
        <is>
          <t>BIL-2604-0007</t>
        </is>
      </c>
      <c r="C8" s="3" t="inlineStr">
        <is>
          <t>Koshi Enterprises</t>
        </is>
      </c>
      <c r="D8" s="3" t="inlineStr">
        <is>
          <t>Instant Noodles 280g</t>
        </is>
      </c>
      <c r="E8" s="3" t="inlineStr">
        <is>
          <t>Snacks</t>
        </is>
      </c>
      <c r="F8" s="4" t="n">
        <v>325</v>
      </c>
      <c r="G8" s="5" t="n">
        <v>41.5</v>
      </c>
      <c r="H8" s="5">
        <f>F8*G8</f>
        <v/>
      </c>
    </row>
    <row r="9">
      <c r="A9" s="2" t="n">
        <v>46116</v>
      </c>
      <c r="B9" s="3" t="inlineStr">
        <is>
          <t>BIL-2604-0008</t>
        </is>
      </c>
      <c r="C9" s="3" t="inlineStr">
        <is>
          <t>Ganga FMCG Supply</t>
        </is>
      </c>
      <c r="D9" s="3" t="inlineStr">
        <is>
          <t>Detergent 1kg</t>
        </is>
      </c>
      <c r="E9" s="3" t="inlineStr">
        <is>
          <t>Household</t>
        </is>
      </c>
      <c r="F9" s="4" t="n">
        <v>114</v>
      </c>
      <c r="G9" s="5" t="n">
        <v>106.29</v>
      </c>
      <c r="H9" s="5">
        <f>F9*G9</f>
        <v/>
      </c>
    </row>
    <row r="10">
      <c r="A10" s="2" t="n">
        <v>46117</v>
      </c>
      <c r="B10" s="3" t="inlineStr">
        <is>
          <t>BIL-2604-0009</t>
        </is>
      </c>
      <c r="C10" s="3" t="inlineStr">
        <is>
          <t>Ganga FMCG Supply</t>
        </is>
      </c>
      <c r="D10" s="3" t="inlineStr">
        <is>
          <t>Floor Cleaner 1L</t>
        </is>
      </c>
      <c r="E10" s="3" t="inlineStr">
        <is>
          <t>Household</t>
        </is>
      </c>
      <c r="F10" s="4" t="n">
        <v>308</v>
      </c>
      <c r="G10" s="5" t="n">
        <v>87.41</v>
      </c>
      <c r="H10" s="5">
        <f>F10*G10</f>
        <v/>
      </c>
    </row>
    <row r="11">
      <c r="A11" s="2" t="n">
        <v>46117</v>
      </c>
      <c r="B11" s="3" t="inlineStr">
        <is>
          <t>BIL-2604-0010</t>
        </is>
      </c>
      <c r="C11" s="3" t="inlineStr">
        <is>
          <t>Vaishali Supply House</t>
        </is>
      </c>
      <c r="D11" s="3" t="inlineStr">
        <is>
          <t>Detergent 1kg</t>
        </is>
      </c>
      <c r="E11" s="3" t="inlineStr">
        <is>
          <t>Household</t>
        </is>
      </c>
      <c r="F11" s="4" t="n">
        <v>293</v>
      </c>
      <c r="G11" s="5" t="n">
        <v>103.62</v>
      </c>
      <c r="H11" s="5">
        <f>F11*G11</f>
        <v/>
      </c>
    </row>
    <row r="12">
      <c r="A12" s="2" t="n">
        <v>46117</v>
      </c>
      <c r="B12" s="3" t="inlineStr">
        <is>
          <t>BIL-2604-0011</t>
        </is>
      </c>
      <c r="C12" s="3" t="inlineStr">
        <is>
          <t>Patliputra Agencies</t>
        </is>
      </c>
      <c r="D12" s="3" t="inlineStr">
        <is>
          <t>Toned Milk 1L</t>
        </is>
      </c>
      <c r="E12" s="3" t="inlineStr">
        <is>
          <t>Dairy</t>
        </is>
      </c>
      <c r="F12" s="4" t="n">
        <v>300</v>
      </c>
      <c r="G12" s="5" t="n">
        <v>55.05</v>
      </c>
      <c r="H12" s="5">
        <f>F12*G12</f>
        <v/>
      </c>
    </row>
    <row r="13">
      <c r="A13" s="2" t="n">
        <v>46118</v>
      </c>
      <c r="B13" s="3" t="inlineStr">
        <is>
          <t>BIL-2604-0012</t>
        </is>
      </c>
      <c r="C13" s="3" t="inlineStr">
        <is>
          <t>Magadh Wholesale Co.</t>
        </is>
      </c>
      <c r="D13" s="3" t="inlineStr">
        <is>
          <t>Detergent 1kg</t>
        </is>
      </c>
      <c r="E13" s="3" t="inlineStr">
        <is>
          <t>Household</t>
        </is>
      </c>
      <c r="F13" s="4" t="n">
        <v>292</v>
      </c>
      <c r="G13" s="5" t="n">
        <v>105.4</v>
      </c>
      <c r="H13" s="5">
        <f>F13*G13</f>
        <v/>
      </c>
    </row>
    <row r="14">
      <c r="A14" s="2" t="n">
        <v>46118</v>
      </c>
      <c r="B14" s="3" t="inlineStr">
        <is>
          <t>BIL-2604-0013</t>
        </is>
      </c>
      <c r="C14" s="3" t="inlineStr">
        <is>
          <t>Vaishali Supply House</t>
        </is>
      </c>
      <c r="D14" s="3" t="inlineStr">
        <is>
          <t>Floor Cleaner 1L</t>
        </is>
      </c>
      <c r="E14" s="3" t="inlineStr">
        <is>
          <t>Household</t>
        </is>
      </c>
      <c r="F14" s="4" t="n">
        <v>361</v>
      </c>
      <c r="G14" s="5" t="n">
        <v>86.59999999999999</v>
      </c>
      <c r="H14" s="5">
        <f>F14*G14</f>
        <v/>
      </c>
    </row>
    <row r="15">
      <c r="A15" s="2" t="n">
        <v>46118</v>
      </c>
      <c r="B15" s="3" t="inlineStr">
        <is>
          <t>BIL-2604-0014</t>
        </is>
      </c>
      <c r="C15" s="3" t="inlineStr">
        <is>
          <t>Ganga FMCG Supply</t>
        </is>
      </c>
      <c r="D15" s="3" t="inlineStr">
        <is>
          <t>Floor Cleaner 1L</t>
        </is>
      </c>
      <c r="E15" s="3" t="inlineStr">
        <is>
          <t>Household</t>
        </is>
      </c>
      <c r="F15" s="4" t="n">
        <v>357</v>
      </c>
      <c r="G15" s="5" t="n">
        <v>89.56</v>
      </c>
      <c r="H15" s="5">
        <f>F15*G15</f>
        <v/>
      </c>
    </row>
    <row r="16">
      <c r="A16" s="2" t="n">
        <v>46119</v>
      </c>
      <c r="B16" s="3" t="inlineStr">
        <is>
          <t>BIL-2604-0015</t>
        </is>
      </c>
      <c r="C16" s="3" t="inlineStr">
        <is>
          <t>Bihar Foods Distributors</t>
        </is>
      </c>
      <c r="D16" s="3" t="inlineStr">
        <is>
          <t>Potato Chips 150g</t>
        </is>
      </c>
      <c r="E16" s="3" t="inlineStr">
        <is>
          <t>Snacks</t>
        </is>
      </c>
      <c r="F16" s="4" t="n">
        <v>354</v>
      </c>
      <c r="G16" s="5" t="n">
        <v>39.08</v>
      </c>
      <c r="H16" s="5">
        <f>F16*G16</f>
        <v/>
      </c>
    </row>
    <row r="17">
      <c r="A17" s="2" t="n">
        <v>46119</v>
      </c>
      <c r="B17" s="3" t="inlineStr">
        <is>
          <t>BIL-2604-0016</t>
        </is>
      </c>
      <c r="C17" s="3" t="inlineStr">
        <is>
          <t>Magadh Wholesale Co.</t>
        </is>
      </c>
      <c r="D17" s="3" t="inlineStr">
        <is>
          <t>Cola 750ml</t>
        </is>
      </c>
      <c r="E17" s="3" t="inlineStr">
        <is>
          <t>Beverages</t>
        </is>
      </c>
      <c r="F17" s="4" t="n">
        <v>152</v>
      </c>
      <c r="G17" s="5" t="n">
        <v>36.1</v>
      </c>
      <c r="H17" s="5">
        <f>F17*G17</f>
        <v/>
      </c>
    </row>
    <row r="18">
      <c r="A18" s="2" t="n">
        <v>46119</v>
      </c>
      <c r="B18" s="3" t="inlineStr">
        <is>
          <t>BIL-2604-0017</t>
        </is>
      </c>
      <c r="C18" s="3" t="inlineStr">
        <is>
          <t>Nalanda Distribution</t>
        </is>
      </c>
      <c r="D18" s="3" t="inlineStr">
        <is>
          <t>Floor Cleaner 1L</t>
        </is>
      </c>
      <c r="E18" s="3" t="inlineStr">
        <is>
          <t>Household</t>
        </is>
      </c>
      <c r="F18" s="4" t="n">
        <v>92</v>
      </c>
      <c r="G18" s="5" t="n">
        <v>86.58</v>
      </c>
      <c r="H18" s="5">
        <f>F18*G18</f>
        <v/>
      </c>
    </row>
    <row r="19">
      <c r="A19" s="2" t="n">
        <v>46121</v>
      </c>
      <c r="B19" s="3" t="inlineStr">
        <is>
          <t>BIL-2604-0018</t>
        </is>
      </c>
      <c r="C19" s="3" t="inlineStr">
        <is>
          <t>Koshi Enterprises</t>
        </is>
      </c>
      <c r="D19" s="3" t="inlineStr">
        <is>
          <t>Mango Juice 1L</t>
        </is>
      </c>
      <c r="E19" s="3" t="inlineStr">
        <is>
          <t>Beverages</t>
        </is>
      </c>
      <c r="F19" s="4" t="n">
        <v>375</v>
      </c>
      <c r="G19" s="5" t="n">
        <v>98.73999999999999</v>
      </c>
      <c r="H19" s="5">
        <f>F19*G19</f>
        <v/>
      </c>
    </row>
    <row r="20">
      <c r="A20" s="2" t="n">
        <v>46122</v>
      </c>
      <c r="B20" s="3" t="inlineStr">
        <is>
          <t>BIL-2604-0019</t>
        </is>
      </c>
      <c r="C20" s="3" t="inlineStr">
        <is>
          <t>Ganga FMCG Supply</t>
        </is>
      </c>
      <c r="D20" s="3" t="inlineStr">
        <is>
          <t>Curd Cup 400g</t>
        </is>
      </c>
      <c r="E20" s="3" t="inlineStr">
        <is>
          <t>Dairy</t>
        </is>
      </c>
      <c r="F20" s="4" t="n">
        <v>97</v>
      </c>
      <c r="G20" s="5" t="n">
        <v>34.75</v>
      </c>
      <c r="H20" s="5">
        <f>F20*G20</f>
        <v/>
      </c>
    </row>
    <row r="21">
      <c r="A21" s="2" t="n">
        <v>46122</v>
      </c>
      <c r="B21" s="3" t="inlineStr">
        <is>
          <t>BIL-2604-0020</t>
        </is>
      </c>
      <c r="C21" s="3" t="inlineStr">
        <is>
          <t>Nalanda Distribution</t>
        </is>
      </c>
      <c r="D21" s="3" t="inlineStr">
        <is>
          <t>Paneer 200g</t>
        </is>
      </c>
      <c r="E21" s="3" t="inlineStr">
        <is>
          <t>Dairy</t>
        </is>
      </c>
      <c r="F21" s="4" t="n">
        <v>237</v>
      </c>
      <c r="G21" s="5" t="n">
        <v>79.16</v>
      </c>
      <c r="H21" s="5">
        <f>F21*G21</f>
        <v/>
      </c>
    </row>
    <row r="22">
      <c r="A22" s="2" t="n">
        <v>46122</v>
      </c>
      <c r="B22" s="3" t="inlineStr">
        <is>
          <t>BIL-2604-0021</t>
        </is>
      </c>
      <c r="C22" s="3" t="inlineStr">
        <is>
          <t>Ganga FMCG Supply</t>
        </is>
      </c>
      <c r="D22" s="3" t="inlineStr">
        <is>
          <t>Paneer 200g</t>
        </is>
      </c>
      <c r="E22" s="3" t="inlineStr">
        <is>
          <t>Dairy</t>
        </is>
      </c>
      <c r="F22" s="4" t="n">
        <v>334</v>
      </c>
      <c r="G22" s="5" t="n">
        <v>79.13</v>
      </c>
      <c r="H22" s="5">
        <f>F22*G22</f>
        <v/>
      </c>
    </row>
    <row r="23">
      <c r="A23" s="2" t="n">
        <v>46123</v>
      </c>
      <c r="B23" s="3" t="inlineStr">
        <is>
          <t>BIL-2604-0022</t>
        </is>
      </c>
      <c r="C23" s="3" t="inlineStr">
        <is>
          <t>Nalanda Distribution</t>
        </is>
      </c>
      <c r="D23" s="3" t="inlineStr">
        <is>
          <t>Cola 750ml</t>
        </is>
      </c>
      <c r="E23" s="3" t="inlineStr">
        <is>
          <t>Beverages</t>
        </is>
      </c>
      <c r="F23" s="4" t="n">
        <v>306</v>
      </c>
      <c r="G23" s="5" t="n">
        <v>35.52</v>
      </c>
      <c r="H23" s="5">
        <f>F23*G23</f>
        <v/>
      </c>
    </row>
    <row r="24">
      <c r="A24" s="2" t="n">
        <v>46124</v>
      </c>
      <c r="B24" s="3" t="inlineStr">
        <is>
          <t>BIL-2604-0023</t>
        </is>
      </c>
      <c r="C24" s="3" t="inlineStr">
        <is>
          <t>Ganga FMCG Supply</t>
        </is>
      </c>
      <c r="D24" s="3" t="inlineStr">
        <is>
          <t>Potato Chips 150g</t>
        </is>
      </c>
      <c r="E24" s="3" t="inlineStr">
        <is>
          <t>Snacks</t>
        </is>
      </c>
      <c r="F24" s="4" t="n">
        <v>286</v>
      </c>
      <c r="G24" s="5" t="n">
        <v>37.45</v>
      </c>
      <c r="H24" s="5">
        <f>F24*G24</f>
        <v/>
      </c>
    </row>
    <row r="25">
      <c r="A25" s="2" t="n">
        <v>46124</v>
      </c>
      <c r="B25" s="3" t="inlineStr">
        <is>
          <t>BIL-2604-0024</t>
        </is>
      </c>
      <c r="C25" s="3" t="inlineStr">
        <is>
          <t>Magadh Wholesale Co.</t>
        </is>
      </c>
      <c r="D25" s="3" t="inlineStr">
        <is>
          <t>Mango Juice 1L</t>
        </is>
      </c>
      <c r="E25" s="3" t="inlineStr">
        <is>
          <t>Beverages</t>
        </is>
      </c>
      <c r="F25" s="4" t="n">
        <v>145</v>
      </c>
      <c r="G25" s="5" t="n">
        <v>95.84</v>
      </c>
      <c r="H25" s="5">
        <f>F25*G25</f>
        <v/>
      </c>
    </row>
    <row r="26">
      <c r="A26" s="2" t="n">
        <v>46125</v>
      </c>
      <c r="B26" s="3" t="inlineStr">
        <is>
          <t>BIL-2604-0025</t>
        </is>
      </c>
      <c r="C26" s="3" t="inlineStr">
        <is>
          <t>Ganga FMCG Supply</t>
        </is>
      </c>
      <c r="D26" s="3" t="inlineStr">
        <is>
          <t>Cola 750ml</t>
        </is>
      </c>
      <c r="E26" s="3" t="inlineStr">
        <is>
          <t>Beverages</t>
        </is>
      </c>
      <c r="F26" s="4" t="n">
        <v>72</v>
      </c>
      <c r="G26" s="5" t="n">
        <v>35.29</v>
      </c>
      <c r="H26" s="5">
        <f>F26*G26</f>
        <v/>
      </c>
    </row>
    <row r="27">
      <c r="A27" s="2" t="n">
        <v>46125</v>
      </c>
      <c r="B27" s="3" t="inlineStr">
        <is>
          <t>BIL-2604-0026</t>
        </is>
      </c>
      <c r="C27" s="3" t="inlineStr">
        <is>
          <t>Patliputra Agencies</t>
        </is>
      </c>
      <c r="D27" s="3" t="inlineStr">
        <is>
          <t>Dish Soap 500ml</t>
        </is>
      </c>
      <c r="E27" s="3" t="inlineStr">
        <is>
          <t>Household</t>
        </is>
      </c>
      <c r="F27" s="4" t="n">
        <v>158</v>
      </c>
      <c r="G27" s="5" t="n">
        <v>78.97</v>
      </c>
      <c r="H27" s="5">
        <f>F27*G27</f>
        <v/>
      </c>
    </row>
    <row r="28">
      <c r="A28" s="2" t="n">
        <v>46125</v>
      </c>
      <c r="B28" s="3" t="inlineStr">
        <is>
          <t>BIL-2604-0027</t>
        </is>
      </c>
      <c r="C28" s="3" t="inlineStr">
        <is>
          <t>Bihar Foods Distributors</t>
        </is>
      </c>
      <c r="D28" s="3" t="inlineStr">
        <is>
          <t>Potato Chips 150g</t>
        </is>
      </c>
      <c r="E28" s="3" t="inlineStr">
        <is>
          <t>Snacks</t>
        </is>
      </c>
      <c r="F28" s="4" t="n">
        <v>80</v>
      </c>
      <c r="G28" s="5" t="n">
        <v>38.09</v>
      </c>
      <c r="H28" s="5">
        <f>F28*G28</f>
        <v/>
      </c>
    </row>
    <row r="29">
      <c r="A29" s="2" t="n">
        <v>46126</v>
      </c>
      <c r="B29" s="3" t="inlineStr">
        <is>
          <t>BIL-2604-0028</t>
        </is>
      </c>
      <c r="C29" s="3" t="inlineStr">
        <is>
          <t>Patliputra Agencies</t>
        </is>
      </c>
      <c r="D29" s="3" t="inlineStr">
        <is>
          <t>Biscuits 400g</t>
        </is>
      </c>
      <c r="E29" s="3" t="inlineStr">
        <is>
          <t>Snacks</t>
        </is>
      </c>
      <c r="F29" s="4" t="n">
        <v>210</v>
      </c>
      <c r="G29" s="5" t="n">
        <v>30.16</v>
      </c>
      <c r="H29" s="5">
        <f>F29*G29</f>
        <v/>
      </c>
    </row>
    <row r="30">
      <c r="A30" s="2" t="n">
        <v>46126</v>
      </c>
      <c r="B30" s="3" t="inlineStr">
        <is>
          <t>BIL-2604-0029</t>
        </is>
      </c>
      <c r="C30" s="3" t="inlineStr">
        <is>
          <t>Ganga FMCG Supply</t>
        </is>
      </c>
      <c r="D30" s="3" t="inlineStr">
        <is>
          <t>Potato Chips 150g</t>
        </is>
      </c>
      <c r="E30" s="3" t="inlineStr">
        <is>
          <t>Snacks</t>
        </is>
      </c>
      <c r="F30" s="4" t="n">
        <v>129</v>
      </c>
      <c r="G30" s="5" t="n">
        <v>38.12</v>
      </c>
      <c r="H30" s="5">
        <f>F30*G30</f>
        <v/>
      </c>
    </row>
    <row r="31">
      <c r="A31" s="2" t="n">
        <v>46126</v>
      </c>
      <c r="B31" s="3" t="inlineStr">
        <is>
          <t>BIL-2604-0030</t>
        </is>
      </c>
      <c r="C31" s="3" t="inlineStr">
        <is>
          <t>Vaishali Supply House</t>
        </is>
      </c>
      <c r="D31" s="3" t="inlineStr">
        <is>
          <t>Potato Chips 150g</t>
        </is>
      </c>
      <c r="E31" s="3" t="inlineStr">
        <is>
          <t>Snacks</t>
        </is>
      </c>
      <c r="F31" s="4" t="n">
        <v>179</v>
      </c>
      <c r="G31" s="5" t="n">
        <v>37.78</v>
      </c>
      <c r="H31" s="5">
        <f>F31*G31</f>
        <v/>
      </c>
    </row>
    <row r="32">
      <c r="A32" s="2" t="n">
        <v>46126</v>
      </c>
      <c r="B32" s="3" t="inlineStr">
        <is>
          <t>BIL-2604-0031</t>
        </is>
      </c>
      <c r="C32" s="3" t="inlineStr">
        <is>
          <t>Bihar Foods Distributors</t>
        </is>
      </c>
      <c r="D32" s="3" t="inlineStr">
        <is>
          <t>Floor Cleaner 1L</t>
        </is>
      </c>
      <c r="E32" s="3" t="inlineStr">
        <is>
          <t>Household</t>
        </is>
      </c>
      <c r="F32" s="4" t="n">
        <v>113</v>
      </c>
      <c r="G32" s="5" t="n">
        <v>90.2</v>
      </c>
      <c r="H32" s="5">
        <f>F32*G32</f>
        <v/>
      </c>
    </row>
    <row r="33">
      <c r="A33" s="2" t="n">
        <v>46128</v>
      </c>
      <c r="B33" s="3" t="inlineStr">
        <is>
          <t>BIL-2604-0032</t>
        </is>
      </c>
      <c r="C33" s="3" t="inlineStr">
        <is>
          <t>Koshi Enterprises</t>
        </is>
      </c>
      <c r="D33" s="3" t="inlineStr">
        <is>
          <t>Paneer 200g</t>
        </is>
      </c>
      <c r="E33" s="3" t="inlineStr">
        <is>
          <t>Dairy</t>
        </is>
      </c>
      <c r="F33" s="4" t="n">
        <v>346</v>
      </c>
      <c r="G33" s="5" t="n">
        <v>79.2</v>
      </c>
      <c r="H33" s="5">
        <f>F33*G33</f>
        <v/>
      </c>
    </row>
    <row r="34">
      <c r="A34" s="2" t="n">
        <v>46128</v>
      </c>
      <c r="B34" s="3" t="inlineStr">
        <is>
          <t>BIL-2604-0033</t>
        </is>
      </c>
      <c r="C34" s="3" t="inlineStr">
        <is>
          <t>Ganga FMCG Supply</t>
        </is>
      </c>
      <c r="D34" s="3" t="inlineStr">
        <is>
          <t>Detergent 1kg</t>
        </is>
      </c>
      <c r="E34" s="3" t="inlineStr">
        <is>
          <t>Household</t>
        </is>
      </c>
      <c r="F34" s="4" t="n">
        <v>195</v>
      </c>
      <c r="G34" s="5" t="n">
        <v>104.5</v>
      </c>
      <c r="H34" s="5">
        <f>F34*G34</f>
        <v/>
      </c>
    </row>
    <row r="35">
      <c r="A35" s="2" t="n">
        <v>46129</v>
      </c>
      <c r="B35" s="3" t="inlineStr">
        <is>
          <t>BIL-2604-0034</t>
        </is>
      </c>
      <c r="C35" s="3" t="inlineStr">
        <is>
          <t>Bihar Foods Distributors</t>
        </is>
      </c>
      <c r="D35" s="3" t="inlineStr">
        <is>
          <t>Potato Chips 150g</t>
        </is>
      </c>
      <c r="E35" s="3" t="inlineStr">
        <is>
          <t>Snacks</t>
        </is>
      </c>
      <c r="F35" s="4" t="n">
        <v>316</v>
      </c>
      <c r="G35" s="5" t="n">
        <v>38.68</v>
      </c>
      <c r="H35" s="5">
        <f>F35*G35</f>
        <v/>
      </c>
    </row>
    <row r="36">
      <c r="A36" s="2" t="n">
        <v>46130</v>
      </c>
      <c r="B36" s="3" t="inlineStr">
        <is>
          <t>BIL-2604-0035</t>
        </is>
      </c>
      <c r="C36" s="3" t="inlineStr">
        <is>
          <t>Bihar Foods Distributors</t>
        </is>
      </c>
      <c r="D36" s="3" t="inlineStr">
        <is>
          <t>Curd Cup 400g</t>
        </is>
      </c>
      <c r="E36" s="3" t="inlineStr">
        <is>
          <t>Dairy</t>
        </is>
      </c>
      <c r="F36" s="4" t="n">
        <v>128</v>
      </c>
      <c r="G36" s="5" t="n">
        <v>36.01</v>
      </c>
      <c r="H36" s="5">
        <f>F36*G36</f>
        <v/>
      </c>
    </row>
    <row r="37">
      <c r="A37" s="2" t="n">
        <v>46130</v>
      </c>
      <c r="B37" s="3" t="inlineStr">
        <is>
          <t>BIL-2604-0036</t>
        </is>
      </c>
      <c r="C37" s="3" t="inlineStr">
        <is>
          <t>Bihar Foods Distributors</t>
        </is>
      </c>
      <c r="D37" s="3" t="inlineStr">
        <is>
          <t>Floor Cleaner 1L</t>
        </is>
      </c>
      <c r="E37" s="3" t="inlineStr">
        <is>
          <t>Household</t>
        </is>
      </c>
      <c r="F37" s="4" t="n">
        <v>239</v>
      </c>
      <c r="G37" s="5" t="n">
        <v>86.53</v>
      </c>
      <c r="H37" s="5">
        <f>F37*G37</f>
        <v/>
      </c>
    </row>
    <row r="38">
      <c r="A38" s="2" t="n">
        <v>46132</v>
      </c>
      <c r="B38" s="3" t="inlineStr">
        <is>
          <t>BIL-2604-0037</t>
        </is>
      </c>
      <c r="C38" s="3" t="inlineStr">
        <is>
          <t>Vaishali Supply House</t>
        </is>
      </c>
      <c r="D38" s="3" t="inlineStr">
        <is>
          <t>Instant Noodles 280g</t>
        </is>
      </c>
      <c r="E38" s="3" t="inlineStr">
        <is>
          <t>Snacks</t>
        </is>
      </c>
      <c r="F38" s="4" t="n">
        <v>122</v>
      </c>
      <c r="G38" s="5" t="n">
        <v>42.93</v>
      </c>
      <c r="H38" s="5">
        <f>F38*G38</f>
        <v/>
      </c>
    </row>
    <row r="39">
      <c r="A39" s="2" t="n">
        <v>46132</v>
      </c>
      <c r="B39" s="3" t="inlineStr">
        <is>
          <t>BIL-2604-0038</t>
        </is>
      </c>
      <c r="C39" s="3" t="inlineStr">
        <is>
          <t>Magadh Wholesale Co.</t>
        </is>
      </c>
      <c r="D39" s="3" t="inlineStr">
        <is>
          <t>Curd Cup 400g</t>
        </is>
      </c>
      <c r="E39" s="3" t="inlineStr">
        <is>
          <t>Dairy</t>
        </is>
      </c>
      <c r="F39" s="4" t="n">
        <v>395</v>
      </c>
      <c r="G39" s="5" t="n">
        <v>35.4</v>
      </c>
      <c r="H39" s="5">
        <f>F39*G39</f>
        <v/>
      </c>
    </row>
    <row r="40">
      <c r="A40" s="2" t="n">
        <v>46133</v>
      </c>
      <c r="B40" s="3" t="inlineStr">
        <is>
          <t>BIL-2604-0039</t>
        </is>
      </c>
      <c r="C40" s="3" t="inlineStr">
        <is>
          <t>Vaishali Supply House</t>
        </is>
      </c>
      <c r="D40" s="3" t="inlineStr">
        <is>
          <t>Paneer 200g</t>
        </is>
      </c>
      <c r="E40" s="3" t="inlineStr">
        <is>
          <t>Dairy</t>
        </is>
      </c>
      <c r="F40" s="4" t="n">
        <v>54</v>
      </c>
      <c r="G40" s="5" t="n">
        <v>79.16</v>
      </c>
      <c r="H40" s="5">
        <f>F40*G40</f>
        <v/>
      </c>
    </row>
    <row r="41">
      <c r="A41" s="2" t="n">
        <v>46133</v>
      </c>
      <c r="B41" s="3" t="inlineStr">
        <is>
          <t>BIL-2604-0040</t>
        </is>
      </c>
      <c r="C41" s="3" t="inlineStr">
        <is>
          <t>Sone Valley Traders</t>
        </is>
      </c>
      <c r="D41" s="3" t="inlineStr">
        <is>
          <t>Instant Noodles 280g</t>
        </is>
      </c>
      <c r="E41" s="3" t="inlineStr">
        <is>
          <t>Snacks</t>
        </is>
      </c>
      <c r="F41" s="4" t="n">
        <v>136</v>
      </c>
      <c r="G41" s="5" t="n">
        <v>42.47</v>
      </c>
      <c r="H41" s="5">
        <f>F41*G41</f>
        <v/>
      </c>
    </row>
    <row r="42">
      <c r="A42" s="2" t="n">
        <v>46133</v>
      </c>
      <c r="B42" s="3" t="inlineStr">
        <is>
          <t>BIL-2604-0041</t>
        </is>
      </c>
      <c r="C42" s="3" t="inlineStr">
        <is>
          <t>Sone Valley Traders</t>
        </is>
      </c>
      <c r="D42" s="3" t="inlineStr">
        <is>
          <t>Detergent 1kg</t>
        </is>
      </c>
      <c r="E42" s="3" t="inlineStr">
        <is>
          <t>Household</t>
        </is>
      </c>
      <c r="F42" s="4" t="n">
        <v>303</v>
      </c>
      <c r="G42" s="5" t="n">
        <v>106.34</v>
      </c>
      <c r="H42" s="5">
        <f>F42*G42</f>
        <v/>
      </c>
    </row>
    <row r="43">
      <c r="A43" s="2" t="n">
        <v>46133</v>
      </c>
      <c r="B43" s="3" t="inlineStr">
        <is>
          <t>BIL-2604-0042</t>
        </is>
      </c>
      <c r="C43" s="3" t="inlineStr">
        <is>
          <t>Vaishali Supply House</t>
        </is>
      </c>
      <c r="D43" s="3" t="inlineStr">
        <is>
          <t>Biscuits 400g</t>
        </is>
      </c>
      <c r="E43" s="3" t="inlineStr">
        <is>
          <t>Snacks</t>
        </is>
      </c>
      <c r="F43" s="4" t="n">
        <v>116</v>
      </c>
      <c r="G43" s="5" t="n">
        <v>30.63</v>
      </c>
      <c r="H43" s="5">
        <f>F43*G43</f>
        <v/>
      </c>
    </row>
    <row r="44">
      <c r="A44" s="2" t="n">
        <v>46134</v>
      </c>
      <c r="B44" s="3" t="inlineStr">
        <is>
          <t>BIL-2604-0043</t>
        </is>
      </c>
      <c r="C44" s="3" t="inlineStr">
        <is>
          <t>Magadh Wholesale Co.</t>
        </is>
      </c>
      <c r="D44" s="3" t="inlineStr">
        <is>
          <t>Toned Milk 1L</t>
        </is>
      </c>
      <c r="E44" s="3" t="inlineStr">
        <is>
          <t>Dairy</t>
        </is>
      </c>
      <c r="F44" s="4" t="n">
        <v>188</v>
      </c>
      <c r="G44" s="5" t="n">
        <v>55.03</v>
      </c>
      <c r="H44" s="5">
        <f>F44*G44</f>
        <v/>
      </c>
    </row>
    <row r="45">
      <c r="A45" s="2" t="n">
        <v>46134</v>
      </c>
      <c r="B45" s="3" t="inlineStr">
        <is>
          <t>BIL-2604-0044</t>
        </is>
      </c>
      <c r="C45" s="3" t="inlineStr">
        <is>
          <t>Koshi Enterprises</t>
        </is>
      </c>
      <c r="D45" s="3" t="inlineStr">
        <is>
          <t>Curd Cup 400g</t>
        </is>
      </c>
      <c r="E45" s="3" t="inlineStr">
        <is>
          <t>Dairy</t>
        </is>
      </c>
      <c r="F45" s="4" t="n">
        <v>225</v>
      </c>
      <c r="G45" s="5" t="n">
        <v>35.02</v>
      </c>
      <c r="H45" s="5">
        <f>F45*G45</f>
        <v/>
      </c>
    </row>
    <row r="46">
      <c r="A46" s="2" t="n">
        <v>46134</v>
      </c>
      <c r="B46" s="3" t="inlineStr">
        <is>
          <t>BIL-2604-0045</t>
        </is>
      </c>
      <c r="C46" s="3" t="inlineStr">
        <is>
          <t>Patliputra Agencies</t>
        </is>
      </c>
      <c r="D46" s="3" t="inlineStr">
        <is>
          <t>Paneer 200g</t>
        </is>
      </c>
      <c r="E46" s="3" t="inlineStr">
        <is>
          <t>Dairy</t>
        </is>
      </c>
      <c r="F46" s="4" t="n">
        <v>400</v>
      </c>
      <c r="G46" s="5" t="n">
        <v>77.34</v>
      </c>
      <c r="H46" s="5">
        <f>F46*G46</f>
        <v/>
      </c>
    </row>
    <row r="47">
      <c r="A47" s="2" t="n">
        <v>46134</v>
      </c>
      <c r="B47" s="3" t="inlineStr">
        <is>
          <t>BIL-2604-0046</t>
        </is>
      </c>
      <c r="C47" s="3" t="inlineStr">
        <is>
          <t>Vaishali Supply House</t>
        </is>
      </c>
      <c r="D47" s="3" t="inlineStr">
        <is>
          <t>Floor Cleaner 1L</t>
        </is>
      </c>
      <c r="E47" s="3" t="inlineStr">
        <is>
          <t>Household</t>
        </is>
      </c>
      <c r="F47" s="4" t="n">
        <v>232</v>
      </c>
      <c r="G47" s="5" t="n">
        <v>89.43000000000001</v>
      </c>
      <c r="H47" s="5">
        <f>F47*G47</f>
        <v/>
      </c>
    </row>
    <row r="48">
      <c r="A48" s="2" t="n">
        <v>46135</v>
      </c>
      <c r="B48" s="3" t="inlineStr">
        <is>
          <t>BIL-2604-0047</t>
        </is>
      </c>
      <c r="C48" s="3" t="inlineStr">
        <is>
          <t>Bihar Foods Distributors</t>
        </is>
      </c>
      <c r="D48" s="3" t="inlineStr">
        <is>
          <t>Potato Chips 150g</t>
        </is>
      </c>
      <c r="E48" s="3" t="inlineStr">
        <is>
          <t>Snacks</t>
        </is>
      </c>
      <c r="F48" s="4" t="n">
        <v>77</v>
      </c>
      <c r="G48" s="5" t="n">
        <v>38.47</v>
      </c>
      <c r="H48" s="5">
        <f>F48*G48</f>
        <v/>
      </c>
    </row>
    <row r="49">
      <c r="A49" s="2" t="n">
        <v>46135</v>
      </c>
      <c r="B49" s="3" t="inlineStr">
        <is>
          <t>BIL-2604-0048</t>
        </is>
      </c>
      <c r="C49" s="3" t="inlineStr">
        <is>
          <t>Bihar Foods Distributors</t>
        </is>
      </c>
      <c r="D49" s="3" t="inlineStr">
        <is>
          <t>Paneer 200g</t>
        </is>
      </c>
      <c r="E49" s="3" t="inlineStr">
        <is>
          <t>Dairy</t>
        </is>
      </c>
      <c r="F49" s="4" t="n">
        <v>226</v>
      </c>
      <c r="G49" s="5" t="n">
        <v>79.62</v>
      </c>
      <c r="H49" s="5">
        <f>F49*G49</f>
        <v/>
      </c>
    </row>
    <row r="50">
      <c r="A50" s="2" t="n">
        <v>46135</v>
      </c>
      <c r="B50" s="3" t="inlineStr">
        <is>
          <t>BIL-2604-0049</t>
        </is>
      </c>
      <c r="C50" s="3" t="inlineStr">
        <is>
          <t>Koshi Enterprises</t>
        </is>
      </c>
      <c r="D50" s="3" t="inlineStr">
        <is>
          <t>Instant Noodles 280g</t>
        </is>
      </c>
      <c r="E50" s="3" t="inlineStr">
        <is>
          <t>Snacks</t>
        </is>
      </c>
      <c r="F50" s="4" t="n">
        <v>99</v>
      </c>
      <c r="G50" s="5" t="n">
        <v>41.51</v>
      </c>
      <c r="H50" s="5">
        <f>F50*G50</f>
        <v/>
      </c>
    </row>
    <row r="51">
      <c r="A51" s="2" t="n">
        <v>46136</v>
      </c>
      <c r="B51" s="3" t="inlineStr">
        <is>
          <t>BIL-2604-0050</t>
        </is>
      </c>
      <c r="C51" s="3" t="inlineStr">
        <is>
          <t>Koshi Enterprises</t>
        </is>
      </c>
      <c r="D51" s="3" t="inlineStr">
        <is>
          <t>Dish Soap 500ml</t>
        </is>
      </c>
      <c r="E51" s="3" t="inlineStr">
        <is>
          <t>Household</t>
        </is>
      </c>
      <c r="F51" s="4" t="n">
        <v>221</v>
      </c>
      <c r="G51" s="5" t="n">
        <v>78.65000000000001</v>
      </c>
      <c r="H51" s="5">
        <f>F51*G51</f>
        <v/>
      </c>
    </row>
    <row r="52">
      <c r="A52" s="2" t="n">
        <v>46137</v>
      </c>
      <c r="B52" s="3" t="inlineStr">
        <is>
          <t>BIL-2604-0051</t>
        </is>
      </c>
      <c r="C52" s="3" t="inlineStr">
        <is>
          <t>Bihar Foods Distributors</t>
        </is>
      </c>
      <c r="D52" s="3" t="inlineStr">
        <is>
          <t>Instant Noodles 280g</t>
        </is>
      </c>
      <c r="E52" s="3" t="inlineStr">
        <is>
          <t>Snacks</t>
        </is>
      </c>
      <c r="F52" s="4" t="n">
        <v>83</v>
      </c>
      <c r="G52" s="5" t="n">
        <v>42.47</v>
      </c>
      <c r="H52" s="5">
        <f>F52*G52</f>
        <v/>
      </c>
    </row>
    <row r="53">
      <c r="A53" s="2" t="n">
        <v>46138</v>
      </c>
      <c r="B53" s="3" t="inlineStr">
        <is>
          <t>BIL-2604-0052</t>
        </is>
      </c>
      <c r="C53" s="3" t="inlineStr">
        <is>
          <t>Ganga FMCG Supply</t>
        </is>
      </c>
      <c r="D53" s="3" t="inlineStr">
        <is>
          <t>Mango Juice 1L</t>
        </is>
      </c>
      <c r="E53" s="3" t="inlineStr">
        <is>
          <t>Beverages</t>
        </is>
      </c>
      <c r="F53" s="4" t="n">
        <v>355</v>
      </c>
      <c r="G53" s="5" t="n">
        <v>97.42</v>
      </c>
      <c r="H53" s="5">
        <f>F53*G53</f>
        <v/>
      </c>
    </row>
    <row r="54">
      <c r="A54" s="2" t="n">
        <v>46138</v>
      </c>
      <c r="B54" s="3" t="inlineStr">
        <is>
          <t>BIL-2604-0053</t>
        </is>
      </c>
      <c r="C54" s="3" t="inlineStr">
        <is>
          <t>Patliputra Agencies</t>
        </is>
      </c>
      <c r="D54" s="3" t="inlineStr">
        <is>
          <t>Dish Soap 500ml</t>
        </is>
      </c>
      <c r="E54" s="3" t="inlineStr">
        <is>
          <t>Household</t>
        </is>
      </c>
      <c r="F54" s="4" t="n">
        <v>225</v>
      </c>
      <c r="G54" s="5" t="n">
        <v>79.19</v>
      </c>
      <c r="H54" s="5">
        <f>F54*G54</f>
        <v/>
      </c>
    </row>
    <row r="55">
      <c r="A55" s="2" t="n">
        <v>46140</v>
      </c>
      <c r="B55" s="3" t="inlineStr">
        <is>
          <t>BIL-2604-0054</t>
        </is>
      </c>
      <c r="C55" s="3" t="inlineStr">
        <is>
          <t>Magadh Wholesale Co.</t>
        </is>
      </c>
      <c r="D55" s="3" t="inlineStr">
        <is>
          <t>Instant Noodles 280g</t>
        </is>
      </c>
      <c r="E55" s="3" t="inlineStr">
        <is>
          <t>Snacks</t>
        </is>
      </c>
      <c r="F55" s="4" t="n">
        <v>321</v>
      </c>
      <c r="G55" s="5" t="n">
        <v>41.16</v>
      </c>
      <c r="H55" s="5">
        <f>F55*G55</f>
        <v/>
      </c>
    </row>
    <row r="56">
      <c r="A56" s="2" t="n">
        <v>46140</v>
      </c>
      <c r="B56" s="3" t="inlineStr">
        <is>
          <t>BIL-2604-0055</t>
        </is>
      </c>
      <c r="C56" s="3" t="inlineStr">
        <is>
          <t>Vaishali Supply House</t>
        </is>
      </c>
      <c r="D56" s="3" t="inlineStr">
        <is>
          <t>Potato Chips 150g</t>
        </is>
      </c>
      <c r="E56" s="3" t="inlineStr">
        <is>
          <t>Snacks</t>
        </is>
      </c>
      <c r="F56" s="4" t="n">
        <v>115</v>
      </c>
      <c r="G56" s="5" t="n">
        <v>38.44</v>
      </c>
      <c r="H56" s="5">
        <f>F56*G56</f>
        <v/>
      </c>
    </row>
    <row r="57">
      <c r="A57" s="2" t="n">
        <v>46140</v>
      </c>
      <c r="B57" s="3" t="inlineStr">
        <is>
          <t>BIL-2604-0056</t>
        </is>
      </c>
      <c r="C57" s="3" t="inlineStr">
        <is>
          <t>Koshi Enterprises</t>
        </is>
      </c>
      <c r="D57" s="3" t="inlineStr">
        <is>
          <t>Packaged Water 1L</t>
        </is>
      </c>
      <c r="E57" s="3" t="inlineStr">
        <is>
          <t>Beverages</t>
        </is>
      </c>
      <c r="F57" s="4" t="n">
        <v>274</v>
      </c>
      <c r="G57" s="5" t="n">
        <v>15.21</v>
      </c>
      <c r="H57" s="5">
        <f>F57*G57</f>
        <v/>
      </c>
    </row>
    <row r="58">
      <c r="A58" s="2" t="n">
        <v>46141</v>
      </c>
      <c r="B58" s="3" t="inlineStr">
        <is>
          <t>BIL-2604-0057</t>
        </is>
      </c>
      <c r="C58" s="3" t="inlineStr">
        <is>
          <t>Koshi Enterprises</t>
        </is>
      </c>
      <c r="D58" s="3" t="inlineStr">
        <is>
          <t>Potato Chips 150g</t>
        </is>
      </c>
      <c r="E58" s="3" t="inlineStr">
        <is>
          <t>Snacks</t>
        </is>
      </c>
      <c r="F58" s="4" t="n">
        <v>125</v>
      </c>
      <c r="G58" s="5" t="n">
        <v>38.08</v>
      </c>
      <c r="H58" s="5">
        <f>F58*G58</f>
        <v/>
      </c>
    </row>
    <row r="59">
      <c r="A59" s="2" t="n">
        <v>46142</v>
      </c>
      <c r="B59" s="3" t="inlineStr">
        <is>
          <t>BIL-2604-0058</t>
        </is>
      </c>
      <c r="C59" s="3" t="inlineStr">
        <is>
          <t>Sone Valley Traders</t>
        </is>
      </c>
      <c r="D59" s="3" t="inlineStr">
        <is>
          <t>Toned Milk 1L</t>
        </is>
      </c>
      <c r="E59" s="3" t="inlineStr">
        <is>
          <t>Dairy</t>
        </is>
      </c>
      <c r="F59" s="4" t="n">
        <v>142</v>
      </c>
      <c r="G59" s="5" t="n">
        <v>54.18</v>
      </c>
      <c r="H59" s="5">
        <f>F59*G59</f>
        <v/>
      </c>
    </row>
    <row r="60">
      <c r="A60" s="2" t="n">
        <v>46142</v>
      </c>
      <c r="B60" s="3" t="inlineStr">
        <is>
          <t>BIL-2604-0059</t>
        </is>
      </c>
      <c r="C60" s="3" t="inlineStr">
        <is>
          <t>Nalanda Distribution</t>
        </is>
      </c>
      <c r="D60" s="3" t="inlineStr">
        <is>
          <t>Toned Milk 1L</t>
        </is>
      </c>
      <c r="E60" s="3" t="inlineStr">
        <is>
          <t>Dairy</t>
        </is>
      </c>
      <c r="F60" s="4" t="n">
        <v>205</v>
      </c>
      <c r="G60" s="5" t="n">
        <v>53.09</v>
      </c>
      <c r="H60" s="5">
        <f>F60*G60</f>
        <v/>
      </c>
    </row>
    <row r="61">
      <c r="A61" s="2" t="n">
        <v>46143</v>
      </c>
      <c r="B61" s="3" t="inlineStr">
        <is>
          <t>BIL-2605-0060</t>
        </is>
      </c>
      <c r="C61" s="3" t="inlineStr">
        <is>
          <t>Magadh Wholesale Co.</t>
        </is>
      </c>
      <c r="D61" s="3" t="inlineStr">
        <is>
          <t>Mango Juice 1L</t>
        </is>
      </c>
      <c r="E61" s="3" t="inlineStr">
        <is>
          <t>Beverages</t>
        </is>
      </c>
      <c r="F61" s="4" t="n">
        <v>233</v>
      </c>
      <c r="G61" s="5" t="n">
        <v>96.93000000000001</v>
      </c>
      <c r="H61" s="5">
        <f>F61*G61</f>
        <v/>
      </c>
    </row>
    <row r="62">
      <c r="A62" s="2" t="n">
        <v>46143</v>
      </c>
      <c r="B62" s="3" t="inlineStr">
        <is>
          <t>BIL-2605-0061</t>
        </is>
      </c>
      <c r="C62" s="3" t="inlineStr">
        <is>
          <t>Ganga FMCG Supply</t>
        </is>
      </c>
      <c r="D62" s="3" t="inlineStr">
        <is>
          <t>Mango Juice 1L</t>
        </is>
      </c>
      <c r="E62" s="3" t="inlineStr">
        <is>
          <t>Beverages</t>
        </is>
      </c>
      <c r="F62" s="4" t="n">
        <v>292</v>
      </c>
      <c r="G62" s="5" t="n">
        <v>95.43000000000001</v>
      </c>
      <c r="H62" s="5">
        <f>F62*G62</f>
        <v/>
      </c>
    </row>
    <row r="63">
      <c r="A63" s="2" t="n">
        <v>46144</v>
      </c>
      <c r="B63" s="3" t="inlineStr">
        <is>
          <t>BIL-2605-0062</t>
        </is>
      </c>
      <c r="C63" s="3" t="inlineStr">
        <is>
          <t>Nalanda Distribution</t>
        </is>
      </c>
      <c r="D63" s="3" t="inlineStr">
        <is>
          <t>Floor Cleaner 1L</t>
        </is>
      </c>
      <c r="E63" s="3" t="inlineStr">
        <is>
          <t>Household</t>
        </is>
      </c>
      <c r="F63" s="4" t="n">
        <v>176</v>
      </c>
      <c r="G63" s="5" t="n">
        <v>86.28</v>
      </c>
      <c r="H63" s="5">
        <f>F63*G63</f>
        <v/>
      </c>
    </row>
    <row r="64">
      <c r="A64" s="2" t="n">
        <v>46144</v>
      </c>
      <c r="B64" s="3" t="inlineStr">
        <is>
          <t>BIL-2605-0063</t>
        </is>
      </c>
      <c r="C64" s="3" t="inlineStr">
        <is>
          <t>Bihar Foods Distributors</t>
        </is>
      </c>
      <c r="D64" s="3" t="inlineStr">
        <is>
          <t>Detergent 1kg</t>
        </is>
      </c>
      <c r="E64" s="3" t="inlineStr">
        <is>
          <t>Household</t>
        </is>
      </c>
      <c r="F64" s="4" t="n">
        <v>78</v>
      </c>
      <c r="G64" s="5" t="n">
        <v>103.16</v>
      </c>
      <c r="H64" s="5">
        <f>F64*G64</f>
        <v/>
      </c>
    </row>
    <row r="65">
      <c r="A65" s="2" t="n">
        <v>46146</v>
      </c>
      <c r="B65" s="3" t="inlineStr">
        <is>
          <t>BIL-2605-0064</t>
        </is>
      </c>
      <c r="C65" s="3" t="inlineStr">
        <is>
          <t>Vaishali Supply House</t>
        </is>
      </c>
      <c r="D65" s="3" t="inlineStr">
        <is>
          <t>Floor Cleaner 1L</t>
        </is>
      </c>
      <c r="E65" s="3" t="inlineStr">
        <is>
          <t>Household</t>
        </is>
      </c>
      <c r="F65" s="4" t="n">
        <v>85</v>
      </c>
      <c r="G65" s="5" t="n">
        <v>87.51000000000001</v>
      </c>
      <c r="H65" s="5">
        <f>F65*G65</f>
        <v/>
      </c>
    </row>
    <row r="66">
      <c r="A66" s="2" t="n">
        <v>46146</v>
      </c>
      <c r="B66" s="3" t="inlineStr">
        <is>
          <t>BIL-2605-0065</t>
        </is>
      </c>
      <c r="C66" s="3" t="inlineStr">
        <is>
          <t>Nalanda Distribution</t>
        </is>
      </c>
      <c r="D66" s="3" t="inlineStr">
        <is>
          <t>Packaged Water 1L</t>
        </is>
      </c>
      <c r="E66" s="3" t="inlineStr">
        <is>
          <t>Beverages</t>
        </is>
      </c>
      <c r="F66" s="4" t="n">
        <v>327</v>
      </c>
      <c r="G66" s="5" t="n">
        <v>15.08</v>
      </c>
      <c r="H66" s="5">
        <f>F66*G66</f>
        <v/>
      </c>
    </row>
    <row r="67">
      <c r="A67" s="2" t="n">
        <v>46147</v>
      </c>
      <c r="B67" s="3" t="inlineStr">
        <is>
          <t>BIL-2605-0066</t>
        </is>
      </c>
      <c r="C67" s="3" t="inlineStr">
        <is>
          <t>Nalanda Distribution</t>
        </is>
      </c>
      <c r="D67" s="3" t="inlineStr">
        <is>
          <t>Instant Noodles 280g</t>
        </is>
      </c>
      <c r="E67" s="3" t="inlineStr">
        <is>
          <t>Snacks</t>
        </is>
      </c>
      <c r="F67" s="4" t="n">
        <v>343</v>
      </c>
      <c r="G67" s="5" t="n">
        <v>41.62</v>
      </c>
      <c r="H67" s="5">
        <f>F67*G67</f>
        <v/>
      </c>
    </row>
    <row r="68">
      <c r="A68" s="2" t="n">
        <v>46147</v>
      </c>
      <c r="B68" s="3" t="inlineStr">
        <is>
          <t>BIL-2605-0067</t>
        </is>
      </c>
      <c r="C68" s="3" t="inlineStr">
        <is>
          <t>Patliputra Agencies</t>
        </is>
      </c>
      <c r="D68" s="3" t="inlineStr">
        <is>
          <t>Instant Noodles 280g</t>
        </is>
      </c>
      <c r="E68" s="3" t="inlineStr">
        <is>
          <t>Snacks</t>
        </is>
      </c>
      <c r="F68" s="4" t="n">
        <v>106</v>
      </c>
      <c r="G68" s="5" t="n">
        <v>42.62</v>
      </c>
      <c r="H68" s="5">
        <f>F68*G68</f>
        <v/>
      </c>
    </row>
    <row r="69">
      <c r="A69" s="2" t="n">
        <v>46147</v>
      </c>
      <c r="B69" s="3" t="inlineStr">
        <is>
          <t>BIL-2605-0068</t>
        </is>
      </c>
      <c r="C69" s="3" t="inlineStr">
        <is>
          <t>Magadh Wholesale Co.</t>
        </is>
      </c>
      <c r="D69" s="3" t="inlineStr">
        <is>
          <t>Packaged Water 1L</t>
        </is>
      </c>
      <c r="E69" s="3" t="inlineStr">
        <is>
          <t>Beverages</t>
        </is>
      </c>
      <c r="F69" s="4" t="n">
        <v>124</v>
      </c>
      <c r="G69" s="5" t="n">
        <v>15.32</v>
      </c>
      <c r="H69" s="5">
        <f>F69*G69</f>
        <v/>
      </c>
    </row>
    <row r="70">
      <c r="A70" s="2" t="n">
        <v>46148</v>
      </c>
      <c r="B70" s="3" t="inlineStr">
        <is>
          <t>BIL-2605-0069</t>
        </is>
      </c>
      <c r="C70" s="3" t="inlineStr">
        <is>
          <t>Koshi Enterprises</t>
        </is>
      </c>
      <c r="D70" s="3" t="inlineStr">
        <is>
          <t>Potato Chips 150g</t>
        </is>
      </c>
      <c r="E70" s="3" t="inlineStr">
        <is>
          <t>Snacks</t>
        </is>
      </c>
      <c r="F70" s="4" t="n">
        <v>316</v>
      </c>
      <c r="G70" s="5" t="n">
        <v>38.86</v>
      </c>
      <c r="H70" s="5">
        <f>F70*G70</f>
        <v/>
      </c>
    </row>
    <row r="71">
      <c r="A71" s="2" t="n">
        <v>46148</v>
      </c>
      <c r="B71" s="3" t="inlineStr">
        <is>
          <t>BIL-2605-0070</t>
        </is>
      </c>
      <c r="C71" s="3" t="inlineStr">
        <is>
          <t>Sone Valley Traders</t>
        </is>
      </c>
      <c r="D71" s="3" t="inlineStr">
        <is>
          <t>Detergent 1kg</t>
        </is>
      </c>
      <c r="E71" s="3" t="inlineStr">
        <is>
          <t>Household</t>
        </is>
      </c>
      <c r="F71" s="4" t="n">
        <v>202</v>
      </c>
      <c r="G71" s="5" t="n">
        <v>106.41</v>
      </c>
      <c r="H71" s="5">
        <f>F71*G71</f>
        <v/>
      </c>
    </row>
    <row r="72">
      <c r="A72" s="2" t="n">
        <v>46148</v>
      </c>
      <c r="B72" s="3" t="inlineStr">
        <is>
          <t>BIL-2605-0071</t>
        </is>
      </c>
      <c r="C72" s="3" t="inlineStr">
        <is>
          <t>Sone Valley Traders</t>
        </is>
      </c>
      <c r="D72" s="3" t="inlineStr">
        <is>
          <t>Cola 750ml</t>
        </is>
      </c>
      <c r="E72" s="3" t="inlineStr">
        <is>
          <t>Beverages</t>
        </is>
      </c>
      <c r="F72" s="4" t="n">
        <v>246</v>
      </c>
      <c r="G72" s="5" t="n">
        <v>36.69</v>
      </c>
      <c r="H72" s="5">
        <f>F72*G72</f>
        <v/>
      </c>
    </row>
    <row r="73">
      <c r="A73" s="2" t="n">
        <v>46148</v>
      </c>
      <c r="B73" s="3" t="inlineStr">
        <is>
          <t>BIL-2605-0072</t>
        </is>
      </c>
      <c r="C73" s="3" t="inlineStr">
        <is>
          <t>Magadh Wholesale Co.</t>
        </is>
      </c>
      <c r="D73" s="3" t="inlineStr">
        <is>
          <t>Curd Cup 400g</t>
        </is>
      </c>
      <c r="E73" s="3" t="inlineStr">
        <is>
          <t>Dairy</t>
        </is>
      </c>
      <c r="F73" s="4" t="n">
        <v>182</v>
      </c>
      <c r="G73" s="5" t="n">
        <v>35.55</v>
      </c>
      <c r="H73" s="5">
        <f>F73*G73</f>
        <v/>
      </c>
    </row>
    <row r="74">
      <c r="A74" s="2" t="n">
        <v>46149</v>
      </c>
      <c r="B74" s="3" t="inlineStr">
        <is>
          <t>BIL-2605-0073</t>
        </is>
      </c>
      <c r="C74" s="3" t="inlineStr">
        <is>
          <t>Vaishali Supply House</t>
        </is>
      </c>
      <c r="D74" s="3" t="inlineStr">
        <is>
          <t>Biscuits 400g</t>
        </is>
      </c>
      <c r="E74" s="3" t="inlineStr">
        <is>
          <t>Snacks</t>
        </is>
      </c>
      <c r="F74" s="4" t="n">
        <v>138</v>
      </c>
      <c r="G74" s="5" t="n">
        <v>29.48</v>
      </c>
      <c r="H74" s="5">
        <f>F74*G74</f>
        <v/>
      </c>
    </row>
    <row r="75">
      <c r="A75" s="2" t="n">
        <v>46150</v>
      </c>
      <c r="B75" s="3" t="inlineStr">
        <is>
          <t>BIL-2605-0074</t>
        </is>
      </c>
      <c r="C75" s="3" t="inlineStr">
        <is>
          <t>Sone Valley Traders</t>
        </is>
      </c>
      <c r="D75" s="3" t="inlineStr">
        <is>
          <t>Mango Juice 1L</t>
        </is>
      </c>
      <c r="E75" s="3" t="inlineStr">
        <is>
          <t>Beverages</t>
        </is>
      </c>
      <c r="F75" s="4" t="n">
        <v>199</v>
      </c>
      <c r="G75" s="5" t="n">
        <v>98.23999999999999</v>
      </c>
      <c r="H75" s="5">
        <f>F75*G75</f>
        <v/>
      </c>
    </row>
    <row r="76">
      <c r="A76" s="2" t="n">
        <v>46150</v>
      </c>
      <c r="B76" s="3" t="inlineStr">
        <is>
          <t>BIL-2605-0075</t>
        </is>
      </c>
      <c r="C76" s="3" t="inlineStr">
        <is>
          <t>Koshi Enterprises</t>
        </is>
      </c>
      <c r="D76" s="3" t="inlineStr">
        <is>
          <t>Packaged Water 1L</t>
        </is>
      </c>
      <c r="E76" s="3" t="inlineStr">
        <is>
          <t>Beverages</t>
        </is>
      </c>
      <c r="F76" s="4" t="n">
        <v>327</v>
      </c>
      <c r="G76" s="5" t="n">
        <v>15.32</v>
      </c>
      <c r="H76" s="5">
        <f>F76*G76</f>
        <v/>
      </c>
    </row>
    <row r="77">
      <c r="A77" s="2" t="n">
        <v>46150</v>
      </c>
      <c r="B77" s="3" t="inlineStr">
        <is>
          <t>BIL-2605-0076</t>
        </is>
      </c>
      <c r="C77" s="3" t="inlineStr">
        <is>
          <t>Bihar Foods Distributors</t>
        </is>
      </c>
      <c r="D77" s="3" t="inlineStr">
        <is>
          <t>Mango Juice 1L</t>
        </is>
      </c>
      <c r="E77" s="3" t="inlineStr">
        <is>
          <t>Beverages</t>
        </is>
      </c>
      <c r="F77" s="4" t="n">
        <v>331</v>
      </c>
      <c r="G77" s="5" t="n">
        <v>95.25</v>
      </c>
      <c r="H77" s="5">
        <f>F77*G77</f>
        <v/>
      </c>
    </row>
    <row r="78">
      <c r="A78" s="2" t="n">
        <v>46150</v>
      </c>
      <c r="B78" s="3" t="inlineStr">
        <is>
          <t>BIL-2605-0077</t>
        </is>
      </c>
      <c r="C78" s="3" t="inlineStr">
        <is>
          <t>Magadh Wholesale Co.</t>
        </is>
      </c>
      <c r="D78" s="3" t="inlineStr">
        <is>
          <t>Packaged Water 1L</t>
        </is>
      </c>
      <c r="E78" s="3" t="inlineStr">
        <is>
          <t>Beverages</t>
        </is>
      </c>
      <c r="F78" s="4" t="n">
        <v>315</v>
      </c>
      <c r="G78" s="5" t="n">
        <v>15.24</v>
      </c>
      <c r="H78" s="5">
        <f>F78*G78</f>
        <v/>
      </c>
    </row>
    <row r="79">
      <c r="A79" s="2" t="n">
        <v>46151</v>
      </c>
      <c r="B79" s="3" t="inlineStr">
        <is>
          <t>BIL-2605-0078</t>
        </is>
      </c>
      <c r="C79" s="3" t="inlineStr">
        <is>
          <t>Koshi Enterprises</t>
        </is>
      </c>
      <c r="D79" s="3" t="inlineStr">
        <is>
          <t>Potato Chips 150g</t>
        </is>
      </c>
      <c r="E79" s="3" t="inlineStr">
        <is>
          <t>Snacks</t>
        </is>
      </c>
      <c r="F79" s="4" t="n">
        <v>388</v>
      </c>
      <c r="G79" s="5" t="n">
        <v>39.04</v>
      </c>
      <c r="H79" s="5">
        <f>F79*G79</f>
        <v/>
      </c>
    </row>
    <row r="80">
      <c r="A80" s="2" t="n">
        <v>46151</v>
      </c>
      <c r="B80" s="3" t="inlineStr">
        <is>
          <t>BIL-2605-0079</t>
        </is>
      </c>
      <c r="C80" s="3" t="inlineStr">
        <is>
          <t>Magadh Wholesale Co.</t>
        </is>
      </c>
      <c r="D80" s="3" t="inlineStr">
        <is>
          <t>Packaged Water 1L</t>
        </is>
      </c>
      <c r="E80" s="3" t="inlineStr">
        <is>
          <t>Beverages</t>
        </is>
      </c>
      <c r="F80" s="4" t="n">
        <v>318</v>
      </c>
      <c r="G80" s="5" t="n">
        <v>15.13</v>
      </c>
      <c r="H80" s="5">
        <f>F80*G80</f>
        <v/>
      </c>
    </row>
    <row r="81">
      <c r="A81" s="2" t="n">
        <v>46153</v>
      </c>
      <c r="B81" s="3" t="inlineStr">
        <is>
          <t>BIL-2605-0080</t>
        </is>
      </c>
      <c r="C81" s="3" t="inlineStr">
        <is>
          <t>Ganga FMCG Supply</t>
        </is>
      </c>
      <c r="D81" s="3" t="inlineStr">
        <is>
          <t>Floor Cleaner 1L</t>
        </is>
      </c>
      <c r="E81" s="3" t="inlineStr">
        <is>
          <t>Household</t>
        </is>
      </c>
      <c r="F81" s="4" t="n">
        <v>182</v>
      </c>
      <c r="G81" s="5" t="n">
        <v>88.44</v>
      </c>
      <c r="H81" s="5">
        <f>F81*G81</f>
        <v/>
      </c>
    </row>
    <row r="82">
      <c r="A82" s="2" t="n">
        <v>46153</v>
      </c>
      <c r="B82" s="3" t="inlineStr">
        <is>
          <t>BIL-2605-0081</t>
        </is>
      </c>
      <c r="C82" s="3" t="inlineStr">
        <is>
          <t>Sone Valley Traders</t>
        </is>
      </c>
      <c r="D82" s="3" t="inlineStr">
        <is>
          <t>Detergent 1kg</t>
        </is>
      </c>
      <c r="E82" s="3" t="inlineStr">
        <is>
          <t>Household</t>
        </is>
      </c>
      <c r="F82" s="4" t="n">
        <v>123</v>
      </c>
      <c r="G82" s="5" t="n">
        <v>102.44</v>
      </c>
      <c r="H82" s="5">
        <f>F82*G82</f>
        <v/>
      </c>
    </row>
    <row r="83">
      <c r="A83" s="2" t="n">
        <v>46153</v>
      </c>
      <c r="B83" s="3" t="inlineStr">
        <is>
          <t>BIL-2605-0082</t>
        </is>
      </c>
      <c r="C83" s="3" t="inlineStr">
        <is>
          <t>Vaishali Supply House</t>
        </is>
      </c>
      <c r="D83" s="3" t="inlineStr">
        <is>
          <t>Cola 750ml</t>
        </is>
      </c>
      <c r="E83" s="3" t="inlineStr">
        <is>
          <t>Beverages</t>
        </is>
      </c>
      <c r="F83" s="4" t="n">
        <v>343</v>
      </c>
      <c r="G83" s="5" t="n">
        <v>35.69</v>
      </c>
      <c r="H83" s="5">
        <f>F83*G83</f>
        <v/>
      </c>
    </row>
    <row r="84">
      <c r="A84" s="2" t="n">
        <v>46153</v>
      </c>
      <c r="B84" s="3" t="inlineStr">
        <is>
          <t>BIL-2605-0083</t>
        </is>
      </c>
      <c r="C84" s="3" t="inlineStr">
        <is>
          <t>Patliputra Agencies</t>
        </is>
      </c>
      <c r="D84" s="3" t="inlineStr">
        <is>
          <t>Paneer 200g</t>
        </is>
      </c>
      <c r="E84" s="3" t="inlineStr">
        <is>
          <t>Dairy</t>
        </is>
      </c>
      <c r="F84" s="4" t="n">
        <v>153</v>
      </c>
      <c r="G84" s="5" t="n">
        <v>79.25</v>
      </c>
      <c r="H84" s="5">
        <f>F84*G84</f>
        <v/>
      </c>
    </row>
    <row r="85">
      <c r="A85" s="2" t="n">
        <v>46154</v>
      </c>
      <c r="B85" s="3" t="inlineStr">
        <is>
          <t>BIL-2605-0084</t>
        </is>
      </c>
      <c r="C85" s="3" t="inlineStr">
        <is>
          <t>Koshi Enterprises</t>
        </is>
      </c>
      <c r="D85" s="3" t="inlineStr">
        <is>
          <t>Cola 750ml</t>
        </is>
      </c>
      <c r="E85" s="3" t="inlineStr">
        <is>
          <t>Beverages</t>
        </is>
      </c>
      <c r="F85" s="4" t="n">
        <v>63</v>
      </c>
      <c r="G85" s="5" t="n">
        <v>36.47</v>
      </c>
      <c r="H85" s="5">
        <f>F85*G85</f>
        <v/>
      </c>
    </row>
    <row r="86">
      <c r="A86" s="2" t="n">
        <v>46154</v>
      </c>
      <c r="B86" s="3" t="inlineStr">
        <is>
          <t>BIL-2605-0085</t>
        </is>
      </c>
      <c r="C86" s="3" t="inlineStr">
        <is>
          <t>Magadh Wholesale Co.</t>
        </is>
      </c>
      <c r="D86" s="3" t="inlineStr">
        <is>
          <t>Dish Soap 500ml</t>
        </is>
      </c>
      <c r="E86" s="3" t="inlineStr">
        <is>
          <t>Household</t>
        </is>
      </c>
      <c r="F86" s="4" t="n">
        <v>253</v>
      </c>
      <c r="G86" s="5" t="n">
        <v>81.29000000000001</v>
      </c>
      <c r="H86" s="5">
        <f>F86*G86</f>
        <v/>
      </c>
    </row>
    <row r="87">
      <c r="A87" s="2" t="n">
        <v>46154</v>
      </c>
      <c r="B87" s="3" t="inlineStr">
        <is>
          <t>BIL-2605-0086</t>
        </is>
      </c>
      <c r="C87" s="3" t="inlineStr">
        <is>
          <t>Vaishali Supply House</t>
        </is>
      </c>
      <c r="D87" s="3" t="inlineStr">
        <is>
          <t>Packaged Water 1L</t>
        </is>
      </c>
      <c r="E87" s="3" t="inlineStr">
        <is>
          <t>Beverages</t>
        </is>
      </c>
      <c r="F87" s="4" t="n">
        <v>82</v>
      </c>
      <c r="G87" s="5" t="n">
        <v>15.08</v>
      </c>
      <c r="H87" s="5">
        <f>F87*G87</f>
        <v/>
      </c>
    </row>
    <row r="88">
      <c r="A88" s="2" t="n">
        <v>46154</v>
      </c>
      <c r="B88" s="3" t="inlineStr">
        <is>
          <t>BIL-2605-0087</t>
        </is>
      </c>
      <c r="C88" s="3" t="inlineStr">
        <is>
          <t>Sone Valley Traders</t>
        </is>
      </c>
      <c r="D88" s="3" t="inlineStr">
        <is>
          <t>Floor Cleaner 1L</t>
        </is>
      </c>
      <c r="E88" s="3" t="inlineStr">
        <is>
          <t>Household</t>
        </is>
      </c>
      <c r="F88" s="4" t="n">
        <v>148</v>
      </c>
      <c r="G88" s="5" t="n">
        <v>89.53</v>
      </c>
      <c r="H88" s="5">
        <f>F88*G88</f>
        <v/>
      </c>
    </row>
    <row r="89">
      <c r="A89" s="2" t="n">
        <v>46156</v>
      </c>
      <c r="B89" s="3" t="inlineStr">
        <is>
          <t>BIL-2605-0088</t>
        </is>
      </c>
      <c r="C89" s="3" t="inlineStr">
        <is>
          <t>Magadh Wholesale Co.</t>
        </is>
      </c>
      <c r="D89" s="3" t="inlineStr">
        <is>
          <t>Mango Juice 1L</t>
        </is>
      </c>
      <c r="E89" s="3" t="inlineStr">
        <is>
          <t>Beverages</t>
        </is>
      </c>
      <c r="F89" s="4" t="n">
        <v>156</v>
      </c>
      <c r="G89" s="5" t="n">
        <v>95.69</v>
      </c>
      <c r="H89" s="5">
        <f>F89*G89</f>
        <v/>
      </c>
    </row>
    <row r="90">
      <c r="A90" s="2" t="n">
        <v>46156</v>
      </c>
      <c r="B90" s="3" t="inlineStr">
        <is>
          <t>BIL-2605-0089</t>
        </is>
      </c>
      <c r="C90" s="3" t="inlineStr">
        <is>
          <t>Koshi Enterprises</t>
        </is>
      </c>
      <c r="D90" s="3" t="inlineStr">
        <is>
          <t>Dish Soap 500ml</t>
        </is>
      </c>
      <c r="E90" s="3" t="inlineStr">
        <is>
          <t>Household</t>
        </is>
      </c>
      <c r="F90" s="4" t="n">
        <v>285</v>
      </c>
      <c r="G90" s="5" t="n">
        <v>77.95</v>
      </c>
      <c r="H90" s="5">
        <f>F90*G90</f>
        <v/>
      </c>
    </row>
    <row r="91">
      <c r="A91" s="2" t="n">
        <v>46156</v>
      </c>
      <c r="B91" s="3" t="inlineStr">
        <is>
          <t>BIL-2605-0090</t>
        </is>
      </c>
      <c r="C91" s="3" t="inlineStr">
        <is>
          <t>Koshi Enterprises</t>
        </is>
      </c>
      <c r="D91" s="3" t="inlineStr">
        <is>
          <t>Curd Cup 400g</t>
        </is>
      </c>
      <c r="E91" s="3" t="inlineStr">
        <is>
          <t>Dairy</t>
        </is>
      </c>
      <c r="F91" s="4" t="n">
        <v>202</v>
      </c>
      <c r="G91" s="5" t="n">
        <v>34.51</v>
      </c>
      <c r="H91" s="5">
        <f>F91*G91</f>
        <v/>
      </c>
    </row>
    <row r="92">
      <c r="A92" s="2" t="n">
        <v>46157</v>
      </c>
      <c r="B92" s="3" t="inlineStr">
        <is>
          <t>BIL-2605-0091</t>
        </is>
      </c>
      <c r="C92" s="3" t="inlineStr">
        <is>
          <t>Sone Valley Traders</t>
        </is>
      </c>
      <c r="D92" s="3" t="inlineStr">
        <is>
          <t>Packaged Water 1L</t>
        </is>
      </c>
      <c r="E92" s="3" t="inlineStr">
        <is>
          <t>Beverages</t>
        </is>
      </c>
      <c r="F92" s="4" t="n">
        <v>214</v>
      </c>
      <c r="G92" s="5" t="n">
        <v>15.34</v>
      </c>
      <c r="H92" s="5">
        <f>F92*G92</f>
        <v/>
      </c>
    </row>
    <row r="93">
      <c r="A93" s="2" t="n">
        <v>46158</v>
      </c>
      <c r="B93" s="3" t="inlineStr">
        <is>
          <t>BIL-2605-0092</t>
        </is>
      </c>
      <c r="C93" s="3" t="inlineStr">
        <is>
          <t>Vaishali Supply House</t>
        </is>
      </c>
      <c r="D93" s="3" t="inlineStr">
        <is>
          <t>Toned Milk 1L</t>
        </is>
      </c>
      <c r="E93" s="3" t="inlineStr">
        <is>
          <t>Dairy</t>
        </is>
      </c>
      <c r="F93" s="4" t="n">
        <v>96</v>
      </c>
      <c r="G93" s="5" t="n">
        <v>53.41</v>
      </c>
      <c r="H93" s="5">
        <f>F93*G93</f>
        <v/>
      </c>
    </row>
    <row r="94">
      <c r="A94" s="2" t="n">
        <v>46158</v>
      </c>
      <c r="B94" s="3" t="inlineStr">
        <is>
          <t>BIL-2605-0093</t>
        </is>
      </c>
      <c r="C94" s="3" t="inlineStr">
        <is>
          <t>Ganga FMCG Supply</t>
        </is>
      </c>
      <c r="D94" s="3" t="inlineStr">
        <is>
          <t>Paneer 200g</t>
        </is>
      </c>
      <c r="E94" s="3" t="inlineStr">
        <is>
          <t>Dairy</t>
        </is>
      </c>
      <c r="F94" s="4" t="n">
        <v>344</v>
      </c>
      <c r="G94" s="5" t="n">
        <v>78.66</v>
      </c>
      <c r="H94" s="5">
        <f>F94*G94</f>
        <v/>
      </c>
    </row>
    <row r="95">
      <c r="A95" s="2" t="n">
        <v>46158</v>
      </c>
      <c r="B95" s="3" t="inlineStr">
        <is>
          <t>BIL-2605-0094</t>
        </is>
      </c>
      <c r="C95" s="3" t="inlineStr">
        <is>
          <t>Ganga FMCG Supply</t>
        </is>
      </c>
      <c r="D95" s="3" t="inlineStr">
        <is>
          <t>Packaged Water 1L</t>
        </is>
      </c>
      <c r="E95" s="3" t="inlineStr">
        <is>
          <t>Beverages</t>
        </is>
      </c>
      <c r="F95" s="4" t="n">
        <v>71</v>
      </c>
      <c r="G95" s="5" t="n">
        <v>15.29</v>
      </c>
      <c r="H95" s="5">
        <f>F95*G95</f>
        <v/>
      </c>
    </row>
    <row r="96">
      <c r="A96" s="2" t="n">
        <v>46158</v>
      </c>
      <c r="B96" s="3" t="inlineStr">
        <is>
          <t>BIL-2605-0095</t>
        </is>
      </c>
      <c r="C96" s="3" t="inlineStr">
        <is>
          <t>Sone Valley Traders</t>
        </is>
      </c>
      <c r="D96" s="3" t="inlineStr">
        <is>
          <t>Mango Juice 1L</t>
        </is>
      </c>
      <c r="E96" s="3" t="inlineStr">
        <is>
          <t>Beverages</t>
        </is>
      </c>
      <c r="F96" s="4" t="n">
        <v>300</v>
      </c>
      <c r="G96" s="5" t="n">
        <v>96.75</v>
      </c>
      <c r="H96" s="5">
        <f>F96*G96</f>
        <v/>
      </c>
    </row>
    <row r="97">
      <c r="A97" s="2" t="n">
        <v>46159</v>
      </c>
      <c r="B97" s="3" t="inlineStr">
        <is>
          <t>BIL-2605-0096</t>
        </is>
      </c>
      <c r="C97" s="3" t="inlineStr">
        <is>
          <t>Ganga FMCG Supply</t>
        </is>
      </c>
      <c r="D97" s="3" t="inlineStr">
        <is>
          <t>Dish Soap 500ml</t>
        </is>
      </c>
      <c r="E97" s="3" t="inlineStr">
        <is>
          <t>Household</t>
        </is>
      </c>
      <c r="F97" s="4" t="n">
        <v>262</v>
      </c>
      <c r="G97" s="5" t="n">
        <v>78.66</v>
      </c>
      <c r="H97" s="5">
        <f>F97*G97</f>
        <v/>
      </c>
    </row>
    <row r="98">
      <c r="A98" s="2" t="n">
        <v>46159</v>
      </c>
      <c r="B98" s="3" t="inlineStr">
        <is>
          <t>BIL-2605-0097</t>
        </is>
      </c>
      <c r="C98" s="3" t="inlineStr">
        <is>
          <t>Patliputra Agencies</t>
        </is>
      </c>
      <c r="D98" s="3" t="inlineStr">
        <is>
          <t>Biscuits 400g</t>
        </is>
      </c>
      <c r="E98" s="3" t="inlineStr">
        <is>
          <t>Snacks</t>
        </is>
      </c>
      <c r="F98" s="4" t="n">
        <v>161</v>
      </c>
      <c r="G98" s="5" t="n">
        <v>30</v>
      </c>
      <c r="H98" s="5">
        <f>F98*G98</f>
        <v/>
      </c>
    </row>
    <row r="99">
      <c r="A99" s="2" t="n">
        <v>46159</v>
      </c>
      <c r="B99" s="3" t="inlineStr">
        <is>
          <t>BIL-2605-0098</t>
        </is>
      </c>
      <c r="C99" s="3" t="inlineStr">
        <is>
          <t>Patliputra Agencies</t>
        </is>
      </c>
      <c r="D99" s="3" t="inlineStr">
        <is>
          <t>Instant Noodles 280g</t>
        </is>
      </c>
      <c r="E99" s="3" t="inlineStr">
        <is>
          <t>Snacks</t>
        </is>
      </c>
      <c r="F99" s="4" t="n">
        <v>279</v>
      </c>
      <c r="G99" s="5" t="n">
        <v>42.92</v>
      </c>
      <c r="H99" s="5">
        <f>F99*G99</f>
        <v/>
      </c>
    </row>
    <row r="100">
      <c r="A100" s="2" t="n">
        <v>46159</v>
      </c>
      <c r="B100" s="3" t="inlineStr">
        <is>
          <t>BIL-2605-0099</t>
        </is>
      </c>
      <c r="C100" s="3" t="inlineStr">
        <is>
          <t>Ganga FMCG Supply</t>
        </is>
      </c>
      <c r="D100" s="3" t="inlineStr">
        <is>
          <t>Potato Chips 150g</t>
        </is>
      </c>
      <c r="E100" s="3" t="inlineStr">
        <is>
          <t>Snacks</t>
        </is>
      </c>
      <c r="F100" s="4" t="n">
        <v>156</v>
      </c>
      <c r="G100" s="5" t="n">
        <v>38.38</v>
      </c>
      <c r="H100" s="5">
        <f>F100*G100</f>
        <v/>
      </c>
    </row>
    <row r="101">
      <c r="A101" s="2" t="n">
        <v>46160</v>
      </c>
      <c r="B101" s="3" t="inlineStr">
        <is>
          <t>BIL-2605-0100</t>
        </is>
      </c>
      <c r="C101" s="3" t="inlineStr">
        <is>
          <t>Vaishali Supply House</t>
        </is>
      </c>
      <c r="D101" s="3" t="inlineStr">
        <is>
          <t>Biscuits 400g</t>
        </is>
      </c>
      <c r="E101" s="3" t="inlineStr">
        <is>
          <t>Snacks</t>
        </is>
      </c>
      <c r="F101" s="4" t="n">
        <v>161</v>
      </c>
      <c r="G101" s="5" t="n">
        <v>30.76</v>
      </c>
      <c r="H101" s="5">
        <f>F101*G101</f>
        <v/>
      </c>
    </row>
    <row r="102">
      <c r="A102" s="2" t="n">
        <v>46160</v>
      </c>
      <c r="B102" s="3" t="inlineStr">
        <is>
          <t>BIL-2605-0101</t>
        </is>
      </c>
      <c r="C102" s="3" t="inlineStr">
        <is>
          <t>Nalanda Distribution</t>
        </is>
      </c>
      <c r="D102" s="3" t="inlineStr">
        <is>
          <t>Cola 750ml</t>
        </is>
      </c>
      <c r="E102" s="3" t="inlineStr">
        <is>
          <t>Beverages</t>
        </is>
      </c>
      <c r="F102" s="4" t="n">
        <v>158</v>
      </c>
      <c r="G102" s="5" t="n">
        <v>35.9</v>
      </c>
      <c r="H102" s="5">
        <f>F102*G102</f>
        <v/>
      </c>
    </row>
    <row r="103">
      <c r="A103" s="2" t="n">
        <v>46160</v>
      </c>
      <c r="B103" s="3" t="inlineStr">
        <is>
          <t>BIL-2605-0102</t>
        </is>
      </c>
      <c r="C103" s="3" t="inlineStr">
        <is>
          <t>Ganga FMCG Supply</t>
        </is>
      </c>
      <c r="D103" s="3" t="inlineStr">
        <is>
          <t>Paneer 200g</t>
        </is>
      </c>
      <c r="E103" s="3" t="inlineStr">
        <is>
          <t>Dairy</t>
        </is>
      </c>
      <c r="F103" s="4" t="n">
        <v>374</v>
      </c>
      <c r="G103" s="5" t="n">
        <v>77.89</v>
      </c>
      <c r="H103" s="5">
        <f>F103*G103</f>
        <v/>
      </c>
    </row>
    <row r="104">
      <c r="A104" s="2" t="n">
        <v>46162</v>
      </c>
      <c r="B104" s="3" t="inlineStr">
        <is>
          <t>BIL-2605-0103</t>
        </is>
      </c>
      <c r="C104" s="3" t="inlineStr">
        <is>
          <t>Ganga FMCG Supply</t>
        </is>
      </c>
      <c r="D104" s="3" t="inlineStr">
        <is>
          <t>Cola 750ml</t>
        </is>
      </c>
      <c r="E104" s="3" t="inlineStr">
        <is>
          <t>Beverages</t>
        </is>
      </c>
      <c r="F104" s="4" t="n">
        <v>325</v>
      </c>
      <c r="G104" s="5" t="n">
        <v>36.27</v>
      </c>
      <c r="H104" s="5">
        <f>F104*G104</f>
        <v/>
      </c>
    </row>
    <row r="105">
      <c r="A105" s="2" t="n">
        <v>46162</v>
      </c>
      <c r="B105" s="3" t="inlineStr">
        <is>
          <t>BIL-2605-0104</t>
        </is>
      </c>
      <c r="C105" s="3" t="inlineStr">
        <is>
          <t>Sone Valley Traders</t>
        </is>
      </c>
      <c r="D105" s="3" t="inlineStr">
        <is>
          <t>Paneer 200g</t>
        </is>
      </c>
      <c r="E105" s="3" t="inlineStr">
        <is>
          <t>Dairy</t>
        </is>
      </c>
      <c r="F105" s="4" t="n">
        <v>239</v>
      </c>
      <c r="G105" s="5" t="n">
        <v>79.83</v>
      </c>
      <c r="H105" s="5">
        <f>F105*G105</f>
        <v/>
      </c>
    </row>
    <row r="106">
      <c r="A106" s="2" t="n">
        <v>46162</v>
      </c>
      <c r="B106" s="3" t="inlineStr">
        <is>
          <t>BIL-2605-0105</t>
        </is>
      </c>
      <c r="C106" s="3" t="inlineStr">
        <is>
          <t>Patliputra Agencies</t>
        </is>
      </c>
      <c r="D106" s="3" t="inlineStr">
        <is>
          <t>Curd Cup 400g</t>
        </is>
      </c>
      <c r="E106" s="3" t="inlineStr">
        <is>
          <t>Dairy</t>
        </is>
      </c>
      <c r="F106" s="4" t="n">
        <v>264</v>
      </c>
      <c r="G106" s="5" t="n">
        <v>35.12</v>
      </c>
      <c r="H106" s="5">
        <f>F106*G106</f>
        <v/>
      </c>
    </row>
    <row r="107">
      <c r="A107" s="2" t="n">
        <v>46163</v>
      </c>
      <c r="B107" s="3" t="inlineStr">
        <is>
          <t>BIL-2605-0106</t>
        </is>
      </c>
      <c r="C107" s="3" t="inlineStr">
        <is>
          <t>Patliputra Agencies</t>
        </is>
      </c>
      <c r="D107" s="3" t="inlineStr">
        <is>
          <t>Dish Soap 500ml</t>
        </is>
      </c>
      <c r="E107" s="3" t="inlineStr">
        <is>
          <t>Household</t>
        </is>
      </c>
      <c r="F107" s="4" t="n">
        <v>211</v>
      </c>
      <c r="G107" s="5" t="n">
        <v>77.84</v>
      </c>
      <c r="H107" s="5">
        <f>F107*G107</f>
        <v/>
      </c>
    </row>
    <row r="108">
      <c r="A108" s="2" t="n">
        <v>46163</v>
      </c>
      <c r="B108" s="3" t="inlineStr">
        <is>
          <t>BIL-2605-0107</t>
        </is>
      </c>
      <c r="C108" s="3" t="inlineStr">
        <is>
          <t>Nalanda Distribution</t>
        </is>
      </c>
      <c r="D108" s="3" t="inlineStr">
        <is>
          <t>Curd Cup 400g</t>
        </is>
      </c>
      <c r="E108" s="3" t="inlineStr">
        <is>
          <t>Dairy</t>
        </is>
      </c>
      <c r="F108" s="4" t="n">
        <v>400</v>
      </c>
      <c r="G108" s="5" t="n">
        <v>35.84</v>
      </c>
      <c r="H108" s="5">
        <f>F108*G108</f>
        <v/>
      </c>
    </row>
    <row r="109">
      <c r="A109" s="2" t="n">
        <v>46164</v>
      </c>
      <c r="B109" s="3" t="inlineStr">
        <is>
          <t>BIL-2605-0108</t>
        </is>
      </c>
      <c r="C109" s="3" t="inlineStr">
        <is>
          <t>Ganga FMCG Supply</t>
        </is>
      </c>
      <c r="D109" s="3" t="inlineStr">
        <is>
          <t>Floor Cleaner 1L</t>
        </is>
      </c>
      <c r="E109" s="3" t="inlineStr">
        <is>
          <t>Household</t>
        </is>
      </c>
      <c r="F109" s="4" t="n">
        <v>393</v>
      </c>
      <c r="G109" s="5" t="n">
        <v>88.93000000000001</v>
      </c>
      <c r="H109" s="5">
        <f>F109*G109</f>
        <v/>
      </c>
    </row>
    <row r="110">
      <c r="A110" s="2" t="n">
        <v>46164</v>
      </c>
      <c r="B110" s="3" t="inlineStr">
        <is>
          <t>BIL-2605-0109</t>
        </is>
      </c>
      <c r="C110" s="3" t="inlineStr">
        <is>
          <t>Ganga FMCG Supply</t>
        </is>
      </c>
      <c r="D110" s="3" t="inlineStr">
        <is>
          <t>Instant Noodles 280g</t>
        </is>
      </c>
      <c r="E110" s="3" t="inlineStr">
        <is>
          <t>Snacks</t>
        </is>
      </c>
      <c r="F110" s="4" t="n">
        <v>326</v>
      </c>
      <c r="G110" s="5" t="n">
        <v>42.92</v>
      </c>
      <c r="H110" s="5">
        <f>F110*G110</f>
        <v/>
      </c>
    </row>
    <row r="111">
      <c r="A111" s="2" t="n">
        <v>46164</v>
      </c>
      <c r="B111" s="3" t="inlineStr">
        <is>
          <t>BIL-2605-0110</t>
        </is>
      </c>
      <c r="C111" s="3" t="inlineStr">
        <is>
          <t>Vaishali Supply House</t>
        </is>
      </c>
      <c r="D111" s="3" t="inlineStr">
        <is>
          <t>Detergent 1kg</t>
        </is>
      </c>
      <c r="E111" s="3" t="inlineStr">
        <is>
          <t>Household</t>
        </is>
      </c>
      <c r="F111" s="4" t="n">
        <v>141</v>
      </c>
      <c r="G111" s="5" t="n">
        <v>103.93</v>
      </c>
      <c r="H111" s="5">
        <f>F111*G111</f>
        <v/>
      </c>
    </row>
    <row r="112">
      <c r="A112" s="2" t="n">
        <v>46164</v>
      </c>
      <c r="B112" s="3" t="inlineStr">
        <is>
          <t>BIL-2605-0111</t>
        </is>
      </c>
      <c r="C112" s="3" t="inlineStr">
        <is>
          <t>Nalanda Distribution</t>
        </is>
      </c>
      <c r="D112" s="3" t="inlineStr">
        <is>
          <t>Paneer 200g</t>
        </is>
      </c>
      <c r="E112" s="3" t="inlineStr">
        <is>
          <t>Dairy</t>
        </is>
      </c>
      <c r="F112" s="4" t="n">
        <v>334</v>
      </c>
      <c r="G112" s="5" t="n">
        <v>79.54000000000001</v>
      </c>
      <c r="H112" s="5">
        <f>F112*G112</f>
        <v/>
      </c>
    </row>
    <row r="113">
      <c r="A113" s="2" t="n">
        <v>46165</v>
      </c>
      <c r="B113" s="3" t="inlineStr">
        <is>
          <t>BIL-2605-0112</t>
        </is>
      </c>
      <c r="C113" s="3" t="inlineStr">
        <is>
          <t>Koshi Enterprises</t>
        </is>
      </c>
      <c r="D113" s="3" t="inlineStr">
        <is>
          <t>Detergent 1kg</t>
        </is>
      </c>
      <c r="E113" s="3" t="inlineStr">
        <is>
          <t>Household</t>
        </is>
      </c>
      <c r="F113" s="4" t="n">
        <v>149</v>
      </c>
      <c r="G113" s="5" t="n">
        <v>106.37</v>
      </c>
      <c r="H113" s="5">
        <f>F113*G113</f>
        <v/>
      </c>
    </row>
    <row r="114">
      <c r="A114" s="2" t="n">
        <v>46167</v>
      </c>
      <c r="B114" s="3" t="inlineStr">
        <is>
          <t>BIL-2605-0113</t>
        </is>
      </c>
      <c r="C114" s="3" t="inlineStr">
        <is>
          <t>Koshi Enterprises</t>
        </is>
      </c>
      <c r="D114" s="3" t="inlineStr">
        <is>
          <t>Potato Chips 150g</t>
        </is>
      </c>
      <c r="E114" s="3" t="inlineStr">
        <is>
          <t>Snacks</t>
        </is>
      </c>
      <c r="F114" s="4" t="n">
        <v>123</v>
      </c>
      <c r="G114" s="5" t="n">
        <v>37.29</v>
      </c>
      <c r="H114" s="5">
        <f>F114*G114</f>
        <v/>
      </c>
    </row>
    <row r="115">
      <c r="A115" s="2" t="n">
        <v>46167</v>
      </c>
      <c r="B115" s="3" t="inlineStr">
        <is>
          <t>BIL-2605-0114</t>
        </is>
      </c>
      <c r="C115" s="3" t="inlineStr">
        <is>
          <t>Vaishali Supply House</t>
        </is>
      </c>
      <c r="D115" s="3" t="inlineStr">
        <is>
          <t>Paneer 200g</t>
        </is>
      </c>
      <c r="E115" s="3" t="inlineStr">
        <is>
          <t>Dairy</t>
        </is>
      </c>
      <c r="F115" s="4" t="n">
        <v>189</v>
      </c>
      <c r="G115" s="5" t="n">
        <v>77.84999999999999</v>
      </c>
      <c r="H115" s="5">
        <f>F115*G115</f>
        <v/>
      </c>
    </row>
    <row r="116">
      <c r="A116" s="2" t="n">
        <v>46167</v>
      </c>
      <c r="B116" s="3" t="inlineStr">
        <is>
          <t>BIL-2605-0115</t>
        </is>
      </c>
      <c r="C116" s="3" t="inlineStr">
        <is>
          <t>Sone Valley Traders</t>
        </is>
      </c>
      <c r="D116" s="3" t="inlineStr">
        <is>
          <t>Instant Noodles 280g</t>
        </is>
      </c>
      <c r="E116" s="3" t="inlineStr">
        <is>
          <t>Snacks</t>
        </is>
      </c>
      <c r="F116" s="4" t="n">
        <v>335</v>
      </c>
      <c r="G116" s="5" t="n">
        <v>41.38</v>
      </c>
      <c r="H116" s="5">
        <f>F116*G116</f>
        <v/>
      </c>
    </row>
    <row r="117">
      <c r="A117" s="2" t="n">
        <v>46167</v>
      </c>
      <c r="B117" s="3" t="inlineStr">
        <is>
          <t>BIL-2605-0116</t>
        </is>
      </c>
      <c r="C117" s="3" t="inlineStr">
        <is>
          <t>Ganga FMCG Supply</t>
        </is>
      </c>
      <c r="D117" s="3" t="inlineStr">
        <is>
          <t>Curd Cup 400g</t>
        </is>
      </c>
      <c r="E117" s="3" t="inlineStr">
        <is>
          <t>Dairy</t>
        </is>
      </c>
      <c r="F117" s="4" t="n">
        <v>368</v>
      </c>
      <c r="G117" s="5" t="n">
        <v>34.35</v>
      </c>
      <c r="H117" s="5">
        <f>F117*G117</f>
        <v/>
      </c>
    </row>
    <row r="118">
      <c r="A118" s="2" t="n">
        <v>46168</v>
      </c>
      <c r="B118" s="3" t="inlineStr">
        <is>
          <t>BIL-2605-0117</t>
        </is>
      </c>
      <c r="C118" s="3" t="inlineStr">
        <is>
          <t>Ganga FMCG Supply</t>
        </is>
      </c>
      <c r="D118" s="3" t="inlineStr">
        <is>
          <t>Potato Chips 150g</t>
        </is>
      </c>
      <c r="E118" s="3" t="inlineStr">
        <is>
          <t>Snacks</t>
        </is>
      </c>
      <c r="F118" s="4" t="n">
        <v>365</v>
      </c>
      <c r="G118" s="5" t="n">
        <v>37.42</v>
      </c>
      <c r="H118" s="5">
        <f>F118*G118</f>
        <v/>
      </c>
    </row>
    <row r="119">
      <c r="A119" s="2" t="n">
        <v>46170</v>
      </c>
      <c r="B119" s="3" t="inlineStr">
        <is>
          <t>BIL-2605-0118</t>
        </is>
      </c>
      <c r="C119" s="3" t="inlineStr">
        <is>
          <t>Vaishali Supply House</t>
        </is>
      </c>
      <c r="D119" s="3" t="inlineStr">
        <is>
          <t>Cola 750ml</t>
        </is>
      </c>
      <c r="E119" s="3" t="inlineStr">
        <is>
          <t>Beverages</t>
        </is>
      </c>
      <c r="F119" s="4" t="n">
        <v>359</v>
      </c>
      <c r="G119" s="5" t="n">
        <v>36.11</v>
      </c>
      <c r="H119" s="5">
        <f>F119*G119</f>
        <v/>
      </c>
    </row>
    <row r="120">
      <c r="A120" s="2" t="n">
        <v>46170</v>
      </c>
      <c r="B120" s="3" t="inlineStr">
        <is>
          <t>BIL-2605-0119</t>
        </is>
      </c>
      <c r="C120" s="3" t="inlineStr">
        <is>
          <t>Vaishali Supply House</t>
        </is>
      </c>
      <c r="D120" s="3" t="inlineStr">
        <is>
          <t>Dish Soap 500ml</t>
        </is>
      </c>
      <c r="E120" s="3" t="inlineStr">
        <is>
          <t>Household</t>
        </is>
      </c>
      <c r="F120" s="4" t="n">
        <v>144</v>
      </c>
      <c r="G120" s="5" t="n">
        <v>78.84999999999999</v>
      </c>
      <c r="H120" s="5">
        <f>F120*G120</f>
        <v/>
      </c>
    </row>
    <row r="121">
      <c r="A121" s="2" t="n">
        <v>46170</v>
      </c>
      <c r="B121" s="3" t="inlineStr">
        <is>
          <t>BIL-2605-0120</t>
        </is>
      </c>
      <c r="C121" s="3" t="inlineStr">
        <is>
          <t>Koshi Enterprises</t>
        </is>
      </c>
      <c r="D121" s="3" t="inlineStr">
        <is>
          <t>Toned Milk 1L</t>
        </is>
      </c>
      <c r="E121" s="3" t="inlineStr">
        <is>
          <t>Dairy</t>
        </is>
      </c>
      <c r="F121" s="4" t="n">
        <v>382</v>
      </c>
      <c r="G121" s="5" t="n">
        <v>53.09</v>
      </c>
      <c r="H121" s="5">
        <f>F121*G121</f>
        <v/>
      </c>
    </row>
    <row r="122">
      <c r="A122" s="2" t="n">
        <v>46171</v>
      </c>
      <c r="B122" s="3" t="inlineStr">
        <is>
          <t>BIL-2605-0121</t>
        </is>
      </c>
      <c r="C122" s="3" t="inlineStr">
        <is>
          <t>Sone Valley Traders</t>
        </is>
      </c>
      <c r="D122" s="3" t="inlineStr">
        <is>
          <t>Toned Milk 1L</t>
        </is>
      </c>
      <c r="E122" s="3" t="inlineStr">
        <is>
          <t>Dairy</t>
        </is>
      </c>
      <c r="F122" s="4" t="n">
        <v>142</v>
      </c>
      <c r="G122" s="5" t="n">
        <v>54.12</v>
      </c>
      <c r="H122" s="5">
        <f>F122*G122</f>
        <v/>
      </c>
    </row>
    <row r="123">
      <c r="A123" s="2" t="n">
        <v>46172</v>
      </c>
      <c r="B123" s="3" t="inlineStr">
        <is>
          <t>BIL-2605-0122</t>
        </is>
      </c>
      <c r="C123" s="3" t="inlineStr">
        <is>
          <t>Ganga FMCG Supply</t>
        </is>
      </c>
      <c r="D123" s="3" t="inlineStr">
        <is>
          <t>Paneer 200g</t>
        </is>
      </c>
      <c r="E123" s="3" t="inlineStr">
        <is>
          <t>Dairy</t>
        </is>
      </c>
      <c r="F123" s="4" t="n">
        <v>383</v>
      </c>
      <c r="G123" s="5" t="n">
        <v>78.53</v>
      </c>
      <c r="H123" s="5">
        <f>F123*G123</f>
        <v/>
      </c>
    </row>
    <row r="124">
      <c r="A124" s="2" t="n">
        <v>46172</v>
      </c>
      <c r="B124" s="3" t="inlineStr">
        <is>
          <t>BIL-2605-0123</t>
        </is>
      </c>
      <c r="C124" s="3" t="inlineStr">
        <is>
          <t>Patliputra Agencies</t>
        </is>
      </c>
      <c r="D124" s="3" t="inlineStr">
        <is>
          <t>Detergent 1kg</t>
        </is>
      </c>
      <c r="E124" s="3" t="inlineStr">
        <is>
          <t>Household</t>
        </is>
      </c>
      <c r="F124" s="4" t="n">
        <v>104</v>
      </c>
      <c r="G124" s="5" t="n">
        <v>105.21</v>
      </c>
      <c r="H124" s="5">
        <f>F124*G124</f>
        <v/>
      </c>
    </row>
    <row r="125">
      <c r="A125" s="2" t="n">
        <v>46173</v>
      </c>
      <c r="B125" s="3" t="inlineStr">
        <is>
          <t>BIL-2605-0124</t>
        </is>
      </c>
      <c r="C125" s="3" t="inlineStr">
        <is>
          <t>Sone Valley Traders</t>
        </is>
      </c>
      <c r="D125" s="3" t="inlineStr">
        <is>
          <t>Toned Milk 1L</t>
        </is>
      </c>
      <c r="E125" s="3" t="inlineStr">
        <is>
          <t>Dairy</t>
        </is>
      </c>
      <c r="F125" s="4" t="n">
        <v>122</v>
      </c>
      <c r="G125" s="5" t="n">
        <v>53.95</v>
      </c>
      <c r="H125" s="5">
        <f>F125*G125</f>
        <v/>
      </c>
    </row>
    <row r="126">
      <c r="A126" s="2" t="n">
        <v>46173</v>
      </c>
      <c r="B126" s="3" t="inlineStr">
        <is>
          <t>BIL-2605-0125</t>
        </is>
      </c>
      <c r="C126" s="3" t="inlineStr">
        <is>
          <t>Nalanda Distribution</t>
        </is>
      </c>
      <c r="D126" s="3" t="inlineStr">
        <is>
          <t>Biscuits 400g</t>
        </is>
      </c>
      <c r="E126" s="3" t="inlineStr">
        <is>
          <t>Snacks</t>
        </is>
      </c>
      <c r="F126" s="4" t="n">
        <v>330</v>
      </c>
      <c r="G126" s="5" t="n">
        <v>30.41</v>
      </c>
      <c r="H126" s="5">
        <f>F126*G126</f>
        <v/>
      </c>
    </row>
    <row r="127">
      <c r="A127" s="2" t="n">
        <v>46173</v>
      </c>
      <c r="B127" s="3" t="inlineStr">
        <is>
          <t>BIL-2605-0126</t>
        </is>
      </c>
      <c r="C127" s="3" t="inlineStr">
        <is>
          <t>Vaishali Supply House</t>
        </is>
      </c>
      <c r="D127" s="3" t="inlineStr">
        <is>
          <t>Toned Milk 1L</t>
        </is>
      </c>
      <c r="E127" s="3" t="inlineStr">
        <is>
          <t>Dairy</t>
        </is>
      </c>
      <c r="F127" s="4" t="n">
        <v>120</v>
      </c>
      <c r="G127" s="5" t="n">
        <v>54.31</v>
      </c>
      <c r="H127" s="5">
        <f>F127*G127</f>
        <v/>
      </c>
    </row>
    <row r="128">
      <c r="A128" s="2" t="n">
        <v>46173</v>
      </c>
      <c r="B128" s="3" t="inlineStr">
        <is>
          <t>BIL-2605-0127</t>
        </is>
      </c>
      <c r="C128" s="3" t="inlineStr">
        <is>
          <t>Magadh Wholesale Co.</t>
        </is>
      </c>
      <c r="D128" s="3" t="inlineStr">
        <is>
          <t>Curd Cup 400g</t>
        </is>
      </c>
      <c r="E128" s="3" t="inlineStr">
        <is>
          <t>Dairy</t>
        </is>
      </c>
      <c r="F128" s="4" t="n">
        <v>332</v>
      </c>
      <c r="G128" s="5" t="n">
        <v>34.71</v>
      </c>
      <c r="H128" s="5">
        <f>F128*G128</f>
        <v/>
      </c>
    </row>
    <row r="129">
      <c r="A129" s="2" t="n">
        <v>46174</v>
      </c>
      <c r="B129" s="3" t="inlineStr">
        <is>
          <t>BIL-2606-0128</t>
        </is>
      </c>
      <c r="C129" s="3" t="inlineStr">
        <is>
          <t>Magadh Wholesale Co.</t>
        </is>
      </c>
      <c r="D129" s="3" t="inlineStr">
        <is>
          <t>Instant Noodles 280g</t>
        </is>
      </c>
      <c r="E129" s="3" t="inlineStr">
        <is>
          <t>Snacks</t>
        </is>
      </c>
      <c r="F129" s="4" t="n">
        <v>384</v>
      </c>
      <c r="G129" s="5" t="n">
        <v>42.73</v>
      </c>
      <c r="H129" s="5">
        <f>F129*G129</f>
        <v/>
      </c>
    </row>
    <row r="130">
      <c r="A130" s="2" t="n">
        <v>46174</v>
      </c>
      <c r="B130" s="3" t="inlineStr">
        <is>
          <t>BIL-2606-0129</t>
        </is>
      </c>
      <c r="C130" s="3" t="inlineStr">
        <is>
          <t>Ganga FMCG Supply</t>
        </is>
      </c>
      <c r="D130" s="3" t="inlineStr">
        <is>
          <t>Biscuits 400g</t>
        </is>
      </c>
      <c r="E130" s="3" t="inlineStr">
        <is>
          <t>Snacks</t>
        </is>
      </c>
      <c r="F130" s="4" t="n">
        <v>209</v>
      </c>
      <c r="G130" s="5" t="n">
        <v>29.54</v>
      </c>
      <c r="H130" s="5">
        <f>F130*G130</f>
        <v/>
      </c>
    </row>
    <row r="131">
      <c r="A131" s="2" t="n">
        <v>46178</v>
      </c>
      <c r="B131" s="3" t="inlineStr">
        <is>
          <t>BIL-2606-0130</t>
        </is>
      </c>
      <c r="C131" s="3" t="inlineStr">
        <is>
          <t>Ganga FMCG Supply</t>
        </is>
      </c>
      <c r="D131" s="3" t="inlineStr">
        <is>
          <t>Potato Chips 150g</t>
        </is>
      </c>
      <c r="E131" s="3" t="inlineStr">
        <is>
          <t>Snacks</t>
        </is>
      </c>
      <c r="F131" s="4" t="n">
        <v>385</v>
      </c>
      <c r="G131" s="5" t="n">
        <v>39.09</v>
      </c>
      <c r="H131" s="5">
        <f>F131*G131</f>
        <v/>
      </c>
    </row>
    <row r="132">
      <c r="A132" s="2" t="n">
        <v>46178</v>
      </c>
      <c r="B132" s="3" t="inlineStr">
        <is>
          <t>BIL-2606-0131</t>
        </is>
      </c>
      <c r="C132" s="3" t="inlineStr">
        <is>
          <t>Vaishali Supply House</t>
        </is>
      </c>
      <c r="D132" s="3" t="inlineStr">
        <is>
          <t>Curd Cup 400g</t>
        </is>
      </c>
      <c r="E132" s="3" t="inlineStr">
        <is>
          <t>Dairy</t>
        </is>
      </c>
      <c r="F132" s="4" t="n">
        <v>198</v>
      </c>
      <c r="G132" s="5" t="n">
        <v>35.82</v>
      </c>
      <c r="H132" s="5">
        <f>F132*G132</f>
        <v/>
      </c>
    </row>
    <row r="133">
      <c r="A133" s="2" t="n">
        <v>46179</v>
      </c>
      <c r="B133" s="3" t="inlineStr">
        <is>
          <t>BIL-2606-0132</t>
        </is>
      </c>
      <c r="C133" s="3" t="inlineStr">
        <is>
          <t>Nalanda Distribution</t>
        </is>
      </c>
      <c r="D133" s="3" t="inlineStr">
        <is>
          <t>Toned Milk 1L</t>
        </is>
      </c>
      <c r="E133" s="3" t="inlineStr">
        <is>
          <t>Dairy</t>
        </is>
      </c>
      <c r="F133" s="4" t="n">
        <v>363</v>
      </c>
      <c r="G133" s="5" t="n">
        <v>53.51</v>
      </c>
      <c r="H133" s="5">
        <f>F133*G133</f>
        <v/>
      </c>
    </row>
    <row r="134">
      <c r="A134" s="2" t="n">
        <v>46179</v>
      </c>
      <c r="B134" s="3" t="inlineStr">
        <is>
          <t>BIL-2606-0133</t>
        </is>
      </c>
      <c r="C134" s="3" t="inlineStr">
        <is>
          <t>Magadh Wholesale Co.</t>
        </is>
      </c>
      <c r="D134" s="3" t="inlineStr">
        <is>
          <t>Floor Cleaner 1L</t>
        </is>
      </c>
      <c r="E134" s="3" t="inlineStr">
        <is>
          <t>Household</t>
        </is>
      </c>
      <c r="F134" s="4" t="n">
        <v>307</v>
      </c>
      <c r="G134" s="5" t="n">
        <v>89.70999999999999</v>
      </c>
      <c r="H134" s="5">
        <f>F134*G134</f>
        <v/>
      </c>
    </row>
    <row r="135">
      <c r="A135" s="2" t="n">
        <v>46179</v>
      </c>
      <c r="B135" s="3" t="inlineStr">
        <is>
          <t>BIL-2606-0134</t>
        </is>
      </c>
      <c r="C135" s="3" t="inlineStr">
        <is>
          <t>Vaishali Supply House</t>
        </is>
      </c>
      <c r="D135" s="3" t="inlineStr">
        <is>
          <t>Potato Chips 150g</t>
        </is>
      </c>
      <c r="E135" s="3" t="inlineStr">
        <is>
          <t>Snacks</t>
        </is>
      </c>
      <c r="F135" s="4" t="n">
        <v>185</v>
      </c>
      <c r="G135" s="5" t="n">
        <v>37.42</v>
      </c>
      <c r="H135" s="5">
        <f>F135*G135</f>
        <v/>
      </c>
    </row>
    <row r="136">
      <c r="A136" s="2" t="n">
        <v>46179</v>
      </c>
      <c r="B136" s="3" t="inlineStr">
        <is>
          <t>BIL-2606-0135</t>
        </is>
      </c>
      <c r="C136" s="3" t="inlineStr">
        <is>
          <t>Sone Valley Traders</t>
        </is>
      </c>
      <c r="D136" s="3" t="inlineStr">
        <is>
          <t>Curd Cup 400g</t>
        </is>
      </c>
      <c r="E136" s="3" t="inlineStr">
        <is>
          <t>Dairy</t>
        </is>
      </c>
      <c r="F136" s="4" t="n">
        <v>121</v>
      </c>
      <c r="G136" s="5" t="n">
        <v>34.65</v>
      </c>
      <c r="H136" s="5">
        <f>F136*G136</f>
        <v/>
      </c>
    </row>
    <row r="137">
      <c r="A137" s="2" t="n">
        <v>46180</v>
      </c>
      <c r="B137" s="3" t="inlineStr">
        <is>
          <t>BIL-2606-0136</t>
        </is>
      </c>
      <c r="C137" s="3" t="inlineStr">
        <is>
          <t>Nalanda Distribution</t>
        </is>
      </c>
      <c r="D137" s="3" t="inlineStr">
        <is>
          <t>Toned Milk 1L</t>
        </is>
      </c>
      <c r="E137" s="3" t="inlineStr">
        <is>
          <t>Dairy</t>
        </is>
      </c>
      <c r="F137" s="4" t="n">
        <v>262</v>
      </c>
      <c r="G137" s="5" t="n">
        <v>54.77</v>
      </c>
      <c r="H137" s="5">
        <f>F137*G137</f>
        <v/>
      </c>
    </row>
    <row r="138">
      <c r="A138" s="2" t="n">
        <v>46180</v>
      </c>
      <c r="B138" s="3" t="inlineStr">
        <is>
          <t>BIL-2606-0137</t>
        </is>
      </c>
      <c r="C138" s="3" t="inlineStr">
        <is>
          <t>Bihar Foods Distributors</t>
        </is>
      </c>
      <c r="D138" s="3" t="inlineStr">
        <is>
          <t>Detergent 1kg</t>
        </is>
      </c>
      <c r="E138" s="3" t="inlineStr">
        <is>
          <t>Household</t>
        </is>
      </c>
      <c r="F138" s="4" t="n">
        <v>321</v>
      </c>
      <c r="G138" s="5" t="n">
        <v>103.48</v>
      </c>
      <c r="H138" s="5">
        <f>F138*G138</f>
        <v/>
      </c>
    </row>
    <row r="139">
      <c r="A139" s="2" t="n">
        <v>46181</v>
      </c>
      <c r="B139" s="3" t="inlineStr">
        <is>
          <t>BIL-2606-0138</t>
        </is>
      </c>
      <c r="C139" s="3" t="inlineStr">
        <is>
          <t>Sone Valley Traders</t>
        </is>
      </c>
      <c r="D139" s="3" t="inlineStr">
        <is>
          <t>Potato Chips 150g</t>
        </is>
      </c>
      <c r="E139" s="3" t="inlineStr">
        <is>
          <t>Snacks</t>
        </is>
      </c>
      <c r="F139" s="4" t="n">
        <v>65</v>
      </c>
      <c r="G139" s="5" t="n">
        <v>37.83</v>
      </c>
      <c r="H139" s="5">
        <f>F139*G139</f>
        <v/>
      </c>
    </row>
    <row r="140">
      <c r="A140" s="2" t="n">
        <v>46181</v>
      </c>
      <c r="B140" s="3" t="inlineStr">
        <is>
          <t>BIL-2606-0139</t>
        </is>
      </c>
      <c r="C140" s="3" t="inlineStr">
        <is>
          <t>Bihar Foods Distributors</t>
        </is>
      </c>
      <c r="D140" s="3" t="inlineStr">
        <is>
          <t>Instant Noodles 280g</t>
        </is>
      </c>
      <c r="E140" s="3" t="inlineStr">
        <is>
          <t>Snacks</t>
        </is>
      </c>
      <c r="F140" s="4" t="n">
        <v>242</v>
      </c>
      <c r="G140" s="5" t="n">
        <v>42.91</v>
      </c>
      <c r="H140" s="5">
        <f>F140*G140</f>
        <v/>
      </c>
    </row>
    <row r="141">
      <c r="A141" s="2" t="n">
        <v>46182</v>
      </c>
      <c r="B141" s="3" t="inlineStr">
        <is>
          <t>BIL-2606-0140</t>
        </is>
      </c>
      <c r="C141" s="3" t="inlineStr">
        <is>
          <t>Vaishali Supply House</t>
        </is>
      </c>
      <c r="D141" s="3" t="inlineStr">
        <is>
          <t>Potato Chips 150g</t>
        </is>
      </c>
      <c r="E141" s="3" t="inlineStr">
        <is>
          <t>Snacks</t>
        </is>
      </c>
      <c r="F141" s="4" t="n">
        <v>252</v>
      </c>
      <c r="G141" s="5" t="n">
        <v>38.7</v>
      </c>
      <c r="H141" s="5">
        <f>F141*G141</f>
        <v/>
      </c>
    </row>
    <row r="142">
      <c r="A142" s="2" t="n">
        <v>46182</v>
      </c>
      <c r="B142" s="3" t="inlineStr">
        <is>
          <t>BIL-2606-0141</t>
        </is>
      </c>
      <c r="C142" s="3" t="inlineStr">
        <is>
          <t>Vaishali Supply House</t>
        </is>
      </c>
      <c r="D142" s="3" t="inlineStr">
        <is>
          <t>Cola 750ml</t>
        </is>
      </c>
      <c r="E142" s="3" t="inlineStr">
        <is>
          <t>Beverages</t>
        </is>
      </c>
      <c r="F142" s="4" t="n">
        <v>160</v>
      </c>
      <c r="G142" s="5" t="n">
        <v>36.57</v>
      </c>
      <c r="H142" s="5">
        <f>F142*G142</f>
        <v/>
      </c>
    </row>
    <row r="143">
      <c r="A143" s="2" t="n">
        <v>46182</v>
      </c>
      <c r="B143" s="3" t="inlineStr">
        <is>
          <t>BIL-2606-0142</t>
        </is>
      </c>
      <c r="C143" s="3" t="inlineStr">
        <is>
          <t>Nalanda Distribution</t>
        </is>
      </c>
      <c r="D143" s="3" t="inlineStr">
        <is>
          <t>Mango Juice 1L</t>
        </is>
      </c>
      <c r="E143" s="3" t="inlineStr">
        <is>
          <t>Beverages</t>
        </is>
      </c>
      <c r="F143" s="4" t="n">
        <v>308</v>
      </c>
      <c r="G143" s="5" t="n">
        <v>97.06</v>
      </c>
      <c r="H143" s="5">
        <f>F143*G143</f>
        <v/>
      </c>
    </row>
    <row r="144">
      <c r="A144" s="2" t="n">
        <v>46184</v>
      </c>
      <c r="B144" s="3" t="inlineStr">
        <is>
          <t>BIL-2606-0143</t>
        </is>
      </c>
      <c r="C144" s="3" t="inlineStr">
        <is>
          <t>Magadh Wholesale Co.</t>
        </is>
      </c>
      <c r="D144" s="3" t="inlineStr">
        <is>
          <t>Packaged Water 1L</t>
        </is>
      </c>
      <c r="E144" s="3" t="inlineStr">
        <is>
          <t>Beverages</t>
        </is>
      </c>
      <c r="F144" s="4" t="n">
        <v>344</v>
      </c>
      <c r="G144" s="5" t="n">
        <v>15.34</v>
      </c>
      <c r="H144" s="5">
        <f>F144*G144</f>
        <v/>
      </c>
    </row>
    <row r="145">
      <c r="A145" s="2" t="n">
        <v>46185</v>
      </c>
      <c r="B145" s="3" t="inlineStr">
        <is>
          <t>BIL-2606-0144</t>
        </is>
      </c>
      <c r="C145" s="3" t="inlineStr">
        <is>
          <t>Magadh Wholesale Co.</t>
        </is>
      </c>
      <c r="D145" s="3" t="inlineStr">
        <is>
          <t>Potato Chips 150g</t>
        </is>
      </c>
      <c r="E145" s="3" t="inlineStr">
        <is>
          <t>Snacks</t>
        </is>
      </c>
      <c r="F145" s="4" t="n">
        <v>260</v>
      </c>
      <c r="G145" s="5" t="n">
        <v>37.35</v>
      </c>
      <c r="H145" s="5">
        <f>F145*G145</f>
        <v/>
      </c>
    </row>
    <row r="146">
      <c r="A146" s="2" t="n">
        <v>46185</v>
      </c>
      <c r="B146" s="3" t="inlineStr">
        <is>
          <t>BIL-2606-0145</t>
        </is>
      </c>
      <c r="C146" s="3" t="inlineStr">
        <is>
          <t>Magadh Wholesale Co.</t>
        </is>
      </c>
      <c r="D146" s="3" t="inlineStr">
        <is>
          <t>Floor Cleaner 1L</t>
        </is>
      </c>
      <c r="E146" s="3" t="inlineStr">
        <is>
          <t>Household</t>
        </is>
      </c>
      <c r="F146" s="4" t="n">
        <v>213</v>
      </c>
      <c r="G146" s="5" t="n">
        <v>88.98999999999999</v>
      </c>
      <c r="H146" s="5">
        <f>F146*G146</f>
        <v/>
      </c>
    </row>
    <row r="147">
      <c r="A147" s="2" t="n">
        <v>46185</v>
      </c>
      <c r="B147" s="3" t="inlineStr">
        <is>
          <t>BIL-2606-0146</t>
        </is>
      </c>
      <c r="C147" s="3" t="inlineStr">
        <is>
          <t>Bihar Foods Distributors</t>
        </is>
      </c>
      <c r="D147" s="3" t="inlineStr">
        <is>
          <t>Potato Chips 150g</t>
        </is>
      </c>
      <c r="E147" s="3" t="inlineStr">
        <is>
          <t>Snacks</t>
        </is>
      </c>
      <c r="F147" s="4" t="n">
        <v>180</v>
      </c>
      <c r="G147" s="5" t="n">
        <v>37.47</v>
      </c>
      <c r="H147" s="5">
        <f>F147*G147</f>
        <v/>
      </c>
    </row>
    <row r="148">
      <c r="A148" s="2" t="n">
        <v>46185</v>
      </c>
      <c r="B148" s="3" t="inlineStr">
        <is>
          <t>BIL-2606-0147</t>
        </is>
      </c>
      <c r="C148" s="3" t="inlineStr">
        <is>
          <t>Vaishali Supply House</t>
        </is>
      </c>
      <c r="D148" s="3" t="inlineStr">
        <is>
          <t>Floor Cleaner 1L</t>
        </is>
      </c>
      <c r="E148" s="3" t="inlineStr">
        <is>
          <t>Household</t>
        </is>
      </c>
      <c r="F148" s="4" t="n">
        <v>112</v>
      </c>
      <c r="G148" s="5" t="n">
        <v>86.81</v>
      </c>
      <c r="H148" s="5">
        <f>F148*G148</f>
        <v/>
      </c>
    </row>
    <row r="149">
      <c r="A149" s="2" t="n">
        <v>46186</v>
      </c>
      <c r="B149" s="3" t="inlineStr">
        <is>
          <t>BIL-2606-0148</t>
        </is>
      </c>
      <c r="C149" s="3" t="inlineStr">
        <is>
          <t>Sone Valley Traders</t>
        </is>
      </c>
      <c r="D149" s="3" t="inlineStr">
        <is>
          <t>Cola 750ml</t>
        </is>
      </c>
      <c r="E149" s="3" t="inlineStr">
        <is>
          <t>Beverages</t>
        </is>
      </c>
      <c r="F149" s="4" t="n">
        <v>171</v>
      </c>
      <c r="G149" s="5" t="n">
        <v>35.38</v>
      </c>
      <c r="H149" s="5">
        <f>F149*G149</f>
        <v/>
      </c>
    </row>
    <row r="150">
      <c r="A150" s="2" t="n">
        <v>46186</v>
      </c>
      <c r="B150" s="3" t="inlineStr">
        <is>
          <t>BIL-2606-0149</t>
        </is>
      </c>
      <c r="C150" s="3" t="inlineStr">
        <is>
          <t>Koshi Enterprises</t>
        </is>
      </c>
      <c r="D150" s="3" t="inlineStr">
        <is>
          <t>Curd Cup 400g</t>
        </is>
      </c>
      <c r="E150" s="3" t="inlineStr">
        <is>
          <t>Dairy</t>
        </is>
      </c>
      <c r="F150" s="4" t="n">
        <v>309</v>
      </c>
      <c r="G150" s="5" t="n">
        <v>36.05</v>
      </c>
      <c r="H150" s="5">
        <f>F150*G150</f>
        <v/>
      </c>
    </row>
    <row r="151">
      <c r="A151" s="2" t="n">
        <v>46187</v>
      </c>
      <c r="B151" s="3" t="inlineStr">
        <is>
          <t>BIL-2606-0150</t>
        </is>
      </c>
      <c r="C151" s="3" t="inlineStr">
        <is>
          <t>Bihar Foods Distributors</t>
        </is>
      </c>
      <c r="D151" s="3" t="inlineStr">
        <is>
          <t>Detergent 1kg</t>
        </is>
      </c>
      <c r="E151" s="3" t="inlineStr">
        <is>
          <t>Household</t>
        </is>
      </c>
      <c r="F151" s="4" t="n">
        <v>245</v>
      </c>
      <c r="G151" s="5" t="n">
        <v>102.32</v>
      </c>
      <c r="H151" s="5">
        <f>F151*G151</f>
        <v/>
      </c>
    </row>
    <row r="152">
      <c r="A152" s="2" t="n">
        <v>46187</v>
      </c>
      <c r="B152" s="3" t="inlineStr">
        <is>
          <t>BIL-2606-0151</t>
        </is>
      </c>
      <c r="C152" s="3" t="inlineStr">
        <is>
          <t>Nalanda Distribution</t>
        </is>
      </c>
      <c r="D152" s="3" t="inlineStr">
        <is>
          <t>Packaged Water 1L</t>
        </is>
      </c>
      <c r="E152" s="3" t="inlineStr">
        <is>
          <t>Beverages</t>
        </is>
      </c>
      <c r="F152" s="4" t="n">
        <v>187</v>
      </c>
      <c r="G152" s="5" t="n">
        <v>14.98</v>
      </c>
      <c r="H152" s="5">
        <f>F152*G152</f>
        <v/>
      </c>
    </row>
    <row r="153">
      <c r="A153" s="2" t="n">
        <v>46187</v>
      </c>
      <c r="B153" s="3" t="inlineStr">
        <is>
          <t>BIL-2606-0152</t>
        </is>
      </c>
      <c r="C153" s="3" t="inlineStr">
        <is>
          <t>Sone Valley Traders</t>
        </is>
      </c>
      <c r="D153" s="3" t="inlineStr">
        <is>
          <t>Toned Milk 1L</t>
        </is>
      </c>
      <c r="E153" s="3" t="inlineStr">
        <is>
          <t>Dairy</t>
        </is>
      </c>
      <c r="F153" s="4" t="n">
        <v>158</v>
      </c>
      <c r="G153" s="5" t="n">
        <v>55.01</v>
      </c>
      <c r="H153" s="5">
        <f>F153*G153</f>
        <v/>
      </c>
    </row>
    <row r="154">
      <c r="A154" s="2" t="n">
        <v>46187</v>
      </c>
      <c r="B154" s="3" t="inlineStr">
        <is>
          <t>BIL-2606-0153</t>
        </is>
      </c>
      <c r="C154" s="3" t="inlineStr">
        <is>
          <t>Magadh Wholesale Co.</t>
        </is>
      </c>
      <c r="D154" s="3" t="inlineStr">
        <is>
          <t>Biscuits 400g</t>
        </is>
      </c>
      <c r="E154" s="3" t="inlineStr">
        <is>
          <t>Snacks</t>
        </is>
      </c>
      <c r="F154" s="4" t="n">
        <v>250</v>
      </c>
      <c r="G154" s="5" t="n">
        <v>29.75</v>
      </c>
      <c r="H154" s="5">
        <f>F154*G154</f>
        <v/>
      </c>
    </row>
    <row r="155">
      <c r="A155" s="2" t="n">
        <v>46188</v>
      </c>
      <c r="B155" s="3" t="inlineStr">
        <is>
          <t>BIL-2606-0154</t>
        </is>
      </c>
      <c r="C155" s="3" t="inlineStr">
        <is>
          <t>Vaishali Supply House</t>
        </is>
      </c>
      <c r="D155" s="3" t="inlineStr">
        <is>
          <t>Potato Chips 150g</t>
        </is>
      </c>
      <c r="E155" s="3" t="inlineStr">
        <is>
          <t>Snacks</t>
        </is>
      </c>
      <c r="F155" s="4" t="n">
        <v>256</v>
      </c>
      <c r="G155" s="5" t="n">
        <v>38.92</v>
      </c>
      <c r="H155" s="5">
        <f>F155*G155</f>
        <v/>
      </c>
    </row>
    <row r="156">
      <c r="A156" s="2" t="n">
        <v>46188</v>
      </c>
      <c r="B156" s="3" t="inlineStr">
        <is>
          <t>BIL-2606-0155</t>
        </is>
      </c>
      <c r="C156" s="3" t="inlineStr">
        <is>
          <t>Ganga FMCG Supply</t>
        </is>
      </c>
      <c r="D156" s="3" t="inlineStr">
        <is>
          <t>Biscuits 400g</t>
        </is>
      </c>
      <c r="E156" s="3" t="inlineStr">
        <is>
          <t>Snacks</t>
        </is>
      </c>
      <c r="F156" s="4" t="n">
        <v>243</v>
      </c>
      <c r="G156" s="5" t="n">
        <v>29.42</v>
      </c>
      <c r="H156" s="5">
        <f>F156*G156</f>
        <v/>
      </c>
    </row>
    <row r="157">
      <c r="A157" s="2" t="n">
        <v>46190</v>
      </c>
      <c r="B157" s="3" t="inlineStr">
        <is>
          <t>BIL-2606-0156</t>
        </is>
      </c>
      <c r="C157" s="3" t="inlineStr">
        <is>
          <t>Patliputra Agencies</t>
        </is>
      </c>
      <c r="D157" s="3" t="inlineStr">
        <is>
          <t>Dish Soap 500ml</t>
        </is>
      </c>
      <c r="E157" s="3" t="inlineStr">
        <is>
          <t>Household</t>
        </is>
      </c>
      <c r="F157" s="4" t="n">
        <v>305</v>
      </c>
      <c r="G157" s="5" t="n">
        <v>81.01000000000001</v>
      </c>
      <c r="H157" s="5">
        <f>F157*G157</f>
        <v/>
      </c>
    </row>
    <row r="158">
      <c r="A158" s="2" t="n">
        <v>46190</v>
      </c>
      <c r="B158" s="3" t="inlineStr">
        <is>
          <t>BIL-2606-0157</t>
        </is>
      </c>
      <c r="C158" s="3" t="inlineStr">
        <is>
          <t>Patliputra Agencies</t>
        </is>
      </c>
      <c r="D158" s="3" t="inlineStr">
        <is>
          <t>Floor Cleaner 1L</t>
        </is>
      </c>
      <c r="E158" s="3" t="inlineStr">
        <is>
          <t>Household</t>
        </is>
      </c>
      <c r="F158" s="4" t="n">
        <v>373</v>
      </c>
      <c r="G158" s="5" t="n">
        <v>89.33</v>
      </c>
      <c r="H158" s="5">
        <f>F158*G158</f>
        <v/>
      </c>
    </row>
    <row r="159">
      <c r="A159" s="2" t="n">
        <v>46190</v>
      </c>
      <c r="B159" s="3" t="inlineStr">
        <is>
          <t>BIL-2606-0158</t>
        </is>
      </c>
      <c r="C159" s="3" t="inlineStr">
        <is>
          <t>Koshi Enterprises</t>
        </is>
      </c>
      <c r="D159" s="3" t="inlineStr">
        <is>
          <t>Floor Cleaner 1L</t>
        </is>
      </c>
      <c r="E159" s="3" t="inlineStr">
        <is>
          <t>Household</t>
        </is>
      </c>
      <c r="F159" s="4" t="n">
        <v>379</v>
      </c>
      <c r="G159" s="5" t="n">
        <v>87.44</v>
      </c>
      <c r="H159" s="5">
        <f>F159*G159</f>
        <v/>
      </c>
    </row>
    <row r="160">
      <c r="A160" s="2" t="n">
        <v>46190</v>
      </c>
      <c r="B160" s="3" t="inlineStr">
        <is>
          <t>BIL-2606-0159</t>
        </is>
      </c>
      <c r="C160" s="3" t="inlineStr">
        <is>
          <t>Bihar Foods Distributors</t>
        </is>
      </c>
      <c r="D160" s="3" t="inlineStr">
        <is>
          <t>Mango Juice 1L</t>
        </is>
      </c>
      <c r="E160" s="3" t="inlineStr">
        <is>
          <t>Beverages</t>
        </is>
      </c>
      <c r="F160" s="4" t="n">
        <v>320</v>
      </c>
      <c r="G160" s="5" t="n">
        <v>98.23</v>
      </c>
      <c r="H160" s="5">
        <f>F160*G160</f>
        <v/>
      </c>
    </row>
    <row r="161">
      <c r="A161" s="2" t="n">
        <v>46191</v>
      </c>
      <c r="B161" s="3" t="inlineStr">
        <is>
          <t>BIL-2606-0160</t>
        </is>
      </c>
      <c r="C161" s="3" t="inlineStr">
        <is>
          <t>Bihar Foods Distributors</t>
        </is>
      </c>
      <c r="D161" s="3" t="inlineStr">
        <is>
          <t>Cola 750ml</t>
        </is>
      </c>
      <c r="E161" s="3" t="inlineStr">
        <is>
          <t>Beverages</t>
        </is>
      </c>
      <c r="F161" s="4" t="n">
        <v>235</v>
      </c>
      <c r="G161" s="5" t="n">
        <v>35.93</v>
      </c>
      <c r="H161" s="5">
        <f>F161*G161</f>
        <v/>
      </c>
    </row>
    <row r="162">
      <c r="A162" s="2" t="n">
        <v>46191</v>
      </c>
      <c r="B162" s="3" t="inlineStr">
        <is>
          <t>BIL-2606-0161</t>
        </is>
      </c>
      <c r="C162" s="3" t="inlineStr">
        <is>
          <t>Vaishali Supply House</t>
        </is>
      </c>
      <c r="D162" s="3" t="inlineStr">
        <is>
          <t>Floor Cleaner 1L</t>
        </is>
      </c>
      <c r="E162" s="3" t="inlineStr">
        <is>
          <t>Household</t>
        </is>
      </c>
      <c r="F162" s="4" t="n">
        <v>106</v>
      </c>
      <c r="G162" s="5" t="n">
        <v>90.59999999999999</v>
      </c>
      <c r="H162" s="5">
        <f>F162*G162</f>
        <v/>
      </c>
    </row>
    <row r="163">
      <c r="A163" s="2" t="n">
        <v>46192</v>
      </c>
      <c r="B163" s="3" t="inlineStr">
        <is>
          <t>BIL-2606-0162</t>
        </is>
      </c>
      <c r="C163" s="3" t="inlineStr">
        <is>
          <t>Patliputra Agencies</t>
        </is>
      </c>
      <c r="D163" s="3" t="inlineStr">
        <is>
          <t>Detergent 1kg</t>
        </is>
      </c>
      <c r="E163" s="3" t="inlineStr">
        <is>
          <t>Household</t>
        </is>
      </c>
      <c r="F163" s="4" t="n">
        <v>323</v>
      </c>
      <c r="G163" s="5" t="n">
        <v>105.71</v>
      </c>
      <c r="H163" s="5">
        <f>F163*G163</f>
        <v/>
      </c>
    </row>
    <row r="164">
      <c r="A164" s="2" t="n">
        <v>46192</v>
      </c>
      <c r="B164" s="3" t="inlineStr">
        <is>
          <t>BIL-2606-0163</t>
        </is>
      </c>
      <c r="C164" s="3" t="inlineStr">
        <is>
          <t>Vaishali Supply House</t>
        </is>
      </c>
      <c r="D164" s="3" t="inlineStr">
        <is>
          <t>Cola 750ml</t>
        </is>
      </c>
      <c r="E164" s="3" t="inlineStr">
        <is>
          <t>Beverages</t>
        </is>
      </c>
      <c r="F164" s="4" t="n">
        <v>205</v>
      </c>
      <c r="G164" s="5" t="n">
        <v>35.96</v>
      </c>
      <c r="H164" s="5">
        <f>F164*G164</f>
        <v/>
      </c>
    </row>
    <row r="165">
      <c r="A165" s="2" t="n">
        <v>46193</v>
      </c>
      <c r="B165" s="3" t="inlineStr">
        <is>
          <t>BIL-2606-0164</t>
        </is>
      </c>
      <c r="C165" s="3" t="inlineStr">
        <is>
          <t>Vaishali Supply House</t>
        </is>
      </c>
      <c r="D165" s="3" t="inlineStr">
        <is>
          <t>Toned Milk 1L</t>
        </is>
      </c>
      <c r="E165" s="3" t="inlineStr">
        <is>
          <t>Dairy</t>
        </is>
      </c>
      <c r="F165" s="4" t="n">
        <v>279</v>
      </c>
      <c r="G165" s="5" t="n">
        <v>53.25</v>
      </c>
      <c r="H165" s="5">
        <f>F165*G165</f>
        <v/>
      </c>
    </row>
    <row r="166">
      <c r="A166" s="2" t="n">
        <v>46196</v>
      </c>
      <c r="B166" s="3" t="inlineStr">
        <is>
          <t>BIL-2606-0165</t>
        </is>
      </c>
      <c r="C166" s="3" t="inlineStr">
        <is>
          <t>Magadh Wholesale Co.</t>
        </is>
      </c>
      <c r="D166" s="3" t="inlineStr">
        <is>
          <t>Packaged Water 1L</t>
        </is>
      </c>
      <c r="E166" s="3" t="inlineStr">
        <is>
          <t>Beverages</t>
        </is>
      </c>
      <c r="F166" s="4" t="n">
        <v>149</v>
      </c>
      <c r="G166" s="5" t="n">
        <v>14.84</v>
      </c>
      <c r="H166" s="5">
        <f>F166*G166</f>
        <v/>
      </c>
    </row>
    <row r="167">
      <c r="A167" s="2" t="n">
        <v>46196</v>
      </c>
      <c r="B167" s="3" t="inlineStr">
        <is>
          <t>BIL-2606-0166</t>
        </is>
      </c>
      <c r="C167" s="3" t="inlineStr">
        <is>
          <t>Nalanda Distribution</t>
        </is>
      </c>
      <c r="D167" s="3" t="inlineStr">
        <is>
          <t>Packaged Water 1L</t>
        </is>
      </c>
      <c r="E167" s="3" t="inlineStr">
        <is>
          <t>Beverages</t>
        </is>
      </c>
      <c r="F167" s="4" t="n">
        <v>344</v>
      </c>
      <c r="G167" s="5" t="n">
        <v>14.99</v>
      </c>
      <c r="H167" s="5">
        <f>F167*G167</f>
        <v/>
      </c>
    </row>
    <row r="168">
      <c r="A168" s="2" t="n">
        <v>46197</v>
      </c>
      <c r="B168" s="3" t="inlineStr">
        <is>
          <t>BIL-2606-0167</t>
        </is>
      </c>
      <c r="C168" s="3" t="inlineStr">
        <is>
          <t>Vaishali Supply House</t>
        </is>
      </c>
      <c r="D168" s="3" t="inlineStr">
        <is>
          <t>Dish Soap 500ml</t>
        </is>
      </c>
      <c r="E168" s="3" t="inlineStr">
        <is>
          <t>Household</t>
        </is>
      </c>
      <c r="F168" s="4" t="n">
        <v>265</v>
      </c>
      <c r="G168" s="5" t="n">
        <v>80.81999999999999</v>
      </c>
      <c r="H168" s="5">
        <f>F168*G168</f>
        <v/>
      </c>
    </row>
    <row r="169">
      <c r="A169" s="2" t="n">
        <v>46197</v>
      </c>
      <c r="B169" s="3" t="inlineStr">
        <is>
          <t>BIL-2606-0168</t>
        </is>
      </c>
      <c r="C169" s="3" t="inlineStr">
        <is>
          <t>Ganga FMCG Supply</t>
        </is>
      </c>
      <c r="D169" s="3" t="inlineStr">
        <is>
          <t>Potato Chips 150g</t>
        </is>
      </c>
      <c r="E169" s="3" t="inlineStr">
        <is>
          <t>Snacks</t>
        </is>
      </c>
      <c r="F169" s="4" t="n">
        <v>342</v>
      </c>
      <c r="G169" s="5" t="n">
        <v>37.59</v>
      </c>
      <c r="H169" s="5">
        <f>F169*G169</f>
        <v/>
      </c>
    </row>
    <row r="170">
      <c r="A170" s="2" t="n">
        <v>46198</v>
      </c>
      <c r="B170" s="3" t="inlineStr">
        <is>
          <t>BIL-2606-0169</t>
        </is>
      </c>
      <c r="C170" s="3" t="inlineStr">
        <is>
          <t>Nalanda Distribution</t>
        </is>
      </c>
      <c r="D170" s="3" t="inlineStr">
        <is>
          <t>Potato Chips 150g</t>
        </is>
      </c>
      <c r="E170" s="3" t="inlineStr">
        <is>
          <t>Snacks</t>
        </is>
      </c>
      <c r="F170" s="4" t="n">
        <v>188</v>
      </c>
      <c r="G170" s="5" t="n">
        <v>37.45</v>
      </c>
      <c r="H170" s="5">
        <f>F170*G170</f>
        <v/>
      </c>
    </row>
    <row r="171">
      <c r="A171" s="2" t="n">
        <v>46198</v>
      </c>
      <c r="B171" s="3" t="inlineStr">
        <is>
          <t>BIL-2606-0170</t>
        </is>
      </c>
      <c r="C171" s="3" t="inlineStr">
        <is>
          <t>Nalanda Distribution</t>
        </is>
      </c>
      <c r="D171" s="3" t="inlineStr">
        <is>
          <t>Paneer 200g</t>
        </is>
      </c>
      <c r="E171" s="3" t="inlineStr">
        <is>
          <t>Dairy</t>
        </is>
      </c>
      <c r="F171" s="4" t="n">
        <v>321</v>
      </c>
      <c r="G171" s="5" t="n">
        <v>79.88</v>
      </c>
      <c r="H171" s="5">
        <f>F171*G171</f>
        <v/>
      </c>
    </row>
    <row r="172">
      <c r="A172" s="2" t="n">
        <v>46198</v>
      </c>
      <c r="B172" s="3" t="inlineStr">
        <is>
          <t>BIL-2606-0171</t>
        </is>
      </c>
      <c r="C172" s="3" t="inlineStr">
        <is>
          <t>Sone Valley Traders</t>
        </is>
      </c>
      <c r="D172" s="3" t="inlineStr">
        <is>
          <t>Paneer 200g</t>
        </is>
      </c>
      <c r="E172" s="3" t="inlineStr">
        <is>
          <t>Dairy</t>
        </is>
      </c>
      <c r="F172" s="4" t="n">
        <v>154</v>
      </c>
      <c r="G172" s="5" t="n">
        <v>80.17</v>
      </c>
      <c r="H172" s="5">
        <f>F172*G172</f>
        <v/>
      </c>
    </row>
    <row r="173">
      <c r="A173" s="2" t="n">
        <v>46199</v>
      </c>
      <c r="B173" s="3" t="inlineStr">
        <is>
          <t>BIL-2606-0172</t>
        </is>
      </c>
      <c r="C173" s="3" t="inlineStr">
        <is>
          <t>Nalanda Distribution</t>
        </is>
      </c>
      <c r="D173" s="3" t="inlineStr">
        <is>
          <t>Curd Cup 400g</t>
        </is>
      </c>
      <c r="E173" s="3" t="inlineStr">
        <is>
          <t>Dairy</t>
        </is>
      </c>
      <c r="F173" s="4" t="n">
        <v>390</v>
      </c>
      <c r="G173" s="5" t="n">
        <v>35.49</v>
      </c>
      <c r="H173" s="5">
        <f>F173*G173</f>
        <v/>
      </c>
    </row>
    <row r="174">
      <c r="A174" s="2" t="n">
        <v>46199</v>
      </c>
      <c r="B174" s="3" t="inlineStr">
        <is>
          <t>BIL-2606-0173</t>
        </is>
      </c>
      <c r="C174" s="3" t="inlineStr">
        <is>
          <t>Nalanda Distribution</t>
        </is>
      </c>
      <c r="D174" s="3" t="inlineStr">
        <is>
          <t>Floor Cleaner 1L</t>
        </is>
      </c>
      <c r="E174" s="3" t="inlineStr">
        <is>
          <t>Household</t>
        </is>
      </c>
      <c r="F174" s="4" t="n">
        <v>354</v>
      </c>
      <c r="G174" s="5" t="n">
        <v>86.56999999999999</v>
      </c>
      <c r="H174" s="5">
        <f>F174*G174</f>
        <v/>
      </c>
    </row>
    <row r="175">
      <c r="A175" s="2" t="n">
        <v>46199</v>
      </c>
      <c r="B175" s="3" t="inlineStr">
        <is>
          <t>BIL-2606-0174</t>
        </is>
      </c>
      <c r="C175" s="3" t="inlineStr">
        <is>
          <t>Sone Valley Traders</t>
        </is>
      </c>
      <c r="D175" s="3" t="inlineStr">
        <is>
          <t>Toned Milk 1L</t>
        </is>
      </c>
      <c r="E175" s="3" t="inlineStr">
        <is>
          <t>Dairy</t>
        </is>
      </c>
      <c r="F175" s="4" t="n">
        <v>102</v>
      </c>
      <c r="G175" s="5" t="n">
        <v>53.95</v>
      </c>
      <c r="H175" s="5">
        <f>F175*G175</f>
        <v/>
      </c>
    </row>
    <row r="176">
      <c r="A176" s="2" t="n">
        <v>46199</v>
      </c>
      <c r="B176" s="3" t="inlineStr">
        <is>
          <t>BIL-2606-0175</t>
        </is>
      </c>
      <c r="C176" s="3" t="inlineStr">
        <is>
          <t>Koshi Enterprises</t>
        </is>
      </c>
      <c r="D176" s="3" t="inlineStr">
        <is>
          <t>Detergent 1kg</t>
        </is>
      </c>
      <c r="E176" s="3" t="inlineStr">
        <is>
          <t>Household</t>
        </is>
      </c>
      <c r="F176" s="4" t="n">
        <v>270</v>
      </c>
      <c r="G176" s="5" t="n">
        <v>106.4</v>
      </c>
      <c r="H176" s="5">
        <f>F176*G176</f>
        <v/>
      </c>
    </row>
    <row r="177">
      <c r="A177" s="2" t="n">
        <v>46203</v>
      </c>
      <c r="B177" s="3" t="inlineStr">
        <is>
          <t>BIL-2606-0176</t>
        </is>
      </c>
      <c r="C177" s="3" t="inlineStr">
        <is>
          <t>Sone Valley Traders</t>
        </is>
      </c>
      <c r="D177" s="3" t="inlineStr">
        <is>
          <t>Instant Noodles 280g</t>
        </is>
      </c>
      <c r="E177" s="3" t="inlineStr">
        <is>
          <t>Snacks</t>
        </is>
      </c>
      <c r="F177" s="4" t="n">
        <v>297</v>
      </c>
      <c r="G177" s="5" t="n">
        <v>41.57</v>
      </c>
      <c r="H177" s="5">
        <f>F177*G177</f>
        <v/>
      </c>
    </row>
    <row r="178">
      <c r="A178" s="2" t="n">
        <v>46203</v>
      </c>
      <c r="B178" s="3" t="inlineStr">
        <is>
          <t>BIL-2606-0177</t>
        </is>
      </c>
      <c r="C178" s="3" t="inlineStr">
        <is>
          <t>Patliputra Agencies</t>
        </is>
      </c>
      <c r="D178" s="3" t="inlineStr">
        <is>
          <t>Dish Soap 500ml</t>
        </is>
      </c>
      <c r="E178" s="3" t="inlineStr">
        <is>
          <t>Household</t>
        </is>
      </c>
      <c r="F178" s="4" t="n">
        <v>228</v>
      </c>
      <c r="G178" s="5" t="n">
        <v>79.79000000000001</v>
      </c>
      <c r="H178" s="5">
        <f>F178*G178</f>
        <v/>
      </c>
    </row>
    <row r="179">
      <c r="A179" s="2" t="n">
        <v>46203</v>
      </c>
      <c r="B179" s="3" t="inlineStr">
        <is>
          <t>BIL-2606-0178</t>
        </is>
      </c>
      <c r="C179" s="3" t="inlineStr">
        <is>
          <t>Patliputra Agencies</t>
        </is>
      </c>
      <c r="D179" s="3" t="inlineStr">
        <is>
          <t>Curd Cup 400g</t>
        </is>
      </c>
      <c r="E179" s="3" t="inlineStr">
        <is>
          <t>Dairy</t>
        </is>
      </c>
      <c r="F179" s="4" t="n">
        <v>81</v>
      </c>
      <c r="G179" s="5" t="n">
        <v>34.8</v>
      </c>
      <c r="H179" s="5">
        <f>F179*G179</f>
        <v/>
      </c>
    </row>
    <row r="180">
      <c r="A180" s="2" t="n">
        <v>46203</v>
      </c>
      <c r="B180" s="3" t="inlineStr">
        <is>
          <t>BIL-2606-0179</t>
        </is>
      </c>
      <c r="C180" s="3" t="inlineStr">
        <is>
          <t>Bihar Foods Distributors</t>
        </is>
      </c>
      <c r="D180" s="3" t="inlineStr">
        <is>
          <t>Toned Milk 1L</t>
        </is>
      </c>
      <c r="E180" s="3" t="inlineStr">
        <is>
          <t>Dairy</t>
        </is>
      </c>
      <c r="F180" s="4" t="n">
        <v>343</v>
      </c>
      <c r="G180" s="5" t="n">
        <v>55.11</v>
      </c>
      <c r="H180" s="5">
        <f>F180*G180</f>
        <v/>
      </c>
    </row>
    <row r="181">
      <c r="A181" s="2" t="n">
        <v>46205</v>
      </c>
      <c r="B181" s="3" t="inlineStr">
        <is>
          <t>BIL-2607-0180</t>
        </is>
      </c>
      <c r="C181" s="3" t="inlineStr">
        <is>
          <t>Vaishali Supply House</t>
        </is>
      </c>
      <c r="D181" s="3" t="inlineStr">
        <is>
          <t>Floor Cleaner 1L</t>
        </is>
      </c>
      <c r="E181" s="3" t="inlineStr">
        <is>
          <t>Household</t>
        </is>
      </c>
      <c r="F181" s="4" t="n">
        <v>178</v>
      </c>
      <c r="G181" s="5" t="n">
        <v>90.34</v>
      </c>
      <c r="H181" s="5">
        <f>F181*G181</f>
        <v/>
      </c>
    </row>
    <row r="182">
      <c r="A182" s="2" t="n">
        <v>46207</v>
      </c>
      <c r="B182" s="3" t="inlineStr">
        <is>
          <t>BIL-2607-0181</t>
        </is>
      </c>
      <c r="C182" s="3" t="inlineStr">
        <is>
          <t>Koshi Enterprises</t>
        </is>
      </c>
      <c r="D182" s="3" t="inlineStr">
        <is>
          <t>Curd Cup 400g</t>
        </is>
      </c>
      <c r="E182" s="3" t="inlineStr">
        <is>
          <t>Dairy</t>
        </is>
      </c>
      <c r="F182" s="4" t="n">
        <v>186</v>
      </c>
      <c r="G182" s="5" t="n">
        <v>34.84</v>
      </c>
      <c r="H182" s="5">
        <f>F182*G182</f>
        <v/>
      </c>
    </row>
    <row r="183">
      <c r="A183" s="2" t="n">
        <v>46207</v>
      </c>
      <c r="B183" s="3" t="inlineStr">
        <is>
          <t>BIL-2607-0182</t>
        </is>
      </c>
      <c r="C183" s="3" t="inlineStr">
        <is>
          <t>Koshi Enterprises</t>
        </is>
      </c>
      <c r="D183" s="3" t="inlineStr">
        <is>
          <t>Potato Chips 150g</t>
        </is>
      </c>
      <c r="E183" s="3" t="inlineStr">
        <is>
          <t>Snacks</t>
        </is>
      </c>
      <c r="F183" s="4" t="n">
        <v>342</v>
      </c>
      <c r="G183" s="5" t="n">
        <v>38.69</v>
      </c>
      <c r="H183" s="5">
        <f>F183*G183</f>
        <v/>
      </c>
    </row>
    <row r="184">
      <c r="A184" s="2" t="n">
        <v>46207</v>
      </c>
      <c r="B184" s="3" t="inlineStr">
        <is>
          <t>BIL-2607-0183</t>
        </is>
      </c>
      <c r="C184" s="3" t="inlineStr">
        <is>
          <t>Vaishali Supply House</t>
        </is>
      </c>
      <c r="D184" s="3" t="inlineStr">
        <is>
          <t>Mango Juice 1L</t>
        </is>
      </c>
      <c r="E184" s="3" t="inlineStr">
        <is>
          <t>Beverages</t>
        </is>
      </c>
      <c r="F184" s="4" t="n">
        <v>188</v>
      </c>
      <c r="G184" s="5" t="n">
        <v>94.09</v>
      </c>
      <c r="H184" s="5">
        <f>F184*G184</f>
        <v/>
      </c>
    </row>
    <row r="185">
      <c r="A185" s="2" t="n">
        <v>46208</v>
      </c>
      <c r="B185" s="3" t="inlineStr">
        <is>
          <t>BIL-2607-0184</t>
        </is>
      </c>
      <c r="C185" s="3" t="inlineStr">
        <is>
          <t>Patliputra Agencies</t>
        </is>
      </c>
      <c r="D185" s="3" t="inlineStr">
        <is>
          <t>Mango Juice 1L</t>
        </is>
      </c>
      <c r="E185" s="3" t="inlineStr">
        <is>
          <t>Beverages</t>
        </is>
      </c>
      <c r="F185" s="4" t="n">
        <v>231</v>
      </c>
      <c r="G185" s="5" t="n">
        <v>96.92</v>
      </c>
      <c r="H185" s="5">
        <f>F185*G185</f>
        <v/>
      </c>
    </row>
    <row r="186">
      <c r="A186" s="2" t="n">
        <v>46208</v>
      </c>
      <c r="B186" s="3" t="inlineStr">
        <is>
          <t>BIL-2607-0185</t>
        </is>
      </c>
      <c r="C186" s="3" t="inlineStr">
        <is>
          <t>Koshi Enterprises</t>
        </is>
      </c>
      <c r="D186" s="3" t="inlineStr">
        <is>
          <t>Curd Cup 400g</t>
        </is>
      </c>
      <c r="E186" s="3" t="inlineStr">
        <is>
          <t>Dairy</t>
        </is>
      </c>
      <c r="F186" s="4" t="n">
        <v>233</v>
      </c>
      <c r="G186" s="5" t="n">
        <v>35.57</v>
      </c>
      <c r="H186" s="5">
        <f>F186*G186</f>
        <v/>
      </c>
    </row>
    <row r="187">
      <c r="A187" s="2" t="n">
        <v>46208</v>
      </c>
      <c r="B187" s="3" t="inlineStr">
        <is>
          <t>BIL-2607-0186</t>
        </is>
      </c>
      <c r="C187" s="3" t="inlineStr">
        <is>
          <t>Koshi Enterprises</t>
        </is>
      </c>
      <c r="D187" s="3" t="inlineStr">
        <is>
          <t>Dish Soap 500ml</t>
        </is>
      </c>
      <c r="E187" s="3" t="inlineStr">
        <is>
          <t>Household</t>
        </is>
      </c>
      <c r="F187" s="4" t="n">
        <v>165</v>
      </c>
      <c r="G187" s="5" t="n">
        <v>80.98999999999999</v>
      </c>
      <c r="H187" s="5">
        <f>F187*G187</f>
        <v/>
      </c>
    </row>
    <row r="188">
      <c r="A188" s="2" t="n">
        <v>46209</v>
      </c>
      <c r="B188" s="3" t="inlineStr">
        <is>
          <t>BIL-2607-0187</t>
        </is>
      </c>
      <c r="C188" s="3" t="inlineStr">
        <is>
          <t>Nalanda Distribution</t>
        </is>
      </c>
      <c r="D188" s="3" t="inlineStr">
        <is>
          <t>Toned Milk 1L</t>
        </is>
      </c>
      <c r="E188" s="3" t="inlineStr">
        <is>
          <t>Dairy</t>
        </is>
      </c>
      <c r="F188" s="4" t="n">
        <v>155</v>
      </c>
      <c r="G188" s="5" t="n">
        <v>54.71</v>
      </c>
      <c r="H188" s="5">
        <f>F188*G188</f>
        <v/>
      </c>
    </row>
    <row r="189">
      <c r="A189" s="2" t="n">
        <v>46210</v>
      </c>
      <c r="B189" s="3" t="inlineStr">
        <is>
          <t>BIL-2607-0188</t>
        </is>
      </c>
      <c r="C189" s="3" t="inlineStr">
        <is>
          <t>Bihar Foods Distributors</t>
        </is>
      </c>
      <c r="D189" s="3" t="inlineStr">
        <is>
          <t>Potato Chips 150g</t>
        </is>
      </c>
      <c r="E189" s="3" t="inlineStr">
        <is>
          <t>Snacks</t>
        </is>
      </c>
      <c r="F189" s="4" t="n">
        <v>105</v>
      </c>
      <c r="G189" s="5" t="n">
        <v>38.82</v>
      </c>
      <c r="H189" s="5">
        <f>F189*G189</f>
        <v/>
      </c>
    </row>
    <row r="190">
      <c r="A190" s="2" t="n">
        <v>46210</v>
      </c>
      <c r="B190" s="3" t="inlineStr">
        <is>
          <t>BIL-2607-0189</t>
        </is>
      </c>
      <c r="C190" s="3" t="inlineStr">
        <is>
          <t>Bihar Foods Distributors</t>
        </is>
      </c>
      <c r="D190" s="3" t="inlineStr">
        <is>
          <t>Biscuits 400g</t>
        </is>
      </c>
      <c r="E190" s="3" t="inlineStr">
        <is>
          <t>Snacks</t>
        </is>
      </c>
      <c r="F190" s="4" t="n">
        <v>226</v>
      </c>
      <c r="G190" s="5" t="n">
        <v>30.63</v>
      </c>
      <c r="H190" s="5">
        <f>F190*G190</f>
        <v/>
      </c>
    </row>
    <row r="191">
      <c r="A191" s="2" t="n">
        <v>46210</v>
      </c>
      <c r="B191" s="3" t="inlineStr">
        <is>
          <t>BIL-2607-0190</t>
        </is>
      </c>
      <c r="C191" s="3" t="inlineStr">
        <is>
          <t>Ganga FMCG Supply</t>
        </is>
      </c>
      <c r="D191" s="3" t="inlineStr">
        <is>
          <t>Instant Noodles 280g</t>
        </is>
      </c>
      <c r="E191" s="3" t="inlineStr">
        <is>
          <t>Snacks</t>
        </is>
      </c>
      <c r="F191" s="4" t="n">
        <v>119</v>
      </c>
      <c r="G191" s="5" t="n">
        <v>42.22</v>
      </c>
      <c r="H191" s="5">
        <f>F191*G191</f>
        <v/>
      </c>
    </row>
    <row r="192">
      <c r="A192" s="2" t="n">
        <v>46210</v>
      </c>
      <c r="B192" s="3" t="inlineStr">
        <is>
          <t>BIL-2607-0191</t>
        </is>
      </c>
      <c r="C192" s="3" t="inlineStr">
        <is>
          <t>Nalanda Distribution</t>
        </is>
      </c>
      <c r="D192" s="3" t="inlineStr">
        <is>
          <t>Detergent 1kg</t>
        </is>
      </c>
      <c r="E192" s="3" t="inlineStr">
        <is>
          <t>Household</t>
        </is>
      </c>
      <c r="F192" s="4" t="n">
        <v>113</v>
      </c>
      <c r="G192" s="5" t="n">
        <v>102.33</v>
      </c>
      <c r="H192" s="5">
        <f>F192*G192</f>
        <v/>
      </c>
    </row>
    <row r="193">
      <c r="A193" s="2" t="n">
        <v>46212</v>
      </c>
      <c r="B193" s="3" t="inlineStr">
        <is>
          <t>BIL-2607-0192</t>
        </is>
      </c>
      <c r="C193" s="3" t="inlineStr">
        <is>
          <t>Koshi Enterprises</t>
        </is>
      </c>
      <c r="D193" s="3" t="inlineStr">
        <is>
          <t>Floor Cleaner 1L</t>
        </is>
      </c>
      <c r="E193" s="3" t="inlineStr">
        <is>
          <t>Household</t>
        </is>
      </c>
      <c r="F193" s="4" t="n">
        <v>257</v>
      </c>
      <c r="G193" s="5" t="n">
        <v>88.12</v>
      </c>
      <c r="H193" s="5">
        <f>F193*G193</f>
        <v/>
      </c>
    </row>
    <row r="194">
      <c r="A194" s="2" t="n">
        <v>46212</v>
      </c>
      <c r="B194" s="3" t="inlineStr">
        <is>
          <t>BIL-2607-0193</t>
        </is>
      </c>
      <c r="C194" s="3" t="inlineStr">
        <is>
          <t>Patliputra Agencies</t>
        </is>
      </c>
      <c r="D194" s="3" t="inlineStr">
        <is>
          <t>Dish Soap 500ml</t>
        </is>
      </c>
      <c r="E194" s="3" t="inlineStr">
        <is>
          <t>Household</t>
        </is>
      </c>
      <c r="F194" s="4" t="n">
        <v>273</v>
      </c>
      <c r="G194" s="5" t="n">
        <v>78.20999999999999</v>
      </c>
      <c r="H194" s="5">
        <f>F194*G194</f>
        <v/>
      </c>
    </row>
    <row r="195">
      <c r="A195" s="2" t="n">
        <v>46212</v>
      </c>
      <c r="B195" s="3" t="inlineStr">
        <is>
          <t>BIL-2607-0194</t>
        </is>
      </c>
      <c r="C195" s="3" t="inlineStr">
        <is>
          <t>Bihar Foods Distributors</t>
        </is>
      </c>
      <c r="D195" s="3" t="inlineStr">
        <is>
          <t>Dish Soap 500ml</t>
        </is>
      </c>
      <c r="E195" s="3" t="inlineStr">
        <is>
          <t>Household</t>
        </is>
      </c>
      <c r="F195" s="4" t="n">
        <v>384</v>
      </c>
      <c r="G195" s="5" t="n">
        <v>77.93000000000001</v>
      </c>
      <c r="H195" s="5">
        <f>F195*G195</f>
        <v/>
      </c>
    </row>
    <row r="196">
      <c r="A196" s="2" t="n">
        <v>46212</v>
      </c>
      <c r="B196" s="3" t="inlineStr">
        <is>
          <t>BIL-2607-0195</t>
        </is>
      </c>
      <c r="C196" s="3" t="inlineStr">
        <is>
          <t>Bihar Foods Distributors</t>
        </is>
      </c>
      <c r="D196" s="3" t="inlineStr">
        <is>
          <t>Toned Milk 1L</t>
        </is>
      </c>
      <c r="E196" s="3" t="inlineStr">
        <is>
          <t>Dairy</t>
        </is>
      </c>
      <c r="F196" s="4" t="n">
        <v>256</v>
      </c>
      <c r="G196" s="5" t="n">
        <v>54.15</v>
      </c>
      <c r="H196" s="5">
        <f>F196*G196</f>
        <v/>
      </c>
    </row>
    <row r="197">
      <c r="A197" s="2" t="n">
        <v>46214</v>
      </c>
      <c r="B197" s="3" t="inlineStr">
        <is>
          <t>BIL-2607-0196</t>
        </is>
      </c>
      <c r="C197" s="3" t="inlineStr">
        <is>
          <t>Bihar Foods Distributors</t>
        </is>
      </c>
      <c r="D197" s="3" t="inlineStr">
        <is>
          <t>Packaged Water 1L</t>
        </is>
      </c>
      <c r="E197" s="3" t="inlineStr">
        <is>
          <t>Beverages</t>
        </is>
      </c>
      <c r="F197" s="4" t="n">
        <v>281</v>
      </c>
      <c r="G197" s="5" t="n">
        <v>15.3</v>
      </c>
      <c r="H197" s="5">
        <f>F197*G197</f>
        <v/>
      </c>
    </row>
    <row r="198">
      <c r="A198" s="2" t="n">
        <v>46214</v>
      </c>
      <c r="B198" s="3" t="inlineStr">
        <is>
          <t>BIL-2607-0197</t>
        </is>
      </c>
      <c r="C198" s="3" t="inlineStr">
        <is>
          <t>Ganga FMCG Supply</t>
        </is>
      </c>
      <c r="D198" s="3" t="inlineStr">
        <is>
          <t>Toned Milk 1L</t>
        </is>
      </c>
      <c r="E198" s="3" t="inlineStr">
        <is>
          <t>Dairy</t>
        </is>
      </c>
      <c r="F198" s="4" t="n">
        <v>160</v>
      </c>
      <c r="G198" s="5" t="n">
        <v>55.55</v>
      </c>
      <c r="H198" s="5">
        <f>F198*G198</f>
        <v/>
      </c>
    </row>
    <row r="199">
      <c r="A199" s="2" t="n">
        <v>46214</v>
      </c>
      <c r="B199" s="3" t="inlineStr">
        <is>
          <t>BIL-2607-0198</t>
        </is>
      </c>
      <c r="C199" s="3" t="inlineStr">
        <is>
          <t>Patliputra Agencies</t>
        </is>
      </c>
      <c r="D199" s="3" t="inlineStr">
        <is>
          <t>Toned Milk 1L</t>
        </is>
      </c>
      <c r="E199" s="3" t="inlineStr">
        <is>
          <t>Dairy</t>
        </is>
      </c>
      <c r="F199" s="4" t="n">
        <v>53</v>
      </c>
      <c r="G199" s="5" t="n">
        <v>53.26</v>
      </c>
      <c r="H199" s="5">
        <f>F199*G199</f>
        <v/>
      </c>
    </row>
    <row r="200">
      <c r="A200" s="2" t="n">
        <v>46214</v>
      </c>
      <c r="B200" s="3" t="inlineStr">
        <is>
          <t>BIL-2607-0199</t>
        </is>
      </c>
      <c r="C200" s="3" t="inlineStr">
        <is>
          <t>Patliputra Agencies</t>
        </is>
      </c>
      <c r="D200" s="3" t="inlineStr">
        <is>
          <t>Detergent 1kg</t>
        </is>
      </c>
      <c r="E200" s="3" t="inlineStr">
        <is>
          <t>Household</t>
        </is>
      </c>
      <c r="F200" s="4" t="n">
        <v>353</v>
      </c>
      <c r="G200" s="5" t="n">
        <v>102.33</v>
      </c>
      <c r="H200" s="5">
        <f>F200*G200</f>
        <v/>
      </c>
    </row>
    <row r="201">
      <c r="A201" s="2" t="n">
        <v>46215</v>
      </c>
      <c r="B201" s="3" t="inlineStr">
        <is>
          <t>BIL-2607-0200</t>
        </is>
      </c>
      <c r="C201" s="3" t="inlineStr">
        <is>
          <t>Nalanda Distribution</t>
        </is>
      </c>
      <c r="D201" s="3" t="inlineStr">
        <is>
          <t>Mango Juice 1L</t>
        </is>
      </c>
      <c r="E201" s="3" t="inlineStr">
        <is>
          <t>Beverages</t>
        </is>
      </c>
      <c r="F201" s="4" t="n">
        <v>132</v>
      </c>
      <c r="G201" s="5" t="n">
        <v>95.98</v>
      </c>
      <c r="H201" s="5">
        <f>F201*G201</f>
        <v/>
      </c>
    </row>
    <row r="202">
      <c r="A202" s="2" t="n">
        <v>46215</v>
      </c>
      <c r="B202" s="3" t="inlineStr">
        <is>
          <t>BIL-2607-0201</t>
        </is>
      </c>
      <c r="C202" s="3" t="inlineStr">
        <is>
          <t>Magadh Wholesale Co.</t>
        </is>
      </c>
      <c r="D202" s="3" t="inlineStr">
        <is>
          <t>Dish Soap 500ml</t>
        </is>
      </c>
      <c r="E202" s="3" t="inlineStr">
        <is>
          <t>Household</t>
        </is>
      </c>
      <c r="F202" s="4" t="n">
        <v>58</v>
      </c>
      <c r="G202" s="5" t="n">
        <v>80.76000000000001</v>
      </c>
      <c r="H202" s="5">
        <f>F202*G202</f>
        <v/>
      </c>
    </row>
    <row r="203">
      <c r="A203" s="2" t="n">
        <v>46215</v>
      </c>
      <c r="B203" s="3" t="inlineStr">
        <is>
          <t>BIL-2607-0202</t>
        </is>
      </c>
      <c r="C203" s="3" t="inlineStr">
        <is>
          <t>Magadh Wholesale Co.</t>
        </is>
      </c>
      <c r="D203" s="3" t="inlineStr">
        <is>
          <t>Cola 750ml</t>
        </is>
      </c>
      <c r="E203" s="3" t="inlineStr">
        <is>
          <t>Beverages</t>
        </is>
      </c>
      <c r="F203" s="4" t="n">
        <v>364</v>
      </c>
      <c r="G203" s="5" t="n">
        <v>35.36</v>
      </c>
      <c r="H203" s="5">
        <f>F203*G203</f>
        <v/>
      </c>
    </row>
    <row r="204">
      <c r="A204" s="2" t="n">
        <v>46215</v>
      </c>
      <c r="B204" s="3" t="inlineStr">
        <is>
          <t>BIL-2607-0203</t>
        </is>
      </c>
      <c r="C204" s="3" t="inlineStr">
        <is>
          <t>Patliputra Agencies</t>
        </is>
      </c>
      <c r="D204" s="3" t="inlineStr">
        <is>
          <t>Instant Noodles 280g</t>
        </is>
      </c>
      <c r="E204" s="3" t="inlineStr">
        <is>
          <t>Snacks</t>
        </is>
      </c>
      <c r="F204" s="4" t="n">
        <v>67</v>
      </c>
      <c r="G204" s="5" t="n">
        <v>41.83</v>
      </c>
      <c r="H204" s="5">
        <f>F204*G204</f>
        <v/>
      </c>
    </row>
    <row r="205">
      <c r="A205" s="2" t="n">
        <v>46217</v>
      </c>
      <c r="B205" s="3" t="inlineStr">
        <is>
          <t>BIL-2607-0204</t>
        </is>
      </c>
      <c r="C205" s="3" t="inlineStr">
        <is>
          <t>Koshi Enterprises</t>
        </is>
      </c>
      <c r="D205" s="3" t="inlineStr">
        <is>
          <t>Paneer 200g</t>
        </is>
      </c>
      <c r="E205" s="3" t="inlineStr">
        <is>
          <t>Dairy</t>
        </is>
      </c>
      <c r="F205" s="4" t="n">
        <v>149</v>
      </c>
      <c r="G205" s="5" t="n">
        <v>79.83</v>
      </c>
      <c r="H205" s="5">
        <f>F205*G205</f>
        <v/>
      </c>
    </row>
    <row r="206">
      <c r="A206" s="2" t="n">
        <v>46217</v>
      </c>
      <c r="B206" s="3" t="inlineStr">
        <is>
          <t>BIL-2607-0205</t>
        </is>
      </c>
      <c r="C206" s="3" t="inlineStr">
        <is>
          <t>Koshi Enterprises</t>
        </is>
      </c>
      <c r="D206" s="3" t="inlineStr">
        <is>
          <t>Packaged Water 1L</t>
        </is>
      </c>
      <c r="E206" s="3" t="inlineStr">
        <is>
          <t>Beverages</t>
        </is>
      </c>
      <c r="F206" s="4" t="n">
        <v>267</v>
      </c>
      <c r="G206" s="5" t="n">
        <v>14.79</v>
      </c>
      <c r="H206" s="5">
        <f>F206*G206</f>
        <v/>
      </c>
    </row>
    <row r="207">
      <c r="A207" s="2" t="n">
        <v>46217</v>
      </c>
      <c r="B207" s="3" t="inlineStr">
        <is>
          <t>BIL-2607-0206</t>
        </is>
      </c>
      <c r="C207" s="3" t="inlineStr">
        <is>
          <t>Bihar Foods Distributors</t>
        </is>
      </c>
      <c r="D207" s="3" t="inlineStr">
        <is>
          <t>Floor Cleaner 1L</t>
        </is>
      </c>
      <c r="E207" s="3" t="inlineStr">
        <is>
          <t>Household</t>
        </is>
      </c>
      <c r="F207" s="4" t="n">
        <v>227</v>
      </c>
      <c r="G207" s="5" t="n">
        <v>90.38</v>
      </c>
      <c r="H207" s="5">
        <f>F207*G207</f>
        <v/>
      </c>
    </row>
    <row r="208">
      <c r="A208" s="2" t="n">
        <v>46218</v>
      </c>
      <c r="B208" s="3" t="inlineStr">
        <is>
          <t>BIL-2607-0207</t>
        </is>
      </c>
      <c r="C208" s="3" t="inlineStr">
        <is>
          <t>Vaishali Supply House</t>
        </is>
      </c>
      <c r="D208" s="3" t="inlineStr">
        <is>
          <t>Biscuits 400g</t>
        </is>
      </c>
      <c r="E208" s="3" t="inlineStr">
        <is>
          <t>Snacks</t>
        </is>
      </c>
      <c r="F208" s="4" t="n">
        <v>146</v>
      </c>
      <c r="G208" s="5" t="n">
        <v>29.96</v>
      </c>
      <c r="H208" s="5">
        <f>F208*G208</f>
        <v/>
      </c>
    </row>
    <row r="209">
      <c r="A209" s="2" t="n">
        <v>46218</v>
      </c>
      <c r="B209" s="3" t="inlineStr">
        <is>
          <t>BIL-2607-0208</t>
        </is>
      </c>
      <c r="C209" s="3" t="inlineStr">
        <is>
          <t>Sone Valley Traders</t>
        </is>
      </c>
      <c r="D209" s="3" t="inlineStr">
        <is>
          <t>Dish Soap 500ml</t>
        </is>
      </c>
      <c r="E209" s="3" t="inlineStr">
        <is>
          <t>Household</t>
        </is>
      </c>
      <c r="F209" s="4" t="n">
        <v>355</v>
      </c>
      <c r="G209" s="5" t="n">
        <v>78.18000000000001</v>
      </c>
      <c r="H209" s="5">
        <f>F209*G209</f>
        <v/>
      </c>
    </row>
    <row r="210">
      <c r="A210" s="2" t="n">
        <v>46218</v>
      </c>
      <c r="B210" s="3" t="inlineStr">
        <is>
          <t>BIL-2607-0209</t>
        </is>
      </c>
      <c r="C210" s="3" t="inlineStr">
        <is>
          <t>Ganga FMCG Supply</t>
        </is>
      </c>
      <c r="D210" s="3" t="inlineStr">
        <is>
          <t>Paneer 200g</t>
        </is>
      </c>
      <c r="E210" s="3" t="inlineStr">
        <is>
          <t>Dairy</t>
        </is>
      </c>
      <c r="F210" s="4" t="n">
        <v>216</v>
      </c>
      <c r="G210" s="5" t="n">
        <v>77.17</v>
      </c>
      <c r="H210" s="5">
        <f>F210*G210</f>
        <v/>
      </c>
    </row>
    <row r="211">
      <c r="A211" s="2" t="n">
        <v>46220</v>
      </c>
      <c r="B211" s="3" t="inlineStr">
        <is>
          <t>BIL-2607-0210</t>
        </is>
      </c>
      <c r="C211" s="3" t="inlineStr">
        <is>
          <t>Ganga FMCG Supply</t>
        </is>
      </c>
      <c r="D211" s="3" t="inlineStr">
        <is>
          <t>Curd Cup 400g</t>
        </is>
      </c>
      <c r="E211" s="3" t="inlineStr">
        <is>
          <t>Dairy</t>
        </is>
      </c>
      <c r="F211" s="4" t="n">
        <v>125</v>
      </c>
      <c r="G211" s="5" t="n">
        <v>35.46</v>
      </c>
      <c r="H211" s="5">
        <f>F211*G211</f>
        <v/>
      </c>
    </row>
    <row r="212">
      <c r="A212" s="2" t="n">
        <v>46220</v>
      </c>
      <c r="B212" s="3" t="inlineStr">
        <is>
          <t>BIL-2607-0211</t>
        </is>
      </c>
      <c r="C212" s="3" t="inlineStr">
        <is>
          <t>Magadh Wholesale Co.</t>
        </is>
      </c>
      <c r="D212" s="3" t="inlineStr">
        <is>
          <t>Potato Chips 150g</t>
        </is>
      </c>
      <c r="E212" s="3" t="inlineStr">
        <is>
          <t>Snacks</t>
        </is>
      </c>
      <c r="F212" s="4" t="n">
        <v>255</v>
      </c>
      <c r="G212" s="5" t="n">
        <v>38.88</v>
      </c>
      <c r="H212" s="5">
        <f>F212*G212</f>
        <v/>
      </c>
    </row>
    <row r="213">
      <c r="A213" s="2" t="n">
        <v>46222</v>
      </c>
      <c r="B213" s="3" t="inlineStr">
        <is>
          <t>BIL-2607-0212</t>
        </is>
      </c>
      <c r="C213" s="3" t="inlineStr">
        <is>
          <t>Magadh Wholesale Co.</t>
        </is>
      </c>
      <c r="D213" s="3" t="inlineStr">
        <is>
          <t>Paneer 200g</t>
        </is>
      </c>
      <c r="E213" s="3" t="inlineStr">
        <is>
          <t>Dairy</t>
        </is>
      </c>
      <c r="F213" s="4" t="n">
        <v>360</v>
      </c>
      <c r="G213" s="5" t="n">
        <v>79.95</v>
      </c>
      <c r="H213" s="5">
        <f>F213*G213</f>
        <v/>
      </c>
    </row>
    <row r="214">
      <c r="A214" s="2" t="n">
        <v>46222</v>
      </c>
      <c r="B214" s="3" t="inlineStr">
        <is>
          <t>BIL-2607-0213</t>
        </is>
      </c>
      <c r="C214" s="3" t="inlineStr">
        <is>
          <t>Vaishali Supply House</t>
        </is>
      </c>
      <c r="D214" s="3" t="inlineStr">
        <is>
          <t>Toned Milk 1L</t>
        </is>
      </c>
      <c r="E214" s="3" t="inlineStr">
        <is>
          <t>Dairy</t>
        </is>
      </c>
      <c r="F214" s="4" t="n">
        <v>64</v>
      </c>
      <c r="G214" s="5" t="n">
        <v>53.82</v>
      </c>
      <c r="H214" s="5">
        <f>F214*G214</f>
        <v/>
      </c>
    </row>
    <row r="215">
      <c r="A215" s="2" t="n">
        <v>46223</v>
      </c>
      <c r="B215" s="3" t="inlineStr">
        <is>
          <t>BIL-2607-0214</t>
        </is>
      </c>
      <c r="C215" s="3" t="inlineStr">
        <is>
          <t>Vaishali Supply House</t>
        </is>
      </c>
      <c r="D215" s="3" t="inlineStr">
        <is>
          <t>Cola 750ml</t>
        </is>
      </c>
      <c r="E215" s="3" t="inlineStr">
        <is>
          <t>Beverages</t>
        </is>
      </c>
      <c r="F215" s="4" t="n">
        <v>364</v>
      </c>
      <c r="G215" s="5" t="n">
        <v>35.86</v>
      </c>
      <c r="H215" s="5">
        <f>F215*G215</f>
        <v/>
      </c>
    </row>
    <row r="216">
      <c r="A216" s="2" t="n">
        <v>46223</v>
      </c>
      <c r="B216" s="3" t="inlineStr">
        <is>
          <t>BIL-2607-0215</t>
        </is>
      </c>
      <c r="C216" s="3" t="inlineStr">
        <is>
          <t>Koshi Enterprises</t>
        </is>
      </c>
      <c r="D216" s="3" t="inlineStr">
        <is>
          <t>Toned Milk 1L</t>
        </is>
      </c>
      <c r="E216" s="3" t="inlineStr">
        <is>
          <t>Dairy</t>
        </is>
      </c>
      <c r="F216" s="4" t="n">
        <v>301</v>
      </c>
      <c r="G216" s="5" t="n">
        <v>55.07</v>
      </c>
      <c r="H216" s="5">
        <f>F216*G216</f>
        <v/>
      </c>
    </row>
    <row r="217">
      <c r="A217" s="2" t="n">
        <v>46223</v>
      </c>
      <c r="B217" s="3" t="inlineStr">
        <is>
          <t>BIL-2607-0216</t>
        </is>
      </c>
      <c r="C217" s="3" t="inlineStr">
        <is>
          <t>Ganga FMCG Supply</t>
        </is>
      </c>
      <c r="D217" s="3" t="inlineStr">
        <is>
          <t>Biscuits 400g</t>
        </is>
      </c>
      <c r="E217" s="3" t="inlineStr">
        <is>
          <t>Snacks</t>
        </is>
      </c>
      <c r="F217" s="4" t="n">
        <v>99</v>
      </c>
      <c r="G217" s="5" t="n">
        <v>30.35</v>
      </c>
      <c r="H217" s="5">
        <f>F217*G217</f>
        <v/>
      </c>
    </row>
    <row r="218">
      <c r="A218" s="2" t="n">
        <v>46223</v>
      </c>
      <c r="B218" s="3" t="inlineStr">
        <is>
          <t>BIL-2607-0217</t>
        </is>
      </c>
      <c r="C218" s="3" t="inlineStr">
        <is>
          <t>Nalanda Distribution</t>
        </is>
      </c>
      <c r="D218" s="3" t="inlineStr">
        <is>
          <t>Mango Juice 1L</t>
        </is>
      </c>
      <c r="E218" s="3" t="inlineStr">
        <is>
          <t>Beverages</t>
        </is>
      </c>
      <c r="F218" s="4" t="n">
        <v>254</v>
      </c>
      <c r="G218" s="5" t="n">
        <v>95.75</v>
      </c>
      <c r="H218" s="5">
        <f>F218*G218</f>
        <v/>
      </c>
    </row>
    <row r="219">
      <c r="A219" s="2" t="n">
        <v>46224</v>
      </c>
      <c r="B219" s="3" t="inlineStr">
        <is>
          <t>BIL-2607-0218</t>
        </is>
      </c>
      <c r="C219" s="3" t="inlineStr">
        <is>
          <t>Ganga FMCG Supply</t>
        </is>
      </c>
      <c r="D219" s="3" t="inlineStr">
        <is>
          <t>Toned Milk 1L</t>
        </is>
      </c>
      <c r="E219" s="3" t="inlineStr">
        <is>
          <t>Dairy</t>
        </is>
      </c>
      <c r="F219" s="4" t="n">
        <v>218</v>
      </c>
      <c r="G219" s="5" t="n">
        <v>54.17</v>
      </c>
      <c r="H219" s="5">
        <f>F219*G219</f>
        <v/>
      </c>
    </row>
    <row r="220">
      <c r="A220" s="2" t="n">
        <v>46224</v>
      </c>
      <c r="B220" s="3" t="inlineStr">
        <is>
          <t>BIL-2607-0219</t>
        </is>
      </c>
      <c r="C220" s="3" t="inlineStr">
        <is>
          <t>Patliputra Agencies</t>
        </is>
      </c>
      <c r="D220" s="3" t="inlineStr">
        <is>
          <t>Floor Cleaner 1L</t>
        </is>
      </c>
      <c r="E220" s="3" t="inlineStr">
        <is>
          <t>Household</t>
        </is>
      </c>
      <c r="F220" s="4" t="n">
        <v>395</v>
      </c>
      <c r="G220" s="5" t="n">
        <v>89.16</v>
      </c>
      <c r="H220" s="5">
        <f>F220*G220</f>
        <v/>
      </c>
    </row>
    <row r="221">
      <c r="A221" s="2" t="n">
        <v>46224</v>
      </c>
      <c r="B221" s="3" t="inlineStr">
        <is>
          <t>BIL-2607-0220</t>
        </is>
      </c>
      <c r="C221" s="3" t="inlineStr">
        <is>
          <t>Nalanda Distribution</t>
        </is>
      </c>
      <c r="D221" s="3" t="inlineStr">
        <is>
          <t>Paneer 200g</t>
        </is>
      </c>
      <c r="E221" s="3" t="inlineStr">
        <is>
          <t>Dairy</t>
        </is>
      </c>
      <c r="F221" s="4" t="n">
        <v>314</v>
      </c>
      <c r="G221" s="5" t="n">
        <v>79.88</v>
      </c>
      <c r="H221" s="5">
        <f>F221*G221</f>
        <v/>
      </c>
    </row>
    <row r="222">
      <c r="A222" s="2" t="n">
        <v>46225</v>
      </c>
      <c r="B222" s="3" t="inlineStr">
        <is>
          <t>BIL-2607-0221</t>
        </is>
      </c>
      <c r="C222" s="3" t="inlineStr">
        <is>
          <t>Ganga FMCG Supply</t>
        </is>
      </c>
      <c r="D222" s="3" t="inlineStr">
        <is>
          <t>Detergent 1kg</t>
        </is>
      </c>
      <c r="E222" s="3" t="inlineStr">
        <is>
          <t>Household</t>
        </is>
      </c>
      <c r="F222" s="4" t="n">
        <v>361</v>
      </c>
      <c r="G222" s="5" t="n">
        <v>104.42</v>
      </c>
      <c r="H222" s="5">
        <f>F222*G222</f>
        <v/>
      </c>
    </row>
    <row r="223">
      <c r="A223" s="2" t="n">
        <v>46226</v>
      </c>
      <c r="B223" s="3" t="inlineStr">
        <is>
          <t>BIL-2607-0222</t>
        </is>
      </c>
      <c r="C223" s="3" t="inlineStr">
        <is>
          <t>Nalanda Distribution</t>
        </is>
      </c>
      <c r="D223" s="3" t="inlineStr">
        <is>
          <t>Potato Chips 150g</t>
        </is>
      </c>
      <c r="E223" s="3" t="inlineStr">
        <is>
          <t>Snacks</t>
        </is>
      </c>
      <c r="F223" s="4" t="n">
        <v>272</v>
      </c>
      <c r="G223" s="5" t="n">
        <v>37.75</v>
      </c>
      <c r="H223" s="5">
        <f>F223*G223</f>
        <v/>
      </c>
    </row>
    <row r="224">
      <c r="A224" s="2" t="n">
        <v>46229</v>
      </c>
      <c r="B224" s="3" t="inlineStr">
        <is>
          <t>BIL-2607-0223</t>
        </is>
      </c>
      <c r="C224" s="3" t="inlineStr">
        <is>
          <t>Koshi Enterprises</t>
        </is>
      </c>
      <c r="D224" s="3" t="inlineStr">
        <is>
          <t>Paneer 200g</t>
        </is>
      </c>
      <c r="E224" s="3" t="inlineStr">
        <is>
          <t>Dairy</t>
        </is>
      </c>
      <c r="F224" s="4" t="n">
        <v>223</v>
      </c>
      <c r="G224" s="5" t="n">
        <v>79.95999999999999</v>
      </c>
      <c r="H224" s="5">
        <f>F224*G224</f>
        <v/>
      </c>
    </row>
    <row r="225">
      <c r="A225" s="2" t="n">
        <v>46229</v>
      </c>
      <c r="B225" s="3" t="inlineStr">
        <is>
          <t>BIL-2607-0224</t>
        </is>
      </c>
      <c r="C225" s="3" t="inlineStr">
        <is>
          <t>Ganga FMCG Supply</t>
        </is>
      </c>
      <c r="D225" s="3" t="inlineStr">
        <is>
          <t>Toned Milk 1L</t>
        </is>
      </c>
      <c r="E225" s="3" t="inlineStr">
        <is>
          <t>Dairy</t>
        </is>
      </c>
      <c r="F225" s="4" t="n">
        <v>238</v>
      </c>
      <c r="G225" s="5" t="n">
        <v>55.44</v>
      </c>
      <c r="H225" s="5">
        <f>F225*G225</f>
        <v/>
      </c>
    </row>
    <row r="226">
      <c r="A226" s="2" t="n">
        <v>46229</v>
      </c>
      <c r="B226" s="3" t="inlineStr">
        <is>
          <t>BIL-2607-0225</t>
        </is>
      </c>
      <c r="C226" s="3" t="inlineStr">
        <is>
          <t>Bihar Foods Distributors</t>
        </is>
      </c>
      <c r="D226" s="3" t="inlineStr">
        <is>
          <t>Packaged Water 1L</t>
        </is>
      </c>
      <c r="E226" s="3" t="inlineStr">
        <is>
          <t>Beverages</t>
        </is>
      </c>
      <c r="F226" s="4" t="n">
        <v>101</v>
      </c>
      <c r="G226" s="5" t="n">
        <v>15.3</v>
      </c>
      <c r="H226" s="5">
        <f>F226*G226</f>
        <v/>
      </c>
    </row>
    <row r="227">
      <c r="A227" s="2" t="n">
        <v>46229</v>
      </c>
      <c r="B227" s="3" t="inlineStr">
        <is>
          <t>BIL-2607-0226</t>
        </is>
      </c>
      <c r="C227" s="3" t="inlineStr">
        <is>
          <t>Sone Valley Traders</t>
        </is>
      </c>
      <c r="D227" s="3" t="inlineStr">
        <is>
          <t>Paneer 200g</t>
        </is>
      </c>
      <c r="E227" s="3" t="inlineStr">
        <is>
          <t>Dairy</t>
        </is>
      </c>
      <c r="F227" s="4" t="n">
        <v>372</v>
      </c>
      <c r="G227" s="5" t="n">
        <v>78.87</v>
      </c>
      <c r="H227" s="5">
        <f>F227*G227</f>
        <v/>
      </c>
    </row>
    <row r="228">
      <c r="A228" s="2" t="n">
        <v>46230</v>
      </c>
      <c r="B228" s="3" t="inlineStr">
        <is>
          <t>BIL-2607-0227</t>
        </is>
      </c>
      <c r="C228" s="3" t="inlineStr">
        <is>
          <t>Nalanda Distribution</t>
        </is>
      </c>
      <c r="D228" s="3" t="inlineStr">
        <is>
          <t>Mango Juice 1L</t>
        </is>
      </c>
      <c r="E228" s="3" t="inlineStr">
        <is>
          <t>Beverages</t>
        </is>
      </c>
      <c r="F228" s="4" t="n">
        <v>315</v>
      </c>
      <c r="G228" s="5" t="n">
        <v>94.73</v>
      </c>
      <c r="H228" s="5">
        <f>F228*G228</f>
        <v/>
      </c>
    </row>
    <row r="229">
      <c r="A229" s="2" t="n">
        <v>46230</v>
      </c>
      <c r="B229" s="3" t="inlineStr">
        <is>
          <t>BIL-2607-0228</t>
        </is>
      </c>
      <c r="C229" s="3" t="inlineStr">
        <is>
          <t>Ganga FMCG Supply</t>
        </is>
      </c>
      <c r="D229" s="3" t="inlineStr">
        <is>
          <t>Paneer 200g</t>
        </is>
      </c>
      <c r="E229" s="3" t="inlineStr">
        <is>
          <t>Dairy</t>
        </is>
      </c>
      <c r="F229" s="4" t="n">
        <v>197</v>
      </c>
      <c r="G229" s="5" t="n">
        <v>79.43000000000001</v>
      </c>
      <c r="H229" s="5">
        <f>F229*G229</f>
        <v/>
      </c>
    </row>
    <row r="230">
      <c r="A230" s="2" t="n">
        <v>46230</v>
      </c>
      <c r="B230" s="3" t="inlineStr">
        <is>
          <t>BIL-2607-0229</t>
        </is>
      </c>
      <c r="C230" s="3" t="inlineStr">
        <is>
          <t>Ganga FMCG Supply</t>
        </is>
      </c>
      <c r="D230" s="3" t="inlineStr">
        <is>
          <t>Paneer 200g</t>
        </is>
      </c>
      <c r="E230" s="3" t="inlineStr">
        <is>
          <t>Dairy</t>
        </is>
      </c>
      <c r="F230" s="4" t="n">
        <v>239</v>
      </c>
      <c r="G230" s="5" t="n">
        <v>78.42</v>
      </c>
      <c r="H230" s="5">
        <f>F230*G230</f>
        <v/>
      </c>
    </row>
    <row r="231">
      <c r="A231" s="2" t="n">
        <v>46230</v>
      </c>
      <c r="B231" s="3" t="inlineStr">
        <is>
          <t>BIL-2607-0230</t>
        </is>
      </c>
      <c r="C231" s="3" t="inlineStr">
        <is>
          <t>Koshi Enterprises</t>
        </is>
      </c>
      <c r="D231" s="3" t="inlineStr">
        <is>
          <t>Detergent 1kg</t>
        </is>
      </c>
      <c r="E231" s="3" t="inlineStr">
        <is>
          <t>Household</t>
        </is>
      </c>
      <c r="F231" s="4" t="n">
        <v>337</v>
      </c>
      <c r="G231" s="5" t="n">
        <v>105.49</v>
      </c>
      <c r="H231" s="5">
        <f>F231*G231</f>
        <v/>
      </c>
    </row>
    <row r="232">
      <c r="A232" s="2" t="n">
        <v>46231</v>
      </c>
      <c r="B232" s="3" t="inlineStr">
        <is>
          <t>BIL-2607-0231</t>
        </is>
      </c>
      <c r="C232" s="3" t="inlineStr">
        <is>
          <t>Ganga FMCG Supply</t>
        </is>
      </c>
      <c r="D232" s="3" t="inlineStr">
        <is>
          <t>Curd Cup 400g</t>
        </is>
      </c>
      <c r="E232" s="3" t="inlineStr">
        <is>
          <t>Dairy</t>
        </is>
      </c>
      <c r="F232" s="4" t="n">
        <v>192</v>
      </c>
      <c r="G232" s="5" t="n">
        <v>34.36</v>
      </c>
      <c r="H232" s="5">
        <f>F232*G232</f>
        <v/>
      </c>
    </row>
    <row r="233">
      <c r="A233" s="2" t="n">
        <v>46231</v>
      </c>
      <c r="B233" s="3" t="inlineStr">
        <is>
          <t>BIL-2607-0232</t>
        </is>
      </c>
      <c r="C233" s="3" t="inlineStr">
        <is>
          <t>Magadh Wholesale Co.</t>
        </is>
      </c>
      <c r="D233" s="3" t="inlineStr">
        <is>
          <t>Cola 750ml</t>
        </is>
      </c>
      <c r="E233" s="3" t="inlineStr">
        <is>
          <t>Beverages</t>
        </is>
      </c>
      <c r="F233" s="4" t="n">
        <v>398</v>
      </c>
      <c r="G233" s="5" t="n">
        <v>35.45</v>
      </c>
      <c r="H233" s="5">
        <f>F233*G233</f>
        <v/>
      </c>
    </row>
    <row r="234">
      <c r="A234" s="2" t="n">
        <v>46232</v>
      </c>
      <c r="B234" s="3" t="inlineStr">
        <is>
          <t>BIL-2607-0233</t>
        </is>
      </c>
      <c r="C234" s="3" t="inlineStr">
        <is>
          <t>Patliputra Agencies</t>
        </is>
      </c>
      <c r="D234" s="3" t="inlineStr">
        <is>
          <t>Curd Cup 400g</t>
        </is>
      </c>
      <c r="E234" s="3" t="inlineStr">
        <is>
          <t>Dairy</t>
        </is>
      </c>
      <c r="F234" s="4" t="n">
        <v>331</v>
      </c>
      <c r="G234" s="5" t="n">
        <v>35.11</v>
      </c>
      <c r="H234" s="5">
        <f>F234*G234</f>
        <v/>
      </c>
    </row>
    <row r="235">
      <c r="A235" s="2" t="n">
        <v>46232</v>
      </c>
      <c r="B235" s="3" t="inlineStr">
        <is>
          <t>BIL-2607-0234</t>
        </is>
      </c>
      <c r="C235" s="3" t="inlineStr">
        <is>
          <t>Bihar Foods Distributors</t>
        </is>
      </c>
      <c r="D235" s="3" t="inlineStr">
        <is>
          <t>Toned Milk 1L</t>
        </is>
      </c>
      <c r="E235" s="3" t="inlineStr">
        <is>
          <t>Dairy</t>
        </is>
      </c>
      <c r="F235" s="4" t="n">
        <v>247</v>
      </c>
      <c r="G235" s="5" t="n">
        <v>53.41</v>
      </c>
      <c r="H235" s="5">
        <f>F235*G235</f>
        <v/>
      </c>
    </row>
    <row r="236">
      <c r="A236" s="2" t="n">
        <v>46232</v>
      </c>
      <c r="B236" s="3" t="inlineStr">
        <is>
          <t>BIL-2607-0235</t>
        </is>
      </c>
      <c r="C236" s="3" t="inlineStr">
        <is>
          <t>Bihar Foods Distributors</t>
        </is>
      </c>
      <c r="D236" s="3" t="inlineStr">
        <is>
          <t>Paneer 200g</t>
        </is>
      </c>
      <c r="E236" s="3" t="inlineStr">
        <is>
          <t>Dairy</t>
        </is>
      </c>
      <c r="F236" s="4" t="n">
        <v>108</v>
      </c>
      <c r="G236" s="5" t="n">
        <v>77.97</v>
      </c>
      <c r="H236" s="5">
        <f>F236*G236</f>
        <v/>
      </c>
    </row>
    <row r="237">
      <c r="A237" s="2" t="n">
        <v>46233</v>
      </c>
      <c r="B237" s="3" t="inlineStr">
        <is>
          <t>BIL-2607-0236</t>
        </is>
      </c>
      <c r="C237" s="3" t="inlineStr">
        <is>
          <t>Vaishali Supply House</t>
        </is>
      </c>
      <c r="D237" s="3" t="inlineStr">
        <is>
          <t>Paneer 200g</t>
        </is>
      </c>
      <c r="E237" s="3" t="inlineStr">
        <is>
          <t>Dairy</t>
        </is>
      </c>
      <c r="F237" s="4" t="n">
        <v>196</v>
      </c>
      <c r="G237" s="5" t="n">
        <v>77.52</v>
      </c>
      <c r="H237" s="5">
        <f>F237*G237</f>
        <v/>
      </c>
    </row>
    <row r="238">
      <c r="A238" s="2" t="n">
        <v>46234</v>
      </c>
      <c r="B238" s="3" t="inlineStr">
        <is>
          <t>BIL-2607-0237</t>
        </is>
      </c>
      <c r="C238" s="3" t="inlineStr">
        <is>
          <t>Magadh Wholesale Co.</t>
        </is>
      </c>
      <c r="D238" s="3" t="inlineStr">
        <is>
          <t>Instant Noodles 280g</t>
        </is>
      </c>
      <c r="E238" s="3" t="inlineStr">
        <is>
          <t>Snacks</t>
        </is>
      </c>
      <c r="F238" s="4" t="n">
        <v>194</v>
      </c>
      <c r="G238" s="5" t="n">
        <v>43.1</v>
      </c>
      <c r="H238" s="5">
        <f>F238*G238</f>
        <v/>
      </c>
    </row>
    <row r="239">
      <c r="A239" s="2" t="n">
        <v>46234</v>
      </c>
      <c r="B239" s="3" t="inlineStr">
        <is>
          <t>BIL-2607-0238</t>
        </is>
      </c>
      <c r="C239" s="3" t="inlineStr">
        <is>
          <t>Patliputra Agencies</t>
        </is>
      </c>
      <c r="D239" s="3" t="inlineStr">
        <is>
          <t>Paneer 200g</t>
        </is>
      </c>
      <c r="E239" s="3" t="inlineStr">
        <is>
          <t>Dairy</t>
        </is>
      </c>
      <c r="F239" s="4" t="n">
        <v>204</v>
      </c>
      <c r="G239" s="5" t="n">
        <v>77.29000000000001</v>
      </c>
      <c r="H239" s="5">
        <f>F239*G239</f>
        <v/>
      </c>
    </row>
    <row r="240">
      <c r="A240" s="2" t="n">
        <v>46234</v>
      </c>
      <c r="B240" s="3" t="inlineStr">
        <is>
          <t>BIL-2607-0239</t>
        </is>
      </c>
      <c r="C240" s="3" t="inlineStr">
        <is>
          <t>Magadh Wholesale Co.</t>
        </is>
      </c>
      <c r="D240" s="3" t="inlineStr">
        <is>
          <t>Potato Chips 150g</t>
        </is>
      </c>
      <c r="E240" s="3" t="inlineStr">
        <is>
          <t>Snacks</t>
        </is>
      </c>
      <c r="F240" s="4" t="n">
        <v>172</v>
      </c>
      <c r="G240" s="5" t="n">
        <v>38.02</v>
      </c>
      <c r="H240" s="5">
        <f>F240*G240</f>
        <v/>
      </c>
    </row>
    <row r="241">
      <c r="A241" s="2" t="n">
        <v>46234</v>
      </c>
      <c r="B241" s="3" t="inlineStr">
        <is>
          <t>BIL-2607-0240</t>
        </is>
      </c>
      <c r="C241" s="3" t="inlineStr">
        <is>
          <t>Patliputra Agencies</t>
        </is>
      </c>
      <c r="D241" s="3" t="inlineStr">
        <is>
          <t>Curd Cup 400g</t>
        </is>
      </c>
      <c r="E241" s="3" t="inlineStr">
        <is>
          <t>Dairy</t>
        </is>
      </c>
      <c r="F241" s="4" t="n">
        <v>66</v>
      </c>
      <c r="G241" s="5" t="n">
        <v>35.96</v>
      </c>
      <c r="H241" s="5">
        <f>F241*G241</f>
        <v/>
      </c>
    </row>
    <row r="242">
      <c r="A242" s="2" t="n">
        <v>46235</v>
      </c>
      <c r="B242" s="3" t="inlineStr">
        <is>
          <t>BIL-2608-0241</t>
        </is>
      </c>
      <c r="C242" s="3" t="inlineStr">
        <is>
          <t>Vaishali Supply House</t>
        </is>
      </c>
      <c r="D242" s="3" t="inlineStr">
        <is>
          <t>Toned Milk 1L</t>
        </is>
      </c>
      <c r="E242" s="3" t="inlineStr">
        <is>
          <t>Dairy</t>
        </is>
      </c>
      <c r="F242" s="4" t="n">
        <v>142</v>
      </c>
      <c r="G242" s="5" t="n">
        <v>53.42</v>
      </c>
      <c r="H242" s="5">
        <f>F242*G242</f>
        <v/>
      </c>
    </row>
    <row r="243">
      <c r="A243" s="2" t="n">
        <v>46235</v>
      </c>
      <c r="B243" s="3" t="inlineStr">
        <is>
          <t>BIL-2608-0242</t>
        </is>
      </c>
      <c r="C243" s="3" t="inlineStr">
        <is>
          <t>Koshi Enterprises</t>
        </is>
      </c>
      <c r="D243" s="3" t="inlineStr">
        <is>
          <t>Detergent 1kg</t>
        </is>
      </c>
      <c r="E243" s="3" t="inlineStr">
        <is>
          <t>Household</t>
        </is>
      </c>
      <c r="F243" s="4" t="n">
        <v>78</v>
      </c>
      <c r="G243" s="5" t="n">
        <v>106.27</v>
      </c>
      <c r="H243" s="5">
        <f>F243*G243</f>
        <v/>
      </c>
    </row>
    <row r="244">
      <c r="A244" s="2" t="n">
        <v>46235</v>
      </c>
      <c r="B244" s="3" t="inlineStr">
        <is>
          <t>BIL-2608-0243</t>
        </is>
      </c>
      <c r="C244" s="3" t="inlineStr">
        <is>
          <t>Magadh Wholesale Co.</t>
        </is>
      </c>
      <c r="D244" s="3" t="inlineStr">
        <is>
          <t>Mango Juice 1L</t>
        </is>
      </c>
      <c r="E244" s="3" t="inlineStr">
        <is>
          <t>Beverages</t>
        </is>
      </c>
      <c r="F244" s="4" t="n">
        <v>312</v>
      </c>
      <c r="G244" s="5" t="n">
        <v>95.93000000000001</v>
      </c>
      <c r="H244" s="5">
        <f>F244*G244</f>
        <v/>
      </c>
    </row>
    <row r="245">
      <c r="A245" s="2" t="n">
        <v>46236</v>
      </c>
      <c r="B245" s="3" t="inlineStr">
        <is>
          <t>BIL-2608-0244</t>
        </is>
      </c>
      <c r="C245" s="3" t="inlineStr">
        <is>
          <t>Vaishali Supply House</t>
        </is>
      </c>
      <c r="D245" s="3" t="inlineStr">
        <is>
          <t>Instant Noodles 280g</t>
        </is>
      </c>
      <c r="E245" s="3" t="inlineStr">
        <is>
          <t>Snacks</t>
        </is>
      </c>
      <c r="F245" s="4" t="n">
        <v>361</v>
      </c>
      <c r="G245" s="5" t="n">
        <v>41.85</v>
      </c>
      <c r="H245" s="5">
        <f>F245*G245</f>
        <v/>
      </c>
    </row>
    <row r="246">
      <c r="A246" s="2" t="n">
        <v>46238</v>
      </c>
      <c r="B246" s="3" t="inlineStr">
        <is>
          <t>BIL-2608-0245</t>
        </is>
      </c>
      <c r="C246" s="3" t="inlineStr">
        <is>
          <t>Magadh Wholesale Co.</t>
        </is>
      </c>
      <c r="D246" s="3" t="inlineStr">
        <is>
          <t>Floor Cleaner 1L</t>
        </is>
      </c>
      <c r="E246" s="3" t="inlineStr">
        <is>
          <t>Household</t>
        </is>
      </c>
      <c r="F246" s="4" t="n">
        <v>334</v>
      </c>
      <c r="G246" s="5" t="n">
        <v>87.06</v>
      </c>
      <c r="H246" s="5">
        <f>F246*G246</f>
        <v/>
      </c>
    </row>
    <row r="247">
      <c r="A247" s="2" t="n">
        <v>46238</v>
      </c>
      <c r="B247" s="3" t="inlineStr">
        <is>
          <t>BIL-2608-0246</t>
        </is>
      </c>
      <c r="C247" s="3" t="inlineStr">
        <is>
          <t>Koshi Enterprises</t>
        </is>
      </c>
      <c r="D247" s="3" t="inlineStr">
        <is>
          <t>Cola 750ml</t>
        </is>
      </c>
      <c r="E247" s="3" t="inlineStr">
        <is>
          <t>Beverages</t>
        </is>
      </c>
      <c r="F247" s="4" t="n">
        <v>391</v>
      </c>
      <c r="G247" s="5" t="n">
        <v>35.48</v>
      </c>
      <c r="H247" s="5">
        <f>F247*G247</f>
        <v/>
      </c>
    </row>
    <row r="248">
      <c r="A248" s="2" t="n">
        <v>46238</v>
      </c>
      <c r="B248" s="3" t="inlineStr">
        <is>
          <t>BIL-2608-0247</t>
        </is>
      </c>
      <c r="C248" s="3" t="inlineStr">
        <is>
          <t>Magadh Wholesale Co.</t>
        </is>
      </c>
      <c r="D248" s="3" t="inlineStr">
        <is>
          <t>Cola 750ml</t>
        </is>
      </c>
      <c r="E248" s="3" t="inlineStr">
        <is>
          <t>Beverages</t>
        </is>
      </c>
      <c r="F248" s="4" t="n">
        <v>337</v>
      </c>
      <c r="G248" s="5" t="n">
        <v>36.23</v>
      </c>
      <c r="H248" s="5">
        <f>F248*G248</f>
        <v/>
      </c>
    </row>
    <row r="249">
      <c r="A249" s="2" t="n">
        <v>46238</v>
      </c>
      <c r="B249" s="3" t="inlineStr">
        <is>
          <t>BIL-2608-0248</t>
        </is>
      </c>
      <c r="C249" s="3" t="inlineStr">
        <is>
          <t>Ganga FMCG Supply</t>
        </is>
      </c>
      <c r="D249" s="3" t="inlineStr">
        <is>
          <t>Dish Soap 500ml</t>
        </is>
      </c>
      <c r="E249" s="3" t="inlineStr">
        <is>
          <t>Household</t>
        </is>
      </c>
      <c r="F249" s="4" t="n">
        <v>290</v>
      </c>
      <c r="G249" s="5" t="n">
        <v>79.37</v>
      </c>
      <c r="H249" s="5">
        <f>F249*G249</f>
        <v/>
      </c>
    </row>
    <row r="250">
      <c r="A250" s="2" t="n">
        <v>46239</v>
      </c>
      <c r="B250" s="3" t="inlineStr">
        <is>
          <t>BIL-2608-0249</t>
        </is>
      </c>
      <c r="C250" s="3" t="inlineStr">
        <is>
          <t>Nalanda Distribution</t>
        </is>
      </c>
      <c r="D250" s="3" t="inlineStr">
        <is>
          <t>Detergent 1kg</t>
        </is>
      </c>
      <c r="E250" s="3" t="inlineStr">
        <is>
          <t>Household</t>
        </is>
      </c>
      <c r="F250" s="4" t="n">
        <v>317</v>
      </c>
      <c r="G250" s="5" t="n">
        <v>103.32</v>
      </c>
      <c r="H250" s="5">
        <f>F250*G250</f>
        <v/>
      </c>
    </row>
    <row r="251">
      <c r="A251" s="2" t="n">
        <v>46239</v>
      </c>
      <c r="B251" s="3" t="inlineStr">
        <is>
          <t>BIL-2608-0250</t>
        </is>
      </c>
      <c r="C251" s="3" t="inlineStr">
        <is>
          <t>Ganga FMCG Supply</t>
        </is>
      </c>
      <c r="D251" s="3" t="inlineStr">
        <is>
          <t>Toned Milk 1L</t>
        </is>
      </c>
      <c r="E251" s="3" t="inlineStr">
        <is>
          <t>Dairy</t>
        </is>
      </c>
      <c r="F251" s="4" t="n">
        <v>208</v>
      </c>
      <c r="G251" s="5" t="n">
        <v>54.27</v>
      </c>
      <c r="H251" s="5">
        <f>F251*G251</f>
        <v/>
      </c>
    </row>
    <row r="252">
      <c r="A252" s="2" t="n">
        <v>46240</v>
      </c>
      <c r="B252" s="3" t="inlineStr">
        <is>
          <t>BIL-2608-0251</t>
        </is>
      </c>
      <c r="C252" s="3" t="inlineStr">
        <is>
          <t>Magadh Wholesale Co.</t>
        </is>
      </c>
      <c r="D252" s="3" t="inlineStr">
        <is>
          <t>Paneer 200g</t>
        </is>
      </c>
      <c r="E252" s="3" t="inlineStr">
        <is>
          <t>Dairy</t>
        </is>
      </c>
      <c r="F252" s="4" t="n">
        <v>171</v>
      </c>
      <c r="G252" s="5" t="n">
        <v>77.63</v>
      </c>
      <c r="H252" s="5">
        <f>F252*G252</f>
        <v/>
      </c>
    </row>
    <row r="253">
      <c r="A253" s="2" t="n">
        <v>46240</v>
      </c>
      <c r="B253" s="3" t="inlineStr">
        <is>
          <t>BIL-2608-0252</t>
        </is>
      </c>
      <c r="C253" s="3" t="inlineStr">
        <is>
          <t>Vaishali Supply House</t>
        </is>
      </c>
      <c r="D253" s="3" t="inlineStr">
        <is>
          <t>Cola 750ml</t>
        </is>
      </c>
      <c r="E253" s="3" t="inlineStr">
        <is>
          <t>Beverages</t>
        </is>
      </c>
      <c r="F253" s="4" t="n">
        <v>181</v>
      </c>
      <c r="G253" s="5" t="n">
        <v>36.92</v>
      </c>
      <c r="H253" s="5">
        <f>F253*G253</f>
        <v/>
      </c>
    </row>
    <row r="254">
      <c r="A254" s="2" t="n">
        <v>46240</v>
      </c>
      <c r="B254" s="3" t="inlineStr">
        <is>
          <t>BIL-2608-0253</t>
        </is>
      </c>
      <c r="C254" s="3" t="inlineStr">
        <is>
          <t>Vaishali Supply House</t>
        </is>
      </c>
      <c r="D254" s="3" t="inlineStr">
        <is>
          <t>Dish Soap 500ml</t>
        </is>
      </c>
      <c r="E254" s="3" t="inlineStr">
        <is>
          <t>Household</t>
        </is>
      </c>
      <c r="F254" s="4" t="n">
        <v>274</v>
      </c>
      <c r="G254" s="5" t="n">
        <v>80.33</v>
      </c>
      <c r="H254" s="5">
        <f>F254*G254</f>
        <v/>
      </c>
    </row>
    <row r="255">
      <c r="A255" s="2" t="n">
        <v>46240</v>
      </c>
      <c r="B255" s="3" t="inlineStr">
        <is>
          <t>BIL-2608-0254</t>
        </is>
      </c>
      <c r="C255" s="3" t="inlineStr">
        <is>
          <t>Vaishali Supply House</t>
        </is>
      </c>
      <c r="D255" s="3" t="inlineStr">
        <is>
          <t>Cola 750ml</t>
        </is>
      </c>
      <c r="E255" s="3" t="inlineStr">
        <is>
          <t>Beverages</t>
        </is>
      </c>
      <c r="F255" s="4" t="n">
        <v>187</v>
      </c>
      <c r="G255" s="5" t="n">
        <v>36.97</v>
      </c>
      <c r="H255" s="5">
        <f>F255*G255</f>
        <v/>
      </c>
    </row>
    <row r="256">
      <c r="A256" s="2" t="n">
        <v>46241</v>
      </c>
      <c r="B256" s="3" t="inlineStr">
        <is>
          <t>BIL-2608-0255</t>
        </is>
      </c>
      <c r="C256" s="3" t="inlineStr">
        <is>
          <t>Ganga FMCG Supply</t>
        </is>
      </c>
      <c r="D256" s="3" t="inlineStr">
        <is>
          <t>Instant Noodles 280g</t>
        </is>
      </c>
      <c r="E256" s="3" t="inlineStr">
        <is>
          <t>Snacks</t>
        </is>
      </c>
      <c r="F256" s="4" t="n">
        <v>354</v>
      </c>
      <c r="G256" s="5" t="n">
        <v>42.81</v>
      </c>
      <c r="H256" s="5">
        <f>F256*G256</f>
        <v/>
      </c>
    </row>
    <row r="257">
      <c r="A257" s="2" t="n">
        <v>46241</v>
      </c>
      <c r="B257" s="3" t="inlineStr">
        <is>
          <t>BIL-2608-0256</t>
        </is>
      </c>
      <c r="C257" s="3" t="inlineStr">
        <is>
          <t>Patliputra Agencies</t>
        </is>
      </c>
      <c r="D257" s="3" t="inlineStr">
        <is>
          <t>Potato Chips 150g</t>
        </is>
      </c>
      <c r="E257" s="3" t="inlineStr">
        <is>
          <t>Snacks</t>
        </is>
      </c>
      <c r="F257" s="4" t="n">
        <v>198</v>
      </c>
      <c r="G257" s="5" t="n">
        <v>39.11</v>
      </c>
      <c r="H257" s="5">
        <f>F257*G257</f>
        <v/>
      </c>
    </row>
    <row r="258">
      <c r="A258" s="2" t="n">
        <v>46241</v>
      </c>
      <c r="B258" s="3" t="inlineStr">
        <is>
          <t>BIL-2608-0257</t>
        </is>
      </c>
      <c r="C258" s="3" t="inlineStr">
        <is>
          <t>Ganga FMCG Supply</t>
        </is>
      </c>
      <c r="D258" s="3" t="inlineStr">
        <is>
          <t>Cola 750ml</t>
        </is>
      </c>
      <c r="E258" s="3" t="inlineStr">
        <is>
          <t>Beverages</t>
        </is>
      </c>
      <c r="F258" s="4" t="n">
        <v>308</v>
      </c>
      <c r="G258" s="5" t="n">
        <v>36.65</v>
      </c>
      <c r="H258" s="5">
        <f>F258*G258</f>
        <v/>
      </c>
    </row>
    <row r="259">
      <c r="A259" s="2" t="n">
        <v>46241</v>
      </c>
      <c r="B259" s="3" t="inlineStr">
        <is>
          <t>BIL-2608-0258</t>
        </is>
      </c>
      <c r="C259" s="3" t="inlineStr">
        <is>
          <t>Koshi Enterprises</t>
        </is>
      </c>
      <c r="D259" s="3" t="inlineStr">
        <is>
          <t>Dish Soap 500ml</t>
        </is>
      </c>
      <c r="E259" s="3" t="inlineStr">
        <is>
          <t>Household</t>
        </is>
      </c>
      <c r="F259" s="4" t="n">
        <v>107</v>
      </c>
      <c r="G259" s="5" t="n">
        <v>77.84999999999999</v>
      </c>
      <c r="H259" s="5">
        <f>F259*G259</f>
        <v/>
      </c>
    </row>
    <row r="260">
      <c r="A260" s="2" t="n">
        <v>46242</v>
      </c>
      <c r="B260" s="3" t="inlineStr">
        <is>
          <t>BIL-2608-0259</t>
        </is>
      </c>
      <c r="C260" s="3" t="inlineStr">
        <is>
          <t>Koshi Enterprises</t>
        </is>
      </c>
      <c r="D260" s="3" t="inlineStr">
        <is>
          <t>Curd Cup 400g</t>
        </is>
      </c>
      <c r="E260" s="3" t="inlineStr">
        <is>
          <t>Dairy</t>
        </is>
      </c>
      <c r="F260" s="4" t="n">
        <v>274</v>
      </c>
      <c r="G260" s="5" t="n">
        <v>34.78</v>
      </c>
      <c r="H260" s="5">
        <f>F260*G260</f>
        <v/>
      </c>
    </row>
    <row r="261">
      <c r="A261" s="2" t="n">
        <v>46242</v>
      </c>
      <c r="B261" s="3" t="inlineStr">
        <is>
          <t>BIL-2608-0260</t>
        </is>
      </c>
      <c r="C261" s="3" t="inlineStr">
        <is>
          <t>Magadh Wholesale Co.</t>
        </is>
      </c>
      <c r="D261" s="3" t="inlineStr">
        <is>
          <t>Instant Noodles 280g</t>
        </is>
      </c>
      <c r="E261" s="3" t="inlineStr">
        <is>
          <t>Snacks</t>
        </is>
      </c>
      <c r="F261" s="4" t="n">
        <v>230</v>
      </c>
      <c r="G261" s="5" t="n">
        <v>42.15</v>
      </c>
      <c r="H261" s="5">
        <f>F261*G261</f>
        <v/>
      </c>
    </row>
    <row r="262">
      <c r="A262" s="2" t="n">
        <v>46242</v>
      </c>
      <c r="B262" s="3" t="inlineStr">
        <is>
          <t>BIL-2608-0261</t>
        </is>
      </c>
      <c r="C262" s="3" t="inlineStr">
        <is>
          <t>Bihar Foods Distributors</t>
        </is>
      </c>
      <c r="D262" s="3" t="inlineStr">
        <is>
          <t>Paneer 200g</t>
        </is>
      </c>
      <c r="E262" s="3" t="inlineStr">
        <is>
          <t>Dairy</t>
        </is>
      </c>
      <c r="F262" s="4" t="n">
        <v>374</v>
      </c>
      <c r="G262" s="5" t="n">
        <v>77.84</v>
      </c>
      <c r="H262" s="5">
        <f>F262*G262</f>
        <v/>
      </c>
    </row>
    <row r="263">
      <c r="A263" s="2" t="n">
        <v>46242</v>
      </c>
      <c r="B263" s="3" t="inlineStr">
        <is>
          <t>BIL-2608-0262</t>
        </is>
      </c>
      <c r="C263" s="3" t="inlineStr">
        <is>
          <t>Vaishali Supply House</t>
        </is>
      </c>
      <c r="D263" s="3" t="inlineStr">
        <is>
          <t>Curd Cup 400g</t>
        </is>
      </c>
      <c r="E263" s="3" t="inlineStr">
        <is>
          <t>Dairy</t>
        </is>
      </c>
      <c r="F263" s="4" t="n">
        <v>61</v>
      </c>
      <c r="G263" s="5" t="n">
        <v>35.21</v>
      </c>
      <c r="H263" s="5">
        <f>F263*G263</f>
        <v/>
      </c>
    </row>
    <row r="264">
      <c r="A264" s="2" t="n">
        <v>46244</v>
      </c>
      <c r="B264" s="3" t="inlineStr">
        <is>
          <t>BIL-2608-0263</t>
        </is>
      </c>
      <c r="C264" s="3" t="inlineStr">
        <is>
          <t>Koshi Enterprises</t>
        </is>
      </c>
      <c r="D264" s="3" t="inlineStr">
        <is>
          <t>Detergent 1kg</t>
        </is>
      </c>
      <c r="E264" s="3" t="inlineStr">
        <is>
          <t>Household</t>
        </is>
      </c>
      <c r="F264" s="4" t="n">
        <v>400</v>
      </c>
      <c r="G264" s="5" t="n">
        <v>105.99</v>
      </c>
      <c r="H264" s="5">
        <f>F264*G264</f>
        <v/>
      </c>
    </row>
    <row r="265">
      <c r="A265" s="2" t="n">
        <v>46244</v>
      </c>
      <c r="B265" s="3" t="inlineStr">
        <is>
          <t>BIL-2608-0264</t>
        </is>
      </c>
      <c r="C265" s="3" t="inlineStr">
        <is>
          <t>Magadh Wholesale Co.</t>
        </is>
      </c>
      <c r="D265" s="3" t="inlineStr">
        <is>
          <t>Instant Noodles 280g</t>
        </is>
      </c>
      <c r="E265" s="3" t="inlineStr">
        <is>
          <t>Snacks</t>
        </is>
      </c>
      <c r="F265" s="4" t="n">
        <v>64</v>
      </c>
      <c r="G265" s="5" t="n">
        <v>41.86</v>
      </c>
      <c r="H265" s="5">
        <f>F265*G265</f>
        <v/>
      </c>
    </row>
    <row r="266">
      <c r="A266" s="2" t="n">
        <v>46244</v>
      </c>
      <c r="B266" s="3" t="inlineStr">
        <is>
          <t>BIL-2608-0265</t>
        </is>
      </c>
      <c r="C266" s="3" t="inlineStr">
        <is>
          <t>Nalanda Distribution</t>
        </is>
      </c>
      <c r="D266" s="3" t="inlineStr">
        <is>
          <t>Instant Noodles 280g</t>
        </is>
      </c>
      <c r="E266" s="3" t="inlineStr">
        <is>
          <t>Snacks</t>
        </is>
      </c>
      <c r="F266" s="4" t="n">
        <v>126</v>
      </c>
      <c r="G266" s="5" t="n">
        <v>42.35</v>
      </c>
      <c r="H266" s="5">
        <f>F266*G266</f>
        <v/>
      </c>
    </row>
    <row r="267">
      <c r="A267" s="2" t="n">
        <v>46245</v>
      </c>
      <c r="B267" s="3" t="inlineStr">
        <is>
          <t>BIL-2608-0266</t>
        </is>
      </c>
      <c r="C267" s="3" t="inlineStr">
        <is>
          <t>Koshi Enterprises</t>
        </is>
      </c>
      <c r="D267" s="3" t="inlineStr">
        <is>
          <t>Mango Juice 1L</t>
        </is>
      </c>
      <c r="E267" s="3" t="inlineStr">
        <is>
          <t>Beverages</t>
        </is>
      </c>
      <c r="F267" s="4" t="n">
        <v>136</v>
      </c>
      <c r="G267" s="5" t="n">
        <v>97.53</v>
      </c>
      <c r="H267" s="5">
        <f>F267*G267</f>
        <v/>
      </c>
    </row>
    <row r="268">
      <c r="A268" s="2" t="n">
        <v>46245</v>
      </c>
      <c r="B268" s="3" t="inlineStr">
        <is>
          <t>BIL-2608-0267</t>
        </is>
      </c>
      <c r="C268" s="3" t="inlineStr">
        <is>
          <t>Sone Valley Traders</t>
        </is>
      </c>
      <c r="D268" s="3" t="inlineStr">
        <is>
          <t>Cola 750ml</t>
        </is>
      </c>
      <c r="E268" s="3" t="inlineStr">
        <is>
          <t>Beverages</t>
        </is>
      </c>
      <c r="F268" s="4" t="n">
        <v>342</v>
      </c>
      <c r="G268" s="5" t="n">
        <v>35.33</v>
      </c>
      <c r="H268" s="5">
        <f>F268*G268</f>
        <v/>
      </c>
    </row>
    <row r="269">
      <c r="A269" s="2" t="n">
        <v>46245</v>
      </c>
      <c r="B269" s="3" t="inlineStr">
        <is>
          <t>BIL-2608-0268</t>
        </is>
      </c>
      <c r="C269" s="3" t="inlineStr">
        <is>
          <t>Ganga FMCG Supply</t>
        </is>
      </c>
      <c r="D269" s="3" t="inlineStr">
        <is>
          <t>Dish Soap 500ml</t>
        </is>
      </c>
      <c r="E269" s="3" t="inlineStr">
        <is>
          <t>Household</t>
        </is>
      </c>
      <c r="F269" s="4" t="n">
        <v>359</v>
      </c>
      <c r="G269" s="5" t="n">
        <v>78.77</v>
      </c>
      <c r="H269" s="5">
        <f>F269*G269</f>
        <v/>
      </c>
    </row>
    <row r="270">
      <c r="A270" s="2" t="n">
        <v>46246</v>
      </c>
      <c r="B270" s="3" t="inlineStr">
        <is>
          <t>BIL-2608-0269</t>
        </is>
      </c>
      <c r="C270" s="3" t="inlineStr">
        <is>
          <t>Ganga FMCG Supply</t>
        </is>
      </c>
      <c r="D270" s="3" t="inlineStr">
        <is>
          <t>Dish Soap 500ml</t>
        </is>
      </c>
      <c r="E270" s="3" t="inlineStr">
        <is>
          <t>Household</t>
        </is>
      </c>
      <c r="F270" s="4" t="n">
        <v>296</v>
      </c>
      <c r="G270" s="5" t="n">
        <v>77.75</v>
      </c>
      <c r="H270" s="5">
        <f>F270*G270</f>
        <v/>
      </c>
    </row>
    <row r="271">
      <c r="A271" s="2" t="n">
        <v>46246</v>
      </c>
      <c r="B271" s="3" t="inlineStr">
        <is>
          <t>BIL-2608-0270</t>
        </is>
      </c>
      <c r="C271" s="3" t="inlineStr">
        <is>
          <t>Vaishali Supply House</t>
        </is>
      </c>
      <c r="D271" s="3" t="inlineStr">
        <is>
          <t>Toned Milk 1L</t>
        </is>
      </c>
      <c r="E271" s="3" t="inlineStr">
        <is>
          <t>Dairy</t>
        </is>
      </c>
      <c r="F271" s="4" t="n">
        <v>78</v>
      </c>
      <c r="G271" s="5" t="n">
        <v>55.45</v>
      </c>
      <c r="H271" s="5">
        <f>F271*G271</f>
        <v/>
      </c>
    </row>
    <row r="272">
      <c r="A272" s="2" t="n">
        <v>46246</v>
      </c>
      <c r="B272" s="3" t="inlineStr">
        <is>
          <t>BIL-2608-0271</t>
        </is>
      </c>
      <c r="C272" s="3" t="inlineStr">
        <is>
          <t>Patliputra Agencies</t>
        </is>
      </c>
      <c r="D272" s="3" t="inlineStr">
        <is>
          <t>Dish Soap 500ml</t>
        </is>
      </c>
      <c r="E272" s="3" t="inlineStr">
        <is>
          <t>Household</t>
        </is>
      </c>
      <c r="F272" s="4" t="n">
        <v>183</v>
      </c>
      <c r="G272" s="5" t="n">
        <v>80.05</v>
      </c>
      <c r="H272" s="5">
        <f>F272*G272</f>
        <v/>
      </c>
    </row>
    <row r="273">
      <c r="A273" s="2" t="n">
        <v>46247</v>
      </c>
      <c r="B273" s="3" t="inlineStr">
        <is>
          <t>BIL-2608-0272</t>
        </is>
      </c>
      <c r="C273" s="3" t="inlineStr">
        <is>
          <t>Vaishali Supply House</t>
        </is>
      </c>
      <c r="D273" s="3" t="inlineStr">
        <is>
          <t>Toned Milk 1L</t>
        </is>
      </c>
      <c r="E273" s="3" t="inlineStr">
        <is>
          <t>Dairy</t>
        </is>
      </c>
      <c r="F273" s="4" t="n">
        <v>328</v>
      </c>
      <c r="G273" s="5" t="n">
        <v>54.57</v>
      </c>
      <c r="H273" s="5">
        <f>F273*G273</f>
        <v/>
      </c>
    </row>
    <row r="274">
      <c r="A274" s="2" t="n">
        <v>46247</v>
      </c>
      <c r="B274" s="3" t="inlineStr">
        <is>
          <t>BIL-2608-0273</t>
        </is>
      </c>
      <c r="C274" s="3" t="inlineStr">
        <is>
          <t>Vaishali Supply House</t>
        </is>
      </c>
      <c r="D274" s="3" t="inlineStr">
        <is>
          <t>Toned Milk 1L</t>
        </is>
      </c>
      <c r="E274" s="3" t="inlineStr">
        <is>
          <t>Dairy</t>
        </is>
      </c>
      <c r="F274" s="4" t="n">
        <v>399</v>
      </c>
      <c r="G274" s="5" t="n">
        <v>54.35</v>
      </c>
      <c r="H274" s="5">
        <f>F274*G274</f>
        <v/>
      </c>
    </row>
    <row r="275">
      <c r="A275" s="2" t="n">
        <v>46248</v>
      </c>
      <c r="B275" s="3" t="inlineStr">
        <is>
          <t>BIL-2608-0274</t>
        </is>
      </c>
      <c r="C275" s="3" t="inlineStr">
        <is>
          <t>Koshi Enterprises</t>
        </is>
      </c>
      <c r="D275" s="3" t="inlineStr">
        <is>
          <t>Dish Soap 500ml</t>
        </is>
      </c>
      <c r="E275" s="3" t="inlineStr">
        <is>
          <t>Household</t>
        </is>
      </c>
      <c r="F275" s="4" t="n">
        <v>54</v>
      </c>
      <c r="G275" s="5" t="n">
        <v>80.20999999999999</v>
      </c>
      <c r="H275" s="5">
        <f>F275*G275</f>
        <v/>
      </c>
    </row>
    <row r="276">
      <c r="A276" s="2" t="n">
        <v>46249</v>
      </c>
      <c r="B276" s="3" t="inlineStr">
        <is>
          <t>BIL-2608-0275</t>
        </is>
      </c>
      <c r="C276" s="3" t="inlineStr">
        <is>
          <t>Koshi Enterprises</t>
        </is>
      </c>
      <c r="D276" s="3" t="inlineStr">
        <is>
          <t>Cola 750ml</t>
        </is>
      </c>
      <c r="E276" s="3" t="inlineStr">
        <is>
          <t>Beverages</t>
        </is>
      </c>
      <c r="F276" s="4" t="n">
        <v>217</v>
      </c>
      <c r="G276" s="5" t="n">
        <v>36.4</v>
      </c>
      <c r="H276" s="5">
        <f>F276*G276</f>
        <v/>
      </c>
    </row>
    <row r="277">
      <c r="A277" s="2" t="n">
        <v>46249</v>
      </c>
      <c r="B277" s="3" t="inlineStr">
        <is>
          <t>BIL-2608-0276</t>
        </is>
      </c>
      <c r="C277" s="3" t="inlineStr">
        <is>
          <t>Patliputra Agencies</t>
        </is>
      </c>
      <c r="D277" s="3" t="inlineStr">
        <is>
          <t>Floor Cleaner 1L</t>
        </is>
      </c>
      <c r="E277" s="3" t="inlineStr">
        <is>
          <t>Household</t>
        </is>
      </c>
      <c r="F277" s="4" t="n">
        <v>299</v>
      </c>
      <c r="G277" s="5" t="n">
        <v>87.55</v>
      </c>
      <c r="H277" s="5">
        <f>F277*G277</f>
        <v/>
      </c>
    </row>
    <row r="278">
      <c r="A278" s="2" t="n">
        <v>46249</v>
      </c>
      <c r="B278" s="3" t="inlineStr">
        <is>
          <t>BIL-2608-0277</t>
        </is>
      </c>
      <c r="C278" s="3" t="inlineStr">
        <is>
          <t>Vaishali Supply House</t>
        </is>
      </c>
      <c r="D278" s="3" t="inlineStr">
        <is>
          <t>Instant Noodles 280g</t>
        </is>
      </c>
      <c r="E278" s="3" t="inlineStr">
        <is>
          <t>Snacks</t>
        </is>
      </c>
      <c r="F278" s="4" t="n">
        <v>180</v>
      </c>
      <c r="G278" s="5" t="n">
        <v>42.43</v>
      </c>
      <c r="H278" s="5">
        <f>F278*G278</f>
        <v/>
      </c>
    </row>
    <row r="279">
      <c r="A279" s="2" t="n">
        <v>46249</v>
      </c>
      <c r="B279" s="3" t="inlineStr">
        <is>
          <t>BIL-2608-0278</t>
        </is>
      </c>
      <c r="C279" s="3" t="inlineStr">
        <is>
          <t>Magadh Wholesale Co.</t>
        </is>
      </c>
      <c r="D279" s="3" t="inlineStr">
        <is>
          <t>Instant Noodles 280g</t>
        </is>
      </c>
      <c r="E279" s="3" t="inlineStr">
        <is>
          <t>Snacks</t>
        </is>
      </c>
      <c r="F279" s="4" t="n">
        <v>222</v>
      </c>
      <c r="G279" s="5" t="n">
        <v>41.26</v>
      </c>
      <c r="H279" s="5">
        <f>F279*G279</f>
        <v/>
      </c>
    </row>
    <row r="280">
      <c r="A280" s="2" t="n">
        <v>46251</v>
      </c>
      <c r="B280" s="3" t="inlineStr">
        <is>
          <t>BIL-2608-0279</t>
        </is>
      </c>
      <c r="C280" s="3" t="inlineStr">
        <is>
          <t>Magadh Wholesale Co.</t>
        </is>
      </c>
      <c r="D280" s="3" t="inlineStr">
        <is>
          <t>Detergent 1kg</t>
        </is>
      </c>
      <c r="E280" s="3" t="inlineStr">
        <is>
          <t>Household</t>
        </is>
      </c>
      <c r="F280" s="4" t="n">
        <v>65</v>
      </c>
      <c r="G280" s="5" t="n">
        <v>106.57</v>
      </c>
      <c r="H280" s="5">
        <f>F280*G280</f>
        <v/>
      </c>
    </row>
    <row r="281">
      <c r="A281" s="2" t="n">
        <v>46251</v>
      </c>
      <c r="B281" s="3" t="inlineStr">
        <is>
          <t>BIL-2608-0280</t>
        </is>
      </c>
      <c r="C281" s="3" t="inlineStr">
        <is>
          <t>Patliputra Agencies</t>
        </is>
      </c>
      <c r="D281" s="3" t="inlineStr">
        <is>
          <t>Potato Chips 150g</t>
        </is>
      </c>
      <c r="E281" s="3" t="inlineStr">
        <is>
          <t>Snacks</t>
        </is>
      </c>
      <c r="F281" s="4" t="n">
        <v>232</v>
      </c>
      <c r="G281" s="5" t="n">
        <v>37.6</v>
      </c>
      <c r="H281" s="5">
        <f>F281*G281</f>
        <v/>
      </c>
    </row>
    <row r="282">
      <c r="A282" s="2" t="n">
        <v>46253</v>
      </c>
      <c r="B282" s="3" t="inlineStr">
        <is>
          <t>BIL-2608-0281</t>
        </is>
      </c>
      <c r="C282" s="3" t="inlineStr">
        <is>
          <t>Nalanda Distribution</t>
        </is>
      </c>
      <c r="D282" s="3" t="inlineStr">
        <is>
          <t>Packaged Water 1L</t>
        </is>
      </c>
      <c r="E282" s="3" t="inlineStr">
        <is>
          <t>Beverages</t>
        </is>
      </c>
      <c r="F282" s="4" t="n">
        <v>176</v>
      </c>
      <c r="G282" s="5" t="n">
        <v>14.81</v>
      </c>
      <c r="H282" s="5">
        <f>F282*G282</f>
        <v/>
      </c>
    </row>
    <row r="283">
      <c r="A283" s="2" t="n">
        <v>46253</v>
      </c>
      <c r="B283" s="3" t="inlineStr">
        <is>
          <t>BIL-2608-0282</t>
        </is>
      </c>
      <c r="C283" s="3" t="inlineStr">
        <is>
          <t>Bihar Foods Distributors</t>
        </is>
      </c>
      <c r="D283" s="3" t="inlineStr">
        <is>
          <t>Biscuits 400g</t>
        </is>
      </c>
      <c r="E283" s="3" t="inlineStr">
        <is>
          <t>Snacks</t>
        </is>
      </c>
      <c r="F283" s="4" t="n">
        <v>87</v>
      </c>
      <c r="G283" s="5" t="n">
        <v>29.91</v>
      </c>
      <c r="H283" s="5">
        <f>F283*G283</f>
        <v/>
      </c>
    </row>
    <row r="284">
      <c r="A284" s="2" t="n">
        <v>46253</v>
      </c>
      <c r="B284" s="3" t="inlineStr">
        <is>
          <t>BIL-2608-0283</t>
        </is>
      </c>
      <c r="C284" s="3" t="inlineStr">
        <is>
          <t>Koshi Enterprises</t>
        </is>
      </c>
      <c r="D284" s="3" t="inlineStr">
        <is>
          <t>Packaged Water 1L</t>
        </is>
      </c>
      <c r="E284" s="3" t="inlineStr">
        <is>
          <t>Beverages</t>
        </is>
      </c>
      <c r="F284" s="4" t="n">
        <v>326</v>
      </c>
      <c r="G284" s="5" t="n">
        <v>14.89</v>
      </c>
      <c r="H284" s="5">
        <f>F284*G284</f>
        <v/>
      </c>
    </row>
    <row r="285">
      <c r="A285" s="2" t="n">
        <v>46253</v>
      </c>
      <c r="B285" s="3" t="inlineStr">
        <is>
          <t>BIL-2608-0284</t>
        </is>
      </c>
      <c r="C285" s="3" t="inlineStr">
        <is>
          <t>Koshi Enterprises</t>
        </is>
      </c>
      <c r="D285" s="3" t="inlineStr">
        <is>
          <t>Floor Cleaner 1L</t>
        </is>
      </c>
      <c r="E285" s="3" t="inlineStr">
        <is>
          <t>Household</t>
        </is>
      </c>
      <c r="F285" s="4" t="n">
        <v>203</v>
      </c>
      <c r="G285" s="5" t="n">
        <v>88.16</v>
      </c>
      <c r="H285" s="5">
        <f>F285*G285</f>
        <v/>
      </c>
    </row>
    <row r="286">
      <c r="A286" s="2" t="n">
        <v>46254</v>
      </c>
      <c r="B286" s="3" t="inlineStr">
        <is>
          <t>BIL-2608-0285</t>
        </is>
      </c>
      <c r="C286" s="3" t="inlineStr">
        <is>
          <t>Vaishali Supply House</t>
        </is>
      </c>
      <c r="D286" s="3" t="inlineStr">
        <is>
          <t>Instant Noodles 280g</t>
        </is>
      </c>
      <c r="E286" s="3" t="inlineStr">
        <is>
          <t>Snacks</t>
        </is>
      </c>
      <c r="F286" s="4" t="n">
        <v>232</v>
      </c>
      <c r="G286" s="5" t="n">
        <v>42.71</v>
      </c>
      <c r="H286" s="5">
        <f>F286*G286</f>
        <v/>
      </c>
    </row>
    <row r="287">
      <c r="A287" s="2" t="n">
        <v>46254</v>
      </c>
      <c r="B287" s="3" t="inlineStr">
        <is>
          <t>BIL-2608-0286</t>
        </is>
      </c>
      <c r="C287" s="3" t="inlineStr">
        <is>
          <t>Bihar Foods Distributors</t>
        </is>
      </c>
      <c r="D287" s="3" t="inlineStr">
        <is>
          <t>Paneer 200g</t>
        </is>
      </c>
      <c r="E287" s="3" t="inlineStr">
        <is>
          <t>Dairy</t>
        </is>
      </c>
      <c r="F287" s="4" t="n">
        <v>167</v>
      </c>
      <c r="G287" s="5" t="n">
        <v>79.25</v>
      </c>
      <c r="H287" s="5">
        <f>F287*G287</f>
        <v/>
      </c>
    </row>
    <row r="288">
      <c r="A288" s="2" t="n">
        <v>46254</v>
      </c>
      <c r="B288" s="3" t="inlineStr">
        <is>
          <t>BIL-2608-0287</t>
        </is>
      </c>
      <c r="C288" s="3" t="inlineStr">
        <is>
          <t>Bihar Foods Distributors</t>
        </is>
      </c>
      <c r="D288" s="3" t="inlineStr">
        <is>
          <t>Paneer 200g</t>
        </is>
      </c>
      <c r="E288" s="3" t="inlineStr">
        <is>
          <t>Dairy</t>
        </is>
      </c>
      <c r="F288" s="4" t="n">
        <v>184</v>
      </c>
      <c r="G288" s="5" t="n">
        <v>76.66</v>
      </c>
      <c r="H288" s="5">
        <f>F288*G288</f>
        <v/>
      </c>
    </row>
    <row r="289">
      <c r="A289" s="2" t="n">
        <v>46255</v>
      </c>
      <c r="B289" s="3" t="inlineStr">
        <is>
          <t>BIL-2608-0288</t>
        </is>
      </c>
      <c r="C289" s="3" t="inlineStr">
        <is>
          <t>Patliputra Agencies</t>
        </is>
      </c>
      <c r="D289" s="3" t="inlineStr">
        <is>
          <t>Biscuits 400g</t>
        </is>
      </c>
      <c r="E289" s="3" t="inlineStr">
        <is>
          <t>Snacks</t>
        </is>
      </c>
      <c r="F289" s="4" t="n">
        <v>267</v>
      </c>
      <c r="G289" s="5" t="n">
        <v>29.85</v>
      </c>
      <c r="H289" s="5">
        <f>F289*G289</f>
        <v/>
      </c>
    </row>
    <row r="290">
      <c r="A290" s="2" t="n">
        <v>46255</v>
      </c>
      <c r="B290" s="3" t="inlineStr">
        <is>
          <t>BIL-2608-0289</t>
        </is>
      </c>
      <c r="C290" s="3" t="inlineStr">
        <is>
          <t>Nalanda Distribution</t>
        </is>
      </c>
      <c r="D290" s="3" t="inlineStr">
        <is>
          <t>Toned Milk 1L</t>
        </is>
      </c>
      <c r="E290" s="3" t="inlineStr">
        <is>
          <t>Dairy</t>
        </is>
      </c>
      <c r="F290" s="4" t="n">
        <v>103</v>
      </c>
      <c r="G290" s="5" t="n">
        <v>53.48</v>
      </c>
      <c r="H290" s="5">
        <f>F290*G290</f>
        <v/>
      </c>
    </row>
    <row r="291">
      <c r="A291" s="2" t="n">
        <v>46257</v>
      </c>
      <c r="B291" s="3" t="inlineStr">
        <is>
          <t>BIL-2608-0290</t>
        </is>
      </c>
      <c r="C291" s="3" t="inlineStr">
        <is>
          <t>Bihar Foods Distributors</t>
        </is>
      </c>
      <c r="D291" s="3" t="inlineStr">
        <is>
          <t>Packaged Water 1L</t>
        </is>
      </c>
      <c r="E291" s="3" t="inlineStr">
        <is>
          <t>Beverages</t>
        </is>
      </c>
      <c r="F291" s="4" t="n">
        <v>271</v>
      </c>
      <c r="G291" s="5" t="n">
        <v>15.38</v>
      </c>
      <c r="H291" s="5">
        <f>F291*G291</f>
        <v/>
      </c>
    </row>
    <row r="292">
      <c r="A292" s="2" t="n">
        <v>46257</v>
      </c>
      <c r="B292" s="3" t="inlineStr">
        <is>
          <t>BIL-2608-0291</t>
        </is>
      </c>
      <c r="C292" s="3" t="inlineStr">
        <is>
          <t>Ganga FMCG Supply</t>
        </is>
      </c>
      <c r="D292" s="3" t="inlineStr">
        <is>
          <t>Detergent 1kg</t>
        </is>
      </c>
      <c r="E292" s="3" t="inlineStr">
        <is>
          <t>Household</t>
        </is>
      </c>
      <c r="F292" s="4" t="n">
        <v>341</v>
      </c>
      <c r="G292" s="5" t="n">
        <v>105.14</v>
      </c>
      <c r="H292" s="5">
        <f>F292*G292</f>
        <v/>
      </c>
    </row>
    <row r="293">
      <c r="A293" s="2" t="n">
        <v>46257</v>
      </c>
      <c r="B293" s="3" t="inlineStr">
        <is>
          <t>BIL-2608-0292</t>
        </is>
      </c>
      <c r="C293" s="3" t="inlineStr">
        <is>
          <t>Koshi Enterprises</t>
        </is>
      </c>
      <c r="D293" s="3" t="inlineStr">
        <is>
          <t>Cola 750ml</t>
        </is>
      </c>
      <c r="E293" s="3" t="inlineStr">
        <is>
          <t>Beverages</t>
        </is>
      </c>
      <c r="F293" s="4" t="n">
        <v>124</v>
      </c>
      <c r="G293" s="5" t="n">
        <v>36.2</v>
      </c>
      <c r="H293" s="5">
        <f>F293*G293</f>
        <v/>
      </c>
    </row>
    <row r="294">
      <c r="A294" s="2" t="n">
        <v>46257</v>
      </c>
      <c r="B294" s="3" t="inlineStr">
        <is>
          <t>BIL-2608-0293</t>
        </is>
      </c>
      <c r="C294" s="3" t="inlineStr">
        <is>
          <t>Koshi Enterprises</t>
        </is>
      </c>
      <c r="D294" s="3" t="inlineStr">
        <is>
          <t>Biscuits 400g</t>
        </is>
      </c>
      <c r="E294" s="3" t="inlineStr">
        <is>
          <t>Snacks</t>
        </is>
      </c>
      <c r="F294" s="4" t="n">
        <v>266</v>
      </c>
      <c r="G294" s="5" t="n">
        <v>30.4</v>
      </c>
      <c r="H294" s="5">
        <f>F294*G294</f>
        <v/>
      </c>
    </row>
    <row r="295">
      <c r="A295" s="2" t="n">
        <v>46260</v>
      </c>
      <c r="B295" s="3" t="inlineStr">
        <is>
          <t>BIL-2608-0294</t>
        </is>
      </c>
      <c r="C295" s="3" t="inlineStr">
        <is>
          <t>Bihar Foods Distributors</t>
        </is>
      </c>
      <c r="D295" s="3" t="inlineStr">
        <is>
          <t>Instant Noodles 280g</t>
        </is>
      </c>
      <c r="E295" s="3" t="inlineStr">
        <is>
          <t>Snacks</t>
        </is>
      </c>
      <c r="F295" s="4" t="n">
        <v>328</v>
      </c>
      <c r="G295" s="5" t="n">
        <v>42.83</v>
      </c>
      <c r="H295" s="5">
        <f>F295*G295</f>
        <v/>
      </c>
    </row>
    <row r="296">
      <c r="A296" s="2" t="n">
        <v>46260</v>
      </c>
      <c r="B296" s="3" t="inlineStr">
        <is>
          <t>BIL-2608-0295</t>
        </is>
      </c>
      <c r="C296" s="3" t="inlineStr">
        <is>
          <t>Vaishali Supply House</t>
        </is>
      </c>
      <c r="D296" s="3" t="inlineStr">
        <is>
          <t>Toned Milk 1L</t>
        </is>
      </c>
      <c r="E296" s="3" t="inlineStr">
        <is>
          <t>Dairy</t>
        </is>
      </c>
      <c r="F296" s="4" t="n">
        <v>67</v>
      </c>
      <c r="G296" s="5" t="n">
        <v>55.32</v>
      </c>
      <c r="H296" s="5">
        <f>F296*G296</f>
        <v/>
      </c>
    </row>
    <row r="297">
      <c r="A297" s="2" t="n">
        <v>46262</v>
      </c>
      <c r="B297" s="3" t="inlineStr">
        <is>
          <t>BIL-2608-0296</t>
        </is>
      </c>
      <c r="C297" s="3" t="inlineStr">
        <is>
          <t>Magadh Wholesale Co.</t>
        </is>
      </c>
      <c r="D297" s="3" t="inlineStr">
        <is>
          <t>Curd Cup 400g</t>
        </is>
      </c>
      <c r="E297" s="3" t="inlineStr">
        <is>
          <t>Dairy</t>
        </is>
      </c>
      <c r="F297" s="4" t="n">
        <v>143</v>
      </c>
      <c r="G297" s="5" t="n">
        <v>35.36</v>
      </c>
      <c r="H297" s="5">
        <f>F297*G297</f>
        <v/>
      </c>
    </row>
    <row r="298">
      <c r="A298" s="2" t="n">
        <v>46264</v>
      </c>
      <c r="B298" s="3" t="inlineStr">
        <is>
          <t>BIL-2608-0297</t>
        </is>
      </c>
      <c r="C298" s="3" t="inlineStr">
        <is>
          <t>Bihar Foods Distributors</t>
        </is>
      </c>
      <c r="D298" s="3" t="inlineStr">
        <is>
          <t>Dish Soap 500ml</t>
        </is>
      </c>
      <c r="E298" s="3" t="inlineStr">
        <is>
          <t>Household</t>
        </is>
      </c>
      <c r="F298" s="4" t="n">
        <v>182</v>
      </c>
      <c r="G298" s="5" t="n">
        <v>79.44</v>
      </c>
      <c r="H298" s="5">
        <f>F298*G298</f>
        <v/>
      </c>
    </row>
    <row r="299">
      <c r="A299" s="2" t="n">
        <v>46264</v>
      </c>
      <c r="B299" s="3" t="inlineStr">
        <is>
          <t>BIL-2608-0298</t>
        </is>
      </c>
      <c r="C299" s="3" t="inlineStr">
        <is>
          <t>Nalanda Distribution</t>
        </is>
      </c>
      <c r="D299" s="3" t="inlineStr">
        <is>
          <t>Floor Cleaner 1L</t>
        </is>
      </c>
      <c r="E299" s="3" t="inlineStr">
        <is>
          <t>Household</t>
        </is>
      </c>
      <c r="F299" s="4" t="n">
        <v>257</v>
      </c>
      <c r="G299" s="5" t="n">
        <v>87</v>
      </c>
      <c r="H299" s="5">
        <f>F299*G299</f>
        <v/>
      </c>
    </row>
    <row r="300">
      <c r="A300" s="2" t="n">
        <v>46264</v>
      </c>
      <c r="B300" s="3" t="inlineStr">
        <is>
          <t>BIL-2608-0299</t>
        </is>
      </c>
      <c r="C300" s="3" t="inlineStr">
        <is>
          <t>Bihar Foods Distributors</t>
        </is>
      </c>
      <c r="D300" s="3" t="inlineStr">
        <is>
          <t>Biscuits 400g</t>
        </is>
      </c>
      <c r="E300" s="3" t="inlineStr">
        <is>
          <t>Snacks</t>
        </is>
      </c>
      <c r="F300" s="4" t="n">
        <v>253</v>
      </c>
      <c r="G300" s="5" t="n">
        <v>29.41</v>
      </c>
      <c r="H300" s="5">
        <f>F300*G300</f>
        <v/>
      </c>
    </row>
    <row r="301">
      <c r="A301" s="2" t="n">
        <v>46264</v>
      </c>
      <c r="B301" s="3" t="inlineStr">
        <is>
          <t>BIL-2608-0300</t>
        </is>
      </c>
      <c r="C301" s="3" t="inlineStr">
        <is>
          <t>Sone Valley Traders</t>
        </is>
      </c>
      <c r="D301" s="3" t="inlineStr">
        <is>
          <t>Floor Cleaner 1L</t>
        </is>
      </c>
      <c r="E301" s="3" t="inlineStr">
        <is>
          <t>Household</t>
        </is>
      </c>
      <c r="F301" s="4" t="n">
        <v>324</v>
      </c>
      <c r="G301" s="5" t="n">
        <v>90.53</v>
      </c>
      <c r="H301" s="5">
        <f>F301*G301</f>
        <v/>
      </c>
    </row>
    <row r="302">
      <c r="A302" s="2" t="n">
        <v>46266</v>
      </c>
      <c r="B302" s="3" t="inlineStr">
        <is>
          <t>BIL-2609-0301</t>
        </is>
      </c>
      <c r="C302" s="3" t="inlineStr">
        <is>
          <t>Bihar Foods Distributors</t>
        </is>
      </c>
      <c r="D302" s="3" t="inlineStr">
        <is>
          <t>Paneer 200g</t>
        </is>
      </c>
      <c r="E302" s="3" t="inlineStr">
        <is>
          <t>Dairy</t>
        </is>
      </c>
      <c r="F302" s="4" t="n">
        <v>363</v>
      </c>
      <c r="G302" s="5" t="n">
        <v>78.95</v>
      </c>
      <c r="H302" s="5">
        <f>F302*G302</f>
        <v/>
      </c>
    </row>
    <row r="303">
      <c r="A303" s="2" t="n">
        <v>46268</v>
      </c>
      <c r="B303" s="3" t="inlineStr">
        <is>
          <t>BIL-2609-0302</t>
        </is>
      </c>
      <c r="C303" s="3" t="inlineStr">
        <is>
          <t>Nalanda Distribution</t>
        </is>
      </c>
      <c r="D303" s="3" t="inlineStr">
        <is>
          <t>Detergent 1kg</t>
        </is>
      </c>
      <c r="E303" s="3" t="inlineStr">
        <is>
          <t>Household</t>
        </is>
      </c>
      <c r="F303" s="4" t="n">
        <v>187</v>
      </c>
      <c r="G303" s="5" t="n">
        <v>104.84</v>
      </c>
      <c r="H303" s="5">
        <f>F303*G303</f>
        <v/>
      </c>
    </row>
    <row r="304">
      <c r="A304" s="2" t="n">
        <v>46268</v>
      </c>
      <c r="B304" s="3" t="inlineStr">
        <is>
          <t>BIL-2609-0303</t>
        </is>
      </c>
      <c r="C304" s="3" t="inlineStr">
        <is>
          <t>Patliputra Agencies</t>
        </is>
      </c>
      <c r="D304" s="3" t="inlineStr">
        <is>
          <t>Instant Noodles 280g</t>
        </is>
      </c>
      <c r="E304" s="3" t="inlineStr">
        <is>
          <t>Snacks</t>
        </is>
      </c>
      <c r="F304" s="4" t="n">
        <v>80</v>
      </c>
      <c r="G304" s="5" t="n">
        <v>42.2</v>
      </c>
      <c r="H304" s="5">
        <f>F304*G304</f>
        <v/>
      </c>
    </row>
    <row r="305">
      <c r="A305" s="2" t="n">
        <v>46268</v>
      </c>
      <c r="B305" s="3" t="inlineStr">
        <is>
          <t>BIL-2609-0304</t>
        </is>
      </c>
      <c r="C305" s="3" t="inlineStr">
        <is>
          <t>Sone Valley Traders</t>
        </is>
      </c>
      <c r="D305" s="3" t="inlineStr">
        <is>
          <t>Dish Soap 500ml</t>
        </is>
      </c>
      <c r="E305" s="3" t="inlineStr">
        <is>
          <t>Household</t>
        </is>
      </c>
      <c r="F305" s="4" t="n">
        <v>81</v>
      </c>
      <c r="G305" s="5" t="n">
        <v>79.92</v>
      </c>
      <c r="H305" s="5">
        <f>F305*G305</f>
        <v/>
      </c>
    </row>
    <row r="306">
      <c r="A306" s="2" t="n">
        <v>46268</v>
      </c>
      <c r="B306" s="3" t="inlineStr">
        <is>
          <t>BIL-2609-0305</t>
        </is>
      </c>
      <c r="C306" s="3" t="inlineStr">
        <is>
          <t>Magadh Wholesale Co.</t>
        </is>
      </c>
      <c r="D306" s="3" t="inlineStr">
        <is>
          <t>Detergent 1kg</t>
        </is>
      </c>
      <c r="E306" s="3" t="inlineStr">
        <is>
          <t>Household</t>
        </is>
      </c>
      <c r="F306" s="4" t="n">
        <v>361</v>
      </c>
      <c r="G306" s="5" t="n">
        <v>105.2</v>
      </c>
      <c r="H306" s="5">
        <f>F306*G306</f>
        <v/>
      </c>
    </row>
    <row r="307">
      <c r="A307" s="2" t="n">
        <v>46271</v>
      </c>
      <c r="B307" s="3" t="inlineStr">
        <is>
          <t>BIL-2609-0306</t>
        </is>
      </c>
      <c r="C307" s="3" t="inlineStr">
        <is>
          <t>Nalanda Distribution</t>
        </is>
      </c>
      <c r="D307" s="3" t="inlineStr">
        <is>
          <t>Curd Cup 400g</t>
        </is>
      </c>
      <c r="E307" s="3" t="inlineStr">
        <is>
          <t>Dairy</t>
        </is>
      </c>
      <c r="F307" s="4" t="n">
        <v>273</v>
      </c>
      <c r="G307" s="5" t="n">
        <v>34.99</v>
      </c>
      <c r="H307" s="5">
        <f>F307*G307</f>
        <v/>
      </c>
    </row>
    <row r="308">
      <c r="A308" s="2" t="n">
        <v>46271</v>
      </c>
      <c r="B308" s="3" t="inlineStr">
        <is>
          <t>BIL-2609-0307</t>
        </is>
      </c>
      <c r="C308" s="3" t="inlineStr">
        <is>
          <t>Magadh Wholesale Co.</t>
        </is>
      </c>
      <c r="D308" s="3" t="inlineStr">
        <is>
          <t>Mango Juice 1L</t>
        </is>
      </c>
      <c r="E308" s="3" t="inlineStr">
        <is>
          <t>Beverages</t>
        </is>
      </c>
      <c r="F308" s="4" t="n">
        <v>347</v>
      </c>
      <c r="G308" s="5" t="n">
        <v>97.20999999999999</v>
      </c>
      <c r="H308" s="5">
        <f>F308*G308</f>
        <v/>
      </c>
    </row>
    <row r="309">
      <c r="A309" s="2" t="n">
        <v>46271</v>
      </c>
      <c r="B309" s="3" t="inlineStr">
        <is>
          <t>BIL-2609-0308</t>
        </is>
      </c>
      <c r="C309" s="3" t="inlineStr">
        <is>
          <t>Patliputra Agencies</t>
        </is>
      </c>
      <c r="D309" s="3" t="inlineStr">
        <is>
          <t>Detergent 1kg</t>
        </is>
      </c>
      <c r="E309" s="3" t="inlineStr">
        <is>
          <t>Household</t>
        </is>
      </c>
      <c r="F309" s="4" t="n">
        <v>201</v>
      </c>
      <c r="G309" s="5" t="n">
        <v>102.93</v>
      </c>
      <c r="H309" s="5">
        <f>F309*G309</f>
        <v/>
      </c>
    </row>
    <row r="310">
      <c r="A310" s="2" t="n">
        <v>46272</v>
      </c>
      <c r="B310" s="3" t="inlineStr">
        <is>
          <t>BIL-2609-0309</t>
        </is>
      </c>
      <c r="C310" s="3" t="inlineStr">
        <is>
          <t>Sone Valley Traders</t>
        </is>
      </c>
      <c r="D310" s="3" t="inlineStr">
        <is>
          <t>Paneer 200g</t>
        </is>
      </c>
      <c r="E310" s="3" t="inlineStr">
        <is>
          <t>Dairy</t>
        </is>
      </c>
      <c r="F310" s="4" t="n">
        <v>370</v>
      </c>
      <c r="G310" s="5" t="n">
        <v>76.86</v>
      </c>
      <c r="H310" s="5">
        <f>F310*G310</f>
        <v/>
      </c>
    </row>
    <row r="311">
      <c r="A311" s="2" t="n">
        <v>46273</v>
      </c>
      <c r="B311" s="3" t="inlineStr">
        <is>
          <t>BIL-2609-0310</t>
        </is>
      </c>
      <c r="C311" s="3" t="inlineStr">
        <is>
          <t>Bihar Foods Distributors</t>
        </is>
      </c>
      <c r="D311" s="3" t="inlineStr">
        <is>
          <t>Paneer 200g</t>
        </is>
      </c>
      <c r="E311" s="3" t="inlineStr">
        <is>
          <t>Dairy</t>
        </is>
      </c>
      <c r="F311" s="4" t="n">
        <v>102</v>
      </c>
      <c r="G311" s="5" t="n">
        <v>76.78</v>
      </c>
      <c r="H311" s="5">
        <f>F311*G311</f>
        <v/>
      </c>
    </row>
    <row r="312">
      <c r="A312" s="2" t="n">
        <v>46273</v>
      </c>
      <c r="B312" s="3" t="inlineStr">
        <is>
          <t>BIL-2609-0311</t>
        </is>
      </c>
      <c r="C312" s="3" t="inlineStr">
        <is>
          <t>Patliputra Agencies</t>
        </is>
      </c>
      <c r="D312" s="3" t="inlineStr">
        <is>
          <t>Floor Cleaner 1L</t>
        </is>
      </c>
      <c r="E312" s="3" t="inlineStr">
        <is>
          <t>Household</t>
        </is>
      </c>
      <c r="F312" s="4" t="n">
        <v>393</v>
      </c>
      <c r="G312" s="5" t="n">
        <v>89.16</v>
      </c>
      <c r="H312" s="5">
        <f>F312*G312</f>
        <v/>
      </c>
    </row>
    <row r="313">
      <c r="A313" s="2" t="n">
        <v>46273</v>
      </c>
      <c r="B313" s="3" t="inlineStr">
        <is>
          <t>BIL-2609-0312</t>
        </is>
      </c>
      <c r="C313" s="3" t="inlineStr">
        <is>
          <t>Nalanda Distribution</t>
        </is>
      </c>
      <c r="D313" s="3" t="inlineStr">
        <is>
          <t>Dish Soap 500ml</t>
        </is>
      </c>
      <c r="E313" s="3" t="inlineStr">
        <is>
          <t>Household</t>
        </is>
      </c>
      <c r="F313" s="4" t="n">
        <v>322</v>
      </c>
      <c r="G313" s="5" t="n">
        <v>79.17</v>
      </c>
      <c r="H313" s="5">
        <f>F313*G313</f>
        <v/>
      </c>
    </row>
    <row r="314">
      <c r="A314" s="2" t="n">
        <v>46273</v>
      </c>
      <c r="B314" s="3" t="inlineStr">
        <is>
          <t>BIL-2609-0313</t>
        </is>
      </c>
      <c r="C314" s="3" t="inlineStr">
        <is>
          <t>Patliputra Agencies</t>
        </is>
      </c>
      <c r="D314" s="3" t="inlineStr">
        <is>
          <t>Mango Juice 1L</t>
        </is>
      </c>
      <c r="E314" s="3" t="inlineStr">
        <is>
          <t>Beverages</t>
        </is>
      </c>
      <c r="F314" s="4" t="n">
        <v>61</v>
      </c>
      <c r="G314" s="5" t="n">
        <v>95.77</v>
      </c>
      <c r="H314" s="5">
        <f>F314*G314</f>
        <v/>
      </c>
    </row>
    <row r="315">
      <c r="A315" s="2" t="n">
        <v>46274</v>
      </c>
      <c r="B315" s="3" t="inlineStr">
        <is>
          <t>BIL-2609-0314</t>
        </is>
      </c>
      <c r="C315" s="3" t="inlineStr">
        <is>
          <t>Magadh Wholesale Co.</t>
        </is>
      </c>
      <c r="D315" s="3" t="inlineStr">
        <is>
          <t>Packaged Water 1L</t>
        </is>
      </c>
      <c r="E315" s="3" t="inlineStr">
        <is>
          <t>Beverages</t>
        </is>
      </c>
      <c r="F315" s="4" t="n">
        <v>365</v>
      </c>
      <c r="G315" s="5" t="n">
        <v>14.97</v>
      </c>
      <c r="H315" s="5">
        <f>F315*G315</f>
        <v/>
      </c>
    </row>
    <row r="316">
      <c r="A316" s="2" t="n">
        <v>46274</v>
      </c>
      <c r="B316" s="3" t="inlineStr">
        <is>
          <t>BIL-2609-0315</t>
        </is>
      </c>
      <c r="C316" s="3" t="inlineStr">
        <is>
          <t>Vaishali Supply House</t>
        </is>
      </c>
      <c r="D316" s="3" t="inlineStr">
        <is>
          <t>Instant Noodles 280g</t>
        </is>
      </c>
      <c r="E316" s="3" t="inlineStr">
        <is>
          <t>Snacks</t>
        </is>
      </c>
      <c r="F316" s="4" t="n">
        <v>186</v>
      </c>
      <c r="G316" s="5" t="n">
        <v>42.09</v>
      </c>
      <c r="H316" s="5">
        <f>F316*G316</f>
        <v/>
      </c>
    </row>
    <row r="317">
      <c r="A317" s="2" t="n">
        <v>46274</v>
      </c>
      <c r="B317" s="3" t="inlineStr">
        <is>
          <t>BIL-2609-0316</t>
        </is>
      </c>
      <c r="C317" s="3" t="inlineStr">
        <is>
          <t>Vaishali Supply House</t>
        </is>
      </c>
      <c r="D317" s="3" t="inlineStr">
        <is>
          <t>Cola 750ml</t>
        </is>
      </c>
      <c r="E317" s="3" t="inlineStr">
        <is>
          <t>Beverages</t>
        </is>
      </c>
      <c r="F317" s="4" t="n">
        <v>68</v>
      </c>
      <c r="G317" s="5" t="n">
        <v>37.03</v>
      </c>
      <c r="H317" s="5">
        <f>F317*G317</f>
        <v/>
      </c>
    </row>
    <row r="318">
      <c r="A318" s="2" t="n">
        <v>46276</v>
      </c>
      <c r="B318" s="3" t="inlineStr">
        <is>
          <t>BIL-2609-0317</t>
        </is>
      </c>
      <c r="C318" s="3" t="inlineStr">
        <is>
          <t>Ganga FMCG Supply</t>
        </is>
      </c>
      <c r="D318" s="3" t="inlineStr">
        <is>
          <t>Potato Chips 150g</t>
        </is>
      </c>
      <c r="E318" s="3" t="inlineStr">
        <is>
          <t>Snacks</t>
        </is>
      </c>
      <c r="F318" s="4" t="n">
        <v>178</v>
      </c>
      <c r="G318" s="5" t="n">
        <v>38.95</v>
      </c>
      <c r="H318" s="5">
        <f>F318*G318</f>
        <v/>
      </c>
    </row>
    <row r="319">
      <c r="A319" s="2" t="n">
        <v>46276</v>
      </c>
      <c r="B319" s="3" t="inlineStr">
        <is>
          <t>BIL-2609-0318</t>
        </is>
      </c>
      <c r="C319" s="3" t="inlineStr">
        <is>
          <t>Patliputra Agencies</t>
        </is>
      </c>
      <c r="D319" s="3" t="inlineStr">
        <is>
          <t>Packaged Water 1L</t>
        </is>
      </c>
      <c r="E319" s="3" t="inlineStr">
        <is>
          <t>Beverages</t>
        </is>
      </c>
      <c r="F319" s="4" t="n">
        <v>393</v>
      </c>
      <c r="G319" s="5" t="n">
        <v>15.26</v>
      </c>
      <c r="H319" s="5">
        <f>F319*G319</f>
        <v/>
      </c>
    </row>
    <row r="320">
      <c r="A320" s="2" t="n">
        <v>46276</v>
      </c>
      <c r="B320" s="3" t="inlineStr">
        <is>
          <t>BIL-2609-0319</t>
        </is>
      </c>
      <c r="C320" s="3" t="inlineStr">
        <is>
          <t>Bihar Foods Distributors</t>
        </is>
      </c>
      <c r="D320" s="3" t="inlineStr">
        <is>
          <t>Dish Soap 500ml</t>
        </is>
      </c>
      <c r="E320" s="3" t="inlineStr">
        <is>
          <t>Household</t>
        </is>
      </c>
      <c r="F320" s="4" t="n">
        <v>55</v>
      </c>
      <c r="G320" s="5" t="n">
        <v>79.69</v>
      </c>
      <c r="H320" s="5">
        <f>F320*G320</f>
        <v/>
      </c>
    </row>
    <row r="321">
      <c r="A321" s="2" t="n">
        <v>46276</v>
      </c>
      <c r="B321" s="3" t="inlineStr">
        <is>
          <t>BIL-2609-0320</t>
        </is>
      </c>
      <c r="C321" s="3" t="inlineStr">
        <is>
          <t>Magadh Wholesale Co.</t>
        </is>
      </c>
      <c r="D321" s="3" t="inlineStr">
        <is>
          <t>Dish Soap 500ml</t>
        </is>
      </c>
      <c r="E321" s="3" t="inlineStr">
        <is>
          <t>Household</t>
        </is>
      </c>
      <c r="F321" s="4" t="n">
        <v>110</v>
      </c>
      <c r="G321" s="5" t="n">
        <v>79.5</v>
      </c>
      <c r="H321" s="5">
        <f>F321*G321</f>
        <v/>
      </c>
    </row>
    <row r="322">
      <c r="A322" s="2" t="n">
        <v>46278</v>
      </c>
      <c r="B322" s="3" t="inlineStr">
        <is>
          <t>BIL-2609-0321</t>
        </is>
      </c>
      <c r="C322" s="3" t="inlineStr">
        <is>
          <t>Magadh Wholesale Co.</t>
        </is>
      </c>
      <c r="D322" s="3" t="inlineStr">
        <is>
          <t>Toned Milk 1L</t>
        </is>
      </c>
      <c r="E322" s="3" t="inlineStr">
        <is>
          <t>Dairy</t>
        </is>
      </c>
      <c r="F322" s="4" t="n">
        <v>84</v>
      </c>
      <c r="G322" s="5" t="n">
        <v>53.88</v>
      </c>
      <c r="H322" s="5">
        <f>F322*G322</f>
        <v/>
      </c>
    </row>
    <row r="323">
      <c r="A323" s="2" t="n">
        <v>46278</v>
      </c>
      <c r="B323" s="3" t="inlineStr">
        <is>
          <t>BIL-2609-0322</t>
        </is>
      </c>
      <c r="C323" s="3" t="inlineStr">
        <is>
          <t>Magadh Wholesale Co.</t>
        </is>
      </c>
      <c r="D323" s="3" t="inlineStr">
        <is>
          <t>Biscuits 400g</t>
        </is>
      </c>
      <c r="E323" s="3" t="inlineStr">
        <is>
          <t>Snacks</t>
        </is>
      </c>
      <c r="F323" s="4" t="n">
        <v>308</v>
      </c>
      <c r="G323" s="5" t="n">
        <v>30.87</v>
      </c>
      <c r="H323" s="5">
        <f>F323*G323</f>
        <v/>
      </c>
    </row>
    <row r="324">
      <c r="A324" s="2" t="n">
        <v>46278</v>
      </c>
      <c r="B324" s="3" t="inlineStr">
        <is>
          <t>BIL-2609-0323</t>
        </is>
      </c>
      <c r="C324" s="3" t="inlineStr">
        <is>
          <t>Magadh Wholesale Co.</t>
        </is>
      </c>
      <c r="D324" s="3" t="inlineStr">
        <is>
          <t>Cola 750ml</t>
        </is>
      </c>
      <c r="E324" s="3" t="inlineStr">
        <is>
          <t>Beverages</t>
        </is>
      </c>
      <c r="F324" s="4" t="n">
        <v>339</v>
      </c>
      <c r="G324" s="5" t="n">
        <v>36.79</v>
      </c>
      <c r="H324" s="5">
        <f>F324*G324</f>
        <v/>
      </c>
    </row>
    <row r="325">
      <c r="A325" s="2" t="n">
        <v>46279</v>
      </c>
      <c r="B325" s="3" t="inlineStr">
        <is>
          <t>BIL-2609-0324</t>
        </is>
      </c>
      <c r="C325" s="3" t="inlineStr">
        <is>
          <t>Vaishali Supply House</t>
        </is>
      </c>
      <c r="D325" s="3" t="inlineStr">
        <is>
          <t>Curd Cup 400g</t>
        </is>
      </c>
      <c r="E325" s="3" t="inlineStr">
        <is>
          <t>Dairy</t>
        </is>
      </c>
      <c r="F325" s="4" t="n">
        <v>138</v>
      </c>
      <c r="G325" s="5" t="n">
        <v>35.46</v>
      </c>
      <c r="H325" s="5">
        <f>F325*G325</f>
        <v/>
      </c>
    </row>
    <row r="326">
      <c r="A326" s="2" t="n">
        <v>46279</v>
      </c>
      <c r="B326" s="3" t="inlineStr">
        <is>
          <t>BIL-2609-0325</t>
        </is>
      </c>
      <c r="C326" s="3" t="inlineStr">
        <is>
          <t>Ganga FMCG Supply</t>
        </is>
      </c>
      <c r="D326" s="3" t="inlineStr">
        <is>
          <t>Biscuits 400g</t>
        </is>
      </c>
      <c r="E326" s="3" t="inlineStr">
        <is>
          <t>Snacks</t>
        </is>
      </c>
      <c r="F326" s="4" t="n">
        <v>373</v>
      </c>
      <c r="G326" s="5" t="n">
        <v>30.14</v>
      </c>
      <c r="H326" s="5">
        <f>F326*G326</f>
        <v/>
      </c>
    </row>
    <row r="327">
      <c r="A327" s="2" t="n">
        <v>46279</v>
      </c>
      <c r="B327" s="3" t="inlineStr">
        <is>
          <t>BIL-2609-0326</t>
        </is>
      </c>
      <c r="C327" s="3" t="inlineStr">
        <is>
          <t>Sone Valley Traders</t>
        </is>
      </c>
      <c r="D327" s="3" t="inlineStr">
        <is>
          <t>Mango Juice 1L</t>
        </is>
      </c>
      <c r="E327" s="3" t="inlineStr">
        <is>
          <t>Beverages</t>
        </is>
      </c>
      <c r="F327" s="4" t="n">
        <v>96</v>
      </c>
      <c r="G327" s="5" t="n">
        <v>95.11</v>
      </c>
      <c r="H327" s="5">
        <f>F327*G327</f>
        <v/>
      </c>
    </row>
    <row r="328">
      <c r="A328" s="2" t="n">
        <v>46279</v>
      </c>
      <c r="B328" s="3" t="inlineStr">
        <is>
          <t>BIL-2609-0327</t>
        </is>
      </c>
      <c r="C328" s="3" t="inlineStr">
        <is>
          <t>Sone Valley Traders</t>
        </is>
      </c>
      <c r="D328" s="3" t="inlineStr">
        <is>
          <t>Potato Chips 150g</t>
        </is>
      </c>
      <c r="E328" s="3" t="inlineStr">
        <is>
          <t>Snacks</t>
        </is>
      </c>
      <c r="F328" s="4" t="n">
        <v>232</v>
      </c>
      <c r="G328" s="5" t="n">
        <v>37.86</v>
      </c>
      <c r="H328" s="5">
        <f>F328*G328</f>
        <v/>
      </c>
    </row>
    <row r="329">
      <c r="A329" s="2" t="n">
        <v>46280</v>
      </c>
      <c r="B329" s="3" t="inlineStr">
        <is>
          <t>BIL-2609-0328</t>
        </is>
      </c>
      <c r="C329" s="3" t="inlineStr">
        <is>
          <t>Bihar Foods Distributors</t>
        </is>
      </c>
      <c r="D329" s="3" t="inlineStr">
        <is>
          <t>Toned Milk 1L</t>
        </is>
      </c>
      <c r="E329" s="3" t="inlineStr">
        <is>
          <t>Dairy</t>
        </is>
      </c>
      <c r="F329" s="4" t="n">
        <v>334</v>
      </c>
      <c r="G329" s="5" t="n">
        <v>53.79</v>
      </c>
      <c r="H329" s="5">
        <f>F329*G329</f>
        <v/>
      </c>
    </row>
    <row r="330">
      <c r="A330" s="2" t="n">
        <v>46280</v>
      </c>
      <c r="B330" s="3" t="inlineStr">
        <is>
          <t>BIL-2609-0329</t>
        </is>
      </c>
      <c r="C330" s="3" t="inlineStr">
        <is>
          <t>Vaishali Supply House</t>
        </is>
      </c>
      <c r="D330" s="3" t="inlineStr">
        <is>
          <t>Instant Noodles 280g</t>
        </is>
      </c>
      <c r="E330" s="3" t="inlineStr">
        <is>
          <t>Snacks</t>
        </is>
      </c>
      <c r="F330" s="4" t="n">
        <v>126</v>
      </c>
      <c r="G330" s="5" t="n">
        <v>41.65</v>
      </c>
      <c r="H330" s="5">
        <f>F330*G330</f>
        <v/>
      </c>
    </row>
    <row r="331">
      <c r="A331" s="2" t="n">
        <v>46281</v>
      </c>
      <c r="B331" s="3" t="inlineStr">
        <is>
          <t>BIL-2609-0330</t>
        </is>
      </c>
      <c r="C331" s="3" t="inlineStr">
        <is>
          <t>Nalanda Distribution</t>
        </is>
      </c>
      <c r="D331" s="3" t="inlineStr">
        <is>
          <t>Mango Juice 1L</t>
        </is>
      </c>
      <c r="E331" s="3" t="inlineStr">
        <is>
          <t>Beverages</t>
        </is>
      </c>
      <c r="F331" s="4" t="n">
        <v>250</v>
      </c>
      <c r="G331" s="5" t="n">
        <v>98.09999999999999</v>
      </c>
      <c r="H331" s="5">
        <f>F331*G331</f>
        <v/>
      </c>
    </row>
    <row r="332">
      <c r="A332" s="2" t="n">
        <v>46281</v>
      </c>
      <c r="B332" s="3" t="inlineStr">
        <is>
          <t>BIL-2609-0331</t>
        </is>
      </c>
      <c r="C332" s="3" t="inlineStr">
        <is>
          <t>Patliputra Agencies</t>
        </is>
      </c>
      <c r="D332" s="3" t="inlineStr">
        <is>
          <t>Paneer 200g</t>
        </is>
      </c>
      <c r="E332" s="3" t="inlineStr">
        <is>
          <t>Dairy</t>
        </is>
      </c>
      <c r="F332" s="4" t="n">
        <v>195</v>
      </c>
      <c r="G332" s="5" t="n">
        <v>79.64</v>
      </c>
      <c r="H332" s="5">
        <f>F332*G332</f>
        <v/>
      </c>
    </row>
    <row r="333">
      <c r="A333" s="2" t="n">
        <v>46281</v>
      </c>
      <c r="B333" s="3" t="inlineStr">
        <is>
          <t>BIL-2609-0332</t>
        </is>
      </c>
      <c r="C333" s="3" t="inlineStr">
        <is>
          <t>Bihar Foods Distributors</t>
        </is>
      </c>
      <c r="D333" s="3" t="inlineStr">
        <is>
          <t>Instant Noodles 280g</t>
        </is>
      </c>
      <c r="E333" s="3" t="inlineStr">
        <is>
          <t>Snacks</t>
        </is>
      </c>
      <c r="F333" s="4" t="n">
        <v>262</v>
      </c>
      <c r="G333" s="5" t="n">
        <v>41.84</v>
      </c>
      <c r="H333" s="5">
        <f>F333*G333</f>
        <v/>
      </c>
    </row>
    <row r="334">
      <c r="A334" s="2" t="n">
        <v>46281</v>
      </c>
      <c r="B334" s="3" t="inlineStr">
        <is>
          <t>BIL-2609-0333</t>
        </is>
      </c>
      <c r="C334" s="3" t="inlineStr">
        <is>
          <t>Ganga FMCG Supply</t>
        </is>
      </c>
      <c r="D334" s="3" t="inlineStr">
        <is>
          <t>Curd Cup 400g</t>
        </is>
      </c>
      <c r="E334" s="3" t="inlineStr">
        <is>
          <t>Dairy</t>
        </is>
      </c>
      <c r="F334" s="4" t="n">
        <v>65</v>
      </c>
      <c r="G334" s="5" t="n">
        <v>34.38</v>
      </c>
      <c r="H334" s="5">
        <f>F334*G334</f>
        <v/>
      </c>
    </row>
    <row r="335">
      <c r="A335" s="2" t="n">
        <v>46283</v>
      </c>
      <c r="B335" s="3" t="inlineStr">
        <is>
          <t>BIL-2609-0334</t>
        </is>
      </c>
      <c r="C335" s="3" t="inlineStr">
        <is>
          <t>Koshi Enterprises</t>
        </is>
      </c>
      <c r="D335" s="3" t="inlineStr">
        <is>
          <t>Mango Juice 1L</t>
        </is>
      </c>
      <c r="E335" s="3" t="inlineStr">
        <is>
          <t>Beverages</t>
        </is>
      </c>
      <c r="F335" s="4" t="n">
        <v>168</v>
      </c>
      <c r="G335" s="5" t="n">
        <v>98.01000000000001</v>
      </c>
      <c r="H335" s="5">
        <f>F335*G335</f>
        <v/>
      </c>
    </row>
    <row r="336">
      <c r="A336" s="2" t="n">
        <v>46286</v>
      </c>
      <c r="B336" s="3" t="inlineStr">
        <is>
          <t>BIL-2609-0335</t>
        </is>
      </c>
      <c r="C336" s="3" t="inlineStr">
        <is>
          <t>Nalanda Distribution</t>
        </is>
      </c>
      <c r="D336" s="3" t="inlineStr">
        <is>
          <t>Cola 750ml</t>
        </is>
      </c>
      <c r="E336" s="3" t="inlineStr">
        <is>
          <t>Beverages</t>
        </is>
      </c>
      <c r="F336" s="4" t="n">
        <v>200</v>
      </c>
      <c r="G336" s="5" t="n">
        <v>35.63</v>
      </c>
      <c r="H336" s="5">
        <f>F336*G336</f>
        <v/>
      </c>
    </row>
    <row r="337">
      <c r="A337" s="2" t="n">
        <v>46286</v>
      </c>
      <c r="B337" s="3" t="inlineStr">
        <is>
          <t>BIL-2609-0336</t>
        </is>
      </c>
      <c r="C337" s="3" t="inlineStr">
        <is>
          <t>Vaishali Supply House</t>
        </is>
      </c>
      <c r="D337" s="3" t="inlineStr">
        <is>
          <t>Paneer 200g</t>
        </is>
      </c>
      <c r="E337" s="3" t="inlineStr">
        <is>
          <t>Dairy</t>
        </is>
      </c>
      <c r="F337" s="4" t="n">
        <v>106</v>
      </c>
      <c r="G337" s="5" t="n">
        <v>77.73999999999999</v>
      </c>
      <c r="H337" s="5">
        <f>F337*G337</f>
        <v/>
      </c>
    </row>
    <row r="338">
      <c r="A338" s="2" t="n">
        <v>46286</v>
      </c>
      <c r="B338" s="3" t="inlineStr">
        <is>
          <t>BIL-2609-0337</t>
        </is>
      </c>
      <c r="C338" s="3" t="inlineStr">
        <is>
          <t>Koshi Enterprises</t>
        </is>
      </c>
      <c r="D338" s="3" t="inlineStr">
        <is>
          <t>Toned Milk 1L</t>
        </is>
      </c>
      <c r="E338" s="3" t="inlineStr">
        <is>
          <t>Dairy</t>
        </is>
      </c>
      <c r="F338" s="4" t="n">
        <v>351</v>
      </c>
      <c r="G338" s="5" t="n">
        <v>54.32</v>
      </c>
      <c r="H338" s="5">
        <f>F338*G338</f>
        <v/>
      </c>
    </row>
    <row r="339">
      <c r="A339" s="2" t="n">
        <v>46286</v>
      </c>
      <c r="B339" s="3" t="inlineStr">
        <is>
          <t>BIL-2609-0338</t>
        </is>
      </c>
      <c r="C339" s="3" t="inlineStr">
        <is>
          <t>Ganga FMCG Supply</t>
        </is>
      </c>
      <c r="D339" s="3" t="inlineStr">
        <is>
          <t>Floor Cleaner 1L</t>
        </is>
      </c>
      <c r="E339" s="3" t="inlineStr">
        <is>
          <t>Household</t>
        </is>
      </c>
      <c r="F339" s="4" t="n">
        <v>118</v>
      </c>
      <c r="G339" s="5" t="n">
        <v>88.7</v>
      </c>
      <c r="H339" s="5">
        <f>F339*G339</f>
        <v/>
      </c>
    </row>
    <row r="340">
      <c r="A340" s="2" t="n">
        <v>46287</v>
      </c>
      <c r="B340" s="3" t="inlineStr">
        <is>
          <t>BIL-2609-0339</t>
        </is>
      </c>
      <c r="C340" s="3" t="inlineStr">
        <is>
          <t>Koshi Enterprises</t>
        </is>
      </c>
      <c r="D340" s="3" t="inlineStr">
        <is>
          <t>Biscuits 400g</t>
        </is>
      </c>
      <c r="E340" s="3" t="inlineStr">
        <is>
          <t>Snacks</t>
        </is>
      </c>
      <c r="F340" s="4" t="n">
        <v>102</v>
      </c>
      <c r="G340" s="5" t="n">
        <v>29.8</v>
      </c>
      <c r="H340" s="5">
        <f>F340*G340</f>
        <v/>
      </c>
    </row>
    <row r="341">
      <c r="A341" s="2" t="n">
        <v>46288</v>
      </c>
      <c r="B341" s="3" t="inlineStr">
        <is>
          <t>BIL-2609-0340</t>
        </is>
      </c>
      <c r="C341" s="3" t="inlineStr">
        <is>
          <t>Patliputra Agencies</t>
        </is>
      </c>
      <c r="D341" s="3" t="inlineStr">
        <is>
          <t>Detergent 1kg</t>
        </is>
      </c>
      <c r="E341" s="3" t="inlineStr">
        <is>
          <t>Household</t>
        </is>
      </c>
      <c r="F341" s="4" t="n">
        <v>71</v>
      </c>
      <c r="G341" s="5" t="n">
        <v>105.69</v>
      </c>
      <c r="H341" s="5">
        <f>F341*G341</f>
        <v/>
      </c>
    </row>
    <row r="342">
      <c r="A342" s="2" t="n">
        <v>46288</v>
      </c>
      <c r="B342" s="3" t="inlineStr">
        <is>
          <t>BIL-2609-0341</t>
        </is>
      </c>
      <c r="C342" s="3" t="inlineStr">
        <is>
          <t>Ganga FMCG Supply</t>
        </is>
      </c>
      <c r="D342" s="3" t="inlineStr">
        <is>
          <t>Paneer 200g</t>
        </is>
      </c>
      <c r="E342" s="3" t="inlineStr">
        <is>
          <t>Dairy</t>
        </is>
      </c>
      <c r="F342" s="4" t="n">
        <v>374</v>
      </c>
      <c r="G342" s="5" t="n">
        <v>77.88</v>
      </c>
      <c r="H342" s="5">
        <f>F342*G342</f>
        <v/>
      </c>
    </row>
    <row r="343">
      <c r="A343" s="2" t="n">
        <v>46289</v>
      </c>
      <c r="B343" s="3" t="inlineStr">
        <is>
          <t>BIL-2609-0342</t>
        </is>
      </c>
      <c r="C343" s="3" t="inlineStr">
        <is>
          <t>Koshi Enterprises</t>
        </is>
      </c>
      <c r="D343" s="3" t="inlineStr">
        <is>
          <t>Paneer 200g</t>
        </is>
      </c>
      <c r="E343" s="3" t="inlineStr">
        <is>
          <t>Dairy</t>
        </is>
      </c>
      <c r="F343" s="4" t="n">
        <v>376</v>
      </c>
      <c r="G343" s="5" t="n">
        <v>80.31</v>
      </c>
      <c r="H343" s="5">
        <f>F343*G343</f>
        <v/>
      </c>
    </row>
    <row r="344">
      <c r="A344" s="2" t="n">
        <v>46290</v>
      </c>
      <c r="B344" s="3" t="inlineStr">
        <is>
          <t>BIL-2609-0343</t>
        </is>
      </c>
      <c r="C344" s="3" t="inlineStr">
        <is>
          <t>Nalanda Distribution</t>
        </is>
      </c>
      <c r="D344" s="3" t="inlineStr">
        <is>
          <t>Curd Cup 400g</t>
        </is>
      </c>
      <c r="E344" s="3" t="inlineStr">
        <is>
          <t>Dairy</t>
        </is>
      </c>
      <c r="F344" s="4" t="n">
        <v>363</v>
      </c>
      <c r="G344" s="5" t="n">
        <v>35.69</v>
      </c>
      <c r="H344" s="5">
        <f>F344*G344</f>
        <v/>
      </c>
    </row>
    <row r="345">
      <c r="A345" s="2" t="n">
        <v>46290</v>
      </c>
      <c r="B345" s="3" t="inlineStr">
        <is>
          <t>BIL-2609-0344</t>
        </is>
      </c>
      <c r="C345" s="3" t="inlineStr">
        <is>
          <t>Ganga FMCG Supply</t>
        </is>
      </c>
      <c r="D345" s="3" t="inlineStr">
        <is>
          <t>Cola 750ml</t>
        </is>
      </c>
      <c r="E345" s="3" t="inlineStr">
        <is>
          <t>Beverages</t>
        </is>
      </c>
      <c r="F345" s="4" t="n">
        <v>161</v>
      </c>
      <c r="G345" s="5" t="n">
        <v>36.43</v>
      </c>
      <c r="H345" s="5">
        <f>F345*G345</f>
        <v/>
      </c>
    </row>
    <row r="346">
      <c r="A346" s="2" t="n">
        <v>46290</v>
      </c>
      <c r="B346" s="3" t="inlineStr">
        <is>
          <t>BIL-2609-0345</t>
        </is>
      </c>
      <c r="C346" s="3" t="inlineStr">
        <is>
          <t>Koshi Enterprises</t>
        </is>
      </c>
      <c r="D346" s="3" t="inlineStr">
        <is>
          <t>Floor Cleaner 1L</t>
        </is>
      </c>
      <c r="E346" s="3" t="inlineStr">
        <is>
          <t>Household</t>
        </is>
      </c>
      <c r="F346" s="4" t="n">
        <v>309</v>
      </c>
      <c r="G346" s="5" t="n">
        <v>88.26000000000001</v>
      </c>
      <c r="H346" s="5">
        <f>F346*G346</f>
        <v/>
      </c>
    </row>
    <row r="347">
      <c r="A347" s="2" t="n">
        <v>46290</v>
      </c>
      <c r="B347" s="3" t="inlineStr">
        <is>
          <t>BIL-2609-0346</t>
        </is>
      </c>
      <c r="C347" s="3" t="inlineStr">
        <is>
          <t>Ganga FMCG Supply</t>
        </is>
      </c>
      <c r="D347" s="3" t="inlineStr">
        <is>
          <t>Packaged Water 1L</t>
        </is>
      </c>
      <c r="E347" s="3" t="inlineStr">
        <is>
          <t>Beverages</t>
        </is>
      </c>
      <c r="F347" s="4" t="n">
        <v>196</v>
      </c>
      <c r="G347" s="5" t="n">
        <v>15.33</v>
      </c>
      <c r="H347" s="5">
        <f>F347*G347</f>
        <v/>
      </c>
    </row>
    <row r="348">
      <c r="A348" s="2" t="n">
        <v>46291</v>
      </c>
      <c r="B348" s="3" t="inlineStr">
        <is>
          <t>BIL-2609-0347</t>
        </is>
      </c>
      <c r="C348" s="3" t="inlineStr">
        <is>
          <t>Bihar Foods Distributors</t>
        </is>
      </c>
      <c r="D348" s="3" t="inlineStr">
        <is>
          <t>Curd Cup 400g</t>
        </is>
      </c>
      <c r="E348" s="3" t="inlineStr">
        <is>
          <t>Dairy</t>
        </is>
      </c>
      <c r="F348" s="4" t="n">
        <v>117</v>
      </c>
      <c r="G348" s="5" t="n">
        <v>34.45</v>
      </c>
      <c r="H348" s="5">
        <f>F348*G348</f>
        <v/>
      </c>
    </row>
    <row r="349">
      <c r="A349" s="2" t="n">
        <v>46291</v>
      </c>
      <c r="B349" s="3" t="inlineStr">
        <is>
          <t>BIL-2609-0348</t>
        </is>
      </c>
      <c r="C349" s="3" t="inlineStr">
        <is>
          <t>Sone Valley Traders</t>
        </is>
      </c>
      <c r="D349" s="3" t="inlineStr">
        <is>
          <t>Instant Noodles 280g</t>
        </is>
      </c>
      <c r="E349" s="3" t="inlineStr">
        <is>
          <t>Snacks</t>
        </is>
      </c>
      <c r="F349" s="4" t="n">
        <v>162</v>
      </c>
      <c r="G349" s="5" t="n">
        <v>41.66</v>
      </c>
      <c r="H349" s="5">
        <f>F349*G349</f>
        <v/>
      </c>
    </row>
    <row r="350">
      <c r="A350" s="2" t="n">
        <v>46291</v>
      </c>
      <c r="B350" s="3" t="inlineStr">
        <is>
          <t>BIL-2609-0349</t>
        </is>
      </c>
      <c r="C350" s="3" t="inlineStr">
        <is>
          <t>Sone Valley Traders</t>
        </is>
      </c>
      <c r="D350" s="3" t="inlineStr">
        <is>
          <t>Curd Cup 400g</t>
        </is>
      </c>
      <c r="E350" s="3" t="inlineStr">
        <is>
          <t>Dairy</t>
        </is>
      </c>
      <c r="F350" s="4" t="n">
        <v>286</v>
      </c>
      <c r="G350" s="5" t="n">
        <v>35.93</v>
      </c>
      <c r="H350" s="5">
        <f>F350*G350</f>
        <v/>
      </c>
    </row>
    <row r="351">
      <c r="A351" s="2" t="n">
        <v>46291</v>
      </c>
      <c r="B351" s="3" t="inlineStr">
        <is>
          <t>BIL-2609-0350</t>
        </is>
      </c>
      <c r="C351" s="3" t="inlineStr">
        <is>
          <t>Sone Valley Traders</t>
        </is>
      </c>
      <c r="D351" s="3" t="inlineStr">
        <is>
          <t>Detergent 1kg</t>
        </is>
      </c>
      <c r="E351" s="3" t="inlineStr">
        <is>
          <t>Household</t>
        </is>
      </c>
      <c r="F351" s="4" t="n">
        <v>70</v>
      </c>
      <c r="G351" s="5" t="n">
        <v>106.61</v>
      </c>
      <c r="H351" s="5">
        <f>F351*G351</f>
        <v/>
      </c>
    </row>
    <row r="352">
      <c r="A352" s="2" t="n">
        <v>46293</v>
      </c>
      <c r="B352" s="3" t="inlineStr">
        <is>
          <t>BIL-2609-0351</t>
        </is>
      </c>
      <c r="C352" s="3" t="inlineStr">
        <is>
          <t>Sone Valley Traders</t>
        </is>
      </c>
      <c r="D352" s="3" t="inlineStr">
        <is>
          <t>Toned Milk 1L</t>
        </is>
      </c>
      <c r="E352" s="3" t="inlineStr">
        <is>
          <t>Dairy</t>
        </is>
      </c>
      <c r="F352" s="4" t="n">
        <v>323</v>
      </c>
      <c r="G352" s="5" t="n">
        <v>53.33</v>
      </c>
      <c r="H352" s="5">
        <f>F352*G352</f>
        <v/>
      </c>
    </row>
    <row r="353">
      <c r="A353" s="2" t="n">
        <v>46294</v>
      </c>
      <c r="B353" s="3" t="inlineStr">
        <is>
          <t>BIL-2609-0352</t>
        </is>
      </c>
      <c r="C353" s="3" t="inlineStr">
        <is>
          <t>Bihar Foods Distributors</t>
        </is>
      </c>
      <c r="D353" s="3" t="inlineStr">
        <is>
          <t>Packaged Water 1L</t>
        </is>
      </c>
      <c r="E353" s="3" t="inlineStr">
        <is>
          <t>Beverages</t>
        </is>
      </c>
      <c r="F353" s="4" t="n">
        <v>306</v>
      </c>
      <c r="G353" s="5" t="n">
        <v>14.81</v>
      </c>
      <c r="H353" s="5">
        <f>F353*G353</f>
        <v/>
      </c>
    </row>
    <row r="354">
      <c r="A354" s="2" t="n">
        <v>46294</v>
      </c>
      <c r="B354" s="3" t="inlineStr">
        <is>
          <t>BIL-2609-0353</t>
        </is>
      </c>
      <c r="C354" s="3" t="inlineStr">
        <is>
          <t>Sone Valley Traders</t>
        </is>
      </c>
      <c r="D354" s="3" t="inlineStr">
        <is>
          <t>Floor Cleaner 1L</t>
        </is>
      </c>
      <c r="E354" s="3" t="inlineStr">
        <is>
          <t>Household</t>
        </is>
      </c>
      <c r="F354" s="4" t="n">
        <v>86</v>
      </c>
      <c r="G354" s="5" t="n">
        <v>90.16</v>
      </c>
      <c r="H354" s="5">
        <f>F354*G354</f>
        <v/>
      </c>
    </row>
    <row r="355">
      <c r="A355" s="2" t="n">
        <v>46294</v>
      </c>
      <c r="B355" s="3" t="inlineStr">
        <is>
          <t>BIL-2609-0354</t>
        </is>
      </c>
      <c r="C355" s="3" t="inlineStr">
        <is>
          <t>Patliputra Agencies</t>
        </is>
      </c>
      <c r="D355" s="3" t="inlineStr">
        <is>
          <t>Mango Juice 1L</t>
        </is>
      </c>
      <c r="E355" s="3" t="inlineStr">
        <is>
          <t>Beverages</t>
        </is>
      </c>
      <c r="F355" s="4" t="n">
        <v>365</v>
      </c>
      <c r="G355" s="5" t="n">
        <v>95.78</v>
      </c>
      <c r="H355" s="5">
        <f>F355*G355</f>
        <v/>
      </c>
    </row>
    <row r="356">
      <c r="A356" s="2" t="n">
        <v>46294</v>
      </c>
      <c r="B356" s="3" t="inlineStr">
        <is>
          <t>BIL-2609-0355</t>
        </is>
      </c>
      <c r="C356" s="3" t="inlineStr">
        <is>
          <t>Nalanda Distribution</t>
        </is>
      </c>
      <c r="D356" s="3" t="inlineStr">
        <is>
          <t>Floor Cleaner 1L</t>
        </is>
      </c>
      <c r="E356" s="3" t="inlineStr">
        <is>
          <t>Household</t>
        </is>
      </c>
      <c r="F356" s="4" t="n">
        <v>194</v>
      </c>
      <c r="G356" s="5" t="n">
        <v>87.34</v>
      </c>
      <c r="H356" s="5">
        <f>F356*G356</f>
        <v/>
      </c>
    </row>
    <row r="357">
      <c r="A357" s="2" t="n">
        <v>46295</v>
      </c>
      <c r="B357" s="3" t="inlineStr">
        <is>
          <t>BIL-2609-0356</t>
        </is>
      </c>
      <c r="C357" s="3" t="inlineStr">
        <is>
          <t>Vaishali Supply House</t>
        </is>
      </c>
      <c r="D357" s="3" t="inlineStr">
        <is>
          <t>Cola 750ml</t>
        </is>
      </c>
      <c r="E357" s="3" t="inlineStr">
        <is>
          <t>Beverages</t>
        </is>
      </c>
      <c r="F357" s="4" t="n">
        <v>294</v>
      </c>
      <c r="G357" s="5" t="n">
        <v>35.39</v>
      </c>
      <c r="H357" s="5">
        <f>F357*G357</f>
        <v/>
      </c>
    </row>
    <row r="358">
      <c r="H358" s="5">
        <f>F358*G358</f>
        <v/>
      </c>
    </row>
    <row r="359">
      <c r="H359" s="5">
        <f>F359*G359</f>
        <v/>
      </c>
    </row>
    <row r="360">
      <c r="H360" s="5">
        <f>F360*G360</f>
        <v/>
      </c>
    </row>
    <row r="361">
      <c r="H361" s="5">
        <f>F361*G361</f>
        <v/>
      </c>
    </row>
    <row r="362">
      <c r="H362" s="5">
        <f>F362*G362</f>
        <v/>
      </c>
    </row>
    <row r="363">
      <c r="H363" s="5">
        <f>F363*G363</f>
        <v/>
      </c>
    </row>
    <row r="364">
      <c r="H364" s="5">
        <f>F364*G364</f>
        <v/>
      </c>
    </row>
    <row r="365">
      <c r="H365" s="5">
        <f>F365*G365</f>
        <v/>
      </c>
    </row>
    <row r="366">
      <c r="H366" s="5">
        <f>F366*G366</f>
        <v/>
      </c>
    </row>
    <row r="367">
      <c r="H367" s="5">
        <f>F367*G367</f>
        <v/>
      </c>
    </row>
    <row r="368">
      <c r="H368" s="5">
        <f>F368*G368</f>
        <v/>
      </c>
    </row>
    <row r="369">
      <c r="H369" s="5">
        <f>F369*G369</f>
        <v/>
      </c>
    </row>
    <row r="370">
      <c r="H370" s="5">
        <f>F370*G370</f>
        <v/>
      </c>
    </row>
    <row r="371">
      <c r="H371" s="5">
        <f>F371*G371</f>
        <v/>
      </c>
    </row>
    <row r="372">
      <c r="H372" s="5">
        <f>F372*G372</f>
        <v/>
      </c>
    </row>
    <row r="373">
      <c r="H373" s="5">
        <f>F373*G373</f>
        <v/>
      </c>
    </row>
    <row r="374">
      <c r="H374" s="5">
        <f>F374*G374</f>
        <v/>
      </c>
    </row>
    <row r="375">
      <c r="H375" s="5">
        <f>F375*G375</f>
        <v/>
      </c>
    </row>
    <row r="376">
      <c r="H376" s="5">
        <f>F376*G376</f>
        <v/>
      </c>
    </row>
    <row r="377">
      <c r="H377" s="5">
        <f>F377*G377</f>
        <v/>
      </c>
    </row>
    <row r="378">
      <c r="H378" s="5">
        <f>F378*G378</f>
        <v/>
      </c>
    </row>
    <row r="379">
      <c r="H379" s="5">
        <f>F379*G379</f>
        <v/>
      </c>
    </row>
    <row r="380">
      <c r="H380" s="5">
        <f>F380*G380</f>
        <v/>
      </c>
    </row>
    <row r="381">
      <c r="H381" s="5">
        <f>F381*G381</f>
        <v/>
      </c>
    </row>
    <row r="382">
      <c r="H382" s="5">
        <f>F382*G382</f>
        <v/>
      </c>
    </row>
    <row r="383">
      <c r="H383" s="5">
        <f>F383*G383</f>
        <v/>
      </c>
    </row>
    <row r="384">
      <c r="H384" s="5">
        <f>F384*G384</f>
        <v/>
      </c>
    </row>
    <row r="385">
      <c r="H385" s="5">
        <f>F385*G385</f>
        <v/>
      </c>
    </row>
    <row r="386">
      <c r="H386" s="5">
        <f>F386*G386</f>
        <v/>
      </c>
    </row>
    <row r="387">
      <c r="H387" s="5">
        <f>F387*G387</f>
        <v/>
      </c>
    </row>
    <row r="388">
      <c r="H388" s="5">
        <f>F388*G388</f>
        <v/>
      </c>
    </row>
    <row r="389">
      <c r="H389" s="5">
        <f>F389*G389</f>
        <v/>
      </c>
    </row>
    <row r="390">
      <c r="H390" s="5">
        <f>F390*G390</f>
        <v/>
      </c>
    </row>
    <row r="391">
      <c r="H391" s="5">
        <f>F391*G391</f>
        <v/>
      </c>
    </row>
    <row r="392">
      <c r="H392" s="5">
        <f>F392*G392</f>
        <v/>
      </c>
    </row>
    <row r="393">
      <c r="H393" s="5">
        <f>F393*G393</f>
        <v/>
      </c>
    </row>
    <row r="394">
      <c r="H394" s="5">
        <f>F394*G394</f>
        <v/>
      </c>
    </row>
    <row r="395">
      <c r="H395" s="5">
        <f>F395*G395</f>
        <v/>
      </c>
    </row>
    <row r="396">
      <c r="H396" s="5">
        <f>F396*G396</f>
        <v/>
      </c>
    </row>
    <row r="397">
      <c r="H397" s="5">
        <f>F397*G397</f>
        <v/>
      </c>
    </row>
    <row r="398">
      <c r="H398" s="5">
        <f>F398*G398</f>
        <v/>
      </c>
    </row>
    <row r="399">
      <c r="H399" s="5">
        <f>F399*G399</f>
        <v/>
      </c>
    </row>
    <row r="400">
      <c r="H400" s="5">
        <f>F400*G400</f>
        <v/>
      </c>
    </row>
    <row r="401">
      <c r="H401" s="5">
        <f>F401*G401</f>
        <v/>
      </c>
    </row>
    <row r="402">
      <c r="H402" s="5">
        <f>F402*G402</f>
        <v/>
      </c>
    </row>
    <row r="403">
      <c r="H403" s="5">
        <f>F403*G403</f>
        <v/>
      </c>
    </row>
    <row r="404">
      <c r="H404" s="5">
        <f>F404*G404</f>
        <v/>
      </c>
    </row>
    <row r="405">
      <c r="H405" s="5">
        <f>F405*G405</f>
        <v/>
      </c>
    </row>
    <row r="406">
      <c r="H406" s="5">
        <f>F406*G406</f>
        <v/>
      </c>
    </row>
    <row r="407">
      <c r="H407" s="5">
        <f>F407*G407</f>
        <v/>
      </c>
    </row>
    <row r="408">
      <c r="H408" s="5">
        <f>F408*G408</f>
        <v/>
      </c>
    </row>
    <row r="409">
      <c r="H409" s="5">
        <f>F409*G409</f>
        <v/>
      </c>
    </row>
    <row r="410">
      <c r="H410" s="5">
        <f>F410*G410</f>
        <v/>
      </c>
    </row>
    <row r="411">
      <c r="H411" s="5">
        <f>F411*G411</f>
        <v/>
      </c>
    </row>
    <row r="412">
      <c r="H412" s="5">
        <f>F412*G412</f>
        <v/>
      </c>
    </row>
    <row r="413">
      <c r="H413" s="5">
        <f>F413*G413</f>
        <v/>
      </c>
    </row>
    <row r="414">
      <c r="H414" s="5">
        <f>F414*G414</f>
        <v/>
      </c>
    </row>
    <row r="415">
      <c r="H415" s="5">
        <f>F415*G415</f>
        <v/>
      </c>
    </row>
    <row r="416">
      <c r="H416" s="5">
        <f>F416*G416</f>
        <v/>
      </c>
    </row>
    <row r="417">
      <c r="H417" s="5">
        <f>F417*G417</f>
        <v/>
      </c>
    </row>
    <row r="418">
      <c r="H418" s="5">
        <f>F418*G418</f>
        <v/>
      </c>
    </row>
    <row r="419">
      <c r="H419" s="5">
        <f>F419*G419</f>
        <v/>
      </c>
    </row>
    <row r="420">
      <c r="H420" s="5">
        <f>F420*G420</f>
        <v/>
      </c>
    </row>
    <row r="421">
      <c r="H421" s="5">
        <f>F421*G421</f>
        <v/>
      </c>
    </row>
    <row r="422">
      <c r="H422" s="5">
        <f>F422*G422</f>
        <v/>
      </c>
    </row>
    <row r="423">
      <c r="H423" s="5">
        <f>F423*G423</f>
        <v/>
      </c>
    </row>
    <row r="424">
      <c r="H424" s="5">
        <f>F424*G424</f>
        <v/>
      </c>
    </row>
    <row r="425">
      <c r="H425" s="5">
        <f>F425*G425</f>
        <v/>
      </c>
    </row>
    <row r="426">
      <c r="H426" s="5">
        <f>F426*G426</f>
        <v/>
      </c>
    </row>
    <row r="427">
      <c r="H427" s="5">
        <f>F427*G427</f>
        <v/>
      </c>
    </row>
    <row r="428">
      <c r="H428" s="5">
        <f>F428*G428</f>
        <v/>
      </c>
    </row>
    <row r="429">
      <c r="H429" s="5">
        <f>F429*G429</f>
        <v/>
      </c>
    </row>
    <row r="430">
      <c r="H430" s="5">
        <f>F430*G430</f>
        <v/>
      </c>
    </row>
    <row r="431">
      <c r="H431" s="5">
        <f>F431*G431</f>
        <v/>
      </c>
    </row>
    <row r="432">
      <c r="H432" s="5">
        <f>F432*G432</f>
        <v/>
      </c>
    </row>
    <row r="433">
      <c r="H433" s="5">
        <f>F433*G433</f>
        <v/>
      </c>
    </row>
    <row r="434">
      <c r="H434" s="5">
        <f>F434*G434</f>
        <v/>
      </c>
    </row>
    <row r="435">
      <c r="H435" s="5">
        <f>F435*G435</f>
        <v/>
      </c>
    </row>
    <row r="436">
      <c r="H436" s="5">
        <f>F436*G436</f>
        <v/>
      </c>
    </row>
    <row r="437">
      <c r="H437" s="5">
        <f>F437*G437</f>
        <v/>
      </c>
    </row>
    <row r="438">
      <c r="H438" s="5">
        <f>F438*G438</f>
        <v/>
      </c>
    </row>
    <row r="439">
      <c r="H439" s="5">
        <f>F439*G439</f>
        <v/>
      </c>
    </row>
    <row r="440">
      <c r="H440" s="5">
        <f>F440*G440</f>
        <v/>
      </c>
    </row>
    <row r="441">
      <c r="H441" s="5">
        <f>F441*G441</f>
        <v/>
      </c>
    </row>
    <row r="442">
      <c r="H442" s="5">
        <f>F442*G442</f>
        <v/>
      </c>
    </row>
    <row r="443">
      <c r="H443" s="5">
        <f>F443*G443</f>
        <v/>
      </c>
    </row>
    <row r="444">
      <c r="H444" s="5">
        <f>F444*G444</f>
        <v/>
      </c>
    </row>
    <row r="445">
      <c r="H445" s="5">
        <f>F445*G445</f>
        <v/>
      </c>
    </row>
    <row r="446">
      <c r="H446" s="5">
        <f>F446*G446</f>
        <v/>
      </c>
    </row>
    <row r="447">
      <c r="H447" s="5">
        <f>F447*G447</f>
        <v/>
      </c>
    </row>
    <row r="448">
      <c r="H448" s="5">
        <f>F448*G448</f>
        <v/>
      </c>
    </row>
    <row r="449">
      <c r="H449" s="5">
        <f>F449*G449</f>
        <v/>
      </c>
    </row>
    <row r="450">
      <c r="H450" s="5">
        <f>F450*G450</f>
        <v/>
      </c>
    </row>
    <row r="451">
      <c r="H451" s="5">
        <f>F451*G451</f>
        <v/>
      </c>
    </row>
    <row r="452">
      <c r="H452" s="5">
        <f>F452*G452</f>
        <v/>
      </c>
    </row>
    <row r="453">
      <c r="H453" s="5">
        <f>F453*G453</f>
        <v/>
      </c>
    </row>
    <row r="454">
      <c r="H454" s="5">
        <f>F454*G454</f>
        <v/>
      </c>
    </row>
    <row r="455">
      <c r="H455" s="5">
        <f>F455*G455</f>
        <v/>
      </c>
    </row>
    <row r="456">
      <c r="H456" s="5">
        <f>F456*G456</f>
        <v/>
      </c>
    </row>
    <row r="457">
      <c r="H457" s="5">
        <f>F457*G457</f>
        <v/>
      </c>
    </row>
    <row r="458">
      <c r="H458" s="5">
        <f>F458*G458</f>
        <v/>
      </c>
    </row>
    <row r="459">
      <c r="H459" s="5">
        <f>F459*G459</f>
        <v/>
      </c>
    </row>
    <row r="460">
      <c r="H460" s="5">
        <f>F460*G460</f>
        <v/>
      </c>
    </row>
    <row r="461">
      <c r="H461" s="5">
        <f>F461*G461</f>
        <v/>
      </c>
    </row>
    <row r="462">
      <c r="H462" s="5">
        <f>F462*G462</f>
        <v/>
      </c>
    </row>
    <row r="463">
      <c r="H463" s="5">
        <f>F463*G463</f>
        <v/>
      </c>
    </row>
    <row r="464">
      <c r="H464" s="5">
        <f>F464*G464</f>
        <v/>
      </c>
    </row>
    <row r="465">
      <c r="H465" s="5">
        <f>F465*G465</f>
        <v/>
      </c>
    </row>
    <row r="466">
      <c r="H466" s="5">
        <f>F466*G466</f>
        <v/>
      </c>
    </row>
    <row r="467">
      <c r="H467" s="5">
        <f>F467*G467</f>
        <v/>
      </c>
    </row>
    <row r="468">
      <c r="H468" s="5">
        <f>F468*G468</f>
        <v/>
      </c>
    </row>
    <row r="469">
      <c r="H469" s="5">
        <f>F469*G469</f>
        <v/>
      </c>
    </row>
    <row r="470">
      <c r="H470" s="5">
        <f>F470*G470</f>
        <v/>
      </c>
    </row>
    <row r="471">
      <c r="H471" s="5">
        <f>F471*G471</f>
        <v/>
      </c>
    </row>
    <row r="472">
      <c r="H472" s="5">
        <f>F472*G472</f>
        <v/>
      </c>
    </row>
    <row r="473">
      <c r="H473" s="5">
        <f>F473*G473</f>
        <v/>
      </c>
    </row>
    <row r="474">
      <c r="H474" s="5">
        <f>F474*G474</f>
        <v/>
      </c>
    </row>
    <row r="475">
      <c r="H475" s="5">
        <f>F475*G475</f>
        <v/>
      </c>
    </row>
    <row r="476">
      <c r="H476" s="5">
        <f>F476*G476</f>
        <v/>
      </c>
    </row>
    <row r="477">
      <c r="H477" s="5">
        <f>F477*G477</f>
        <v/>
      </c>
    </row>
    <row r="478">
      <c r="H478" s="5">
        <f>F478*G478</f>
        <v/>
      </c>
    </row>
    <row r="479">
      <c r="H479" s="5">
        <f>F479*G479</f>
        <v/>
      </c>
    </row>
    <row r="480">
      <c r="H480" s="5">
        <f>F480*G480</f>
        <v/>
      </c>
    </row>
    <row r="481">
      <c r="H481" s="5">
        <f>F481*G481</f>
        <v/>
      </c>
    </row>
    <row r="482">
      <c r="H482" s="5">
        <f>F482*G482</f>
        <v/>
      </c>
    </row>
    <row r="483">
      <c r="H483" s="5">
        <f>F483*G483</f>
        <v/>
      </c>
    </row>
    <row r="484">
      <c r="H484" s="5">
        <f>F484*G484</f>
        <v/>
      </c>
    </row>
    <row r="485">
      <c r="H485" s="5">
        <f>F485*G485</f>
        <v/>
      </c>
    </row>
    <row r="486">
      <c r="H486" s="5">
        <f>F486*G486</f>
        <v/>
      </c>
    </row>
    <row r="487">
      <c r="H487" s="5">
        <f>F487*G487</f>
        <v/>
      </c>
    </row>
    <row r="488">
      <c r="H488" s="5">
        <f>F488*G488</f>
        <v/>
      </c>
    </row>
    <row r="489">
      <c r="H489" s="5">
        <f>F489*G489</f>
        <v/>
      </c>
    </row>
    <row r="490">
      <c r="H490" s="5">
        <f>F490*G490</f>
        <v/>
      </c>
    </row>
    <row r="491">
      <c r="H491" s="5">
        <f>F491*G491</f>
        <v/>
      </c>
    </row>
    <row r="492">
      <c r="H492" s="5">
        <f>F492*G492</f>
        <v/>
      </c>
    </row>
    <row r="493">
      <c r="H493" s="5">
        <f>F493*G493</f>
        <v/>
      </c>
    </row>
    <row r="494">
      <c r="H494" s="5">
        <f>F494*G494</f>
        <v/>
      </c>
    </row>
    <row r="495">
      <c r="H495" s="5">
        <f>F495*G495</f>
        <v/>
      </c>
    </row>
    <row r="496">
      <c r="H496" s="5">
        <f>F496*G496</f>
        <v/>
      </c>
    </row>
    <row r="497">
      <c r="H497" s="5">
        <f>F497*G497</f>
        <v/>
      </c>
    </row>
    <row r="498">
      <c r="H498" s="5">
        <f>F498*G498</f>
        <v/>
      </c>
    </row>
    <row r="499">
      <c r="H499" s="5">
        <f>F499*G499</f>
        <v/>
      </c>
    </row>
    <row r="500">
      <c r="H500" s="5">
        <f>F500*G500</f>
        <v/>
      </c>
    </row>
    <row r="501">
      <c r="H501" s="5">
        <f>F501*G501</f>
        <v/>
      </c>
    </row>
    <row r="502">
      <c r="H502" s="5">
        <f>F502*G502</f>
        <v/>
      </c>
    </row>
    <row r="503">
      <c r="H503" s="5">
        <f>F503*G503</f>
        <v/>
      </c>
    </row>
    <row r="504">
      <c r="H504" s="5">
        <f>F504*G504</f>
        <v/>
      </c>
    </row>
    <row r="505">
      <c r="H505" s="5">
        <f>F505*G505</f>
        <v/>
      </c>
    </row>
    <row r="506">
      <c r="H506" s="5">
        <f>F506*G506</f>
        <v/>
      </c>
    </row>
    <row r="507">
      <c r="H507" s="5">
        <f>F507*G507</f>
        <v/>
      </c>
    </row>
    <row r="508">
      <c r="H508" s="5">
        <f>F508*G508</f>
        <v/>
      </c>
    </row>
    <row r="509">
      <c r="H509" s="5">
        <f>F509*G509</f>
        <v/>
      </c>
    </row>
    <row r="510">
      <c r="H510" s="5">
        <f>F510*G510</f>
        <v/>
      </c>
    </row>
    <row r="511">
      <c r="H511" s="5">
        <f>F511*G511</f>
        <v/>
      </c>
    </row>
    <row r="512">
      <c r="H512" s="5">
        <f>F512*G512</f>
        <v/>
      </c>
    </row>
    <row r="513">
      <c r="H513" s="5">
        <f>F513*G513</f>
        <v/>
      </c>
    </row>
    <row r="514">
      <c r="H514" s="5">
        <f>F514*G514</f>
        <v/>
      </c>
    </row>
    <row r="515">
      <c r="H515" s="5">
        <f>F515*G515</f>
        <v/>
      </c>
    </row>
    <row r="516">
      <c r="H516" s="5">
        <f>F516*G516</f>
        <v/>
      </c>
    </row>
    <row r="517">
      <c r="H517" s="5">
        <f>F517*G517</f>
        <v/>
      </c>
    </row>
    <row r="518">
      <c r="H518" s="5">
        <f>F518*G518</f>
        <v/>
      </c>
    </row>
    <row r="519">
      <c r="H519" s="5">
        <f>F519*G519</f>
        <v/>
      </c>
    </row>
    <row r="520">
      <c r="H520" s="5">
        <f>F520*G520</f>
        <v/>
      </c>
    </row>
    <row r="521">
      <c r="H521" s="5">
        <f>F521*G521</f>
        <v/>
      </c>
    </row>
    <row r="522">
      <c r="H522" s="5">
        <f>F522*G522</f>
        <v/>
      </c>
    </row>
    <row r="523">
      <c r="H523" s="5">
        <f>F523*G523</f>
        <v/>
      </c>
    </row>
    <row r="524">
      <c r="H524" s="5">
        <f>F524*G524</f>
        <v/>
      </c>
    </row>
    <row r="525">
      <c r="H525" s="5">
        <f>F525*G525</f>
        <v/>
      </c>
    </row>
    <row r="526">
      <c r="H526" s="5">
        <f>F526*G526</f>
        <v/>
      </c>
    </row>
    <row r="527">
      <c r="H527" s="5">
        <f>F527*G527</f>
        <v/>
      </c>
    </row>
    <row r="528">
      <c r="H528" s="5">
        <f>F528*G528</f>
        <v/>
      </c>
    </row>
    <row r="529">
      <c r="H529" s="5">
        <f>F529*G529</f>
        <v/>
      </c>
    </row>
    <row r="530">
      <c r="H530" s="5">
        <f>F530*G530</f>
        <v/>
      </c>
    </row>
    <row r="531">
      <c r="H531" s="5">
        <f>F531*G531</f>
        <v/>
      </c>
    </row>
    <row r="532">
      <c r="H532" s="5">
        <f>F532*G532</f>
        <v/>
      </c>
    </row>
    <row r="533">
      <c r="H533" s="5">
        <f>F533*G533</f>
        <v/>
      </c>
    </row>
    <row r="534">
      <c r="H534" s="5">
        <f>F534*G534</f>
        <v/>
      </c>
    </row>
    <row r="535">
      <c r="H535" s="5">
        <f>F535*G535</f>
        <v/>
      </c>
    </row>
    <row r="536">
      <c r="H536" s="5">
        <f>F536*G536</f>
        <v/>
      </c>
    </row>
    <row r="537">
      <c r="H537" s="5">
        <f>F537*G537</f>
        <v/>
      </c>
    </row>
    <row r="538">
      <c r="H538" s="5">
        <f>F538*G538</f>
        <v/>
      </c>
    </row>
    <row r="539">
      <c r="H539" s="5">
        <f>F539*G539</f>
        <v/>
      </c>
    </row>
    <row r="540">
      <c r="H540" s="5">
        <f>F540*G540</f>
        <v/>
      </c>
    </row>
    <row r="541">
      <c r="H541" s="5">
        <f>F541*G541</f>
        <v/>
      </c>
    </row>
    <row r="542">
      <c r="H542" s="5">
        <f>F542*G542</f>
        <v/>
      </c>
    </row>
    <row r="543">
      <c r="H543" s="5">
        <f>F543*G543</f>
        <v/>
      </c>
    </row>
    <row r="544">
      <c r="H544" s="5">
        <f>F544*G544</f>
        <v/>
      </c>
    </row>
    <row r="545">
      <c r="H545" s="5">
        <f>F545*G545</f>
        <v/>
      </c>
    </row>
    <row r="546">
      <c r="H546" s="5">
        <f>F546*G546</f>
        <v/>
      </c>
    </row>
    <row r="547">
      <c r="H547" s="5">
        <f>F547*G547</f>
        <v/>
      </c>
    </row>
    <row r="548">
      <c r="H548" s="5">
        <f>F548*G548</f>
        <v/>
      </c>
    </row>
    <row r="549">
      <c r="H549" s="5">
        <f>F549*G549</f>
        <v/>
      </c>
    </row>
    <row r="550">
      <c r="H550" s="5">
        <f>F550*G550</f>
        <v/>
      </c>
    </row>
    <row r="551">
      <c r="H551" s="5">
        <f>F551*G551</f>
        <v/>
      </c>
    </row>
    <row r="552">
      <c r="H552" s="5">
        <f>F552*G552</f>
        <v/>
      </c>
    </row>
    <row r="553">
      <c r="H553" s="5">
        <f>F553*G553</f>
        <v/>
      </c>
    </row>
    <row r="554">
      <c r="H554" s="5">
        <f>F554*G554</f>
        <v/>
      </c>
    </row>
    <row r="555">
      <c r="H555" s="5">
        <f>F555*G555</f>
        <v/>
      </c>
    </row>
    <row r="556">
      <c r="H556" s="5">
        <f>F556*G556</f>
        <v/>
      </c>
    </row>
    <row r="557">
      <c r="H557" s="5">
        <f>F557*G557</f>
        <v/>
      </c>
    </row>
    <row r="558">
      <c r="H558" s="5">
        <f>F558*G558</f>
        <v/>
      </c>
    </row>
    <row r="559">
      <c r="H559" s="5">
        <f>F559*G559</f>
        <v/>
      </c>
    </row>
    <row r="560">
      <c r="H560" s="5">
        <f>F560*G560</f>
        <v/>
      </c>
    </row>
    <row r="561">
      <c r="H561" s="5">
        <f>F561*G561</f>
        <v/>
      </c>
    </row>
    <row r="562">
      <c r="H562" s="5">
        <f>F562*G562</f>
        <v/>
      </c>
    </row>
    <row r="563">
      <c r="H563" s="5">
        <f>F563*G563</f>
        <v/>
      </c>
    </row>
    <row r="564">
      <c r="H564" s="5">
        <f>F564*G564</f>
        <v/>
      </c>
    </row>
    <row r="565">
      <c r="H565" s="5">
        <f>F565*G565</f>
        <v/>
      </c>
    </row>
    <row r="566">
      <c r="H566" s="5">
        <f>F566*G566</f>
        <v/>
      </c>
    </row>
    <row r="567">
      <c r="H567" s="5">
        <f>F567*G567</f>
        <v/>
      </c>
    </row>
    <row r="568">
      <c r="H568" s="5">
        <f>F568*G568</f>
        <v/>
      </c>
    </row>
    <row r="569">
      <c r="H569" s="5">
        <f>F569*G569</f>
        <v/>
      </c>
    </row>
    <row r="570">
      <c r="H570" s="5">
        <f>F570*G570</f>
        <v/>
      </c>
    </row>
    <row r="571">
      <c r="H571" s="5">
        <f>F571*G571</f>
        <v/>
      </c>
    </row>
    <row r="572">
      <c r="H572" s="5">
        <f>F572*G572</f>
        <v/>
      </c>
    </row>
    <row r="573">
      <c r="H573" s="5">
        <f>F573*G573</f>
        <v/>
      </c>
    </row>
    <row r="574">
      <c r="H574" s="5">
        <f>F574*G574</f>
        <v/>
      </c>
    </row>
    <row r="575">
      <c r="H575" s="5">
        <f>F575*G575</f>
        <v/>
      </c>
    </row>
    <row r="576">
      <c r="H576" s="5">
        <f>F576*G576</f>
        <v/>
      </c>
    </row>
    <row r="577">
      <c r="H577" s="5">
        <f>F577*G577</f>
        <v/>
      </c>
    </row>
    <row r="578">
      <c r="H578" s="5">
        <f>F578*G578</f>
        <v/>
      </c>
    </row>
    <row r="579">
      <c r="H579" s="5">
        <f>F579*G579</f>
        <v/>
      </c>
    </row>
    <row r="580">
      <c r="H580" s="5">
        <f>F580*G580</f>
        <v/>
      </c>
    </row>
    <row r="581">
      <c r="H581" s="5">
        <f>F581*G581</f>
        <v/>
      </c>
    </row>
    <row r="582">
      <c r="H582" s="5">
        <f>F582*G582</f>
        <v/>
      </c>
    </row>
    <row r="583">
      <c r="H583" s="5">
        <f>F583*G583</f>
        <v/>
      </c>
    </row>
    <row r="584">
      <c r="H584" s="5">
        <f>F584*G584</f>
        <v/>
      </c>
    </row>
    <row r="585">
      <c r="H585" s="5">
        <f>F585*G585</f>
        <v/>
      </c>
    </row>
    <row r="586">
      <c r="H586" s="5">
        <f>F586*G586</f>
        <v/>
      </c>
    </row>
    <row r="587">
      <c r="H587" s="5">
        <f>F587*G587</f>
        <v/>
      </c>
    </row>
    <row r="588">
      <c r="H588" s="5">
        <f>F588*G588</f>
        <v/>
      </c>
    </row>
    <row r="589">
      <c r="H589" s="5">
        <f>F589*G589</f>
        <v/>
      </c>
    </row>
    <row r="590">
      <c r="H590" s="5">
        <f>F590*G590</f>
        <v/>
      </c>
    </row>
    <row r="591">
      <c r="H591" s="5">
        <f>F591*G591</f>
        <v/>
      </c>
    </row>
    <row r="592">
      <c r="H592" s="5">
        <f>F592*G592</f>
        <v/>
      </c>
    </row>
    <row r="593">
      <c r="H593" s="5">
        <f>F593*G593</f>
        <v/>
      </c>
    </row>
    <row r="594">
      <c r="H594" s="5">
        <f>F594*G594</f>
        <v/>
      </c>
    </row>
    <row r="595">
      <c r="H595" s="5">
        <f>F595*G595</f>
        <v/>
      </c>
    </row>
    <row r="596">
      <c r="H596" s="5">
        <f>F596*G596</f>
        <v/>
      </c>
    </row>
    <row r="597">
      <c r="H597" s="5">
        <f>F597*G597</f>
        <v/>
      </c>
    </row>
    <row r="598">
      <c r="H598" s="5">
        <f>F598*G598</f>
        <v/>
      </c>
    </row>
    <row r="599">
      <c r="H599" s="5">
        <f>F599*G599</f>
        <v/>
      </c>
    </row>
    <row r="600">
      <c r="H600" s="5">
        <f>F600*G600</f>
        <v/>
      </c>
    </row>
    <row r="601">
      <c r="H601" s="5">
        <f>F601*G601</f>
        <v/>
      </c>
    </row>
    <row r="602">
      <c r="H602" s="5">
        <f>F602*G602</f>
        <v/>
      </c>
    </row>
    <row r="603">
      <c r="H603" s="5">
        <f>F603*G603</f>
        <v/>
      </c>
    </row>
    <row r="604">
      <c r="H604" s="5">
        <f>F604*G604</f>
        <v/>
      </c>
    </row>
    <row r="605">
      <c r="H605" s="5">
        <f>F605*G605</f>
        <v/>
      </c>
    </row>
    <row r="606">
      <c r="H606" s="5">
        <f>F606*G606</f>
        <v/>
      </c>
    </row>
    <row r="607">
      <c r="H607" s="5">
        <f>F607*G607</f>
        <v/>
      </c>
    </row>
    <row r="608">
      <c r="H608" s="5">
        <f>F608*G608</f>
        <v/>
      </c>
    </row>
    <row r="609">
      <c r="H609" s="5">
        <f>F609*G609</f>
        <v/>
      </c>
    </row>
    <row r="610">
      <c r="H610" s="5">
        <f>F610*G610</f>
        <v/>
      </c>
    </row>
    <row r="611">
      <c r="H611" s="5">
        <f>F611*G611</f>
        <v/>
      </c>
    </row>
    <row r="612">
      <c r="H612" s="5">
        <f>F612*G612</f>
        <v/>
      </c>
    </row>
    <row r="613">
      <c r="H613" s="5">
        <f>F613*G613</f>
        <v/>
      </c>
    </row>
    <row r="614">
      <c r="H614" s="5">
        <f>F614*G614</f>
        <v/>
      </c>
    </row>
    <row r="615">
      <c r="H615" s="5">
        <f>F615*G615</f>
        <v/>
      </c>
    </row>
    <row r="616">
      <c r="H616" s="5">
        <f>F616*G616</f>
        <v/>
      </c>
    </row>
    <row r="617">
      <c r="H617" s="5">
        <f>F617*G617</f>
        <v/>
      </c>
    </row>
    <row r="618">
      <c r="H618" s="5">
        <f>F618*G618</f>
        <v/>
      </c>
    </row>
    <row r="619">
      <c r="H619" s="5">
        <f>F619*G619</f>
        <v/>
      </c>
    </row>
    <row r="620">
      <c r="H620" s="5">
        <f>F620*G620</f>
        <v/>
      </c>
    </row>
    <row r="621">
      <c r="H621" s="5">
        <f>F621*G621</f>
        <v/>
      </c>
    </row>
    <row r="622">
      <c r="H622" s="5">
        <f>F622*G622</f>
        <v/>
      </c>
    </row>
    <row r="623">
      <c r="H623" s="5">
        <f>F623*G623</f>
        <v/>
      </c>
    </row>
    <row r="624">
      <c r="H624" s="5">
        <f>F624*G624</f>
        <v/>
      </c>
    </row>
    <row r="625">
      <c r="H625" s="5">
        <f>F625*G625</f>
        <v/>
      </c>
    </row>
    <row r="626">
      <c r="H626" s="5">
        <f>F626*G626</f>
        <v/>
      </c>
    </row>
    <row r="627">
      <c r="H627" s="5">
        <f>F627*G627</f>
        <v/>
      </c>
    </row>
    <row r="628">
      <c r="H628" s="5">
        <f>F628*G628</f>
        <v/>
      </c>
    </row>
    <row r="629">
      <c r="H629" s="5">
        <f>F629*G629</f>
        <v/>
      </c>
    </row>
    <row r="630">
      <c r="H630" s="5">
        <f>F630*G630</f>
        <v/>
      </c>
    </row>
    <row r="631">
      <c r="H631" s="5">
        <f>F631*G631</f>
        <v/>
      </c>
    </row>
    <row r="632">
      <c r="H632" s="5">
        <f>F632*G632</f>
        <v/>
      </c>
    </row>
    <row r="633">
      <c r="H633" s="5">
        <f>F633*G633</f>
        <v/>
      </c>
    </row>
    <row r="634">
      <c r="H634" s="5">
        <f>F634*G634</f>
        <v/>
      </c>
    </row>
    <row r="635">
      <c r="H635" s="5">
        <f>F635*G635</f>
        <v/>
      </c>
    </row>
    <row r="636">
      <c r="H636" s="5">
        <f>F636*G636</f>
        <v/>
      </c>
    </row>
    <row r="637">
      <c r="H637" s="5">
        <f>F637*G637</f>
        <v/>
      </c>
    </row>
    <row r="638">
      <c r="H638" s="5">
        <f>F638*G638</f>
        <v/>
      </c>
    </row>
    <row r="639">
      <c r="H639" s="5">
        <f>F639*G639</f>
        <v/>
      </c>
    </row>
    <row r="640">
      <c r="H640" s="5">
        <f>F640*G640</f>
        <v/>
      </c>
    </row>
    <row r="641">
      <c r="H641" s="5">
        <f>F641*G641</f>
        <v/>
      </c>
    </row>
    <row r="642">
      <c r="H642" s="5">
        <f>F642*G642</f>
        <v/>
      </c>
    </row>
    <row r="643">
      <c r="H643" s="5">
        <f>F643*G643</f>
        <v/>
      </c>
    </row>
    <row r="644">
      <c r="H644" s="5">
        <f>F644*G644</f>
        <v/>
      </c>
    </row>
    <row r="645">
      <c r="H645" s="5">
        <f>F645*G645</f>
        <v/>
      </c>
    </row>
    <row r="646">
      <c r="H646" s="5">
        <f>F646*G646</f>
        <v/>
      </c>
    </row>
    <row r="647">
      <c r="H647" s="5">
        <f>F647*G647</f>
        <v/>
      </c>
    </row>
    <row r="648">
      <c r="H648" s="5">
        <f>F648*G648</f>
        <v/>
      </c>
    </row>
    <row r="649">
      <c r="H649" s="5">
        <f>F649*G649</f>
        <v/>
      </c>
    </row>
    <row r="650">
      <c r="H650" s="5">
        <f>F650*G650</f>
        <v/>
      </c>
    </row>
    <row r="651">
      <c r="H651" s="5">
        <f>F651*G651</f>
        <v/>
      </c>
    </row>
    <row r="652">
      <c r="H652" s="5">
        <f>F652*G652</f>
        <v/>
      </c>
    </row>
    <row r="653">
      <c r="H653" s="5">
        <f>F653*G653</f>
        <v/>
      </c>
    </row>
    <row r="654">
      <c r="H654" s="5">
        <f>F654*G654</f>
        <v/>
      </c>
    </row>
    <row r="655">
      <c r="H655" s="5">
        <f>F655*G655</f>
        <v/>
      </c>
    </row>
    <row r="656">
      <c r="H656" s="5">
        <f>F656*G656</f>
        <v/>
      </c>
    </row>
    <row r="657">
      <c r="H657" s="5">
        <f>F657*G657</f>
        <v/>
      </c>
    </row>
    <row r="658">
      <c r="H658" s="5">
        <f>F658*G658</f>
        <v/>
      </c>
    </row>
    <row r="659">
      <c r="H659" s="5">
        <f>F659*G659</f>
        <v/>
      </c>
    </row>
    <row r="660">
      <c r="H660" s="5">
        <f>F660*G660</f>
        <v/>
      </c>
    </row>
    <row r="661">
      <c r="H661" s="5">
        <f>F661*G661</f>
        <v/>
      </c>
    </row>
    <row r="662">
      <c r="H662" s="5">
        <f>F662*G662</f>
        <v/>
      </c>
    </row>
    <row r="663">
      <c r="H663" s="5">
        <f>F663*G663</f>
        <v/>
      </c>
    </row>
    <row r="664">
      <c r="H664" s="5">
        <f>F664*G664</f>
        <v/>
      </c>
    </row>
    <row r="665">
      <c r="H665" s="5">
        <f>F665*G665</f>
        <v/>
      </c>
    </row>
    <row r="666">
      <c r="H666" s="5">
        <f>F666*G666</f>
        <v/>
      </c>
    </row>
    <row r="667">
      <c r="H667" s="5">
        <f>F667*G667</f>
        <v/>
      </c>
    </row>
    <row r="668">
      <c r="H668" s="5">
        <f>F668*G668</f>
        <v/>
      </c>
    </row>
    <row r="669">
      <c r="H669" s="5">
        <f>F669*G669</f>
        <v/>
      </c>
    </row>
    <row r="670">
      <c r="H670" s="5">
        <f>F670*G670</f>
        <v/>
      </c>
    </row>
    <row r="671">
      <c r="H671" s="5">
        <f>F671*G671</f>
        <v/>
      </c>
    </row>
    <row r="672">
      <c r="H672" s="5">
        <f>F672*G672</f>
        <v/>
      </c>
    </row>
    <row r="673">
      <c r="H673" s="5">
        <f>F673*G673</f>
        <v/>
      </c>
    </row>
    <row r="674">
      <c r="H674" s="5">
        <f>F674*G674</f>
        <v/>
      </c>
    </row>
    <row r="675">
      <c r="H675" s="5">
        <f>F675*G675</f>
        <v/>
      </c>
    </row>
    <row r="676">
      <c r="H676" s="5">
        <f>F676*G676</f>
        <v/>
      </c>
    </row>
    <row r="677">
      <c r="H677" s="5">
        <f>F677*G677</f>
        <v/>
      </c>
    </row>
    <row r="678">
      <c r="H678" s="5">
        <f>F678*G678</f>
        <v/>
      </c>
    </row>
    <row r="679">
      <c r="H679" s="5">
        <f>F679*G679</f>
        <v/>
      </c>
    </row>
    <row r="680">
      <c r="H680" s="5">
        <f>F680*G680</f>
        <v/>
      </c>
    </row>
    <row r="681">
      <c r="H681" s="5">
        <f>F681*G681</f>
        <v/>
      </c>
    </row>
    <row r="682">
      <c r="H682" s="5">
        <f>F682*G682</f>
        <v/>
      </c>
    </row>
    <row r="683">
      <c r="H683" s="5">
        <f>F683*G683</f>
        <v/>
      </c>
    </row>
    <row r="684">
      <c r="H684" s="5">
        <f>F684*G684</f>
        <v/>
      </c>
    </row>
    <row r="685">
      <c r="H685" s="5">
        <f>F685*G685</f>
        <v/>
      </c>
    </row>
    <row r="686">
      <c r="H686" s="5">
        <f>F686*G686</f>
        <v/>
      </c>
    </row>
    <row r="687">
      <c r="H687" s="5">
        <f>F687*G687</f>
        <v/>
      </c>
    </row>
    <row r="688">
      <c r="H688" s="5">
        <f>F688*G688</f>
        <v/>
      </c>
    </row>
    <row r="689">
      <c r="H689" s="5">
        <f>F689*G689</f>
        <v/>
      </c>
    </row>
    <row r="690">
      <c r="H690" s="5">
        <f>F690*G690</f>
        <v/>
      </c>
    </row>
    <row r="691">
      <c r="H691" s="5">
        <f>F691*G691</f>
        <v/>
      </c>
    </row>
    <row r="692">
      <c r="H692" s="5">
        <f>F692*G692</f>
        <v/>
      </c>
    </row>
    <row r="693">
      <c r="H693" s="5">
        <f>F693*G693</f>
        <v/>
      </c>
    </row>
    <row r="694">
      <c r="H694" s="5">
        <f>F694*G694</f>
        <v/>
      </c>
    </row>
    <row r="695">
      <c r="H695" s="5">
        <f>F695*G695</f>
        <v/>
      </c>
    </row>
    <row r="696">
      <c r="H696" s="5">
        <f>F696*G696</f>
        <v/>
      </c>
    </row>
    <row r="697">
      <c r="H697" s="5">
        <f>F697*G697</f>
        <v/>
      </c>
    </row>
    <row r="698">
      <c r="H698" s="5">
        <f>F698*G698</f>
        <v/>
      </c>
    </row>
    <row r="699">
      <c r="H699" s="5">
        <f>F699*G699</f>
        <v/>
      </c>
    </row>
    <row r="700">
      <c r="H700" s="5">
        <f>F700*G700</f>
        <v/>
      </c>
    </row>
    <row r="701">
      <c r="H701" s="5">
        <f>F701*G701</f>
        <v/>
      </c>
    </row>
    <row r="702">
      <c r="H702" s="5">
        <f>F702*G702</f>
        <v/>
      </c>
    </row>
    <row r="703">
      <c r="H703" s="5">
        <f>F703*G703</f>
        <v/>
      </c>
    </row>
    <row r="704">
      <c r="H704" s="5">
        <f>F704*G704</f>
        <v/>
      </c>
    </row>
    <row r="705">
      <c r="H705" s="5">
        <f>F705*G705</f>
        <v/>
      </c>
    </row>
    <row r="706">
      <c r="H706" s="5">
        <f>F706*G706</f>
        <v/>
      </c>
    </row>
    <row r="707">
      <c r="H707" s="5">
        <f>F707*G707</f>
        <v/>
      </c>
    </row>
    <row r="708">
      <c r="H708" s="5">
        <f>F708*G708</f>
        <v/>
      </c>
    </row>
    <row r="709">
      <c r="H709" s="5">
        <f>F709*G709</f>
        <v/>
      </c>
    </row>
    <row r="710">
      <c r="H710" s="5">
        <f>F710*G710</f>
        <v/>
      </c>
    </row>
    <row r="711">
      <c r="H711" s="5">
        <f>F711*G711</f>
        <v/>
      </c>
    </row>
    <row r="712">
      <c r="H712" s="5">
        <f>F712*G712</f>
        <v/>
      </c>
    </row>
    <row r="713">
      <c r="H713" s="5">
        <f>F713*G713</f>
        <v/>
      </c>
    </row>
    <row r="714">
      <c r="H714" s="5">
        <f>F714*G714</f>
        <v/>
      </c>
    </row>
    <row r="715">
      <c r="H715" s="5">
        <f>F715*G715</f>
        <v/>
      </c>
    </row>
    <row r="716">
      <c r="H716" s="5">
        <f>F716*G716</f>
        <v/>
      </c>
    </row>
    <row r="717">
      <c r="H717" s="5">
        <f>F717*G717</f>
        <v/>
      </c>
    </row>
    <row r="718">
      <c r="H718" s="5">
        <f>F718*G718</f>
        <v/>
      </c>
    </row>
    <row r="719">
      <c r="H719" s="5">
        <f>F719*G719</f>
        <v/>
      </c>
    </row>
    <row r="720">
      <c r="H720" s="5">
        <f>F720*G720</f>
        <v/>
      </c>
    </row>
    <row r="721">
      <c r="H721" s="5">
        <f>F721*G721</f>
        <v/>
      </c>
    </row>
    <row r="722">
      <c r="H722" s="5">
        <f>F722*G722</f>
        <v/>
      </c>
    </row>
    <row r="723">
      <c r="H723" s="5">
        <f>F723*G723</f>
        <v/>
      </c>
    </row>
    <row r="724">
      <c r="H724" s="5">
        <f>F724*G724</f>
        <v/>
      </c>
    </row>
    <row r="725">
      <c r="H725" s="5">
        <f>F725*G725</f>
        <v/>
      </c>
    </row>
    <row r="726">
      <c r="H726" s="5">
        <f>F726*G726</f>
        <v/>
      </c>
    </row>
    <row r="727">
      <c r="H727" s="5">
        <f>F727*G727</f>
        <v/>
      </c>
    </row>
    <row r="728">
      <c r="H728" s="5">
        <f>F728*G728</f>
        <v/>
      </c>
    </row>
    <row r="729">
      <c r="H729" s="5">
        <f>F729*G729</f>
        <v/>
      </c>
    </row>
    <row r="730">
      <c r="H730" s="5">
        <f>F730*G730</f>
        <v/>
      </c>
    </row>
    <row r="731">
      <c r="H731" s="5">
        <f>F731*G731</f>
        <v/>
      </c>
    </row>
    <row r="732">
      <c r="H732" s="5">
        <f>F732*G732</f>
        <v/>
      </c>
    </row>
    <row r="733">
      <c r="H733" s="5">
        <f>F733*G733</f>
        <v/>
      </c>
    </row>
    <row r="734">
      <c r="H734" s="5">
        <f>F734*G734</f>
        <v/>
      </c>
    </row>
    <row r="735">
      <c r="H735" s="5">
        <f>F735*G735</f>
        <v/>
      </c>
    </row>
    <row r="736">
      <c r="H736" s="5">
        <f>F736*G736</f>
        <v/>
      </c>
    </row>
    <row r="737">
      <c r="H737" s="5">
        <f>F737*G737</f>
        <v/>
      </c>
    </row>
    <row r="738">
      <c r="H738" s="5">
        <f>F738*G738</f>
        <v/>
      </c>
    </row>
    <row r="739">
      <c r="H739" s="5">
        <f>F739*G739</f>
        <v/>
      </c>
    </row>
    <row r="740">
      <c r="H740" s="5">
        <f>F740*G740</f>
        <v/>
      </c>
    </row>
    <row r="741">
      <c r="H741" s="5">
        <f>F741*G741</f>
        <v/>
      </c>
    </row>
    <row r="742">
      <c r="H742" s="5">
        <f>F742*G742</f>
        <v/>
      </c>
    </row>
    <row r="743">
      <c r="H743" s="5">
        <f>F743*G743</f>
        <v/>
      </c>
    </row>
    <row r="744">
      <c r="H744" s="5">
        <f>F744*G744</f>
        <v/>
      </c>
    </row>
    <row r="745">
      <c r="H745" s="5">
        <f>F745*G745</f>
        <v/>
      </c>
    </row>
    <row r="746">
      <c r="H746" s="5">
        <f>F746*G746</f>
        <v/>
      </c>
    </row>
    <row r="747">
      <c r="H747" s="5">
        <f>F747*G747</f>
        <v/>
      </c>
    </row>
    <row r="748">
      <c r="H748" s="5">
        <f>F748*G748</f>
        <v/>
      </c>
    </row>
    <row r="749">
      <c r="H749" s="5">
        <f>F749*G749</f>
        <v/>
      </c>
    </row>
    <row r="750">
      <c r="H750" s="5">
        <f>F750*G750</f>
        <v/>
      </c>
    </row>
    <row r="751">
      <c r="H751" s="5">
        <f>F751*G751</f>
        <v/>
      </c>
    </row>
    <row r="752">
      <c r="H752" s="5">
        <f>F752*G752</f>
        <v/>
      </c>
    </row>
    <row r="753">
      <c r="H753" s="5">
        <f>F753*G753</f>
        <v/>
      </c>
    </row>
    <row r="754">
      <c r="H754" s="5">
        <f>F754*G754</f>
        <v/>
      </c>
    </row>
    <row r="755">
      <c r="H755" s="5">
        <f>F755*G755</f>
        <v/>
      </c>
    </row>
    <row r="756">
      <c r="H756" s="5">
        <f>F756*G756</f>
        <v/>
      </c>
    </row>
    <row r="757">
      <c r="H757" s="5">
        <f>F757*G757</f>
        <v/>
      </c>
    </row>
    <row r="758">
      <c r="H758" s="5">
        <f>F758*G758</f>
        <v/>
      </c>
    </row>
    <row r="759">
      <c r="H759" s="5">
        <f>F759*G759</f>
        <v/>
      </c>
    </row>
    <row r="760">
      <c r="H760" s="5">
        <f>F760*G760</f>
        <v/>
      </c>
    </row>
    <row r="761">
      <c r="H761" s="5">
        <f>F761*G761</f>
        <v/>
      </c>
    </row>
    <row r="762">
      <c r="H762" s="5">
        <f>F762*G762</f>
        <v/>
      </c>
    </row>
    <row r="763">
      <c r="H763" s="5">
        <f>F763*G763</f>
        <v/>
      </c>
    </row>
    <row r="764">
      <c r="H764" s="5">
        <f>F764*G764</f>
        <v/>
      </c>
    </row>
    <row r="765">
      <c r="H765" s="5">
        <f>F765*G765</f>
        <v/>
      </c>
    </row>
    <row r="766">
      <c r="H766" s="5">
        <f>F766*G766</f>
        <v/>
      </c>
    </row>
    <row r="767">
      <c r="H767" s="5">
        <f>F767*G767</f>
        <v/>
      </c>
    </row>
    <row r="768">
      <c r="H768" s="5">
        <f>F768*G768</f>
        <v/>
      </c>
    </row>
    <row r="769">
      <c r="H769" s="5">
        <f>F769*G769</f>
        <v/>
      </c>
    </row>
    <row r="770">
      <c r="H770" s="5">
        <f>F770*G770</f>
        <v/>
      </c>
    </row>
    <row r="771">
      <c r="H771" s="5">
        <f>F771*G771</f>
        <v/>
      </c>
    </row>
    <row r="772">
      <c r="H772" s="5">
        <f>F772*G772</f>
        <v/>
      </c>
    </row>
    <row r="773">
      <c r="H773" s="5">
        <f>F773*G773</f>
        <v/>
      </c>
    </row>
    <row r="774">
      <c r="H774" s="5">
        <f>F774*G774</f>
        <v/>
      </c>
    </row>
    <row r="775">
      <c r="H775" s="5">
        <f>F775*G775</f>
        <v/>
      </c>
    </row>
    <row r="776">
      <c r="H776" s="5">
        <f>F776*G776</f>
        <v/>
      </c>
    </row>
    <row r="777">
      <c r="H777" s="5">
        <f>F777*G777</f>
        <v/>
      </c>
    </row>
    <row r="778">
      <c r="H778" s="5">
        <f>F778*G778</f>
        <v/>
      </c>
    </row>
    <row r="779">
      <c r="H779" s="5">
        <f>F779*G779</f>
        <v/>
      </c>
    </row>
    <row r="780">
      <c r="H780" s="5">
        <f>F780*G780</f>
        <v/>
      </c>
    </row>
    <row r="781">
      <c r="H781" s="5">
        <f>F781*G781</f>
        <v/>
      </c>
    </row>
    <row r="782">
      <c r="H782" s="5">
        <f>F782*G782</f>
        <v/>
      </c>
    </row>
    <row r="783">
      <c r="H783" s="5">
        <f>F783*G783</f>
        <v/>
      </c>
    </row>
    <row r="784">
      <c r="H784" s="5">
        <f>F784*G784</f>
        <v/>
      </c>
    </row>
    <row r="785">
      <c r="H785" s="5">
        <f>F785*G785</f>
        <v/>
      </c>
    </row>
    <row r="786">
      <c r="H786" s="5">
        <f>F786*G786</f>
        <v/>
      </c>
    </row>
    <row r="787">
      <c r="H787" s="5">
        <f>F787*G787</f>
        <v/>
      </c>
    </row>
    <row r="788">
      <c r="H788" s="5">
        <f>F788*G788</f>
        <v/>
      </c>
    </row>
    <row r="789">
      <c r="H789" s="5">
        <f>F789*G789</f>
        <v/>
      </c>
    </row>
    <row r="790">
      <c r="H790" s="5">
        <f>F790*G790</f>
        <v/>
      </c>
    </row>
    <row r="791">
      <c r="H791" s="5">
        <f>F791*G791</f>
        <v/>
      </c>
    </row>
    <row r="792">
      <c r="H792" s="5">
        <f>F792*G792</f>
        <v/>
      </c>
    </row>
    <row r="793">
      <c r="H793" s="5">
        <f>F793*G793</f>
        <v/>
      </c>
    </row>
    <row r="794">
      <c r="H794" s="5">
        <f>F794*G794</f>
        <v/>
      </c>
    </row>
    <row r="795">
      <c r="H795" s="5">
        <f>F795*G795</f>
        <v/>
      </c>
    </row>
    <row r="796">
      <c r="H796" s="5">
        <f>F796*G796</f>
        <v/>
      </c>
    </row>
    <row r="797">
      <c r="H797" s="5">
        <f>F797*G797</f>
        <v/>
      </c>
    </row>
    <row r="798">
      <c r="H798" s="5">
        <f>F798*G798</f>
        <v/>
      </c>
    </row>
    <row r="799">
      <c r="H799" s="5">
        <f>F799*G799</f>
        <v/>
      </c>
    </row>
    <row r="800">
      <c r="H800" s="5">
        <f>F800*G800</f>
        <v/>
      </c>
    </row>
    <row r="801">
      <c r="H801" s="5">
        <f>F801*G801</f>
        <v/>
      </c>
    </row>
    <row r="802">
      <c r="H802" s="5">
        <f>F802*G802</f>
        <v/>
      </c>
    </row>
    <row r="803">
      <c r="H803" s="5">
        <f>F803*G803</f>
        <v/>
      </c>
    </row>
    <row r="804">
      <c r="H804" s="5">
        <f>F804*G804</f>
        <v/>
      </c>
    </row>
    <row r="805">
      <c r="H805" s="5">
        <f>F805*G805</f>
        <v/>
      </c>
    </row>
    <row r="806">
      <c r="H806" s="5">
        <f>F806*G806</f>
        <v/>
      </c>
    </row>
    <row r="807">
      <c r="H807" s="5">
        <f>F807*G807</f>
        <v/>
      </c>
    </row>
    <row r="808">
      <c r="H808" s="5">
        <f>F808*G808</f>
        <v/>
      </c>
    </row>
    <row r="809">
      <c r="H809" s="5">
        <f>F809*G809</f>
        <v/>
      </c>
    </row>
    <row r="810">
      <c r="H810" s="5">
        <f>F810*G810</f>
        <v/>
      </c>
    </row>
    <row r="811">
      <c r="H811" s="5">
        <f>F811*G811</f>
        <v/>
      </c>
    </row>
    <row r="812">
      <c r="H812" s="5">
        <f>F812*G812</f>
        <v/>
      </c>
    </row>
    <row r="813">
      <c r="H813" s="5">
        <f>F813*G813</f>
        <v/>
      </c>
    </row>
    <row r="814">
      <c r="H814" s="5">
        <f>F814*G814</f>
        <v/>
      </c>
    </row>
    <row r="815">
      <c r="H815" s="5">
        <f>F815*G815</f>
        <v/>
      </c>
    </row>
    <row r="816">
      <c r="H816" s="5">
        <f>F816*G816</f>
        <v/>
      </c>
    </row>
    <row r="817">
      <c r="H817" s="5">
        <f>F817*G817</f>
        <v/>
      </c>
    </row>
    <row r="818">
      <c r="H818" s="5">
        <f>F818*G818</f>
        <v/>
      </c>
    </row>
    <row r="819">
      <c r="H819" s="5">
        <f>F819*G819</f>
        <v/>
      </c>
    </row>
    <row r="820">
      <c r="H820" s="5">
        <f>F820*G820</f>
        <v/>
      </c>
    </row>
    <row r="821">
      <c r="H821" s="5">
        <f>F821*G821</f>
        <v/>
      </c>
    </row>
    <row r="822">
      <c r="H822" s="5">
        <f>F822*G822</f>
        <v/>
      </c>
    </row>
    <row r="823">
      <c r="H823" s="5">
        <f>F823*G823</f>
        <v/>
      </c>
    </row>
    <row r="824">
      <c r="H824" s="5">
        <f>F824*G824</f>
        <v/>
      </c>
    </row>
    <row r="825">
      <c r="H825" s="5">
        <f>F825*G825</f>
        <v/>
      </c>
    </row>
    <row r="826">
      <c r="H826" s="5">
        <f>F826*G826</f>
        <v/>
      </c>
    </row>
    <row r="827">
      <c r="H827" s="5">
        <f>F827*G827</f>
        <v/>
      </c>
    </row>
    <row r="828">
      <c r="H828" s="5">
        <f>F828*G828</f>
        <v/>
      </c>
    </row>
    <row r="829">
      <c r="H829" s="5">
        <f>F829*G829</f>
        <v/>
      </c>
    </row>
    <row r="830">
      <c r="H830" s="5">
        <f>F830*G830</f>
        <v/>
      </c>
    </row>
    <row r="831">
      <c r="H831" s="5">
        <f>F831*G831</f>
        <v/>
      </c>
    </row>
    <row r="832">
      <c r="H832" s="5">
        <f>F832*G832</f>
        <v/>
      </c>
    </row>
    <row r="833">
      <c r="H833" s="5">
        <f>F833*G833</f>
        <v/>
      </c>
    </row>
    <row r="834">
      <c r="H834" s="5">
        <f>F834*G834</f>
        <v/>
      </c>
    </row>
    <row r="835">
      <c r="H835" s="5">
        <f>F835*G835</f>
        <v/>
      </c>
    </row>
    <row r="836">
      <c r="H836" s="5">
        <f>F836*G836</f>
        <v/>
      </c>
    </row>
    <row r="837">
      <c r="H837" s="5">
        <f>F837*G837</f>
        <v/>
      </c>
    </row>
    <row r="838">
      <c r="H838" s="5">
        <f>F838*G838</f>
        <v/>
      </c>
    </row>
    <row r="839">
      <c r="H839" s="5">
        <f>F839*G839</f>
        <v/>
      </c>
    </row>
    <row r="840">
      <c r="H840" s="5">
        <f>F840*G840</f>
        <v/>
      </c>
    </row>
    <row r="841">
      <c r="H841" s="5">
        <f>F841*G841</f>
        <v/>
      </c>
    </row>
    <row r="842">
      <c r="H842" s="5">
        <f>F842*G842</f>
        <v/>
      </c>
    </row>
    <row r="843">
      <c r="H843" s="5">
        <f>F843*G843</f>
        <v/>
      </c>
    </row>
    <row r="844">
      <c r="H844" s="5">
        <f>F844*G844</f>
        <v/>
      </c>
    </row>
    <row r="845">
      <c r="H845" s="5">
        <f>F845*G845</f>
        <v/>
      </c>
    </row>
    <row r="846">
      <c r="H846" s="5">
        <f>F846*G846</f>
        <v/>
      </c>
    </row>
    <row r="847">
      <c r="H847" s="5">
        <f>F847*G847</f>
        <v/>
      </c>
    </row>
    <row r="848">
      <c r="H848" s="5">
        <f>F848*G848</f>
        <v/>
      </c>
    </row>
    <row r="849">
      <c r="H849" s="5">
        <f>F849*G849</f>
        <v/>
      </c>
    </row>
    <row r="850">
      <c r="H850" s="5">
        <f>F850*G850</f>
        <v/>
      </c>
    </row>
    <row r="851">
      <c r="H851" s="5">
        <f>F851*G851</f>
        <v/>
      </c>
    </row>
    <row r="852">
      <c r="H852" s="5">
        <f>F852*G852</f>
        <v/>
      </c>
    </row>
    <row r="853">
      <c r="H853" s="5">
        <f>F853*G853</f>
        <v/>
      </c>
    </row>
    <row r="854">
      <c r="H854" s="5">
        <f>F854*G854</f>
        <v/>
      </c>
    </row>
    <row r="855">
      <c r="H855" s="5">
        <f>F855*G855</f>
        <v/>
      </c>
    </row>
    <row r="856">
      <c r="H856" s="5">
        <f>F856*G856</f>
        <v/>
      </c>
    </row>
    <row r="857">
      <c r="H857" s="5">
        <f>F857*G857</f>
        <v/>
      </c>
    </row>
    <row r="858">
      <c r="H858" s="5">
        <f>F858*G858</f>
        <v/>
      </c>
    </row>
    <row r="859">
      <c r="H859" s="5">
        <f>F859*G859</f>
        <v/>
      </c>
    </row>
    <row r="860">
      <c r="H860" s="5">
        <f>F860*G860</f>
        <v/>
      </c>
    </row>
    <row r="861">
      <c r="H861" s="5">
        <f>F861*G861</f>
        <v/>
      </c>
    </row>
    <row r="862">
      <c r="H862" s="5">
        <f>F862*G862</f>
        <v/>
      </c>
    </row>
    <row r="863">
      <c r="H863" s="5">
        <f>F863*G863</f>
        <v/>
      </c>
    </row>
    <row r="864">
      <c r="H864" s="5">
        <f>F864*G864</f>
        <v/>
      </c>
    </row>
    <row r="865">
      <c r="H865" s="5">
        <f>F865*G865</f>
        <v/>
      </c>
    </row>
    <row r="866">
      <c r="H866" s="5">
        <f>F866*G866</f>
        <v/>
      </c>
    </row>
    <row r="867">
      <c r="H867" s="5">
        <f>F867*G867</f>
        <v/>
      </c>
    </row>
    <row r="868">
      <c r="H868" s="5">
        <f>F868*G868</f>
        <v/>
      </c>
    </row>
    <row r="869">
      <c r="H869" s="5">
        <f>F869*G869</f>
        <v/>
      </c>
    </row>
    <row r="870">
      <c r="H870" s="5">
        <f>F870*G870</f>
        <v/>
      </c>
    </row>
    <row r="871">
      <c r="H871" s="5">
        <f>F871*G871</f>
        <v/>
      </c>
    </row>
    <row r="872">
      <c r="H872" s="5">
        <f>F872*G872</f>
        <v/>
      </c>
    </row>
    <row r="873">
      <c r="H873" s="5">
        <f>F873*G873</f>
        <v/>
      </c>
    </row>
    <row r="874">
      <c r="H874" s="5">
        <f>F874*G874</f>
        <v/>
      </c>
    </row>
    <row r="875">
      <c r="H875" s="5">
        <f>F875*G875</f>
        <v/>
      </c>
    </row>
    <row r="876">
      <c r="H876" s="5">
        <f>F876*G876</f>
        <v/>
      </c>
    </row>
    <row r="877">
      <c r="H877" s="5">
        <f>F877*G877</f>
        <v/>
      </c>
    </row>
    <row r="878">
      <c r="H878" s="5">
        <f>F878*G878</f>
        <v/>
      </c>
    </row>
    <row r="879">
      <c r="H879" s="5">
        <f>F879*G879</f>
        <v/>
      </c>
    </row>
    <row r="880">
      <c r="H880" s="5">
        <f>F880*G880</f>
        <v/>
      </c>
    </row>
    <row r="881">
      <c r="H881" s="5">
        <f>F881*G881</f>
        <v/>
      </c>
    </row>
    <row r="882">
      <c r="H882" s="5">
        <f>F882*G882</f>
        <v/>
      </c>
    </row>
    <row r="883">
      <c r="H883" s="5">
        <f>F883*G883</f>
        <v/>
      </c>
    </row>
    <row r="884">
      <c r="H884" s="5">
        <f>F884*G884</f>
        <v/>
      </c>
    </row>
    <row r="885">
      <c r="H885" s="5">
        <f>F885*G885</f>
        <v/>
      </c>
    </row>
    <row r="886">
      <c r="H886" s="5">
        <f>F886*G886</f>
        <v/>
      </c>
    </row>
    <row r="887">
      <c r="H887" s="5">
        <f>F887*G887</f>
        <v/>
      </c>
    </row>
    <row r="888">
      <c r="H888" s="5">
        <f>F888*G888</f>
        <v/>
      </c>
    </row>
    <row r="889">
      <c r="H889" s="5">
        <f>F889*G889</f>
        <v/>
      </c>
    </row>
    <row r="890">
      <c r="H890" s="5">
        <f>F890*G890</f>
        <v/>
      </c>
    </row>
    <row r="891">
      <c r="H891" s="5">
        <f>F891*G891</f>
        <v/>
      </c>
    </row>
    <row r="892">
      <c r="H892" s="5">
        <f>F892*G892</f>
        <v/>
      </c>
    </row>
    <row r="893">
      <c r="H893" s="5">
        <f>F893*G893</f>
        <v/>
      </c>
    </row>
    <row r="894">
      <c r="H894" s="5">
        <f>F894*G894</f>
        <v/>
      </c>
    </row>
    <row r="895">
      <c r="H895" s="5">
        <f>F895*G895</f>
        <v/>
      </c>
    </row>
    <row r="896">
      <c r="H896" s="5">
        <f>F896*G896</f>
        <v/>
      </c>
    </row>
    <row r="897">
      <c r="H897" s="5">
        <f>F897*G897</f>
        <v/>
      </c>
    </row>
    <row r="898">
      <c r="H898" s="5">
        <f>F898*G898</f>
        <v/>
      </c>
    </row>
    <row r="899">
      <c r="H899" s="5">
        <f>F899*G899</f>
        <v/>
      </c>
    </row>
    <row r="900">
      <c r="H900" s="5">
        <f>F900*G900</f>
        <v/>
      </c>
    </row>
    <row r="901">
      <c r="H901" s="5">
        <f>F901*G901</f>
        <v/>
      </c>
    </row>
    <row r="902">
      <c r="H902" s="5">
        <f>F902*G902</f>
        <v/>
      </c>
    </row>
    <row r="903">
      <c r="H903" s="5">
        <f>F903*G903</f>
        <v/>
      </c>
    </row>
    <row r="904">
      <c r="H904" s="5">
        <f>F904*G904</f>
        <v/>
      </c>
    </row>
    <row r="905">
      <c r="H905" s="5">
        <f>F905*G905</f>
        <v/>
      </c>
    </row>
    <row r="906">
      <c r="H906" s="5">
        <f>F906*G906</f>
        <v/>
      </c>
    </row>
    <row r="907">
      <c r="H907" s="5">
        <f>F907*G907</f>
        <v/>
      </c>
    </row>
    <row r="908">
      <c r="H908" s="5">
        <f>F908*G908</f>
        <v/>
      </c>
    </row>
    <row r="909">
      <c r="H909" s="5">
        <f>F909*G909</f>
        <v/>
      </c>
    </row>
    <row r="910">
      <c r="H910" s="5">
        <f>F910*G910</f>
        <v/>
      </c>
    </row>
    <row r="911">
      <c r="H911" s="5">
        <f>F911*G911</f>
        <v/>
      </c>
    </row>
    <row r="912">
      <c r="H912" s="5">
        <f>F912*G912</f>
        <v/>
      </c>
    </row>
    <row r="913">
      <c r="H913" s="5">
        <f>F913*G913</f>
        <v/>
      </c>
    </row>
    <row r="914">
      <c r="H914" s="5">
        <f>F914*G914</f>
        <v/>
      </c>
    </row>
    <row r="915">
      <c r="H915" s="5">
        <f>F915*G915</f>
        <v/>
      </c>
    </row>
    <row r="916">
      <c r="H916" s="5">
        <f>F916*G916</f>
        <v/>
      </c>
    </row>
    <row r="917">
      <c r="H917" s="5">
        <f>F917*G917</f>
        <v/>
      </c>
    </row>
    <row r="918">
      <c r="H918" s="5">
        <f>F918*G918</f>
        <v/>
      </c>
    </row>
    <row r="919">
      <c r="H919" s="5">
        <f>F919*G919</f>
        <v/>
      </c>
    </row>
    <row r="920">
      <c r="H920" s="5">
        <f>F920*G920</f>
        <v/>
      </c>
    </row>
    <row r="921">
      <c r="H921" s="5">
        <f>F921*G921</f>
        <v/>
      </c>
    </row>
    <row r="922">
      <c r="H922" s="5">
        <f>F922*G922</f>
        <v/>
      </c>
    </row>
    <row r="923">
      <c r="H923" s="5">
        <f>F923*G923</f>
        <v/>
      </c>
    </row>
    <row r="924">
      <c r="H924" s="5">
        <f>F924*G924</f>
        <v/>
      </c>
    </row>
    <row r="925">
      <c r="H925" s="5">
        <f>F925*G925</f>
        <v/>
      </c>
    </row>
    <row r="926">
      <c r="H926" s="5">
        <f>F926*G926</f>
        <v/>
      </c>
    </row>
    <row r="927">
      <c r="H927" s="5">
        <f>F927*G927</f>
        <v/>
      </c>
    </row>
    <row r="928">
      <c r="H928" s="5">
        <f>F928*G928</f>
        <v/>
      </c>
    </row>
    <row r="929">
      <c r="H929" s="5">
        <f>F929*G929</f>
        <v/>
      </c>
    </row>
    <row r="930">
      <c r="H930" s="5">
        <f>F930*G930</f>
        <v/>
      </c>
    </row>
    <row r="931">
      <c r="H931" s="5">
        <f>F931*G931</f>
        <v/>
      </c>
    </row>
    <row r="932">
      <c r="H932" s="5">
        <f>F932*G932</f>
        <v/>
      </c>
    </row>
    <row r="933">
      <c r="H933" s="5">
        <f>F933*G933</f>
        <v/>
      </c>
    </row>
    <row r="934">
      <c r="H934" s="5">
        <f>F934*G934</f>
        <v/>
      </c>
    </row>
    <row r="935">
      <c r="H935" s="5">
        <f>F935*G935</f>
        <v/>
      </c>
    </row>
    <row r="936">
      <c r="H936" s="5">
        <f>F936*G936</f>
        <v/>
      </c>
    </row>
    <row r="937">
      <c r="H937" s="5">
        <f>F937*G937</f>
        <v/>
      </c>
    </row>
    <row r="938">
      <c r="H938" s="5">
        <f>F938*G938</f>
        <v/>
      </c>
    </row>
    <row r="939">
      <c r="H939" s="5">
        <f>F939*G939</f>
        <v/>
      </c>
    </row>
    <row r="940">
      <c r="H940" s="5">
        <f>F940*G940</f>
        <v/>
      </c>
    </row>
    <row r="941">
      <c r="H941" s="5">
        <f>F941*G941</f>
        <v/>
      </c>
    </row>
    <row r="942">
      <c r="H942" s="5">
        <f>F942*G942</f>
        <v/>
      </c>
    </row>
    <row r="943">
      <c r="H943" s="5">
        <f>F943*G943</f>
        <v/>
      </c>
    </row>
    <row r="944">
      <c r="H944" s="5">
        <f>F944*G944</f>
        <v/>
      </c>
    </row>
    <row r="945">
      <c r="H945" s="5">
        <f>F945*G945</f>
        <v/>
      </c>
    </row>
    <row r="946">
      <c r="H946" s="5">
        <f>F946*G946</f>
        <v/>
      </c>
    </row>
    <row r="947">
      <c r="H947" s="5">
        <f>F947*G947</f>
        <v/>
      </c>
    </row>
    <row r="948">
      <c r="H948" s="5">
        <f>F948*G948</f>
        <v/>
      </c>
    </row>
    <row r="949">
      <c r="H949" s="5">
        <f>F949*G949</f>
        <v/>
      </c>
    </row>
    <row r="950">
      <c r="H950" s="5">
        <f>F950*G950</f>
        <v/>
      </c>
    </row>
    <row r="951">
      <c r="H951" s="5">
        <f>F951*G951</f>
        <v/>
      </c>
    </row>
    <row r="952">
      <c r="H952" s="5">
        <f>F952*G952</f>
        <v/>
      </c>
    </row>
    <row r="953">
      <c r="H953" s="5">
        <f>F953*G953</f>
        <v/>
      </c>
    </row>
    <row r="954">
      <c r="H954" s="5">
        <f>F954*G954</f>
        <v/>
      </c>
    </row>
    <row r="955">
      <c r="H955" s="5">
        <f>F955*G955</f>
        <v/>
      </c>
    </row>
    <row r="956">
      <c r="H956" s="5">
        <f>F956*G956</f>
        <v/>
      </c>
    </row>
    <row r="957">
      <c r="H957" s="5">
        <f>F957*G957</f>
        <v/>
      </c>
    </row>
    <row r="958">
      <c r="H958" s="5">
        <f>F958*G958</f>
        <v/>
      </c>
    </row>
    <row r="959">
      <c r="H959" s="5">
        <f>F959*G959</f>
        <v/>
      </c>
    </row>
    <row r="960">
      <c r="H960" s="5">
        <f>F960*G960</f>
        <v/>
      </c>
    </row>
    <row r="961">
      <c r="H961" s="5">
        <f>F961*G961</f>
        <v/>
      </c>
    </row>
    <row r="962">
      <c r="H962" s="5">
        <f>F962*G962</f>
        <v/>
      </c>
    </row>
    <row r="963">
      <c r="H963" s="5">
        <f>F963*G963</f>
        <v/>
      </c>
    </row>
    <row r="964">
      <c r="H964" s="5">
        <f>F964*G964</f>
        <v/>
      </c>
    </row>
    <row r="965">
      <c r="H965" s="5">
        <f>F965*G965</f>
        <v/>
      </c>
    </row>
    <row r="966">
      <c r="H966" s="5">
        <f>F966*G966</f>
        <v/>
      </c>
    </row>
    <row r="967">
      <c r="H967" s="5">
        <f>F967*G967</f>
        <v/>
      </c>
    </row>
    <row r="968">
      <c r="H968" s="5">
        <f>F968*G968</f>
        <v/>
      </c>
    </row>
    <row r="969">
      <c r="H969" s="5">
        <f>F969*G969</f>
        <v/>
      </c>
    </row>
    <row r="970">
      <c r="H970" s="5">
        <f>F970*G970</f>
        <v/>
      </c>
    </row>
    <row r="971">
      <c r="H971" s="5">
        <f>F971*G971</f>
        <v/>
      </c>
    </row>
    <row r="972">
      <c r="H972" s="5">
        <f>F972*G972</f>
        <v/>
      </c>
    </row>
    <row r="973">
      <c r="H973" s="5">
        <f>F973*G973</f>
        <v/>
      </c>
    </row>
    <row r="974">
      <c r="H974" s="5">
        <f>F974*G974</f>
        <v/>
      </c>
    </row>
    <row r="975">
      <c r="H975" s="5">
        <f>F975*G975</f>
        <v/>
      </c>
    </row>
    <row r="976">
      <c r="H976" s="5">
        <f>F976*G976</f>
        <v/>
      </c>
    </row>
    <row r="977">
      <c r="H977" s="5">
        <f>F977*G977</f>
        <v/>
      </c>
    </row>
    <row r="978">
      <c r="H978" s="5">
        <f>F978*G978</f>
        <v/>
      </c>
    </row>
    <row r="979">
      <c r="H979" s="5">
        <f>F979*G979</f>
        <v/>
      </c>
    </row>
    <row r="980">
      <c r="H980" s="5">
        <f>F980*G980</f>
        <v/>
      </c>
    </row>
    <row r="981">
      <c r="H981" s="5">
        <f>F981*G981</f>
        <v/>
      </c>
    </row>
    <row r="982">
      <c r="H982" s="5">
        <f>F982*G982</f>
        <v/>
      </c>
    </row>
    <row r="983">
      <c r="H983" s="5">
        <f>F983*G983</f>
        <v/>
      </c>
    </row>
    <row r="984">
      <c r="H984" s="5">
        <f>F984*G984</f>
        <v/>
      </c>
    </row>
    <row r="985">
      <c r="H985" s="5">
        <f>F985*G985</f>
        <v/>
      </c>
    </row>
    <row r="986">
      <c r="H986" s="5">
        <f>F986*G986</f>
        <v/>
      </c>
    </row>
    <row r="987">
      <c r="H987" s="5">
        <f>F987*G987</f>
        <v/>
      </c>
    </row>
    <row r="988">
      <c r="H988" s="5">
        <f>F988*G988</f>
        <v/>
      </c>
    </row>
    <row r="989">
      <c r="H989" s="5">
        <f>F989*G989</f>
        <v/>
      </c>
    </row>
    <row r="990">
      <c r="H990" s="5">
        <f>F990*G990</f>
        <v/>
      </c>
    </row>
    <row r="991">
      <c r="H991" s="5">
        <f>F991*G991</f>
        <v/>
      </c>
    </row>
    <row r="992">
      <c r="H992" s="5">
        <f>F992*G992</f>
        <v/>
      </c>
    </row>
    <row r="993">
      <c r="H993" s="5">
        <f>F993*G993</f>
        <v/>
      </c>
    </row>
    <row r="994">
      <c r="H994" s="5">
        <f>F994*G994</f>
        <v/>
      </c>
    </row>
    <row r="995">
      <c r="H995" s="5">
        <f>F995*G995</f>
        <v/>
      </c>
    </row>
    <row r="996">
      <c r="H996" s="5">
        <f>F996*G996</f>
        <v/>
      </c>
    </row>
    <row r="997">
      <c r="H997" s="5">
        <f>F997*G997</f>
        <v/>
      </c>
    </row>
    <row r="998">
      <c r="H998" s="5">
        <f>F998*G998</f>
        <v/>
      </c>
    </row>
    <row r="999">
      <c r="H999" s="5">
        <f>F999*G999</f>
        <v/>
      </c>
    </row>
    <row r="1000">
      <c r="H1000" s="5">
        <f>F1000*G1000</f>
        <v/>
      </c>
    </row>
    <row r="1001">
      <c r="H1001" s="5">
        <f>F1001*G1001</f>
        <v/>
      </c>
    </row>
    <row r="1002">
      <c r="H1002" s="5">
        <f>F1002*G1002</f>
        <v/>
      </c>
    </row>
    <row r="1003">
      <c r="H1003" s="5">
        <f>F1003*G1003</f>
        <v/>
      </c>
    </row>
    <row r="1004">
      <c r="H1004" s="5">
        <f>F1004*G1004</f>
        <v/>
      </c>
    </row>
    <row r="1005">
      <c r="H1005" s="5">
        <f>F1005*G1005</f>
        <v/>
      </c>
    </row>
    <row r="1006">
      <c r="H1006" s="5">
        <f>F1006*G1006</f>
        <v/>
      </c>
    </row>
    <row r="1007">
      <c r="H1007" s="5">
        <f>F1007*G1007</f>
        <v/>
      </c>
    </row>
    <row r="1008">
      <c r="H1008" s="5">
        <f>F1008*G1008</f>
        <v/>
      </c>
    </row>
    <row r="1009">
      <c r="H1009" s="5">
        <f>F1009*G1009</f>
        <v/>
      </c>
    </row>
    <row r="1010">
      <c r="H1010" s="5">
        <f>F1010*G1010</f>
        <v/>
      </c>
    </row>
    <row r="1011">
      <c r="H1011" s="5">
        <f>F1011*G1011</f>
        <v/>
      </c>
    </row>
    <row r="1012">
      <c r="H1012" s="5">
        <f>F1012*G1012</f>
        <v/>
      </c>
    </row>
    <row r="1013">
      <c r="H1013" s="5">
        <f>F1013*G1013</f>
        <v/>
      </c>
    </row>
    <row r="1014">
      <c r="H1014" s="5">
        <f>F1014*G1014</f>
        <v/>
      </c>
    </row>
    <row r="1015">
      <c r="H1015" s="5">
        <f>F1015*G1015</f>
        <v/>
      </c>
    </row>
    <row r="1016">
      <c r="H1016" s="5">
        <f>F1016*G1016</f>
        <v/>
      </c>
    </row>
    <row r="1017">
      <c r="H1017" s="5">
        <f>F1017*G1017</f>
        <v/>
      </c>
    </row>
    <row r="1018">
      <c r="H1018" s="5">
        <f>F1018*G1018</f>
        <v/>
      </c>
    </row>
    <row r="1019">
      <c r="H1019" s="5">
        <f>F1019*G1019</f>
        <v/>
      </c>
    </row>
    <row r="1020">
      <c r="H1020" s="5">
        <f>F1020*G1020</f>
        <v/>
      </c>
    </row>
    <row r="1021">
      <c r="H1021" s="5">
        <f>F1021*G1021</f>
        <v/>
      </c>
    </row>
    <row r="1022">
      <c r="H1022" s="5">
        <f>F1022*G1022</f>
        <v/>
      </c>
    </row>
    <row r="1023">
      <c r="H1023" s="5">
        <f>F1023*G1023</f>
        <v/>
      </c>
    </row>
    <row r="1024">
      <c r="H1024" s="5">
        <f>F1024*G1024</f>
        <v/>
      </c>
    </row>
    <row r="1025">
      <c r="H1025" s="5">
        <f>F1025*G1025</f>
        <v/>
      </c>
    </row>
    <row r="1026">
      <c r="H1026" s="5">
        <f>F1026*G1026</f>
        <v/>
      </c>
    </row>
    <row r="1027">
      <c r="H1027" s="5">
        <f>F1027*G1027</f>
        <v/>
      </c>
    </row>
    <row r="1028">
      <c r="H1028" s="5">
        <f>F1028*G1028</f>
        <v/>
      </c>
    </row>
    <row r="1029">
      <c r="H1029" s="5">
        <f>F1029*G1029</f>
        <v/>
      </c>
    </row>
    <row r="1030">
      <c r="H1030" s="5">
        <f>F1030*G1030</f>
        <v/>
      </c>
    </row>
    <row r="1031">
      <c r="H1031" s="5">
        <f>F1031*G1031</f>
        <v/>
      </c>
    </row>
    <row r="1032">
      <c r="H1032" s="5">
        <f>F1032*G1032</f>
        <v/>
      </c>
    </row>
    <row r="1033">
      <c r="H1033" s="5">
        <f>F1033*G1033</f>
        <v/>
      </c>
    </row>
    <row r="1034">
      <c r="H1034" s="5">
        <f>F1034*G1034</f>
        <v/>
      </c>
    </row>
    <row r="1035">
      <c r="H1035" s="5">
        <f>F1035*G1035</f>
        <v/>
      </c>
    </row>
    <row r="1036">
      <c r="H1036" s="5">
        <f>F1036*G1036</f>
        <v/>
      </c>
    </row>
    <row r="1037">
      <c r="H1037" s="5">
        <f>F1037*G1037</f>
        <v/>
      </c>
    </row>
    <row r="1038">
      <c r="H1038" s="5">
        <f>F1038*G1038</f>
        <v/>
      </c>
    </row>
    <row r="1039">
      <c r="H1039" s="5">
        <f>F1039*G1039</f>
        <v/>
      </c>
    </row>
    <row r="1040">
      <c r="H1040" s="5">
        <f>F1040*G1040</f>
        <v/>
      </c>
    </row>
    <row r="1041">
      <c r="H1041" s="5">
        <f>F1041*G1041</f>
        <v/>
      </c>
    </row>
    <row r="1042">
      <c r="H1042" s="5">
        <f>F1042*G1042</f>
        <v/>
      </c>
    </row>
    <row r="1043">
      <c r="H1043" s="5">
        <f>F1043*G1043</f>
        <v/>
      </c>
    </row>
    <row r="1044">
      <c r="H1044" s="5">
        <f>F1044*G1044</f>
        <v/>
      </c>
    </row>
    <row r="1045">
      <c r="H1045" s="5">
        <f>F1045*G1045</f>
        <v/>
      </c>
    </row>
    <row r="1046">
      <c r="H1046" s="5">
        <f>F1046*G1046</f>
        <v/>
      </c>
    </row>
    <row r="1047">
      <c r="H1047" s="5">
        <f>F1047*G1047</f>
        <v/>
      </c>
    </row>
    <row r="1048">
      <c r="H1048" s="5">
        <f>F1048*G1048</f>
        <v/>
      </c>
    </row>
    <row r="1049">
      <c r="H1049" s="5">
        <f>F1049*G1049</f>
        <v/>
      </c>
    </row>
    <row r="1050">
      <c r="H1050" s="5">
        <f>F1050*G1050</f>
        <v/>
      </c>
    </row>
    <row r="1051">
      <c r="H1051" s="5">
        <f>F1051*G1051</f>
        <v/>
      </c>
    </row>
    <row r="1052">
      <c r="H1052" s="5">
        <f>F1052*G1052</f>
        <v/>
      </c>
    </row>
    <row r="1053">
      <c r="H1053" s="5">
        <f>F1053*G1053</f>
        <v/>
      </c>
    </row>
    <row r="1054">
      <c r="H1054" s="5">
        <f>F1054*G1054</f>
        <v/>
      </c>
    </row>
    <row r="1055">
      <c r="H1055" s="5">
        <f>F1055*G1055</f>
        <v/>
      </c>
    </row>
    <row r="1056">
      <c r="H1056" s="5">
        <f>F1056*G1056</f>
        <v/>
      </c>
    </row>
    <row r="1057">
      <c r="H1057" s="5">
        <f>F1057*G1057</f>
        <v/>
      </c>
    </row>
    <row r="1058">
      <c r="H1058" s="5">
        <f>F1058*G1058</f>
        <v/>
      </c>
    </row>
    <row r="1059">
      <c r="H1059" s="5">
        <f>F1059*G1059</f>
        <v/>
      </c>
    </row>
    <row r="1060">
      <c r="H1060" s="5">
        <f>F1060*G1060</f>
        <v/>
      </c>
    </row>
    <row r="1061">
      <c r="H1061" s="5">
        <f>F1061*G1061</f>
        <v/>
      </c>
    </row>
    <row r="1062">
      <c r="H1062" s="5">
        <f>F1062*G1062</f>
        <v/>
      </c>
    </row>
    <row r="1063">
      <c r="H1063" s="5">
        <f>F1063*G1063</f>
        <v/>
      </c>
    </row>
    <row r="1064">
      <c r="H1064" s="5">
        <f>F1064*G1064</f>
        <v/>
      </c>
    </row>
    <row r="1065">
      <c r="H1065" s="5">
        <f>F1065*G1065</f>
        <v/>
      </c>
    </row>
    <row r="1066">
      <c r="H1066" s="5">
        <f>F1066*G1066</f>
        <v/>
      </c>
    </row>
    <row r="1067">
      <c r="H1067" s="5">
        <f>F1067*G1067</f>
        <v/>
      </c>
    </row>
    <row r="1068">
      <c r="H1068" s="5">
        <f>F1068*G1068</f>
        <v/>
      </c>
    </row>
    <row r="1069">
      <c r="H1069" s="5">
        <f>F1069*G1069</f>
        <v/>
      </c>
    </row>
    <row r="1070">
      <c r="H1070" s="5">
        <f>F1070*G1070</f>
        <v/>
      </c>
    </row>
    <row r="1071">
      <c r="H1071" s="5">
        <f>F1071*G1071</f>
        <v/>
      </c>
    </row>
    <row r="1072">
      <c r="H1072" s="5">
        <f>F1072*G1072</f>
        <v/>
      </c>
    </row>
    <row r="1073">
      <c r="H1073" s="5">
        <f>F1073*G1073</f>
        <v/>
      </c>
    </row>
    <row r="1074">
      <c r="H1074" s="5">
        <f>F1074*G1074</f>
        <v/>
      </c>
    </row>
    <row r="1075">
      <c r="H1075" s="5">
        <f>F1075*G1075</f>
        <v/>
      </c>
    </row>
    <row r="1076">
      <c r="H1076" s="5">
        <f>F1076*G1076</f>
        <v/>
      </c>
    </row>
    <row r="1077">
      <c r="H1077" s="5">
        <f>F1077*G1077</f>
        <v/>
      </c>
    </row>
    <row r="1078">
      <c r="H1078" s="5">
        <f>F1078*G1078</f>
        <v/>
      </c>
    </row>
    <row r="1079">
      <c r="H1079" s="5">
        <f>F1079*G1079</f>
        <v/>
      </c>
    </row>
    <row r="1080">
      <c r="H1080" s="5">
        <f>F1080*G1080</f>
        <v/>
      </c>
    </row>
    <row r="1081">
      <c r="H1081" s="5">
        <f>F1081*G1081</f>
        <v/>
      </c>
    </row>
    <row r="1082">
      <c r="H1082" s="5">
        <f>F1082*G1082</f>
        <v/>
      </c>
    </row>
    <row r="1083">
      <c r="H1083" s="5">
        <f>F1083*G1083</f>
        <v/>
      </c>
    </row>
    <row r="1084">
      <c r="H1084" s="5">
        <f>F1084*G1084</f>
        <v/>
      </c>
    </row>
    <row r="1085">
      <c r="H1085" s="5">
        <f>F1085*G1085</f>
        <v/>
      </c>
    </row>
    <row r="1086">
      <c r="H1086" s="5">
        <f>F1086*G1086</f>
        <v/>
      </c>
    </row>
    <row r="1087">
      <c r="H1087" s="5">
        <f>F1087*G1087</f>
        <v/>
      </c>
    </row>
    <row r="1088">
      <c r="H1088" s="5">
        <f>F1088*G1088</f>
        <v/>
      </c>
    </row>
    <row r="1089">
      <c r="H1089" s="5">
        <f>F1089*G1089</f>
        <v/>
      </c>
    </row>
    <row r="1090">
      <c r="H1090" s="5">
        <f>F1090*G1090</f>
        <v/>
      </c>
    </row>
    <row r="1091">
      <c r="H1091" s="5">
        <f>F1091*G1091</f>
        <v/>
      </c>
    </row>
    <row r="1092">
      <c r="H1092" s="5">
        <f>F1092*G1092</f>
        <v/>
      </c>
    </row>
    <row r="1093">
      <c r="H1093" s="5">
        <f>F1093*G1093</f>
        <v/>
      </c>
    </row>
    <row r="1094">
      <c r="H1094" s="5">
        <f>F1094*G1094</f>
        <v/>
      </c>
    </row>
    <row r="1095">
      <c r="H1095" s="5">
        <f>F1095*G1095</f>
        <v/>
      </c>
    </row>
    <row r="1096">
      <c r="H1096" s="5">
        <f>F1096*G1096</f>
        <v/>
      </c>
    </row>
    <row r="1097">
      <c r="H1097" s="5">
        <f>F1097*G1097</f>
        <v/>
      </c>
    </row>
    <row r="1098">
      <c r="H1098" s="5">
        <f>F1098*G1098</f>
        <v/>
      </c>
    </row>
    <row r="1099">
      <c r="H1099" s="5">
        <f>F1099*G1099</f>
        <v/>
      </c>
    </row>
    <row r="1100">
      <c r="H1100" s="5">
        <f>F1100*G1100</f>
        <v/>
      </c>
    </row>
    <row r="1101">
      <c r="H1101" s="5">
        <f>F1101*G1101</f>
        <v/>
      </c>
    </row>
    <row r="1102">
      <c r="H1102" s="5">
        <f>F1102*G1102</f>
        <v/>
      </c>
    </row>
    <row r="1103">
      <c r="H1103" s="5">
        <f>F1103*G1103</f>
        <v/>
      </c>
    </row>
    <row r="1104">
      <c r="H1104" s="5">
        <f>F1104*G1104</f>
        <v/>
      </c>
    </row>
    <row r="1105">
      <c r="H1105" s="5">
        <f>F1105*G1105</f>
        <v/>
      </c>
    </row>
    <row r="1106">
      <c r="H1106" s="5">
        <f>F1106*G1106</f>
        <v/>
      </c>
    </row>
    <row r="1107">
      <c r="H1107" s="5">
        <f>F1107*G1107</f>
        <v/>
      </c>
    </row>
    <row r="1108">
      <c r="H1108" s="5">
        <f>F1108*G1108</f>
        <v/>
      </c>
    </row>
    <row r="1109">
      <c r="H1109" s="5">
        <f>F1109*G1109</f>
        <v/>
      </c>
    </row>
    <row r="1110">
      <c r="H1110" s="5">
        <f>F1110*G1110</f>
        <v/>
      </c>
    </row>
    <row r="1111">
      <c r="H1111" s="5">
        <f>F1111*G1111</f>
        <v/>
      </c>
    </row>
    <row r="1112">
      <c r="H1112" s="5">
        <f>F1112*G1112</f>
        <v/>
      </c>
    </row>
    <row r="1113">
      <c r="H1113" s="5">
        <f>F1113*G1113</f>
        <v/>
      </c>
    </row>
    <row r="1114">
      <c r="H1114" s="5">
        <f>F1114*G1114</f>
        <v/>
      </c>
    </row>
    <row r="1115">
      <c r="H1115" s="5">
        <f>F1115*G1115</f>
        <v/>
      </c>
    </row>
    <row r="1116">
      <c r="H1116" s="5">
        <f>F1116*G1116</f>
        <v/>
      </c>
    </row>
    <row r="1117">
      <c r="H1117" s="5">
        <f>F1117*G1117</f>
        <v/>
      </c>
    </row>
    <row r="1118">
      <c r="H1118" s="5">
        <f>F1118*G1118</f>
        <v/>
      </c>
    </row>
    <row r="1119">
      <c r="H1119" s="5">
        <f>F1119*G1119</f>
        <v/>
      </c>
    </row>
    <row r="1120">
      <c r="H1120" s="5">
        <f>F1120*G1120</f>
        <v/>
      </c>
    </row>
    <row r="1121">
      <c r="H1121" s="5">
        <f>F1121*G1121</f>
        <v/>
      </c>
    </row>
    <row r="1122">
      <c r="H1122" s="5">
        <f>F1122*G1122</f>
        <v/>
      </c>
    </row>
    <row r="1123">
      <c r="H1123" s="5">
        <f>F1123*G1123</f>
        <v/>
      </c>
    </row>
    <row r="1124">
      <c r="H1124" s="5">
        <f>F1124*G1124</f>
        <v/>
      </c>
    </row>
    <row r="1125">
      <c r="H1125" s="5">
        <f>F1125*G1125</f>
        <v/>
      </c>
    </row>
    <row r="1126">
      <c r="H1126" s="5">
        <f>F1126*G1126</f>
        <v/>
      </c>
    </row>
    <row r="1127">
      <c r="H1127" s="5">
        <f>F1127*G1127</f>
        <v/>
      </c>
    </row>
    <row r="1128">
      <c r="H1128" s="5">
        <f>F1128*G1128</f>
        <v/>
      </c>
    </row>
    <row r="1129">
      <c r="H1129" s="5">
        <f>F1129*G1129</f>
        <v/>
      </c>
    </row>
    <row r="1130">
      <c r="H1130" s="5">
        <f>F1130*G1130</f>
        <v/>
      </c>
    </row>
    <row r="1131">
      <c r="H1131" s="5">
        <f>F1131*G1131</f>
        <v/>
      </c>
    </row>
    <row r="1132">
      <c r="H1132" s="5">
        <f>F1132*G1132</f>
        <v/>
      </c>
    </row>
    <row r="1133">
      <c r="H1133" s="5">
        <f>F1133*G1133</f>
        <v/>
      </c>
    </row>
    <row r="1134">
      <c r="H1134" s="5">
        <f>F1134*G1134</f>
        <v/>
      </c>
    </row>
    <row r="1135">
      <c r="H1135" s="5">
        <f>F1135*G1135</f>
        <v/>
      </c>
    </row>
    <row r="1136">
      <c r="H1136" s="5">
        <f>F1136*G1136</f>
        <v/>
      </c>
    </row>
    <row r="1137">
      <c r="H1137" s="5">
        <f>F1137*G1137</f>
        <v/>
      </c>
    </row>
    <row r="1138">
      <c r="H1138" s="5">
        <f>F1138*G1138</f>
        <v/>
      </c>
    </row>
    <row r="1139">
      <c r="H1139" s="5">
        <f>F1139*G1139</f>
        <v/>
      </c>
    </row>
    <row r="1140">
      <c r="H1140" s="5">
        <f>F1140*G1140</f>
        <v/>
      </c>
    </row>
    <row r="1141">
      <c r="H1141" s="5">
        <f>F1141*G1141</f>
        <v/>
      </c>
    </row>
    <row r="1142">
      <c r="H1142" s="5">
        <f>F1142*G1142</f>
        <v/>
      </c>
    </row>
    <row r="1143">
      <c r="H1143" s="5">
        <f>F1143*G1143</f>
        <v/>
      </c>
    </row>
    <row r="1144">
      <c r="H1144" s="5">
        <f>F1144*G1144</f>
        <v/>
      </c>
    </row>
    <row r="1145">
      <c r="H1145" s="5">
        <f>F1145*G1145</f>
        <v/>
      </c>
    </row>
    <row r="1146">
      <c r="H1146" s="5">
        <f>F1146*G1146</f>
        <v/>
      </c>
    </row>
    <row r="1147">
      <c r="H1147" s="5">
        <f>F1147*G1147</f>
        <v/>
      </c>
    </row>
    <row r="1148">
      <c r="H1148" s="5">
        <f>F1148*G1148</f>
        <v/>
      </c>
    </row>
    <row r="1149">
      <c r="H1149" s="5">
        <f>F1149*G1149</f>
        <v/>
      </c>
    </row>
    <row r="1150">
      <c r="H1150" s="5">
        <f>F1150*G1150</f>
        <v/>
      </c>
    </row>
    <row r="1151">
      <c r="H1151" s="5">
        <f>F1151*G1151</f>
        <v/>
      </c>
    </row>
    <row r="1152">
      <c r="H1152" s="5">
        <f>F1152*G1152</f>
        <v/>
      </c>
    </row>
    <row r="1153">
      <c r="H1153" s="5">
        <f>F1153*G1153</f>
        <v/>
      </c>
    </row>
    <row r="1154">
      <c r="H1154" s="5">
        <f>F1154*G1154</f>
        <v/>
      </c>
    </row>
    <row r="1155">
      <c r="H1155" s="5">
        <f>F1155*G1155</f>
        <v/>
      </c>
    </row>
    <row r="1156">
      <c r="H1156" s="5">
        <f>F1156*G1156</f>
        <v/>
      </c>
    </row>
    <row r="1157">
      <c r="H1157" s="5">
        <f>F1157*G1157</f>
        <v/>
      </c>
    </row>
    <row r="1158">
      <c r="H1158" s="5">
        <f>F1158*G1158</f>
        <v/>
      </c>
    </row>
    <row r="1159">
      <c r="H1159" s="5">
        <f>F1159*G1159</f>
        <v/>
      </c>
    </row>
    <row r="1160">
      <c r="H1160" s="5">
        <f>F1160*G1160</f>
        <v/>
      </c>
    </row>
    <row r="1161">
      <c r="H1161" s="5">
        <f>F1161*G1161</f>
        <v/>
      </c>
    </row>
    <row r="1162">
      <c r="H1162" s="5">
        <f>F1162*G1162</f>
        <v/>
      </c>
    </row>
    <row r="1163">
      <c r="H1163" s="5">
        <f>F1163*G1163</f>
        <v/>
      </c>
    </row>
    <row r="1164">
      <c r="H1164" s="5">
        <f>F1164*G1164</f>
        <v/>
      </c>
    </row>
    <row r="1165">
      <c r="H1165" s="5">
        <f>F1165*G1165</f>
        <v/>
      </c>
    </row>
    <row r="1166">
      <c r="H1166" s="5">
        <f>F1166*G1166</f>
        <v/>
      </c>
    </row>
    <row r="1167">
      <c r="H1167" s="5">
        <f>F1167*G1167</f>
        <v/>
      </c>
    </row>
    <row r="1168">
      <c r="H1168" s="5">
        <f>F1168*G1168</f>
        <v/>
      </c>
    </row>
    <row r="1169">
      <c r="H1169" s="5">
        <f>F1169*G1169</f>
        <v/>
      </c>
    </row>
    <row r="1170">
      <c r="H1170" s="5">
        <f>F1170*G1170</f>
        <v/>
      </c>
    </row>
    <row r="1171">
      <c r="H1171" s="5">
        <f>F1171*G1171</f>
        <v/>
      </c>
    </row>
    <row r="1172">
      <c r="H1172" s="5">
        <f>F1172*G1172</f>
        <v/>
      </c>
    </row>
    <row r="1173">
      <c r="H1173" s="5">
        <f>F1173*G1173</f>
        <v/>
      </c>
    </row>
    <row r="1174">
      <c r="H1174" s="5">
        <f>F1174*G1174</f>
        <v/>
      </c>
    </row>
    <row r="1175">
      <c r="H1175" s="5">
        <f>F1175*G1175</f>
        <v/>
      </c>
    </row>
    <row r="1176">
      <c r="H1176" s="5">
        <f>F1176*G1176</f>
        <v/>
      </c>
    </row>
    <row r="1177">
      <c r="H1177" s="5">
        <f>F1177*G1177</f>
        <v/>
      </c>
    </row>
    <row r="1178">
      <c r="H1178" s="5">
        <f>F1178*G1178</f>
        <v/>
      </c>
    </row>
    <row r="1179">
      <c r="H1179" s="5">
        <f>F1179*G1179</f>
        <v/>
      </c>
    </row>
    <row r="1180">
      <c r="H1180" s="5">
        <f>F1180*G1180</f>
        <v/>
      </c>
    </row>
    <row r="1181">
      <c r="H1181" s="5">
        <f>F1181*G1181</f>
        <v/>
      </c>
    </row>
    <row r="1182">
      <c r="H1182" s="5">
        <f>F1182*G1182</f>
        <v/>
      </c>
    </row>
    <row r="1183">
      <c r="H1183" s="5">
        <f>F1183*G1183</f>
        <v/>
      </c>
    </row>
    <row r="1184">
      <c r="H1184" s="5">
        <f>F1184*G1184</f>
        <v/>
      </c>
    </row>
    <row r="1185">
      <c r="H1185" s="5">
        <f>F1185*G1185</f>
        <v/>
      </c>
    </row>
    <row r="1186">
      <c r="H1186" s="5">
        <f>F1186*G1186</f>
        <v/>
      </c>
    </row>
    <row r="1187">
      <c r="H1187" s="5">
        <f>F1187*G1187</f>
        <v/>
      </c>
    </row>
    <row r="1188">
      <c r="H1188" s="5">
        <f>F1188*G1188</f>
        <v/>
      </c>
    </row>
    <row r="1189">
      <c r="H1189" s="5">
        <f>F1189*G1189</f>
        <v/>
      </c>
    </row>
    <row r="1190">
      <c r="H1190" s="5">
        <f>F1190*G1190</f>
        <v/>
      </c>
    </row>
    <row r="1191">
      <c r="H1191" s="5">
        <f>F1191*G1191</f>
        <v/>
      </c>
    </row>
    <row r="1192">
      <c r="H1192" s="5">
        <f>F1192*G1192</f>
        <v/>
      </c>
    </row>
    <row r="1193">
      <c r="H1193" s="5">
        <f>F1193*G1193</f>
        <v/>
      </c>
    </row>
    <row r="1194">
      <c r="H1194" s="5">
        <f>F1194*G1194</f>
        <v/>
      </c>
    </row>
    <row r="1195">
      <c r="H1195" s="5">
        <f>F1195*G1195</f>
        <v/>
      </c>
    </row>
    <row r="1196">
      <c r="H1196" s="5">
        <f>F1196*G1196</f>
        <v/>
      </c>
    </row>
    <row r="1197">
      <c r="H1197" s="5">
        <f>F1197*G1197</f>
        <v/>
      </c>
    </row>
    <row r="1198">
      <c r="H1198" s="5">
        <f>F1198*G1198</f>
        <v/>
      </c>
    </row>
    <row r="1199">
      <c r="H1199" s="5">
        <f>F1199*G1199</f>
        <v/>
      </c>
    </row>
    <row r="1200">
      <c r="H1200" s="5">
        <f>F1200*G1200</f>
        <v/>
      </c>
    </row>
    <row r="1201">
      <c r="H1201" s="5">
        <f>F1201*G1201</f>
        <v/>
      </c>
    </row>
    <row r="1202">
      <c r="H1202" s="5">
        <f>F1202*G1202</f>
        <v/>
      </c>
    </row>
    <row r="1203">
      <c r="H1203" s="5">
        <f>F1203*G1203</f>
        <v/>
      </c>
    </row>
    <row r="1204">
      <c r="H1204" s="5">
        <f>F1204*G1204</f>
        <v/>
      </c>
    </row>
    <row r="1205">
      <c r="H1205" s="5">
        <f>F1205*G1205</f>
        <v/>
      </c>
    </row>
    <row r="1206">
      <c r="H1206" s="5">
        <f>F1206*G1206</f>
        <v/>
      </c>
    </row>
    <row r="1207">
      <c r="H1207" s="5">
        <f>F1207*G1207</f>
        <v/>
      </c>
    </row>
    <row r="1208">
      <c r="H1208" s="5">
        <f>F1208*G1208</f>
        <v/>
      </c>
    </row>
    <row r="1209">
      <c r="H1209" s="5">
        <f>F1209*G1209</f>
        <v/>
      </c>
    </row>
    <row r="1210">
      <c r="H1210" s="5">
        <f>F1210*G1210</f>
        <v/>
      </c>
    </row>
    <row r="1211">
      <c r="H1211" s="5">
        <f>F1211*G1211</f>
        <v/>
      </c>
    </row>
    <row r="1212">
      <c r="H1212" s="5">
        <f>F1212*G1212</f>
        <v/>
      </c>
    </row>
    <row r="1213">
      <c r="H1213" s="5">
        <f>F1213*G1213</f>
        <v/>
      </c>
    </row>
    <row r="1214">
      <c r="H1214" s="5">
        <f>F1214*G1214</f>
        <v/>
      </c>
    </row>
    <row r="1215">
      <c r="H1215" s="5">
        <f>F1215*G1215</f>
        <v/>
      </c>
    </row>
    <row r="1216">
      <c r="H1216" s="5">
        <f>F1216*G1216</f>
        <v/>
      </c>
    </row>
    <row r="1217">
      <c r="H1217" s="5">
        <f>F1217*G1217</f>
        <v/>
      </c>
    </row>
    <row r="1218">
      <c r="H1218" s="5">
        <f>F1218*G1218</f>
        <v/>
      </c>
    </row>
    <row r="1219">
      <c r="H1219" s="5">
        <f>F1219*G1219</f>
        <v/>
      </c>
    </row>
    <row r="1220">
      <c r="H1220" s="5">
        <f>F1220*G1220</f>
        <v/>
      </c>
    </row>
    <row r="1221">
      <c r="H1221" s="5">
        <f>F1221*G1221</f>
        <v/>
      </c>
    </row>
    <row r="1222">
      <c r="H1222" s="5">
        <f>F1222*G1222</f>
        <v/>
      </c>
    </row>
    <row r="1223">
      <c r="H1223" s="5">
        <f>F1223*G1223</f>
        <v/>
      </c>
    </row>
    <row r="1224">
      <c r="H1224" s="5">
        <f>F1224*G1224</f>
        <v/>
      </c>
    </row>
    <row r="1225">
      <c r="H1225" s="5">
        <f>F1225*G1225</f>
        <v/>
      </c>
    </row>
    <row r="1226">
      <c r="H1226" s="5">
        <f>F1226*G1226</f>
        <v/>
      </c>
    </row>
    <row r="1227">
      <c r="H1227" s="5">
        <f>F1227*G1227</f>
        <v/>
      </c>
    </row>
    <row r="1228">
      <c r="H1228" s="5">
        <f>F1228*G1228</f>
        <v/>
      </c>
    </row>
    <row r="1229">
      <c r="H1229" s="5">
        <f>F1229*G1229</f>
        <v/>
      </c>
    </row>
    <row r="1230">
      <c r="H1230" s="5">
        <f>F1230*G1230</f>
        <v/>
      </c>
    </row>
    <row r="1231">
      <c r="H1231" s="5">
        <f>F1231*G1231</f>
        <v/>
      </c>
    </row>
    <row r="1232">
      <c r="H1232" s="5">
        <f>F1232*G1232</f>
        <v/>
      </c>
    </row>
    <row r="1233">
      <c r="H1233" s="5">
        <f>F1233*G1233</f>
        <v/>
      </c>
    </row>
    <row r="1234">
      <c r="H1234" s="5">
        <f>F1234*G1234</f>
        <v/>
      </c>
    </row>
    <row r="1235">
      <c r="H1235" s="5">
        <f>F1235*G1235</f>
        <v/>
      </c>
    </row>
    <row r="1236">
      <c r="H1236" s="5">
        <f>F1236*G1236</f>
        <v/>
      </c>
    </row>
    <row r="1237">
      <c r="H1237" s="5">
        <f>F1237*G1237</f>
        <v/>
      </c>
    </row>
    <row r="1238">
      <c r="H1238" s="5">
        <f>F1238*G1238</f>
        <v/>
      </c>
    </row>
    <row r="1239">
      <c r="H1239" s="5">
        <f>F1239*G1239</f>
        <v/>
      </c>
    </row>
    <row r="1240">
      <c r="H1240" s="5">
        <f>F1240*G1240</f>
        <v/>
      </c>
    </row>
    <row r="1241">
      <c r="H1241" s="5">
        <f>F1241*G1241</f>
        <v/>
      </c>
    </row>
    <row r="1242">
      <c r="H1242" s="5">
        <f>F1242*G1242</f>
        <v/>
      </c>
    </row>
    <row r="1243">
      <c r="H1243" s="5">
        <f>F1243*G1243</f>
        <v/>
      </c>
    </row>
    <row r="1244">
      <c r="H1244" s="5">
        <f>F1244*G1244</f>
        <v/>
      </c>
    </row>
    <row r="1245">
      <c r="H1245" s="5">
        <f>F1245*G1245</f>
        <v/>
      </c>
    </row>
    <row r="1246">
      <c r="H1246" s="5">
        <f>F1246*G1246</f>
        <v/>
      </c>
    </row>
    <row r="1247">
      <c r="H1247" s="5">
        <f>F1247*G1247</f>
        <v/>
      </c>
    </row>
    <row r="1248">
      <c r="H1248" s="5">
        <f>F1248*G1248</f>
        <v/>
      </c>
    </row>
    <row r="1249">
      <c r="H1249" s="5">
        <f>F1249*G1249</f>
        <v/>
      </c>
    </row>
    <row r="1250">
      <c r="H1250" s="5">
        <f>F1250*G1250</f>
        <v/>
      </c>
    </row>
    <row r="1251">
      <c r="H1251" s="5">
        <f>F1251*G1251</f>
        <v/>
      </c>
    </row>
    <row r="1252">
      <c r="H1252" s="5">
        <f>F1252*G1252</f>
        <v/>
      </c>
    </row>
    <row r="1253">
      <c r="H1253" s="5">
        <f>F1253*G1253</f>
        <v/>
      </c>
    </row>
    <row r="1254">
      <c r="H1254" s="5">
        <f>F1254*G1254</f>
        <v/>
      </c>
    </row>
    <row r="1255">
      <c r="H1255" s="5">
        <f>F1255*G1255</f>
        <v/>
      </c>
    </row>
    <row r="1256">
      <c r="H1256" s="5">
        <f>F1256*G1256</f>
        <v/>
      </c>
    </row>
    <row r="1257">
      <c r="H1257" s="5">
        <f>F1257*G1257</f>
        <v/>
      </c>
    </row>
    <row r="1258">
      <c r="H1258" s="5">
        <f>F1258*G1258</f>
        <v/>
      </c>
    </row>
    <row r="1259">
      <c r="H1259" s="5">
        <f>F1259*G1259</f>
        <v/>
      </c>
    </row>
    <row r="1260">
      <c r="H1260" s="5">
        <f>F1260*G1260</f>
        <v/>
      </c>
    </row>
    <row r="1261">
      <c r="H1261" s="5">
        <f>F1261*G1261</f>
        <v/>
      </c>
    </row>
    <row r="1262">
      <c r="H1262" s="5">
        <f>F1262*G1262</f>
        <v/>
      </c>
    </row>
    <row r="1263">
      <c r="H1263" s="5">
        <f>F1263*G1263</f>
        <v/>
      </c>
    </row>
    <row r="1264">
      <c r="H1264" s="5">
        <f>F1264*G1264</f>
        <v/>
      </c>
    </row>
    <row r="1265">
      <c r="H1265" s="5">
        <f>F1265*G1265</f>
        <v/>
      </c>
    </row>
    <row r="1266">
      <c r="H1266" s="5">
        <f>F1266*G1266</f>
        <v/>
      </c>
    </row>
    <row r="1267">
      <c r="H1267" s="5">
        <f>F1267*G1267</f>
        <v/>
      </c>
    </row>
    <row r="1268">
      <c r="H1268" s="5">
        <f>F1268*G1268</f>
        <v/>
      </c>
    </row>
    <row r="1269">
      <c r="H1269" s="5">
        <f>F1269*G1269</f>
        <v/>
      </c>
    </row>
    <row r="1270">
      <c r="H1270" s="5">
        <f>F1270*G1270</f>
        <v/>
      </c>
    </row>
    <row r="1271">
      <c r="H1271" s="5">
        <f>F1271*G1271</f>
        <v/>
      </c>
    </row>
    <row r="1272">
      <c r="H1272" s="5">
        <f>F1272*G1272</f>
        <v/>
      </c>
    </row>
    <row r="1273">
      <c r="H1273" s="5">
        <f>F1273*G1273</f>
        <v/>
      </c>
    </row>
    <row r="1274">
      <c r="H1274" s="5">
        <f>F1274*G1274</f>
        <v/>
      </c>
    </row>
    <row r="1275">
      <c r="H1275" s="5">
        <f>F1275*G1275</f>
        <v/>
      </c>
    </row>
    <row r="1276">
      <c r="H1276" s="5">
        <f>F1276*G1276</f>
        <v/>
      </c>
    </row>
    <row r="1277">
      <c r="H1277" s="5">
        <f>F1277*G1277</f>
        <v/>
      </c>
    </row>
    <row r="1278">
      <c r="H1278" s="5">
        <f>F1278*G1278</f>
        <v/>
      </c>
    </row>
    <row r="1279">
      <c r="H1279" s="5">
        <f>F1279*G1279</f>
        <v/>
      </c>
    </row>
    <row r="1280">
      <c r="H1280" s="5">
        <f>F1280*G1280</f>
        <v/>
      </c>
    </row>
    <row r="1281">
      <c r="H1281" s="5">
        <f>F1281*G1281</f>
        <v/>
      </c>
    </row>
    <row r="1282">
      <c r="H1282" s="5">
        <f>F1282*G1282</f>
        <v/>
      </c>
    </row>
    <row r="1283">
      <c r="H1283" s="5">
        <f>F1283*G1283</f>
        <v/>
      </c>
    </row>
    <row r="1284">
      <c r="H1284" s="5">
        <f>F1284*G1284</f>
        <v/>
      </c>
    </row>
    <row r="1285">
      <c r="H1285" s="5">
        <f>F1285*G1285</f>
        <v/>
      </c>
    </row>
    <row r="1286">
      <c r="H1286" s="5">
        <f>F1286*G1286</f>
        <v/>
      </c>
    </row>
    <row r="1287">
      <c r="H1287" s="5">
        <f>F1287*G1287</f>
        <v/>
      </c>
    </row>
    <row r="1288">
      <c r="H1288" s="5">
        <f>F1288*G1288</f>
        <v/>
      </c>
    </row>
    <row r="1289">
      <c r="H1289" s="5">
        <f>F1289*G1289</f>
        <v/>
      </c>
    </row>
    <row r="1290">
      <c r="H1290" s="5">
        <f>F1290*G1290</f>
        <v/>
      </c>
    </row>
    <row r="1291">
      <c r="H1291" s="5">
        <f>F1291*G1291</f>
        <v/>
      </c>
    </row>
    <row r="1292">
      <c r="H1292" s="5">
        <f>F1292*G1292</f>
        <v/>
      </c>
    </row>
    <row r="1293">
      <c r="H1293" s="5">
        <f>F1293*G1293</f>
        <v/>
      </c>
    </row>
    <row r="1294">
      <c r="H1294" s="5">
        <f>F1294*G1294</f>
        <v/>
      </c>
    </row>
    <row r="1295">
      <c r="H1295" s="5">
        <f>F1295*G1295</f>
        <v/>
      </c>
    </row>
    <row r="1296">
      <c r="H1296" s="5">
        <f>F1296*G1296</f>
        <v/>
      </c>
    </row>
    <row r="1297">
      <c r="H1297" s="5">
        <f>F1297*G1297</f>
        <v/>
      </c>
    </row>
    <row r="1298">
      <c r="H1298" s="5">
        <f>F1298*G1298</f>
        <v/>
      </c>
    </row>
    <row r="1299">
      <c r="H1299" s="5">
        <f>F1299*G1299</f>
        <v/>
      </c>
    </row>
    <row r="1300">
      <c r="H1300" s="5">
        <f>F1300*G1300</f>
        <v/>
      </c>
    </row>
    <row r="1301">
      <c r="H1301" s="5">
        <f>F1301*G1301</f>
        <v/>
      </c>
    </row>
    <row r="1302">
      <c r="H1302" s="5">
        <f>F1302*G1302</f>
        <v/>
      </c>
    </row>
    <row r="1303">
      <c r="H1303" s="5">
        <f>F1303*G1303</f>
        <v/>
      </c>
    </row>
    <row r="1304">
      <c r="H1304" s="5">
        <f>F1304*G1304</f>
        <v/>
      </c>
    </row>
    <row r="1305">
      <c r="H1305" s="5">
        <f>F1305*G1305</f>
        <v/>
      </c>
    </row>
    <row r="1306">
      <c r="H1306" s="5">
        <f>F1306*G1306</f>
        <v/>
      </c>
    </row>
    <row r="1307">
      <c r="H1307" s="5">
        <f>F1307*G1307</f>
        <v/>
      </c>
    </row>
    <row r="1308">
      <c r="H1308" s="5">
        <f>F1308*G1308</f>
        <v/>
      </c>
    </row>
    <row r="1309">
      <c r="H1309" s="5">
        <f>F1309*G1309</f>
        <v/>
      </c>
    </row>
    <row r="1310">
      <c r="H1310" s="5">
        <f>F1310*G1310</f>
        <v/>
      </c>
    </row>
    <row r="1311">
      <c r="H1311" s="5">
        <f>F1311*G1311</f>
        <v/>
      </c>
    </row>
    <row r="1312">
      <c r="H1312" s="5">
        <f>F1312*G1312</f>
        <v/>
      </c>
    </row>
    <row r="1313">
      <c r="H1313" s="5">
        <f>F1313*G1313</f>
        <v/>
      </c>
    </row>
    <row r="1314">
      <c r="H1314" s="5">
        <f>F1314*G1314</f>
        <v/>
      </c>
    </row>
    <row r="1315">
      <c r="H1315" s="5">
        <f>F1315*G1315</f>
        <v/>
      </c>
    </row>
    <row r="1316">
      <c r="H1316" s="5">
        <f>F1316*G1316</f>
        <v/>
      </c>
    </row>
    <row r="1317">
      <c r="H1317" s="5">
        <f>F1317*G1317</f>
        <v/>
      </c>
    </row>
    <row r="1318">
      <c r="H1318" s="5">
        <f>F1318*G1318</f>
        <v/>
      </c>
    </row>
    <row r="1319">
      <c r="H1319" s="5">
        <f>F1319*G1319</f>
        <v/>
      </c>
    </row>
    <row r="1320">
      <c r="H1320" s="5">
        <f>F1320*G1320</f>
        <v/>
      </c>
    </row>
    <row r="1321">
      <c r="H1321" s="5">
        <f>F1321*G1321</f>
        <v/>
      </c>
    </row>
    <row r="1322">
      <c r="H1322" s="5">
        <f>F1322*G1322</f>
        <v/>
      </c>
    </row>
    <row r="1323">
      <c r="H1323" s="5">
        <f>F1323*G1323</f>
        <v/>
      </c>
    </row>
    <row r="1324">
      <c r="H1324" s="5">
        <f>F1324*G1324</f>
        <v/>
      </c>
    </row>
    <row r="1325">
      <c r="H1325" s="5">
        <f>F1325*G1325</f>
        <v/>
      </c>
    </row>
    <row r="1326">
      <c r="H1326" s="5">
        <f>F1326*G1326</f>
        <v/>
      </c>
    </row>
    <row r="1327">
      <c r="H1327" s="5">
        <f>F1327*G1327</f>
        <v/>
      </c>
    </row>
    <row r="1328">
      <c r="H1328" s="5">
        <f>F1328*G1328</f>
        <v/>
      </c>
    </row>
    <row r="1329">
      <c r="H1329" s="5">
        <f>F1329*G1329</f>
        <v/>
      </c>
    </row>
    <row r="1330">
      <c r="H1330" s="5">
        <f>F1330*G1330</f>
        <v/>
      </c>
    </row>
    <row r="1331">
      <c r="H1331" s="5">
        <f>F1331*G1331</f>
        <v/>
      </c>
    </row>
    <row r="1332">
      <c r="H1332" s="5">
        <f>F1332*G1332</f>
        <v/>
      </c>
    </row>
    <row r="1333">
      <c r="H1333" s="5">
        <f>F1333*G1333</f>
        <v/>
      </c>
    </row>
    <row r="1334">
      <c r="H1334" s="5">
        <f>F1334*G1334</f>
        <v/>
      </c>
    </row>
    <row r="1335">
      <c r="H1335" s="5">
        <f>F1335*G1335</f>
        <v/>
      </c>
    </row>
    <row r="1336">
      <c r="H1336" s="5">
        <f>F1336*G1336</f>
        <v/>
      </c>
    </row>
    <row r="1337">
      <c r="H1337" s="5">
        <f>F1337*G1337</f>
        <v/>
      </c>
    </row>
    <row r="1338">
      <c r="H1338" s="5">
        <f>F1338*G1338</f>
        <v/>
      </c>
    </row>
    <row r="1339">
      <c r="H1339" s="5">
        <f>F1339*G1339</f>
        <v/>
      </c>
    </row>
    <row r="1340">
      <c r="H1340" s="5">
        <f>F1340*G1340</f>
        <v/>
      </c>
    </row>
    <row r="1341">
      <c r="H1341" s="5">
        <f>F1341*G1341</f>
        <v/>
      </c>
    </row>
    <row r="1342">
      <c r="H1342" s="5">
        <f>F1342*G1342</f>
        <v/>
      </c>
    </row>
    <row r="1343">
      <c r="H1343" s="5">
        <f>F1343*G1343</f>
        <v/>
      </c>
    </row>
    <row r="1344">
      <c r="H1344" s="5">
        <f>F1344*G1344</f>
        <v/>
      </c>
    </row>
    <row r="1345">
      <c r="H1345" s="5">
        <f>F1345*G1345</f>
        <v/>
      </c>
    </row>
    <row r="1346">
      <c r="H1346" s="5">
        <f>F1346*G1346</f>
        <v/>
      </c>
    </row>
    <row r="1347">
      <c r="H1347" s="5">
        <f>F1347*G1347</f>
        <v/>
      </c>
    </row>
    <row r="1348">
      <c r="H1348" s="5">
        <f>F1348*G1348</f>
        <v/>
      </c>
    </row>
    <row r="1349">
      <c r="H1349" s="5">
        <f>F1349*G1349</f>
        <v/>
      </c>
    </row>
    <row r="1350">
      <c r="H1350" s="5">
        <f>F1350*G1350</f>
        <v/>
      </c>
    </row>
    <row r="1351">
      <c r="H1351" s="5">
        <f>F1351*G1351</f>
        <v/>
      </c>
    </row>
    <row r="1352">
      <c r="H1352" s="5">
        <f>F1352*G1352</f>
        <v/>
      </c>
    </row>
    <row r="1353">
      <c r="H1353" s="5">
        <f>F1353*G1353</f>
        <v/>
      </c>
    </row>
    <row r="1354">
      <c r="H1354" s="5">
        <f>F1354*G1354</f>
        <v/>
      </c>
    </row>
    <row r="1355">
      <c r="H1355" s="5">
        <f>F1355*G1355</f>
        <v/>
      </c>
    </row>
    <row r="1356">
      <c r="H1356" s="5">
        <f>F1356*G1356</f>
        <v/>
      </c>
    </row>
    <row r="1357">
      <c r="H1357" s="5">
        <f>F1357*G1357</f>
        <v/>
      </c>
    </row>
    <row r="1358">
      <c r="H1358" s="5">
        <f>F1358*G1358</f>
        <v/>
      </c>
    </row>
    <row r="1359">
      <c r="H1359" s="5">
        <f>F1359*G1359</f>
        <v/>
      </c>
    </row>
    <row r="1360">
      <c r="H1360" s="5">
        <f>F1360*G1360</f>
        <v/>
      </c>
    </row>
    <row r="1361">
      <c r="H1361" s="5">
        <f>F1361*G1361</f>
        <v/>
      </c>
    </row>
    <row r="1362">
      <c r="H1362" s="5">
        <f>F1362*G1362</f>
        <v/>
      </c>
    </row>
    <row r="1363">
      <c r="H1363" s="5">
        <f>F1363*G1363</f>
        <v/>
      </c>
    </row>
    <row r="1364">
      <c r="H1364" s="5">
        <f>F1364*G1364</f>
        <v/>
      </c>
    </row>
    <row r="1365">
      <c r="H1365" s="5">
        <f>F1365*G1365</f>
        <v/>
      </c>
    </row>
    <row r="1366">
      <c r="H1366" s="5">
        <f>F1366*G1366</f>
        <v/>
      </c>
    </row>
    <row r="1367">
      <c r="H1367" s="5">
        <f>F1367*G1367</f>
        <v/>
      </c>
    </row>
    <row r="1368">
      <c r="H1368" s="5">
        <f>F1368*G1368</f>
        <v/>
      </c>
    </row>
    <row r="1369">
      <c r="H1369" s="5">
        <f>F1369*G1369</f>
        <v/>
      </c>
    </row>
    <row r="1370">
      <c r="H1370" s="5">
        <f>F1370*G1370</f>
        <v/>
      </c>
    </row>
    <row r="1371">
      <c r="H1371" s="5">
        <f>F1371*G1371</f>
        <v/>
      </c>
    </row>
    <row r="1372">
      <c r="H1372" s="5">
        <f>F1372*G1372</f>
        <v/>
      </c>
    </row>
    <row r="1373">
      <c r="H1373" s="5">
        <f>F1373*G1373</f>
        <v/>
      </c>
    </row>
    <row r="1374">
      <c r="H1374" s="5">
        <f>F1374*G1374</f>
        <v/>
      </c>
    </row>
    <row r="1375">
      <c r="H1375" s="5">
        <f>F1375*G1375</f>
        <v/>
      </c>
    </row>
    <row r="1376">
      <c r="H1376" s="5">
        <f>F1376*G1376</f>
        <v/>
      </c>
    </row>
    <row r="1377">
      <c r="H1377" s="5">
        <f>F1377*G1377</f>
        <v/>
      </c>
    </row>
    <row r="1378">
      <c r="H1378" s="5">
        <f>F1378*G1378</f>
        <v/>
      </c>
    </row>
    <row r="1379">
      <c r="H1379" s="5">
        <f>F1379*G1379</f>
        <v/>
      </c>
    </row>
    <row r="1380">
      <c r="H1380" s="5">
        <f>F1380*G1380</f>
        <v/>
      </c>
    </row>
    <row r="1381">
      <c r="H1381" s="5">
        <f>F1381*G1381</f>
        <v/>
      </c>
    </row>
    <row r="1382">
      <c r="H1382" s="5">
        <f>F1382*G1382</f>
        <v/>
      </c>
    </row>
    <row r="1383">
      <c r="H1383" s="5">
        <f>F1383*G1383</f>
        <v/>
      </c>
    </row>
    <row r="1384">
      <c r="H1384" s="5">
        <f>F1384*G1384</f>
        <v/>
      </c>
    </row>
    <row r="1385">
      <c r="H1385" s="5">
        <f>F1385*G1385</f>
        <v/>
      </c>
    </row>
    <row r="1386">
      <c r="H1386" s="5">
        <f>F1386*G1386</f>
        <v/>
      </c>
    </row>
    <row r="1387">
      <c r="H1387" s="5">
        <f>F1387*G1387</f>
        <v/>
      </c>
    </row>
    <row r="1388">
      <c r="H1388" s="5">
        <f>F1388*G1388</f>
        <v/>
      </c>
    </row>
    <row r="1389">
      <c r="H1389" s="5">
        <f>F1389*G1389</f>
        <v/>
      </c>
    </row>
    <row r="1390">
      <c r="H1390" s="5">
        <f>F1390*G1390</f>
        <v/>
      </c>
    </row>
    <row r="1391">
      <c r="H1391" s="5">
        <f>F1391*G1391</f>
        <v/>
      </c>
    </row>
    <row r="1392">
      <c r="H1392" s="5">
        <f>F1392*G1392</f>
        <v/>
      </c>
    </row>
    <row r="1393">
      <c r="H1393" s="5">
        <f>F1393*G1393</f>
        <v/>
      </c>
    </row>
    <row r="1394">
      <c r="H1394" s="5">
        <f>F1394*G1394</f>
        <v/>
      </c>
    </row>
    <row r="1395">
      <c r="H1395" s="5">
        <f>F1395*G1395</f>
        <v/>
      </c>
    </row>
    <row r="1396">
      <c r="H1396" s="5">
        <f>F1396*G1396</f>
        <v/>
      </c>
    </row>
    <row r="1397">
      <c r="H1397" s="5">
        <f>F1397*G1397</f>
        <v/>
      </c>
    </row>
    <row r="1398">
      <c r="H1398" s="5">
        <f>F1398*G1398</f>
        <v/>
      </c>
    </row>
    <row r="1399">
      <c r="H1399" s="5">
        <f>F1399*G1399</f>
        <v/>
      </c>
    </row>
    <row r="1400">
      <c r="H1400" s="5">
        <f>F1400*G1400</f>
        <v/>
      </c>
    </row>
    <row r="1401">
      <c r="H1401" s="5">
        <f>F1401*G1401</f>
        <v/>
      </c>
    </row>
    <row r="1402">
      <c r="H1402" s="5">
        <f>F1402*G1402</f>
        <v/>
      </c>
    </row>
    <row r="1403">
      <c r="H1403" s="5">
        <f>F1403*G1403</f>
        <v/>
      </c>
    </row>
    <row r="1404">
      <c r="H1404" s="5">
        <f>F1404*G1404</f>
        <v/>
      </c>
    </row>
    <row r="1405">
      <c r="H1405" s="5">
        <f>F1405*G1405</f>
        <v/>
      </c>
    </row>
    <row r="1406">
      <c r="H1406" s="5">
        <f>F1406*G1406</f>
        <v/>
      </c>
    </row>
    <row r="1407">
      <c r="H1407" s="5">
        <f>F1407*G1407</f>
        <v/>
      </c>
    </row>
    <row r="1408">
      <c r="H1408" s="5">
        <f>F1408*G1408</f>
        <v/>
      </c>
    </row>
    <row r="1409">
      <c r="H1409" s="5">
        <f>F1409*G1409</f>
        <v/>
      </c>
    </row>
    <row r="1410">
      <c r="H1410" s="5">
        <f>F1410*G1410</f>
        <v/>
      </c>
    </row>
    <row r="1411">
      <c r="H1411" s="5">
        <f>F1411*G1411</f>
        <v/>
      </c>
    </row>
    <row r="1412">
      <c r="H1412" s="5">
        <f>F1412*G1412</f>
        <v/>
      </c>
    </row>
    <row r="1413">
      <c r="H1413" s="5">
        <f>F1413*G1413</f>
        <v/>
      </c>
    </row>
    <row r="1414">
      <c r="H1414" s="5">
        <f>F1414*G1414</f>
        <v/>
      </c>
    </row>
    <row r="1415">
      <c r="H1415" s="5">
        <f>F1415*G1415</f>
        <v/>
      </c>
    </row>
    <row r="1416">
      <c r="H1416" s="5">
        <f>F1416*G1416</f>
        <v/>
      </c>
    </row>
    <row r="1417">
      <c r="H1417" s="5">
        <f>F1417*G1417</f>
        <v/>
      </c>
    </row>
    <row r="1418">
      <c r="H1418" s="5">
        <f>F1418*G1418</f>
        <v/>
      </c>
    </row>
    <row r="1419">
      <c r="H1419" s="5">
        <f>F1419*G1419</f>
        <v/>
      </c>
    </row>
    <row r="1420">
      <c r="H1420" s="5">
        <f>F1420*G1420</f>
        <v/>
      </c>
    </row>
    <row r="1421">
      <c r="H1421" s="5">
        <f>F1421*G1421</f>
        <v/>
      </c>
    </row>
    <row r="1422">
      <c r="H1422" s="5">
        <f>F1422*G1422</f>
        <v/>
      </c>
    </row>
    <row r="1423">
      <c r="H1423" s="5">
        <f>F1423*G1423</f>
        <v/>
      </c>
    </row>
    <row r="1424">
      <c r="H1424" s="5">
        <f>F1424*G1424</f>
        <v/>
      </c>
    </row>
    <row r="1425">
      <c r="H1425" s="5">
        <f>F1425*G1425</f>
        <v/>
      </c>
    </row>
    <row r="1426">
      <c r="H1426" s="5">
        <f>F1426*G1426</f>
        <v/>
      </c>
    </row>
    <row r="1427">
      <c r="H1427" s="5">
        <f>F1427*G1427</f>
        <v/>
      </c>
    </row>
    <row r="1428">
      <c r="H1428" s="5">
        <f>F1428*G1428</f>
        <v/>
      </c>
    </row>
    <row r="1429">
      <c r="H1429" s="5">
        <f>F1429*G1429</f>
        <v/>
      </c>
    </row>
    <row r="1430">
      <c r="H1430" s="5">
        <f>F1430*G1430</f>
        <v/>
      </c>
    </row>
    <row r="1431">
      <c r="H1431" s="5">
        <f>F1431*G1431</f>
        <v/>
      </c>
    </row>
    <row r="1432">
      <c r="H1432" s="5">
        <f>F1432*G1432</f>
        <v/>
      </c>
    </row>
    <row r="1433">
      <c r="H1433" s="5">
        <f>F1433*G1433</f>
        <v/>
      </c>
    </row>
    <row r="1434">
      <c r="H1434" s="5">
        <f>F1434*G1434</f>
        <v/>
      </c>
    </row>
    <row r="1435">
      <c r="H1435" s="5">
        <f>F1435*G1435</f>
        <v/>
      </c>
    </row>
    <row r="1436">
      <c r="H1436" s="5">
        <f>F1436*G1436</f>
        <v/>
      </c>
    </row>
    <row r="1437">
      <c r="H1437" s="5">
        <f>F1437*G1437</f>
        <v/>
      </c>
    </row>
    <row r="1438">
      <c r="H1438" s="5">
        <f>F1438*G1438</f>
        <v/>
      </c>
    </row>
    <row r="1439">
      <c r="H1439" s="5">
        <f>F1439*G1439</f>
        <v/>
      </c>
    </row>
    <row r="1440">
      <c r="H1440" s="5">
        <f>F1440*G1440</f>
        <v/>
      </c>
    </row>
    <row r="1441">
      <c r="H1441" s="5">
        <f>F1441*G1441</f>
        <v/>
      </c>
    </row>
    <row r="1442">
      <c r="H1442" s="5">
        <f>F1442*G1442</f>
        <v/>
      </c>
    </row>
    <row r="1443">
      <c r="H1443" s="5">
        <f>F1443*G1443</f>
        <v/>
      </c>
    </row>
    <row r="1444">
      <c r="H1444" s="5">
        <f>F1444*G1444</f>
        <v/>
      </c>
    </row>
    <row r="1445">
      <c r="H1445" s="5">
        <f>F1445*G1445</f>
        <v/>
      </c>
    </row>
    <row r="1446">
      <c r="H1446" s="5">
        <f>F1446*G1446</f>
        <v/>
      </c>
    </row>
    <row r="1447">
      <c r="H1447" s="5">
        <f>F1447*G1447</f>
        <v/>
      </c>
    </row>
    <row r="1448">
      <c r="H1448" s="5">
        <f>F1448*G1448</f>
        <v/>
      </c>
    </row>
    <row r="1449">
      <c r="H1449" s="5">
        <f>F1449*G1449</f>
        <v/>
      </c>
    </row>
    <row r="1450">
      <c r="H1450" s="5">
        <f>F1450*G1450</f>
        <v/>
      </c>
    </row>
    <row r="1451">
      <c r="H1451" s="5">
        <f>F1451*G1451</f>
        <v/>
      </c>
    </row>
    <row r="1452">
      <c r="H1452" s="5">
        <f>F1452*G1452</f>
        <v/>
      </c>
    </row>
    <row r="1453">
      <c r="H1453" s="5">
        <f>F1453*G1453</f>
        <v/>
      </c>
    </row>
    <row r="1454">
      <c r="H1454" s="5">
        <f>F1454*G1454</f>
        <v/>
      </c>
    </row>
    <row r="1455">
      <c r="H1455" s="5">
        <f>F1455*G1455</f>
        <v/>
      </c>
    </row>
    <row r="1456">
      <c r="H1456" s="5">
        <f>F1456*G1456</f>
        <v/>
      </c>
    </row>
    <row r="1457">
      <c r="H1457" s="5">
        <f>F1457*G1457</f>
        <v/>
      </c>
    </row>
    <row r="1458">
      <c r="H1458" s="5">
        <f>F1458*G1458</f>
        <v/>
      </c>
    </row>
    <row r="1459">
      <c r="H1459" s="5">
        <f>F1459*G1459</f>
        <v/>
      </c>
    </row>
    <row r="1460">
      <c r="H1460" s="5">
        <f>F1460*G1460</f>
        <v/>
      </c>
    </row>
    <row r="1461">
      <c r="H1461" s="5">
        <f>F1461*G1461</f>
        <v/>
      </c>
    </row>
    <row r="1462">
      <c r="H1462" s="5">
        <f>F1462*G1462</f>
        <v/>
      </c>
    </row>
    <row r="1463">
      <c r="H1463" s="5">
        <f>F1463*G1463</f>
        <v/>
      </c>
    </row>
    <row r="1464">
      <c r="H1464" s="5">
        <f>F1464*G1464</f>
        <v/>
      </c>
    </row>
    <row r="1465">
      <c r="H1465" s="5">
        <f>F1465*G1465</f>
        <v/>
      </c>
    </row>
    <row r="1466">
      <c r="H1466" s="5">
        <f>F1466*G1466</f>
        <v/>
      </c>
    </row>
    <row r="1467">
      <c r="H1467" s="5">
        <f>F1467*G1467</f>
        <v/>
      </c>
    </row>
    <row r="1468">
      <c r="H1468" s="5">
        <f>F1468*G1468</f>
        <v/>
      </c>
    </row>
    <row r="1469">
      <c r="H1469" s="5">
        <f>F1469*G1469</f>
        <v/>
      </c>
    </row>
    <row r="1470">
      <c r="H1470" s="5">
        <f>F1470*G1470</f>
        <v/>
      </c>
    </row>
    <row r="1471">
      <c r="H1471" s="5">
        <f>F1471*G1471</f>
        <v/>
      </c>
    </row>
    <row r="1472">
      <c r="H1472" s="5">
        <f>F1472*G1472</f>
        <v/>
      </c>
    </row>
    <row r="1473">
      <c r="H1473" s="5">
        <f>F1473*G1473</f>
        <v/>
      </c>
    </row>
    <row r="1474">
      <c r="H1474" s="5">
        <f>F1474*G1474</f>
        <v/>
      </c>
    </row>
    <row r="1475">
      <c r="H1475" s="5">
        <f>F1475*G1475</f>
        <v/>
      </c>
    </row>
    <row r="1476">
      <c r="H1476" s="5">
        <f>F1476*G1476</f>
        <v/>
      </c>
    </row>
    <row r="1477">
      <c r="H1477" s="5">
        <f>F1477*G1477</f>
        <v/>
      </c>
    </row>
    <row r="1478">
      <c r="H1478" s="5">
        <f>F1478*G1478</f>
        <v/>
      </c>
    </row>
    <row r="1479">
      <c r="H1479" s="5">
        <f>F1479*G1479</f>
        <v/>
      </c>
    </row>
    <row r="1480">
      <c r="H1480" s="5">
        <f>F1480*G1480</f>
        <v/>
      </c>
    </row>
    <row r="1481">
      <c r="H1481" s="5">
        <f>F1481*G1481</f>
        <v/>
      </c>
    </row>
    <row r="1482">
      <c r="H1482" s="5">
        <f>F1482*G1482</f>
        <v/>
      </c>
    </row>
    <row r="1483">
      <c r="H1483" s="5">
        <f>F1483*G1483</f>
        <v/>
      </c>
    </row>
    <row r="1484">
      <c r="H1484" s="5">
        <f>F1484*G1484</f>
        <v/>
      </c>
    </row>
    <row r="1485">
      <c r="H1485" s="5">
        <f>F1485*G1485</f>
        <v/>
      </c>
    </row>
    <row r="1486">
      <c r="H1486" s="5">
        <f>F1486*G1486</f>
        <v/>
      </c>
    </row>
    <row r="1487">
      <c r="H1487" s="5">
        <f>F1487*G1487</f>
        <v/>
      </c>
    </row>
    <row r="1488">
      <c r="H1488" s="5">
        <f>F1488*G1488</f>
        <v/>
      </c>
    </row>
    <row r="1489">
      <c r="H1489" s="5">
        <f>F1489*G1489</f>
        <v/>
      </c>
    </row>
    <row r="1490">
      <c r="H1490" s="5">
        <f>F1490*G1490</f>
        <v/>
      </c>
    </row>
    <row r="1491">
      <c r="H1491" s="5">
        <f>F1491*G1491</f>
        <v/>
      </c>
    </row>
    <row r="1492">
      <c r="H1492" s="5">
        <f>F1492*G1492</f>
        <v/>
      </c>
    </row>
    <row r="1493">
      <c r="H1493" s="5">
        <f>F1493*G1493</f>
        <v/>
      </c>
    </row>
    <row r="1494">
      <c r="H1494" s="5">
        <f>F1494*G1494</f>
        <v/>
      </c>
    </row>
    <row r="1495">
      <c r="H1495" s="5">
        <f>F1495*G1495</f>
        <v/>
      </c>
    </row>
    <row r="1496">
      <c r="H1496" s="5">
        <f>F1496*G1496</f>
        <v/>
      </c>
    </row>
    <row r="1497">
      <c r="H1497" s="5">
        <f>F1497*G1497</f>
        <v/>
      </c>
    </row>
    <row r="1498">
      <c r="H1498" s="5">
        <f>F1498*G1498</f>
        <v/>
      </c>
    </row>
    <row r="1499">
      <c r="H1499" s="5">
        <f>F1499*G1499</f>
        <v/>
      </c>
    </row>
    <row r="1500">
      <c r="H1500" s="5">
        <f>F1500*G1500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8" customWidth="1" min="4" max="4"/>
    <col width="28" customWidth="1" min="5" max="5"/>
    <col width="28" customWidth="1" min="6" max="6"/>
  </cols>
  <sheetData>
    <row r="1" ht="22" customHeight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StdCost</t>
        </is>
      </c>
      <c r="E1" s="1" t="inlineStr">
        <is>
          <t>TotalSales</t>
        </is>
      </c>
      <c r="F1" s="1" t="inlineStr">
        <is>
          <t>TotalQty</t>
        </is>
      </c>
    </row>
    <row r="2">
      <c r="A2" s="3" t="inlineStr">
        <is>
          <t>P001</t>
        </is>
      </c>
      <c r="B2" s="3" t="inlineStr">
        <is>
          <t>Mango Juice 1L</t>
        </is>
      </c>
      <c r="C2" s="3" t="inlineStr">
        <is>
          <t>Beverages</t>
        </is>
      </c>
      <c r="D2" s="5">
        <f>AVERAGEIF(Purchases!$D$2:$D$2000,B2,Purchases!$G$2:$G$2000)</f>
        <v/>
      </c>
      <c r="E2" s="5">
        <f>SUMIF(Sales!$D$2:$D$5000,B2,Sales!$H$2:$H$5000)</f>
        <v/>
      </c>
      <c r="F2" s="4">
        <f>SUMIF(Sales!$D$2:$D$5000,B2,Sales!$F$2:$F$5000)</f>
        <v/>
      </c>
    </row>
    <row r="3">
      <c r="A3" s="3" t="inlineStr">
        <is>
          <t>P002</t>
        </is>
      </c>
      <c r="B3" s="3" t="inlineStr">
        <is>
          <t>Cola 750ml</t>
        </is>
      </c>
      <c r="C3" s="3" t="inlineStr">
        <is>
          <t>Beverages</t>
        </is>
      </c>
      <c r="D3" s="5">
        <f>AVERAGEIF(Purchases!$D$2:$D$2000,B3,Purchases!$G$2:$G$2000)</f>
        <v/>
      </c>
      <c r="E3" s="5">
        <f>SUMIF(Sales!$D$2:$D$5000,B3,Sales!$H$2:$H$5000)</f>
        <v/>
      </c>
      <c r="F3" s="4">
        <f>SUMIF(Sales!$D$2:$D$5000,B3,Sales!$F$2:$F$5000)</f>
        <v/>
      </c>
    </row>
    <row r="4">
      <c r="A4" s="3" t="inlineStr">
        <is>
          <t>P003</t>
        </is>
      </c>
      <c r="B4" s="3" t="inlineStr">
        <is>
          <t>Packaged Water 1L</t>
        </is>
      </c>
      <c r="C4" s="3" t="inlineStr">
        <is>
          <t>Beverages</t>
        </is>
      </c>
      <c r="D4" s="5">
        <f>AVERAGEIF(Purchases!$D$2:$D$2000,B4,Purchases!$G$2:$G$2000)</f>
        <v/>
      </c>
      <c r="E4" s="5">
        <f>SUMIF(Sales!$D$2:$D$5000,B4,Sales!$H$2:$H$5000)</f>
        <v/>
      </c>
      <c r="F4" s="4">
        <f>SUMIF(Sales!$D$2:$D$5000,B4,Sales!$F$2:$F$5000)</f>
        <v/>
      </c>
    </row>
    <row r="5">
      <c r="A5" s="3" t="inlineStr">
        <is>
          <t>P004</t>
        </is>
      </c>
      <c r="B5" s="3" t="inlineStr">
        <is>
          <t>Potato Chips 150g</t>
        </is>
      </c>
      <c r="C5" s="3" t="inlineStr">
        <is>
          <t>Snacks</t>
        </is>
      </c>
      <c r="D5" s="5">
        <f>AVERAGEIF(Purchases!$D$2:$D$2000,B5,Purchases!$G$2:$G$2000)</f>
        <v/>
      </c>
      <c r="E5" s="5">
        <f>SUMIF(Sales!$D$2:$D$5000,B5,Sales!$H$2:$H$5000)</f>
        <v/>
      </c>
      <c r="F5" s="4">
        <f>SUMIF(Sales!$D$2:$D$5000,B5,Sales!$F$2:$F$5000)</f>
        <v/>
      </c>
    </row>
    <row r="6">
      <c r="A6" s="3" t="inlineStr">
        <is>
          <t>P005</t>
        </is>
      </c>
      <c r="B6" s="3" t="inlineStr">
        <is>
          <t>Biscuits 400g</t>
        </is>
      </c>
      <c r="C6" s="3" t="inlineStr">
        <is>
          <t>Snacks</t>
        </is>
      </c>
      <c r="D6" s="5">
        <f>AVERAGEIF(Purchases!$D$2:$D$2000,B6,Purchases!$G$2:$G$2000)</f>
        <v/>
      </c>
      <c r="E6" s="5">
        <f>SUMIF(Sales!$D$2:$D$5000,B6,Sales!$H$2:$H$5000)</f>
        <v/>
      </c>
      <c r="F6" s="4">
        <f>SUMIF(Sales!$D$2:$D$5000,B6,Sales!$F$2:$F$5000)</f>
        <v/>
      </c>
    </row>
    <row r="7">
      <c r="A7" s="3" t="inlineStr">
        <is>
          <t>P006</t>
        </is>
      </c>
      <c r="B7" s="3" t="inlineStr">
        <is>
          <t>Instant Noodles 280g</t>
        </is>
      </c>
      <c r="C7" s="3" t="inlineStr">
        <is>
          <t>Snacks</t>
        </is>
      </c>
      <c r="D7" s="5">
        <f>AVERAGEIF(Purchases!$D$2:$D$2000,B7,Purchases!$G$2:$G$2000)</f>
        <v/>
      </c>
      <c r="E7" s="5">
        <f>SUMIF(Sales!$D$2:$D$5000,B7,Sales!$H$2:$H$5000)</f>
        <v/>
      </c>
      <c r="F7" s="4">
        <f>SUMIF(Sales!$D$2:$D$5000,B7,Sales!$F$2:$F$5000)</f>
        <v/>
      </c>
    </row>
    <row r="8">
      <c r="A8" s="3" t="inlineStr">
        <is>
          <t>P007</t>
        </is>
      </c>
      <c r="B8" s="3" t="inlineStr">
        <is>
          <t>Toned Milk 1L</t>
        </is>
      </c>
      <c r="C8" s="3" t="inlineStr">
        <is>
          <t>Dairy</t>
        </is>
      </c>
      <c r="D8" s="5">
        <f>AVERAGEIF(Purchases!$D$2:$D$2000,B8,Purchases!$G$2:$G$2000)</f>
        <v/>
      </c>
      <c r="E8" s="5">
        <f>SUMIF(Sales!$D$2:$D$5000,B8,Sales!$H$2:$H$5000)</f>
        <v/>
      </c>
      <c r="F8" s="4">
        <f>SUMIF(Sales!$D$2:$D$5000,B8,Sales!$F$2:$F$5000)</f>
        <v/>
      </c>
    </row>
    <row r="9">
      <c r="A9" s="3" t="inlineStr">
        <is>
          <t>P008</t>
        </is>
      </c>
      <c r="B9" s="3" t="inlineStr">
        <is>
          <t>Paneer 200g</t>
        </is>
      </c>
      <c r="C9" s="3" t="inlineStr">
        <is>
          <t>Dairy</t>
        </is>
      </c>
      <c r="D9" s="5">
        <f>AVERAGEIF(Purchases!$D$2:$D$2000,B9,Purchases!$G$2:$G$2000)</f>
        <v/>
      </c>
      <c r="E9" s="5">
        <f>SUMIF(Sales!$D$2:$D$5000,B9,Sales!$H$2:$H$5000)</f>
        <v/>
      </c>
      <c r="F9" s="4">
        <f>SUMIF(Sales!$D$2:$D$5000,B9,Sales!$F$2:$F$5000)</f>
        <v/>
      </c>
    </row>
    <row r="10">
      <c r="A10" s="3" t="inlineStr">
        <is>
          <t>P009</t>
        </is>
      </c>
      <c r="B10" s="3" t="inlineStr">
        <is>
          <t>Curd Cup 400g</t>
        </is>
      </c>
      <c r="C10" s="3" t="inlineStr">
        <is>
          <t>Dairy</t>
        </is>
      </c>
      <c r="D10" s="5">
        <f>AVERAGEIF(Purchases!$D$2:$D$2000,B10,Purchases!$G$2:$G$2000)</f>
        <v/>
      </c>
      <c r="E10" s="5">
        <f>SUMIF(Sales!$D$2:$D$5000,B10,Sales!$H$2:$H$5000)</f>
        <v/>
      </c>
      <c r="F10" s="4">
        <f>SUMIF(Sales!$D$2:$D$5000,B10,Sales!$F$2:$F$5000)</f>
        <v/>
      </c>
    </row>
    <row r="11">
      <c r="A11" s="3" t="inlineStr">
        <is>
          <t>P010</t>
        </is>
      </c>
      <c r="B11" s="3" t="inlineStr">
        <is>
          <t>Detergent 1kg</t>
        </is>
      </c>
      <c r="C11" s="3" t="inlineStr">
        <is>
          <t>Household</t>
        </is>
      </c>
      <c r="D11" s="5">
        <f>AVERAGEIF(Purchases!$D$2:$D$2000,B11,Purchases!$G$2:$G$2000)</f>
        <v/>
      </c>
      <c r="E11" s="5">
        <f>SUMIF(Sales!$D$2:$D$5000,B11,Sales!$H$2:$H$5000)</f>
        <v/>
      </c>
      <c r="F11" s="4">
        <f>SUMIF(Sales!$D$2:$D$5000,B11,Sales!$F$2:$F$5000)</f>
        <v/>
      </c>
    </row>
    <row r="12">
      <c r="A12" s="3" t="inlineStr">
        <is>
          <t>P011</t>
        </is>
      </c>
      <c r="B12" s="3" t="inlineStr">
        <is>
          <t>Dish Soap 500ml</t>
        </is>
      </c>
      <c r="C12" s="3" t="inlineStr">
        <is>
          <t>Household</t>
        </is>
      </c>
      <c r="D12" s="5">
        <f>AVERAGEIF(Purchases!$D$2:$D$2000,B12,Purchases!$G$2:$G$2000)</f>
        <v/>
      </c>
      <c r="E12" s="5">
        <f>SUMIF(Sales!$D$2:$D$5000,B12,Sales!$H$2:$H$5000)</f>
        <v/>
      </c>
      <c r="F12" s="4">
        <f>SUMIF(Sales!$D$2:$D$5000,B12,Sales!$F$2:$F$5000)</f>
        <v/>
      </c>
    </row>
    <row r="13">
      <c r="A13" s="3" t="inlineStr">
        <is>
          <t>P012</t>
        </is>
      </c>
      <c r="B13" s="3" t="inlineStr">
        <is>
          <t>Floor Cleaner 1L</t>
        </is>
      </c>
      <c r="C13" s="3" t="inlineStr">
        <is>
          <t>Household</t>
        </is>
      </c>
      <c r="D13" s="5">
        <f>AVERAGEIF(Purchases!$D$2:$D$2000,B13,Purchases!$G$2:$G$2000)</f>
        <v/>
      </c>
      <c r="E13" s="5">
        <f>SUMIF(Sales!$D$2:$D$5000,B13,Sales!$H$2:$H$5000)</f>
        <v/>
      </c>
      <c r="F13" s="4">
        <f>SUMIF(Sales!$D$2:$D$5000,B13,Sales!$F$2:$F$5000)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Month</t>
        </is>
      </c>
      <c r="B1" s="1" t="inlineStr">
        <is>
          <t>Sales</t>
        </is>
      </c>
      <c r="C1" s="1" t="inlineStr">
        <is>
          <t>Purchases</t>
        </is>
      </c>
      <c r="D1" s="1" t="inlineStr">
        <is>
          <t>COGS</t>
        </is>
      </c>
      <c r="E1" s="1" t="inlineStr">
        <is>
          <t>GrossProfit</t>
        </is>
      </c>
      <c r="F1" s="1" t="inlineStr">
        <is>
          <t>Margin%</t>
        </is>
      </c>
      <c r="G1" s="1" t="inlineStr">
        <is>
          <t>SeasonalityIdx</t>
        </is>
      </c>
    </row>
    <row r="2">
      <c r="A2" s="6" t="n">
        <v>46113</v>
      </c>
      <c r="B2" s="5">
        <f>SUMIFS(Sales!$H$2:$H$5000,Sales!$A$2:$A$5000,"&gt;="&amp;A2,Sales!$A$2:$A$5000,"&lt;"&amp;EDATE(A2,1))</f>
        <v/>
      </c>
      <c r="C2" s="5">
        <f>SUMIFS(Purchases!$H$2:$H$2000,Purchases!$A$2:$A$2000,"&gt;="&amp;A2,Purchases!$A$2:$A$2000,"&lt;"&amp;EDATE(A2,1))</f>
        <v/>
      </c>
      <c r="D2" s="5">
        <f>SUMIFS(Sales!$I$2:$I$5000,Sales!$A$2:$A$5000,"&gt;="&amp;A2,Sales!$A$2:$A$5000,"&lt;"&amp;EDATE(A2,1))</f>
        <v/>
      </c>
      <c r="E2" s="5">
        <f>B2-D2</f>
        <v/>
      </c>
      <c r="F2" s="7">
        <f>IF(B2=0,0,E2/B2)</f>
        <v/>
      </c>
      <c r="G2" s="8">
        <f>B2/AVERAGE($B$2:$B$7)</f>
        <v/>
      </c>
    </row>
    <row r="3">
      <c r="A3" s="6" t="n">
        <v>46143</v>
      </c>
      <c r="B3" s="5">
        <f>SUMIFS(Sales!$H$2:$H$5000,Sales!$A$2:$A$5000,"&gt;="&amp;A3,Sales!$A$2:$A$5000,"&lt;"&amp;EDATE(A3,1))</f>
        <v/>
      </c>
      <c r="C3" s="5">
        <f>SUMIFS(Purchases!$H$2:$H$2000,Purchases!$A$2:$A$2000,"&gt;="&amp;A3,Purchases!$A$2:$A$2000,"&lt;"&amp;EDATE(A3,1))</f>
        <v/>
      </c>
      <c r="D3" s="5">
        <f>SUMIFS(Sales!$I$2:$I$5000,Sales!$A$2:$A$5000,"&gt;="&amp;A3,Sales!$A$2:$A$5000,"&lt;"&amp;EDATE(A3,1))</f>
        <v/>
      </c>
      <c r="E3" s="5">
        <f>B3-D3</f>
        <v/>
      </c>
      <c r="F3" s="7">
        <f>IF(B3=0,0,E3/B3)</f>
        <v/>
      </c>
      <c r="G3" s="8">
        <f>B3/AVERAGE($B$2:$B$7)</f>
        <v/>
      </c>
    </row>
    <row r="4">
      <c r="A4" s="6" t="n">
        <v>46174</v>
      </c>
      <c r="B4" s="5">
        <f>SUMIFS(Sales!$H$2:$H$5000,Sales!$A$2:$A$5000,"&gt;="&amp;A4,Sales!$A$2:$A$5000,"&lt;"&amp;EDATE(A4,1))</f>
        <v/>
      </c>
      <c r="C4" s="5">
        <f>SUMIFS(Purchases!$H$2:$H$2000,Purchases!$A$2:$A$2000,"&gt;="&amp;A4,Purchases!$A$2:$A$2000,"&lt;"&amp;EDATE(A4,1))</f>
        <v/>
      </c>
      <c r="D4" s="5">
        <f>SUMIFS(Sales!$I$2:$I$5000,Sales!$A$2:$A$5000,"&gt;="&amp;A4,Sales!$A$2:$A$5000,"&lt;"&amp;EDATE(A4,1))</f>
        <v/>
      </c>
      <c r="E4" s="5">
        <f>B4-D4</f>
        <v/>
      </c>
      <c r="F4" s="7">
        <f>IF(B4=0,0,E4/B4)</f>
        <v/>
      </c>
      <c r="G4" s="8">
        <f>B4/AVERAGE($B$2:$B$7)</f>
        <v/>
      </c>
    </row>
    <row r="5">
      <c r="A5" s="6" t="n">
        <v>46204</v>
      </c>
      <c r="B5" s="5">
        <f>SUMIFS(Sales!$H$2:$H$5000,Sales!$A$2:$A$5000,"&gt;="&amp;A5,Sales!$A$2:$A$5000,"&lt;"&amp;EDATE(A5,1))</f>
        <v/>
      </c>
      <c r="C5" s="5">
        <f>SUMIFS(Purchases!$H$2:$H$2000,Purchases!$A$2:$A$2000,"&gt;="&amp;A5,Purchases!$A$2:$A$2000,"&lt;"&amp;EDATE(A5,1))</f>
        <v/>
      </c>
      <c r="D5" s="5">
        <f>SUMIFS(Sales!$I$2:$I$5000,Sales!$A$2:$A$5000,"&gt;="&amp;A5,Sales!$A$2:$A$5000,"&lt;"&amp;EDATE(A5,1))</f>
        <v/>
      </c>
      <c r="E5" s="5">
        <f>B5-D5</f>
        <v/>
      </c>
      <c r="F5" s="7">
        <f>IF(B5=0,0,E5/B5)</f>
        <v/>
      </c>
      <c r="G5" s="8">
        <f>B5/AVERAGE($B$2:$B$7)</f>
        <v/>
      </c>
    </row>
    <row r="6">
      <c r="A6" s="6" t="n">
        <v>46235</v>
      </c>
      <c r="B6" s="5">
        <f>SUMIFS(Sales!$H$2:$H$5000,Sales!$A$2:$A$5000,"&gt;="&amp;A6,Sales!$A$2:$A$5000,"&lt;"&amp;EDATE(A6,1))</f>
        <v/>
      </c>
      <c r="C6" s="5">
        <f>SUMIFS(Purchases!$H$2:$H$2000,Purchases!$A$2:$A$2000,"&gt;="&amp;A6,Purchases!$A$2:$A$2000,"&lt;"&amp;EDATE(A6,1))</f>
        <v/>
      </c>
      <c r="D6" s="5">
        <f>SUMIFS(Sales!$I$2:$I$5000,Sales!$A$2:$A$5000,"&gt;="&amp;A6,Sales!$A$2:$A$5000,"&lt;"&amp;EDATE(A6,1))</f>
        <v/>
      </c>
      <c r="E6" s="5">
        <f>B6-D6</f>
        <v/>
      </c>
      <c r="F6" s="7">
        <f>IF(B6=0,0,E6/B6)</f>
        <v/>
      </c>
      <c r="G6" s="8">
        <f>B6/AVERAGE($B$2:$B$7)</f>
        <v/>
      </c>
    </row>
    <row r="7">
      <c r="A7" s="6" t="n">
        <v>46266</v>
      </c>
      <c r="B7" s="5">
        <f>SUMIFS(Sales!$H$2:$H$5000,Sales!$A$2:$A$5000,"&gt;="&amp;A7,Sales!$A$2:$A$5000,"&lt;"&amp;EDATE(A7,1))</f>
        <v/>
      </c>
      <c r="C7" s="5">
        <f>SUMIFS(Purchases!$H$2:$H$2000,Purchases!$A$2:$A$2000,"&gt;="&amp;A7,Purchases!$A$2:$A$2000,"&lt;"&amp;EDATE(A7,1))</f>
        <v/>
      </c>
      <c r="D7" s="5">
        <f>SUMIFS(Sales!$I$2:$I$5000,Sales!$A$2:$A$5000,"&gt;="&amp;A7,Sales!$A$2:$A$5000,"&lt;"&amp;EDATE(A7,1))</f>
        <v/>
      </c>
      <c r="E7" s="5">
        <f>B7-D7</f>
        <v/>
      </c>
      <c r="F7" s="7">
        <f>IF(B7=0,0,E7/B7)</f>
        <v/>
      </c>
      <c r="G7" s="8">
        <f>B7/AVERAGE($B$2:$B$7)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 ht="22" customHeight="1">
      <c r="A1" s="1" t="inlineStr">
        <is>
          <t>Date</t>
        </is>
      </c>
      <c r="B1" s="1" t="inlineStr">
        <is>
          <t>Sales</t>
        </is>
      </c>
      <c r="C1" s="1" t="inlineStr">
        <is>
          <t>Avg</t>
        </is>
      </c>
      <c r="D1" s="1" t="inlineStr">
        <is>
          <t>Stdev</t>
        </is>
      </c>
      <c r="E1" s="1" t="inlineStr">
        <is>
          <t>Upper(2s)</t>
        </is>
      </c>
      <c r="F1" s="1" t="inlineStr">
        <is>
          <t>Lower(2s)</t>
        </is>
      </c>
      <c r="G1" s="1" t="inlineStr">
        <is>
          <t>Flag</t>
        </is>
      </c>
    </row>
    <row r="2">
      <c r="A2" s="2" t="n">
        <v>46113</v>
      </c>
      <c r="B2" s="5">
        <f>SUMIF(Sales!$A$2:$A$5000,A2,Sales!$H$2:$H$5000)</f>
        <v/>
      </c>
      <c r="C2" s="5">
        <f>AVERAGE($B$2:$B$184)</f>
        <v/>
      </c>
      <c r="D2" s="5">
        <f>STDEVP($B$2:$B$184)</f>
        <v/>
      </c>
      <c r="E2" s="5">
        <f>C2+2*D2</f>
        <v/>
      </c>
      <c r="F2" s="5">
        <f>MAX(0,C2-2*D2)</f>
        <v/>
      </c>
      <c r="G2" s="3">
        <f>IF(OR(B2&gt;E2,B2&lt;F2,AND(B2=0,C2&gt;0)),"ANOMALY","")</f>
        <v/>
      </c>
    </row>
    <row r="3">
      <c r="A3" s="2" t="n">
        <v>46114</v>
      </c>
      <c r="B3" s="5">
        <f>SUMIF(Sales!$A$2:$A$5000,A3,Sales!$H$2:$H$5000)</f>
        <v/>
      </c>
      <c r="C3" s="5">
        <f>AVERAGE($B$2:$B$184)</f>
        <v/>
      </c>
      <c r="D3" s="5">
        <f>STDEVP($B$2:$B$184)</f>
        <v/>
      </c>
      <c r="E3" s="5">
        <f>C2+2*D2</f>
        <v/>
      </c>
      <c r="F3" s="5">
        <f>MAX(0,C2-2*D2)</f>
        <v/>
      </c>
      <c r="G3" s="3">
        <f>IF(OR(B3&gt;E3,B3&lt;F3,AND(B3=0,C3&gt;0)),"ANOMALY","")</f>
        <v/>
      </c>
    </row>
    <row r="4">
      <c r="A4" s="2" t="n">
        <v>46115</v>
      </c>
      <c r="B4" s="5">
        <f>SUMIF(Sales!$A$2:$A$5000,A4,Sales!$H$2:$H$5000)</f>
        <v/>
      </c>
      <c r="C4" s="5">
        <f>AVERAGE($B$2:$B$184)</f>
        <v/>
      </c>
      <c r="D4" s="5">
        <f>STDEVP($B$2:$B$184)</f>
        <v/>
      </c>
      <c r="E4" s="5">
        <f>C2+2*D2</f>
        <v/>
      </c>
      <c r="F4" s="5">
        <f>MAX(0,C2-2*D2)</f>
        <v/>
      </c>
      <c r="G4" s="3">
        <f>IF(OR(B4&gt;E4,B4&lt;F4,AND(B4=0,C4&gt;0)),"ANOMALY","")</f>
        <v/>
      </c>
    </row>
    <row r="5">
      <c r="A5" s="2" t="n">
        <v>46116</v>
      </c>
      <c r="B5" s="5">
        <f>SUMIF(Sales!$A$2:$A$5000,A5,Sales!$H$2:$H$5000)</f>
        <v/>
      </c>
      <c r="C5" s="5">
        <f>AVERAGE($B$2:$B$184)</f>
        <v/>
      </c>
      <c r="D5" s="5">
        <f>STDEVP($B$2:$B$184)</f>
        <v/>
      </c>
      <c r="E5" s="5">
        <f>C2+2*D2</f>
        <v/>
      </c>
      <c r="F5" s="5">
        <f>MAX(0,C2-2*D2)</f>
        <v/>
      </c>
      <c r="G5" s="3">
        <f>IF(OR(B5&gt;E5,B5&lt;F5,AND(B5=0,C5&gt;0)),"ANOMALY","")</f>
        <v/>
      </c>
    </row>
    <row r="6">
      <c r="A6" s="2" t="n">
        <v>46117</v>
      </c>
      <c r="B6" s="5">
        <f>SUMIF(Sales!$A$2:$A$5000,A6,Sales!$H$2:$H$5000)</f>
        <v/>
      </c>
      <c r="C6" s="5">
        <f>AVERAGE($B$2:$B$184)</f>
        <v/>
      </c>
      <c r="D6" s="5">
        <f>STDEVP($B$2:$B$184)</f>
        <v/>
      </c>
      <c r="E6" s="5">
        <f>C2+2*D2</f>
        <v/>
      </c>
      <c r="F6" s="5">
        <f>MAX(0,C2-2*D2)</f>
        <v/>
      </c>
      <c r="G6" s="3">
        <f>IF(OR(B6&gt;E6,B6&lt;F6,AND(B6=0,C6&gt;0)),"ANOMALY","")</f>
        <v/>
      </c>
    </row>
    <row r="7">
      <c r="A7" s="2" t="n">
        <v>46118</v>
      </c>
      <c r="B7" s="5">
        <f>SUMIF(Sales!$A$2:$A$5000,A7,Sales!$H$2:$H$5000)</f>
        <v/>
      </c>
      <c r="C7" s="5">
        <f>AVERAGE($B$2:$B$184)</f>
        <v/>
      </c>
      <c r="D7" s="5">
        <f>STDEVP($B$2:$B$184)</f>
        <v/>
      </c>
      <c r="E7" s="5">
        <f>C2+2*D2</f>
        <v/>
      </c>
      <c r="F7" s="5">
        <f>MAX(0,C2-2*D2)</f>
        <v/>
      </c>
      <c r="G7" s="3">
        <f>IF(OR(B7&gt;E7,B7&lt;F7,AND(B7=0,C7&gt;0)),"ANOMALY","")</f>
        <v/>
      </c>
    </row>
    <row r="8">
      <c r="A8" s="2" t="n">
        <v>46119</v>
      </c>
      <c r="B8" s="5">
        <f>SUMIF(Sales!$A$2:$A$5000,A8,Sales!$H$2:$H$5000)</f>
        <v/>
      </c>
      <c r="C8" s="5">
        <f>AVERAGE($B$2:$B$184)</f>
        <v/>
      </c>
      <c r="D8" s="5">
        <f>STDEVP($B$2:$B$184)</f>
        <v/>
      </c>
      <c r="E8" s="5">
        <f>C2+2*D2</f>
        <v/>
      </c>
      <c r="F8" s="5">
        <f>MAX(0,C2-2*D2)</f>
        <v/>
      </c>
      <c r="G8" s="3">
        <f>IF(OR(B8&gt;E8,B8&lt;F8,AND(B8=0,C8&gt;0)),"ANOMALY","")</f>
        <v/>
      </c>
    </row>
    <row r="9">
      <c r="A9" s="2" t="n">
        <v>46120</v>
      </c>
      <c r="B9" s="5">
        <f>SUMIF(Sales!$A$2:$A$5000,A9,Sales!$H$2:$H$5000)</f>
        <v/>
      </c>
      <c r="C9" s="5">
        <f>AVERAGE($B$2:$B$184)</f>
        <v/>
      </c>
      <c r="D9" s="5">
        <f>STDEVP($B$2:$B$184)</f>
        <v/>
      </c>
      <c r="E9" s="5">
        <f>C2+2*D2</f>
        <v/>
      </c>
      <c r="F9" s="5">
        <f>MAX(0,C2-2*D2)</f>
        <v/>
      </c>
      <c r="G9" s="3">
        <f>IF(OR(B9&gt;E9,B9&lt;F9,AND(B9=0,C9&gt;0)),"ANOMALY","")</f>
        <v/>
      </c>
    </row>
    <row r="10">
      <c r="A10" s="2" t="n">
        <v>46121</v>
      </c>
      <c r="B10" s="5">
        <f>SUMIF(Sales!$A$2:$A$5000,A10,Sales!$H$2:$H$5000)</f>
        <v/>
      </c>
      <c r="C10" s="5">
        <f>AVERAGE($B$2:$B$184)</f>
        <v/>
      </c>
      <c r="D10" s="5">
        <f>STDEVP($B$2:$B$184)</f>
        <v/>
      </c>
      <c r="E10" s="5">
        <f>C2+2*D2</f>
        <v/>
      </c>
      <c r="F10" s="5">
        <f>MAX(0,C2-2*D2)</f>
        <v/>
      </c>
      <c r="G10" s="3">
        <f>IF(OR(B10&gt;E10,B10&lt;F10,AND(B10=0,C10&gt;0)),"ANOMALY","")</f>
        <v/>
      </c>
    </row>
    <row r="11">
      <c r="A11" s="2" t="n">
        <v>46122</v>
      </c>
      <c r="B11" s="5">
        <f>SUMIF(Sales!$A$2:$A$5000,A11,Sales!$H$2:$H$5000)</f>
        <v/>
      </c>
      <c r="C11" s="5">
        <f>AVERAGE($B$2:$B$184)</f>
        <v/>
      </c>
      <c r="D11" s="5">
        <f>STDEVP($B$2:$B$184)</f>
        <v/>
      </c>
      <c r="E11" s="5">
        <f>C2+2*D2</f>
        <v/>
      </c>
      <c r="F11" s="5">
        <f>MAX(0,C2-2*D2)</f>
        <v/>
      </c>
      <c r="G11" s="3">
        <f>IF(OR(B11&gt;E11,B11&lt;F11,AND(B11=0,C11&gt;0)),"ANOMALY","")</f>
        <v/>
      </c>
    </row>
    <row r="12">
      <c r="A12" s="2" t="n">
        <v>46123</v>
      </c>
      <c r="B12" s="5">
        <f>SUMIF(Sales!$A$2:$A$5000,A12,Sales!$H$2:$H$5000)</f>
        <v/>
      </c>
      <c r="C12" s="5">
        <f>AVERAGE($B$2:$B$184)</f>
        <v/>
      </c>
      <c r="D12" s="5">
        <f>STDEVP($B$2:$B$184)</f>
        <v/>
      </c>
      <c r="E12" s="5">
        <f>C2+2*D2</f>
        <v/>
      </c>
      <c r="F12" s="5">
        <f>MAX(0,C2-2*D2)</f>
        <v/>
      </c>
      <c r="G12" s="3">
        <f>IF(OR(B12&gt;E12,B12&lt;F12,AND(B12=0,C12&gt;0)),"ANOMALY","")</f>
        <v/>
      </c>
    </row>
    <row r="13">
      <c r="A13" s="2" t="n">
        <v>46124</v>
      </c>
      <c r="B13" s="5">
        <f>SUMIF(Sales!$A$2:$A$5000,A13,Sales!$H$2:$H$5000)</f>
        <v/>
      </c>
      <c r="C13" s="5">
        <f>AVERAGE($B$2:$B$184)</f>
        <v/>
      </c>
      <c r="D13" s="5">
        <f>STDEVP($B$2:$B$184)</f>
        <v/>
      </c>
      <c r="E13" s="5">
        <f>C2+2*D2</f>
        <v/>
      </c>
      <c r="F13" s="5">
        <f>MAX(0,C2-2*D2)</f>
        <v/>
      </c>
      <c r="G13" s="3">
        <f>IF(OR(B13&gt;E13,B13&lt;F13,AND(B13=0,C13&gt;0)),"ANOMALY","")</f>
        <v/>
      </c>
    </row>
    <row r="14">
      <c r="A14" s="2" t="n">
        <v>46125</v>
      </c>
      <c r="B14" s="5">
        <f>SUMIF(Sales!$A$2:$A$5000,A14,Sales!$H$2:$H$5000)</f>
        <v/>
      </c>
      <c r="C14" s="5">
        <f>AVERAGE($B$2:$B$184)</f>
        <v/>
      </c>
      <c r="D14" s="5">
        <f>STDEVP($B$2:$B$184)</f>
        <v/>
      </c>
      <c r="E14" s="5">
        <f>C2+2*D2</f>
        <v/>
      </c>
      <c r="F14" s="5">
        <f>MAX(0,C2-2*D2)</f>
        <v/>
      </c>
      <c r="G14" s="3">
        <f>IF(OR(B14&gt;E14,B14&lt;F14,AND(B14=0,C14&gt;0)),"ANOMALY","")</f>
        <v/>
      </c>
    </row>
    <row r="15">
      <c r="A15" s="2" t="n">
        <v>46126</v>
      </c>
      <c r="B15" s="5">
        <f>SUMIF(Sales!$A$2:$A$5000,A15,Sales!$H$2:$H$5000)</f>
        <v/>
      </c>
      <c r="C15" s="5">
        <f>AVERAGE($B$2:$B$184)</f>
        <v/>
      </c>
      <c r="D15" s="5">
        <f>STDEVP($B$2:$B$184)</f>
        <v/>
      </c>
      <c r="E15" s="5">
        <f>C2+2*D2</f>
        <v/>
      </c>
      <c r="F15" s="5">
        <f>MAX(0,C2-2*D2)</f>
        <v/>
      </c>
      <c r="G15" s="3">
        <f>IF(OR(B15&gt;E15,B15&lt;F15,AND(B15=0,C15&gt;0)),"ANOMALY","")</f>
        <v/>
      </c>
    </row>
    <row r="16">
      <c r="A16" s="2" t="n">
        <v>46127</v>
      </c>
      <c r="B16" s="5">
        <f>SUMIF(Sales!$A$2:$A$5000,A16,Sales!$H$2:$H$5000)</f>
        <v/>
      </c>
      <c r="C16" s="5">
        <f>AVERAGE($B$2:$B$184)</f>
        <v/>
      </c>
      <c r="D16" s="5">
        <f>STDEVP($B$2:$B$184)</f>
        <v/>
      </c>
      <c r="E16" s="5">
        <f>C2+2*D2</f>
        <v/>
      </c>
      <c r="F16" s="5">
        <f>MAX(0,C2-2*D2)</f>
        <v/>
      </c>
      <c r="G16" s="3">
        <f>IF(OR(B16&gt;E16,B16&lt;F16,AND(B16=0,C16&gt;0)),"ANOMALY","")</f>
        <v/>
      </c>
    </row>
    <row r="17">
      <c r="A17" s="2" t="n">
        <v>46128</v>
      </c>
      <c r="B17" s="5">
        <f>SUMIF(Sales!$A$2:$A$5000,A17,Sales!$H$2:$H$5000)</f>
        <v/>
      </c>
      <c r="C17" s="5">
        <f>AVERAGE($B$2:$B$184)</f>
        <v/>
      </c>
      <c r="D17" s="5">
        <f>STDEVP($B$2:$B$184)</f>
        <v/>
      </c>
      <c r="E17" s="5">
        <f>C2+2*D2</f>
        <v/>
      </c>
      <c r="F17" s="5">
        <f>MAX(0,C2-2*D2)</f>
        <v/>
      </c>
      <c r="G17" s="3">
        <f>IF(OR(B17&gt;E17,B17&lt;F17,AND(B17=0,C17&gt;0)),"ANOMALY","")</f>
        <v/>
      </c>
    </row>
    <row r="18">
      <c r="A18" s="2" t="n">
        <v>46129</v>
      </c>
      <c r="B18" s="5">
        <f>SUMIF(Sales!$A$2:$A$5000,A18,Sales!$H$2:$H$5000)</f>
        <v/>
      </c>
      <c r="C18" s="5">
        <f>AVERAGE($B$2:$B$184)</f>
        <v/>
      </c>
      <c r="D18" s="5">
        <f>STDEVP($B$2:$B$184)</f>
        <v/>
      </c>
      <c r="E18" s="5">
        <f>C2+2*D2</f>
        <v/>
      </c>
      <c r="F18" s="5">
        <f>MAX(0,C2-2*D2)</f>
        <v/>
      </c>
      <c r="G18" s="3">
        <f>IF(OR(B18&gt;E18,B18&lt;F18,AND(B18=0,C18&gt;0)),"ANOMALY","")</f>
        <v/>
      </c>
    </row>
    <row r="19">
      <c r="A19" s="2" t="n">
        <v>46130</v>
      </c>
      <c r="B19" s="5">
        <f>SUMIF(Sales!$A$2:$A$5000,A19,Sales!$H$2:$H$5000)</f>
        <v/>
      </c>
      <c r="C19" s="5">
        <f>AVERAGE($B$2:$B$184)</f>
        <v/>
      </c>
      <c r="D19" s="5">
        <f>STDEVP($B$2:$B$184)</f>
        <v/>
      </c>
      <c r="E19" s="5">
        <f>C2+2*D2</f>
        <v/>
      </c>
      <c r="F19" s="5">
        <f>MAX(0,C2-2*D2)</f>
        <v/>
      </c>
      <c r="G19" s="3">
        <f>IF(OR(B19&gt;E19,B19&lt;F19,AND(B19=0,C19&gt;0)),"ANOMALY","")</f>
        <v/>
      </c>
    </row>
    <row r="20">
      <c r="A20" s="2" t="n">
        <v>46131</v>
      </c>
      <c r="B20" s="5">
        <f>SUMIF(Sales!$A$2:$A$5000,A20,Sales!$H$2:$H$5000)</f>
        <v/>
      </c>
      <c r="C20" s="5">
        <f>AVERAGE($B$2:$B$184)</f>
        <v/>
      </c>
      <c r="D20" s="5">
        <f>STDEVP($B$2:$B$184)</f>
        <v/>
      </c>
      <c r="E20" s="5">
        <f>C2+2*D2</f>
        <v/>
      </c>
      <c r="F20" s="5">
        <f>MAX(0,C2-2*D2)</f>
        <v/>
      </c>
      <c r="G20" s="3">
        <f>IF(OR(B20&gt;E20,B20&lt;F20,AND(B20=0,C20&gt;0)),"ANOMALY","")</f>
        <v/>
      </c>
    </row>
    <row r="21">
      <c r="A21" s="2" t="n">
        <v>46132</v>
      </c>
      <c r="B21" s="5">
        <f>SUMIF(Sales!$A$2:$A$5000,A21,Sales!$H$2:$H$5000)</f>
        <v/>
      </c>
      <c r="C21" s="5">
        <f>AVERAGE($B$2:$B$184)</f>
        <v/>
      </c>
      <c r="D21" s="5">
        <f>STDEVP($B$2:$B$184)</f>
        <v/>
      </c>
      <c r="E21" s="5">
        <f>C2+2*D2</f>
        <v/>
      </c>
      <c r="F21" s="5">
        <f>MAX(0,C2-2*D2)</f>
        <v/>
      </c>
      <c r="G21" s="3">
        <f>IF(OR(B21&gt;E21,B21&lt;F21,AND(B21=0,C21&gt;0)),"ANOMALY","")</f>
        <v/>
      </c>
    </row>
    <row r="22">
      <c r="A22" s="2" t="n">
        <v>46133</v>
      </c>
      <c r="B22" s="5">
        <f>SUMIF(Sales!$A$2:$A$5000,A22,Sales!$H$2:$H$5000)</f>
        <v/>
      </c>
      <c r="C22" s="5">
        <f>AVERAGE($B$2:$B$184)</f>
        <v/>
      </c>
      <c r="D22" s="5">
        <f>STDEVP($B$2:$B$184)</f>
        <v/>
      </c>
      <c r="E22" s="5">
        <f>C2+2*D2</f>
        <v/>
      </c>
      <c r="F22" s="5">
        <f>MAX(0,C2-2*D2)</f>
        <v/>
      </c>
      <c r="G22" s="3">
        <f>IF(OR(B22&gt;E22,B22&lt;F22,AND(B22=0,C22&gt;0)),"ANOMALY","")</f>
        <v/>
      </c>
    </row>
    <row r="23">
      <c r="A23" s="2" t="n">
        <v>46134</v>
      </c>
      <c r="B23" s="5">
        <f>SUMIF(Sales!$A$2:$A$5000,A23,Sales!$H$2:$H$5000)</f>
        <v/>
      </c>
      <c r="C23" s="5">
        <f>AVERAGE($B$2:$B$184)</f>
        <v/>
      </c>
      <c r="D23" s="5">
        <f>STDEVP($B$2:$B$184)</f>
        <v/>
      </c>
      <c r="E23" s="5">
        <f>C2+2*D2</f>
        <v/>
      </c>
      <c r="F23" s="5">
        <f>MAX(0,C2-2*D2)</f>
        <v/>
      </c>
      <c r="G23" s="3">
        <f>IF(OR(B23&gt;E23,B23&lt;F23,AND(B23=0,C23&gt;0)),"ANOMALY","")</f>
        <v/>
      </c>
    </row>
    <row r="24">
      <c r="A24" s="2" t="n">
        <v>46135</v>
      </c>
      <c r="B24" s="5">
        <f>SUMIF(Sales!$A$2:$A$5000,A24,Sales!$H$2:$H$5000)</f>
        <v/>
      </c>
      <c r="C24" s="5">
        <f>AVERAGE($B$2:$B$184)</f>
        <v/>
      </c>
      <c r="D24" s="5">
        <f>STDEVP($B$2:$B$184)</f>
        <v/>
      </c>
      <c r="E24" s="5">
        <f>C2+2*D2</f>
        <v/>
      </c>
      <c r="F24" s="5">
        <f>MAX(0,C2-2*D2)</f>
        <v/>
      </c>
      <c r="G24" s="3">
        <f>IF(OR(B24&gt;E24,B24&lt;F24,AND(B24=0,C24&gt;0)),"ANOMALY","")</f>
        <v/>
      </c>
    </row>
    <row r="25">
      <c r="A25" s="2" t="n">
        <v>46136</v>
      </c>
      <c r="B25" s="5">
        <f>SUMIF(Sales!$A$2:$A$5000,A25,Sales!$H$2:$H$5000)</f>
        <v/>
      </c>
      <c r="C25" s="5">
        <f>AVERAGE($B$2:$B$184)</f>
        <v/>
      </c>
      <c r="D25" s="5">
        <f>STDEVP($B$2:$B$184)</f>
        <v/>
      </c>
      <c r="E25" s="5">
        <f>C2+2*D2</f>
        <v/>
      </c>
      <c r="F25" s="5">
        <f>MAX(0,C2-2*D2)</f>
        <v/>
      </c>
      <c r="G25" s="3">
        <f>IF(OR(B25&gt;E25,B25&lt;F25,AND(B25=0,C25&gt;0)),"ANOMALY","")</f>
        <v/>
      </c>
    </row>
    <row r="26">
      <c r="A26" s="2" t="n">
        <v>46137</v>
      </c>
      <c r="B26" s="5">
        <f>SUMIF(Sales!$A$2:$A$5000,A26,Sales!$H$2:$H$5000)</f>
        <v/>
      </c>
      <c r="C26" s="5">
        <f>AVERAGE($B$2:$B$184)</f>
        <v/>
      </c>
      <c r="D26" s="5">
        <f>STDEVP($B$2:$B$184)</f>
        <v/>
      </c>
      <c r="E26" s="5">
        <f>C2+2*D2</f>
        <v/>
      </c>
      <c r="F26" s="5">
        <f>MAX(0,C2-2*D2)</f>
        <v/>
      </c>
      <c r="G26" s="3">
        <f>IF(OR(B26&gt;E26,B26&lt;F26,AND(B26=0,C26&gt;0)),"ANOMALY","")</f>
        <v/>
      </c>
    </row>
    <row r="27">
      <c r="A27" s="2" t="n">
        <v>46138</v>
      </c>
      <c r="B27" s="5">
        <f>SUMIF(Sales!$A$2:$A$5000,A27,Sales!$H$2:$H$5000)</f>
        <v/>
      </c>
      <c r="C27" s="5">
        <f>AVERAGE($B$2:$B$184)</f>
        <v/>
      </c>
      <c r="D27" s="5">
        <f>STDEVP($B$2:$B$184)</f>
        <v/>
      </c>
      <c r="E27" s="5">
        <f>C2+2*D2</f>
        <v/>
      </c>
      <c r="F27" s="5">
        <f>MAX(0,C2-2*D2)</f>
        <v/>
      </c>
      <c r="G27" s="3">
        <f>IF(OR(B27&gt;E27,B27&lt;F27,AND(B27=0,C27&gt;0)),"ANOMALY","")</f>
        <v/>
      </c>
    </row>
    <row r="28">
      <c r="A28" s="2" t="n">
        <v>46139</v>
      </c>
      <c r="B28" s="5">
        <f>SUMIF(Sales!$A$2:$A$5000,A28,Sales!$H$2:$H$5000)</f>
        <v/>
      </c>
      <c r="C28" s="5">
        <f>AVERAGE($B$2:$B$184)</f>
        <v/>
      </c>
      <c r="D28" s="5">
        <f>STDEVP($B$2:$B$184)</f>
        <v/>
      </c>
      <c r="E28" s="5">
        <f>C2+2*D2</f>
        <v/>
      </c>
      <c r="F28" s="5">
        <f>MAX(0,C2-2*D2)</f>
        <v/>
      </c>
      <c r="G28" s="3">
        <f>IF(OR(B28&gt;E28,B28&lt;F28,AND(B28=0,C28&gt;0)),"ANOMALY","")</f>
        <v/>
      </c>
    </row>
    <row r="29">
      <c r="A29" s="2" t="n">
        <v>46140</v>
      </c>
      <c r="B29" s="5">
        <f>SUMIF(Sales!$A$2:$A$5000,A29,Sales!$H$2:$H$5000)</f>
        <v/>
      </c>
      <c r="C29" s="5">
        <f>AVERAGE($B$2:$B$184)</f>
        <v/>
      </c>
      <c r="D29" s="5">
        <f>STDEVP($B$2:$B$184)</f>
        <v/>
      </c>
      <c r="E29" s="5">
        <f>C2+2*D2</f>
        <v/>
      </c>
      <c r="F29" s="5">
        <f>MAX(0,C2-2*D2)</f>
        <v/>
      </c>
      <c r="G29" s="3">
        <f>IF(OR(B29&gt;E29,B29&lt;F29,AND(B29=0,C29&gt;0)),"ANOMALY","")</f>
        <v/>
      </c>
    </row>
    <row r="30">
      <c r="A30" s="2" t="n">
        <v>46141</v>
      </c>
      <c r="B30" s="5">
        <f>SUMIF(Sales!$A$2:$A$5000,A30,Sales!$H$2:$H$5000)</f>
        <v/>
      </c>
      <c r="C30" s="5">
        <f>AVERAGE($B$2:$B$184)</f>
        <v/>
      </c>
      <c r="D30" s="5">
        <f>STDEVP($B$2:$B$184)</f>
        <v/>
      </c>
      <c r="E30" s="5">
        <f>C2+2*D2</f>
        <v/>
      </c>
      <c r="F30" s="5">
        <f>MAX(0,C2-2*D2)</f>
        <v/>
      </c>
      <c r="G30" s="3">
        <f>IF(OR(B30&gt;E30,B30&lt;F30,AND(B30=0,C30&gt;0)),"ANOMALY","")</f>
        <v/>
      </c>
    </row>
    <row r="31">
      <c r="A31" s="2" t="n">
        <v>46142</v>
      </c>
      <c r="B31" s="5">
        <f>SUMIF(Sales!$A$2:$A$5000,A31,Sales!$H$2:$H$5000)</f>
        <v/>
      </c>
      <c r="C31" s="5">
        <f>AVERAGE($B$2:$B$184)</f>
        <v/>
      </c>
      <c r="D31" s="5">
        <f>STDEVP($B$2:$B$184)</f>
        <v/>
      </c>
      <c r="E31" s="5">
        <f>C2+2*D2</f>
        <v/>
      </c>
      <c r="F31" s="5">
        <f>MAX(0,C2-2*D2)</f>
        <v/>
      </c>
      <c r="G31" s="3">
        <f>IF(OR(B31&gt;E31,B31&lt;F31,AND(B31=0,C31&gt;0)),"ANOMALY","")</f>
        <v/>
      </c>
    </row>
    <row r="32">
      <c r="A32" s="2" t="n">
        <v>46143</v>
      </c>
      <c r="B32" s="5">
        <f>SUMIF(Sales!$A$2:$A$5000,A32,Sales!$H$2:$H$5000)</f>
        <v/>
      </c>
      <c r="C32" s="5">
        <f>AVERAGE($B$2:$B$184)</f>
        <v/>
      </c>
      <c r="D32" s="5">
        <f>STDEVP($B$2:$B$184)</f>
        <v/>
      </c>
      <c r="E32" s="5">
        <f>C2+2*D2</f>
        <v/>
      </c>
      <c r="F32" s="5">
        <f>MAX(0,C2-2*D2)</f>
        <v/>
      </c>
      <c r="G32" s="3">
        <f>IF(OR(B32&gt;E32,B32&lt;F32,AND(B32=0,C32&gt;0)),"ANOMALY","")</f>
        <v/>
      </c>
    </row>
    <row r="33">
      <c r="A33" s="2" t="n">
        <v>46144</v>
      </c>
      <c r="B33" s="5">
        <f>SUMIF(Sales!$A$2:$A$5000,A33,Sales!$H$2:$H$5000)</f>
        <v/>
      </c>
      <c r="C33" s="5">
        <f>AVERAGE($B$2:$B$184)</f>
        <v/>
      </c>
      <c r="D33" s="5">
        <f>STDEVP($B$2:$B$184)</f>
        <v/>
      </c>
      <c r="E33" s="5">
        <f>C2+2*D2</f>
        <v/>
      </c>
      <c r="F33" s="5">
        <f>MAX(0,C2-2*D2)</f>
        <v/>
      </c>
      <c r="G33" s="3">
        <f>IF(OR(B33&gt;E33,B33&lt;F33,AND(B33=0,C33&gt;0)),"ANOMALY","")</f>
        <v/>
      </c>
    </row>
    <row r="34">
      <c r="A34" s="2" t="n">
        <v>46145</v>
      </c>
      <c r="B34" s="5">
        <f>SUMIF(Sales!$A$2:$A$5000,A34,Sales!$H$2:$H$5000)</f>
        <v/>
      </c>
      <c r="C34" s="5">
        <f>AVERAGE($B$2:$B$184)</f>
        <v/>
      </c>
      <c r="D34" s="5">
        <f>STDEVP($B$2:$B$184)</f>
        <v/>
      </c>
      <c r="E34" s="5">
        <f>C2+2*D2</f>
        <v/>
      </c>
      <c r="F34" s="5">
        <f>MAX(0,C2-2*D2)</f>
        <v/>
      </c>
      <c r="G34" s="3">
        <f>IF(OR(B34&gt;E34,B34&lt;F34,AND(B34=0,C34&gt;0)),"ANOMALY","")</f>
        <v/>
      </c>
    </row>
    <row r="35">
      <c r="A35" s="2" t="n">
        <v>46146</v>
      </c>
      <c r="B35" s="5">
        <f>SUMIF(Sales!$A$2:$A$5000,A35,Sales!$H$2:$H$5000)</f>
        <v/>
      </c>
      <c r="C35" s="5">
        <f>AVERAGE($B$2:$B$184)</f>
        <v/>
      </c>
      <c r="D35" s="5">
        <f>STDEVP($B$2:$B$184)</f>
        <v/>
      </c>
      <c r="E35" s="5">
        <f>C2+2*D2</f>
        <v/>
      </c>
      <c r="F35" s="5">
        <f>MAX(0,C2-2*D2)</f>
        <v/>
      </c>
      <c r="G35" s="3">
        <f>IF(OR(B35&gt;E35,B35&lt;F35,AND(B35=0,C35&gt;0)),"ANOMALY","")</f>
        <v/>
      </c>
    </row>
    <row r="36">
      <c r="A36" s="2" t="n">
        <v>46147</v>
      </c>
      <c r="B36" s="5">
        <f>SUMIF(Sales!$A$2:$A$5000,A36,Sales!$H$2:$H$5000)</f>
        <v/>
      </c>
      <c r="C36" s="5">
        <f>AVERAGE($B$2:$B$184)</f>
        <v/>
      </c>
      <c r="D36" s="5">
        <f>STDEVP($B$2:$B$184)</f>
        <v/>
      </c>
      <c r="E36" s="5">
        <f>C2+2*D2</f>
        <v/>
      </c>
      <c r="F36" s="5">
        <f>MAX(0,C2-2*D2)</f>
        <v/>
      </c>
      <c r="G36" s="3">
        <f>IF(OR(B36&gt;E36,B36&lt;F36,AND(B36=0,C36&gt;0)),"ANOMALY","")</f>
        <v/>
      </c>
    </row>
    <row r="37">
      <c r="A37" s="2" t="n">
        <v>46148</v>
      </c>
      <c r="B37" s="5">
        <f>SUMIF(Sales!$A$2:$A$5000,A37,Sales!$H$2:$H$5000)</f>
        <v/>
      </c>
      <c r="C37" s="5">
        <f>AVERAGE($B$2:$B$184)</f>
        <v/>
      </c>
      <c r="D37" s="5">
        <f>STDEVP($B$2:$B$184)</f>
        <v/>
      </c>
      <c r="E37" s="5">
        <f>C2+2*D2</f>
        <v/>
      </c>
      <c r="F37" s="5">
        <f>MAX(0,C2-2*D2)</f>
        <v/>
      </c>
      <c r="G37" s="3">
        <f>IF(OR(B37&gt;E37,B37&lt;F37,AND(B37=0,C37&gt;0)),"ANOMALY","")</f>
        <v/>
      </c>
    </row>
    <row r="38">
      <c r="A38" s="2" t="n">
        <v>46149</v>
      </c>
      <c r="B38" s="5">
        <f>SUMIF(Sales!$A$2:$A$5000,A38,Sales!$H$2:$H$5000)</f>
        <v/>
      </c>
      <c r="C38" s="5">
        <f>AVERAGE($B$2:$B$184)</f>
        <v/>
      </c>
      <c r="D38" s="5">
        <f>STDEVP($B$2:$B$184)</f>
        <v/>
      </c>
      <c r="E38" s="5">
        <f>C2+2*D2</f>
        <v/>
      </c>
      <c r="F38" s="5">
        <f>MAX(0,C2-2*D2)</f>
        <v/>
      </c>
      <c r="G38" s="3">
        <f>IF(OR(B38&gt;E38,B38&lt;F38,AND(B38=0,C38&gt;0)),"ANOMALY","")</f>
        <v/>
      </c>
    </row>
    <row r="39">
      <c r="A39" s="2" t="n">
        <v>46150</v>
      </c>
      <c r="B39" s="5">
        <f>SUMIF(Sales!$A$2:$A$5000,A39,Sales!$H$2:$H$5000)</f>
        <v/>
      </c>
      <c r="C39" s="5">
        <f>AVERAGE($B$2:$B$184)</f>
        <v/>
      </c>
      <c r="D39" s="5">
        <f>STDEVP($B$2:$B$184)</f>
        <v/>
      </c>
      <c r="E39" s="5">
        <f>C2+2*D2</f>
        <v/>
      </c>
      <c r="F39" s="5">
        <f>MAX(0,C2-2*D2)</f>
        <v/>
      </c>
      <c r="G39" s="3">
        <f>IF(OR(B39&gt;E39,B39&lt;F39,AND(B39=0,C39&gt;0)),"ANOMALY","")</f>
        <v/>
      </c>
    </row>
    <row r="40">
      <c r="A40" s="2" t="n">
        <v>46151</v>
      </c>
      <c r="B40" s="5">
        <f>SUMIF(Sales!$A$2:$A$5000,A40,Sales!$H$2:$H$5000)</f>
        <v/>
      </c>
      <c r="C40" s="5">
        <f>AVERAGE($B$2:$B$184)</f>
        <v/>
      </c>
      <c r="D40" s="5">
        <f>STDEVP($B$2:$B$184)</f>
        <v/>
      </c>
      <c r="E40" s="5">
        <f>C2+2*D2</f>
        <v/>
      </c>
      <c r="F40" s="5">
        <f>MAX(0,C2-2*D2)</f>
        <v/>
      </c>
      <c r="G40" s="3">
        <f>IF(OR(B40&gt;E40,B40&lt;F40,AND(B40=0,C40&gt;0)),"ANOMALY","")</f>
        <v/>
      </c>
    </row>
    <row r="41">
      <c r="A41" s="2" t="n">
        <v>46152</v>
      </c>
      <c r="B41" s="5">
        <f>SUMIF(Sales!$A$2:$A$5000,A41,Sales!$H$2:$H$5000)</f>
        <v/>
      </c>
      <c r="C41" s="5">
        <f>AVERAGE($B$2:$B$184)</f>
        <v/>
      </c>
      <c r="D41" s="5">
        <f>STDEVP($B$2:$B$184)</f>
        <v/>
      </c>
      <c r="E41" s="5">
        <f>C2+2*D2</f>
        <v/>
      </c>
      <c r="F41" s="5">
        <f>MAX(0,C2-2*D2)</f>
        <v/>
      </c>
      <c r="G41" s="3">
        <f>IF(OR(B41&gt;E41,B41&lt;F41,AND(B41=0,C41&gt;0)),"ANOMALY","")</f>
        <v/>
      </c>
    </row>
    <row r="42">
      <c r="A42" s="2" t="n">
        <v>46153</v>
      </c>
      <c r="B42" s="5">
        <f>SUMIF(Sales!$A$2:$A$5000,A42,Sales!$H$2:$H$5000)</f>
        <v/>
      </c>
      <c r="C42" s="5">
        <f>AVERAGE($B$2:$B$184)</f>
        <v/>
      </c>
      <c r="D42" s="5">
        <f>STDEVP($B$2:$B$184)</f>
        <v/>
      </c>
      <c r="E42" s="5">
        <f>C2+2*D2</f>
        <v/>
      </c>
      <c r="F42" s="5">
        <f>MAX(0,C2-2*D2)</f>
        <v/>
      </c>
      <c r="G42" s="3">
        <f>IF(OR(B42&gt;E42,B42&lt;F42,AND(B42=0,C42&gt;0)),"ANOMALY","")</f>
        <v/>
      </c>
    </row>
    <row r="43">
      <c r="A43" s="2" t="n">
        <v>46154</v>
      </c>
      <c r="B43" s="5">
        <f>SUMIF(Sales!$A$2:$A$5000,A43,Sales!$H$2:$H$5000)</f>
        <v/>
      </c>
      <c r="C43" s="5">
        <f>AVERAGE($B$2:$B$184)</f>
        <v/>
      </c>
      <c r="D43" s="5">
        <f>STDEVP($B$2:$B$184)</f>
        <v/>
      </c>
      <c r="E43" s="5">
        <f>C2+2*D2</f>
        <v/>
      </c>
      <c r="F43" s="5">
        <f>MAX(0,C2-2*D2)</f>
        <v/>
      </c>
      <c r="G43" s="3">
        <f>IF(OR(B43&gt;E43,B43&lt;F43,AND(B43=0,C43&gt;0)),"ANOMALY","")</f>
        <v/>
      </c>
    </row>
    <row r="44">
      <c r="A44" s="2" t="n">
        <v>46155</v>
      </c>
      <c r="B44" s="5">
        <f>SUMIF(Sales!$A$2:$A$5000,A44,Sales!$H$2:$H$5000)</f>
        <v/>
      </c>
      <c r="C44" s="5">
        <f>AVERAGE($B$2:$B$184)</f>
        <v/>
      </c>
      <c r="D44" s="5">
        <f>STDEVP($B$2:$B$184)</f>
        <v/>
      </c>
      <c r="E44" s="5">
        <f>C2+2*D2</f>
        <v/>
      </c>
      <c r="F44" s="5">
        <f>MAX(0,C2-2*D2)</f>
        <v/>
      </c>
      <c r="G44" s="3">
        <f>IF(OR(B44&gt;E44,B44&lt;F44,AND(B44=0,C44&gt;0)),"ANOMALY","")</f>
        <v/>
      </c>
    </row>
    <row r="45">
      <c r="A45" s="2" t="n">
        <v>46156</v>
      </c>
      <c r="B45" s="5">
        <f>SUMIF(Sales!$A$2:$A$5000,A45,Sales!$H$2:$H$5000)</f>
        <v/>
      </c>
      <c r="C45" s="5">
        <f>AVERAGE($B$2:$B$184)</f>
        <v/>
      </c>
      <c r="D45" s="5">
        <f>STDEVP($B$2:$B$184)</f>
        <v/>
      </c>
      <c r="E45" s="5">
        <f>C2+2*D2</f>
        <v/>
      </c>
      <c r="F45" s="5">
        <f>MAX(0,C2-2*D2)</f>
        <v/>
      </c>
      <c r="G45" s="3">
        <f>IF(OR(B45&gt;E45,B45&lt;F45,AND(B45=0,C45&gt;0)),"ANOMALY","")</f>
        <v/>
      </c>
    </row>
    <row r="46">
      <c r="A46" s="2" t="n">
        <v>46157</v>
      </c>
      <c r="B46" s="5">
        <f>SUMIF(Sales!$A$2:$A$5000,A46,Sales!$H$2:$H$5000)</f>
        <v/>
      </c>
      <c r="C46" s="5">
        <f>AVERAGE($B$2:$B$184)</f>
        <v/>
      </c>
      <c r="D46" s="5">
        <f>STDEVP($B$2:$B$184)</f>
        <v/>
      </c>
      <c r="E46" s="5">
        <f>C2+2*D2</f>
        <v/>
      </c>
      <c r="F46" s="5">
        <f>MAX(0,C2-2*D2)</f>
        <v/>
      </c>
      <c r="G46" s="3">
        <f>IF(OR(B46&gt;E46,B46&lt;F46,AND(B46=0,C46&gt;0)),"ANOMALY","")</f>
        <v/>
      </c>
    </row>
    <row r="47">
      <c r="A47" s="2" t="n">
        <v>46158</v>
      </c>
      <c r="B47" s="5">
        <f>SUMIF(Sales!$A$2:$A$5000,A47,Sales!$H$2:$H$5000)</f>
        <v/>
      </c>
      <c r="C47" s="5">
        <f>AVERAGE($B$2:$B$184)</f>
        <v/>
      </c>
      <c r="D47" s="5">
        <f>STDEVP($B$2:$B$184)</f>
        <v/>
      </c>
      <c r="E47" s="5">
        <f>C2+2*D2</f>
        <v/>
      </c>
      <c r="F47" s="5">
        <f>MAX(0,C2-2*D2)</f>
        <v/>
      </c>
      <c r="G47" s="3">
        <f>IF(OR(B47&gt;E47,B47&lt;F47,AND(B47=0,C47&gt;0)),"ANOMALY","")</f>
        <v/>
      </c>
    </row>
    <row r="48">
      <c r="A48" s="2" t="n">
        <v>46159</v>
      </c>
      <c r="B48" s="5">
        <f>SUMIF(Sales!$A$2:$A$5000,A48,Sales!$H$2:$H$5000)</f>
        <v/>
      </c>
      <c r="C48" s="5">
        <f>AVERAGE($B$2:$B$184)</f>
        <v/>
      </c>
      <c r="D48" s="5">
        <f>STDEVP($B$2:$B$184)</f>
        <v/>
      </c>
      <c r="E48" s="5">
        <f>C2+2*D2</f>
        <v/>
      </c>
      <c r="F48" s="5">
        <f>MAX(0,C2-2*D2)</f>
        <v/>
      </c>
      <c r="G48" s="3">
        <f>IF(OR(B48&gt;E48,B48&lt;F48,AND(B48=0,C48&gt;0)),"ANOMALY","")</f>
        <v/>
      </c>
    </row>
    <row r="49">
      <c r="A49" s="2" t="n">
        <v>46160</v>
      </c>
      <c r="B49" s="5">
        <f>SUMIF(Sales!$A$2:$A$5000,A49,Sales!$H$2:$H$5000)</f>
        <v/>
      </c>
      <c r="C49" s="5">
        <f>AVERAGE($B$2:$B$184)</f>
        <v/>
      </c>
      <c r="D49" s="5">
        <f>STDEVP($B$2:$B$184)</f>
        <v/>
      </c>
      <c r="E49" s="5">
        <f>C2+2*D2</f>
        <v/>
      </c>
      <c r="F49" s="5">
        <f>MAX(0,C2-2*D2)</f>
        <v/>
      </c>
      <c r="G49" s="3">
        <f>IF(OR(B49&gt;E49,B49&lt;F49,AND(B49=0,C49&gt;0)),"ANOMALY","")</f>
        <v/>
      </c>
    </row>
    <row r="50">
      <c r="A50" s="2" t="n">
        <v>46161</v>
      </c>
      <c r="B50" s="5">
        <f>SUMIF(Sales!$A$2:$A$5000,A50,Sales!$H$2:$H$5000)</f>
        <v/>
      </c>
      <c r="C50" s="5">
        <f>AVERAGE($B$2:$B$184)</f>
        <v/>
      </c>
      <c r="D50" s="5">
        <f>STDEVP($B$2:$B$184)</f>
        <v/>
      </c>
      <c r="E50" s="5">
        <f>C2+2*D2</f>
        <v/>
      </c>
      <c r="F50" s="5">
        <f>MAX(0,C2-2*D2)</f>
        <v/>
      </c>
      <c r="G50" s="3">
        <f>IF(OR(B50&gt;E50,B50&lt;F50,AND(B50=0,C50&gt;0)),"ANOMALY","")</f>
        <v/>
      </c>
    </row>
    <row r="51">
      <c r="A51" s="2" t="n">
        <v>46162</v>
      </c>
      <c r="B51" s="5">
        <f>SUMIF(Sales!$A$2:$A$5000,A51,Sales!$H$2:$H$5000)</f>
        <v/>
      </c>
      <c r="C51" s="5">
        <f>AVERAGE($B$2:$B$184)</f>
        <v/>
      </c>
      <c r="D51" s="5">
        <f>STDEVP($B$2:$B$184)</f>
        <v/>
      </c>
      <c r="E51" s="5">
        <f>C2+2*D2</f>
        <v/>
      </c>
      <c r="F51" s="5">
        <f>MAX(0,C2-2*D2)</f>
        <v/>
      </c>
      <c r="G51" s="3">
        <f>IF(OR(B51&gt;E51,B51&lt;F51,AND(B51=0,C51&gt;0)),"ANOMALY","")</f>
        <v/>
      </c>
    </row>
    <row r="52">
      <c r="A52" s="2" t="n">
        <v>46163</v>
      </c>
      <c r="B52" s="5">
        <f>SUMIF(Sales!$A$2:$A$5000,A52,Sales!$H$2:$H$5000)</f>
        <v/>
      </c>
      <c r="C52" s="5">
        <f>AVERAGE($B$2:$B$184)</f>
        <v/>
      </c>
      <c r="D52" s="5">
        <f>STDEVP($B$2:$B$184)</f>
        <v/>
      </c>
      <c r="E52" s="5">
        <f>C2+2*D2</f>
        <v/>
      </c>
      <c r="F52" s="5">
        <f>MAX(0,C2-2*D2)</f>
        <v/>
      </c>
      <c r="G52" s="3">
        <f>IF(OR(B52&gt;E52,B52&lt;F52,AND(B52=0,C52&gt;0)),"ANOMALY","")</f>
        <v/>
      </c>
    </row>
    <row r="53">
      <c r="A53" s="2" t="n">
        <v>46164</v>
      </c>
      <c r="B53" s="5">
        <f>SUMIF(Sales!$A$2:$A$5000,A53,Sales!$H$2:$H$5000)</f>
        <v/>
      </c>
      <c r="C53" s="5">
        <f>AVERAGE($B$2:$B$184)</f>
        <v/>
      </c>
      <c r="D53" s="5">
        <f>STDEVP($B$2:$B$184)</f>
        <v/>
      </c>
      <c r="E53" s="5">
        <f>C2+2*D2</f>
        <v/>
      </c>
      <c r="F53" s="5">
        <f>MAX(0,C2-2*D2)</f>
        <v/>
      </c>
      <c r="G53" s="3">
        <f>IF(OR(B53&gt;E53,B53&lt;F53,AND(B53=0,C53&gt;0)),"ANOMALY","")</f>
        <v/>
      </c>
    </row>
    <row r="54">
      <c r="A54" s="2" t="n">
        <v>46165</v>
      </c>
      <c r="B54" s="5">
        <f>SUMIF(Sales!$A$2:$A$5000,A54,Sales!$H$2:$H$5000)</f>
        <v/>
      </c>
      <c r="C54" s="5">
        <f>AVERAGE($B$2:$B$184)</f>
        <v/>
      </c>
      <c r="D54" s="5">
        <f>STDEVP($B$2:$B$184)</f>
        <v/>
      </c>
      <c r="E54" s="5">
        <f>C2+2*D2</f>
        <v/>
      </c>
      <c r="F54" s="5">
        <f>MAX(0,C2-2*D2)</f>
        <v/>
      </c>
      <c r="G54" s="3">
        <f>IF(OR(B54&gt;E54,B54&lt;F54,AND(B54=0,C54&gt;0)),"ANOMALY","")</f>
        <v/>
      </c>
    </row>
    <row r="55">
      <c r="A55" s="2" t="n">
        <v>46166</v>
      </c>
      <c r="B55" s="5">
        <f>SUMIF(Sales!$A$2:$A$5000,A55,Sales!$H$2:$H$5000)</f>
        <v/>
      </c>
      <c r="C55" s="5">
        <f>AVERAGE($B$2:$B$184)</f>
        <v/>
      </c>
      <c r="D55" s="5">
        <f>STDEVP($B$2:$B$184)</f>
        <v/>
      </c>
      <c r="E55" s="5">
        <f>C2+2*D2</f>
        <v/>
      </c>
      <c r="F55" s="5">
        <f>MAX(0,C2-2*D2)</f>
        <v/>
      </c>
      <c r="G55" s="3">
        <f>IF(OR(B55&gt;E55,B55&lt;F55,AND(B55=0,C55&gt;0)),"ANOMALY","")</f>
        <v/>
      </c>
    </row>
    <row r="56">
      <c r="A56" s="2" t="n">
        <v>46167</v>
      </c>
      <c r="B56" s="5">
        <f>SUMIF(Sales!$A$2:$A$5000,A56,Sales!$H$2:$H$5000)</f>
        <v/>
      </c>
      <c r="C56" s="5">
        <f>AVERAGE($B$2:$B$184)</f>
        <v/>
      </c>
      <c r="D56" s="5">
        <f>STDEVP($B$2:$B$184)</f>
        <v/>
      </c>
      <c r="E56" s="5">
        <f>C2+2*D2</f>
        <v/>
      </c>
      <c r="F56" s="5">
        <f>MAX(0,C2-2*D2)</f>
        <v/>
      </c>
      <c r="G56" s="3">
        <f>IF(OR(B56&gt;E56,B56&lt;F56,AND(B56=0,C56&gt;0)),"ANOMALY","")</f>
        <v/>
      </c>
    </row>
    <row r="57">
      <c r="A57" s="2" t="n">
        <v>46168</v>
      </c>
      <c r="B57" s="5">
        <f>SUMIF(Sales!$A$2:$A$5000,A57,Sales!$H$2:$H$5000)</f>
        <v/>
      </c>
      <c r="C57" s="5">
        <f>AVERAGE($B$2:$B$184)</f>
        <v/>
      </c>
      <c r="D57" s="5">
        <f>STDEVP($B$2:$B$184)</f>
        <v/>
      </c>
      <c r="E57" s="5">
        <f>C2+2*D2</f>
        <v/>
      </c>
      <c r="F57" s="5">
        <f>MAX(0,C2-2*D2)</f>
        <v/>
      </c>
      <c r="G57" s="3">
        <f>IF(OR(B57&gt;E57,B57&lt;F57,AND(B57=0,C57&gt;0)),"ANOMALY","")</f>
        <v/>
      </c>
    </row>
    <row r="58">
      <c r="A58" s="2" t="n">
        <v>46169</v>
      </c>
      <c r="B58" s="5">
        <f>SUMIF(Sales!$A$2:$A$5000,A58,Sales!$H$2:$H$5000)</f>
        <v/>
      </c>
      <c r="C58" s="5">
        <f>AVERAGE($B$2:$B$184)</f>
        <v/>
      </c>
      <c r="D58" s="5">
        <f>STDEVP($B$2:$B$184)</f>
        <v/>
      </c>
      <c r="E58" s="5">
        <f>C2+2*D2</f>
        <v/>
      </c>
      <c r="F58" s="5">
        <f>MAX(0,C2-2*D2)</f>
        <v/>
      </c>
      <c r="G58" s="3">
        <f>IF(OR(B58&gt;E58,B58&lt;F58,AND(B58=0,C58&gt;0)),"ANOMALY","")</f>
        <v/>
      </c>
    </row>
    <row r="59">
      <c r="A59" s="2" t="n">
        <v>46170</v>
      </c>
      <c r="B59" s="5">
        <f>SUMIF(Sales!$A$2:$A$5000,A59,Sales!$H$2:$H$5000)</f>
        <v/>
      </c>
      <c r="C59" s="5">
        <f>AVERAGE($B$2:$B$184)</f>
        <v/>
      </c>
      <c r="D59" s="5">
        <f>STDEVP($B$2:$B$184)</f>
        <v/>
      </c>
      <c r="E59" s="5">
        <f>C2+2*D2</f>
        <v/>
      </c>
      <c r="F59" s="5">
        <f>MAX(0,C2-2*D2)</f>
        <v/>
      </c>
      <c r="G59" s="3">
        <f>IF(OR(B59&gt;E59,B59&lt;F59,AND(B59=0,C59&gt;0)),"ANOMALY","")</f>
        <v/>
      </c>
    </row>
    <row r="60">
      <c r="A60" s="2" t="n">
        <v>46171</v>
      </c>
      <c r="B60" s="5">
        <f>SUMIF(Sales!$A$2:$A$5000,A60,Sales!$H$2:$H$5000)</f>
        <v/>
      </c>
      <c r="C60" s="5">
        <f>AVERAGE($B$2:$B$184)</f>
        <v/>
      </c>
      <c r="D60" s="5">
        <f>STDEVP($B$2:$B$184)</f>
        <v/>
      </c>
      <c r="E60" s="5">
        <f>C2+2*D2</f>
        <v/>
      </c>
      <c r="F60" s="5">
        <f>MAX(0,C2-2*D2)</f>
        <v/>
      </c>
      <c r="G60" s="3">
        <f>IF(OR(B60&gt;E60,B60&lt;F60,AND(B60=0,C60&gt;0)),"ANOMALY","")</f>
        <v/>
      </c>
    </row>
    <row r="61">
      <c r="A61" s="2" t="n">
        <v>46172</v>
      </c>
      <c r="B61" s="5">
        <f>SUMIF(Sales!$A$2:$A$5000,A61,Sales!$H$2:$H$5000)</f>
        <v/>
      </c>
      <c r="C61" s="5">
        <f>AVERAGE($B$2:$B$184)</f>
        <v/>
      </c>
      <c r="D61" s="5">
        <f>STDEVP($B$2:$B$184)</f>
        <v/>
      </c>
      <c r="E61" s="5">
        <f>C2+2*D2</f>
        <v/>
      </c>
      <c r="F61" s="5">
        <f>MAX(0,C2-2*D2)</f>
        <v/>
      </c>
      <c r="G61" s="3">
        <f>IF(OR(B61&gt;E61,B61&lt;F61,AND(B61=0,C61&gt;0)),"ANOMALY","")</f>
        <v/>
      </c>
    </row>
    <row r="62">
      <c r="A62" s="2" t="n">
        <v>46173</v>
      </c>
      <c r="B62" s="5">
        <f>SUMIF(Sales!$A$2:$A$5000,A62,Sales!$H$2:$H$5000)</f>
        <v/>
      </c>
      <c r="C62" s="5">
        <f>AVERAGE($B$2:$B$184)</f>
        <v/>
      </c>
      <c r="D62" s="5">
        <f>STDEVP($B$2:$B$184)</f>
        <v/>
      </c>
      <c r="E62" s="5">
        <f>C2+2*D2</f>
        <v/>
      </c>
      <c r="F62" s="5">
        <f>MAX(0,C2-2*D2)</f>
        <v/>
      </c>
      <c r="G62" s="3">
        <f>IF(OR(B62&gt;E62,B62&lt;F62,AND(B62=0,C62&gt;0)),"ANOMALY","")</f>
        <v/>
      </c>
    </row>
    <row r="63">
      <c r="A63" s="2" t="n">
        <v>46174</v>
      </c>
      <c r="B63" s="5">
        <f>SUMIF(Sales!$A$2:$A$5000,A63,Sales!$H$2:$H$5000)</f>
        <v/>
      </c>
      <c r="C63" s="5">
        <f>AVERAGE($B$2:$B$184)</f>
        <v/>
      </c>
      <c r="D63" s="5">
        <f>STDEVP($B$2:$B$184)</f>
        <v/>
      </c>
      <c r="E63" s="5">
        <f>C2+2*D2</f>
        <v/>
      </c>
      <c r="F63" s="5">
        <f>MAX(0,C2-2*D2)</f>
        <v/>
      </c>
      <c r="G63" s="3">
        <f>IF(OR(B63&gt;E63,B63&lt;F63,AND(B63=0,C63&gt;0)),"ANOMALY","")</f>
        <v/>
      </c>
    </row>
    <row r="64">
      <c r="A64" s="2" t="n">
        <v>46175</v>
      </c>
      <c r="B64" s="5">
        <f>SUMIF(Sales!$A$2:$A$5000,A64,Sales!$H$2:$H$5000)</f>
        <v/>
      </c>
      <c r="C64" s="5">
        <f>AVERAGE($B$2:$B$184)</f>
        <v/>
      </c>
      <c r="D64" s="5">
        <f>STDEVP($B$2:$B$184)</f>
        <v/>
      </c>
      <c r="E64" s="5">
        <f>C2+2*D2</f>
        <v/>
      </c>
      <c r="F64" s="5">
        <f>MAX(0,C2-2*D2)</f>
        <v/>
      </c>
      <c r="G64" s="3">
        <f>IF(OR(B64&gt;E64,B64&lt;F64,AND(B64=0,C64&gt;0)),"ANOMALY","")</f>
        <v/>
      </c>
    </row>
    <row r="65">
      <c r="A65" s="2" t="n">
        <v>46176</v>
      </c>
      <c r="B65" s="5">
        <f>SUMIF(Sales!$A$2:$A$5000,A65,Sales!$H$2:$H$5000)</f>
        <v/>
      </c>
      <c r="C65" s="5">
        <f>AVERAGE($B$2:$B$184)</f>
        <v/>
      </c>
      <c r="D65" s="5">
        <f>STDEVP($B$2:$B$184)</f>
        <v/>
      </c>
      <c r="E65" s="5">
        <f>C2+2*D2</f>
        <v/>
      </c>
      <c r="F65" s="5">
        <f>MAX(0,C2-2*D2)</f>
        <v/>
      </c>
      <c r="G65" s="3">
        <f>IF(OR(B65&gt;E65,B65&lt;F65,AND(B65=0,C65&gt;0)),"ANOMALY","")</f>
        <v/>
      </c>
    </row>
    <row r="66">
      <c r="A66" s="2" t="n">
        <v>46177</v>
      </c>
      <c r="B66" s="5">
        <f>SUMIF(Sales!$A$2:$A$5000,A66,Sales!$H$2:$H$5000)</f>
        <v/>
      </c>
      <c r="C66" s="5">
        <f>AVERAGE($B$2:$B$184)</f>
        <v/>
      </c>
      <c r="D66" s="5">
        <f>STDEVP($B$2:$B$184)</f>
        <v/>
      </c>
      <c r="E66" s="5">
        <f>C2+2*D2</f>
        <v/>
      </c>
      <c r="F66" s="5">
        <f>MAX(0,C2-2*D2)</f>
        <v/>
      </c>
      <c r="G66" s="3">
        <f>IF(OR(B66&gt;E66,B66&lt;F66,AND(B66=0,C66&gt;0)),"ANOMALY","")</f>
        <v/>
      </c>
    </row>
    <row r="67">
      <c r="A67" s="2" t="n">
        <v>46178</v>
      </c>
      <c r="B67" s="5">
        <f>SUMIF(Sales!$A$2:$A$5000,A67,Sales!$H$2:$H$5000)</f>
        <v/>
      </c>
      <c r="C67" s="5">
        <f>AVERAGE($B$2:$B$184)</f>
        <v/>
      </c>
      <c r="D67" s="5">
        <f>STDEVP($B$2:$B$184)</f>
        <v/>
      </c>
      <c r="E67" s="5">
        <f>C2+2*D2</f>
        <v/>
      </c>
      <c r="F67" s="5">
        <f>MAX(0,C2-2*D2)</f>
        <v/>
      </c>
      <c r="G67" s="3">
        <f>IF(OR(B67&gt;E67,B67&lt;F67,AND(B67=0,C67&gt;0)),"ANOMALY","")</f>
        <v/>
      </c>
    </row>
    <row r="68">
      <c r="A68" s="2" t="n">
        <v>46179</v>
      </c>
      <c r="B68" s="5">
        <f>SUMIF(Sales!$A$2:$A$5000,A68,Sales!$H$2:$H$5000)</f>
        <v/>
      </c>
      <c r="C68" s="5">
        <f>AVERAGE($B$2:$B$184)</f>
        <v/>
      </c>
      <c r="D68" s="5">
        <f>STDEVP($B$2:$B$184)</f>
        <v/>
      </c>
      <c r="E68" s="5">
        <f>C2+2*D2</f>
        <v/>
      </c>
      <c r="F68" s="5">
        <f>MAX(0,C2-2*D2)</f>
        <v/>
      </c>
      <c r="G68" s="3">
        <f>IF(OR(B68&gt;E68,B68&lt;F68,AND(B68=0,C68&gt;0)),"ANOMALY","")</f>
        <v/>
      </c>
    </row>
    <row r="69">
      <c r="A69" s="2" t="n">
        <v>46180</v>
      </c>
      <c r="B69" s="5">
        <f>SUMIF(Sales!$A$2:$A$5000,A69,Sales!$H$2:$H$5000)</f>
        <v/>
      </c>
      <c r="C69" s="5">
        <f>AVERAGE($B$2:$B$184)</f>
        <v/>
      </c>
      <c r="D69" s="5">
        <f>STDEVP($B$2:$B$184)</f>
        <v/>
      </c>
      <c r="E69" s="5">
        <f>C2+2*D2</f>
        <v/>
      </c>
      <c r="F69" s="5">
        <f>MAX(0,C2-2*D2)</f>
        <v/>
      </c>
      <c r="G69" s="3">
        <f>IF(OR(B69&gt;E69,B69&lt;F69,AND(B69=0,C69&gt;0)),"ANOMALY","")</f>
        <v/>
      </c>
    </row>
    <row r="70">
      <c r="A70" s="2" t="n">
        <v>46181</v>
      </c>
      <c r="B70" s="5">
        <f>SUMIF(Sales!$A$2:$A$5000,A70,Sales!$H$2:$H$5000)</f>
        <v/>
      </c>
      <c r="C70" s="5">
        <f>AVERAGE($B$2:$B$184)</f>
        <v/>
      </c>
      <c r="D70" s="5">
        <f>STDEVP($B$2:$B$184)</f>
        <v/>
      </c>
      <c r="E70" s="5">
        <f>C2+2*D2</f>
        <v/>
      </c>
      <c r="F70" s="5">
        <f>MAX(0,C2-2*D2)</f>
        <v/>
      </c>
      <c r="G70" s="3">
        <f>IF(OR(B70&gt;E70,B70&lt;F70,AND(B70=0,C70&gt;0)),"ANOMALY","")</f>
        <v/>
      </c>
    </row>
    <row r="71">
      <c r="A71" s="2" t="n">
        <v>46182</v>
      </c>
      <c r="B71" s="5">
        <f>SUMIF(Sales!$A$2:$A$5000,A71,Sales!$H$2:$H$5000)</f>
        <v/>
      </c>
      <c r="C71" s="5">
        <f>AVERAGE($B$2:$B$184)</f>
        <v/>
      </c>
      <c r="D71" s="5">
        <f>STDEVP($B$2:$B$184)</f>
        <v/>
      </c>
      <c r="E71" s="5">
        <f>C2+2*D2</f>
        <v/>
      </c>
      <c r="F71" s="5">
        <f>MAX(0,C2-2*D2)</f>
        <v/>
      </c>
      <c r="G71" s="3">
        <f>IF(OR(B71&gt;E71,B71&lt;F71,AND(B71=0,C71&gt;0)),"ANOMALY","")</f>
        <v/>
      </c>
    </row>
    <row r="72">
      <c r="A72" s="2" t="n">
        <v>46183</v>
      </c>
      <c r="B72" s="5">
        <f>SUMIF(Sales!$A$2:$A$5000,A72,Sales!$H$2:$H$5000)</f>
        <v/>
      </c>
      <c r="C72" s="5">
        <f>AVERAGE($B$2:$B$184)</f>
        <v/>
      </c>
      <c r="D72" s="5">
        <f>STDEVP($B$2:$B$184)</f>
        <v/>
      </c>
      <c r="E72" s="5">
        <f>C2+2*D2</f>
        <v/>
      </c>
      <c r="F72" s="5">
        <f>MAX(0,C2-2*D2)</f>
        <v/>
      </c>
      <c r="G72" s="3">
        <f>IF(OR(B72&gt;E72,B72&lt;F72,AND(B72=0,C72&gt;0)),"ANOMALY","")</f>
        <v/>
      </c>
    </row>
    <row r="73">
      <c r="A73" s="2" t="n">
        <v>46184</v>
      </c>
      <c r="B73" s="5">
        <f>SUMIF(Sales!$A$2:$A$5000,A73,Sales!$H$2:$H$5000)</f>
        <v/>
      </c>
      <c r="C73" s="5">
        <f>AVERAGE($B$2:$B$184)</f>
        <v/>
      </c>
      <c r="D73" s="5">
        <f>STDEVP($B$2:$B$184)</f>
        <v/>
      </c>
      <c r="E73" s="5">
        <f>C2+2*D2</f>
        <v/>
      </c>
      <c r="F73" s="5">
        <f>MAX(0,C2-2*D2)</f>
        <v/>
      </c>
      <c r="G73" s="3">
        <f>IF(OR(B73&gt;E73,B73&lt;F73,AND(B73=0,C73&gt;0)),"ANOMALY","")</f>
        <v/>
      </c>
    </row>
    <row r="74">
      <c r="A74" s="2" t="n">
        <v>46185</v>
      </c>
      <c r="B74" s="5">
        <f>SUMIF(Sales!$A$2:$A$5000,A74,Sales!$H$2:$H$5000)</f>
        <v/>
      </c>
      <c r="C74" s="5">
        <f>AVERAGE($B$2:$B$184)</f>
        <v/>
      </c>
      <c r="D74" s="5">
        <f>STDEVP($B$2:$B$184)</f>
        <v/>
      </c>
      <c r="E74" s="5">
        <f>C2+2*D2</f>
        <v/>
      </c>
      <c r="F74" s="5">
        <f>MAX(0,C2-2*D2)</f>
        <v/>
      </c>
      <c r="G74" s="3">
        <f>IF(OR(B74&gt;E74,B74&lt;F74,AND(B74=0,C74&gt;0)),"ANOMALY","")</f>
        <v/>
      </c>
    </row>
    <row r="75">
      <c r="A75" s="2" t="n">
        <v>46186</v>
      </c>
      <c r="B75" s="5">
        <f>SUMIF(Sales!$A$2:$A$5000,A75,Sales!$H$2:$H$5000)</f>
        <v/>
      </c>
      <c r="C75" s="5">
        <f>AVERAGE($B$2:$B$184)</f>
        <v/>
      </c>
      <c r="D75" s="5">
        <f>STDEVP($B$2:$B$184)</f>
        <v/>
      </c>
      <c r="E75" s="5">
        <f>C2+2*D2</f>
        <v/>
      </c>
      <c r="F75" s="5">
        <f>MAX(0,C2-2*D2)</f>
        <v/>
      </c>
      <c r="G75" s="3">
        <f>IF(OR(B75&gt;E75,B75&lt;F75,AND(B75=0,C75&gt;0)),"ANOMALY","")</f>
        <v/>
      </c>
    </row>
    <row r="76">
      <c r="A76" s="2" t="n">
        <v>46187</v>
      </c>
      <c r="B76" s="5">
        <f>SUMIF(Sales!$A$2:$A$5000,A76,Sales!$H$2:$H$5000)</f>
        <v/>
      </c>
      <c r="C76" s="5">
        <f>AVERAGE($B$2:$B$184)</f>
        <v/>
      </c>
      <c r="D76" s="5">
        <f>STDEVP($B$2:$B$184)</f>
        <v/>
      </c>
      <c r="E76" s="5">
        <f>C2+2*D2</f>
        <v/>
      </c>
      <c r="F76" s="5">
        <f>MAX(0,C2-2*D2)</f>
        <v/>
      </c>
      <c r="G76" s="3">
        <f>IF(OR(B76&gt;E76,B76&lt;F76,AND(B76=0,C76&gt;0)),"ANOMALY","")</f>
        <v/>
      </c>
    </row>
    <row r="77">
      <c r="A77" s="2" t="n">
        <v>46188</v>
      </c>
      <c r="B77" s="5">
        <f>SUMIF(Sales!$A$2:$A$5000,A77,Sales!$H$2:$H$5000)</f>
        <v/>
      </c>
      <c r="C77" s="5">
        <f>AVERAGE($B$2:$B$184)</f>
        <v/>
      </c>
      <c r="D77" s="5">
        <f>STDEVP($B$2:$B$184)</f>
        <v/>
      </c>
      <c r="E77" s="5">
        <f>C2+2*D2</f>
        <v/>
      </c>
      <c r="F77" s="5">
        <f>MAX(0,C2-2*D2)</f>
        <v/>
      </c>
      <c r="G77" s="3">
        <f>IF(OR(B77&gt;E77,B77&lt;F77,AND(B77=0,C77&gt;0)),"ANOMALY","")</f>
        <v/>
      </c>
    </row>
    <row r="78">
      <c r="A78" s="2" t="n">
        <v>46189</v>
      </c>
      <c r="B78" s="5">
        <f>SUMIF(Sales!$A$2:$A$5000,A78,Sales!$H$2:$H$5000)</f>
        <v/>
      </c>
      <c r="C78" s="5">
        <f>AVERAGE($B$2:$B$184)</f>
        <v/>
      </c>
      <c r="D78" s="5">
        <f>STDEVP($B$2:$B$184)</f>
        <v/>
      </c>
      <c r="E78" s="5">
        <f>C2+2*D2</f>
        <v/>
      </c>
      <c r="F78" s="5">
        <f>MAX(0,C2-2*D2)</f>
        <v/>
      </c>
      <c r="G78" s="3">
        <f>IF(OR(B78&gt;E78,B78&lt;F78,AND(B78=0,C78&gt;0)),"ANOMALY","")</f>
        <v/>
      </c>
    </row>
    <row r="79">
      <c r="A79" s="2" t="n">
        <v>46190</v>
      </c>
      <c r="B79" s="5">
        <f>SUMIF(Sales!$A$2:$A$5000,A79,Sales!$H$2:$H$5000)</f>
        <v/>
      </c>
      <c r="C79" s="5">
        <f>AVERAGE($B$2:$B$184)</f>
        <v/>
      </c>
      <c r="D79" s="5">
        <f>STDEVP($B$2:$B$184)</f>
        <v/>
      </c>
      <c r="E79" s="5">
        <f>C2+2*D2</f>
        <v/>
      </c>
      <c r="F79" s="5">
        <f>MAX(0,C2-2*D2)</f>
        <v/>
      </c>
      <c r="G79" s="3">
        <f>IF(OR(B79&gt;E79,B79&lt;F79,AND(B79=0,C79&gt;0)),"ANOMALY","")</f>
        <v/>
      </c>
    </row>
    <row r="80">
      <c r="A80" s="2" t="n">
        <v>46191</v>
      </c>
      <c r="B80" s="5">
        <f>SUMIF(Sales!$A$2:$A$5000,A80,Sales!$H$2:$H$5000)</f>
        <v/>
      </c>
      <c r="C80" s="5">
        <f>AVERAGE($B$2:$B$184)</f>
        <v/>
      </c>
      <c r="D80" s="5">
        <f>STDEVP($B$2:$B$184)</f>
        <v/>
      </c>
      <c r="E80" s="5">
        <f>C2+2*D2</f>
        <v/>
      </c>
      <c r="F80" s="5">
        <f>MAX(0,C2-2*D2)</f>
        <v/>
      </c>
      <c r="G80" s="3">
        <f>IF(OR(B80&gt;E80,B80&lt;F80,AND(B80=0,C80&gt;0)),"ANOMALY","")</f>
        <v/>
      </c>
    </row>
    <row r="81">
      <c r="A81" s="2" t="n">
        <v>46192</v>
      </c>
      <c r="B81" s="5">
        <f>SUMIF(Sales!$A$2:$A$5000,A81,Sales!$H$2:$H$5000)</f>
        <v/>
      </c>
      <c r="C81" s="5">
        <f>AVERAGE($B$2:$B$184)</f>
        <v/>
      </c>
      <c r="D81" s="5">
        <f>STDEVP($B$2:$B$184)</f>
        <v/>
      </c>
      <c r="E81" s="5">
        <f>C2+2*D2</f>
        <v/>
      </c>
      <c r="F81" s="5">
        <f>MAX(0,C2-2*D2)</f>
        <v/>
      </c>
      <c r="G81" s="3">
        <f>IF(OR(B81&gt;E81,B81&lt;F81,AND(B81=0,C81&gt;0)),"ANOMALY","")</f>
        <v/>
      </c>
    </row>
    <row r="82">
      <c r="A82" s="2" t="n">
        <v>46193</v>
      </c>
      <c r="B82" s="5">
        <f>SUMIF(Sales!$A$2:$A$5000,A82,Sales!$H$2:$H$5000)</f>
        <v/>
      </c>
      <c r="C82" s="5">
        <f>AVERAGE($B$2:$B$184)</f>
        <v/>
      </c>
      <c r="D82" s="5">
        <f>STDEVP($B$2:$B$184)</f>
        <v/>
      </c>
      <c r="E82" s="5">
        <f>C2+2*D2</f>
        <v/>
      </c>
      <c r="F82" s="5">
        <f>MAX(0,C2-2*D2)</f>
        <v/>
      </c>
      <c r="G82" s="3">
        <f>IF(OR(B82&gt;E82,B82&lt;F82,AND(B82=0,C82&gt;0)),"ANOMALY","")</f>
        <v/>
      </c>
    </row>
    <row r="83">
      <c r="A83" s="2" t="n">
        <v>46194</v>
      </c>
      <c r="B83" s="5">
        <f>SUMIF(Sales!$A$2:$A$5000,A83,Sales!$H$2:$H$5000)</f>
        <v/>
      </c>
      <c r="C83" s="5">
        <f>AVERAGE($B$2:$B$184)</f>
        <v/>
      </c>
      <c r="D83" s="5">
        <f>STDEVP($B$2:$B$184)</f>
        <v/>
      </c>
      <c r="E83" s="5">
        <f>C2+2*D2</f>
        <v/>
      </c>
      <c r="F83" s="5">
        <f>MAX(0,C2-2*D2)</f>
        <v/>
      </c>
      <c r="G83" s="3">
        <f>IF(OR(B83&gt;E83,B83&lt;F83,AND(B83=0,C83&gt;0)),"ANOMALY","")</f>
        <v/>
      </c>
    </row>
    <row r="84">
      <c r="A84" s="2" t="n">
        <v>46195</v>
      </c>
      <c r="B84" s="5">
        <f>SUMIF(Sales!$A$2:$A$5000,A84,Sales!$H$2:$H$5000)</f>
        <v/>
      </c>
      <c r="C84" s="5">
        <f>AVERAGE($B$2:$B$184)</f>
        <v/>
      </c>
      <c r="D84" s="5">
        <f>STDEVP($B$2:$B$184)</f>
        <v/>
      </c>
      <c r="E84" s="5">
        <f>C2+2*D2</f>
        <v/>
      </c>
      <c r="F84" s="5">
        <f>MAX(0,C2-2*D2)</f>
        <v/>
      </c>
      <c r="G84" s="3">
        <f>IF(OR(B84&gt;E84,B84&lt;F84,AND(B84=0,C84&gt;0)),"ANOMALY","")</f>
        <v/>
      </c>
    </row>
    <row r="85">
      <c r="A85" s="2" t="n">
        <v>46196</v>
      </c>
      <c r="B85" s="5">
        <f>SUMIF(Sales!$A$2:$A$5000,A85,Sales!$H$2:$H$5000)</f>
        <v/>
      </c>
      <c r="C85" s="5">
        <f>AVERAGE($B$2:$B$184)</f>
        <v/>
      </c>
      <c r="D85" s="5">
        <f>STDEVP($B$2:$B$184)</f>
        <v/>
      </c>
      <c r="E85" s="5">
        <f>C2+2*D2</f>
        <v/>
      </c>
      <c r="F85" s="5">
        <f>MAX(0,C2-2*D2)</f>
        <v/>
      </c>
      <c r="G85" s="3">
        <f>IF(OR(B85&gt;E85,B85&lt;F85,AND(B85=0,C85&gt;0)),"ANOMALY","")</f>
        <v/>
      </c>
    </row>
    <row r="86">
      <c r="A86" s="2" t="n">
        <v>46197</v>
      </c>
      <c r="B86" s="5">
        <f>SUMIF(Sales!$A$2:$A$5000,A86,Sales!$H$2:$H$5000)</f>
        <v/>
      </c>
      <c r="C86" s="5">
        <f>AVERAGE($B$2:$B$184)</f>
        <v/>
      </c>
      <c r="D86" s="5">
        <f>STDEVP($B$2:$B$184)</f>
        <v/>
      </c>
      <c r="E86" s="5">
        <f>C2+2*D2</f>
        <v/>
      </c>
      <c r="F86" s="5">
        <f>MAX(0,C2-2*D2)</f>
        <v/>
      </c>
      <c r="G86" s="3">
        <f>IF(OR(B86&gt;E86,B86&lt;F86,AND(B86=0,C86&gt;0)),"ANOMALY","")</f>
        <v/>
      </c>
    </row>
    <row r="87">
      <c r="A87" s="2" t="n">
        <v>46198</v>
      </c>
      <c r="B87" s="5">
        <f>SUMIF(Sales!$A$2:$A$5000,A87,Sales!$H$2:$H$5000)</f>
        <v/>
      </c>
      <c r="C87" s="5">
        <f>AVERAGE($B$2:$B$184)</f>
        <v/>
      </c>
      <c r="D87" s="5">
        <f>STDEVP($B$2:$B$184)</f>
        <v/>
      </c>
      <c r="E87" s="5">
        <f>C2+2*D2</f>
        <v/>
      </c>
      <c r="F87" s="5">
        <f>MAX(0,C2-2*D2)</f>
        <v/>
      </c>
      <c r="G87" s="3">
        <f>IF(OR(B87&gt;E87,B87&lt;F87,AND(B87=0,C87&gt;0)),"ANOMALY","")</f>
        <v/>
      </c>
    </row>
    <row r="88">
      <c r="A88" s="2" t="n">
        <v>46199</v>
      </c>
      <c r="B88" s="5">
        <f>SUMIF(Sales!$A$2:$A$5000,A88,Sales!$H$2:$H$5000)</f>
        <v/>
      </c>
      <c r="C88" s="5">
        <f>AVERAGE($B$2:$B$184)</f>
        <v/>
      </c>
      <c r="D88" s="5">
        <f>STDEVP($B$2:$B$184)</f>
        <v/>
      </c>
      <c r="E88" s="5">
        <f>C2+2*D2</f>
        <v/>
      </c>
      <c r="F88" s="5">
        <f>MAX(0,C2-2*D2)</f>
        <v/>
      </c>
      <c r="G88" s="3">
        <f>IF(OR(B88&gt;E88,B88&lt;F88,AND(B88=0,C88&gt;0)),"ANOMALY","")</f>
        <v/>
      </c>
    </row>
    <row r="89">
      <c r="A89" s="2" t="n">
        <v>46200</v>
      </c>
      <c r="B89" s="5">
        <f>SUMIF(Sales!$A$2:$A$5000,A89,Sales!$H$2:$H$5000)</f>
        <v/>
      </c>
      <c r="C89" s="5">
        <f>AVERAGE($B$2:$B$184)</f>
        <v/>
      </c>
      <c r="D89" s="5">
        <f>STDEVP($B$2:$B$184)</f>
        <v/>
      </c>
      <c r="E89" s="5">
        <f>C2+2*D2</f>
        <v/>
      </c>
      <c r="F89" s="5">
        <f>MAX(0,C2-2*D2)</f>
        <v/>
      </c>
      <c r="G89" s="3">
        <f>IF(OR(B89&gt;E89,B89&lt;F89,AND(B89=0,C89&gt;0)),"ANOMALY","")</f>
        <v/>
      </c>
    </row>
    <row r="90">
      <c r="A90" s="2" t="n">
        <v>46201</v>
      </c>
      <c r="B90" s="5">
        <f>SUMIF(Sales!$A$2:$A$5000,A90,Sales!$H$2:$H$5000)</f>
        <v/>
      </c>
      <c r="C90" s="5">
        <f>AVERAGE($B$2:$B$184)</f>
        <v/>
      </c>
      <c r="D90" s="5">
        <f>STDEVP($B$2:$B$184)</f>
        <v/>
      </c>
      <c r="E90" s="5">
        <f>C2+2*D2</f>
        <v/>
      </c>
      <c r="F90" s="5">
        <f>MAX(0,C2-2*D2)</f>
        <v/>
      </c>
      <c r="G90" s="3">
        <f>IF(OR(B90&gt;E90,B90&lt;F90,AND(B90=0,C90&gt;0)),"ANOMALY","")</f>
        <v/>
      </c>
    </row>
    <row r="91">
      <c r="A91" s="2" t="n">
        <v>46202</v>
      </c>
      <c r="B91" s="5">
        <f>SUMIF(Sales!$A$2:$A$5000,A91,Sales!$H$2:$H$5000)</f>
        <v/>
      </c>
      <c r="C91" s="5">
        <f>AVERAGE($B$2:$B$184)</f>
        <v/>
      </c>
      <c r="D91" s="5">
        <f>STDEVP($B$2:$B$184)</f>
        <v/>
      </c>
      <c r="E91" s="5">
        <f>C2+2*D2</f>
        <v/>
      </c>
      <c r="F91" s="5">
        <f>MAX(0,C2-2*D2)</f>
        <v/>
      </c>
      <c r="G91" s="3">
        <f>IF(OR(B91&gt;E91,B91&lt;F91,AND(B91=0,C91&gt;0)),"ANOMALY","")</f>
        <v/>
      </c>
    </row>
    <row r="92">
      <c r="A92" s="2" t="n">
        <v>46203</v>
      </c>
      <c r="B92" s="5">
        <f>SUMIF(Sales!$A$2:$A$5000,A92,Sales!$H$2:$H$5000)</f>
        <v/>
      </c>
      <c r="C92" s="5">
        <f>AVERAGE($B$2:$B$184)</f>
        <v/>
      </c>
      <c r="D92" s="5">
        <f>STDEVP($B$2:$B$184)</f>
        <v/>
      </c>
      <c r="E92" s="5">
        <f>C2+2*D2</f>
        <v/>
      </c>
      <c r="F92" s="5">
        <f>MAX(0,C2-2*D2)</f>
        <v/>
      </c>
      <c r="G92" s="3">
        <f>IF(OR(B92&gt;E92,B92&lt;F92,AND(B92=0,C92&gt;0)),"ANOMALY","")</f>
        <v/>
      </c>
    </row>
    <row r="93">
      <c r="A93" s="2" t="n">
        <v>46204</v>
      </c>
      <c r="B93" s="5">
        <f>SUMIF(Sales!$A$2:$A$5000,A93,Sales!$H$2:$H$5000)</f>
        <v/>
      </c>
      <c r="C93" s="5">
        <f>AVERAGE($B$2:$B$184)</f>
        <v/>
      </c>
      <c r="D93" s="5">
        <f>STDEVP($B$2:$B$184)</f>
        <v/>
      </c>
      <c r="E93" s="5">
        <f>C2+2*D2</f>
        <v/>
      </c>
      <c r="F93" s="5">
        <f>MAX(0,C2-2*D2)</f>
        <v/>
      </c>
      <c r="G93" s="3">
        <f>IF(OR(B93&gt;E93,B93&lt;F93,AND(B93=0,C93&gt;0)),"ANOMALY","")</f>
        <v/>
      </c>
    </row>
    <row r="94">
      <c r="A94" s="2" t="n">
        <v>46205</v>
      </c>
      <c r="B94" s="5">
        <f>SUMIF(Sales!$A$2:$A$5000,A94,Sales!$H$2:$H$5000)</f>
        <v/>
      </c>
      <c r="C94" s="5">
        <f>AVERAGE($B$2:$B$184)</f>
        <v/>
      </c>
      <c r="D94" s="5">
        <f>STDEVP($B$2:$B$184)</f>
        <v/>
      </c>
      <c r="E94" s="5">
        <f>C2+2*D2</f>
        <v/>
      </c>
      <c r="F94" s="5">
        <f>MAX(0,C2-2*D2)</f>
        <v/>
      </c>
      <c r="G94" s="3">
        <f>IF(OR(B94&gt;E94,B94&lt;F94,AND(B94=0,C94&gt;0)),"ANOMALY","")</f>
        <v/>
      </c>
    </row>
    <row r="95">
      <c r="A95" s="2" t="n">
        <v>46206</v>
      </c>
      <c r="B95" s="5">
        <f>SUMIF(Sales!$A$2:$A$5000,A95,Sales!$H$2:$H$5000)</f>
        <v/>
      </c>
      <c r="C95" s="5">
        <f>AVERAGE($B$2:$B$184)</f>
        <v/>
      </c>
      <c r="D95" s="5">
        <f>STDEVP($B$2:$B$184)</f>
        <v/>
      </c>
      <c r="E95" s="5">
        <f>C2+2*D2</f>
        <v/>
      </c>
      <c r="F95" s="5">
        <f>MAX(0,C2-2*D2)</f>
        <v/>
      </c>
      <c r="G95" s="3">
        <f>IF(OR(B95&gt;E95,B95&lt;F95,AND(B95=0,C95&gt;0)),"ANOMALY","")</f>
        <v/>
      </c>
    </row>
    <row r="96">
      <c r="A96" s="2" t="n">
        <v>46207</v>
      </c>
      <c r="B96" s="5">
        <f>SUMIF(Sales!$A$2:$A$5000,A96,Sales!$H$2:$H$5000)</f>
        <v/>
      </c>
      <c r="C96" s="5">
        <f>AVERAGE($B$2:$B$184)</f>
        <v/>
      </c>
      <c r="D96" s="5">
        <f>STDEVP($B$2:$B$184)</f>
        <v/>
      </c>
      <c r="E96" s="5">
        <f>C2+2*D2</f>
        <v/>
      </c>
      <c r="F96" s="5">
        <f>MAX(0,C2-2*D2)</f>
        <v/>
      </c>
      <c r="G96" s="3">
        <f>IF(OR(B96&gt;E96,B96&lt;F96,AND(B96=0,C96&gt;0)),"ANOMALY","")</f>
        <v/>
      </c>
    </row>
    <row r="97">
      <c r="A97" s="2" t="n">
        <v>46208</v>
      </c>
      <c r="B97" s="5">
        <f>SUMIF(Sales!$A$2:$A$5000,A97,Sales!$H$2:$H$5000)</f>
        <v/>
      </c>
      <c r="C97" s="5">
        <f>AVERAGE($B$2:$B$184)</f>
        <v/>
      </c>
      <c r="D97" s="5">
        <f>STDEVP($B$2:$B$184)</f>
        <v/>
      </c>
      <c r="E97" s="5">
        <f>C2+2*D2</f>
        <v/>
      </c>
      <c r="F97" s="5">
        <f>MAX(0,C2-2*D2)</f>
        <v/>
      </c>
      <c r="G97" s="3">
        <f>IF(OR(B97&gt;E97,B97&lt;F97,AND(B97=0,C97&gt;0)),"ANOMALY","")</f>
        <v/>
      </c>
    </row>
    <row r="98">
      <c r="A98" s="2" t="n">
        <v>46209</v>
      </c>
      <c r="B98" s="5">
        <f>SUMIF(Sales!$A$2:$A$5000,A98,Sales!$H$2:$H$5000)</f>
        <v/>
      </c>
      <c r="C98" s="5">
        <f>AVERAGE($B$2:$B$184)</f>
        <v/>
      </c>
      <c r="D98" s="5">
        <f>STDEVP($B$2:$B$184)</f>
        <v/>
      </c>
      <c r="E98" s="5">
        <f>C2+2*D2</f>
        <v/>
      </c>
      <c r="F98" s="5">
        <f>MAX(0,C2-2*D2)</f>
        <v/>
      </c>
      <c r="G98" s="3">
        <f>IF(OR(B98&gt;E98,B98&lt;F98,AND(B98=0,C98&gt;0)),"ANOMALY","")</f>
        <v/>
      </c>
    </row>
    <row r="99">
      <c r="A99" s="2" t="n">
        <v>46210</v>
      </c>
      <c r="B99" s="5">
        <f>SUMIF(Sales!$A$2:$A$5000,A99,Sales!$H$2:$H$5000)</f>
        <v/>
      </c>
      <c r="C99" s="5">
        <f>AVERAGE($B$2:$B$184)</f>
        <v/>
      </c>
      <c r="D99" s="5">
        <f>STDEVP($B$2:$B$184)</f>
        <v/>
      </c>
      <c r="E99" s="5">
        <f>C2+2*D2</f>
        <v/>
      </c>
      <c r="F99" s="5">
        <f>MAX(0,C2-2*D2)</f>
        <v/>
      </c>
      <c r="G99" s="3">
        <f>IF(OR(B99&gt;E99,B99&lt;F99,AND(B99=0,C99&gt;0)),"ANOMALY","")</f>
        <v/>
      </c>
    </row>
    <row r="100">
      <c r="A100" s="2" t="n">
        <v>46211</v>
      </c>
      <c r="B100" s="5">
        <f>SUMIF(Sales!$A$2:$A$5000,A100,Sales!$H$2:$H$5000)</f>
        <v/>
      </c>
      <c r="C100" s="5">
        <f>AVERAGE($B$2:$B$184)</f>
        <v/>
      </c>
      <c r="D100" s="5">
        <f>STDEVP($B$2:$B$184)</f>
        <v/>
      </c>
      <c r="E100" s="5">
        <f>C2+2*D2</f>
        <v/>
      </c>
      <c r="F100" s="5">
        <f>MAX(0,C2-2*D2)</f>
        <v/>
      </c>
      <c r="G100" s="3">
        <f>IF(OR(B100&gt;E100,B100&lt;F100,AND(B100=0,C100&gt;0)),"ANOMALY","")</f>
        <v/>
      </c>
    </row>
    <row r="101">
      <c r="A101" s="2" t="n">
        <v>46212</v>
      </c>
      <c r="B101" s="5">
        <f>SUMIF(Sales!$A$2:$A$5000,A101,Sales!$H$2:$H$5000)</f>
        <v/>
      </c>
      <c r="C101" s="5">
        <f>AVERAGE($B$2:$B$184)</f>
        <v/>
      </c>
      <c r="D101" s="5">
        <f>STDEVP($B$2:$B$184)</f>
        <v/>
      </c>
      <c r="E101" s="5">
        <f>C2+2*D2</f>
        <v/>
      </c>
      <c r="F101" s="5">
        <f>MAX(0,C2-2*D2)</f>
        <v/>
      </c>
      <c r="G101" s="3">
        <f>IF(OR(B101&gt;E101,B101&lt;F101,AND(B101=0,C101&gt;0)),"ANOMALY","")</f>
        <v/>
      </c>
    </row>
    <row r="102">
      <c r="A102" s="2" t="n">
        <v>46213</v>
      </c>
      <c r="B102" s="5">
        <f>SUMIF(Sales!$A$2:$A$5000,A102,Sales!$H$2:$H$5000)</f>
        <v/>
      </c>
      <c r="C102" s="5">
        <f>AVERAGE($B$2:$B$184)</f>
        <v/>
      </c>
      <c r="D102" s="5">
        <f>STDEVP($B$2:$B$184)</f>
        <v/>
      </c>
      <c r="E102" s="5">
        <f>C2+2*D2</f>
        <v/>
      </c>
      <c r="F102" s="5">
        <f>MAX(0,C2-2*D2)</f>
        <v/>
      </c>
      <c r="G102" s="3">
        <f>IF(OR(B102&gt;E102,B102&lt;F102,AND(B102=0,C102&gt;0)),"ANOMALY","")</f>
        <v/>
      </c>
    </row>
    <row r="103">
      <c r="A103" s="2" t="n">
        <v>46214</v>
      </c>
      <c r="B103" s="5">
        <f>SUMIF(Sales!$A$2:$A$5000,A103,Sales!$H$2:$H$5000)</f>
        <v/>
      </c>
      <c r="C103" s="5">
        <f>AVERAGE($B$2:$B$184)</f>
        <v/>
      </c>
      <c r="D103" s="5">
        <f>STDEVP($B$2:$B$184)</f>
        <v/>
      </c>
      <c r="E103" s="5">
        <f>C2+2*D2</f>
        <v/>
      </c>
      <c r="F103" s="5">
        <f>MAX(0,C2-2*D2)</f>
        <v/>
      </c>
      <c r="G103" s="3">
        <f>IF(OR(B103&gt;E103,B103&lt;F103,AND(B103=0,C103&gt;0)),"ANOMALY","")</f>
        <v/>
      </c>
    </row>
    <row r="104">
      <c r="A104" s="2" t="n">
        <v>46215</v>
      </c>
      <c r="B104" s="5">
        <f>SUMIF(Sales!$A$2:$A$5000,A104,Sales!$H$2:$H$5000)</f>
        <v/>
      </c>
      <c r="C104" s="5">
        <f>AVERAGE($B$2:$B$184)</f>
        <v/>
      </c>
      <c r="D104" s="5">
        <f>STDEVP($B$2:$B$184)</f>
        <v/>
      </c>
      <c r="E104" s="5">
        <f>C2+2*D2</f>
        <v/>
      </c>
      <c r="F104" s="5">
        <f>MAX(0,C2-2*D2)</f>
        <v/>
      </c>
      <c r="G104" s="3">
        <f>IF(OR(B104&gt;E104,B104&lt;F104,AND(B104=0,C104&gt;0)),"ANOMALY","")</f>
        <v/>
      </c>
    </row>
    <row r="105">
      <c r="A105" s="2" t="n">
        <v>46216</v>
      </c>
      <c r="B105" s="5">
        <f>SUMIF(Sales!$A$2:$A$5000,A105,Sales!$H$2:$H$5000)</f>
        <v/>
      </c>
      <c r="C105" s="5">
        <f>AVERAGE($B$2:$B$184)</f>
        <v/>
      </c>
      <c r="D105" s="5">
        <f>STDEVP($B$2:$B$184)</f>
        <v/>
      </c>
      <c r="E105" s="5">
        <f>C2+2*D2</f>
        <v/>
      </c>
      <c r="F105" s="5">
        <f>MAX(0,C2-2*D2)</f>
        <v/>
      </c>
      <c r="G105" s="3">
        <f>IF(OR(B105&gt;E105,B105&lt;F105,AND(B105=0,C105&gt;0)),"ANOMALY","")</f>
        <v/>
      </c>
    </row>
    <row r="106">
      <c r="A106" s="2" t="n">
        <v>46217</v>
      </c>
      <c r="B106" s="5">
        <f>SUMIF(Sales!$A$2:$A$5000,A106,Sales!$H$2:$H$5000)</f>
        <v/>
      </c>
      <c r="C106" s="5">
        <f>AVERAGE($B$2:$B$184)</f>
        <v/>
      </c>
      <c r="D106" s="5">
        <f>STDEVP($B$2:$B$184)</f>
        <v/>
      </c>
      <c r="E106" s="5">
        <f>C2+2*D2</f>
        <v/>
      </c>
      <c r="F106" s="5">
        <f>MAX(0,C2-2*D2)</f>
        <v/>
      </c>
      <c r="G106" s="3">
        <f>IF(OR(B106&gt;E106,B106&lt;F106,AND(B106=0,C106&gt;0)),"ANOMALY","")</f>
        <v/>
      </c>
    </row>
    <row r="107">
      <c r="A107" s="2" t="n">
        <v>46218</v>
      </c>
      <c r="B107" s="5">
        <f>SUMIF(Sales!$A$2:$A$5000,A107,Sales!$H$2:$H$5000)</f>
        <v/>
      </c>
      <c r="C107" s="5">
        <f>AVERAGE($B$2:$B$184)</f>
        <v/>
      </c>
      <c r="D107" s="5">
        <f>STDEVP($B$2:$B$184)</f>
        <v/>
      </c>
      <c r="E107" s="5">
        <f>C2+2*D2</f>
        <v/>
      </c>
      <c r="F107" s="5">
        <f>MAX(0,C2-2*D2)</f>
        <v/>
      </c>
      <c r="G107" s="3">
        <f>IF(OR(B107&gt;E107,B107&lt;F107,AND(B107=0,C107&gt;0)),"ANOMALY","")</f>
        <v/>
      </c>
    </row>
    <row r="108">
      <c r="A108" s="2" t="n">
        <v>46219</v>
      </c>
      <c r="B108" s="5">
        <f>SUMIF(Sales!$A$2:$A$5000,A108,Sales!$H$2:$H$5000)</f>
        <v/>
      </c>
      <c r="C108" s="5">
        <f>AVERAGE($B$2:$B$184)</f>
        <v/>
      </c>
      <c r="D108" s="5">
        <f>STDEVP($B$2:$B$184)</f>
        <v/>
      </c>
      <c r="E108" s="5">
        <f>C2+2*D2</f>
        <v/>
      </c>
      <c r="F108" s="5">
        <f>MAX(0,C2-2*D2)</f>
        <v/>
      </c>
      <c r="G108" s="3">
        <f>IF(OR(B108&gt;E108,B108&lt;F108,AND(B108=0,C108&gt;0)),"ANOMALY","")</f>
        <v/>
      </c>
    </row>
    <row r="109">
      <c r="A109" s="2" t="n">
        <v>46220</v>
      </c>
      <c r="B109" s="5">
        <f>SUMIF(Sales!$A$2:$A$5000,A109,Sales!$H$2:$H$5000)</f>
        <v/>
      </c>
      <c r="C109" s="5">
        <f>AVERAGE($B$2:$B$184)</f>
        <v/>
      </c>
      <c r="D109" s="5">
        <f>STDEVP($B$2:$B$184)</f>
        <v/>
      </c>
      <c r="E109" s="5">
        <f>C2+2*D2</f>
        <v/>
      </c>
      <c r="F109" s="5">
        <f>MAX(0,C2-2*D2)</f>
        <v/>
      </c>
      <c r="G109" s="3">
        <f>IF(OR(B109&gt;E109,B109&lt;F109,AND(B109=0,C109&gt;0)),"ANOMALY","")</f>
        <v/>
      </c>
    </row>
    <row r="110">
      <c r="A110" s="2" t="n">
        <v>46221</v>
      </c>
      <c r="B110" s="5">
        <f>SUMIF(Sales!$A$2:$A$5000,A110,Sales!$H$2:$H$5000)</f>
        <v/>
      </c>
      <c r="C110" s="5">
        <f>AVERAGE($B$2:$B$184)</f>
        <v/>
      </c>
      <c r="D110" s="5">
        <f>STDEVP($B$2:$B$184)</f>
        <v/>
      </c>
      <c r="E110" s="5">
        <f>C2+2*D2</f>
        <v/>
      </c>
      <c r="F110" s="5">
        <f>MAX(0,C2-2*D2)</f>
        <v/>
      </c>
      <c r="G110" s="3">
        <f>IF(OR(B110&gt;E110,B110&lt;F110,AND(B110=0,C110&gt;0)),"ANOMALY","")</f>
        <v/>
      </c>
    </row>
    <row r="111">
      <c r="A111" s="2" t="n">
        <v>46222</v>
      </c>
      <c r="B111" s="5">
        <f>SUMIF(Sales!$A$2:$A$5000,A111,Sales!$H$2:$H$5000)</f>
        <v/>
      </c>
      <c r="C111" s="5">
        <f>AVERAGE($B$2:$B$184)</f>
        <v/>
      </c>
      <c r="D111" s="5">
        <f>STDEVP($B$2:$B$184)</f>
        <v/>
      </c>
      <c r="E111" s="5">
        <f>C2+2*D2</f>
        <v/>
      </c>
      <c r="F111" s="5">
        <f>MAX(0,C2-2*D2)</f>
        <v/>
      </c>
      <c r="G111" s="3">
        <f>IF(OR(B111&gt;E111,B111&lt;F111,AND(B111=0,C111&gt;0)),"ANOMALY","")</f>
        <v/>
      </c>
    </row>
    <row r="112">
      <c r="A112" s="2" t="n">
        <v>46223</v>
      </c>
      <c r="B112" s="5">
        <f>SUMIF(Sales!$A$2:$A$5000,A112,Sales!$H$2:$H$5000)</f>
        <v/>
      </c>
      <c r="C112" s="5">
        <f>AVERAGE($B$2:$B$184)</f>
        <v/>
      </c>
      <c r="D112" s="5">
        <f>STDEVP($B$2:$B$184)</f>
        <v/>
      </c>
      <c r="E112" s="5">
        <f>C2+2*D2</f>
        <v/>
      </c>
      <c r="F112" s="5">
        <f>MAX(0,C2-2*D2)</f>
        <v/>
      </c>
      <c r="G112" s="3">
        <f>IF(OR(B112&gt;E112,B112&lt;F112,AND(B112=0,C112&gt;0)),"ANOMALY","")</f>
        <v/>
      </c>
    </row>
    <row r="113">
      <c r="A113" s="2" t="n">
        <v>46224</v>
      </c>
      <c r="B113" s="5">
        <f>SUMIF(Sales!$A$2:$A$5000,A113,Sales!$H$2:$H$5000)</f>
        <v/>
      </c>
      <c r="C113" s="5">
        <f>AVERAGE($B$2:$B$184)</f>
        <v/>
      </c>
      <c r="D113" s="5">
        <f>STDEVP($B$2:$B$184)</f>
        <v/>
      </c>
      <c r="E113" s="5">
        <f>C2+2*D2</f>
        <v/>
      </c>
      <c r="F113" s="5">
        <f>MAX(0,C2-2*D2)</f>
        <v/>
      </c>
      <c r="G113" s="3">
        <f>IF(OR(B113&gt;E113,B113&lt;F113,AND(B113=0,C113&gt;0)),"ANOMALY","")</f>
        <v/>
      </c>
    </row>
    <row r="114">
      <c r="A114" s="2" t="n">
        <v>46225</v>
      </c>
      <c r="B114" s="5">
        <f>SUMIF(Sales!$A$2:$A$5000,A114,Sales!$H$2:$H$5000)</f>
        <v/>
      </c>
      <c r="C114" s="5">
        <f>AVERAGE($B$2:$B$184)</f>
        <v/>
      </c>
      <c r="D114" s="5">
        <f>STDEVP($B$2:$B$184)</f>
        <v/>
      </c>
      <c r="E114" s="5">
        <f>C2+2*D2</f>
        <v/>
      </c>
      <c r="F114" s="5">
        <f>MAX(0,C2-2*D2)</f>
        <v/>
      </c>
      <c r="G114" s="3">
        <f>IF(OR(B114&gt;E114,B114&lt;F114,AND(B114=0,C114&gt;0)),"ANOMALY","")</f>
        <v/>
      </c>
    </row>
    <row r="115">
      <c r="A115" s="2" t="n">
        <v>46226</v>
      </c>
      <c r="B115" s="5">
        <f>SUMIF(Sales!$A$2:$A$5000,A115,Sales!$H$2:$H$5000)</f>
        <v/>
      </c>
      <c r="C115" s="5">
        <f>AVERAGE($B$2:$B$184)</f>
        <v/>
      </c>
      <c r="D115" s="5">
        <f>STDEVP($B$2:$B$184)</f>
        <v/>
      </c>
      <c r="E115" s="5">
        <f>C2+2*D2</f>
        <v/>
      </c>
      <c r="F115" s="5">
        <f>MAX(0,C2-2*D2)</f>
        <v/>
      </c>
      <c r="G115" s="3">
        <f>IF(OR(B115&gt;E115,B115&lt;F115,AND(B115=0,C115&gt;0)),"ANOMALY","")</f>
        <v/>
      </c>
    </row>
    <row r="116">
      <c r="A116" s="2" t="n">
        <v>46227</v>
      </c>
      <c r="B116" s="5">
        <f>SUMIF(Sales!$A$2:$A$5000,A116,Sales!$H$2:$H$5000)</f>
        <v/>
      </c>
      <c r="C116" s="5">
        <f>AVERAGE($B$2:$B$184)</f>
        <v/>
      </c>
      <c r="D116" s="5">
        <f>STDEVP($B$2:$B$184)</f>
        <v/>
      </c>
      <c r="E116" s="5">
        <f>C2+2*D2</f>
        <v/>
      </c>
      <c r="F116" s="5">
        <f>MAX(0,C2-2*D2)</f>
        <v/>
      </c>
      <c r="G116" s="3">
        <f>IF(OR(B116&gt;E116,B116&lt;F116,AND(B116=0,C116&gt;0)),"ANOMALY","")</f>
        <v/>
      </c>
    </row>
    <row r="117">
      <c r="A117" s="2" t="n">
        <v>46228</v>
      </c>
      <c r="B117" s="5">
        <f>SUMIF(Sales!$A$2:$A$5000,A117,Sales!$H$2:$H$5000)</f>
        <v/>
      </c>
      <c r="C117" s="5">
        <f>AVERAGE($B$2:$B$184)</f>
        <v/>
      </c>
      <c r="D117" s="5">
        <f>STDEVP($B$2:$B$184)</f>
        <v/>
      </c>
      <c r="E117" s="5">
        <f>C2+2*D2</f>
        <v/>
      </c>
      <c r="F117" s="5">
        <f>MAX(0,C2-2*D2)</f>
        <v/>
      </c>
      <c r="G117" s="3">
        <f>IF(OR(B117&gt;E117,B117&lt;F117,AND(B117=0,C117&gt;0)),"ANOMALY","")</f>
        <v/>
      </c>
    </row>
    <row r="118">
      <c r="A118" s="2" t="n">
        <v>46229</v>
      </c>
      <c r="B118" s="5">
        <f>SUMIF(Sales!$A$2:$A$5000,A118,Sales!$H$2:$H$5000)</f>
        <v/>
      </c>
      <c r="C118" s="5">
        <f>AVERAGE($B$2:$B$184)</f>
        <v/>
      </c>
      <c r="D118" s="5">
        <f>STDEVP($B$2:$B$184)</f>
        <v/>
      </c>
      <c r="E118" s="5">
        <f>C2+2*D2</f>
        <v/>
      </c>
      <c r="F118" s="5">
        <f>MAX(0,C2-2*D2)</f>
        <v/>
      </c>
      <c r="G118" s="3">
        <f>IF(OR(B118&gt;E118,B118&lt;F118,AND(B118=0,C118&gt;0)),"ANOMALY","")</f>
        <v/>
      </c>
    </row>
    <row r="119">
      <c r="A119" s="2" t="n">
        <v>46230</v>
      </c>
      <c r="B119" s="5">
        <f>SUMIF(Sales!$A$2:$A$5000,A119,Sales!$H$2:$H$5000)</f>
        <v/>
      </c>
      <c r="C119" s="5">
        <f>AVERAGE($B$2:$B$184)</f>
        <v/>
      </c>
      <c r="D119" s="5">
        <f>STDEVP($B$2:$B$184)</f>
        <v/>
      </c>
      <c r="E119" s="5">
        <f>C2+2*D2</f>
        <v/>
      </c>
      <c r="F119" s="5">
        <f>MAX(0,C2-2*D2)</f>
        <v/>
      </c>
      <c r="G119" s="3">
        <f>IF(OR(B119&gt;E119,B119&lt;F119,AND(B119=0,C119&gt;0)),"ANOMALY","")</f>
        <v/>
      </c>
    </row>
    <row r="120">
      <c r="A120" s="2" t="n">
        <v>46231</v>
      </c>
      <c r="B120" s="5">
        <f>SUMIF(Sales!$A$2:$A$5000,A120,Sales!$H$2:$H$5000)</f>
        <v/>
      </c>
      <c r="C120" s="5">
        <f>AVERAGE($B$2:$B$184)</f>
        <v/>
      </c>
      <c r="D120" s="5">
        <f>STDEVP($B$2:$B$184)</f>
        <v/>
      </c>
      <c r="E120" s="5">
        <f>C2+2*D2</f>
        <v/>
      </c>
      <c r="F120" s="5">
        <f>MAX(0,C2-2*D2)</f>
        <v/>
      </c>
      <c r="G120" s="3">
        <f>IF(OR(B120&gt;E120,B120&lt;F120,AND(B120=0,C120&gt;0)),"ANOMALY","")</f>
        <v/>
      </c>
    </row>
    <row r="121">
      <c r="A121" s="2" t="n">
        <v>46232</v>
      </c>
      <c r="B121" s="5">
        <f>SUMIF(Sales!$A$2:$A$5000,A121,Sales!$H$2:$H$5000)</f>
        <v/>
      </c>
      <c r="C121" s="5">
        <f>AVERAGE($B$2:$B$184)</f>
        <v/>
      </c>
      <c r="D121" s="5">
        <f>STDEVP($B$2:$B$184)</f>
        <v/>
      </c>
      <c r="E121" s="5">
        <f>C2+2*D2</f>
        <v/>
      </c>
      <c r="F121" s="5">
        <f>MAX(0,C2-2*D2)</f>
        <v/>
      </c>
      <c r="G121" s="3">
        <f>IF(OR(B121&gt;E121,B121&lt;F121,AND(B121=0,C121&gt;0)),"ANOMALY","")</f>
        <v/>
      </c>
    </row>
    <row r="122">
      <c r="A122" s="2" t="n">
        <v>46233</v>
      </c>
      <c r="B122" s="5">
        <f>SUMIF(Sales!$A$2:$A$5000,A122,Sales!$H$2:$H$5000)</f>
        <v/>
      </c>
      <c r="C122" s="5">
        <f>AVERAGE($B$2:$B$184)</f>
        <v/>
      </c>
      <c r="D122" s="5">
        <f>STDEVP($B$2:$B$184)</f>
        <v/>
      </c>
      <c r="E122" s="5">
        <f>C2+2*D2</f>
        <v/>
      </c>
      <c r="F122" s="5">
        <f>MAX(0,C2-2*D2)</f>
        <v/>
      </c>
      <c r="G122" s="3">
        <f>IF(OR(B122&gt;E122,B122&lt;F122,AND(B122=0,C122&gt;0)),"ANOMALY","")</f>
        <v/>
      </c>
    </row>
    <row r="123">
      <c r="A123" s="2" t="n">
        <v>46234</v>
      </c>
      <c r="B123" s="5">
        <f>SUMIF(Sales!$A$2:$A$5000,A123,Sales!$H$2:$H$5000)</f>
        <v/>
      </c>
      <c r="C123" s="5">
        <f>AVERAGE($B$2:$B$184)</f>
        <v/>
      </c>
      <c r="D123" s="5">
        <f>STDEVP($B$2:$B$184)</f>
        <v/>
      </c>
      <c r="E123" s="5">
        <f>C2+2*D2</f>
        <v/>
      </c>
      <c r="F123" s="5">
        <f>MAX(0,C2-2*D2)</f>
        <v/>
      </c>
      <c r="G123" s="3">
        <f>IF(OR(B123&gt;E123,B123&lt;F123,AND(B123=0,C123&gt;0)),"ANOMALY","")</f>
        <v/>
      </c>
    </row>
    <row r="124">
      <c r="A124" s="2" t="n">
        <v>46235</v>
      </c>
      <c r="B124" s="5">
        <f>SUMIF(Sales!$A$2:$A$5000,A124,Sales!$H$2:$H$5000)</f>
        <v/>
      </c>
      <c r="C124" s="5">
        <f>AVERAGE($B$2:$B$184)</f>
        <v/>
      </c>
      <c r="D124" s="5">
        <f>STDEVP($B$2:$B$184)</f>
        <v/>
      </c>
      <c r="E124" s="5">
        <f>C2+2*D2</f>
        <v/>
      </c>
      <c r="F124" s="5">
        <f>MAX(0,C2-2*D2)</f>
        <v/>
      </c>
      <c r="G124" s="3">
        <f>IF(OR(B124&gt;E124,B124&lt;F124,AND(B124=0,C124&gt;0)),"ANOMALY","")</f>
        <v/>
      </c>
    </row>
    <row r="125">
      <c r="A125" s="2" t="n">
        <v>46236</v>
      </c>
      <c r="B125" s="5">
        <f>SUMIF(Sales!$A$2:$A$5000,A125,Sales!$H$2:$H$5000)</f>
        <v/>
      </c>
      <c r="C125" s="5">
        <f>AVERAGE($B$2:$B$184)</f>
        <v/>
      </c>
      <c r="D125" s="5">
        <f>STDEVP($B$2:$B$184)</f>
        <v/>
      </c>
      <c r="E125" s="5">
        <f>C2+2*D2</f>
        <v/>
      </c>
      <c r="F125" s="5">
        <f>MAX(0,C2-2*D2)</f>
        <v/>
      </c>
      <c r="G125" s="3">
        <f>IF(OR(B125&gt;E125,B125&lt;F125,AND(B125=0,C125&gt;0)),"ANOMALY","")</f>
        <v/>
      </c>
    </row>
    <row r="126">
      <c r="A126" s="2" t="n">
        <v>46237</v>
      </c>
      <c r="B126" s="5">
        <f>SUMIF(Sales!$A$2:$A$5000,A126,Sales!$H$2:$H$5000)</f>
        <v/>
      </c>
      <c r="C126" s="5">
        <f>AVERAGE($B$2:$B$184)</f>
        <v/>
      </c>
      <c r="D126" s="5">
        <f>STDEVP($B$2:$B$184)</f>
        <v/>
      </c>
      <c r="E126" s="5">
        <f>C2+2*D2</f>
        <v/>
      </c>
      <c r="F126" s="5">
        <f>MAX(0,C2-2*D2)</f>
        <v/>
      </c>
      <c r="G126" s="3">
        <f>IF(OR(B126&gt;E126,B126&lt;F126,AND(B126=0,C126&gt;0)),"ANOMALY","")</f>
        <v/>
      </c>
    </row>
    <row r="127">
      <c r="A127" s="2" t="n">
        <v>46238</v>
      </c>
      <c r="B127" s="5">
        <f>SUMIF(Sales!$A$2:$A$5000,A127,Sales!$H$2:$H$5000)</f>
        <v/>
      </c>
      <c r="C127" s="5">
        <f>AVERAGE($B$2:$B$184)</f>
        <v/>
      </c>
      <c r="D127" s="5">
        <f>STDEVP($B$2:$B$184)</f>
        <v/>
      </c>
      <c r="E127" s="5">
        <f>C2+2*D2</f>
        <v/>
      </c>
      <c r="F127" s="5">
        <f>MAX(0,C2-2*D2)</f>
        <v/>
      </c>
      <c r="G127" s="3">
        <f>IF(OR(B127&gt;E127,B127&lt;F127,AND(B127=0,C127&gt;0)),"ANOMALY","")</f>
        <v/>
      </c>
    </row>
    <row r="128">
      <c r="A128" s="2" t="n">
        <v>46239</v>
      </c>
      <c r="B128" s="5">
        <f>SUMIF(Sales!$A$2:$A$5000,A128,Sales!$H$2:$H$5000)</f>
        <v/>
      </c>
      <c r="C128" s="5">
        <f>AVERAGE($B$2:$B$184)</f>
        <v/>
      </c>
      <c r="D128" s="5">
        <f>STDEVP($B$2:$B$184)</f>
        <v/>
      </c>
      <c r="E128" s="5">
        <f>C2+2*D2</f>
        <v/>
      </c>
      <c r="F128" s="5">
        <f>MAX(0,C2-2*D2)</f>
        <v/>
      </c>
      <c r="G128" s="3">
        <f>IF(OR(B128&gt;E128,B128&lt;F128,AND(B128=0,C128&gt;0)),"ANOMALY","")</f>
        <v/>
      </c>
    </row>
    <row r="129">
      <c r="A129" s="2" t="n">
        <v>46240</v>
      </c>
      <c r="B129" s="5">
        <f>SUMIF(Sales!$A$2:$A$5000,A129,Sales!$H$2:$H$5000)</f>
        <v/>
      </c>
      <c r="C129" s="5">
        <f>AVERAGE($B$2:$B$184)</f>
        <v/>
      </c>
      <c r="D129" s="5">
        <f>STDEVP($B$2:$B$184)</f>
        <v/>
      </c>
      <c r="E129" s="5">
        <f>C2+2*D2</f>
        <v/>
      </c>
      <c r="F129" s="5">
        <f>MAX(0,C2-2*D2)</f>
        <v/>
      </c>
      <c r="G129" s="3">
        <f>IF(OR(B129&gt;E129,B129&lt;F129,AND(B129=0,C129&gt;0)),"ANOMALY","")</f>
        <v/>
      </c>
    </row>
    <row r="130">
      <c r="A130" s="2" t="n">
        <v>46241</v>
      </c>
      <c r="B130" s="5">
        <f>SUMIF(Sales!$A$2:$A$5000,A130,Sales!$H$2:$H$5000)</f>
        <v/>
      </c>
      <c r="C130" s="5">
        <f>AVERAGE($B$2:$B$184)</f>
        <v/>
      </c>
      <c r="D130" s="5">
        <f>STDEVP($B$2:$B$184)</f>
        <v/>
      </c>
      <c r="E130" s="5">
        <f>C2+2*D2</f>
        <v/>
      </c>
      <c r="F130" s="5">
        <f>MAX(0,C2-2*D2)</f>
        <v/>
      </c>
      <c r="G130" s="3">
        <f>IF(OR(B130&gt;E130,B130&lt;F130,AND(B130=0,C130&gt;0)),"ANOMALY","")</f>
        <v/>
      </c>
    </row>
    <row r="131">
      <c r="A131" s="2" t="n">
        <v>46242</v>
      </c>
      <c r="B131" s="5">
        <f>SUMIF(Sales!$A$2:$A$5000,A131,Sales!$H$2:$H$5000)</f>
        <v/>
      </c>
      <c r="C131" s="5">
        <f>AVERAGE($B$2:$B$184)</f>
        <v/>
      </c>
      <c r="D131" s="5">
        <f>STDEVP($B$2:$B$184)</f>
        <v/>
      </c>
      <c r="E131" s="5">
        <f>C2+2*D2</f>
        <v/>
      </c>
      <c r="F131" s="5">
        <f>MAX(0,C2-2*D2)</f>
        <v/>
      </c>
      <c r="G131" s="3">
        <f>IF(OR(B131&gt;E131,B131&lt;F131,AND(B131=0,C131&gt;0)),"ANOMALY","")</f>
        <v/>
      </c>
    </row>
    <row r="132">
      <c r="A132" s="2" t="n">
        <v>46243</v>
      </c>
      <c r="B132" s="5">
        <f>SUMIF(Sales!$A$2:$A$5000,A132,Sales!$H$2:$H$5000)</f>
        <v/>
      </c>
      <c r="C132" s="5">
        <f>AVERAGE($B$2:$B$184)</f>
        <v/>
      </c>
      <c r="D132" s="5">
        <f>STDEVP($B$2:$B$184)</f>
        <v/>
      </c>
      <c r="E132" s="5">
        <f>C2+2*D2</f>
        <v/>
      </c>
      <c r="F132" s="5">
        <f>MAX(0,C2-2*D2)</f>
        <v/>
      </c>
      <c r="G132" s="3">
        <f>IF(OR(B132&gt;E132,B132&lt;F132,AND(B132=0,C132&gt;0)),"ANOMALY","")</f>
        <v/>
      </c>
    </row>
    <row r="133">
      <c r="A133" s="2" t="n">
        <v>46244</v>
      </c>
      <c r="B133" s="5">
        <f>SUMIF(Sales!$A$2:$A$5000,A133,Sales!$H$2:$H$5000)</f>
        <v/>
      </c>
      <c r="C133" s="5">
        <f>AVERAGE($B$2:$B$184)</f>
        <v/>
      </c>
      <c r="D133" s="5">
        <f>STDEVP($B$2:$B$184)</f>
        <v/>
      </c>
      <c r="E133" s="5">
        <f>C2+2*D2</f>
        <v/>
      </c>
      <c r="F133" s="5">
        <f>MAX(0,C2-2*D2)</f>
        <v/>
      </c>
      <c r="G133" s="3">
        <f>IF(OR(B133&gt;E133,B133&lt;F133,AND(B133=0,C133&gt;0)),"ANOMALY","")</f>
        <v/>
      </c>
    </row>
    <row r="134">
      <c r="A134" s="2" t="n">
        <v>46245</v>
      </c>
      <c r="B134" s="5">
        <f>SUMIF(Sales!$A$2:$A$5000,A134,Sales!$H$2:$H$5000)</f>
        <v/>
      </c>
      <c r="C134" s="5">
        <f>AVERAGE($B$2:$B$184)</f>
        <v/>
      </c>
      <c r="D134" s="5">
        <f>STDEVP($B$2:$B$184)</f>
        <v/>
      </c>
      <c r="E134" s="5">
        <f>C2+2*D2</f>
        <v/>
      </c>
      <c r="F134" s="5">
        <f>MAX(0,C2-2*D2)</f>
        <v/>
      </c>
      <c r="G134" s="3">
        <f>IF(OR(B134&gt;E134,B134&lt;F134,AND(B134=0,C134&gt;0)),"ANOMALY","")</f>
        <v/>
      </c>
    </row>
    <row r="135">
      <c r="A135" s="2" t="n">
        <v>46246</v>
      </c>
      <c r="B135" s="5">
        <f>SUMIF(Sales!$A$2:$A$5000,A135,Sales!$H$2:$H$5000)</f>
        <v/>
      </c>
      <c r="C135" s="5">
        <f>AVERAGE($B$2:$B$184)</f>
        <v/>
      </c>
      <c r="D135" s="5">
        <f>STDEVP($B$2:$B$184)</f>
        <v/>
      </c>
      <c r="E135" s="5">
        <f>C2+2*D2</f>
        <v/>
      </c>
      <c r="F135" s="5">
        <f>MAX(0,C2-2*D2)</f>
        <v/>
      </c>
      <c r="G135" s="3">
        <f>IF(OR(B135&gt;E135,B135&lt;F135,AND(B135=0,C135&gt;0)),"ANOMALY","")</f>
        <v/>
      </c>
    </row>
    <row r="136">
      <c r="A136" s="2" t="n">
        <v>46247</v>
      </c>
      <c r="B136" s="5">
        <f>SUMIF(Sales!$A$2:$A$5000,A136,Sales!$H$2:$H$5000)</f>
        <v/>
      </c>
      <c r="C136" s="5">
        <f>AVERAGE($B$2:$B$184)</f>
        <v/>
      </c>
      <c r="D136" s="5">
        <f>STDEVP($B$2:$B$184)</f>
        <v/>
      </c>
      <c r="E136" s="5">
        <f>C2+2*D2</f>
        <v/>
      </c>
      <c r="F136" s="5">
        <f>MAX(0,C2-2*D2)</f>
        <v/>
      </c>
      <c r="G136" s="3">
        <f>IF(OR(B136&gt;E136,B136&lt;F136,AND(B136=0,C136&gt;0)),"ANOMALY","")</f>
        <v/>
      </c>
    </row>
    <row r="137">
      <c r="A137" s="2" t="n">
        <v>46248</v>
      </c>
      <c r="B137" s="5">
        <f>SUMIF(Sales!$A$2:$A$5000,A137,Sales!$H$2:$H$5000)</f>
        <v/>
      </c>
      <c r="C137" s="5">
        <f>AVERAGE($B$2:$B$184)</f>
        <v/>
      </c>
      <c r="D137" s="5">
        <f>STDEVP($B$2:$B$184)</f>
        <v/>
      </c>
      <c r="E137" s="5">
        <f>C2+2*D2</f>
        <v/>
      </c>
      <c r="F137" s="5">
        <f>MAX(0,C2-2*D2)</f>
        <v/>
      </c>
      <c r="G137" s="3">
        <f>IF(OR(B137&gt;E137,B137&lt;F137,AND(B137=0,C137&gt;0)),"ANOMALY","")</f>
        <v/>
      </c>
    </row>
    <row r="138">
      <c r="A138" s="2" t="n">
        <v>46249</v>
      </c>
      <c r="B138" s="5">
        <f>SUMIF(Sales!$A$2:$A$5000,A138,Sales!$H$2:$H$5000)</f>
        <v/>
      </c>
      <c r="C138" s="5">
        <f>AVERAGE($B$2:$B$184)</f>
        <v/>
      </c>
      <c r="D138" s="5">
        <f>STDEVP($B$2:$B$184)</f>
        <v/>
      </c>
      <c r="E138" s="5">
        <f>C2+2*D2</f>
        <v/>
      </c>
      <c r="F138" s="5">
        <f>MAX(0,C2-2*D2)</f>
        <v/>
      </c>
      <c r="G138" s="3">
        <f>IF(OR(B138&gt;E138,B138&lt;F138,AND(B138=0,C138&gt;0)),"ANOMALY","")</f>
        <v/>
      </c>
    </row>
    <row r="139">
      <c r="A139" s="2" t="n">
        <v>46250</v>
      </c>
      <c r="B139" s="5">
        <f>SUMIF(Sales!$A$2:$A$5000,A139,Sales!$H$2:$H$5000)</f>
        <v/>
      </c>
      <c r="C139" s="5">
        <f>AVERAGE($B$2:$B$184)</f>
        <v/>
      </c>
      <c r="D139" s="5">
        <f>STDEVP($B$2:$B$184)</f>
        <v/>
      </c>
      <c r="E139" s="5">
        <f>C2+2*D2</f>
        <v/>
      </c>
      <c r="F139" s="5">
        <f>MAX(0,C2-2*D2)</f>
        <v/>
      </c>
      <c r="G139" s="3">
        <f>IF(OR(B139&gt;E139,B139&lt;F139,AND(B139=0,C139&gt;0)),"ANOMALY","")</f>
        <v/>
      </c>
    </row>
    <row r="140">
      <c r="A140" s="2" t="n">
        <v>46251</v>
      </c>
      <c r="B140" s="5">
        <f>SUMIF(Sales!$A$2:$A$5000,A140,Sales!$H$2:$H$5000)</f>
        <v/>
      </c>
      <c r="C140" s="5">
        <f>AVERAGE($B$2:$B$184)</f>
        <v/>
      </c>
      <c r="D140" s="5">
        <f>STDEVP($B$2:$B$184)</f>
        <v/>
      </c>
      <c r="E140" s="5">
        <f>C2+2*D2</f>
        <v/>
      </c>
      <c r="F140" s="5">
        <f>MAX(0,C2-2*D2)</f>
        <v/>
      </c>
      <c r="G140" s="3">
        <f>IF(OR(B140&gt;E140,B140&lt;F140,AND(B140=0,C140&gt;0)),"ANOMALY","")</f>
        <v/>
      </c>
    </row>
    <row r="141">
      <c r="A141" s="2" t="n">
        <v>46252</v>
      </c>
      <c r="B141" s="5">
        <f>SUMIF(Sales!$A$2:$A$5000,A141,Sales!$H$2:$H$5000)</f>
        <v/>
      </c>
      <c r="C141" s="5">
        <f>AVERAGE($B$2:$B$184)</f>
        <v/>
      </c>
      <c r="D141" s="5">
        <f>STDEVP($B$2:$B$184)</f>
        <v/>
      </c>
      <c r="E141" s="5">
        <f>C2+2*D2</f>
        <v/>
      </c>
      <c r="F141" s="5">
        <f>MAX(0,C2-2*D2)</f>
        <v/>
      </c>
      <c r="G141" s="3">
        <f>IF(OR(B141&gt;E141,B141&lt;F141,AND(B141=0,C141&gt;0)),"ANOMALY","")</f>
        <v/>
      </c>
    </row>
    <row r="142">
      <c r="A142" s="2" t="n">
        <v>46253</v>
      </c>
      <c r="B142" s="5">
        <f>SUMIF(Sales!$A$2:$A$5000,A142,Sales!$H$2:$H$5000)</f>
        <v/>
      </c>
      <c r="C142" s="5">
        <f>AVERAGE($B$2:$B$184)</f>
        <v/>
      </c>
      <c r="D142" s="5">
        <f>STDEVP($B$2:$B$184)</f>
        <v/>
      </c>
      <c r="E142" s="5">
        <f>C2+2*D2</f>
        <v/>
      </c>
      <c r="F142" s="5">
        <f>MAX(0,C2-2*D2)</f>
        <v/>
      </c>
      <c r="G142" s="3">
        <f>IF(OR(B142&gt;E142,B142&lt;F142,AND(B142=0,C142&gt;0)),"ANOMALY","")</f>
        <v/>
      </c>
    </row>
    <row r="143">
      <c r="A143" s="2" t="n">
        <v>46254</v>
      </c>
      <c r="B143" s="5">
        <f>SUMIF(Sales!$A$2:$A$5000,A143,Sales!$H$2:$H$5000)</f>
        <v/>
      </c>
      <c r="C143" s="5">
        <f>AVERAGE($B$2:$B$184)</f>
        <v/>
      </c>
      <c r="D143" s="5">
        <f>STDEVP($B$2:$B$184)</f>
        <v/>
      </c>
      <c r="E143" s="5">
        <f>C2+2*D2</f>
        <v/>
      </c>
      <c r="F143" s="5">
        <f>MAX(0,C2-2*D2)</f>
        <v/>
      </c>
      <c r="G143" s="3">
        <f>IF(OR(B143&gt;E143,B143&lt;F143,AND(B143=0,C143&gt;0)),"ANOMALY","")</f>
        <v/>
      </c>
    </row>
    <row r="144">
      <c r="A144" s="2" t="n">
        <v>46255</v>
      </c>
      <c r="B144" s="5">
        <f>SUMIF(Sales!$A$2:$A$5000,A144,Sales!$H$2:$H$5000)</f>
        <v/>
      </c>
      <c r="C144" s="5">
        <f>AVERAGE($B$2:$B$184)</f>
        <v/>
      </c>
      <c r="D144" s="5">
        <f>STDEVP($B$2:$B$184)</f>
        <v/>
      </c>
      <c r="E144" s="5">
        <f>C2+2*D2</f>
        <v/>
      </c>
      <c r="F144" s="5">
        <f>MAX(0,C2-2*D2)</f>
        <v/>
      </c>
      <c r="G144" s="3">
        <f>IF(OR(B144&gt;E144,B144&lt;F144,AND(B144=0,C144&gt;0)),"ANOMALY","")</f>
        <v/>
      </c>
    </row>
    <row r="145">
      <c r="A145" s="2" t="n">
        <v>46256</v>
      </c>
      <c r="B145" s="5">
        <f>SUMIF(Sales!$A$2:$A$5000,A145,Sales!$H$2:$H$5000)</f>
        <v/>
      </c>
      <c r="C145" s="5">
        <f>AVERAGE($B$2:$B$184)</f>
        <v/>
      </c>
      <c r="D145" s="5">
        <f>STDEVP($B$2:$B$184)</f>
        <v/>
      </c>
      <c r="E145" s="5">
        <f>C2+2*D2</f>
        <v/>
      </c>
      <c r="F145" s="5">
        <f>MAX(0,C2-2*D2)</f>
        <v/>
      </c>
      <c r="G145" s="3">
        <f>IF(OR(B145&gt;E145,B145&lt;F145,AND(B145=0,C145&gt;0)),"ANOMALY","")</f>
        <v/>
      </c>
    </row>
    <row r="146">
      <c r="A146" s="2" t="n">
        <v>46257</v>
      </c>
      <c r="B146" s="5">
        <f>SUMIF(Sales!$A$2:$A$5000,A146,Sales!$H$2:$H$5000)</f>
        <v/>
      </c>
      <c r="C146" s="5">
        <f>AVERAGE($B$2:$B$184)</f>
        <v/>
      </c>
      <c r="D146" s="5">
        <f>STDEVP($B$2:$B$184)</f>
        <v/>
      </c>
      <c r="E146" s="5">
        <f>C2+2*D2</f>
        <v/>
      </c>
      <c r="F146" s="5">
        <f>MAX(0,C2-2*D2)</f>
        <v/>
      </c>
      <c r="G146" s="3">
        <f>IF(OR(B146&gt;E146,B146&lt;F146,AND(B146=0,C146&gt;0)),"ANOMALY","")</f>
        <v/>
      </c>
    </row>
    <row r="147">
      <c r="A147" s="2" t="n">
        <v>46258</v>
      </c>
      <c r="B147" s="5">
        <f>SUMIF(Sales!$A$2:$A$5000,A147,Sales!$H$2:$H$5000)</f>
        <v/>
      </c>
      <c r="C147" s="5">
        <f>AVERAGE($B$2:$B$184)</f>
        <v/>
      </c>
      <c r="D147" s="5">
        <f>STDEVP($B$2:$B$184)</f>
        <v/>
      </c>
      <c r="E147" s="5">
        <f>C2+2*D2</f>
        <v/>
      </c>
      <c r="F147" s="5">
        <f>MAX(0,C2-2*D2)</f>
        <v/>
      </c>
      <c r="G147" s="3">
        <f>IF(OR(B147&gt;E147,B147&lt;F147,AND(B147=0,C147&gt;0)),"ANOMALY","")</f>
        <v/>
      </c>
    </row>
    <row r="148">
      <c r="A148" s="2" t="n">
        <v>46259</v>
      </c>
      <c r="B148" s="5">
        <f>SUMIF(Sales!$A$2:$A$5000,A148,Sales!$H$2:$H$5000)</f>
        <v/>
      </c>
      <c r="C148" s="5">
        <f>AVERAGE($B$2:$B$184)</f>
        <v/>
      </c>
      <c r="D148" s="5">
        <f>STDEVP($B$2:$B$184)</f>
        <v/>
      </c>
      <c r="E148" s="5">
        <f>C2+2*D2</f>
        <v/>
      </c>
      <c r="F148" s="5">
        <f>MAX(0,C2-2*D2)</f>
        <v/>
      </c>
      <c r="G148" s="3">
        <f>IF(OR(B148&gt;E148,B148&lt;F148,AND(B148=0,C148&gt;0)),"ANOMALY","")</f>
        <v/>
      </c>
    </row>
    <row r="149">
      <c r="A149" s="2" t="n">
        <v>46260</v>
      </c>
      <c r="B149" s="5">
        <f>SUMIF(Sales!$A$2:$A$5000,A149,Sales!$H$2:$H$5000)</f>
        <v/>
      </c>
      <c r="C149" s="5">
        <f>AVERAGE($B$2:$B$184)</f>
        <v/>
      </c>
      <c r="D149" s="5">
        <f>STDEVP($B$2:$B$184)</f>
        <v/>
      </c>
      <c r="E149" s="5">
        <f>C2+2*D2</f>
        <v/>
      </c>
      <c r="F149" s="5">
        <f>MAX(0,C2-2*D2)</f>
        <v/>
      </c>
      <c r="G149" s="3">
        <f>IF(OR(B149&gt;E149,B149&lt;F149,AND(B149=0,C149&gt;0)),"ANOMALY","")</f>
        <v/>
      </c>
    </row>
    <row r="150">
      <c r="A150" s="2" t="n">
        <v>46261</v>
      </c>
      <c r="B150" s="5">
        <f>SUMIF(Sales!$A$2:$A$5000,A150,Sales!$H$2:$H$5000)</f>
        <v/>
      </c>
      <c r="C150" s="5">
        <f>AVERAGE($B$2:$B$184)</f>
        <v/>
      </c>
      <c r="D150" s="5">
        <f>STDEVP($B$2:$B$184)</f>
        <v/>
      </c>
      <c r="E150" s="5">
        <f>C2+2*D2</f>
        <v/>
      </c>
      <c r="F150" s="5">
        <f>MAX(0,C2-2*D2)</f>
        <v/>
      </c>
      <c r="G150" s="3">
        <f>IF(OR(B150&gt;E150,B150&lt;F150,AND(B150=0,C150&gt;0)),"ANOMALY","")</f>
        <v/>
      </c>
    </row>
    <row r="151">
      <c r="A151" s="2" t="n">
        <v>46262</v>
      </c>
      <c r="B151" s="5">
        <f>SUMIF(Sales!$A$2:$A$5000,A151,Sales!$H$2:$H$5000)</f>
        <v/>
      </c>
      <c r="C151" s="5">
        <f>AVERAGE($B$2:$B$184)</f>
        <v/>
      </c>
      <c r="D151" s="5">
        <f>STDEVP($B$2:$B$184)</f>
        <v/>
      </c>
      <c r="E151" s="5">
        <f>C2+2*D2</f>
        <v/>
      </c>
      <c r="F151" s="5">
        <f>MAX(0,C2-2*D2)</f>
        <v/>
      </c>
      <c r="G151" s="3">
        <f>IF(OR(B151&gt;E151,B151&lt;F151,AND(B151=0,C151&gt;0)),"ANOMALY","")</f>
        <v/>
      </c>
    </row>
    <row r="152">
      <c r="A152" s="2" t="n">
        <v>46263</v>
      </c>
      <c r="B152" s="5">
        <f>SUMIF(Sales!$A$2:$A$5000,A152,Sales!$H$2:$H$5000)</f>
        <v/>
      </c>
      <c r="C152" s="5">
        <f>AVERAGE($B$2:$B$184)</f>
        <v/>
      </c>
      <c r="D152" s="5">
        <f>STDEVP($B$2:$B$184)</f>
        <v/>
      </c>
      <c r="E152" s="5">
        <f>C2+2*D2</f>
        <v/>
      </c>
      <c r="F152" s="5">
        <f>MAX(0,C2-2*D2)</f>
        <v/>
      </c>
      <c r="G152" s="3">
        <f>IF(OR(B152&gt;E152,B152&lt;F152,AND(B152=0,C152&gt;0)),"ANOMALY","")</f>
        <v/>
      </c>
    </row>
    <row r="153">
      <c r="A153" s="2" t="n">
        <v>46264</v>
      </c>
      <c r="B153" s="5">
        <f>SUMIF(Sales!$A$2:$A$5000,A153,Sales!$H$2:$H$5000)</f>
        <v/>
      </c>
      <c r="C153" s="5">
        <f>AVERAGE($B$2:$B$184)</f>
        <v/>
      </c>
      <c r="D153" s="5">
        <f>STDEVP($B$2:$B$184)</f>
        <v/>
      </c>
      <c r="E153" s="5">
        <f>C2+2*D2</f>
        <v/>
      </c>
      <c r="F153" s="5">
        <f>MAX(0,C2-2*D2)</f>
        <v/>
      </c>
      <c r="G153" s="3">
        <f>IF(OR(B153&gt;E153,B153&lt;F153,AND(B153=0,C153&gt;0)),"ANOMALY","")</f>
        <v/>
      </c>
    </row>
    <row r="154">
      <c r="A154" s="2" t="n">
        <v>46265</v>
      </c>
      <c r="B154" s="5">
        <f>SUMIF(Sales!$A$2:$A$5000,A154,Sales!$H$2:$H$5000)</f>
        <v/>
      </c>
      <c r="C154" s="5">
        <f>AVERAGE($B$2:$B$184)</f>
        <v/>
      </c>
      <c r="D154" s="5">
        <f>STDEVP($B$2:$B$184)</f>
        <v/>
      </c>
      <c r="E154" s="5">
        <f>C2+2*D2</f>
        <v/>
      </c>
      <c r="F154" s="5">
        <f>MAX(0,C2-2*D2)</f>
        <v/>
      </c>
      <c r="G154" s="3">
        <f>IF(OR(B154&gt;E154,B154&lt;F154,AND(B154=0,C154&gt;0)),"ANOMALY","")</f>
        <v/>
      </c>
    </row>
    <row r="155">
      <c r="A155" s="2" t="n">
        <v>46266</v>
      </c>
      <c r="B155" s="5">
        <f>SUMIF(Sales!$A$2:$A$5000,A155,Sales!$H$2:$H$5000)</f>
        <v/>
      </c>
      <c r="C155" s="5">
        <f>AVERAGE($B$2:$B$184)</f>
        <v/>
      </c>
      <c r="D155" s="5">
        <f>STDEVP($B$2:$B$184)</f>
        <v/>
      </c>
      <c r="E155" s="5">
        <f>C2+2*D2</f>
        <v/>
      </c>
      <c r="F155" s="5">
        <f>MAX(0,C2-2*D2)</f>
        <v/>
      </c>
      <c r="G155" s="3">
        <f>IF(OR(B155&gt;E155,B155&lt;F155,AND(B155=0,C155&gt;0)),"ANOMALY","")</f>
        <v/>
      </c>
    </row>
    <row r="156">
      <c r="A156" s="2" t="n">
        <v>46267</v>
      </c>
      <c r="B156" s="5">
        <f>SUMIF(Sales!$A$2:$A$5000,A156,Sales!$H$2:$H$5000)</f>
        <v/>
      </c>
      <c r="C156" s="5">
        <f>AVERAGE($B$2:$B$184)</f>
        <v/>
      </c>
      <c r="D156" s="5">
        <f>STDEVP($B$2:$B$184)</f>
        <v/>
      </c>
      <c r="E156" s="5">
        <f>C2+2*D2</f>
        <v/>
      </c>
      <c r="F156" s="5">
        <f>MAX(0,C2-2*D2)</f>
        <v/>
      </c>
      <c r="G156" s="3">
        <f>IF(OR(B156&gt;E156,B156&lt;F156,AND(B156=0,C156&gt;0)),"ANOMALY","")</f>
        <v/>
      </c>
    </row>
    <row r="157">
      <c r="A157" s="2" t="n">
        <v>46268</v>
      </c>
      <c r="B157" s="5">
        <f>SUMIF(Sales!$A$2:$A$5000,A157,Sales!$H$2:$H$5000)</f>
        <v/>
      </c>
      <c r="C157" s="5">
        <f>AVERAGE($B$2:$B$184)</f>
        <v/>
      </c>
      <c r="D157" s="5">
        <f>STDEVP($B$2:$B$184)</f>
        <v/>
      </c>
      <c r="E157" s="5">
        <f>C2+2*D2</f>
        <v/>
      </c>
      <c r="F157" s="5">
        <f>MAX(0,C2-2*D2)</f>
        <v/>
      </c>
      <c r="G157" s="3">
        <f>IF(OR(B157&gt;E157,B157&lt;F157,AND(B157=0,C157&gt;0)),"ANOMALY","")</f>
        <v/>
      </c>
    </row>
    <row r="158">
      <c r="A158" s="2" t="n">
        <v>46269</v>
      </c>
      <c r="B158" s="5">
        <f>SUMIF(Sales!$A$2:$A$5000,A158,Sales!$H$2:$H$5000)</f>
        <v/>
      </c>
      <c r="C158" s="5">
        <f>AVERAGE($B$2:$B$184)</f>
        <v/>
      </c>
      <c r="D158" s="5">
        <f>STDEVP($B$2:$B$184)</f>
        <v/>
      </c>
      <c r="E158" s="5">
        <f>C2+2*D2</f>
        <v/>
      </c>
      <c r="F158" s="5">
        <f>MAX(0,C2-2*D2)</f>
        <v/>
      </c>
      <c r="G158" s="3">
        <f>IF(OR(B158&gt;E158,B158&lt;F158,AND(B158=0,C158&gt;0)),"ANOMALY","")</f>
        <v/>
      </c>
    </row>
    <row r="159">
      <c r="A159" s="2" t="n">
        <v>46270</v>
      </c>
      <c r="B159" s="5">
        <f>SUMIF(Sales!$A$2:$A$5000,A159,Sales!$H$2:$H$5000)</f>
        <v/>
      </c>
      <c r="C159" s="5">
        <f>AVERAGE($B$2:$B$184)</f>
        <v/>
      </c>
      <c r="D159" s="5">
        <f>STDEVP($B$2:$B$184)</f>
        <v/>
      </c>
      <c r="E159" s="5">
        <f>C2+2*D2</f>
        <v/>
      </c>
      <c r="F159" s="5">
        <f>MAX(0,C2-2*D2)</f>
        <v/>
      </c>
      <c r="G159" s="3">
        <f>IF(OR(B159&gt;E159,B159&lt;F159,AND(B159=0,C159&gt;0)),"ANOMALY","")</f>
        <v/>
      </c>
    </row>
    <row r="160">
      <c r="A160" s="2" t="n">
        <v>46271</v>
      </c>
      <c r="B160" s="5">
        <f>SUMIF(Sales!$A$2:$A$5000,A160,Sales!$H$2:$H$5000)</f>
        <v/>
      </c>
      <c r="C160" s="5">
        <f>AVERAGE($B$2:$B$184)</f>
        <v/>
      </c>
      <c r="D160" s="5">
        <f>STDEVP($B$2:$B$184)</f>
        <v/>
      </c>
      <c r="E160" s="5">
        <f>C2+2*D2</f>
        <v/>
      </c>
      <c r="F160" s="5">
        <f>MAX(0,C2-2*D2)</f>
        <v/>
      </c>
      <c r="G160" s="3">
        <f>IF(OR(B160&gt;E160,B160&lt;F160,AND(B160=0,C160&gt;0)),"ANOMALY","")</f>
        <v/>
      </c>
    </row>
    <row r="161">
      <c r="A161" s="2" t="n">
        <v>46272</v>
      </c>
      <c r="B161" s="5">
        <f>SUMIF(Sales!$A$2:$A$5000,A161,Sales!$H$2:$H$5000)</f>
        <v/>
      </c>
      <c r="C161" s="5">
        <f>AVERAGE($B$2:$B$184)</f>
        <v/>
      </c>
      <c r="D161" s="5">
        <f>STDEVP($B$2:$B$184)</f>
        <v/>
      </c>
      <c r="E161" s="5">
        <f>C2+2*D2</f>
        <v/>
      </c>
      <c r="F161" s="5">
        <f>MAX(0,C2-2*D2)</f>
        <v/>
      </c>
      <c r="G161" s="3">
        <f>IF(OR(B161&gt;E161,B161&lt;F161,AND(B161=0,C161&gt;0)),"ANOMALY","")</f>
        <v/>
      </c>
    </row>
    <row r="162">
      <c r="A162" s="2" t="n">
        <v>46273</v>
      </c>
      <c r="B162" s="5">
        <f>SUMIF(Sales!$A$2:$A$5000,A162,Sales!$H$2:$H$5000)</f>
        <v/>
      </c>
      <c r="C162" s="5">
        <f>AVERAGE($B$2:$B$184)</f>
        <v/>
      </c>
      <c r="D162" s="5">
        <f>STDEVP($B$2:$B$184)</f>
        <v/>
      </c>
      <c r="E162" s="5">
        <f>C2+2*D2</f>
        <v/>
      </c>
      <c r="F162" s="5">
        <f>MAX(0,C2-2*D2)</f>
        <v/>
      </c>
      <c r="G162" s="3">
        <f>IF(OR(B162&gt;E162,B162&lt;F162,AND(B162=0,C162&gt;0)),"ANOMALY","")</f>
        <v/>
      </c>
    </row>
    <row r="163">
      <c r="A163" s="2" t="n">
        <v>46274</v>
      </c>
      <c r="B163" s="5">
        <f>SUMIF(Sales!$A$2:$A$5000,A163,Sales!$H$2:$H$5000)</f>
        <v/>
      </c>
      <c r="C163" s="5">
        <f>AVERAGE($B$2:$B$184)</f>
        <v/>
      </c>
      <c r="D163" s="5">
        <f>STDEVP($B$2:$B$184)</f>
        <v/>
      </c>
      <c r="E163" s="5">
        <f>C2+2*D2</f>
        <v/>
      </c>
      <c r="F163" s="5">
        <f>MAX(0,C2-2*D2)</f>
        <v/>
      </c>
      <c r="G163" s="3">
        <f>IF(OR(B163&gt;E163,B163&lt;F163,AND(B163=0,C163&gt;0)),"ANOMALY","")</f>
        <v/>
      </c>
    </row>
    <row r="164">
      <c r="A164" s="2" t="n">
        <v>46275</v>
      </c>
      <c r="B164" s="5">
        <f>SUMIF(Sales!$A$2:$A$5000,A164,Sales!$H$2:$H$5000)</f>
        <v/>
      </c>
      <c r="C164" s="5">
        <f>AVERAGE($B$2:$B$184)</f>
        <v/>
      </c>
      <c r="D164" s="5">
        <f>STDEVP($B$2:$B$184)</f>
        <v/>
      </c>
      <c r="E164" s="5">
        <f>C2+2*D2</f>
        <v/>
      </c>
      <c r="F164" s="5">
        <f>MAX(0,C2-2*D2)</f>
        <v/>
      </c>
      <c r="G164" s="3">
        <f>IF(OR(B164&gt;E164,B164&lt;F164,AND(B164=0,C164&gt;0)),"ANOMALY","")</f>
        <v/>
      </c>
    </row>
    <row r="165">
      <c r="A165" s="2" t="n">
        <v>46276</v>
      </c>
      <c r="B165" s="5">
        <f>SUMIF(Sales!$A$2:$A$5000,A165,Sales!$H$2:$H$5000)</f>
        <v/>
      </c>
      <c r="C165" s="5">
        <f>AVERAGE($B$2:$B$184)</f>
        <v/>
      </c>
      <c r="D165" s="5">
        <f>STDEVP($B$2:$B$184)</f>
        <v/>
      </c>
      <c r="E165" s="5">
        <f>C2+2*D2</f>
        <v/>
      </c>
      <c r="F165" s="5">
        <f>MAX(0,C2-2*D2)</f>
        <v/>
      </c>
      <c r="G165" s="3">
        <f>IF(OR(B165&gt;E165,B165&lt;F165,AND(B165=0,C165&gt;0)),"ANOMALY","")</f>
        <v/>
      </c>
    </row>
    <row r="166">
      <c r="A166" s="2" t="n">
        <v>46277</v>
      </c>
      <c r="B166" s="5">
        <f>SUMIF(Sales!$A$2:$A$5000,A166,Sales!$H$2:$H$5000)</f>
        <v/>
      </c>
      <c r="C166" s="5">
        <f>AVERAGE($B$2:$B$184)</f>
        <v/>
      </c>
      <c r="D166" s="5">
        <f>STDEVP($B$2:$B$184)</f>
        <v/>
      </c>
      <c r="E166" s="5">
        <f>C2+2*D2</f>
        <v/>
      </c>
      <c r="F166" s="5">
        <f>MAX(0,C2-2*D2)</f>
        <v/>
      </c>
      <c r="G166" s="3">
        <f>IF(OR(B166&gt;E166,B166&lt;F166,AND(B166=0,C166&gt;0)),"ANOMALY","")</f>
        <v/>
      </c>
    </row>
    <row r="167">
      <c r="A167" s="2" t="n">
        <v>46278</v>
      </c>
      <c r="B167" s="5">
        <f>SUMIF(Sales!$A$2:$A$5000,A167,Sales!$H$2:$H$5000)</f>
        <v/>
      </c>
      <c r="C167" s="5">
        <f>AVERAGE($B$2:$B$184)</f>
        <v/>
      </c>
      <c r="D167" s="5">
        <f>STDEVP($B$2:$B$184)</f>
        <v/>
      </c>
      <c r="E167" s="5">
        <f>C2+2*D2</f>
        <v/>
      </c>
      <c r="F167" s="5">
        <f>MAX(0,C2-2*D2)</f>
        <v/>
      </c>
      <c r="G167" s="3">
        <f>IF(OR(B167&gt;E167,B167&lt;F167,AND(B167=0,C167&gt;0)),"ANOMALY","")</f>
        <v/>
      </c>
    </row>
    <row r="168">
      <c r="A168" s="2" t="n">
        <v>46279</v>
      </c>
      <c r="B168" s="5">
        <f>SUMIF(Sales!$A$2:$A$5000,A168,Sales!$H$2:$H$5000)</f>
        <v/>
      </c>
      <c r="C168" s="5">
        <f>AVERAGE($B$2:$B$184)</f>
        <v/>
      </c>
      <c r="D168" s="5">
        <f>STDEVP($B$2:$B$184)</f>
        <v/>
      </c>
      <c r="E168" s="5">
        <f>C2+2*D2</f>
        <v/>
      </c>
      <c r="F168" s="5">
        <f>MAX(0,C2-2*D2)</f>
        <v/>
      </c>
      <c r="G168" s="3">
        <f>IF(OR(B168&gt;E168,B168&lt;F168,AND(B168=0,C168&gt;0)),"ANOMALY","")</f>
        <v/>
      </c>
    </row>
    <row r="169">
      <c r="A169" s="2" t="n">
        <v>46280</v>
      </c>
      <c r="B169" s="5">
        <f>SUMIF(Sales!$A$2:$A$5000,A169,Sales!$H$2:$H$5000)</f>
        <v/>
      </c>
      <c r="C169" s="5">
        <f>AVERAGE($B$2:$B$184)</f>
        <v/>
      </c>
      <c r="D169" s="5">
        <f>STDEVP($B$2:$B$184)</f>
        <v/>
      </c>
      <c r="E169" s="5">
        <f>C2+2*D2</f>
        <v/>
      </c>
      <c r="F169" s="5">
        <f>MAX(0,C2-2*D2)</f>
        <v/>
      </c>
      <c r="G169" s="3">
        <f>IF(OR(B169&gt;E169,B169&lt;F169,AND(B169=0,C169&gt;0)),"ANOMALY","")</f>
        <v/>
      </c>
    </row>
    <row r="170">
      <c r="A170" s="2" t="n">
        <v>46281</v>
      </c>
      <c r="B170" s="5">
        <f>SUMIF(Sales!$A$2:$A$5000,A170,Sales!$H$2:$H$5000)</f>
        <v/>
      </c>
      <c r="C170" s="5">
        <f>AVERAGE($B$2:$B$184)</f>
        <v/>
      </c>
      <c r="D170" s="5">
        <f>STDEVP($B$2:$B$184)</f>
        <v/>
      </c>
      <c r="E170" s="5">
        <f>C2+2*D2</f>
        <v/>
      </c>
      <c r="F170" s="5">
        <f>MAX(0,C2-2*D2)</f>
        <v/>
      </c>
      <c r="G170" s="3">
        <f>IF(OR(B170&gt;E170,B170&lt;F170,AND(B170=0,C170&gt;0)),"ANOMALY","")</f>
        <v/>
      </c>
    </row>
    <row r="171">
      <c r="A171" s="2" t="n">
        <v>46282</v>
      </c>
      <c r="B171" s="5">
        <f>SUMIF(Sales!$A$2:$A$5000,A171,Sales!$H$2:$H$5000)</f>
        <v/>
      </c>
      <c r="C171" s="5">
        <f>AVERAGE($B$2:$B$184)</f>
        <v/>
      </c>
      <c r="D171" s="5">
        <f>STDEVP($B$2:$B$184)</f>
        <v/>
      </c>
      <c r="E171" s="5">
        <f>C2+2*D2</f>
        <v/>
      </c>
      <c r="F171" s="5">
        <f>MAX(0,C2-2*D2)</f>
        <v/>
      </c>
      <c r="G171" s="3">
        <f>IF(OR(B171&gt;E171,B171&lt;F171,AND(B171=0,C171&gt;0)),"ANOMALY","")</f>
        <v/>
      </c>
    </row>
    <row r="172">
      <c r="A172" s="2" t="n">
        <v>46283</v>
      </c>
      <c r="B172" s="5">
        <f>SUMIF(Sales!$A$2:$A$5000,A172,Sales!$H$2:$H$5000)</f>
        <v/>
      </c>
      <c r="C172" s="5">
        <f>AVERAGE($B$2:$B$184)</f>
        <v/>
      </c>
      <c r="D172" s="5">
        <f>STDEVP($B$2:$B$184)</f>
        <v/>
      </c>
      <c r="E172" s="5">
        <f>C2+2*D2</f>
        <v/>
      </c>
      <c r="F172" s="5">
        <f>MAX(0,C2-2*D2)</f>
        <v/>
      </c>
      <c r="G172" s="3">
        <f>IF(OR(B172&gt;E172,B172&lt;F172,AND(B172=0,C172&gt;0)),"ANOMALY","")</f>
        <v/>
      </c>
    </row>
    <row r="173">
      <c r="A173" s="2" t="n">
        <v>46284</v>
      </c>
      <c r="B173" s="5">
        <f>SUMIF(Sales!$A$2:$A$5000,A173,Sales!$H$2:$H$5000)</f>
        <v/>
      </c>
      <c r="C173" s="5">
        <f>AVERAGE($B$2:$B$184)</f>
        <v/>
      </c>
      <c r="D173" s="5">
        <f>STDEVP($B$2:$B$184)</f>
        <v/>
      </c>
      <c r="E173" s="5">
        <f>C2+2*D2</f>
        <v/>
      </c>
      <c r="F173" s="5">
        <f>MAX(0,C2-2*D2)</f>
        <v/>
      </c>
      <c r="G173" s="3">
        <f>IF(OR(B173&gt;E173,B173&lt;F173,AND(B173=0,C173&gt;0)),"ANOMALY","")</f>
        <v/>
      </c>
    </row>
    <row r="174">
      <c r="A174" s="2" t="n">
        <v>46285</v>
      </c>
      <c r="B174" s="5">
        <f>SUMIF(Sales!$A$2:$A$5000,A174,Sales!$H$2:$H$5000)</f>
        <v/>
      </c>
      <c r="C174" s="5">
        <f>AVERAGE($B$2:$B$184)</f>
        <v/>
      </c>
      <c r="D174" s="5">
        <f>STDEVP($B$2:$B$184)</f>
        <v/>
      </c>
      <c r="E174" s="5">
        <f>C2+2*D2</f>
        <v/>
      </c>
      <c r="F174" s="5">
        <f>MAX(0,C2-2*D2)</f>
        <v/>
      </c>
      <c r="G174" s="3">
        <f>IF(OR(B174&gt;E174,B174&lt;F174,AND(B174=0,C174&gt;0)),"ANOMALY","")</f>
        <v/>
      </c>
    </row>
    <row r="175">
      <c r="A175" s="2" t="n">
        <v>46286</v>
      </c>
      <c r="B175" s="5">
        <f>SUMIF(Sales!$A$2:$A$5000,A175,Sales!$H$2:$H$5000)</f>
        <v/>
      </c>
      <c r="C175" s="5">
        <f>AVERAGE($B$2:$B$184)</f>
        <v/>
      </c>
      <c r="D175" s="5">
        <f>STDEVP($B$2:$B$184)</f>
        <v/>
      </c>
      <c r="E175" s="5">
        <f>C2+2*D2</f>
        <v/>
      </c>
      <c r="F175" s="5">
        <f>MAX(0,C2-2*D2)</f>
        <v/>
      </c>
      <c r="G175" s="3">
        <f>IF(OR(B175&gt;E175,B175&lt;F175,AND(B175=0,C175&gt;0)),"ANOMALY","")</f>
        <v/>
      </c>
    </row>
    <row r="176">
      <c r="A176" s="2" t="n">
        <v>46287</v>
      </c>
      <c r="B176" s="5">
        <f>SUMIF(Sales!$A$2:$A$5000,A176,Sales!$H$2:$H$5000)</f>
        <v/>
      </c>
      <c r="C176" s="5">
        <f>AVERAGE($B$2:$B$184)</f>
        <v/>
      </c>
      <c r="D176" s="5">
        <f>STDEVP($B$2:$B$184)</f>
        <v/>
      </c>
      <c r="E176" s="5">
        <f>C2+2*D2</f>
        <v/>
      </c>
      <c r="F176" s="5">
        <f>MAX(0,C2-2*D2)</f>
        <v/>
      </c>
      <c r="G176" s="3">
        <f>IF(OR(B176&gt;E176,B176&lt;F176,AND(B176=0,C176&gt;0)),"ANOMALY","")</f>
        <v/>
      </c>
    </row>
    <row r="177">
      <c r="A177" s="2" t="n">
        <v>46288</v>
      </c>
      <c r="B177" s="5">
        <f>SUMIF(Sales!$A$2:$A$5000,A177,Sales!$H$2:$H$5000)</f>
        <v/>
      </c>
      <c r="C177" s="5">
        <f>AVERAGE($B$2:$B$184)</f>
        <v/>
      </c>
      <c r="D177" s="5">
        <f>STDEVP($B$2:$B$184)</f>
        <v/>
      </c>
      <c r="E177" s="5">
        <f>C2+2*D2</f>
        <v/>
      </c>
      <c r="F177" s="5">
        <f>MAX(0,C2-2*D2)</f>
        <v/>
      </c>
      <c r="G177" s="3">
        <f>IF(OR(B177&gt;E177,B177&lt;F177,AND(B177=0,C177&gt;0)),"ANOMALY","")</f>
        <v/>
      </c>
    </row>
    <row r="178">
      <c r="A178" s="2" t="n">
        <v>46289</v>
      </c>
      <c r="B178" s="5">
        <f>SUMIF(Sales!$A$2:$A$5000,A178,Sales!$H$2:$H$5000)</f>
        <v/>
      </c>
      <c r="C178" s="5">
        <f>AVERAGE($B$2:$B$184)</f>
        <v/>
      </c>
      <c r="D178" s="5">
        <f>STDEVP($B$2:$B$184)</f>
        <v/>
      </c>
      <c r="E178" s="5">
        <f>C2+2*D2</f>
        <v/>
      </c>
      <c r="F178" s="5">
        <f>MAX(0,C2-2*D2)</f>
        <v/>
      </c>
      <c r="G178" s="3">
        <f>IF(OR(B178&gt;E178,B178&lt;F178,AND(B178=0,C178&gt;0)),"ANOMALY","")</f>
        <v/>
      </c>
    </row>
    <row r="179">
      <c r="A179" s="2" t="n">
        <v>46290</v>
      </c>
      <c r="B179" s="5">
        <f>SUMIF(Sales!$A$2:$A$5000,A179,Sales!$H$2:$H$5000)</f>
        <v/>
      </c>
      <c r="C179" s="5">
        <f>AVERAGE($B$2:$B$184)</f>
        <v/>
      </c>
      <c r="D179" s="5">
        <f>STDEVP($B$2:$B$184)</f>
        <v/>
      </c>
      <c r="E179" s="5">
        <f>C2+2*D2</f>
        <v/>
      </c>
      <c r="F179" s="5">
        <f>MAX(0,C2-2*D2)</f>
        <v/>
      </c>
      <c r="G179" s="3">
        <f>IF(OR(B179&gt;E179,B179&lt;F179,AND(B179=0,C179&gt;0)),"ANOMALY","")</f>
        <v/>
      </c>
    </row>
    <row r="180">
      <c r="A180" s="2" t="n">
        <v>46291</v>
      </c>
      <c r="B180" s="5">
        <f>SUMIF(Sales!$A$2:$A$5000,A180,Sales!$H$2:$H$5000)</f>
        <v/>
      </c>
      <c r="C180" s="5">
        <f>AVERAGE($B$2:$B$184)</f>
        <v/>
      </c>
      <c r="D180" s="5">
        <f>STDEVP($B$2:$B$184)</f>
        <v/>
      </c>
      <c r="E180" s="5">
        <f>C2+2*D2</f>
        <v/>
      </c>
      <c r="F180" s="5">
        <f>MAX(0,C2-2*D2)</f>
        <v/>
      </c>
      <c r="G180" s="3">
        <f>IF(OR(B180&gt;E180,B180&lt;F180,AND(B180=0,C180&gt;0)),"ANOMALY","")</f>
        <v/>
      </c>
    </row>
    <row r="181">
      <c r="A181" s="2" t="n">
        <v>46292</v>
      </c>
      <c r="B181" s="5">
        <f>SUMIF(Sales!$A$2:$A$5000,A181,Sales!$H$2:$H$5000)</f>
        <v/>
      </c>
      <c r="C181" s="5">
        <f>AVERAGE($B$2:$B$184)</f>
        <v/>
      </c>
      <c r="D181" s="5">
        <f>STDEVP($B$2:$B$184)</f>
        <v/>
      </c>
      <c r="E181" s="5">
        <f>C2+2*D2</f>
        <v/>
      </c>
      <c r="F181" s="5">
        <f>MAX(0,C2-2*D2)</f>
        <v/>
      </c>
      <c r="G181" s="3">
        <f>IF(OR(B181&gt;E181,B181&lt;F181,AND(B181=0,C181&gt;0)),"ANOMALY","")</f>
        <v/>
      </c>
    </row>
    <row r="182">
      <c r="A182" s="2" t="n">
        <v>46293</v>
      </c>
      <c r="B182" s="5">
        <f>SUMIF(Sales!$A$2:$A$5000,A182,Sales!$H$2:$H$5000)</f>
        <v/>
      </c>
      <c r="C182" s="5">
        <f>AVERAGE($B$2:$B$184)</f>
        <v/>
      </c>
      <c r="D182" s="5">
        <f>STDEVP($B$2:$B$184)</f>
        <v/>
      </c>
      <c r="E182" s="5">
        <f>C2+2*D2</f>
        <v/>
      </c>
      <c r="F182" s="5">
        <f>MAX(0,C2-2*D2)</f>
        <v/>
      </c>
      <c r="G182" s="3">
        <f>IF(OR(B182&gt;E182,B182&lt;F182,AND(B182=0,C182&gt;0)),"ANOMALY","")</f>
        <v/>
      </c>
    </row>
    <row r="183">
      <c r="A183" s="2" t="n">
        <v>46294</v>
      </c>
      <c r="B183" s="5">
        <f>SUMIF(Sales!$A$2:$A$5000,A183,Sales!$H$2:$H$5000)</f>
        <v/>
      </c>
      <c r="C183" s="5">
        <f>AVERAGE($B$2:$B$184)</f>
        <v/>
      </c>
      <c r="D183" s="5">
        <f>STDEVP($B$2:$B$184)</f>
        <v/>
      </c>
      <c r="E183" s="5">
        <f>C2+2*D2</f>
        <v/>
      </c>
      <c r="F183" s="5">
        <f>MAX(0,C2-2*D2)</f>
        <v/>
      </c>
      <c r="G183" s="3">
        <f>IF(OR(B183&gt;E183,B183&lt;F183,AND(B183=0,C183&gt;0)),"ANOMALY","")</f>
        <v/>
      </c>
    </row>
    <row r="184">
      <c r="A184" s="2" t="n">
        <v>46295</v>
      </c>
      <c r="B184" s="5">
        <f>SUMIF(Sales!$A$2:$A$5000,A184,Sales!$H$2:$H$5000)</f>
        <v/>
      </c>
      <c r="C184" s="5">
        <f>AVERAGE($B$2:$B$184)</f>
        <v/>
      </c>
      <c r="D184" s="5">
        <f>STDEVP($B$2:$B$184)</f>
        <v/>
      </c>
      <c r="E184" s="5">
        <f>C2+2*D2</f>
        <v/>
      </c>
      <c r="F184" s="5">
        <f>MAX(0,C2-2*D2)</f>
        <v/>
      </c>
      <c r="G184" s="3">
        <f>IF(OR(B184&gt;E184,B184&lt;F184,AND(B184=0,C184&gt;0)),"ANOMALY","")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5" max="5"/>
    <col width="18" customWidth="1" min="6" max="6"/>
  </cols>
  <sheetData>
    <row r="1">
      <c r="A1" s="9" t="inlineStr">
        <is>
          <t>Verma Trading Co., Patna (fictional demo data)</t>
        </is>
      </c>
    </row>
    <row r="2">
      <c r="A2" s="10" t="inlineStr">
        <is>
          <t>Consolidated MIS dashboard — every figure below is a live formula over the Sales / Purchases ranges. Paste new rows into those tables and this page refreshes.</t>
        </is>
      </c>
    </row>
    <row r="4">
      <c r="A4" s="11" t="inlineStr">
        <is>
          <t>KEY PERFORMANCE INDICATORS</t>
        </is>
      </c>
    </row>
    <row r="5">
      <c r="A5" s="12" t="inlineStr">
        <is>
          <t>Total Sales (Rs.)</t>
        </is>
      </c>
      <c r="C5" s="12" t="inlineStr">
        <is>
          <t>Total Purchases (Rs.)</t>
        </is>
      </c>
      <c r="E5" s="12" t="inlineStr">
        <is>
          <t>Gross Profit (Rs.)</t>
        </is>
      </c>
      <c r="G5" s="12" t="inlineStr">
        <is>
          <t>Margin %</t>
        </is>
      </c>
    </row>
    <row r="6">
      <c r="A6" s="13">
        <f>SUM(Sales!$H$2:$H$5000)</f>
        <v/>
      </c>
      <c r="B6" s="14" t="n"/>
      <c r="C6" s="13">
        <f>SUM(Purchases!$H$2:$H$2000)</f>
        <v/>
      </c>
      <c r="D6" s="14" t="n"/>
      <c r="E6" s="13">
        <f>SUM(Sales!$H$2:$H$5000)-SUM(Sales!$I$2:$I$5000)</f>
        <v/>
      </c>
      <c r="F6" s="14" t="n"/>
      <c r="G6" s="15">
        <f>IF(SUM(Sales!$H$2:$H$5000)=0,0,(SUM(Sales!$H$2:$H$5000)-SUM(Sales!$I$2:$I$5000))/SUM(Sales!$H$2:$H$5000))</f>
        <v/>
      </c>
      <c r="H6" s="14" t="n"/>
    </row>
    <row r="8">
      <c r="A8" s="12" t="inlineStr">
        <is>
          <t>Transactions</t>
        </is>
      </c>
      <c r="C8" s="12" t="inlineStr">
        <is>
          <t>Avg Ticket (Rs.)</t>
        </is>
      </c>
      <c r="E8" s="12" t="inlineStr">
        <is>
          <t>Anomaly Days</t>
        </is>
      </c>
      <c r="G8" s="12" t="inlineStr">
        <is>
          <t>Products Sold</t>
        </is>
      </c>
    </row>
    <row r="9">
      <c r="A9" s="16">
        <f>COUNTA(Sales!$B$2:$B$5000)</f>
        <v/>
      </c>
      <c r="B9" s="14" t="n"/>
      <c r="C9" s="13">
        <f>AVERAGE(Sales!$H$2:$H$5000)</f>
        <v/>
      </c>
      <c r="D9" s="14" t="n"/>
      <c r="E9" s="16">
        <f>COUNTIF(Daily!$G$2:$G$184,"ANOMALY")</f>
        <v/>
      </c>
      <c r="F9" s="14" t="n"/>
      <c r="G9" s="16">
        <f>SUMPRODUCT(--(Products!$E$2:$E$13&gt;0))</f>
        <v/>
      </c>
      <c r="H9" s="14" t="n"/>
    </row>
    <row r="12">
      <c r="A12" s="17" t="inlineStr">
        <is>
          <t>Sales by Category</t>
        </is>
      </c>
      <c r="E12" s="17" t="inlineStr">
        <is>
          <t>Top 5 Products by Sales</t>
        </is>
      </c>
    </row>
    <row r="13" ht="22" customHeight="1">
      <c r="A13" s="1" t="inlineStr">
        <is>
          <t>Category</t>
        </is>
      </c>
      <c r="B13" s="1" t="inlineStr">
        <is>
          <t>Sales</t>
        </is>
      </c>
      <c r="E13" s="1" t="inlineStr">
        <is>
          <t>Product</t>
        </is>
      </c>
      <c r="F13" s="1" t="inlineStr">
        <is>
          <t>Sales</t>
        </is>
      </c>
    </row>
    <row r="14">
      <c r="A14" s="3" t="inlineStr">
        <is>
          <t>Beverages</t>
        </is>
      </c>
      <c r="B14" s="5">
        <f>SUMIF(Sales!$E$2:$E$5000,A14,Sales!$H$2:$H$5000)</f>
        <v/>
      </c>
      <c r="E14" s="3">
        <f>INDEX(Products!$B$2:$B$13,MATCH(LARGE(Products!$E$2:$E$13,1),Products!$E$2:$E$13,0))</f>
        <v/>
      </c>
      <c r="F14" s="5">
        <f>LARGE(Products!$E$2:$E$13,1)</f>
        <v/>
      </c>
    </row>
    <row r="15">
      <c r="A15" s="3" t="inlineStr">
        <is>
          <t>Dairy</t>
        </is>
      </c>
      <c r="B15" s="5">
        <f>SUMIF(Sales!$E$2:$E$5000,A15,Sales!$H$2:$H$5000)</f>
        <v/>
      </c>
      <c r="E15" s="3">
        <f>INDEX(Products!$B$2:$B$13,MATCH(LARGE(Products!$E$2:$E$13,2),Products!$E$2:$E$13,0))</f>
        <v/>
      </c>
      <c r="F15" s="5">
        <f>LARGE(Products!$E$2:$E$13,2)</f>
        <v/>
      </c>
    </row>
    <row r="16">
      <c r="A16" s="3" t="inlineStr">
        <is>
          <t>Household</t>
        </is>
      </c>
      <c r="B16" s="5">
        <f>SUMIF(Sales!$E$2:$E$5000,A16,Sales!$H$2:$H$5000)</f>
        <v/>
      </c>
      <c r="E16" s="3">
        <f>INDEX(Products!$B$2:$B$13,MATCH(LARGE(Products!$E$2:$E$13,3),Products!$E$2:$E$13,0))</f>
        <v/>
      </c>
      <c r="F16" s="5">
        <f>LARGE(Products!$E$2:$E$13,3)</f>
        <v/>
      </c>
    </row>
    <row r="17">
      <c r="A17" s="3" t="inlineStr">
        <is>
          <t>Snacks</t>
        </is>
      </c>
      <c r="B17" s="5">
        <f>SUMIF(Sales!$E$2:$E$5000,A17,Sales!$H$2:$H$5000)</f>
        <v/>
      </c>
      <c r="E17" s="3">
        <f>INDEX(Products!$B$2:$B$13,MATCH(LARGE(Products!$E$2:$E$13,4),Products!$E$2:$E$13,0))</f>
        <v/>
      </c>
      <c r="F17" s="5">
        <f>LARGE(Products!$E$2:$E$13,4)</f>
        <v/>
      </c>
    </row>
    <row r="18">
      <c r="E18" s="3">
        <f>INDEX(Products!$B$2:$B$13,MATCH(LARGE(Products!$E$2:$E$13,5),Products!$E$2:$E$13,0))</f>
        <v/>
      </c>
      <c r="F18" s="5">
        <f>LARGE(Products!$E$2:$E$13,5)</f>
        <v/>
      </c>
    </row>
  </sheetData>
  <mergeCells count="9">
    <mergeCell ref="E6:F6"/>
    <mergeCell ref="C6:D6"/>
    <mergeCell ref="A2:H2"/>
    <mergeCell ref="G6:H6"/>
    <mergeCell ref="C9:D9"/>
    <mergeCell ref="A9:B9"/>
    <mergeCell ref="G9:H9"/>
    <mergeCell ref="E9:F9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</cols>
  <sheetData>
    <row r="1">
      <c r="A1" s="11" t="inlineStr">
        <is>
          <t>INTEGRITY CHECKS — all must read OK</t>
        </is>
      </c>
    </row>
    <row r="2" ht="22" customHeight="1">
      <c r="A2" s="1" t="inlineStr">
        <is>
          <t>Check</t>
        </is>
      </c>
      <c r="B2" s="1" t="inlineStr">
        <is>
          <t>Difference</t>
        </is>
      </c>
      <c r="C2" s="1" t="inlineStr">
        <is>
          <t>Status</t>
        </is>
      </c>
    </row>
    <row r="3">
      <c r="A3" s="3" t="inlineStr">
        <is>
          <t>Sales amounts = Qty x Rate on every row</t>
        </is>
      </c>
      <c r="B3" s="3">
        <f>SUM(Sales!$H$2:$H$5000)-SUMPRODUCT(Sales!$F$2:$F$5000,Sales!$G$2:$G$5000)</f>
        <v/>
      </c>
      <c r="C3" s="18">
        <f>IF(ABS(B3)&lt;0.01,"OK","FAIL")</f>
        <v/>
      </c>
    </row>
    <row r="4">
      <c r="A4" s="3" t="inlineStr">
        <is>
          <t>Purchase amounts = Qty x CostRate on every row</t>
        </is>
      </c>
      <c r="B4" s="3">
        <f>SUM(Purchases!$H$2:$H$2000)-SUMPRODUCT(Purchases!$F$2:$F$2000,Purchases!$G$2:$G$2000)</f>
        <v/>
      </c>
      <c r="C4" s="18">
        <f>IF(ABS(B4)&lt;0.01,"OK","FAIL")</f>
        <v/>
      </c>
    </row>
    <row r="5">
      <c r="A5" s="3" t="inlineStr">
        <is>
          <t>No negative quantities</t>
        </is>
      </c>
      <c r="B5" s="3">
        <f>SUMPRODUCT(--(Sales!$F$2:$F$5000&lt;0))+SUMPRODUCT(--(Purchases!$F$2:$F$2000&lt;0))</f>
        <v/>
      </c>
      <c r="C5" s="18">
        <f>IF(B5=0,"OK","FAIL")</f>
        <v/>
      </c>
    </row>
    <row r="6">
      <c r="A6" s="3" t="inlineStr">
        <is>
          <t>All sale products exist in master</t>
        </is>
      </c>
      <c r="B6" s="3">
        <f>SUMPRODUCT(--(Sales!$D$2:$D$5000&lt;&gt;""),--ISNA(MATCH(Sales!$D$2:$D$5000,Products!$B$2:$B$13,0)))</f>
        <v/>
      </c>
      <c r="C6" s="18">
        <f>IF(B6=0,"OK","FAIL")</f>
        <v/>
      </c>
    </row>
    <row r="7">
      <c r="A7" s="3" t="inlineStr">
        <is>
          <t>Dates inside Apr-Sep 2026</t>
        </is>
      </c>
      <c r="B7" s="3">
        <f>SUMPRODUCT(--(Sales!$A$2:$A$5000&lt;&gt;""),--((Sales!$A$2:$A$5000&lt;DATE(2026,4,1))+(Sales!$A$2:$A$5000&gt;DATE(2026,9,30))))</f>
        <v/>
      </c>
      <c r="C7" s="18">
        <f>IF(B7=0,"OK","FAIL")</f>
        <v/>
      </c>
    </row>
    <row r="8">
      <c r="A8" s="3" t="inlineStr">
        <is>
          <t>Every product has a StdCost</t>
        </is>
      </c>
      <c r="B8" s="3">
        <f>SUMPRODUCT(--(Products!$D$2:$D$13=0))</f>
        <v/>
      </c>
      <c r="C8" s="18">
        <f>IF(B8=0,"OK","FAIL")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HANDOVER GUIDE — keeping this MIS fresh</t>
        </is>
      </c>
    </row>
    <row r="3">
      <c r="A3" t="inlineStr">
        <is>
          <t>1. Paste new daily rows at the bottom of the Sales / Purchases data ranges (rows 2-5000 / 2-2000 carry formula headroom; Amount and COGS columns are pre-filled with formulas down to the headroom limit — copy the last formula row down if you outgrow it).</t>
        </is>
      </c>
    </row>
    <row r="4">
      <c r="A4" t="inlineStr">
        <is>
          <t>2. Never type over the blue formula columns (Amount, COGS, StdCost, TotalSales, TotalQty) — they recalculate on paste.</t>
        </is>
      </c>
    </row>
    <row r="5">
      <c r="A5" t="inlineStr">
        <is>
          <t>3. Formula ranges carry headroom (Sales rows 2-5000, Purchases 2-2000): if you outgrow them, extend the range ends in the formulas.</t>
        </is>
      </c>
    </row>
    <row r="6">
      <c r="A6" t="inlineStr">
        <is>
          <t>4. Monthly, Daily, Dashboard and Checks sheets need no manual refresh: open the file and Excel recalculates.</t>
        </is>
      </c>
    </row>
    <row r="7">
      <c r="A7" t="inlineStr">
        <is>
          <t>5. Charts read the Monthly / Dashboard tables, so new months appear once you extend the Monthly sheet's month column.</t>
        </is>
      </c>
    </row>
    <row r="8">
      <c r="A8" t="inlineStr">
        <is>
          <t>6. Checks sheet: every row must read OK before the weekly review — a FAIL pinpoints the exact broken rule.</t>
        </is>
      </c>
    </row>
    <row r="9">
      <c r="A9" t="inlineStr">
        <is>
          <t>7. Anomaly flags (Daily sheet) use avg ± 2 standard deviations on daily sales: investigate any ANOMALY row before the management meeting.</t>
        </is>
      </c>
    </row>
    <row r="10">
      <c r="A10" t="inlineStr">
        <is>
          <t>Source files simulated here as data/*.csv (two sales parts + one purchases file, mirroring the client's several workbooks); in production, import each client workbook into the Sales / Purchases tables (Data &gt; From Text/CSV) or paste directly.</t>
        </is>
      </c>
    </row>
  </sheetData>
  <mergeCells count="8">
    <mergeCell ref="A9:H9"/>
    <mergeCell ref="A4:H4"/>
    <mergeCell ref="A3:H3"/>
    <mergeCell ref="A7:H7"/>
    <mergeCell ref="A10:H10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2026-10-12T02:49:34+00:00Z</dcterms:created>
  <dcterms:modified xmlns:dcterms="http://purl.org/dc/terms/" xmlns:xsi="http://www.w3.org/2001/XMLSchema-instance" xsi:type="dcterms:W3CDTF">2026-10-12T02:49:35+00:00Z</dcterms:modified>
</cp:coreProperties>
</file>