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Budget vs Actual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Tax Prep" sheetId="5" state="visible" r:id="rId5"/>
    <sheet xmlns:r="http://schemas.openxmlformats.org/officeDocument/2006/relationships" name="ChartData" sheetId="6" state="visible" r:id="rId6"/>
  </sheets>
  <definedNames>
    <definedName name="_xlnm._FilterDatabase" localSheetId="1" hidden="1">'Transactions'!$A$1:$G$88</definedName>
    <definedName name="_xlnm._FilterDatabase" localSheetId="3" hidden="1">'Invoices'!$A$3:$H$23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F3864"/>
      <sz val="11"/>
    </font>
    <font>
      <b val="1"/>
      <color rgb="001F3864"/>
      <sz val="14"/>
    </font>
    <font>
      <sz val="12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3" fontId="5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'ChartData'!$A$2:$A$10</f>
            </numRef>
          </cat>
          <val>
            <numRef>
              <f>'ChartData'!$B$2:$B$10</f>
            </numRef>
          </val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'ChartData'!$A$2:$A$10</f>
            </numRef>
          </cat>
          <val>
            <numRef>
              <f>'ChartData'!$C$2:$C$10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Net Cash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'ChartData'!$A$2:$A$10</f>
            </numRef>
          </cat>
          <val>
            <numRef>
              <f>'ChartData'!$D$2:$D$10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'Budget vs Actual'!$A$2:$A$10</f>
            </numRef>
          </cat>
          <val>
            <numRef>
              <f>'Budget vs Actual'!$D$2:$D$10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</cols>
  <sheetData>
    <row r="1">
      <c r="A1" s="1" t="inlineStr">
        <is>
          <t>Finance Tracker — Executive Dashboard</t>
        </is>
      </c>
    </row>
    <row r="2">
      <c r="A2" s="2" t="inlineStr">
        <is>
          <t>KPI</t>
        </is>
      </c>
      <c r="B2" s="2" t="inlineStr">
        <is>
          <t>Amount</t>
        </is>
      </c>
    </row>
    <row r="3">
      <c r="A3" t="inlineStr">
        <is>
          <t>Total Income</t>
        </is>
      </c>
      <c r="B3" s="3">
        <f>SUMIF(Transactions!B:B,"Income",Transactions!E:E)</f>
        <v/>
      </c>
    </row>
    <row r="4">
      <c r="A4" t="inlineStr">
        <is>
          <t>Total Expenses</t>
        </is>
      </c>
      <c r="B4" s="3">
        <f>SUMIF(Transactions!B:B,"Expense",Transactions!E:E)</f>
        <v/>
      </c>
    </row>
    <row r="5">
      <c r="A5" t="inlineStr">
        <is>
          <t>Net Profit</t>
        </is>
      </c>
      <c r="B5" s="3">
        <f>B3-B4</f>
        <v/>
      </c>
    </row>
    <row r="6">
      <c r="A6" t="inlineStr">
        <is>
          <t>Cash on Hand</t>
        </is>
      </c>
      <c r="B6" s="3">
        <f>B3-B4</f>
        <v/>
      </c>
    </row>
    <row r="7">
      <c r="A7" t="inlineStr">
        <is>
          <t>Outstanding Receivables</t>
        </is>
      </c>
      <c r="B7" s="3">
        <f>SUMIFS(Invoices!E:E,Invoices!F:F,"Unpaid",Invoices!H:H,"Outstanding")</f>
        <v/>
      </c>
    </row>
    <row r="8">
      <c r="A8" t="inlineStr">
        <is>
          <t>Overdue Amount</t>
        </is>
      </c>
      <c r="B8" s="3">
        <f>SUMIFS(Invoices!E:E,Invoices!F:F,"Unpaid",Invoices!H:H,"Overdue")</f>
        <v/>
      </c>
    </row>
    <row r="9">
      <c r="A9" s="4" t="inlineStr">
        <is>
          <t>Budget health: see 'Budget vs Actual' (red = over budget)</t>
        </is>
      </c>
    </row>
  </sheetData>
  <mergeCells count="2">
    <mergeCell ref="A1:C1"/>
    <mergeCell ref="A9:C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6" customWidth="1" min="4" max="4"/>
    <col width="13" customWidth="1" min="5" max="5"/>
    <col width="10" customWidth="1" min="6" max="6"/>
    <col width="22" customWidth="1" min="7" max="7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Month</t>
        </is>
      </c>
      <c r="G1" s="2" t="inlineStr">
        <is>
          <t>TaxCat</t>
        </is>
      </c>
    </row>
    <row r="2">
      <c r="A2" s="5" t="n">
        <v>46027</v>
      </c>
      <c r="B2" s="6" t="inlineStr">
        <is>
          <t>Income</t>
        </is>
      </c>
      <c r="C2" s="6" t="inlineStr">
        <is>
          <t>Client Retainer</t>
        </is>
      </c>
      <c r="D2" s="6" t="inlineStr">
        <is>
          <t>Monthly retainer</t>
        </is>
      </c>
      <c r="E2" s="7" t="n">
        <v>42000</v>
      </c>
      <c r="F2" s="6">
        <f>TEXT(A2,"mmm-yy")</f>
        <v/>
      </c>
      <c r="G2" s="6">
        <f>IF(B2="Income","",VLOOKUP(C2,'Tax Prep'!$A$21:$B$29,2,FALSE))</f>
        <v/>
      </c>
    </row>
    <row r="3">
      <c r="A3" s="5" t="n">
        <v>46042</v>
      </c>
      <c r="B3" s="6" t="inlineStr">
        <is>
          <t>Income</t>
        </is>
      </c>
      <c r="C3" s="6" t="inlineStr">
        <is>
          <t>Product Sales</t>
        </is>
      </c>
      <c r="D3" s="6" t="inlineStr">
        <is>
          <t>Online product sales</t>
        </is>
      </c>
      <c r="E3" s="7" t="n">
        <v>18000</v>
      </c>
      <c r="F3" s="6">
        <f>TEXT(A3,"mmm-yy")</f>
        <v/>
      </c>
      <c r="G3" s="6">
        <f>IF(B3="Income","",VLOOKUP(C3,'Tax Prep'!$A$21:$B$29,2,FALSE))</f>
        <v/>
      </c>
    </row>
    <row r="4">
      <c r="A4" s="5" t="n">
        <v>46023</v>
      </c>
      <c r="B4" s="6" t="inlineStr">
        <is>
          <t>Expense</t>
        </is>
      </c>
      <c r="C4" s="6" t="inlineStr">
        <is>
          <t>Rent</t>
        </is>
      </c>
      <c r="D4" s="6" t="inlineStr">
        <is>
          <t>Office rent</t>
        </is>
      </c>
      <c r="E4" s="7" t="n">
        <v>12000</v>
      </c>
      <c r="F4" s="6">
        <f>TEXT(A4,"mmm-yy")</f>
        <v/>
      </c>
      <c r="G4" s="6">
        <f>IF(B4="Income","",VLOOKUP(C4,'Tax Prep'!$A$21:$B$29,2,FALSE))</f>
        <v/>
      </c>
    </row>
    <row r="5">
      <c r="A5" s="5" t="n">
        <v>46025</v>
      </c>
      <c r="B5" s="6" t="inlineStr">
        <is>
          <t>Expense</t>
        </is>
      </c>
      <c r="C5" s="6" t="inlineStr">
        <is>
          <t>Salaries</t>
        </is>
      </c>
      <c r="D5" s="6" t="inlineStr">
        <is>
          <t>Team payroll</t>
        </is>
      </c>
      <c r="E5" s="7" t="n">
        <v>55000</v>
      </c>
      <c r="F5" s="6">
        <f>TEXT(A5,"mmm-yy")</f>
        <v/>
      </c>
      <c r="G5" s="6">
        <f>IF(B5="Income","",VLOOKUP(C5,'Tax Prep'!$A$21:$B$29,2,FALSE))</f>
        <v/>
      </c>
    </row>
    <row r="6">
      <c r="A6" s="5" t="n">
        <v>46032</v>
      </c>
      <c r="B6" s="6" t="inlineStr">
        <is>
          <t>Expense</t>
        </is>
      </c>
      <c r="C6" s="6" t="inlineStr">
        <is>
          <t>Marketing</t>
        </is>
      </c>
      <c r="D6" s="6" t="inlineStr">
        <is>
          <t>Ads &amp; campaigns</t>
        </is>
      </c>
      <c r="E6" s="7" t="n">
        <v>8000</v>
      </c>
      <c r="F6" s="6">
        <f>TEXT(A6,"mmm-yy")</f>
        <v/>
      </c>
      <c r="G6" s="6">
        <f>IF(B6="Income","",VLOOKUP(C6,'Tax Prep'!$A$21:$B$29,2,FALSE))</f>
        <v/>
      </c>
    </row>
    <row r="7">
      <c r="A7" s="5" t="n">
        <v>46037</v>
      </c>
      <c r="B7" s="6" t="inlineStr">
        <is>
          <t>Expense</t>
        </is>
      </c>
      <c r="C7" s="6" t="inlineStr">
        <is>
          <t>Travel</t>
        </is>
      </c>
      <c r="D7" s="6" t="inlineStr">
        <is>
          <t>Field travel</t>
        </is>
      </c>
      <c r="E7" s="7" t="n">
        <v>4000</v>
      </c>
      <c r="F7" s="6">
        <f>TEXT(A7,"mmm-yy")</f>
        <v/>
      </c>
      <c r="G7" s="6">
        <f>IF(B7="Income","",VLOOKUP(C7,'Tax Prep'!$A$21:$B$29,2,FALSE))</f>
        <v/>
      </c>
    </row>
    <row r="8">
      <c r="A8" s="5" t="n">
        <v>46034</v>
      </c>
      <c r="B8" s="6" t="inlineStr">
        <is>
          <t>Expense</t>
        </is>
      </c>
      <c r="C8" s="6" t="inlineStr">
        <is>
          <t>Utilities</t>
        </is>
      </c>
      <c r="D8" s="6" t="inlineStr">
        <is>
          <t>Power &amp; internet</t>
        </is>
      </c>
      <c r="E8" s="7" t="n">
        <v>2500</v>
      </c>
      <c r="F8" s="6">
        <f>TEXT(A8,"mmm-yy")</f>
        <v/>
      </c>
      <c r="G8" s="6">
        <f>IF(B8="Income","",VLOOKUP(C8,'Tax Prep'!$A$21:$B$29,2,FALSE))</f>
        <v/>
      </c>
    </row>
    <row r="9">
      <c r="A9" s="5" t="n">
        <v>46030</v>
      </c>
      <c r="B9" s="6" t="inlineStr">
        <is>
          <t>Expense</t>
        </is>
      </c>
      <c r="C9" s="6" t="inlineStr">
        <is>
          <t>Software</t>
        </is>
      </c>
      <c r="D9" s="6" t="inlineStr">
        <is>
          <t>SaaS subscriptions</t>
        </is>
      </c>
      <c r="E9" s="7" t="n">
        <v>3200</v>
      </c>
      <c r="F9" s="6">
        <f>TEXT(A9,"mmm-yy")</f>
        <v/>
      </c>
      <c r="G9" s="6">
        <f>IF(B9="Income","",VLOOKUP(C9,'Tax Prep'!$A$21:$B$29,2,FALSE))</f>
        <v/>
      </c>
    </row>
    <row r="10">
      <c r="A10" s="5" t="n">
        <v>46040</v>
      </c>
      <c r="B10" s="6" t="inlineStr">
        <is>
          <t>Expense</t>
        </is>
      </c>
      <c r="C10" s="6" t="inlineStr">
        <is>
          <t>Office Supplies</t>
        </is>
      </c>
      <c r="D10" s="6" t="inlineStr">
        <is>
          <t>Stationery</t>
        </is>
      </c>
      <c r="E10" s="7" t="n">
        <v>1500</v>
      </c>
      <c r="F10" s="6">
        <f>TEXT(A10,"mmm-yy")</f>
        <v/>
      </c>
      <c r="G10" s="6">
        <f>IF(B10="Income","",VLOOKUP(C10,'Tax Prep'!$A$21:$B$29,2,FALSE))</f>
        <v/>
      </c>
    </row>
    <row r="11">
      <c r="A11" s="5" t="n">
        <v>46024</v>
      </c>
      <c r="B11" s="6" t="inlineStr">
        <is>
          <t>Expense</t>
        </is>
      </c>
      <c r="C11" s="6" t="inlineStr">
        <is>
          <t>Insurance</t>
        </is>
      </c>
      <c r="D11" s="6" t="inlineStr">
        <is>
          <t>Quarterly premium</t>
        </is>
      </c>
      <c r="E11" s="7" t="n">
        <v>6000</v>
      </c>
      <c r="F11" s="6">
        <f>TEXT(A11,"mmm-yy")</f>
        <v/>
      </c>
      <c r="G11" s="6">
        <f>IF(B11="Income","",VLOOKUP(C11,'Tax Prep'!$A$21:$B$29,2,FALSE))</f>
        <v/>
      </c>
    </row>
    <row r="12">
      <c r="A12" s="5" t="n">
        <v>46058</v>
      </c>
      <c r="B12" s="6" t="inlineStr">
        <is>
          <t>Income</t>
        </is>
      </c>
      <c r="C12" s="6" t="inlineStr">
        <is>
          <t>Client Retainer</t>
        </is>
      </c>
      <c r="D12" s="6" t="inlineStr">
        <is>
          <t>Monthly retainer</t>
        </is>
      </c>
      <c r="E12" s="7" t="n">
        <v>42000</v>
      </c>
      <c r="F12" s="6">
        <f>TEXT(A12,"mmm-yy")</f>
        <v/>
      </c>
      <c r="G12" s="6">
        <f>IF(B12="Income","",VLOOKUP(C12,'Tax Prep'!$A$21:$B$29,2,FALSE))</f>
        <v/>
      </c>
    </row>
    <row r="13">
      <c r="A13" s="5" t="n">
        <v>46073</v>
      </c>
      <c r="B13" s="6" t="inlineStr">
        <is>
          <t>Income</t>
        </is>
      </c>
      <c r="C13" s="6" t="inlineStr">
        <is>
          <t>Product Sales</t>
        </is>
      </c>
      <c r="D13" s="6" t="inlineStr">
        <is>
          <t>Online product sales</t>
        </is>
      </c>
      <c r="E13" s="7" t="n">
        <v>18500</v>
      </c>
      <c r="F13" s="6">
        <f>TEXT(A13,"mmm-yy")</f>
        <v/>
      </c>
      <c r="G13" s="6">
        <f>IF(B13="Income","",VLOOKUP(C13,'Tax Prep'!$A$21:$B$29,2,FALSE))</f>
        <v/>
      </c>
    </row>
    <row r="14">
      <c r="A14" s="5" t="n">
        <v>46054</v>
      </c>
      <c r="B14" s="6" t="inlineStr">
        <is>
          <t>Expense</t>
        </is>
      </c>
      <c r="C14" s="6" t="inlineStr">
        <is>
          <t>Rent</t>
        </is>
      </c>
      <c r="D14" s="6" t="inlineStr">
        <is>
          <t>Office rent</t>
        </is>
      </c>
      <c r="E14" s="7" t="n">
        <v>12000</v>
      </c>
      <c r="F14" s="6">
        <f>TEXT(A14,"mmm-yy")</f>
        <v/>
      </c>
      <c r="G14" s="6">
        <f>IF(B14="Income","",VLOOKUP(C14,'Tax Prep'!$A$21:$B$29,2,FALSE))</f>
        <v/>
      </c>
    </row>
    <row r="15">
      <c r="A15" s="5" t="n">
        <v>46056</v>
      </c>
      <c r="B15" s="6" t="inlineStr">
        <is>
          <t>Expense</t>
        </is>
      </c>
      <c r="C15" s="6" t="inlineStr">
        <is>
          <t>Salaries</t>
        </is>
      </c>
      <c r="D15" s="6" t="inlineStr">
        <is>
          <t>Team payroll</t>
        </is>
      </c>
      <c r="E15" s="7" t="n">
        <v>55000</v>
      </c>
      <c r="F15" s="6">
        <f>TEXT(A15,"mmm-yy")</f>
        <v/>
      </c>
      <c r="G15" s="6">
        <f>IF(B15="Income","",VLOOKUP(C15,'Tax Prep'!$A$21:$B$29,2,FALSE))</f>
        <v/>
      </c>
    </row>
    <row r="16">
      <c r="A16" s="5" t="n">
        <v>46063</v>
      </c>
      <c r="B16" s="6" t="inlineStr">
        <is>
          <t>Expense</t>
        </is>
      </c>
      <c r="C16" s="6" t="inlineStr">
        <is>
          <t>Marketing</t>
        </is>
      </c>
      <c r="D16" s="6" t="inlineStr">
        <is>
          <t>Ads &amp; campaigns</t>
        </is>
      </c>
      <c r="E16" s="7" t="n">
        <v>9000</v>
      </c>
      <c r="F16" s="6">
        <f>TEXT(A16,"mmm-yy")</f>
        <v/>
      </c>
      <c r="G16" s="6">
        <f>IF(B16="Income","",VLOOKUP(C16,'Tax Prep'!$A$21:$B$29,2,FALSE))</f>
        <v/>
      </c>
    </row>
    <row r="17">
      <c r="A17" s="5" t="n">
        <v>46068</v>
      </c>
      <c r="B17" s="6" t="inlineStr">
        <is>
          <t>Expense</t>
        </is>
      </c>
      <c r="C17" s="6" t="inlineStr">
        <is>
          <t>Travel</t>
        </is>
      </c>
      <c r="D17" s="6" t="inlineStr">
        <is>
          <t>Field travel</t>
        </is>
      </c>
      <c r="E17" s="7" t="n">
        <v>3500</v>
      </c>
      <c r="F17" s="6">
        <f>TEXT(A17,"mmm-yy")</f>
        <v/>
      </c>
      <c r="G17" s="6">
        <f>IF(B17="Income","",VLOOKUP(C17,'Tax Prep'!$A$21:$B$29,2,FALSE))</f>
        <v/>
      </c>
    </row>
    <row r="18">
      <c r="A18" s="5" t="n">
        <v>46065</v>
      </c>
      <c r="B18" s="6" t="inlineStr">
        <is>
          <t>Expense</t>
        </is>
      </c>
      <c r="C18" s="6" t="inlineStr">
        <is>
          <t>Utilities</t>
        </is>
      </c>
      <c r="D18" s="6" t="inlineStr">
        <is>
          <t>Power &amp; internet</t>
        </is>
      </c>
      <c r="E18" s="7" t="n">
        <v>2500</v>
      </c>
      <c r="F18" s="6">
        <f>TEXT(A18,"mmm-yy")</f>
        <v/>
      </c>
      <c r="G18" s="6">
        <f>IF(B18="Income","",VLOOKUP(C18,'Tax Prep'!$A$21:$B$29,2,FALSE))</f>
        <v/>
      </c>
    </row>
    <row r="19">
      <c r="A19" s="5" t="n">
        <v>46061</v>
      </c>
      <c r="B19" s="6" t="inlineStr">
        <is>
          <t>Expense</t>
        </is>
      </c>
      <c r="C19" s="6" t="inlineStr">
        <is>
          <t>Software</t>
        </is>
      </c>
      <c r="D19" s="6" t="inlineStr">
        <is>
          <t>SaaS subscriptions</t>
        </is>
      </c>
      <c r="E19" s="7" t="n">
        <v>3200</v>
      </c>
      <c r="F19" s="6">
        <f>TEXT(A19,"mmm-yy")</f>
        <v/>
      </c>
      <c r="G19" s="6">
        <f>IF(B19="Income","",VLOOKUP(C19,'Tax Prep'!$A$21:$B$29,2,FALSE))</f>
        <v/>
      </c>
    </row>
    <row r="20">
      <c r="A20" s="5" t="n">
        <v>46071</v>
      </c>
      <c r="B20" s="6" t="inlineStr">
        <is>
          <t>Expense</t>
        </is>
      </c>
      <c r="C20" s="6" t="inlineStr">
        <is>
          <t>Office Supplies</t>
        </is>
      </c>
      <c r="D20" s="6" t="inlineStr">
        <is>
          <t>Stationery</t>
        </is>
      </c>
      <c r="E20" s="7" t="n">
        <v>1800</v>
      </c>
      <c r="F20" s="6">
        <f>TEXT(A20,"mmm-yy")</f>
        <v/>
      </c>
      <c r="G20" s="6">
        <f>IF(B20="Income","",VLOOKUP(C20,'Tax Prep'!$A$21:$B$29,2,FALSE))</f>
        <v/>
      </c>
    </row>
    <row r="21">
      <c r="A21" s="5" t="n">
        <v>46078</v>
      </c>
      <c r="B21" s="6" t="inlineStr">
        <is>
          <t>Expense</t>
        </is>
      </c>
      <c r="C21" s="6" t="inlineStr">
        <is>
          <t>Professional Fees</t>
        </is>
      </c>
      <c r="D21" s="6" t="inlineStr">
        <is>
          <t>CA retainer</t>
        </is>
      </c>
      <c r="E21" s="7" t="n">
        <v>4500</v>
      </c>
      <c r="F21" s="6">
        <f>TEXT(A21,"mmm-yy")</f>
        <v/>
      </c>
      <c r="G21" s="6">
        <f>IF(B21="Income","",VLOOKUP(C21,'Tax Prep'!$A$21:$B$29,2,FALSE))</f>
        <v/>
      </c>
    </row>
    <row r="22">
      <c r="A22" s="5" t="n">
        <v>46086</v>
      </c>
      <c r="B22" s="6" t="inlineStr">
        <is>
          <t>Income</t>
        </is>
      </c>
      <c r="C22" s="6" t="inlineStr">
        <is>
          <t>Client Retainer</t>
        </is>
      </c>
      <c r="D22" s="6" t="inlineStr">
        <is>
          <t>Monthly retainer</t>
        </is>
      </c>
      <c r="E22" s="7" t="n">
        <v>42000</v>
      </c>
      <c r="F22" s="6">
        <f>TEXT(A22,"mmm-yy")</f>
        <v/>
      </c>
      <c r="G22" s="6">
        <f>IF(B22="Income","",VLOOKUP(C22,'Tax Prep'!$A$21:$B$29,2,FALSE))</f>
        <v/>
      </c>
    </row>
    <row r="23">
      <c r="A23" s="5" t="n">
        <v>46101</v>
      </c>
      <c r="B23" s="6" t="inlineStr">
        <is>
          <t>Income</t>
        </is>
      </c>
      <c r="C23" s="6" t="inlineStr">
        <is>
          <t>Product Sales</t>
        </is>
      </c>
      <c r="D23" s="6" t="inlineStr">
        <is>
          <t>Online product sales</t>
        </is>
      </c>
      <c r="E23" s="7" t="n">
        <v>19000</v>
      </c>
      <c r="F23" s="6">
        <f>TEXT(A23,"mmm-yy")</f>
        <v/>
      </c>
      <c r="G23" s="6">
        <f>IF(B23="Income","",VLOOKUP(C23,'Tax Prep'!$A$21:$B$29,2,FALSE))</f>
        <v/>
      </c>
    </row>
    <row r="24">
      <c r="A24" s="5" t="n">
        <v>46082</v>
      </c>
      <c r="B24" s="6" t="inlineStr">
        <is>
          <t>Expense</t>
        </is>
      </c>
      <c r="C24" s="6" t="inlineStr">
        <is>
          <t>Rent</t>
        </is>
      </c>
      <c r="D24" s="6" t="inlineStr">
        <is>
          <t>Office rent</t>
        </is>
      </c>
      <c r="E24" s="7" t="n">
        <v>12000</v>
      </c>
      <c r="F24" s="6">
        <f>TEXT(A24,"mmm-yy")</f>
        <v/>
      </c>
      <c r="G24" s="6">
        <f>IF(B24="Income","",VLOOKUP(C24,'Tax Prep'!$A$21:$B$29,2,FALSE))</f>
        <v/>
      </c>
    </row>
    <row r="25">
      <c r="A25" s="5" t="n">
        <v>46084</v>
      </c>
      <c r="B25" s="6" t="inlineStr">
        <is>
          <t>Expense</t>
        </is>
      </c>
      <c r="C25" s="6" t="inlineStr">
        <is>
          <t>Salaries</t>
        </is>
      </c>
      <c r="D25" s="6" t="inlineStr">
        <is>
          <t>Team payroll</t>
        </is>
      </c>
      <c r="E25" s="7" t="n">
        <v>55000</v>
      </c>
      <c r="F25" s="6">
        <f>TEXT(A25,"mmm-yy")</f>
        <v/>
      </c>
      <c r="G25" s="6">
        <f>IF(B25="Income","",VLOOKUP(C25,'Tax Prep'!$A$21:$B$29,2,FALSE))</f>
        <v/>
      </c>
    </row>
    <row r="26">
      <c r="A26" s="5" t="n">
        <v>46091</v>
      </c>
      <c r="B26" s="6" t="inlineStr">
        <is>
          <t>Expense</t>
        </is>
      </c>
      <c r="C26" s="6" t="inlineStr">
        <is>
          <t>Marketing</t>
        </is>
      </c>
      <c r="D26" s="6" t="inlineStr">
        <is>
          <t>Ads &amp; campaigns</t>
        </is>
      </c>
      <c r="E26" s="7" t="n">
        <v>7500</v>
      </c>
      <c r="F26" s="6">
        <f>TEXT(A26,"mmm-yy")</f>
        <v/>
      </c>
      <c r="G26" s="6">
        <f>IF(B26="Income","",VLOOKUP(C26,'Tax Prep'!$A$21:$B$29,2,FALSE))</f>
        <v/>
      </c>
    </row>
    <row r="27">
      <c r="A27" s="5" t="n">
        <v>46096</v>
      </c>
      <c r="B27" s="6" t="inlineStr">
        <is>
          <t>Expense</t>
        </is>
      </c>
      <c r="C27" s="6" t="inlineStr">
        <is>
          <t>Travel</t>
        </is>
      </c>
      <c r="D27" s="6" t="inlineStr">
        <is>
          <t>Field travel</t>
        </is>
      </c>
      <c r="E27" s="7" t="n">
        <v>6000</v>
      </c>
      <c r="F27" s="6">
        <f>TEXT(A27,"mmm-yy")</f>
        <v/>
      </c>
      <c r="G27" s="6">
        <f>IF(B27="Income","",VLOOKUP(C27,'Tax Prep'!$A$21:$B$29,2,FALSE))</f>
        <v/>
      </c>
    </row>
    <row r="28">
      <c r="A28" s="5" t="n">
        <v>46093</v>
      </c>
      <c r="B28" s="6" t="inlineStr">
        <is>
          <t>Expense</t>
        </is>
      </c>
      <c r="C28" s="6" t="inlineStr">
        <is>
          <t>Utilities</t>
        </is>
      </c>
      <c r="D28" s="6" t="inlineStr">
        <is>
          <t>Power &amp; internet</t>
        </is>
      </c>
      <c r="E28" s="7" t="n">
        <v>2500</v>
      </c>
      <c r="F28" s="6">
        <f>TEXT(A28,"mmm-yy")</f>
        <v/>
      </c>
      <c r="G28" s="6">
        <f>IF(B28="Income","",VLOOKUP(C28,'Tax Prep'!$A$21:$B$29,2,FALSE))</f>
        <v/>
      </c>
    </row>
    <row r="29">
      <c r="A29" s="5" t="n">
        <v>46089</v>
      </c>
      <c r="B29" s="6" t="inlineStr">
        <is>
          <t>Expense</t>
        </is>
      </c>
      <c r="C29" s="6" t="inlineStr">
        <is>
          <t>Software</t>
        </is>
      </c>
      <c r="D29" s="6" t="inlineStr">
        <is>
          <t>SaaS subscriptions</t>
        </is>
      </c>
      <c r="E29" s="7" t="n">
        <v>3200</v>
      </c>
      <c r="F29" s="6">
        <f>TEXT(A29,"mmm-yy")</f>
        <v/>
      </c>
      <c r="G29" s="6">
        <f>IF(B29="Income","",VLOOKUP(C29,'Tax Prep'!$A$21:$B$29,2,FALSE))</f>
        <v/>
      </c>
    </row>
    <row r="30">
      <c r="A30" s="5" t="n">
        <v>46099</v>
      </c>
      <c r="B30" s="6" t="inlineStr">
        <is>
          <t>Expense</t>
        </is>
      </c>
      <c r="C30" s="6" t="inlineStr">
        <is>
          <t>Office Supplies</t>
        </is>
      </c>
      <c r="D30" s="6" t="inlineStr">
        <is>
          <t>Stationery</t>
        </is>
      </c>
      <c r="E30" s="7" t="n">
        <v>1200</v>
      </c>
      <c r="F30" s="6">
        <f>TEXT(A30,"mmm-yy")</f>
        <v/>
      </c>
      <c r="G30" s="6">
        <f>IF(B30="Income","",VLOOKUP(C30,'Tax Prep'!$A$21:$B$29,2,FALSE))</f>
        <v/>
      </c>
    </row>
    <row r="31">
      <c r="A31" s="5" t="n">
        <v>46117</v>
      </c>
      <c r="B31" s="6" t="inlineStr">
        <is>
          <t>Income</t>
        </is>
      </c>
      <c r="C31" s="6" t="inlineStr">
        <is>
          <t>Client Retainer</t>
        </is>
      </c>
      <c r="D31" s="6" t="inlineStr">
        <is>
          <t>Monthly retainer</t>
        </is>
      </c>
      <c r="E31" s="7" t="n">
        <v>45000</v>
      </c>
      <c r="F31" s="6">
        <f>TEXT(A31,"mmm-yy")</f>
        <v/>
      </c>
      <c r="G31" s="6">
        <f>IF(B31="Income","",VLOOKUP(C31,'Tax Prep'!$A$21:$B$29,2,FALSE))</f>
        <v/>
      </c>
    </row>
    <row r="32">
      <c r="A32" s="5" t="n">
        <v>46132</v>
      </c>
      <c r="B32" s="6" t="inlineStr">
        <is>
          <t>Income</t>
        </is>
      </c>
      <c r="C32" s="6" t="inlineStr">
        <is>
          <t>Product Sales</t>
        </is>
      </c>
      <c r="D32" s="6" t="inlineStr">
        <is>
          <t>Online product sales</t>
        </is>
      </c>
      <c r="E32" s="7" t="n">
        <v>19500</v>
      </c>
      <c r="F32" s="6">
        <f>TEXT(A32,"mmm-yy")</f>
        <v/>
      </c>
      <c r="G32" s="6">
        <f>IF(B32="Income","",VLOOKUP(C32,'Tax Prep'!$A$21:$B$29,2,FALSE))</f>
        <v/>
      </c>
    </row>
    <row r="33">
      <c r="A33" s="5" t="n">
        <v>46113</v>
      </c>
      <c r="B33" s="6" t="inlineStr">
        <is>
          <t>Expense</t>
        </is>
      </c>
      <c r="C33" s="6" t="inlineStr">
        <is>
          <t>Rent</t>
        </is>
      </c>
      <c r="D33" s="6" t="inlineStr">
        <is>
          <t>Office rent</t>
        </is>
      </c>
      <c r="E33" s="7" t="n">
        <v>12000</v>
      </c>
      <c r="F33" s="6">
        <f>TEXT(A33,"mmm-yy")</f>
        <v/>
      </c>
      <c r="G33" s="6">
        <f>IF(B33="Income","",VLOOKUP(C33,'Tax Prep'!$A$21:$B$29,2,FALSE))</f>
        <v/>
      </c>
    </row>
    <row r="34">
      <c r="A34" s="5" t="n">
        <v>46115</v>
      </c>
      <c r="B34" s="6" t="inlineStr">
        <is>
          <t>Expense</t>
        </is>
      </c>
      <c r="C34" s="6" t="inlineStr">
        <is>
          <t>Salaries</t>
        </is>
      </c>
      <c r="D34" s="6" t="inlineStr">
        <is>
          <t>Team payroll</t>
        </is>
      </c>
      <c r="E34" s="7" t="n">
        <v>55000</v>
      </c>
      <c r="F34" s="6">
        <f>TEXT(A34,"mmm-yy")</f>
        <v/>
      </c>
      <c r="G34" s="6">
        <f>IF(B34="Income","",VLOOKUP(C34,'Tax Prep'!$A$21:$B$29,2,FALSE))</f>
        <v/>
      </c>
    </row>
    <row r="35">
      <c r="A35" s="5" t="n">
        <v>46122</v>
      </c>
      <c r="B35" s="6" t="inlineStr">
        <is>
          <t>Expense</t>
        </is>
      </c>
      <c r="C35" s="6" t="inlineStr">
        <is>
          <t>Marketing</t>
        </is>
      </c>
      <c r="D35" s="6" t="inlineStr">
        <is>
          <t>Ads &amp; campaigns</t>
        </is>
      </c>
      <c r="E35" s="7" t="n">
        <v>11000</v>
      </c>
      <c r="F35" s="6">
        <f>TEXT(A35,"mmm-yy")</f>
        <v/>
      </c>
      <c r="G35" s="6">
        <f>IF(B35="Income","",VLOOKUP(C35,'Tax Prep'!$A$21:$B$29,2,FALSE))</f>
        <v/>
      </c>
    </row>
    <row r="36">
      <c r="A36" s="5" t="n">
        <v>46127</v>
      </c>
      <c r="B36" s="6" t="inlineStr">
        <is>
          <t>Expense</t>
        </is>
      </c>
      <c r="C36" s="6" t="inlineStr">
        <is>
          <t>Travel</t>
        </is>
      </c>
      <c r="D36" s="6" t="inlineStr">
        <is>
          <t>Field travel</t>
        </is>
      </c>
      <c r="E36" s="7" t="n">
        <v>3000</v>
      </c>
      <c r="F36" s="6">
        <f>TEXT(A36,"mmm-yy")</f>
        <v/>
      </c>
      <c r="G36" s="6">
        <f>IF(B36="Income","",VLOOKUP(C36,'Tax Prep'!$A$21:$B$29,2,FALSE))</f>
        <v/>
      </c>
    </row>
    <row r="37">
      <c r="A37" s="5" t="n">
        <v>46124</v>
      </c>
      <c r="B37" s="6" t="inlineStr">
        <is>
          <t>Expense</t>
        </is>
      </c>
      <c r="C37" s="6" t="inlineStr">
        <is>
          <t>Utilities</t>
        </is>
      </c>
      <c r="D37" s="6" t="inlineStr">
        <is>
          <t>Power &amp; internet</t>
        </is>
      </c>
      <c r="E37" s="7" t="n">
        <v>2500</v>
      </c>
      <c r="F37" s="6">
        <f>TEXT(A37,"mmm-yy")</f>
        <v/>
      </c>
      <c r="G37" s="6">
        <f>IF(B37="Income","",VLOOKUP(C37,'Tax Prep'!$A$21:$B$29,2,FALSE))</f>
        <v/>
      </c>
    </row>
    <row r="38">
      <c r="A38" s="5" t="n">
        <v>46120</v>
      </c>
      <c r="B38" s="6" t="inlineStr">
        <is>
          <t>Expense</t>
        </is>
      </c>
      <c r="C38" s="6" t="inlineStr">
        <is>
          <t>Software</t>
        </is>
      </c>
      <c r="D38" s="6" t="inlineStr">
        <is>
          <t>SaaS subscriptions</t>
        </is>
      </c>
      <c r="E38" s="7" t="n">
        <v>3200</v>
      </c>
      <c r="F38" s="6">
        <f>TEXT(A38,"mmm-yy")</f>
        <v/>
      </c>
      <c r="G38" s="6">
        <f>IF(B38="Income","",VLOOKUP(C38,'Tax Prep'!$A$21:$B$29,2,FALSE))</f>
        <v/>
      </c>
    </row>
    <row r="39">
      <c r="A39" s="5" t="n">
        <v>46130</v>
      </c>
      <c r="B39" s="6" t="inlineStr">
        <is>
          <t>Expense</t>
        </is>
      </c>
      <c r="C39" s="6" t="inlineStr">
        <is>
          <t>Office Supplies</t>
        </is>
      </c>
      <c r="D39" s="6" t="inlineStr">
        <is>
          <t>Stationery</t>
        </is>
      </c>
      <c r="E39" s="7" t="n">
        <v>2000</v>
      </c>
      <c r="F39" s="6">
        <f>TEXT(A39,"mmm-yy")</f>
        <v/>
      </c>
      <c r="G39" s="6">
        <f>IF(B39="Income","",VLOOKUP(C39,'Tax Prep'!$A$21:$B$29,2,FALSE))</f>
        <v/>
      </c>
    </row>
    <row r="40">
      <c r="A40" s="5" t="n">
        <v>46114</v>
      </c>
      <c r="B40" s="6" t="inlineStr">
        <is>
          <t>Expense</t>
        </is>
      </c>
      <c r="C40" s="6" t="inlineStr">
        <is>
          <t>Insurance</t>
        </is>
      </c>
      <c r="D40" s="6" t="inlineStr">
        <is>
          <t>Quarterly premium</t>
        </is>
      </c>
      <c r="E40" s="7" t="n">
        <v>6000</v>
      </c>
      <c r="F40" s="6">
        <f>TEXT(A40,"mmm-yy")</f>
        <v/>
      </c>
      <c r="G40" s="6">
        <f>IF(B40="Income","",VLOOKUP(C40,'Tax Prep'!$A$21:$B$29,2,FALSE))</f>
        <v/>
      </c>
    </row>
    <row r="41">
      <c r="A41" s="5" t="n">
        <v>46147</v>
      </c>
      <c r="B41" s="6" t="inlineStr">
        <is>
          <t>Income</t>
        </is>
      </c>
      <c r="C41" s="6" t="inlineStr">
        <is>
          <t>Client Retainer</t>
        </is>
      </c>
      <c r="D41" s="6" t="inlineStr">
        <is>
          <t>Monthly retainer</t>
        </is>
      </c>
      <c r="E41" s="7" t="n">
        <v>45000</v>
      </c>
      <c r="F41" s="6">
        <f>TEXT(A41,"mmm-yy")</f>
        <v/>
      </c>
      <c r="G41" s="6">
        <f>IF(B41="Income","",VLOOKUP(C41,'Tax Prep'!$A$21:$B$29,2,FALSE))</f>
        <v/>
      </c>
    </row>
    <row r="42">
      <c r="A42" s="5" t="n">
        <v>46162</v>
      </c>
      <c r="B42" s="6" t="inlineStr">
        <is>
          <t>Income</t>
        </is>
      </c>
      <c r="C42" s="6" t="inlineStr">
        <is>
          <t>Product Sales</t>
        </is>
      </c>
      <c r="D42" s="6" t="inlineStr">
        <is>
          <t>Online product sales</t>
        </is>
      </c>
      <c r="E42" s="7" t="n">
        <v>20000</v>
      </c>
      <c r="F42" s="6">
        <f>TEXT(A42,"mmm-yy")</f>
        <v/>
      </c>
      <c r="G42" s="6">
        <f>IF(B42="Income","",VLOOKUP(C42,'Tax Prep'!$A$21:$B$29,2,FALSE))</f>
        <v/>
      </c>
    </row>
    <row r="43">
      <c r="A43" s="5" t="n">
        <v>46143</v>
      </c>
      <c r="B43" s="6" t="inlineStr">
        <is>
          <t>Expense</t>
        </is>
      </c>
      <c r="C43" s="6" t="inlineStr">
        <is>
          <t>Rent</t>
        </is>
      </c>
      <c r="D43" s="6" t="inlineStr">
        <is>
          <t>Office rent</t>
        </is>
      </c>
      <c r="E43" s="7" t="n">
        <v>12000</v>
      </c>
      <c r="F43" s="6">
        <f>TEXT(A43,"mmm-yy")</f>
        <v/>
      </c>
      <c r="G43" s="6">
        <f>IF(B43="Income","",VLOOKUP(C43,'Tax Prep'!$A$21:$B$29,2,FALSE))</f>
        <v/>
      </c>
    </row>
    <row r="44">
      <c r="A44" s="5" t="n">
        <v>46145</v>
      </c>
      <c r="B44" s="6" t="inlineStr">
        <is>
          <t>Expense</t>
        </is>
      </c>
      <c r="C44" s="6" t="inlineStr">
        <is>
          <t>Salaries</t>
        </is>
      </c>
      <c r="D44" s="6" t="inlineStr">
        <is>
          <t>Team payroll</t>
        </is>
      </c>
      <c r="E44" s="7" t="n">
        <v>55000</v>
      </c>
      <c r="F44" s="6">
        <f>TEXT(A44,"mmm-yy")</f>
        <v/>
      </c>
      <c r="G44" s="6">
        <f>IF(B44="Income","",VLOOKUP(C44,'Tax Prep'!$A$21:$B$29,2,FALSE))</f>
        <v/>
      </c>
    </row>
    <row r="45">
      <c r="A45" s="5" t="n">
        <v>46152</v>
      </c>
      <c r="B45" s="6" t="inlineStr">
        <is>
          <t>Expense</t>
        </is>
      </c>
      <c r="C45" s="6" t="inlineStr">
        <is>
          <t>Marketing</t>
        </is>
      </c>
      <c r="D45" s="6" t="inlineStr">
        <is>
          <t>Ads &amp; campaigns</t>
        </is>
      </c>
      <c r="E45" s="7" t="n">
        <v>9500</v>
      </c>
      <c r="F45" s="6">
        <f>TEXT(A45,"mmm-yy")</f>
        <v/>
      </c>
      <c r="G45" s="6">
        <f>IF(B45="Income","",VLOOKUP(C45,'Tax Prep'!$A$21:$B$29,2,FALSE))</f>
        <v/>
      </c>
    </row>
    <row r="46">
      <c r="A46" s="5" t="n">
        <v>46157</v>
      </c>
      <c r="B46" s="6" t="inlineStr">
        <is>
          <t>Expense</t>
        </is>
      </c>
      <c r="C46" s="6" t="inlineStr">
        <is>
          <t>Travel</t>
        </is>
      </c>
      <c r="D46" s="6" t="inlineStr">
        <is>
          <t>Field travel</t>
        </is>
      </c>
      <c r="E46" s="7" t="n">
        <v>4500</v>
      </c>
      <c r="F46" s="6">
        <f>TEXT(A46,"mmm-yy")</f>
        <v/>
      </c>
      <c r="G46" s="6">
        <f>IF(B46="Income","",VLOOKUP(C46,'Tax Prep'!$A$21:$B$29,2,FALSE))</f>
        <v/>
      </c>
    </row>
    <row r="47">
      <c r="A47" s="5" t="n">
        <v>46154</v>
      </c>
      <c r="B47" s="6" t="inlineStr">
        <is>
          <t>Expense</t>
        </is>
      </c>
      <c r="C47" s="6" t="inlineStr">
        <is>
          <t>Utilities</t>
        </is>
      </c>
      <c r="D47" s="6" t="inlineStr">
        <is>
          <t>Power &amp; internet</t>
        </is>
      </c>
      <c r="E47" s="7" t="n">
        <v>2500</v>
      </c>
      <c r="F47" s="6">
        <f>TEXT(A47,"mmm-yy")</f>
        <v/>
      </c>
      <c r="G47" s="6">
        <f>IF(B47="Income","",VLOOKUP(C47,'Tax Prep'!$A$21:$B$29,2,FALSE))</f>
        <v/>
      </c>
    </row>
    <row r="48">
      <c r="A48" s="5" t="n">
        <v>46150</v>
      </c>
      <c r="B48" s="6" t="inlineStr">
        <is>
          <t>Expense</t>
        </is>
      </c>
      <c r="C48" s="6" t="inlineStr">
        <is>
          <t>Software</t>
        </is>
      </c>
      <c r="D48" s="6" t="inlineStr">
        <is>
          <t>SaaS subscriptions</t>
        </is>
      </c>
      <c r="E48" s="7" t="n">
        <v>3200</v>
      </c>
      <c r="F48" s="6">
        <f>TEXT(A48,"mmm-yy")</f>
        <v/>
      </c>
      <c r="G48" s="6">
        <f>IF(B48="Income","",VLOOKUP(C48,'Tax Prep'!$A$21:$B$29,2,FALSE))</f>
        <v/>
      </c>
    </row>
    <row r="49">
      <c r="A49" s="5" t="n">
        <v>46160</v>
      </c>
      <c r="B49" s="6" t="inlineStr">
        <is>
          <t>Expense</t>
        </is>
      </c>
      <c r="C49" s="6" t="inlineStr">
        <is>
          <t>Office Supplies</t>
        </is>
      </c>
      <c r="D49" s="6" t="inlineStr">
        <is>
          <t>Stationery</t>
        </is>
      </c>
      <c r="E49" s="7" t="n">
        <v>1600</v>
      </c>
      <c r="F49" s="6">
        <f>TEXT(A49,"mmm-yy")</f>
        <v/>
      </c>
      <c r="G49" s="6">
        <f>IF(B49="Income","",VLOOKUP(C49,'Tax Prep'!$A$21:$B$29,2,FALSE))</f>
        <v/>
      </c>
    </row>
    <row r="50">
      <c r="A50" s="5" t="n">
        <v>46167</v>
      </c>
      <c r="B50" s="6" t="inlineStr">
        <is>
          <t>Expense</t>
        </is>
      </c>
      <c r="C50" s="6" t="inlineStr">
        <is>
          <t>Professional Fees</t>
        </is>
      </c>
      <c r="D50" s="6" t="inlineStr">
        <is>
          <t>CA retainer</t>
        </is>
      </c>
      <c r="E50" s="7" t="n">
        <v>4500</v>
      </c>
      <c r="F50" s="6">
        <f>TEXT(A50,"mmm-yy")</f>
        <v/>
      </c>
      <c r="G50" s="6">
        <f>IF(B50="Income","",VLOOKUP(C50,'Tax Prep'!$A$21:$B$29,2,FALSE))</f>
        <v/>
      </c>
    </row>
    <row r="51">
      <c r="A51" s="5" t="n">
        <v>46178</v>
      </c>
      <c r="B51" s="6" t="inlineStr">
        <is>
          <t>Income</t>
        </is>
      </c>
      <c r="C51" s="6" t="inlineStr">
        <is>
          <t>Client Retainer</t>
        </is>
      </c>
      <c r="D51" s="6" t="inlineStr">
        <is>
          <t>Monthly retainer</t>
        </is>
      </c>
      <c r="E51" s="7" t="n">
        <v>45000</v>
      </c>
      <c r="F51" s="6">
        <f>TEXT(A51,"mmm-yy")</f>
        <v/>
      </c>
      <c r="G51" s="6">
        <f>IF(B51="Income","",VLOOKUP(C51,'Tax Prep'!$A$21:$B$29,2,FALSE))</f>
        <v/>
      </c>
    </row>
    <row r="52">
      <c r="A52" s="5" t="n">
        <v>46193</v>
      </c>
      <c r="B52" s="6" t="inlineStr">
        <is>
          <t>Income</t>
        </is>
      </c>
      <c r="C52" s="6" t="inlineStr">
        <is>
          <t>Product Sales</t>
        </is>
      </c>
      <c r="D52" s="6" t="inlineStr">
        <is>
          <t>Online product sales</t>
        </is>
      </c>
      <c r="E52" s="7" t="n">
        <v>20500</v>
      </c>
      <c r="F52" s="6">
        <f>TEXT(A52,"mmm-yy")</f>
        <v/>
      </c>
      <c r="G52" s="6">
        <f>IF(B52="Income","",VLOOKUP(C52,'Tax Prep'!$A$21:$B$29,2,FALSE))</f>
        <v/>
      </c>
    </row>
    <row r="53">
      <c r="A53" s="5" t="n">
        <v>46174</v>
      </c>
      <c r="B53" s="6" t="inlineStr">
        <is>
          <t>Expense</t>
        </is>
      </c>
      <c r="C53" s="6" t="inlineStr">
        <is>
          <t>Rent</t>
        </is>
      </c>
      <c r="D53" s="6" t="inlineStr">
        <is>
          <t>Office rent</t>
        </is>
      </c>
      <c r="E53" s="7" t="n">
        <v>12000</v>
      </c>
      <c r="F53" s="6">
        <f>TEXT(A53,"mmm-yy")</f>
        <v/>
      </c>
      <c r="G53" s="6">
        <f>IF(B53="Income","",VLOOKUP(C53,'Tax Prep'!$A$21:$B$29,2,FALSE))</f>
        <v/>
      </c>
    </row>
    <row r="54">
      <c r="A54" s="5" t="n">
        <v>46176</v>
      </c>
      <c r="B54" s="6" t="inlineStr">
        <is>
          <t>Expense</t>
        </is>
      </c>
      <c r="C54" s="6" t="inlineStr">
        <is>
          <t>Salaries</t>
        </is>
      </c>
      <c r="D54" s="6" t="inlineStr">
        <is>
          <t>Team payroll</t>
        </is>
      </c>
      <c r="E54" s="7" t="n">
        <v>55000</v>
      </c>
      <c r="F54" s="6">
        <f>TEXT(A54,"mmm-yy")</f>
        <v/>
      </c>
      <c r="G54" s="6">
        <f>IF(B54="Income","",VLOOKUP(C54,'Tax Prep'!$A$21:$B$29,2,FALSE))</f>
        <v/>
      </c>
    </row>
    <row r="55">
      <c r="A55" s="5" t="n">
        <v>46183</v>
      </c>
      <c r="B55" s="6" t="inlineStr">
        <is>
          <t>Expense</t>
        </is>
      </c>
      <c r="C55" s="6" t="inlineStr">
        <is>
          <t>Marketing</t>
        </is>
      </c>
      <c r="D55" s="6" t="inlineStr">
        <is>
          <t>Ads &amp; campaigns</t>
        </is>
      </c>
      <c r="E55" s="7" t="n">
        <v>8500</v>
      </c>
      <c r="F55" s="6">
        <f>TEXT(A55,"mmm-yy")</f>
        <v/>
      </c>
      <c r="G55" s="6">
        <f>IF(B55="Income","",VLOOKUP(C55,'Tax Prep'!$A$21:$B$29,2,FALSE))</f>
        <v/>
      </c>
    </row>
    <row r="56">
      <c r="A56" s="5" t="n">
        <v>46188</v>
      </c>
      <c r="B56" s="6" t="inlineStr">
        <is>
          <t>Expense</t>
        </is>
      </c>
      <c r="C56" s="6" t="inlineStr">
        <is>
          <t>Travel</t>
        </is>
      </c>
      <c r="D56" s="6" t="inlineStr">
        <is>
          <t>Field travel</t>
        </is>
      </c>
      <c r="E56" s="7" t="n">
        <v>5000</v>
      </c>
      <c r="F56" s="6">
        <f>TEXT(A56,"mmm-yy")</f>
        <v/>
      </c>
      <c r="G56" s="6">
        <f>IF(B56="Income","",VLOOKUP(C56,'Tax Prep'!$A$21:$B$29,2,FALSE))</f>
        <v/>
      </c>
    </row>
    <row r="57">
      <c r="A57" s="5" t="n">
        <v>46185</v>
      </c>
      <c r="B57" s="6" t="inlineStr">
        <is>
          <t>Expense</t>
        </is>
      </c>
      <c r="C57" s="6" t="inlineStr">
        <is>
          <t>Utilities</t>
        </is>
      </c>
      <c r="D57" s="6" t="inlineStr">
        <is>
          <t>Power &amp; internet</t>
        </is>
      </c>
      <c r="E57" s="7" t="n">
        <v>2500</v>
      </c>
      <c r="F57" s="6">
        <f>TEXT(A57,"mmm-yy")</f>
        <v/>
      </c>
      <c r="G57" s="6">
        <f>IF(B57="Income","",VLOOKUP(C57,'Tax Prep'!$A$21:$B$29,2,FALSE))</f>
        <v/>
      </c>
    </row>
    <row r="58">
      <c r="A58" s="5" t="n">
        <v>46181</v>
      </c>
      <c r="B58" s="6" t="inlineStr">
        <is>
          <t>Expense</t>
        </is>
      </c>
      <c r="C58" s="6" t="inlineStr">
        <is>
          <t>Software</t>
        </is>
      </c>
      <c r="D58" s="6" t="inlineStr">
        <is>
          <t>SaaS subscriptions</t>
        </is>
      </c>
      <c r="E58" s="7" t="n">
        <v>3200</v>
      </c>
      <c r="F58" s="6">
        <f>TEXT(A58,"mmm-yy")</f>
        <v/>
      </c>
      <c r="G58" s="6">
        <f>IF(B58="Income","",VLOOKUP(C58,'Tax Prep'!$A$21:$B$29,2,FALSE))</f>
        <v/>
      </c>
    </row>
    <row r="59">
      <c r="A59" s="5" t="n">
        <v>46191</v>
      </c>
      <c r="B59" s="6" t="inlineStr">
        <is>
          <t>Expense</t>
        </is>
      </c>
      <c r="C59" s="6" t="inlineStr">
        <is>
          <t>Office Supplies</t>
        </is>
      </c>
      <c r="D59" s="6" t="inlineStr">
        <is>
          <t>Stationery</t>
        </is>
      </c>
      <c r="E59" s="7" t="n">
        <v>1400</v>
      </c>
      <c r="F59" s="6">
        <f>TEXT(A59,"mmm-yy")</f>
        <v/>
      </c>
      <c r="G59" s="6">
        <f>IF(B59="Income","",VLOOKUP(C59,'Tax Prep'!$A$21:$B$29,2,FALSE))</f>
        <v/>
      </c>
    </row>
    <row r="60">
      <c r="A60" s="5" t="n">
        <v>46208</v>
      </c>
      <c r="B60" s="6" t="inlineStr">
        <is>
          <t>Income</t>
        </is>
      </c>
      <c r="C60" s="6" t="inlineStr">
        <is>
          <t>Client Retainer</t>
        </is>
      </c>
      <c r="D60" s="6" t="inlineStr">
        <is>
          <t>Monthly retainer</t>
        </is>
      </c>
      <c r="E60" s="7" t="n">
        <v>48000</v>
      </c>
      <c r="F60" s="6">
        <f>TEXT(A60,"mmm-yy")</f>
        <v/>
      </c>
      <c r="G60" s="6">
        <f>IF(B60="Income","",VLOOKUP(C60,'Tax Prep'!$A$21:$B$29,2,FALSE))</f>
        <v/>
      </c>
    </row>
    <row r="61">
      <c r="A61" s="5" t="n">
        <v>46223</v>
      </c>
      <c r="B61" s="6" t="inlineStr">
        <is>
          <t>Income</t>
        </is>
      </c>
      <c r="C61" s="6" t="inlineStr">
        <is>
          <t>Product Sales</t>
        </is>
      </c>
      <c r="D61" s="6" t="inlineStr">
        <is>
          <t>Online product sales</t>
        </is>
      </c>
      <c r="E61" s="7" t="n">
        <v>21000</v>
      </c>
      <c r="F61" s="6">
        <f>TEXT(A61,"mmm-yy")</f>
        <v/>
      </c>
      <c r="G61" s="6">
        <f>IF(B61="Income","",VLOOKUP(C61,'Tax Prep'!$A$21:$B$29,2,FALSE))</f>
        <v/>
      </c>
    </row>
    <row r="62">
      <c r="A62" s="5" t="n">
        <v>46204</v>
      </c>
      <c r="B62" s="6" t="inlineStr">
        <is>
          <t>Expense</t>
        </is>
      </c>
      <c r="C62" s="6" t="inlineStr">
        <is>
          <t>Rent</t>
        </is>
      </c>
      <c r="D62" s="6" t="inlineStr">
        <is>
          <t>Office rent</t>
        </is>
      </c>
      <c r="E62" s="7" t="n">
        <v>12000</v>
      </c>
      <c r="F62" s="6">
        <f>TEXT(A62,"mmm-yy")</f>
        <v/>
      </c>
      <c r="G62" s="6">
        <f>IF(B62="Income","",VLOOKUP(C62,'Tax Prep'!$A$21:$B$29,2,FALSE))</f>
        <v/>
      </c>
    </row>
    <row r="63">
      <c r="A63" s="5" t="n">
        <v>46206</v>
      </c>
      <c r="B63" s="6" t="inlineStr">
        <is>
          <t>Expense</t>
        </is>
      </c>
      <c r="C63" s="6" t="inlineStr">
        <is>
          <t>Salaries</t>
        </is>
      </c>
      <c r="D63" s="6" t="inlineStr">
        <is>
          <t>Team payroll</t>
        </is>
      </c>
      <c r="E63" s="7" t="n">
        <v>55000</v>
      </c>
      <c r="F63" s="6">
        <f>TEXT(A63,"mmm-yy")</f>
        <v/>
      </c>
      <c r="G63" s="6">
        <f>IF(B63="Income","",VLOOKUP(C63,'Tax Prep'!$A$21:$B$29,2,FALSE))</f>
        <v/>
      </c>
    </row>
    <row r="64">
      <c r="A64" s="5" t="n">
        <v>46213</v>
      </c>
      <c r="B64" s="6" t="inlineStr">
        <is>
          <t>Expense</t>
        </is>
      </c>
      <c r="C64" s="6" t="inlineStr">
        <is>
          <t>Marketing</t>
        </is>
      </c>
      <c r="D64" s="6" t="inlineStr">
        <is>
          <t>Ads &amp; campaigns</t>
        </is>
      </c>
      <c r="E64" s="7" t="n">
        <v>12000</v>
      </c>
      <c r="F64" s="6">
        <f>TEXT(A64,"mmm-yy")</f>
        <v/>
      </c>
      <c r="G64" s="6">
        <f>IF(B64="Income","",VLOOKUP(C64,'Tax Prep'!$A$21:$B$29,2,FALSE))</f>
        <v/>
      </c>
    </row>
    <row r="65">
      <c r="A65" s="5" t="n">
        <v>46218</v>
      </c>
      <c r="B65" s="6" t="inlineStr">
        <is>
          <t>Expense</t>
        </is>
      </c>
      <c r="C65" s="6" t="inlineStr">
        <is>
          <t>Travel</t>
        </is>
      </c>
      <c r="D65" s="6" t="inlineStr">
        <is>
          <t>Field travel</t>
        </is>
      </c>
      <c r="E65" s="7" t="n">
        <v>3500</v>
      </c>
      <c r="F65" s="6">
        <f>TEXT(A65,"mmm-yy")</f>
        <v/>
      </c>
      <c r="G65" s="6">
        <f>IF(B65="Income","",VLOOKUP(C65,'Tax Prep'!$A$21:$B$29,2,FALSE))</f>
        <v/>
      </c>
    </row>
    <row r="66">
      <c r="A66" s="5" t="n">
        <v>46215</v>
      </c>
      <c r="B66" s="6" t="inlineStr">
        <is>
          <t>Expense</t>
        </is>
      </c>
      <c r="C66" s="6" t="inlineStr">
        <is>
          <t>Utilities</t>
        </is>
      </c>
      <c r="D66" s="6" t="inlineStr">
        <is>
          <t>Power &amp; internet</t>
        </is>
      </c>
      <c r="E66" s="7" t="n">
        <v>2500</v>
      </c>
      <c r="F66" s="6">
        <f>TEXT(A66,"mmm-yy")</f>
        <v/>
      </c>
      <c r="G66" s="6">
        <f>IF(B66="Income","",VLOOKUP(C66,'Tax Prep'!$A$21:$B$29,2,FALSE))</f>
        <v/>
      </c>
    </row>
    <row r="67">
      <c r="A67" s="5" t="n">
        <v>46211</v>
      </c>
      <c r="B67" s="6" t="inlineStr">
        <is>
          <t>Expense</t>
        </is>
      </c>
      <c r="C67" s="6" t="inlineStr">
        <is>
          <t>Software</t>
        </is>
      </c>
      <c r="D67" s="6" t="inlineStr">
        <is>
          <t>SaaS subscriptions</t>
        </is>
      </c>
      <c r="E67" s="7" t="n">
        <v>3200</v>
      </c>
      <c r="F67" s="6">
        <f>TEXT(A67,"mmm-yy")</f>
        <v/>
      </c>
      <c r="G67" s="6">
        <f>IF(B67="Income","",VLOOKUP(C67,'Tax Prep'!$A$21:$B$29,2,FALSE))</f>
        <v/>
      </c>
    </row>
    <row r="68">
      <c r="A68" s="5" t="n">
        <v>46221</v>
      </c>
      <c r="B68" s="6" t="inlineStr">
        <is>
          <t>Expense</t>
        </is>
      </c>
      <c r="C68" s="6" t="inlineStr">
        <is>
          <t>Office Supplies</t>
        </is>
      </c>
      <c r="D68" s="6" t="inlineStr">
        <is>
          <t>Stationery</t>
        </is>
      </c>
      <c r="E68" s="7" t="n">
        <v>2100</v>
      </c>
      <c r="F68" s="6">
        <f>TEXT(A68,"mmm-yy")</f>
        <v/>
      </c>
      <c r="G68" s="6">
        <f>IF(B68="Income","",VLOOKUP(C68,'Tax Prep'!$A$21:$B$29,2,FALSE))</f>
        <v/>
      </c>
    </row>
    <row r="69">
      <c r="A69" s="5" t="n">
        <v>46205</v>
      </c>
      <c r="B69" s="6" t="inlineStr">
        <is>
          <t>Expense</t>
        </is>
      </c>
      <c r="C69" s="6" t="inlineStr">
        <is>
          <t>Insurance</t>
        </is>
      </c>
      <c r="D69" s="6" t="inlineStr">
        <is>
          <t>Quarterly premium</t>
        </is>
      </c>
      <c r="E69" s="7" t="n">
        <v>6000</v>
      </c>
      <c r="F69" s="6">
        <f>TEXT(A69,"mmm-yy")</f>
        <v/>
      </c>
      <c r="G69" s="6">
        <f>IF(B69="Income","",VLOOKUP(C69,'Tax Prep'!$A$21:$B$29,2,FALSE))</f>
        <v/>
      </c>
    </row>
    <row r="70">
      <c r="A70" s="5" t="n">
        <v>46239</v>
      </c>
      <c r="B70" s="6" t="inlineStr">
        <is>
          <t>Income</t>
        </is>
      </c>
      <c r="C70" s="6" t="inlineStr">
        <is>
          <t>Client Retainer</t>
        </is>
      </c>
      <c r="D70" s="6" t="inlineStr">
        <is>
          <t>Monthly retainer</t>
        </is>
      </c>
      <c r="E70" s="7" t="n">
        <v>48000</v>
      </c>
      <c r="F70" s="6">
        <f>TEXT(A70,"mmm-yy")</f>
        <v/>
      </c>
      <c r="G70" s="6">
        <f>IF(B70="Income","",VLOOKUP(C70,'Tax Prep'!$A$21:$B$29,2,FALSE))</f>
        <v/>
      </c>
    </row>
    <row r="71">
      <c r="A71" s="5" t="n">
        <v>46254</v>
      </c>
      <c r="B71" s="6" t="inlineStr">
        <is>
          <t>Income</t>
        </is>
      </c>
      <c r="C71" s="6" t="inlineStr">
        <is>
          <t>Product Sales</t>
        </is>
      </c>
      <c r="D71" s="6" t="inlineStr">
        <is>
          <t>Online product sales</t>
        </is>
      </c>
      <c r="E71" s="7" t="n">
        <v>21500</v>
      </c>
      <c r="F71" s="6">
        <f>TEXT(A71,"mmm-yy")</f>
        <v/>
      </c>
      <c r="G71" s="6">
        <f>IF(B71="Income","",VLOOKUP(C71,'Tax Prep'!$A$21:$B$29,2,FALSE))</f>
        <v/>
      </c>
    </row>
    <row r="72">
      <c r="A72" s="5" t="n">
        <v>46235</v>
      </c>
      <c r="B72" s="6" t="inlineStr">
        <is>
          <t>Expense</t>
        </is>
      </c>
      <c r="C72" s="6" t="inlineStr">
        <is>
          <t>Rent</t>
        </is>
      </c>
      <c r="D72" s="6" t="inlineStr">
        <is>
          <t>Office rent</t>
        </is>
      </c>
      <c r="E72" s="7" t="n">
        <v>12000</v>
      </c>
      <c r="F72" s="6">
        <f>TEXT(A72,"mmm-yy")</f>
        <v/>
      </c>
      <c r="G72" s="6">
        <f>IF(B72="Income","",VLOOKUP(C72,'Tax Prep'!$A$21:$B$29,2,FALSE))</f>
        <v/>
      </c>
    </row>
    <row r="73">
      <c r="A73" s="5" t="n">
        <v>46237</v>
      </c>
      <c r="B73" s="6" t="inlineStr">
        <is>
          <t>Expense</t>
        </is>
      </c>
      <c r="C73" s="6" t="inlineStr">
        <is>
          <t>Salaries</t>
        </is>
      </c>
      <c r="D73" s="6" t="inlineStr">
        <is>
          <t>Team payroll</t>
        </is>
      </c>
      <c r="E73" s="7" t="n">
        <v>55000</v>
      </c>
      <c r="F73" s="6">
        <f>TEXT(A73,"mmm-yy")</f>
        <v/>
      </c>
      <c r="G73" s="6">
        <f>IF(B73="Income","",VLOOKUP(C73,'Tax Prep'!$A$21:$B$29,2,FALSE))</f>
        <v/>
      </c>
    </row>
    <row r="74">
      <c r="A74" s="5" t="n">
        <v>46244</v>
      </c>
      <c r="B74" s="6" t="inlineStr">
        <is>
          <t>Expense</t>
        </is>
      </c>
      <c r="C74" s="6" t="inlineStr">
        <is>
          <t>Marketing</t>
        </is>
      </c>
      <c r="D74" s="6" t="inlineStr">
        <is>
          <t>Ads &amp; campaigns</t>
        </is>
      </c>
      <c r="E74" s="7" t="n">
        <v>10000</v>
      </c>
      <c r="F74" s="6">
        <f>TEXT(A74,"mmm-yy")</f>
        <v/>
      </c>
      <c r="G74" s="6">
        <f>IF(B74="Income","",VLOOKUP(C74,'Tax Prep'!$A$21:$B$29,2,FALSE))</f>
        <v/>
      </c>
    </row>
    <row r="75">
      <c r="A75" s="5" t="n">
        <v>46249</v>
      </c>
      <c r="B75" s="6" t="inlineStr">
        <is>
          <t>Expense</t>
        </is>
      </c>
      <c r="C75" s="6" t="inlineStr">
        <is>
          <t>Travel</t>
        </is>
      </c>
      <c r="D75" s="6" t="inlineStr">
        <is>
          <t>Field travel</t>
        </is>
      </c>
      <c r="E75" s="7" t="n">
        <v>4000</v>
      </c>
      <c r="F75" s="6">
        <f>TEXT(A75,"mmm-yy")</f>
        <v/>
      </c>
      <c r="G75" s="6">
        <f>IF(B75="Income","",VLOOKUP(C75,'Tax Prep'!$A$21:$B$29,2,FALSE))</f>
        <v/>
      </c>
    </row>
    <row r="76">
      <c r="A76" s="5" t="n">
        <v>46246</v>
      </c>
      <c r="B76" s="6" t="inlineStr">
        <is>
          <t>Expense</t>
        </is>
      </c>
      <c r="C76" s="6" t="inlineStr">
        <is>
          <t>Utilities</t>
        </is>
      </c>
      <c r="D76" s="6" t="inlineStr">
        <is>
          <t>Power &amp; internet</t>
        </is>
      </c>
      <c r="E76" s="7" t="n">
        <v>2500</v>
      </c>
      <c r="F76" s="6">
        <f>TEXT(A76,"mmm-yy")</f>
        <v/>
      </c>
      <c r="G76" s="6">
        <f>IF(B76="Income","",VLOOKUP(C76,'Tax Prep'!$A$21:$B$29,2,FALSE))</f>
        <v/>
      </c>
    </row>
    <row r="77">
      <c r="A77" s="5" t="n">
        <v>46242</v>
      </c>
      <c r="B77" s="6" t="inlineStr">
        <is>
          <t>Expense</t>
        </is>
      </c>
      <c r="C77" s="6" t="inlineStr">
        <is>
          <t>Software</t>
        </is>
      </c>
      <c r="D77" s="6" t="inlineStr">
        <is>
          <t>SaaS subscriptions</t>
        </is>
      </c>
      <c r="E77" s="7" t="n">
        <v>3200</v>
      </c>
      <c r="F77" s="6">
        <f>TEXT(A77,"mmm-yy")</f>
        <v/>
      </c>
      <c r="G77" s="6">
        <f>IF(B77="Income","",VLOOKUP(C77,'Tax Prep'!$A$21:$B$29,2,FALSE))</f>
        <v/>
      </c>
    </row>
    <row r="78">
      <c r="A78" s="5" t="n">
        <v>46252</v>
      </c>
      <c r="B78" s="6" t="inlineStr">
        <is>
          <t>Expense</t>
        </is>
      </c>
      <c r="C78" s="6" t="inlineStr">
        <is>
          <t>Office Supplies</t>
        </is>
      </c>
      <c r="D78" s="6" t="inlineStr">
        <is>
          <t>Stationery</t>
        </is>
      </c>
      <c r="E78" s="7" t="n">
        <v>1700</v>
      </c>
      <c r="F78" s="6">
        <f>TEXT(A78,"mmm-yy")</f>
        <v/>
      </c>
      <c r="G78" s="6">
        <f>IF(B78="Income","",VLOOKUP(C78,'Tax Prep'!$A$21:$B$29,2,FALSE))</f>
        <v/>
      </c>
    </row>
    <row r="79">
      <c r="A79" s="5" t="n">
        <v>46259</v>
      </c>
      <c r="B79" s="6" t="inlineStr">
        <is>
          <t>Expense</t>
        </is>
      </c>
      <c r="C79" s="6" t="inlineStr">
        <is>
          <t>Professional Fees</t>
        </is>
      </c>
      <c r="D79" s="6" t="inlineStr">
        <is>
          <t>CA retainer</t>
        </is>
      </c>
      <c r="E79" s="7" t="n">
        <v>4500</v>
      </c>
      <c r="F79" s="6">
        <f>TEXT(A79,"mmm-yy")</f>
        <v/>
      </c>
      <c r="G79" s="6">
        <f>IF(B79="Income","",VLOOKUP(C79,'Tax Prep'!$A$21:$B$29,2,FALSE))</f>
        <v/>
      </c>
    </row>
    <row r="80">
      <c r="A80" s="5" t="n">
        <v>46270</v>
      </c>
      <c r="B80" s="6" t="inlineStr">
        <is>
          <t>Income</t>
        </is>
      </c>
      <c r="C80" s="6" t="inlineStr">
        <is>
          <t>Client Retainer</t>
        </is>
      </c>
      <c r="D80" s="6" t="inlineStr">
        <is>
          <t>Monthly retainer</t>
        </is>
      </c>
      <c r="E80" s="7" t="n">
        <v>48000</v>
      </c>
      <c r="F80" s="6">
        <f>TEXT(A80,"mmm-yy")</f>
        <v/>
      </c>
      <c r="G80" s="6">
        <f>IF(B80="Income","",VLOOKUP(C80,'Tax Prep'!$A$21:$B$29,2,FALSE))</f>
        <v/>
      </c>
    </row>
    <row r="81">
      <c r="A81" s="5" t="n">
        <v>46285</v>
      </c>
      <c r="B81" s="6" t="inlineStr">
        <is>
          <t>Income</t>
        </is>
      </c>
      <c r="C81" s="6" t="inlineStr">
        <is>
          <t>Product Sales</t>
        </is>
      </c>
      <c r="D81" s="6" t="inlineStr">
        <is>
          <t>Online product sales</t>
        </is>
      </c>
      <c r="E81" s="7" t="n">
        <v>22000</v>
      </c>
      <c r="F81" s="6">
        <f>TEXT(A81,"mmm-yy")</f>
        <v/>
      </c>
      <c r="G81" s="6">
        <f>IF(B81="Income","",VLOOKUP(C81,'Tax Prep'!$A$21:$B$29,2,FALSE))</f>
        <v/>
      </c>
    </row>
    <row r="82">
      <c r="A82" s="5" t="n">
        <v>46266</v>
      </c>
      <c r="B82" s="6" t="inlineStr">
        <is>
          <t>Expense</t>
        </is>
      </c>
      <c r="C82" s="6" t="inlineStr">
        <is>
          <t>Rent</t>
        </is>
      </c>
      <c r="D82" s="6" t="inlineStr">
        <is>
          <t>Office rent</t>
        </is>
      </c>
      <c r="E82" s="7" t="n">
        <v>12000</v>
      </c>
      <c r="F82" s="6">
        <f>TEXT(A82,"mmm-yy")</f>
        <v/>
      </c>
      <c r="G82" s="6">
        <f>IF(B82="Income","",VLOOKUP(C82,'Tax Prep'!$A$21:$B$29,2,FALSE))</f>
        <v/>
      </c>
    </row>
    <row r="83">
      <c r="A83" s="5" t="n">
        <v>46268</v>
      </c>
      <c r="B83" s="6" t="inlineStr">
        <is>
          <t>Expense</t>
        </is>
      </c>
      <c r="C83" s="6" t="inlineStr">
        <is>
          <t>Salaries</t>
        </is>
      </c>
      <c r="D83" s="6" t="inlineStr">
        <is>
          <t>Team payroll</t>
        </is>
      </c>
      <c r="E83" s="7" t="n">
        <v>55000</v>
      </c>
      <c r="F83" s="6">
        <f>TEXT(A83,"mmm-yy")</f>
        <v/>
      </c>
      <c r="G83" s="6">
        <f>IF(B83="Income","",VLOOKUP(C83,'Tax Prep'!$A$21:$B$29,2,FALSE))</f>
        <v/>
      </c>
    </row>
    <row r="84">
      <c r="A84" s="5" t="n">
        <v>46275</v>
      </c>
      <c r="B84" s="6" t="inlineStr">
        <is>
          <t>Expense</t>
        </is>
      </c>
      <c r="C84" s="6" t="inlineStr">
        <is>
          <t>Marketing</t>
        </is>
      </c>
      <c r="D84" s="6" t="inlineStr">
        <is>
          <t>Ads &amp; campaigns</t>
        </is>
      </c>
      <c r="E84" s="7" t="n">
        <v>9000</v>
      </c>
      <c r="F84" s="6">
        <f>TEXT(A84,"mmm-yy")</f>
        <v/>
      </c>
      <c r="G84" s="6">
        <f>IF(B84="Income","",VLOOKUP(C84,'Tax Prep'!$A$21:$B$29,2,FALSE))</f>
        <v/>
      </c>
    </row>
    <row r="85">
      <c r="A85" s="5" t="n">
        <v>46280</v>
      </c>
      <c r="B85" s="6" t="inlineStr">
        <is>
          <t>Expense</t>
        </is>
      </c>
      <c r="C85" s="6" t="inlineStr">
        <is>
          <t>Travel</t>
        </is>
      </c>
      <c r="D85" s="6" t="inlineStr">
        <is>
          <t>Field travel</t>
        </is>
      </c>
      <c r="E85" s="7" t="n">
        <v>5500</v>
      </c>
      <c r="F85" s="6">
        <f>TEXT(A85,"mmm-yy")</f>
        <v/>
      </c>
      <c r="G85" s="6">
        <f>IF(B85="Income","",VLOOKUP(C85,'Tax Prep'!$A$21:$B$29,2,FALSE))</f>
        <v/>
      </c>
    </row>
    <row r="86">
      <c r="A86" s="5" t="n">
        <v>46277</v>
      </c>
      <c r="B86" s="6" t="inlineStr">
        <is>
          <t>Expense</t>
        </is>
      </c>
      <c r="C86" s="6" t="inlineStr">
        <is>
          <t>Utilities</t>
        </is>
      </c>
      <c r="D86" s="6" t="inlineStr">
        <is>
          <t>Power &amp; internet</t>
        </is>
      </c>
      <c r="E86" s="7" t="n">
        <v>2500</v>
      </c>
      <c r="F86" s="6">
        <f>TEXT(A86,"mmm-yy")</f>
        <v/>
      </c>
      <c r="G86" s="6">
        <f>IF(B86="Income","",VLOOKUP(C86,'Tax Prep'!$A$21:$B$29,2,FALSE))</f>
        <v/>
      </c>
    </row>
    <row r="87">
      <c r="A87" s="5" t="n">
        <v>46273</v>
      </c>
      <c r="B87" s="6" t="inlineStr">
        <is>
          <t>Expense</t>
        </is>
      </c>
      <c r="C87" s="6" t="inlineStr">
        <is>
          <t>Software</t>
        </is>
      </c>
      <c r="D87" s="6" t="inlineStr">
        <is>
          <t>SaaS subscriptions</t>
        </is>
      </c>
      <c r="E87" s="7" t="n">
        <v>3200</v>
      </c>
      <c r="F87" s="6">
        <f>TEXT(A87,"mmm-yy")</f>
        <v/>
      </c>
      <c r="G87" s="6">
        <f>IF(B87="Income","",VLOOKUP(C87,'Tax Prep'!$A$21:$B$29,2,FALSE))</f>
        <v/>
      </c>
    </row>
    <row r="88">
      <c r="A88" s="5" t="n">
        <v>46283</v>
      </c>
      <c r="B88" s="6" t="inlineStr">
        <is>
          <t>Expense</t>
        </is>
      </c>
      <c r="C88" s="6" t="inlineStr">
        <is>
          <t>Office Supplies</t>
        </is>
      </c>
      <c r="D88" s="6" t="inlineStr">
        <is>
          <t>Stationery</t>
        </is>
      </c>
      <c r="E88" s="7" t="n">
        <v>1900</v>
      </c>
      <c r="F88" s="6">
        <f>TEXT(A88,"mmm-yy")</f>
        <v/>
      </c>
      <c r="G88" s="6">
        <f>IF(B88="Income","",VLOOKUP(C88,'Tax Prep'!$A$21:$B$29,2,FALSE))</f>
        <v/>
      </c>
    </row>
  </sheetData>
  <autoFilter ref="A1:G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2" t="inlineStr">
        <is>
          <t>Category</t>
        </is>
      </c>
      <c r="B1" s="2" t="inlineStr">
        <is>
          <t>Monthly Budget</t>
        </is>
      </c>
      <c r="C1" s="2" t="inlineStr">
        <is>
          <t>9-mo Budget</t>
        </is>
      </c>
      <c r="D1" s="2" t="inlineStr">
        <is>
          <t>Actual</t>
        </is>
      </c>
      <c r="E1" s="2" t="inlineStr">
        <is>
          <t>Variance</t>
        </is>
      </c>
      <c r="F1" s="2" t="inlineStr">
        <is>
          <t>Var%</t>
        </is>
      </c>
    </row>
    <row r="2">
      <c r="A2" s="6" t="inlineStr">
        <is>
          <t>Rent</t>
        </is>
      </c>
      <c r="B2" s="7" t="n">
        <v>12000</v>
      </c>
      <c r="C2" s="7">
        <f>B2*9</f>
        <v/>
      </c>
      <c r="D2" s="7">
        <f>SUMIFS(Transactions!$E:$E,Transactions!$C:$C,$A2,Transactions!$B:$B,"Expense")</f>
        <v/>
      </c>
      <c r="E2" s="6">
        <f>C2-D2</f>
        <v/>
      </c>
      <c r="F2" s="8">
        <f>IF(C2=0,"",E2/C2)</f>
        <v/>
      </c>
    </row>
    <row r="3">
      <c r="A3" s="6" t="inlineStr">
        <is>
          <t>Salaries</t>
        </is>
      </c>
      <c r="B3" s="7" t="n">
        <v>55000</v>
      </c>
      <c r="C3" s="7">
        <f>B3*9</f>
        <v/>
      </c>
      <c r="D3" s="7">
        <f>SUMIFS(Transactions!$E:$E,Transactions!$C:$C,$A3,Transactions!$B:$B,"Expense")</f>
        <v/>
      </c>
      <c r="E3" s="6">
        <f>C3-D3</f>
        <v/>
      </c>
      <c r="F3" s="8">
        <f>IF(C3=0,"",E3/C3)</f>
        <v/>
      </c>
    </row>
    <row r="4">
      <c r="A4" s="6" t="inlineStr">
        <is>
          <t>Marketing</t>
        </is>
      </c>
      <c r="B4" s="7" t="n">
        <v>9000</v>
      </c>
      <c r="C4" s="7">
        <f>B4*9</f>
        <v/>
      </c>
      <c r="D4" s="7">
        <f>SUMIFS(Transactions!$E:$E,Transactions!$C:$C,$A4,Transactions!$B:$B,"Expense")</f>
        <v/>
      </c>
      <c r="E4" s="6">
        <f>C4-D4</f>
        <v/>
      </c>
      <c r="F4" s="8">
        <f>IF(C4=0,"",E4/C4)</f>
        <v/>
      </c>
    </row>
    <row r="5">
      <c r="A5" s="6" t="inlineStr">
        <is>
          <t>Travel</t>
        </is>
      </c>
      <c r="B5" s="7" t="n">
        <v>4500</v>
      </c>
      <c r="C5" s="7">
        <f>B5*9</f>
        <v/>
      </c>
      <c r="D5" s="7">
        <f>SUMIFS(Transactions!$E:$E,Transactions!$C:$C,$A5,Transactions!$B:$B,"Expense")</f>
        <v/>
      </c>
      <c r="E5" s="6">
        <f>C5-D5</f>
        <v/>
      </c>
      <c r="F5" s="8">
        <f>IF(C5=0,"",E5/C5)</f>
        <v/>
      </c>
    </row>
    <row r="6">
      <c r="A6" s="6" t="inlineStr">
        <is>
          <t>Utilities</t>
        </is>
      </c>
      <c r="B6" s="7" t="n">
        <v>2500</v>
      </c>
      <c r="C6" s="7">
        <f>B6*9</f>
        <v/>
      </c>
      <c r="D6" s="7">
        <f>SUMIFS(Transactions!$E:$E,Transactions!$C:$C,$A6,Transactions!$B:$B,"Expense")</f>
        <v/>
      </c>
      <c r="E6" s="6">
        <f>C6-D6</f>
        <v/>
      </c>
      <c r="F6" s="8">
        <f>IF(C6=0,"",E6/C6)</f>
        <v/>
      </c>
    </row>
    <row r="7">
      <c r="A7" s="6" t="inlineStr">
        <is>
          <t>Software</t>
        </is>
      </c>
      <c r="B7" s="7" t="n">
        <v>3200</v>
      </c>
      <c r="C7" s="7">
        <f>B7*9</f>
        <v/>
      </c>
      <c r="D7" s="7">
        <f>SUMIFS(Transactions!$E:$E,Transactions!$C:$C,$A7,Transactions!$B:$B,"Expense")</f>
        <v/>
      </c>
      <c r="E7" s="6">
        <f>C7-D7</f>
        <v/>
      </c>
      <c r="F7" s="8">
        <f>IF(C7=0,"",E7/C7)</f>
        <v/>
      </c>
    </row>
    <row r="8">
      <c r="A8" s="6" t="inlineStr">
        <is>
          <t>Office Supplies</t>
        </is>
      </c>
      <c r="B8" s="7" t="n">
        <v>1700</v>
      </c>
      <c r="C8" s="7">
        <f>B8*9</f>
        <v/>
      </c>
      <c r="D8" s="7">
        <f>SUMIFS(Transactions!$E:$E,Transactions!$C:$C,$A8,Transactions!$B:$B,"Expense")</f>
        <v/>
      </c>
      <c r="E8" s="6">
        <f>C8-D8</f>
        <v/>
      </c>
      <c r="F8" s="8">
        <f>IF(C8=0,"",E8/C8)</f>
        <v/>
      </c>
    </row>
    <row r="9">
      <c r="A9" s="6" t="inlineStr">
        <is>
          <t>Insurance</t>
        </is>
      </c>
      <c r="B9" s="7" t="n">
        <v>2000</v>
      </c>
      <c r="C9" s="7">
        <f>B9*9</f>
        <v/>
      </c>
      <c r="D9" s="7">
        <f>SUMIFS(Transactions!$E:$E,Transactions!$C:$C,$A9,Transactions!$B:$B,"Expense")</f>
        <v/>
      </c>
      <c r="E9" s="6">
        <f>C9-D9</f>
        <v/>
      </c>
      <c r="F9" s="8">
        <f>IF(C9=0,"",E9/C9)</f>
        <v/>
      </c>
    </row>
    <row r="10">
      <c r="A10" s="6" t="inlineStr">
        <is>
          <t>Professional Fees</t>
        </is>
      </c>
      <c r="B10" s="7" t="n">
        <v>1500</v>
      </c>
      <c r="C10" s="7">
        <f>B10*9</f>
        <v/>
      </c>
      <c r="D10" s="7">
        <f>SUMIFS(Transactions!$E:$E,Transactions!$C:$C,$A10,Transactions!$B:$B,"Expense")</f>
        <v/>
      </c>
      <c r="E10" s="6">
        <f>C10-D10</f>
        <v/>
      </c>
      <c r="F10" s="8">
        <f>IF(C10=0,"",E10/C10)</f>
        <v/>
      </c>
    </row>
    <row r="11">
      <c r="A11" s="9" t="inlineStr">
        <is>
          <t>TOTAL</t>
        </is>
      </c>
      <c r="B11" s="10">
        <f>SUM(B2:B10)</f>
        <v/>
      </c>
      <c r="C11" s="10">
        <f>SUM(C2:C10)</f>
        <v/>
      </c>
      <c r="D11" s="10">
        <f>SUM(D2:D10)</f>
        <v/>
      </c>
      <c r="E11" s="10">
        <f>SUM(E2:E10)</f>
        <v/>
      </c>
      <c r="F11" s="11">
        <f>E11/C11</f>
        <v/>
      </c>
    </row>
  </sheetData>
  <conditionalFormatting sqref="E2:E1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2" customWidth="1" min="5" max="5"/>
    <col width="10" customWidth="1" min="6" max="6"/>
    <col width="17" customWidth="1" min="7" max="7"/>
    <col width="13" customWidth="1" min="8" max="8"/>
  </cols>
  <sheetData>
    <row r="1">
      <c r="A1" s="12" t="inlineStr">
        <is>
          <t>As of:</t>
        </is>
      </c>
      <c r="B1" s="13" t="n">
        <v>46304</v>
      </c>
    </row>
    <row r="3">
      <c r="A3" s="2" t="inlineStr">
        <is>
          <t>InvoiceNo</t>
        </is>
      </c>
      <c r="B3" s="2" t="inlineStr">
        <is>
          <t>Client</t>
        </is>
      </c>
      <c r="C3" s="2" t="inlineStr">
        <is>
          <t>IssueDate</t>
        </is>
      </c>
      <c r="D3" s="2" t="inlineStr">
        <is>
          <t>DueDate</t>
        </is>
      </c>
      <c r="E3" s="2" t="inlineStr">
        <is>
          <t>Amount</t>
        </is>
      </c>
      <c r="F3" s="2" t="inlineStr">
        <is>
          <t>Status</t>
        </is>
      </c>
      <c r="G3" s="2" t="inlineStr">
        <is>
          <t>Days Outstanding</t>
        </is>
      </c>
      <c r="H3" s="2" t="inlineStr">
        <is>
          <t>Payment Flag</t>
        </is>
      </c>
    </row>
    <row r="4">
      <c r="A4" s="6" t="inlineStr">
        <is>
          <t>INV-26001</t>
        </is>
      </c>
      <c r="B4" s="6" t="inlineStr">
        <is>
          <t>Acme Corp</t>
        </is>
      </c>
      <c r="C4" s="5" t="n">
        <v>46175</v>
      </c>
      <c r="D4" s="5" t="n">
        <v>46205</v>
      </c>
      <c r="E4" s="7" t="n">
        <v>45000</v>
      </c>
      <c r="F4" s="6" t="inlineStr">
        <is>
          <t>Paid</t>
        </is>
      </c>
      <c r="G4" s="6">
        <f>IF(F4="Paid","",MAX(0,$B$1-D4))</f>
        <v/>
      </c>
      <c r="H4" s="6">
        <f>IF(F4="Paid","Paid",IF(D4&lt;=$B$1,"Overdue","Outstanding"))</f>
        <v/>
      </c>
    </row>
    <row r="5">
      <c r="A5" s="6" t="inlineStr">
        <is>
          <t>INV-26002</t>
        </is>
      </c>
      <c r="B5" s="6" t="inlineStr">
        <is>
          <t>Beta Ltd</t>
        </is>
      </c>
      <c r="C5" s="5" t="n">
        <v>46182</v>
      </c>
      <c r="D5" s="5" t="n">
        <v>46212</v>
      </c>
      <c r="E5" s="7" t="n">
        <v>28000</v>
      </c>
      <c r="F5" s="6" t="inlineStr">
        <is>
          <t>Paid</t>
        </is>
      </c>
      <c r="G5" s="6">
        <f>IF(F5="Paid","",MAX(0,$B$1-D5))</f>
        <v/>
      </c>
      <c r="H5" s="6">
        <f>IF(F5="Paid","Paid",IF(D5&lt;=$B$1,"Overdue","Outstanding"))</f>
        <v/>
      </c>
    </row>
    <row r="6">
      <c r="A6" s="6" t="inlineStr">
        <is>
          <t>INV-26003</t>
        </is>
      </c>
      <c r="B6" s="6" t="inlineStr">
        <is>
          <t>Gamma Inc</t>
        </is>
      </c>
      <c r="C6" s="5" t="n">
        <v>46189</v>
      </c>
      <c r="D6" s="5" t="n">
        <v>46219</v>
      </c>
      <c r="E6" s="7" t="n">
        <v>52000</v>
      </c>
      <c r="F6" s="6" t="inlineStr">
        <is>
          <t>Paid</t>
        </is>
      </c>
      <c r="G6" s="6">
        <f>IF(F6="Paid","",MAX(0,$B$1-D6))</f>
        <v/>
      </c>
      <c r="H6" s="6">
        <f>IF(F6="Paid","Paid",IF(D6&lt;=$B$1,"Overdue","Outstanding"))</f>
        <v/>
      </c>
    </row>
    <row r="7">
      <c r="A7" s="6" t="inlineStr">
        <is>
          <t>INV-26004</t>
        </is>
      </c>
      <c r="B7" s="6" t="inlineStr">
        <is>
          <t>Delta Co</t>
        </is>
      </c>
      <c r="C7" s="5" t="n">
        <v>46196</v>
      </c>
      <c r="D7" s="5" t="n">
        <v>46226</v>
      </c>
      <c r="E7" s="7" t="n">
        <v>31000</v>
      </c>
      <c r="F7" s="6" t="inlineStr">
        <is>
          <t>Paid</t>
        </is>
      </c>
      <c r="G7" s="6">
        <f>IF(F7="Paid","",MAX(0,$B$1-D7))</f>
        <v/>
      </c>
      <c r="H7" s="6">
        <f>IF(F7="Paid","Paid",IF(D7&lt;=$B$1,"Overdue","Outstanding"))</f>
        <v/>
      </c>
    </row>
    <row r="8">
      <c r="A8" s="6" t="inlineStr">
        <is>
          <t>INV-26005</t>
        </is>
      </c>
      <c r="B8" s="6" t="inlineStr">
        <is>
          <t>Epsilon LLC</t>
        </is>
      </c>
      <c r="C8" s="5" t="n">
        <v>46203</v>
      </c>
      <c r="D8" s="5" t="n">
        <v>46233</v>
      </c>
      <c r="E8" s="7" t="n">
        <v>47000</v>
      </c>
      <c r="F8" s="6" t="inlineStr">
        <is>
          <t>Paid</t>
        </is>
      </c>
      <c r="G8" s="6">
        <f>IF(F8="Paid","",MAX(0,$B$1-D8))</f>
        <v/>
      </c>
      <c r="H8" s="6">
        <f>IF(F8="Paid","Paid",IF(D8&lt;=$B$1,"Overdue","Outstanding"))</f>
        <v/>
      </c>
    </row>
    <row r="9">
      <c r="A9" s="6" t="inlineStr">
        <is>
          <t>INV-26006</t>
        </is>
      </c>
      <c r="B9" s="6" t="inlineStr">
        <is>
          <t>Acme Corp</t>
        </is>
      </c>
      <c r="C9" s="5" t="n">
        <v>46210</v>
      </c>
      <c r="D9" s="5" t="n">
        <v>46240</v>
      </c>
      <c r="E9" s="7" t="n">
        <v>39000</v>
      </c>
      <c r="F9" s="6" t="inlineStr">
        <is>
          <t>Paid</t>
        </is>
      </c>
      <c r="G9" s="6">
        <f>IF(F9="Paid","",MAX(0,$B$1-D9))</f>
        <v/>
      </c>
      <c r="H9" s="6">
        <f>IF(F9="Paid","Paid",IF(D9&lt;=$B$1,"Overdue","Outstanding"))</f>
        <v/>
      </c>
    </row>
    <row r="10">
      <c r="A10" s="6" t="inlineStr">
        <is>
          <t>INV-26007</t>
        </is>
      </c>
      <c r="B10" s="6" t="inlineStr">
        <is>
          <t>Beta Ltd</t>
        </is>
      </c>
      <c r="C10" s="5" t="n">
        <v>46217</v>
      </c>
      <c r="D10" s="5" t="n">
        <v>46247</v>
      </c>
      <c r="E10" s="7" t="n">
        <v>55000</v>
      </c>
      <c r="F10" s="6" t="inlineStr">
        <is>
          <t>Paid</t>
        </is>
      </c>
      <c r="G10" s="6">
        <f>IF(F10="Paid","",MAX(0,$B$1-D10))</f>
        <v/>
      </c>
      <c r="H10" s="6">
        <f>IF(F10="Paid","Paid",IF(D10&lt;=$B$1,"Overdue","Outstanding"))</f>
        <v/>
      </c>
    </row>
    <row r="11">
      <c r="A11" s="6" t="inlineStr">
        <is>
          <t>INV-26008</t>
        </is>
      </c>
      <c r="B11" s="6" t="inlineStr">
        <is>
          <t>Gamma Inc</t>
        </is>
      </c>
      <c r="C11" s="5" t="n">
        <v>46224</v>
      </c>
      <c r="D11" s="5" t="n">
        <v>46254</v>
      </c>
      <c r="E11" s="7" t="n">
        <v>26000</v>
      </c>
      <c r="F11" s="6" t="inlineStr">
        <is>
          <t>Paid</t>
        </is>
      </c>
      <c r="G11" s="6">
        <f>IF(F11="Paid","",MAX(0,$B$1-D11))</f>
        <v/>
      </c>
      <c r="H11" s="6">
        <f>IF(F11="Paid","Paid",IF(D11&lt;=$B$1,"Overdue","Outstanding"))</f>
        <v/>
      </c>
    </row>
    <row r="12">
      <c r="A12" s="6" t="inlineStr">
        <is>
          <t>INV-26009</t>
        </is>
      </c>
      <c r="B12" s="6" t="inlineStr">
        <is>
          <t>Delta Co</t>
        </is>
      </c>
      <c r="C12" s="5" t="n">
        <v>46231</v>
      </c>
      <c r="D12" s="5" t="n">
        <v>46261</v>
      </c>
      <c r="E12" s="7" t="n">
        <v>61000</v>
      </c>
      <c r="F12" s="6" t="inlineStr">
        <is>
          <t>Paid</t>
        </is>
      </c>
      <c r="G12" s="6">
        <f>IF(F12="Paid","",MAX(0,$B$1-D12))</f>
        <v/>
      </c>
      <c r="H12" s="6">
        <f>IF(F12="Paid","Paid",IF(D12&lt;=$B$1,"Overdue","Outstanding"))</f>
        <v/>
      </c>
    </row>
    <row r="13">
      <c r="A13" s="6" t="inlineStr">
        <is>
          <t>INV-26010</t>
        </is>
      </c>
      <c r="B13" s="6" t="inlineStr">
        <is>
          <t>Epsilon LLC</t>
        </is>
      </c>
      <c r="C13" s="5" t="n">
        <v>46238</v>
      </c>
      <c r="D13" s="5" t="n">
        <v>46268</v>
      </c>
      <c r="E13" s="7" t="n">
        <v>33000</v>
      </c>
      <c r="F13" s="6" t="inlineStr">
        <is>
          <t>Paid</t>
        </is>
      </c>
      <c r="G13" s="6">
        <f>IF(F13="Paid","",MAX(0,$B$1-D13))</f>
        <v/>
      </c>
      <c r="H13" s="6">
        <f>IF(F13="Paid","Paid",IF(D13&lt;=$B$1,"Overdue","Outstanding"))</f>
        <v/>
      </c>
    </row>
    <row r="14">
      <c r="A14" s="6" t="inlineStr">
        <is>
          <t>INV-26011</t>
        </is>
      </c>
      <c r="B14" s="6" t="inlineStr">
        <is>
          <t>Acme Corp</t>
        </is>
      </c>
      <c r="C14" s="5" t="n">
        <v>46245</v>
      </c>
      <c r="D14" s="5" t="n">
        <v>46275</v>
      </c>
      <c r="E14" s="7" t="n">
        <v>48000</v>
      </c>
      <c r="F14" s="6" t="inlineStr">
        <is>
          <t>Paid</t>
        </is>
      </c>
      <c r="G14" s="6">
        <f>IF(F14="Paid","",MAX(0,$B$1-D14))</f>
        <v/>
      </c>
      <c r="H14" s="6">
        <f>IF(F14="Paid","Paid",IF(D14&lt;=$B$1,"Overdue","Outstanding"))</f>
        <v/>
      </c>
    </row>
    <row r="15">
      <c r="A15" s="6" t="inlineStr">
        <is>
          <t>INV-26012</t>
        </is>
      </c>
      <c r="B15" s="6" t="inlineStr">
        <is>
          <t>Beta Ltd</t>
        </is>
      </c>
      <c r="C15" s="5" t="n">
        <v>46252</v>
      </c>
      <c r="D15" s="5" t="n">
        <v>46282</v>
      </c>
      <c r="E15" s="7" t="n">
        <v>29000</v>
      </c>
      <c r="F15" s="6" t="inlineStr">
        <is>
          <t>Paid</t>
        </is>
      </c>
      <c r="G15" s="6">
        <f>IF(F15="Paid","",MAX(0,$B$1-D15))</f>
        <v/>
      </c>
      <c r="H15" s="6">
        <f>IF(F15="Paid","Paid",IF(D15&lt;=$B$1,"Overdue","Outstanding"))</f>
        <v/>
      </c>
    </row>
    <row r="16">
      <c r="A16" s="6" t="inlineStr">
        <is>
          <t>INV-26013</t>
        </is>
      </c>
      <c r="B16" s="6" t="inlineStr">
        <is>
          <t>Gamma Inc</t>
        </is>
      </c>
      <c r="C16" s="5" t="n">
        <v>46259</v>
      </c>
      <c r="D16" s="5" t="n">
        <v>46289</v>
      </c>
      <c r="E16" s="7" t="n">
        <v>57000</v>
      </c>
      <c r="F16" s="6" t="inlineStr">
        <is>
          <t>Paid</t>
        </is>
      </c>
      <c r="G16" s="6">
        <f>IF(F16="Paid","",MAX(0,$B$1-D16))</f>
        <v/>
      </c>
      <c r="H16" s="6">
        <f>IF(F16="Paid","Paid",IF(D16&lt;=$B$1,"Overdue","Outstanding"))</f>
        <v/>
      </c>
    </row>
    <row r="17">
      <c r="A17" s="6" t="inlineStr">
        <is>
          <t>INV-26014</t>
        </is>
      </c>
      <c r="B17" s="6" t="inlineStr">
        <is>
          <t>Delta Co</t>
        </is>
      </c>
      <c r="C17" s="5" t="n">
        <v>46250</v>
      </c>
      <c r="D17" s="5" t="n">
        <v>46280</v>
      </c>
      <c r="E17" s="7" t="n">
        <v>34000</v>
      </c>
      <c r="F17" s="6" t="inlineStr">
        <is>
          <t>Unpaid</t>
        </is>
      </c>
      <c r="G17" s="6">
        <f>IF(F17="Paid","",MAX(0,$B$1-D17))</f>
        <v/>
      </c>
      <c r="H17" s="6">
        <f>IF(F17="Paid","Paid",IF(D17&lt;=$B$1,"Overdue","Outstanding"))</f>
        <v/>
      </c>
    </row>
    <row r="18">
      <c r="A18" s="6" t="inlineStr">
        <is>
          <t>INV-26015</t>
        </is>
      </c>
      <c r="B18" s="6" t="inlineStr">
        <is>
          <t>Epsilon LLC</t>
        </is>
      </c>
      <c r="C18" s="5" t="n">
        <v>46255</v>
      </c>
      <c r="D18" s="5" t="n">
        <v>46285</v>
      </c>
      <c r="E18" s="7" t="n">
        <v>42000</v>
      </c>
      <c r="F18" s="6" t="inlineStr">
        <is>
          <t>Unpaid</t>
        </is>
      </c>
      <c r="G18" s="6">
        <f>IF(F18="Paid","",MAX(0,$B$1-D18))</f>
        <v/>
      </c>
      <c r="H18" s="6">
        <f>IF(F18="Paid","Paid",IF(D18&lt;=$B$1,"Overdue","Outstanding"))</f>
        <v/>
      </c>
    </row>
    <row r="19">
      <c r="A19" s="6" t="inlineStr">
        <is>
          <t>INV-26016</t>
        </is>
      </c>
      <c r="B19" s="6" t="inlineStr">
        <is>
          <t>Acme Corp</t>
        </is>
      </c>
      <c r="C19" s="5" t="n">
        <v>46263</v>
      </c>
      <c r="D19" s="5" t="n">
        <v>46293</v>
      </c>
      <c r="E19" s="7" t="n">
        <v>51000</v>
      </c>
      <c r="F19" s="6" t="inlineStr">
        <is>
          <t>Unpaid</t>
        </is>
      </c>
      <c r="G19" s="6">
        <f>IF(F19="Paid","",MAX(0,$B$1-D19))</f>
        <v/>
      </c>
      <c r="H19" s="6">
        <f>IF(F19="Paid","Paid",IF(D19&lt;=$B$1,"Overdue","Outstanding"))</f>
        <v/>
      </c>
    </row>
    <row r="20">
      <c r="A20" s="6" t="inlineStr">
        <is>
          <t>INV-26017</t>
        </is>
      </c>
      <c r="B20" s="6" t="inlineStr">
        <is>
          <t>Beta Ltd</t>
        </is>
      </c>
      <c r="C20" s="5" t="n">
        <v>46285</v>
      </c>
      <c r="D20" s="5" t="n">
        <v>46315</v>
      </c>
      <c r="E20" s="7" t="n">
        <v>36000</v>
      </c>
      <c r="F20" s="6" t="inlineStr">
        <is>
          <t>Unpaid</t>
        </is>
      </c>
      <c r="G20" s="6">
        <f>IF(F20="Paid","",MAX(0,$B$1-D20))</f>
        <v/>
      </c>
      <c r="H20" s="6">
        <f>IF(F20="Paid","Paid",IF(D20&lt;=$B$1,"Overdue","Outstanding"))</f>
        <v/>
      </c>
    </row>
    <row r="21">
      <c r="A21" s="6" t="inlineStr">
        <is>
          <t>INV-26018</t>
        </is>
      </c>
      <c r="B21" s="6" t="inlineStr">
        <is>
          <t>Gamma Inc</t>
        </is>
      </c>
      <c r="C21" s="5" t="n">
        <v>46290</v>
      </c>
      <c r="D21" s="5" t="n">
        <v>46320</v>
      </c>
      <c r="E21" s="7" t="n">
        <v>44000</v>
      </c>
      <c r="F21" s="6" t="inlineStr">
        <is>
          <t>Unpaid</t>
        </is>
      </c>
      <c r="G21" s="6">
        <f>IF(F21="Paid","",MAX(0,$B$1-D21))</f>
        <v/>
      </c>
      <c r="H21" s="6">
        <f>IF(F21="Paid","Paid",IF(D21&lt;=$B$1,"Overdue","Outstanding"))</f>
        <v/>
      </c>
    </row>
    <row r="22">
      <c r="A22" s="6" t="inlineStr">
        <is>
          <t>INV-26019</t>
        </is>
      </c>
      <c r="B22" s="6" t="inlineStr">
        <is>
          <t>Delta Co</t>
        </is>
      </c>
      <c r="C22" s="5" t="n">
        <v>46300</v>
      </c>
      <c r="D22" s="5" t="n">
        <v>46330</v>
      </c>
      <c r="E22" s="7" t="n">
        <v>38000</v>
      </c>
      <c r="F22" s="6" t="inlineStr">
        <is>
          <t>Unpaid</t>
        </is>
      </c>
      <c r="G22" s="6">
        <f>IF(F22="Paid","",MAX(0,$B$1-D22))</f>
        <v/>
      </c>
      <c r="H22" s="6">
        <f>IF(F22="Paid","Paid",IF(D22&lt;=$B$1,"Overdue","Outstanding"))</f>
        <v/>
      </c>
    </row>
    <row r="23">
      <c r="A23" s="6" t="inlineStr">
        <is>
          <t>INV-26020</t>
        </is>
      </c>
      <c r="B23" s="6" t="inlineStr">
        <is>
          <t>Epsilon LLC</t>
        </is>
      </c>
      <c r="C23" s="5" t="n">
        <v>46266</v>
      </c>
      <c r="D23" s="5" t="n">
        <v>46296</v>
      </c>
      <c r="E23" s="7" t="n">
        <v>46000</v>
      </c>
      <c r="F23" s="6" t="inlineStr">
        <is>
          <t>Paid</t>
        </is>
      </c>
      <c r="G23" s="6">
        <f>IF(F23="Paid","",MAX(0,$B$1-D23))</f>
        <v/>
      </c>
      <c r="H23" s="6">
        <f>IF(F23="Paid","Paid",IF(D23&lt;=$B$1,"Overdue","Outstanding"))</f>
        <v/>
      </c>
    </row>
  </sheetData>
  <autoFilter ref="A3:H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</cols>
  <sheetData>
    <row r="1">
      <c r="A1" s="1" t="inlineStr">
        <is>
          <t>Deductible expenses by tax category (live from Transactions)</t>
        </is>
      </c>
    </row>
    <row r="2">
      <c r="A2" s="2" t="inlineStr">
        <is>
          <t>Tax Category</t>
        </is>
      </c>
      <c r="B2" s="2" t="inlineStr">
        <is>
          <t>Deductible Total</t>
        </is>
      </c>
      <c r="C2" s="2" t="inlineStr">
        <is>
          <t>Transactions</t>
        </is>
      </c>
    </row>
    <row r="3">
      <c r="A3" s="6" t="inlineStr">
        <is>
          <t>Advertising</t>
        </is>
      </c>
      <c r="B3" s="7">
        <f>SUMIFS(Transactions!$E:$E,Transactions!$G:$G,$A3,Transactions!$B:$B,"Expense")</f>
        <v/>
      </c>
      <c r="C3" s="6">
        <f>COUNTIFS(Transactions!$G:$G,$A3,Transactions!$B:$B,"Expense")</f>
        <v/>
      </c>
    </row>
    <row r="4">
      <c r="A4" s="6" t="inlineStr">
        <is>
          <t>Insurance</t>
        </is>
      </c>
      <c r="B4" s="7">
        <f>SUMIFS(Transactions!$E:$E,Transactions!$G:$G,$A4,Transactions!$B:$B,"Expense")</f>
        <v/>
      </c>
      <c r="C4" s="6">
        <f>COUNTIFS(Transactions!$G:$G,$A4,Transactions!$B:$B,"Expense")</f>
        <v/>
      </c>
    </row>
    <row r="5">
      <c r="A5" s="6" t="inlineStr">
        <is>
          <t>Office</t>
        </is>
      </c>
      <c r="B5" s="7">
        <f>SUMIFS(Transactions!$E:$E,Transactions!$G:$G,$A5,Transactions!$B:$B,"Expense")</f>
        <v/>
      </c>
      <c r="C5" s="6">
        <f>COUNTIFS(Transactions!$G:$G,$A5,Transactions!$B:$B,"Expense")</f>
        <v/>
      </c>
    </row>
    <row r="6">
      <c r="A6" s="6" t="inlineStr">
        <is>
          <t>Payroll</t>
        </is>
      </c>
      <c r="B6" s="7">
        <f>SUMIFS(Transactions!$E:$E,Transactions!$G:$G,$A6,Transactions!$B:$B,"Expense")</f>
        <v/>
      </c>
      <c r="C6" s="6">
        <f>COUNTIFS(Transactions!$G:$G,$A6,Transactions!$B:$B,"Expense")</f>
        <v/>
      </c>
    </row>
    <row r="7">
      <c r="A7" s="6" t="inlineStr">
        <is>
          <t>Professional Services</t>
        </is>
      </c>
      <c r="B7" s="7">
        <f>SUMIFS(Transactions!$E:$E,Transactions!$G:$G,$A7,Transactions!$B:$B,"Expense")</f>
        <v/>
      </c>
      <c r="C7" s="6">
        <f>COUNTIFS(Transactions!$G:$G,$A7,Transactions!$B:$B,"Expense")</f>
        <v/>
      </c>
    </row>
    <row r="8">
      <c r="A8" s="6" t="inlineStr">
        <is>
          <t>Technology</t>
        </is>
      </c>
      <c r="B8" s="7">
        <f>SUMIFS(Transactions!$E:$E,Transactions!$G:$G,$A8,Transactions!$B:$B,"Expense")</f>
        <v/>
      </c>
      <c r="C8" s="6">
        <f>COUNTIFS(Transactions!$G:$G,$A8,Transactions!$B:$B,"Expense")</f>
        <v/>
      </c>
    </row>
    <row r="9">
      <c r="A9" s="6" t="inlineStr">
        <is>
          <t>Travel</t>
        </is>
      </c>
      <c r="B9" s="7">
        <f>SUMIFS(Transactions!$E:$E,Transactions!$G:$G,$A9,Transactions!$B:$B,"Expense")</f>
        <v/>
      </c>
      <c r="C9" s="6">
        <f>COUNTIFS(Transactions!$G:$G,$A9,Transactions!$B:$B,"Expense")</f>
        <v/>
      </c>
    </row>
    <row r="10">
      <c r="A10" s="9" t="inlineStr">
        <is>
          <t>TOTAL</t>
        </is>
      </c>
      <c r="B10" s="10">
        <f>SUM(B3:B9)</f>
        <v/>
      </c>
      <c r="C10" s="9">
        <f>SUM(C3:C9)</f>
        <v/>
      </c>
    </row>
    <row r="19">
      <c r="A19" s="12" t="inlineStr">
        <is>
          <t>Expense category -&gt; tax category mapping</t>
        </is>
      </c>
    </row>
    <row r="20">
      <c r="A20" t="inlineStr">
        <is>
          <t>Expense Category</t>
        </is>
      </c>
      <c r="B20" t="inlineStr">
        <is>
          <t>Tax Category</t>
        </is>
      </c>
    </row>
    <row r="21">
      <c r="A21" t="inlineStr">
        <is>
          <t>Insurance</t>
        </is>
      </c>
      <c r="B21" t="inlineStr">
        <is>
          <t>Insurance</t>
        </is>
      </c>
    </row>
    <row r="22">
      <c r="A22" t="inlineStr">
        <is>
          <t>Marketing</t>
        </is>
      </c>
      <c r="B22" t="inlineStr">
        <is>
          <t>Advertising</t>
        </is>
      </c>
    </row>
    <row r="23">
      <c r="A23" t="inlineStr">
        <is>
          <t>Office Supplies</t>
        </is>
      </c>
      <c r="B23" t="inlineStr">
        <is>
          <t>Office</t>
        </is>
      </c>
    </row>
    <row r="24">
      <c r="A24" t="inlineStr">
        <is>
          <t>Professional Fees</t>
        </is>
      </c>
      <c r="B24" t="inlineStr">
        <is>
          <t>Professional Services</t>
        </is>
      </c>
    </row>
    <row r="25">
      <c r="A25" t="inlineStr">
        <is>
          <t>Rent</t>
        </is>
      </c>
      <c r="B25" t="inlineStr">
        <is>
          <t>Office</t>
        </is>
      </c>
    </row>
    <row r="26">
      <c r="A26" t="inlineStr">
        <is>
          <t>Salaries</t>
        </is>
      </c>
      <c r="B26" t="inlineStr">
        <is>
          <t>Payroll</t>
        </is>
      </c>
    </row>
    <row r="27">
      <c r="A27" t="inlineStr">
        <is>
          <t>Software</t>
        </is>
      </c>
      <c r="B27" t="inlineStr">
        <is>
          <t>Technology</t>
        </is>
      </c>
    </row>
    <row r="28">
      <c r="A28" t="inlineStr">
        <is>
          <t>Travel</t>
        </is>
      </c>
      <c r="B28" t="inlineStr">
        <is>
          <t>Travel</t>
        </is>
      </c>
    </row>
    <row r="29">
      <c r="A29" t="inlineStr">
        <is>
          <t>Utilities</t>
        </is>
      </c>
      <c r="B29" t="inlineStr">
        <is>
          <t>Office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</cols>
  <sheetData>
    <row r="1">
      <c r="A1" s="2" t="inlineStr">
        <is>
          <t>Month</t>
        </is>
      </c>
      <c r="B1" s="2" t="inlineStr">
        <is>
          <t>Income</t>
        </is>
      </c>
      <c r="C1" s="2" t="inlineStr">
        <is>
          <t>Expenses</t>
        </is>
      </c>
      <c r="D1" s="2" t="inlineStr">
        <is>
          <t>Cumulative Net</t>
        </is>
      </c>
    </row>
    <row r="2">
      <c r="A2" t="inlineStr">
        <is>
          <t>Jan-26</t>
        </is>
      </c>
      <c r="B2" s="14">
        <f>SUMIFS(Transactions!$E:$E,Transactions!$B:$B,"Income",Transactions!$F:$F,$A2)</f>
        <v/>
      </c>
      <c r="C2" s="14">
        <f>SUMIFS(Transactions!$E:$E,Transactions!$B:$B,"Expense",Transactions!$F:$F,$A2)</f>
        <v/>
      </c>
      <c r="D2" s="14">
        <f>B2-C2</f>
        <v/>
      </c>
    </row>
    <row r="3">
      <c r="A3" t="inlineStr">
        <is>
          <t>Feb-26</t>
        </is>
      </c>
      <c r="B3" s="14">
        <f>SUMIFS(Transactions!$E:$E,Transactions!$B:$B,"Income",Transactions!$F:$F,$A3)</f>
        <v/>
      </c>
      <c r="C3" s="14">
        <f>SUMIFS(Transactions!$E:$E,Transactions!$B:$B,"Expense",Transactions!$F:$F,$A3)</f>
        <v/>
      </c>
      <c r="D3" s="14">
        <f>B3-C3+D2</f>
        <v/>
      </c>
    </row>
    <row r="4">
      <c r="A4" t="inlineStr">
        <is>
          <t>Mar-26</t>
        </is>
      </c>
      <c r="B4" s="14">
        <f>SUMIFS(Transactions!$E:$E,Transactions!$B:$B,"Income",Transactions!$F:$F,$A4)</f>
        <v/>
      </c>
      <c r="C4" s="14">
        <f>SUMIFS(Transactions!$E:$E,Transactions!$B:$B,"Expense",Transactions!$F:$F,$A4)</f>
        <v/>
      </c>
      <c r="D4" s="14">
        <f>B4-C4+D3</f>
        <v/>
      </c>
    </row>
    <row r="5">
      <c r="A5" t="inlineStr">
        <is>
          <t>Apr-26</t>
        </is>
      </c>
      <c r="B5" s="14">
        <f>SUMIFS(Transactions!$E:$E,Transactions!$B:$B,"Income",Transactions!$F:$F,$A5)</f>
        <v/>
      </c>
      <c r="C5" s="14">
        <f>SUMIFS(Transactions!$E:$E,Transactions!$B:$B,"Expense",Transactions!$F:$F,$A5)</f>
        <v/>
      </c>
      <c r="D5" s="14">
        <f>B5-C5+D4</f>
        <v/>
      </c>
    </row>
    <row r="6">
      <c r="A6" t="inlineStr">
        <is>
          <t>May-26</t>
        </is>
      </c>
      <c r="B6" s="14">
        <f>SUMIFS(Transactions!$E:$E,Transactions!$B:$B,"Income",Transactions!$F:$F,$A6)</f>
        <v/>
      </c>
      <c r="C6" s="14">
        <f>SUMIFS(Transactions!$E:$E,Transactions!$B:$B,"Expense",Transactions!$F:$F,$A6)</f>
        <v/>
      </c>
      <c r="D6" s="14">
        <f>B6-C6+D5</f>
        <v/>
      </c>
    </row>
    <row r="7">
      <c r="A7" t="inlineStr">
        <is>
          <t>Jun-26</t>
        </is>
      </c>
      <c r="B7" s="14">
        <f>SUMIFS(Transactions!$E:$E,Transactions!$B:$B,"Income",Transactions!$F:$F,$A7)</f>
        <v/>
      </c>
      <c r="C7" s="14">
        <f>SUMIFS(Transactions!$E:$E,Transactions!$B:$B,"Expense",Transactions!$F:$F,$A7)</f>
        <v/>
      </c>
      <c r="D7" s="14">
        <f>B7-C7+D6</f>
        <v/>
      </c>
    </row>
    <row r="8">
      <c r="A8" t="inlineStr">
        <is>
          <t>Jul-26</t>
        </is>
      </c>
      <c r="B8" s="14">
        <f>SUMIFS(Transactions!$E:$E,Transactions!$B:$B,"Income",Transactions!$F:$F,$A8)</f>
        <v/>
      </c>
      <c r="C8" s="14">
        <f>SUMIFS(Transactions!$E:$E,Transactions!$B:$B,"Expense",Transactions!$F:$F,$A8)</f>
        <v/>
      </c>
      <c r="D8" s="14">
        <f>B8-C8+D7</f>
        <v/>
      </c>
    </row>
    <row r="9">
      <c r="A9" t="inlineStr">
        <is>
          <t>Aug-26</t>
        </is>
      </c>
      <c r="B9" s="14">
        <f>SUMIFS(Transactions!$E:$E,Transactions!$B:$B,"Income",Transactions!$F:$F,$A9)</f>
        <v/>
      </c>
      <c r="C9" s="14">
        <f>SUMIFS(Transactions!$E:$E,Transactions!$B:$B,"Expense",Transactions!$F:$F,$A9)</f>
        <v/>
      </c>
      <c r="D9" s="14">
        <f>B9-C9+D8</f>
        <v/>
      </c>
    </row>
    <row r="10">
      <c r="A10" t="inlineStr">
        <is>
          <t>Sep-26</t>
        </is>
      </c>
      <c r="B10" s="14">
        <f>SUMIFS(Transactions!$E:$E,Transactions!$B:$B,"Income",Transactions!$F:$F,$A10)</f>
        <v/>
      </c>
      <c r="C10" s="14">
        <f>SUMIFS(Transactions!$E:$E,Transactions!$B:$B,"Expense",Transactions!$F:$F,$A10)</f>
        <v/>
      </c>
      <c r="D10" s="14">
        <f>B10-C10+D9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2026-10-09T02:29:05+00:00Z</dcterms:created>
  <dcterms:modified xmlns:dcterms="http://purl.org/dc/terms/" xmlns:xsi="http://www.w3.org/2001/XMLSchema-instance" xsi:type="dcterms:W3CDTF">2026-10-09T02:29:05+00:00Z</dcterms:modified>
</cp:coreProperties>
</file>