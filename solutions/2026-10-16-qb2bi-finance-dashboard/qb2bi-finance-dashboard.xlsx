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w_Journals" sheetId="2" state="visible" r:id="rId2"/>
    <sheet xmlns:r="http://schemas.openxmlformats.org/officeDocument/2006/relationships" name="TrialBalance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BalanceSheet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AI_Report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2"/>
    </font>
    <font>
      <b val="1"/>
      <color rgb="00FFFFFF"/>
      <sz val="11"/>
    </font>
    <font>
      <b val="1"/>
    </font>
    <font>
      <b val="1"/>
      <color rgb="001F4E78"/>
    </font>
    <font>
      <color rgb="00FFFFFF"/>
    </font>
    <font>
      <b val="1"/>
      <color rgb="00595959"/>
      <sz val="10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3" borderId="1" pivotButton="0" quotePrefix="0" xfId="0"/>
    <xf numFmtId="3" fontId="8" fillId="3" borderId="1" pivotButton="0" quotePrefix="0" xfId="0"/>
    <xf numFmtId="166" fontId="8" fillId="3" borderId="1" pivotButton="0" quotePrefix="0" xfId="0"/>
    <xf numFmtId="2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Net Profit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'PL'!$B$4:$S$4</f>
            </numRef>
          </val>
        </ser>
        <ser>
          <idx val="1"/>
          <order val="1"/>
          <tx>
            <v>Net Profit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'PL'!$B$16:$S$16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Expense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'PL'!$A$7:$A$14</f>
            </numRef>
          </cat>
          <val>
            <numRef>
              <f>'PL'!$T$7:$T$14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Sheet: Mar-26 vs Sep-26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Assets</v>
          </tx>
          <spPr>
            <a:ln xmlns:a="http://schemas.openxmlformats.org/drawingml/2006/main">
              <a:prstDash val="solid"/>
            </a:ln>
          </spPr>
          <cat>
            <numRef>
              <f>'BalanceSheet'!$B$2:$C$2</f>
            </numRef>
          </cat>
          <val>
            <numRef>
              <f>'BalanceSheet'!$B$9:$C$9</f>
            </numRef>
          </val>
        </ser>
        <ser>
          <idx val="1"/>
          <order val="1"/>
          <tx>
            <v>Total Liabilities</v>
          </tx>
          <spPr>
            <a:ln xmlns:a="http://schemas.openxmlformats.org/drawingml/2006/main">
              <a:prstDash val="solid"/>
            </a:ln>
          </spPr>
          <cat>
            <numRef>
              <f>'BalanceSheet'!$B$2:$C$2</f>
            </numRef>
          </cat>
          <val>
            <numRef>
              <f>'BalanceSheet'!$B$14:$C$14</f>
            </numRef>
          </val>
        </ser>
        <ser>
          <idx val="2"/>
          <order val="2"/>
          <tx>
            <v>Total Equity</v>
          </tx>
          <spPr>
            <a:ln xmlns:a="http://schemas.openxmlformats.org/drawingml/2006/main">
              <a:prstDash val="solid"/>
            </a:ln>
          </spPr>
          <cat>
            <numRef>
              <f>'BalanceSheet'!$B$2:$C$2</f>
            </numRef>
          </cat>
          <val>
            <numRef>
              <f>'BalanceSheet'!$B$19:$C$19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QB2BI — QuickBooks data → Relational DB → Live Financial Reports</t>
        </is>
      </c>
    </row>
    <row r="3">
      <c r="A3" s="2" t="inlineStr">
        <is>
          <t>What this is</t>
        </is>
      </c>
    </row>
    <row r="4" ht="52" customHeight="1">
      <c r="A4" s="3" t="inlineStr">
        <is>
          <t>A working demo of the 'QuickBooks Data Integration for PowerBI' gig pattern: QuickBooks-style double-entry journals are normalised into a relational SQLite database, and this workbook renders trial balance, P&amp;L, balance sheet, dashboard and integrity checks as LIVE Excel formulas over the raw journals — the same architecture a Power BI model would use, in a file any finance team can open.</t>
        </is>
      </c>
    </row>
    <row r="5">
      <c r="A5" s="2" t="inlineStr">
        <is>
          <t>The pipeline</t>
        </is>
      </c>
    </row>
    <row r="6" ht="52" customHeight="1">
      <c r="A6" s="3" t="inlineStr">
        <is>
          <t>1. generate.py      → synthesises 18 months of double-entry journals (data/*.csv)
2. build_db.py      → loads them into qb2bi.sqlite (accounts + journal_lines)
3. build_workbook.py→ renders this workbook; every summary cell is a SUMIFS formula
4. tests/test_build.py → pytest suite incl. LibreOffice headless recalc vs Python ground truth</t>
        </is>
      </c>
    </row>
    <row r="7">
      <c r="A7" s="2" t="inlineStr">
        <is>
          <t>How to run</t>
        </is>
      </c>
    </row>
    <row r="8" ht="52" customHeight="1">
      <c r="A8" s="3" t="inlineStr">
        <is>
          <t>python3 generate.py &amp;&amp; python3 build_db.py &amp;&amp; python3 build_workbook.py &amp;&amp; pytest -q</t>
        </is>
      </c>
    </row>
    <row r="9">
      <c r="A9" s="2" t="inlineStr">
        <is>
          <t>Sheet map</t>
        </is>
      </c>
    </row>
    <row r="10" ht="52" customHeight="1">
      <c r="A10" s="3" t="inlineStr">
        <is>
          <t>Raw_Journals  every journal line + Period helper (formula)
TrialBalance  per-account totals via SUMIFS
PL            monthly P&amp;L Apr-25..Sep-26 + YTD
BalanceSheet  as of Mar-26 and Sep-26, with balance check
Dashboard     9 KPI cards + 3 native charts (all formula-driven)
AI_Report     rule-based management narrative
Checks        8 automated integrity checks → all should read PASS</t>
        </is>
      </c>
    </row>
    <row r="11">
      <c r="A11" s="2" t="inlineStr">
        <is>
          <t>Data note</t>
        </is>
      </c>
    </row>
    <row r="12" ht="52" customHeight="1">
      <c r="A12" s="3" t="inlineStr">
        <is>
          <t>All figures are synthetic and fictional (seeded random), for demo purposes only.</t>
        </is>
      </c>
    </row>
  </sheetData>
  <mergeCells count="10">
    <mergeCell ref="A9:H9"/>
    <mergeCell ref="A4:H4"/>
    <mergeCell ref="A12:H12"/>
    <mergeCell ref="A3:H3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9" customWidth="1" min="4" max="4"/>
    <col width="24" customWidth="1" min="5" max="5"/>
    <col width="13" customWidth="1" min="6" max="6"/>
    <col width="13" customWidth="1" min="7" max="7"/>
    <col width="30" customWidth="1" min="8" max="8"/>
    <col width="22" customWidth="1" min="9" max="9"/>
    <col width="9" customWidth="1" min="10" max="10"/>
  </cols>
  <sheetData>
    <row r="1">
      <c r="A1" s="4" t="inlineStr">
        <is>
          <t>Date</t>
        </is>
      </c>
      <c r="B1" s="4" t="inlineStr">
        <is>
          <t>Journal</t>
        </is>
      </c>
      <c r="C1" s="4" t="inlineStr">
        <is>
          <t>Line</t>
        </is>
      </c>
      <c r="D1" s="4" t="inlineStr">
        <is>
          <t>Acct No</t>
        </is>
      </c>
      <c r="E1" s="4" t="inlineStr">
        <is>
          <t>Account</t>
        </is>
      </c>
      <c r="F1" s="4" t="inlineStr">
        <is>
          <t>Debit (₹)</t>
        </is>
      </c>
      <c r="G1" s="4" t="inlineStr">
        <is>
          <t>Credit (₹)</t>
        </is>
      </c>
      <c r="H1" s="4" t="inlineStr">
        <is>
          <t>Memo</t>
        </is>
      </c>
      <c r="I1" s="4" t="inlineStr">
        <is>
          <t>Party</t>
        </is>
      </c>
      <c r="J1" s="4" t="inlineStr">
        <is>
          <t>Period</t>
        </is>
      </c>
    </row>
    <row r="2">
      <c r="A2" s="5" t="n">
        <v>45748</v>
      </c>
      <c r="B2" t="inlineStr">
        <is>
          <t>J-0001</t>
        </is>
      </c>
      <c r="C2" t="n">
        <v>1</v>
      </c>
      <c r="D2" t="inlineStr">
        <is>
          <t>1000</t>
        </is>
      </c>
      <c r="E2" t="inlineStr">
        <is>
          <t>Cash &amp; Bank</t>
        </is>
      </c>
      <c r="F2" s="6" t="n">
        <v>800000</v>
      </c>
      <c r="G2" s="6" t="n">
        <v>0</v>
      </c>
      <c r="H2" t="inlineStr">
        <is>
          <t>Opening balances 01-Apr-2025</t>
        </is>
      </c>
      <c r="I2" t="inlineStr"/>
      <c r="J2">
        <f>YEAR(A2)*12+MONTH(A2)</f>
        <v/>
      </c>
    </row>
    <row r="3">
      <c r="A3" s="5" t="n">
        <v>45748</v>
      </c>
      <c r="B3" t="inlineStr">
        <is>
          <t>J-0001</t>
        </is>
      </c>
      <c r="C3" t="n">
        <v>2</v>
      </c>
      <c r="D3" t="inlineStr">
        <is>
          <t>1100</t>
        </is>
      </c>
      <c r="E3" t="inlineStr">
        <is>
          <t>Accounts Receivable</t>
        </is>
      </c>
      <c r="F3" s="6" t="n">
        <v>1200000</v>
      </c>
      <c r="G3" s="6" t="n">
        <v>0</v>
      </c>
      <c r="H3" t="inlineStr">
        <is>
          <t>Opening balances 01-Apr-2025</t>
        </is>
      </c>
      <c r="I3" t="inlineStr"/>
      <c r="J3">
        <f>YEAR(A3)*12+MONTH(A3)</f>
        <v/>
      </c>
    </row>
    <row r="4">
      <c r="A4" s="5" t="n">
        <v>45748</v>
      </c>
      <c r="B4" t="inlineStr">
        <is>
          <t>J-0001</t>
        </is>
      </c>
      <c r="C4" t="n">
        <v>3</v>
      </c>
      <c r="D4" t="inlineStr">
        <is>
          <t>1200</t>
        </is>
      </c>
      <c r="E4" t="inlineStr">
        <is>
          <t>Inventory</t>
        </is>
      </c>
      <c r="F4" s="6" t="n">
        <v>1500000</v>
      </c>
      <c r="G4" s="6" t="n">
        <v>0</v>
      </c>
      <c r="H4" t="inlineStr">
        <is>
          <t>Opening balances 01-Apr-2025</t>
        </is>
      </c>
      <c r="I4" t="inlineStr"/>
      <c r="J4">
        <f>YEAR(A4)*12+MONTH(A4)</f>
        <v/>
      </c>
    </row>
    <row r="5">
      <c r="A5" s="5" t="n">
        <v>45748</v>
      </c>
      <c r="B5" t="inlineStr">
        <is>
          <t>J-0001</t>
        </is>
      </c>
      <c r="C5" t="n">
        <v>4</v>
      </c>
      <c r="D5" t="inlineStr">
        <is>
          <t>1500</t>
        </is>
      </c>
      <c r="E5" t="inlineStr">
        <is>
          <t>Equipment</t>
        </is>
      </c>
      <c r="F5" s="6" t="n">
        <v>1000000</v>
      </c>
      <c r="G5" s="6" t="n">
        <v>0</v>
      </c>
      <c r="H5" t="inlineStr">
        <is>
          <t>Opening balances 01-Apr-2025</t>
        </is>
      </c>
      <c r="I5" t="inlineStr"/>
      <c r="J5">
        <f>YEAR(A5)*12+MONTH(A5)</f>
        <v/>
      </c>
    </row>
    <row r="6">
      <c r="A6" s="5" t="n">
        <v>45748</v>
      </c>
      <c r="B6" t="inlineStr">
        <is>
          <t>J-0001</t>
        </is>
      </c>
      <c r="C6" t="n">
        <v>5</v>
      </c>
      <c r="D6" t="inlineStr">
        <is>
          <t>1510</t>
        </is>
      </c>
      <c r="E6" t="inlineStr">
        <is>
          <t>Accumulated Depreciation</t>
        </is>
      </c>
      <c r="F6" s="6" t="n">
        <v>0</v>
      </c>
      <c r="G6" s="6" t="n">
        <v>300000</v>
      </c>
      <c r="H6" t="inlineStr">
        <is>
          <t>Opening balances 01-Apr-2025</t>
        </is>
      </c>
      <c r="I6" t="inlineStr"/>
      <c r="J6">
        <f>YEAR(A6)*12+MONTH(A6)</f>
        <v/>
      </c>
    </row>
    <row r="7">
      <c r="A7" s="5" t="n">
        <v>45748</v>
      </c>
      <c r="B7" t="inlineStr">
        <is>
          <t>J-0001</t>
        </is>
      </c>
      <c r="C7" t="n">
        <v>6</v>
      </c>
      <c r="D7" t="inlineStr">
        <is>
          <t>2000</t>
        </is>
      </c>
      <c r="E7" t="inlineStr">
        <is>
          <t>Accounts Payable</t>
        </is>
      </c>
      <c r="F7" s="6" t="n">
        <v>0</v>
      </c>
      <c r="G7" s="6" t="n">
        <v>900000</v>
      </c>
      <c r="H7" t="inlineStr">
        <is>
          <t>Opening balances 01-Apr-2025</t>
        </is>
      </c>
      <c r="I7" t="inlineStr"/>
      <c r="J7">
        <f>YEAR(A7)*12+MONTH(A7)</f>
        <v/>
      </c>
    </row>
    <row r="8">
      <c r="A8" s="5" t="n">
        <v>45748</v>
      </c>
      <c r="B8" t="inlineStr">
        <is>
          <t>J-0001</t>
        </is>
      </c>
      <c r="C8" t="n">
        <v>7</v>
      </c>
      <c r="D8" t="inlineStr">
        <is>
          <t>3000</t>
        </is>
      </c>
      <c r="E8" t="inlineStr">
        <is>
          <t>Owner's Capital</t>
        </is>
      </c>
      <c r="F8" s="6" t="n">
        <v>0</v>
      </c>
      <c r="G8" s="6" t="n">
        <v>2500000</v>
      </c>
      <c r="H8" t="inlineStr">
        <is>
          <t>Opening balances 01-Apr-2025</t>
        </is>
      </c>
      <c r="I8" t="inlineStr"/>
      <c r="J8">
        <f>YEAR(A8)*12+MONTH(A8)</f>
        <v/>
      </c>
    </row>
    <row r="9">
      <c r="A9" s="5" t="n">
        <v>45748</v>
      </c>
      <c r="B9" t="inlineStr">
        <is>
          <t>J-0001</t>
        </is>
      </c>
      <c r="C9" t="n">
        <v>8</v>
      </c>
      <c r="D9" t="inlineStr">
        <is>
          <t>3100</t>
        </is>
      </c>
      <c r="E9" t="inlineStr">
        <is>
          <t>Retained Earnings</t>
        </is>
      </c>
      <c r="F9" s="6" t="n">
        <v>0</v>
      </c>
      <c r="G9" s="6" t="n">
        <v>800000</v>
      </c>
      <c r="H9" t="inlineStr">
        <is>
          <t>Opening balances 01-Apr-2025</t>
        </is>
      </c>
      <c r="I9" t="inlineStr"/>
      <c r="J9">
        <f>YEAR(A9)*12+MONTH(A9)</f>
        <v/>
      </c>
    </row>
    <row r="10">
      <c r="A10" s="5" t="n">
        <v>45750</v>
      </c>
      <c r="B10" t="inlineStr">
        <is>
          <t>J-0002</t>
        </is>
      </c>
      <c r="C10" t="n">
        <v>1</v>
      </c>
      <c r="D10" t="inlineStr">
        <is>
          <t>1000</t>
        </is>
      </c>
      <c r="E10" t="inlineStr">
        <is>
          <t>Cash &amp; Bank</t>
        </is>
      </c>
      <c r="F10" s="6" t="n">
        <v>2000000</v>
      </c>
      <c r="G10" s="6" t="n">
        <v>0</v>
      </c>
      <c r="H10" t="inlineStr">
        <is>
          <t>Term loan disbursed (HDFC)</t>
        </is>
      </c>
      <c r="I10" t="inlineStr"/>
      <c r="J10">
        <f>YEAR(A10)*12+MONTH(A10)</f>
        <v/>
      </c>
    </row>
    <row r="11">
      <c r="A11" s="5" t="n">
        <v>45750</v>
      </c>
      <c r="B11" t="inlineStr">
        <is>
          <t>J-0002</t>
        </is>
      </c>
      <c r="C11" t="n">
        <v>2</v>
      </c>
      <c r="D11" t="inlineStr">
        <is>
          <t>2200</t>
        </is>
      </c>
      <c r="E11" t="inlineStr">
        <is>
          <t>Term Loan</t>
        </is>
      </c>
      <c r="F11" s="6" t="n">
        <v>0</v>
      </c>
      <c r="G11" s="6" t="n">
        <v>2000000</v>
      </c>
      <c r="H11" t="inlineStr">
        <is>
          <t>Term loan disbursed (HDFC)</t>
        </is>
      </c>
      <c r="I11" t="inlineStr"/>
      <c r="J11">
        <f>YEAR(A11)*12+MONTH(A11)</f>
        <v/>
      </c>
    </row>
    <row r="12">
      <c r="A12" s="5" t="n">
        <v>45756</v>
      </c>
      <c r="B12" t="inlineStr">
        <is>
          <t>J-0003</t>
        </is>
      </c>
      <c r="C12" t="n">
        <v>1</v>
      </c>
      <c r="D12" t="inlineStr">
        <is>
          <t>1100</t>
        </is>
      </c>
      <c r="E12" t="inlineStr">
        <is>
          <t>Accounts Receivable</t>
        </is>
      </c>
      <c r="F12" s="6" t="n">
        <v>349494.76</v>
      </c>
      <c r="G12" s="6" t="n">
        <v>0</v>
      </c>
      <c r="H12" t="inlineStr">
        <is>
          <t>Sales invoice INV-202504-1</t>
        </is>
      </c>
      <c r="I12" t="inlineStr">
        <is>
          <t>Kumari Provision Store</t>
        </is>
      </c>
      <c r="J12">
        <f>YEAR(A12)*12+MONTH(A12)</f>
        <v/>
      </c>
    </row>
    <row r="13">
      <c r="A13" s="5" t="n">
        <v>45756</v>
      </c>
      <c r="B13" t="inlineStr">
        <is>
          <t>J-0003</t>
        </is>
      </c>
      <c r="C13" t="n">
        <v>2</v>
      </c>
      <c r="D13" t="inlineStr">
        <is>
          <t>4000</t>
        </is>
      </c>
      <c r="E13" t="inlineStr">
        <is>
          <t>Sales Revenue</t>
        </is>
      </c>
      <c r="F13" s="6" t="n">
        <v>0</v>
      </c>
      <c r="G13" s="6" t="n">
        <v>296182</v>
      </c>
      <c r="H13" t="inlineStr">
        <is>
          <t>Sales invoice INV-202504-1</t>
        </is>
      </c>
      <c r="I13" t="inlineStr">
        <is>
          <t>Kumari Provision Store</t>
        </is>
      </c>
      <c r="J13">
        <f>YEAR(A13)*12+MONTH(A13)</f>
        <v/>
      </c>
    </row>
    <row r="14">
      <c r="A14" s="5" t="n">
        <v>45756</v>
      </c>
      <c r="B14" t="inlineStr">
        <is>
          <t>J-0003</t>
        </is>
      </c>
      <c r="C14" t="n">
        <v>3</v>
      </c>
      <c r="D14" t="inlineStr">
        <is>
          <t>2100</t>
        </is>
      </c>
      <c r="E14" t="inlineStr">
        <is>
          <t>GST Payable</t>
        </is>
      </c>
      <c r="F14" s="6" t="n">
        <v>0</v>
      </c>
      <c r="G14" s="6" t="n">
        <v>53312.76</v>
      </c>
      <c r="H14" t="inlineStr">
        <is>
          <t>Sales invoice INV-202504-1</t>
        </is>
      </c>
      <c r="I14" t="inlineStr">
        <is>
          <t>GST</t>
        </is>
      </c>
      <c r="J14">
        <f>YEAR(A14)*12+MONTH(A14)</f>
        <v/>
      </c>
    </row>
    <row r="15">
      <c r="A15" s="5" t="n">
        <v>45770</v>
      </c>
      <c r="B15" t="inlineStr">
        <is>
          <t>J-0004</t>
        </is>
      </c>
      <c r="C15" t="n">
        <v>1</v>
      </c>
      <c r="D15" t="inlineStr">
        <is>
          <t>1100</t>
        </is>
      </c>
      <c r="E15" t="inlineStr">
        <is>
          <t>Accounts Receivable</t>
        </is>
      </c>
      <c r="F15" s="6" t="n">
        <v>417074.39</v>
      </c>
      <c r="G15" s="6" t="n">
        <v>0</v>
      </c>
      <c r="H15" t="inlineStr">
        <is>
          <t>Sales invoice INV-202504-2</t>
        </is>
      </c>
      <c r="I15" t="inlineStr">
        <is>
          <t>Verma Kirana Mart</t>
        </is>
      </c>
      <c r="J15">
        <f>YEAR(A15)*12+MONTH(A15)</f>
        <v/>
      </c>
    </row>
    <row r="16">
      <c r="A16" s="5" t="n">
        <v>45770</v>
      </c>
      <c r="B16" t="inlineStr">
        <is>
          <t>J-0004</t>
        </is>
      </c>
      <c r="C16" t="n">
        <v>2</v>
      </c>
      <c r="D16" t="inlineStr">
        <is>
          <t>4000</t>
        </is>
      </c>
      <c r="E16" t="inlineStr">
        <is>
          <t>Sales Revenue</t>
        </is>
      </c>
      <c r="F16" s="6" t="n">
        <v>0</v>
      </c>
      <c r="G16" s="6" t="n">
        <v>353452.87</v>
      </c>
      <c r="H16" t="inlineStr">
        <is>
          <t>Sales invoice INV-202504-2</t>
        </is>
      </c>
      <c r="I16" t="inlineStr">
        <is>
          <t>Verma Kirana Mart</t>
        </is>
      </c>
      <c r="J16">
        <f>YEAR(A16)*12+MONTH(A16)</f>
        <v/>
      </c>
    </row>
    <row r="17">
      <c r="A17" s="5" t="n">
        <v>45770</v>
      </c>
      <c r="B17" t="inlineStr">
        <is>
          <t>J-0004</t>
        </is>
      </c>
      <c r="C17" t="n">
        <v>3</v>
      </c>
      <c r="D17" t="inlineStr">
        <is>
          <t>2100</t>
        </is>
      </c>
      <c r="E17" t="inlineStr">
        <is>
          <t>GST Payable</t>
        </is>
      </c>
      <c r="F17" s="6" t="n">
        <v>0</v>
      </c>
      <c r="G17" s="6" t="n">
        <v>63621.52</v>
      </c>
      <c r="H17" t="inlineStr">
        <is>
          <t>Sales invoice INV-202504-2</t>
        </is>
      </c>
      <c r="I17" t="inlineStr">
        <is>
          <t>GST</t>
        </is>
      </c>
      <c r="J17">
        <f>YEAR(A17)*12+MONTH(A17)</f>
        <v/>
      </c>
    </row>
    <row r="18">
      <c r="A18" s="5" t="n">
        <v>45751</v>
      </c>
      <c r="B18" t="inlineStr">
        <is>
          <t>J-0005</t>
        </is>
      </c>
      <c r="C18" t="n">
        <v>1</v>
      </c>
      <c r="D18" t="inlineStr">
        <is>
          <t>1100</t>
        </is>
      </c>
      <c r="E18" t="inlineStr">
        <is>
          <t>Accounts Receivable</t>
        </is>
      </c>
      <c r="F18" s="6" t="n">
        <v>593510.11</v>
      </c>
      <c r="G18" s="6" t="n">
        <v>0</v>
      </c>
      <c r="H18" t="inlineStr">
        <is>
          <t>Sales invoice INV-202504-3</t>
        </is>
      </c>
      <c r="I18" t="inlineStr">
        <is>
          <t>Maa Vaishno Stores</t>
        </is>
      </c>
      <c r="J18">
        <f>YEAR(A18)*12+MONTH(A18)</f>
        <v/>
      </c>
    </row>
    <row r="19">
      <c r="A19" s="5" t="n">
        <v>45751</v>
      </c>
      <c r="B19" t="inlineStr">
        <is>
          <t>J-0005</t>
        </is>
      </c>
      <c r="C19" t="n">
        <v>2</v>
      </c>
      <c r="D19" t="inlineStr">
        <is>
          <t>4000</t>
        </is>
      </c>
      <c r="E19" t="inlineStr">
        <is>
          <t>Sales Revenue</t>
        </is>
      </c>
      <c r="F19" s="6" t="n">
        <v>0</v>
      </c>
      <c r="G19" s="6" t="n">
        <v>502974.67</v>
      </c>
      <c r="H19" t="inlineStr">
        <is>
          <t>Sales invoice INV-202504-3</t>
        </is>
      </c>
      <c r="I19" t="inlineStr">
        <is>
          <t>Maa Vaishno Stores</t>
        </is>
      </c>
      <c r="J19">
        <f>YEAR(A19)*12+MONTH(A19)</f>
        <v/>
      </c>
    </row>
    <row r="20">
      <c r="A20" s="5" t="n">
        <v>45751</v>
      </c>
      <c r="B20" t="inlineStr">
        <is>
          <t>J-0005</t>
        </is>
      </c>
      <c r="C20" t="n">
        <v>3</v>
      </c>
      <c r="D20" t="inlineStr">
        <is>
          <t>2100</t>
        </is>
      </c>
      <c r="E20" t="inlineStr">
        <is>
          <t>GST Payable</t>
        </is>
      </c>
      <c r="F20" s="6" t="n">
        <v>0</v>
      </c>
      <c r="G20" s="6" t="n">
        <v>90535.44</v>
      </c>
      <c r="H20" t="inlineStr">
        <is>
          <t>Sales invoice INV-202504-3</t>
        </is>
      </c>
      <c r="I20" t="inlineStr">
        <is>
          <t>GST</t>
        </is>
      </c>
      <c r="J20">
        <f>YEAR(A20)*12+MONTH(A20)</f>
        <v/>
      </c>
    </row>
    <row r="21">
      <c r="A21" s="5" t="n">
        <v>45749</v>
      </c>
      <c r="B21" t="inlineStr">
        <is>
          <t>J-0006</t>
        </is>
      </c>
      <c r="C21" t="n">
        <v>1</v>
      </c>
      <c r="D21" t="inlineStr">
        <is>
          <t>1100</t>
        </is>
      </c>
      <c r="E21" t="inlineStr">
        <is>
          <t>Accounts Receivable</t>
        </is>
      </c>
      <c r="F21" s="6" t="n">
        <v>542305.3199999999</v>
      </c>
      <c r="G21" s="6" t="n">
        <v>0</v>
      </c>
      <c r="H21" t="inlineStr">
        <is>
          <t>Sales invoice INV-202504-4</t>
        </is>
      </c>
      <c r="I21" t="inlineStr">
        <is>
          <t>Sharma General Store</t>
        </is>
      </c>
      <c r="J21">
        <f>YEAR(A21)*12+MONTH(A21)</f>
        <v/>
      </c>
    </row>
    <row r="22">
      <c r="A22" s="5" t="n">
        <v>45749</v>
      </c>
      <c r="B22" t="inlineStr">
        <is>
          <t>J-0006</t>
        </is>
      </c>
      <c r="C22" t="n">
        <v>2</v>
      </c>
      <c r="D22" t="inlineStr">
        <is>
          <t>4000</t>
        </is>
      </c>
      <c r="E22" t="inlineStr">
        <is>
          <t>Sales Revenue</t>
        </is>
      </c>
      <c r="F22" s="6" t="n">
        <v>0</v>
      </c>
      <c r="G22" s="6" t="n">
        <v>459580.78</v>
      </c>
      <c r="H22" t="inlineStr">
        <is>
          <t>Sales invoice INV-202504-4</t>
        </is>
      </c>
      <c r="I22" t="inlineStr">
        <is>
          <t>Sharma General Store</t>
        </is>
      </c>
      <c r="J22">
        <f>YEAR(A22)*12+MONTH(A22)</f>
        <v/>
      </c>
    </row>
    <row r="23">
      <c r="A23" s="5" t="n">
        <v>45749</v>
      </c>
      <c r="B23" t="inlineStr">
        <is>
          <t>J-0006</t>
        </is>
      </c>
      <c r="C23" t="n">
        <v>3</v>
      </c>
      <c r="D23" t="inlineStr">
        <is>
          <t>2100</t>
        </is>
      </c>
      <c r="E23" t="inlineStr">
        <is>
          <t>GST Payable</t>
        </is>
      </c>
      <c r="F23" s="6" t="n">
        <v>0</v>
      </c>
      <c r="G23" s="6" t="n">
        <v>82724.53999999999</v>
      </c>
      <c r="H23" t="inlineStr">
        <is>
          <t>Sales invoice INV-202504-4</t>
        </is>
      </c>
      <c r="I23" t="inlineStr">
        <is>
          <t>GST</t>
        </is>
      </c>
      <c r="J23">
        <f>YEAR(A23)*12+MONTH(A23)</f>
        <v/>
      </c>
    </row>
    <row r="24">
      <c r="A24" s="5" t="n">
        <v>45765</v>
      </c>
      <c r="B24" t="inlineStr">
        <is>
          <t>J-0007</t>
        </is>
      </c>
      <c r="C24" t="n">
        <v>1</v>
      </c>
      <c r="D24" t="inlineStr">
        <is>
          <t>1100</t>
        </is>
      </c>
      <c r="E24" t="inlineStr">
        <is>
          <t>Accounts Receivable</t>
        </is>
      </c>
      <c r="F24" s="6" t="n">
        <v>372913.89</v>
      </c>
      <c r="G24" s="6" t="n">
        <v>0</v>
      </c>
      <c r="H24" t="inlineStr">
        <is>
          <t>Sales invoice INV-202504-5</t>
        </is>
      </c>
      <c r="I24" t="inlineStr">
        <is>
          <t>Patna Daily Needs</t>
        </is>
      </c>
      <c r="J24">
        <f>YEAR(A24)*12+MONTH(A24)</f>
        <v/>
      </c>
    </row>
    <row r="25">
      <c r="A25" s="5" t="n">
        <v>45765</v>
      </c>
      <c r="B25" t="inlineStr">
        <is>
          <t>J-0007</t>
        </is>
      </c>
      <c r="C25" t="n">
        <v>2</v>
      </c>
      <c r="D25" t="inlineStr">
        <is>
          <t>4000</t>
        </is>
      </c>
      <c r="E25" t="inlineStr">
        <is>
          <t>Sales Revenue</t>
        </is>
      </c>
      <c r="F25" s="6" t="n">
        <v>0</v>
      </c>
      <c r="G25" s="6" t="n">
        <v>316028.72</v>
      </c>
      <c r="H25" t="inlineStr">
        <is>
          <t>Sales invoice INV-202504-5</t>
        </is>
      </c>
      <c r="I25" t="inlineStr">
        <is>
          <t>Patna Daily Needs</t>
        </is>
      </c>
      <c r="J25">
        <f>YEAR(A25)*12+MONTH(A25)</f>
        <v/>
      </c>
    </row>
    <row r="26">
      <c r="A26" s="5" t="n">
        <v>45765</v>
      </c>
      <c r="B26" t="inlineStr">
        <is>
          <t>J-0007</t>
        </is>
      </c>
      <c r="C26" t="n">
        <v>3</v>
      </c>
      <c r="D26" t="inlineStr">
        <is>
          <t>2100</t>
        </is>
      </c>
      <c r="E26" t="inlineStr">
        <is>
          <t>GST Payable</t>
        </is>
      </c>
      <c r="F26" s="6" t="n">
        <v>0</v>
      </c>
      <c r="G26" s="6" t="n">
        <v>56885.17</v>
      </c>
      <c r="H26" t="inlineStr">
        <is>
          <t>Sales invoice INV-202504-5</t>
        </is>
      </c>
      <c r="I26" t="inlineStr">
        <is>
          <t>GST</t>
        </is>
      </c>
      <c r="J26">
        <f>YEAR(A26)*12+MONTH(A26)</f>
        <v/>
      </c>
    </row>
    <row r="27">
      <c r="A27" s="5" t="n">
        <v>45755</v>
      </c>
      <c r="B27" t="inlineStr">
        <is>
          <t>J-0008</t>
        </is>
      </c>
      <c r="C27" t="n">
        <v>1</v>
      </c>
      <c r="D27" t="inlineStr">
        <is>
          <t>1100</t>
        </is>
      </c>
      <c r="E27" t="inlineStr">
        <is>
          <t>Accounts Receivable</t>
        </is>
      </c>
      <c r="F27" s="6" t="n">
        <v>546235.38</v>
      </c>
      <c r="G27" s="6" t="n">
        <v>0</v>
      </c>
      <c r="H27" t="inlineStr">
        <is>
          <t>Sales invoice INV-202504-6</t>
        </is>
      </c>
      <c r="I27" t="inlineStr">
        <is>
          <t>Maa Vaishno Stores</t>
        </is>
      </c>
      <c r="J27">
        <f>YEAR(A27)*12+MONTH(A27)</f>
        <v/>
      </c>
    </row>
    <row r="28">
      <c r="A28" s="5" t="n">
        <v>45755</v>
      </c>
      <c r="B28" t="inlineStr">
        <is>
          <t>J-0008</t>
        </is>
      </c>
      <c r="C28" t="n">
        <v>2</v>
      </c>
      <c r="D28" t="inlineStr">
        <is>
          <t>4000</t>
        </is>
      </c>
      <c r="E28" t="inlineStr">
        <is>
          <t>Sales Revenue</t>
        </is>
      </c>
      <c r="F28" s="6" t="n">
        <v>0</v>
      </c>
      <c r="G28" s="6" t="n">
        <v>462911.34</v>
      </c>
      <c r="H28" t="inlineStr">
        <is>
          <t>Sales invoice INV-202504-6</t>
        </is>
      </c>
      <c r="I28" t="inlineStr">
        <is>
          <t>Maa Vaishno Stores</t>
        </is>
      </c>
      <c r="J28">
        <f>YEAR(A28)*12+MONTH(A28)</f>
        <v/>
      </c>
    </row>
    <row r="29">
      <c r="A29" s="5" t="n">
        <v>45755</v>
      </c>
      <c r="B29" t="inlineStr">
        <is>
          <t>J-0008</t>
        </is>
      </c>
      <c r="C29" t="n">
        <v>3</v>
      </c>
      <c r="D29" t="inlineStr">
        <is>
          <t>2100</t>
        </is>
      </c>
      <c r="E29" t="inlineStr">
        <is>
          <t>GST Payable</t>
        </is>
      </c>
      <c r="F29" s="6" t="n">
        <v>0</v>
      </c>
      <c r="G29" s="6" t="n">
        <v>83324.03999999999</v>
      </c>
      <c r="H29" t="inlineStr">
        <is>
          <t>Sales invoice INV-202504-6</t>
        </is>
      </c>
      <c r="I29" t="inlineStr">
        <is>
          <t>GST</t>
        </is>
      </c>
      <c r="J29">
        <f>YEAR(A29)*12+MONTH(A29)</f>
        <v/>
      </c>
    </row>
    <row r="30">
      <c r="A30" s="5" t="n">
        <v>45762</v>
      </c>
      <c r="B30" t="inlineStr">
        <is>
          <t>J-0009</t>
        </is>
      </c>
      <c r="C30" t="n">
        <v>1</v>
      </c>
      <c r="D30" t="inlineStr">
        <is>
          <t>1100</t>
        </is>
      </c>
      <c r="E30" t="inlineStr">
        <is>
          <t>Accounts Receivable</t>
        </is>
      </c>
      <c r="F30" s="6" t="n">
        <v>585105.91</v>
      </c>
      <c r="G30" s="6" t="n">
        <v>0</v>
      </c>
      <c r="H30" t="inlineStr">
        <is>
          <t>Sales invoice INV-202504-7</t>
        </is>
      </c>
      <c r="I30" t="inlineStr">
        <is>
          <t>Maa Vaishno Stores</t>
        </is>
      </c>
      <c r="J30">
        <f>YEAR(A30)*12+MONTH(A30)</f>
        <v/>
      </c>
    </row>
    <row r="31">
      <c r="A31" s="5" t="n">
        <v>45762</v>
      </c>
      <c r="B31" t="inlineStr">
        <is>
          <t>J-0009</t>
        </is>
      </c>
      <c r="C31" t="n">
        <v>2</v>
      </c>
      <c r="D31" t="inlineStr">
        <is>
          <t>4000</t>
        </is>
      </c>
      <c r="E31" t="inlineStr">
        <is>
          <t>Sales Revenue</t>
        </is>
      </c>
      <c r="F31" s="6" t="n">
        <v>0</v>
      </c>
      <c r="G31" s="6" t="n">
        <v>495852.47</v>
      </c>
      <c r="H31" t="inlineStr">
        <is>
          <t>Sales invoice INV-202504-7</t>
        </is>
      </c>
      <c r="I31" t="inlineStr">
        <is>
          <t>Maa Vaishno Stores</t>
        </is>
      </c>
      <c r="J31">
        <f>YEAR(A31)*12+MONTH(A31)</f>
        <v/>
      </c>
    </row>
    <row r="32">
      <c r="A32" s="5" t="n">
        <v>45762</v>
      </c>
      <c r="B32" t="inlineStr">
        <is>
          <t>J-0009</t>
        </is>
      </c>
      <c r="C32" t="n">
        <v>3</v>
      </c>
      <c r="D32" t="inlineStr">
        <is>
          <t>2100</t>
        </is>
      </c>
      <c r="E32" t="inlineStr">
        <is>
          <t>GST Payable</t>
        </is>
      </c>
      <c r="F32" s="6" t="n">
        <v>0</v>
      </c>
      <c r="G32" s="6" t="n">
        <v>89253.44</v>
      </c>
      <c r="H32" t="inlineStr">
        <is>
          <t>Sales invoice INV-202504-7</t>
        </is>
      </c>
      <c r="I32" t="inlineStr">
        <is>
          <t>GST</t>
        </is>
      </c>
      <c r="J32">
        <f>YEAR(A32)*12+MONTH(A32)</f>
        <v/>
      </c>
    </row>
    <row r="33">
      <c r="A33" s="5" t="n">
        <v>45774</v>
      </c>
      <c r="B33" t="inlineStr">
        <is>
          <t>J-0010</t>
        </is>
      </c>
      <c r="C33" t="n">
        <v>1</v>
      </c>
      <c r="D33" t="inlineStr">
        <is>
          <t>5000</t>
        </is>
      </c>
      <c r="E33" t="inlineStr">
        <is>
          <t>Cost of Goods Sold</t>
        </is>
      </c>
      <c r="F33" s="6" t="n">
        <v>1988604.67</v>
      </c>
      <c r="G33" s="6" t="n">
        <v>0</v>
      </c>
      <c r="H33" t="inlineStr">
        <is>
          <t>Cost of goods sold - monthly</t>
        </is>
      </c>
      <c r="I33" t="inlineStr"/>
      <c r="J33">
        <f>YEAR(A33)*12+MONTH(A33)</f>
        <v/>
      </c>
    </row>
    <row r="34">
      <c r="A34" s="5" t="n">
        <v>45774</v>
      </c>
      <c r="B34" t="inlineStr">
        <is>
          <t>J-0010</t>
        </is>
      </c>
      <c r="C34" t="n">
        <v>2</v>
      </c>
      <c r="D34" t="inlineStr">
        <is>
          <t>1200</t>
        </is>
      </c>
      <c r="E34" t="inlineStr">
        <is>
          <t>Inventory</t>
        </is>
      </c>
      <c r="F34" s="6" t="n">
        <v>0</v>
      </c>
      <c r="G34" s="6" t="n">
        <v>1988604.67</v>
      </c>
      <c r="H34" t="inlineStr">
        <is>
          <t>Cost of goods sold - monthly</t>
        </is>
      </c>
      <c r="I34" t="inlineStr"/>
      <c r="J34">
        <f>YEAR(A34)*12+MONTH(A34)</f>
        <v/>
      </c>
    </row>
    <row r="35">
      <c r="A35" s="5" t="n">
        <v>45775</v>
      </c>
      <c r="B35" t="inlineStr">
        <is>
          <t>J-0011</t>
        </is>
      </c>
      <c r="C35" t="n">
        <v>1</v>
      </c>
      <c r="D35" t="inlineStr">
        <is>
          <t>1000</t>
        </is>
      </c>
      <c r="E35" t="inlineStr">
        <is>
          <t>Cash &amp; Bank</t>
        </is>
      </c>
      <c r="F35" s="6" t="n">
        <v>2926053.4</v>
      </c>
      <c r="G35" s="6" t="n">
        <v>0</v>
      </c>
      <c r="H35" t="inlineStr">
        <is>
          <t>Customer receipts</t>
        </is>
      </c>
      <c r="I35" t="inlineStr"/>
      <c r="J35">
        <f>YEAR(A35)*12+MONTH(A35)</f>
        <v/>
      </c>
    </row>
    <row r="36">
      <c r="A36" s="5" t="n">
        <v>45775</v>
      </c>
      <c r="B36" t="inlineStr">
        <is>
          <t>J-0011</t>
        </is>
      </c>
      <c r="C36" t="n">
        <v>2</v>
      </c>
      <c r="D36" t="inlineStr">
        <is>
          <t>1100</t>
        </is>
      </c>
      <c r="E36" t="inlineStr">
        <is>
          <t>Accounts Receivable</t>
        </is>
      </c>
      <c r="F36" s="6" t="n">
        <v>0</v>
      </c>
      <c r="G36" s="6" t="n">
        <v>2926053.4</v>
      </c>
      <c r="H36" t="inlineStr">
        <is>
          <t>Customer receipts</t>
        </is>
      </c>
      <c r="I36" t="inlineStr"/>
      <c r="J36">
        <f>YEAR(A36)*12+MONTH(A36)</f>
        <v/>
      </c>
    </row>
    <row r="37">
      <c r="A37" s="5" t="n">
        <v>45763</v>
      </c>
      <c r="B37" t="inlineStr">
        <is>
          <t>J-0012</t>
        </is>
      </c>
      <c r="C37" t="n">
        <v>1</v>
      </c>
      <c r="D37" t="inlineStr">
        <is>
          <t>1200</t>
        </is>
      </c>
      <c r="E37" t="inlineStr">
        <is>
          <t>Inventory</t>
        </is>
      </c>
      <c r="F37" s="6" t="n">
        <v>329087.97</v>
      </c>
      <c r="G37" s="6" t="n">
        <v>0</v>
      </c>
      <c r="H37" t="inlineStr">
        <is>
          <t>Purchase bill PB-202504-1</t>
        </is>
      </c>
      <c r="I37" t="inlineStr">
        <is>
          <t>Bihar Agro Supplies</t>
        </is>
      </c>
      <c r="J37">
        <f>YEAR(A37)*12+MONTH(A37)</f>
        <v/>
      </c>
    </row>
    <row r="38">
      <c r="A38" s="5" t="n">
        <v>45763</v>
      </c>
      <c r="B38" t="inlineStr">
        <is>
          <t>J-0012</t>
        </is>
      </c>
      <c r="C38" t="n">
        <v>2</v>
      </c>
      <c r="D38" t="inlineStr">
        <is>
          <t>1300</t>
        </is>
      </c>
      <c r="E38" t="inlineStr">
        <is>
          <t>GST Input Credit</t>
        </is>
      </c>
      <c r="F38" s="6" t="n">
        <v>59235.83</v>
      </c>
      <c r="G38" s="6" t="n">
        <v>0</v>
      </c>
      <c r="H38" t="inlineStr">
        <is>
          <t>Purchase bill PB-202504-1</t>
        </is>
      </c>
      <c r="I38" t="inlineStr">
        <is>
          <t>Bihar Agro Supplies</t>
        </is>
      </c>
      <c r="J38">
        <f>YEAR(A38)*12+MONTH(A38)</f>
        <v/>
      </c>
    </row>
    <row r="39">
      <c r="A39" s="5" t="n">
        <v>45763</v>
      </c>
      <c r="B39" t="inlineStr">
        <is>
          <t>J-0012</t>
        </is>
      </c>
      <c r="C39" t="n">
        <v>3</v>
      </c>
      <c r="D39" t="inlineStr">
        <is>
          <t>2000</t>
        </is>
      </c>
      <c r="E39" t="inlineStr">
        <is>
          <t>Accounts Payable</t>
        </is>
      </c>
      <c r="F39" s="6" t="n">
        <v>0</v>
      </c>
      <c r="G39" s="6" t="n">
        <v>388323.8</v>
      </c>
      <c r="H39" t="inlineStr">
        <is>
          <t>Purchase bill PB-202504-1</t>
        </is>
      </c>
      <c r="I39" t="inlineStr">
        <is>
          <t>Bihar Agro Supplies</t>
        </is>
      </c>
      <c r="J39">
        <f>YEAR(A39)*12+MONTH(A39)</f>
        <v/>
      </c>
    </row>
    <row r="40">
      <c r="A40" s="5" t="n">
        <v>45756</v>
      </c>
      <c r="B40" t="inlineStr">
        <is>
          <t>J-0013</t>
        </is>
      </c>
      <c r="C40" t="n">
        <v>1</v>
      </c>
      <c r="D40" t="inlineStr">
        <is>
          <t>1200</t>
        </is>
      </c>
      <c r="E40" t="inlineStr">
        <is>
          <t>Inventory</t>
        </is>
      </c>
      <c r="F40" s="6" t="n">
        <v>383826.95</v>
      </c>
      <c r="G40" s="6" t="n">
        <v>0</v>
      </c>
      <c r="H40" t="inlineStr">
        <is>
          <t>Purchase bill PB-202504-2</t>
        </is>
      </c>
      <c r="I40" t="inlineStr">
        <is>
          <t>Bihar Agro Supplies</t>
        </is>
      </c>
      <c r="J40">
        <f>YEAR(A40)*12+MONTH(A40)</f>
        <v/>
      </c>
    </row>
    <row r="41">
      <c r="A41" s="5" t="n">
        <v>45756</v>
      </c>
      <c r="B41" t="inlineStr">
        <is>
          <t>J-0013</t>
        </is>
      </c>
      <c r="C41" t="n">
        <v>2</v>
      </c>
      <c r="D41" t="inlineStr">
        <is>
          <t>1300</t>
        </is>
      </c>
      <c r="E41" t="inlineStr">
        <is>
          <t>GST Input Credit</t>
        </is>
      </c>
      <c r="F41" s="6" t="n">
        <v>69088.85000000001</v>
      </c>
      <c r="G41" s="6" t="n">
        <v>0</v>
      </c>
      <c r="H41" t="inlineStr">
        <is>
          <t>Purchase bill PB-202504-2</t>
        </is>
      </c>
      <c r="I41" t="inlineStr">
        <is>
          <t>Bihar Agro Supplies</t>
        </is>
      </c>
      <c r="J41">
        <f>YEAR(A41)*12+MONTH(A41)</f>
        <v/>
      </c>
    </row>
    <row r="42">
      <c r="A42" s="5" t="n">
        <v>45756</v>
      </c>
      <c r="B42" t="inlineStr">
        <is>
          <t>J-0013</t>
        </is>
      </c>
      <c r="C42" t="n">
        <v>3</v>
      </c>
      <c r="D42" t="inlineStr">
        <is>
          <t>2000</t>
        </is>
      </c>
      <c r="E42" t="inlineStr">
        <is>
          <t>Accounts Payable</t>
        </is>
      </c>
      <c r="F42" s="6" t="n">
        <v>0</v>
      </c>
      <c r="G42" s="6" t="n">
        <v>452915.8</v>
      </c>
      <c r="H42" t="inlineStr">
        <is>
          <t>Purchase bill PB-202504-2</t>
        </is>
      </c>
      <c r="I42" t="inlineStr">
        <is>
          <t>Bihar Agro Supplies</t>
        </is>
      </c>
      <c r="J42">
        <f>YEAR(A42)*12+MONTH(A42)</f>
        <v/>
      </c>
    </row>
    <row r="43">
      <c r="A43" s="5" t="n">
        <v>45753</v>
      </c>
      <c r="B43" t="inlineStr">
        <is>
          <t>J-0014</t>
        </is>
      </c>
      <c r="C43" t="n">
        <v>1</v>
      </c>
      <c r="D43" t="inlineStr">
        <is>
          <t>1200</t>
        </is>
      </c>
      <c r="E43" t="inlineStr">
        <is>
          <t>Inventory</t>
        </is>
      </c>
      <c r="F43" s="6" t="n">
        <v>485015.63</v>
      </c>
      <c r="G43" s="6" t="n">
        <v>0</v>
      </c>
      <c r="H43" t="inlineStr">
        <is>
          <t>Purchase bill PB-202504-3</t>
        </is>
      </c>
      <c r="I43" t="inlineStr">
        <is>
          <t>National FMCG Distributors</t>
        </is>
      </c>
      <c r="J43">
        <f>YEAR(A43)*12+MONTH(A43)</f>
        <v/>
      </c>
    </row>
    <row r="44">
      <c r="A44" s="5" t="n">
        <v>45753</v>
      </c>
      <c r="B44" t="inlineStr">
        <is>
          <t>J-0014</t>
        </is>
      </c>
      <c r="C44" t="n">
        <v>2</v>
      </c>
      <c r="D44" t="inlineStr">
        <is>
          <t>1300</t>
        </is>
      </c>
      <c r="E44" t="inlineStr">
        <is>
          <t>GST Input Credit</t>
        </is>
      </c>
      <c r="F44" s="6" t="n">
        <v>87302.81</v>
      </c>
      <c r="G44" s="6" t="n">
        <v>0</v>
      </c>
      <c r="H44" t="inlineStr">
        <is>
          <t>Purchase bill PB-202504-3</t>
        </is>
      </c>
      <c r="I44" t="inlineStr">
        <is>
          <t>National FMCG Distributors</t>
        </is>
      </c>
      <c r="J44">
        <f>YEAR(A44)*12+MONTH(A44)</f>
        <v/>
      </c>
    </row>
    <row r="45">
      <c r="A45" s="5" t="n">
        <v>45753</v>
      </c>
      <c r="B45" t="inlineStr">
        <is>
          <t>J-0014</t>
        </is>
      </c>
      <c r="C45" t="n">
        <v>3</v>
      </c>
      <c r="D45" t="inlineStr">
        <is>
          <t>2000</t>
        </is>
      </c>
      <c r="E45" t="inlineStr">
        <is>
          <t>Accounts Payable</t>
        </is>
      </c>
      <c r="F45" s="6" t="n">
        <v>0</v>
      </c>
      <c r="G45" s="6" t="n">
        <v>572318.4399999999</v>
      </c>
      <c r="H45" t="inlineStr">
        <is>
          <t>Purchase bill PB-202504-3</t>
        </is>
      </c>
      <c r="I45" t="inlineStr">
        <is>
          <t>National FMCG Distributors</t>
        </is>
      </c>
      <c r="J45">
        <f>YEAR(A45)*12+MONTH(A45)</f>
        <v/>
      </c>
    </row>
    <row r="46">
      <c r="A46" s="5" t="n">
        <v>45761</v>
      </c>
      <c r="B46" t="inlineStr">
        <is>
          <t>J-0015</t>
        </is>
      </c>
      <c r="C46" t="n">
        <v>1</v>
      </c>
      <c r="D46" t="inlineStr">
        <is>
          <t>1200</t>
        </is>
      </c>
      <c r="E46" t="inlineStr">
        <is>
          <t>Inventory</t>
        </is>
      </c>
      <c r="F46" s="6" t="n">
        <v>343233.45</v>
      </c>
      <c r="G46" s="6" t="n">
        <v>0</v>
      </c>
      <c r="H46" t="inlineStr">
        <is>
          <t>Purchase bill PB-202504-4</t>
        </is>
      </c>
      <c r="I46" t="inlineStr">
        <is>
          <t>Hindustan Foods Ltd</t>
        </is>
      </c>
      <c r="J46">
        <f>YEAR(A46)*12+MONTH(A46)</f>
        <v/>
      </c>
    </row>
    <row r="47">
      <c r="A47" s="5" t="n">
        <v>45761</v>
      </c>
      <c r="B47" t="inlineStr">
        <is>
          <t>J-0015</t>
        </is>
      </c>
      <c r="C47" t="n">
        <v>2</v>
      </c>
      <c r="D47" t="inlineStr">
        <is>
          <t>1300</t>
        </is>
      </c>
      <c r="E47" t="inlineStr">
        <is>
          <t>GST Input Credit</t>
        </is>
      </c>
      <c r="F47" s="6" t="n">
        <v>61782.02</v>
      </c>
      <c r="G47" s="6" t="n">
        <v>0</v>
      </c>
      <c r="H47" t="inlineStr">
        <is>
          <t>Purchase bill PB-202504-4</t>
        </is>
      </c>
      <c r="I47" t="inlineStr">
        <is>
          <t>Hindustan Foods Ltd</t>
        </is>
      </c>
      <c r="J47">
        <f>YEAR(A47)*12+MONTH(A47)</f>
        <v/>
      </c>
    </row>
    <row r="48">
      <c r="A48" s="5" t="n">
        <v>45761</v>
      </c>
      <c r="B48" t="inlineStr">
        <is>
          <t>J-0015</t>
        </is>
      </c>
      <c r="C48" t="n">
        <v>3</v>
      </c>
      <c r="D48" t="inlineStr">
        <is>
          <t>2000</t>
        </is>
      </c>
      <c r="E48" t="inlineStr">
        <is>
          <t>Accounts Payable</t>
        </is>
      </c>
      <c r="F48" s="6" t="n">
        <v>0</v>
      </c>
      <c r="G48" s="6" t="n">
        <v>405015.47</v>
      </c>
      <c r="H48" t="inlineStr">
        <is>
          <t>Purchase bill PB-202504-4</t>
        </is>
      </c>
      <c r="I48" t="inlineStr">
        <is>
          <t>Hindustan Foods Ltd</t>
        </is>
      </c>
      <c r="J48">
        <f>YEAR(A48)*12+MONTH(A48)</f>
        <v/>
      </c>
    </row>
    <row r="49">
      <c r="A49" s="5" t="n">
        <v>45758</v>
      </c>
      <c r="B49" t="inlineStr">
        <is>
          <t>J-0016</t>
        </is>
      </c>
      <c r="C49" t="n">
        <v>1</v>
      </c>
      <c r="D49" t="inlineStr">
        <is>
          <t>1200</t>
        </is>
      </c>
      <c r="E49" t="inlineStr">
        <is>
          <t>Inventory</t>
        </is>
      </c>
      <c r="F49" s="6" t="n">
        <v>467020.55</v>
      </c>
      <c r="G49" s="6" t="n">
        <v>0</v>
      </c>
      <c r="H49" t="inlineStr">
        <is>
          <t>Purchase bill PB-202504-5</t>
        </is>
      </c>
      <c r="I49" t="inlineStr">
        <is>
          <t>Ganga Logistics Pvt Ltd</t>
        </is>
      </c>
      <c r="J49">
        <f>YEAR(A49)*12+MONTH(A49)</f>
        <v/>
      </c>
    </row>
    <row r="50">
      <c r="A50" s="5" t="n">
        <v>45758</v>
      </c>
      <c r="B50" t="inlineStr">
        <is>
          <t>J-0016</t>
        </is>
      </c>
      <c r="C50" t="n">
        <v>2</v>
      </c>
      <c r="D50" t="inlineStr">
        <is>
          <t>1300</t>
        </is>
      </c>
      <c r="E50" t="inlineStr">
        <is>
          <t>GST Input Credit</t>
        </is>
      </c>
      <c r="F50" s="6" t="n">
        <v>84063.7</v>
      </c>
      <c r="G50" s="6" t="n">
        <v>0</v>
      </c>
      <c r="H50" t="inlineStr">
        <is>
          <t>Purchase bill PB-202504-5</t>
        </is>
      </c>
      <c r="I50" t="inlineStr">
        <is>
          <t>Ganga Logistics Pvt Ltd</t>
        </is>
      </c>
      <c r="J50">
        <f>YEAR(A50)*12+MONTH(A50)</f>
        <v/>
      </c>
    </row>
    <row r="51">
      <c r="A51" s="5" t="n">
        <v>45758</v>
      </c>
      <c r="B51" t="inlineStr">
        <is>
          <t>J-0016</t>
        </is>
      </c>
      <c r="C51" t="n">
        <v>3</v>
      </c>
      <c r="D51" t="inlineStr">
        <is>
          <t>2000</t>
        </is>
      </c>
      <c r="E51" t="inlineStr">
        <is>
          <t>Accounts Payable</t>
        </is>
      </c>
      <c r="F51" s="6" t="n">
        <v>0</v>
      </c>
      <c r="G51" s="6" t="n">
        <v>551084.25</v>
      </c>
      <c r="H51" t="inlineStr">
        <is>
          <t>Purchase bill PB-202504-5</t>
        </is>
      </c>
      <c r="I51" t="inlineStr">
        <is>
          <t>Ganga Logistics Pvt Ltd</t>
        </is>
      </c>
      <c r="J51">
        <f>YEAR(A51)*12+MONTH(A51)</f>
        <v/>
      </c>
    </row>
    <row r="52">
      <c r="A52" s="5" t="n">
        <v>45776</v>
      </c>
      <c r="B52" t="inlineStr">
        <is>
          <t>J-0017</t>
        </is>
      </c>
      <c r="C52" t="n">
        <v>1</v>
      </c>
      <c r="D52" t="inlineStr">
        <is>
          <t>2000</t>
        </is>
      </c>
      <c r="E52" t="inlineStr">
        <is>
          <t>Accounts Payable</t>
        </is>
      </c>
      <c r="F52" s="6" t="n">
        <v>2251546.06</v>
      </c>
      <c r="G52" s="6" t="n">
        <v>0</v>
      </c>
      <c r="H52" t="inlineStr">
        <is>
          <t>Vendor payments</t>
        </is>
      </c>
      <c r="I52" t="inlineStr"/>
      <c r="J52">
        <f>YEAR(A52)*12+MONTH(A52)</f>
        <v/>
      </c>
    </row>
    <row r="53">
      <c r="A53" s="5" t="n">
        <v>45776</v>
      </c>
      <c r="B53" t="inlineStr">
        <is>
          <t>J-0017</t>
        </is>
      </c>
      <c r="C53" t="n">
        <v>2</v>
      </c>
      <c r="D53" t="inlineStr">
        <is>
          <t>1000</t>
        </is>
      </c>
      <c r="E53" t="inlineStr">
        <is>
          <t>Cash &amp; Bank</t>
        </is>
      </c>
      <c r="F53" s="6" t="n">
        <v>0</v>
      </c>
      <c r="G53" s="6" t="n">
        <v>2251546.06</v>
      </c>
      <c r="H53" t="inlineStr">
        <is>
          <t>Vendor payments</t>
        </is>
      </c>
      <c r="I53" t="inlineStr"/>
      <c r="J53">
        <f>YEAR(A53)*12+MONTH(A53)</f>
        <v/>
      </c>
    </row>
    <row r="54">
      <c r="A54" s="5" t="n">
        <v>45777</v>
      </c>
      <c r="B54" t="inlineStr">
        <is>
          <t>J-0018</t>
        </is>
      </c>
      <c r="C54" t="n">
        <v>1</v>
      </c>
      <c r="D54" t="inlineStr">
        <is>
          <t>2100</t>
        </is>
      </c>
      <c r="E54" t="inlineStr">
        <is>
          <t>GST Payable</t>
        </is>
      </c>
      <c r="F54" s="6" t="n">
        <v>150632.04</v>
      </c>
      <c r="G54" s="6" t="n">
        <v>0</v>
      </c>
      <c r="H54" t="inlineStr">
        <is>
          <t>GST paid for month</t>
        </is>
      </c>
      <c r="I54" t="inlineStr">
        <is>
          <t>GST</t>
        </is>
      </c>
      <c r="J54">
        <f>YEAR(A54)*12+MONTH(A54)</f>
        <v/>
      </c>
    </row>
    <row r="55">
      <c r="A55" s="5" t="n">
        <v>45777</v>
      </c>
      <c r="B55" t="inlineStr">
        <is>
          <t>J-0018</t>
        </is>
      </c>
      <c r="C55" t="n">
        <v>2</v>
      </c>
      <c r="D55" t="inlineStr">
        <is>
          <t>1000</t>
        </is>
      </c>
      <c r="E55" t="inlineStr">
        <is>
          <t>Cash &amp; Bank</t>
        </is>
      </c>
      <c r="F55" s="6" t="n">
        <v>0</v>
      </c>
      <c r="G55" s="6" t="n">
        <v>150632.04</v>
      </c>
      <c r="H55" t="inlineStr">
        <is>
          <t>GST paid for month</t>
        </is>
      </c>
      <c r="I55" t="inlineStr">
        <is>
          <t>GST</t>
        </is>
      </c>
      <c r="J55">
        <f>YEAR(A55)*12+MONTH(A55)</f>
        <v/>
      </c>
    </row>
    <row r="56">
      <c r="A56" s="5" t="n">
        <v>45752</v>
      </c>
      <c r="B56" t="inlineStr">
        <is>
          <t>J-0019</t>
        </is>
      </c>
      <c r="C56" t="n">
        <v>1</v>
      </c>
      <c r="D56" t="inlineStr">
        <is>
          <t>5100</t>
        </is>
      </c>
      <c r="E56" t="inlineStr">
        <is>
          <t>Rent Expense</t>
        </is>
      </c>
      <c r="F56" s="6" t="n">
        <v>25000</v>
      </c>
      <c r="G56" s="6" t="n">
        <v>0</v>
      </c>
      <c r="H56" t="inlineStr">
        <is>
          <t>Office rent</t>
        </is>
      </c>
      <c r="I56" t="inlineStr"/>
      <c r="J56">
        <f>YEAR(A56)*12+MONTH(A56)</f>
        <v/>
      </c>
    </row>
    <row r="57">
      <c r="A57" s="5" t="n">
        <v>45752</v>
      </c>
      <c r="B57" t="inlineStr">
        <is>
          <t>J-0019</t>
        </is>
      </c>
      <c r="C57" t="n">
        <v>2</v>
      </c>
      <c r="D57" t="inlineStr">
        <is>
          <t>1000</t>
        </is>
      </c>
      <c r="E57" t="inlineStr">
        <is>
          <t>Cash &amp; Bank</t>
        </is>
      </c>
      <c r="F57" s="6" t="n">
        <v>0</v>
      </c>
      <c r="G57" s="6" t="n">
        <v>25000</v>
      </c>
      <c r="H57" t="inlineStr">
        <is>
          <t>Office rent</t>
        </is>
      </c>
      <c r="I57" t="inlineStr"/>
      <c r="J57">
        <f>YEAR(A57)*12+MONTH(A57)</f>
        <v/>
      </c>
    </row>
    <row r="58">
      <c r="A58" s="5" t="n">
        <v>45754</v>
      </c>
      <c r="B58" t="inlineStr">
        <is>
          <t>J-0020</t>
        </is>
      </c>
      <c r="C58" t="n">
        <v>1</v>
      </c>
      <c r="D58" t="inlineStr">
        <is>
          <t>5200</t>
        </is>
      </c>
      <c r="E58" t="inlineStr">
        <is>
          <t>Salaries Expense</t>
        </is>
      </c>
      <c r="F58" s="6" t="n">
        <v>111010.82</v>
      </c>
      <c r="G58" s="6" t="n">
        <v>0</v>
      </c>
      <c r="H58" t="inlineStr">
        <is>
          <t>Staff salaries</t>
        </is>
      </c>
      <c r="I58" t="inlineStr"/>
      <c r="J58">
        <f>YEAR(A58)*12+MONTH(A58)</f>
        <v/>
      </c>
    </row>
    <row r="59">
      <c r="A59" s="5" t="n">
        <v>45754</v>
      </c>
      <c r="B59" t="inlineStr">
        <is>
          <t>J-0020</t>
        </is>
      </c>
      <c r="C59" t="n">
        <v>2</v>
      </c>
      <c r="D59" t="inlineStr">
        <is>
          <t>1000</t>
        </is>
      </c>
      <c r="E59" t="inlineStr">
        <is>
          <t>Cash &amp; Bank</t>
        </is>
      </c>
      <c r="F59" s="6" t="n">
        <v>0</v>
      </c>
      <c r="G59" s="6" t="n">
        <v>111010.82</v>
      </c>
      <c r="H59" t="inlineStr">
        <is>
          <t>Staff salaries</t>
        </is>
      </c>
      <c r="I59" t="inlineStr"/>
      <c r="J59">
        <f>YEAR(A59)*12+MONTH(A59)</f>
        <v/>
      </c>
    </row>
    <row r="60">
      <c r="A60" s="5" t="n">
        <v>45759</v>
      </c>
      <c r="B60" t="inlineStr">
        <is>
          <t>J-0021</t>
        </is>
      </c>
      <c r="C60" t="n">
        <v>1</v>
      </c>
      <c r="D60" t="inlineStr">
        <is>
          <t>5300</t>
        </is>
      </c>
      <c r="E60" t="inlineStr">
        <is>
          <t>Utilities Expense</t>
        </is>
      </c>
      <c r="F60" s="6" t="n">
        <v>8340.57</v>
      </c>
      <c r="G60" s="6" t="n">
        <v>0</v>
      </c>
      <c r="H60" t="inlineStr">
        <is>
          <t>Utilities (power/water/phone)</t>
        </is>
      </c>
      <c r="I60" t="inlineStr"/>
      <c r="J60">
        <f>YEAR(A60)*12+MONTH(A60)</f>
        <v/>
      </c>
    </row>
    <row r="61">
      <c r="A61" s="5" t="n">
        <v>45759</v>
      </c>
      <c r="B61" t="inlineStr">
        <is>
          <t>J-0021</t>
        </is>
      </c>
      <c r="C61" t="n">
        <v>2</v>
      </c>
      <c r="D61" t="inlineStr">
        <is>
          <t>1000</t>
        </is>
      </c>
      <c r="E61" t="inlineStr">
        <is>
          <t>Cash &amp; Bank</t>
        </is>
      </c>
      <c r="F61" s="6" t="n">
        <v>0</v>
      </c>
      <c r="G61" s="6" t="n">
        <v>8340.57</v>
      </c>
      <c r="H61" t="inlineStr">
        <is>
          <t>Utilities (power/water/phone)</t>
        </is>
      </c>
      <c r="I61" t="inlineStr"/>
      <c r="J61">
        <f>YEAR(A61)*12+MONTH(A61)</f>
        <v/>
      </c>
    </row>
    <row r="62">
      <c r="A62" s="5" t="n">
        <v>45765</v>
      </c>
      <c r="B62" t="inlineStr">
        <is>
          <t>J-0022</t>
        </is>
      </c>
      <c r="C62" t="n">
        <v>1</v>
      </c>
      <c r="D62" t="inlineStr">
        <is>
          <t>5400</t>
        </is>
      </c>
      <c r="E62" t="inlineStr">
        <is>
          <t>Transport &amp; Logistics</t>
        </is>
      </c>
      <c r="F62" s="6" t="n">
        <v>21811.81</v>
      </c>
      <c r="G62" s="6" t="n">
        <v>0</v>
      </c>
      <c r="H62" t="inlineStr">
        <is>
          <t>Transport &amp; logistics</t>
        </is>
      </c>
      <c r="I62" t="inlineStr"/>
      <c r="J62">
        <f>YEAR(A62)*12+MONTH(A62)</f>
        <v/>
      </c>
    </row>
    <row r="63">
      <c r="A63" s="5" t="n">
        <v>45765</v>
      </c>
      <c r="B63" t="inlineStr">
        <is>
          <t>J-0022</t>
        </is>
      </c>
      <c r="C63" t="n">
        <v>2</v>
      </c>
      <c r="D63" t="inlineStr">
        <is>
          <t>1000</t>
        </is>
      </c>
      <c r="E63" t="inlineStr">
        <is>
          <t>Cash &amp; Bank</t>
        </is>
      </c>
      <c r="F63" s="6" t="n">
        <v>0</v>
      </c>
      <c r="G63" s="6" t="n">
        <v>21811.81</v>
      </c>
      <c r="H63" t="inlineStr">
        <is>
          <t>Transport &amp; logistics</t>
        </is>
      </c>
      <c r="I63" t="inlineStr"/>
      <c r="J63">
        <f>YEAR(A63)*12+MONTH(A63)</f>
        <v/>
      </c>
    </row>
    <row r="64">
      <c r="A64" s="5" t="n">
        <v>45767</v>
      </c>
      <c r="B64" t="inlineStr">
        <is>
          <t>J-0023</t>
        </is>
      </c>
      <c r="C64" t="n">
        <v>1</v>
      </c>
      <c r="D64" t="inlineStr">
        <is>
          <t>5500</t>
        </is>
      </c>
      <c r="E64" t="inlineStr">
        <is>
          <t>Marketing Expense</t>
        </is>
      </c>
      <c r="F64" s="6" t="n">
        <v>15028.28</v>
      </c>
      <c r="G64" s="6" t="n">
        <v>0</v>
      </c>
      <c r="H64" t="inlineStr">
        <is>
          <t>Marketing &amp; promotions</t>
        </is>
      </c>
      <c r="I64" t="inlineStr"/>
      <c r="J64">
        <f>YEAR(A64)*12+MONTH(A64)</f>
        <v/>
      </c>
    </row>
    <row r="65">
      <c r="A65" s="5" t="n">
        <v>45767</v>
      </c>
      <c r="B65" t="inlineStr">
        <is>
          <t>J-0023</t>
        </is>
      </c>
      <c r="C65" t="n">
        <v>2</v>
      </c>
      <c r="D65" t="inlineStr">
        <is>
          <t>1000</t>
        </is>
      </c>
      <c r="E65" t="inlineStr">
        <is>
          <t>Cash &amp; Bank</t>
        </is>
      </c>
      <c r="F65" s="6" t="n">
        <v>0</v>
      </c>
      <c r="G65" s="6" t="n">
        <v>15028.28</v>
      </c>
      <c r="H65" t="inlineStr">
        <is>
          <t>Marketing &amp; promotions</t>
        </is>
      </c>
      <c r="I65" t="inlineStr"/>
      <c r="J65">
        <f>YEAR(A65)*12+MONTH(A65)</f>
        <v/>
      </c>
    </row>
    <row r="66">
      <c r="A66" s="5" t="n">
        <v>45757</v>
      </c>
      <c r="B66" t="inlineStr">
        <is>
          <t>J-0024</t>
        </is>
      </c>
      <c r="C66" t="n">
        <v>1</v>
      </c>
      <c r="D66" t="inlineStr">
        <is>
          <t>5600</t>
        </is>
      </c>
      <c r="E66" t="inlineStr">
        <is>
          <t>Interest Expense</t>
        </is>
      </c>
      <c r="F66" s="6" t="n">
        <v>9000</v>
      </c>
      <c r="G66" s="6" t="n">
        <v>0</v>
      </c>
      <c r="H66" t="inlineStr">
        <is>
          <t>Term loan interest</t>
        </is>
      </c>
      <c r="I66" t="inlineStr">
        <is>
          <t>HDFC</t>
        </is>
      </c>
      <c r="J66">
        <f>YEAR(A66)*12+MONTH(A66)</f>
        <v/>
      </c>
    </row>
    <row r="67">
      <c r="A67" s="5" t="n">
        <v>45757</v>
      </c>
      <c r="B67" t="inlineStr">
        <is>
          <t>J-0024</t>
        </is>
      </c>
      <c r="C67" t="n">
        <v>2</v>
      </c>
      <c r="D67" t="inlineStr">
        <is>
          <t>1000</t>
        </is>
      </c>
      <c r="E67" t="inlineStr">
        <is>
          <t>Cash &amp; Bank</t>
        </is>
      </c>
      <c r="F67" s="6" t="n">
        <v>0</v>
      </c>
      <c r="G67" s="6" t="n">
        <v>9000</v>
      </c>
      <c r="H67" t="inlineStr">
        <is>
          <t>Term loan interest</t>
        </is>
      </c>
      <c r="I67" t="inlineStr">
        <is>
          <t>HDFC</t>
        </is>
      </c>
      <c r="J67">
        <f>YEAR(A67)*12+MONTH(A67)</f>
        <v/>
      </c>
    </row>
    <row r="68">
      <c r="A68" s="5" t="n">
        <v>45757</v>
      </c>
      <c r="B68" t="inlineStr">
        <is>
          <t>J-0025</t>
        </is>
      </c>
      <c r="C68" t="n">
        <v>1</v>
      </c>
      <c r="D68" t="inlineStr">
        <is>
          <t>2200</t>
        </is>
      </c>
      <c r="E68" t="inlineStr">
        <is>
          <t>Term Loan</t>
        </is>
      </c>
      <c r="F68" s="6" t="n">
        <v>55000</v>
      </c>
      <c r="G68" s="6" t="n">
        <v>0</v>
      </c>
      <c r="H68" t="inlineStr">
        <is>
          <t>Term loan principal repayment</t>
        </is>
      </c>
      <c r="I68" t="inlineStr">
        <is>
          <t>HDFC</t>
        </is>
      </c>
      <c r="J68">
        <f>YEAR(A68)*12+MONTH(A68)</f>
        <v/>
      </c>
    </row>
    <row r="69">
      <c r="A69" s="5" t="n">
        <v>45757</v>
      </c>
      <c r="B69" t="inlineStr">
        <is>
          <t>J-0025</t>
        </is>
      </c>
      <c r="C69" t="n">
        <v>2</v>
      </c>
      <c r="D69" t="inlineStr">
        <is>
          <t>1000</t>
        </is>
      </c>
      <c r="E69" t="inlineStr">
        <is>
          <t>Cash &amp; Bank</t>
        </is>
      </c>
      <c r="F69" s="6" t="n">
        <v>0</v>
      </c>
      <c r="G69" s="6" t="n">
        <v>55000</v>
      </c>
      <c r="H69" t="inlineStr">
        <is>
          <t>Term loan principal repayment</t>
        </is>
      </c>
      <c r="I69" t="inlineStr">
        <is>
          <t>HDFC</t>
        </is>
      </c>
      <c r="J69">
        <f>YEAR(A69)*12+MONTH(A69)</f>
        <v/>
      </c>
    </row>
    <row r="70">
      <c r="A70" s="5" t="n">
        <v>45777</v>
      </c>
      <c r="B70" t="inlineStr">
        <is>
          <t>J-0026</t>
        </is>
      </c>
      <c r="C70" t="n">
        <v>1</v>
      </c>
      <c r="D70" t="inlineStr">
        <is>
          <t>5700</t>
        </is>
      </c>
      <c r="E70" t="inlineStr">
        <is>
          <t>Depreciation Expense</t>
        </is>
      </c>
      <c r="F70" s="6" t="n">
        <v>6000</v>
      </c>
      <c r="G70" s="6" t="n">
        <v>0</v>
      </c>
      <c r="H70" t="inlineStr">
        <is>
          <t>Depreciation - equipment</t>
        </is>
      </c>
      <c r="I70" t="inlineStr"/>
      <c r="J70">
        <f>YEAR(A70)*12+MONTH(A70)</f>
        <v/>
      </c>
    </row>
    <row r="71">
      <c r="A71" s="5" t="n">
        <v>45777</v>
      </c>
      <c r="B71" t="inlineStr">
        <is>
          <t>J-0026</t>
        </is>
      </c>
      <c r="C71" t="n">
        <v>2</v>
      </c>
      <c r="D71" t="inlineStr">
        <is>
          <t>1510</t>
        </is>
      </c>
      <c r="E71" t="inlineStr">
        <is>
          <t>Accumulated Depreciation</t>
        </is>
      </c>
      <c r="F71" s="6" t="n">
        <v>0</v>
      </c>
      <c r="G71" s="6" t="n">
        <v>6000</v>
      </c>
      <c r="H71" t="inlineStr">
        <is>
          <t>Depreciation - equipment</t>
        </is>
      </c>
      <c r="I71" t="inlineStr"/>
      <c r="J71">
        <f>YEAR(A71)*12+MONTH(A71)</f>
        <v/>
      </c>
    </row>
    <row r="72">
      <c r="A72" s="5" t="n">
        <v>45766</v>
      </c>
      <c r="B72" t="inlineStr">
        <is>
          <t>J-0027</t>
        </is>
      </c>
      <c r="C72" t="n">
        <v>1</v>
      </c>
      <c r="D72" t="inlineStr">
        <is>
          <t>5800</t>
        </is>
      </c>
      <c r="E72" t="inlineStr">
        <is>
          <t>Miscellaneous Expense</t>
        </is>
      </c>
      <c r="F72" s="6" t="n">
        <v>7976.43</v>
      </c>
      <c r="G72" s="6" t="n">
        <v>0</v>
      </c>
      <c r="H72" t="inlineStr">
        <is>
          <t>Miscellaneous expenses</t>
        </is>
      </c>
      <c r="I72" t="inlineStr"/>
      <c r="J72">
        <f>YEAR(A72)*12+MONTH(A72)</f>
        <v/>
      </c>
    </row>
    <row r="73">
      <c r="A73" s="5" t="n">
        <v>45766</v>
      </c>
      <c r="B73" t="inlineStr">
        <is>
          <t>J-0027</t>
        </is>
      </c>
      <c r="C73" t="n">
        <v>2</v>
      </c>
      <c r="D73" t="inlineStr">
        <is>
          <t>1000</t>
        </is>
      </c>
      <c r="E73" t="inlineStr">
        <is>
          <t>Cash &amp; Bank</t>
        </is>
      </c>
      <c r="F73" s="6" t="n">
        <v>0</v>
      </c>
      <c r="G73" s="6" t="n">
        <v>7976.43</v>
      </c>
      <c r="H73" t="inlineStr">
        <is>
          <t>Miscellaneous expenses</t>
        </is>
      </c>
      <c r="I73" t="inlineStr"/>
      <c r="J73">
        <f>YEAR(A73)*12+MONTH(A73)</f>
        <v/>
      </c>
    </row>
    <row r="74">
      <c r="A74" s="5" t="n">
        <v>45800</v>
      </c>
      <c r="B74" t="inlineStr">
        <is>
          <t>J-0028</t>
        </is>
      </c>
      <c r="C74" t="n">
        <v>1</v>
      </c>
      <c r="D74" t="inlineStr">
        <is>
          <t>1100</t>
        </is>
      </c>
      <c r="E74" t="inlineStr">
        <is>
          <t>Accounts Receivable</t>
        </is>
      </c>
      <c r="F74" s="6" t="n">
        <v>585598.66</v>
      </c>
      <c r="G74" s="6" t="n">
        <v>0</v>
      </c>
      <c r="H74" t="inlineStr">
        <is>
          <t>Sales invoice INV-202505-1</t>
        </is>
      </c>
      <c r="I74" t="inlineStr">
        <is>
          <t>Sharma General Store</t>
        </is>
      </c>
      <c r="J74">
        <f>YEAR(A74)*12+MONTH(A74)</f>
        <v/>
      </c>
    </row>
    <row r="75">
      <c r="A75" s="5" t="n">
        <v>45800</v>
      </c>
      <c r="B75" t="inlineStr">
        <is>
          <t>J-0028</t>
        </is>
      </c>
      <c r="C75" t="n">
        <v>2</v>
      </c>
      <c r="D75" t="inlineStr">
        <is>
          <t>4000</t>
        </is>
      </c>
      <c r="E75" t="inlineStr">
        <is>
          <t>Sales Revenue</t>
        </is>
      </c>
      <c r="F75" s="6" t="n">
        <v>0</v>
      </c>
      <c r="G75" s="6" t="n">
        <v>496270.05</v>
      </c>
      <c r="H75" t="inlineStr">
        <is>
          <t>Sales invoice INV-202505-1</t>
        </is>
      </c>
      <c r="I75" t="inlineStr">
        <is>
          <t>Sharma General Store</t>
        </is>
      </c>
      <c r="J75">
        <f>YEAR(A75)*12+MONTH(A75)</f>
        <v/>
      </c>
    </row>
    <row r="76">
      <c r="A76" s="5" t="n">
        <v>45800</v>
      </c>
      <c r="B76" t="inlineStr">
        <is>
          <t>J-0028</t>
        </is>
      </c>
      <c r="C76" t="n">
        <v>3</v>
      </c>
      <c r="D76" t="inlineStr">
        <is>
          <t>2100</t>
        </is>
      </c>
      <c r="E76" t="inlineStr">
        <is>
          <t>GST Payable</t>
        </is>
      </c>
      <c r="F76" s="6" t="n">
        <v>0</v>
      </c>
      <c r="G76" s="6" t="n">
        <v>89328.61</v>
      </c>
      <c r="H76" t="inlineStr">
        <is>
          <t>Sales invoice INV-202505-1</t>
        </is>
      </c>
      <c r="I76" t="inlineStr">
        <is>
          <t>GST</t>
        </is>
      </c>
      <c r="J76">
        <f>YEAR(A76)*12+MONTH(A76)</f>
        <v/>
      </c>
    </row>
    <row r="77">
      <c r="A77" s="5" t="n">
        <v>45781</v>
      </c>
      <c r="B77" t="inlineStr">
        <is>
          <t>J-0029</t>
        </is>
      </c>
      <c r="C77" t="n">
        <v>1</v>
      </c>
      <c r="D77" t="inlineStr">
        <is>
          <t>1100</t>
        </is>
      </c>
      <c r="E77" t="inlineStr">
        <is>
          <t>Accounts Receivable</t>
        </is>
      </c>
      <c r="F77" s="6" t="n">
        <v>421839.42</v>
      </c>
      <c r="G77" s="6" t="n">
        <v>0</v>
      </c>
      <c r="H77" t="inlineStr">
        <is>
          <t>Sales invoice INV-202505-2</t>
        </is>
      </c>
      <c r="I77" t="inlineStr">
        <is>
          <t>Kumari Provision Store</t>
        </is>
      </c>
      <c r="J77">
        <f>YEAR(A77)*12+MONTH(A77)</f>
        <v/>
      </c>
    </row>
    <row r="78">
      <c r="A78" s="5" t="n">
        <v>45781</v>
      </c>
      <c r="B78" t="inlineStr">
        <is>
          <t>J-0029</t>
        </is>
      </c>
      <c r="C78" t="n">
        <v>2</v>
      </c>
      <c r="D78" t="inlineStr">
        <is>
          <t>4000</t>
        </is>
      </c>
      <c r="E78" t="inlineStr">
        <is>
          <t>Sales Revenue</t>
        </is>
      </c>
      <c r="F78" s="6" t="n">
        <v>0</v>
      </c>
      <c r="G78" s="6" t="n">
        <v>357491.03</v>
      </c>
      <c r="H78" t="inlineStr">
        <is>
          <t>Sales invoice INV-202505-2</t>
        </is>
      </c>
      <c r="I78" t="inlineStr">
        <is>
          <t>Kumari Provision Store</t>
        </is>
      </c>
      <c r="J78">
        <f>YEAR(A78)*12+MONTH(A78)</f>
        <v/>
      </c>
    </row>
    <row r="79">
      <c r="A79" s="5" t="n">
        <v>45781</v>
      </c>
      <c r="B79" t="inlineStr">
        <is>
          <t>J-0029</t>
        </is>
      </c>
      <c r="C79" t="n">
        <v>3</v>
      </c>
      <c r="D79" t="inlineStr">
        <is>
          <t>2100</t>
        </is>
      </c>
      <c r="E79" t="inlineStr">
        <is>
          <t>GST Payable</t>
        </is>
      </c>
      <c r="F79" s="6" t="n">
        <v>0</v>
      </c>
      <c r="G79" s="6" t="n">
        <v>64348.39</v>
      </c>
      <c r="H79" t="inlineStr">
        <is>
          <t>Sales invoice INV-202505-2</t>
        </is>
      </c>
      <c r="I79" t="inlineStr">
        <is>
          <t>GST</t>
        </is>
      </c>
      <c r="J79">
        <f>YEAR(A79)*12+MONTH(A79)</f>
        <v/>
      </c>
    </row>
    <row r="80">
      <c r="A80" s="5" t="n">
        <v>45791</v>
      </c>
      <c r="B80" t="inlineStr">
        <is>
          <t>J-0030</t>
        </is>
      </c>
      <c r="C80" t="n">
        <v>1</v>
      </c>
      <c r="D80" t="inlineStr">
        <is>
          <t>1100</t>
        </is>
      </c>
      <c r="E80" t="inlineStr">
        <is>
          <t>Accounts Receivable</t>
        </is>
      </c>
      <c r="F80" s="6" t="n">
        <v>637386.78</v>
      </c>
      <c r="G80" s="6" t="n">
        <v>0</v>
      </c>
      <c r="H80" t="inlineStr">
        <is>
          <t>Sales invoice INV-202505-3</t>
        </is>
      </c>
      <c r="I80" t="inlineStr">
        <is>
          <t>Verma Kirana Mart</t>
        </is>
      </c>
      <c r="J80">
        <f>YEAR(A80)*12+MONTH(A80)</f>
        <v/>
      </c>
    </row>
    <row r="81">
      <c r="A81" s="5" t="n">
        <v>45791</v>
      </c>
      <c r="B81" t="inlineStr">
        <is>
          <t>J-0030</t>
        </is>
      </c>
      <c r="C81" t="n">
        <v>2</v>
      </c>
      <c r="D81" t="inlineStr">
        <is>
          <t>4000</t>
        </is>
      </c>
      <c r="E81" t="inlineStr">
        <is>
          <t>Sales Revenue</t>
        </is>
      </c>
      <c r="F81" s="6" t="n">
        <v>0</v>
      </c>
      <c r="G81" s="6" t="n">
        <v>540158.29</v>
      </c>
      <c r="H81" t="inlineStr">
        <is>
          <t>Sales invoice INV-202505-3</t>
        </is>
      </c>
      <c r="I81" t="inlineStr">
        <is>
          <t>Verma Kirana Mart</t>
        </is>
      </c>
      <c r="J81">
        <f>YEAR(A81)*12+MONTH(A81)</f>
        <v/>
      </c>
    </row>
    <row r="82">
      <c r="A82" s="5" t="n">
        <v>45791</v>
      </c>
      <c r="B82" t="inlineStr">
        <is>
          <t>J-0030</t>
        </is>
      </c>
      <c r="C82" t="n">
        <v>3</v>
      </c>
      <c r="D82" t="inlineStr">
        <is>
          <t>2100</t>
        </is>
      </c>
      <c r="E82" t="inlineStr">
        <is>
          <t>GST Payable</t>
        </is>
      </c>
      <c r="F82" s="6" t="n">
        <v>0</v>
      </c>
      <c r="G82" s="6" t="n">
        <v>97228.49000000001</v>
      </c>
      <c r="H82" t="inlineStr">
        <is>
          <t>Sales invoice INV-202505-3</t>
        </is>
      </c>
      <c r="I82" t="inlineStr">
        <is>
          <t>GST</t>
        </is>
      </c>
      <c r="J82">
        <f>YEAR(A82)*12+MONTH(A82)</f>
        <v/>
      </c>
    </row>
    <row r="83">
      <c r="A83" s="5" t="n">
        <v>45784</v>
      </c>
      <c r="B83" t="inlineStr">
        <is>
          <t>J-0031</t>
        </is>
      </c>
      <c r="C83" t="n">
        <v>1</v>
      </c>
      <c r="D83" t="inlineStr">
        <is>
          <t>1100</t>
        </is>
      </c>
      <c r="E83" t="inlineStr">
        <is>
          <t>Accounts Receivable</t>
        </is>
      </c>
      <c r="F83" s="6" t="n">
        <v>439042.59</v>
      </c>
      <c r="G83" s="6" t="n">
        <v>0</v>
      </c>
      <c r="H83" t="inlineStr">
        <is>
          <t>Sales invoice INV-202505-4</t>
        </is>
      </c>
      <c r="I83" t="inlineStr">
        <is>
          <t>Singh Brothers Retail</t>
        </is>
      </c>
      <c r="J83">
        <f>YEAR(A83)*12+MONTH(A83)</f>
        <v/>
      </c>
    </row>
    <row r="84">
      <c r="A84" s="5" t="n">
        <v>45784</v>
      </c>
      <c r="B84" t="inlineStr">
        <is>
          <t>J-0031</t>
        </is>
      </c>
      <c r="C84" t="n">
        <v>2</v>
      </c>
      <c r="D84" t="inlineStr">
        <is>
          <t>4000</t>
        </is>
      </c>
      <c r="E84" t="inlineStr">
        <is>
          <t>Sales Revenue</t>
        </is>
      </c>
      <c r="F84" s="6" t="n">
        <v>0</v>
      </c>
      <c r="G84" s="6" t="n">
        <v>372069.99</v>
      </c>
      <c r="H84" t="inlineStr">
        <is>
          <t>Sales invoice INV-202505-4</t>
        </is>
      </c>
      <c r="I84" t="inlineStr">
        <is>
          <t>Singh Brothers Retail</t>
        </is>
      </c>
      <c r="J84">
        <f>YEAR(A84)*12+MONTH(A84)</f>
        <v/>
      </c>
    </row>
    <row r="85">
      <c r="A85" s="5" t="n">
        <v>45784</v>
      </c>
      <c r="B85" t="inlineStr">
        <is>
          <t>J-0031</t>
        </is>
      </c>
      <c r="C85" t="n">
        <v>3</v>
      </c>
      <c r="D85" t="inlineStr">
        <is>
          <t>2100</t>
        </is>
      </c>
      <c r="E85" t="inlineStr">
        <is>
          <t>GST Payable</t>
        </is>
      </c>
      <c r="F85" s="6" t="n">
        <v>0</v>
      </c>
      <c r="G85" s="6" t="n">
        <v>66972.60000000001</v>
      </c>
      <c r="H85" t="inlineStr">
        <is>
          <t>Sales invoice INV-202505-4</t>
        </is>
      </c>
      <c r="I85" t="inlineStr">
        <is>
          <t>GST</t>
        </is>
      </c>
      <c r="J85">
        <f>YEAR(A85)*12+MONTH(A85)</f>
        <v/>
      </c>
    </row>
    <row r="86">
      <c r="A86" s="5" t="n">
        <v>45800</v>
      </c>
      <c r="B86" t="inlineStr">
        <is>
          <t>J-0032</t>
        </is>
      </c>
      <c r="C86" t="n">
        <v>1</v>
      </c>
      <c r="D86" t="inlineStr">
        <is>
          <t>1100</t>
        </is>
      </c>
      <c r="E86" t="inlineStr">
        <is>
          <t>Accounts Receivable</t>
        </is>
      </c>
      <c r="F86" s="6" t="n">
        <v>470720.04</v>
      </c>
      <c r="G86" s="6" t="n">
        <v>0</v>
      </c>
      <c r="H86" t="inlineStr">
        <is>
          <t>Sales invoice INV-202505-5</t>
        </is>
      </c>
      <c r="I86" t="inlineStr">
        <is>
          <t>Patna Daily Needs</t>
        </is>
      </c>
      <c r="J86">
        <f>YEAR(A86)*12+MONTH(A86)</f>
        <v/>
      </c>
    </row>
    <row r="87">
      <c r="A87" s="5" t="n">
        <v>45800</v>
      </c>
      <c r="B87" t="inlineStr">
        <is>
          <t>J-0032</t>
        </is>
      </c>
      <c r="C87" t="n">
        <v>2</v>
      </c>
      <c r="D87" t="inlineStr">
        <is>
          <t>4000</t>
        </is>
      </c>
      <c r="E87" t="inlineStr">
        <is>
          <t>Sales Revenue</t>
        </is>
      </c>
      <c r="F87" s="6" t="n">
        <v>0</v>
      </c>
      <c r="G87" s="6" t="n">
        <v>398915.29</v>
      </c>
      <c r="H87" t="inlineStr">
        <is>
          <t>Sales invoice INV-202505-5</t>
        </is>
      </c>
      <c r="I87" t="inlineStr">
        <is>
          <t>Patna Daily Needs</t>
        </is>
      </c>
      <c r="J87">
        <f>YEAR(A87)*12+MONTH(A87)</f>
        <v/>
      </c>
    </row>
    <row r="88">
      <c r="A88" s="5" t="n">
        <v>45800</v>
      </c>
      <c r="B88" t="inlineStr">
        <is>
          <t>J-0032</t>
        </is>
      </c>
      <c r="C88" t="n">
        <v>3</v>
      </c>
      <c r="D88" t="inlineStr">
        <is>
          <t>2100</t>
        </is>
      </c>
      <c r="E88" t="inlineStr">
        <is>
          <t>GST Payable</t>
        </is>
      </c>
      <c r="F88" s="6" t="n">
        <v>0</v>
      </c>
      <c r="G88" s="6" t="n">
        <v>71804.75</v>
      </c>
      <c r="H88" t="inlineStr">
        <is>
          <t>Sales invoice INV-202505-5</t>
        </is>
      </c>
      <c r="I88" t="inlineStr">
        <is>
          <t>GST</t>
        </is>
      </c>
      <c r="J88">
        <f>YEAR(A88)*12+MONTH(A88)</f>
        <v/>
      </c>
    </row>
    <row r="89">
      <c r="A89" s="5" t="n">
        <v>45798</v>
      </c>
      <c r="B89" t="inlineStr">
        <is>
          <t>J-0033</t>
        </is>
      </c>
      <c r="C89" t="n">
        <v>1</v>
      </c>
      <c r="D89" t="inlineStr">
        <is>
          <t>1100</t>
        </is>
      </c>
      <c r="E89" t="inlineStr">
        <is>
          <t>Accounts Receivable</t>
        </is>
      </c>
      <c r="F89" s="6" t="n">
        <v>435265.03</v>
      </c>
      <c r="G89" s="6" t="n">
        <v>0</v>
      </c>
      <c r="H89" t="inlineStr">
        <is>
          <t>Sales invoice INV-202505-6</t>
        </is>
      </c>
      <c r="I89" t="inlineStr">
        <is>
          <t>Verma Kirana Mart</t>
        </is>
      </c>
      <c r="J89">
        <f>YEAR(A89)*12+MONTH(A89)</f>
        <v/>
      </c>
    </row>
    <row r="90">
      <c r="A90" s="5" t="n">
        <v>45798</v>
      </c>
      <c r="B90" t="inlineStr">
        <is>
          <t>J-0033</t>
        </is>
      </c>
      <c r="C90" t="n">
        <v>2</v>
      </c>
      <c r="D90" t="inlineStr">
        <is>
          <t>4000</t>
        </is>
      </c>
      <c r="E90" t="inlineStr">
        <is>
          <t>Sales Revenue</t>
        </is>
      </c>
      <c r="F90" s="6" t="n">
        <v>0</v>
      </c>
      <c r="G90" s="6" t="n">
        <v>368868.67</v>
      </c>
      <c r="H90" t="inlineStr">
        <is>
          <t>Sales invoice INV-202505-6</t>
        </is>
      </c>
      <c r="I90" t="inlineStr">
        <is>
          <t>Verma Kirana Mart</t>
        </is>
      </c>
      <c r="J90">
        <f>YEAR(A90)*12+MONTH(A90)</f>
        <v/>
      </c>
    </row>
    <row r="91">
      <c r="A91" s="5" t="n">
        <v>45798</v>
      </c>
      <c r="B91" t="inlineStr">
        <is>
          <t>J-0033</t>
        </is>
      </c>
      <c r="C91" t="n">
        <v>3</v>
      </c>
      <c r="D91" t="inlineStr">
        <is>
          <t>2100</t>
        </is>
      </c>
      <c r="E91" t="inlineStr">
        <is>
          <t>GST Payable</t>
        </is>
      </c>
      <c r="F91" s="6" t="n">
        <v>0</v>
      </c>
      <c r="G91" s="6" t="n">
        <v>66396.36</v>
      </c>
      <c r="H91" t="inlineStr">
        <is>
          <t>Sales invoice INV-202505-6</t>
        </is>
      </c>
      <c r="I91" t="inlineStr">
        <is>
          <t>GST</t>
        </is>
      </c>
      <c r="J91">
        <f>YEAR(A91)*12+MONTH(A91)</f>
        <v/>
      </c>
    </row>
    <row r="92">
      <c r="A92" s="5" t="n">
        <v>45786</v>
      </c>
      <c r="B92" t="inlineStr">
        <is>
          <t>J-0034</t>
        </is>
      </c>
      <c r="C92" t="n">
        <v>1</v>
      </c>
      <c r="D92" t="inlineStr">
        <is>
          <t>1100</t>
        </is>
      </c>
      <c r="E92" t="inlineStr">
        <is>
          <t>Accounts Receivable</t>
        </is>
      </c>
      <c r="F92" s="6" t="n">
        <v>561690.08</v>
      </c>
      <c r="G92" s="6" t="n">
        <v>0</v>
      </c>
      <c r="H92" t="inlineStr">
        <is>
          <t>Sales invoice INV-202505-7</t>
        </is>
      </c>
      <c r="I92" t="inlineStr">
        <is>
          <t>Maa Vaishno Stores</t>
        </is>
      </c>
      <c r="J92">
        <f>YEAR(A92)*12+MONTH(A92)</f>
        <v/>
      </c>
    </row>
    <row r="93">
      <c r="A93" s="5" t="n">
        <v>45786</v>
      </c>
      <c r="B93" t="inlineStr">
        <is>
          <t>J-0034</t>
        </is>
      </c>
      <c r="C93" t="n">
        <v>2</v>
      </c>
      <c r="D93" t="inlineStr">
        <is>
          <t>4000</t>
        </is>
      </c>
      <c r="E93" t="inlineStr">
        <is>
          <t>Sales Revenue</t>
        </is>
      </c>
      <c r="F93" s="6" t="n">
        <v>0</v>
      </c>
      <c r="G93" s="6" t="n">
        <v>476008.54</v>
      </c>
      <c r="H93" t="inlineStr">
        <is>
          <t>Sales invoice INV-202505-7</t>
        </is>
      </c>
      <c r="I93" t="inlineStr">
        <is>
          <t>Maa Vaishno Stores</t>
        </is>
      </c>
      <c r="J93">
        <f>YEAR(A93)*12+MONTH(A93)</f>
        <v/>
      </c>
    </row>
    <row r="94">
      <c r="A94" s="5" t="n">
        <v>45786</v>
      </c>
      <c r="B94" t="inlineStr">
        <is>
          <t>J-0034</t>
        </is>
      </c>
      <c r="C94" t="n">
        <v>3</v>
      </c>
      <c r="D94" t="inlineStr">
        <is>
          <t>2100</t>
        </is>
      </c>
      <c r="E94" t="inlineStr">
        <is>
          <t>GST Payable</t>
        </is>
      </c>
      <c r="F94" s="6" t="n">
        <v>0</v>
      </c>
      <c r="G94" s="6" t="n">
        <v>85681.53999999999</v>
      </c>
      <c r="H94" t="inlineStr">
        <is>
          <t>Sales invoice INV-202505-7</t>
        </is>
      </c>
      <c r="I94" t="inlineStr">
        <is>
          <t>GST</t>
        </is>
      </c>
      <c r="J94">
        <f>YEAR(A94)*12+MONTH(A94)</f>
        <v/>
      </c>
    </row>
    <row r="95">
      <c r="A95" s="5" t="n">
        <v>45804</v>
      </c>
      <c r="B95" t="inlineStr">
        <is>
          <t>J-0035</t>
        </is>
      </c>
      <c r="C95" t="n">
        <v>1</v>
      </c>
      <c r="D95" t="inlineStr">
        <is>
          <t>5000</t>
        </is>
      </c>
      <c r="E95" t="inlineStr">
        <is>
          <t>Cost of Goods Sold</t>
        </is>
      </c>
      <c r="F95" s="6" t="n">
        <v>2066323.9</v>
      </c>
      <c r="G95" s="6" t="n">
        <v>0</v>
      </c>
      <c r="H95" t="inlineStr">
        <is>
          <t>Cost of goods sold - monthly</t>
        </is>
      </c>
      <c r="I95" t="inlineStr"/>
      <c r="J95">
        <f>YEAR(A95)*12+MONTH(A95)</f>
        <v/>
      </c>
    </row>
    <row r="96">
      <c r="A96" s="5" t="n">
        <v>45804</v>
      </c>
      <c r="B96" t="inlineStr">
        <is>
          <t>J-0035</t>
        </is>
      </c>
      <c r="C96" t="n">
        <v>2</v>
      </c>
      <c r="D96" t="inlineStr">
        <is>
          <t>1200</t>
        </is>
      </c>
      <c r="E96" t="inlineStr">
        <is>
          <t>Inventory</t>
        </is>
      </c>
      <c r="F96" s="6" t="n">
        <v>0</v>
      </c>
      <c r="G96" s="6" t="n">
        <v>2066323.9</v>
      </c>
      <c r="H96" t="inlineStr">
        <is>
          <t>Cost of goods sold - monthly</t>
        </is>
      </c>
      <c r="I96" t="inlineStr"/>
      <c r="J96">
        <f>YEAR(A96)*12+MONTH(A96)</f>
        <v/>
      </c>
    </row>
    <row r="97">
      <c r="A97" s="5" t="n">
        <v>45805</v>
      </c>
      <c r="B97" t="inlineStr">
        <is>
          <t>J-0036</t>
        </is>
      </c>
      <c r="C97" t="n">
        <v>1</v>
      </c>
      <c r="D97" t="inlineStr">
        <is>
          <t>1000</t>
        </is>
      </c>
      <c r="E97" t="inlineStr">
        <is>
          <t>Cash &amp; Bank</t>
        </is>
      </c>
      <c r="F97" s="6" t="n">
        <v>2975999.29</v>
      </c>
      <c r="G97" s="6" t="n">
        <v>0</v>
      </c>
      <c r="H97" t="inlineStr">
        <is>
          <t>Customer receipts</t>
        </is>
      </c>
      <c r="I97" t="inlineStr"/>
      <c r="J97">
        <f>YEAR(A97)*12+MONTH(A97)</f>
        <v/>
      </c>
    </row>
    <row r="98">
      <c r="A98" s="5" t="n">
        <v>45805</v>
      </c>
      <c r="B98" t="inlineStr">
        <is>
          <t>J-0036</t>
        </is>
      </c>
      <c r="C98" t="n">
        <v>2</v>
      </c>
      <c r="D98" t="inlineStr">
        <is>
          <t>1100</t>
        </is>
      </c>
      <c r="E98" t="inlineStr">
        <is>
          <t>Accounts Receivable</t>
        </is>
      </c>
      <c r="F98" s="6" t="n">
        <v>0</v>
      </c>
      <c r="G98" s="6" t="n">
        <v>2975999.29</v>
      </c>
      <c r="H98" t="inlineStr">
        <is>
          <t>Customer receipts</t>
        </is>
      </c>
      <c r="I98" t="inlineStr"/>
      <c r="J98">
        <f>YEAR(A98)*12+MONTH(A98)</f>
        <v/>
      </c>
    </row>
    <row r="99">
      <c r="A99" s="5" t="n">
        <v>45787</v>
      </c>
      <c r="B99" t="inlineStr">
        <is>
          <t>J-0037</t>
        </is>
      </c>
      <c r="C99" t="n">
        <v>1</v>
      </c>
      <c r="D99" t="inlineStr">
        <is>
          <t>1200</t>
        </is>
      </c>
      <c r="E99" t="inlineStr">
        <is>
          <t>Inventory</t>
        </is>
      </c>
      <c r="F99" s="6" t="n">
        <v>457770.74</v>
      </c>
      <c r="G99" s="6" t="n">
        <v>0</v>
      </c>
      <c r="H99" t="inlineStr">
        <is>
          <t>Purchase bill PB-202505-1</t>
        </is>
      </c>
      <c r="I99" t="inlineStr">
        <is>
          <t>Ganga Logistics Pvt Ltd</t>
        </is>
      </c>
      <c r="J99">
        <f>YEAR(A99)*12+MONTH(A99)</f>
        <v/>
      </c>
    </row>
    <row r="100">
      <c r="A100" s="5" t="n">
        <v>45787</v>
      </c>
      <c r="B100" t="inlineStr">
        <is>
          <t>J-0037</t>
        </is>
      </c>
      <c r="C100" t="n">
        <v>2</v>
      </c>
      <c r="D100" t="inlineStr">
        <is>
          <t>1300</t>
        </is>
      </c>
      <c r="E100" t="inlineStr">
        <is>
          <t>GST Input Credit</t>
        </is>
      </c>
      <c r="F100" s="6" t="n">
        <v>82398.73</v>
      </c>
      <c r="G100" s="6" t="n">
        <v>0</v>
      </c>
      <c r="H100" t="inlineStr">
        <is>
          <t>Purchase bill PB-202505-1</t>
        </is>
      </c>
      <c r="I100" t="inlineStr">
        <is>
          <t>Ganga Logistics Pvt Ltd</t>
        </is>
      </c>
      <c r="J100">
        <f>YEAR(A100)*12+MONTH(A100)</f>
        <v/>
      </c>
    </row>
    <row r="101">
      <c r="A101" s="5" t="n">
        <v>45787</v>
      </c>
      <c r="B101" t="inlineStr">
        <is>
          <t>J-0037</t>
        </is>
      </c>
      <c r="C101" t="n">
        <v>3</v>
      </c>
      <c r="D101" t="inlineStr">
        <is>
          <t>2000</t>
        </is>
      </c>
      <c r="E101" t="inlineStr">
        <is>
          <t>Accounts Payable</t>
        </is>
      </c>
      <c r="F101" s="6" t="n">
        <v>0</v>
      </c>
      <c r="G101" s="6" t="n">
        <v>540169.47</v>
      </c>
      <c r="H101" t="inlineStr">
        <is>
          <t>Purchase bill PB-202505-1</t>
        </is>
      </c>
      <c r="I101" t="inlineStr">
        <is>
          <t>Ganga Logistics Pvt Ltd</t>
        </is>
      </c>
      <c r="J101">
        <f>YEAR(A101)*12+MONTH(A101)</f>
        <v/>
      </c>
    </row>
    <row r="102">
      <c r="A102" s="5" t="n">
        <v>45787</v>
      </c>
      <c r="B102" t="inlineStr">
        <is>
          <t>J-0038</t>
        </is>
      </c>
      <c r="C102" t="n">
        <v>1</v>
      </c>
      <c r="D102" t="inlineStr">
        <is>
          <t>1200</t>
        </is>
      </c>
      <c r="E102" t="inlineStr">
        <is>
          <t>Inventory</t>
        </is>
      </c>
      <c r="F102" s="6" t="n">
        <v>465506.8</v>
      </c>
      <c r="G102" s="6" t="n">
        <v>0</v>
      </c>
      <c r="H102" t="inlineStr">
        <is>
          <t>Purchase bill PB-202505-2</t>
        </is>
      </c>
      <c r="I102" t="inlineStr">
        <is>
          <t>Hindustan Foods Ltd</t>
        </is>
      </c>
      <c r="J102">
        <f>YEAR(A102)*12+MONTH(A102)</f>
        <v/>
      </c>
    </row>
    <row r="103">
      <c r="A103" s="5" t="n">
        <v>45787</v>
      </c>
      <c r="B103" t="inlineStr">
        <is>
          <t>J-0038</t>
        </is>
      </c>
      <c r="C103" t="n">
        <v>2</v>
      </c>
      <c r="D103" t="inlineStr">
        <is>
          <t>1300</t>
        </is>
      </c>
      <c r="E103" t="inlineStr">
        <is>
          <t>GST Input Credit</t>
        </is>
      </c>
      <c r="F103" s="6" t="n">
        <v>83791.22</v>
      </c>
      <c r="G103" s="6" t="n">
        <v>0</v>
      </c>
      <c r="H103" t="inlineStr">
        <is>
          <t>Purchase bill PB-202505-2</t>
        </is>
      </c>
      <c r="I103" t="inlineStr">
        <is>
          <t>Hindustan Foods Ltd</t>
        </is>
      </c>
      <c r="J103">
        <f>YEAR(A103)*12+MONTH(A103)</f>
        <v/>
      </c>
    </row>
    <row r="104">
      <c r="A104" s="5" t="n">
        <v>45787</v>
      </c>
      <c r="B104" t="inlineStr">
        <is>
          <t>J-0038</t>
        </is>
      </c>
      <c r="C104" t="n">
        <v>3</v>
      </c>
      <c r="D104" t="inlineStr">
        <is>
          <t>2000</t>
        </is>
      </c>
      <c r="E104" t="inlineStr">
        <is>
          <t>Accounts Payable</t>
        </is>
      </c>
      <c r="F104" s="6" t="n">
        <v>0</v>
      </c>
      <c r="G104" s="6" t="n">
        <v>549298.02</v>
      </c>
      <c r="H104" t="inlineStr">
        <is>
          <t>Purchase bill PB-202505-2</t>
        </is>
      </c>
      <c r="I104" t="inlineStr">
        <is>
          <t>Hindustan Foods Ltd</t>
        </is>
      </c>
      <c r="J104">
        <f>YEAR(A104)*12+MONTH(A104)</f>
        <v/>
      </c>
    </row>
    <row r="105">
      <c r="A105" s="5" t="n">
        <v>45792</v>
      </c>
      <c r="B105" t="inlineStr">
        <is>
          <t>J-0039</t>
        </is>
      </c>
      <c r="C105" t="n">
        <v>1</v>
      </c>
      <c r="D105" t="inlineStr">
        <is>
          <t>1200</t>
        </is>
      </c>
      <c r="E105" t="inlineStr">
        <is>
          <t>Inventory</t>
        </is>
      </c>
      <c r="F105" s="6" t="n">
        <v>489294.99</v>
      </c>
      <c r="G105" s="6" t="n">
        <v>0</v>
      </c>
      <c r="H105" t="inlineStr">
        <is>
          <t>Purchase bill PB-202505-3</t>
        </is>
      </c>
      <c r="I105" t="inlineStr">
        <is>
          <t>National FMCG Distributors</t>
        </is>
      </c>
      <c r="J105">
        <f>YEAR(A105)*12+MONTH(A105)</f>
        <v/>
      </c>
    </row>
    <row r="106">
      <c r="A106" s="5" t="n">
        <v>45792</v>
      </c>
      <c r="B106" t="inlineStr">
        <is>
          <t>J-0039</t>
        </is>
      </c>
      <c r="C106" t="n">
        <v>2</v>
      </c>
      <c r="D106" t="inlineStr">
        <is>
          <t>1300</t>
        </is>
      </c>
      <c r="E106" t="inlineStr">
        <is>
          <t>GST Input Credit</t>
        </is>
      </c>
      <c r="F106" s="6" t="n">
        <v>88073.10000000001</v>
      </c>
      <c r="G106" s="6" t="n">
        <v>0</v>
      </c>
      <c r="H106" t="inlineStr">
        <is>
          <t>Purchase bill PB-202505-3</t>
        </is>
      </c>
      <c r="I106" t="inlineStr">
        <is>
          <t>National FMCG Distributors</t>
        </is>
      </c>
      <c r="J106">
        <f>YEAR(A106)*12+MONTH(A106)</f>
        <v/>
      </c>
    </row>
    <row r="107">
      <c r="A107" s="5" t="n">
        <v>45792</v>
      </c>
      <c r="B107" t="inlineStr">
        <is>
          <t>J-0039</t>
        </is>
      </c>
      <c r="C107" t="n">
        <v>3</v>
      </c>
      <c r="D107" t="inlineStr">
        <is>
          <t>2000</t>
        </is>
      </c>
      <c r="E107" t="inlineStr">
        <is>
          <t>Accounts Payable</t>
        </is>
      </c>
      <c r="F107" s="6" t="n">
        <v>0</v>
      </c>
      <c r="G107" s="6" t="n">
        <v>577368.09</v>
      </c>
      <c r="H107" t="inlineStr">
        <is>
          <t>Purchase bill PB-202505-3</t>
        </is>
      </c>
      <c r="I107" t="inlineStr">
        <is>
          <t>National FMCG Distributors</t>
        </is>
      </c>
      <c r="J107">
        <f>YEAR(A107)*12+MONTH(A107)</f>
        <v/>
      </c>
    </row>
    <row r="108">
      <c r="A108" s="5" t="n">
        <v>45798</v>
      </c>
      <c r="B108" t="inlineStr">
        <is>
          <t>J-0040</t>
        </is>
      </c>
      <c r="C108" t="n">
        <v>1</v>
      </c>
      <c r="D108" t="inlineStr">
        <is>
          <t>1200</t>
        </is>
      </c>
      <c r="E108" t="inlineStr">
        <is>
          <t>Inventory</t>
        </is>
      </c>
      <c r="F108" s="6" t="n">
        <v>393221.78</v>
      </c>
      <c r="G108" s="6" t="n">
        <v>0</v>
      </c>
      <c r="H108" t="inlineStr">
        <is>
          <t>Purchase bill PB-202505-4</t>
        </is>
      </c>
      <c r="I108" t="inlineStr">
        <is>
          <t>Bihar Agro Supplies</t>
        </is>
      </c>
      <c r="J108">
        <f>YEAR(A108)*12+MONTH(A108)</f>
        <v/>
      </c>
    </row>
    <row r="109">
      <c r="A109" s="5" t="n">
        <v>45798</v>
      </c>
      <c r="B109" t="inlineStr">
        <is>
          <t>J-0040</t>
        </is>
      </c>
      <c r="C109" t="n">
        <v>2</v>
      </c>
      <c r="D109" t="inlineStr">
        <is>
          <t>1300</t>
        </is>
      </c>
      <c r="E109" t="inlineStr">
        <is>
          <t>GST Input Credit</t>
        </is>
      </c>
      <c r="F109" s="6" t="n">
        <v>70779.92</v>
      </c>
      <c r="G109" s="6" t="n">
        <v>0</v>
      </c>
      <c r="H109" t="inlineStr">
        <is>
          <t>Purchase bill PB-202505-4</t>
        </is>
      </c>
      <c r="I109" t="inlineStr">
        <is>
          <t>Bihar Agro Supplies</t>
        </is>
      </c>
      <c r="J109">
        <f>YEAR(A109)*12+MONTH(A109)</f>
        <v/>
      </c>
    </row>
    <row r="110">
      <c r="A110" s="5" t="n">
        <v>45798</v>
      </c>
      <c r="B110" t="inlineStr">
        <is>
          <t>J-0040</t>
        </is>
      </c>
      <c r="C110" t="n">
        <v>3</v>
      </c>
      <c r="D110" t="inlineStr">
        <is>
          <t>2000</t>
        </is>
      </c>
      <c r="E110" t="inlineStr">
        <is>
          <t>Accounts Payable</t>
        </is>
      </c>
      <c r="F110" s="6" t="n">
        <v>0</v>
      </c>
      <c r="G110" s="6" t="n">
        <v>464001.7</v>
      </c>
      <c r="H110" t="inlineStr">
        <is>
          <t>Purchase bill PB-202505-4</t>
        </is>
      </c>
      <c r="I110" t="inlineStr">
        <is>
          <t>Bihar Agro Supplies</t>
        </is>
      </c>
      <c r="J110">
        <f>YEAR(A110)*12+MONTH(A110)</f>
        <v/>
      </c>
    </row>
    <row r="111">
      <c r="A111" s="5" t="n">
        <v>45786</v>
      </c>
      <c r="B111" t="inlineStr">
        <is>
          <t>J-0041</t>
        </is>
      </c>
      <c r="C111" t="n">
        <v>1</v>
      </c>
      <c r="D111" t="inlineStr">
        <is>
          <t>1200</t>
        </is>
      </c>
      <c r="E111" t="inlineStr">
        <is>
          <t>Inventory</t>
        </is>
      </c>
      <c r="F111" s="6" t="n">
        <v>498756.46</v>
      </c>
      <c r="G111" s="6" t="n">
        <v>0</v>
      </c>
      <c r="H111" t="inlineStr">
        <is>
          <t>Purchase bill PB-202505-5</t>
        </is>
      </c>
      <c r="I111" t="inlineStr">
        <is>
          <t>National FMCG Distributors</t>
        </is>
      </c>
      <c r="J111">
        <f>YEAR(A111)*12+MONTH(A111)</f>
        <v/>
      </c>
    </row>
    <row r="112">
      <c r="A112" s="5" t="n">
        <v>45786</v>
      </c>
      <c r="B112" t="inlineStr">
        <is>
          <t>J-0041</t>
        </is>
      </c>
      <c r="C112" t="n">
        <v>2</v>
      </c>
      <c r="D112" t="inlineStr">
        <is>
          <t>1300</t>
        </is>
      </c>
      <c r="E112" t="inlineStr">
        <is>
          <t>GST Input Credit</t>
        </is>
      </c>
      <c r="F112" s="6" t="n">
        <v>89776.16</v>
      </c>
      <c r="G112" s="6" t="n">
        <v>0</v>
      </c>
      <c r="H112" t="inlineStr">
        <is>
          <t>Purchase bill PB-202505-5</t>
        </is>
      </c>
      <c r="I112" t="inlineStr">
        <is>
          <t>National FMCG Distributors</t>
        </is>
      </c>
      <c r="J112">
        <f>YEAR(A112)*12+MONTH(A112)</f>
        <v/>
      </c>
    </row>
    <row r="113">
      <c r="A113" s="5" t="n">
        <v>45786</v>
      </c>
      <c r="B113" t="inlineStr">
        <is>
          <t>J-0041</t>
        </is>
      </c>
      <c r="C113" t="n">
        <v>3</v>
      </c>
      <c r="D113" t="inlineStr">
        <is>
          <t>2000</t>
        </is>
      </c>
      <c r="E113" t="inlineStr">
        <is>
          <t>Accounts Payable</t>
        </is>
      </c>
      <c r="F113" s="6" t="n">
        <v>0</v>
      </c>
      <c r="G113" s="6" t="n">
        <v>588532.62</v>
      </c>
      <c r="H113" t="inlineStr">
        <is>
          <t>Purchase bill PB-202505-5</t>
        </is>
      </c>
      <c r="I113" t="inlineStr">
        <is>
          <t>National FMCG Distributors</t>
        </is>
      </c>
      <c r="J113">
        <f>YEAR(A113)*12+MONTH(A113)</f>
        <v/>
      </c>
    </row>
    <row r="114">
      <c r="A114" s="5" t="n">
        <v>45806</v>
      </c>
      <c r="B114" t="inlineStr">
        <is>
          <t>J-0042</t>
        </is>
      </c>
      <c r="C114" t="n">
        <v>1</v>
      </c>
      <c r="D114" t="inlineStr">
        <is>
          <t>2000</t>
        </is>
      </c>
      <c r="E114" t="inlineStr">
        <is>
          <t>Accounts Payable</t>
        </is>
      </c>
      <c r="F114" s="6" t="n">
        <v>2341614.06</v>
      </c>
      <c r="G114" s="6" t="n">
        <v>0</v>
      </c>
      <c r="H114" t="inlineStr">
        <is>
          <t>Vendor payments</t>
        </is>
      </c>
      <c r="I114" t="inlineStr"/>
      <c r="J114">
        <f>YEAR(A114)*12+MONTH(A114)</f>
        <v/>
      </c>
    </row>
    <row r="115">
      <c r="A115" s="5" t="n">
        <v>45806</v>
      </c>
      <c r="B115" t="inlineStr">
        <is>
          <t>J-0042</t>
        </is>
      </c>
      <c r="C115" t="n">
        <v>2</v>
      </c>
      <c r="D115" t="inlineStr">
        <is>
          <t>1000</t>
        </is>
      </c>
      <c r="E115" t="inlineStr">
        <is>
          <t>Cash &amp; Bank</t>
        </is>
      </c>
      <c r="F115" s="6" t="n">
        <v>0</v>
      </c>
      <c r="G115" s="6" t="n">
        <v>2341614.06</v>
      </c>
      <c r="H115" t="inlineStr">
        <is>
          <t>Vendor payments</t>
        </is>
      </c>
      <c r="I115" t="inlineStr"/>
      <c r="J115">
        <f>YEAR(A115)*12+MONTH(A115)</f>
        <v/>
      </c>
    </row>
    <row r="116">
      <c r="A116" s="5" t="n">
        <v>45807</v>
      </c>
      <c r="B116" t="inlineStr">
        <is>
          <t>J-0043</t>
        </is>
      </c>
      <c r="C116" t="n">
        <v>1</v>
      </c>
      <c r="D116" t="inlineStr">
        <is>
          <t>2100</t>
        </is>
      </c>
      <c r="E116" t="inlineStr">
        <is>
          <t>GST Payable</t>
        </is>
      </c>
      <c r="F116" s="6" t="n">
        <v>151615.18</v>
      </c>
      <c r="G116" s="6" t="n">
        <v>0</v>
      </c>
      <c r="H116" t="inlineStr">
        <is>
          <t>GST paid for month</t>
        </is>
      </c>
      <c r="I116" t="inlineStr">
        <is>
          <t>GST</t>
        </is>
      </c>
      <c r="J116">
        <f>YEAR(A116)*12+MONTH(A116)</f>
        <v/>
      </c>
    </row>
    <row r="117">
      <c r="A117" s="5" t="n">
        <v>45807</v>
      </c>
      <c r="B117" t="inlineStr">
        <is>
          <t>J-0043</t>
        </is>
      </c>
      <c r="C117" t="n">
        <v>2</v>
      </c>
      <c r="D117" t="inlineStr">
        <is>
          <t>1000</t>
        </is>
      </c>
      <c r="E117" t="inlineStr">
        <is>
          <t>Cash &amp; Bank</t>
        </is>
      </c>
      <c r="F117" s="6" t="n">
        <v>0</v>
      </c>
      <c r="G117" s="6" t="n">
        <v>151615.18</v>
      </c>
      <c r="H117" t="inlineStr">
        <is>
          <t>GST paid for month</t>
        </is>
      </c>
      <c r="I117" t="inlineStr">
        <is>
          <t>GST</t>
        </is>
      </c>
      <c r="J117">
        <f>YEAR(A117)*12+MONTH(A117)</f>
        <v/>
      </c>
    </row>
    <row r="118">
      <c r="A118" s="5" t="n">
        <v>45782</v>
      </c>
      <c r="B118" t="inlineStr">
        <is>
          <t>J-0044</t>
        </is>
      </c>
      <c r="C118" t="n">
        <v>1</v>
      </c>
      <c r="D118" t="inlineStr">
        <is>
          <t>5100</t>
        </is>
      </c>
      <c r="E118" t="inlineStr">
        <is>
          <t>Rent Expense</t>
        </is>
      </c>
      <c r="F118" s="6" t="n">
        <v>25000</v>
      </c>
      <c r="G118" s="6" t="n">
        <v>0</v>
      </c>
      <c r="H118" t="inlineStr">
        <is>
          <t>Office rent</t>
        </is>
      </c>
      <c r="I118" t="inlineStr"/>
      <c r="J118">
        <f>YEAR(A118)*12+MONTH(A118)</f>
        <v/>
      </c>
    </row>
    <row r="119">
      <c r="A119" s="5" t="n">
        <v>45782</v>
      </c>
      <c r="B119" t="inlineStr">
        <is>
          <t>J-0044</t>
        </is>
      </c>
      <c r="C119" t="n">
        <v>2</v>
      </c>
      <c r="D119" t="inlineStr">
        <is>
          <t>1000</t>
        </is>
      </c>
      <c r="E119" t="inlineStr">
        <is>
          <t>Cash &amp; Bank</t>
        </is>
      </c>
      <c r="F119" s="6" t="n">
        <v>0</v>
      </c>
      <c r="G119" s="6" t="n">
        <v>25000</v>
      </c>
      <c r="H119" t="inlineStr">
        <is>
          <t>Office rent</t>
        </is>
      </c>
      <c r="I119" t="inlineStr"/>
      <c r="J119">
        <f>YEAR(A119)*12+MONTH(A119)</f>
        <v/>
      </c>
    </row>
    <row r="120">
      <c r="A120" s="5" t="n">
        <v>45784</v>
      </c>
      <c r="B120" t="inlineStr">
        <is>
          <t>J-0045</t>
        </is>
      </c>
      <c r="C120" t="n">
        <v>1</v>
      </c>
      <c r="D120" t="inlineStr">
        <is>
          <t>5200</t>
        </is>
      </c>
      <c r="E120" t="inlineStr">
        <is>
          <t>Salaries Expense</t>
        </is>
      </c>
      <c r="F120" s="6" t="n">
        <v>109540.78</v>
      </c>
      <c r="G120" s="6" t="n">
        <v>0</v>
      </c>
      <c r="H120" t="inlineStr">
        <is>
          <t>Staff salaries</t>
        </is>
      </c>
      <c r="I120" t="inlineStr"/>
      <c r="J120">
        <f>YEAR(A120)*12+MONTH(A120)</f>
        <v/>
      </c>
    </row>
    <row r="121">
      <c r="A121" s="5" t="n">
        <v>45784</v>
      </c>
      <c r="B121" t="inlineStr">
        <is>
          <t>J-0045</t>
        </is>
      </c>
      <c r="C121" t="n">
        <v>2</v>
      </c>
      <c r="D121" t="inlineStr">
        <is>
          <t>1000</t>
        </is>
      </c>
      <c r="E121" t="inlineStr">
        <is>
          <t>Cash &amp; Bank</t>
        </is>
      </c>
      <c r="F121" s="6" t="n">
        <v>0</v>
      </c>
      <c r="G121" s="6" t="n">
        <v>109540.78</v>
      </c>
      <c r="H121" t="inlineStr">
        <is>
          <t>Staff salaries</t>
        </is>
      </c>
      <c r="I121" t="inlineStr"/>
      <c r="J121">
        <f>YEAR(A121)*12+MONTH(A121)</f>
        <v/>
      </c>
    </row>
    <row r="122">
      <c r="A122" s="5" t="n">
        <v>45789</v>
      </c>
      <c r="B122" t="inlineStr">
        <is>
          <t>J-0046</t>
        </is>
      </c>
      <c r="C122" t="n">
        <v>1</v>
      </c>
      <c r="D122" t="inlineStr">
        <is>
          <t>5300</t>
        </is>
      </c>
      <c r="E122" t="inlineStr">
        <is>
          <t>Utilities Expense</t>
        </is>
      </c>
      <c r="F122" s="6" t="n">
        <v>9286.370000000001</v>
      </c>
      <c r="G122" s="6" t="n">
        <v>0</v>
      </c>
      <c r="H122" t="inlineStr">
        <is>
          <t>Utilities (power/water/phone)</t>
        </is>
      </c>
      <c r="I122" t="inlineStr"/>
      <c r="J122">
        <f>YEAR(A122)*12+MONTH(A122)</f>
        <v/>
      </c>
    </row>
    <row r="123">
      <c r="A123" s="5" t="n">
        <v>45789</v>
      </c>
      <c r="B123" t="inlineStr">
        <is>
          <t>J-0046</t>
        </is>
      </c>
      <c r="C123" t="n">
        <v>2</v>
      </c>
      <c r="D123" t="inlineStr">
        <is>
          <t>1000</t>
        </is>
      </c>
      <c r="E123" t="inlineStr">
        <is>
          <t>Cash &amp; Bank</t>
        </is>
      </c>
      <c r="F123" s="6" t="n">
        <v>0</v>
      </c>
      <c r="G123" s="6" t="n">
        <v>9286.370000000001</v>
      </c>
      <c r="H123" t="inlineStr">
        <is>
          <t>Utilities (power/water/phone)</t>
        </is>
      </c>
      <c r="I123" t="inlineStr"/>
      <c r="J123">
        <f>YEAR(A123)*12+MONTH(A123)</f>
        <v/>
      </c>
    </row>
    <row r="124">
      <c r="A124" s="5" t="n">
        <v>45795</v>
      </c>
      <c r="B124" t="inlineStr">
        <is>
          <t>J-0047</t>
        </is>
      </c>
      <c r="C124" t="n">
        <v>1</v>
      </c>
      <c r="D124" t="inlineStr">
        <is>
          <t>5400</t>
        </is>
      </c>
      <c r="E124" t="inlineStr">
        <is>
          <t>Transport &amp; Logistics</t>
        </is>
      </c>
      <c r="F124" s="6" t="n">
        <v>18211.96</v>
      </c>
      <c r="G124" s="6" t="n">
        <v>0</v>
      </c>
      <c r="H124" t="inlineStr">
        <is>
          <t>Transport &amp; logistics</t>
        </is>
      </c>
      <c r="I124" t="inlineStr"/>
      <c r="J124">
        <f>YEAR(A124)*12+MONTH(A124)</f>
        <v/>
      </c>
    </row>
    <row r="125">
      <c r="A125" s="5" t="n">
        <v>45795</v>
      </c>
      <c r="B125" t="inlineStr">
        <is>
          <t>J-0047</t>
        </is>
      </c>
      <c r="C125" t="n">
        <v>2</v>
      </c>
      <c r="D125" t="inlineStr">
        <is>
          <t>1000</t>
        </is>
      </c>
      <c r="E125" t="inlineStr">
        <is>
          <t>Cash &amp; Bank</t>
        </is>
      </c>
      <c r="F125" s="6" t="n">
        <v>0</v>
      </c>
      <c r="G125" s="6" t="n">
        <v>18211.96</v>
      </c>
      <c r="H125" t="inlineStr">
        <is>
          <t>Transport &amp; logistics</t>
        </is>
      </c>
      <c r="I125" t="inlineStr"/>
      <c r="J125">
        <f>YEAR(A125)*12+MONTH(A125)</f>
        <v/>
      </c>
    </row>
    <row r="126">
      <c r="A126" s="5" t="n">
        <v>45797</v>
      </c>
      <c r="B126" t="inlineStr">
        <is>
          <t>J-0048</t>
        </is>
      </c>
      <c r="C126" t="n">
        <v>1</v>
      </c>
      <c r="D126" t="inlineStr">
        <is>
          <t>5500</t>
        </is>
      </c>
      <c r="E126" t="inlineStr">
        <is>
          <t>Marketing Expense</t>
        </is>
      </c>
      <c r="F126" s="6" t="n">
        <v>14119.04</v>
      </c>
      <c r="G126" s="6" t="n">
        <v>0</v>
      </c>
      <c r="H126" t="inlineStr">
        <is>
          <t>Marketing &amp; promotions</t>
        </is>
      </c>
      <c r="I126" t="inlineStr"/>
      <c r="J126">
        <f>YEAR(A126)*12+MONTH(A126)</f>
        <v/>
      </c>
    </row>
    <row r="127">
      <c r="A127" s="5" t="n">
        <v>45797</v>
      </c>
      <c r="B127" t="inlineStr">
        <is>
          <t>J-0048</t>
        </is>
      </c>
      <c r="C127" t="n">
        <v>2</v>
      </c>
      <c r="D127" t="inlineStr">
        <is>
          <t>1000</t>
        </is>
      </c>
      <c r="E127" t="inlineStr">
        <is>
          <t>Cash &amp; Bank</t>
        </is>
      </c>
      <c r="F127" s="6" t="n">
        <v>0</v>
      </c>
      <c r="G127" s="6" t="n">
        <v>14119.04</v>
      </c>
      <c r="H127" t="inlineStr">
        <is>
          <t>Marketing &amp; promotions</t>
        </is>
      </c>
      <c r="I127" t="inlineStr"/>
      <c r="J127">
        <f>YEAR(A127)*12+MONTH(A127)</f>
        <v/>
      </c>
    </row>
    <row r="128">
      <c r="A128" s="5" t="n">
        <v>45787</v>
      </c>
      <c r="B128" t="inlineStr">
        <is>
          <t>J-0049</t>
        </is>
      </c>
      <c r="C128" t="n">
        <v>1</v>
      </c>
      <c r="D128" t="inlineStr">
        <is>
          <t>5600</t>
        </is>
      </c>
      <c r="E128" t="inlineStr">
        <is>
          <t>Interest Expense</t>
        </is>
      </c>
      <c r="F128" s="6" t="n">
        <v>9000</v>
      </c>
      <c r="G128" s="6" t="n">
        <v>0</v>
      </c>
      <c r="H128" t="inlineStr">
        <is>
          <t>Term loan interest</t>
        </is>
      </c>
      <c r="I128" t="inlineStr">
        <is>
          <t>HDFC</t>
        </is>
      </c>
      <c r="J128">
        <f>YEAR(A128)*12+MONTH(A128)</f>
        <v/>
      </c>
    </row>
    <row r="129">
      <c r="A129" s="5" t="n">
        <v>45787</v>
      </c>
      <c r="B129" t="inlineStr">
        <is>
          <t>J-0049</t>
        </is>
      </c>
      <c r="C129" t="n">
        <v>2</v>
      </c>
      <c r="D129" t="inlineStr">
        <is>
          <t>1000</t>
        </is>
      </c>
      <c r="E129" t="inlineStr">
        <is>
          <t>Cash &amp; Bank</t>
        </is>
      </c>
      <c r="F129" s="6" t="n">
        <v>0</v>
      </c>
      <c r="G129" s="6" t="n">
        <v>9000</v>
      </c>
      <c r="H129" t="inlineStr">
        <is>
          <t>Term loan interest</t>
        </is>
      </c>
      <c r="I129" t="inlineStr">
        <is>
          <t>HDFC</t>
        </is>
      </c>
      <c r="J129">
        <f>YEAR(A129)*12+MONTH(A129)</f>
        <v/>
      </c>
    </row>
    <row r="130">
      <c r="A130" s="5" t="n">
        <v>45787</v>
      </c>
      <c r="B130" t="inlineStr">
        <is>
          <t>J-0050</t>
        </is>
      </c>
      <c r="C130" t="n">
        <v>1</v>
      </c>
      <c r="D130" t="inlineStr">
        <is>
          <t>2200</t>
        </is>
      </c>
      <c r="E130" t="inlineStr">
        <is>
          <t>Term Loan</t>
        </is>
      </c>
      <c r="F130" s="6" t="n">
        <v>55000</v>
      </c>
      <c r="G130" s="6" t="n">
        <v>0</v>
      </c>
      <c r="H130" t="inlineStr">
        <is>
          <t>Term loan principal repayment</t>
        </is>
      </c>
      <c r="I130" t="inlineStr">
        <is>
          <t>HDFC</t>
        </is>
      </c>
      <c r="J130">
        <f>YEAR(A130)*12+MONTH(A130)</f>
        <v/>
      </c>
    </row>
    <row r="131">
      <c r="A131" s="5" t="n">
        <v>45787</v>
      </c>
      <c r="B131" t="inlineStr">
        <is>
          <t>J-0050</t>
        </is>
      </c>
      <c r="C131" t="n">
        <v>2</v>
      </c>
      <c r="D131" t="inlineStr">
        <is>
          <t>1000</t>
        </is>
      </c>
      <c r="E131" t="inlineStr">
        <is>
          <t>Cash &amp; Bank</t>
        </is>
      </c>
      <c r="F131" s="6" t="n">
        <v>0</v>
      </c>
      <c r="G131" s="6" t="n">
        <v>55000</v>
      </c>
      <c r="H131" t="inlineStr">
        <is>
          <t>Term loan principal repayment</t>
        </is>
      </c>
      <c r="I131" t="inlineStr">
        <is>
          <t>HDFC</t>
        </is>
      </c>
      <c r="J131">
        <f>YEAR(A131)*12+MONTH(A131)</f>
        <v/>
      </c>
    </row>
    <row r="132">
      <c r="A132" s="5" t="n">
        <v>45807</v>
      </c>
      <c r="B132" t="inlineStr">
        <is>
          <t>J-0051</t>
        </is>
      </c>
      <c r="C132" t="n">
        <v>1</v>
      </c>
      <c r="D132" t="inlineStr">
        <is>
          <t>5700</t>
        </is>
      </c>
      <c r="E132" t="inlineStr">
        <is>
          <t>Depreciation Expense</t>
        </is>
      </c>
      <c r="F132" s="6" t="n">
        <v>6000</v>
      </c>
      <c r="G132" s="6" t="n">
        <v>0</v>
      </c>
      <c r="H132" t="inlineStr">
        <is>
          <t>Depreciation - equipment</t>
        </is>
      </c>
      <c r="I132" t="inlineStr"/>
      <c r="J132">
        <f>YEAR(A132)*12+MONTH(A132)</f>
        <v/>
      </c>
    </row>
    <row r="133">
      <c r="A133" s="5" t="n">
        <v>45807</v>
      </c>
      <c r="B133" t="inlineStr">
        <is>
          <t>J-0051</t>
        </is>
      </c>
      <c r="C133" t="n">
        <v>2</v>
      </c>
      <c r="D133" t="inlineStr">
        <is>
          <t>1510</t>
        </is>
      </c>
      <c r="E133" t="inlineStr">
        <is>
          <t>Accumulated Depreciation</t>
        </is>
      </c>
      <c r="F133" s="6" t="n">
        <v>0</v>
      </c>
      <c r="G133" s="6" t="n">
        <v>6000</v>
      </c>
      <c r="H133" t="inlineStr">
        <is>
          <t>Depreciation - equipment</t>
        </is>
      </c>
      <c r="I133" t="inlineStr"/>
      <c r="J133">
        <f>YEAR(A133)*12+MONTH(A133)</f>
        <v/>
      </c>
    </row>
    <row r="134">
      <c r="A134" s="5" t="n">
        <v>45793</v>
      </c>
      <c r="B134" t="inlineStr">
        <is>
          <t>J-0052</t>
        </is>
      </c>
      <c r="C134" t="n">
        <v>1</v>
      </c>
      <c r="D134" t="inlineStr">
        <is>
          <t>5800</t>
        </is>
      </c>
      <c r="E134" t="inlineStr">
        <is>
          <t>Miscellaneous Expense</t>
        </is>
      </c>
      <c r="F134" s="6" t="n">
        <v>6368.21</v>
      </c>
      <c r="G134" s="6" t="n">
        <v>0</v>
      </c>
      <c r="H134" t="inlineStr">
        <is>
          <t>Miscellaneous expenses</t>
        </is>
      </c>
      <c r="I134" t="inlineStr"/>
      <c r="J134">
        <f>YEAR(A134)*12+MONTH(A134)</f>
        <v/>
      </c>
    </row>
    <row r="135">
      <c r="A135" s="5" t="n">
        <v>45793</v>
      </c>
      <c r="B135" t="inlineStr">
        <is>
          <t>J-0052</t>
        </is>
      </c>
      <c r="C135" t="n">
        <v>2</v>
      </c>
      <c r="D135" t="inlineStr">
        <is>
          <t>1000</t>
        </is>
      </c>
      <c r="E135" t="inlineStr">
        <is>
          <t>Cash &amp; Bank</t>
        </is>
      </c>
      <c r="F135" s="6" t="n">
        <v>0</v>
      </c>
      <c r="G135" s="6" t="n">
        <v>6368.21</v>
      </c>
      <c r="H135" t="inlineStr">
        <is>
          <t>Miscellaneous expenses</t>
        </is>
      </c>
      <c r="I135" t="inlineStr"/>
      <c r="J135">
        <f>YEAR(A135)*12+MONTH(A135)</f>
        <v/>
      </c>
    </row>
    <row r="136">
      <c r="A136" s="5" t="n">
        <v>45822</v>
      </c>
      <c r="B136" t="inlineStr">
        <is>
          <t>J-0053</t>
        </is>
      </c>
      <c r="C136" t="n">
        <v>1</v>
      </c>
      <c r="D136" t="inlineStr">
        <is>
          <t>1100</t>
        </is>
      </c>
      <c r="E136" t="inlineStr">
        <is>
          <t>Accounts Receivable</t>
        </is>
      </c>
      <c r="F136" s="6" t="n">
        <v>508141.18</v>
      </c>
      <c r="G136" s="6" t="n">
        <v>0</v>
      </c>
      <c r="H136" t="inlineStr">
        <is>
          <t>Sales invoice INV-202506-1</t>
        </is>
      </c>
      <c r="I136" t="inlineStr">
        <is>
          <t>Annapurna Retail</t>
        </is>
      </c>
      <c r="J136">
        <f>YEAR(A136)*12+MONTH(A136)</f>
        <v/>
      </c>
    </row>
    <row r="137">
      <c r="A137" s="5" t="n">
        <v>45822</v>
      </c>
      <c r="B137" t="inlineStr">
        <is>
          <t>J-0053</t>
        </is>
      </c>
      <c r="C137" t="n">
        <v>2</v>
      </c>
      <c r="D137" t="inlineStr">
        <is>
          <t>4000</t>
        </is>
      </c>
      <c r="E137" t="inlineStr">
        <is>
          <t>Sales Revenue</t>
        </is>
      </c>
      <c r="F137" s="6" t="n">
        <v>0</v>
      </c>
      <c r="G137" s="6" t="n">
        <v>430628.12</v>
      </c>
      <c r="H137" t="inlineStr">
        <is>
          <t>Sales invoice INV-202506-1</t>
        </is>
      </c>
      <c r="I137" t="inlineStr">
        <is>
          <t>Annapurna Retail</t>
        </is>
      </c>
      <c r="J137">
        <f>YEAR(A137)*12+MONTH(A137)</f>
        <v/>
      </c>
    </row>
    <row r="138">
      <c r="A138" s="5" t="n">
        <v>45822</v>
      </c>
      <c r="B138" t="inlineStr">
        <is>
          <t>J-0053</t>
        </is>
      </c>
      <c r="C138" t="n">
        <v>3</v>
      </c>
      <c r="D138" t="inlineStr">
        <is>
          <t>2100</t>
        </is>
      </c>
      <c r="E138" t="inlineStr">
        <is>
          <t>GST Payable</t>
        </is>
      </c>
      <c r="F138" s="6" t="n">
        <v>0</v>
      </c>
      <c r="G138" s="6" t="n">
        <v>77513.06</v>
      </c>
      <c r="H138" t="inlineStr">
        <is>
          <t>Sales invoice INV-202506-1</t>
        </is>
      </c>
      <c r="I138" t="inlineStr">
        <is>
          <t>GST</t>
        </is>
      </c>
      <c r="J138">
        <f>YEAR(A138)*12+MONTH(A138)</f>
        <v/>
      </c>
    </row>
    <row r="139">
      <c r="A139" s="5" t="n">
        <v>45826</v>
      </c>
      <c r="B139" t="inlineStr">
        <is>
          <t>J-0054</t>
        </is>
      </c>
      <c r="C139" t="n">
        <v>1</v>
      </c>
      <c r="D139" t="inlineStr">
        <is>
          <t>1100</t>
        </is>
      </c>
      <c r="E139" t="inlineStr">
        <is>
          <t>Accounts Receivable</t>
        </is>
      </c>
      <c r="F139" s="6" t="n">
        <v>484507.21</v>
      </c>
      <c r="G139" s="6" t="n">
        <v>0</v>
      </c>
      <c r="H139" t="inlineStr">
        <is>
          <t>Sales invoice INV-202506-2</t>
        </is>
      </c>
      <c r="I139" t="inlineStr">
        <is>
          <t>Gupta Super Bazaar</t>
        </is>
      </c>
      <c r="J139">
        <f>YEAR(A139)*12+MONTH(A139)</f>
        <v/>
      </c>
    </row>
    <row r="140">
      <c r="A140" s="5" t="n">
        <v>45826</v>
      </c>
      <c r="B140" t="inlineStr">
        <is>
          <t>J-0054</t>
        </is>
      </c>
      <c r="C140" t="n">
        <v>2</v>
      </c>
      <c r="D140" t="inlineStr">
        <is>
          <t>4000</t>
        </is>
      </c>
      <c r="E140" t="inlineStr">
        <is>
          <t>Sales Revenue</t>
        </is>
      </c>
      <c r="F140" s="6" t="n">
        <v>0</v>
      </c>
      <c r="G140" s="6" t="n">
        <v>410599.33</v>
      </c>
      <c r="H140" t="inlineStr">
        <is>
          <t>Sales invoice INV-202506-2</t>
        </is>
      </c>
      <c r="I140" t="inlineStr">
        <is>
          <t>Gupta Super Bazaar</t>
        </is>
      </c>
      <c r="J140">
        <f>YEAR(A140)*12+MONTH(A140)</f>
        <v/>
      </c>
    </row>
    <row r="141">
      <c r="A141" s="5" t="n">
        <v>45826</v>
      </c>
      <c r="B141" t="inlineStr">
        <is>
          <t>J-0054</t>
        </is>
      </c>
      <c r="C141" t="n">
        <v>3</v>
      </c>
      <c r="D141" t="inlineStr">
        <is>
          <t>2100</t>
        </is>
      </c>
      <c r="E141" t="inlineStr">
        <is>
          <t>GST Payable</t>
        </is>
      </c>
      <c r="F141" s="6" t="n">
        <v>0</v>
      </c>
      <c r="G141" s="6" t="n">
        <v>73907.88</v>
      </c>
      <c r="H141" t="inlineStr">
        <is>
          <t>Sales invoice INV-202506-2</t>
        </is>
      </c>
      <c r="I141" t="inlineStr">
        <is>
          <t>GST</t>
        </is>
      </c>
      <c r="J141">
        <f>YEAR(A141)*12+MONTH(A141)</f>
        <v/>
      </c>
    </row>
    <row r="142">
      <c r="A142" s="5" t="n">
        <v>45813</v>
      </c>
      <c r="B142" t="inlineStr">
        <is>
          <t>J-0055</t>
        </is>
      </c>
      <c r="C142" t="n">
        <v>1</v>
      </c>
      <c r="D142" t="inlineStr">
        <is>
          <t>1100</t>
        </is>
      </c>
      <c r="E142" t="inlineStr">
        <is>
          <t>Accounts Receivable</t>
        </is>
      </c>
      <c r="F142" s="6" t="n">
        <v>531293.01</v>
      </c>
      <c r="G142" s="6" t="n">
        <v>0</v>
      </c>
      <c r="H142" t="inlineStr">
        <is>
          <t>Sales invoice INV-202506-3</t>
        </is>
      </c>
      <c r="I142" t="inlineStr">
        <is>
          <t>Sharma General Store</t>
        </is>
      </c>
      <c r="J142">
        <f>YEAR(A142)*12+MONTH(A142)</f>
        <v/>
      </c>
    </row>
    <row r="143">
      <c r="A143" s="5" t="n">
        <v>45813</v>
      </c>
      <c r="B143" t="inlineStr">
        <is>
          <t>J-0055</t>
        </is>
      </c>
      <c r="C143" t="n">
        <v>2</v>
      </c>
      <c r="D143" t="inlineStr">
        <is>
          <t>4000</t>
        </is>
      </c>
      <c r="E143" t="inlineStr">
        <is>
          <t>Sales Revenue</t>
        </is>
      </c>
      <c r="F143" s="6" t="n">
        <v>0</v>
      </c>
      <c r="G143" s="6" t="n">
        <v>450248.31</v>
      </c>
      <c r="H143" t="inlineStr">
        <is>
          <t>Sales invoice INV-202506-3</t>
        </is>
      </c>
      <c r="I143" t="inlineStr">
        <is>
          <t>Sharma General Store</t>
        </is>
      </c>
      <c r="J143">
        <f>YEAR(A143)*12+MONTH(A143)</f>
        <v/>
      </c>
    </row>
    <row r="144">
      <c r="A144" s="5" t="n">
        <v>45813</v>
      </c>
      <c r="B144" t="inlineStr">
        <is>
          <t>J-0055</t>
        </is>
      </c>
      <c r="C144" t="n">
        <v>3</v>
      </c>
      <c r="D144" t="inlineStr">
        <is>
          <t>2100</t>
        </is>
      </c>
      <c r="E144" t="inlineStr">
        <is>
          <t>GST Payable</t>
        </is>
      </c>
      <c r="F144" s="6" t="n">
        <v>0</v>
      </c>
      <c r="G144" s="6" t="n">
        <v>81044.7</v>
      </c>
      <c r="H144" t="inlineStr">
        <is>
          <t>Sales invoice INV-202506-3</t>
        </is>
      </c>
      <c r="I144" t="inlineStr">
        <is>
          <t>GST</t>
        </is>
      </c>
      <c r="J144">
        <f>YEAR(A144)*12+MONTH(A144)</f>
        <v/>
      </c>
    </row>
    <row r="145">
      <c r="A145" s="5" t="n">
        <v>45831</v>
      </c>
      <c r="B145" t="inlineStr">
        <is>
          <t>J-0056</t>
        </is>
      </c>
      <c r="C145" t="n">
        <v>1</v>
      </c>
      <c r="D145" t="inlineStr">
        <is>
          <t>1100</t>
        </is>
      </c>
      <c r="E145" t="inlineStr">
        <is>
          <t>Accounts Receivable</t>
        </is>
      </c>
      <c r="F145" s="6" t="n">
        <v>410103.81</v>
      </c>
      <c r="G145" s="6" t="n">
        <v>0</v>
      </c>
      <c r="H145" t="inlineStr">
        <is>
          <t>Sales invoice INV-202506-4</t>
        </is>
      </c>
      <c r="I145" t="inlineStr">
        <is>
          <t>Gupta Super Bazaar</t>
        </is>
      </c>
      <c r="J145">
        <f>YEAR(A145)*12+MONTH(A145)</f>
        <v/>
      </c>
    </row>
    <row r="146">
      <c r="A146" s="5" t="n">
        <v>45831</v>
      </c>
      <c r="B146" t="inlineStr">
        <is>
          <t>J-0056</t>
        </is>
      </c>
      <c r="C146" t="n">
        <v>2</v>
      </c>
      <c r="D146" t="inlineStr">
        <is>
          <t>4000</t>
        </is>
      </c>
      <c r="E146" t="inlineStr">
        <is>
          <t>Sales Revenue</t>
        </is>
      </c>
      <c r="F146" s="6" t="n">
        <v>0</v>
      </c>
      <c r="G146" s="6" t="n">
        <v>347545.6</v>
      </c>
      <c r="H146" t="inlineStr">
        <is>
          <t>Sales invoice INV-202506-4</t>
        </is>
      </c>
      <c r="I146" t="inlineStr">
        <is>
          <t>Gupta Super Bazaar</t>
        </is>
      </c>
      <c r="J146">
        <f>YEAR(A146)*12+MONTH(A146)</f>
        <v/>
      </c>
    </row>
    <row r="147">
      <c r="A147" s="5" t="n">
        <v>45831</v>
      </c>
      <c r="B147" t="inlineStr">
        <is>
          <t>J-0056</t>
        </is>
      </c>
      <c r="C147" t="n">
        <v>3</v>
      </c>
      <c r="D147" t="inlineStr">
        <is>
          <t>2100</t>
        </is>
      </c>
      <c r="E147" t="inlineStr">
        <is>
          <t>GST Payable</t>
        </is>
      </c>
      <c r="F147" s="6" t="n">
        <v>0</v>
      </c>
      <c r="G147" s="6" t="n">
        <v>62558.21</v>
      </c>
      <c r="H147" t="inlineStr">
        <is>
          <t>Sales invoice INV-202506-4</t>
        </is>
      </c>
      <c r="I147" t="inlineStr">
        <is>
          <t>GST</t>
        </is>
      </c>
      <c r="J147">
        <f>YEAR(A147)*12+MONTH(A147)</f>
        <v/>
      </c>
    </row>
    <row r="148">
      <c r="A148" s="5" t="n">
        <v>45822</v>
      </c>
      <c r="B148" t="inlineStr">
        <is>
          <t>J-0057</t>
        </is>
      </c>
      <c r="C148" t="n">
        <v>1</v>
      </c>
      <c r="D148" t="inlineStr">
        <is>
          <t>1100</t>
        </is>
      </c>
      <c r="E148" t="inlineStr">
        <is>
          <t>Accounts Receivable</t>
        </is>
      </c>
      <c r="F148" s="6" t="n">
        <v>505909.36</v>
      </c>
      <c r="G148" s="6" t="n">
        <v>0</v>
      </c>
      <c r="H148" t="inlineStr">
        <is>
          <t>Sales invoice INV-202506-5</t>
        </is>
      </c>
      <c r="I148" t="inlineStr">
        <is>
          <t>Verma Kirana Mart</t>
        </is>
      </c>
      <c r="J148">
        <f>YEAR(A148)*12+MONTH(A148)</f>
        <v/>
      </c>
    </row>
    <row r="149">
      <c r="A149" s="5" t="n">
        <v>45822</v>
      </c>
      <c r="B149" t="inlineStr">
        <is>
          <t>J-0057</t>
        </is>
      </c>
      <c r="C149" t="n">
        <v>2</v>
      </c>
      <c r="D149" t="inlineStr">
        <is>
          <t>4000</t>
        </is>
      </c>
      <c r="E149" t="inlineStr">
        <is>
          <t>Sales Revenue</t>
        </is>
      </c>
      <c r="F149" s="6" t="n">
        <v>0</v>
      </c>
      <c r="G149" s="6" t="n">
        <v>428736.75</v>
      </c>
      <c r="H149" t="inlineStr">
        <is>
          <t>Sales invoice INV-202506-5</t>
        </is>
      </c>
      <c r="I149" t="inlineStr">
        <is>
          <t>Verma Kirana Mart</t>
        </is>
      </c>
      <c r="J149">
        <f>YEAR(A149)*12+MONTH(A149)</f>
        <v/>
      </c>
    </row>
    <row r="150">
      <c r="A150" s="5" t="n">
        <v>45822</v>
      </c>
      <c r="B150" t="inlineStr">
        <is>
          <t>J-0057</t>
        </is>
      </c>
      <c r="C150" t="n">
        <v>3</v>
      </c>
      <c r="D150" t="inlineStr">
        <is>
          <t>2100</t>
        </is>
      </c>
      <c r="E150" t="inlineStr">
        <is>
          <t>GST Payable</t>
        </is>
      </c>
      <c r="F150" s="6" t="n">
        <v>0</v>
      </c>
      <c r="G150" s="6" t="n">
        <v>77172.61</v>
      </c>
      <c r="H150" t="inlineStr">
        <is>
          <t>Sales invoice INV-202506-5</t>
        </is>
      </c>
      <c r="I150" t="inlineStr">
        <is>
          <t>GST</t>
        </is>
      </c>
      <c r="J150">
        <f>YEAR(A150)*12+MONTH(A150)</f>
        <v/>
      </c>
    </row>
    <row r="151">
      <c r="A151" s="5" t="n">
        <v>45826</v>
      </c>
      <c r="B151" t="inlineStr">
        <is>
          <t>J-0058</t>
        </is>
      </c>
      <c r="C151" t="n">
        <v>1</v>
      </c>
      <c r="D151" t="inlineStr">
        <is>
          <t>1100</t>
        </is>
      </c>
      <c r="E151" t="inlineStr">
        <is>
          <t>Accounts Receivable</t>
        </is>
      </c>
      <c r="F151" s="6" t="n">
        <v>491487.7</v>
      </c>
      <c r="G151" s="6" t="n">
        <v>0</v>
      </c>
      <c r="H151" t="inlineStr">
        <is>
          <t>Sales invoice INV-202506-6</t>
        </is>
      </c>
      <c r="I151" t="inlineStr">
        <is>
          <t>Rajdhani Traders</t>
        </is>
      </c>
      <c r="J151">
        <f>YEAR(A151)*12+MONTH(A151)</f>
        <v/>
      </c>
    </row>
    <row r="152">
      <c r="A152" s="5" t="n">
        <v>45826</v>
      </c>
      <c r="B152" t="inlineStr">
        <is>
          <t>J-0058</t>
        </is>
      </c>
      <c r="C152" t="n">
        <v>2</v>
      </c>
      <c r="D152" t="inlineStr">
        <is>
          <t>4000</t>
        </is>
      </c>
      <c r="E152" t="inlineStr">
        <is>
          <t>Sales Revenue</t>
        </is>
      </c>
      <c r="F152" s="6" t="n">
        <v>0</v>
      </c>
      <c r="G152" s="6" t="n">
        <v>416515</v>
      </c>
      <c r="H152" t="inlineStr">
        <is>
          <t>Sales invoice INV-202506-6</t>
        </is>
      </c>
      <c r="I152" t="inlineStr">
        <is>
          <t>Rajdhani Traders</t>
        </is>
      </c>
      <c r="J152">
        <f>YEAR(A152)*12+MONTH(A152)</f>
        <v/>
      </c>
    </row>
    <row r="153">
      <c r="A153" s="5" t="n">
        <v>45826</v>
      </c>
      <c r="B153" t="inlineStr">
        <is>
          <t>J-0058</t>
        </is>
      </c>
      <c r="C153" t="n">
        <v>3</v>
      </c>
      <c r="D153" t="inlineStr">
        <is>
          <t>2100</t>
        </is>
      </c>
      <c r="E153" t="inlineStr">
        <is>
          <t>GST Payable</t>
        </is>
      </c>
      <c r="F153" s="6" t="n">
        <v>0</v>
      </c>
      <c r="G153" s="6" t="n">
        <v>74972.7</v>
      </c>
      <c r="H153" t="inlineStr">
        <is>
          <t>Sales invoice INV-202506-6</t>
        </is>
      </c>
      <c r="I153" t="inlineStr">
        <is>
          <t>GST</t>
        </is>
      </c>
      <c r="J153">
        <f>YEAR(A153)*12+MONTH(A153)</f>
        <v/>
      </c>
    </row>
    <row r="154">
      <c r="A154" s="5" t="n">
        <v>45810</v>
      </c>
      <c r="B154" t="inlineStr">
        <is>
          <t>J-0059</t>
        </is>
      </c>
      <c r="C154" t="n">
        <v>1</v>
      </c>
      <c r="D154" t="inlineStr">
        <is>
          <t>1100</t>
        </is>
      </c>
      <c r="E154" t="inlineStr">
        <is>
          <t>Accounts Receivable</t>
        </is>
      </c>
      <c r="F154" s="6" t="n">
        <v>445169.42</v>
      </c>
      <c r="G154" s="6" t="n">
        <v>0</v>
      </c>
      <c r="H154" t="inlineStr">
        <is>
          <t>Sales invoice INV-202506-7</t>
        </is>
      </c>
      <c r="I154" t="inlineStr">
        <is>
          <t>Maa Vaishno Stores</t>
        </is>
      </c>
      <c r="J154">
        <f>YEAR(A154)*12+MONTH(A154)</f>
        <v/>
      </c>
    </row>
    <row r="155">
      <c r="A155" s="5" t="n">
        <v>45810</v>
      </c>
      <c r="B155" t="inlineStr">
        <is>
          <t>J-0059</t>
        </is>
      </c>
      <c r="C155" t="n">
        <v>2</v>
      </c>
      <c r="D155" t="inlineStr">
        <is>
          <t>4000</t>
        </is>
      </c>
      <c r="E155" t="inlineStr">
        <is>
          <t>Sales Revenue</t>
        </is>
      </c>
      <c r="F155" s="6" t="n">
        <v>0</v>
      </c>
      <c r="G155" s="6" t="n">
        <v>377262.22</v>
      </c>
      <c r="H155" t="inlineStr">
        <is>
          <t>Sales invoice INV-202506-7</t>
        </is>
      </c>
      <c r="I155" t="inlineStr">
        <is>
          <t>Maa Vaishno Stores</t>
        </is>
      </c>
      <c r="J155">
        <f>YEAR(A155)*12+MONTH(A155)</f>
        <v/>
      </c>
    </row>
    <row r="156">
      <c r="A156" s="5" t="n">
        <v>45810</v>
      </c>
      <c r="B156" t="inlineStr">
        <is>
          <t>J-0059</t>
        </is>
      </c>
      <c r="C156" t="n">
        <v>3</v>
      </c>
      <c r="D156" t="inlineStr">
        <is>
          <t>2100</t>
        </is>
      </c>
      <c r="E156" t="inlineStr">
        <is>
          <t>GST Payable</t>
        </is>
      </c>
      <c r="F156" s="6" t="n">
        <v>0</v>
      </c>
      <c r="G156" s="6" t="n">
        <v>67907.2</v>
      </c>
      <c r="H156" t="inlineStr">
        <is>
          <t>Sales invoice INV-202506-7</t>
        </is>
      </c>
      <c r="I156" t="inlineStr">
        <is>
          <t>GST</t>
        </is>
      </c>
      <c r="J156">
        <f>YEAR(A156)*12+MONTH(A156)</f>
        <v/>
      </c>
    </row>
    <row r="157">
      <c r="A157" s="5" t="n">
        <v>45835</v>
      </c>
      <c r="B157" t="inlineStr">
        <is>
          <t>J-0060</t>
        </is>
      </c>
      <c r="C157" t="n">
        <v>1</v>
      </c>
      <c r="D157" t="inlineStr">
        <is>
          <t>5000</t>
        </is>
      </c>
      <c r="E157" t="inlineStr">
        <is>
          <t>Cost of Goods Sold</t>
        </is>
      </c>
      <c r="F157" s="6" t="n">
        <v>2023710.22</v>
      </c>
      <c r="G157" s="6" t="n">
        <v>0</v>
      </c>
      <c r="H157" t="inlineStr">
        <is>
          <t>Cost of goods sold - monthly</t>
        </is>
      </c>
      <c r="I157" t="inlineStr"/>
      <c r="J157">
        <f>YEAR(A157)*12+MONTH(A157)</f>
        <v/>
      </c>
    </row>
    <row r="158">
      <c r="A158" s="5" t="n">
        <v>45835</v>
      </c>
      <c r="B158" t="inlineStr">
        <is>
          <t>J-0060</t>
        </is>
      </c>
      <c r="C158" t="n">
        <v>2</v>
      </c>
      <c r="D158" t="inlineStr">
        <is>
          <t>1200</t>
        </is>
      </c>
      <c r="E158" t="inlineStr">
        <is>
          <t>Inventory</t>
        </is>
      </c>
      <c r="F158" s="6" t="n">
        <v>0</v>
      </c>
      <c r="G158" s="6" t="n">
        <v>2023710.22</v>
      </c>
      <c r="H158" t="inlineStr">
        <is>
          <t>Cost of goods sold - monthly</t>
        </is>
      </c>
      <c r="I158" t="inlineStr"/>
      <c r="J158">
        <f>YEAR(A158)*12+MONTH(A158)</f>
        <v/>
      </c>
    </row>
    <row r="159">
      <c r="A159" s="5" t="n">
        <v>45836</v>
      </c>
      <c r="B159" t="inlineStr">
        <is>
          <t>J-0061</t>
        </is>
      </c>
      <c r="C159" t="n">
        <v>1</v>
      </c>
      <c r="D159" t="inlineStr">
        <is>
          <t>1000</t>
        </is>
      </c>
      <c r="E159" t="inlineStr">
        <is>
          <t>Cash &amp; Bank</t>
        </is>
      </c>
      <c r="F159" s="6" t="n">
        <v>2739969.03</v>
      </c>
      <c r="G159" s="6" t="n">
        <v>0</v>
      </c>
      <c r="H159" t="inlineStr">
        <is>
          <t>Customer receipts</t>
        </is>
      </c>
      <c r="I159" t="inlineStr"/>
      <c r="J159">
        <f>YEAR(A159)*12+MONTH(A159)</f>
        <v/>
      </c>
    </row>
    <row r="160">
      <c r="A160" s="5" t="n">
        <v>45836</v>
      </c>
      <c r="B160" t="inlineStr">
        <is>
          <t>J-0061</t>
        </is>
      </c>
      <c r="C160" t="n">
        <v>2</v>
      </c>
      <c r="D160" t="inlineStr">
        <is>
          <t>1100</t>
        </is>
      </c>
      <c r="E160" t="inlineStr">
        <is>
          <t>Accounts Receivable</t>
        </is>
      </c>
      <c r="F160" s="6" t="n">
        <v>0</v>
      </c>
      <c r="G160" s="6" t="n">
        <v>2739969.03</v>
      </c>
      <c r="H160" t="inlineStr">
        <is>
          <t>Customer receipts</t>
        </is>
      </c>
      <c r="I160" t="inlineStr"/>
      <c r="J160">
        <f>YEAR(A160)*12+MONTH(A160)</f>
        <v/>
      </c>
    </row>
    <row r="161">
      <c r="A161" s="5" t="n">
        <v>45814</v>
      </c>
      <c r="B161" t="inlineStr">
        <is>
          <t>J-0062</t>
        </is>
      </c>
      <c r="C161" t="n">
        <v>1</v>
      </c>
      <c r="D161" t="inlineStr">
        <is>
          <t>1200</t>
        </is>
      </c>
      <c r="E161" t="inlineStr">
        <is>
          <t>Inventory</t>
        </is>
      </c>
      <c r="F161" s="6" t="n">
        <v>462495.24</v>
      </c>
      <c r="G161" s="6" t="n">
        <v>0</v>
      </c>
      <c r="H161" t="inlineStr">
        <is>
          <t>Purchase bill PB-202506-1</t>
        </is>
      </c>
      <c r="I161" t="inlineStr">
        <is>
          <t>National FMCG Distributors</t>
        </is>
      </c>
      <c r="J161">
        <f>YEAR(A161)*12+MONTH(A161)</f>
        <v/>
      </c>
    </row>
    <row r="162">
      <c r="A162" s="5" t="n">
        <v>45814</v>
      </c>
      <c r="B162" t="inlineStr">
        <is>
          <t>J-0062</t>
        </is>
      </c>
      <c r="C162" t="n">
        <v>2</v>
      </c>
      <c r="D162" t="inlineStr">
        <is>
          <t>1300</t>
        </is>
      </c>
      <c r="E162" t="inlineStr">
        <is>
          <t>GST Input Credit</t>
        </is>
      </c>
      <c r="F162" s="6" t="n">
        <v>83249.14</v>
      </c>
      <c r="G162" s="6" t="n">
        <v>0</v>
      </c>
      <c r="H162" t="inlineStr">
        <is>
          <t>Purchase bill PB-202506-1</t>
        </is>
      </c>
      <c r="I162" t="inlineStr">
        <is>
          <t>National FMCG Distributors</t>
        </is>
      </c>
      <c r="J162">
        <f>YEAR(A162)*12+MONTH(A162)</f>
        <v/>
      </c>
    </row>
    <row r="163">
      <c r="A163" s="5" t="n">
        <v>45814</v>
      </c>
      <c r="B163" t="inlineStr">
        <is>
          <t>J-0062</t>
        </is>
      </c>
      <c r="C163" t="n">
        <v>3</v>
      </c>
      <c r="D163" t="inlineStr">
        <is>
          <t>2000</t>
        </is>
      </c>
      <c r="E163" t="inlineStr">
        <is>
          <t>Accounts Payable</t>
        </is>
      </c>
      <c r="F163" s="6" t="n">
        <v>0</v>
      </c>
      <c r="G163" s="6" t="n">
        <v>545744.38</v>
      </c>
      <c r="H163" t="inlineStr">
        <is>
          <t>Purchase bill PB-202506-1</t>
        </is>
      </c>
      <c r="I163" t="inlineStr">
        <is>
          <t>National FMCG Distributors</t>
        </is>
      </c>
      <c r="J163">
        <f>YEAR(A163)*12+MONTH(A163)</f>
        <v/>
      </c>
    </row>
    <row r="164">
      <c r="A164" s="5" t="n">
        <v>45825</v>
      </c>
      <c r="B164" t="inlineStr">
        <is>
          <t>J-0063</t>
        </is>
      </c>
      <c r="C164" t="n">
        <v>1</v>
      </c>
      <c r="D164" t="inlineStr">
        <is>
          <t>1200</t>
        </is>
      </c>
      <c r="E164" t="inlineStr">
        <is>
          <t>Inventory</t>
        </is>
      </c>
      <c r="F164" s="6" t="n">
        <v>385597.97</v>
      </c>
      <c r="G164" s="6" t="n">
        <v>0</v>
      </c>
      <c r="H164" t="inlineStr">
        <is>
          <t>Purchase bill PB-202506-2</t>
        </is>
      </c>
      <c r="I164" t="inlineStr">
        <is>
          <t>Bihar Agro Supplies</t>
        </is>
      </c>
      <c r="J164">
        <f>YEAR(A164)*12+MONTH(A164)</f>
        <v/>
      </c>
    </row>
    <row r="165">
      <c r="A165" s="5" t="n">
        <v>45825</v>
      </c>
      <c r="B165" t="inlineStr">
        <is>
          <t>J-0063</t>
        </is>
      </c>
      <c r="C165" t="n">
        <v>2</v>
      </c>
      <c r="D165" t="inlineStr">
        <is>
          <t>1300</t>
        </is>
      </c>
      <c r="E165" t="inlineStr">
        <is>
          <t>GST Input Credit</t>
        </is>
      </c>
      <c r="F165" s="6" t="n">
        <v>69407.63</v>
      </c>
      <c r="G165" s="6" t="n">
        <v>0</v>
      </c>
      <c r="H165" t="inlineStr">
        <is>
          <t>Purchase bill PB-202506-2</t>
        </is>
      </c>
      <c r="I165" t="inlineStr">
        <is>
          <t>Bihar Agro Supplies</t>
        </is>
      </c>
      <c r="J165">
        <f>YEAR(A165)*12+MONTH(A165)</f>
        <v/>
      </c>
    </row>
    <row r="166">
      <c r="A166" s="5" t="n">
        <v>45825</v>
      </c>
      <c r="B166" t="inlineStr">
        <is>
          <t>J-0063</t>
        </is>
      </c>
      <c r="C166" t="n">
        <v>3</v>
      </c>
      <c r="D166" t="inlineStr">
        <is>
          <t>2000</t>
        </is>
      </c>
      <c r="E166" t="inlineStr">
        <is>
          <t>Accounts Payable</t>
        </is>
      </c>
      <c r="F166" s="6" t="n">
        <v>0</v>
      </c>
      <c r="G166" s="6" t="n">
        <v>455005.6</v>
      </c>
      <c r="H166" t="inlineStr">
        <is>
          <t>Purchase bill PB-202506-2</t>
        </is>
      </c>
      <c r="I166" t="inlineStr">
        <is>
          <t>Bihar Agro Supplies</t>
        </is>
      </c>
      <c r="J166">
        <f>YEAR(A166)*12+MONTH(A166)</f>
        <v/>
      </c>
    </row>
    <row r="167">
      <c r="A167" s="5" t="n">
        <v>45827</v>
      </c>
      <c r="B167" t="inlineStr">
        <is>
          <t>J-0064</t>
        </is>
      </c>
      <c r="C167" t="n">
        <v>1</v>
      </c>
      <c r="D167" t="inlineStr">
        <is>
          <t>1200</t>
        </is>
      </c>
      <c r="E167" t="inlineStr">
        <is>
          <t>Inventory</t>
        </is>
      </c>
      <c r="F167" s="6" t="n">
        <v>336798.46</v>
      </c>
      <c r="G167" s="6" t="n">
        <v>0</v>
      </c>
      <c r="H167" t="inlineStr">
        <is>
          <t>Purchase bill PB-202506-3</t>
        </is>
      </c>
      <c r="I167" t="inlineStr">
        <is>
          <t>National FMCG Distributors</t>
        </is>
      </c>
      <c r="J167">
        <f>YEAR(A167)*12+MONTH(A167)</f>
        <v/>
      </c>
    </row>
    <row r="168">
      <c r="A168" s="5" t="n">
        <v>45827</v>
      </c>
      <c r="B168" t="inlineStr">
        <is>
          <t>J-0064</t>
        </is>
      </c>
      <c r="C168" t="n">
        <v>2</v>
      </c>
      <c r="D168" t="inlineStr">
        <is>
          <t>1300</t>
        </is>
      </c>
      <c r="E168" t="inlineStr">
        <is>
          <t>GST Input Credit</t>
        </is>
      </c>
      <c r="F168" s="6" t="n">
        <v>60623.72</v>
      </c>
      <c r="G168" s="6" t="n">
        <v>0</v>
      </c>
      <c r="H168" t="inlineStr">
        <is>
          <t>Purchase bill PB-202506-3</t>
        </is>
      </c>
      <c r="I168" t="inlineStr">
        <is>
          <t>National FMCG Distributors</t>
        </is>
      </c>
      <c r="J168">
        <f>YEAR(A168)*12+MONTH(A168)</f>
        <v/>
      </c>
    </row>
    <row r="169">
      <c r="A169" s="5" t="n">
        <v>45827</v>
      </c>
      <c r="B169" t="inlineStr">
        <is>
          <t>J-0064</t>
        </is>
      </c>
      <c r="C169" t="n">
        <v>3</v>
      </c>
      <c r="D169" t="inlineStr">
        <is>
          <t>2000</t>
        </is>
      </c>
      <c r="E169" t="inlineStr">
        <is>
          <t>Accounts Payable</t>
        </is>
      </c>
      <c r="F169" s="6" t="n">
        <v>0</v>
      </c>
      <c r="G169" s="6" t="n">
        <v>397422.18</v>
      </c>
      <c r="H169" t="inlineStr">
        <is>
          <t>Purchase bill PB-202506-3</t>
        </is>
      </c>
      <c r="I169" t="inlineStr">
        <is>
          <t>National FMCG Distributors</t>
        </is>
      </c>
      <c r="J169">
        <f>YEAR(A169)*12+MONTH(A169)</f>
        <v/>
      </c>
    </row>
    <row r="170">
      <c r="A170" s="5" t="n">
        <v>45814</v>
      </c>
      <c r="B170" t="inlineStr">
        <is>
          <t>J-0065</t>
        </is>
      </c>
      <c r="C170" t="n">
        <v>1</v>
      </c>
      <c r="D170" t="inlineStr">
        <is>
          <t>1200</t>
        </is>
      </c>
      <c r="E170" t="inlineStr">
        <is>
          <t>Inventory</t>
        </is>
      </c>
      <c r="F170" s="6" t="n">
        <v>464358.82</v>
      </c>
      <c r="G170" s="6" t="n">
        <v>0</v>
      </c>
      <c r="H170" t="inlineStr">
        <is>
          <t>Purchase bill PB-202506-4</t>
        </is>
      </c>
      <c r="I170" t="inlineStr">
        <is>
          <t>Ganga Logistics Pvt Ltd</t>
        </is>
      </c>
      <c r="J170">
        <f>YEAR(A170)*12+MONTH(A170)</f>
        <v/>
      </c>
    </row>
    <row r="171">
      <c r="A171" s="5" t="n">
        <v>45814</v>
      </c>
      <c r="B171" t="inlineStr">
        <is>
          <t>J-0065</t>
        </is>
      </c>
      <c r="C171" t="n">
        <v>2</v>
      </c>
      <c r="D171" t="inlineStr">
        <is>
          <t>1300</t>
        </is>
      </c>
      <c r="E171" t="inlineStr">
        <is>
          <t>GST Input Credit</t>
        </is>
      </c>
      <c r="F171" s="6" t="n">
        <v>83584.59</v>
      </c>
      <c r="G171" s="6" t="n">
        <v>0</v>
      </c>
      <c r="H171" t="inlineStr">
        <is>
          <t>Purchase bill PB-202506-4</t>
        </is>
      </c>
      <c r="I171" t="inlineStr">
        <is>
          <t>Ganga Logistics Pvt Ltd</t>
        </is>
      </c>
      <c r="J171">
        <f>YEAR(A171)*12+MONTH(A171)</f>
        <v/>
      </c>
    </row>
    <row r="172">
      <c r="A172" s="5" t="n">
        <v>45814</v>
      </c>
      <c r="B172" t="inlineStr">
        <is>
          <t>J-0065</t>
        </is>
      </c>
      <c r="C172" t="n">
        <v>3</v>
      </c>
      <c r="D172" t="inlineStr">
        <is>
          <t>2000</t>
        </is>
      </c>
      <c r="E172" t="inlineStr">
        <is>
          <t>Accounts Payable</t>
        </is>
      </c>
      <c r="F172" s="6" t="n">
        <v>0</v>
      </c>
      <c r="G172" s="6" t="n">
        <v>547943.41</v>
      </c>
      <c r="H172" t="inlineStr">
        <is>
          <t>Purchase bill PB-202506-4</t>
        </is>
      </c>
      <c r="I172" t="inlineStr">
        <is>
          <t>Ganga Logistics Pvt Ltd</t>
        </is>
      </c>
      <c r="J172">
        <f>YEAR(A172)*12+MONTH(A172)</f>
        <v/>
      </c>
    </row>
    <row r="173">
      <c r="A173" s="5" t="n">
        <v>45827</v>
      </c>
      <c r="B173" t="inlineStr">
        <is>
          <t>J-0066</t>
        </is>
      </c>
      <c r="C173" t="n">
        <v>1</v>
      </c>
      <c r="D173" t="inlineStr">
        <is>
          <t>1200</t>
        </is>
      </c>
      <c r="E173" t="inlineStr">
        <is>
          <t>Inventory</t>
        </is>
      </c>
      <c r="F173" s="6" t="n">
        <v>482610.01</v>
      </c>
      <c r="G173" s="6" t="n">
        <v>0</v>
      </c>
      <c r="H173" t="inlineStr">
        <is>
          <t>Purchase bill PB-202506-5</t>
        </is>
      </c>
      <c r="I173" t="inlineStr">
        <is>
          <t>National FMCG Distributors</t>
        </is>
      </c>
      <c r="J173">
        <f>YEAR(A173)*12+MONTH(A173)</f>
        <v/>
      </c>
    </row>
    <row r="174">
      <c r="A174" s="5" t="n">
        <v>45827</v>
      </c>
      <c r="B174" t="inlineStr">
        <is>
          <t>J-0066</t>
        </is>
      </c>
      <c r="C174" t="n">
        <v>2</v>
      </c>
      <c r="D174" t="inlineStr">
        <is>
          <t>1300</t>
        </is>
      </c>
      <c r="E174" t="inlineStr">
        <is>
          <t>GST Input Credit</t>
        </is>
      </c>
      <c r="F174" s="6" t="n">
        <v>86869.8</v>
      </c>
      <c r="G174" s="6" t="n">
        <v>0</v>
      </c>
      <c r="H174" t="inlineStr">
        <is>
          <t>Purchase bill PB-202506-5</t>
        </is>
      </c>
      <c r="I174" t="inlineStr">
        <is>
          <t>National FMCG Distributors</t>
        </is>
      </c>
      <c r="J174">
        <f>YEAR(A174)*12+MONTH(A174)</f>
        <v/>
      </c>
    </row>
    <row r="175">
      <c r="A175" s="5" t="n">
        <v>45827</v>
      </c>
      <c r="B175" t="inlineStr">
        <is>
          <t>J-0066</t>
        </is>
      </c>
      <c r="C175" t="n">
        <v>3</v>
      </c>
      <c r="D175" t="inlineStr">
        <is>
          <t>2000</t>
        </is>
      </c>
      <c r="E175" t="inlineStr">
        <is>
          <t>Accounts Payable</t>
        </is>
      </c>
      <c r="F175" s="6" t="n">
        <v>0</v>
      </c>
      <c r="G175" s="6" t="n">
        <v>569479.8100000001</v>
      </c>
      <c r="H175" t="inlineStr">
        <is>
          <t>Purchase bill PB-202506-5</t>
        </is>
      </c>
      <c r="I175" t="inlineStr">
        <is>
          <t>National FMCG Distributors</t>
        </is>
      </c>
      <c r="J175">
        <f>YEAR(A175)*12+MONTH(A175)</f>
        <v/>
      </c>
    </row>
    <row r="176">
      <c r="A176" s="5" t="n">
        <v>45837</v>
      </c>
      <c r="B176" t="inlineStr">
        <is>
          <t>J-0067</t>
        </is>
      </c>
      <c r="C176" t="n">
        <v>1</v>
      </c>
      <c r="D176" t="inlineStr">
        <is>
          <t>2000</t>
        </is>
      </c>
      <c r="E176" t="inlineStr">
        <is>
          <t>Accounts Payable</t>
        </is>
      </c>
      <c r="F176" s="6" t="n">
        <v>2258901.36</v>
      </c>
      <c r="G176" s="6" t="n">
        <v>0</v>
      </c>
      <c r="H176" t="inlineStr">
        <is>
          <t>Vendor payments</t>
        </is>
      </c>
      <c r="I176" t="inlineStr"/>
      <c r="J176">
        <f>YEAR(A176)*12+MONTH(A176)</f>
        <v/>
      </c>
    </row>
    <row r="177">
      <c r="A177" s="5" t="n">
        <v>45837</v>
      </c>
      <c r="B177" t="inlineStr">
        <is>
          <t>J-0067</t>
        </is>
      </c>
      <c r="C177" t="n">
        <v>2</v>
      </c>
      <c r="D177" t="inlineStr">
        <is>
          <t>1000</t>
        </is>
      </c>
      <c r="E177" t="inlineStr">
        <is>
          <t>Cash &amp; Bank</t>
        </is>
      </c>
      <c r="F177" s="6" t="n">
        <v>0</v>
      </c>
      <c r="G177" s="6" t="n">
        <v>2258901.36</v>
      </c>
      <c r="H177" t="inlineStr">
        <is>
          <t>Vendor payments</t>
        </is>
      </c>
      <c r="I177" t="inlineStr"/>
      <c r="J177">
        <f>YEAR(A177)*12+MONTH(A177)</f>
        <v/>
      </c>
    </row>
    <row r="178">
      <c r="A178" s="5" t="n">
        <v>45838</v>
      </c>
      <c r="B178" t="inlineStr">
        <is>
          <t>J-0068</t>
        </is>
      </c>
      <c r="C178" t="n">
        <v>1</v>
      </c>
      <c r="D178" t="inlineStr">
        <is>
          <t>2100</t>
        </is>
      </c>
      <c r="E178" t="inlineStr">
        <is>
          <t>GST Payable</t>
        </is>
      </c>
      <c r="F178" s="6" t="n">
        <v>136791.91</v>
      </c>
      <c r="G178" s="6" t="n">
        <v>0</v>
      </c>
      <c r="H178" t="inlineStr">
        <is>
          <t>GST paid for month</t>
        </is>
      </c>
      <c r="I178" t="inlineStr">
        <is>
          <t>GST</t>
        </is>
      </c>
      <c r="J178">
        <f>YEAR(A178)*12+MONTH(A178)</f>
        <v/>
      </c>
    </row>
    <row r="179">
      <c r="A179" s="5" t="n">
        <v>45838</v>
      </c>
      <c r="B179" t="inlineStr">
        <is>
          <t>J-0068</t>
        </is>
      </c>
      <c r="C179" t="n">
        <v>2</v>
      </c>
      <c r="D179" t="inlineStr">
        <is>
          <t>1000</t>
        </is>
      </c>
      <c r="E179" t="inlineStr">
        <is>
          <t>Cash &amp; Bank</t>
        </is>
      </c>
      <c r="F179" s="6" t="n">
        <v>0</v>
      </c>
      <c r="G179" s="6" t="n">
        <v>136791.91</v>
      </c>
      <c r="H179" t="inlineStr">
        <is>
          <t>GST paid for month</t>
        </is>
      </c>
      <c r="I179" t="inlineStr">
        <is>
          <t>GST</t>
        </is>
      </c>
      <c r="J179">
        <f>YEAR(A179)*12+MONTH(A179)</f>
        <v/>
      </c>
    </row>
    <row r="180">
      <c r="A180" s="5" t="n">
        <v>45813</v>
      </c>
      <c r="B180" t="inlineStr">
        <is>
          <t>J-0069</t>
        </is>
      </c>
      <c r="C180" t="n">
        <v>1</v>
      </c>
      <c r="D180" t="inlineStr">
        <is>
          <t>5100</t>
        </is>
      </c>
      <c r="E180" t="inlineStr">
        <is>
          <t>Rent Expense</t>
        </is>
      </c>
      <c r="F180" s="6" t="n">
        <v>25000</v>
      </c>
      <c r="G180" s="6" t="n">
        <v>0</v>
      </c>
      <c r="H180" t="inlineStr">
        <is>
          <t>Office rent</t>
        </is>
      </c>
      <c r="I180" t="inlineStr"/>
      <c r="J180">
        <f>YEAR(A180)*12+MONTH(A180)</f>
        <v/>
      </c>
    </row>
    <row r="181">
      <c r="A181" s="5" t="n">
        <v>45813</v>
      </c>
      <c r="B181" t="inlineStr">
        <is>
          <t>J-0069</t>
        </is>
      </c>
      <c r="C181" t="n">
        <v>2</v>
      </c>
      <c r="D181" t="inlineStr">
        <is>
          <t>1000</t>
        </is>
      </c>
      <c r="E181" t="inlineStr">
        <is>
          <t>Cash &amp; Bank</t>
        </is>
      </c>
      <c r="F181" s="6" t="n">
        <v>0</v>
      </c>
      <c r="G181" s="6" t="n">
        <v>25000</v>
      </c>
      <c r="H181" t="inlineStr">
        <is>
          <t>Office rent</t>
        </is>
      </c>
      <c r="I181" t="inlineStr"/>
      <c r="J181">
        <f>YEAR(A181)*12+MONTH(A181)</f>
        <v/>
      </c>
    </row>
    <row r="182">
      <c r="A182" s="5" t="n">
        <v>45815</v>
      </c>
      <c r="B182" t="inlineStr">
        <is>
          <t>J-0070</t>
        </is>
      </c>
      <c r="C182" t="n">
        <v>1</v>
      </c>
      <c r="D182" t="inlineStr">
        <is>
          <t>5200</t>
        </is>
      </c>
      <c r="E182" t="inlineStr">
        <is>
          <t>Salaries Expense</t>
        </is>
      </c>
      <c r="F182" s="6" t="n">
        <v>108472.49</v>
      </c>
      <c r="G182" s="6" t="n">
        <v>0</v>
      </c>
      <c r="H182" t="inlineStr">
        <is>
          <t>Staff salaries</t>
        </is>
      </c>
      <c r="I182" t="inlineStr"/>
      <c r="J182">
        <f>YEAR(A182)*12+MONTH(A182)</f>
        <v/>
      </c>
    </row>
    <row r="183">
      <c r="A183" s="5" t="n">
        <v>45815</v>
      </c>
      <c r="B183" t="inlineStr">
        <is>
          <t>J-0070</t>
        </is>
      </c>
      <c r="C183" t="n">
        <v>2</v>
      </c>
      <c r="D183" t="inlineStr">
        <is>
          <t>1000</t>
        </is>
      </c>
      <c r="E183" t="inlineStr">
        <is>
          <t>Cash &amp; Bank</t>
        </is>
      </c>
      <c r="F183" s="6" t="n">
        <v>0</v>
      </c>
      <c r="G183" s="6" t="n">
        <v>108472.49</v>
      </c>
      <c r="H183" t="inlineStr">
        <is>
          <t>Staff salaries</t>
        </is>
      </c>
      <c r="I183" t="inlineStr"/>
      <c r="J183">
        <f>YEAR(A183)*12+MONTH(A183)</f>
        <v/>
      </c>
    </row>
    <row r="184">
      <c r="A184" s="5" t="n">
        <v>45820</v>
      </c>
      <c r="B184" t="inlineStr">
        <is>
          <t>J-0071</t>
        </is>
      </c>
      <c r="C184" t="n">
        <v>1</v>
      </c>
      <c r="D184" t="inlineStr">
        <is>
          <t>5300</t>
        </is>
      </c>
      <c r="E184" t="inlineStr">
        <is>
          <t>Utilities Expense</t>
        </is>
      </c>
      <c r="F184" s="6" t="n">
        <v>8906.280000000001</v>
      </c>
      <c r="G184" s="6" t="n">
        <v>0</v>
      </c>
      <c r="H184" t="inlineStr">
        <is>
          <t>Utilities (power/water/phone)</t>
        </is>
      </c>
      <c r="I184" t="inlineStr"/>
      <c r="J184">
        <f>YEAR(A184)*12+MONTH(A184)</f>
        <v/>
      </c>
    </row>
    <row r="185">
      <c r="A185" s="5" t="n">
        <v>45820</v>
      </c>
      <c r="B185" t="inlineStr">
        <is>
          <t>J-0071</t>
        </is>
      </c>
      <c r="C185" t="n">
        <v>2</v>
      </c>
      <c r="D185" t="inlineStr">
        <is>
          <t>1000</t>
        </is>
      </c>
      <c r="E185" t="inlineStr">
        <is>
          <t>Cash &amp; Bank</t>
        </is>
      </c>
      <c r="F185" s="6" t="n">
        <v>0</v>
      </c>
      <c r="G185" s="6" t="n">
        <v>8906.280000000001</v>
      </c>
      <c r="H185" t="inlineStr">
        <is>
          <t>Utilities (power/water/phone)</t>
        </is>
      </c>
      <c r="I185" t="inlineStr"/>
      <c r="J185">
        <f>YEAR(A185)*12+MONTH(A185)</f>
        <v/>
      </c>
    </row>
    <row r="186">
      <c r="A186" s="5" t="n">
        <v>45826</v>
      </c>
      <c r="B186" t="inlineStr">
        <is>
          <t>J-0072</t>
        </is>
      </c>
      <c r="C186" t="n">
        <v>1</v>
      </c>
      <c r="D186" t="inlineStr">
        <is>
          <t>5400</t>
        </is>
      </c>
      <c r="E186" t="inlineStr">
        <is>
          <t>Transport &amp; Logistics</t>
        </is>
      </c>
      <c r="F186" s="6" t="n">
        <v>18775.65</v>
      </c>
      <c r="G186" s="6" t="n">
        <v>0</v>
      </c>
      <c r="H186" t="inlineStr">
        <is>
          <t>Transport &amp; logistics</t>
        </is>
      </c>
      <c r="I186" t="inlineStr"/>
      <c r="J186">
        <f>YEAR(A186)*12+MONTH(A186)</f>
        <v/>
      </c>
    </row>
    <row r="187">
      <c r="A187" s="5" t="n">
        <v>45826</v>
      </c>
      <c r="B187" t="inlineStr">
        <is>
          <t>J-0072</t>
        </is>
      </c>
      <c r="C187" t="n">
        <v>2</v>
      </c>
      <c r="D187" t="inlineStr">
        <is>
          <t>1000</t>
        </is>
      </c>
      <c r="E187" t="inlineStr">
        <is>
          <t>Cash &amp; Bank</t>
        </is>
      </c>
      <c r="F187" s="6" t="n">
        <v>0</v>
      </c>
      <c r="G187" s="6" t="n">
        <v>18775.65</v>
      </c>
      <c r="H187" t="inlineStr">
        <is>
          <t>Transport &amp; logistics</t>
        </is>
      </c>
      <c r="I187" t="inlineStr"/>
      <c r="J187">
        <f>YEAR(A187)*12+MONTH(A187)</f>
        <v/>
      </c>
    </row>
    <row r="188">
      <c r="A188" s="5" t="n">
        <v>45828</v>
      </c>
      <c r="B188" t="inlineStr">
        <is>
          <t>J-0073</t>
        </is>
      </c>
      <c r="C188" t="n">
        <v>1</v>
      </c>
      <c r="D188" t="inlineStr">
        <is>
          <t>5500</t>
        </is>
      </c>
      <c r="E188" t="inlineStr">
        <is>
          <t>Marketing Expense</t>
        </is>
      </c>
      <c r="F188" s="6" t="n">
        <v>18229.01</v>
      </c>
      <c r="G188" s="6" t="n">
        <v>0</v>
      </c>
      <c r="H188" t="inlineStr">
        <is>
          <t>Marketing &amp; promotions</t>
        </is>
      </c>
      <c r="I188" t="inlineStr"/>
      <c r="J188">
        <f>YEAR(A188)*12+MONTH(A188)</f>
        <v/>
      </c>
    </row>
    <row r="189">
      <c r="A189" s="5" t="n">
        <v>45828</v>
      </c>
      <c r="B189" t="inlineStr">
        <is>
          <t>J-0073</t>
        </is>
      </c>
      <c r="C189" t="n">
        <v>2</v>
      </c>
      <c r="D189" t="inlineStr">
        <is>
          <t>1000</t>
        </is>
      </c>
      <c r="E189" t="inlineStr">
        <is>
          <t>Cash &amp; Bank</t>
        </is>
      </c>
      <c r="F189" s="6" t="n">
        <v>0</v>
      </c>
      <c r="G189" s="6" t="n">
        <v>18229.01</v>
      </c>
      <c r="H189" t="inlineStr">
        <is>
          <t>Marketing &amp; promotions</t>
        </is>
      </c>
      <c r="I189" t="inlineStr"/>
      <c r="J189">
        <f>YEAR(A189)*12+MONTH(A189)</f>
        <v/>
      </c>
    </row>
    <row r="190">
      <c r="A190" s="5" t="n">
        <v>45818</v>
      </c>
      <c r="B190" t="inlineStr">
        <is>
          <t>J-0074</t>
        </is>
      </c>
      <c r="C190" t="n">
        <v>1</v>
      </c>
      <c r="D190" t="inlineStr">
        <is>
          <t>5600</t>
        </is>
      </c>
      <c r="E190" t="inlineStr">
        <is>
          <t>Interest Expense</t>
        </is>
      </c>
      <c r="F190" s="6" t="n">
        <v>9000</v>
      </c>
      <c r="G190" s="6" t="n">
        <v>0</v>
      </c>
      <c r="H190" t="inlineStr">
        <is>
          <t>Term loan interest</t>
        </is>
      </c>
      <c r="I190" t="inlineStr">
        <is>
          <t>HDFC</t>
        </is>
      </c>
      <c r="J190">
        <f>YEAR(A190)*12+MONTH(A190)</f>
        <v/>
      </c>
    </row>
    <row r="191">
      <c r="A191" s="5" t="n">
        <v>45818</v>
      </c>
      <c r="B191" t="inlineStr">
        <is>
          <t>J-0074</t>
        </is>
      </c>
      <c r="C191" t="n">
        <v>2</v>
      </c>
      <c r="D191" t="inlineStr">
        <is>
          <t>1000</t>
        </is>
      </c>
      <c r="E191" t="inlineStr">
        <is>
          <t>Cash &amp; Bank</t>
        </is>
      </c>
      <c r="F191" s="6" t="n">
        <v>0</v>
      </c>
      <c r="G191" s="6" t="n">
        <v>9000</v>
      </c>
      <c r="H191" t="inlineStr">
        <is>
          <t>Term loan interest</t>
        </is>
      </c>
      <c r="I191" t="inlineStr">
        <is>
          <t>HDFC</t>
        </is>
      </c>
      <c r="J191">
        <f>YEAR(A191)*12+MONTH(A191)</f>
        <v/>
      </c>
    </row>
    <row r="192">
      <c r="A192" s="5" t="n">
        <v>45818</v>
      </c>
      <c r="B192" t="inlineStr">
        <is>
          <t>J-0075</t>
        </is>
      </c>
      <c r="C192" t="n">
        <v>1</v>
      </c>
      <c r="D192" t="inlineStr">
        <is>
          <t>2200</t>
        </is>
      </c>
      <c r="E192" t="inlineStr">
        <is>
          <t>Term Loan</t>
        </is>
      </c>
      <c r="F192" s="6" t="n">
        <v>55000</v>
      </c>
      <c r="G192" s="6" t="n">
        <v>0</v>
      </c>
      <c r="H192" t="inlineStr">
        <is>
          <t>Term loan principal repayment</t>
        </is>
      </c>
      <c r="I192" t="inlineStr">
        <is>
          <t>HDFC</t>
        </is>
      </c>
      <c r="J192">
        <f>YEAR(A192)*12+MONTH(A192)</f>
        <v/>
      </c>
    </row>
    <row r="193">
      <c r="A193" s="5" t="n">
        <v>45818</v>
      </c>
      <c r="B193" t="inlineStr">
        <is>
          <t>J-0075</t>
        </is>
      </c>
      <c r="C193" t="n">
        <v>2</v>
      </c>
      <c r="D193" t="inlineStr">
        <is>
          <t>1000</t>
        </is>
      </c>
      <c r="E193" t="inlineStr">
        <is>
          <t>Cash &amp; Bank</t>
        </is>
      </c>
      <c r="F193" s="6" t="n">
        <v>0</v>
      </c>
      <c r="G193" s="6" t="n">
        <v>55000</v>
      </c>
      <c r="H193" t="inlineStr">
        <is>
          <t>Term loan principal repayment</t>
        </is>
      </c>
      <c r="I193" t="inlineStr">
        <is>
          <t>HDFC</t>
        </is>
      </c>
      <c r="J193">
        <f>YEAR(A193)*12+MONTH(A193)</f>
        <v/>
      </c>
    </row>
    <row r="194">
      <c r="A194" s="5" t="n">
        <v>45838</v>
      </c>
      <c r="B194" t="inlineStr">
        <is>
          <t>J-0076</t>
        </is>
      </c>
      <c r="C194" t="n">
        <v>1</v>
      </c>
      <c r="D194" t="inlineStr">
        <is>
          <t>5700</t>
        </is>
      </c>
      <c r="E194" t="inlineStr">
        <is>
          <t>Depreciation Expense</t>
        </is>
      </c>
      <c r="F194" s="6" t="n">
        <v>6000</v>
      </c>
      <c r="G194" s="6" t="n">
        <v>0</v>
      </c>
      <c r="H194" t="inlineStr">
        <is>
          <t>Depreciation - equipment</t>
        </is>
      </c>
      <c r="I194" t="inlineStr"/>
      <c r="J194">
        <f>YEAR(A194)*12+MONTH(A194)</f>
        <v/>
      </c>
    </row>
    <row r="195">
      <c r="A195" s="5" t="n">
        <v>45838</v>
      </c>
      <c r="B195" t="inlineStr">
        <is>
          <t>J-0076</t>
        </is>
      </c>
      <c r="C195" t="n">
        <v>2</v>
      </c>
      <c r="D195" t="inlineStr">
        <is>
          <t>1510</t>
        </is>
      </c>
      <c r="E195" t="inlineStr">
        <is>
          <t>Accumulated Depreciation</t>
        </is>
      </c>
      <c r="F195" s="6" t="n">
        <v>0</v>
      </c>
      <c r="G195" s="6" t="n">
        <v>6000</v>
      </c>
      <c r="H195" t="inlineStr">
        <is>
          <t>Depreciation - equipment</t>
        </is>
      </c>
      <c r="I195" t="inlineStr"/>
      <c r="J195">
        <f>YEAR(A195)*12+MONTH(A195)</f>
        <v/>
      </c>
    </row>
    <row r="196">
      <c r="A196" s="5" t="n">
        <v>45826</v>
      </c>
      <c r="B196" t="inlineStr">
        <is>
          <t>J-0077</t>
        </is>
      </c>
      <c r="C196" t="n">
        <v>1</v>
      </c>
      <c r="D196" t="inlineStr">
        <is>
          <t>5800</t>
        </is>
      </c>
      <c r="E196" t="inlineStr">
        <is>
          <t>Miscellaneous Expense</t>
        </is>
      </c>
      <c r="F196" s="6" t="n">
        <v>3003.43</v>
      </c>
      <c r="G196" s="6" t="n">
        <v>0</v>
      </c>
      <c r="H196" t="inlineStr">
        <is>
          <t>Miscellaneous expenses</t>
        </is>
      </c>
      <c r="I196" t="inlineStr"/>
      <c r="J196">
        <f>YEAR(A196)*12+MONTH(A196)</f>
        <v/>
      </c>
    </row>
    <row r="197">
      <c r="A197" s="5" t="n">
        <v>45826</v>
      </c>
      <c r="B197" t="inlineStr">
        <is>
          <t>J-0077</t>
        </is>
      </c>
      <c r="C197" t="n">
        <v>2</v>
      </c>
      <c r="D197" t="inlineStr">
        <is>
          <t>1000</t>
        </is>
      </c>
      <c r="E197" t="inlineStr">
        <is>
          <t>Cash &amp; Bank</t>
        </is>
      </c>
      <c r="F197" s="6" t="n">
        <v>0</v>
      </c>
      <c r="G197" s="6" t="n">
        <v>3003.43</v>
      </c>
      <c r="H197" t="inlineStr">
        <is>
          <t>Miscellaneous expenses</t>
        </is>
      </c>
      <c r="I197" t="inlineStr"/>
      <c r="J197">
        <f>YEAR(A197)*12+MONTH(A197)</f>
        <v/>
      </c>
    </row>
    <row r="198">
      <c r="A198" s="5" t="n">
        <v>45849</v>
      </c>
      <c r="B198" t="inlineStr">
        <is>
          <t>J-0078</t>
        </is>
      </c>
      <c r="C198" t="n">
        <v>1</v>
      </c>
      <c r="D198" t="inlineStr">
        <is>
          <t>1100</t>
        </is>
      </c>
      <c r="E198" t="inlineStr">
        <is>
          <t>Accounts Receivable</t>
        </is>
      </c>
      <c r="F198" s="6" t="n">
        <v>389370.56</v>
      </c>
      <c r="G198" s="6" t="n">
        <v>0</v>
      </c>
      <c r="H198" t="inlineStr">
        <is>
          <t>Sales invoice INV-202507-1</t>
        </is>
      </c>
      <c r="I198" t="inlineStr">
        <is>
          <t>Singh Brothers Retail</t>
        </is>
      </c>
      <c r="J198">
        <f>YEAR(A198)*12+MONTH(A198)</f>
        <v/>
      </c>
    </row>
    <row r="199">
      <c r="A199" s="5" t="n">
        <v>45849</v>
      </c>
      <c r="B199" t="inlineStr">
        <is>
          <t>J-0078</t>
        </is>
      </c>
      <c r="C199" t="n">
        <v>2</v>
      </c>
      <c r="D199" t="inlineStr">
        <is>
          <t>4000</t>
        </is>
      </c>
      <c r="E199" t="inlineStr">
        <is>
          <t>Sales Revenue</t>
        </is>
      </c>
      <c r="F199" s="6" t="n">
        <v>0</v>
      </c>
      <c r="G199" s="6" t="n">
        <v>329975.05</v>
      </c>
      <c r="H199" t="inlineStr">
        <is>
          <t>Sales invoice INV-202507-1</t>
        </is>
      </c>
      <c r="I199" t="inlineStr">
        <is>
          <t>Singh Brothers Retail</t>
        </is>
      </c>
      <c r="J199">
        <f>YEAR(A199)*12+MONTH(A199)</f>
        <v/>
      </c>
    </row>
    <row r="200">
      <c r="A200" s="5" t="n">
        <v>45849</v>
      </c>
      <c r="B200" t="inlineStr">
        <is>
          <t>J-0078</t>
        </is>
      </c>
      <c r="C200" t="n">
        <v>3</v>
      </c>
      <c r="D200" t="inlineStr">
        <is>
          <t>2100</t>
        </is>
      </c>
      <c r="E200" t="inlineStr">
        <is>
          <t>GST Payable</t>
        </is>
      </c>
      <c r="F200" s="6" t="n">
        <v>0</v>
      </c>
      <c r="G200" s="6" t="n">
        <v>59395.51</v>
      </c>
      <c r="H200" t="inlineStr">
        <is>
          <t>Sales invoice INV-202507-1</t>
        </is>
      </c>
      <c r="I200" t="inlineStr">
        <is>
          <t>GST</t>
        </is>
      </c>
      <c r="J200">
        <f>YEAR(A200)*12+MONTH(A200)</f>
        <v/>
      </c>
    </row>
    <row r="201">
      <c r="A201" s="5" t="n">
        <v>45858</v>
      </c>
      <c r="B201" t="inlineStr">
        <is>
          <t>J-0079</t>
        </is>
      </c>
      <c r="C201" t="n">
        <v>1</v>
      </c>
      <c r="D201" t="inlineStr">
        <is>
          <t>1100</t>
        </is>
      </c>
      <c r="E201" t="inlineStr">
        <is>
          <t>Accounts Receivable</t>
        </is>
      </c>
      <c r="F201" s="6" t="n">
        <v>434050.04</v>
      </c>
      <c r="G201" s="6" t="n">
        <v>0</v>
      </c>
      <c r="H201" t="inlineStr">
        <is>
          <t>Sales invoice INV-202507-2</t>
        </is>
      </c>
      <c r="I201" t="inlineStr">
        <is>
          <t>Patna Daily Needs</t>
        </is>
      </c>
      <c r="J201">
        <f>YEAR(A201)*12+MONTH(A201)</f>
        <v/>
      </c>
    </row>
    <row r="202">
      <c r="A202" s="5" t="n">
        <v>45858</v>
      </c>
      <c r="B202" t="inlineStr">
        <is>
          <t>J-0079</t>
        </is>
      </c>
      <c r="C202" t="n">
        <v>2</v>
      </c>
      <c r="D202" t="inlineStr">
        <is>
          <t>4000</t>
        </is>
      </c>
      <c r="E202" t="inlineStr">
        <is>
          <t>Sales Revenue</t>
        </is>
      </c>
      <c r="F202" s="6" t="n">
        <v>0</v>
      </c>
      <c r="G202" s="6" t="n">
        <v>367839.02</v>
      </c>
      <c r="H202" t="inlineStr">
        <is>
          <t>Sales invoice INV-202507-2</t>
        </is>
      </c>
      <c r="I202" t="inlineStr">
        <is>
          <t>Patna Daily Needs</t>
        </is>
      </c>
      <c r="J202">
        <f>YEAR(A202)*12+MONTH(A202)</f>
        <v/>
      </c>
    </row>
    <row r="203">
      <c r="A203" s="5" t="n">
        <v>45858</v>
      </c>
      <c r="B203" t="inlineStr">
        <is>
          <t>J-0079</t>
        </is>
      </c>
      <c r="C203" t="n">
        <v>3</v>
      </c>
      <c r="D203" t="inlineStr">
        <is>
          <t>2100</t>
        </is>
      </c>
      <c r="E203" t="inlineStr">
        <is>
          <t>GST Payable</t>
        </is>
      </c>
      <c r="F203" s="6" t="n">
        <v>0</v>
      </c>
      <c r="G203" s="6" t="n">
        <v>66211.02</v>
      </c>
      <c r="H203" t="inlineStr">
        <is>
          <t>Sales invoice INV-202507-2</t>
        </is>
      </c>
      <c r="I203" t="inlineStr">
        <is>
          <t>GST</t>
        </is>
      </c>
      <c r="J203">
        <f>YEAR(A203)*12+MONTH(A203)</f>
        <v/>
      </c>
    </row>
    <row r="204">
      <c r="A204" s="5" t="n">
        <v>45855</v>
      </c>
      <c r="B204" t="inlineStr">
        <is>
          <t>J-0080</t>
        </is>
      </c>
      <c r="C204" t="n">
        <v>1</v>
      </c>
      <c r="D204" t="inlineStr">
        <is>
          <t>1100</t>
        </is>
      </c>
      <c r="E204" t="inlineStr">
        <is>
          <t>Accounts Receivable</t>
        </is>
      </c>
      <c r="F204" s="6" t="n">
        <v>681812.02</v>
      </c>
      <c r="G204" s="6" t="n">
        <v>0</v>
      </c>
      <c r="H204" t="inlineStr">
        <is>
          <t>Sales invoice INV-202507-3</t>
        </is>
      </c>
      <c r="I204" t="inlineStr">
        <is>
          <t>Verma Kirana Mart</t>
        </is>
      </c>
      <c r="J204">
        <f>YEAR(A204)*12+MONTH(A204)</f>
        <v/>
      </c>
    </row>
    <row r="205">
      <c r="A205" s="5" t="n">
        <v>45855</v>
      </c>
      <c r="B205" t="inlineStr">
        <is>
          <t>J-0080</t>
        </is>
      </c>
      <c r="C205" t="n">
        <v>2</v>
      </c>
      <c r="D205" t="inlineStr">
        <is>
          <t>4000</t>
        </is>
      </c>
      <c r="E205" t="inlineStr">
        <is>
          <t>Sales Revenue</t>
        </is>
      </c>
      <c r="F205" s="6" t="n">
        <v>0</v>
      </c>
      <c r="G205" s="6" t="n">
        <v>577806.8</v>
      </c>
      <c r="H205" t="inlineStr">
        <is>
          <t>Sales invoice INV-202507-3</t>
        </is>
      </c>
      <c r="I205" t="inlineStr">
        <is>
          <t>Verma Kirana Mart</t>
        </is>
      </c>
      <c r="J205">
        <f>YEAR(A205)*12+MONTH(A205)</f>
        <v/>
      </c>
    </row>
    <row r="206">
      <c r="A206" s="5" t="n">
        <v>45855</v>
      </c>
      <c r="B206" t="inlineStr">
        <is>
          <t>J-0080</t>
        </is>
      </c>
      <c r="C206" t="n">
        <v>3</v>
      </c>
      <c r="D206" t="inlineStr">
        <is>
          <t>2100</t>
        </is>
      </c>
      <c r="E206" t="inlineStr">
        <is>
          <t>GST Payable</t>
        </is>
      </c>
      <c r="F206" s="6" t="n">
        <v>0</v>
      </c>
      <c r="G206" s="6" t="n">
        <v>104005.22</v>
      </c>
      <c r="H206" t="inlineStr">
        <is>
          <t>Sales invoice INV-202507-3</t>
        </is>
      </c>
      <c r="I206" t="inlineStr">
        <is>
          <t>GST</t>
        </is>
      </c>
      <c r="J206">
        <f>YEAR(A206)*12+MONTH(A206)</f>
        <v/>
      </c>
    </row>
    <row r="207">
      <c r="A207" s="5" t="n">
        <v>45844</v>
      </c>
      <c r="B207" t="inlineStr">
        <is>
          <t>J-0081</t>
        </is>
      </c>
      <c r="C207" t="n">
        <v>1</v>
      </c>
      <c r="D207" t="inlineStr">
        <is>
          <t>1100</t>
        </is>
      </c>
      <c r="E207" t="inlineStr">
        <is>
          <t>Accounts Receivable</t>
        </is>
      </c>
      <c r="F207" s="6" t="n">
        <v>635962.3199999999</v>
      </c>
      <c r="G207" s="6" t="n">
        <v>0</v>
      </c>
      <c r="H207" t="inlineStr">
        <is>
          <t>Sales invoice INV-202507-4</t>
        </is>
      </c>
      <c r="I207" t="inlineStr">
        <is>
          <t>Maa Vaishno Stores</t>
        </is>
      </c>
      <c r="J207">
        <f>YEAR(A207)*12+MONTH(A207)</f>
        <v/>
      </c>
    </row>
    <row r="208">
      <c r="A208" s="5" t="n">
        <v>45844</v>
      </c>
      <c r="B208" t="inlineStr">
        <is>
          <t>J-0081</t>
        </is>
      </c>
      <c r="C208" t="n">
        <v>2</v>
      </c>
      <c r="D208" t="inlineStr">
        <is>
          <t>4000</t>
        </is>
      </c>
      <c r="E208" t="inlineStr">
        <is>
          <t>Sales Revenue</t>
        </is>
      </c>
      <c r="F208" s="6" t="n">
        <v>0</v>
      </c>
      <c r="G208" s="6" t="n">
        <v>538951.12</v>
      </c>
      <c r="H208" t="inlineStr">
        <is>
          <t>Sales invoice INV-202507-4</t>
        </is>
      </c>
      <c r="I208" t="inlineStr">
        <is>
          <t>Maa Vaishno Stores</t>
        </is>
      </c>
      <c r="J208">
        <f>YEAR(A208)*12+MONTH(A208)</f>
        <v/>
      </c>
    </row>
    <row r="209">
      <c r="A209" s="5" t="n">
        <v>45844</v>
      </c>
      <c r="B209" t="inlineStr">
        <is>
          <t>J-0081</t>
        </is>
      </c>
      <c r="C209" t="n">
        <v>3</v>
      </c>
      <c r="D209" t="inlineStr">
        <is>
          <t>2100</t>
        </is>
      </c>
      <c r="E209" t="inlineStr">
        <is>
          <t>GST Payable</t>
        </is>
      </c>
      <c r="F209" s="6" t="n">
        <v>0</v>
      </c>
      <c r="G209" s="6" t="n">
        <v>97011.2</v>
      </c>
      <c r="H209" t="inlineStr">
        <is>
          <t>Sales invoice INV-202507-4</t>
        </is>
      </c>
      <c r="I209" t="inlineStr">
        <is>
          <t>GST</t>
        </is>
      </c>
      <c r="J209">
        <f>YEAR(A209)*12+MONTH(A209)</f>
        <v/>
      </c>
    </row>
    <row r="210">
      <c r="A210" s="5" t="n">
        <v>45857</v>
      </c>
      <c r="B210" t="inlineStr">
        <is>
          <t>J-0082</t>
        </is>
      </c>
      <c r="C210" t="n">
        <v>1</v>
      </c>
      <c r="D210" t="inlineStr">
        <is>
          <t>1100</t>
        </is>
      </c>
      <c r="E210" t="inlineStr">
        <is>
          <t>Accounts Receivable</t>
        </is>
      </c>
      <c r="F210" s="6" t="n">
        <v>395157.09</v>
      </c>
      <c r="G210" s="6" t="n">
        <v>0</v>
      </c>
      <c r="H210" t="inlineStr">
        <is>
          <t>Sales invoice INV-202507-5</t>
        </is>
      </c>
      <c r="I210" t="inlineStr">
        <is>
          <t>Rajdhani Traders</t>
        </is>
      </c>
      <c r="J210">
        <f>YEAR(A210)*12+MONTH(A210)</f>
        <v/>
      </c>
    </row>
    <row r="211">
      <c r="A211" s="5" t="n">
        <v>45857</v>
      </c>
      <c r="B211" t="inlineStr">
        <is>
          <t>J-0082</t>
        </is>
      </c>
      <c r="C211" t="n">
        <v>2</v>
      </c>
      <c r="D211" t="inlineStr">
        <is>
          <t>4000</t>
        </is>
      </c>
      <c r="E211" t="inlineStr">
        <is>
          <t>Sales Revenue</t>
        </is>
      </c>
      <c r="F211" s="6" t="n">
        <v>0</v>
      </c>
      <c r="G211" s="6" t="n">
        <v>334878.89</v>
      </c>
      <c r="H211" t="inlineStr">
        <is>
          <t>Sales invoice INV-202507-5</t>
        </is>
      </c>
      <c r="I211" t="inlineStr">
        <is>
          <t>Rajdhani Traders</t>
        </is>
      </c>
      <c r="J211">
        <f>YEAR(A211)*12+MONTH(A211)</f>
        <v/>
      </c>
    </row>
    <row r="212">
      <c r="A212" s="5" t="n">
        <v>45857</v>
      </c>
      <c r="B212" t="inlineStr">
        <is>
          <t>J-0082</t>
        </is>
      </c>
      <c r="C212" t="n">
        <v>3</v>
      </c>
      <c r="D212" t="inlineStr">
        <is>
          <t>2100</t>
        </is>
      </c>
      <c r="E212" t="inlineStr">
        <is>
          <t>GST Payable</t>
        </is>
      </c>
      <c r="F212" s="6" t="n">
        <v>0</v>
      </c>
      <c r="G212" s="6" t="n">
        <v>60278.2</v>
      </c>
      <c r="H212" t="inlineStr">
        <is>
          <t>Sales invoice INV-202507-5</t>
        </is>
      </c>
      <c r="I212" t="inlineStr">
        <is>
          <t>GST</t>
        </is>
      </c>
      <c r="J212">
        <f>YEAR(A212)*12+MONTH(A212)</f>
        <v/>
      </c>
    </row>
    <row r="213">
      <c r="A213" s="5" t="n">
        <v>45859</v>
      </c>
      <c r="B213" t="inlineStr">
        <is>
          <t>J-0083</t>
        </is>
      </c>
      <c r="C213" t="n">
        <v>1</v>
      </c>
      <c r="D213" t="inlineStr">
        <is>
          <t>1100</t>
        </is>
      </c>
      <c r="E213" t="inlineStr">
        <is>
          <t>Accounts Receivable</t>
        </is>
      </c>
      <c r="F213" s="6" t="n">
        <v>408021.67</v>
      </c>
      <c r="G213" s="6" t="n">
        <v>0</v>
      </c>
      <c r="H213" t="inlineStr">
        <is>
          <t>Sales invoice INV-202507-6</t>
        </is>
      </c>
      <c r="I213" t="inlineStr">
        <is>
          <t>Maa Vaishno Stores</t>
        </is>
      </c>
      <c r="J213">
        <f>YEAR(A213)*12+MONTH(A213)</f>
        <v/>
      </c>
    </row>
    <row r="214">
      <c r="A214" s="5" t="n">
        <v>45859</v>
      </c>
      <c r="B214" t="inlineStr">
        <is>
          <t>J-0083</t>
        </is>
      </c>
      <c r="C214" t="n">
        <v>2</v>
      </c>
      <c r="D214" t="inlineStr">
        <is>
          <t>4000</t>
        </is>
      </c>
      <c r="E214" t="inlineStr">
        <is>
          <t>Sales Revenue</t>
        </is>
      </c>
      <c r="F214" s="6" t="n">
        <v>0</v>
      </c>
      <c r="G214" s="6" t="n">
        <v>345781.08</v>
      </c>
      <c r="H214" t="inlineStr">
        <is>
          <t>Sales invoice INV-202507-6</t>
        </is>
      </c>
      <c r="I214" t="inlineStr">
        <is>
          <t>Maa Vaishno Stores</t>
        </is>
      </c>
      <c r="J214">
        <f>YEAR(A214)*12+MONTH(A214)</f>
        <v/>
      </c>
    </row>
    <row r="215">
      <c r="A215" s="5" t="n">
        <v>45859</v>
      </c>
      <c r="B215" t="inlineStr">
        <is>
          <t>J-0083</t>
        </is>
      </c>
      <c r="C215" t="n">
        <v>3</v>
      </c>
      <c r="D215" t="inlineStr">
        <is>
          <t>2100</t>
        </is>
      </c>
      <c r="E215" t="inlineStr">
        <is>
          <t>GST Payable</t>
        </is>
      </c>
      <c r="F215" s="6" t="n">
        <v>0</v>
      </c>
      <c r="G215" s="6" t="n">
        <v>62240.59</v>
      </c>
      <c r="H215" t="inlineStr">
        <is>
          <t>Sales invoice INV-202507-6</t>
        </is>
      </c>
      <c r="I215" t="inlineStr">
        <is>
          <t>GST</t>
        </is>
      </c>
      <c r="J215">
        <f>YEAR(A215)*12+MONTH(A215)</f>
        <v/>
      </c>
    </row>
    <row r="216">
      <c r="A216" s="5" t="n">
        <v>45857</v>
      </c>
      <c r="B216" t="inlineStr">
        <is>
          <t>J-0084</t>
        </is>
      </c>
      <c r="C216" t="n">
        <v>1</v>
      </c>
      <c r="D216" t="inlineStr">
        <is>
          <t>1100</t>
        </is>
      </c>
      <c r="E216" t="inlineStr">
        <is>
          <t>Accounts Receivable</t>
        </is>
      </c>
      <c r="F216" s="6" t="n">
        <v>498375.84</v>
      </c>
      <c r="G216" s="6" t="n">
        <v>0</v>
      </c>
      <c r="H216" t="inlineStr">
        <is>
          <t>Sales invoice INV-202507-7</t>
        </is>
      </c>
      <c r="I216" t="inlineStr">
        <is>
          <t>Patna Daily Needs</t>
        </is>
      </c>
      <c r="J216">
        <f>YEAR(A216)*12+MONTH(A216)</f>
        <v/>
      </c>
    </row>
    <row r="217">
      <c r="A217" s="5" t="n">
        <v>45857</v>
      </c>
      <c r="B217" t="inlineStr">
        <is>
          <t>J-0084</t>
        </is>
      </c>
      <c r="C217" t="n">
        <v>2</v>
      </c>
      <c r="D217" t="inlineStr">
        <is>
          <t>4000</t>
        </is>
      </c>
      <c r="E217" t="inlineStr">
        <is>
          <t>Sales Revenue</t>
        </is>
      </c>
      <c r="F217" s="6" t="n">
        <v>0</v>
      </c>
      <c r="G217" s="6" t="n">
        <v>422352.41</v>
      </c>
      <c r="H217" t="inlineStr">
        <is>
          <t>Sales invoice INV-202507-7</t>
        </is>
      </c>
      <c r="I217" t="inlineStr">
        <is>
          <t>Patna Daily Needs</t>
        </is>
      </c>
      <c r="J217">
        <f>YEAR(A217)*12+MONTH(A217)</f>
        <v/>
      </c>
    </row>
    <row r="218">
      <c r="A218" s="5" t="n">
        <v>45857</v>
      </c>
      <c r="B218" t="inlineStr">
        <is>
          <t>J-0084</t>
        </is>
      </c>
      <c r="C218" t="n">
        <v>3</v>
      </c>
      <c r="D218" t="inlineStr">
        <is>
          <t>2100</t>
        </is>
      </c>
      <c r="E218" t="inlineStr">
        <is>
          <t>GST Payable</t>
        </is>
      </c>
      <c r="F218" s="6" t="n">
        <v>0</v>
      </c>
      <c r="G218" s="6" t="n">
        <v>76023.42999999999</v>
      </c>
      <c r="H218" t="inlineStr">
        <is>
          <t>Sales invoice INV-202507-7</t>
        </is>
      </c>
      <c r="I218" t="inlineStr">
        <is>
          <t>GST</t>
        </is>
      </c>
      <c r="J218">
        <f>YEAR(A218)*12+MONTH(A218)</f>
        <v/>
      </c>
    </row>
    <row r="219">
      <c r="A219" s="5" t="n">
        <v>45865</v>
      </c>
      <c r="B219" t="inlineStr">
        <is>
          <t>J-0085</t>
        </is>
      </c>
      <c r="C219" t="n">
        <v>1</v>
      </c>
      <c r="D219" t="inlineStr">
        <is>
          <t>5000</t>
        </is>
      </c>
      <c r="E219" t="inlineStr">
        <is>
          <t>Cost of Goods Sold</t>
        </is>
      </c>
      <c r="F219" s="6" t="n">
        <v>2072099.37</v>
      </c>
      <c r="G219" s="6" t="n">
        <v>0</v>
      </c>
      <c r="H219" t="inlineStr">
        <is>
          <t>Cost of goods sold - monthly</t>
        </is>
      </c>
      <c r="I219" t="inlineStr"/>
      <c r="J219">
        <f>YEAR(A219)*12+MONTH(A219)</f>
        <v/>
      </c>
    </row>
    <row r="220">
      <c r="A220" s="5" t="n">
        <v>45865</v>
      </c>
      <c r="B220" t="inlineStr">
        <is>
          <t>J-0085</t>
        </is>
      </c>
      <c r="C220" t="n">
        <v>2</v>
      </c>
      <c r="D220" t="inlineStr">
        <is>
          <t>1200</t>
        </is>
      </c>
      <c r="E220" t="inlineStr">
        <is>
          <t>Inventory</t>
        </is>
      </c>
      <c r="F220" s="6" t="n">
        <v>0</v>
      </c>
      <c r="G220" s="6" t="n">
        <v>2072099.37</v>
      </c>
      <c r="H220" t="inlineStr">
        <is>
          <t>Cost of goods sold - monthly</t>
        </is>
      </c>
      <c r="I220" t="inlineStr"/>
      <c r="J220">
        <f>YEAR(A220)*12+MONTH(A220)</f>
        <v/>
      </c>
    </row>
    <row r="221">
      <c r="A221" s="5" t="n">
        <v>45866</v>
      </c>
      <c r="B221" t="inlineStr">
        <is>
          <t>J-0086</t>
        </is>
      </c>
      <c r="C221" t="n">
        <v>1</v>
      </c>
      <c r="D221" t="inlineStr">
        <is>
          <t>1000</t>
        </is>
      </c>
      <c r="E221" t="inlineStr">
        <is>
          <t>Cash &amp; Bank</t>
        </is>
      </c>
      <c r="F221" s="6" t="n">
        <v>2991703.79</v>
      </c>
      <c r="G221" s="6" t="n">
        <v>0</v>
      </c>
      <c r="H221" t="inlineStr">
        <is>
          <t>Customer receipts</t>
        </is>
      </c>
      <c r="I221" t="inlineStr"/>
      <c r="J221">
        <f>YEAR(A221)*12+MONTH(A221)</f>
        <v/>
      </c>
    </row>
    <row r="222">
      <c r="A222" s="5" t="n">
        <v>45866</v>
      </c>
      <c r="B222" t="inlineStr">
        <is>
          <t>J-0086</t>
        </is>
      </c>
      <c r="C222" t="n">
        <v>2</v>
      </c>
      <c r="D222" t="inlineStr">
        <is>
          <t>1100</t>
        </is>
      </c>
      <c r="E222" t="inlineStr">
        <is>
          <t>Accounts Receivable</t>
        </is>
      </c>
      <c r="F222" s="6" t="n">
        <v>0</v>
      </c>
      <c r="G222" s="6" t="n">
        <v>2991703.79</v>
      </c>
      <c r="H222" t="inlineStr">
        <is>
          <t>Customer receipts</t>
        </is>
      </c>
      <c r="I222" t="inlineStr"/>
      <c r="J222">
        <f>YEAR(A222)*12+MONTH(A222)</f>
        <v/>
      </c>
    </row>
    <row r="223">
      <c r="A223" s="5" t="n">
        <v>45855</v>
      </c>
      <c r="B223" t="inlineStr">
        <is>
          <t>J-0087</t>
        </is>
      </c>
      <c r="C223" t="n">
        <v>1</v>
      </c>
      <c r="D223" t="inlineStr">
        <is>
          <t>1200</t>
        </is>
      </c>
      <c r="E223" t="inlineStr">
        <is>
          <t>Inventory</t>
        </is>
      </c>
      <c r="F223" s="6" t="n">
        <v>406144.5</v>
      </c>
      <c r="G223" s="6" t="n">
        <v>0</v>
      </c>
      <c r="H223" t="inlineStr">
        <is>
          <t>Purchase bill PB-202507-1</t>
        </is>
      </c>
      <c r="I223" t="inlineStr">
        <is>
          <t>National FMCG Distributors</t>
        </is>
      </c>
      <c r="J223">
        <f>YEAR(A223)*12+MONTH(A223)</f>
        <v/>
      </c>
    </row>
    <row r="224">
      <c r="A224" s="5" t="n">
        <v>45855</v>
      </c>
      <c r="B224" t="inlineStr">
        <is>
          <t>J-0087</t>
        </is>
      </c>
      <c r="C224" t="n">
        <v>2</v>
      </c>
      <c r="D224" t="inlineStr">
        <is>
          <t>1300</t>
        </is>
      </c>
      <c r="E224" t="inlineStr">
        <is>
          <t>GST Input Credit</t>
        </is>
      </c>
      <c r="F224" s="6" t="n">
        <v>73106.00999999999</v>
      </c>
      <c r="G224" s="6" t="n">
        <v>0</v>
      </c>
      <c r="H224" t="inlineStr">
        <is>
          <t>Purchase bill PB-202507-1</t>
        </is>
      </c>
      <c r="I224" t="inlineStr">
        <is>
          <t>National FMCG Distributors</t>
        </is>
      </c>
      <c r="J224">
        <f>YEAR(A224)*12+MONTH(A224)</f>
        <v/>
      </c>
    </row>
    <row r="225">
      <c r="A225" s="5" t="n">
        <v>45855</v>
      </c>
      <c r="B225" t="inlineStr">
        <is>
          <t>J-0087</t>
        </is>
      </c>
      <c r="C225" t="n">
        <v>3</v>
      </c>
      <c r="D225" t="inlineStr">
        <is>
          <t>2000</t>
        </is>
      </c>
      <c r="E225" t="inlineStr">
        <is>
          <t>Accounts Payable</t>
        </is>
      </c>
      <c r="F225" s="6" t="n">
        <v>0</v>
      </c>
      <c r="G225" s="6" t="n">
        <v>479250.51</v>
      </c>
      <c r="H225" t="inlineStr">
        <is>
          <t>Purchase bill PB-202507-1</t>
        </is>
      </c>
      <c r="I225" t="inlineStr">
        <is>
          <t>National FMCG Distributors</t>
        </is>
      </c>
      <c r="J225">
        <f>YEAR(A225)*12+MONTH(A225)</f>
        <v/>
      </c>
    </row>
    <row r="226">
      <c r="A226" s="5" t="n">
        <v>45844</v>
      </c>
      <c r="B226" t="inlineStr">
        <is>
          <t>J-0088</t>
        </is>
      </c>
      <c r="C226" t="n">
        <v>1</v>
      </c>
      <c r="D226" t="inlineStr">
        <is>
          <t>1200</t>
        </is>
      </c>
      <c r="E226" t="inlineStr">
        <is>
          <t>Inventory</t>
        </is>
      </c>
      <c r="F226" s="6" t="n">
        <v>490898.75</v>
      </c>
      <c r="G226" s="6" t="n">
        <v>0</v>
      </c>
      <c r="H226" t="inlineStr">
        <is>
          <t>Purchase bill PB-202507-2</t>
        </is>
      </c>
      <c r="I226" t="inlineStr">
        <is>
          <t>Eastern Packaging Co</t>
        </is>
      </c>
      <c r="J226">
        <f>YEAR(A226)*12+MONTH(A226)</f>
        <v/>
      </c>
    </row>
    <row r="227">
      <c r="A227" s="5" t="n">
        <v>45844</v>
      </c>
      <c r="B227" t="inlineStr">
        <is>
          <t>J-0088</t>
        </is>
      </c>
      <c r="C227" t="n">
        <v>2</v>
      </c>
      <c r="D227" t="inlineStr">
        <is>
          <t>1300</t>
        </is>
      </c>
      <c r="E227" t="inlineStr">
        <is>
          <t>GST Input Credit</t>
        </is>
      </c>
      <c r="F227" s="6" t="n">
        <v>88361.77</v>
      </c>
      <c r="G227" s="6" t="n">
        <v>0</v>
      </c>
      <c r="H227" t="inlineStr">
        <is>
          <t>Purchase bill PB-202507-2</t>
        </is>
      </c>
      <c r="I227" t="inlineStr">
        <is>
          <t>Eastern Packaging Co</t>
        </is>
      </c>
      <c r="J227">
        <f>YEAR(A227)*12+MONTH(A227)</f>
        <v/>
      </c>
    </row>
    <row r="228">
      <c r="A228" s="5" t="n">
        <v>45844</v>
      </c>
      <c r="B228" t="inlineStr">
        <is>
          <t>J-0088</t>
        </is>
      </c>
      <c r="C228" t="n">
        <v>3</v>
      </c>
      <c r="D228" t="inlineStr">
        <is>
          <t>2000</t>
        </is>
      </c>
      <c r="E228" t="inlineStr">
        <is>
          <t>Accounts Payable</t>
        </is>
      </c>
      <c r="F228" s="6" t="n">
        <v>0</v>
      </c>
      <c r="G228" s="6" t="n">
        <v>579260.52</v>
      </c>
      <c r="H228" t="inlineStr">
        <is>
          <t>Purchase bill PB-202507-2</t>
        </is>
      </c>
      <c r="I228" t="inlineStr">
        <is>
          <t>Eastern Packaging Co</t>
        </is>
      </c>
      <c r="J228">
        <f>YEAR(A228)*12+MONTH(A228)</f>
        <v/>
      </c>
    </row>
    <row r="229">
      <c r="A229" s="5" t="n">
        <v>45851</v>
      </c>
      <c r="B229" t="inlineStr">
        <is>
          <t>J-0089</t>
        </is>
      </c>
      <c r="C229" t="n">
        <v>1</v>
      </c>
      <c r="D229" t="inlineStr">
        <is>
          <t>1200</t>
        </is>
      </c>
      <c r="E229" t="inlineStr">
        <is>
          <t>Inventory</t>
        </is>
      </c>
      <c r="F229" s="6" t="n">
        <v>380565.84</v>
      </c>
      <c r="G229" s="6" t="n">
        <v>0</v>
      </c>
      <c r="H229" t="inlineStr">
        <is>
          <t>Purchase bill PB-202507-3</t>
        </is>
      </c>
      <c r="I229" t="inlineStr">
        <is>
          <t>Hindustan Foods Ltd</t>
        </is>
      </c>
      <c r="J229">
        <f>YEAR(A229)*12+MONTH(A229)</f>
        <v/>
      </c>
    </row>
    <row r="230">
      <c r="A230" s="5" t="n">
        <v>45851</v>
      </c>
      <c r="B230" t="inlineStr">
        <is>
          <t>J-0089</t>
        </is>
      </c>
      <c r="C230" t="n">
        <v>2</v>
      </c>
      <c r="D230" t="inlineStr">
        <is>
          <t>1300</t>
        </is>
      </c>
      <c r="E230" t="inlineStr">
        <is>
          <t>GST Input Credit</t>
        </is>
      </c>
      <c r="F230" s="6" t="n">
        <v>68501.85000000001</v>
      </c>
      <c r="G230" s="6" t="n">
        <v>0</v>
      </c>
      <c r="H230" t="inlineStr">
        <is>
          <t>Purchase bill PB-202507-3</t>
        </is>
      </c>
      <c r="I230" t="inlineStr">
        <is>
          <t>Hindustan Foods Ltd</t>
        </is>
      </c>
      <c r="J230">
        <f>YEAR(A230)*12+MONTH(A230)</f>
        <v/>
      </c>
    </row>
    <row r="231">
      <c r="A231" s="5" t="n">
        <v>45851</v>
      </c>
      <c r="B231" t="inlineStr">
        <is>
          <t>J-0089</t>
        </is>
      </c>
      <c r="C231" t="n">
        <v>3</v>
      </c>
      <c r="D231" t="inlineStr">
        <is>
          <t>2000</t>
        </is>
      </c>
      <c r="E231" t="inlineStr">
        <is>
          <t>Accounts Payable</t>
        </is>
      </c>
      <c r="F231" s="6" t="n">
        <v>0</v>
      </c>
      <c r="G231" s="6" t="n">
        <v>449067.69</v>
      </c>
      <c r="H231" t="inlineStr">
        <is>
          <t>Purchase bill PB-202507-3</t>
        </is>
      </c>
      <c r="I231" t="inlineStr">
        <is>
          <t>Hindustan Foods Ltd</t>
        </is>
      </c>
      <c r="J231">
        <f>YEAR(A231)*12+MONTH(A231)</f>
        <v/>
      </c>
    </row>
    <row r="232">
      <c r="A232" s="5" t="n">
        <v>45848</v>
      </c>
      <c r="B232" t="inlineStr">
        <is>
          <t>J-0090</t>
        </is>
      </c>
      <c r="C232" t="n">
        <v>1</v>
      </c>
      <c r="D232" t="inlineStr">
        <is>
          <t>1200</t>
        </is>
      </c>
      <c r="E232" t="inlineStr">
        <is>
          <t>Inventory</t>
        </is>
      </c>
      <c r="F232" s="6" t="n">
        <v>342156.98</v>
      </c>
      <c r="G232" s="6" t="n">
        <v>0</v>
      </c>
      <c r="H232" t="inlineStr">
        <is>
          <t>Purchase bill PB-202507-4</t>
        </is>
      </c>
      <c r="I232" t="inlineStr">
        <is>
          <t>Ganga Logistics Pvt Ltd</t>
        </is>
      </c>
      <c r="J232">
        <f>YEAR(A232)*12+MONTH(A232)</f>
        <v/>
      </c>
    </row>
    <row r="233">
      <c r="A233" s="5" t="n">
        <v>45848</v>
      </c>
      <c r="B233" t="inlineStr">
        <is>
          <t>J-0090</t>
        </is>
      </c>
      <c r="C233" t="n">
        <v>2</v>
      </c>
      <c r="D233" t="inlineStr">
        <is>
          <t>1300</t>
        </is>
      </c>
      <c r="E233" t="inlineStr">
        <is>
          <t>GST Input Credit</t>
        </is>
      </c>
      <c r="F233" s="6" t="n">
        <v>61588.26</v>
      </c>
      <c r="G233" s="6" t="n">
        <v>0</v>
      </c>
      <c r="H233" t="inlineStr">
        <is>
          <t>Purchase bill PB-202507-4</t>
        </is>
      </c>
      <c r="I233" t="inlineStr">
        <is>
          <t>Ganga Logistics Pvt Ltd</t>
        </is>
      </c>
      <c r="J233">
        <f>YEAR(A233)*12+MONTH(A233)</f>
        <v/>
      </c>
    </row>
    <row r="234">
      <c r="A234" s="5" t="n">
        <v>45848</v>
      </c>
      <c r="B234" t="inlineStr">
        <is>
          <t>J-0090</t>
        </is>
      </c>
      <c r="C234" t="n">
        <v>3</v>
      </c>
      <c r="D234" t="inlineStr">
        <is>
          <t>2000</t>
        </is>
      </c>
      <c r="E234" t="inlineStr">
        <is>
          <t>Accounts Payable</t>
        </is>
      </c>
      <c r="F234" s="6" t="n">
        <v>0</v>
      </c>
      <c r="G234" s="6" t="n">
        <v>403745.24</v>
      </c>
      <c r="H234" t="inlineStr">
        <is>
          <t>Purchase bill PB-202507-4</t>
        </is>
      </c>
      <c r="I234" t="inlineStr">
        <is>
          <t>Ganga Logistics Pvt Ltd</t>
        </is>
      </c>
      <c r="J234">
        <f>YEAR(A234)*12+MONTH(A234)</f>
        <v/>
      </c>
    </row>
    <row r="235">
      <c r="A235" s="5" t="n">
        <v>45843</v>
      </c>
      <c r="B235" t="inlineStr">
        <is>
          <t>J-0091</t>
        </is>
      </c>
      <c r="C235" t="n">
        <v>1</v>
      </c>
      <c r="D235" t="inlineStr">
        <is>
          <t>1200</t>
        </is>
      </c>
      <c r="E235" t="inlineStr">
        <is>
          <t>Inventory</t>
        </is>
      </c>
      <c r="F235" s="6" t="n">
        <v>438217.63</v>
      </c>
      <c r="G235" s="6" t="n">
        <v>0</v>
      </c>
      <c r="H235" t="inlineStr">
        <is>
          <t>Purchase bill PB-202507-5</t>
        </is>
      </c>
      <c r="I235" t="inlineStr">
        <is>
          <t>Hindustan Foods Ltd</t>
        </is>
      </c>
      <c r="J235">
        <f>YEAR(A235)*12+MONTH(A235)</f>
        <v/>
      </c>
    </row>
    <row r="236">
      <c r="A236" s="5" t="n">
        <v>45843</v>
      </c>
      <c r="B236" t="inlineStr">
        <is>
          <t>J-0091</t>
        </is>
      </c>
      <c r="C236" t="n">
        <v>2</v>
      </c>
      <c r="D236" t="inlineStr">
        <is>
          <t>1300</t>
        </is>
      </c>
      <c r="E236" t="inlineStr">
        <is>
          <t>GST Input Credit</t>
        </is>
      </c>
      <c r="F236" s="6" t="n">
        <v>78879.17</v>
      </c>
      <c r="G236" s="6" t="n">
        <v>0</v>
      </c>
      <c r="H236" t="inlineStr">
        <is>
          <t>Purchase bill PB-202507-5</t>
        </is>
      </c>
      <c r="I236" t="inlineStr">
        <is>
          <t>Hindustan Foods Ltd</t>
        </is>
      </c>
      <c r="J236">
        <f>YEAR(A236)*12+MONTH(A236)</f>
        <v/>
      </c>
    </row>
    <row r="237">
      <c r="A237" s="5" t="n">
        <v>45843</v>
      </c>
      <c r="B237" t="inlineStr">
        <is>
          <t>J-0091</t>
        </is>
      </c>
      <c r="C237" t="n">
        <v>3</v>
      </c>
      <c r="D237" t="inlineStr">
        <is>
          <t>2000</t>
        </is>
      </c>
      <c r="E237" t="inlineStr">
        <is>
          <t>Accounts Payable</t>
        </is>
      </c>
      <c r="F237" s="6" t="n">
        <v>0</v>
      </c>
      <c r="G237" s="6" t="n">
        <v>517096.8</v>
      </c>
      <c r="H237" t="inlineStr">
        <is>
          <t>Purchase bill PB-202507-5</t>
        </is>
      </c>
      <c r="I237" t="inlineStr">
        <is>
          <t>Hindustan Foods Ltd</t>
        </is>
      </c>
      <c r="J237">
        <f>YEAR(A237)*12+MONTH(A237)</f>
        <v/>
      </c>
    </row>
    <row r="238">
      <c r="A238" s="5" t="n">
        <v>45867</v>
      </c>
      <c r="B238" t="inlineStr">
        <is>
          <t>J-0092</t>
        </is>
      </c>
      <c r="C238" t="n">
        <v>1</v>
      </c>
      <c r="D238" t="inlineStr">
        <is>
          <t>2000</t>
        </is>
      </c>
      <c r="E238" t="inlineStr">
        <is>
          <t>Accounts Payable</t>
        </is>
      </c>
      <c r="F238" s="6" t="n">
        <v>2299331.33</v>
      </c>
      <c r="G238" s="6" t="n">
        <v>0</v>
      </c>
      <c r="H238" t="inlineStr">
        <is>
          <t>Vendor payments</t>
        </is>
      </c>
      <c r="I238" t="inlineStr"/>
      <c r="J238">
        <f>YEAR(A238)*12+MONTH(A238)</f>
        <v/>
      </c>
    </row>
    <row r="239">
      <c r="A239" s="5" t="n">
        <v>45867</v>
      </c>
      <c r="B239" t="inlineStr">
        <is>
          <t>J-0092</t>
        </is>
      </c>
      <c r="C239" t="n">
        <v>2</v>
      </c>
      <c r="D239" t="inlineStr">
        <is>
          <t>1000</t>
        </is>
      </c>
      <c r="E239" t="inlineStr">
        <is>
          <t>Cash &amp; Bank</t>
        </is>
      </c>
      <c r="F239" s="6" t="n">
        <v>0</v>
      </c>
      <c r="G239" s="6" t="n">
        <v>2299331.33</v>
      </c>
      <c r="H239" t="inlineStr">
        <is>
          <t>Vendor payments</t>
        </is>
      </c>
      <c r="I239" t="inlineStr"/>
      <c r="J239">
        <f>YEAR(A239)*12+MONTH(A239)</f>
        <v/>
      </c>
    </row>
    <row r="240">
      <c r="A240" s="5" t="n">
        <v>45868</v>
      </c>
      <c r="B240" t="inlineStr">
        <is>
          <t>J-0093</t>
        </is>
      </c>
      <c r="C240" t="n">
        <v>1</v>
      </c>
      <c r="D240" t="inlineStr">
        <is>
          <t>2100</t>
        </is>
      </c>
      <c r="E240" t="inlineStr">
        <is>
          <t>GST Payable</t>
        </is>
      </c>
      <c r="F240" s="6" t="n">
        <v>144244.77</v>
      </c>
      <c r="G240" s="6" t="n">
        <v>0</v>
      </c>
      <c r="H240" t="inlineStr">
        <is>
          <t>GST paid for month</t>
        </is>
      </c>
      <c r="I240" t="inlineStr">
        <is>
          <t>GST</t>
        </is>
      </c>
      <c r="J240">
        <f>YEAR(A240)*12+MONTH(A240)</f>
        <v/>
      </c>
    </row>
    <row r="241">
      <c r="A241" s="5" t="n">
        <v>45868</v>
      </c>
      <c r="B241" t="inlineStr">
        <is>
          <t>J-0093</t>
        </is>
      </c>
      <c r="C241" t="n">
        <v>2</v>
      </c>
      <c r="D241" t="inlineStr">
        <is>
          <t>1000</t>
        </is>
      </c>
      <c r="E241" t="inlineStr">
        <is>
          <t>Cash &amp; Bank</t>
        </is>
      </c>
      <c r="F241" s="6" t="n">
        <v>0</v>
      </c>
      <c r="G241" s="6" t="n">
        <v>144244.77</v>
      </c>
      <c r="H241" t="inlineStr">
        <is>
          <t>GST paid for month</t>
        </is>
      </c>
      <c r="I241" t="inlineStr">
        <is>
          <t>GST</t>
        </is>
      </c>
      <c r="J241">
        <f>YEAR(A241)*12+MONTH(A241)</f>
        <v/>
      </c>
    </row>
    <row r="242">
      <c r="A242" s="5" t="n">
        <v>45843</v>
      </c>
      <c r="B242" t="inlineStr">
        <is>
          <t>J-0094</t>
        </is>
      </c>
      <c r="C242" t="n">
        <v>1</v>
      </c>
      <c r="D242" t="inlineStr">
        <is>
          <t>5100</t>
        </is>
      </c>
      <c r="E242" t="inlineStr">
        <is>
          <t>Rent Expense</t>
        </is>
      </c>
      <c r="F242" s="6" t="n">
        <v>25000</v>
      </c>
      <c r="G242" s="6" t="n">
        <v>0</v>
      </c>
      <c r="H242" t="inlineStr">
        <is>
          <t>Office rent</t>
        </is>
      </c>
      <c r="I242" t="inlineStr"/>
      <c r="J242">
        <f>YEAR(A242)*12+MONTH(A242)</f>
        <v/>
      </c>
    </row>
    <row r="243">
      <c r="A243" s="5" t="n">
        <v>45843</v>
      </c>
      <c r="B243" t="inlineStr">
        <is>
          <t>J-0094</t>
        </is>
      </c>
      <c r="C243" t="n">
        <v>2</v>
      </c>
      <c r="D243" t="inlineStr">
        <is>
          <t>1000</t>
        </is>
      </c>
      <c r="E243" t="inlineStr">
        <is>
          <t>Cash &amp; Bank</t>
        </is>
      </c>
      <c r="F243" s="6" t="n">
        <v>0</v>
      </c>
      <c r="G243" s="6" t="n">
        <v>25000</v>
      </c>
      <c r="H243" t="inlineStr">
        <is>
          <t>Office rent</t>
        </is>
      </c>
      <c r="I243" t="inlineStr"/>
      <c r="J243">
        <f>YEAR(A243)*12+MONTH(A243)</f>
        <v/>
      </c>
    </row>
    <row r="244">
      <c r="A244" s="5" t="n">
        <v>45845</v>
      </c>
      <c r="B244" t="inlineStr">
        <is>
          <t>J-0095</t>
        </is>
      </c>
      <c r="C244" t="n">
        <v>1</v>
      </c>
      <c r="D244" t="inlineStr">
        <is>
          <t>5200</t>
        </is>
      </c>
      <c r="E244" t="inlineStr">
        <is>
          <t>Salaries Expense</t>
        </is>
      </c>
      <c r="F244" s="6" t="n">
        <v>108059.04</v>
      </c>
      <c r="G244" s="6" t="n">
        <v>0</v>
      </c>
      <c r="H244" t="inlineStr">
        <is>
          <t>Staff salaries</t>
        </is>
      </c>
      <c r="I244" t="inlineStr"/>
      <c r="J244">
        <f>YEAR(A244)*12+MONTH(A244)</f>
        <v/>
      </c>
    </row>
    <row r="245">
      <c r="A245" s="5" t="n">
        <v>45845</v>
      </c>
      <c r="B245" t="inlineStr">
        <is>
          <t>J-0095</t>
        </is>
      </c>
      <c r="C245" t="n">
        <v>2</v>
      </c>
      <c r="D245" t="inlineStr">
        <is>
          <t>1000</t>
        </is>
      </c>
      <c r="E245" t="inlineStr">
        <is>
          <t>Cash &amp; Bank</t>
        </is>
      </c>
      <c r="F245" s="6" t="n">
        <v>0</v>
      </c>
      <c r="G245" s="6" t="n">
        <v>108059.04</v>
      </c>
      <c r="H245" t="inlineStr">
        <is>
          <t>Staff salaries</t>
        </is>
      </c>
      <c r="I245" t="inlineStr"/>
      <c r="J245">
        <f>YEAR(A245)*12+MONTH(A245)</f>
        <v/>
      </c>
    </row>
    <row r="246">
      <c r="A246" s="5" t="n">
        <v>45850</v>
      </c>
      <c r="B246" t="inlineStr">
        <is>
          <t>J-0096</t>
        </is>
      </c>
      <c r="C246" t="n">
        <v>1</v>
      </c>
      <c r="D246" t="inlineStr">
        <is>
          <t>5300</t>
        </is>
      </c>
      <c r="E246" t="inlineStr">
        <is>
          <t>Utilities Expense</t>
        </is>
      </c>
      <c r="F246" s="6" t="n">
        <v>7168.5</v>
      </c>
      <c r="G246" s="6" t="n">
        <v>0</v>
      </c>
      <c r="H246" t="inlineStr">
        <is>
          <t>Utilities (power/water/phone)</t>
        </is>
      </c>
      <c r="I246" t="inlineStr"/>
      <c r="J246">
        <f>YEAR(A246)*12+MONTH(A246)</f>
        <v/>
      </c>
    </row>
    <row r="247">
      <c r="A247" s="5" t="n">
        <v>45850</v>
      </c>
      <c r="B247" t="inlineStr">
        <is>
          <t>J-0096</t>
        </is>
      </c>
      <c r="C247" t="n">
        <v>2</v>
      </c>
      <c r="D247" t="inlineStr">
        <is>
          <t>1000</t>
        </is>
      </c>
      <c r="E247" t="inlineStr">
        <is>
          <t>Cash &amp; Bank</t>
        </is>
      </c>
      <c r="F247" s="6" t="n">
        <v>0</v>
      </c>
      <c r="G247" s="6" t="n">
        <v>7168.5</v>
      </c>
      <c r="H247" t="inlineStr">
        <is>
          <t>Utilities (power/water/phone)</t>
        </is>
      </c>
      <c r="I247" t="inlineStr"/>
      <c r="J247">
        <f>YEAR(A247)*12+MONTH(A247)</f>
        <v/>
      </c>
    </row>
    <row r="248">
      <c r="A248" s="5" t="n">
        <v>45856</v>
      </c>
      <c r="B248" t="inlineStr">
        <is>
          <t>J-0097</t>
        </is>
      </c>
      <c r="C248" t="n">
        <v>1</v>
      </c>
      <c r="D248" t="inlineStr">
        <is>
          <t>5400</t>
        </is>
      </c>
      <c r="E248" t="inlineStr">
        <is>
          <t>Transport &amp; Logistics</t>
        </is>
      </c>
      <c r="F248" s="6" t="n">
        <v>15219.89</v>
      </c>
      <c r="G248" s="6" t="n">
        <v>0</v>
      </c>
      <c r="H248" t="inlineStr">
        <is>
          <t>Transport &amp; logistics</t>
        </is>
      </c>
      <c r="I248" t="inlineStr"/>
      <c r="J248">
        <f>YEAR(A248)*12+MONTH(A248)</f>
        <v/>
      </c>
    </row>
    <row r="249">
      <c r="A249" s="5" t="n">
        <v>45856</v>
      </c>
      <c r="B249" t="inlineStr">
        <is>
          <t>J-0097</t>
        </is>
      </c>
      <c r="C249" t="n">
        <v>2</v>
      </c>
      <c r="D249" t="inlineStr">
        <is>
          <t>1000</t>
        </is>
      </c>
      <c r="E249" t="inlineStr">
        <is>
          <t>Cash &amp; Bank</t>
        </is>
      </c>
      <c r="F249" s="6" t="n">
        <v>0</v>
      </c>
      <c r="G249" s="6" t="n">
        <v>15219.89</v>
      </c>
      <c r="H249" t="inlineStr">
        <is>
          <t>Transport &amp; logistics</t>
        </is>
      </c>
      <c r="I249" t="inlineStr"/>
      <c r="J249">
        <f>YEAR(A249)*12+MONTH(A249)</f>
        <v/>
      </c>
    </row>
    <row r="250">
      <c r="A250" s="5" t="n">
        <v>45858</v>
      </c>
      <c r="B250" t="inlineStr">
        <is>
          <t>J-0098</t>
        </is>
      </c>
      <c r="C250" t="n">
        <v>1</v>
      </c>
      <c r="D250" t="inlineStr">
        <is>
          <t>5500</t>
        </is>
      </c>
      <c r="E250" t="inlineStr">
        <is>
          <t>Marketing Expense</t>
        </is>
      </c>
      <c r="F250" s="6" t="n">
        <v>14643.43</v>
      </c>
      <c r="G250" s="6" t="n">
        <v>0</v>
      </c>
      <c r="H250" t="inlineStr">
        <is>
          <t>Marketing &amp; promotions</t>
        </is>
      </c>
      <c r="I250" t="inlineStr"/>
      <c r="J250">
        <f>YEAR(A250)*12+MONTH(A250)</f>
        <v/>
      </c>
    </row>
    <row r="251">
      <c r="A251" s="5" t="n">
        <v>45858</v>
      </c>
      <c r="B251" t="inlineStr">
        <is>
          <t>J-0098</t>
        </is>
      </c>
      <c r="C251" t="n">
        <v>2</v>
      </c>
      <c r="D251" t="inlineStr">
        <is>
          <t>1000</t>
        </is>
      </c>
      <c r="E251" t="inlineStr">
        <is>
          <t>Cash &amp; Bank</t>
        </is>
      </c>
      <c r="F251" s="6" t="n">
        <v>0</v>
      </c>
      <c r="G251" s="6" t="n">
        <v>14643.43</v>
      </c>
      <c r="H251" t="inlineStr">
        <is>
          <t>Marketing &amp; promotions</t>
        </is>
      </c>
      <c r="I251" t="inlineStr"/>
      <c r="J251">
        <f>YEAR(A251)*12+MONTH(A251)</f>
        <v/>
      </c>
    </row>
    <row r="252">
      <c r="A252" s="5" t="n">
        <v>45848</v>
      </c>
      <c r="B252" t="inlineStr">
        <is>
          <t>J-0099</t>
        </is>
      </c>
      <c r="C252" t="n">
        <v>1</v>
      </c>
      <c r="D252" t="inlineStr">
        <is>
          <t>5600</t>
        </is>
      </c>
      <c r="E252" t="inlineStr">
        <is>
          <t>Interest Expense</t>
        </is>
      </c>
      <c r="F252" s="6" t="n">
        <v>9000</v>
      </c>
      <c r="G252" s="6" t="n">
        <v>0</v>
      </c>
      <c r="H252" t="inlineStr">
        <is>
          <t>Term loan interest</t>
        </is>
      </c>
      <c r="I252" t="inlineStr">
        <is>
          <t>HDFC</t>
        </is>
      </c>
      <c r="J252">
        <f>YEAR(A252)*12+MONTH(A252)</f>
        <v/>
      </c>
    </row>
    <row r="253">
      <c r="A253" s="5" t="n">
        <v>45848</v>
      </c>
      <c r="B253" t="inlineStr">
        <is>
          <t>J-0099</t>
        </is>
      </c>
      <c r="C253" t="n">
        <v>2</v>
      </c>
      <c r="D253" t="inlineStr">
        <is>
          <t>1000</t>
        </is>
      </c>
      <c r="E253" t="inlineStr">
        <is>
          <t>Cash &amp; Bank</t>
        </is>
      </c>
      <c r="F253" s="6" t="n">
        <v>0</v>
      </c>
      <c r="G253" s="6" t="n">
        <v>9000</v>
      </c>
      <c r="H253" t="inlineStr">
        <is>
          <t>Term loan interest</t>
        </is>
      </c>
      <c r="I253" t="inlineStr">
        <is>
          <t>HDFC</t>
        </is>
      </c>
      <c r="J253">
        <f>YEAR(A253)*12+MONTH(A253)</f>
        <v/>
      </c>
    </row>
    <row r="254">
      <c r="A254" s="5" t="n">
        <v>45848</v>
      </c>
      <c r="B254" t="inlineStr">
        <is>
          <t>J-0100</t>
        </is>
      </c>
      <c r="C254" t="n">
        <v>1</v>
      </c>
      <c r="D254" t="inlineStr">
        <is>
          <t>2200</t>
        </is>
      </c>
      <c r="E254" t="inlineStr">
        <is>
          <t>Term Loan</t>
        </is>
      </c>
      <c r="F254" s="6" t="n">
        <v>55000</v>
      </c>
      <c r="G254" s="6" t="n">
        <v>0</v>
      </c>
      <c r="H254" t="inlineStr">
        <is>
          <t>Term loan principal repayment</t>
        </is>
      </c>
      <c r="I254" t="inlineStr">
        <is>
          <t>HDFC</t>
        </is>
      </c>
      <c r="J254">
        <f>YEAR(A254)*12+MONTH(A254)</f>
        <v/>
      </c>
    </row>
    <row r="255">
      <c r="A255" s="5" t="n">
        <v>45848</v>
      </c>
      <c r="B255" t="inlineStr">
        <is>
          <t>J-0100</t>
        </is>
      </c>
      <c r="C255" t="n">
        <v>2</v>
      </c>
      <c r="D255" t="inlineStr">
        <is>
          <t>1000</t>
        </is>
      </c>
      <c r="E255" t="inlineStr">
        <is>
          <t>Cash &amp; Bank</t>
        </is>
      </c>
      <c r="F255" s="6" t="n">
        <v>0</v>
      </c>
      <c r="G255" s="6" t="n">
        <v>55000</v>
      </c>
      <c r="H255" t="inlineStr">
        <is>
          <t>Term loan principal repayment</t>
        </is>
      </c>
      <c r="I255" t="inlineStr">
        <is>
          <t>HDFC</t>
        </is>
      </c>
      <c r="J255">
        <f>YEAR(A255)*12+MONTH(A255)</f>
        <v/>
      </c>
    </row>
    <row r="256">
      <c r="A256" s="5" t="n">
        <v>45868</v>
      </c>
      <c r="B256" t="inlineStr">
        <is>
          <t>J-0101</t>
        </is>
      </c>
      <c r="C256" t="n">
        <v>1</v>
      </c>
      <c r="D256" t="inlineStr">
        <is>
          <t>5700</t>
        </is>
      </c>
      <c r="E256" t="inlineStr">
        <is>
          <t>Depreciation Expense</t>
        </is>
      </c>
      <c r="F256" s="6" t="n">
        <v>6000</v>
      </c>
      <c r="G256" s="6" t="n">
        <v>0</v>
      </c>
      <c r="H256" t="inlineStr">
        <is>
          <t>Depreciation - equipment</t>
        </is>
      </c>
      <c r="I256" t="inlineStr"/>
      <c r="J256">
        <f>YEAR(A256)*12+MONTH(A256)</f>
        <v/>
      </c>
    </row>
    <row r="257">
      <c r="A257" s="5" t="n">
        <v>45868</v>
      </c>
      <c r="B257" t="inlineStr">
        <is>
          <t>J-0101</t>
        </is>
      </c>
      <c r="C257" t="n">
        <v>2</v>
      </c>
      <c r="D257" t="inlineStr">
        <is>
          <t>1510</t>
        </is>
      </c>
      <c r="E257" t="inlineStr">
        <is>
          <t>Accumulated Depreciation</t>
        </is>
      </c>
      <c r="F257" s="6" t="n">
        <v>0</v>
      </c>
      <c r="G257" s="6" t="n">
        <v>6000</v>
      </c>
      <c r="H257" t="inlineStr">
        <is>
          <t>Depreciation - equipment</t>
        </is>
      </c>
      <c r="I257" t="inlineStr"/>
      <c r="J257">
        <f>YEAR(A257)*12+MONTH(A257)</f>
        <v/>
      </c>
    </row>
    <row r="258">
      <c r="A258" s="5" t="n">
        <v>45861</v>
      </c>
      <c r="B258" t="inlineStr">
        <is>
          <t>J-0102</t>
        </is>
      </c>
      <c r="C258" t="n">
        <v>1</v>
      </c>
      <c r="D258" t="inlineStr">
        <is>
          <t>5800</t>
        </is>
      </c>
      <c r="E258" t="inlineStr">
        <is>
          <t>Miscellaneous Expense</t>
        </is>
      </c>
      <c r="F258" s="6" t="n">
        <v>4670.86</v>
      </c>
      <c r="G258" s="6" t="n">
        <v>0</v>
      </c>
      <c r="H258" t="inlineStr">
        <is>
          <t>Miscellaneous expenses</t>
        </is>
      </c>
      <c r="I258" t="inlineStr"/>
      <c r="J258">
        <f>YEAR(A258)*12+MONTH(A258)</f>
        <v/>
      </c>
    </row>
    <row r="259">
      <c r="A259" s="5" t="n">
        <v>45861</v>
      </c>
      <c r="B259" t="inlineStr">
        <is>
          <t>J-0102</t>
        </is>
      </c>
      <c r="C259" t="n">
        <v>2</v>
      </c>
      <c r="D259" t="inlineStr">
        <is>
          <t>1000</t>
        </is>
      </c>
      <c r="E259" t="inlineStr">
        <is>
          <t>Cash &amp; Bank</t>
        </is>
      </c>
      <c r="F259" s="6" t="n">
        <v>0</v>
      </c>
      <c r="G259" s="6" t="n">
        <v>4670.86</v>
      </c>
      <c r="H259" t="inlineStr">
        <is>
          <t>Miscellaneous expenses</t>
        </is>
      </c>
      <c r="I259" t="inlineStr"/>
      <c r="J259">
        <f>YEAR(A259)*12+MONTH(A259)</f>
        <v/>
      </c>
    </row>
    <row r="260">
      <c r="A260" s="5" t="n">
        <v>45889</v>
      </c>
      <c r="B260" t="inlineStr">
        <is>
          <t>J-0103</t>
        </is>
      </c>
      <c r="C260" t="n">
        <v>1</v>
      </c>
      <c r="D260" t="inlineStr">
        <is>
          <t>1100</t>
        </is>
      </c>
      <c r="E260" t="inlineStr">
        <is>
          <t>Accounts Receivable</t>
        </is>
      </c>
      <c r="F260" s="6" t="n">
        <v>389208.5</v>
      </c>
      <c r="G260" s="6" t="n">
        <v>0</v>
      </c>
      <c r="H260" t="inlineStr">
        <is>
          <t>Sales invoice INV-202508-1</t>
        </is>
      </c>
      <c r="I260" t="inlineStr">
        <is>
          <t>Annapurna Retail</t>
        </is>
      </c>
      <c r="J260">
        <f>YEAR(A260)*12+MONTH(A260)</f>
        <v/>
      </c>
    </row>
    <row r="261">
      <c r="A261" s="5" t="n">
        <v>45889</v>
      </c>
      <c r="B261" t="inlineStr">
        <is>
          <t>J-0103</t>
        </is>
      </c>
      <c r="C261" t="n">
        <v>2</v>
      </c>
      <c r="D261" t="inlineStr">
        <is>
          <t>4000</t>
        </is>
      </c>
      <c r="E261" t="inlineStr">
        <is>
          <t>Sales Revenue</t>
        </is>
      </c>
      <c r="F261" s="6" t="n">
        <v>0</v>
      </c>
      <c r="G261" s="6" t="n">
        <v>329837.71</v>
      </c>
      <c r="H261" t="inlineStr">
        <is>
          <t>Sales invoice INV-202508-1</t>
        </is>
      </c>
      <c r="I261" t="inlineStr">
        <is>
          <t>Annapurna Retail</t>
        </is>
      </c>
      <c r="J261">
        <f>YEAR(A261)*12+MONTH(A261)</f>
        <v/>
      </c>
    </row>
    <row r="262">
      <c r="A262" s="5" t="n">
        <v>45889</v>
      </c>
      <c r="B262" t="inlineStr">
        <is>
          <t>J-0103</t>
        </is>
      </c>
      <c r="C262" t="n">
        <v>3</v>
      </c>
      <c r="D262" t="inlineStr">
        <is>
          <t>2100</t>
        </is>
      </c>
      <c r="E262" t="inlineStr">
        <is>
          <t>GST Payable</t>
        </is>
      </c>
      <c r="F262" s="6" t="n">
        <v>0</v>
      </c>
      <c r="G262" s="6" t="n">
        <v>59370.79</v>
      </c>
      <c r="H262" t="inlineStr">
        <is>
          <t>Sales invoice INV-202508-1</t>
        </is>
      </c>
      <c r="I262" t="inlineStr">
        <is>
          <t>GST</t>
        </is>
      </c>
      <c r="J262">
        <f>YEAR(A262)*12+MONTH(A262)</f>
        <v/>
      </c>
    </row>
    <row r="263">
      <c r="A263" s="5" t="n">
        <v>45884</v>
      </c>
      <c r="B263" t="inlineStr">
        <is>
          <t>J-0104</t>
        </is>
      </c>
      <c r="C263" t="n">
        <v>1</v>
      </c>
      <c r="D263" t="inlineStr">
        <is>
          <t>1100</t>
        </is>
      </c>
      <c r="E263" t="inlineStr">
        <is>
          <t>Accounts Receivable</t>
        </is>
      </c>
      <c r="F263" s="6" t="n">
        <v>506199.85</v>
      </c>
      <c r="G263" s="6" t="n">
        <v>0</v>
      </c>
      <c r="H263" t="inlineStr">
        <is>
          <t>Sales invoice INV-202508-2</t>
        </is>
      </c>
      <c r="I263" t="inlineStr">
        <is>
          <t>Rajdhani Traders</t>
        </is>
      </c>
      <c r="J263">
        <f>YEAR(A263)*12+MONTH(A263)</f>
        <v/>
      </c>
    </row>
    <row r="264">
      <c r="A264" s="5" t="n">
        <v>45884</v>
      </c>
      <c r="B264" t="inlineStr">
        <is>
          <t>J-0104</t>
        </is>
      </c>
      <c r="C264" t="n">
        <v>2</v>
      </c>
      <c r="D264" t="inlineStr">
        <is>
          <t>4000</t>
        </is>
      </c>
      <c r="E264" t="inlineStr">
        <is>
          <t>Sales Revenue</t>
        </is>
      </c>
      <c r="F264" s="6" t="n">
        <v>0</v>
      </c>
      <c r="G264" s="6" t="n">
        <v>428982.92</v>
      </c>
      <c r="H264" t="inlineStr">
        <is>
          <t>Sales invoice INV-202508-2</t>
        </is>
      </c>
      <c r="I264" t="inlineStr">
        <is>
          <t>Rajdhani Traders</t>
        </is>
      </c>
      <c r="J264">
        <f>YEAR(A264)*12+MONTH(A264)</f>
        <v/>
      </c>
    </row>
    <row r="265">
      <c r="A265" s="5" t="n">
        <v>45884</v>
      </c>
      <c r="B265" t="inlineStr">
        <is>
          <t>J-0104</t>
        </is>
      </c>
      <c r="C265" t="n">
        <v>3</v>
      </c>
      <c r="D265" t="inlineStr">
        <is>
          <t>2100</t>
        </is>
      </c>
      <c r="E265" t="inlineStr">
        <is>
          <t>GST Payable</t>
        </is>
      </c>
      <c r="F265" s="6" t="n">
        <v>0</v>
      </c>
      <c r="G265" s="6" t="n">
        <v>77216.92999999999</v>
      </c>
      <c r="H265" t="inlineStr">
        <is>
          <t>Sales invoice INV-202508-2</t>
        </is>
      </c>
      <c r="I265" t="inlineStr">
        <is>
          <t>GST</t>
        </is>
      </c>
      <c r="J265">
        <f>YEAR(A265)*12+MONTH(A265)</f>
        <v/>
      </c>
    </row>
    <row r="266">
      <c r="A266" s="5" t="n">
        <v>45892</v>
      </c>
      <c r="B266" t="inlineStr">
        <is>
          <t>J-0105</t>
        </is>
      </c>
      <c r="C266" t="n">
        <v>1</v>
      </c>
      <c r="D266" t="inlineStr">
        <is>
          <t>1100</t>
        </is>
      </c>
      <c r="E266" t="inlineStr">
        <is>
          <t>Accounts Receivable</t>
        </is>
      </c>
      <c r="F266" s="6" t="n">
        <v>409178.5</v>
      </c>
      <c r="G266" s="6" t="n">
        <v>0</v>
      </c>
      <c r="H266" t="inlineStr">
        <is>
          <t>Sales invoice INV-202508-3</t>
        </is>
      </c>
      <c r="I266" t="inlineStr">
        <is>
          <t>Verma Kirana Mart</t>
        </is>
      </c>
      <c r="J266">
        <f>YEAR(A266)*12+MONTH(A266)</f>
        <v/>
      </c>
    </row>
    <row r="267">
      <c r="A267" s="5" t="n">
        <v>45892</v>
      </c>
      <c r="B267" t="inlineStr">
        <is>
          <t>J-0105</t>
        </is>
      </c>
      <c r="C267" t="n">
        <v>2</v>
      </c>
      <c r="D267" t="inlineStr">
        <is>
          <t>4000</t>
        </is>
      </c>
      <c r="E267" t="inlineStr">
        <is>
          <t>Sales Revenue</t>
        </is>
      </c>
      <c r="F267" s="6" t="n">
        <v>0</v>
      </c>
      <c r="G267" s="6" t="n">
        <v>346761.44</v>
      </c>
      <c r="H267" t="inlineStr">
        <is>
          <t>Sales invoice INV-202508-3</t>
        </is>
      </c>
      <c r="I267" t="inlineStr">
        <is>
          <t>Verma Kirana Mart</t>
        </is>
      </c>
      <c r="J267">
        <f>YEAR(A267)*12+MONTH(A267)</f>
        <v/>
      </c>
    </row>
    <row r="268">
      <c r="A268" s="5" t="n">
        <v>45892</v>
      </c>
      <c r="B268" t="inlineStr">
        <is>
          <t>J-0105</t>
        </is>
      </c>
      <c r="C268" t="n">
        <v>3</v>
      </c>
      <c r="D268" t="inlineStr">
        <is>
          <t>2100</t>
        </is>
      </c>
      <c r="E268" t="inlineStr">
        <is>
          <t>GST Payable</t>
        </is>
      </c>
      <c r="F268" s="6" t="n">
        <v>0</v>
      </c>
      <c r="G268" s="6" t="n">
        <v>62417.06</v>
      </c>
      <c r="H268" t="inlineStr">
        <is>
          <t>Sales invoice INV-202508-3</t>
        </is>
      </c>
      <c r="I268" t="inlineStr">
        <is>
          <t>GST</t>
        </is>
      </c>
      <c r="J268">
        <f>YEAR(A268)*12+MONTH(A268)</f>
        <v/>
      </c>
    </row>
    <row r="269">
      <c r="A269" s="5" t="n">
        <v>45884</v>
      </c>
      <c r="B269" t="inlineStr">
        <is>
          <t>J-0106</t>
        </is>
      </c>
      <c r="C269" t="n">
        <v>1</v>
      </c>
      <c r="D269" t="inlineStr">
        <is>
          <t>1100</t>
        </is>
      </c>
      <c r="E269" t="inlineStr">
        <is>
          <t>Accounts Receivable</t>
        </is>
      </c>
      <c r="F269" s="6" t="n">
        <v>491893.89</v>
      </c>
      <c r="G269" s="6" t="n">
        <v>0</v>
      </c>
      <c r="H269" t="inlineStr">
        <is>
          <t>Sales invoice INV-202508-4</t>
        </is>
      </c>
      <c r="I269" t="inlineStr">
        <is>
          <t>New City Mart</t>
        </is>
      </c>
      <c r="J269">
        <f>YEAR(A269)*12+MONTH(A269)</f>
        <v/>
      </c>
    </row>
    <row r="270">
      <c r="A270" s="5" t="n">
        <v>45884</v>
      </c>
      <c r="B270" t="inlineStr">
        <is>
          <t>J-0106</t>
        </is>
      </c>
      <c r="C270" t="n">
        <v>2</v>
      </c>
      <c r="D270" t="inlineStr">
        <is>
          <t>4000</t>
        </is>
      </c>
      <c r="E270" t="inlineStr">
        <is>
          <t>Sales Revenue</t>
        </is>
      </c>
      <c r="F270" s="6" t="n">
        <v>0</v>
      </c>
      <c r="G270" s="6" t="n">
        <v>416859.23</v>
      </c>
      <c r="H270" t="inlineStr">
        <is>
          <t>Sales invoice INV-202508-4</t>
        </is>
      </c>
      <c r="I270" t="inlineStr">
        <is>
          <t>New City Mart</t>
        </is>
      </c>
      <c r="J270">
        <f>YEAR(A270)*12+MONTH(A270)</f>
        <v/>
      </c>
    </row>
    <row r="271">
      <c r="A271" s="5" t="n">
        <v>45884</v>
      </c>
      <c r="B271" t="inlineStr">
        <is>
          <t>J-0106</t>
        </is>
      </c>
      <c r="C271" t="n">
        <v>3</v>
      </c>
      <c r="D271" t="inlineStr">
        <is>
          <t>2100</t>
        </is>
      </c>
      <c r="E271" t="inlineStr">
        <is>
          <t>GST Payable</t>
        </is>
      </c>
      <c r="F271" s="6" t="n">
        <v>0</v>
      </c>
      <c r="G271" s="6" t="n">
        <v>75034.66</v>
      </c>
      <c r="H271" t="inlineStr">
        <is>
          <t>Sales invoice INV-202508-4</t>
        </is>
      </c>
      <c r="I271" t="inlineStr">
        <is>
          <t>GST</t>
        </is>
      </c>
      <c r="J271">
        <f>YEAR(A271)*12+MONTH(A271)</f>
        <v/>
      </c>
    </row>
    <row r="272">
      <c r="A272" s="5" t="n">
        <v>45892</v>
      </c>
      <c r="B272" t="inlineStr">
        <is>
          <t>J-0107</t>
        </is>
      </c>
      <c r="C272" t="n">
        <v>1</v>
      </c>
      <c r="D272" t="inlineStr">
        <is>
          <t>1100</t>
        </is>
      </c>
      <c r="E272" t="inlineStr">
        <is>
          <t>Accounts Receivable</t>
        </is>
      </c>
      <c r="F272" s="6" t="n">
        <v>504259.03</v>
      </c>
      <c r="G272" s="6" t="n">
        <v>0</v>
      </c>
      <c r="H272" t="inlineStr">
        <is>
          <t>Sales invoice INV-202508-5</t>
        </is>
      </c>
      <c r="I272" t="inlineStr">
        <is>
          <t>Sharma General Store</t>
        </is>
      </c>
      <c r="J272">
        <f>YEAR(A272)*12+MONTH(A272)</f>
        <v/>
      </c>
    </row>
    <row r="273">
      <c r="A273" s="5" t="n">
        <v>45892</v>
      </c>
      <c r="B273" t="inlineStr">
        <is>
          <t>J-0107</t>
        </is>
      </c>
      <c r="C273" t="n">
        <v>2</v>
      </c>
      <c r="D273" t="inlineStr">
        <is>
          <t>4000</t>
        </is>
      </c>
      <c r="E273" t="inlineStr">
        <is>
          <t>Sales Revenue</t>
        </is>
      </c>
      <c r="F273" s="6" t="n">
        <v>0</v>
      </c>
      <c r="G273" s="6" t="n">
        <v>427338.16</v>
      </c>
      <c r="H273" t="inlineStr">
        <is>
          <t>Sales invoice INV-202508-5</t>
        </is>
      </c>
      <c r="I273" t="inlineStr">
        <is>
          <t>Sharma General Store</t>
        </is>
      </c>
      <c r="J273">
        <f>YEAR(A273)*12+MONTH(A273)</f>
        <v/>
      </c>
    </row>
    <row r="274">
      <c r="A274" s="5" t="n">
        <v>45892</v>
      </c>
      <c r="B274" t="inlineStr">
        <is>
          <t>J-0107</t>
        </is>
      </c>
      <c r="C274" t="n">
        <v>3</v>
      </c>
      <c r="D274" t="inlineStr">
        <is>
          <t>2100</t>
        </is>
      </c>
      <c r="E274" t="inlineStr">
        <is>
          <t>GST Payable</t>
        </is>
      </c>
      <c r="F274" s="6" t="n">
        <v>0</v>
      </c>
      <c r="G274" s="6" t="n">
        <v>76920.87</v>
      </c>
      <c r="H274" t="inlineStr">
        <is>
          <t>Sales invoice INV-202508-5</t>
        </is>
      </c>
      <c r="I274" t="inlineStr">
        <is>
          <t>GST</t>
        </is>
      </c>
      <c r="J274">
        <f>YEAR(A274)*12+MONTH(A274)</f>
        <v/>
      </c>
    </row>
    <row r="275">
      <c r="A275" s="5" t="n">
        <v>45872</v>
      </c>
      <c r="B275" t="inlineStr">
        <is>
          <t>J-0108</t>
        </is>
      </c>
      <c r="C275" t="n">
        <v>1</v>
      </c>
      <c r="D275" t="inlineStr">
        <is>
          <t>1100</t>
        </is>
      </c>
      <c r="E275" t="inlineStr">
        <is>
          <t>Accounts Receivable</t>
        </is>
      </c>
      <c r="F275" s="6" t="n">
        <v>568340.72</v>
      </c>
      <c r="G275" s="6" t="n">
        <v>0</v>
      </c>
      <c r="H275" t="inlineStr">
        <is>
          <t>Sales invoice INV-202508-6</t>
        </is>
      </c>
      <c r="I275" t="inlineStr">
        <is>
          <t>Verma Kirana Mart</t>
        </is>
      </c>
      <c r="J275">
        <f>YEAR(A275)*12+MONTH(A275)</f>
        <v/>
      </c>
    </row>
    <row r="276">
      <c r="A276" s="5" t="n">
        <v>45872</v>
      </c>
      <c r="B276" t="inlineStr">
        <is>
          <t>J-0108</t>
        </is>
      </c>
      <c r="C276" t="n">
        <v>2</v>
      </c>
      <c r="D276" t="inlineStr">
        <is>
          <t>4000</t>
        </is>
      </c>
      <c r="E276" t="inlineStr">
        <is>
          <t>Sales Revenue</t>
        </is>
      </c>
      <c r="F276" s="6" t="n">
        <v>0</v>
      </c>
      <c r="G276" s="6" t="n">
        <v>481644.68</v>
      </c>
      <c r="H276" t="inlineStr">
        <is>
          <t>Sales invoice INV-202508-6</t>
        </is>
      </c>
      <c r="I276" t="inlineStr">
        <is>
          <t>Verma Kirana Mart</t>
        </is>
      </c>
      <c r="J276">
        <f>YEAR(A276)*12+MONTH(A276)</f>
        <v/>
      </c>
    </row>
    <row r="277">
      <c r="A277" s="5" t="n">
        <v>45872</v>
      </c>
      <c r="B277" t="inlineStr">
        <is>
          <t>J-0108</t>
        </is>
      </c>
      <c r="C277" t="n">
        <v>3</v>
      </c>
      <c r="D277" t="inlineStr">
        <is>
          <t>2100</t>
        </is>
      </c>
      <c r="E277" t="inlineStr">
        <is>
          <t>GST Payable</t>
        </is>
      </c>
      <c r="F277" s="6" t="n">
        <v>0</v>
      </c>
      <c r="G277" s="6" t="n">
        <v>86696.03999999999</v>
      </c>
      <c r="H277" t="inlineStr">
        <is>
          <t>Sales invoice INV-202508-6</t>
        </is>
      </c>
      <c r="I277" t="inlineStr">
        <is>
          <t>GST</t>
        </is>
      </c>
      <c r="J277">
        <f>YEAR(A277)*12+MONTH(A277)</f>
        <v/>
      </c>
    </row>
    <row r="278">
      <c r="A278" s="5" t="n">
        <v>45874</v>
      </c>
      <c r="B278" t="inlineStr">
        <is>
          <t>J-0109</t>
        </is>
      </c>
      <c r="C278" t="n">
        <v>1</v>
      </c>
      <c r="D278" t="inlineStr">
        <is>
          <t>1100</t>
        </is>
      </c>
      <c r="E278" t="inlineStr">
        <is>
          <t>Accounts Receivable</t>
        </is>
      </c>
      <c r="F278" s="6" t="n">
        <v>482121.71</v>
      </c>
      <c r="G278" s="6" t="n">
        <v>0</v>
      </c>
      <c r="H278" t="inlineStr">
        <is>
          <t>Sales invoice INV-202508-7</t>
        </is>
      </c>
      <c r="I278" t="inlineStr">
        <is>
          <t>Singh Brothers Retail</t>
        </is>
      </c>
      <c r="J278">
        <f>YEAR(A278)*12+MONTH(A278)</f>
        <v/>
      </c>
    </row>
    <row r="279">
      <c r="A279" s="5" t="n">
        <v>45874</v>
      </c>
      <c r="B279" t="inlineStr">
        <is>
          <t>J-0109</t>
        </is>
      </c>
      <c r="C279" t="n">
        <v>2</v>
      </c>
      <c r="D279" t="inlineStr">
        <is>
          <t>4000</t>
        </is>
      </c>
      <c r="E279" t="inlineStr">
        <is>
          <t>Sales Revenue</t>
        </is>
      </c>
      <c r="F279" s="6" t="n">
        <v>0</v>
      </c>
      <c r="G279" s="6" t="n">
        <v>408577.72</v>
      </c>
      <c r="H279" t="inlineStr">
        <is>
          <t>Sales invoice INV-202508-7</t>
        </is>
      </c>
      <c r="I279" t="inlineStr">
        <is>
          <t>Singh Brothers Retail</t>
        </is>
      </c>
      <c r="J279">
        <f>YEAR(A279)*12+MONTH(A279)</f>
        <v/>
      </c>
    </row>
    <row r="280">
      <c r="A280" s="5" t="n">
        <v>45874</v>
      </c>
      <c r="B280" t="inlineStr">
        <is>
          <t>J-0109</t>
        </is>
      </c>
      <c r="C280" t="n">
        <v>3</v>
      </c>
      <c r="D280" t="inlineStr">
        <is>
          <t>2100</t>
        </is>
      </c>
      <c r="E280" t="inlineStr">
        <is>
          <t>GST Payable</t>
        </is>
      </c>
      <c r="F280" s="6" t="n">
        <v>0</v>
      </c>
      <c r="G280" s="6" t="n">
        <v>73543.99000000001</v>
      </c>
      <c r="H280" t="inlineStr">
        <is>
          <t>Sales invoice INV-202508-7</t>
        </is>
      </c>
      <c r="I280" t="inlineStr">
        <is>
          <t>GST</t>
        </is>
      </c>
      <c r="J280">
        <f>YEAR(A280)*12+MONTH(A280)</f>
        <v/>
      </c>
    </row>
    <row r="281">
      <c r="A281" s="5" t="n">
        <v>45896</v>
      </c>
      <c r="B281" t="inlineStr">
        <is>
          <t>J-0110</t>
        </is>
      </c>
      <c r="C281" t="n">
        <v>1</v>
      </c>
      <c r="D281" t="inlineStr">
        <is>
          <t>5000</t>
        </is>
      </c>
      <c r="E281" t="inlineStr">
        <is>
          <t>Cost of Goods Sold</t>
        </is>
      </c>
      <c r="F281" s="6" t="n">
        <v>1959448.64</v>
      </c>
      <c r="G281" s="6" t="n">
        <v>0</v>
      </c>
      <c r="H281" t="inlineStr">
        <is>
          <t>Cost of goods sold - monthly</t>
        </is>
      </c>
      <c r="I281" t="inlineStr"/>
      <c r="J281">
        <f>YEAR(A281)*12+MONTH(A281)</f>
        <v/>
      </c>
    </row>
    <row r="282">
      <c r="A282" s="5" t="n">
        <v>45896</v>
      </c>
      <c r="B282" t="inlineStr">
        <is>
          <t>J-0110</t>
        </is>
      </c>
      <c r="C282" t="n">
        <v>2</v>
      </c>
      <c r="D282" t="inlineStr">
        <is>
          <t>1200</t>
        </is>
      </c>
      <c r="E282" t="inlineStr">
        <is>
          <t>Inventory</t>
        </is>
      </c>
      <c r="F282" s="6" t="n">
        <v>0</v>
      </c>
      <c r="G282" s="6" t="n">
        <v>1959448.64</v>
      </c>
      <c r="H282" t="inlineStr">
        <is>
          <t>Cost of goods sold - monthly</t>
        </is>
      </c>
      <c r="I282" t="inlineStr"/>
      <c r="J282">
        <f>YEAR(A282)*12+MONTH(A282)</f>
        <v/>
      </c>
    </row>
    <row r="283">
      <c r="A283" s="5" t="n">
        <v>45897</v>
      </c>
      <c r="B283" t="inlineStr">
        <is>
          <t>J-0111</t>
        </is>
      </c>
      <c r="C283" t="n">
        <v>1</v>
      </c>
      <c r="D283" t="inlineStr">
        <is>
          <t>1000</t>
        </is>
      </c>
      <c r="E283" t="inlineStr">
        <is>
          <t>Cash &amp; Bank</t>
        </is>
      </c>
      <c r="F283" s="6" t="n">
        <v>2744704.61</v>
      </c>
      <c r="G283" s="6" t="n">
        <v>0</v>
      </c>
      <c r="H283" t="inlineStr">
        <is>
          <t>Customer receipts</t>
        </is>
      </c>
      <c r="I283" t="inlineStr"/>
      <c r="J283">
        <f>YEAR(A283)*12+MONTH(A283)</f>
        <v/>
      </c>
    </row>
    <row r="284">
      <c r="A284" s="5" t="n">
        <v>45897</v>
      </c>
      <c r="B284" t="inlineStr">
        <is>
          <t>J-0111</t>
        </is>
      </c>
      <c r="C284" t="n">
        <v>2</v>
      </c>
      <c r="D284" t="inlineStr">
        <is>
          <t>1100</t>
        </is>
      </c>
      <c r="E284" t="inlineStr">
        <is>
          <t>Accounts Receivable</t>
        </is>
      </c>
      <c r="F284" s="6" t="n">
        <v>0</v>
      </c>
      <c r="G284" s="6" t="n">
        <v>2744704.61</v>
      </c>
      <c r="H284" t="inlineStr">
        <is>
          <t>Customer receipts</t>
        </is>
      </c>
      <c r="I284" t="inlineStr"/>
      <c r="J284">
        <f>YEAR(A284)*12+MONTH(A284)</f>
        <v/>
      </c>
    </row>
    <row r="285">
      <c r="A285" s="5" t="n">
        <v>45886</v>
      </c>
      <c r="B285" t="inlineStr">
        <is>
          <t>J-0112</t>
        </is>
      </c>
      <c r="C285" t="n">
        <v>1</v>
      </c>
      <c r="D285" t="inlineStr">
        <is>
          <t>1200</t>
        </is>
      </c>
      <c r="E285" t="inlineStr">
        <is>
          <t>Inventory</t>
        </is>
      </c>
      <c r="F285" s="6" t="n">
        <v>377693.36</v>
      </c>
      <c r="G285" s="6" t="n">
        <v>0</v>
      </c>
      <c r="H285" t="inlineStr">
        <is>
          <t>Purchase bill PB-202508-1</t>
        </is>
      </c>
      <c r="I285" t="inlineStr">
        <is>
          <t>National FMCG Distributors</t>
        </is>
      </c>
      <c r="J285">
        <f>YEAR(A285)*12+MONTH(A285)</f>
        <v/>
      </c>
    </row>
    <row r="286">
      <c r="A286" s="5" t="n">
        <v>45886</v>
      </c>
      <c r="B286" t="inlineStr">
        <is>
          <t>J-0112</t>
        </is>
      </c>
      <c r="C286" t="n">
        <v>2</v>
      </c>
      <c r="D286" t="inlineStr">
        <is>
          <t>1300</t>
        </is>
      </c>
      <c r="E286" t="inlineStr">
        <is>
          <t>GST Input Credit</t>
        </is>
      </c>
      <c r="F286" s="6" t="n">
        <v>67984.8</v>
      </c>
      <c r="G286" s="6" t="n">
        <v>0</v>
      </c>
      <c r="H286" t="inlineStr">
        <is>
          <t>Purchase bill PB-202508-1</t>
        </is>
      </c>
      <c r="I286" t="inlineStr">
        <is>
          <t>National FMCG Distributors</t>
        </is>
      </c>
      <c r="J286">
        <f>YEAR(A286)*12+MONTH(A286)</f>
        <v/>
      </c>
    </row>
    <row r="287">
      <c r="A287" s="5" t="n">
        <v>45886</v>
      </c>
      <c r="B287" t="inlineStr">
        <is>
          <t>J-0112</t>
        </is>
      </c>
      <c r="C287" t="n">
        <v>3</v>
      </c>
      <c r="D287" t="inlineStr">
        <is>
          <t>2000</t>
        </is>
      </c>
      <c r="E287" t="inlineStr">
        <is>
          <t>Accounts Payable</t>
        </is>
      </c>
      <c r="F287" s="6" t="n">
        <v>0</v>
      </c>
      <c r="G287" s="6" t="n">
        <v>445678.16</v>
      </c>
      <c r="H287" t="inlineStr">
        <is>
          <t>Purchase bill PB-202508-1</t>
        </is>
      </c>
      <c r="I287" t="inlineStr">
        <is>
          <t>National FMCG Distributors</t>
        </is>
      </c>
      <c r="J287">
        <f>YEAR(A287)*12+MONTH(A287)</f>
        <v/>
      </c>
    </row>
    <row r="288">
      <c r="A288" s="5" t="n">
        <v>45886</v>
      </c>
      <c r="B288" t="inlineStr">
        <is>
          <t>J-0113</t>
        </is>
      </c>
      <c r="C288" t="n">
        <v>1</v>
      </c>
      <c r="D288" t="inlineStr">
        <is>
          <t>1200</t>
        </is>
      </c>
      <c r="E288" t="inlineStr">
        <is>
          <t>Inventory</t>
        </is>
      </c>
      <c r="F288" s="6" t="n">
        <v>350858.17</v>
      </c>
      <c r="G288" s="6" t="n">
        <v>0</v>
      </c>
      <c r="H288" t="inlineStr">
        <is>
          <t>Purchase bill PB-202508-2</t>
        </is>
      </c>
      <c r="I288" t="inlineStr">
        <is>
          <t>Hindustan Foods Ltd</t>
        </is>
      </c>
      <c r="J288">
        <f>YEAR(A288)*12+MONTH(A288)</f>
        <v/>
      </c>
    </row>
    <row r="289">
      <c r="A289" s="5" t="n">
        <v>45886</v>
      </c>
      <c r="B289" t="inlineStr">
        <is>
          <t>J-0113</t>
        </is>
      </c>
      <c r="C289" t="n">
        <v>2</v>
      </c>
      <c r="D289" t="inlineStr">
        <is>
          <t>1300</t>
        </is>
      </c>
      <c r="E289" t="inlineStr">
        <is>
          <t>GST Input Credit</t>
        </is>
      </c>
      <c r="F289" s="6" t="n">
        <v>63154.47</v>
      </c>
      <c r="G289" s="6" t="n">
        <v>0</v>
      </c>
      <c r="H289" t="inlineStr">
        <is>
          <t>Purchase bill PB-202508-2</t>
        </is>
      </c>
      <c r="I289" t="inlineStr">
        <is>
          <t>Hindustan Foods Ltd</t>
        </is>
      </c>
      <c r="J289">
        <f>YEAR(A289)*12+MONTH(A289)</f>
        <v/>
      </c>
    </row>
    <row r="290">
      <c r="A290" s="5" t="n">
        <v>45886</v>
      </c>
      <c r="B290" t="inlineStr">
        <is>
          <t>J-0113</t>
        </is>
      </c>
      <c r="C290" t="n">
        <v>3</v>
      </c>
      <c r="D290" t="inlineStr">
        <is>
          <t>2000</t>
        </is>
      </c>
      <c r="E290" t="inlineStr">
        <is>
          <t>Accounts Payable</t>
        </is>
      </c>
      <c r="F290" s="6" t="n">
        <v>0</v>
      </c>
      <c r="G290" s="6" t="n">
        <v>414012.64</v>
      </c>
      <c r="H290" t="inlineStr">
        <is>
          <t>Purchase bill PB-202508-2</t>
        </is>
      </c>
      <c r="I290" t="inlineStr">
        <is>
          <t>Hindustan Foods Ltd</t>
        </is>
      </c>
      <c r="J290">
        <f>YEAR(A290)*12+MONTH(A290)</f>
        <v/>
      </c>
    </row>
    <row r="291">
      <c r="A291" s="5" t="n">
        <v>45875</v>
      </c>
      <c r="B291" t="inlineStr">
        <is>
          <t>J-0114</t>
        </is>
      </c>
      <c r="C291" t="n">
        <v>1</v>
      </c>
      <c r="D291" t="inlineStr">
        <is>
          <t>1200</t>
        </is>
      </c>
      <c r="E291" t="inlineStr">
        <is>
          <t>Inventory</t>
        </is>
      </c>
      <c r="F291" s="6" t="n">
        <v>437912.13</v>
      </c>
      <c r="G291" s="6" t="n">
        <v>0</v>
      </c>
      <c r="H291" t="inlineStr">
        <is>
          <t>Purchase bill PB-202508-3</t>
        </is>
      </c>
      <c r="I291" t="inlineStr">
        <is>
          <t>Ganga Logistics Pvt Ltd</t>
        </is>
      </c>
      <c r="J291">
        <f>YEAR(A291)*12+MONTH(A291)</f>
        <v/>
      </c>
    </row>
    <row r="292">
      <c r="A292" s="5" t="n">
        <v>45875</v>
      </c>
      <c r="B292" t="inlineStr">
        <is>
          <t>J-0114</t>
        </is>
      </c>
      <c r="C292" t="n">
        <v>2</v>
      </c>
      <c r="D292" t="inlineStr">
        <is>
          <t>1300</t>
        </is>
      </c>
      <c r="E292" t="inlineStr">
        <is>
          <t>GST Input Credit</t>
        </is>
      </c>
      <c r="F292" s="6" t="n">
        <v>78824.17999999999</v>
      </c>
      <c r="G292" s="6" t="n">
        <v>0</v>
      </c>
      <c r="H292" t="inlineStr">
        <is>
          <t>Purchase bill PB-202508-3</t>
        </is>
      </c>
      <c r="I292" t="inlineStr">
        <is>
          <t>Ganga Logistics Pvt Ltd</t>
        </is>
      </c>
      <c r="J292">
        <f>YEAR(A292)*12+MONTH(A292)</f>
        <v/>
      </c>
    </row>
    <row r="293">
      <c r="A293" s="5" t="n">
        <v>45875</v>
      </c>
      <c r="B293" t="inlineStr">
        <is>
          <t>J-0114</t>
        </is>
      </c>
      <c r="C293" t="n">
        <v>3</v>
      </c>
      <c r="D293" t="inlineStr">
        <is>
          <t>2000</t>
        </is>
      </c>
      <c r="E293" t="inlineStr">
        <is>
          <t>Accounts Payable</t>
        </is>
      </c>
      <c r="F293" s="6" t="n">
        <v>0</v>
      </c>
      <c r="G293" s="6" t="n">
        <v>516736.31</v>
      </c>
      <c r="H293" t="inlineStr">
        <is>
          <t>Purchase bill PB-202508-3</t>
        </is>
      </c>
      <c r="I293" t="inlineStr">
        <is>
          <t>Ganga Logistics Pvt Ltd</t>
        </is>
      </c>
      <c r="J293">
        <f>YEAR(A293)*12+MONTH(A293)</f>
        <v/>
      </c>
    </row>
    <row r="294">
      <c r="A294" s="5" t="n">
        <v>45872</v>
      </c>
      <c r="B294" t="inlineStr">
        <is>
          <t>J-0115</t>
        </is>
      </c>
      <c r="C294" t="n">
        <v>1</v>
      </c>
      <c r="D294" t="inlineStr">
        <is>
          <t>1200</t>
        </is>
      </c>
      <c r="E294" t="inlineStr">
        <is>
          <t>Inventory</t>
        </is>
      </c>
      <c r="F294" s="6" t="n">
        <v>319790.03</v>
      </c>
      <c r="G294" s="6" t="n">
        <v>0</v>
      </c>
      <c r="H294" t="inlineStr">
        <is>
          <t>Purchase bill PB-202508-4</t>
        </is>
      </c>
      <c r="I294" t="inlineStr">
        <is>
          <t>Ganga Logistics Pvt Ltd</t>
        </is>
      </c>
      <c r="J294">
        <f>YEAR(A294)*12+MONTH(A294)</f>
        <v/>
      </c>
    </row>
    <row r="295">
      <c r="A295" s="5" t="n">
        <v>45872</v>
      </c>
      <c r="B295" t="inlineStr">
        <is>
          <t>J-0115</t>
        </is>
      </c>
      <c r="C295" t="n">
        <v>2</v>
      </c>
      <c r="D295" t="inlineStr">
        <is>
          <t>1300</t>
        </is>
      </c>
      <c r="E295" t="inlineStr">
        <is>
          <t>GST Input Credit</t>
        </is>
      </c>
      <c r="F295" s="6" t="n">
        <v>57562.21</v>
      </c>
      <c r="G295" s="6" t="n">
        <v>0</v>
      </c>
      <c r="H295" t="inlineStr">
        <is>
          <t>Purchase bill PB-202508-4</t>
        </is>
      </c>
      <c r="I295" t="inlineStr">
        <is>
          <t>Ganga Logistics Pvt Ltd</t>
        </is>
      </c>
      <c r="J295">
        <f>YEAR(A295)*12+MONTH(A295)</f>
        <v/>
      </c>
    </row>
    <row r="296">
      <c r="A296" s="5" t="n">
        <v>45872</v>
      </c>
      <c r="B296" t="inlineStr">
        <is>
          <t>J-0115</t>
        </is>
      </c>
      <c r="C296" t="n">
        <v>3</v>
      </c>
      <c r="D296" t="inlineStr">
        <is>
          <t>2000</t>
        </is>
      </c>
      <c r="E296" t="inlineStr">
        <is>
          <t>Accounts Payable</t>
        </is>
      </c>
      <c r="F296" s="6" t="n">
        <v>0</v>
      </c>
      <c r="G296" s="6" t="n">
        <v>377352.24</v>
      </c>
      <c r="H296" t="inlineStr">
        <is>
          <t>Purchase bill PB-202508-4</t>
        </is>
      </c>
      <c r="I296" t="inlineStr">
        <is>
          <t>Ganga Logistics Pvt Ltd</t>
        </is>
      </c>
      <c r="J296">
        <f>YEAR(A296)*12+MONTH(A296)</f>
        <v/>
      </c>
    </row>
    <row r="297">
      <c r="A297" s="5" t="n">
        <v>45877</v>
      </c>
      <c r="B297" t="inlineStr">
        <is>
          <t>J-0116</t>
        </is>
      </c>
      <c r="C297" t="n">
        <v>1</v>
      </c>
      <c r="D297" t="inlineStr">
        <is>
          <t>1200</t>
        </is>
      </c>
      <c r="E297" t="inlineStr">
        <is>
          <t>Inventory</t>
        </is>
      </c>
      <c r="F297" s="6" t="n">
        <v>463016.09</v>
      </c>
      <c r="G297" s="6" t="n">
        <v>0</v>
      </c>
      <c r="H297" t="inlineStr">
        <is>
          <t>Purchase bill PB-202508-5</t>
        </is>
      </c>
      <c r="I297" t="inlineStr">
        <is>
          <t>Bihar Agro Supplies</t>
        </is>
      </c>
      <c r="J297">
        <f>YEAR(A297)*12+MONTH(A297)</f>
        <v/>
      </c>
    </row>
    <row r="298">
      <c r="A298" s="5" t="n">
        <v>45877</v>
      </c>
      <c r="B298" t="inlineStr">
        <is>
          <t>J-0116</t>
        </is>
      </c>
      <c r="C298" t="n">
        <v>2</v>
      </c>
      <c r="D298" t="inlineStr">
        <is>
          <t>1300</t>
        </is>
      </c>
      <c r="E298" t="inlineStr">
        <is>
          <t>GST Input Credit</t>
        </is>
      </c>
      <c r="F298" s="6" t="n">
        <v>83342.89999999999</v>
      </c>
      <c r="G298" s="6" t="n">
        <v>0</v>
      </c>
      <c r="H298" t="inlineStr">
        <is>
          <t>Purchase bill PB-202508-5</t>
        </is>
      </c>
      <c r="I298" t="inlineStr">
        <is>
          <t>Bihar Agro Supplies</t>
        </is>
      </c>
      <c r="J298">
        <f>YEAR(A298)*12+MONTH(A298)</f>
        <v/>
      </c>
    </row>
    <row r="299">
      <c r="A299" s="5" t="n">
        <v>45877</v>
      </c>
      <c r="B299" t="inlineStr">
        <is>
          <t>J-0116</t>
        </is>
      </c>
      <c r="C299" t="n">
        <v>3</v>
      </c>
      <c r="D299" t="inlineStr">
        <is>
          <t>2000</t>
        </is>
      </c>
      <c r="E299" t="inlineStr">
        <is>
          <t>Accounts Payable</t>
        </is>
      </c>
      <c r="F299" s="6" t="n">
        <v>0</v>
      </c>
      <c r="G299" s="6" t="n">
        <v>546358.99</v>
      </c>
      <c r="H299" t="inlineStr">
        <is>
          <t>Purchase bill PB-202508-5</t>
        </is>
      </c>
      <c r="I299" t="inlineStr">
        <is>
          <t>Bihar Agro Supplies</t>
        </is>
      </c>
      <c r="J299">
        <f>YEAR(A299)*12+MONTH(A299)</f>
        <v/>
      </c>
    </row>
    <row r="300">
      <c r="A300" s="5" t="n">
        <v>45898</v>
      </c>
      <c r="B300" t="inlineStr">
        <is>
          <t>J-0117</t>
        </is>
      </c>
      <c r="C300" t="n">
        <v>1</v>
      </c>
      <c r="D300" t="inlineStr">
        <is>
          <t>2000</t>
        </is>
      </c>
      <c r="E300" t="inlineStr">
        <is>
          <t>Accounts Payable</t>
        </is>
      </c>
      <c r="F300" s="6" t="n">
        <v>2048714</v>
      </c>
      <c r="G300" s="6" t="n">
        <v>0</v>
      </c>
      <c r="H300" t="inlineStr">
        <is>
          <t>Vendor payments</t>
        </is>
      </c>
      <c r="I300" t="inlineStr"/>
      <c r="J300">
        <f>YEAR(A300)*12+MONTH(A300)</f>
        <v/>
      </c>
    </row>
    <row r="301">
      <c r="A301" s="5" t="n">
        <v>45898</v>
      </c>
      <c r="B301" t="inlineStr">
        <is>
          <t>J-0117</t>
        </is>
      </c>
      <c r="C301" t="n">
        <v>2</v>
      </c>
      <c r="D301" t="inlineStr">
        <is>
          <t>1000</t>
        </is>
      </c>
      <c r="E301" t="inlineStr">
        <is>
          <t>Cash &amp; Bank</t>
        </is>
      </c>
      <c r="F301" s="6" t="n">
        <v>0</v>
      </c>
      <c r="G301" s="6" t="n">
        <v>2048714</v>
      </c>
      <c r="H301" t="inlineStr">
        <is>
          <t>Vendor payments</t>
        </is>
      </c>
      <c r="I301" t="inlineStr"/>
      <c r="J301">
        <f>YEAR(A301)*12+MONTH(A301)</f>
        <v/>
      </c>
    </row>
    <row r="302">
      <c r="A302" s="5" t="n">
        <v>45899</v>
      </c>
      <c r="B302" t="inlineStr">
        <is>
          <t>J-0118</t>
        </is>
      </c>
      <c r="C302" t="n">
        <v>1</v>
      </c>
      <c r="D302" t="inlineStr">
        <is>
          <t>2100</t>
        </is>
      </c>
      <c r="E302" t="inlineStr">
        <is>
          <t>GST Payable</t>
        </is>
      </c>
      <c r="F302" s="6" t="n">
        <v>160311.98</v>
      </c>
      <c r="G302" s="6" t="n">
        <v>0</v>
      </c>
      <c r="H302" t="inlineStr">
        <is>
          <t>GST paid for month</t>
        </is>
      </c>
      <c r="I302" t="inlineStr">
        <is>
          <t>GST</t>
        </is>
      </c>
      <c r="J302">
        <f>YEAR(A302)*12+MONTH(A302)</f>
        <v/>
      </c>
    </row>
    <row r="303">
      <c r="A303" s="5" t="n">
        <v>45899</v>
      </c>
      <c r="B303" t="inlineStr">
        <is>
          <t>J-0118</t>
        </is>
      </c>
      <c r="C303" t="n">
        <v>2</v>
      </c>
      <c r="D303" t="inlineStr">
        <is>
          <t>1000</t>
        </is>
      </c>
      <c r="E303" t="inlineStr">
        <is>
          <t>Cash &amp; Bank</t>
        </is>
      </c>
      <c r="F303" s="6" t="n">
        <v>0</v>
      </c>
      <c r="G303" s="6" t="n">
        <v>160311.98</v>
      </c>
      <c r="H303" t="inlineStr">
        <is>
          <t>GST paid for month</t>
        </is>
      </c>
      <c r="I303" t="inlineStr">
        <is>
          <t>GST</t>
        </is>
      </c>
      <c r="J303">
        <f>YEAR(A303)*12+MONTH(A303)</f>
        <v/>
      </c>
    </row>
    <row r="304">
      <c r="A304" s="5" t="n">
        <v>45874</v>
      </c>
      <c r="B304" t="inlineStr">
        <is>
          <t>J-0119</t>
        </is>
      </c>
      <c r="C304" t="n">
        <v>1</v>
      </c>
      <c r="D304" t="inlineStr">
        <is>
          <t>5100</t>
        </is>
      </c>
      <c r="E304" t="inlineStr">
        <is>
          <t>Rent Expense</t>
        </is>
      </c>
      <c r="F304" s="6" t="n">
        <v>25000</v>
      </c>
      <c r="G304" s="6" t="n">
        <v>0</v>
      </c>
      <c r="H304" t="inlineStr">
        <is>
          <t>Office rent</t>
        </is>
      </c>
      <c r="I304" t="inlineStr"/>
      <c r="J304">
        <f>YEAR(A304)*12+MONTH(A304)</f>
        <v/>
      </c>
    </row>
    <row r="305">
      <c r="A305" s="5" t="n">
        <v>45874</v>
      </c>
      <c r="B305" t="inlineStr">
        <is>
          <t>J-0119</t>
        </is>
      </c>
      <c r="C305" t="n">
        <v>2</v>
      </c>
      <c r="D305" t="inlineStr">
        <is>
          <t>1000</t>
        </is>
      </c>
      <c r="E305" t="inlineStr">
        <is>
          <t>Cash &amp; Bank</t>
        </is>
      </c>
      <c r="F305" s="6" t="n">
        <v>0</v>
      </c>
      <c r="G305" s="6" t="n">
        <v>25000</v>
      </c>
      <c r="H305" t="inlineStr">
        <is>
          <t>Office rent</t>
        </is>
      </c>
      <c r="I305" t="inlineStr"/>
      <c r="J305">
        <f>YEAR(A305)*12+MONTH(A305)</f>
        <v/>
      </c>
    </row>
    <row r="306">
      <c r="A306" s="5" t="n">
        <v>45876</v>
      </c>
      <c r="B306" t="inlineStr">
        <is>
          <t>J-0120</t>
        </is>
      </c>
      <c r="C306" t="n">
        <v>1</v>
      </c>
      <c r="D306" t="inlineStr">
        <is>
          <t>5200</t>
        </is>
      </c>
      <c r="E306" t="inlineStr">
        <is>
          <t>Salaries Expense</t>
        </is>
      </c>
      <c r="F306" s="6" t="n">
        <v>109917.98</v>
      </c>
      <c r="G306" s="6" t="n">
        <v>0</v>
      </c>
      <c r="H306" t="inlineStr">
        <is>
          <t>Staff salaries</t>
        </is>
      </c>
      <c r="I306" t="inlineStr"/>
      <c r="J306">
        <f>YEAR(A306)*12+MONTH(A306)</f>
        <v/>
      </c>
    </row>
    <row r="307">
      <c r="A307" s="5" t="n">
        <v>45876</v>
      </c>
      <c r="B307" t="inlineStr">
        <is>
          <t>J-0120</t>
        </is>
      </c>
      <c r="C307" t="n">
        <v>2</v>
      </c>
      <c r="D307" t="inlineStr">
        <is>
          <t>1000</t>
        </is>
      </c>
      <c r="E307" t="inlineStr">
        <is>
          <t>Cash &amp; Bank</t>
        </is>
      </c>
      <c r="F307" s="6" t="n">
        <v>0</v>
      </c>
      <c r="G307" s="6" t="n">
        <v>109917.98</v>
      </c>
      <c r="H307" t="inlineStr">
        <is>
          <t>Staff salaries</t>
        </is>
      </c>
      <c r="I307" t="inlineStr"/>
      <c r="J307">
        <f>YEAR(A307)*12+MONTH(A307)</f>
        <v/>
      </c>
    </row>
    <row r="308">
      <c r="A308" s="5" t="n">
        <v>45881</v>
      </c>
      <c r="B308" t="inlineStr">
        <is>
          <t>J-0121</t>
        </is>
      </c>
      <c r="C308" t="n">
        <v>1</v>
      </c>
      <c r="D308" t="inlineStr">
        <is>
          <t>5300</t>
        </is>
      </c>
      <c r="E308" t="inlineStr">
        <is>
          <t>Utilities Expense</t>
        </is>
      </c>
      <c r="F308" s="6" t="n">
        <v>9161.629999999999</v>
      </c>
      <c r="G308" s="6" t="n">
        <v>0</v>
      </c>
      <c r="H308" t="inlineStr">
        <is>
          <t>Utilities (power/water/phone)</t>
        </is>
      </c>
      <c r="I308" t="inlineStr"/>
      <c r="J308">
        <f>YEAR(A308)*12+MONTH(A308)</f>
        <v/>
      </c>
    </row>
    <row r="309">
      <c r="A309" s="5" t="n">
        <v>45881</v>
      </c>
      <c r="B309" t="inlineStr">
        <is>
          <t>J-0121</t>
        </is>
      </c>
      <c r="C309" t="n">
        <v>2</v>
      </c>
      <c r="D309" t="inlineStr">
        <is>
          <t>1000</t>
        </is>
      </c>
      <c r="E309" t="inlineStr">
        <is>
          <t>Cash &amp; Bank</t>
        </is>
      </c>
      <c r="F309" s="6" t="n">
        <v>0</v>
      </c>
      <c r="G309" s="6" t="n">
        <v>9161.629999999999</v>
      </c>
      <c r="H309" t="inlineStr">
        <is>
          <t>Utilities (power/water/phone)</t>
        </is>
      </c>
      <c r="I309" t="inlineStr"/>
      <c r="J309">
        <f>YEAR(A309)*12+MONTH(A309)</f>
        <v/>
      </c>
    </row>
    <row r="310">
      <c r="A310" s="5" t="n">
        <v>45887</v>
      </c>
      <c r="B310" t="inlineStr">
        <is>
          <t>J-0122</t>
        </is>
      </c>
      <c r="C310" t="n">
        <v>1</v>
      </c>
      <c r="D310" t="inlineStr">
        <is>
          <t>5400</t>
        </is>
      </c>
      <c r="E310" t="inlineStr">
        <is>
          <t>Transport &amp; Logistics</t>
        </is>
      </c>
      <c r="F310" s="6" t="n">
        <v>21317.1</v>
      </c>
      <c r="G310" s="6" t="n">
        <v>0</v>
      </c>
      <c r="H310" t="inlineStr">
        <is>
          <t>Transport &amp; logistics</t>
        </is>
      </c>
      <c r="I310" t="inlineStr"/>
      <c r="J310">
        <f>YEAR(A310)*12+MONTH(A310)</f>
        <v/>
      </c>
    </row>
    <row r="311">
      <c r="A311" s="5" t="n">
        <v>45887</v>
      </c>
      <c r="B311" t="inlineStr">
        <is>
          <t>J-0122</t>
        </is>
      </c>
      <c r="C311" t="n">
        <v>2</v>
      </c>
      <c r="D311" t="inlineStr">
        <is>
          <t>1000</t>
        </is>
      </c>
      <c r="E311" t="inlineStr">
        <is>
          <t>Cash &amp; Bank</t>
        </is>
      </c>
      <c r="F311" s="6" t="n">
        <v>0</v>
      </c>
      <c r="G311" s="6" t="n">
        <v>21317.1</v>
      </c>
      <c r="H311" t="inlineStr">
        <is>
          <t>Transport &amp; logistics</t>
        </is>
      </c>
      <c r="I311" t="inlineStr"/>
      <c r="J311">
        <f>YEAR(A311)*12+MONTH(A311)</f>
        <v/>
      </c>
    </row>
    <row r="312">
      <c r="A312" s="5" t="n">
        <v>45889</v>
      </c>
      <c r="B312" t="inlineStr">
        <is>
          <t>J-0123</t>
        </is>
      </c>
      <c r="C312" t="n">
        <v>1</v>
      </c>
      <c r="D312" t="inlineStr">
        <is>
          <t>5500</t>
        </is>
      </c>
      <c r="E312" t="inlineStr">
        <is>
          <t>Marketing Expense</t>
        </is>
      </c>
      <c r="F312" s="6" t="n">
        <v>13317.1</v>
      </c>
      <c r="G312" s="6" t="n">
        <v>0</v>
      </c>
      <c r="H312" t="inlineStr">
        <is>
          <t>Marketing &amp; promotions</t>
        </is>
      </c>
      <c r="I312" t="inlineStr"/>
      <c r="J312">
        <f>YEAR(A312)*12+MONTH(A312)</f>
        <v/>
      </c>
    </row>
    <row r="313">
      <c r="A313" s="5" t="n">
        <v>45889</v>
      </c>
      <c r="B313" t="inlineStr">
        <is>
          <t>J-0123</t>
        </is>
      </c>
      <c r="C313" t="n">
        <v>2</v>
      </c>
      <c r="D313" t="inlineStr">
        <is>
          <t>1000</t>
        </is>
      </c>
      <c r="E313" t="inlineStr">
        <is>
          <t>Cash &amp; Bank</t>
        </is>
      </c>
      <c r="F313" s="6" t="n">
        <v>0</v>
      </c>
      <c r="G313" s="6" t="n">
        <v>13317.1</v>
      </c>
      <c r="H313" t="inlineStr">
        <is>
          <t>Marketing &amp; promotions</t>
        </is>
      </c>
      <c r="I313" t="inlineStr"/>
      <c r="J313">
        <f>YEAR(A313)*12+MONTH(A313)</f>
        <v/>
      </c>
    </row>
    <row r="314">
      <c r="A314" s="5" t="n">
        <v>45879</v>
      </c>
      <c r="B314" t="inlineStr">
        <is>
          <t>J-0124</t>
        </is>
      </c>
      <c r="C314" t="n">
        <v>1</v>
      </c>
      <c r="D314" t="inlineStr">
        <is>
          <t>5600</t>
        </is>
      </c>
      <c r="E314" t="inlineStr">
        <is>
          <t>Interest Expense</t>
        </is>
      </c>
      <c r="F314" s="6" t="n">
        <v>9000</v>
      </c>
      <c r="G314" s="6" t="n">
        <v>0</v>
      </c>
      <c r="H314" t="inlineStr">
        <is>
          <t>Term loan interest</t>
        </is>
      </c>
      <c r="I314" t="inlineStr">
        <is>
          <t>HDFC</t>
        </is>
      </c>
      <c r="J314">
        <f>YEAR(A314)*12+MONTH(A314)</f>
        <v/>
      </c>
    </row>
    <row r="315">
      <c r="A315" s="5" t="n">
        <v>45879</v>
      </c>
      <c r="B315" t="inlineStr">
        <is>
          <t>J-0124</t>
        </is>
      </c>
      <c r="C315" t="n">
        <v>2</v>
      </c>
      <c r="D315" t="inlineStr">
        <is>
          <t>1000</t>
        </is>
      </c>
      <c r="E315" t="inlineStr">
        <is>
          <t>Cash &amp; Bank</t>
        </is>
      </c>
      <c r="F315" s="6" t="n">
        <v>0</v>
      </c>
      <c r="G315" s="6" t="n">
        <v>9000</v>
      </c>
      <c r="H315" t="inlineStr">
        <is>
          <t>Term loan interest</t>
        </is>
      </c>
      <c r="I315" t="inlineStr">
        <is>
          <t>HDFC</t>
        </is>
      </c>
      <c r="J315">
        <f>YEAR(A315)*12+MONTH(A315)</f>
        <v/>
      </c>
    </row>
    <row r="316">
      <c r="A316" s="5" t="n">
        <v>45879</v>
      </c>
      <c r="B316" t="inlineStr">
        <is>
          <t>J-0125</t>
        </is>
      </c>
      <c r="C316" t="n">
        <v>1</v>
      </c>
      <c r="D316" t="inlineStr">
        <is>
          <t>2200</t>
        </is>
      </c>
      <c r="E316" t="inlineStr">
        <is>
          <t>Term Loan</t>
        </is>
      </c>
      <c r="F316" s="6" t="n">
        <v>55000</v>
      </c>
      <c r="G316" s="6" t="n">
        <v>0</v>
      </c>
      <c r="H316" t="inlineStr">
        <is>
          <t>Term loan principal repayment</t>
        </is>
      </c>
      <c r="I316" t="inlineStr">
        <is>
          <t>HDFC</t>
        </is>
      </c>
      <c r="J316">
        <f>YEAR(A316)*12+MONTH(A316)</f>
        <v/>
      </c>
    </row>
    <row r="317">
      <c r="A317" s="5" t="n">
        <v>45879</v>
      </c>
      <c r="B317" t="inlineStr">
        <is>
          <t>J-0125</t>
        </is>
      </c>
      <c r="C317" t="n">
        <v>2</v>
      </c>
      <c r="D317" t="inlineStr">
        <is>
          <t>1000</t>
        </is>
      </c>
      <c r="E317" t="inlineStr">
        <is>
          <t>Cash &amp; Bank</t>
        </is>
      </c>
      <c r="F317" s="6" t="n">
        <v>0</v>
      </c>
      <c r="G317" s="6" t="n">
        <v>55000</v>
      </c>
      <c r="H317" t="inlineStr">
        <is>
          <t>Term loan principal repayment</t>
        </is>
      </c>
      <c r="I317" t="inlineStr">
        <is>
          <t>HDFC</t>
        </is>
      </c>
      <c r="J317">
        <f>YEAR(A317)*12+MONTH(A317)</f>
        <v/>
      </c>
    </row>
    <row r="318">
      <c r="A318" s="5" t="n">
        <v>45899</v>
      </c>
      <c r="B318" t="inlineStr">
        <is>
          <t>J-0126</t>
        </is>
      </c>
      <c r="C318" t="n">
        <v>1</v>
      </c>
      <c r="D318" t="inlineStr">
        <is>
          <t>5700</t>
        </is>
      </c>
      <c r="E318" t="inlineStr">
        <is>
          <t>Depreciation Expense</t>
        </is>
      </c>
      <c r="F318" s="6" t="n">
        <v>6000</v>
      </c>
      <c r="G318" s="6" t="n">
        <v>0</v>
      </c>
      <c r="H318" t="inlineStr">
        <is>
          <t>Depreciation - equipment</t>
        </is>
      </c>
      <c r="I318" t="inlineStr"/>
      <c r="J318">
        <f>YEAR(A318)*12+MONTH(A318)</f>
        <v/>
      </c>
    </row>
    <row r="319">
      <c r="A319" s="5" t="n">
        <v>45899</v>
      </c>
      <c r="B319" t="inlineStr">
        <is>
          <t>J-0126</t>
        </is>
      </c>
      <c r="C319" t="n">
        <v>2</v>
      </c>
      <c r="D319" t="inlineStr">
        <is>
          <t>1510</t>
        </is>
      </c>
      <c r="E319" t="inlineStr">
        <is>
          <t>Accumulated Depreciation</t>
        </is>
      </c>
      <c r="F319" s="6" t="n">
        <v>0</v>
      </c>
      <c r="G319" s="6" t="n">
        <v>6000</v>
      </c>
      <c r="H319" t="inlineStr">
        <is>
          <t>Depreciation - equipment</t>
        </is>
      </c>
      <c r="I319" t="inlineStr"/>
      <c r="J319">
        <f>YEAR(A319)*12+MONTH(A319)</f>
        <v/>
      </c>
    </row>
    <row r="320">
      <c r="A320" s="5" t="n">
        <v>45891</v>
      </c>
      <c r="B320" t="inlineStr">
        <is>
          <t>J-0127</t>
        </is>
      </c>
      <c r="C320" t="n">
        <v>1</v>
      </c>
      <c r="D320" t="inlineStr">
        <is>
          <t>5800</t>
        </is>
      </c>
      <c r="E320" t="inlineStr">
        <is>
          <t>Miscellaneous Expense</t>
        </is>
      </c>
      <c r="F320" s="6" t="n">
        <v>5342.53</v>
      </c>
      <c r="G320" s="6" t="n">
        <v>0</v>
      </c>
      <c r="H320" t="inlineStr">
        <is>
          <t>Miscellaneous expenses</t>
        </is>
      </c>
      <c r="I320" t="inlineStr"/>
      <c r="J320">
        <f>YEAR(A320)*12+MONTH(A320)</f>
        <v/>
      </c>
    </row>
    <row r="321">
      <c r="A321" s="5" t="n">
        <v>45891</v>
      </c>
      <c r="B321" t="inlineStr">
        <is>
          <t>J-0127</t>
        </is>
      </c>
      <c r="C321" t="n">
        <v>2</v>
      </c>
      <c r="D321" t="inlineStr">
        <is>
          <t>1000</t>
        </is>
      </c>
      <c r="E321" t="inlineStr">
        <is>
          <t>Cash &amp; Bank</t>
        </is>
      </c>
      <c r="F321" s="6" t="n">
        <v>0</v>
      </c>
      <c r="G321" s="6" t="n">
        <v>5342.53</v>
      </c>
      <c r="H321" t="inlineStr">
        <is>
          <t>Miscellaneous expenses</t>
        </is>
      </c>
      <c r="I321" t="inlineStr"/>
      <c r="J321">
        <f>YEAR(A321)*12+MONTH(A321)</f>
        <v/>
      </c>
    </row>
    <row r="322">
      <c r="A322" s="5" t="n">
        <v>45923</v>
      </c>
      <c r="B322" t="inlineStr">
        <is>
          <t>J-0128</t>
        </is>
      </c>
      <c r="C322" t="n">
        <v>1</v>
      </c>
      <c r="D322" t="inlineStr">
        <is>
          <t>1100</t>
        </is>
      </c>
      <c r="E322" t="inlineStr">
        <is>
          <t>Accounts Receivable</t>
        </is>
      </c>
      <c r="F322" s="6" t="n">
        <v>597138.45</v>
      </c>
      <c r="G322" s="6" t="n">
        <v>0</v>
      </c>
      <c r="H322" t="inlineStr">
        <is>
          <t>Sales invoice INV-202509-1</t>
        </is>
      </c>
      <c r="I322" t="inlineStr">
        <is>
          <t>Maa Vaishno Stores</t>
        </is>
      </c>
      <c r="J322">
        <f>YEAR(A322)*12+MONTH(A322)</f>
        <v/>
      </c>
    </row>
    <row r="323">
      <c r="A323" s="5" t="n">
        <v>45923</v>
      </c>
      <c r="B323" t="inlineStr">
        <is>
          <t>J-0128</t>
        </is>
      </c>
      <c r="C323" t="n">
        <v>2</v>
      </c>
      <c r="D323" t="inlineStr">
        <is>
          <t>4000</t>
        </is>
      </c>
      <c r="E323" t="inlineStr">
        <is>
          <t>Sales Revenue</t>
        </is>
      </c>
      <c r="F323" s="6" t="n">
        <v>0</v>
      </c>
      <c r="G323" s="6" t="n">
        <v>506049.53</v>
      </c>
      <c r="H323" t="inlineStr">
        <is>
          <t>Sales invoice INV-202509-1</t>
        </is>
      </c>
      <c r="I323" t="inlineStr">
        <is>
          <t>Maa Vaishno Stores</t>
        </is>
      </c>
      <c r="J323">
        <f>YEAR(A323)*12+MONTH(A323)</f>
        <v/>
      </c>
    </row>
    <row r="324">
      <c r="A324" s="5" t="n">
        <v>45923</v>
      </c>
      <c r="B324" t="inlineStr">
        <is>
          <t>J-0128</t>
        </is>
      </c>
      <c r="C324" t="n">
        <v>3</v>
      </c>
      <c r="D324" t="inlineStr">
        <is>
          <t>2100</t>
        </is>
      </c>
      <c r="E324" t="inlineStr">
        <is>
          <t>GST Payable</t>
        </is>
      </c>
      <c r="F324" s="6" t="n">
        <v>0</v>
      </c>
      <c r="G324" s="6" t="n">
        <v>91088.92</v>
      </c>
      <c r="H324" t="inlineStr">
        <is>
          <t>Sales invoice INV-202509-1</t>
        </is>
      </c>
      <c r="I324" t="inlineStr">
        <is>
          <t>GST</t>
        </is>
      </c>
      <c r="J324">
        <f>YEAR(A324)*12+MONTH(A324)</f>
        <v/>
      </c>
    </row>
    <row r="325">
      <c r="A325" s="5" t="n">
        <v>45908</v>
      </c>
      <c r="B325" t="inlineStr">
        <is>
          <t>J-0129</t>
        </is>
      </c>
      <c r="C325" t="n">
        <v>1</v>
      </c>
      <c r="D325" t="inlineStr">
        <is>
          <t>1100</t>
        </is>
      </c>
      <c r="E325" t="inlineStr">
        <is>
          <t>Accounts Receivable</t>
        </is>
      </c>
      <c r="F325" s="6" t="n">
        <v>604817.17</v>
      </c>
      <c r="G325" s="6" t="n">
        <v>0</v>
      </c>
      <c r="H325" t="inlineStr">
        <is>
          <t>Sales invoice INV-202509-2</t>
        </is>
      </c>
      <c r="I325" t="inlineStr">
        <is>
          <t>Gupta Super Bazaar</t>
        </is>
      </c>
      <c r="J325">
        <f>YEAR(A325)*12+MONTH(A325)</f>
        <v/>
      </c>
    </row>
    <row r="326">
      <c r="A326" s="5" t="n">
        <v>45908</v>
      </c>
      <c r="B326" t="inlineStr">
        <is>
          <t>J-0129</t>
        </is>
      </c>
      <c r="C326" t="n">
        <v>2</v>
      </c>
      <c r="D326" t="inlineStr">
        <is>
          <t>4000</t>
        </is>
      </c>
      <c r="E326" t="inlineStr">
        <is>
          <t>Sales Revenue</t>
        </is>
      </c>
      <c r="F326" s="6" t="n">
        <v>0</v>
      </c>
      <c r="G326" s="6" t="n">
        <v>512556.92</v>
      </c>
      <c r="H326" t="inlineStr">
        <is>
          <t>Sales invoice INV-202509-2</t>
        </is>
      </c>
      <c r="I326" t="inlineStr">
        <is>
          <t>Gupta Super Bazaar</t>
        </is>
      </c>
      <c r="J326">
        <f>YEAR(A326)*12+MONTH(A326)</f>
        <v/>
      </c>
    </row>
    <row r="327">
      <c r="A327" s="5" t="n">
        <v>45908</v>
      </c>
      <c r="B327" t="inlineStr">
        <is>
          <t>J-0129</t>
        </is>
      </c>
      <c r="C327" t="n">
        <v>3</v>
      </c>
      <c r="D327" t="inlineStr">
        <is>
          <t>2100</t>
        </is>
      </c>
      <c r="E327" t="inlineStr">
        <is>
          <t>GST Payable</t>
        </is>
      </c>
      <c r="F327" s="6" t="n">
        <v>0</v>
      </c>
      <c r="G327" s="6" t="n">
        <v>92260.25</v>
      </c>
      <c r="H327" t="inlineStr">
        <is>
          <t>Sales invoice INV-202509-2</t>
        </is>
      </c>
      <c r="I327" t="inlineStr">
        <is>
          <t>GST</t>
        </is>
      </c>
      <c r="J327">
        <f>YEAR(A327)*12+MONTH(A327)</f>
        <v/>
      </c>
    </row>
    <row r="328">
      <c r="A328" s="5" t="n">
        <v>45920</v>
      </c>
      <c r="B328" t="inlineStr">
        <is>
          <t>J-0130</t>
        </is>
      </c>
      <c r="C328" t="n">
        <v>1</v>
      </c>
      <c r="D328" t="inlineStr">
        <is>
          <t>1100</t>
        </is>
      </c>
      <c r="E328" t="inlineStr">
        <is>
          <t>Accounts Receivable</t>
        </is>
      </c>
      <c r="F328" s="6" t="n">
        <v>456393.96</v>
      </c>
      <c r="G328" s="6" t="n">
        <v>0</v>
      </c>
      <c r="H328" t="inlineStr">
        <is>
          <t>Sales invoice INV-202509-3</t>
        </is>
      </c>
      <c r="I328" t="inlineStr">
        <is>
          <t>Sharma General Store</t>
        </is>
      </c>
      <c r="J328">
        <f>YEAR(A328)*12+MONTH(A328)</f>
        <v/>
      </c>
    </row>
    <row r="329">
      <c r="A329" s="5" t="n">
        <v>45920</v>
      </c>
      <c r="B329" t="inlineStr">
        <is>
          <t>J-0130</t>
        </is>
      </c>
      <c r="C329" t="n">
        <v>2</v>
      </c>
      <c r="D329" t="inlineStr">
        <is>
          <t>4000</t>
        </is>
      </c>
      <c r="E329" t="inlineStr">
        <is>
          <t>Sales Revenue</t>
        </is>
      </c>
      <c r="F329" s="6" t="n">
        <v>0</v>
      </c>
      <c r="G329" s="6" t="n">
        <v>386774.54</v>
      </c>
      <c r="H329" t="inlineStr">
        <is>
          <t>Sales invoice INV-202509-3</t>
        </is>
      </c>
      <c r="I329" t="inlineStr">
        <is>
          <t>Sharma General Store</t>
        </is>
      </c>
      <c r="J329">
        <f>YEAR(A329)*12+MONTH(A329)</f>
        <v/>
      </c>
    </row>
    <row r="330">
      <c r="A330" s="5" t="n">
        <v>45920</v>
      </c>
      <c r="B330" t="inlineStr">
        <is>
          <t>J-0130</t>
        </is>
      </c>
      <c r="C330" t="n">
        <v>3</v>
      </c>
      <c r="D330" t="inlineStr">
        <is>
          <t>2100</t>
        </is>
      </c>
      <c r="E330" t="inlineStr">
        <is>
          <t>GST Payable</t>
        </is>
      </c>
      <c r="F330" s="6" t="n">
        <v>0</v>
      </c>
      <c r="G330" s="6" t="n">
        <v>69619.42</v>
      </c>
      <c r="H330" t="inlineStr">
        <is>
          <t>Sales invoice INV-202509-3</t>
        </is>
      </c>
      <c r="I330" t="inlineStr">
        <is>
          <t>GST</t>
        </is>
      </c>
      <c r="J330">
        <f>YEAR(A330)*12+MONTH(A330)</f>
        <v/>
      </c>
    </row>
    <row r="331">
      <c r="A331" s="5" t="n">
        <v>45912</v>
      </c>
      <c r="B331" t="inlineStr">
        <is>
          <t>J-0131</t>
        </is>
      </c>
      <c r="C331" t="n">
        <v>1</v>
      </c>
      <c r="D331" t="inlineStr">
        <is>
          <t>1100</t>
        </is>
      </c>
      <c r="E331" t="inlineStr">
        <is>
          <t>Accounts Receivable</t>
        </is>
      </c>
      <c r="F331" s="6" t="n">
        <v>610916.3</v>
      </c>
      <c r="G331" s="6" t="n">
        <v>0</v>
      </c>
      <c r="H331" t="inlineStr">
        <is>
          <t>Sales invoice INV-202509-4</t>
        </is>
      </c>
      <c r="I331" t="inlineStr">
        <is>
          <t>Sharma General Store</t>
        </is>
      </c>
      <c r="J331">
        <f>YEAR(A331)*12+MONTH(A331)</f>
        <v/>
      </c>
    </row>
    <row r="332">
      <c r="A332" s="5" t="n">
        <v>45912</v>
      </c>
      <c r="B332" t="inlineStr">
        <is>
          <t>J-0131</t>
        </is>
      </c>
      <c r="C332" t="n">
        <v>2</v>
      </c>
      <c r="D332" t="inlineStr">
        <is>
          <t>4000</t>
        </is>
      </c>
      <c r="E332" t="inlineStr">
        <is>
          <t>Sales Revenue</t>
        </is>
      </c>
      <c r="F332" s="6" t="n">
        <v>0</v>
      </c>
      <c r="G332" s="6" t="n">
        <v>517725.68</v>
      </c>
      <c r="H332" t="inlineStr">
        <is>
          <t>Sales invoice INV-202509-4</t>
        </is>
      </c>
      <c r="I332" t="inlineStr">
        <is>
          <t>Sharma General Store</t>
        </is>
      </c>
      <c r="J332">
        <f>YEAR(A332)*12+MONTH(A332)</f>
        <v/>
      </c>
    </row>
    <row r="333">
      <c r="A333" s="5" t="n">
        <v>45912</v>
      </c>
      <c r="B333" t="inlineStr">
        <is>
          <t>J-0131</t>
        </is>
      </c>
      <c r="C333" t="n">
        <v>3</v>
      </c>
      <c r="D333" t="inlineStr">
        <is>
          <t>2100</t>
        </is>
      </c>
      <c r="E333" t="inlineStr">
        <is>
          <t>GST Payable</t>
        </is>
      </c>
      <c r="F333" s="6" t="n">
        <v>0</v>
      </c>
      <c r="G333" s="6" t="n">
        <v>93190.62</v>
      </c>
      <c r="H333" t="inlineStr">
        <is>
          <t>Sales invoice INV-202509-4</t>
        </is>
      </c>
      <c r="I333" t="inlineStr">
        <is>
          <t>GST</t>
        </is>
      </c>
      <c r="J333">
        <f>YEAR(A333)*12+MONTH(A333)</f>
        <v/>
      </c>
    </row>
    <row r="334">
      <c r="A334" s="5" t="n">
        <v>45917</v>
      </c>
      <c r="B334" t="inlineStr">
        <is>
          <t>J-0132</t>
        </is>
      </c>
      <c r="C334" t="n">
        <v>1</v>
      </c>
      <c r="D334" t="inlineStr">
        <is>
          <t>1100</t>
        </is>
      </c>
      <c r="E334" t="inlineStr">
        <is>
          <t>Accounts Receivable</t>
        </is>
      </c>
      <c r="F334" s="6" t="n">
        <v>372083.69</v>
      </c>
      <c r="G334" s="6" t="n">
        <v>0</v>
      </c>
      <c r="H334" t="inlineStr">
        <is>
          <t>Sales invoice INV-202509-5</t>
        </is>
      </c>
      <c r="I334" t="inlineStr">
        <is>
          <t>Annapurna Retail</t>
        </is>
      </c>
      <c r="J334">
        <f>YEAR(A334)*12+MONTH(A334)</f>
        <v/>
      </c>
    </row>
    <row r="335">
      <c r="A335" s="5" t="n">
        <v>45917</v>
      </c>
      <c r="B335" t="inlineStr">
        <is>
          <t>J-0132</t>
        </is>
      </c>
      <c r="C335" t="n">
        <v>2</v>
      </c>
      <c r="D335" t="inlineStr">
        <is>
          <t>4000</t>
        </is>
      </c>
      <c r="E335" t="inlineStr">
        <is>
          <t>Sales Revenue</t>
        </is>
      </c>
      <c r="F335" s="6" t="n">
        <v>0</v>
      </c>
      <c r="G335" s="6" t="n">
        <v>315325.16</v>
      </c>
      <c r="H335" t="inlineStr">
        <is>
          <t>Sales invoice INV-202509-5</t>
        </is>
      </c>
      <c r="I335" t="inlineStr">
        <is>
          <t>Annapurna Retail</t>
        </is>
      </c>
      <c r="J335">
        <f>YEAR(A335)*12+MONTH(A335)</f>
        <v/>
      </c>
    </row>
    <row r="336">
      <c r="A336" s="5" t="n">
        <v>45917</v>
      </c>
      <c r="B336" t="inlineStr">
        <is>
          <t>J-0132</t>
        </is>
      </c>
      <c r="C336" t="n">
        <v>3</v>
      </c>
      <c r="D336" t="inlineStr">
        <is>
          <t>2100</t>
        </is>
      </c>
      <c r="E336" t="inlineStr">
        <is>
          <t>GST Payable</t>
        </is>
      </c>
      <c r="F336" s="6" t="n">
        <v>0</v>
      </c>
      <c r="G336" s="6" t="n">
        <v>56758.53</v>
      </c>
      <c r="H336" t="inlineStr">
        <is>
          <t>Sales invoice INV-202509-5</t>
        </is>
      </c>
      <c r="I336" t="inlineStr">
        <is>
          <t>GST</t>
        </is>
      </c>
      <c r="J336">
        <f>YEAR(A336)*12+MONTH(A336)</f>
        <v/>
      </c>
    </row>
    <row r="337">
      <c r="A337" s="5" t="n">
        <v>45907</v>
      </c>
      <c r="B337" t="inlineStr">
        <is>
          <t>J-0133</t>
        </is>
      </c>
      <c r="C337" t="n">
        <v>1</v>
      </c>
      <c r="D337" t="inlineStr">
        <is>
          <t>1100</t>
        </is>
      </c>
      <c r="E337" t="inlineStr">
        <is>
          <t>Accounts Receivable</t>
        </is>
      </c>
      <c r="F337" s="6" t="n">
        <v>528948.63</v>
      </c>
      <c r="G337" s="6" t="n">
        <v>0</v>
      </c>
      <c r="H337" t="inlineStr">
        <is>
          <t>Sales invoice INV-202509-6</t>
        </is>
      </c>
      <c r="I337" t="inlineStr">
        <is>
          <t>Maa Vaishno Stores</t>
        </is>
      </c>
      <c r="J337">
        <f>YEAR(A337)*12+MONTH(A337)</f>
        <v/>
      </c>
    </row>
    <row r="338">
      <c r="A338" s="5" t="n">
        <v>45907</v>
      </c>
      <c r="B338" t="inlineStr">
        <is>
          <t>J-0133</t>
        </is>
      </c>
      <c r="C338" t="n">
        <v>2</v>
      </c>
      <c r="D338" t="inlineStr">
        <is>
          <t>4000</t>
        </is>
      </c>
      <c r="E338" t="inlineStr">
        <is>
          <t>Sales Revenue</t>
        </is>
      </c>
      <c r="F338" s="6" t="n">
        <v>0</v>
      </c>
      <c r="G338" s="6" t="n">
        <v>448261.55</v>
      </c>
      <c r="H338" t="inlineStr">
        <is>
          <t>Sales invoice INV-202509-6</t>
        </is>
      </c>
      <c r="I338" t="inlineStr">
        <is>
          <t>Maa Vaishno Stores</t>
        </is>
      </c>
      <c r="J338">
        <f>YEAR(A338)*12+MONTH(A338)</f>
        <v/>
      </c>
    </row>
    <row r="339">
      <c r="A339" s="5" t="n">
        <v>45907</v>
      </c>
      <c r="B339" t="inlineStr">
        <is>
          <t>J-0133</t>
        </is>
      </c>
      <c r="C339" t="n">
        <v>3</v>
      </c>
      <c r="D339" t="inlineStr">
        <is>
          <t>2100</t>
        </is>
      </c>
      <c r="E339" t="inlineStr">
        <is>
          <t>GST Payable</t>
        </is>
      </c>
      <c r="F339" s="6" t="n">
        <v>0</v>
      </c>
      <c r="G339" s="6" t="n">
        <v>80687.08</v>
      </c>
      <c r="H339" t="inlineStr">
        <is>
          <t>Sales invoice INV-202509-6</t>
        </is>
      </c>
      <c r="I339" t="inlineStr">
        <is>
          <t>GST</t>
        </is>
      </c>
      <c r="J339">
        <f>YEAR(A339)*12+MONTH(A339)</f>
        <v/>
      </c>
    </row>
    <row r="340">
      <c r="A340" s="5" t="n">
        <v>45904</v>
      </c>
      <c r="B340" t="inlineStr">
        <is>
          <t>J-0134</t>
        </is>
      </c>
      <c r="C340" t="n">
        <v>1</v>
      </c>
      <c r="D340" t="inlineStr">
        <is>
          <t>1100</t>
        </is>
      </c>
      <c r="E340" t="inlineStr">
        <is>
          <t>Accounts Receivable</t>
        </is>
      </c>
      <c r="F340" s="6" t="n">
        <v>371983.14</v>
      </c>
      <c r="G340" s="6" t="n">
        <v>0</v>
      </c>
      <c r="H340" t="inlineStr">
        <is>
          <t>Sales invoice INV-202509-7</t>
        </is>
      </c>
      <c r="I340" t="inlineStr">
        <is>
          <t>Maa Vaishno Stores</t>
        </is>
      </c>
      <c r="J340">
        <f>YEAR(A340)*12+MONTH(A340)</f>
        <v/>
      </c>
    </row>
    <row r="341">
      <c r="A341" s="5" t="n">
        <v>45904</v>
      </c>
      <c r="B341" t="inlineStr">
        <is>
          <t>J-0134</t>
        </is>
      </c>
      <c r="C341" t="n">
        <v>2</v>
      </c>
      <c r="D341" t="inlineStr">
        <is>
          <t>4000</t>
        </is>
      </c>
      <c r="E341" t="inlineStr">
        <is>
          <t>Sales Revenue</t>
        </is>
      </c>
      <c r="F341" s="6" t="n">
        <v>0</v>
      </c>
      <c r="G341" s="6" t="n">
        <v>315239.95</v>
      </c>
      <c r="H341" t="inlineStr">
        <is>
          <t>Sales invoice INV-202509-7</t>
        </is>
      </c>
      <c r="I341" t="inlineStr">
        <is>
          <t>Maa Vaishno Stores</t>
        </is>
      </c>
      <c r="J341">
        <f>YEAR(A341)*12+MONTH(A341)</f>
        <v/>
      </c>
    </row>
    <row r="342">
      <c r="A342" s="5" t="n">
        <v>45904</v>
      </c>
      <c r="B342" t="inlineStr">
        <is>
          <t>J-0134</t>
        </is>
      </c>
      <c r="C342" t="n">
        <v>3</v>
      </c>
      <c r="D342" t="inlineStr">
        <is>
          <t>2100</t>
        </is>
      </c>
      <c r="E342" t="inlineStr">
        <is>
          <t>GST Payable</t>
        </is>
      </c>
      <c r="F342" s="6" t="n">
        <v>0</v>
      </c>
      <c r="G342" s="6" t="n">
        <v>56743.19</v>
      </c>
      <c r="H342" t="inlineStr">
        <is>
          <t>Sales invoice INV-202509-7</t>
        </is>
      </c>
      <c r="I342" t="inlineStr">
        <is>
          <t>GST</t>
        </is>
      </c>
      <c r="J342">
        <f>YEAR(A342)*12+MONTH(A342)</f>
        <v/>
      </c>
    </row>
    <row r="343">
      <c r="A343" s="5" t="n">
        <v>45927</v>
      </c>
      <c r="B343" t="inlineStr">
        <is>
          <t>J-0135</t>
        </is>
      </c>
      <c r="C343" t="n">
        <v>1</v>
      </c>
      <c r="D343" t="inlineStr">
        <is>
          <t>5000</t>
        </is>
      </c>
      <c r="E343" t="inlineStr">
        <is>
          <t>Cost of Goods Sold</t>
        </is>
      </c>
      <c r="F343" s="6" t="n">
        <v>2143541.61</v>
      </c>
      <c r="G343" s="6" t="n">
        <v>0</v>
      </c>
      <c r="H343" t="inlineStr">
        <is>
          <t>Cost of goods sold - monthly</t>
        </is>
      </c>
      <c r="I343" t="inlineStr"/>
      <c r="J343">
        <f>YEAR(A343)*12+MONTH(A343)</f>
        <v/>
      </c>
    </row>
    <row r="344">
      <c r="A344" s="5" t="n">
        <v>45927</v>
      </c>
      <c r="B344" t="inlineStr">
        <is>
          <t>J-0135</t>
        </is>
      </c>
      <c r="C344" t="n">
        <v>2</v>
      </c>
      <c r="D344" t="inlineStr">
        <is>
          <t>1200</t>
        </is>
      </c>
      <c r="E344" t="inlineStr">
        <is>
          <t>Inventory</t>
        </is>
      </c>
      <c r="F344" s="6" t="n">
        <v>0</v>
      </c>
      <c r="G344" s="6" t="n">
        <v>2143541.61</v>
      </c>
      <c r="H344" t="inlineStr">
        <is>
          <t>Cost of goods sold - monthly</t>
        </is>
      </c>
      <c r="I344" t="inlineStr"/>
      <c r="J344">
        <f>YEAR(A344)*12+MONTH(A344)</f>
        <v/>
      </c>
    </row>
    <row r="345">
      <c r="A345" s="5" t="n">
        <v>45928</v>
      </c>
      <c r="B345" t="inlineStr">
        <is>
          <t>J-0136</t>
        </is>
      </c>
      <c r="C345" t="n">
        <v>1</v>
      </c>
      <c r="D345" t="inlineStr">
        <is>
          <t>1000</t>
        </is>
      </c>
      <c r="E345" t="inlineStr">
        <is>
          <t>Cash &amp; Bank</t>
        </is>
      </c>
      <c r="F345" s="6" t="n">
        <v>2858097.25</v>
      </c>
      <c r="G345" s="6" t="n">
        <v>0</v>
      </c>
      <c r="H345" t="inlineStr">
        <is>
          <t>Customer receipts</t>
        </is>
      </c>
      <c r="I345" t="inlineStr"/>
      <c r="J345">
        <f>YEAR(A345)*12+MONTH(A345)</f>
        <v/>
      </c>
    </row>
    <row r="346">
      <c r="A346" s="5" t="n">
        <v>45928</v>
      </c>
      <c r="B346" t="inlineStr">
        <is>
          <t>J-0136</t>
        </is>
      </c>
      <c r="C346" t="n">
        <v>2</v>
      </c>
      <c r="D346" t="inlineStr">
        <is>
          <t>1100</t>
        </is>
      </c>
      <c r="E346" t="inlineStr">
        <is>
          <t>Accounts Receivable</t>
        </is>
      </c>
      <c r="F346" s="6" t="n">
        <v>0</v>
      </c>
      <c r="G346" s="6" t="n">
        <v>2858097.25</v>
      </c>
      <c r="H346" t="inlineStr">
        <is>
          <t>Customer receipts</t>
        </is>
      </c>
      <c r="I346" t="inlineStr"/>
      <c r="J346">
        <f>YEAR(A346)*12+MONTH(A346)</f>
        <v/>
      </c>
    </row>
    <row r="347">
      <c r="A347" s="5" t="n">
        <v>45906</v>
      </c>
      <c r="B347" t="inlineStr">
        <is>
          <t>J-0137</t>
        </is>
      </c>
      <c r="C347" t="n">
        <v>1</v>
      </c>
      <c r="D347" t="inlineStr">
        <is>
          <t>1200</t>
        </is>
      </c>
      <c r="E347" t="inlineStr">
        <is>
          <t>Inventory</t>
        </is>
      </c>
      <c r="F347" s="6" t="n">
        <v>469551.78</v>
      </c>
      <c r="G347" s="6" t="n">
        <v>0</v>
      </c>
      <c r="H347" t="inlineStr">
        <is>
          <t>Purchase bill PB-202509-1</t>
        </is>
      </c>
      <c r="I347" t="inlineStr">
        <is>
          <t>Eastern Packaging Co</t>
        </is>
      </c>
      <c r="J347">
        <f>YEAR(A347)*12+MONTH(A347)</f>
        <v/>
      </c>
    </row>
    <row r="348">
      <c r="A348" s="5" t="n">
        <v>45906</v>
      </c>
      <c r="B348" t="inlineStr">
        <is>
          <t>J-0137</t>
        </is>
      </c>
      <c r="C348" t="n">
        <v>2</v>
      </c>
      <c r="D348" t="inlineStr">
        <is>
          <t>1300</t>
        </is>
      </c>
      <c r="E348" t="inlineStr">
        <is>
          <t>GST Input Credit</t>
        </is>
      </c>
      <c r="F348" s="6" t="n">
        <v>84519.32000000001</v>
      </c>
      <c r="G348" s="6" t="n">
        <v>0</v>
      </c>
      <c r="H348" t="inlineStr">
        <is>
          <t>Purchase bill PB-202509-1</t>
        </is>
      </c>
      <c r="I348" t="inlineStr">
        <is>
          <t>Eastern Packaging Co</t>
        </is>
      </c>
      <c r="J348">
        <f>YEAR(A348)*12+MONTH(A348)</f>
        <v/>
      </c>
    </row>
    <row r="349">
      <c r="A349" s="5" t="n">
        <v>45906</v>
      </c>
      <c r="B349" t="inlineStr">
        <is>
          <t>J-0137</t>
        </is>
      </c>
      <c r="C349" t="n">
        <v>3</v>
      </c>
      <c r="D349" t="inlineStr">
        <is>
          <t>2000</t>
        </is>
      </c>
      <c r="E349" t="inlineStr">
        <is>
          <t>Accounts Payable</t>
        </is>
      </c>
      <c r="F349" s="6" t="n">
        <v>0</v>
      </c>
      <c r="G349" s="6" t="n">
        <v>554071.1</v>
      </c>
      <c r="H349" t="inlineStr">
        <is>
          <t>Purchase bill PB-202509-1</t>
        </is>
      </c>
      <c r="I349" t="inlineStr">
        <is>
          <t>Eastern Packaging Co</t>
        </is>
      </c>
      <c r="J349">
        <f>YEAR(A349)*12+MONTH(A349)</f>
        <v/>
      </c>
    </row>
    <row r="350">
      <c r="A350" s="5" t="n">
        <v>45910</v>
      </c>
      <c r="B350" t="inlineStr">
        <is>
          <t>J-0138</t>
        </is>
      </c>
      <c r="C350" t="n">
        <v>1</v>
      </c>
      <c r="D350" t="inlineStr">
        <is>
          <t>1200</t>
        </is>
      </c>
      <c r="E350" t="inlineStr">
        <is>
          <t>Inventory</t>
        </is>
      </c>
      <c r="F350" s="6" t="n">
        <v>482641.14</v>
      </c>
      <c r="G350" s="6" t="n">
        <v>0</v>
      </c>
      <c r="H350" t="inlineStr">
        <is>
          <t>Purchase bill PB-202509-2</t>
        </is>
      </c>
      <c r="I350" t="inlineStr">
        <is>
          <t>Ganga Logistics Pvt Ltd</t>
        </is>
      </c>
      <c r="J350">
        <f>YEAR(A350)*12+MONTH(A350)</f>
        <v/>
      </c>
    </row>
    <row r="351">
      <c r="A351" s="5" t="n">
        <v>45910</v>
      </c>
      <c r="B351" t="inlineStr">
        <is>
          <t>J-0138</t>
        </is>
      </c>
      <c r="C351" t="n">
        <v>2</v>
      </c>
      <c r="D351" t="inlineStr">
        <is>
          <t>1300</t>
        </is>
      </c>
      <c r="E351" t="inlineStr">
        <is>
          <t>GST Input Credit</t>
        </is>
      </c>
      <c r="F351" s="6" t="n">
        <v>86875.41</v>
      </c>
      <c r="G351" s="6" t="n">
        <v>0</v>
      </c>
      <c r="H351" t="inlineStr">
        <is>
          <t>Purchase bill PB-202509-2</t>
        </is>
      </c>
      <c r="I351" t="inlineStr">
        <is>
          <t>Ganga Logistics Pvt Ltd</t>
        </is>
      </c>
      <c r="J351">
        <f>YEAR(A351)*12+MONTH(A351)</f>
        <v/>
      </c>
    </row>
    <row r="352">
      <c r="A352" s="5" t="n">
        <v>45910</v>
      </c>
      <c r="B352" t="inlineStr">
        <is>
          <t>J-0138</t>
        </is>
      </c>
      <c r="C352" t="n">
        <v>3</v>
      </c>
      <c r="D352" t="inlineStr">
        <is>
          <t>2000</t>
        </is>
      </c>
      <c r="E352" t="inlineStr">
        <is>
          <t>Accounts Payable</t>
        </is>
      </c>
      <c r="F352" s="6" t="n">
        <v>0</v>
      </c>
      <c r="G352" s="6" t="n">
        <v>569516.55</v>
      </c>
      <c r="H352" t="inlineStr">
        <is>
          <t>Purchase bill PB-202509-2</t>
        </is>
      </c>
      <c r="I352" t="inlineStr">
        <is>
          <t>Ganga Logistics Pvt Ltd</t>
        </is>
      </c>
      <c r="J352">
        <f>YEAR(A352)*12+MONTH(A352)</f>
        <v/>
      </c>
    </row>
    <row r="353">
      <c r="A353" s="5" t="n">
        <v>45922</v>
      </c>
      <c r="B353" t="inlineStr">
        <is>
          <t>J-0139</t>
        </is>
      </c>
      <c r="C353" t="n">
        <v>1</v>
      </c>
      <c r="D353" t="inlineStr">
        <is>
          <t>1200</t>
        </is>
      </c>
      <c r="E353" t="inlineStr">
        <is>
          <t>Inventory</t>
        </is>
      </c>
      <c r="F353" s="6" t="n">
        <v>423135.06</v>
      </c>
      <c r="G353" s="6" t="n">
        <v>0</v>
      </c>
      <c r="H353" t="inlineStr">
        <is>
          <t>Purchase bill PB-202509-3</t>
        </is>
      </c>
      <c r="I353" t="inlineStr">
        <is>
          <t>Hindustan Foods Ltd</t>
        </is>
      </c>
      <c r="J353">
        <f>YEAR(A353)*12+MONTH(A353)</f>
        <v/>
      </c>
    </row>
    <row r="354">
      <c r="A354" s="5" t="n">
        <v>45922</v>
      </c>
      <c r="B354" t="inlineStr">
        <is>
          <t>J-0139</t>
        </is>
      </c>
      <c r="C354" t="n">
        <v>2</v>
      </c>
      <c r="D354" t="inlineStr">
        <is>
          <t>1300</t>
        </is>
      </c>
      <c r="E354" t="inlineStr">
        <is>
          <t>GST Input Credit</t>
        </is>
      </c>
      <c r="F354" s="6" t="n">
        <v>76164.31</v>
      </c>
      <c r="G354" s="6" t="n">
        <v>0</v>
      </c>
      <c r="H354" t="inlineStr">
        <is>
          <t>Purchase bill PB-202509-3</t>
        </is>
      </c>
      <c r="I354" t="inlineStr">
        <is>
          <t>Hindustan Foods Ltd</t>
        </is>
      </c>
      <c r="J354">
        <f>YEAR(A354)*12+MONTH(A354)</f>
        <v/>
      </c>
    </row>
    <row r="355">
      <c r="A355" s="5" t="n">
        <v>45922</v>
      </c>
      <c r="B355" t="inlineStr">
        <is>
          <t>J-0139</t>
        </is>
      </c>
      <c r="C355" t="n">
        <v>3</v>
      </c>
      <c r="D355" t="inlineStr">
        <is>
          <t>2000</t>
        </is>
      </c>
      <c r="E355" t="inlineStr">
        <is>
          <t>Accounts Payable</t>
        </is>
      </c>
      <c r="F355" s="6" t="n">
        <v>0</v>
      </c>
      <c r="G355" s="6" t="n">
        <v>499299.37</v>
      </c>
      <c r="H355" t="inlineStr">
        <is>
          <t>Purchase bill PB-202509-3</t>
        </is>
      </c>
      <c r="I355" t="inlineStr">
        <is>
          <t>Hindustan Foods Ltd</t>
        </is>
      </c>
      <c r="J355">
        <f>YEAR(A355)*12+MONTH(A355)</f>
        <v/>
      </c>
    </row>
    <row r="356">
      <c r="A356" s="5" t="n">
        <v>45921</v>
      </c>
      <c r="B356" t="inlineStr">
        <is>
          <t>J-0140</t>
        </is>
      </c>
      <c r="C356" t="n">
        <v>1</v>
      </c>
      <c r="D356" t="inlineStr">
        <is>
          <t>1200</t>
        </is>
      </c>
      <c r="E356" t="inlineStr">
        <is>
          <t>Inventory</t>
        </is>
      </c>
      <c r="F356" s="6" t="n">
        <v>341600.55</v>
      </c>
      <c r="G356" s="6" t="n">
        <v>0</v>
      </c>
      <c r="H356" t="inlineStr">
        <is>
          <t>Purchase bill PB-202509-4</t>
        </is>
      </c>
      <c r="I356" t="inlineStr">
        <is>
          <t>Ganga Logistics Pvt Ltd</t>
        </is>
      </c>
      <c r="J356">
        <f>YEAR(A356)*12+MONTH(A356)</f>
        <v/>
      </c>
    </row>
    <row r="357">
      <c r="A357" s="5" t="n">
        <v>45921</v>
      </c>
      <c r="B357" t="inlineStr">
        <is>
          <t>J-0140</t>
        </is>
      </c>
      <c r="C357" t="n">
        <v>2</v>
      </c>
      <c r="D357" t="inlineStr">
        <is>
          <t>1300</t>
        </is>
      </c>
      <c r="E357" t="inlineStr">
        <is>
          <t>GST Input Credit</t>
        </is>
      </c>
      <c r="F357" s="6" t="n">
        <v>61488.1</v>
      </c>
      <c r="G357" s="6" t="n">
        <v>0</v>
      </c>
      <c r="H357" t="inlineStr">
        <is>
          <t>Purchase bill PB-202509-4</t>
        </is>
      </c>
      <c r="I357" t="inlineStr">
        <is>
          <t>Ganga Logistics Pvt Ltd</t>
        </is>
      </c>
      <c r="J357">
        <f>YEAR(A357)*12+MONTH(A357)</f>
        <v/>
      </c>
    </row>
    <row r="358">
      <c r="A358" s="5" t="n">
        <v>45921</v>
      </c>
      <c r="B358" t="inlineStr">
        <is>
          <t>J-0140</t>
        </is>
      </c>
      <c r="C358" t="n">
        <v>3</v>
      </c>
      <c r="D358" t="inlineStr">
        <is>
          <t>2000</t>
        </is>
      </c>
      <c r="E358" t="inlineStr">
        <is>
          <t>Accounts Payable</t>
        </is>
      </c>
      <c r="F358" s="6" t="n">
        <v>0</v>
      </c>
      <c r="G358" s="6" t="n">
        <v>403088.65</v>
      </c>
      <c r="H358" t="inlineStr">
        <is>
          <t>Purchase bill PB-202509-4</t>
        </is>
      </c>
      <c r="I358" t="inlineStr">
        <is>
          <t>Ganga Logistics Pvt Ltd</t>
        </is>
      </c>
      <c r="J358">
        <f>YEAR(A358)*12+MONTH(A358)</f>
        <v/>
      </c>
    </row>
    <row r="359">
      <c r="A359" s="5" t="n">
        <v>45909</v>
      </c>
      <c r="B359" t="inlineStr">
        <is>
          <t>J-0141</t>
        </is>
      </c>
      <c r="C359" t="n">
        <v>1</v>
      </c>
      <c r="D359" t="inlineStr">
        <is>
          <t>1200</t>
        </is>
      </c>
      <c r="E359" t="inlineStr">
        <is>
          <t>Inventory</t>
        </is>
      </c>
      <c r="F359" s="6" t="n">
        <v>413924.51</v>
      </c>
      <c r="G359" s="6" t="n">
        <v>0</v>
      </c>
      <c r="H359" t="inlineStr">
        <is>
          <t>Purchase bill PB-202509-5</t>
        </is>
      </c>
      <c r="I359" t="inlineStr">
        <is>
          <t>National FMCG Distributors</t>
        </is>
      </c>
      <c r="J359">
        <f>YEAR(A359)*12+MONTH(A359)</f>
        <v/>
      </c>
    </row>
    <row r="360">
      <c r="A360" s="5" t="n">
        <v>45909</v>
      </c>
      <c r="B360" t="inlineStr">
        <is>
          <t>J-0141</t>
        </is>
      </c>
      <c r="C360" t="n">
        <v>2</v>
      </c>
      <c r="D360" t="inlineStr">
        <is>
          <t>1300</t>
        </is>
      </c>
      <c r="E360" t="inlineStr">
        <is>
          <t>GST Input Credit</t>
        </is>
      </c>
      <c r="F360" s="6" t="n">
        <v>74506.41</v>
      </c>
      <c r="G360" s="6" t="n">
        <v>0</v>
      </c>
      <c r="H360" t="inlineStr">
        <is>
          <t>Purchase bill PB-202509-5</t>
        </is>
      </c>
      <c r="I360" t="inlineStr">
        <is>
          <t>National FMCG Distributors</t>
        </is>
      </c>
      <c r="J360">
        <f>YEAR(A360)*12+MONTH(A360)</f>
        <v/>
      </c>
    </row>
    <row r="361">
      <c r="A361" s="5" t="n">
        <v>45909</v>
      </c>
      <c r="B361" t="inlineStr">
        <is>
          <t>J-0141</t>
        </is>
      </c>
      <c r="C361" t="n">
        <v>3</v>
      </c>
      <c r="D361" t="inlineStr">
        <is>
          <t>2000</t>
        </is>
      </c>
      <c r="E361" t="inlineStr">
        <is>
          <t>Accounts Payable</t>
        </is>
      </c>
      <c r="F361" s="6" t="n">
        <v>0</v>
      </c>
      <c r="G361" s="6" t="n">
        <v>488430.92</v>
      </c>
      <c r="H361" t="inlineStr">
        <is>
          <t>Purchase bill PB-202509-5</t>
        </is>
      </c>
      <c r="I361" t="inlineStr">
        <is>
          <t>National FMCG Distributors</t>
        </is>
      </c>
      <c r="J361">
        <f>YEAR(A361)*12+MONTH(A361)</f>
        <v/>
      </c>
    </row>
    <row r="362">
      <c r="A362" s="5" t="n">
        <v>45929</v>
      </c>
      <c r="B362" t="inlineStr">
        <is>
          <t>J-0142</t>
        </is>
      </c>
      <c r="C362" t="n">
        <v>1</v>
      </c>
      <c r="D362" t="inlineStr">
        <is>
          <t>2000</t>
        </is>
      </c>
      <c r="E362" t="inlineStr">
        <is>
          <t>Accounts Payable</t>
        </is>
      </c>
      <c r="F362" s="6" t="n">
        <v>2219165.4</v>
      </c>
      <c r="G362" s="6" t="n">
        <v>0</v>
      </c>
      <c r="H362" t="inlineStr">
        <is>
          <t>Vendor payments</t>
        </is>
      </c>
      <c r="I362" t="inlineStr"/>
      <c r="J362">
        <f>YEAR(A362)*12+MONTH(A362)</f>
        <v/>
      </c>
    </row>
    <row r="363">
      <c r="A363" s="5" t="n">
        <v>45929</v>
      </c>
      <c r="B363" t="inlineStr">
        <is>
          <t>J-0142</t>
        </is>
      </c>
      <c r="C363" t="n">
        <v>2</v>
      </c>
      <c r="D363" t="inlineStr">
        <is>
          <t>1000</t>
        </is>
      </c>
      <c r="E363" t="inlineStr">
        <is>
          <t>Cash &amp; Bank</t>
        </is>
      </c>
      <c r="F363" s="6" t="n">
        <v>0</v>
      </c>
      <c r="G363" s="6" t="n">
        <v>2219165.4</v>
      </c>
      <c r="H363" t="inlineStr">
        <is>
          <t>Vendor payments</t>
        </is>
      </c>
      <c r="I363" t="inlineStr"/>
      <c r="J363">
        <f>YEAR(A363)*12+MONTH(A363)</f>
        <v/>
      </c>
    </row>
    <row r="364">
      <c r="A364" s="5" t="n">
        <v>45930</v>
      </c>
      <c r="B364" t="inlineStr">
        <is>
          <t>J-0143</t>
        </is>
      </c>
      <c r="C364" t="n">
        <v>1</v>
      </c>
      <c r="D364" t="inlineStr">
        <is>
          <t>2100</t>
        </is>
      </c>
      <c r="E364" t="inlineStr">
        <is>
          <t>GST Payable</t>
        </is>
      </c>
      <c r="F364" s="6" t="n">
        <v>171180.2</v>
      </c>
      <c r="G364" s="6" t="n">
        <v>0</v>
      </c>
      <c r="H364" t="inlineStr">
        <is>
          <t>GST paid for month</t>
        </is>
      </c>
      <c r="I364" t="inlineStr">
        <is>
          <t>GST</t>
        </is>
      </c>
      <c r="J364">
        <f>YEAR(A364)*12+MONTH(A364)</f>
        <v/>
      </c>
    </row>
    <row r="365">
      <c r="A365" s="5" t="n">
        <v>45930</v>
      </c>
      <c r="B365" t="inlineStr">
        <is>
          <t>J-0143</t>
        </is>
      </c>
      <c r="C365" t="n">
        <v>2</v>
      </c>
      <c r="D365" t="inlineStr">
        <is>
          <t>1000</t>
        </is>
      </c>
      <c r="E365" t="inlineStr">
        <is>
          <t>Cash &amp; Bank</t>
        </is>
      </c>
      <c r="F365" s="6" t="n">
        <v>0</v>
      </c>
      <c r="G365" s="6" t="n">
        <v>171180.2</v>
      </c>
      <c r="H365" t="inlineStr">
        <is>
          <t>GST paid for month</t>
        </is>
      </c>
      <c r="I365" t="inlineStr">
        <is>
          <t>GST</t>
        </is>
      </c>
      <c r="J365">
        <f>YEAR(A365)*12+MONTH(A365)</f>
        <v/>
      </c>
    </row>
    <row r="366">
      <c r="A366" s="5" t="n">
        <v>45905</v>
      </c>
      <c r="B366" t="inlineStr">
        <is>
          <t>J-0144</t>
        </is>
      </c>
      <c r="C366" t="n">
        <v>1</v>
      </c>
      <c r="D366" t="inlineStr">
        <is>
          <t>5100</t>
        </is>
      </c>
      <c r="E366" t="inlineStr">
        <is>
          <t>Rent Expense</t>
        </is>
      </c>
      <c r="F366" s="6" t="n">
        <v>25000</v>
      </c>
      <c r="G366" s="6" t="n">
        <v>0</v>
      </c>
      <c r="H366" t="inlineStr">
        <is>
          <t>Office rent</t>
        </is>
      </c>
      <c r="I366" t="inlineStr"/>
      <c r="J366">
        <f>YEAR(A366)*12+MONTH(A366)</f>
        <v/>
      </c>
    </row>
    <row r="367">
      <c r="A367" s="5" t="n">
        <v>45905</v>
      </c>
      <c r="B367" t="inlineStr">
        <is>
          <t>J-0144</t>
        </is>
      </c>
      <c r="C367" t="n">
        <v>2</v>
      </c>
      <c r="D367" t="inlineStr">
        <is>
          <t>1000</t>
        </is>
      </c>
      <c r="E367" t="inlineStr">
        <is>
          <t>Cash &amp; Bank</t>
        </is>
      </c>
      <c r="F367" s="6" t="n">
        <v>0</v>
      </c>
      <c r="G367" s="6" t="n">
        <v>25000</v>
      </c>
      <c r="H367" t="inlineStr">
        <is>
          <t>Office rent</t>
        </is>
      </c>
      <c r="I367" t="inlineStr"/>
      <c r="J367">
        <f>YEAR(A367)*12+MONTH(A367)</f>
        <v/>
      </c>
    </row>
    <row r="368">
      <c r="A368" s="5" t="n">
        <v>45907</v>
      </c>
      <c r="B368" t="inlineStr">
        <is>
          <t>J-0145</t>
        </is>
      </c>
      <c r="C368" t="n">
        <v>1</v>
      </c>
      <c r="D368" t="inlineStr">
        <is>
          <t>5200</t>
        </is>
      </c>
      <c r="E368" t="inlineStr">
        <is>
          <t>Salaries Expense</t>
        </is>
      </c>
      <c r="F368" s="6" t="n">
        <v>109182.41</v>
      </c>
      <c r="G368" s="6" t="n">
        <v>0</v>
      </c>
      <c r="H368" t="inlineStr">
        <is>
          <t>Staff salaries</t>
        </is>
      </c>
      <c r="I368" t="inlineStr"/>
      <c r="J368">
        <f>YEAR(A368)*12+MONTH(A368)</f>
        <v/>
      </c>
    </row>
    <row r="369">
      <c r="A369" s="5" t="n">
        <v>45907</v>
      </c>
      <c r="B369" t="inlineStr">
        <is>
          <t>J-0145</t>
        </is>
      </c>
      <c r="C369" t="n">
        <v>2</v>
      </c>
      <c r="D369" t="inlineStr">
        <is>
          <t>1000</t>
        </is>
      </c>
      <c r="E369" t="inlineStr">
        <is>
          <t>Cash &amp; Bank</t>
        </is>
      </c>
      <c r="F369" s="6" t="n">
        <v>0</v>
      </c>
      <c r="G369" s="6" t="n">
        <v>109182.41</v>
      </c>
      <c r="H369" t="inlineStr">
        <is>
          <t>Staff salaries</t>
        </is>
      </c>
      <c r="I369" t="inlineStr"/>
      <c r="J369">
        <f>YEAR(A369)*12+MONTH(A369)</f>
        <v/>
      </c>
    </row>
    <row r="370">
      <c r="A370" s="5" t="n">
        <v>45912</v>
      </c>
      <c r="B370" t="inlineStr">
        <is>
          <t>J-0146</t>
        </is>
      </c>
      <c r="C370" t="n">
        <v>1</v>
      </c>
      <c r="D370" t="inlineStr">
        <is>
          <t>5300</t>
        </is>
      </c>
      <c r="E370" t="inlineStr">
        <is>
          <t>Utilities Expense</t>
        </is>
      </c>
      <c r="F370" s="6" t="n">
        <v>7664.04</v>
      </c>
      <c r="G370" s="6" t="n">
        <v>0</v>
      </c>
      <c r="H370" t="inlineStr">
        <is>
          <t>Utilities (power/water/phone)</t>
        </is>
      </c>
      <c r="I370" t="inlineStr"/>
      <c r="J370">
        <f>YEAR(A370)*12+MONTH(A370)</f>
        <v/>
      </c>
    </row>
    <row r="371">
      <c r="A371" s="5" t="n">
        <v>45912</v>
      </c>
      <c r="B371" t="inlineStr">
        <is>
          <t>J-0146</t>
        </is>
      </c>
      <c r="C371" t="n">
        <v>2</v>
      </c>
      <c r="D371" t="inlineStr">
        <is>
          <t>1000</t>
        </is>
      </c>
      <c r="E371" t="inlineStr">
        <is>
          <t>Cash &amp; Bank</t>
        </is>
      </c>
      <c r="F371" s="6" t="n">
        <v>0</v>
      </c>
      <c r="G371" s="6" t="n">
        <v>7664.04</v>
      </c>
      <c r="H371" t="inlineStr">
        <is>
          <t>Utilities (power/water/phone)</t>
        </is>
      </c>
      <c r="I371" t="inlineStr"/>
      <c r="J371">
        <f>YEAR(A371)*12+MONTH(A371)</f>
        <v/>
      </c>
    </row>
    <row r="372">
      <c r="A372" s="5" t="n">
        <v>45918</v>
      </c>
      <c r="B372" t="inlineStr">
        <is>
          <t>J-0147</t>
        </is>
      </c>
      <c r="C372" t="n">
        <v>1</v>
      </c>
      <c r="D372" t="inlineStr">
        <is>
          <t>5400</t>
        </is>
      </c>
      <c r="E372" t="inlineStr">
        <is>
          <t>Transport &amp; Logistics</t>
        </is>
      </c>
      <c r="F372" s="6" t="n">
        <v>15916.15</v>
      </c>
      <c r="G372" s="6" t="n">
        <v>0</v>
      </c>
      <c r="H372" t="inlineStr">
        <is>
          <t>Transport &amp; logistics</t>
        </is>
      </c>
      <c r="I372" t="inlineStr"/>
      <c r="J372">
        <f>YEAR(A372)*12+MONTH(A372)</f>
        <v/>
      </c>
    </row>
    <row r="373">
      <c r="A373" s="5" t="n">
        <v>45918</v>
      </c>
      <c r="B373" t="inlineStr">
        <is>
          <t>J-0147</t>
        </is>
      </c>
      <c r="C373" t="n">
        <v>2</v>
      </c>
      <c r="D373" t="inlineStr">
        <is>
          <t>1000</t>
        </is>
      </c>
      <c r="E373" t="inlineStr">
        <is>
          <t>Cash &amp; Bank</t>
        </is>
      </c>
      <c r="F373" s="6" t="n">
        <v>0</v>
      </c>
      <c r="G373" s="6" t="n">
        <v>15916.15</v>
      </c>
      <c r="H373" t="inlineStr">
        <is>
          <t>Transport &amp; logistics</t>
        </is>
      </c>
      <c r="I373" t="inlineStr"/>
      <c r="J373">
        <f>YEAR(A373)*12+MONTH(A373)</f>
        <v/>
      </c>
    </row>
    <row r="374">
      <c r="A374" s="5" t="n">
        <v>45920</v>
      </c>
      <c r="B374" t="inlineStr">
        <is>
          <t>J-0148</t>
        </is>
      </c>
      <c r="C374" t="n">
        <v>1</v>
      </c>
      <c r="D374" t="inlineStr">
        <is>
          <t>5500</t>
        </is>
      </c>
      <c r="E374" t="inlineStr">
        <is>
          <t>Marketing Expense</t>
        </is>
      </c>
      <c r="F374" s="6" t="n">
        <v>17164.01</v>
      </c>
      <c r="G374" s="6" t="n">
        <v>0</v>
      </c>
      <c r="H374" t="inlineStr">
        <is>
          <t>Marketing &amp; promotions</t>
        </is>
      </c>
      <c r="I374" t="inlineStr"/>
      <c r="J374">
        <f>YEAR(A374)*12+MONTH(A374)</f>
        <v/>
      </c>
    </row>
    <row r="375">
      <c r="A375" s="5" t="n">
        <v>45920</v>
      </c>
      <c r="B375" t="inlineStr">
        <is>
          <t>J-0148</t>
        </is>
      </c>
      <c r="C375" t="n">
        <v>2</v>
      </c>
      <c r="D375" t="inlineStr">
        <is>
          <t>1000</t>
        </is>
      </c>
      <c r="E375" t="inlineStr">
        <is>
          <t>Cash &amp; Bank</t>
        </is>
      </c>
      <c r="F375" s="6" t="n">
        <v>0</v>
      </c>
      <c r="G375" s="6" t="n">
        <v>17164.01</v>
      </c>
      <c r="H375" t="inlineStr">
        <is>
          <t>Marketing &amp; promotions</t>
        </is>
      </c>
      <c r="I375" t="inlineStr"/>
      <c r="J375">
        <f>YEAR(A375)*12+MONTH(A375)</f>
        <v/>
      </c>
    </row>
    <row r="376">
      <c r="A376" s="5" t="n">
        <v>45910</v>
      </c>
      <c r="B376" t="inlineStr">
        <is>
          <t>J-0149</t>
        </is>
      </c>
      <c r="C376" t="n">
        <v>1</v>
      </c>
      <c r="D376" t="inlineStr">
        <is>
          <t>5600</t>
        </is>
      </c>
      <c r="E376" t="inlineStr">
        <is>
          <t>Interest Expense</t>
        </is>
      </c>
      <c r="F376" s="6" t="n">
        <v>9000</v>
      </c>
      <c r="G376" s="6" t="n">
        <v>0</v>
      </c>
      <c r="H376" t="inlineStr">
        <is>
          <t>Term loan interest</t>
        </is>
      </c>
      <c r="I376" t="inlineStr">
        <is>
          <t>HDFC</t>
        </is>
      </c>
      <c r="J376">
        <f>YEAR(A376)*12+MONTH(A376)</f>
        <v/>
      </c>
    </row>
    <row r="377">
      <c r="A377" s="5" t="n">
        <v>45910</v>
      </c>
      <c r="B377" t="inlineStr">
        <is>
          <t>J-0149</t>
        </is>
      </c>
      <c r="C377" t="n">
        <v>2</v>
      </c>
      <c r="D377" t="inlineStr">
        <is>
          <t>1000</t>
        </is>
      </c>
      <c r="E377" t="inlineStr">
        <is>
          <t>Cash &amp; Bank</t>
        </is>
      </c>
      <c r="F377" s="6" t="n">
        <v>0</v>
      </c>
      <c r="G377" s="6" t="n">
        <v>9000</v>
      </c>
      <c r="H377" t="inlineStr">
        <is>
          <t>Term loan interest</t>
        </is>
      </c>
      <c r="I377" t="inlineStr">
        <is>
          <t>HDFC</t>
        </is>
      </c>
      <c r="J377">
        <f>YEAR(A377)*12+MONTH(A377)</f>
        <v/>
      </c>
    </row>
    <row r="378">
      <c r="A378" s="5" t="n">
        <v>45910</v>
      </c>
      <c r="B378" t="inlineStr">
        <is>
          <t>J-0150</t>
        </is>
      </c>
      <c r="C378" t="n">
        <v>1</v>
      </c>
      <c r="D378" t="inlineStr">
        <is>
          <t>2200</t>
        </is>
      </c>
      <c r="E378" t="inlineStr">
        <is>
          <t>Term Loan</t>
        </is>
      </c>
      <c r="F378" s="6" t="n">
        <v>55000</v>
      </c>
      <c r="G378" s="6" t="n">
        <v>0</v>
      </c>
      <c r="H378" t="inlineStr">
        <is>
          <t>Term loan principal repayment</t>
        </is>
      </c>
      <c r="I378" t="inlineStr">
        <is>
          <t>HDFC</t>
        </is>
      </c>
      <c r="J378">
        <f>YEAR(A378)*12+MONTH(A378)</f>
        <v/>
      </c>
    </row>
    <row r="379">
      <c r="A379" s="5" t="n">
        <v>45910</v>
      </c>
      <c r="B379" t="inlineStr">
        <is>
          <t>J-0150</t>
        </is>
      </c>
      <c r="C379" t="n">
        <v>2</v>
      </c>
      <c r="D379" t="inlineStr">
        <is>
          <t>1000</t>
        </is>
      </c>
      <c r="E379" t="inlineStr">
        <is>
          <t>Cash &amp; Bank</t>
        </is>
      </c>
      <c r="F379" s="6" t="n">
        <v>0</v>
      </c>
      <c r="G379" s="6" t="n">
        <v>55000</v>
      </c>
      <c r="H379" t="inlineStr">
        <is>
          <t>Term loan principal repayment</t>
        </is>
      </c>
      <c r="I379" t="inlineStr">
        <is>
          <t>HDFC</t>
        </is>
      </c>
      <c r="J379">
        <f>YEAR(A379)*12+MONTH(A379)</f>
        <v/>
      </c>
    </row>
    <row r="380">
      <c r="A380" s="5" t="n">
        <v>45930</v>
      </c>
      <c r="B380" t="inlineStr">
        <is>
          <t>J-0151</t>
        </is>
      </c>
      <c r="C380" t="n">
        <v>1</v>
      </c>
      <c r="D380" t="inlineStr">
        <is>
          <t>5700</t>
        </is>
      </c>
      <c r="E380" t="inlineStr">
        <is>
          <t>Depreciation Expense</t>
        </is>
      </c>
      <c r="F380" s="6" t="n">
        <v>6000</v>
      </c>
      <c r="G380" s="6" t="n">
        <v>0</v>
      </c>
      <c r="H380" t="inlineStr">
        <is>
          <t>Depreciation - equipment</t>
        </is>
      </c>
      <c r="I380" t="inlineStr"/>
      <c r="J380">
        <f>YEAR(A380)*12+MONTH(A380)</f>
        <v/>
      </c>
    </row>
    <row r="381">
      <c r="A381" s="5" t="n">
        <v>45930</v>
      </c>
      <c r="B381" t="inlineStr">
        <is>
          <t>J-0151</t>
        </is>
      </c>
      <c r="C381" t="n">
        <v>2</v>
      </c>
      <c r="D381" t="inlineStr">
        <is>
          <t>1510</t>
        </is>
      </c>
      <c r="E381" t="inlineStr">
        <is>
          <t>Accumulated Depreciation</t>
        </is>
      </c>
      <c r="F381" s="6" t="n">
        <v>0</v>
      </c>
      <c r="G381" s="6" t="n">
        <v>6000</v>
      </c>
      <c r="H381" t="inlineStr">
        <is>
          <t>Depreciation - equipment</t>
        </is>
      </c>
      <c r="I381" t="inlineStr"/>
      <c r="J381">
        <f>YEAR(A381)*12+MONTH(A381)</f>
        <v/>
      </c>
    </row>
    <row r="382">
      <c r="A382" s="5" t="n">
        <v>45910</v>
      </c>
      <c r="B382" t="inlineStr">
        <is>
          <t>J-0152</t>
        </is>
      </c>
      <c r="C382" t="n">
        <v>1</v>
      </c>
      <c r="D382" t="inlineStr">
        <is>
          <t>5800</t>
        </is>
      </c>
      <c r="E382" t="inlineStr">
        <is>
          <t>Miscellaneous Expense</t>
        </is>
      </c>
      <c r="F382" s="6" t="n">
        <v>8574.110000000001</v>
      </c>
      <c r="G382" s="6" t="n">
        <v>0</v>
      </c>
      <c r="H382" t="inlineStr">
        <is>
          <t>Miscellaneous expenses</t>
        </is>
      </c>
      <c r="I382" t="inlineStr"/>
      <c r="J382">
        <f>YEAR(A382)*12+MONTH(A382)</f>
        <v/>
      </c>
    </row>
    <row r="383">
      <c r="A383" s="5" t="n">
        <v>45910</v>
      </c>
      <c r="B383" t="inlineStr">
        <is>
          <t>J-0152</t>
        </is>
      </c>
      <c r="C383" t="n">
        <v>2</v>
      </c>
      <c r="D383" t="inlineStr">
        <is>
          <t>1000</t>
        </is>
      </c>
      <c r="E383" t="inlineStr">
        <is>
          <t>Cash &amp; Bank</t>
        </is>
      </c>
      <c r="F383" s="6" t="n">
        <v>0</v>
      </c>
      <c r="G383" s="6" t="n">
        <v>8574.110000000001</v>
      </c>
      <c r="H383" t="inlineStr">
        <is>
          <t>Miscellaneous expenses</t>
        </is>
      </c>
      <c r="I383" t="inlineStr"/>
      <c r="J383">
        <f>YEAR(A383)*12+MONTH(A383)</f>
        <v/>
      </c>
    </row>
    <row r="384">
      <c r="A384" s="5" t="n">
        <v>45935</v>
      </c>
      <c r="B384" t="inlineStr">
        <is>
          <t>J-0153</t>
        </is>
      </c>
      <c r="C384" t="n">
        <v>1</v>
      </c>
      <c r="D384" t="inlineStr">
        <is>
          <t>1100</t>
        </is>
      </c>
      <c r="E384" t="inlineStr">
        <is>
          <t>Accounts Receivable</t>
        </is>
      </c>
      <c r="F384" s="6" t="n">
        <v>626599.51</v>
      </c>
      <c r="G384" s="6" t="n">
        <v>0</v>
      </c>
      <c r="H384" t="inlineStr">
        <is>
          <t>Sales invoice INV-202510-1</t>
        </is>
      </c>
      <c r="I384" t="inlineStr">
        <is>
          <t>Annapurna Retail</t>
        </is>
      </c>
      <c r="J384">
        <f>YEAR(A384)*12+MONTH(A384)</f>
        <v/>
      </c>
    </row>
    <row r="385">
      <c r="A385" s="5" t="n">
        <v>45935</v>
      </c>
      <c r="B385" t="inlineStr">
        <is>
          <t>J-0153</t>
        </is>
      </c>
      <c r="C385" t="n">
        <v>2</v>
      </c>
      <c r="D385" t="inlineStr">
        <is>
          <t>4000</t>
        </is>
      </c>
      <c r="E385" t="inlineStr">
        <is>
          <t>Sales Revenue</t>
        </is>
      </c>
      <c r="F385" s="6" t="n">
        <v>0</v>
      </c>
      <c r="G385" s="6" t="n">
        <v>531016.53</v>
      </c>
      <c r="H385" t="inlineStr">
        <is>
          <t>Sales invoice INV-202510-1</t>
        </is>
      </c>
      <c r="I385" t="inlineStr">
        <is>
          <t>Annapurna Retail</t>
        </is>
      </c>
      <c r="J385">
        <f>YEAR(A385)*12+MONTH(A385)</f>
        <v/>
      </c>
    </row>
    <row r="386">
      <c r="A386" s="5" t="n">
        <v>45935</v>
      </c>
      <c r="B386" t="inlineStr">
        <is>
          <t>J-0153</t>
        </is>
      </c>
      <c r="C386" t="n">
        <v>3</v>
      </c>
      <c r="D386" t="inlineStr">
        <is>
          <t>2100</t>
        </is>
      </c>
      <c r="E386" t="inlineStr">
        <is>
          <t>GST Payable</t>
        </is>
      </c>
      <c r="F386" s="6" t="n">
        <v>0</v>
      </c>
      <c r="G386" s="6" t="n">
        <v>95582.98</v>
      </c>
      <c r="H386" t="inlineStr">
        <is>
          <t>Sales invoice INV-202510-1</t>
        </is>
      </c>
      <c r="I386" t="inlineStr">
        <is>
          <t>GST</t>
        </is>
      </c>
      <c r="J386">
        <f>YEAR(A386)*12+MONTH(A386)</f>
        <v/>
      </c>
    </row>
    <row r="387">
      <c r="A387" s="5" t="n">
        <v>45948</v>
      </c>
      <c r="B387" t="inlineStr">
        <is>
          <t>J-0154</t>
        </is>
      </c>
      <c r="C387" t="n">
        <v>1</v>
      </c>
      <c r="D387" t="inlineStr">
        <is>
          <t>1100</t>
        </is>
      </c>
      <c r="E387" t="inlineStr">
        <is>
          <t>Accounts Receivable</t>
        </is>
      </c>
      <c r="F387" s="6" t="n">
        <v>414829.47</v>
      </c>
      <c r="G387" s="6" t="n">
        <v>0</v>
      </c>
      <c r="H387" t="inlineStr">
        <is>
          <t>Sales invoice INV-202510-2</t>
        </is>
      </c>
      <c r="I387" t="inlineStr">
        <is>
          <t>Patna Daily Needs</t>
        </is>
      </c>
      <c r="J387">
        <f>YEAR(A387)*12+MONTH(A387)</f>
        <v/>
      </c>
    </row>
    <row r="388">
      <c r="A388" s="5" t="n">
        <v>45948</v>
      </c>
      <c r="B388" t="inlineStr">
        <is>
          <t>J-0154</t>
        </is>
      </c>
      <c r="C388" t="n">
        <v>2</v>
      </c>
      <c r="D388" t="inlineStr">
        <is>
          <t>4000</t>
        </is>
      </c>
      <c r="E388" t="inlineStr">
        <is>
          <t>Sales Revenue</t>
        </is>
      </c>
      <c r="F388" s="6" t="n">
        <v>0</v>
      </c>
      <c r="G388" s="6" t="n">
        <v>351550.4</v>
      </c>
      <c r="H388" t="inlineStr">
        <is>
          <t>Sales invoice INV-202510-2</t>
        </is>
      </c>
      <c r="I388" t="inlineStr">
        <is>
          <t>Patna Daily Needs</t>
        </is>
      </c>
      <c r="J388">
        <f>YEAR(A388)*12+MONTH(A388)</f>
        <v/>
      </c>
    </row>
    <row r="389">
      <c r="A389" s="5" t="n">
        <v>45948</v>
      </c>
      <c r="B389" t="inlineStr">
        <is>
          <t>J-0154</t>
        </is>
      </c>
      <c r="C389" t="n">
        <v>3</v>
      </c>
      <c r="D389" t="inlineStr">
        <is>
          <t>2100</t>
        </is>
      </c>
      <c r="E389" t="inlineStr">
        <is>
          <t>GST Payable</t>
        </is>
      </c>
      <c r="F389" s="6" t="n">
        <v>0</v>
      </c>
      <c r="G389" s="6" t="n">
        <v>63279.07</v>
      </c>
      <c r="H389" t="inlineStr">
        <is>
          <t>Sales invoice INV-202510-2</t>
        </is>
      </c>
      <c r="I389" t="inlineStr">
        <is>
          <t>GST</t>
        </is>
      </c>
      <c r="J389">
        <f>YEAR(A389)*12+MONTH(A389)</f>
        <v/>
      </c>
    </row>
    <row r="390">
      <c r="A390" s="5" t="n">
        <v>45934</v>
      </c>
      <c r="B390" t="inlineStr">
        <is>
          <t>J-0155</t>
        </is>
      </c>
      <c r="C390" t="n">
        <v>1</v>
      </c>
      <c r="D390" t="inlineStr">
        <is>
          <t>1100</t>
        </is>
      </c>
      <c r="E390" t="inlineStr">
        <is>
          <t>Accounts Receivable</t>
        </is>
      </c>
      <c r="F390" s="6" t="n">
        <v>489016.71</v>
      </c>
      <c r="G390" s="6" t="n">
        <v>0</v>
      </c>
      <c r="H390" t="inlineStr">
        <is>
          <t>Sales invoice INV-202510-3</t>
        </is>
      </c>
      <c r="I390" t="inlineStr">
        <is>
          <t>Singh Brothers Retail</t>
        </is>
      </c>
      <c r="J390">
        <f>YEAR(A390)*12+MONTH(A390)</f>
        <v/>
      </c>
    </row>
    <row r="391">
      <c r="A391" s="5" t="n">
        <v>45934</v>
      </c>
      <c r="B391" t="inlineStr">
        <is>
          <t>J-0155</t>
        </is>
      </c>
      <c r="C391" t="n">
        <v>2</v>
      </c>
      <c r="D391" t="inlineStr">
        <is>
          <t>4000</t>
        </is>
      </c>
      <c r="E391" t="inlineStr">
        <is>
          <t>Sales Revenue</t>
        </is>
      </c>
      <c r="F391" s="6" t="n">
        <v>0</v>
      </c>
      <c r="G391" s="6" t="n">
        <v>414420.94</v>
      </c>
      <c r="H391" t="inlineStr">
        <is>
          <t>Sales invoice INV-202510-3</t>
        </is>
      </c>
      <c r="I391" t="inlineStr">
        <is>
          <t>Singh Brothers Retail</t>
        </is>
      </c>
      <c r="J391">
        <f>YEAR(A391)*12+MONTH(A391)</f>
        <v/>
      </c>
    </row>
    <row r="392">
      <c r="A392" s="5" t="n">
        <v>45934</v>
      </c>
      <c r="B392" t="inlineStr">
        <is>
          <t>J-0155</t>
        </is>
      </c>
      <c r="C392" t="n">
        <v>3</v>
      </c>
      <c r="D392" t="inlineStr">
        <is>
          <t>2100</t>
        </is>
      </c>
      <c r="E392" t="inlineStr">
        <is>
          <t>GST Payable</t>
        </is>
      </c>
      <c r="F392" s="6" t="n">
        <v>0</v>
      </c>
      <c r="G392" s="6" t="n">
        <v>74595.77</v>
      </c>
      <c r="H392" t="inlineStr">
        <is>
          <t>Sales invoice INV-202510-3</t>
        </is>
      </c>
      <c r="I392" t="inlineStr">
        <is>
          <t>GST</t>
        </is>
      </c>
      <c r="J392">
        <f>YEAR(A392)*12+MONTH(A392)</f>
        <v/>
      </c>
    </row>
    <row r="393">
      <c r="A393" s="5" t="n">
        <v>45941</v>
      </c>
      <c r="B393" t="inlineStr">
        <is>
          <t>J-0156</t>
        </is>
      </c>
      <c r="C393" t="n">
        <v>1</v>
      </c>
      <c r="D393" t="inlineStr">
        <is>
          <t>1100</t>
        </is>
      </c>
      <c r="E393" t="inlineStr">
        <is>
          <t>Accounts Receivable</t>
        </is>
      </c>
      <c r="F393" s="6" t="n">
        <v>726362.8199999999</v>
      </c>
      <c r="G393" s="6" t="n">
        <v>0</v>
      </c>
      <c r="H393" t="inlineStr">
        <is>
          <t>Sales invoice INV-202510-4</t>
        </is>
      </c>
      <c r="I393" t="inlineStr">
        <is>
          <t>Singh Brothers Retail</t>
        </is>
      </c>
      <c r="J393">
        <f>YEAR(A393)*12+MONTH(A393)</f>
        <v/>
      </c>
    </row>
    <row r="394">
      <c r="A394" s="5" t="n">
        <v>45941</v>
      </c>
      <c r="B394" t="inlineStr">
        <is>
          <t>J-0156</t>
        </is>
      </c>
      <c r="C394" t="n">
        <v>2</v>
      </c>
      <c r="D394" t="inlineStr">
        <is>
          <t>4000</t>
        </is>
      </c>
      <c r="E394" t="inlineStr">
        <is>
          <t>Sales Revenue</t>
        </is>
      </c>
      <c r="F394" s="6" t="n">
        <v>0</v>
      </c>
      <c r="G394" s="6" t="n">
        <v>615561.71</v>
      </c>
      <c r="H394" t="inlineStr">
        <is>
          <t>Sales invoice INV-202510-4</t>
        </is>
      </c>
      <c r="I394" t="inlineStr">
        <is>
          <t>Singh Brothers Retail</t>
        </is>
      </c>
      <c r="J394">
        <f>YEAR(A394)*12+MONTH(A394)</f>
        <v/>
      </c>
    </row>
    <row r="395">
      <c r="A395" s="5" t="n">
        <v>45941</v>
      </c>
      <c r="B395" t="inlineStr">
        <is>
          <t>J-0156</t>
        </is>
      </c>
      <c r="C395" t="n">
        <v>3</v>
      </c>
      <c r="D395" t="inlineStr">
        <is>
          <t>2100</t>
        </is>
      </c>
      <c r="E395" t="inlineStr">
        <is>
          <t>GST Payable</t>
        </is>
      </c>
      <c r="F395" s="6" t="n">
        <v>0</v>
      </c>
      <c r="G395" s="6" t="n">
        <v>110801.11</v>
      </c>
      <c r="H395" t="inlineStr">
        <is>
          <t>Sales invoice INV-202510-4</t>
        </is>
      </c>
      <c r="I395" t="inlineStr">
        <is>
          <t>GST</t>
        </is>
      </c>
      <c r="J395">
        <f>YEAR(A395)*12+MONTH(A395)</f>
        <v/>
      </c>
    </row>
    <row r="396">
      <c r="A396" s="5" t="n">
        <v>45954</v>
      </c>
      <c r="B396" t="inlineStr">
        <is>
          <t>J-0157</t>
        </is>
      </c>
      <c r="C396" t="n">
        <v>1</v>
      </c>
      <c r="D396" t="inlineStr">
        <is>
          <t>1100</t>
        </is>
      </c>
      <c r="E396" t="inlineStr">
        <is>
          <t>Accounts Receivable</t>
        </is>
      </c>
      <c r="F396" s="6" t="n">
        <v>447484.47</v>
      </c>
      <c r="G396" s="6" t="n">
        <v>0</v>
      </c>
      <c r="H396" t="inlineStr">
        <is>
          <t>Sales invoice INV-202510-5</t>
        </is>
      </c>
      <c r="I396" t="inlineStr">
        <is>
          <t>Maa Vaishno Stores</t>
        </is>
      </c>
      <c r="J396">
        <f>YEAR(A396)*12+MONTH(A396)</f>
        <v/>
      </c>
    </row>
    <row r="397">
      <c r="A397" s="5" t="n">
        <v>45954</v>
      </c>
      <c r="B397" t="inlineStr">
        <is>
          <t>J-0157</t>
        </is>
      </c>
      <c r="C397" t="n">
        <v>2</v>
      </c>
      <c r="D397" t="inlineStr">
        <is>
          <t>4000</t>
        </is>
      </c>
      <c r="E397" t="inlineStr">
        <is>
          <t>Sales Revenue</t>
        </is>
      </c>
      <c r="F397" s="6" t="n">
        <v>0</v>
      </c>
      <c r="G397" s="6" t="n">
        <v>379224.13</v>
      </c>
      <c r="H397" t="inlineStr">
        <is>
          <t>Sales invoice INV-202510-5</t>
        </is>
      </c>
      <c r="I397" t="inlineStr">
        <is>
          <t>Maa Vaishno Stores</t>
        </is>
      </c>
      <c r="J397">
        <f>YEAR(A397)*12+MONTH(A397)</f>
        <v/>
      </c>
    </row>
    <row r="398">
      <c r="A398" s="5" t="n">
        <v>45954</v>
      </c>
      <c r="B398" t="inlineStr">
        <is>
          <t>J-0157</t>
        </is>
      </c>
      <c r="C398" t="n">
        <v>3</v>
      </c>
      <c r="D398" t="inlineStr">
        <is>
          <t>2100</t>
        </is>
      </c>
      <c r="E398" t="inlineStr">
        <is>
          <t>GST Payable</t>
        </is>
      </c>
      <c r="F398" s="6" t="n">
        <v>0</v>
      </c>
      <c r="G398" s="6" t="n">
        <v>68260.34</v>
      </c>
      <c r="H398" t="inlineStr">
        <is>
          <t>Sales invoice INV-202510-5</t>
        </is>
      </c>
      <c r="I398" t="inlineStr">
        <is>
          <t>GST</t>
        </is>
      </c>
      <c r="J398">
        <f>YEAR(A398)*12+MONTH(A398)</f>
        <v/>
      </c>
    </row>
    <row r="399">
      <c r="A399" s="5" t="n">
        <v>45932</v>
      </c>
      <c r="B399" t="inlineStr">
        <is>
          <t>J-0158</t>
        </is>
      </c>
      <c r="C399" t="n">
        <v>1</v>
      </c>
      <c r="D399" t="inlineStr">
        <is>
          <t>1100</t>
        </is>
      </c>
      <c r="E399" t="inlineStr">
        <is>
          <t>Accounts Receivable</t>
        </is>
      </c>
      <c r="F399" s="6" t="n">
        <v>503440.11</v>
      </c>
      <c r="G399" s="6" t="n">
        <v>0</v>
      </c>
      <c r="H399" t="inlineStr">
        <is>
          <t>Sales invoice INV-202510-6</t>
        </is>
      </c>
      <c r="I399" t="inlineStr">
        <is>
          <t>Maa Vaishno Stores</t>
        </is>
      </c>
      <c r="J399">
        <f>YEAR(A399)*12+MONTH(A399)</f>
        <v/>
      </c>
    </row>
    <row r="400">
      <c r="A400" s="5" t="n">
        <v>45932</v>
      </c>
      <c r="B400" t="inlineStr">
        <is>
          <t>J-0158</t>
        </is>
      </c>
      <c r="C400" t="n">
        <v>2</v>
      </c>
      <c r="D400" t="inlineStr">
        <is>
          <t>4000</t>
        </is>
      </c>
      <c r="E400" t="inlineStr">
        <is>
          <t>Sales Revenue</t>
        </is>
      </c>
      <c r="F400" s="6" t="n">
        <v>0</v>
      </c>
      <c r="G400" s="6" t="n">
        <v>426644.16</v>
      </c>
      <c r="H400" t="inlineStr">
        <is>
          <t>Sales invoice INV-202510-6</t>
        </is>
      </c>
      <c r="I400" t="inlineStr">
        <is>
          <t>Maa Vaishno Stores</t>
        </is>
      </c>
      <c r="J400">
        <f>YEAR(A400)*12+MONTH(A400)</f>
        <v/>
      </c>
    </row>
    <row r="401">
      <c r="A401" s="5" t="n">
        <v>45932</v>
      </c>
      <c r="B401" t="inlineStr">
        <is>
          <t>J-0158</t>
        </is>
      </c>
      <c r="C401" t="n">
        <v>3</v>
      </c>
      <c r="D401" t="inlineStr">
        <is>
          <t>2100</t>
        </is>
      </c>
      <c r="E401" t="inlineStr">
        <is>
          <t>GST Payable</t>
        </is>
      </c>
      <c r="F401" s="6" t="n">
        <v>0</v>
      </c>
      <c r="G401" s="6" t="n">
        <v>76795.95</v>
      </c>
      <c r="H401" t="inlineStr">
        <is>
          <t>Sales invoice INV-202510-6</t>
        </is>
      </c>
      <c r="I401" t="inlineStr">
        <is>
          <t>GST</t>
        </is>
      </c>
      <c r="J401">
        <f>YEAR(A401)*12+MONTH(A401)</f>
        <v/>
      </c>
    </row>
    <row r="402">
      <c r="A402" s="5" t="n">
        <v>45941</v>
      </c>
      <c r="B402" t="inlineStr">
        <is>
          <t>J-0159</t>
        </is>
      </c>
      <c r="C402" t="n">
        <v>1</v>
      </c>
      <c r="D402" t="inlineStr">
        <is>
          <t>1100</t>
        </is>
      </c>
      <c r="E402" t="inlineStr">
        <is>
          <t>Accounts Receivable</t>
        </is>
      </c>
      <c r="F402" s="6" t="n">
        <v>644651.2</v>
      </c>
      <c r="G402" s="6" t="n">
        <v>0</v>
      </c>
      <c r="H402" t="inlineStr">
        <is>
          <t>Sales invoice INV-202510-7</t>
        </is>
      </c>
      <c r="I402" t="inlineStr">
        <is>
          <t>Maa Vaishno Stores</t>
        </is>
      </c>
      <c r="J402">
        <f>YEAR(A402)*12+MONTH(A402)</f>
        <v/>
      </c>
    </row>
    <row r="403">
      <c r="A403" s="5" t="n">
        <v>45941</v>
      </c>
      <c r="B403" t="inlineStr">
        <is>
          <t>J-0159</t>
        </is>
      </c>
      <c r="C403" t="n">
        <v>2</v>
      </c>
      <c r="D403" t="inlineStr">
        <is>
          <t>4000</t>
        </is>
      </c>
      <c r="E403" t="inlineStr">
        <is>
          <t>Sales Revenue</t>
        </is>
      </c>
      <c r="F403" s="6" t="n">
        <v>0</v>
      </c>
      <c r="G403" s="6" t="n">
        <v>546314.58</v>
      </c>
      <c r="H403" t="inlineStr">
        <is>
          <t>Sales invoice INV-202510-7</t>
        </is>
      </c>
      <c r="I403" t="inlineStr">
        <is>
          <t>Maa Vaishno Stores</t>
        </is>
      </c>
      <c r="J403">
        <f>YEAR(A403)*12+MONTH(A403)</f>
        <v/>
      </c>
    </row>
    <row r="404">
      <c r="A404" s="5" t="n">
        <v>45941</v>
      </c>
      <c r="B404" t="inlineStr">
        <is>
          <t>J-0159</t>
        </is>
      </c>
      <c r="C404" t="n">
        <v>3</v>
      </c>
      <c r="D404" t="inlineStr">
        <is>
          <t>2100</t>
        </is>
      </c>
      <c r="E404" t="inlineStr">
        <is>
          <t>GST Payable</t>
        </is>
      </c>
      <c r="F404" s="6" t="n">
        <v>0</v>
      </c>
      <c r="G404" s="6" t="n">
        <v>98336.62</v>
      </c>
      <c r="H404" t="inlineStr">
        <is>
          <t>Sales invoice INV-202510-7</t>
        </is>
      </c>
      <c r="I404" t="inlineStr">
        <is>
          <t>GST</t>
        </is>
      </c>
      <c r="J404">
        <f>YEAR(A404)*12+MONTH(A404)</f>
        <v/>
      </c>
    </row>
    <row r="405">
      <c r="A405" s="5" t="n">
        <v>45957</v>
      </c>
      <c r="B405" t="inlineStr">
        <is>
          <t>J-0160</t>
        </is>
      </c>
      <c r="C405" t="n">
        <v>1</v>
      </c>
      <c r="D405" t="inlineStr">
        <is>
          <t>5000</t>
        </is>
      </c>
      <c r="E405" t="inlineStr">
        <is>
          <t>Cost of Goods Sold</t>
        </is>
      </c>
      <c r="F405" s="6" t="n">
        <v>2341695.43</v>
      </c>
      <c r="G405" s="6" t="n">
        <v>0</v>
      </c>
      <c r="H405" t="inlineStr">
        <is>
          <t>Cost of goods sold - monthly</t>
        </is>
      </c>
      <c r="I405" t="inlineStr"/>
      <c r="J405">
        <f>YEAR(A405)*12+MONTH(A405)</f>
        <v/>
      </c>
    </row>
    <row r="406">
      <c r="A406" s="5" t="n">
        <v>45957</v>
      </c>
      <c r="B406" t="inlineStr">
        <is>
          <t>J-0160</t>
        </is>
      </c>
      <c r="C406" t="n">
        <v>2</v>
      </c>
      <c r="D406" t="inlineStr">
        <is>
          <t>1200</t>
        </is>
      </c>
      <c r="E406" t="inlineStr">
        <is>
          <t>Inventory</t>
        </is>
      </c>
      <c r="F406" s="6" t="n">
        <v>0</v>
      </c>
      <c r="G406" s="6" t="n">
        <v>2341695.43</v>
      </c>
      <c r="H406" t="inlineStr">
        <is>
          <t>Cost of goods sold - monthly</t>
        </is>
      </c>
      <c r="I406" t="inlineStr"/>
      <c r="J406">
        <f>YEAR(A406)*12+MONTH(A406)</f>
        <v/>
      </c>
    </row>
    <row r="407">
      <c r="A407" s="5" t="n">
        <v>45958</v>
      </c>
      <c r="B407" t="inlineStr">
        <is>
          <t>J-0161</t>
        </is>
      </c>
      <c r="C407" t="n">
        <v>1</v>
      </c>
      <c r="D407" t="inlineStr">
        <is>
          <t>1000</t>
        </is>
      </c>
      <c r="E407" t="inlineStr">
        <is>
          <t>Cash &amp; Bank</t>
        </is>
      </c>
      <c r="F407" s="6" t="n">
        <v>3121812.93</v>
      </c>
      <c r="G407" s="6" t="n">
        <v>0</v>
      </c>
      <c r="H407" t="inlineStr">
        <is>
          <t>Customer receipts</t>
        </is>
      </c>
      <c r="I407" t="inlineStr"/>
      <c r="J407">
        <f>YEAR(A407)*12+MONTH(A407)</f>
        <v/>
      </c>
    </row>
    <row r="408">
      <c r="A408" s="5" t="n">
        <v>45958</v>
      </c>
      <c r="B408" t="inlineStr">
        <is>
          <t>J-0161</t>
        </is>
      </c>
      <c r="C408" t="n">
        <v>2</v>
      </c>
      <c r="D408" t="inlineStr">
        <is>
          <t>1100</t>
        </is>
      </c>
      <c r="E408" t="inlineStr">
        <is>
          <t>Accounts Receivable</t>
        </is>
      </c>
      <c r="F408" s="6" t="n">
        <v>0</v>
      </c>
      <c r="G408" s="6" t="n">
        <v>3121812.93</v>
      </c>
      <c r="H408" t="inlineStr">
        <is>
          <t>Customer receipts</t>
        </is>
      </c>
      <c r="I408" t="inlineStr"/>
      <c r="J408">
        <f>YEAR(A408)*12+MONTH(A408)</f>
        <v/>
      </c>
    </row>
    <row r="409">
      <c r="A409" s="5" t="n">
        <v>45950</v>
      </c>
      <c r="B409" t="inlineStr">
        <is>
          <t>J-0162</t>
        </is>
      </c>
      <c r="C409" t="n">
        <v>1</v>
      </c>
      <c r="D409" t="inlineStr">
        <is>
          <t>1200</t>
        </is>
      </c>
      <c r="E409" t="inlineStr">
        <is>
          <t>Inventory</t>
        </is>
      </c>
      <c r="F409" s="6" t="n">
        <v>440255.88</v>
      </c>
      <c r="G409" s="6" t="n">
        <v>0</v>
      </c>
      <c r="H409" t="inlineStr">
        <is>
          <t>Purchase bill PB-202510-1</t>
        </is>
      </c>
      <c r="I409" t="inlineStr">
        <is>
          <t>Hindustan Foods Ltd</t>
        </is>
      </c>
      <c r="J409">
        <f>YEAR(A409)*12+MONTH(A409)</f>
        <v/>
      </c>
    </row>
    <row r="410">
      <c r="A410" s="5" t="n">
        <v>45950</v>
      </c>
      <c r="B410" t="inlineStr">
        <is>
          <t>J-0162</t>
        </is>
      </c>
      <c r="C410" t="n">
        <v>2</v>
      </c>
      <c r="D410" t="inlineStr">
        <is>
          <t>1300</t>
        </is>
      </c>
      <c r="E410" t="inlineStr">
        <is>
          <t>GST Input Credit</t>
        </is>
      </c>
      <c r="F410" s="6" t="n">
        <v>79246.06</v>
      </c>
      <c r="G410" s="6" t="n">
        <v>0</v>
      </c>
      <c r="H410" t="inlineStr">
        <is>
          <t>Purchase bill PB-202510-1</t>
        </is>
      </c>
      <c r="I410" t="inlineStr">
        <is>
          <t>Hindustan Foods Ltd</t>
        </is>
      </c>
      <c r="J410">
        <f>YEAR(A410)*12+MONTH(A410)</f>
        <v/>
      </c>
    </row>
    <row r="411">
      <c r="A411" s="5" t="n">
        <v>45950</v>
      </c>
      <c r="B411" t="inlineStr">
        <is>
          <t>J-0162</t>
        </is>
      </c>
      <c r="C411" t="n">
        <v>3</v>
      </c>
      <c r="D411" t="inlineStr">
        <is>
          <t>2000</t>
        </is>
      </c>
      <c r="E411" t="inlineStr">
        <is>
          <t>Accounts Payable</t>
        </is>
      </c>
      <c r="F411" s="6" t="n">
        <v>0</v>
      </c>
      <c r="G411" s="6" t="n">
        <v>519501.94</v>
      </c>
      <c r="H411" t="inlineStr">
        <is>
          <t>Purchase bill PB-202510-1</t>
        </is>
      </c>
      <c r="I411" t="inlineStr">
        <is>
          <t>Hindustan Foods Ltd</t>
        </is>
      </c>
      <c r="J411">
        <f>YEAR(A411)*12+MONTH(A411)</f>
        <v/>
      </c>
    </row>
    <row r="412">
      <c r="A412" s="5" t="n">
        <v>45952</v>
      </c>
      <c r="B412" t="inlineStr">
        <is>
          <t>J-0163</t>
        </is>
      </c>
      <c r="C412" t="n">
        <v>1</v>
      </c>
      <c r="D412" t="inlineStr">
        <is>
          <t>1200</t>
        </is>
      </c>
      <c r="E412" t="inlineStr">
        <is>
          <t>Inventory</t>
        </is>
      </c>
      <c r="F412" s="6" t="n">
        <v>419060.67</v>
      </c>
      <c r="G412" s="6" t="n">
        <v>0</v>
      </c>
      <c r="H412" t="inlineStr">
        <is>
          <t>Purchase bill PB-202510-2</t>
        </is>
      </c>
      <c r="I412" t="inlineStr">
        <is>
          <t>National FMCG Distributors</t>
        </is>
      </c>
      <c r="J412">
        <f>YEAR(A412)*12+MONTH(A412)</f>
        <v/>
      </c>
    </row>
    <row r="413">
      <c r="A413" s="5" t="n">
        <v>45952</v>
      </c>
      <c r="B413" t="inlineStr">
        <is>
          <t>J-0163</t>
        </is>
      </c>
      <c r="C413" t="n">
        <v>2</v>
      </c>
      <c r="D413" t="inlineStr">
        <is>
          <t>1300</t>
        </is>
      </c>
      <c r="E413" t="inlineStr">
        <is>
          <t>GST Input Credit</t>
        </is>
      </c>
      <c r="F413" s="6" t="n">
        <v>75430.92</v>
      </c>
      <c r="G413" s="6" t="n">
        <v>0</v>
      </c>
      <c r="H413" t="inlineStr">
        <is>
          <t>Purchase bill PB-202510-2</t>
        </is>
      </c>
      <c r="I413" t="inlineStr">
        <is>
          <t>National FMCG Distributors</t>
        </is>
      </c>
      <c r="J413">
        <f>YEAR(A413)*12+MONTH(A413)</f>
        <v/>
      </c>
    </row>
    <row r="414">
      <c r="A414" s="5" t="n">
        <v>45952</v>
      </c>
      <c r="B414" t="inlineStr">
        <is>
          <t>J-0163</t>
        </is>
      </c>
      <c r="C414" t="n">
        <v>3</v>
      </c>
      <c r="D414" t="inlineStr">
        <is>
          <t>2000</t>
        </is>
      </c>
      <c r="E414" t="inlineStr">
        <is>
          <t>Accounts Payable</t>
        </is>
      </c>
      <c r="F414" s="6" t="n">
        <v>0</v>
      </c>
      <c r="G414" s="6" t="n">
        <v>494491.59</v>
      </c>
      <c r="H414" t="inlineStr">
        <is>
          <t>Purchase bill PB-202510-2</t>
        </is>
      </c>
      <c r="I414" t="inlineStr">
        <is>
          <t>National FMCG Distributors</t>
        </is>
      </c>
      <c r="J414">
        <f>YEAR(A414)*12+MONTH(A414)</f>
        <v/>
      </c>
    </row>
    <row r="415">
      <c r="A415" s="5" t="n">
        <v>45939</v>
      </c>
      <c r="B415" t="inlineStr">
        <is>
          <t>J-0164</t>
        </is>
      </c>
      <c r="C415" t="n">
        <v>1</v>
      </c>
      <c r="D415" t="inlineStr">
        <is>
          <t>1200</t>
        </is>
      </c>
      <c r="E415" t="inlineStr">
        <is>
          <t>Inventory</t>
        </is>
      </c>
      <c r="F415" s="6" t="n">
        <v>429789.07</v>
      </c>
      <c r="G415" s="6" t="n">
        <v>0</v>
      </c>
      <c r="H415" t="inlineStr">
        <is>
          <t>Purchase bill PB-202510-3</t>
        </is>
      </c>
      <c r="I415" t="inlineStr">
        <is>
          <t>National FMCG Distributors</t>
        </is>
      </c>
      <c r="J415">
        <f>YEAR(A415)*12+MONTH(A415)</f>
        <v/>
      </c>
    </row>
    <row r="416">
      <c r="A416" s="5" t="n">
        <v>45939</v>
      </c>
      <c r="B416" t="inlineStr">
        <is>
          <t>J-0164</t>
        </is>
      </c>
      <c r="C416" t="n">
        <v>2</v>
      </c>
      <c r="D416" t="inlineStr">
        <is>
          <t>1300</t>
        </is>
      </c>
      <c r="E416" t="inlineStr">
        <is>
          <t>GST Input Credit</t>
        </is>
      </c>
      <c r="F416" s="6" t="n">
        <v>77362.03</v>
      </c>
      <c r="G416" s="6" t="n">
        <v>0</v>
      </c>
      <c r="H416" t="inlineStr">
        <is>
          <t>Purchase bill PB-202510-3</t>
        </is>
      </c>
      <c r="I416" t="inlineStr">
        <is>
          <t>National FMCG Distributors</t>
        </is>
      </c>
      <c r="J416">
        <f>YEAR(A416)*12+MONTH(A416)</f>
        <v/>
      </c>
    </row>
    <row r="417">
      <c r="A417" s="5" t="n">
        <v>45939</v>
      </c>
      <c r="B417" t="inlineStr">
        <is>
          <t>J-0164</t>
        </is>
      </c>
      <c r="C417" t="n">
        <v>3</v>
      </c>
      <c r="D417" t="inlineStr">
        <is>
          <t>2000</t>
        </is>
      </c>
      <c r="E417" t="inlineStr">
        <is>
          <t>Accounts Payable</t>
        </is>
      </c>
      <c r="F417" s="6" t="n">
        <v>0</v>
      </c>
      <c r="G417" s="6" t="n">
        <v>507151.1</v>
      </c>
      <c r="H417" t="inlineStr">
        <is>
          <t>Purchase bill PB-202510-3</t>
        </is>
      </c>
      <c r="I417" t="inlineStr">
        <is>
          <t>National FMCG Distributors</t>
        </is>
      </c>
      <c r="J417">
        <f>YEAR(A417)*12+MONTH(A417)</f>
        <v/>
      </c>
    </row>
    <row r="418">
      <c r="A418" s="5" t="n">
        <v>45949</v>
      </c>
      <c r="B418" t="inlineStr">
        <is>
          <t>J-0165</t>
        </is>
      </c>
      <c r="C418" t="n">
        <v>1</v>
      </c>
      <c r="D418" t="inlineStr">
        <is>
          <t>1200</t>
        </is>
      </c>
      <c r="E418" t="inlineStr">
        <is>
          <t>Inventory</t>
        </is>
      </c>
      <c r="F418" s="6" t="n">
        <v>522501.31</v>
      </c>
      <c r="G418" s="6" t="n">
        <v>0</v>
      </c>
      <c r="H418" t="inlineStr">
        <is>
          <t>Purchase bill PB-202510-4</t>
        </is>
      </c>
      <c r="I418" t="inlineStr">
        <is>
          <t>National FMCG Distributors</t>
        </is>
      </c>
      <c r="J418">
        <f>YEAR(A418)*12+MONTH(A418)</f>
        <v/>
      </c>
    </row>
    <row r="419">
      <c r="A419" s="5" t="n">
        <v>45949</v>
      </c>
      <c r="B419" t="inlineStr">
        <is>
          <t>J-0165</t>
        </is>
      </c>
      <c r="C419" t="n">
        <v>2</v>
      </c>
      <c r="D419" t="inlineStr">
        <is>
          <t>1300</t>
        </is>
      </c>
      <c r="E419" t="inlineStr">
        <is>
          <t>GST Input Credit</t>
        </is>
      </c>
      <c r="F419" s="6" t="n">
        <v>94050.24000000001</v>
      </c>
      <c r="G419" s="6" t="n">
        <v>0</v>
      </c>
      <c r="H419" t="inlineStr">
        <is>
          <t>Purchase bill PB-202510-4</t>
        </is>
      </c>
      <c r="I419" t="inlineStr">
        <is>
          <t>National FMCG Distributors</t>
        </is>
      </c>
      <c r="J419">
        <f>YEAR(A419)*12+MONTH(A419)</f>
        <v/>
      </c>
    </row>
    <row r="420">
      <c r="A420" s="5" t="n">
        <v>45949</v>
      </c>
      <c r="B420" t="inlineStr">
        <is>
          <t>J-0165</t>
        </is>
      </c>
      <c r="C420" t="n">
        <v>3</v>
      </c>
      <c r="D420" t="inlineStr">
        <is>
          <t>2000</t>
        </is>
      </c>
      <c r="E420" t="inlineStr">
        <is>
          <t>Accounts Payable</t>
        </is>
      </c>
      <c r="F420" s="6" t="n">
        <v>0</v>
      </c>
      <c r="G420" s="6" t="n">
        <v>616551.55</v>
      </c>
      <c r="H420" t="inlineStr">
        <is>
          <t>Purchase bill PB-202510-4</t>
        </is>
      </c>
      <c r="I420" t="inlineStr">
        <is>
          <t>National FMCG Distributors</t>
        </is>
      </c>
      <c r="J420">
        <f>YEAR(A420)*12+MONTH(A420)</f>
        <v/>
      </c>
    </row>
    <row r="421">
      <c r="A421" s="5" t="n">
        <v>45935</v>
      </c>
      <c r="B421" t="inlineStr">
        <is>
          <t>J-0166</t>
        </is>
      </c>
      <c r="C421" t="n">
        <v>1</v>
      </c>
      <c r="D421" t="inlineStr">
        <is>
          <t>1200</t>
        </is>
      </c>
      <c r="E421" t="inlineStr">
        <is>
          <t>Inventory</t>
        </is>
      </c>
      <c r="F421" s="6" t="n">
        <v>483818.62</v>
      </c>
      <c r="G421" s="6" t="n">
        <v>0</v>
      </c>
      <c r="H421" t="inlineStr">
        <is>
          <t>Purchase bill PB-202510-5</t>
        </is>
      </c>
      <c r="I421" t="inlineStr">
        <is>
          <t>Hindustan Foods Ltd</t>
        </is>
      </c>
      <c r="J421">
        <f>YEAR(A421)*12+MONTH(A421)</f>
        <v/>
      </c>
    </row>
    <row r="422">
      <c r="A422" s="5" t="n">
        <v>45935</v>
      </c>
      <c r="B422" t="inlineStr">
        <is>
          <t>J-0166</t>
        </is>
      </c>
      <c r="C422" t="n">
        <v>2</v>
      </c>
      <c r="D422" t="inlineStr">
        <is>
          <t>1300</t>
        </is>
      </c>
      <c r="E422" t="inlineStr">
        <is>
          <t>GST Input Credit</t>
        </is>
      </c>
      <c r="F422" s="6" t="n">
        <v>87087.35000000001</v>
      </c>
      <c r="G422" s="6" t="n">
        <v>0</v>
      </c>
      <c r="H422" t="inlineStr">
        <is>
          <t>Purchase bill PB-202510-5</t>
        </is>
      </c>
      <c r="I422" t="inlineStr">
        <is>
          <t>Hindustan Foods Ltd</t>
        </is>
      </c>
      <c r="J422">
        <f>YEAR(A422)*12+MONTH(A422)</f>
        <v/>
      </c>
    </row>
    <row r="423">
      <c r="A423" s="5" t="n">
        <v>45935</v>
      </c>
      <c r="B423" t="inlineStr">
        <is>
          <t>J-0166</t>
        </is>
      </c>
      <c r="C423" t="n">
        <v>3</v>
      </c>
      <c r="D423" t="inlineStr">
        <is>
          <t>2000</t>
        </is>
      </c>
      <c r="E423" t="inlineStr">
        <is>
          <t>Accounts Payable</t>
        </is>
      </c>
      <c r="F423" s="6" t="n">
        <v>0</v>
      </c>
      <c r="G423" s="6" t="n">
        <v>570905.97</v>
      </c>
      <c r="H423" t="inlineStr">
        <is>
          <t>Purchase bill PB-202510-5</t>
        </is>
      </c>
      <c r="I423" t="inlineStr">
        <is>
          <t>Hindustan Foods Ltd</t>
        </is>
      </c>
      <c r="J423">
        <f>YEAR(A423)*12+MONTH(A423)</f>
        <v/>
      </c>
    </row>
    <row r="424">
      <c r="A424" s="5" t="n">
        <v>45959</v>
      </c>
      <c r="B424" t="inlineStr">
        <is>
          <t>J-0167</t>
        </is>
      </c>
      <c r="C424" t="n">
        <v>1</v>
      </c>
      <c r="D424" t="inlineStr">
        <is>
          <t>2000</t>
        </is>
      </c>
      <c r="E424" t="inlineStr">
        <is>
          <t>Accounts Payable</t>
        </is>
      </c>
      <c r="F424" s="6" t="n">
        <v>2619424.75</v>
      </c>
      <c r="G424" s="6" t="n">
        <v>0</v>
      </c>
      <c r="H424" t="inlineStr">
        <is>
          <t>Vendor payments</t>
        </is>
      </c>
      <c r="I424" t="inlineStr"/>
      <c r="J424">
        <f>YEAR(A424)*12+MONTH(A424)</f>
        <v/>
      </c>
    </row>
    <row r="425">
      <c r="A425" s="5" t="n">
        <v>45959</v>
      </c>
      <c r="B425" t="inlineStr">
        <is>
          <t>J-0167</t>
        </is>
      </c>
      <c r="C425" t="n">
        <v>2</v>
      </c>
      <c r="D425" t="inlineStr">
        <is>
          <t>1000</t>
        </is>
      </c>
      <c r="E425" t="inlineStr">
        <is>
          <t>Cash &amp; Bank</t>
        </is>
      </c>
      <c r="F425" s="6" t="n">
        <v>0</v>
      </c>
      <c r="G425" s="6" t="n">
        <v>2619424.75</v>
      </c>
      <c r="H425" t="inlineStr">
        <is>
          <t>Vendor payments</t>
        </is>
      </c>
      <c r="I425" t="inlineStr"/>
      <c r="J425">
        <f>YEAR(A425)*12+MONTH(A425)</f>
        <v/>
      </c>
    </row>
    <row r="426">
      <c r="A426" s="5" t="n">
        <v>45960</v>
      </c>
      <c r="B426" t="inlineStr">
        <is>
          <t>J-0168</t>
        </is>
      </c>
      <c r="C426" t="n">
        <v>1</v>
      </c>
      <c r="D426" t="inlineStr">
        <is>
          <t>2100</t>
        </is>
      </c>
      <c r="E426" t="inlineStr">
        <is>
          <t>GST Payable</t>
        </is>
      </c>
      <c r="F426" s="6" t="n">
        <v>150208.42</v>
      </c>
      <c r="G426" s="6" t="n">
        <v>0</v>
      </c>
      <c r="H426" t="inlineStr">
        <is>
          <t>GST paid for month</t>
        </is>
      </c>
      <c r="I426" t="inlineStr">
        <is>
          <t>GST</t>
        </is>
      </c>
      <c r="J426">
        <f>YEAR(A426)*12+MONTH(A426)</f>
        <v/>
      </c>
    </row>
    <row r="427">
      <c r="A427" s="5" t="n">
        <v>45960</v>
      </c>
      <c r="B427" t="inlineStr">
        <is>
          <t>J-0168</t>
        </is>
      </c>
      <c r="C427" t="n">
        <v>2</v>
      </c>
      <c r="D427" t="inlineStr">
        <is>
          <t>1000</t>
        </is>
      </c>
      <c r="E427" t="inlineStr">
        <is>
          <t>Cash &amp; Bank</t>
        </is>
      </c>
      <c r="F427" s="6" t="n">
        <v>0</v>
      </c>
      <c r="G427" s="6" t="n">
        <v>150208.42</v>
      </c>
      <c r="H427" t="inlineStr">
        <is>
          <t>GST paid for month</t>
        </is>
      </c>
      <c r="I427" t="inlineStr">
        <is>
          <t>GST</t>
        </is>
      </c>
      <c r="J427">
        <f>YEAR(A427)*12+MONTH(A427)</f>
        <v/>
      </c>
    </row>
    <row r="428">
      <c r="A428" s="5" t="n">
        <v>45935</v>
      </c>
      <c r="B428" t="inlineStr">
        <is>
          <t>J-0169</t>
        </is>
      </c>
      <c r="C428" t="n">
        <v>1</v>
      </c>
      <c r="D428" t="inlineStr">
        <is>
          <t>5100</t>
        </is>
      </c>
      <c r="E428" t="inlineStr">
        <is>
          <t>Rent Expense</t>
        </is>
      </c>
      <c r="F428" s="6" t="n">
        <v>25000</v>
      </c>
      <c r="G428" s="6" t="n">
        <v>0</v>
      </c>
      <c r="H428" t="inlineStr">
        <is>
          <t>Office rent</t>
        </is>
      </c>
      <c r="I428" t="inlineStr"/>
      <c r="J428">
        <f>YEAR(A428)*12+MONTH(A428)</f>
        <v/>
      </c>
    </row>
    <row r="429">
      <c r="A429" s="5" t="n">
        <v>45935</v>
      </c>
      <c r="B429" t="inlineStr">
        <is>
          <t>J-0169</t>
        </is>
      </c>
      <c r="C429" t="n">
        <v>2</v>
      </c>
      <c r="D429" t="inlineStr">
        <is>
          <t>1000</t>
        </is>
      </c>
      <c r="E429" t="inlineStr">
        <is>
          <t>Cash &amp; Bank</t>
        </is>
      </c>
      <c r="F429" s="6" t="n">
        <v>0</v>
      </c>
      <c r="G429" s="6" t="n">
        <v>25000</v>
      </c>
      <c r="H429" t="inlineStr">
        <is>
          <t>Office rent</t>
        </is>
      </c>
      <c r="I429" t="inlineStr"/>
      <c r="J429">
        <f>YEAR(A429)*12+MONTH(A429)</f>
        <v/>
      </c>
    </row>
    <row r="430">
      <c r="A430" s="5" t="n">
        <v>45937</v>
      </c>
      <c r="B430" t="inlineStr">
        <is>
          <t>J-0170</t>
        </is>
      </c>
      <c r="C430" t="n">
        <v>1</v>
      </c>
      <c r="D430" t="inlineStr">
        <is>
          <t>5200</t>
        </is>
      </c>
      <c r="E430" t="inlineStr">
        <is>
          <t>Salaries Expense</t>
        </is>
      </c>
      <c r="F430" s="6" t="n">
        <v>111449.13</v>
      </c>
      <c r="G430" s="6" t="n">
        <v>0</v>
      </c>
      <c r="H430" t="inlineStr">
        <is>
          <t>Staff salaries</t>
        </is>
      </c>
      <c r="I430" t="inlineStr"/>
      <c r="J430">
        <f>YEAR(A430)*12+MONTH(A430)</f>
        <v/>
      </c>
    </row>
    <row r="431">
      <c r="A431" s="5" t="n">
        <v>45937</v>
      </c>
      <c r="B431" t="inlineStr">
        <is>
          <t>J-0170</t>
        </is>
      </c>
      <c r="C431" t="n">
        <v>2</v>
      </c>
      <c r="D431" t="inlineStr">
        <is>
          <t>1000</t>
        </is>
      </c>
      <c r="E431" t="inlineStr">
        <is>
          <t>Cash &amp; Bank</t>
        </is>
      </c>
      <c r="F431" s="6" t="n">
        <v>0</v>
      </c>
      <c r="G431" s="6" t="n">
        <v>111449.13</v>
      </c>
      <c r="H431" t="inlineStr">
        <is>
          <t>Staff salaries</t>
        </is>
      </c>
      <c r="I431" t="inlineStr"/>
      <c r="J431">
        <f>YEAR(A431)*12+MONTH(A431)</f>
        <v/>
      </c>
    </row>
    <row r="432">
      <c r="A432" s="5" t="n">
        <v>45942</v>
      </c>
      <c r="B432" t="inlineStr">
        <is>
          <t>J-0171</t>
        </is>
      </c>
      <c r="C432" t="n">
        <v>1</v>
      </c>
      <c r="D432" t="inlineStr">
        <is>
          <t>5300</t>
        </is>
      </c>
      <c r="E432" t="inlineStr">
        <is>
          <t>Utilities Expense</t>
        </is>
      </c>
      <c r="F432" s="6" t="n">
        <v>7110.22</v>
      </c>
      <c r="G432" s="6" t="n">
        <v>0</v>
      </c>
      <c r="H432" t="inlineStr">
        <is>
          <t>Utilities (power/water/phone)</t>
        </is>
      </c>
      <c r="I432" t="inlineStr"/>
      <c r="J432">
        <f>YEAR(A432)*12+MONTH(A432)</f>
        <v/>
      </c>
    </row>
    <row r="433">
      <c r="A433" s="5" t="n">
        <v>45942</v>
      </c>
      <c r="B433" t="inlineStr">
        <is>
          <t>J-0171</t>
        </is>
      </c>
      <c r="C433" t="n">
        <v>2</v>
      </c>
      <c r="D433" t="inlineStr">
        <is>
          <t>1000</t>
        </is>
      </c>
      <c r="E433" t="inlineStr">
        <is>
          <t>Cash &amp; Bank</t>
        </is>
      </c>
      <c r="F433" s="6" t="n">
        <v>0</v>
      </c>
      <c r="G433" s="6" t="n">
        <v>7110.22</v>
      </c>
      <c r="H433" t="inlineStr">
        <is>
          <t>Utilities (power/water/phone)</t>
        </is>
      </c>
      <c r="I433" t="inlineStr"/>
      <c r="J433">
        <f>YEAR(A433)*12+MONTH(A433)</f>
        <v/>
      </c>
    </row>
    <row r="434">
      <c r="A434" s="5" t="n">
        <v>45948</v>
      </c>
      <c r="B434" t="inlineStr">
        <is>
          <t>J-0172</t>
        </is>
      </c>
      <c r="C434" t="n">
        <v>1</v>
      </c>
      <c r="D434" t="inlineStr">
        <is>
          <t>5400</t>
        </is>
      </c>
      <c r="E434" t="inlineStr">
        <is>
          <t>Transport &amp; Logistics</t>
        </is>
      </c>
      <c r="F434" s="6" t="n">
        <v>17334.9</v>
      </c>
      <c r="G434" s="6" t="n">
        <v>0</v>
      </c>
      <c r="H434" t="inlineStr">
        <is>
          <t>Transport &amp; logistics</t>
        </is>
      </c>
      <c r="I434" t="inlineStr"/>
      <c r="J434">
        <f>YEAR(A434)*12+MONTH(A434)</f>
        <v/>
      </c>
    </row>
    <row r="435">
      <c r="A435" s="5" t="n">
        <v>45948</v>
      </c>
      <c r="B435" t="inlineStr">
        <is>
          <t>J-0172</t>
        </is>
      </c>
      <c r="C435" t="n">
        <v>2</v>
      </c>
      <c r="D435" t="inlineStr">
        <is>
          <t>1000</t>
        </is>
      </c>
      <c r="E435" t="inlineStr">
        <is>
          <t>Cash &amp; Bank</t>
        </is>
      </c>
      <c r="F435" s="6" t="n">
        <v>0</v>
      </c>
      <c r="G435" s="6" t="n">
        <v>17334.9</v>
      </c>
      <c r="H435" t="inlineStr">
        <is>
          <t>Transport &amp; logistics</t>
        </is>
      </c>
      <c r="I435" t="inlineStr"/>
      <c r="J435">
        <f>YEAR(A435)*12+MONTH(A435)</f>
        <v/>
      </c>
    </row>
    <row r="436">
      <c r="A436" s="5" t="n">
        <v>45950</v>
      </c>
      <c r="B436" t="inlineStr">
        <is>
          <t>J-0173</t>
        </is>
      </c>
      <c r="C436" t="n">
        <v>1</v>
      </c>
      <c r="D436" t="inlineStr">
        <is>
          <t>5500</t>
        </is>
      </c>
      <c r="E436" t="inlineStr">
        <is>
          <t>Marketing Expense</t>
        </is>
      </c>
      <c r="F436" s="6" t="n">
        <v>13046.56</v>
      </c>
      <c r="G436" s="6" t="n">
        <v>0</v>
      </c>
      <c r="H436" t="inlineStr">
        <is>
          <t>Marketing &amp; promotions</t>
        </is>
      </c>
      <c r="I436" t="inlineStr"/>
      <c r="J436">
        <f>YEAR(A436)*12+MONTH(A436)</f>
        <v/>
      </c>
    </row>
    <row r="437">
      <c r="A437" s="5" t="n">
        <v>45950</v>
      </c>
      <c r="B437" t="inlineStr">
        <is>
          <t>J-0173</t>
        </is>
      </c>
      <c r="C437" t="n">
        <v>2</v>
      </c>
      <c r="D437" t="inlineStr">
        <is>
          <t>1000</t>
        </is>
      </c>
      <c r="E437" t="inlineStr">
        <is>
          <t>Cash &amp; Bank</t>
        </is>
      </c>
      <c r="F437" s="6" t="n">
        <v>0</v>
      </c>
      <c r="G437" s="6" t="n">
        <v>13046.56</v>
      </c>
      <c r="H437" t="inlineStr">
        <is>
          <t>Marketing &amp; promotions</t>
        </is>
      </c>
      <c r="I437" t="inlineStr"/>
      <c r="J437">
        <f>YEAR(A437)*12+MONTH(A437)</f>
        <v/>
      </c>
    </row>
    <row r="438">
      <c r="A438" s="5" t="n">
        <v>45940</v>
      </c>
      <c r="B438" t="inlineStr">
        <is>
          <t>J-0174</t>
        </is>
      </c>
      <c r="C438" t="n">
        <v>1</v>
      </c>
      <c r="D438" t="inlineStr">
        <is>
          <t>5600</t>
        </is>
      </c>
      <c r="E438" t="inlineStr">
        <is>
          <t>Interest Expense</t>
        </is>
      </c>
      <c r="F438" s="6" t="n">
        <v>9000</v>
      </c>
      <c r="G438" s="6" t="n">
        <v>0</v>
      </c>
      <c r="H438" t="inlineStr">
        <is>
          <t>Term loan interest</t>
        </is>
      </c>
      <c r="I438" t="inlineStr">
        <is>
          <t>HDFC</t>
        </is>
      </c>
      <c r="J438">
        <f>YEAR(A438)*12+MONTH(A438)</f>
        <v/>
      </c>
    </row>
    <row r="439">
      <c r="A439" s="5" t="n">
        <v>45940</v>
      </c>
      <c r="B439" t="inlineStr">
        <is>
          <t>J-0174</t>
        </is>
      </c>
      <c r="C439" t="n">
        <v>2</v>
      </c>
      <c r="D439" t="inlineStr">
        <is>
          <t>1000</t>
        </is>
      </c>
      <c r="E439" t="inlineStr">
        <is>
          <t>Cash &amp; Bank</t>
        </is>
      </c>
      <c r="F439" s="6" t="n">
        <v>0</v>
      </c>
      <c r="G439" s="6" t="n">
        <v>9000</v>
      </c>
      <c r="H439" t="inlineStr">
        <is>
          <t>Term loan interest</t>
        </is>
      </c>
      <c r="I439" t="inlineStr">
        <is>
          <t>HDFC</t>
        </is>
      </c>
      <c r="J439">
        <f>YEAR(A439)*12+MONTH(A439)</f>
        <v/>
      </c>
    </row>
    <row r="440">
      <c r="A440" s="5" t="n">
        <v>45940</v>
      </c>
      <c r="B440" t="inlineStr">
        <is>
          <t>J-0175</t>
        </is>
      </c>
      <c r="C440" t="n">
        <v>1</v>
      </c>
      <c r="D440" t="inlineStr">
        <is>
          <t>2200</t>
        </is>
      </c>
      <c r="E440" t="inlineStr">
        <is>
          <t>Term Loan</t>
        </is>
      </c>
      <c r="F440" s="6" t="n">
        <v>55000</v>
      </c>
      <c r="G440" s="6" t="n">
        <v>0</v>
      </c>
      <c r="H440" t="inlineStr">
        <is>
          <t>Term loan principal repayment</t>
        </is>
      </c>
      <c r="I440" t="inlineStr">
        <is>
          <t>HDFC</t>
        </is>
      </c>
      <c r="J440">
        <f>YEAR(A440)*12+MONTH(A440)</f>
        <v/>
      </c>
    </row>
    <row r="441">
      <c r="A441" s="5" t="n">
        <v>45940</v>
      </c>
      <c r="B441" t="inlineStr">
        <is>
          <t>J-0175</t>
        </is>
      </c>
      <c r="C441" t="n">
        <v>2</v>
      </c>
      <c r="D441" t="inlineStr">
        <is>
          <t>1000</t>
        </is>
      </c>
      <c r="E441" t="inlineStr">
        <is>
          <t>Cash &amp; Bank</t>
        </is>
      </c>
      <c r="F441" s="6" t="n">
        <v>0</v>
      </c>
      <c r="G441" s="6" t="n">
        <v>55000</v>
      </c>
      <c r="H441" t="inlineStr">
        <is>
          <t>Term loan principal repayment</t>
        </is>
      </c>
      <c r="I441" t="inlineStr">
        <is>
          <t>HDFC</t>
        </is>
      </c>
      <c r="J441">
        <f>YEAR(A441)*12+MONTH(A441)</f>
        <v/>
      </c>
    </row>
    <row r="442">
      <c r="A442" s="5" t="n">
        <v>45960</v>
      </c>
      <c r="B442" t="inlineStr">
        <is>
          <t>J-0176</t>
        </is>
      </c>
      <c r="C442" t="n">
        <v>1</v>
      </c>
      <c r="D442" t="inlineStr">
        <is>
          <t>5700</t>
        </is>
      </c>
      <c r="E442" t="inlineStr">
        <is>
          <t>Depreciation Expense</t>
        </is>
      </c>
      <c r="F442" s="6" t="n">
        <v>6000</v>
      </c>
      <c r="G442" s="6" t="n">
        <v>0</v>
      </c>
      <c r="H442" t="inlineStr">
        <is>
          <t>Depreciation - equipment</t>
        </is>
      </c>
      <c r="I442" t="inlineStr"/>
      <c r="J442">
        <f>YEAR(A442)*12+MONTH(A442)</f>
        <v/>
      </c>
    </row>
    <row r="443">
      <c r="A443" s="5" t="n">
        <v>45960</v>
      </c>
      <c r="B443" t="inlineStr">
        <is>
          <t>J-0176</t>
        </is>
      </c>
      <c r="C443" t="n">
        <v>2</v>
      </c>
      <c r="D443" t="inlineStr">
        <is>
          <t>1510</t>
        </is>
      </c>
      <c r="E443" t="inlineStr">
        <is>
          <t>Accumulated Depreciation</t>
        </is>
      </c>
      <c r="F443" s="6" t="n">
        <v>0</v>
      </c>
      <c r="G443" s="6" t="n">
        <v>6000</v>
      </c>
      <c r="H443" t="inlineStr">
        <is>
          <t>Depreciation - equipment</t>
        </is>
      </c>
      <c r="I443" t="inlineStr"/>
      <c r="J443">
        <f>YEAR(A443)*12+MONTH(A443)</f>
        <v/>
      </c>
    </row>
    <row r="444">
      <c r="A444" s="5" t="n">
        <v>45980</v>
      </c>
      <c r="B444" t="inlineStr">
        <is>
          <t>J-0177</t>
        </is>
      </c>
      <c r="C444" t="n">
        <v>1</v>
      </c>
      <c r="D444" t="inlineStr">
        <is>
          <t>1100</t>
        </is>
      </c>
      <c r="E444" t="inlineStr">
        <is>
          <t>Accounts Receivable</t>
        </is>
      </c>
      <c r="F444" s="6" t="n">
        <v>576630</v>
      </c>
      <c r="G444" s="6" t="n">
        <v>0</v>
      </c>
      <c r="H444" t="inlineStr">
        <is>
          <t>Sales invoice INV-202511-1</t>
        </is>
      </c>
      <c r="I444" t="inlineStr">
        <is>
          <t>New City Mart</t>
        </is>
      </c>
      <c r="J444">
        <f>YEAR(A444)*12+MONTH(A444)</f>
        <v/>
      </c>
    </row>
    <row r="445">
      <c r="A445" s="5" t="n">
        <v>45980</v>
      </c>
      <c r="B445" t="inlineStr">
        <is>
          <t>J-0177</t>
        </is>
      </c>
      <c r="C445" t="n">
        <v>2</v>
      </c>
      <c r="D445" t="inlineStr">
        <is>
          <t>4000</t>
        </is>
      </c>
      <c r="E445" t="inlineStr">
        <is>
          <t>Sales Revenue</t>
        </is>
      </c>
      <c r="F445" s="6" t="n">
        <v>0</v>
      </c>
      <c r="G445" s="6" t="n">
        <v>488669.49</v>
      </c>
      <c r="H445" t="inlineStr">
        <is>
          <t>Sales invoice INV-202511-1</t>
        </is>
      </c>
      <c r="I445" t="inlineStr">
        <is>
          <t>New City Mart</t>
        </is>
      </c>
      <c r="J445">
        <f>YEAR(A445)*12+MONTH(A445)</f>
        <v/>
      </c>
    </row>
    <row r="446">
      <c r="A446" s="5" t="n">
        <v>45980</v>
      </c>
      <c r="B446" t="inlineStr">
        <is>
          <t>J-0177</t>
        </is>
      </c>
      <c r="C446" t="n">
        <v>3</v>
      </c>
      <c r="D446" t="inlineStr">
        <is>
          <t>2100</t>
        </is>
      </c>
      <c r="E446" t="inlineStr">
        <is>
          <t>GST Payable</t>
        </is>
      </c>
      <c r="F446" s="6" t="n">
        <v>0</v>
      </c>
      <c r="G446" s="6" t="n">
        <v>87960.50999999999</v>
      </c>
      <c r="H446" t="inlineStr">
        <is>
          <t>Sales invoice INV-202511-1</t>
        </is>
      </c>
      <c r="I446" t="inlineStr">
        <is>
          <t>GST</t>
        </is>
      </c>
      <c r="J446">
        <f>YEAR(A446)*12+MONTH(A446)</f>
        <v/>
      </c>
    </row>
    <row r="447">
      <c r="A447" s="5" t="n">
        <v>45985</v>
      </c>
      <c r="B447" t="inlineStr">
        <is>
          <t>J-0178</t>
        </is>
      </c>
      <c r="C447" t="n">
        <v>1</v>
      </c>
      <c r="D447" t="inlineStr">
        <is>
          <t>1100</t>
        </is>
      </c>
      <c r="E447" t="inlineStr">
        <is>
          <t>Accounts Receivable</t>
        </is>
      </c>
      <c r="F447" s="6" t="n">
        <v>403794.9</v>
      </c>
      <c r="G447" s="6" t="n">
        <v>0</v>
      </c>
      <c r="H447" t="inlineStr">
        <is>
          <t>Sales invoice INV-202511-2</t>
        </is>
      </c>
      <c r="I447" t="inlineStr">
        <is>
          <t>Verma Kirana Mart</t>
        </is>
      </c>
      <c r="J447">
        <f>YEAR(A447)*12+MONTH(A447)</f>
        <v/>
      </c>
    </row>
    <row r="448">
      <c r="A448" s="5" t="n">
        <v>45985</v>
      </c>
      <c r="B448" t="inlineStr">
        <is>
          <t>J-0178</t>
        </is>
      </c>
      <c r="C448" t="n">
        <v>2</v>
      </c>
      <c r="D448" t="inlineStr">
        <is>
          <t>4000</t>
        </is>
      </c>
      <c r="E448" t="inlineStr">
        <is>
          <t>Sales Revenue</t>
        </is>
      </c>
      <c r="F448" s="6" t="n">
        <v>0</v>
      </c>
      <c r="G448" s="6" t="n">
        <v>342199.07</v>
      </c>
      <c r="H448" t="inlineStr">
        <is>
          <t>Sales invoice INV-202511-2</t>
        </is>
      </c>
      <c r="I448" t="inlineStr">
        <is>
          <t>Verma Kirana Mart</t>
        </is>
      </c>
      <c r="J448">
        <f>YEAR(A448)*12+MONTH(A448)</f>
        <v/>
      </c>
    </row>
    <row r="449">
      <c r="A449" s="5" t="n">
        <v>45985</v>
      </c>
      <c r="B449" t="inlineStr">
        <is>
          <t>J-0178</t>
        </is>
      </c>
      <c r="C449" t="n">
        <v>3</v>
      </c>
      <c r="D449" t="inlineStr">
        <is>
          <t>2100</t>
        </is>
      </c>
      <c r="E449" t="inlineStr">
        <is>
          <t>GST Payable</t>
        </is>
      </c>
      <c r="F449" s="6" t="n">
        <v>0</v>
      </c>
      <c r="G449" s="6" t="n">
        <v>61595.83</v>
      </c>
      <c r="H449" t="inlineStr">
        <is>
          <t>Sales invoice INV-202511-2</t>
        </is>
      </c>
      <c r="I449" t="inlineStr">
        <is>
          <t>GST</t>
        </is>
      </c>
      <c r="J449">
        <f>YEAR(A449)*12+MONTH(A449)</f>
        <v/>
      </c>
    </row>
    <row r="450">
      <c r="A450" s="5" t="n">
        <v>45964</v>
      </c>
      <c r="B450" t="inlineStr">
        <is>
          <t>J-0179</t>
        </is>
      </c>
      <c r="C450" t="n">
        <v>1</v>
      </c>
      <c r="D450" t="inlineStr">
        <is>
          <t>1100</t>
        </is>
      </c>
      <c r="E450" t="inlineStr">
        <is>
          <t>Accounts Receivable</t>
        </is>
      </c>
      <c r="F450" s="6" t="n">
        <v>761433.8199999999</v>
      </c>
      <c r="G450" s="6" t="n">
        <v>0</v>
      </c>
      <c r="H450" t="inlineStr">
        <is>
          <t>Sales invoice INV-202511-3</t>
        </is>
      </c>
      <c r="I450" t="inlineStr">
        <is>
          <t>Maa Vaishno Stores</t>
        </is>
      </c>
      <c r="J450">
        <f>YEAR(A450)*12+MONTH(A450)</f>
        <v/>
      </c>
    </row>
    <row r="451">
      <c r="A451" s="5" t="n">
        <v>45964</v>
      </c>
      <c r="B451" t="inlineStr">
        <is>
          <t>J-0179</t>
        </is>
      </c>
      <c r="C451" t="n">
        <v>2</v>
      </c>
      <c r="D451" t="inlineStr">
        <is>
          <t>4000</t>
        </is>
      </c>
      <c r="E451" t="inlineStr">
        <is>
          <t>Sales Revenue</t>
        </is>
      </c>
      <c r="F451" s="6" t="n">
        <v>0</v>
      </c>
      <c r="G451" s="6" t="n">
        <v>645282.9</v>
      </c>
      <c r="H451" t="inlineStr">
        <is>
          <t>Sales invoice INV-202511-3</t>
        </is>
      </c>
      <c r="I451" t="inlineStr">
        <is>
          <t>Maa Vaishno Stores</t>
        </is>
      </c>
      <c r="J451">
        <f>YEAR(A451)*12+MONTH(A451)</f>
        <v/>
      </c>
    </row>
    <row r="452">
      <c r="A452" s="5" t="n">
        <v>45964</v>
      </c>
      <c r="B452" t="inlineStr">
        <is>
          <t>J-0179</t>
        </is>
      </c>
      <c r="C452" t="n">
        <v>3</v>
      </c>
      <c r="D452" t="inlineStr">
        <is>
          <t>2100</t>
        </is>
      </c>
      <c r="E452" t="inlineStr">
        <is>
          <t>GST Payable</t>
        </is>
      </c>
      <c r="F452" s="6" t="n">
        <v>0</v>
      </c>
      <c r="G452" s="6" t="n">
        <v>116150.92</v>
      </c>
      <c r="H452" t="inlineStr">
        <is>
          <t>Sales invoice INV-202511-3</t>
        </is>
      </c>
      <c r="I452" t="inlineStr">
        <is>
          <t>GST</t>
        </is>
      </c>
      <c r="J452">
        <f>YEAR(A452)*12+MONTH(A452)</f>
        <v/>
      </c>
    </row>
    <row r="453">
      <c r="A453" s="5" t="n">
        <v>45980</v>
      </c>
      <c r="B453" t="inlineStr">
        <is>
          <t>J-0180</t>
        </is>
      </c>
      <c r="C453" t="n">
        <v>1</v>
      </c>
      <c r="D453" t="inlineStr">
        <is>
          <t>1100</t>
        </is>
      </c>
      <c r="E453" t="inlineStr">
        <is>
          <t>Accounts Receivable</t>
        </is>
      </c>
      <c r="F453" s="6" t="n">
        <v>733705.41</v>
      </c>
      <c r="G453" s="6" t="n">
        <v>0</v>
      </c>
      <c r="H453" t="inlineStr">
        <is>
          <t>Sales invoice INV-202511-4</t>
        </is>
      </c>
      <c r="I453" t="inlineStr">
        <is>
          <t>Annapurna Retail</t>
        </is>
      </c>
      <c r="J453">
        <f>YEAR(A453)*12+MONTH(A453)</f>
        <v/>
      </c>
    </row>
    <row r="454">
      <c r="A454" s="5" t="n">
        <v>45980</v>
      </c>
      <c r="B454" t="inlineStr">
        <is>
          <t>J-0180</t>
        </is>
      </c>
      <c r="C454" t="n">
        <v>2</v>
      </c>
      <c r="D454" t="inlineStr">
        <is>
          <t>4000</t>
        </is>
      </c>
      <c r="E454" t="inlineStr">
        <is>
          <t>Sales Revenue</t>
        </is>
      </c>
      <c r="F454" s="6" t="n">
        <v>0</v>
      </c>
      <c r="G454" s="6" t="n">
        <v>621784.25</v>
      </c>
      <c r="H454" t="inlineStr">
        <is>
          <t>Sales invoice INV-202511-4</t>
        </is>
      </c>
      <c r="I454" t="inlineStr">
        <is>
          <t>Annapurna Retail</t>
        </is>
      </c>
      <c r="J454">
        <f>YEAR(A454)*12+MONTH(A454)</f>
        <v/>
      </c>
    </row>
    <row r="455">
      <c r="A455" s="5" t="n">
        <v>45980</v>
      </c>
      <c r="B455" t="inlineStr">
        <is>
          <t>J-0180</t>
        </is>
      </c>
      <c r="C455" t="n">
        <v>3</v>
      </c>
      <c r="D455" t="inlineStr">
        <is>
          <t>2100</t>
        </is>
      </c>
      <c r="E455" t="inlineStr">
        <is>
          <t>GST Payable</t>
        </is>
      </c>
      <c r="F455" s="6" t="n">
        <v>0</v>
      </c>
      <c r="G455" s="6" t="n">
        <v>111921.16</v>
      </c>
      <c r="H455" t="inlineStr">
        <is>
          <t>Sales invoice INV-202511-4</t>
        </is>
      </c>
      <c r="I455" t="inlineStr">
        <is>
          <t>GST</t>
        </is>
      </c>
      <c r="J455">
        <f>YEAR(A455)*12+MONTH(A455)</f>
        <v/>
      </c>
    </row>
    <row r="456">
      <c r="A456" s="5" t="n">
        <v>45964</v>
      </c>
      <c r="B456" t="inlineStr">
        <is>
          <t>J-0181</t>
        </is>
      </c>
      <c r="C456" t="n">
        <v>1</v>
      </c>
      <c r="D456" t="inlineStr">
        <is>
          <t>1100</t>
        </is>
      </c>
      <c r="E456" t="inlineStr">
        <is>
          <t>Accounts Receivable</t>
        </is>
      </c>
      <c r="F456" s="6" t="n">
        <v>459154.53</v>
      </c>
      <c r="G456" s="6" t="n">
        <v>0</v>
      </c>
      <c r="H456" t="inlineStr">
        <is>
          <t>Sales invoice INV-202511-5</t>
        </is>
      </c>
      <c r="I456" t="inlineStr">
        <is>
          <t>Gupta Super Bazaar</t>
        </is>
      </c>
      <c r="J456">
        <f>YEAR(A456)*12+MONTH(A456)</f>
        <v/>
      </c>
    </row>
    <row r="457">
      <c r="A457" s="5" t="n">
        <v>45964</v>
      </c>
      <c r="B457" t="inlineStr">
        <is>
          <t>J-0181</t>
        </is>
      </c>
      <c r="C457" t="n">
        <v>2</v>
      </c>
      <c r="D457" t="inlineStr">
        <is>
          <t>4000</t>
        </is>
      </c>
      <c r="E457" t="inlineStr">
        <is>
          <t>Sales Revenue</t>
        </is>
      </c>
      <c r="F457" s="6" t="n">
        <v>0</v>
      </c>
      <c r="G457" s="6" t="n">
        <v>389114.01</v>
      </c>
      <c r="H457" t="inlineStr">
        <is>
          <t>Sales invoice INV-202511-5</t>
        </is>
      </c>
      <c r="I457" t="inlineStr">
        <is>
          <t>Gupta Super Bazaar</t>
        </is>
      </c>
      <c r="J457">
        <f>YEAR(A457)*12+MONTH(A457)</f>
        <v/>
      </c>
    </row>
    <row r="458">
      <c r="A458" s="5" t="n">
        <v>45964</v>
      </c>
      <c r="B458" t="inlineStr">
        <is>
          <t>J-0181</t>
        </is>
      </c>
      <c r="C458" t="n">
        <v>3</v>
      </c>
      <c r="D458" t="inlineStr">
        <is>
          <t>2100</t>
        </is>
      </c>
      <c r="E458" t="inlineStr">
        <is>
          <t>GST Payable</t>
        </is>
      </c>
      <c r="F458" s="6" t="n">
        <v>0</v>
      </c>
      <c r="G458" s="6" t="n">
        <v>70040.52</v>
      </c>
      <c r="H458" t="inlineStr">
        <is>
          <t>Sales invoice INV-202511-5</t>
        </is>
      </c>
      <c r="I458" t="inlineStr">
        <is>
          <t>GST</t>
        </is>
      </c>
      <c r="J458">
        <f>YEAR(A458)*12+MONTH(A458)</f>
        <v/>
      </c>
    </row>
    <row r="459">
      <c r="A459" s="5" t="n">
        <v>45974</v>
      </c>
      <c r="B459" t="inlineStr">
        <is>
          <t>J-0182</t>
        </is>
      </c>
      <c r="C459" t="n">
        <v>1</v>
      </c>
      <c r="D459" t="inlineStr">
        <is>
          <t>1100</t>
        </is>
      </c>
      <c r="E459" t="inlineStr">
        <is>
          <t>Accounts Receivable</t>
        </is>
      </c>
      <c r="F459" s="6" t="n">
        <v>523208.79</v>
      </c>
      <c r="G459" s="6" t="n">
        <v>0</v>
      </c>
      <c r="H459" t="inlineStr">
        <is>
          <t>Sales invoice INV-202511-6</t>
        </is>
      </c>
      <c r="I459" t="inlineStr">
        <is>
          <t>Sharma General Store</t>
        </is>
      </c>
      <c r="J459">
        <f>YEAR(A459)*12+MONTH(A459)</f>
        <v/>
      </c>
    </row>
    <row r="460">
      <c r="A460" s="5" t="n">
        <v>45974</v>
      </c>
      <c r="B460" t="inlineStr">
        <is>
          <t>J-0182</t>
        </is>
      </c>
      <c r="C460" t="n">
        <v>2</v>
      </c>
      <c r="D460" t="inlineStr">
        <is>
          <t>4000</t>
        </is>
      </c>
      <c r="E460" t="inlineStr">
        <is>
          <t>Sales Revenue</t>
        </is>
      </c>
      <c r="F460" s="6" t="n">
        <v>0</v>
      </c>
      <c r="G460" s="6" t="n">
        <v>443397.28</v>
      </c>
      <c r="H460" t="inlineStr">
        <is>
          <t>Sales invoice INV-202511-6</t>
        </is>
      </c>
      <c r="I460" t="inlineStr">
        <is>
          <t>Sharma General Store</t>
        </is>
      </c>
      <c r="J460">
        <f>YEAR(A460)*12+MONTH(A460)</f>
        <v/>
      </c>
    </row>
    <row r="461">
      <c r="A461" s="5" t="n">
        <v>45974</v>
      </c>
      <c r="B461" t="inlineStr">
        <is>
          <t>J-0182</t>
        </is>
      </c>
      <c r="C461" t="n">
        <v>3</v>
      </c>
      <c r="D461" t="inlineStr">
        <is>
          <t>2100</t>
        </is>
      </c>
      <c r="E461" t="inlineStr">
        <is>
          <t>GST Payable</t>
        </is>
      </c>
      <c r="F461" s="6" t="n">
        <v>0</v>
      </c>
      <c r="G461" s="6" t="n">
        <v>79811.50999999999</v>
      </c>
      <c r="H461" t="inlineStr">
        <is>
          <t>Sales invoice INV-202511-6</t>
        </is>
      </c>
      <c r="I461" t="inlineStr">
        <is>
          <t>GST</t>
        </is>
      </c>
      <c r="J461">
        <f>YEAR(A461)*12+MONTH(A461)</f>
        <v/>
      </c>
    </row>
    <row r="462">
      <c r="A462" s="5" t="n">
        <v>45984</v>
      </c>
      <c r="B462" t="inlineStr">
        <is>
          <t>J-0183</t>
        </is>
      </c>
      <c r="C462" t="n">
        <v>1</v>
      </c>
      <c r="D462" t="inlineStr">
        <is>
          <t>1100</t>
        </is>
      </c>
      <c r="E462" t="inlineStr">
        <is>
          <t>Accounts Receivable</t>
        </is>
      </c>
      <c r="F462" s="6" t="n">
        <v>483943.16</v>
      </c>
      <c r="G462" s="6" t="n">
        <v>0</v>
      </c>
      <c r="H462" t="inlineStr">
        <is>
          <t>Sales invoice INV-202511-7</t>
        </is>
      </c>
      <c r="I462" t="inlineStr">
        <is>
          <t>Patna Daily Needs</t>
        </is>
      </c>
      <c r="J462">
        <f>YEAR(A462)*12+MONTH(A462)</f>
        <v/>
      </c>
    </row>
    <row r="463">
      <c r="A463" s="5" t="n">
        <v>45984</v>
      </c>
      <c r="B463" t="inlineStr">
        <is>
          <t>J-0183</t>
        </is>
      </c>
      <c r="C463" t="n">
        <v>2</v>
      </c>
      <c r="D463" t="inlineStr">
        <is>
          <t>4000</t>
        </is>
      </c>
      <c r="E463" t="inlineStr">
        <is>
          <t>Sales Revenue</t>
        </is>
      </c>
      <c r="F463" s="6" t="n">
        <v>0</v>
      </c>
      <c r="G463" s="6" t="n">
        <v>410121.32</v>
      </c>
      <c r="H463" t="inlineStr">
        <is>
          <t>Sales invoice INV-202511-7</t>
        </is>
      </c>
      <c r="I463" t="inlineStr">
        <is>
          <t>Patna Daily Needs</t>
        </is>
      </c>
      <c r="J463">
        <f>YEAR(A463)*12+MONTH(A463)</f>
        <v/>
      </c>
    </row>
    <row r="464">
      <c r="A464" s="5" t="n">
        <v>45984</v>
      </c>
      <c r="B464" t="inlineStr">
        <is>
          <t>J-0183</t>
        </is>
      </c>
      <c r="C464" t="n">
        <v>3</v>
      </c>
      <c r="D464" t="inlineStr">
        <is>
          <t>2100</t>
        </is>
      </c>
      <c r="E464" t="inlineStr">
        <is>
          <t>GST Payable</t>
        </is>
      </c>
      <c r="F464" s="6" t="n">
        <v>0</v>
      </c>
      <c r="G464" s="6" t="n">
        <v>73821.84</v>
      </c>
      <c r="H464" t="inlineStr">
        <is>
          <t>Sales invoice INV-202511-7</t>
        </is>
      </c>
      <c r="I464" t="inlineStr">
        <is>
          <t>GST</t>
        </is>
      </c>
      <c r="J464">
        <f>YEAR(A464)*12+MONTH(A464)</f>
        <v/>
      </c>
    </row>
    <row r="465">
      <c r="A465" s="5" t="n">
        <v>45988</v>
      </c>
      <c r="B465" t="inlineStr">
        <is>
          <t>J-0184</t>
        </is>
      </c>
      <c r="C465" t="n">
        <v>1</v>
      </c>
      <c r="D465" t="inlineStr">
        <is>
          <t>5000</t>
        </is>
      </c>
      <c r="E465" t="inlineStr">
        <is>
          <t>Cost of Goods Sold</t>
        </is>
      </c>
      <c r="F465" s="6" t="n">
        <v>2285322.02</v>
      </c>
      <c r="G465" s="6" t="n">
        <v>0</v>
      </c>
      <c r="H465" t="inlineStr">
        <is>
          <t>Cost of goods sold - monthly</t>
        </is>
      </c>
      <c r="I465" t="inlineStr"/>
      <c r="J465">
        <f>YEAR(A465)*12+MONTH(A465)</f>
        <v/>
      </c>
    </row>
    <row r="466">
      <c r="A466" s="5" t="n">
        <v>45988</v>
      </c>
      <c r="B466" t="inlineStr">
        <is>
          <t>J-0184</t>
        </is>
      </c>
      <c r="C466" t="n">
        <v>2</v>
      </c>
      <c r="D466" t="inlineStr">
        <is>
          <t>1200</t>
        </is>
      </c>
      <c r="E466" t="inlineStr">
        <is>
          <t>Inventory</t>
        </is>
      </c>
      <c r="F466" s="6" t="n">
        <v>0</v>
      </c>
      <c r="G466" s="6" t="n">
        <v>2285322.02</v>
      </c>
      <c r="H466" t="inlineStr">
        <is>
          <t>Cost of goods sold - monthly</t>
        </is>
      </c>
      <c r="I466" t="inlineStr"/>
      <c r="J466">
        <f>YEAR(A466)*12+MONTH(A466)</f>
        <v/>
      </c>
    </row>
    <row r="467">
      <c r="A467" s="5" t="n">
        <v>45989</v>
      </c>
      <c r="B467" t="inlineStr">
        <is>
          <t>J-0185</t>
        </is>
      </c>
      <c r="C467" t="n">
        <v>1</v>
      </c>
      <c r="D467" t="inlineStr">
        <is>
          <t>1000</t>
        </is>
      </c>
      <c r="E467" t="inlineStr">
        <is>
          <t>Cash &amp; Bank</t>
        </is>
      </c>
      <c r="F467" s="6" t="n">
        <v>3461008.22</v>
      </c>
      <c r="G467" s="6" t="n">
        <v>0</v>
      </c>
      <c r="H467" t="inlineStr">
        <is>
          <t>Customer receipts</t>
        </is>
      </c>
      <c r="I467" t="inlineStr"/>
      <c r="J467">
        <f>YEAR(A467)*12+MONTH(A467)</f>
        <v/>
      </c>
    </row>
    <row r="468">
      <c r="A468" s="5" t="n">
        <v>45989</v>
      </c>
      <c r="B468" t="inlineStr">
        <is>
          <t>J-0185</t>
        </is>
      </c>
      <c r="C468" t="n">
        <v>2</v>
      </c>
      <c r="D468" t="inlineStr">
        <is>
          <t>1100</t>
        </is>
      </c>
      <c r="E468" t="inlineStr">
        <is>
          <t>Accounts Receivable</t>
        </is>
      </c>
      <c r="F468" s="6" t="n">
        <v>0</v>
      </c>
      <c r="G468" s="6" t="n">
        <v>3461008.22</v>
      </c>
      <c r="H468" t="inlineStr">
        <is>
          <t>Customer receipts</t>
        </is>
      </c>
      <c r="I468" t="inlineStr"/>
      <c r="J468">
        <f>YEAR(A468)*12+MONTH(A468)</f>
        <v/>
      </c>
    </row>
    <row r="469">
      <c r="A469" s="5" t="n">
        <v>45968</v>
      </c>
      <c r="B469" t="inlineStr">
        <is>
          <t>J-0186</t>
        </is>
      </c>
      <c r="C469" t="n">
        <v>1</v>
      </c>
      <c r="D469" t="inlineStr">
        <is>
          <t>1200</t>
        </is>
      </c>
      <c r="E469" t="inlineStr">
        <is>
          <t>Inventory</t>
        </is>
      </c>
      <c r="F469" s="6" t="n">
        <v>456847.7</v>
      </c>
      <c r="G469" s="6" t="n">
        <v>0</v>
      </c>
      <c r="H469" t="inlineStr">
        <is>
          <t>Purchase bill PB-202511-1</t>
        </is>
      </c>
      <c r="I469" t="inlineStr">
        <is>
          <t>Ganga Logistics Pvt Ltd</t>
        </is>
      </c>
      <c r="J469">
        <f>YEAR(A469)*12+MONTH(A469)</f>
        <v/>
      </c>
    </row>
    <row r="470">
      <c r="A470" s="5" t="n">
        <v>45968</v>
      </c>
      <c r="B470" t="inlineStr">
        <is>
          <t>J-0186</t>
        </is>
      </c>
      <c r="C470" t="n">
        <v>2</v>
      </c>
      <c r="D470" t="inlineStr">
        <is>
          <t>1300</t>
        </is>
      </c>
      <c r="E470" t="inlineStr">
        <is>
          <t>GST Input Credit</t>
        </is>
      </c>
      <c r="F470" s="6" t="n">
        <v>82232.59</v>
      </c>
      <c r="G470" s="6" t="n">
        <v>0</v>
      </c>
      <c r="H470" t="inlineStr">
        <is>
          <t>Purchase bill PB-202511-1</t>
        </is>
      </c>
      <c r="I470" t="inlineStr">
        <is>
          <t>Ganga Logistics Pvt Ltd</t>
        </is>
      </c>
      <c r="J470">
        <f>YEAR(A470)*12+MONTH(A470)</f>
        <v/>
      </c>
    </row>
    <row r="471">
      <c r="A471" s="5" t="n">
        <v>45968</v>
      </c>
      <c r="B471" t="inlineStr">
        <is>
          <t>J-0186</t>
        </is>
      </c>
      <c r="C471" t="n">
        <v>3</v>
      </c>
      <c r="D471" t="inlineStr">
        <is>
          <t>2000</t>
        </is>
      </c>
      <c r="E471" t="inlineStr">
        <is>
          <t>Accounts Payable</t>
        </is>
      </c>
      <c r="F471" s="6" t="n">
        <v>0</v>
      </c>
      <c r="G471" s="6" t="n">
        <v>539080.29</v>
      </c>
      <c r="H471" t="inlineStr">
        <is>
          <t>Purchase bill PB-202511-1</t>
        </is>
      </c>
      <c r="I471" t="inlineStr">
        <is>
          <t>Ganga Logistics Pvt Ltd</t>
        </is>
      </c>
      <c r="J471">
        <f>YEAR(A471)*12+MONTH(A471)</f>
        <v/>
      </c>
    </row>
    <row r="472">
      <c r="A472" s="5" t="n">
        <v>45969</v>
      </c>
      <c r="B472" t="inlineStr">
        <is>
          <t>J-0187</t>
        </is>
      </c>
      <c r="C472" t="n">
        <v>1</v>
      </c>
      <c r="D472" t="inlineStr">
        <is>
          <t>1200</t>
        </is>
      </c>
      <c r="E472" t="inlineStr">
        <is>
          <t>Inventory</t>
        </is>
      </c>
      <c r="F472" s="6" t="n">
        <v>555452.5600000001</v>
      </c>
      <c r="G472" s="6" t="n">
        <v>0</v>
      </c>
      <c r="H472" t="inlineStr">
        <is>
          <t>Purchase bill PB-202511-2</t>
        </is>
      </c>
      <c r="I472" t="inlineStr">
        <is>
          <t>Bihar Agro Supplies</t>
        </is>
      </c>
      <c r="J472">
        <f>YEAR(A472)*12+MONTH(A472)</f>
        <v/>
      </c>
    </row>
    <row r="473">
      <c r="A473" s="5" t="n">
        <v>45969</v>
      </c>
      <c r="B473" t="inlineStr">
        <is>
          <t>J-0187</t>
        </is>
      </c>
      <c r="C473" t="n">
        <v>2</v>
      </c>
      <c r="D473" t="inlineStr">
        <is>
          <t>1300</t>
        </is>
      </c>
      <c r="E473" t="inlineStr">
        <is>
          <t>GST Input Credit</t>
        </is>
      </c>
      <c r="F473" s="6" t="n">
        <v>99981.46000000001</v>
      </c>
      <c r="G473" s="6" t="n">
        <v>0</v>
      </c>
      <c r="H473" t="inlineStr">
        <is>
          <t>Purchase bill PB-202511-2</t>
        </is>
      </c>
      <c r="I473" t="inlineStr">
        <is>
          <t>Bihar Agro Supplies</t>
        </is>
      </c>
      <c r="J473">
        <f>YEAR(A473)*12+MONTH(A473)</f>
        <v/>
      </c>
    </row>
    <row r="474">
      <c r="A474" s="5" t="n">
        <v>45969</v>
      </c>
      <c r="B474" t="inlineStr">
        <is>
          <t>J-0187</t>
        </is>
      </c>
      <c r="C474" t="n">
        <v>3</v>
      </c>
      <c r="D474" t="inlineStr">
        <is>
          <t>2000</t>
        </is>
      </c>
      <c r="E474" t="inlineStr">
        <is>
          <t>Accounts Payable</t>
        </is>
      </c>
      <c r="F474" s="6" t="n">
        <v>0</v>
      </c>
      <c r="G474" s="6" t="n">
        <v>655434.02</v>
      </c>
      <c r="H474" t="inlineStr">
        <is>
          <t>Purchase bill PB-202511-2</t>
        </is>
      </c>
      <c r="I474" t="inlineStr">
        <is>
          <t>Bihar Agro Supplies</t>
        </is>
      </c>
      <c r="J474">
        <f>YEAR(A474)*12+MONTH(A474)</f>
        <v/>
      </c>
    </row>
    <row r="475">
      <c r="A475" s="5" t="n">
        <v>45977</v>
      </c>
      <c r="B475" t="inlineStr">
        <is>
          <t>J-0188</t>
        </is>
      </c>
      <c r="C475" t="n">
        <v>1</v>
      </c>
      <c r="D475" t="inlineStr">
        <is>
          <t>1200</t>
        </is>
      </c>
      <c r="E475" t="inlineStr">
        <is>
          <t>Inventory</t>
        </is>
      </c>
      <c r="F475" s="6" t="n">
        <v>565028.95</v>
      </c>
      <c r="G475" s="6" t="n">
        <v>0</v>
      </c>
      <c r="H475" t="inlineStr">
        <is>
          <t>Purchase bill PB-202511-3</t>
        </is>
      </c>
      <c r="I475" t="inlineStr">
        <is>
          <t>Bihar Agro Supplies</t>
        </is>
      </c>
      <c r="J475">
        <f>YEAR(A475)*12+MONTH(A475)</f>
        <v/>
      </c>
    </row>
    <row r="476">
      <c r="A476" s="5" t="n">
        <v>45977</v>
      </c>
      <c r="B476" t="inlineStr">
        <is>
          <t>J-0188</t>
        </is>
      </c>
      <c r="C476" t="n">
        <v>2</v>
      </c>
      <c r="D476" t="inlineStr">
        <is>
          <t>1300</t>
        </is>
      </c>
      <c r="E476" t="inlineStr">
        <is>
          <t>GST Input Credit</t>
        </is>
      </c>
      <c r="F476" s="6" t="n">
        <v>101705.21</v>
      </c>
      <c r="G476" s="6" t="n">
        <v>0</v>
      </c>
      <c r="H476" t="inlineStr">
        <is>
          <t>Purchase bill PB-202511-3</t>
        </is>
      </c>
      <c r="I476" t="inlineStr">
        <is>
          <t>Bihar Agro Supplies</t>
        </is>
      </c>
      <c r="J476">
        <f>YEAR(A476)*12+MONTH(A476)</f>
        <v/>
      </c>
    </row>
    <row r="477">
      <c r="A477" s="5" t="n">
        <v>45977</v>
      </c>
      <c r="B477" t="inlineStr">
        <is>
          <t>J-0188</t>
        </is>
      </c>
      <c r="C477" t="n">
        <v>3</v>
      </c>
      <c r="D477" t="inlineStr">
        <is>
          <t>2000</t>
        </is>
      </c>
      <c r="E477" t="inlineStr">
        <is>
          <t>Accounts Payable</t>
        </is>
      </c>
      <c r="F477" s="6" t="n">
        <v>0</v>
      </c>
      <c r="G477" s="6" t="n">
        <v>666734.16</v>
      </c>
      <c r="H477" t="inlineStr">
        <is>
          <t>Purchase bill PB-202511-3</t>
        </is>
      </c>
      <c r="I477" t="inlineStr">
        <is>
          <t>Bihar Agro Supplies</t>
        </is>
      </c>
      <c r="J477">
        <f>YEAR(A477)*12+MONTH(A477)</f>
        <v/>
      </c>
    </row>
    <row r="478">
      <c r="A478" s="5" t="n">
        <v>45977</v>
      </c>
      <c r="B478" t="inlineStr">
        <is>
          <t>J-0189</t>
        </is>
      </c>
      <c r="C478" t="n">
        <v>1</v>
      </c>
      <c r="D478" t="inlineStr">
        <is>
          <t>1200</t>
        </is>
      </c>
      <c r="E478" t="inlineStr">
        <is>
          <t>Inventory</t>
        </is>
      </c>
      <c r="F478" s="6" t="n">
        <v>384403.13</v>
      </c>
      <c r="G478" s="6" t="n">
        <v>0</v>
      </c>
      <c r="H478" t="inlineStr">
        <is>
          <t>Purchase bill PB-202511-4</t>
        </is>
      </c>
      <c r="I478" t="inlineStr">
        <is>
          <t>National FMCG Distributors</t>
        </is>
      </c>
      <c r="J478">
        <f>YEAR(A478)*12+MONTH(A478)</f>
        <v/>
      </c>
    </row>
    <row r="479">
      <c r="A479" s="5" t="n">
        <v>45977</v>
      </c>
      <c r="B479" t="inlineStr">
        <is>
          <t>J-0189</t>
        </is>
      </c>
      <c r="C479" t="n">
        <v>2</v>
      </c>
      <c r="D479" t="inlineStr">
        <is>
          <t>1300</t>
        </is>
      </c>
      <c r="E479" t="inlineStr">
        <is>
          <t>GST Input Credit</t>
        </is>
      </c>
      <c r="F479" s="6" t="n">
        <v>69192.56</v>
      </c>
      <c r="G479" s="6" t="n">
        <v>0</v>
      </c>
      <c r="H479" t="inlineStr">
        <is>
          <t>Purchase bill PB-202511-4</t>
        </is>
      </c>
      <c r="I479" t="inlineStr">
        <is>
          <t>National FMCG Distributors</t>
        </is>
      </c>
      <c r="J479">
        <f>YEAR(A479)*12+MONTH(A479)</f>
        <v/>
      </c>
    </row>
    <row r="480">
      <c r="A480" s="5" t="n">
        <v>45977</v>
      </c>
      <c r="B480" t="inlineStr">
        <is>
          <t>J-0189</t>
        </is>
      </c>
      <c r="C480" t="n">
        <v>3</v>
      </c>
      <c r="D480" t="inlineStr">
        <is>
          <t>2000</t>
        </is>
      </c>
      <c r="E480" t="inlineStr">
        <is>
          <t>Accounts Payable</t>
        </is>
      </c>
      <c r="F480" s="6" t="n">
        <v>0</v>
      </c>
      <c r="G480" s="6" t="n">
        <v>453595.69</v>
      </c>
      <c r="H480" t="inlineStr">
        <is>
          <t>Purchase bill PB-202511-4</t>
        </is>
      </c>
      <c r="I480" t="inlineStr">
        <is>
          <t>National FMCG Distributors</t>
        </is>
      </c>
      <c r="J480">
        <f>YEAR(A480)*12+MONTH(A480)</f>
        <v/>
      </c>
    </row>
    <row r="481">
      <c r="A481" s="5" t="n">
        <v>45972</v>
      </c>
      <c r="B481" t="inlineStr">
        <is>
          <t>J-0190</t>
        </is>
      </c>
      <c r="C481" t="n">
        <v>1</v>
      </c>
      <c r="D481" t="inlineStr">
        <is>
          <t>1200</t>
        </is>
      </c>
      <c r="E481" t="inlineStr">
        <is>
          <t>Inventory</t>
        </is>
      </c>
      <c r="F481" s="6" t="n">
        <v>532000.79</v>
      </c>
      <c r="G481" s="6" t="n">
        <v>0</v>
      </c>
      <c r="H481" t="inlineStr">
        <is>
          <t>Purchase bill PB-202511-5</t>
        </is>
      </c>
      <c r="I481" t="inlineStr">
        <is>
          <t>Bihar Agro Supplies</t>
        </is>
      </c>
      <c r="J481">
        <f>YEAR(A481)*12+MONTH(A481)</f>
        <v/>
      </c>
    </row>
    <row r="482">
      <c r="A482" s="5" t="n">
        <v>45972</v>
      </c>
      <c r="B482" t="inlineStr">
        <is>
          <t>J-0190</t>
        </is>
      </c>
      <c r="C482" t="n">
        <v>2</v>
      </c>
      <c r="D482" t="inlineStr">
        <is>
          <t>1300</t>
        </is>
      </c>
      <c r="E482" t="inlineStr">
        <is>
          <t>GST Input Credit</t>
        </is>
      </c>
      <c r="F482" s="6" t="n">
        <v>95760.14</v>
      </c>
      <c r="G482" s="6" t="n">
        <v>0</v>
      </c>
      <c r="H482" t="inlineStr">
        <is>
          <t>Purchase bill PB-202511-5</t>
        </is>
      </c>
      <c r="I482" t="inlineStr">
        <is>
          <t>Bihar Agro Supplies</t>
        </is>
      </c>
      <c r="J482">
        <f>YEAR(A482)*12+MONTH(A482)</f>
        <v/>
      </c>
    </row>
    <row r="483">
      <c r="A483" s="5" t="n">
        <v>45972</v>
      </c>
      <c r="B483" t="inlineStr">
        <is>
          <t>J-0190</t>
        </is>
      </c>
      <c r="C483" t="n">
        <v>3</v>
      </c>
      <c r="D483" t="inlineStr">
        <is>
          <t>2000</t>
        </is>
      </c>
      <c r="E483" t="inlineStr">
        <is>
          <t>Accounts Payable</t>
        </is>
      </c>
      <c r="F483" s="6" t="n">
        <v>0</v>
      </c>
      <c r="G483" s="6" t="n">
        <v>627760.9300000001</v>
      </c>
      <c r="H483" t="inlineStr">
        <is>
          <t>Purchase bill PB-202511-5</t>
        </is>
      </c>
      <c r="I483" t="inlineStr">
        <is>
          <t>Bihar Agro Supplies</t>
        </is>
      </c>
      <c r="J483">
        <f>YEAR(A483)*12+MONTH(A483)</f>
        <v/>
      </c>
    </row>
    <row r="484">
      <c r="A484" s="5" t="n">
        <v>45990</v>
      </c>
      <c r="B484" t="inlineStr">
        <is>
          <t>J-0191</t>
        </is>
      </c>
      <c r="C484" t="n">
        <v>1</v>
      </c>
      <c r="D484" t="inlineStr">
        <is>
          <t>2000</t>
        </is>
      </c>
      <c r="E484" t="inlineStr">
        <is>
          <t>Accounts Payable</t>
        </is>
      </c>
      <c r="F484" s="6" t="n">
        <v>2424808.17</v>
      </c>
      <c r="G484" s="6" t="n">
        <v>0</v>
      </c>
      <c r="H484" t="inlineStr">
        <is>
          <t>Vendor payments</t>
        </is>
      </c>
      <c r="I484" t="inlineStr"/>
      <c r="J484">
        <f>YEAR(A484)*12+MONTH(A484)</f>
        <v/>
      </c>
    </row>
    <row r="485">
      <c r="A485" s="5" t="n">
        <v>45990</v>
      </c>
      <c r="B485" t="inlineStr">
        <is>
          <t>J-0191</t>
        </is>
      </c>
      <c r="C485" t="n">
        <v>2</v>
      </c>
      <c r="D485" t="inlineStr">
        <is>
          <t>1000</t>
        </is>
      </c>
      <c r="E485" t="inlineStr">
        <is>
          <t>Cash &amp; Bank</t>
        </is>
      </c>
      <c r="F485" s="6" t="n">
        <v>0</v>
      </c>
      <c r="G485" s="6" t="n">
        <v>2424808.17</v>
      </c>
      <c r="H485" t="inlineStr">
        <is>
          <t>Vendor payments</t>
        </is>
      </c>
      <c r="I485" t="inlineStr"/>
      <c r="J485">
        <f>YEAR(A485)*12+MONTH(A485)</f>
        <v/>
      </c>
    </row>
    <row r="486">
      <c r="A486" s="5" t="n">
        <v>45991</v>
      </c>
      <c r="B486" t="inlineStr">
        <is>
          <t>J-0192</t>
        </is>
      </c>
      <c r="C486" t="n">
        <v>1</v>
      </c>
      <c r="D486" t="inlineStr">
        <is>
          <t>2100</t>
        </is>
      </c>
      <c r="E486" t="inlineStr">
        <is>
          <t>GST Payable</t>
        </is>
      </c>
      <c r="F486" s="6" t="n">
        <v>174142.65</v>
      </c>
      <c r="G486" s="6" t="n">
        <v>0</v>
      </c>
      <c r="H486" t="inlineStr">
        <is>
          <t>GST paid for month</t>
        </is>
      </c>
      <c r="I486" t="inlineStr">
        <is>
          <t>GST</t>
        </is>
      </c>
      <c r="J486">
        <f>YEAR(A486)*12+MONTH(A486)</f>
        <v/>
      </c>
    </row>
    <row r="487">
      <c r="A487" s="5" t="n">
        <v>45991</v>
      </c>
      <c r="B487" t="inlineStr">
        <is>
          <t>J-0192</t>
        </is>
      </c>
      <c r="C487" t="n">
        <v>2</v>
      </c>
      <c r="D487" t="inlineStr">
        <is>
          <t>1000</t>
        </is>
      </c>
      <c r="E487" t="inlineStr">
        <is>
          <t>Cash &amp; Bank</t>
        </is>
      </c>
      <c r="F487" s="6" t="n">
        <v>0</v>
      </c>
      <c r="G487" s="6" t="n">
        <v>174142.65</v>
      </c>
      <c r="H487" t="inlineStr">
        <is>
          <t>GST paid for month</t>
        </is>
      </c>
      <c r="I487" t="inlineStr">
        <is>
          <t>GST</t>
        </is>
      </c>
      <c r="J487">
        <f>YEAR(A487)*12+MONTH(A487)</f>
        <v/>
      </c>
    </row>
    <row r="488">
      <c r="A488" s="5" t="n">
        <v>45966</v>
      </c>
      <c r="B488" t="inlineStr">
        <is>
          <t>J-0193</t>
        </is>
      </c>
      <c r="C488" t="n">
        <v>1</v>
      </c>
      <c r="D488" t="inlineStr">
        <is>
          <t>5100</t>
        </is>
      </c>
      <c r="E488" t="inlineStr">
        <is>
          <t>Rent Expense</t>
        </is>
      </c>
      <c r="F488" s="6" t="n">
        <v>25000</v>
      </c>
      <c r="G488" s="6" t="n">
        <v>0</v>
      </c>
      <c r="H488" t="inlineStr">
        <is>
          <t>Office rent</t>
        </is>
      </c>
      <c r="I488" t="inlineStr"/>
      <c r="J488">
        <f>YEAR(A488)*12+MONTH(A488)</f>
        <v/>
      </c>
    </row>
    <row r="489">
      <c r="A489" s="5" t="n">
        <v>45966</v>
      </c>
      <c r="B489" t="inlineStr">
        <is>
          <t>J-0193</t>
        </is>
      </c>
      <c r="C489" t="n">
        <v>2</v>
      </c>
      <c r="D489" t="inlineStr">
        <is>
          <t>1000</t>
        </is>
      </c>
      <c r="E489" t="inlineStr">
        <is>
          <t>Cash &amp; Bank</t>
        </is>
      </c>
      <c r="F489" s="6" t="n">
        <v>0</v>
      </c>
      <c r="G489" s="6" t="n">
        <v>25000</v>
      </c>
      <c r="H489" t="inlineStr">
        <is>
          <t>Office rent</t>
        </is>
      </c>
      <c r="I489" t="inlineStr"/>
      <c r="J489">
        <f>YEAR(A489)*12+MONTH(A489)</f>
        <v/>
      </c>
    </row>
    <row r="490">
      <c r="A490" s="5" t="n">
        <v>45968</v>
      </c>
      <c r="B490" t="inlineStr">
        <is>
          <t>J-0194</t>
        </is>
      </c>
      <c r="C490" t="n">
        <v>1</v>
      </c>
      <c r="D490" t="inlineStr">
        <is>
          <t>5200</t>
        </is>
      </c>
      <c r="E490" t="inlineStr">
        <is>
          <t>Salaries Expense</t>
        </is>
      </c>
      <c r="F490" s="6" t="n">
        <v>110885.62</v>
      </c>
      <c r="G490" s="6" t="n">
        <v>0</v>
      </c>
      <c r="H490" t="inlineStr">
        <is>
          <t>Staff salaries</t>
        </is>
      </c>
      <c r="I490" t="inlineStr"/>
      <c r="J490">
        <f>YEAR(A490)*12+MONTH(A490)</f>
        <v/>
      </c>
    </row>
    <row r="491">
      <c r="A491" s="5" t="n">
        <v>45968</v>
      </c>
      <c r="B491" t="inlineStr">
        <is>
          <t>J-0194</t>
        </is>
      </c>
      <c r="C491" t="n">
        <v>2</v>
      </c>
      <c r="D491" t="inlineStr">
        <is>
          <t>1000</t>
        </is>
      </c>
      <c r="E491" t="inlineStr">
        <is>
          <t>Cash &amp; Bank</t>
        </is>
      </c>
      <c r="F491" s="6" t="n">
        <v>0</v>
      </c>
      <c r="G491" s="6" t="n">
        <v>110885.62</v>
      </c>
      <c r="H491" t="inlineStr">
        <is>
          <t>Staff salaries</t>
        </is>
      </c>
      <c r="I491" t="inlineStr"/>
      <c r="J491">
        <f>YEAR(A491)*12+MONTH(A491)</f>
        <v/>
      </c>
    </row>
    <row r="492">
      <c r="A492" s="5" t="n">
        <v>45973</v>
      </c>
      <c r="B492" t="inlineStr">
        <is>
          <t>J-0195</t>
        </is>
      </c>
      <c r="C492" t="n">
        <v>1</v>
      </c>
      <c r="D492" t="inlineStr">
        <is>
          <t>5300</t>
        </is>
      </c>
      <c r="E492" t="inlineStr">
        <is>
          <t>Utilities Expense</t>
        </is>
      </c>
      <c r="F492" s="6" t="n">
        <v>7956.35</v>
      </c>
      <c r="G492" s="6" t="n">
        <v>0</v>
      </c>
      <c r="H492" t="inlineStr">
        <is>
          <t>Utilities (power/water/phone)</t>
        </is>
      </c>
      <c r="I492" t="inlineStr"/>
      <c r="J492">
        <f>YEAR(A492)*12+MONTH(A492)</f>
        <v/>
      </c>
    </row>
    <row r="493">
      <c r="A493" s="5" t="n">
        <v>45973</v>
      </c>
      <c r="B493" t="inlineStr">
        <is>
          <t>J-0195</t>
        </is>
      </c>
      <c r="C493" t="n">
        <v>2</v>
      </c>
      <c r="D493" t="inlineStr">
        <is>
          <t>1000</t>
        </is>
      </c>
      <c r="E493" t="inlineStr">
        <is>
          <t>Cash &amp; Bank</t>
        </is>
      </c>
      <c r="F493" s="6" t="n">
        <v>0</v>
      </c>
      <c r="G493" s="6" t="n">
        <v>7956.35</v>
      </c>
      <c r="H493" t="inlineStr">
        <is>
          <t>Utilities (power/water/phone)</t>
        </is>
      </c>
      <c r="I493" t="inlineStr"/>
      <c r="J493">
        <f>YEAR(A493)*12+MONTH(A493)</f>
        <v/>
      </c>
    </row>
    <row r="494">
      <c r="A494" s="5" t="n">
        <v>45979</v>
      </c>
      <c r="B494" t="inlineStr">
        <is>
          <t>J-0196</t>
        </is>
      </c>
      <c r="C494" t="n">
        <v>1</v>
      </c>
      <c r="D494" t="inlineStr">
        <is>
          <t>5400</t>
        </is>
      </c>
      <c r="E494" t="inlineStr">
        <is>
          <t>Transport &amp; Logistics</t>
        </is>
      </c>
      <c r="F494" s="6" t="n">
        <v>15271.07</v>
      </c>
      <c r="G494" s="6" t="n">
        <v>0</v>
      </c>
      <c r="H494" t="inlineStr">
        <is>
          <t>Transport &amp; logistics</t>
        </is>
      </c>
      <c r="I494" t="inlineStr"/>
      <c r="J494">
        <f>YEAR(A494)*12+MONTH(A494)</f>
        <v/>
      </c>
    </row>
    <row r="495">
      <c r="A495" s="5" t="n">
        <v>45979</v>
      </c>
      <c r="B495" t="inlineStr">
        <is>
          <t>J-0196</t>
        </is>
      </c>
      <c r="C495" t="n">
        <v>2</v>
      </c>
      <c r="D495" t="inlineStr">
        <is>
          <t>1000</t>
        </is>
      </c>
      <c r="E495" t="inlineStr">
        <is>
          <t>Cash &amp; Bank</t>
        </is>
      </c>
      <c r="F495" s="6" t="n">
        <v>0</v>
      </c>
      <c r="G495" s="6" t="n">
        <v>15271.07</v>
      </c>
      <c r="H495" t="inlineStr">
        <is>
          <t>Transport &amp; logistics</t>
        </is>
      </c>
      <c r="I495" t="inlineStr"/>
      <c r="J495">
        <f>YEAR(A495)*12+MONTH(A495)</f>
        <v/>
      </c>
    </row>
    <row r="496">
      <c r="A496" s="5" t="n">
        <v>45981</v>
      </c>
      <c r="B496" t="inlineStr">
        <is>
          <t>J-0197</t>
        </is>
      </c>
      <c r="C496" t="n">
        <v>1</v>
      </c>
      <c r="D496" t="inlineStr">
        <is>
          <t>5500</t>
        </is>
      </c>
      <c r="E496" t="inlineStr">
        <is>
          <t>Marketing Expense</t>
        </is>
      </c>
      <c r="F496" s="6" t="n">
        <v>15765.52</v>
      </c>
      <c r="G496" s="6" t="n">
        <v>0</v>
      </c>
      <c r="H496" t="inlineStr">
        <is>
          <t>Marketing &amp; promotions</t>
        </is>
      </c>
      <c r="I496" t="inlineStr"/>
      <c r="J496">
        <f>YEAR(A496)*12+MONTH(A496)</f>
        <v/>
      </c>
    </row>
    <row r="497">
      <c r="A497" s="5" t="n">
        <v>45981</v>
      </c>
      <c r="B497" t="inlineStr">
        <is>
          <t>J-0197</t>
        </is>
      </c>
      <c r="C497" t="n">
        <v>2</v>
      </c>
      <c r="D497" t="inlineStr">
        <is>
          <t>1000</t>
        </is>
      </c>
      <c r="E497" t="inlineStr">
        <is>
          <t>Cash &amp; Bank</t>
        </is>
      </c>
      <c r="F497" s="6" t="n">
        <v>0</v>
      </c>
      <c r="G497" s="6" t="n">
        <v>15765.52</v>
      </c>
      <c r="H497" t="inlineStr">
        <is>
          <t>Marketing &amp; promotions</t>
        </is>
      </c>
      <c r="I497" t="inlineStr"/>
      <c r="J497">
        <f>YEAR(A497)*12+MONTH(A497)</f>
        <v/>
      </c>
    </row>
    <row r="498">
      <c r="A498" s="5" t="n">
        <v>45971</v>
      </c>
      <c r="B498" t="inlineStr">
        <is>
          <t>J-0198</t>
        </is>
      </c>
      <c r="C498" t="n">
        <v>1</v>
      </c>
      <c r="D498" t="inlineStr">
        <is>
          <t>5600</t>
        </is>
      </c>
      <c r="E498" t="inlineStr">
        <is>
          <t>Interest Expense</t>
        </is>
      </c>
      <c r="F498" s="6" t="n">
        <v>9000</v>
      </c>
      <c r="G498" s="6" t="n">
        <v>0</v>
      </c>
      <c r="H498" t="inlineStr">
        <is>
          <t>Term loan interest</t>
        </is>
      </c>
      <c r="I498" t="inlineStr">
        <is>
          <t>HDFC</t>
        </is>
      </c>
      <c r="J498">
        <f>YEAR(A498)*12+MONTH(A498)</f>
        <v/>
      </c>
    </row>
    <row r="499">
      <c r="A499" s="5" t="n">
        <v>45971</v>
      </c>
      <c r="B499" t="inlineStr">
        <is>
          <t>J-0198</t>
        </is>
      </c>
      <c r="C499" t="n">
        <v>2</v>
      </c>
      <c r="D499" t="inlineStr">
        <is>
          <t>1000</t>
        </is>
      </c>
      <c r="E499" t="inlineStr">
        <is>
          <t>Cash &amp; Bank</t>
        </is>
      </c>
      <c r="F499" s="6" t="n">
        <v>0</v>
      </c>
      <c r="G499" s="6" t="n">
        <v>9000</v>
      </c>
      <c r="H499" t="inlineStr">
        <is>
          <t>Term loan interest</t>
        </is>
      </c>
      <c r="I499" t="inlineStr">
        <is>
          <t>HDFC</t>
        </is>
      </c>
      <c r="J499">
        <f>YEAR(A499)*12+MONTH(A499)</f>
        <v/>
      </c>
    </row>
    <row r="500">
      <c r="A500" s="5" t="n">
        <v>45971</v>
      </c>
      <c r="B500" t="inlineStr">
        <is>
          <t>J-0199</t>
        </is>
      </c>
      <c r="C500" t="n">
        <v>1</v>
      </c>
      <c r="D500" t="inlineStr">
        <is>
          <t>2200</t>
        </is>
      </c>
      <c r="E500" t="inlineStr">
        <is>
          <t>Term Loan</t>
        </is>
      </c>
      <c r="F500" s="6" t="n">
        <v>55000</v>
      </c>
      <c r="G500" s="6" t="n">
        <v>0</v>
      </c>
      <c r="H500" t="inlineStr">
        <is>
          <t>Term loan principal repayment</t>
        </is>
      </c>
      <c r="I500" t="inlineStr">
        <is>
          <t>HDFC</t>
        </is>
      </c>
      <c r="J500">
        <f>YEAR(A500)*12+MONTH(A500)</f>
        <v/>
      </c>
    </row>
    <row r="501">
      <c r="A501" s="5" t="n">
        <v>45971</v>
      </c>
      <c r="B501" t="inlineStr">
        <is>
          <t>J-0199</t>
        </is>
      </c>
      <c r="C501" t="n">
        <v>2</v>
      </c>
      <c r="D501" t="inlineStr">
        <is>
          <t>1000</t>
        </is>
      </c>
      <c r="E501" t="inlineStr">
        <is>
          <t>Cash &amp; Bank</t>
        </is>
      </c>
      <c r="F501" s="6" t="n">
        <v>0</v>
      </c>
      <c r="G501" s="6" t="n">
        <v>55000</v>
      </c>
      <c r="H501" t="inlineStr">
        <is>
          <t>Term loan principal repayment</t>
        </is>
      </c>
      <c r="I501" t="inlineStr">
        <is>
          <t>HDFC</t>
        </is>
      </c>
      <c r="J501">
        <f>YEAR(A501)*12+MONTH(A501)</f>
        <v/>
      </c>
    </row>
    <row r="502">
      <c r="A502" s="5" t="n">
        <v>45991</v>
      </c>
      <c r="B502" t="inlineStr">
        <is>
          <t>J-0200</t>
        </is>
      </c>
      <c r="C502" t="n">
        <v>1</v>
      </c>
      <c r="D502" t="inlineStr">
        <is>
          <t>5700</t>
        </is>
      </c>
      <c r="E502" t="inlineStr">
        <is>
          <t>Depreciation Expense</t>
        </is>
      </c>
      <c r="F502" s="6" t="n">
        <v>6000</v>
      </c>
      <c r="G502" s="6" t="n">
        <v>0</v>
      </c>
      <c r="H502" t="inlineStr">
        <is>
          <t>Depreciation - equipment</t>
        </is>
      </c>
      <c r="I502" t="inlineStr"/>
      <c r="J502">
        <f>YEAR(A502)*12+MONTH(A502)</f>
        <v/>
      </c>
    </row>
    <row r="503">
      <c r="A503" s="5" t="n">
        <v>45991</v>
      </c>
      <c r="B503" t="inlineStr">
        <is>
          <t>J-0200</t>
        </is>
      </c>
      <c r="C503" t="n">
        <v>2</v>
      </c>
      <c r="D503" t="inlineStr">
        <is>
          <t>1510</t>
        </is>
      </c>
      <c r="E503" t="inlineStr">
        <is>
          <t>Accumulated Depreciation</t>
        </is>
      </c>
      <c r="F503" s="6" t="n">
        <v>0</v>
      </c>
      <c r="G503" s="6" t="n">
        <v>6000</v>
      </c>
      <c r="H503" t="inlineStr">
        <is>
          <t>Depreciation - equipment</t>
        </is>
      </c>
      <c r="I503" t="inlineStr"/>
      <c r="J503">
        <f>YEAR(A503)*12+MONTH(A503)</f>
        <v/>
      </c>
    </row>
    <row r="504">
      <c r="A504" s="5" t="n">
        <v>45980</v>
      </c>
      <c r="B504" t="inlineStr">
        <is>
          <t>J-0201</t>
        </is>
      </c>
      <c r="C504" t="n">
        <v>1</v>
      </c>
      <c r="D504" t="inlineStr">
        <is>
          <t>5800</t>
        </is>
      </c>
      <c r="E504" t="inlineStr">
        <is>
          <t>Miscellaneous Expense</t>
        </is>
      </c>
      <c r="F504" s="6" t="n">
        <v>8510.709999999999</v>
      </c>
      <c r="G504" s="6" t="n">
        <v>0</v>
      </c>
      <c r="H504" t="inlineStr">
        <is>
          <t>Miscellaneous expenses</t>
        </is>
      </c>
      <c r="I504" t="inlineStr"/>
      <c r="J504">
        <f>YEAR(A504)*12+MONTH(A504)</f>
        <v/>
      </c>
    </row>
    <row r="505">
      <c r="A505" s="5" t="n">
        <v>45980</v>
      </c>
      <c r="B505" t="inlineStr">
        <is>
          <t>J-0201</t>
        </is>
      </c>
      <c r="C505" t="n">
        <v>2</v>
      </c>
      <c r="D505" t="inlineStr">
        <is>
          <t>1000</t>
        </is>
      </c>
      <c r="E505" t="inlineStr">
        <is>
          <t>Cash &amp; Bank</t>
        </is>
      </c>
      <c r="F505" s="6" t="n">
        <v>0</v>
      </c>
      <c r="G505" s="6" t="n">
        <v>8510.709999999999</v>
      </c>
      <c r="H505" t="inlineStr">
        <is>
          <t>Miscellaneous expenses</t>
        </is>
      </c>
      <c r="I505" t="inlineStr"/>
      <c r="J505">
        <f>YEAR(A505)*12+MONTH(A505)</f>
        <v/>
      </c>
    </row>
    <row r="506">
      <c r="A506" s="5" t="n">
        <v>46000</v>
      </c>
      <c r="B506" t="inlineStr">
        <is>
          <t>J-0202</t>
        </is>
      </c>
      <c r="C506" t="n">
        <v>1</v>
      </c>
      <c r="D506" t="inlineStr">
        <is>
          <t>1100</t>
        </is>
      </c>
      <c r="E506" t="inlineStr">
        <is>
          <t>Accounts Receivable</t>
        </is>
      </c>
      <c r="F506" s="6" t="n">
        <v>662383.28</v>
      </c>
      <c r="G506" s="6" t="n">
        <v>0</v>
      </c>
      <c r="H506" t="inlineStr">
        <is>
          <t>Sales invoice INV-202512-1</t>
        </is>
      </c>
      <c r="I506" t="inlineStr">
        <is>
          <t>Patna Daily Needs</t>
        </is>
      </c>
      <c r="J506">
        <f>YEAR(A506)*12+MONTH(A506)</f>
        <v/>
      </c>
    </row>
    <row r="507">
      <c r="A507" s="5" t="n">
        <v>46000</v>
      </c>
      <c r="B507" t="inlineStr">
        <is>
          <t>J-0202</t>
        </is>
      </c>
      <c r="C507" t="n">
        <v>2</v>
      </c>
      <c r="D507" t="inlineStr">
        <is>
          <t>4000</t>
        </is>
      </c>
      <c r="E507" t="inlineStr">
        <is>
          <t>Sales Revenue</t>
        </is>
      </c>
      <c r="F507" s="6" t="n">
        <v>0</v>
      </c>
      <c r="G507" s="6" t="n">
        <v>561341.76</v>
      </c>
      <c r="H507" t="inlineStr">
        <is>
          <t>Sales invoice INV-202512-1</t>
        </is>
      </c>
      <c r="I507" t="inlineStr">
        <is>
          <t>Patna Daily Needs</t>
        </is>
      </c>
      <c r="J507">
        <f>YEAR(A507)*12+MONTH(A507)</f>
        <v/>
      </c>
    </row>
    <row r="508">
      <c r="A508" s="5" t="n">
        <v>46000</v>
      </c>
      <c r="B508" t="inlineStr">
        <is>
          <t>J-0202</t>
        </is>
      </c>
      <c r="C508" t="n">
        <v>3</v>
      </c>
      <c r="D508" t="inlineStr">
        <is>
          <t>2100</t>
        </is>
      </c>
      <c r="E508" t="inlineStr">
        <is>
          <t>GST Payable</t>
        </is>
      </c>
      <c r="F508" s="6" t="n">
        <v>0</v>
      </c>
      <c r="G508" s="6" t="n">
        <v>101041.52</v>
      </c>
      <c r="H508" t="inlineStr">
        <is>
          <t>Sales invoice INV-202512-1</t>
        </is>
      </c>
      <c r="I508" t="inlineStr">
        <is>
          <t>GST</t>
        </is>
      </c>
      <c r="J508">
        <f>YEAR(A508)*12+MONTH(A508)</f>
        <v/>
      </c>
    </row>
    <row r="509">
      <c r="A509" s="5" t="n">
        <v>46005</v>
      </c>
      <c r="B509" t="inlineStr">
        <is>
          <t>J-0203</t>
        </is>
      </c>
      <c r="C509" t="n">
        <v>1</v>
      </c>
      <c r="D509" t="inlineStr">
        <is>
          <t>1100</t>
        </is>
      </c>
      <c r="E509" t="inlineStr">
        <is>
          <t>Accounts Receivable</t>
        </is>
      </c>
      <c r="F509" s="6" t="n">
        <v>377675.61</v>
      </c>
      <c r="G509" s="6" t="n">
        <v>0</v>
      </c>
      <c r="H509" t="inlineStr">
        <is>
          <t>Sales invoice INV-202512-2</t>
        </is>
      </c>
      <c r="I509" t="inlineStr">
        <is>
          <t>Patna Daily Needs</t>
        </is>
      </c>
      <c r="J509">
        <f>YEAR(A509)*12+MONTH(A509)</f>
        <v/>
      </c>
    </row>
    <row r="510">
      <c r="A510" s="5" t="n">
        <v>46005</v>
      </c>
      <c r="B510" t="inlineStr">
        <is>
          <t>J-0203</t>
        </is>
      </c>
      <c r="C510" t="n">
        <v>2</v>
      </c>
      <c r="D510" t="inlineStr">
        <is>
          <t>4000</t>
        </is>
      </c>
      <c r="E510" t="inlineStr">
        <is>
          <t>Sales Revenue</t>
        </is>
      </c>
      <c r="F510" s="6" t="n">
        <v>0</v>
      </c>
      <c r="G510" s="6" t="n">
        <v>320064.08</v>
      </c>
      <c r="H510" t="inlineStr">
        <is>
          <t>Sales invoice INV-202512-2</t>
        </is>
      </c>
      <c r="I510" t="inlineStr">
        <is>
          <t>Patna Daily Needs</t>
        </is>
      </c>
      <c r="J510">
        <f>YEAR(A510)*12+MONTH(A510)</f>
        <v/>
      </c>
    </row>
    <row r="511">
      <c r="A511" s="5" t="n">
        <v>46005</v>
      </c>
      <c r="B511" t="inlineStr">
        <is>
          <t>J-0203</t>
        </is>
      </c>
      <c r="C511" t="n">
        <v>3</v>
      </c>
      <c r="D511" t="inlineStr">
        <is>
          <t>2100</t>
        </is>
      </c>
      <c r="E511" t="inlineStr">
        <is>
          <t>GST Payable</t>
        </is>
      </c>
      <c r="F511" s="6" t="n">
        <v>0</v>
      </c>
      <c r="G511" s="6" t="n">
        <v>57611.53</v>
      </c>
      <c r="H511" t="inlineStr">
        <is>
          <t>Sales invoice INV-202512-2</t>
        </is>
      </c>
      <c r="I511" t="inlineStr">
        <is>
          <t>GST</t>
        </is>
      </c>
      <c r="J511">
        <f>YEAR(A511)*12+MONTH(A511)</f>
        <v/>
      </c>
    </row>
    <row r="512">
      <c r="A512" s="5" t="n">
        <v>46001</v>
      </c>
      <c r="B512" t="inlineStr">
        <is>
          <t>J-0204</t>
        </is>
      </c>
      <c r="C512" t="n">
        <v>1</v>
      </c>
      <c r="D512" t="inlineStr">
        <is>
          <t>1100</t>
        </is>
      </c>
      <c r="E512" t="inlineStr">
        <is>
          <t>Accounts Receivable</t>
        </is>
      </c>
      <c r="F512" s="6" t="n">
        <v>490055.26</v>
      </c>
      <c r="G512" s="6" t="n">
        <v>0</v>
      </c>
      <c r="H512" t="inlineStr">
        <is>
          <t>Sales invoice INV-202512-3</t>
        </is>
      </c>
      <c r="I512" t="inlineStr">
        <is>
          <t>Verma Kirana Mart</t>
        </is>
      </c>
      <c r="J512">
        <f>YEAR(A512)*12+MONTH(A512)</f>
        <v/>
      </c>
    </row>
    <row r="513">
      <c r="A513" s="5" t="n">
        <v>46001</v>
      </c>
      <c r="B513" t="inlineStr">
        <is>
          <t>J-0204</t>
        </is>
      </c>
      <c r="C513" t="n">
        <v>2</v>
      </c>
      <c r="D513" t="inlineStr">
        <is>
          <t>4000</t>
        </is>
      </c>
      <c r="E513" t="inlineStr">
        <is>
          <t>Sales Revenue</t>
        </is>
      </c>
      <c r="F513" s="6" t="n">
        <v>0</v>
      </c>
      <c r="G513" s="6" t="n">
        <v>415301.07</v>
      </c>
      <c r="H513" t="inlineStr">
        <is>
          <t>Sales invoice INV-202512-3</t>
        </is>
      </c>
      <c r="I513" t="inlineStr">
        <is>
          <t>Verma Kirana Mart</t>
        </is>
      </c>
      <c r="J513">
        <f>YEAR(A513)*12+MONTH(A513)</f>
        <v/>
      </c>
    </row>
    <row r="514">
      <c r="A514" s="5" t="n">
        <v>46001</v>
      </c>
      <c r="B514" t="inlineStr">
        <is>
          <t>J-0204</t>
        </is>
      </c>
      <c r="C514" t="n">
        <v>3</v>
      </c>
      <c r="D514" t="inlineStr">
        <is>
          <t>2100</t>
        </is>
      </c>
      <c r="E514" t="inlineStr">
        <is>
          <t>GST Payable</t>
        </is>
      </c>
      <c r="F514" s="6" t="n">
        <v>0</v>
      </c>
      <c r="G514" s="6" t="n">
        <v>74754.19</v>
      </c>
      <c r="H514" t="inlineStr">
        <is>
          <t>Sales invoice INV-202512-3</t>
        </is>
      </c>
      <c r="I514" t="inlineStr">
        <is>
          <t>GST</t>
        </is>
      </c>
      <c r="J514">
        <f>YEAR(A514)*12+MONTH(A514)</f>
        <v/>
      </c>
    </row>
    <row r="515">
      <c r="A515" s="5" t="n">
        <v>46005</v>
      </c>
      <c r="B515" t="inlineStr">
        <is>
          <t>J-0205</t>
        </is>
      </c>
      <c r="C515" t="n">
        <v>1</v>
      </c>
      <c r="D515" t="inlineStr">
        <is>
          <t>1100</t>
        </is>
      </c>
      <c r="E515" t="inlineStr">
        <is>
          <t>Accounts Receivable</t>
        </is>
      </c>
      <c r="F515" s="6" t="n">
        <v>498498.26</v>
      </c>
      <c r="G515" s="6" t="n">
        <v>0</v>
      </c>
      <c r="H515" t="inlineStr">
        <is>
          <t>Sales invoice INV-202512-4</t>
        </is>
      </c>
      <c r="I515" t="inlineStr">
        <is>
          <t>Maa Vaishno Stores</t>
        </is>
      </c>
      <c r="J515">
        <f>YEAR(A515)*12+MONTH(A515)</f>
        <v/>
      </c>
    </row>
    <row r="516">
      <c r="A516" s="5" t="n">
        <v>46005</v>
      </c>
      <c r="B516" t="inlineStr">
        <is>
          <t>J-0205</t>
        </is>
      </c>
      <c r="C516" t="n">
        <v>2</v>
      </c>
      <c r="D516" t="inlineStr">
        <is>
          <t>4000</t>
        </is>
      </c>
      <c r="E516" t="inlineStr">
        <is>
          <t>Sales Revenue</t>
        </is>
      </c>
      <c r="F516" s="6" t="n">
        <v>0</v>
      </c>
      <c r="G516" s="6" t="n">
        <v>422456.15</v>
      </c>
      <c r="H516" t="inlineStr">
        <is>
          <t>Sales invoice INV-202512-4</t>
        </is>
      </c>
      <c r="I516" t="inlineStr">
        <is>
          <t>Maa Vaishno Stores</t>
        </is>
      </c>
      <c r="J516">
        <f>YEAR(A516)*12+MONTH(A516)</f>
        <v/>
      </c>
    </row>
    <row r="517">
      <c r="A517" s="5" t="n">
        <v>46005</v>
      </c>
      <c r="B517" t="inlineStr">
        <is>
          <t>J-0205</t>
        </is>
      </c>
      <c r="C517" t="n">
        <v>3</v>
      </c>
      <c r="D517" t="inlineStr">
        <is>
          <t>2100</t>
        </is>
      </c>
      <c r="E517" t="inlineStr">
        <is>
          <t>GST Payable</t>
        </is>
      </c>
      <c r="F517" s="6" t="n">
        <v>0</v>
      </c>
      <c r="G517" s="6" t="n">
        <v>76042.11</v>
      </c>
      <c r="H517" t="inlineStr">
        <is>
          <t>Sales invoice INV-202512-4</t>
        </is>
      </c>
      <c r="I517" t="inlineStr">
        <is>
          <t>GST</t>
        </is>
      </c>
      <c r="J517">
        <f>YEAR(A517)*12+MONTH(A517)</f>
        <v/>
      </c>
    </row>
    <row r="518">
      <c r="A518" s="5" t="n">
        <v>46003</v>
      </c>
      <c r="B518" t="inlineStr">
        <is>
          <t>J-0206</t>
        </is>
      </c>
      <c r="C518" t="n">
        <v>1</v>
      </c>
      <c r="D518" t="inlineStr">
        <is>
          <t>1100</t>
        </is>
      </c>
      <c r="E518" t="inlineStr">
        <is>
          <t>Accounts Receivable</t>
        </is>
      </c>
      <c r="F518" s="6" t="n">
        <v>619649.38</v>
      </c>
      <c r="G518" s="6" t="n">
        <v>0</v>
      </c>
      <c r="H518" t="inlineStr">
        <is>
          <t>Sales invoice INV-202512-5</t>
        </is>
      </c>
      <c r="I518" t="inlineStr">
        <is>
          <t>Maa Vaishno Stores</t>
        </is>
      </c>
      <c r="J518">
        <f>YEAR(A518)*12+MONTH(A518)</f>
        <v/>
      </c>
    </row>
    <row r="519">
      <c r="A519" s="5" t="n">
        <v>46003</v>
      </c>
      <c r="B519" t="inlineStr">
        <is>
          <t>J-0206</t>
        </is>
      </c>
      <c r="C519" t="n">
        <v>2</v>
      </c>
      <c r="D519" t="inlineStr">
        <is>
          <t>4000</t>
        </is>
      </c>
      <c r="E519" t="inlineStr">
        <is>
          <t>Sales Revenue</t>
        </is>
      </c>
      <c r="F519" s="6" t="n">
        <v>0</v>
      </c>
      <c r="G519" s="6" t="n">
        <v>525126.59</v>
      </c>
      <c r="H519" t="inlineStr">
        <is>
          <t>Sales invoice INV-202512-5</t>
        </is>
      </c>
      <c r="I519" t="inlineStr">
        <is>
          <t>Maa Vaishno Stores</t>
        </is>
      </c>
      <c r="J519">
        <f>YEAR(A519)*12+MONTH(A519)</f>
        <v/>
      </c>
    </row>
    <row r="520">
      <c r="A520" s="5" t="n">
        <v>46003</v>
      </c>
      <c r="B520" t="inlineStr">
        <is>
          <t>J-0206</t>
        </is>
      </c>
      <c r="C520" t="n">
        <v>3</v>
      </c>
      <c r="D520" t="inlineStr">
        <is>
          <t>2100</t>
        </is>
      </c>
      <c r="E520" t="inlineStr">
        <is>
          <t>GST Payable</t>
        </is>
      </c>
      <c r="F520" s="6" t="n">
        <v>0</v>
      </c>
      <c r="G520" s="6" t="n">
        <v>94522.78999999999</v>
      </c>
      <c r="H520" t="inlineStr">
        <is>
          <t>Sales invoice INV-202512-5</t>
        </is>
      </c>
      <c r="I520" t="inlineStr">
        <is>
          <t>GST</t>
        </is>
      </c>
      <c r="J520">
        <f>YEAR(A520)*12+MONTH(A520)</f>
        <v/>
      </c>
    </row>
    <row r="521">
      <c r="A521" s="5" t="n">
        <v>46001</v>
      </c>
      <c r="B521" t="inlineStr">
        <is>
          <t>J-0207</t>
        </is>
      </c>
      <c r="C521" t="n">
        <v>1</v>
      </c>
      <c r="D521" t="inlineStr">
        <is>
          <t>1100</t>
        </is>
      </c>
      <c r="E521" t="inlineStr">
        <is>
          <t>Accounts Receivable</t>
        </is>
      </c>
      <c r="F521" s="6" t="n">
        <v>715471.35</v>
      </c>
      <c r="G521" s="6" t="n">
        <v>0</v>
      </c>
      <c r="H521" t="inlineStr">
        <is>
          <t>Sales invoice INV-202512-6</t>
        </is>
      </c>
      <c r="I521" t="inlineStr">
        <is>
          <t>Verma Kirana Mart</t>
        </is>
      </c>
      <c r="J521">
        <f>YEAR(A521)*12+MONTH(A521)</f>
        <v/>
      </c>
    </row>
    <row r="522">
      <c r="A522" s="5" t="n">
        <v>46001</v>
      </c>
      <c r="B522" t="inlineStr">
        <is>
          <t>J-0207</t>
        </is>
      </c>
      <c r="C522" t="n">
        <v>2</v>
      </c>
      <c r="D522" t="inlineStr">
        <is>
          <t>4000</t>
        </is>
      </c>
      <c r="E522" t="inlineStr">
        <is>
          <t>Sales Revenue</t>
        </is>
      </c>
      <c r="F522" s="6" t="n">
        <v>0</v>
      </c>
      <c r="G522" s="6" t="n">
        <v>606331.65</v>
      </c>
      <c r="H522" t="inlineStr">
        <is>
          <t>Sales invoice INV-202512-6</t>
        </is>
      </c>
      <c r="I522" t="inlineStr">
        <is>
          <t>Verma Kirana Mart</t>
        </is>
      </c>
      <c r="J522">
        <f>YEAR(A522)*12+MONTH(A522)</f>
        <v/>
      </c>
    </row>
    <row r="523">
      <c r="A523" s="5" t="n">
        <v>46001</v>
      </c>
      <c r="B523" t="inlineStr">
        <is>
          <t>J-0207</t>
        </is>
      </c>
      <c r="C523" t="n">
        <v>3</v>
      </c>
      <c r="D523" t="inlineStr">
        <is>
          <t>2100</t>
        </is>
      </c>
      <c r="E523" t="inlineStr">
        <is>
          <t>GST Payable</t>
        </is>
      </c>
      <c r="F523" s="6" t="n">
        <v>0</v>
      </c>
      <c r="G523" s="6" t="n">
        <v>109139.7</v>
      </c>
      <c r="H523" t="inlineStr">
        <is>
          <t>Sales invoice INV-202512-6</t>
        </is>
      </c>
      <c r="I523" t="inlineStr">
        <is>
          <t>GST</t>
        </is>
      </c>
      <c r="J523">
        <f>YEAR(A523)*12+MONTH(A523)</f>
        <v/>
      </c>
    </row>
    <row r="524">
      <c r="A524" s="5" t="n">
        <v>45994</v>
      </c>
      <c r="B524" t="inlineStr">
        <is>
          <t>J-0208</t>
        </is>
      </c>
      <c r="C524" t="n">
        <v>1</v>
      </c>
      <c r="D524" t="inlineStr">
        <is>
          <t>1100</t>
        </is>
      </c>
      <c r="E524" t="inlineStr">
        <is>
          <t>Accounts Receivable</t>
        </is>
      </c>
      <c r="F524" s="6" t="n">
        <v>434826.4</v>
      </c>
      <c r="G524" s="6" t="n">
        <v>0</v>
      </c>
      <c r="H524" t="inlineStr">
        <is>
          <t>Sales invoice INV-202512-7</t>
        </is>
      </c>
      <c r="I524" t="inlineStr">
        <is>
          <t>Kumari Provision Store</t>
        </is>
      </c>
      <c r="J524">
        <f>YEAR(A524)*12+MONTH(A524)</f>
        <v/>
      </c>
    </row>
    <row r="525">
      <c r="A525" s="5" t="n">
        <v>45994</v>
      </c>
      <c r="B525" t="inlineStr">
        <is>
          <t>J-0208</t>
        </is>
      </c>
      <c r="C525" t="n">
        <v>2</v>
      </c>
      <c r="D525" t="inlineStr">
        <is>
          <t>4000</t>
        </is>
      </c>
      <c r="E525" t="inlineStr">
        <is>
          <t>Sales Revenue</t>
        </is>
      </c>
      <c r="F525" s="6" t="n">
        <v>0</v>
      </c>
      <c r="G525" s="6" t="n">
        <v>368496.95</v>
      </c>
      <c r="H525" t="inlineStr">
        <is>
          <t>Sales invoice INV-202512-7</t>
        </is>
      </c>
      <c r="I525" t="inlineStr">
        <is>
          <t>Kumari Provision Store</t>
        </is>
      </c>
      <c r="J525">
        <f>YEAR(A525)*12+MONTH(A525)</f>
        <v/>
      </c>
    </row>
    <row r="526">
      <c r="A526" s="5" t="n">
        <v>45994</v>
      </c>
      <c r="B526" t="inlineStr">
        <is>
          <t>J-0208</t>
        </is>
      </c>
      <c r="C526" t="n">
        <v>3</v>
      </c>
      <c r="D526" t="inlineStr">
        <is>
          <t>2100</t>
        </is>
      </c>
      <c r="E526" t="inlineStr">
        <is>
          <t>GST Payable</t>
        </is>
      </c>
      <c r="F526" s="6" t="n">
        <v>0</v>
      </c>
      <c r="G526" s="6" t="n">
        <v>66329.45</v>
      </c>
      <c r="H526" t="inlineStr">
        <is>
          <t>Sales invoice INV-202512-7</t>
        </is>
      </c>
      <c r="I526" t="inlineStr">
        <is>
          <t>GST</t>
        </is>
      </c>
      <c r="J526">
        <f>YEAR(A526)*12+MONTH(A526)</f>
        <v/>
      </c>
    </row>
    <row r="527">
      <c r="A527" s="5" t="n">
        <v>46018</v>
      </c>
      <c r="B527" t="inlineStr">
        <is>
          <t>J-0209</t>
        </is>
      </c>
      <c r="C527" t="n">
        <v>1</v>
      </c>
      <c r="D527" t="inlineStr">
        <is>
          <t>5000</t>
        </is>
      </c>
      <c r="E527" t="inlineStr">
        <is>
          <t>Cost of Goods Sold</t>
        </is>
      </c>
      <c r="F527" s="6" t="n">
        <v>2202958.83</v>
      </c>
      <c r="G527" s="6" t="n">
        <v>0</v>
      </c>
      <c r="H527" t="inlineStr">
        <is>
          <t>Cost of goods sold - monthly</t>
        </is>
      </c>
      <c r="I527" t="inlineStr"/>
      <c r="J527">
        <f>YEAR(A527)*12+MONTH(A527)</f>
        <v/>
      </c>
    </row>
    <row r="528">
      <c r="A528" s="5" t="n">
        <v>46018</v>
      </c>
      <c r="B528" t="inlineStr">
        <is>
          <t>J-0209</t>
        </is>
      </c>
      <c r="C528" t="n">
        <v>2</v>
      </c>
      <c r="D528" t="inlineStr">
        <is>
          <t>1200</t>
        </is>
      </c>
      <c r="E528" t="inlineStr">
        <is>
          <t>Inventory</t>
        </is>
      </c>
      <c r="F528" s="6" t="n">
        <v>0</v>
      </c>
      <c r="G528" s="6" t="n">
        <v>2202958.83</v>
      </c>
      <c r="H528" t="inlineStr">
        <is>
          <t>Cost of goods sold - monthly</t>
        </is>
      </c>
      <c r="I528" t="inlineStr"/>
      <c r="J528">
        <f>YEAR(A528)*12+MONTH(A528)</f>
        <v/>
      </c>
    </row>
    <row r="529">
      <c r="A529" s="5" t="n">
        <v>46019</v>
      </c>
      <c r="B529" t="inlineStr">
        <is>
          <t>J-0210</t>
        </is>
      </c>
      <c r="C529" t="n">
        <v>1</v>
      </c>
      <c r="D529" t="inlineStr">
        <is>
          <t>1000</t>
        </is>
      </c>
      <c r="E529" t="inlineStr">
        <is>
          <t>Cash &amp; Bank</t>
        </is>
      </c>
      <c r="F529" s="6" t="n">
        <v>3203919.26</v>
      </c>
      <c r="G529" s="6" t="n">
        <v>0</v>
      </c>
      <c r="H529" t="inlineStr">
        <is>
          <t>Customer receipts</t>
        </is>
      </c>
      <c r="I529" t="inlineStr"/>
      <c r="J529">
        <f>YEAR(A529)*12+MONTH(A529)</f>
        <v/>
      </c>
    </row>
    <row r="530">
      <c r="A530" s="5" t="n">
        <v>46019</v>
      </c>
      <c r="B530" t="inlineStr">
        <is>
          <t>J-0210</t>
        </is>
      </c>
      <c r="C530" t="n">
        <v>2</v>
      </c>
      <c r="D530" t="inlineStr">
        <is>
          <t>1100</t>
        </is>
      </c>
      <c r="E530" t="inlineStr">
        <is>
          <t>Accounts Receivable</t>
        </is>
      </c>
      <c r="F530" s="6" t="n">
        <v>0</v>
      </c>
      <c r="G530" s="6" t="n">
        <v>3203919.26</v>
      </c>
      <c r="H530" t="inlineStr">
        <is>
          <t>Customer receipts</t>
        </is>
      </c>
      <c r="I530" t="inlineStr"/>
      <c r="J530">
        <f>YEAR(A530)*12+MONTH(A530)</f>
        <v/>
      </c>
    </row>
    <row r="531">
      <c r="A531" s="5" t="n">
        <v>46010</v>
      </c>
      <c r="B531" t="inlineStr">
        <is>
          <t>J-0211</t>
        </is>
      </c>
      <c r="C531" t="n">
        <v>1</v>
      </c>
      <c r="D531" t="inlineStr">
        <is>
          <t>1200</t>
        </is>
      </c>
      <c r="E531" t="inlineStr">
        <is>
          <t>Inventory</t>
        </is>
      </c>
      <c r="F531" s="6" t="n">
        <v>417073.91</v>
      </c>
      <c r="G531" s="6" t="n">
        <v>0</v>
      </c>
      <c r="H531" t="inlineStr">
        <is>
          <t>Purchase bill PB-202512-1</t>
        </is>
      </c>
      <c r="I531" t="inlineStr">
        <is>
          <t>Ganga Logistics Pvt Ltd</t>
        </is>
      </c>
      <c r="J531">
        <f>YEAR(A531)*12+MONTH(A531)</f>
        <v/>
      </c>
    </row>
    <row r="532">
      <c r="A532" s="5" t="n">
        <v>46010</v>
      </c>
      <c r="B532" t="inlineStr">
        <is>
          <t>J-0211</t>
        </is>
      </c>
      <c r="C532" t="n">
        <v>2</v>
      </c>
      <c r="D532" t="inlineStr">
        <is>
          <t>1300</t>
        </is>
      </c>
      <c r="E532" t="inlineStr">
        <is>
          <t>GST Input Credit</t>
        </is>
      </c>
      <c r="F532" s="6" t="n">
        <v>75073.3</v>
      </c>
      <c r="G532" s="6" t="n">
        <v>0</v>
      </c>
      <c r="H532" t="inlineStr">
        <is>
          <t>Purchase bill PB-202512-1</t>
        </is>
      </c>
      <c r="I532" t="inlineStr">
        <is>
          <t>Ganga Logistics Pvt Ltd</t>
        </is>
      </c>
      <c r="J532">
        <f>YEAR(A532)*12+MONTH(A532)</f>
        <v/>
      </c>
    </row>
    <row r="533">
      <c r="A533" s="5" t="n">
        <v>46010</v>
      </c>
      <c r="B533" t="inlineStr">
        <is>
          <t>J-0211</t>
        </is>
      </c>
      <c r="C533" t="n">
        <v>3</v>
      </c>
      <c r="D533" t="inlineStr">
        <is>
          <t>2000</t>
        </is>
      </c>
      <c r="E533" t="inlineStr">
        <is>
          <t>Accounts Payable</t>
        </is>
      </c>
      <c r="F533" s="6" t="n">
        <v>0</v>
      </c>
      <c r="G533" s="6" t="n">
        <v>492147.21</v>
      </c>
      <c r="H533" t="inlineStr">
        <is>
          <t>Purchase bill PB-202512-1</t>
        </is>
      </c>
      <c r="I533" t="inlineStr">
        <is>
          <t>Ganga Logistics Pvt Ltd</t>
        </is>
      </c>
      <c r="J533">
        <f>YEAR(A533)*12+MONTH(A533)</f>
        <v/>
      </c>
    </row>
    <row r="534">
      <c r="A534" s="5" t="n">
        <v>46000</v>
      </c>
      <c r="B534" t="inlineStr">
        <is>
          <t>J-0212</t>
        </is>
      </c>
      <c r="C534" t="n">
        <v>1</v>
      </c>
      <c r="D534" t="inlineStr">
        <is>
          <t>1200</t>
        </is>
      </c>
      <c r="E534" t="inlineStr">
        <is>
          <t>Inventory</t>
        </is>
      </c>
      <c r="F534" s="6" t="n">
        <v>381375.85</v>
      </c>
      <c r="G534" s="6" t="n">
        <v>0</v>
      </c>
      <c r="H534" t="inlineStr">
        <is>
          <t>Purchase bill PB-202512-2</t>
        </is>
      </c>
      <c r="I534" t="inlineStr">
        <is>
          <t>Ganga Logistics Pvt Ltd</t>
        </is>
      </c>
      <c r="J534">
        <f>YEAR(A534)*12+MONTH(A534)</f>
        <v/>
      </c>
    </row>
    <row r="535">
      <c r="A535" s="5" t="n">
        <v>46000</v>
      </c>
      <c r="B535" t="inlineStr">
        <is>
          <t>J-0212</t>
        </is>
      </c>
      <c r="C535" t="n">
        <v>2</v>
      </c>
      <c r="D535" t="inlineStr">
        <is>
          <t>1300</t>
        </is>
      </c>
      <c r="E535" t="inlineStr">
        <is>
          <t>GST Input Credit</t>
        </is>
      </c>
      <c r="F535" s="6" t="n">
        <v>68647.64999999999</v>
      </c>
      <c r="G535" s="6" t="n">
        <v>0</v>
      </c>
      <c r="H535" t="inlineStr">
        <is>
          <t>Purchase bill PB-202512-2</t>
        </is>
      </c>
      <c r="I535" t="inlineStr">
        <is>
          <t>Ganga Logistics Pvt Ltd</t>
        </is>
      </c>
      <c r="J535">
        <f>YEAR(A535)*12+MONTH(A535)</f>
        <v/>
      </c>
    </row>
    <row r="536">
      <c r="A536" s="5" t="n">
        <v>46000</v>
      </c>
      <c r="B536" t="inlineStr">
        <is>
          <t>J-0212</t>
        </is>
      </c>
      <c r="C536" t="n">
        <v>3</v>
      </c>
      <c r="D536" t="inlineStr">
        <is>
          <t>2000</t>
        </is>
      </c>
      <c r="E536" t="inlineStr">
        <is>
          <t>Accounts Payable</t>
        </is>
      </c>
      <c r="F536" s="6" t="n">
        <v>0</v>
      </c>
      <c r="G536" s="6" t="n">
        <v>450023.5</v>
      </c>
      <c r="H536" t="inlineStr">
        <is>
          <t>Purchase bill PB-202512-2</t>
        </is>
      </c>
      <c r="I536" t="inlineStr">
        <is>
          <t>Ganga Logistics Pvt Ltd</t>
        </is>
      </c>
      <c r="J536">
        <f>YEAR(A536)*12+MONTH(A536)</f>
        <v/>
      </c>
    </row>
    <row r="537">
      <c r="A537" s="5" t="n">
        <v>45994</v>
      </c>
      <c r="B537" t="inlineStr">
        <is>
          <t>J-0213</t>
        </is>
      </c>
      <c r="C537" t="n">
        <v>1</v>
      </c>
      <c r="D537" t="inlineStr">
        <is>
          <t>1200</t>
        </is>
      </c>
      <c r="E537" t="inlineStr">
        <is>
          <t>Inventory</t>
        </is>
      </c>
      <c r="F537" s="6" t="n">
        <v>406446.45</v>
      </c>
      <c r="G537" s="6" t="n">
        <v>0</v>
      </c>
      <c r="H537" t="inlineStr">
        <is>
          <t>Purchase bill PB-202512-3</t>
        </is>
      </c>
      <c r="I537" t="inlineStr">
        <is>
          <t>Eastern Packaging Co</t>
        </is>
      </c>
      <c r="J537">
        <f>YEAR(A537)*12+MONTH(A537)</f>
        <v/>
      </c>
    </row>
    <row r="538">
      <c r="A538" s="5" t="n">
        <v>45994</v>
      </c>
      <c r="B538" t="inlineStr">
        <is>
          <t>J-0213</t>
        </is>
      </c>
      <c r="C538" t="n">
        <v>2</v>
      </c>
      <c r="D538" t="inlineStr">
        <is>
          <t>1300</t>
        </is>
      </c>
      <c r="E538" t="inlineStr">
        <is>
          <t>GST Input Credit</t>
        </is>
      </c>
      <c r="F538" s="6" t="n">
        <v>73160.36</v>
      </c>
      <c r="G538" s="6" t="n">
        <v>0</v>
      </c>
      <c r="H538" t="inlineStr">
        <is>
          <t>Purchase bill PB-202512-3</t>
        </is>
      </c>
      <c r="I538" t="inlineStr">
        <is>
          <t>Eastern Packaging Co</t>
        </is>
      </c>
      <c r="J538">
        <f>YEAR(A538)*12+MONTH(A538)</f>
        <v/>
      </c>
    </row>
    <row r="539">
      <c r="A539" s="5" t="n">
        <v>45994</v>
      </c>
      <c r="B539" t="inlineStr">
        <is>
          <t>J-0213</t>
        </is>
      </c>
      <c r="C539" t="n">
        <v>3</v>
      </c>
      <c r="D539" t="inlineStr">
        <is>
          <t>2000</t>
        </is>
      </c>
      <c r="E539" t="inlineStr">
        <is>
          <t>Accounts Payable</t>
        </is>
      </c>
      <c r="F539" s="6" t="n">
        <v>0</v>
      </c>
      <c r="G539" s="6" t="n">
        <v>479606.81</v>
      </c>
      <c r="H539" t="inlineStr">
        <is>
          <t>Purchase bill PB-202512-3</t>
        </is>
      </c>
      <c r="I539" t="inlineStr">
        <is>
          <t>Eastern Packaging Co</t>
        </is>
      </c>
      <c r="J539">
        <f>YEAR(A539)*12+MONTH(A539)</f>
        <v/>
      </c>
    </row>
    <row r="540">
      <c r="A540" s="5" t="n">
        <v>46000</v>
      </c>
      <c r="B540" t="inlineStr">
        <is>
          <t>J-0214</t>
        </is>
      </c>
      <c r="C540" t="n">
        <v>1</v>
      </c>
      <c r="D540" t="inlineStr">
        <is>
          <t>1200</t>
        </is>
      </c>
      <c r="E540" t="inlineStr">
        <is>
          <t>Inventory</t>
        </is>
      </c>
      <c r="F540" s="6" t="n">
        <v>454252.21</v>
      </c>
      <c r="G540" s="6" t="n">
        <v>0</v>
      </c>
      <c r="H540" t="inlineStr">
        <is>
          <t>Purchase bill PB-202512-4</t>
        </is>
      </c>
      <c r="I540" t="inlineStr">
        <is>
          <t>Ganga Logistics Pvt Ltd</t>
        </is>
      </c>
      <c r="J540">
        <f>YEAR(A540)*12+MONTH(A540)</f>
        <v/>
      </c>
    </row>
    <row r="541">
      <c r="A541" s="5" t="n">
        <v>46000</v>
      </c>
      <c r="B541" t="inlineStr">
        <is>
          <t>J-0214</t>
        </is>
      </c>
      <c r="C541" t="n">
        <v>2</v>
      </c>
      <c r="D541" t="inlineStr">
        <is>
          <t>1300</t>
        </is>
      </c>
      <c r="E541" t="inlineStr">
        <is>
          <t>GST Input Credit</t>
        </is>
      </c>
      <c r="F541" s="6" t="n">
        <v>81765.39999999999</v>
      </c>
      <c r="G541" s="6" t="n">
        <v>0</v>
      </c>
      <c r="H541" t="inlineStr">
        <is>
          <t>Purchase bill PB-202512-4</t>
        </is>
      </c>
      <c r="I541" t="inlineStr">
        <is>
          <t>Ganga Logistics Pvt Ltd</t>
        </is>
      </c>
      <c r="J541">
        <f>YEAR(A541)*12+MONTH(A541)</f>
        <v/>
      </c>
    </row>
    <row r="542">
      <c r="A542" s="5" t="n">
        <v>46000</v>
      </c>
      <c r="B542" t="inlineStr">
        <is>
          <t>J-0214</t>
        </is>
      </c>
      <c r="C542" t="n">
        <v>3</v>
      </c>
      <c r="D542" t="inlineStr">
        <is>
          <t>2000</t>
        </is>
      </c>
      <c r="E542" t="inlineStr">
        <is>
          <t>Accounts Payable</t>
        </is>
      </c>
      <c r="F542" s="6" t="n">
        <v>0</v>
      </c>
      <c r="G542" s="6" t="n">
        <v>536017.61</v>
      </c>
      <c r="H542" t="inlineStr">
        <is>
          <t>Purchase bill PB-202512-4</t>
        </is>
      </c>
      <c r="I542" t="inlineStr">
        <is>
          <t>Ganga Logistics Pvt Ltd</t>
        </is>
      </c>
      <c r="J542">
        <f>YEAR(A542)*12+MONTH(A542)</f>
        <v/>
      </c>
    </row>
    <row r="543">
      <c r="A543" s="5" t="n">
        <v>46004</v>
      </c>
      <c r="B543" t="inlineStr">
        <is>
          <t>J-0215</t>
        </is>
      </c>
      <c r="C543" t="n">
        <v>1</v>
      </c>
      <c r="D543" t="inlineStr">
        <is>
          <t>1200</t>
        </is>
      </c>
      <c r="E543" t="inlineStr">
        <is>
          <t>Inventory</t>
        </is>
      </c>
      <c r="F543" s="6" t="n">
        <v>426185.22</v>
      </c>
      <c r="G543" s="6" t="n">
        <v>0</v>
      </c>
      <c r="H543" t="inlineStr">
        <is>
          <t>Purchase bill PB-202512-5</t>
        </is>
      </c>
      <c r="I543" t="inlineStr">
        <is>
          <t>Hindustan Foods Ltd</t>
        </is>
      </c>
      <c r="J543">
        <f>YEAR(A543)*12+MONTH(A543)</f>
        <v/>
      </c>
    </row>
    <row r="544">
      <c r="A544" s="5" t="n">
        <v>46004</v>
      </c>
      <c r="B544" t="inlineStr">
        <is>
          <t>J-0215</t>
        </is>
      </c>
      <c r="C544" t="n">
        <v>2</v>
      </c>
      <c r="D544" t="inlineStr">
        <is>
          <t>1300</t>
        </is>
      </c>
      <c r="E544" t="inlineStr">
        <is>
          <t>GST Input Credit</t>
        </is>
      </c>
      <c r="F544" s="6" t="n">
        <v>76713.34</v>
      </c>
      <c r="G544" s="6" t="n">
        <v>0</v>
      </c>
      <c r="H544" t="inlineStr">
        <is>
          <t>Purchase bill PB-202512-5</t>
        </is>
      </c>
      <c r="I544" t="inlineStr">
        <is>
          <t>Hindustan Foods Ltd</t>
        </is>
      </c>
      <c r="J544">
        <f>YEAR(A544)*12+MONTH(A544)</f>
        <v/>
      </c>
    </row>
    <row r="545">
      <c r="A545" s="5" t="n">
        <v>46004</v>
      </c>
      <c r="B545" t="inlineStr">
        <is>
          <t>J-0215</t>
        </is>
      </c>
      <c r="C545" t="n">
        <v>3</v>
      </c>
      <c r="D545" t="inlineStr">
        <is>
          <t>2000</t>
        </is>
      </c>
      <c r="E545" t="inlineStr">
        <is>
          <t>Accounts Payable</t>
        </is>
      </c>
      <c r="F545" s="6" t="n">
        <v>0</v>
      </c>
      <c r="G545" s="6" t="n">
        <v>502898.56</v>
      </c>
      <c r="H545" t="inlineStr">
        <is>
          <t>Purchase bill PB-202512-5</t>
        </is>
      </c>
      <c r="I545" t="inlineStr">
        <is>
          <t>Hindustan Foods Ltd</t>
        </is>
      </c>
      <c r="J545">
        <f>YEAR(A545)*12+MONTH(A545)</f>
        <v/>
      </c>
    </row>
    <row r="546">
      <c r="A546" s="5" t="n">
        <v>46020</v>
      </c>
      <c r="B546" t="inlineStr">
        <is>
          <t>J-0216</t>
        </is>
      </c>
      <c r="C546" t="n">
        <v>1</v>
      </c>
      <c r="D546" t="inlineStr">
        <is>
          <t>2000</t>
        </is>
      </c>
      <c r="E546" t="inlineStr">
        <is>
          <t>Accounts Payable</t>
        </is>
      </c>
      <c r="F546" s="6" t="n">
        <v>2425757.18</v>
      </c>
      <c r="G546" s="6" t="n">
        <v>0</v>
      </c>
      <c r="H546" t="inlineStr">
        <is>
          <t>Vendor payments</t>
        </is>
      </c>
      <c r="I546" t="inlineStr"/>
      <c r="J546">
        <f>YEAR(A546)*12+MONTH(A546)</f>
        <v/>
      </c>
    </row>
    <row r="547">
      <c r="A547" s="5" t="n">
        <v>46020</v>
      </c>
      <c r="B547" t="inlineStr">
        <is>
          <t>J-0216</t>
        </is>
      </c>
      <c r="C547" t="n">
        <v>2</v>
      </c>
      <c r="D547" t="inlineStr">
        <is>
          <t>1000</t>
        </is>
      </c>
      <c r="E547" t="inlineStr">
        <is>
          <t>Cash &amp; Bank</t>
        </is>
      </c>
      <c r="F547" s="6" t="n">
        <v>0</v>
      </c>
      <c r="G547" s="6" t="n">
        <v>2425757.18</v>
      </c>
      <c r="H547" t="inlineStr">
        <is>
          <t>Vendor payments</t>
        </is>
      </c>
      <c r="I547" t="inlineStr"/>
      <c r="J547">
        <f>YEAR(A547)*12+MONTH(A547)</f>
        <v/>
      </c>
    </row>
    <row r="548">
      <c r="A548" s="5" t="n">
        <v>46021</v>
      </c>
      <c r="B548" t="inlineStr">
        <is>
          <t>J-0217</t>
        </is>
      </c>
      <c r="C548" t="n">
        <v>1</v>
      </c>
      <c r="D548" t="inlineStr">
        <is>
          <t>2100</t>
        </is>
      </c>
      <c r="E548" t="inlineStr">
        <is>
          <t>GST Payable</t>
        </is>
      </c>
      <c r="F548" s="6" t="n">
        <v>173846.14</v>
      </c>
      <c r="G548" s="6" t="n">
        <v>0</v>
      </c>
      <c r="H548" t="inlineStr">
        <is>
          <t>GST paid for month</t>
        </is>
      </c>
      <c r="I548" t="inlineStr">
        <is>
          <t>GST</t>
        </is>
      </c>
      <c r="J548">
        <f>YEAR(A548)*12+MONTH(A548)</f>
        <v/>
      </c>
    </row>
    <row r="549">
      <c r="A549" s="5" t="n">
        <v>46021</v>
      </c>
      <c r="B549" t="inlineStr">
        <is>
          <t>J-0217</t>
        </is>
      </c>
      <c r="C549" t="n">
        <v>2</v>
      </c>
      <c r="D549" t="inlineStr">
        <is>
          <t>1000</t>
        </is>
      </c>
      <c r="E549" t="inlineStr">
        <is>
          <t>Cash &amp; Bank</t>
        </is>
      </c>
      <c r="F549" s="6" t="n">
        <v>0</v>
      </c>
      <c r="G549" s="6" t="n">
        <v>173846.14</v>
      </c>
      <c r="H549" t="inlineStr">
        <is>
          <t>GST paid for month</t>
        </is>
      </c>
      <c r="I549" t="inlineStr">
        <is>
          <t>GST</t>
        </is>
      </c>
      <c r="J549">
        <f>YEAR(A549)*12+MONTH(A549)</f>
        <v/>
      </c>
    </row>
    <row r="550">
      <c r="A550" s="5" t="n">
        <v>45996</v>
      </c>
      <c r="B550" t="inlineStr">
        <is>
          <t>J-0218</t>
        </is>
      </c>
      <c r="C550" t="n">
        <v>1</v>
      </c>
      <c r="D550" t="inlineStr">
        <is>
          <t>5100</t>
        </is>
      </c>
      <c r="E550" t="inlineStr">
        <is>
          <t>Rent Expense</t>
        </is>
      </c>
      <c r="F550" s="6" t="n">
        <v>25000</v>
      </c>
      <c r="G550" s="6" t="n">
        <v>0</v>
      </c>
      <c r="H550" t="inlineStr">
        <is>
          <t>Office rent</t>
        </is>
      </c>
      <c r="I550" t="inlineStr"/>
      <c r="J550">
        <f>YEAR(A550)*12+MONTH(A550)</f>
        <v/>
      </c>
    </row>
    <row r="551">
      <c r="A551" s="5" t="n">
        <v>45996</v>
      </c>
      <c r="B551" t="inlineStr">
        <is>
          <t>J-0218</t>
        </is>
      </c>
      <c r="C551" t="n">
        <v>2</v>
      </c>
      <c r="D551" t="inlineStr">
        <is>
          <t>1000</t>
        </is>
      </c>
      <c r="E551" t="inlineStr">
        <is>
          <t>Cash &amp; Bank</t>
        </is>
      </c>
      <c r="F551" s="6" t="n">
        <v>0</v>
      </c>
      <c r="G551" s="6" t="n">
        <v>25000</v>
      </c>
      <c r="H551" t="inlineStr">
        <is>
          <t>Office rent</t>
        </is>
      </c>
      <c r="I551" t="inlineStr"/>
      <c r="J551">
        <f>YEAR(A551)*12+MONTH(A551)</f>
        <v/>
      </c>
    </row>
    <row r="552">
      <c r="A552" s="5" t="n">
        <v>45998</v>
      </c>
      <c r="B552" t="inlineStr">
        <is>
          <t>J-0219</t>
        </is>
      </c>
      <c r="C552" t="n">
        <v>1</v>
      </c>
      <c r="D552" t="inlineStr">
        <is>
          <t>5200</t>
        </is>
      </c>
      <c r="E552" t="inlineStr">
        <is>
          <t>Salaries Expense</t>
        </is>
      </c>
      <c r="F552" s="6" t="n">
        <v>110718.9</v>
      </c>
      <c r="G552" s="6" t="n">
        <v>0</v>
      </c>
      <c r="H552" t="inlineStr">
        <is>
          <t>Staff salaries</t>
        </is>
      </c>
      <c r="I552" t="inlineStr"/>
      <c r="J552">
        <f>YEAR(A552)*12+MONTH(A552)</f>
        <v/>
      </c>
    </row>
    <row r="553">
      <c r="A553" s="5" t="n">
        <v>45998</v>
      </c>
      <c r="B553" t="inlineStr">
        <is>
          <t>J-0219</t>
        </is>
      </c>
      <c r="C553" t="n">
        <v>2</v>
      </c>
      <c r="D553" t="inlineStr">
        <is>
          <t>1000</t>
        </is>
      </c>
      <c r="E553" t="inlineStr">
        <is>
          <t>Cash &amp; Bank</t>
        </is>
      </c>
      <c r="F553" s="6" t="n">
        <v>0</v>
      </c>
      <c r="G553" s="6" t="n">
        <v>110718.9</v>
      </c>
      <c r="H553" t="inlineStr">
        <is>
          <t>Staff salaries</t>
        </is>
      </c>
      <c r="I553" t="inlineStr"/>
      <c r="J553">
        <f>YEAR(A553)*12+MONTH(A553)</f>
        <v/>
      </c>
    </row>
    <row r="554">
      <c r="A554" s="5" t="n">
        <v>46003</v>
      </c>
      <c r="B554" t="inlineStr">
        <is>
          <t>J-0220</t>
        </is>
      </c>
      <c r="C554" t="n">
        <v>1</v>
      </c>
      <c r="D554" t="inlineStr">
        <is>
          <t>5300</t>
        </is>
      </c>
      <c r="E554" t="inlineStr">
        <is>
          <t>Utilities Expense</t>
        </is>
      </c>
      <c r="F554" s="6" t="n">
        <v>7311.56</v>
      </c>
      <c r="G554" s="6" t="n">
        <v>0</v>
      </c>
      <c r="H554" t="inlineStr">
        <is>
          <t>Utilities (power/water/phone)</t>
        </is>
      </c>
      <c r="I554" t="inlineStr"/>
      <c r="J554">
        <f>YEAR(A554)*12+MONTH(A554)</f>
        <v/>
      </c>
    </row>
    <row r="555">
      <c r="A555" s="5" t="n">
        <v>46003</v>
      </c>
      <c r="B555" t="inlineStr">
        <is>
          <t>J-0220</t>
        </is>
      </c>
      <c r="C555" t="n">
        <v>2</v>
      </c>
      <c r="D555" t="inlineStr">
        <is>
          <t>1000</t>
        </is>
      </c>
      <c r="E555" t="inlineStr">
        <is>
          <t>Cash &amp; Bank</t>
        </is>
      </c>
      <c r="F555" s="6" t="n">
        <v>0</v>
      </c>
      <c r="G555" s="6" t="n">
        <v>7311.56</v>
      </c>
      <c r="H555" t="inlineStr">
        <is>
          <t>Utilities (power/water/phone)</t>
        </is>
      </c>
      <c r="I555" t="inlineStr"/>
      <c r="J555">
        <f>YEAR(A555)*12+MONTH(A555)</f>
        <v/>
      </c>
    </row>
    <row r="556">
      <c r="A556" s="5" t="n">
        <v>46009</v>
      </c>
      <c r="B556" t="inlineStr">
        <is>
          <t>J-0221</t>
        </is>
      </c>
      <c r="C556" t="n">
        <v>1</v>
      </c>
      <c r="D556" t="inlineStr">
        <is>
          <t>5400</t>
        </is>
      </c>
      <c r="E556" t="inlineStr">
        <is>
          <t>Transport &amp; Logistics</t>
        </is>
      </c>
      <c r="F556" s="6" t="n">
        <v>21300.33</v>
      </c>
      <c r="G556" s="6" t="n">
        <v>0</v>
      </c>
      <c r="H556" t="inlineStr">
        <is>
          <t>Transport &amp; logistics</t>
        </is>
      </c>
      <c r="I556" t="inlineStr"/>
      <c r="J556">
        <f>YEAR(A556)*12+MONTH(A556)</f>
        <v/>
      </c>
    </row>
    <row r="557">
      <c r="A557" s="5" t="n">
        <v>46009</v>
      </c>
      <c r="B557" t="inlineStr">
        <is>
          <t>J-0221</t>
        </is>
      </c>
      <c r="C557" t="n">
        <v>2</v>
      </c>
      <c r="D557" t="inlineStr">
        <is>
          <t>1000</t>
        </is>
      </c>
      <c r="E557" t="inlineStr">
        <is>
          <t>Cash &amp; Bank</t>
        </is>
      </c>
      <c r="F557" s="6" t="n">
        <v>0</v>
      </c>
      <c r="G557" s="6" t="n">
        <v>21300.33</v>
      </c>
      <c r="H557" t="inlineStr">
        <is>
          <t>Transport &amp; logistics</t>
        </is>
      </c>
      <c r="I557" t="inlineStr"/>
      <c r="J557">
        <f>YEAR(A557)*12+MONTH(A557)</f>
        <v/>
      </c>
    </row>
    <row r="558">
      <c r="A558" s="5" t="n">
        <v>46011</v>
      </c>
      <c r="B558" t="inlineStr">
        <is>
          <t>J-0222</t>
        </is>
      </c>
      <c r="C558" t="n">
        <v>1</v>
      </c>
      <c r="D558" t="inlineStr">
        <is>
          <t>5500</t>
        </is>
      </c>
      <c r="E558" t="inlineStr">
        <is>
          <t>Marketing Expense</t>
        </is>
      </c>
      <c r="F558" s="6" t="n">
        <v>16056.98</v>
      </c>
      <c r="G558" s="6" t="n">
        <v>0</v>
      </c>
      <c r="H558" t="inlineStr">
        <is>
          <t>Marketing &amp; promotions</t>
        </is>
      </c>
      <c r="I558" t="inlineStr"/>
      <c r="J558">
        <f>YEAR(A558)*12+MONTH(A558)</f>
        <v/>
      </c>
    </row>
    <row r="559">
      <c r="A559" s="5" t="n">
        <v>46011</v>
      </c>
      <c r="B559" t="inlineStr">
        <is>
          <t>J-0222</t>
        </is>
      </c>
      <c r="C559" t="n">
        <v>2</v>
      </c>
      <c r="D559" t="inlineStr">
        <is>
          <t>1000</t>
        </is>
      </c>
      <c r="E559" t="inlineStr">
        <is>
          <t>Cash &amp; Bank</t>
        </is>
      </c>
      <c r="F559" s="6" t="n">
        <v>0</v>
      </c>
      <c r="G559" s="6" t="n">
        <v>16056.98</v>
      </c>
      <c r="H559" t="inlineStr">
        <is>
          <t>Marketing &amp; promotions</t>
        </is>
      </c>
      <c r="I559" t="inlineStr"/>
      <c r="J559">
        <f>YEAR(A559)*12+MONTH(A559)</f>
        <v/>
      </c>
    </row>
    <row r="560">
      <c r="A560" s="5" t="n">
        <v>46001</v>
      </c>
      <c r="B560" t="inlineStr">
        <is>
          <t>J-0223</t>
        </is>
      </c>
      <c r="C560" t="n">
        <v>1</v>
      </c>
      <c r="D560" t="inlineStr">
        <is>
          <t>5600</t>
        </is>
      </c>
      <c r="E560" t="inlineStr">
        <is>
          <t>Interest Expense</t>
        </is>
      </c>
      <c r="F560" s="6" t="n">
        <v>9000</v>
      </c>
      <c r="G560" s="6" t="n">
        <v>0</v>
      </c>
      <c r="H560" t="inlineStr">
        <is>
          <t>Term loan interest</t>
        </is>
      </c>
      <c r="I560" t="inlineStr">
        <is>
          <t>HDFC</t>
        </is>
      </c>
      <c r="J560">
        <f>YEAR(A560)*12+MONTH(A560)</f>
        <v/>
      </c>
    </row>
    <row r="561">
      <c r="A561" s="5" t="n">
        <v>46001</v>
      </c>
      <c r="B561" t="inlineStr">
        <is>
          <t>J-0223</t>
        </is>
      </c>
      <c r="C561" t="n">
        <v>2</v>
      </c>
      <c r="D561" t="inlineStr">
        <is>
          <t>1000</t>
        </is>
      </c>
      <c r="E561" t="inlineStr">
        <is>
          <t>Cash &amp; Bank</t>
        </is>
      </c>
      <c r="F561" s="6" t="n">
        <v>0</v>
      </c>
      <c r="G561" s="6" t="n">
        <v>9000</v>
      </c>
      <c r="H561" t="inlineStr">
        <is>
          <t>Term loan interest</t>
        </is>
      </c>
      <c r="I561" t="inlineStr">
        <is>
          <t>HDFC</t>
        </is>
      </c>
      <c r="J561">
        <f>YEAR(A561)*12+MONTH(A561)</f>
        <v/>
      </c>
    </row>
    <row r="562">
      <c r="A562" s="5" t="n">
        <v>46001</v>
      </c>
      <c r="B562" t="inlineStr">
        <is>
          <t>J-0224</t>
        </is>
      </c>
      <c r="C562" t="n">
        <v>1</v>
      </c>
      <c r="D562" t="inlineStr">
        <is>
          <t>2200</t>
        </is>
      </c>
      <c r="E562" t="inlineStr">
        <is>
          <t>Term Loan</t>
        </is>
      </c>
      <c r="F562" s="6" t="n">
        <v>55000</v>
      </c>
      <c r="G562" s="6" t="n">
        <v>0</v>
      </c>
      <c r="H562" t="inlineStr">
        <is>
          <t>Term loan principal repayment</t>
        </is>
      </c>
      <c r="I562" t="inlineStr">
        <is>
          <t>HDFC</t>
        </is>
      </c>
      <c r="J562">
        <f>YEAR(A562)*12+MONTH(A562)</f>
        <v/>
      </c>
    </row>
    <row r="563">
      <c r="A563" s="5" t="n">
        <v>46001</v>
      </c>
      <c r="B563" t="inlineStr">
        <is>
          <t>J-0224</t>
        </is>
      </c>
      <c r="C563" t="n">
        <v>2</v>
      </c>
      <c r="D563" t="inlineStr">
        <is>
          <t>1000</t>
        </is>
      </c>
      <c r="E563" t="inlineStr">
        <is>
          <t>Cash &amp; Bank</t>
        </is>
      </c>
      <c r="F563" s="6" t="n">
        <v>0</v>
      </c>
      <c r="G563" s="6" t="n">
        <v>55000</v>
      </c>
      <c r="H563" t="inlineStr">
        <is>
          <t>Term loan principal repayment</t>
        </is>
      </c>
      <c r="I563" t="inlineStr">
        <is>
          <t>HDFC</t>
        </is>
      </c>
      <c r="J563">
        <f>YEAR(A563)*12+MONTH(A563)</f>
        <v/>
      </c>
    </row>
    <row r="564">
      <c r="A564" s="5" t="n">
        <v>46021</v>
      </c>
      <c r="B564" t="inlineStr">
        <is>
          <t>J-0225</t>
        </is>
      </c>
      <c r="C564" t="n">
        <v>1</v>
      </c>
      <c r="D564" t="inlineStr">
        <is>
          <t>5700</t>
        </is>
      </c>
      <c r="E564" t="inlineStr">
        <is>
          <t>Depreciation Expense</t>
        </is>
      </c>
      <c r="F564" s="6" t="n">
        <v>6000</v>
      </c>
      <c r="G564" s="6" t="n">
        <v>0</v>
      </c>
      <c r="H564" t="inlineStr">
        <is>
          <t>Depreciation - equipment</t>
        </is>
      </c>
      <c r="I564" t="inlineStr"/>
      <c r="J564">
        <f>YEAR(A564)*12+MONTH(A564)</f>
        <v/>
      </c>
    </row>
    <row r="565">
      <c r="A565" s="5" t="n">
        <v>46021</v>
      </c>
      <c r="B565" t="inlineStr">
        <is>
          <t>J-0225</t>
        </is>
      </c>
      <c r="C565" t="n">
        <v>2</v>
      </c>
      <c r="D565" t="inlineStr">
        <is>
          <t>1510</t>
        </is>
      </c>
      <c r="E565" t="inlineStr">
        <is>
          <t>Accumulated Depreciation</t>
        </is>
      </c>
      <c r="F565" s="6" t="n">
        <v>0</v>
      </c>
      <c r="G565" s="6" t="n">
        <v>6000</v>
      </c>
      <c r="H565" t="inlineStr">
        <is>
          <t>Depreciation - equipment</t>
        </is>
      </c>
      <c r="I565" t="inlineStr"/>
      <c r="J565">
        <f>YEAR(A565)*12+MONTH(A565)</f>
        <v/>
      </c>
    </row>
    <row r="566">
      <c r="A566" s="5" t="n">
        <v>46028</v>
      </c>
      <c r="B566" t="inlineStr">
        <is>
          <t>J-0226</t>
        </is>
      </c>
      <c r="C566" t="n">
        <v>1</v>
      </c>
      <c r="D566" t="inlineStr">
        <is>
          <t>1100</t>
        </is>
      </c>
      <c r="E566" t="inlineStr">
        <is>
          <t>Accounts Receivable</t>
        </is>
      </c>
      <c r="F566" s="6" t="n">
        <v>637208.11</v>
      </c>
      <c r="G566" s="6" t="n">
        <v>0</v>
      </c>
      <c r="H566" t="inlineStr">
        <is>
          <t>Sales invoice INV-202601-1</t>
        </is>
      </c>
      <c r="I566" t="inlineStr">
        <is>
          <t>Maa Vaishno Stores</t>
        </is>
      </c>
      <c r="J566">
        <f>YEAR(A566)*12+MONTH(A566)</f>
        <v/>
      </c>
    </row>
    <row r="567">
      <c r="A567" s="5" t="n">
        <v>46028</v>
      </c>
      <c r="B567" t="inlineStr">
        <is>
          <t>J-0226</t>
        </is>
      </c>
      <c r="C567" t="n">
        <v>2</v>
      </c>
      <c r="D567" t="inlineStr">
        <is>
          <t>4000</t>
        </is>
      </c>
      <c r="E567" t="inlineStr">
        <is>
          <t>Sales Revenue</t>
        </is>
      </c>
      <c r="F567" s="6" t="n">
        <v>0</v>
      </c>
      <c r="G567" s="6" t="n">
        <v>540006.87</v>
      </c>
      <c r="H567" t="inlineStr">
        <is>
          <t>Sales invoice INV-202601-1</t>
        </is>
      </c>
      <c r="I567" t="inlineStr">
        <is>
          <t>Maa Vaishno Stores</t>
        </is>
      </c>
      <c r="J567">
        <f>YEAR(A567)*12+MONTH(A567)</f>
        <v/>
      </c>
    </row>
    <row r="568">
      <c r="A568" s="5" t="n">
        <v>46028</v>
      </c>
      <c r="B568" t="inlineStr">
        <is>
          <t>J-0226</t>
        </is>
      </c>
      <c r="C568" t="n">
        <v>3</v>
      </c>
      <c r="D568" t="inlineStr">
        <is>
          <t>2100</t>
        </is>
      </c>
      <c r="E568" t="inlineStr">
        <is>
          <t>GST Payable</t>
        </is>
      </c>
      <c r="F568" s="6" t="n">
        <v>0</v>
      </c>
      <c r="G568" s="6" t="n">
        <v>97201.24000000001</v>
      </c>
      <c r="H568" t="inlineStr">
        <is>
          <t>Sales invoice INV-202601-1</t>
        </is>
      </c>
      <c r="I568" t="inlineStr">
        <is>
          <t>GST</t>
        </is>
      </c>
      <c r="J568">
        <f>YEAR(A568)*12+MONTH(A568)</f>
        <v/>
      </c>
    </row>
    <row r="569">
      <c r="A569" s="5" t="n">
        <v>46045</v>
      </c>
      <c r="B569" t="inlineStr">
        <is>
          <t>J-0227</t>
        </is>
      </c>
      <c r="C569" t="n">
        <v>1</v>
      </c>
      <c r="D569" t="inlineStr">
        <is>
          <t>1100</t>
        </is>
      </c>
      <c r="E569" t="inlineStr">
        <is>
          <t>Accounts Receivable</t>
        </is>
      </c>
      <c r="F569" s="6" t="n">
        <v>447470.2</v>
      </c>
      <c r="G569" s="6" t="n">
        <v>0</v>
      </c>
      <c r="H569" t="inlineStr">
        <is>
          <t>Sales invoice INV-202601-2</t>
        </is>
      </c>
      <c r="I569" t="inlineStr">
        <is>
          <t>New City Mart</t>
        </is>
      </c>
      <c r="J569">
        <f>YEAR(A569)*12+MONTH(A569)</f>
        <v/>
      </c>
    </row>
    <row r="570">
      <c r="A570" s="5" t="n">
        <v>46045</v>
      </c>
      <c r="B570" t="inlineStr">
        <is>
          <t>J-0227</t>
        </is>
      </c>
      <c r="C570" t="n">
        <v>2</v>
      </c>
      <c r="D570" t="inlineStr">
        <is>
          <t>4000</t>
        </is>
      </c>
      <c r="E570" t="inlineStr">
        <is>
          <t>Sales Revenue</t>
        </is>
      </c>
      <c r="F570" s="6" t="n">
        <v>0</v>
      </c>
      <c r="G570" s="6" t="n">
        <v>379212.03</v>
      </c>
      <c r="H570" t="inlineStr">
        <is>
          <t>Sales invoice INV-202601-2</t>
        </is>
      </c>
      <c r="I570" t="inlineStr">
        <is>
          <t>New City Mart</t>
        </is>
      </c>
      <c r="J570">
        <f>YEAR(A570)*12+MONTH(A570)</f>
        <v/>
      </c>
    </row>
    <row r="571">
      <c r="A571" s="5" t="n">
        <v>46045</v>
      </c>
      <c r="B571" t="inlineStr">
        <is>
          <t>J-0227</t>
        </is>
      </c>
      <c r="C571" t="n">
        <v>3</v>
      </c>
      <c r="D571" t="inlineStr">
        <is>
          <t>2100</t>
        </is>
      </c>
      <c r="E571" t="inlineStr">
        <is>
          <t>GST Payable</t>
        </is>
      </c>
      <c r="F571" s="6" t="n">
        <v>0</v>
      </c>
      <c r="G571" s="6" t="n">
        <v>68258.17</v>
      </c>
      <c r="H571" t="inlineStr">
        <is>
          <t>Sales invoice INV-202601-2</t>
        </is>
      </c>
      <c r="I571" t="inlineStr">
        <is>
          <t>GST</t>
        </is>
      </c>
      <c r="J571">
        <f>YEAR(A571)*12+MONTH(A571)</f>
        <v/>
      </c>
    </row>
    <row r="572">
      <c r="A572" s="5" t="n">
        <v>46043</v>
      </c>
      <c r="B572" t="inlineStr">
        <is>
          <t>J-0228</t>
        </is>
      </c>
      <c r="C572" t="n">
        <v>1</v>
      </c>
      <c r="D572" t="inlineStr">
        <is>
          <t>1100</t>
        </is>
      </c>
      <c r="E572" t="inlineStr">
        <is>
          <t>Accounts Receivable</t>
        </is>
      </c>
      <c r="F572" s="6" t="n">
        <v>656328.0699999999</v>
      </c>
      <c r="G572" s="6" t="n">
        <v>0</v>
      </c>
      <c r="H572" t="inlineStr">
        <is>
          <t>Sales invoice INV-202601-3</t>
        </is>
      </c>
      <c r="I572" t="inlineStr">
        <is>
          <t>Gupta Super Bazaar</t>
        </is>
      </c>
      <c r="J572">
        <f>YEAR(A572)*12+MONTH(A572)</f>
        <v/>
      </c>
    </row>
    <row r="573">
      <c r="A573" s="5" t="n">
        <v>46043</v>
      </c>
      <c r="B573" t="inlineStr">
        <is>
          <t>J-0228</t>
        </is>
      </c>
      <c r="C573" t="n">
        <v>2</v>
      </c>
      <c r="D573" t="inlineStr">
        <is>
          <t>4000</t>
        </is>
      </c>
      <c r="E573" t="inlineStr">
        <is>
          <t>Sales Revenue</t>
        </is>
      </c>
      <c r="F573" s="6" t="n">
        <v>0</v>
      </c>
      <c r="G573" s="6" t="n">
        <v>556210.23</v>
      </c>
      <c r="H573" t="inlineStr">
        <is>
          <t>Sales invoice INV-202601-3</t>
        </is>
      </c>
      <c r="I573" t="inlineStr">
        <is>
          <t>Gupta Super Bazaar</t>
        </is>
      </c>
      <c r="J573">
        <f>YEAR(A573)*12+MONTH(A573)</f>
        <v/>
      </c>
    </row>
    <row r="574">
      <c r="A574" s="5" t="n">
        <v>46043</v>
      </c>
      <c r="B574" t="inlineStr">
        <is>
          <t>J-0228</t>
        </is>
      </c>
      <c r="C574" t="n">
        <v>3</v>
      </c>
      <c r="D574" t="inlineStr">
        <is>
          <t>2100</t>
        </is>
      </c>
      <c r="E574" t="inlineStr">
        <is>
          <t>GST Payable</t>
        </is>
      </c>
      <c r="F574" s="6" t="n">
        <v>0</v>
      </c>
      <c r="G574" s="6" t="n">
        <v>100117.84</v>
      </c>
      <c r="H574" t="inlineStr">
        <is>
          <t>Sales invoice INV-202601-3</t>
        </is>
      </c>
      <c r="I574" t="inlineStr">
        <is>
          <t>GST</t>
        </is>
      </c>
      <c r="J574">
        <f>YEAR(A574)*12+MONTH(A574)</f>
        <v/>
      </c>
    </row>
    <row r="575">
      <c r="A575" s="5" t="n">
        <v>46041</v>
      </c>
      <c r="B575" t="inlineStr">
        <is>
          <t>J-0229</t>
        </is>
      </c>
      <c r="C575" t="n">
        <v>1</v>
      </c>
      <c r="D575" t="inlineStr">
        <is>
          <t>1100</t>
        </is>
      </c>
      <c r="E575" t="inlineStr">
        <is>
          <t>Accounts Receivable</t>
        </is>
      </c>
      <c r="F575" s="6" t="n">
        <v>589112.4399999999</v>
      </c>
      <c r="G575" s="6" t="n">
        <v>0</v>
      </c>
      <c r="H575" t="inlineStr">
        <is>
          <t>Sales invoice INV-202601-4</t>
        </is>
      </c>
      <c r="I575" t="inlineStr">
        <is>
          <t>New City Mart</t>
        </is>
      </c>
      <c r="J575">
        <f>YEAR(A575)*12+MONTH(A575)</f>
        <v/>
      </c>
    </row>
    <row r="576">
      <c r="A576" s="5" t="n">
        <v>46041</v>
      </c>
      <c r="B576" t="inlineStr">
        <is>
          <t>J-0229</t>
        </is>
      </c>
      <c r="C576" t="n">
        <v>2</v>
      </c>
      <c r="D576" t="inlineStr">
        <is>
          <t>4000</t>
        </is>
      </c>
      <c r="E576" t="inlineStr">
        <is>
          <t>Sales Revenue</t>
        </is>
      </c>
      <c r="F576" s="6" t="n">
        <v>0</v>
      </c>
      <c r="G576" s="6" t="n">
        <v>499247.83</v>
      </c>
      <c r="H576" t="inlineStr">
        <is>
          <t>Sales invoice INV-202601-4</t>
        </is>
      </c>
      <c r="I576" t="inlineStr">
        <is>
          <t>New City Mart</t>
        </is>
      </c>
      <c r="J576">
        <f>YEAR(A576)*12+MONTH(A576)</f>
        <v/>
      </c>
    </row>
    <row r="577">
      <c r="A577" s="5" t="n">
        <v>46041</v>
      </c>
      <c r="B577" t="inlineStr">
        <is>
          <t>J-0229</t>
        </is>
      </c>
      <c r="C577" t="n">
        <v>3</v>
      </c>
      <c r="D577" t="inlineStr">
        <is>
          <t>2100</t>
        </is>
      </c>
      <c r="E577" t="inlineStr">
        <is>
          <t>GST Payable</t>
        </is>
      </c>
      <c r="F577" s="6" t="n">
        <v>0</v>
      </c>
      <c r="G577" s="6" t="n">
        <v>89864.61</v>
      </c>
      <c r="H577" t="inlineStr">
        <is>
          <t>Sales invoice INV-202601-4</t>
        </is>
      </c>
      <c r="I577" t="inlineStr">
        <is>
          <t>GST</t>
        </is>
      </c>
      <c r="J577">
        <f>YEAR(A577)*12+MONTH(A577)</f>
        <v/>
      </c>
    </row>
    <row r="578">
      <c r="A578" s="5" t="n">
        <v>46033</v>
      </c>
      <c r="B578" t="inlineStr">
        <is>
          <t>J-0230</t>
        </is>
      </c>
      <c r="C578" t="n">
        <v>1</v>
      </c>
      <c r="D578" t="inlineStr">
        <is>
          <t>1100</t>
        </is>
      </c>
      <c r="E578" t="inlineStr">
        <is>
          <t>Accounts Receivable</t>
        </is>
      </c>
      <c r="F578" s="6" t="n">
        <v>688462.62</v>
      </c>
      <c r="G578" s="6" t="n">
        <v>0</v>
      </c>
      <c r="H578" t="inlineStr">
        <is>
          <t>Sales invoice INV-202601-5</t>
        </is>
      </c>
      <c r="I578" t="inlineStr">
        <is>
          <t>Kumari Provision Store</t>
        </is>
      </c>
      <c r="J578">
        <f>YEAR(A578)*12+MONTH(A578)</f>
        <v/>
      </c>
    </row>
    <row r="579">
      <c r="A579" s="5" t="n">
        <v>46033</v>
      </c>
      <c r="B579" t="inlineStr">
        <is>
          <t>J-0230</t>
        </is>
      </c>
      <c r="C579" t="n">
        <v>2</v>
      </c>
      <c r="D579" t="inlineStr">
        <is>
          <t>4000</t>
        </is>
      </c>
      <c r="E579" t="inlineStr">
        <is>
          <t>Sales Revenue</t>
        </is>
      </c>
      <c r="F579" s="6" t="n">
        <v>0</v>
      </c>
      <c r="G579" s="6" t="n">
        <v>583442.9</v>
      </c>
      <c r="H579" t="inlineStr">
        <is>
          <t>Sales invoice INV-202601-5</t>
        </is>
      </c>
      <c r="I579" t="inlineStr">
        <is>
          <t>Kumari Provision Store</t>
        </is>
      </c>
      <c r="J579">
        <f>YEAR(A579)*12+MONTH(A579)</f>
        <v/>
      </c>
    </row>
    <row r="580">
      <c r="A580" s="5" t="n">
        <v>46033</v>
      </c>
      <c r="B580" t="inlineStr">
        <is>
          <t>J-0230</t>
        </is>
      </c>
      <c r="C580" t="n">
        <v>3</v>
      </c>
      <c r="D580" t="inlineStr">
        <is>
          <t>2100</t>
        </is>
      </c>
      <c r="E580" t="inlineStr">
        <is>
          <t>GST Payable</t>
        </is>
      </c>
      <c r="F580" s="6" t="n">
        <v>0</v>
      </c>
      <c r="G580" s="6" t="n">
        <v>105019.72</v>
      </c>
      <c r="H580" t="inlineStr">
        <is>
          <t>Sales invoice INV-202601-5</t>
        </is>
      </c>
      <c r="I580" t="inlineStr">
        <is>
          <t>GST</t>
        </is>
      </c>
      <c r="J580">
        <f>YEAR(A580)*12+MONTH(A580)</f>
        <v/>
      </c>
    </row>
    <row r="581">
      <c r="A581" s="5" t="n">
        <v>46043</v>
      </c>
      <c r="B581" t="inlineStr">
        <is>
          <t>J-0231</t>
        </is>
      </c>
      <c r="C581" t="n">
        <v>1</v>
      </c>
      <c r="D581" t="inlineStr">
        <is>
          <t>1100</t>
        </is>
      </c>
      <c r="E581" t="inlineStr">
        <is>
          <t>Accounts Receivable</t>
        </is>
      </c>
      <c r="F581" s="6" t="n">
        <v>454356.82</v>
      </c>
      <c r="G581" s="6" t="n">
        <v>0</v>
      </c>
      <c r="H581" t="inlineStr">
        <is>
          <t>Sales invoice INV-202601-6</t>
        </is>
      </c>
      <c r="I581" t="inlineStr">
        <is>
          <t>Annapurna Retail</t>
        </is>
      </c>
      <c r="J581">
        <f>YEAR(A581)*12+MONTH(A581)</f>
        <v/>
      </c>
    </row>
    <row r="582">
      <c r="A582" s="5" t="n">
        <v>46043</v>
      </c>
      <c r="B582" t="inlineStr">
        <is>
          <t>J-0231</t>
        </is>
      </c>
      <c r="C582" t="n">
        <v>2</v>
      </c>
      <c r="D582" t="inlineStr">
        <is>
          <t>4000</t>
        </is>
      </c>
      <c r="E582" t="inlineStr">
        <is>
          <t>Sales Revenue</t>
        </is>
      </c>
      <c r="F582" s="6" t="n">
        <v>0</v>
      </c>
      <c r="G582" s="6" t="n">
        <v>385048.15</v>
      </c>
      <c r="H582" t="inlineStr">
        <is>
          <t>Sales invoice INV-202601-6</t>
        </is>
      </c>
      <c r="I582" t="inlineStr">
        <is>
          <t>Annapurna Retail</t>
        </is>
      </c>
      <c r="J582">
        <f>YEAR(A582)*12+MONTH(A582)</f>
        <v/>
      </c>
    </row>
    <row r="583">
      <c r="A583" s="5" t="n">
        <v>46043</v>
      </c>
      <c r="B583" t="inlineStr">
        <is>
          <t>J-0231</t>
        </is>
      </c>
      <c r="C583" t="n">
        <v>3</v>
      </c>
      <c r="D583" t="inlineStr">
        <is>
          <t>2100</t>
        </is>
      </c>
      <c r="E583" t="inlineStr">
        <is>
          <t>GST Payable</t>
        </is>
      </c>
      <c r="F583" s="6" t="n">
        <v>0</v>
      </c>
      <c r="G583" s="6" t="n">
        <v>69308.67</v>
      </c>
      <c r="H583" t="inlineStr">
        <is>
          <t>Sales invoice INV-202601-6</t>
        </is>
      </c>
      <c r="I583" t="inlineStr">
        <is>
          <t>GST</t>
        </is>
      </c>
      <c r="J583">
        <f>YEAR(A583)*12+MONTH(A583)</f>
        <v/>
      </c>
    </row>
    <row r="584">
      <c r="A584" s="5" t="n">
        <v>46038</v>
      </c>
      <c r="B584" t="inlineStr">
        <is>
          <t>J-0232</t>
        </is>
      </c>
      <c r="C584" t="n">
        <v>1</v>
      </c>
      <c r="D584" t="inlineStr">
        <is>
          <t>1100</t>
        </is>
      </c>
      <c r="E584" t="inlineStr">
        <is>
          <t>Accounts Receivable</t>
        </is>
      </c>
      <c r="F584" s="6" t="n">
        <v>621250.66</v>
      </c>
      <c r="G584" s="6" t="n">
        <v>0</v>
      </c>
      <c r="H584" t="inlineStr">
        <is>
          <t>Sales invoice INV-202601-7</t>
        </is>
      </c>
      <c r="I584" t="inlineStr">
        <is>
          <t>Rajdhani Traders</t>
        </is>
      </c>
      <c r="J584">
        <f>YEAR(A584)*12+MONTH(A584)</f>
        <v/>
      </c>
    </row>
    <row r="585">
      <c r="A585" s="5" t="n">
        <v>46038</v>
      </c>
      <c r="B585" t="inlineStr">
        <is>
          <t>J-0232</t>
        </is>
      </c>
      <c r="C585" t="n">
        <v>2</v>
      </c>
      <c r="D585" t="inlineStr">
        <is>
          <t>4000</t>
        </is>
      </c>
      <c r="E585" t="inlineStr">
        <is>
          <t>Sales Revenue</t>
        </is>
      </c>
      <c r="F585" s="6" t="n">
        <v>0</v>
      </c>
      <c r="G585" s="6" t="n">
        <v>526483.61</v>
      </c>
      <c r="H585" t="inlineStr">
        <is>
          <t>Sales invoice INV-202601-7</t>
        </is>
      </c>
      <c r="I585" t="inlineStr">
        <is>
          <t>Rajdhani Traders</t>
        </is>
      </c>
      <c r="J585">
        <f>YEAR(A585)*12+MONTH(A585)</f>
        <v/>
      </c>
    </row>
    <row r="586">
      <c r="A586" s="5" t="n">
        <v>46038</v>
      </c>
      <c r="B586" t="inlineStr">
        <is>
          <t>J-0232</t>
        </is>
      </c>
      <c r="C586" t="n">
        <v>3</v>
      </c>
      <c r="D586" t="inlineStr">
        <is>
          <t>2100</t>
        </is>
      </c>
      <c r="E586" t="inlineStr">
        <is>
          <t>GST Payable</t>
        </is>
      </c>
      <c r="F586" s="6" t="n">
        <v>0</v>
      </c>
      <c r="G586" s="6" t="n">
        <v>94767.05</v>
      </c>
      <c r="H586" t="inlineStr">
        <is>
          <t>Sales invoice INV-202601-7</t>
        </is>
      </c>
      <c r="I586" t="inlineStr">
        <is>
          <t>GST</t>
        </is>
      </c>
      <c r="J586">
        <f>YEAR(A586)*12+MONTH(A586)</f>
        <v/>
      </c>
    </row>
    <row r="587">
      <c r="A587" s="5" t="n">
        <v>46049</v>
      </c>
      <c r="B587" t="inlineStr">
        <is>
          <t>J-0233</t>
        </is>
      </c>
      <c r="C587" t="n">
        <v>1</v>
      </c>
      <c r="D587" t="inlineStr">
        <is>
          <t>5000</t>
        </is>
      </c>
      <c r="E587" t="inlineStr">
        <is>
          <t>Cost of Goods Sold</t>
        </is>
      </c>
      <c r="F587" s="6" t="n">
        <v>2420728.72</v>
      </c>
      <c r="G587" s="6" t="n">
        <v>0</v>
      </c>
      <c r="H587" t="inlineStr">
        <is>
          <t>Cost of goods sold - monthly</t>
        </is>
      </c>
      <c r="I587" t="inlineStr"/>
      <c r="J587">
        <f>YEAR(A587)*12+MONTH(A587)</f>
        <v/>
      </c>
    </row>
    <row r="588">
      <c r="A588" s="5" t="n">
        <v>46049</v>
      </c>
      <c r="B588" t="inlineStr">
        <is>
          <t>J-0233</t>
        </is>
      </c>
      <c r="C588" t="n">
        <v>2</v>
      </c>
      <c r="D588" t="inlineStr">
        <is>
          <t>1200</t>
        </is>
      </c>
      <c r="E588" t="inlineStr">
        <is>
          <t>Inventory</t>
        </is>
      </c>
      <c r="F588" s="6" t="n">
        <v>0</v>
      </c>
      <c r="G588" s="6" t="n">
        <v>2420728.72</v>
      </c>
      <c r="H588" t="inlineStr">
        <is>
          <t>Cost of goods sold - monthly</t>
        </is>
      </c>
      <c r="I588" t="inlineStr"/>
      <c r="J588">
        <f>YEAR(A588)*12+MONTH(A588)</f>
        <v/>
      </c>
    </row>
    <row r="589">
      <c r="A589" s="5" t="n">
        <v>46050</v>
      </c>
      <c r="B589" t="inlineStr">
        <is>
          <t>J-0234</t>
        </is>
      </c>
      <c r="C589" t="n">
        <v>1</v>
      </c>
      <c r="D589" t="inlineStr">
        <is>
          <t>1000</t>
        </is>
      </c>
      <c r="E589" t="inlineStr">
        <is>
          <t>Cash &amp; Bank</t>
        </is>
      </c>
      <c r="F589" s="6" t="n">
        <v>3362844.52</v>
      </c>
      <c r="G589" s="6" t="n">
        <v>0</v>
      </c>
      <c r="H589" t="inlineStr">
        <is>
          <t>Customer receipts</t>
        </is>
      </c>
      <c r="I589" t="inlineStr"/>
      <c r="J589">
        <f>YEAR(A589)*12+MONTH(A589)</f>
        <v/>
      </c>
    </row>
    <row r="590">
      <c r="A590" s="5" t="n">
        <v>46050</v>
      </c>
      <c r="B590" t="inlineStr">
        <is>
          <t>J-0234</t>
        </is>
      </c>
      <c r="C590" t="n">
        <v>2</v>
      </c>
      <c r="D590" t="inlineStr">
        <is>
          <t>1100</t>
        </is>
      </c>
      <c r="E590" t="inlineStr">
        <is>
          <t>Accounts Receivable</t>
        </is>
      </c>
      <c r="F590" s="6" t="n">
        <v>0</v>
      </c>
      <c r="G590" s="6" t="n">
        <v>3362844.52</v>
      </c>
      <c r="H590" t="inlineStr">
        <is>
          <t>Customer receipts</t>
        </is>
      </c>
      <c r="I590" t="inlineStr"/>
      <c r="J590">
        <f>YEAR(A590)*12+MONTH(A590)</f>
        <v/>
      </c>
    </row>
    <row r="591">
      <c r="A591" s="5" t="n">
        <v>46027</v>
      </c>
      <c r="B591" t="inlineStr">
        <is>
          <t>J-0235</t>
        </is>
      </c>
      <c r="C591" t="n">
        <v>1</v>
      </c>
      <c r="D591" t="inlineStr">
        <is>
          <t>1200</t>
        </is>
      </c>
      <c r="E591" t="inlineStr">
        <is>
          <t>Inventory</t>
        </is>
      </c>
      <c r="F591" s="6" t="n">
        <v>560331.24</v>
      </c>
      <c r="G591" s="6" t="n">
        <v>0</v>
      </c>
      <c r="H591" t="inlineStr">
        <is>
          <t>Purchase bill PB-202601-1</t>
        </is>
      </c>
      <c r="I591" t="inlineStr">
        <is>
          <t>Bihar Agro Supplies</t>
        </is>
      </c>
      <c r="J591">
        <f>YEAR(A591)*12+MONTH(A591)</f>
        <v/>
      </c>
    </row>
    <row r="592">
      <c r="A592" s="5" t="n">
        <v>46027</v>
      </c>
      <c r="B592" t="inlineStr">
        <is>
          <t>J-0235</t>
        </is>
      </c>
      <c r="C592" t="n">
        <v>2</v>
      </c>
      <c r="D592" t="inlineStr">
        <is>
          <t>1300</t>
        </is>
      </c>
      <c r="E592" t="inlineStr">
        <is>
          <t>GST Input Credit</t>
        </is>
      </c>
      <c r="F592" s="6" t="n">
        <v>100859.62</v>
      </c>
      <c r="G592" s="6" t="n">
        <v>0</v>
      </c>
      <c r="H592" t="inlineStr">
        <is>
          <t>Purchase bill PB-202601-1</t>
        </is>
      </c>
      <c r="I592" t="inlineStr">
        <is>
          <t>Bihar Agro Supplies</t>
        </is>
      </c>
      <c r="J592">
        <f>YEAR(A592)*12+MONTH(A592)</f>
        <v/>
      </c>
    </row>
    <row r="593">
      <c r="A593" s="5" t="n">
        <v>46027</v>
      </c>
      <c r="B593" t="inlineStr">
        <is>
          <t>J-0235</t>
        </is>
      </c>
      <c r="C593" t="n">
        <v>3</v>
      </c>
      <c r="D593" t="inlineStr">
        <is>
          <t>2000</t>
        </is>
      </c>
      <c r="E593" t="inlineStr">
        <is>
          <t>Accounts Payable</t>
        </is>
      </c>
      <c r="F593" s="6" t="n">
        <v>0</v>
      </c>
      <c r="G593" s="6" t="n">
        <v>661190.86</v>
      </c>
      <c r="H593" t="inlineStr">
        <is>
          <t>Purchase bill PB-202601-1</t>
        </is>
      </c>
      <c r="I593" t="inlineStr">
        <is>
          <t>Bihar Agro Supplies</t>
        </is>
      </c>
      <c r="J593">
        <f>YEAR(A593)*12+MONTH(A593)</f>
        <v/>
      </c>
    </row>
    <row r="594">
      <c r="A594" s="5" t="n">
        <v>46035</v>
      </c>
      <c r="B594" t="inlineStr">
        <is>
          <t>J-0236</t>
        </is>
      </c>
      <c r="C594" t="n">
        <v>1</v>
      </c>
      <c r="D594" t="inlineStr">
        <is>
          <t>1200</t>
        </is>
      </c>
      <c r="E594" t="inlineStr">
        <is>
          <t>Inventory</t>
        </is>
      </c>
      <c r="F594" s="6" t="n">
        <v>441088.28</v>
      </c>
      <c r="G594" s="6" t="n">
        <v>0</v>
      </c>
      <c r="H594" t="inlineStr">
        <is>
          <t>Purchase bill PB-202601-2</t>
        </is>
      </c>
      <c r="I594" t="inlineStr">
        <is>
          <t>Ganga Logistics Pvt Ltd</t>
        </is>
      </c>
      <c r="J594">
        <f>YEAR(A594)*12+MONTH(A594)</f>
        <v/>
      </c>
    </row>
    <row r="595">
      <c r="A595" s="5" t="n">
        <v>46035</v>
      </c>
      <c r="B595" t="inlineStr">
        <is>
          <t>J-0236</t>
        </is>
      </c>
      <c r="C595" t="n">
        <v>2</v>
      </c>
      <c r="D595" t="inlineStr">
        <is>
          <t>1300</t>
        </is>
      </c>
      <c r="E595" t="inlineStr">
        <is>
          <t>GST Input Credit</t>
        </is>
      </c>
      <c r="F595" s="6" t="n">
        <v>79395.89</v>
      </c>
      <c r="G595" s="6" t="n">
        <v>0</v>
      </c>
      <c r="H595" t="inlineStr">
        <is>
          <t>Purchase bill PB-202601-2</t>
        </is>
      </c>
      <c r="I595" t="inlineStr">
        <is>
          <t>Ganga Logistics Pvt Ltd</t>
        </is>
      </c>
      <c r="J595">
        <f>YEAR(A595)*12+MONTH(A595)</f>
        <v/>
      </c>
    </row>
    <row r="596">
      <c r="A596" s="5" t="n">
        <v>46035</v>
      </c>
      <c r="B596" t="inlineStr">
        <is>
          <t>J-0236</t>
        </is>
      </c>
      <c r="C596" t="n">
        <v>3</v>
      </c>
      <c r="D596" t="inlineStr">
        <is>
          <t>2000</t>
        </is>
      </c>
      <c r="E596" t="inlineStr">
        <is>
          <t>Accounts Payable</t>
        </is>
      </c>
      <c r="F596" s="6" t="n">
        <v>0</v>
      </c>
      <c r="G596" s="6" t="n">
        <v>520484.17</v>
      </c>
      <c r="H596" t="inlineStr">
        <is>
          <t>Purchase bill PB-202601-2</t>
        </is>
      </c>
      <c r="I596" t="inlineStr">
        <is>
          <t>Ganga Logistics Pvt Ltd</t>
        </is>
      </c>
      <c r="J596">
        <f>YEAR(A596)*12+MONTH(A596)</f>
        <v/>
      </c>
    </row>
    <row r="597">
      <c r="A597" s="5" t="n">
        <v>46034</v>
      </c>
      <c r="B597" t="inlineStr">
        <is>
          <t>J-0237</t>
        </is>
      </c>
      <c r="C597" t="n">
        <v>1</v>
      </c>
      <c r="D597" t="inlineStr">
        <is>
          <t>1200</t>
        </is>
      </c>
      <c r="E597" t="inlineStr">
        <is>
          <t>Inventory</t>
        </is>
      </c>
      <c r="F597" s="6" t="n">
        <v>404314.76</v>
      </c>
      <c r="G597" s="6" t="n">
        <v>0</v>
      </c>
      <c r="H597" t="inlineStr">
        <is>
          <t>Purchase bill PB-202601-3</t>
        </is>
      </c>
      <c r="I597" t="inlineStr">
        <is>
          <t>Bihar Agro Supplies</t>
        </is>
      </c>
      <c r="J597">
        <f>YEAR(A597)*12+MONTH(A597)</f>
        <v/>
      </c>
    </row>
    <row r="598">
      <c r="A598" s="5" t="n">
        <v>46034</v>
      </c>
      <c r="B598" t="inlineStr">
        <is>
          <t>J-0237</t>
        </is>
      </c>
      <c r="C598" t="n">
        <v>2</v>
      </c>
      <c r="D598" t="inlineStr">
        <is>
          <t>1300</t>
        </is>
      </c>
      <c r="E598" t="inlineStr">
        <is>
          <t>GST Input Credit</t>
        </is>
      </c>
      <c r="F598" s="6" t="n">
        <v>72776.66</v>
      </c>
      <c r="G598" s="6" t="n">
        <v>0</v>
      </c>
      <c r="H598" t="inlineStr">
        <is>
          <t>Purchase bill PB-202601-3</t>
        </is>
      </c>
      <c r="I598" t="inlineStr">
        <is>
          <t>Bihar Agro Supplies</t>
        </is>
      </c>
      <c r="J598">
        <f>YEAR(A598)*12+MONTH(A598)</f>
        <v/>
      </c>
    </row>
    <row r="599">
      <c r="A599" s="5" t="n">
        <v>46034</v>
      </c>
      <c r="B599" t="inlineStr">
        <is>
          <t>J-0237</t>
        </is>
      </c>
      <c r="C599" t="n">
        <v>3</v>
      </c>
      <c r="D599" t="inlineStr">
        <is>
          <t>2000</t>
        </is>
      </c>
      <c r="E599" t="inlineStr">
        <is>
          <t>Accounts Payable</t>
        </is>
      </c>
      <c r="F599" s="6" t="n">
        <v>0</v>
      </c>
      <c r="G599" s="6" t="n">
        <v>477091.42</v>
      </c>
      <c r="H599" t="inlineStr">
        <is>
          <t>Purchase bill PB-202601-3</t>
        </is>
      </c>
      <c r="I599" t="inlineStr">
        <is>
          <t>Bihar Agro Supplies</t>
        </is>
      </c>
      <c r="J599">
        <f>YEAR(A599)*12+MONTH(A599)</f>
        <v/>
      </c>
    </row>
    <row r="600">
      <c r="A600" s="5" t="n">
        <v>46029</v>
      </c>
      <c r="B600" t="inlineStr">
        <is>
          <t>J-0238</t>
        </is>
      </c>
      <c r="C600" t="n">
        <v>1</v>
      </c>
      <c r="D600" t="inlineStr">
        <is>
          <t>1200</t>
        </is>
      </c>
      <c r="E600" t="inlineStr">
        <is>
          <t>Inventory</t>
        </is>
      </c>
      <c r="F600" s="6" t="n">
        <v>429664.93</v>
      </c>
      <c r="G600" s="6" t="n">
        <v>0</v>
      </c>
      <c r="H600" t="inlineStr">
        <is>
          <t>Purchase bill PB-202601-4</t>
        </is>
      </c>
      <c r="I600" t="inlineStr">
        <is>
          <t>Bihar Agro Supplies</t>
        </is>
      </c>
      <c r="J600">
        <f>YEAR(A600)*12+MONTH(A600)</f>
        <v/>
      </c>
    </row>
    <row r="601">
      <c r="A601" s="5" t="n">
        <v>46029</v>
      </c>
      <c r="B601" t="inlineStr">
        <is>
          <t>J-0238</t>
        </is>
      </c>
      <c r="C601" t="n">
        <v>2</v>
      </c>
      <c r="D601" t="inlineStr">
        <is>
          <t>1300</t>
        </is>
      </c>
      <c r="E601" t="inlineStr">
        <is>
          <t>GST Input Credit</t>
        </is>
      </c>
      <c r="F601" s="6" t="n">
        <v>77339.69</v>
      </c>
      <c r="G601" s="6" t="n">
        <v>0</v>
      </c>
      <c r="H601" t="inlineStr">
        <is>
          <t>Purchase bill PB-202601-4</t>
        </is>
      </c>
      <c r="I601" t="inlineStr">
        <is>
          <t>Bihar Agro Supplies</t>
        </is>
      </c>
      <c r="J601">
        <f>YEAR(A601)*12+MONTH(A601)</f>
        <v/>
      </c>
    </row>
    <row r="602">
      <c r="A602" s="5" t="n">
        <v>46029</v>
      </c>
      <c r="B602" t="inlineStr">
        <is>
          <t>J-0238</t>
        </is>
      </c>
      <c r="C602" t="n">
        <v>3</v>
      </c>
      <c r="D602" t="inlineStr">
        <is>
          <t>2000</t>
        </is>
      </c>
      <c r="E602" t="inlineStr">
        <is>
          <t>Accounts Payable</t>
        </is>
      </c>
      <c r="F602" s="6" t="n">
        <v>0</v>
      </c>
      <c r="G602" s="6" t="n">
        <v>507004.62</v>
      </c>
      <c r="H602" t="inlineStr">
        <is>
          <t>Purchase bill PB-202601-4</t>
        </is>
      </c>
      <c r="I602" t="inlineStr">
        <is>
          <t>Bihar Agro Supplies</t>
        </is>
      </c>
      <c r="J602">
        <f>YEAR(A602)*12+MONTH(A602)</f>
        <v/>
      </c>
    </row>
    <row r="603">
      <c r="A603" s="5" t="n">
        <v>46040</v>
      </c>
      <c r="B603" t="inlineStr">
        <is>
          <t>J-0239</t>
        </is>
      </c>
      <c r="C603" t="n">
        <v>1</v>
      </c>
      <c r="D603" t="inlineStr">
        <is>
          <t>1200</t>
        </is>
      </c>
      <c r="E603" t="inlineStr">
        <is>
          <t>Inventory</t>
        </is>
      </c>
      <c r="F603" s="6" t="n">
        <v>390995.55</v>
      </c>
      <c r="G603" s="6" t="n">
        <v>0</v>
      </c>
      <c r="H603" t="inlineStr">
        <is>
          <t>Purchase bill PB-202601-5</t>
        </is>
      </c>
      <c r="I603" t="inlineStr">
        <is>
          <t>Bihar Agro Supplies</t>
        </is>
      </c>
      <c r="J603">
        <f>YEAR(A603)*12+MONTH(A603)</f>
        <v/>
      </c>
    </row>
    <row r="604">
      <c r="A604" s="5" t="n">
        <v>46040</v>
      </c>
      <c r="B604" t="inlineStr">
        <is>
          <t>J-0239</t>
        </is>
      </c>
      <c r="C604" t="n">
        <v>2</v>
      </c>
      <c r="D604" t="inlineStr">
        <is>
          <t>1300</t>
        </is>
      </c>
      <c r="E604" t="inlineStr">
        <is>
          <t>GST Input Credit</t>
        </is>
      </c>
      <c r="F604" s="6" t="n">
        <v>70379.2</v>
      </c>
      <c r="G604" s="6" t="n">
        <v>0</v>
      </c>
      <c r="H604" t="inlineStr">
        <is>
          <t>Purchase bill PB-202601-5</t>
        </is>
      </c>
      <c r="I604" t="inlineStr">
        <is>
          <t>Bihar Agro Supplies</t>
        </is>
      </c>
      <c r="J604">
        <f>YEAR(A604)*12+MONTH(A604)</f>
        <v/>
      </c>
    </row>
    <row r="605">
      <c r="A605" s="5" t="n">
        <v>46040</v>
      </c>
      <c r="B605" t="inlineStr">
        <is>
          <t>J-0239</t>
        </is>
      </c>
      <c r="C605" t="n">
        <v>3</v>
      </c>
      <c r="D605" t="inlineStr">
        <is>
          <t>2000</t>
        </is>
      </c>
      <c r="E605" t="inlineStr">
        <is>
          <t>Accounts Payable</t>
        </is>
      </c>
      <c r="F605" s="6" t="n">
        <v>0</v>
      </c>
      <c r="G605" s="6" t="n">
        <v>461374.75</v>
      </c>
      <c r="H605" t="inlineStr">
        <is>
          <t>Purchase bill PB-202601-5</t>
        </is>
      </c>
      <c r="I605" t="inlineStr">
        <is>
          <t>Bihar Agro Supplies</t>
        </is>
      </c>
      <c r="J605">
        <f>YEAR(A605)*12+MONTH(A605)</f>
        <v/>
      </c>
    </row>
    <row r="606">
      <c r="A606" s="5" t="n">
        <v>46051</v>
      </c>
      <c r="B606" t="inlineStr">
        <is>
          <t>J-0240</t>
        </is>
      </c>
      <c r="C606" t="n">
        <v>1</v>
      </c>
      <c r="D606" t="inlineStr">
        <is>
          <t>2000</t>
        </is>
      </c>
      <c r="E606" t="inlineStr">
        <is>
          <t>Accounts Payable</t>
        </is>
      </c>
      <c r="F606" s="6" t="n">
        <v>2595620.3</v>
      </c>
      <c r="G606" s="6" t="n">
        <v>0</v>
      </c>
      <c r="H606" t="inlineStr">
        <is>
          <t>Vendor payments</t>
        </is>
      </c>
      <c r="I606" t="inlineStr"/>
      <c r="J606">
        <f>YEAR(A606)*12+MONTH(A606)</f>
        <v/>
      </c>
    </row>
    <row r="607">
      <c r="A607" s="5" t="n">
        <v>46051</v>
      </c>
      <c r="B607" t="inlineStr">
        <is>
          <t>J-0240</t>
        </is>
      </c>
      <c r="C607" t="n">
        <v>2</v>
      </c>
      <c r="D607" t="inlineStr">
        <is>
          <t>1000</t>
        </is>
      </c>
      <c r="E607" t="inlineStr">
        <is>
          <t>Cash &amp; Bank</t>
        </is>
      </c>
      <c r="F607" s="6" t="n">
        <v>0</v>
      </c>
      <c r="G607" s="6" t="n">
        <v>2595620.3</v>
      </c>
      <c r="H607" t="inlineStr">
        <is>
          <t>Vendor payments</t>
        </is>
      </c>
      <c r="I607" t="inlineStr"/>
      <c r="J607">
        <f>YEAR(A607)*12+MONTH(A607)</f>
        <v/>
      </c>
    </row>
    <row r="608">
      <c r="A608" s="5" t="n">
        <v>46052</v>
      </c>
      <c r="B608" t="inlineStr">
        <is>
          <t>J-0241</t>
        </is>
      </c>
      <c r="C608" t="n">
        <v>1</v>
      </c>
      <c r="D608" t="inlineStr">
        <is>
          <t>2100</t>
        </is>
      </c>
      <c r="E608" t="inlineStr">
        <is>
          <t>GST Payable</t>
        </is>
      </c>
      <c r="F608" s="6" t="n">
        <v>189974.48</v>
      </c>
      <c r="G608" s="6" t="n">
        <v>0</v>
      </c>
      <c r="H608" t="inlineStr">
        <is>
          <t>GST paid for month</t>
        </is>
      </c>
      <c r="I608" t="inlineStr">
        <is>
          <t>GST</t>
        </is>
      </c>
      <c r="J608">
        <f>YEAR(A608)*12+MONTH(A608)</f>
        <v/>
      </c>
    </row>
    <row r="609">
      <c r="A609" s="5" t="n">
        <v>46052</v>
      </c>
      <c r="B609" t="inlineStr">
        <is>
          <t>J-0241</t>
        </is>
      </c>
      <c r="C609" t="n">
        <v>2</v>
      </c>
      <c r="D609" t="inlineStr">
        <is>
          <t>1000</t>
        </is>
      </c>
      <c r="E609" t="inlineStr">
        <is>
          <t>Cash &amp; Bank</t>
        </is>
      </c>
      <c r="F609" s="6" t="n">
        <v>0</v>
      </c>
      <c r="G609" s="6" t="n">
        <v>189974.48</v>
      </c>
      <c r="H609" t="inlineStr">
        <is>
          <t>GST paid for month</t>
        </is>
      </c>
      <c r="I609" t="inlineStr">
        <is>
          <t>GST</t>
        </is>
      </c>
      <c r="J609">
        <f>YEAR(A609)*12+MONTH(A609)</f>
        <v/>
      </c>
    </row>
    <row r="610">
      <c r="A610" s="5" t="n">
        <v>46027</v>
      </c>
      <c r="B610" t="inlineStr">
        <is>
          <t>J-0242</t>
        </is>
      </c>
      <c r="C610" t="n">
        <v>1</v>
      </c>
      <c r="D610" t="inlineStr">
        <is>
          <t>5100</t>
        </is>
      </c>
      <c r="E610" t="inlineStr">
        <is>
          <t>Rent Expense</t>
        </is>
      </c>
      <c r="F610" s="6" t="n">
        <v>25000</v>
      </c>
      <c r="G610" s="6" t="n">
        <v>0</v>
      </c>
      <c r="H610" t="inlineStr">
        <is>
          <t>Office rent</t>
        </is>
      </c>
      <c r="I610" t="inlineStr"/>
      <c r="J610">
        <f>YEAR(A610)*12+MONTH(A610)</f>
        <v/>
      </c>
    </row>
    <row r="611">
      <c r="A611" s="5" t="n">
        <v>46027</v>
      </c>
      <c r="B611" t="inlineStr">
        <is>
          <t>J-0242</t>
        </is>
      </c>
      <c r="C611" t="n">
        <v>2</v>
      </c>
      <c r="D611" t="inlineStr">
        <is>
          <t>1000</t>
        </is>
      </c>
      <c r="E611" t="inlineStr">
        <is>
          <t>Cash &amp; Bank</t>
        </is>
      </c>
      <c r="F611" s="6" t="n">
        <v>0</v>
      </c>
      <c r="G611" s="6" t="n">
        <v>25000</v>
      </c>
      <c r="H611" t="inlineStr">
        <is>
          <t>Office rent</t>
        </is>
      </c>
      <c r="I611" t="inlineStr"/>
      <c r="J611">
        <f>YEAR(A611)*12+MONTH(A611)</f>
        <v/>
      </c>
    </row>
    <row r="612">
      <c r="A612" s="5" t="n">
        <v>46029</v>
      </c>
      <c r="B612" t="inlineStr">
        <is>
          <t>J-0243</t>
        </is>
      </c>
      <c r="C612" t="n">
        <v>1</v>
      </c>
      <c r="D612" t="inlineStr">
        <is>
          <t>5200</t>
        </is>
      </c>
      <c r="E612" t="inlineStr">
        <is>
          <t>Salaries Expense</t>
        </is>
      </c>
      <c r="F612" s="6" t="n">
        <v>111181.35</v>
      </c>
      <c r="G612" s="6" t="n">
        <v>0</v>
      </c>
      <c r="H612" t="inlineStr">
        <is>
          <t>Staff salaries</t>
        </is>
      </c>
      <c r="I612" t="inlineStr"/>
      <c r="J612">
        <f>YEAR(A612)*12+MONTH(A612)</f>
        <v/>
      </c>
    </row>
    <row r="613">
      <c r="A613" s="5" t="n">
        <v>46029</v>
      </c>
      <c r="B613" t="inlineStr">
        <is>
          <t>J-0243</t>
        </is>
      </c>
      <c r="C613" t="n">
        <v>2</v>
      </c>
      <c r="D613" t="inlineStr">
        <is>
          <t>1000</t>
        </is>
      </c>
      <c r="E613" t="inlineStr">
        <is>
          <t>Cash &amp; Bank</t>
        </is>
      </c>
      <c r="F613" s="6" t="n">
        <v>0</v>
      </c>
      <c r="G613" s="6" t="n">
        <v>111181.35</v>
      </c>
      <c r="H613" t="inlineStr">
        <is>
          <t>Staff salaries</t>
        </is>
      </c>
      <c r="I613" t="inlineStr"/>
      <c r="J613">
        <f>YEAR(A613)*12+MONTH(A613)</f>
        <v/>
      </c>
    </row>
    <row r="614">
      <c r="A614" s="5" t="n">
        <v>46034</v>
      </c>
      <c r="B614" t="inlineStr">
        <is>
          <t>J-0244</t>
        </is>
      </c>
      <c r="C614" t="n">
        <v>1</v>
      </c>
      <c r="D614" t="inlineStr">
        <is>
          <t>5300</t>
        </is>
      </c>
      <c r="E614" t="inlineStr">
        <is>
          <t>Utilities Expense</t>
        </is>
      </c>
      <c r="F614" s="6" t="n">
        <v>8138.54</v>
      </c>
      <c r="G614" s="6" t="n">
        <v>0</v>
      </c>
      <c r="H614" t="inlineStr">
        <is>
          <t>Utilities (power/water/phone)</t>
        </is>
      </c>
      <c r="I614" t="inlineStr"/>
      <c r="J614">
        <f>YEAR(A614)*12+MONTH(A614)</f>
        <v/>
      </c>
    </row>
    <row r="615">
      <c r="A615" s="5" t="n">
        <v>46034</v>
      </c>
      <c r="B615" t="inlineStr">
        <is>
          <t>J-0244</t>
        </is>
      </c>
      <c r="C615" t="n">
        <v>2</v>
      </c>
      <c r="D615" t="inlineStr">
        <is>
          <t>1000</t>
        </is>
      </c>
      <c r="E615" t="inlineStr">
        <is>
          <t>Cash &amp; Bank</t>
        </is>
      </c>
      <c r="F615" s="6" t="n">
        <v>0</v>
      </c>
      <c r="G615" s="6" t="n">
        <v>8138.54</v>
      </c>
      <c r="H615" t="inlineStr">
        <is>
          <t>Utilities (power/water/phone)</t>
        </is>
      </c>
      <c r="I615" t="inlineStr"/>
      <c r="J615">
        <f>YEAR(A615)*12+MONTH(A615)</f>
        <v/>
      </c>
    </row>
    <row r="616">
      <c r="A616" s="5" t="n">
        <v>46040</v>
      </c>
      <c r="B616" t="inlineStr">
        <is>
          <t>J-0245</t>
        </is>
      </c>
      <c r="C616" t="n">
        <v>1</v>
      </c>
      <c r="D616" t="inlineStr">
        <is>
          <t>5400</t>
        </is>
      </c>
      <c r="E616" t="inlineStr">
        <is>
          <t>Transport &amp; Logistics</t>
        </is>
      </c>
      <c r="F616" s="6" t="n">
        <v>21202.96</v>
      </c>
      <c r="G616" s="6" t="n">
        <v>0</v>
      </c>
      <c r="H616" t="inlineStr">
        <is>
          <t>Transport &amp; logistics</t>
        </is>
      </c>
      <c r="I616" t="inlineStr"/>
      <c r="J616">
        <f>YEAR(A616)*12+MONTH(A616)</f>
        <v/>
      </c>
    </row>
    <row r="617">
      <c r="A617" s="5" t="n">
        <v>46040</v>
      </c>
      <c r="B617" t="inlineStr">
        <is>
          <t>J-0245</t>
        </is>
      </c>
      <c r="C617" t="n">
        <v>2</v>
      </c>
      <c r="D617" t="inlineStr">
        <is>
          <t>1000</t>
        </is>
      </c>
      <c r="E617" t="inlineStr">
        <is>
          <t>Cash &amp; Bank</t>
        </is>
      </c>
      <c r="F617" s="6" t="n">
        <v>0</v>
      </c>
      <c r="G617" s="6" t="n">
        <v>21202.96</v>
      </c>
      <c r="H617" t="inlineStr">
        <is>
          <t>Transport &amp; logistics</t>
        </is>
      </c>
      <c r="I617" t="inlineStr"/>
      <c r="J617">
        <f>YEAR(A617)*12+MONTH(A617)</f>
        <v/>
      </c>
    </row>
    <row r="618">
      <c r="A618" s="5" t="n">
        <v>46042</v>
      </c>
      <c r="B618" t="inlineStr">
        <is>
          <t>J-0246</t>
        </is>
      </c>
      <c r="C618" t="n">
        <v>1</v>
      </c>
      <c r="D618" t="inlineStr">
        <is>
          <t>5500</t>
        </is>
      </c>
      <c r="E618" t="inlineStr">
        <is>
          <t>Marketing Expense</t>
        </is>
      </c>
      <c r="F618" s="6" t="n">
        <v>16605.37</v>
      </c>
      <c r="G618" s="6" t="n">
        <v>0</v>
      </c>
      <c r="H618" t="inlineStr">
        <is>
          <t>Marketing &amp; promotions</t>
        </is>
      </c>
      <c r="I618" t="inlineStr"/>
      <c r="J618">
        <f>YEAR(A618)*12+MONTH(A618)</f>
        <v/>
      </c>
    </row>
    <row r="619">
      <c r="A619" s="5" t="n">
        <v>46042</v>
      </c>
      <c r="B619" t="inlineStr">
        <is>
          <t>J-0246</t>
        </is>
      </c>
      <c r="C619" t="n">
        <v>2</v>
      </c>
      <c r="D619" t="inlineStr">
        <is>
          <t>1000</t>
        </is>
      </c>
      <c r="E619" t="inlineStr">
        <is>
          <t>Cash &amp; Bank</t>
        </is>
      </c>
      <c r="F619" s="6" t="n">
        <v>0</v>
      </c>
      <c r="G619" s="6" t="n">
        <v>16605.37</v>
      </c>
      <c r="H619" t="inlineStr">
        <is>
          <t>Marketing &amp; promotions</t>
        </is>
      </c>
      <c r="I619" t="inlineStr"/>
      <c r="J619">
        <f>YEAR(A619)*12+MONTH(A619)</f>
        <v/>
      </c>
    </row>
    <row r="620">
      <c r="A620" s="5" t="n">
        <v>46032</v>
      </c>
      <c r="B620" t="inlineStr">
        <is>
          <t>J-0247</t>
        </is>
      </c>
      <c r="C620" t="n">
        <v>1</v>
      </c>
      <c r="D620" t="inlineStr">
        <is>
          <t>5600</t>
        </is>
      </c>
      <c r="E620" t="inlineStr">
        <is>
          <t>Interest Expense</t>
        </is>
      </c>
      <c r="F620" s="6" t="n">
        <v>9000</v>
      </c>
      <c r="G620" s="6" t="n">
        <v>0</v>
      </c>
      <c r="H620" t="inlineStr">
        <is>
          <t>Term loan interest</t>
        </is>
      </c>
      <c r="I620" t="inlineStr">
        <is>
          <t>HDFC</t>
        </is>
      </c>
      <c r="J620">
        <f>YEAR(A620)*12+MONTH(A620)</f>
        <v/>
      </c>
    </row>
    <row r="621">
      <c r="A621" s="5" t="n">
        <v>46032</v>
      </c>
      <c r="B621" t="inlineStr">
        <is>
          <t>J-0247</t>
        </is>
      </c>
      <c r="C621" t="n">
        <v>2</v>
      </c>
      <c r="D621" t="inlineStr">
        <is>
          <t>1000</t>
        </is>
      </c>
      <c r="E621" t="inlineStr">
        <is>
          <t>Cash &amp; Bank</t>
        </is>
      </c>
      <c r="F621" s="6" t="n">
        <v>0</v>
      </c>
      <c r="G621" s="6" t="n">
        <v>9000</v>
      </c>
      <c r="H621" t="inlineStr">
        <is>
          <t>Term loan interest</t>
        </is>
      </c>
      <c r="I621" t="inlineStr">
        <is>
          <t>HDFC</t>
        </is>
      </c>
      <c r="J621">
        <f>YEAR(A621)*12+MONTH(A621)</f>
        <v/>
      </c>
    </row>
    <row r="622">
      <c r="A622" s="5" t="n">
        <v>46032</v>
      </c>
      <c r="B622" t="inlineStr">
        <is>
          <t>J-0248</t>
        </is>
      </c>
      <c r="C622" t="n">
        <v>1</v>
      </c>
      <c r="D622" t="inlineStr">
        <is>
          <t>2200</t>
        </is>
      </c>
      <c r="E622" t="inlineStr">
        <is>
          <t>Term Loan</t>
        </is>
      </c>
      <c r="F622" s="6" t="n">
        <v>55000</v>
      </c>
      <c r="G622" s="6" t="n">
        <v>0</v>
      </c>
      <c r="H622" t="inlineStr">
        <is>
          <t>Term loan principal repayment</t>
        </is>
      </c>
      <c r="I622" t="inlineStr">
        <is>
          <t>HDFC</t>
        </is>
      </c>
      <c r="J622">
        <f>YEAR(A622)*12+MONTH(A622)</f>
        <v/>
      </c>
    </row>
    <row r="623">
      <c r="A623" s="5" t="n">
        <v>46032</v>
      </c>
      <c r="B623" t="inlineStr">
        <is>
          <t>J-0248</t>
        </is>
      </c>
      <c r="C623" t="n">
        <v>2</v>
      </c>
      <c r="D623" t="inlineStr">
        <is>
          <t>1000</t>
        </is>
      </c>
      <c r="E623" t="inlineStr">
        <is>
          <t>Cash &amp; Bank</t>
        </is>
      </c>
      <c r="F623" s="6" t="n">
        <v>0</v>
      </c>
      <c r="G623" s="6" t="n">
        <v>55000</v>
      </c>
      <c r="H623" t="inlineStr">
        <is>
          <t>Term loan principal repayment</t>
        </is>
      </c>
      <c r="I623" t="inlineStr">
        <is>
          <t>HDFC</t>
        </is>
      </c>
      <c r="J623">
        <f>YEAR(A623)*12+MONTH(A623)</f>
        <v/>
      </c>
    </row>
    <row r="624">
      <c r="A624" s="5" t="n">
        <v>46052</v>
      </c>
      <c r="B624" t="inlineStr">
        <is>
          <t>J-0249</t>
        </is>
      </c>
      <c r="C624" t="n">
        <v>1</v>
      </c>
      <c r="D624" t="inlineStr">
        <is>
          <t>5700</t>
        </is>
      </c>
      <c r="E624" t="inlineStr">
        <is>
          <t>Depreciation Expense</t>
        </is>
      </c>
      <c r="F624" s="6" t="n">
        <v>6000</v>
      </c>
      <c r="G624" s="6" t="n">
        <v>0</v>
      </c>
      <c r="H624" t="inlineStr">
        <is>
          <t>Depreciation - equipment</t>
        </is>
      </c>
      <c r="I624" t="inlineStr"/>
      <c r="J624">
        <f>YEAR(A624)*12+MONTH(A624)</f>
        <v/>
      </c>
    </row>
    <row r="625">
      <c r="A625" s="5" t="n">
        <v>46052</v>
      </c>
      <c r="B625" t="inlineStr">
        <is>
          <t>J-0249</t>
        </is>
      </c>
      <c r="C625" t="n">
        <v>2</v>
      </c>
      <c r="D625" t="inlineStr">
        <is>
          <t>1510</t>
        </is>
      </c>
      <c r="E625" t="inlineStr">
        <is>
          <t>Accumulated Depreciation</t>
        </is>
      </c>
      <c r="F625" s="6" t="n">
        <v>0</v>
      </c>
      <c r="G625" s="6" t="n">
        <v>6000</v>
      </c>
      <c r="H625" t="inlineStr">
        <is>
          <t>Depreciation - equipment</t>
        </is>
      </c>
      <c r="I625" t="inlineStr"/>
      <c r="J625">
        <f>YEAR(A625)*12+MONTH(A625)</f>
        <v/>
      </c>
    </row>
    <row r="626">
      <c r="A626" s="5" t="n">
        <v>46075</v>
      </c>
      <c r="B626" t="inlineStr">
        <is>
          <t>J-0250</t>
        </is>
      </c>
      <c r="C626" t="n">
        <v>1</v>
      </c>
      <c r="D626" t="inlineStr">
        <is>
          <t>1100</t>
        </is>
      </c>
      <c r="E626" t="inlineStr">
        <is>
          <t>Accounts Receivable</t>
        </is>
      </c>
      <c r="F626" s="6" t="n">
        <v>537152.8199999999</v>
      </c>
      <c r="G626" s="6" t="n">
        <v>0</v>
      </c>
      <c r="H626" t="inlineStr">
        <is>
          <t>Sales invoice INV-202602-1</t>
        </is>
      </c>
      <c r="I626" t="inlineStr">
        <is>
          <t>Gupta Super Bazaar</t>
        </is>
      </c>
      <c r="J626">
        <f>YEAR(A626)*12+MONTH(A626)</f>
        <v/>
      </c>
    </row>
    <row r="627">
      <c r="A627" s="5" t="n">
        <v>46075</v>
      </c>
      <c r="B627" t="inlineStr">
        <is>
          <t>J-0250</t>
        </is>
      </c>
      <c r="C627" t="n">
        <v>2</v>
      </c>
      <c r="D627" t="inlineStr">
        <is>
          <t>4000</t>
        </is>
      </c>
      <c r="E627" t="inlineStr">
        <is>
          <t>Sales Revenue</t>
        </is>
      </c>
      <c r="F627" s="6" t="n">
        <v>0</v>
      </c>
      <c r="G627" s="6" t="n">
        <v>455214.25</v>
      </c>
      <c r="H627" t="inlineStr">
        <is>
          <t>Sales invoice INV-202602-1</t>
        </is>
      </c>
      <c r="I627" t="inlineStr">
        <is>
          <t>Gupta Super Bazaar</t>
        </is>
      </c>
      <c r="J627">
        <f>YEAR(A627)*12+MONTH(A627)</f>
        <v/>
      </c>
    </row>
    <row r="628">
      <c r="A628" s="5" t="n">
        <v>46075</v>
      </c>
      <c r="B628" t="inlineStr">
        <is>
          <t>J-0250</t>
        </is>
      </c>
      <c r="C628" t="n">
        <v>3</v>
      </c>
      <c r="D628" t="inlineStr">
        <is>
          <t>2100</t>
        </is>
      </c>
      <c r="E628" t="inlineStr">
        <is>
          <t>GST Payable</t>
        </is>
      </c>
      <c r="F628" s="6" t="n">
        <v>0</v>
      </c>
      <c r="G628" s="6" t="n">
        <v>81938.57000000001</v>
      </c>
      <c r="H628" t="inlineStr">
        <is>
          <t>Sales invoice INV-202602-1</t>
        </is>
      </c>
      <c r="I628" t="inlineStr">
        <is>
          <t>GST</t>
        </is>
      </c>
      <c r="J628">
        <f>YEAR(A628)*12+MONTH(A628)</f>
        <v/>
      </c>
    </row>
    <row r="629">
      <c r="A629" s="5" t="n">
        <v>46068</v>
      </c>
      <c r="B629" t="inlineStr">
        <is>
          <t>J-0251</t>
        </is>
      </c>
      <c r="C629" t="n">
        <v>1</v>
      </c>
      <c r="D629" t="inlineStr">
        <is>
          <t>1100</t>
        </is>
      </c>
      <c r="E629" t="inlineStr">
        <is>
          <t>Accounts Receivable</t>
        </is>
      </c>
      <c r="F629" s="6" t="n">
        <v>647668.54</v>
      </c>
      <c r="G629" s="6" t="n">
        <v>0</v>
      </c>
      <c r="H629" t="inlineStr">
        <is>
          <t>Sales invoice INV-202602-2</t>
        </is>
      </c>
      <c r="I629" t="inlineStr">
        <is>
          <t>Verma Kirana Mart</t>
        </is>
      </c>
      <c r="J629">
        <f>YEAR(A629)*12+MONTH(A629)</f>
        <v/>
      </c>
    </row>
    <row r="630">
      <c r="A630" s="5" t="n">
        <v>46068</v>
      </c>
      <c r="B630" t="inlineStr">
        <is>
          <t>J-0251</t>
        </is>
      </c>
      <c r="C630" t="n">
        <v>2</v>
      </c>
      <c r="D630" t="inlineStr">
        <is>
          <t>4000</t>
        </is>
      </c>
      <c r="E630" t="inlineStr">
        <is>
          <t>Sales Revenue</t>
        </is>
      </c>
      <c r="F630" s="6" t="n">
        <v>0</v>
      </c>
      <c r="G630" s="6" t="n">
        <v>548871.64</v>
      </c>
      <c r="H630" t="inlineStr">
        <is>
          <t>Sales invoice INV-202602-2</t>
        </is>
      </c>
      <c r="I630" t="inlineStr">
        <is>
          <t>Verma Kirana Mart</t>
        </is>
      </c>
      <c r="J630">
        <f>YEAR(A630)*12+MONTH(A630)</f>
        <v/>
      </c>
    </row>
    <row r="631">
      <c r="A631" s="5" t="n">
        <v>46068</v>
      </c>
      <c r="B631" t="inlineStr">
        <is>
          <t>J-0251</t>
        </is>
      </c>
      <c r="C631" t="n">
        <v>3</v>
      </c>
      <c r="D631" t="inlineStr">
        <is>
          <t>2100</t>
        </is>
      </c>
      <c r="E631" t="inlineStr">
        <is>
          <t>GST Payable</t>
        </is>
      </c>
      <c r="F631" s="6" t="n">
        <v>0</v>
      </c>
      <c r="G631" s="6" t="n">
        <v>98796.89999999999</v>
      </c>
      <c r="H631" t="inlineStr">
        <is>
          <t>Sales invoice INV-202602-2</t>
        </is>
      </c>
      <c r="I631" t="inlineStr">
        <is>
          <t>GST</t>
        </is>
      </c>
      <c r="J631">
        <f>YEAR(A631)*12+MONTH(A631)</f>
        <v/>
      </c>
    </row>
    <row r="632">
      <c r="A632" s="5" t="n">
        <v>46069</v>
      </c>
      <c r="B632" t="inlineStr">
        <is>
          <t>J-0252</t>
        </is>
      </c>
      <c r="C632" t="n">
        <v>1</v>
      </c>
      <c r="D632" t="inlineStr">
        <is>
          <t>1100</t>
        </is>
      </c>
      <c r="E632" t="inlineStr">
        <is>
          <t>Accounts Receivable</t>
        </is>
      </c>
      <c r="F632" s="6" t="n">
        <v>467761.65</v>
      </c>
      <c r="G632" s="6" t="n">
        <v>0</v>
      </c>
      <c r="H632" t="inlineStr">
        <is>
          <t>Sales invoice INV-202602-3</t>
        </is>
      </c>
      <c r="I632" t="inlineStr">
        <is>
          <t>Maa Vaishno Stores</t>
        </is>
      </c>
      <c r="J632">
        <f>YEAR(A632)*12+MONTH(A632)</f>
        <v/>
      </c>
    </row>
    <row r="633">
      <c r="A633" s="5" t="n">
        <v>46069</v>
      </c>
      <c r="B633" t="inlineStr">
        <is>
          <t>J-0252</t>
        </is>
      </c>
      <c r="C633" t="n">
        <v>2</v>
      </c>
      <c r="D633" t="inlineStr">
        <is>
          <t>4000</t>
        </is>
      </c>
      <c r="E633" t="inlineStr">
        <is>
          <t>Sales Revenue</t>
        </is>
      </c>
      <c r="F633" s="6" t="n">
        <v>0</v>
      </c>
      <c r="G633" s="6" t="n">
        <v>396408.18</v>
      </c>
      <c r="H633" t="inlineStr">
        <is>
          <t>Sales invoice INV-202602-3</t>
        </is>
      </c>
      <c r="I633" t="inlineStr">
        <is>
          <t>Maa Vaishno Stores</t>
        </is>
      </c>
      <c r="J633">
        <f>YEAR(A633)*12+MONTH(A633)</f>
        <v/>
      </c>
    </row>
    <row r="634">
      <c r="A634" s="5" t="n">
        <v>46069</v>
      </c>
      <c r="B634" t="inlineStr">
        <is>
          <t>J-0252</t>
        </is>
      </c>
      <c r="C634" t="n">
        <v>3</v>
      </c>
      <c r="D634" t="inlineStr">
        <is>
          <t>2100</t>
        </is>
      </c>
      <c r="E634" t="inlineStr">
        <is>
          <t>GST Payable</t>
        </is>
      </c>
      <c r="F634" s="6" t="n">
        <v>0</v>
      </c>
      <c r="G634" s="6" t="n">
        <v>71353.47</v>
      </c>
      <c r="H634" t="inlineStr">
        <is>
          <t>Sales invoice INV-202602-3</t>
        </is>
      </c>
      <c r="I634" t="inlineStr">
        <is>
          <t>GST</t>
        </is>
      </c>
      <c r="J634">
        <f>YEAR(A634)*12+MONTH(A634)</f>
        <v/>
      </c>
    </row>
    <row r="635">
      <c r="A635" s="5" t="n">
        <v>46058</v>
      </c>
      <c r="B635" t="inlineStr">
        <is>
          <t>J-0253</t>
        </is>
      </c>
      <c r="C635" t="n">
        <v>1</v>
      </c>
      <c r="D635" t="inlineStr">
        <is>
          <t>1100</t>
        </is>
      </c>
      <c r="E635" t="inlineStr">
        <is>
          <t>Accounts Receivable</t>
        </is>
      </c>
      <c r="F635" s="6" t="n">
        <v>403048.34</v>
      </c>
      <c r="G635" s="6" t="n">
        <v>0</v>
      </c>
      <c r="H635" t="inlineStr">
        <is>
          <t>Sales invoice INV-202602-4</t>
        </is>
      </c>
      <c r="I635" t="inlineStr">
        <is>
          <t>Patna Daily Needs</t>
        </is>
      </c>
      <c r="J635">
        <f>YEAR(A635)*12+MONTH(A635)</f>
        <v/>
      </c>
    </row>
    <row r="636">
      <c r="A636" s="5" t="n">
        <v>46058</v>
      </c>
      <c r="B636" t="inlineStr">
        <is>
          <t>J-0253</t>
        </is>
      </c>
      <c r="C636" t="n">
        <v>2</v>
      </c>
      <c r="D636" t="inlineStr">
        <is>
          <t>4000</t>
        </is>
      </c>
      <c r="E636" t="inlineStr">
        <is>
          <t>Sales Revenue</t>
        </is>
      </c>
      <c r="F636" s="6" t="n">
        <v>0</v>
      </c>
      <c r="G636" s="6" t="n">
        <v>341566.39</v>
      </c>
      <c r="H636" t="inlineStr">
        <is>
          <t>Sales invoice INV-202602-4</t>
        </is>
      </c>
      <c r="I636" t="inlineStr">
        <is>
          <t>Patna Daily Needs</t>
        </is>
      </c>
      <c r="J636">
        <f>YEAR(A636)*12+MONTH(A636)</f>
        <v/>
      </c>
    </row>
    <row r="637">
      <c r="A637" s="5" t="n">
        <v>46058</v>
      </c>
      <c r="B637" t="inlineStr">
        <is>
          <t>J-0253</t>
        </is>
      </c>
      <c r="C637" t="n">
        <v>3</v>
      </c>
      <c r="D637" t="inlineStr">
        <is>
          <t>2100</t>
        </is>
      </c>
      <c r="E637" t="inlineStr">
        <is>
          <t>GST Payable</t>
        </is>
      </c>
      <c r="F637" s="6" t="n">
        <v>0</v>
      </c>
      <c r="G637" s="6" t="n">
        <v>61481.95</v>
      </c>
      <c r="H637" t="inlineStr">
        <is>
          <t>Sales invoice INV-202602-4</t>
        </is>
      </c>
      <c r="I637" t="inlineStr">
        <is>
          <t>GST</t>
        </is>
      </c>
      <c r="J637">
        <f>YEAR(A637)*12+MONTH(A637)</f>
        <v/>
      </c>
    </row>
    <row r="638">
      <c r="A638" s="5" t="n">
        <v>46076</v>
      </c>
      <c r="B638" t="inlineStr">
        <is>
          <t>J-0254</t>
        </is>
      </c>
      <c r="C638" t="n">
        <v>1</v>
      </c>
      <c r="D638" t="inlineStr">
        <is>
          <t>1100</t>
        </is>
      </c>
      <c r="E638" t="inlineStr">
        <is>
          <t>Accounts Receivable</t>
        </is>
      </c>
      <c r="F638" s="6" t="n">
        <v>558954.71</v>
      </c>
      <c r="G638" s="6" t="n">
        <v>0</v>
      </c>
      <c r="H638" t="inlineStr">
        <is>
          <t>Sales invoice INV-202602-5</t>
        </is>
      </c>
      <c r="I638" t="inlineStr">
        <is>
          <t>Rajdhani Traders</t>
        </is>
      </c>
      <c r="J638">
        <f>YEAR(A638)*12+MONTH(A638)</f>
        <v/>
      </c>
    </row>
    <row r="639">
      <c r="A639" s="5" t="n">
        <v>46076</v>
      </c>
      <c r="B639" t="inlineStr">
        <is>
          <t>J-0254</t>
        </is>
      </c>
      <c r="C639" t="n">
        <v>2</v>
      </c>
      <c r="D639" t="inlineStr">
        <is>
          <t>4000</t>
        </is>
      </c>
      <c r="E639" t="inlineStr">
        <is>
          <t>Sales Revenue</t>
        </is>
      </c>
      <c r="F639" s="6" t="n">
        <v>0</v>
      </c>
      <c r="G639" s="6" t="n">
        <v>473690.43</v>
      </c>
      <c r="H639" t="inlineStr">
        <is>
          <t>Sales invoice INV-202602-5</t>
        </is>
      </c>
      <c r="I639" t="inlineStr">
        <is>
          <t>Rajdhani Traders</t>
        </is>
      </c>
      <c r="J639">
        <f>YEAR(A639)*12+MONTH(A639)</f>
        <v/>
      </c>
    </row>
    <row r="640">
      <c r="A640" s="5" t="n">
        <v>46076</v>
      </c>
      <c r="B640" t="inlineStr">
        <is>
          <t>J-0254</t>
        </is>
      </c>
      <c r="C640" t="n">
        <v>3</v>
      </c>
      <c r="D640" t="inlineStr">
        <is>
          <t>2100</t>
        </is>
      </c>
      <c r="E640" t="inlineStr">
        <is>
          <t>GST Payable</t>
        </is>
      </c>
      <c r="F640" s="6" t="n">
        <v>0</v>
      </c>
      <c r="G640" s="6" t="n">
        <v>85264.28</v>
      </c>
      <c r="H640" t="inlineStr">
        <is>
          <t>Sales invoice INV-202602-5</t>
        </is>
      </c>
      <c r="I640" t="inlineStr">
        <is>
          <t>GST</t>
        </is>
      </c>
      <c r="J640">
        <f>YEAR(A640)*12+MONTH(A640)</f>
        <v/>
      </c>
    </row>
    <row r="641">
      <c r="A641" s="5" t="n">
        <v>46074</v>
      </c>
      <c r="B641" t="inlineStr">
        <is>
          <t>J-0255</t>
        </is>
      </c>
      <c r="C641" t="n">
        <v>1</v>
      </c>
      <c r="D641" t="inlineStr">
        <is>
          <t>1100</t>
        </is>
      </c>
      <c r="E641" t="inlineStr">
        <is>
          <t>Accounts Receivable</t>
        </is>
      </c>
      <c r="F641" s="6" t="n">
        <v>587611.27</v>
      </c>
      <c r="G641" s="6" t="n">
        <v>0</v>
      </c>
      <c r="H641" t="inlineStr">
        <is>
          <t>Sales invoice INV-202602-6</t>
        </is>
      </c>
      <c r="I641" t="inlineStr">
        <is>
          <t>Maa Vaishno Stores</t>
        </is>
      </c>
      <c r="J641">
        <f>YEAR(A641)*12+MONTH(A641)</f>
        <v/>
      </c>
    </row>
    <row r="642">
      <c r="A642" s="5" t="n">
        <v>46074</v>
      </c>
      <c r="B642" t="inlineStr">
        <is>
          <t>J-0255</t>
        </is>
      </c>
      <c r="C642" t="n">
        <v>2</v>
      </c>
      <c r="D642" t="inlineStr">
        <is>
          <t>4000</t>
        </is>
      </c>
      <c r="E642" t="inlineStr">
        <is>
          <t>Sales Revenue</t>
        </is>
      </c>
      <c r="F642" s="6" t="n">
        <v>0</v>
      </c>
      <c r="G642" s="6" t="n">
        <v>497975.65</v>
      </c>
      <c r="H642" t="inlineStr">
        <is>
          <t>Sales invoice INV-202602-6</t>
        </is>
      </c>
      <c r="I642" t="inlineStr">
        <is>
          <t>Maa Vaishno Stores</t>
        </is>
      </c>
      <c r="J642">
        <f>YEAR(A642)*12+MONTH(A642)</f>
        <v/>
      </c>
    </row>
    <row r="643">
      <c r="A643" s="5" t="n">
        <v>46074</v>
      </c>
      <c r="B643" t="inlineStr">
        <is>
          <t>J-0255</t>
        </is>
      </c>
      <c r="C643" t="n">
        <v>3</v>
      </c>
      <c r="D643" t="inlineStr">
        <is>
          <t>2100</t>
        </is>
      </c>
      <c r="E643" t="inlineStr">
        <is>
          <t>GST Payable</t>
        </is>
      </c>
      <c r="F643" s="6" t="n">
        <v>0</v>
      </c>
      <c r="G643" s="6" t="n">
        <v>89635.62</v>
      </c>
      <c r="H643" t="inlineStr">
        <is>
          <t>Sales invoice INV-202602-6</t>
        </is>
      </c>
      <c r="I643" t="inlineStr">
        <is>
          <t>GST</t>
        </is>
      </c>
      <c r="J643">
        <f>YEAR(A643)*12+MONTH(A643)</f>
        <v/>
      </c>
    </row>
    <row r="644">
      <c r="A644" s="5" t="n">
        <v>46074</v>
      </c>
      <c r="B644" t="inlineStr">
        <is>
          <t>J-0256</t>
        </is>
      </c>
      <c r="C644" t="n">
        <v>1</v>
      </c>
      <c r="D644" t="inlineStr">
        <is>
          <t>1100</t>
        </is>
      </c>
      <c r="E644" t="inlineStr">
        <is>
          <t>Accounts Receivable</t>
        </is>
      </c>
      <c r="F644" s="6" t="n">
        <v>505547</v>
      </c>
      <c r="G644" s="6" t="n">
        <v>0</v>
      </c>
      <c r="H644" t="inlineStr">
        <is>
          <t>Sales invoice INV-202602-7</t>
        </is>
      </c>
      <c r="I644" t="inlineStr">
        <is>
          <t>Rajdhani Traders</t>
        </is>
      </c>
      <c r="J644">
        <f>YEAR(A644)*12+MONTH(A644)</f>
        <v/>
      </c>
    </row>
    <row r="645">
      <c r="A645" s="5" t="n">
        <v>46074</v>
      </c>
      <c r="B645" t="inlineStr">
        <is>
          <t>J-0256</t>
        </is>
      </c>
      <c r="C645" t="n">
        <v>2</v>
      </c>
      <c r="D645" t="inlineStr">
        <is>
          <t>4000</t>
        </is>
      </c>
      <c r="E645" t="inlineStr">
        <is>
          <t>Sales Revenue</t>
        </is>
      </c>
      <c r="F645" s="6" t="n">
        <v>0</v>
      </c>
      <c r="G645" s="6" t="n">
        <v>428429.66</v>
      </c>
      <c r="H645" t="inlineStr">
        <is>
          <t>Sales invoice INV-202602-7</t>
        </is>
      </c>
      <c r="I645" t="inlineStr">
        <is>
          <t>Rajdhani Traders</t>
        </is>
      </c>
      <c r="J645">
        <f>YEAR(A645)*12+MONTH(A645)</f>
        <v/>
      </c>
    </row>
    <row r="646">
      <c r="A646" s="5" t="n">
        <v>46074</v>
      </c>
      <c r="B646" t="inlineStr">
        <is>
          <t>J-0256</t>
        </is>
      </c>
      <c r="C646" t="n">
        <v>3</v>
      </c>
      <c r="D646" t="inlineStr">
        <is>
          <t>2100</t>
        </is>
      </c>
      <c r="E646" t="inlineStr">
        <is>
          <t>GST Payable</t>
        </is>
      </c>
      <c r="F646" s="6" t="n">
        <v>0</v>
      </c>
      <c r="G646" s="6" t="n">
        <v>77117.34</v>
      </c>
      <c r="H646" t="inlineStr">
        <is>
          <t>Sales invoice INV-202602-7</t>
        </is>
      </c>
      <c r="I646" t="inlineStr">
        <is>
          <t>GST</t>
        </is>
      </c>
      <c r="J646">
        <f>YEAR(A646)*12+MONTH(A646)</f>
        <v/>
      </c>
    </row>
    <row r="647">
      <c r="A647" s="5" t="n">
        <v>46080</v>
      </c>
      <c r="B647" t="inlineStr">
        <is>
          <t>J-0257</t>
        </is>
      </c>
      <c r="C647" t="n">
        <v>1</v>
      </c>
      <c r="D647" t="inlineStr">
        <is>
          <t>5000</t>
        </is>
      </c>
      <c r="E647" t="inlineStr">
        <is>
          <t>Cost of Goods Sold</t>
        </is>
      </c>
      <c r="F647" s="6" t="n">
        <v>2239101.33</v>
      </c>
      <c r="G647" s="6" t="n">
        <v>0</v>
      </c>
      <c r="H647" t="inlineStr">
        <is>
          <t>Cost of goods sold - monthly</t>
        </is>
      </c>
      <c r="I647" t="inlineStr"/>
      <c r="J647">
        <f>YEAR(A647)*12+MONTH(A647)</f>
        <v/>
      </c>
    </row>
    <row r="648">
      <c r="A648" s="5" t="n">
        <v>46080</v>
      </c>
      <c r="B648" t="inlineStr">
        <is>
          <t>J-0257</t>
        </is>
      </c>
      <c r="C648" t="n">
        <v>2</v>
      </c>
      <c r="D648" t="inlineStr">
        <is>
          <t>1200</t>
        </is>
      </c>
      <c r="E648" t="inlineStr">
        <is>
          <t>Inventory</t>
        </is>
      </c>
      <c r="F648" s="6" t="n">
        <v>0</v>
      </c>
      <c r="G648" s="6" t="n">
        <v>2239101.33</v>
      </c>
      <c r="H648" t="inlineStr">
        <is>
          <t>Cost of goods sold - monthly</t>
        </is>
      </c>
      <c r="I648" t="inlineStr"/>
      <c r="J648">
        <f>YEAR(A648)*12+MONTH(A648)</f>
        <v/>
      </c>
    </row>
    <row r="649">
      <c r="A649" s="5" t="n">
        <v>46081</v>
      </c>
      <c r="B649" t="inlineStr">
        <is>
          <t>J-0258</t>
        </is>
      </c>
      <c r="C649" t="n">
        <v>1</v>
      </c>
      <c r="D649" t="inlineStr">
        <is>
          <t>1000</t>
        </is>
      </c>
      <c r="E649" t="inlineStr">
        <is>
          <t>Cash &amp; Bank</t>
        </is>
      </c>
      <c r="F649" s="6" t="n">
        <v>3296933.77</v>
      </c>
      <c r="G649" s="6" t="n">
        <v>0</v>
      </c>
      <c r="H649" t="inlineStr">
        <is>
          <t>Customer receipts</t>
        </is>
      </c>
      <c r="I649" t="inlineStr"/>
      <c r="J649">
        <f>YEAR(A649)*12+MONTH(A649)</f>
        <v/>
      </c>
    </row>
    <row r="650">
      <c r="A650" s="5" t="n">
        <v>46081</v>
      </c>
      <c r="B650" t="inlineStr">
        <is>
          <t>J-0258</t>
        </is>
      </c>
      <c r="C650" t="n">
        <v>2</v>
      </c>
      <c r="D650" t="inlineStr">
        <is>
          <t>1100</t>
        </is>
      </c>
      <c r="E650" t="inlineStr">
        <is>
          <t>Accounts Receivable</t>
        </is>
      </c>
      <c r="F650" s="6" t="n">
        <v>0</v>
      </c>
      <c r="G650" s="6" t="n">
        <v>3296933.77</v>
      </c>
      <c r="H650" t="inlineStr">
        <is>
          <t>Customer receipts</t>
        </is>
      </c>
      <c r="I650" t="inlineStr"/>
      <c r="J650">
        <f>YEAR(A650)*12+MONTH(A650)</f>
        <v/>
      </c>
    </row>
    <row r="651">
      <c r="A651" s="5" t="n">
        <v>46061</v>
      </c>
      <c r="B651" t="inlineStr">
        <is>
          <t>J-0259</t>
        </is>
      </c>
      <c r="C651" t="n">
        <v>1</v>
      </c>
      <c r="D651" t="inlineStr">
        <is>
          <t>1200</t>
        </is>
      </c>
      <c r="E651" t="inlineStr">
        <is>
          <t>Inventory</t>
        </is>
      </c>
      <c r="F651" s="6" t="n">
        <v>516884.78</v>
      </c>
      <c r="G651" s="6" t="n">
        <v>0</v>
      </c>
      <c r="H651" t="inlineStr">
        <is>
          <t>Purchase bill PB-202602-1</t>
        </is>
      </c>
      <c r="I651" t="inlineStr">
        <is>
          <t>Eastern Packaging Co</t>
        </is>
      </c>
      <c r="J651">
        <f>YEAR(A651)*12+MONTH(A651)</f>
        <v/>
      </c>
    </row>
    <row r="652">
      <c r="A652" s="5" t="n">
        <v>46061</v>
      </c>
      <c r="B652" t="inlineStr">
        <is>
          <t>J-0259</t>
        </is>
      </c>
      <c r="C652" t="n">
        <v>2</v>
      </c>
      <c r="D652" t="inlineStr">
        <is>
          <t>1300</t>
        </is>
      </c>
      <c r="E652" t="inlineStr">
        <is>
          <t>GST Input Credit</t>
        </is>
      </c>
      <c r="F652" s="6" t="n">
        <v>93039.25999999999</v>
      </c>
      <c r="G652" s="6" t="n">
        <v>0</v>
      </c>
      <c r="H652" t="inlineStr">
        <is>
          <t>Purchase bill PB-202602-1</t>
        </is>
      </c>
      <c r="I652" t="inlineStr">
        <is>
          <t>Eastern Packaging Co</t>
        </is>
      </c>
      <c r="J652">
        <f>YEAR(A652)*12+MONTH(A652)</f>
        <v/>
      </c>
    </row>
    <row r="653">
      <c r="A653" s="5" t="n">
        <v>46061</v>
      </c>
      <c r="B653" t="inlineStr">
        <is>
          <t>J-0259</t>
        </is>
      </c>
      <c r="C653" t="n">
        <v>3</v>
      </c>
      <c r="D653" t="inlineStr">
        <is>
          <t>2000</t>
        </is>
      </c>
      <c r="E653" t="inlineStr">
        <is>
          <t>Accounts Payable</t>
        </is>
      </c>
      <c r="F653" s="6" t="n">
        <v>0</v>
      </c>
      <c r="G653" s="6" t="n">
        <v>609924.04</v>
      </c>
      <c r="H653" t="inlineStr">
        <is>
          <t>Purchase bill PB-202602-1</t>
        </is>
      </c>
      <c r="I653" t="inlineStr">
        <is>
          <t>Eastern Packaging Co</t>
        </is>
      </c>
      <c r="J653">
        <f>YEAR(A653)*12+MONTH(A653)</f>
        <v/>
      </c>
    </row>
    <row r="654">
      <c r="A654" s="5" t="n">
        <v>46070</v>
      </c>
      <c r="B654" t="inlineStr">
        <is>
          <t>J-0260</t>
        </is>
      </c>
      <c r="C654" t="n">
        <v>1</v>
      </c>
      <c r="D654" t="inlineStr">
        <is>
          <t>1200</t>
        </is>
      </c>
      <c r="E654" t="inlineStr">
        <is>
          <t>Inventory</t>
        </is>
      </c>
      <c r="F654" s="6" t="n">
        <v>487865.36</v>
      </c>
      <c r="G654" s="6" t="n">
        <v>0</v>
      </c>
      <c r="H654" t="inlineStr">
        <is>
          <t>Purchase bill PB-202602-2</t>
        </is>
      </c>
      <c r="I654" t="inlineStr">
        <is>
          <t>Eastern Packaging Co</t>
        </is>
      </c>
      <c r="J654">
        <f>YEAR(A654)*12+MONTH(A654)</f>
        <v/>
      </c>
    </row>
    <row r="655">
      <c r="A655" s="5" t="n">
        <v>46070</v>
      </c>
      <c r="B655" t="inlineStr">
        <is>
          <t>J-0260</t>
        </is>
      </c>
      <c r="C655" t="n">
        <v>2</v>
      </c>
      <c r="D655" t="inlineStr">
        <is>
          <t>1300</t>
        </is>
      </c>
      <c r="E655" t="inlineStr">
        <is>
          <t>GST Input Credit</t>
        </is>
      </c>
      <c r="F655" s="6" t="n">
        <v>87815.75999999999</v>
      </c>
      <c r="G655" s="6" t="n">
        <v>0</v>
      </c>
      <c r="H655" t="inlineStr">
        <is>
          <t>Purchase bill PB-202602-2</t>
        </is>
      </c>
      <c r="I655" t="inlineStr">
        <is>
          <t>Eastern Packaging Co</t>
        </is>
      </c>
      <c r="J655">
        <f>YEAR(A655)*12+MONTH(A655)</f>
        <v/>
      </c>
    </row>
    <row r="656">
      <c r="A656" s="5" t="n">
        <v>46070</v>
      </c>
      <c r="B656" t="inlineStr">
        <is>
          <t>J-0260</t>
        </is>
      </c>
      <c r="C656" t="n">
        <v>3</v>
      </c>
      <c r="D656" t="inlineStr">
        <is>
          <t>2000</t>
        </is>
      </c>
      <c r="E656" t="inlineStr">
        <is>
          <t>Accounts Payable</t>
        </is>
      </c>
      <c r="F656" s="6" t="n">
        <v>0</v>
      </c>
      <c r="G656" s="6" t="n">
        <v>575681.12</v>
      </c>
      <c r="H656" t="inlineStr">
        <is>
          <t>Purchase bill PB-202602-2</t>
        </is>
      </c>
      <c r="I656" t="inlineStr">
        <is>
          <t>Eastern Packaging Co</t>
        </is>
      </c>
      <c r="J656">
        <f>YEAR(A656)*12+MONTH(A656)</f>
        <v/>
      </c>
    </row>
    <row r="657">
      <c r="A657" s="5" t="n">
        <v>46064</v>
      </c>
      <c r="B657" t="inlineStr">
        <is>
          <t>J-0261</t>
        </is>
      </c>
      <c r="C657" t="n">
        <v>1</v>
      </c>
      <c r="D657" t="inlineStr">
        <is>
          <t>1200</t>
        </is>
      </c>
      <c r="E657" t="inlineStr">
        <is>
          <t>Inventory</t>
        </is>
      </c>
      <c r="F657" s="6" t="n">
        <v>401720.01</v>
      </c>
      <c r="G657" s="6" t="n">
        <v>0</v>
      </c>
      <c r="H657" t="inlineStr">
        <is>
          <t>Purchase bill PB-202602-3</t>
        </is>
      </c>
      <c r="I657" t="inlineStr">
        <is>
          <t>Bihar Agro Supplies</t>
        </is>
      </c>
      <c r="J657">
        <f>YEAR(A657)*12+MONTH(A657)</f>
        <v/>
      </c>
    </row>
    <row r="658">
      <c r="A658" s="5" t="n">
        <v>46064</v>
      </c>
      <c r="B658" t="inlineStr">
        <is>
          <t>J-0261</t>
        </is>
      </c>
      <c r="C658" t="n">
        <v>2</v>
      </c>
      <c r="D658" t="inlineStr">
        <is>
          <t>1300</t>
        </is>
      </c>
      <c r="E658" t="inlineStr">
        <is>
          <t>GST Input Credit</t>
        </is>
      </c>
      <c r="F658" s="6" t="n">
        <v>72309.60000000001</v>
      </c>
      <c r="G658" s="6" t="n">
        <v>0</v>
      </c>
      <c r="H658" t="inlineStr">
        <is>
          <t>Purchase bill PB-202602-3</t>
        </is>
      </c>
      <c r="I658" t="inlineStr">
        <is>
          <t>Bihar Agro Supplies</t>
        </is>
      </c>
      <c r="J658">
        <f>YEAR(A658)*12+MONTH(A658)</f>
        <v/>
      </c>
    </row>
    <row r="659">
      <c r="A659" s="5" t="n">
        <v>46064</v>
      </c>
      <c r="B659" t="inlineStr">
        <is>
          <t>J-0261</t>
        </is>
      </c>
      <c r="C659" t="n">
        <v>3</v>
      </c>
      <c r="D659" t="inlineStr">
        <is>
          <t>2000</t>
        </is>
      </c>
      <c r="E659" t="inlineStr">
        <is>
          <t>Accounts Payable</t>
        </is>
      </c>
      <c r="F659" s="6" t="n">
        <v>0</v>
      </c>
      <c r="G659" s="6" t="n">
        <v>474029.61</v>
      </c>
      <c r="H659" t="inlineStr">
        <is>
          <t>Purchase bill PB-202602-3</t>
        </is>
      </c>
      <c r="I659" t="inlineStr">
        <is>
          <t>Bihar Agro Supplies</t>
        </is>
      </c>
      <c r="J659">
        <f>YEAR(A659)*12+MONTH(A659)</f>
        <v/>
      </c>
    </row>
    <row r="660">
      <c r="A660" s="5" t="n">
        <v>46071</v>
      </c>
      <c r="B660" t="inlineStr">
        <is>
          <t>J-0262</t>
        </is>
      </c>
      <c r="C660" t="n">
        <v>1</v>
      </c>
      <c r="D660" t="inlineStr">
        <is>
          <t>1200</t>
        </is>
      </c>
      <c r="E660" t="inlineStr">
        <is>
          <t>Inventory</t>
        </is>
      </c>
      <c r="F660" s="6" t="n">
        <v>491805.45</v>
      </c>
      <c r="G660" s="6" t="n">
        <v>0</v>
      </c>
      <c r="H660" t="inlineStr">
        <is>
          <t>Purchase bill PB-202602-4</t>
        </is>
      </c>
      <c r="I660" t="inlineStr">
        <is>
          <t>Ganga Logistics Pvt Ltd</t>
        </is>
      </c>
      <c r="J660">
        <f>YEAR(A660)*12+MONTH(A660)</f>
        <v/>
      </c>
    </row>
    <row r="661">
      <c r="A661" s="5" t="n">
        <v>46071</v>
      </c>
      <c r="B661" t="inlineStr">
        <is>
          <t>J-0262</t>
        </is>
      </c>
      <c r="C661" t="n">
        <v>2</v>
      </c>
      <c r="D661" t="inlineStr">
        <is>
          <t>1300</t>
        </is>
      </c>
      <c r="E661" t="inlineStr">
        <is>
          <t>GST Input Credit</t>
        </is>
      </c>
      <c r="F661" s="6" t="n">
        <v>88524.98</v>
      </c>
      <c r="G661" s="6" t="n">
        <v>0</v>
      </c>
      <c r="H661" t="inlineStr">
        <is>
          <t>Purchase bill PB-202602-4</t>
        </is>
      </c>
      <c r="I661" t="inlineStr">
        <is>
          <t>Ganga Logistics Pvt Ltd</t>
        </is>
      </c>
      <c r="J661">
        <f>YEAR(A661)*12+MONTH(A661)</f>
        <v/>
      </c>
    </row>
    <row r="662">
      <c r="A662" s="5" t="n">
        <v>46071</v>
      </c>
      <c r="B662" t="inlineStr">
        <is>
          <t>J-0262</t>
        </is>
      </c>
      <c r="C662" t="n">
        <v>3</v>
      </c>
      <c r="D662" t="inlineStr">
        <is>
          <t>2000</t>
        </is>
      </c>
      <c r="E662" t="inlineStr">
        <is>
          <t>Accounts Payable</t>
        </is>
      </c>
      <c r="F662" s="6" t="n">
        <v>0</v>
      </c>
      <c r="G662" s="6" t="n">
        <v>580330.4300000001</v>
      </c>
      <c r="H662" t="inlineStr">
        <is>
          <t>Purchase bill PB-202602-4</t>
        </is>
      </c>
      <c r="I662" t="inlineStr">
        <is>
          <t>Ganga Logistics Pvt Ltd</t>
        </is>
      </c>
      <c r="J662">
        <f>YEAR(A662)*12+MONTH(A662)</f>
        <v/>
      </c>
    </row>
    <row r="663">
      <c r="A663" s="5" t="n">
        <v>46070</v>
      </c>
      <c r="B663" t="inlineStr">
        <is>
          <t>J-0263</t>
        </is>
      </c>
      <c r="C663" t="n">
        <v>1</v>
      </c>
      <c r="D663" t="inlineStr">
        <is>
          <t>1200</t>
        </is>
      </c>
      <c r="E663" t="inlineStr">
        <is>
          <t>Inventory</t>
        </is>
      </c>
      <c r="F663" s="6" t="n">
        <v>467077.45</v>
      </c>
      <c r="G663" s="6" t="n">
        <v>0</v>
      </c>
      <c r="H663" t="inlineStr">
        <is>
          <t>Purchase bill PB-202602-5</t>
        </is>
      </c>
      <c r="I663" t="inlineStr">
        <is>
          <t>National FMCG Distributors</t>
        </is>
      </c>
      <c r="J663">
        <f>YEAR(A663)*12+MONTH(A663)</f>
        <v/>
      </c>
    </row>
    <row r="664">
      <c r="A664" s="5" t="n">
        <v>46070</v>
      </c>
      <c r="B664" t="inlineStr">
        <is>
          <t>J-0263</t>
        </is>
      </c>
      <c r="C664" t="n">
        <v>2</v>
      </c>
      <c r="D664" t="inlineStr">
        <is>
          <t>1300</t>
        </is>
      </c>
      <c r="E664" t="inlineStr">
        <is>
          <t>GST Input Credit</t>
        </is>
      </c>
      <c r="F664" s="6" t="n">
        <v>84073.94</v>
      </c>
      <c r="G664" s="6" t="n">
        <v>0</v>
      </c>
      <c r="H664" t="inlineStr">
        <is>
          <t>Purchase bill PB-202602-5</t>
        </is>
      </c>
      <c r="I664" t="inlineStr">
        <is>
          <t>National FMCG Distributors</t>
        </is>
      </c>
      <c r="J664">
        <f>YEAR(A664)*12+MONTH(A664)</f>
        <v/>
      </c>
    </row>
    <row r="665">
      <c r="A665" s="5" t="n">
        <v>46070</v>
      </c>
      <c r="B665" t="inlineStr">
        <is>
          <t>J-0263</t>
        </is>
      </c>
      <c r="C665" t="n">
        <v>3</v>
      </c>
      <c r="D665" t="inlineStr">
        <is>
          <t>2000</t>
        </is>
      </c>
      <c r="E665" t="inlineStr">
        <is>
          <t>Accounts Payable</t>
        </is>
      </c>
      <c r="F665" s="6" t="n">
        <v>0</v>
      </c>
      <c r="G665" s="6" t="n">
        <v>551151.39</v>
      </c>
      <c r="H665" t="inlineStr">
        <is>
          <t>Purchase bill PB-202602-5</t>
        </is>
      </c>
      <c r="I665" t="inlineStr">
        <is>
          <t>National FMCG Distributors</t>
        </is>
      </c>
      <c r="J665">
        <f>YEAR(A665)*12+MONTH(A665)</f>
        <v/>
      </c>
    </row>
    <row r="666">
      <c r="A666" s="5" t="n">
        <v>46081</v>
      </c>
      <c r="B666" t="inlineStr">
        <is>
          <t>J-0264</t>
        </is>
      </c>
      <c r="C666" t="n">
        <v>1</v>
      </c>
      <c r="D666" t="inlineStr">
        <is>
          <t>2000</t>
        </is>
      </c>
      <c r="E666" t="inlineStr">
        <is>
          <t>Accounts Payable</t>
        </is>
      </c>
      <c r="F666" s="6" t="n">
        <v>2249688.14</v>
      </c>
      <c r="G666" s="6" t="n">
        <v>0</v>
      </c>
      <c r="H666" t="inlineStr">
        <is>
          <t>Vendor payments</t>
        </is>
      </c>
      <c r="I666" t="inlineStr"/>
      <c r="J666">
        <f>YEAR(A666)*12+MONTH(A666)</f>
        <v/>
      </c>
    </row>
    <row r="667">
      <c r="A667" s="5" t="n">
        <v>46081</v>
      </c>
      <c r="B667" t="inlineStr">
        <is>
          <t>J-0264</t>
        </is>
      </c>
      <c r="C667" t="n">
        <v>2</v>
      </c>
      <c r="D667" t="inlineStr">
        <is>
          <t>1000</t>
        </is>
      </c>
      <c r="E667" t="inlineStr">
        <is>
          <t>Cash &amp; Bank</t>
        </is>
      </c>
      <c r="F667" s="6" t="n">
        <v>0</v>
      </c>
      <c r="G667" s="6" t="n">
        <v>2249688.14</v>
      </c>
      <c r="H667" t="inlineStr">
        <is>
          <t>Vendor payments</t>
        </is>
      </c>
      <c r="I667" t="inlineStr"/>
      <c r="J667">
        <f>YEAR(A667)*12+MONTH(A667)</f>
        <v/>
      </c>
    </row>
    <row r="668">
      <c r="A668" s="5" t="n">
        <v>46081</v>
      </c>
      <c r="B668" t="inlineStr">
        <is>
          <t>J-0265</t>
        </is>
      </c>
      <c r="C668" t="n">
        <v>1</v>
      </c>
      <c r="D668" t="inlineStr">
        <is>
          <t>2100</t>
        </is>
      </c>
      <c r="E668" t="inlineStr">
        <is>
          <t>GST Payable</t>
        </is>
      </c>
      <c r="F668" s="6" t="n">
        <v>165502.5</v>
      </c>
      <c r="G668" s="6" t="n">
        <v>0</v>
      </c>
      <c r="H668" t="inlineStr">
        <is>
          <t>GST paid for month</t>
        </is>
      </c>
      <c r="I668" t="inlineStr">
        <is>
          <t>GST</t>
        </is>
      </c>
      <c r="J668">
        <f>YEAR(A668)*12+MONTH(A668)</f>
        <v/>
      </c>
    </row>
    <row r="669">
      <c r="A669" s="5" t="n">
        <v>46081</v>
      </c>
      <c r="B669" t="inlineStr">
        <is>
          <t>J-0265</t>
        </is>
      </c>
      <c r="C669" t="n">
        <v>2</v>
      </c>
      <c r="D669" t="inlineStr">
        <is>
          <t>1000</t>
        </is>
      </c>
      <c r="E669" t="inlineStr">
        <is>
          <t>Cash &amp; Bank</t>
        </is>
      </c>
      <c r="F669" s="6" t="n">
        <v>0</v>
      </c>
      <c r="G669" s="6" t="n">
        <v>165502.5</v>
      </c>
      <c r="H669" t="inlineStr">
        <is>
          <t>GST paid for month</t>
        </is>
      </c>
      <c r="I669" t="inlineStr">
        <is>
          <t>GST</t>
        </is>
      </c>
      <c r="J669">
        <f>YEAR(A669)*12+MONTH(A669)</f>
        <v/>
      </c>
    </row>
    <row r="670">
      <c r="A670" s="5" t="n">
        <v>46058</v>
      </c>
      <c r="B670" t="inlineStr">
        <is>
          <t>J-0266</t>
        </is>
      </c>
      <c r="C670" t="n">
        <v>1</v>
      </c>
      <c r="D670" t="inlineStr">
        <is>
          <t>5100</t>
        </is>
      </c>
      <c r="E670" t="inlineStr">
        <is>
          <t>Rent Expense</t>
        </is>
      </c>
      <c r="F670" s="6" t="n">
        <v>25000</v>
      </c>
      <c r="G670" s="6" t="n">
        <v>0</v>
      </c>
      <c r="H670" t="inlineStr">
        <is>
          <t>Office rent</t>
        </is>
      </c>
      <c r="I670" t="inlineStr"/>
      <c r="J670">
        <f>YEAR(A670)*12+MONTH(A670)</f>
        <v/>
      </c>
    </row>
    <row r="671">
      <c r="A671" s="5" t="n">
        <v>46058</v>
      </c>
      <c r="B671" t="inlineStr">
        <is>
          <t>J-0266</t>
        </is>
      </c>
      <c r="C671" t="n">
        <v>2</v>
      </c>
      <c r="D671" t="inlineStr">
        <is>
          <t>1000</t>
        </is>
      </c>
      <c r="E671" t="inlineStr">
        <is>
          <t>Cash &amp; Bank</t>
        </is>
      </c>
      <c r="F671" s="6" t="n">
        <v>0</v>
      </c>
      <c r="G671" s="6" t="n">
        <v>25000</v>
      </c>
      <c r="H671" t="inlineStr">
        <is>
          <t>Office rent</t>
        </is>
      </c>
      <c r="I671" t="inlineStr"/>
      <c r="J671">
        <f>YEAR(A671)*12+MONTH(A671)</f>
        <v/>
      </c>
    </row>
    <row r="672">
      <c r="A672" s="5" t="n">
        <v>46060</v>
      </c>
      <c r="B672" t="inlineStr">
        <is>
          <t>J-0267</t>
        </is>
      </c>
      <c r="C672" t="n">
        <v>1</v>
      </c>
      <c r="D672" t="inlineStr">
        <is>
          <t>5200</t>
        </is>
      </c>
      <c r="E672" t="inlineStr">
        <is>
          <t>Salaries Expense</t>
        </is>
      </c>
      <c r="F672" s="6" t="n">
        <v>109057.2</v>
      </c>
      <c r="G672" s="6" t="n">
        <v>0</v>
      </c>
      <c r="H672" t="inlineStr">
        <is>
          <t>Staff salaries</t>
        </is>
      </c>
      <c r="I672" t="inlineStr"/>
      <c r="J672">
        <f>YEAR(A672)*12+MONTH(A672)</f>
        <v/>
      </c>
    </row>
    <row r="673">
      <c r="A673" s="5" t="n">
        <v>46060</v>
      </c>
      <c r="B673" t="inlineStr">
        <is>
          <t>J-0267</t>
        </is>
      </c>
      <c r="C673" t="n">
        <v>2</v>
      </c>
      <c r="D673" t="inlineStr">
        <is>
          <t>1000</t>
        </is>
      </c>
      <c r="E673" t="inlineStr">
        <is>
          <t>Cash &amp; Bank</t>
        </is>
      </c>
      <c r="F673" s="6" t="n">
        <v>0</v>
      </c>
      <c r="G673" s="6" t="n">
        <v>109057.2</v>
      </c>
      <c r="H673" t="inlineStr">
        <is>
          <t>Staff salaries</t>
        </is>
      </c>
      <c r="I673" t="inlineStr"/>
      <c r="J673">
        <f>YEAR(A673)*12+MONTH(A673)</f>
        <v/>
      </c>
    </row>
    <row r="674">
      <c r="A674" s="5" t="n">
        <v>46065</v>
      </c>
      <c r="B674" t="inlineStr">
        <is>
          <t>J-0268</t>
        </is>
      </c>
      <c r="C674" t="n">
        <v>1</v>
      </c>
      <c r="D674" t="inlineStr">
        <is>
          <t>5300</t>
        </is>
      </c>
      <c r="E674" t="inlineStr">
        <is>
          <t>Utilities Expense</t>
        </is>
      </c>
      <c r="F674" s="6" t="n">
        <v>7679.29</v>
      </c>
      <c r="G674" s="6" t="n">
        <v>0</v>
      </c>
      <c r="H674" t="inlineStr">
        <is>
          <t>Utilities (power/water/phone)</t>
        </is>
      </c>
      <c r="I674" t="inlineStr"/>
      <c r="J674">
        <f>YEAR(A674)*12+MONTH(A674)</f>
        <v/>
      </c>
    </row>
    <row r="675">
      <c r="A675" s="5" t="n">
        <v>46065</v>
      </c>
      <c r="B675" t="inlineStr">
        <is>
          <t>J-0268</t>
        </is>
      </c>
      <c r="C675" t="n">
        <v>2</v>
      </c>
      <c r="D675" t="inlineStr">
        <is>
          <t>1000</t>
        </is>
      </c>
      <c r="E675" t="inlineStr">
        <is>
          <t>Cash &amp; Bank</t>
        </is>
      </c>
      <c r="F675" s="6" t="n">
        <v>0</v>
      </c>
      <c r="G675" s="6" t="n">
        <v>7679.29</v>
      </c>
      <c r="H675" t="inlineStr">
        <is>
          <t>Utilities (power/water/phone)</t>
        </is>
      </c>
      <c r="I675" t="inlineStr"/>
      <c r="J675">
        <f>YEAR(A675)*12+MONTH(A675)</f>
        <v/>
      </c>
    </row>
    <row r="676">
      <c r="A676" s="5" t="n">
        <v>46071</v>
      </c>
      <c r="B676" t="inlineStr">
        <is>
          <t>J-0269</t>
        </is>
      </c>
      <c r="C676" t="n">
        <v>1</v>
      </c>
      <c r="D676" t="inlineStr">
        <is>
          <t>5400</t>
        </is>
      </c>
      <c r="E676" t="inlineStr">
        <is>
          <t>Transport &amp; Logistics</t>
        </is>
      </c>
      <c r="F676" s="6" t="n">
        <v>17237.97</v>
      </c>
      <c r="G676" s="6" t="n">
        <v>0</v>
      </c>
      <c r="H676" t="inlineStr">
        <is>
          <t>Transport &amp; logistics</t>
        </is>
      </c>
      <c r="I676" t="inlineStr"/>
      <c r="J676">
        <f>YEAR(A676)*12+MONTH(A676)</f>
        <v/>
      </c>
    </row>
    <row r="677">
      <c r="A677" s="5" t="n">
        <v>46071</v>
      </c>
      <c r="B677" t="inlineStr">
        <is>
          <t>J-0269</t>
        </is>
      </c>
      <c r="C677" t="n">
        <v>2</v>
      </c>
      <c r="D677" t="inlineStr">
        <is>
          <t>1000</t>
        </is>
      </c>
      <c r="E677" t="inlineStr">
        <is>
          <t>Cash &amp; Bank</t>
        </is>
      </c>
      <c r="F677" s="6" t="n">
        <v>0</v>
      </c>
      <c r="G677" s="6" t="n">
        <v>17237.97</v>
      </c>
      <c r="H677" t="inlineStr">
        <is>
          <t>Transport &amp; logistics</t>
        </is>
      </c>
      <c r="I677" t="inlineStr"/>
      <c r="J677">
        <f>YEAR(A677)*12+MONTH(A677)</f>
        <v/>
      </c>
    </row>
    <row r="678">
      <c r="A678" s="5" t="n">
        <v>46073</v>
      </c>
      <c r="B678" t="inlineStr">
        <is>
          <t>J-0270</t>
        </is>
      </c>
      <c r="C678" t="n">
        <v>1</v>
      </c>
      <c r="D678" t="inlineStr">
        <is>
          <t>5500</t>
        </is>
      </c>
      <c r="E678" t="inlineStr">
        <is>
          <t>Marketing Expense</t>
        </is>
      </c>
      <c r="F678" s="6" t="n">
        <v>16321.22</v>
      </c>
      <c r="G678" s="6" t="n">
        <v>0</v>
      </c>
      <c r="H678" t="inlineStr">
        <is>
          <t>Marketing &amp; promotions</t>
        </is>
      </c>
      <c r="I678" t="inlineStr"/>
      <c r="J678">
        <f>YEAR(A678)*12+MONTH(A678)</f>
        <v/>
      </c>
    </row>
    <row r="679">
      <c r="A679" s="5" t="n">
        <v>46073</v>
      </c>
      <c r="B679" t="inlineStr">
        <is>
          <t>J-0270</t>
        </is>
      </c>
      <c r="C679" t="n">
        <v>2</v>
      </c>
      <c r="D679" t="inlineStr">
        <is>
          <t>1000</t>
        </is>
      </c>
      <c r="E679" t="inlineStr">
        <is>
          <t>Cash &amp; Bank</t>
        </is>
      </c>
      <c r="F679" s="6" t="n">
        <v>0</v>
      </c>
      <c r="G679" s="6" t="n">
        <v>16321.22</v>
      </c>
      <c r="H679" t="inlineStr">
        <is>
          <t>Marketing &amp; promotions</t>
        </is>
      </c>
      <c r="I679" t="inlineStr"/>
      <c r="J679">
        <f>YEAR(A679)*12+MONTH(A679)</f>
        <v/>
      </c>
    </row>
    <row r="680">
      <c r="A680" s="5" t="n">
        <v>46063</v>
      </c>
      <c r="B680" t="inlineStr">
        <is>
          <t>J-0271</t>
        </is>
      </c>
      <c r="C680" t="n">
        <v>1</v>
      </c>
      <c r="D680" t="inlineStr">
        <is>
          <t>5600</t>
        </is>
      </c>
      <c r="E680" t="inlineStr">
        <is>
          <t>Interest Expense</t>
        </is>
      </c>
      <c r="F680" s="6" t="n">
        <v>9000</v>
      </c>
      <c r="G680" s="6" t="n">
        <v>0</v>
      </c>
      <c r="H680" t="inlineStr">
        <is>
          <t>Term loan interest</t>
        </is>
      </c>
      <c r="I680" t="inlineStr">
        <is>
          <t>HDFC</t>
        </is>
      </c>
      <c r="J680">
        <f>YEAR(A680)*12+MONTH(A680)</f>
        <v/>
      </c>
    </row>
    <row r="681">
      <c r="A681" s="5" t="n">
        <v>46063</v>
      </c>
      <c r="B681" t="inlineStr">
        <is>
          <t>J-0271</t>
        </is>
      </c>
      <c r="C681" t="n">
        <v>2</v>
      </c>
      <c r="D681" t="inlineStr">
        <is>
          <t>1000</t>
        </is>
      </c>
      <c r="E681" t="inlineStr">
        <is>
          <t>Cash &amp; Bank</t>
        </is>
      </c>
      <c r="F681" s="6" t="n">
        <v>0</v>
      </c>
      <c r="G681" s="6" t="n">
        <v>9000</v>
      </c>
      <c r="H681" t="inlineStr">
        <is>
          <t>Term loan interest</t>
        </is>
      </c>
      <c r="I681" t="inlineStr">
        <is>
          <t>HDFC</t>
        </is>
      </c>
      <c r="J681">
        <f>YEAR(A681)*12+MONTH(A681)</f>
        <v/>
      </c>
    </row>
    <row r="682">
      <c r="A682" s="5" t="n">
        <v>46063</v>
      </c>
      <c r="B682" t="inlineStr">
        <is>
          <t>J-0272</t>
        </is>
      </c>
      <c r="C682" t="n">
        <v>1</v>
      </c>
      <c r="D682" t="inlineStr">
        <is>
          <t>2200</t>
        </is>
      </c>
      <c r="E682" t="inlineStr">
        <is>
          <t>Term Loan</t>
        </is>
      </c>
      <c r="F682" s="6" t="n">
        <v>55000</v>
      </c>
      <c r="G682" s="6" t="n">
        <v>0</v>
      </c>
      <c r="H682" t="inlineStr">
        <is>
          <t>Term loan principal repayment</t>
        </is>
      </c>
      <c r="I682" t="inlineStr">
        <is>
          <t>HDFC</t>
        </is>
      </c>
      <c r="J682">
        <f>YEAR(A682)*12+MONTH(A682)</f>
        <v/>
      </c>
    </row>
    <row r="683">
      <c r="A683" s="5" t="n">
        <v>46063</v>
      </c>
      <c r="B683" t="inlineStr">
        <is>
          <t>J-0272</t>
        </is>
      </c>
      <c r="C683" t="n">
        <v>2</v>
      </c>
      <c r="D683" t="inlineStr">
        <is>
          <t>1000</t>
        </is>
      </c>
      <c r="E683" t="inlineStr">
        <is>
          <t>Cash &amp; Bank</t>
        </is>
      </c>
      <c r="F683" s="6" t="n">
        <v>0</v>
      </c>
      <c r="G683" s="6" t="n">
        <v>55000</v>
      </c>
      <c r="H683" t="inlineStr">
        <is>
          <t>Term loan principal repayment</t>
        </is>
      </c>
      <c r="I683" t="inlineStr">
        <is>
          <t>HDFC</t>
        </is>
      </c>
      <c r="J683">
        <f>YEAR(A683)*12+MONTH(A683)</f>
        <v/>
      </c>
    </row>
    <row r="684">
      <c r="A684" s="5" t="n">
        <v>46081</v>
      </c>
      <c r="B684" t="inlineStr">
        <is>
          <t>J-0273</t>
        </is>
      </c>
      <c r="C684" t="n">
        <v>1</v>
      </c>
      <c r="D684" t="inlineStr">
        <is>
          <t>5700</t>
        </is>
      </c>
      <c r="E684" t="inlineStr">
        <is>
          <t>Depreciation Expense</t>
        </is>
      </c>
      <c r="F684" s="6" t="n">
        <v>6000</v>
      </c>
      <c r="G684" s="6" t="n">
        <v>0</v>
      </c>
      <c r="H684" t="inlineStr">
        <is>
          <t>Depreciation - equipment</t>
        </is>
      </c>
      <c r="I684" t="inlineStr"/>
      <c r="J684">
        <f>YEAR(A684)*12+MONTH(A684)</f>
        <v/>
      </c>
    </row>
    <row r="685">
      <c r="A685" s="5" t="n">
        <v>46081</v>
      </c>
      <c r="B685" t="inlineStr">
        <is>
          <t>J-0273</t>
        </is>
      </c>
      <c r="C685" t="n">
        <v>2</v>
      </c>
      <c r="D685" t="inlineStr">
        <is>
          <t>1510</t>
        </is>
      </c>
      <c r="E685" t="inlineStr">
        <is>
          <t>Accumulated Depreciation</t>
        </is>
      </c>
      <c r="F685" s="6" t="n">
        <v>0</v>
      </c>
      <c r="G685" s="6" t="n">
        <v>6000</v>
      </c>
      <c r="H685" t="inlineStr">
        <is>
          <t>Depreciation - equipment</t>
        </is>
      </c>
      <c r="I685" t="inlineStr"/>
      <c r="J685">
        <f>YEAR(A685)*12+MONTH(A685)</f>
        <v/>
      </c>
    </row>
    <row r="686">
      <c r="A686" s="5" t="n">
        <v>46065</v>
      </c>
      <c r="B686" t="inlineStr">
        <is>
          <t>J-0274</t>
        </is>
      </c>
      <c r="C686" t="n">
        <v>1</v>
      </c>
      <c r="D686" t="inlineStr">
        <is>
          <t>5800</t>
        </is>
      </c>
      <c r="E686" t="inlineStr">
        <is>
          <t>Miscellaneous Expense</t>
        </is>
      </c>
      <c r="F686" s="6" t="n">
        <v>4387.57</v>
      </c>
      <c r="G686" s="6" t="n">
        <v>0</v>
      </c>
      <c r="H686" t="inlineStr">
        <is>
          <t>Miscellaneous expenses</t>
        </is>
      </c>
      <c r="I686" t="inlineStr"/>
      <c r="J686">
        <f>YEAR(A686)*12+MONTH(A686)</f>
        <v/>
      </c>
    </row>
    <row r="687">
      <c r="A687" s="5" t="n">
        <v>46065</v>
      </c>
      <c r="B687" t="inlineStr">
        <is>
          <t>J-0274</t>
        </is>
      </c>
      <c r="C687" t="n">
        <v>2</v>
      </c>
      <c r="D687" t="inlineStr">
        <is>
          <t>1000</t>
        </is>
      </c>
      <c r="E687" t="inlineStr">
        <is>
          <t>Cash &amp; Bank</t>
        </is>
      </c>
      <c r="F687" s="6" t="n">
        <v>0</v>
      </c>
      <c r="G687" s="6" t="n">
        <v>4387.57</v>
      </c>
      <c r="H687" t="inlineStr">
        <is>
          <t>Miscellaneous expenses</t>
        </is>
      </c>
      <c r="I687" t="inlineStr"/>
      <c r="J687">
        <f>YEAR(A687)*12+MONTH(A687)</f>
        <v/>
      </c>
    </row>
    <row r="688">
      <c r="A688" s="5" t="n">
        <v>46093</v>
      </c>
      <c r="B688" t="inlineStr">
        <is>
          <t>J-0275</t>
        </is>
      </c>
      <c r="C688" t="n">
        <v>1</v>
      </c>
      <c r="D688" t="inlineStr">
        <is>
          <t>1100</t>
        </is>
      </c>
      <c r="E688" t="inlineStr">
        <is>
          <t>Accounts Receivable</t>
        </is>
      </c>
      <c r="F688" s="6" t="n">
        <v>482516.46</v>
      </c>
      <c r="G688" s="6" t="n">
        <v>0</v>
      </c>
      <c r="H688" t="inlineStr">
        <is>
          <t>Sales invoice INV-202603-1</t>
        </is>
      </c>
      <c r="I688" t="inlineStr">
        <is>
          <t>New City Mart</t>
        </is>
      </c>
      <c r="J688">
        <f>YEAR(A688)*12+MONTH(A688)</f>
        <v/>
      </c>
    </row>
    <row r="689">
      <c r="A689" s="5" t="n">
        <v>46093</v>
      </c>
      <c r="B689" t="inlineStr">
        <is>
          <t>J-0275</t>
        </is>
      </c>
      <c r="C689" t="n">
        <v>2</v>
      </c>
      <c r="D689" t="inlineStr">
        <is>
          <t>4000</t>
        </is>
      </c>
      <c r="E689" t="inlineStr">
        <is>
          <t>Sales Revenue</t>
        </is>
      </c>
      <c r="F689" s="6" t="n">
        <v>0</v>
      </c>
      <c r="G689" s="6" t="n">
        <v>408912.25</v>
      </c>
      <c r="H689" t="inlineStr">
        <is>
          <t>Sales invoice INV-202603-1</t>
        </is>
      </c>
      <c r="I689" t="inlineStr">
        <is>
          <t>New City Mart</t>
        </is>
      </c>
      <c r="J689">
        <f>YEAR(A689)*12+MONTH(A689)</f>
        <v/>
      </c>
    </row>
    <row r="690">
      <c r="A690" s="5" t="n">
        <v>46093</v>
      </c>
      <c r="B690" t="inlineStr">
        <is>
          <t>J-0275</t>
        </is>
      </c>
      <c r="C690" t="n">
        <v>3</v>
      </c>
      <c r="D690" t="inlineStr">
        <is>
          <t>2100</t>
        </is>
      </c>
      <c r="E690" t="inlineStr">
        <is>
          <t>GST Payable</t>
        </is>
      </c>
      <c r="F690" s="6" t="n">
        <v>0</v>
      </c>
      <c r="G690" s="6" t="n">
        <v>73604.21000000001</v>
      </c>
      <c r="H690" t="inlineStr">
        <is>
          <t>Sales invoice INV-202603-1</t>
        </is>
      </c>
      <c r="I690" t="inlineStr">
        <is>
          <t>GST</t>
        </is>
      </c>
      <c r="J690">
        <f>YEAR(A690)*12+MONTH(A690)</f>
        <v/>
      </c>
    </row>
    <row r="691">
      <c r="A691" s="5" t="n">
        <v>46084</v>
      </c>
      <c r="B691" t="inlineStr">
        <is>
          <t>J-0276</t>
        </is>
      </c>
      <c r="C691" t="n">
        <v>1</v>
      </c>
      <c r="D691" t="inlineStr">
        <is>
          <t>1100</t>
        </is>
      </c>
      <c r="E691" t="inlineStr">
        <is>
          <t>Accounts Receivable</t>
        </is>
      </c>
      <c r="F691" s="6" t="n">
        <v>699412.77</v>
      </c>
      <c r="G691" s="6" t="n">
        <v>0</v>
      </c>
      <c r="H691" t="inlineStr">
        <is>
          <t>Sales invoice INV-202603-2</t>
        </is>
      </c>
      <c r="I691" t="inlineStr">
        <is>
          <t>New City Mart</t>
        </is>
      </c>
      <c r="J691">
        <f>YEAR(A691)*12+MONTH(A691)</f>
        <v/>
      </c>
    </row>
    <row r="692">
      <c r="A692" s="5" t="n">
        <v>46084</v>
      </c>
      <c r="B692" t="inlineStr">
        <is>
          <t>J-0276</t>
        </is>
      </c>
      <c r="C692" t="n">
        <v>2</v>
      </c>
      <c r="D692" t="inlineStr">
        <is>
          <t>4000</t>
        </is>
      </c>
      <c r="E692" t="inlineStr">
        <is>
          <t>Sales Revenue</t>
        </is>
      </c>
      <c r="F692" s="6" t="n">
        <v>0</v>
      </c>
      <c r="G692" s="6" t="n">
        <v>592722.6899999999</v>
      </c>
      <c r="H692" t="inlineStr">
        <is>
          <t>Sales invoice INV-202603-2</t>
        </is>
      </c>
      <c r="I692" t="inlineStr">
        <is>
          <t>New City Mart</t>
        </is>
      </c>
      <c r="J692">
        <f>YEAR(A692)*12+MONTH(A692)</f>
        <v/>
      </c>
    </row>
    <row r="693">
      <c r="A693" s="5" t="n">
        <v>46084</v>
      </c>
      <c r="B693" t="inlineStr">
        <is>
          <t>J-0276</t>
        </is>
      </c>
      <c r="C693" t="n">
        <v>3</v>
      </c>
      <c r="D693" t="inlineStr">
        <is>
          <t>2100</t>
        </is>
      </c>
      <c r="E693" t="inlineStr">
        <is>
          <t>GST Payable</t>
        </is>
      </c>
      <c r="F693" s="6" t="n">
        <v>0</v>
      </c>
      <c r="G693" s="6" t="n">
        <v>106690.08</v>
      </c>
      <c r="H693" t="inlineStr">
        <is>
          <t>Sales invoice INV-202603-2</t>
        </is>
      </c>
      <c r="I693" t="inlineStr">
        <is>
          <t>GST</t>
        </is>
      </c>
      <c r="J693">
        <f>YEAR(A693)*12+MONTH(A693)</f>
        <v/>
      </c>
    </row>
    <row r="694">
      <c r="A694" s="5" t="n">
        <v>46095</v>
      </c>
      <c r="B694" t="inlineStr">
        <is>
          <t>J-0277</t>
        </is>
      </c>
      <c r="C694" t="n">
        <v>1</v>
      </c>
      <c r="D694" t="inlineStr">
        <is>
          <t>1100</t>
        </is>
      </c>
      <c r="E694" t="inlineStr">
        <is>
          <t>Accounts Receivable</t>
        </is>
      </c>
      <c r="F694" s="6" t="n">
        <v>547173.15</v>
      </c>
      <c r="G694" s="6" t="n">
        <v>0</v>
      </c>
      <c r="H694" t="inlineStr">
        <is>
          <t>Sales invoice INV-202603-3</t>
        </is>
      </c>
      <c r="I694" t="inlineStr">
        <is>
          <t>New City Mart</t>
        </is>
      </c>
      <c r="J694">
        <f>YEAR(A694)*12+MONTH(A694)</f>
        <v/>
      </c>
    </row>
    <row r="695">
      <c r="A695" s="5" t="n">
        <v>46095</v>
      </c>
      <c r="B695" t="inlineStr">
        <is>
          <t>J-0277</t>
        </is>
      </c>
      <c r="C695" t="n">
        <v>2</v>
      </c>
      <c r="D695" t="inlineStr">
        <is>
          <t>4000</t>
        </is>
      </c>
      <c r="E695" t="inlineStr">
        <is>
          <t>Sales Revenue</t>
        </is>
      </c>
      <c r="F695" s="6" t="n">
        <v>0</v>
      </c>
      <c r="G695" s="6" t="n">
        <v>463706.06</v>
      </c>
      <c r="H695" t="inlineStr">
        <is>
          <t>Sales invoice INV-202603-3</t>
        </is>
      </c>
      <c r="I695" t="inlineStr">
        <is>
          <t>New City Mart</t>
        </is>
      </c>
      <c r="J695">
        <f>YEAR(A695)*12+MONTH(A695)</f>
        <v/>
      </c>
    </row>
    <row r="696">
      <c r="A696" s="5" t="n">
        <v>46095</v>
      </c>
      <c r="B696" t="inlineStr">
        <is>
          <t>J-0277</t>
        </is>
      </c>
      <c r="C696" t="n">
        <v>3</v>
      </c>
      <c r="D696" t="inlineStr">
        <is>
          <t>2100</t>
        </is>
      </c>
      <c r="E696" t="inlineStr">
        <is>
          <t>GST Payable</t>
        </is>
      </c>
      <c r="F696" s="6" t="n">
        <v>0</v>
      </c>
      <c r="G696" s="6" t="n">
        <v>83467.09</v>
      </c>
      <c r="H696" t="inlineStr">
        <is>
          <t>Sales invoice INV-202603-3</t>
        </is>
      </c>
      <c r="I696" t="inlineStr">
        <is>
          <t>GST</t>
        </is>
      </c>
      <c r="J696">
        <f>YEAR(A696)*12+MONTH(A696)</f>
        <v/>
      </c>
    </row>
    <row r="697">
      <c r="A697" s="5" t="n">
        <v>46105</v>
      </c>
      <c r="B697" t="inlineStr">
        <is>
          <t>J-0278</t>
        </is>
      </c>
      <c r="C697" t="n">
        <v>1</v>
      </c>
      <c r="D697" t="inlineStr">
        <is>
          <t>1100</t>
        </is>
      </c>
      <c r="E697" t="inlineStr">
        <is>
          <t>Accounts Receivable</t>
        </is>
      </c>
      <c r="F697" s="6" t="n">
        <v>863644.97</v>
      </c>
      <c r="G697" s="6" t="n">
        <v>0</v>
      </c>
      <c r="H697" t="inlineStr">
        <is>
          <t>Sales invoice INV-202603-4</t>
        </is>
      </c>
      <c r="I697" t="inlineStr">
        <is>
          <t>Annapurna Retail</t>
        </is>
      </c>
      <c r="J697">
        <f>YEAR(A697)*12+MONTH(A697)</f>
        <v/>
      </c>
    </row>
    <row r="698">
      <c r="A698" s="5" t="n">
        <v>46105</v>
      </c>
      <c r="B698" t="inlineStr">
        <is>
          <t>J-0278</t>
        </is>
      </c>
      <c r="C698" t="n">
        <v>2</v>
      </c>
      <c r="D698" t="inlineStr">
        <is>
          <t>4000</t>
        </is>
      </c>
      <c r="E698" t="inlineStr">
        <is>
          <t>Sales Revenue</t>
        </is>
      </c>
      <c r="F698" s="6" t="n">
        <v>0</v>
      </c>
      <c r="G698" s="6" t="n">
        <v>731902.52</v>
      </c>
      <c r="H698" t="inlineStr">
        <is>
          <t>Sales invoice INV-202603-4</t>
        </is>
      </c>
      <c r="I698" t="inlineStr">
        <is>
          <t>Annapurna Retail</t>
        </is>
      </c>
      <c r="J698">
        <f>YEAR(A698)*12+MONTH(A698)</f>
        <v/>
      </c>
    </row>
    <row r="699">
      <c r="A699" s="5" t="n">
        <v>46105</v>
      </c>
      <c r="B699" t="inlineStr">
        <is>
          <t>J-0278</t>
        </is>
      </c>
      <c r="C699" t="n">
        <v>3</v>
      </c>
      <c r="D699" t="inlineStr">
        <is>
          <t>2100</t>
        </is>
      </c>
      <c r="E699" t="inlineStr">
        <is>
          <t>GST Payable</t>
        </is>
      </c>
      <c r="F699" s="6" t="n">
        <v>0</v>
      </c>
      <c r="G699" s="6" t="n">
        <v>131742.45</v>
      </c>
      <c r="H699" t="inlineStr">
        <is>
          <t>Sales invoice INV-202603-4</t>
        </is>
      </c>
      <c r="I699" t="inlineStr">
        <is>
          <t>GST</t>
        </is>
      </c>
      <c r="J699">
        <f>YEAR(A699)*12+MONTH(A699)</f>
        <v/>
      </c>
    </row>
    <row r="700">
      <c r="A700" s="5" t="n">
        <v>46095</v>
      </c>
      <c r="B700" t="inlineStr">
        <is>
          <t>J-0279</t>
        </is>
      </c>
      <c r="C700" t="n">
        <v>1</v>
      </c>
      <c r="D700" t="inlineStr">
        <is>
          <t>1100</t>
        </is>
      </c>
      <c r="E700" t="inlineStr">
        <is>
          <t>Accounts Receivable</t>
        </is>
      </c>
      <c r="F700" s="6" t="n">
        <v>462251.09</v>
      </c>
      <c r="G700" s="6" t="n">
        <v>0</v>
      </c>
      <c r="H700" t="inlineStr">
        <is>
          <t>Sales invoice INV-202603-5</t>
        </is>
      </c>
      <c r="I700" t="inlineStr">
        <is>
          <t>Annapurna Retail</t>
        </is>
      </c>
      <c r="J700">
        <f>YEAR(A700)*12+MONTH(A700)</f>
        <v/>
      </c>
    </row>
    <row r="701">
      <c r="A701" s="5" t="n">
        <v>46095</v>
      </c>
      <c r="B701" t="inlineStr">
        <is>
          <t>J-0279</t>
        </is>
      </c>
      <c r="C701" t="n">
        <v>2</v>
      </c>
      <c r="D701" t="inlineStr">
        <is>
          <t>4000</t>
        </is>
      </c>
      <c r="E701" t="inlineStr">
        <is>
          <t>Sales Revenue</t>
        </is>
      </c>
      <c r="F701" s="6" t="n">
        <v>0</v>
      </c>
      <c r="G701" s="6" t="n">
        <v>391738.21</v>
      </c>
      <c r="H701" t="inlineStr">
        <is>
          <t>Sales invoice INV-202603-5</t>
        </is>
      </c>
      <c r="I701" t="inlineStr">
        <is>
          <t>Annapurna Retail</t>
        </is>
      </c>
      <c r="J701">
        <f>YEAR(A701)*12+MONTH(A701)</f>
        <v/>
      </c>
    </row>
    <row r="702">
      <c r="A702" s="5" t="n">
        <v>46095</v>
      </c>
      <c r="B702" t="inlineStr">
        <is>
          <t>J-0279</t>
        </is>
      </c>
      <c r="C702" t="n">
        <v>3</v>
      </c>
      <c r="D702" t="inlineStr">
        <is>
          <t>2100</t>
        </is>
      </c>
      <c r="E702" t="inlineStr">
        <is>
          <t>GST Payable</t>
        </is>
      </c>
      <c r="F702" s="6" t="n">
        <v>0</v>
      </c>
      <c r="G702" s="6" t="n">
        <v>70512.88</v>
      </c>
      <c r="H702" t="inlineStr">
        <is>
          <t>Sales invoice INV-202603-5</t>
        </is>
      </c>
      <c r="I702" t="inlineStr">
        <is>
          <t>GST</t>
        </is>
      </c>
      <c r="J702">
        <f>YEAR(A702)*12+MONTH(A702)</f>
        <v/>
      </c>
    </row>
    <row r="703">
      <c r="A703" s="5" t="n">
        <v>46092</v>
      </c>
      <c r="B703" t="inlineStr">
        <is>
          <t>J-0280</t>
        </is>
      </c>
      <c r="C703" t="n">
        <v>1</v>
      </c>
      <c r="D703" t="inlineStr">
        <is>
          <t>1100</t>
        </is>
      </c>
      <c r="E703" t="inlineStr">
        <is>
          <t>Accounts Receivable</t>
        </is>
      </c>
      <c r="F703" s="6" t="n">
        <v>669655.79</v>
      </c>
      <c r="G703" s="6" t="n">
        <v>0</v>
      </c>
      <c r="H703" t="inlineStr">
        <is>
          <t>Sales invoice INV-202603-6</t>
        </is>
      </c>
      <c r="I703" t="inlineStr">
        <is>
          <t>Singh Brothers Retail</t>
        </is>
      </c>
      <c r="J703">
        <f>YEAR(A703)*12+MONTH(A703)</f>
        <v/>
      </c>
    </row>
    <row r="704">
      <c r="A704" s="5" t="n">
        <v>46092</v>
      </c>
      <c r="B704" t="inlineStr">
        <is>
          <t>J-0280</t>
        </is>
      </c>
      <c r="C704" t="n">
        <v>2</v>
      </c>
      <c r="D704" t="inlineStr">
        <is>
          <t>4000</t>
        </is>
      </c>
      <c r="E704" t="inlineStr">
        <is>
          <t>Sales Revenue</t>
        </is>
      </c>
      <c r="F704" s="6" t="n">
        <v>0</v>
      </c>
      <c r="G704" s="6" t="n">
        <v>567504.91</v>
      </c>
      <c r="H704" t="inlineStr">
        <is>
          <t>Sales invoice INV-202603-6</t>
        </is>
      </c>
      <c r="I704" t="inlineStr">
        <is>
          <t>Singh Brothers Retail</t>
        </is>
      </c>
      <c r="J704">
        <f>YEAR(A704)*12+MONTH(A704)</f>
        <v/>
      </c>
    </row>
    <row r="705">
      <c r="A705" s="5" t="n">
        <v>46092</v>
      </c>
      <c r="B705" t="inlineStr">
        <is>
          <t>J-0280</t>
        </is>
      </c>
      <c r="C705" t="n">
        <v>3</v>
      </c>
      <c r="D705" t="inlineStr">
        <is>
          <t>2100</t>
        </is>
      </c>
      <c r="E705" t="inlineStr">
        <is>
          <t>GST Payable</t>
        </is>
      </c>
      <c r="F705" s="6" t="n">
        <v>0</v>
      </c>
      <c r="G705" s="6" t="n">
        <v>102150.88</v>
      </c>
      <c r="H705" t="inlineStr">
        <is>
          <t>Sales invoice INV-202603-6</t>
        </is>
      </c>
      <c r="I705" t="inlineStr">
        <is>
          <t>GST</t>
        </is>
      </c>
      <c r="J705">
        <f>YEAR(A705)*12+MONTH(A705)</f>
        <v/>
      </c>
    </row>
    <row r="706">
      <c r="A706" s="5" t="n">
        <v>46100</v>
      </c>
      <c r="B706" t="inlineStr">
        <is>
          <t>J-0281</t>
        </is>
      </c>
      <c r="C706" t="n">
        <v>1</v>
      </c>
      <c r="D706" t="inlineStr">
        <is>
          <t>1100</t>
        </is>
      </c>
      <c r="E706" t="inlineStr">
        <is>
          <t>Accounts Receivable</t>
        </is>
      </c>
      <c r="F706" s="6" t="n">
        <v>795017.53</v>
      </c>
      <c r="G706" s="6" t="n">
        <v>0</v>
      </c>
      <c r="H706" t="inlineStr">
        <is>
          <t>Sales invoice INV-202603-7</t>
        </is>
      </c>
      <c r="I706" t="inlineStr">
        <is>
          <t>New City Mart</t>
        </is>
      </c>
      <c r="J706">
        <f>YEAR(A706)*12+MONTH(A706)</f>
        <v/>
      </c>
    </row>
    <row r="707">
      <c r="A707" s="5" t="n">
        <v>46100</v>
      </c>
      <c r="B707" t="inlineStr">
        <is>
          <t>J-0281</t>
        </is>
      </c>
      <c r="C707" t="n">
        <v>2</v>
      </c>
      <c r="D707" t="inlineStr">
        <is>
          <t>4000</t>
        </is>
      </c>
      <c r="E707" t="inlineStr">
        <is>
          <t>Sales Revenue</t>
        </is>
      </c>
      <c r="F707" s="6" t="n">
        <v>0</v>
      </c>
      <c r="G707" s="6" t="n">
        <v>673743.67</v>
      </c>
      <c r="H707" t="inlineStr">
        <is>
          <t>Sales invoice INV-202603-7</t>
        </is>
      </c>
      <c r="I707" t="inlineStr">
        <is>
          <t>New City Mart</t>
        </is>
      </c>
      <c r="J707">
        <f>YEAR(A707)*12+MONTH(A707)</f>
        <v/>
      </c>
    </row>
    <row r="708">
      <c r="A708" s="5" t="n">
        <v>46100</v>
      </c>
      <c r="B708" t="inlineStr">
        <is>
          <t>J-0281</t>
        </is>
      </c>
      <c r="C708" t="n">
        <v>3</v>
      </c>
      <c r="D708" t="inlineStr">
        <is>
          <t>2100</t>
        </is>
      </c>
      <c r="E708" t="inlineStr">
        <is>
          <t>GST Payable</t>
        </is>
      </c>
      <c r="F708" s="6" t="n">
        <v>0</v>
      </c>
      <c r="G708" s="6" t="n">
        <v>121273.86</v>
      </c>
      <c r="H708" t="inlineStr">
        <is>
          <t>Sales invoice INV-202603-7</t>
        </is>
      </c>
      <c r="I708" t="inlineStr">
        <is>
          <t>GST</t>
        </is>
      </c>
      <c r="J708">
        <f>YEAR(A708)*12+MONTH(A708)</f>
        <v/>
      </c>
    </row>
    <row r="709">
      <c r="A709" s="5" t="n">
        <v>46108</v>
      </c>
      <c r="B709" t="inlineStr">
        <is>
          <t>J-0282</t>
        </is>
      </c>
      <c r="C709" t="n">
        <v>1</v>
      </c>
      <c r="D709" t="inlineStr">
        <is>
          <t>5000</t>
        </is>
      </c>
      <c r="E709" t="inlineStr">
        <is>
          <t>Cost of Goods Sold</t>
        </is>
      </c>
      <c r="F709" s="6" t="n">
        <v>2719082.9</v>
      </c>
      <c r="G709" s="6" t="n">
        <v>0</v>
      </c>
      <c r="H709" t="inlineStr">
        <is>
          <t>Cost of goods sold - monthly</t>
        </is>
      </c>
      <c r="I709" t="inlineStr"/>
      <c r="J709">
        <f>YEAR(A709)*12+MONTH(A709)</f>
        <v/>
      </c>
    </row>
    <row r="710">
      <c r="A710" s="5" t="n">
        <v>46108</v>
      </c>
      <c r="B710" t="inlineStr">
        <is>
          <t>J-0282</t>
        </is>
      </c>
      <c r="C710" t="n">
        <v>2</v>
      </c>
      <c r="D710" t="inlineStr">
        <is>
          <t>1200</t>
        </is>
      </c>
      <c r="E710" t="inlineStr">
        <is>
          <t>Inventory</t>
        </is>
      </c>
      <c r="F710" s="6" t="n">
        <v>0</v>
      </c>
      <c r="G710" s="6" t="n">
        <v>2719082.9</v>
      </c>
      <c r="H710" t="inlineStr">
        <is>
          <t>Cost of goods sold - monthly</t>
        </is>
      </c>
      <c r="I710" t="inlineStr"/>
      <c r="J710">
        <f>YEAR(A710)*12+MONTH(A710)</f>
        <v/>
      </c>
    </row>
    <row r="711">
      <c r="A711" s="5" t="n">
        <v>46109</v>
      </c>
      <c r="B711" t="inlineStr">
        <is>
          <t>J-0283</t>
        </is>
      </c>
      <c r="C711" t="n">
        <v>1</v>
      </c>
      <c r="D711" t="inlineStr">
        <is>
          <t>1000</t>
        </is>
      </c>
      <c r="E711" t="inlineStr">
        <is>
          <t>Cash &amp; Bank</t>
        </is>
      </c>
      <c r="F711" s="6" t="n">
        <v>3862571.29</v>
      </c>
      <c r="G711" s="6" t="n">
        <v>0</v>
      </c>
      <c r="H711" t="inlineStr">
        <is>
          <t>Customer receipts</t>
        </is>
      </c>
      <c r="I711" t="inlineStr"/>
      <c r="J711">
        <f>YEAR(A711)*12+MONTH(A711)</f>
        <v/>
      </c>
    </row>
    <row r="712">
      <c r="A712" s="5" t="n">
        <v>46109</v>
      </c>
      <c r="B712" t="inlineStr">
        <is>
          <t>J-0283</t>
        </is>
      </c>
      <c r="C712" t="n">
        <v>2</v>
      </c>
      <c r="D712" t="inlineStr">
        <is>
          <t>1100</t>
        </is>
      </c>
      <c r="E712" t="inlineStr">
        <is>
          <t>Accounts Receivable</t>
        </is>
      </c>
      <c r="F712" s="6" t="n">
        <v>0</v>
      </c>
      <c r="G712" s="6" t="n">
        <v>3862571.29</v>
      </c>
      <c r="H712" t="inlineStr">
        <is>
          <t>Customer receipts</t>
        </is>
      </c>
      <c r="I712" t="inlineStr"/>
      <c r="J712">
        <f>YEAR(A712)*12+MONTH(A712)</f>
        <v/>
      </c>
    </row>
    <row r="713">
      <c r="A713" s="5" t="n">
        <v>46092</v>
      </c>
      <c r="B713" t="inlineStr">
        <is>
          <t>J-0284</t>
        </is>
      </c>
      <c r="C713" t="n">
        <v>1</v>
      </c>
      <c r="D713" t="inlineStr">
        <is>
          <t>1200</t>
        </is>
      </c>
      <c r="E713" t="inlineStr">
        <is>
          <t>Inventory</t>
        </is>
      </c>
      <c r="F713" s="6" t="n">
        <v>488013.67</v>
      </c>
      <c r="G713" s="6" t="n">
        <v>0</v>
      </c>
      <c r="H713" t="inlineStr">
        <is>
          <t>Purchase bill PB-202603-1</t>
        </is>
      </c>
      <c r="I713" t="inlineStr">
        <is>
          <t>Bihar Agro Supplies</t>
        </is>
      </c>
      <c r="J713">
        <f>YEAR(A713)*12+MONTH(A713)</f>
        <v/>
      </c>
    </row>
    <row r="714">
      <c r="A714" s="5" t="n">
        <v>46092</v>
      </c>
      <c r="B714" t="inlineStr">
        <is>
          <t>J-0284</t>
        </is>
      </c>
      <c r="C714" t="n">
        <v>2</v>
      </c>
      <c r="D714" t="inlineStr">
        <is>
          <t>1300</t>
        </is>
      </c>
      <c r="E714" t="inlineStr">
        <is>
          <t>GST Input Credit</t>
        </is>
      </c>
      <c r="F714" s="6" t="n">
        <v>87842.46000000001</v>
      </c>
      <c r="G714" s="6" t="n">
        <v>0</v>
      </c>
      <c r="H714" t="inlineStr">
        <is>
          <t>Purchase bill PB-202603-1</t>
        </is>
      </c>
      <c r="I714" t="inlineStr">
        <is>
          <t>Bihar Agro Supplies</t>
        </is>
      </c>
      <c r="J714">
        <f>YEAR(A714)*12+MONTH(A714)</f>
        <v/>
      </c>
    </row>
    <row r="715">
      <c r="A715" s="5" t="n">
        <v>46092</v>
      </c>
      <c r="B715" t="inlineStr">
        <is>
          <t>J-0284</t>
        </is>
      </c>
      <c r="C715" t="n">
        <v>3</v>
      </c>
      <c r="D715" t="inlineStr">
        <is>
          <t>2000</t>
        </is>
      </c>
      <c r="E715" t="inlineStr">
        <is>
          <t>Accounts Payable</t>
        </is>
      </c>
      <c r="F715" s="6" t="n">
        <v>0</v>
      </c>
      <c r="G715" s="6" t="n">
        <v>575856.13</v>
      </c>
      <c r="H715" t="inlineStr">
        <is>
          <t>Purchase bill PB-202603-1</t>
        </is>
      </c>
      <c r="I715" t="inlineStr">
        <is>
          <t>Bihar Agro Supplies</t>
        </is>
      </c>
      <c r="J715">
        <f>YEAR(A715)*12+MONTH(A715)</f>
        <v/>
      </c>
    </row>
    <row r="716">
      <c r="A716" s="5" t="n">
        <v>46096</v>
      </c>
      <c r="B716" t="inlineStr">
        <is>
          <t>J-0285</t>
        </is>
      </c>
      <c r="C716" t="n">
        <v>1</v>
      </c>
      <c r="D716" t="inlineStr">
        <is>
          <t>1200</t>
        </is>
      </c>
      <c r="E716" t="inlineStr">
        <is>
          <t>Inventory</t>
        </is>
      </c>
      <c r="F716" s="6" t="n">
        <v>535330.13</v>
      </c>
      <c r="G716" s="6" t="n">
        <v>0</v>
      </c>
      <c r="H716" t="inlineStr">
        <is>
          <t>Purchase bill PB-202603-2</t>
        </is>
      </c>
      <c r="I716" t="inlineStr">
        <is>
          <t>Hindustan Foods Ltd</t>
        </is>
      </c>
      <c r="J716">
        <f>YEAR(A716)*12+MONTH(A716)</f>
        <v/>
      </c>
    </row>
    <row r="717">
      <c r="A717" s="5" t="n">
        <v>46096</v>
      </c>
      <c r="B717" t="inlineStr">
        <is>
          <t>J-0285</t>
        </is>
      </c>
      <c r="C717" t="n">
        <v>2</v>
      </c>
      <c r="D717" t="inlineStr">
        <is>
          <t>1300</t>
        </is>
      </c>
      <c r="E717" t="inlineStr">
        <is>
          <t>GST Input Credit</t>
        </is>
      </c>
      <c r="F717" s="6" t="n">
        <v>96359.42</v>
      </c>
      <c r="G717" s="6" t="n">
        <v>0</v>
      </c>
      <c r="H717" t="inlineStr">
        <is>
          <t>Purchase bill PB-202603-2</t>
        </is>
      </c>
      <c r="I717" t="inlineStr">
        <is>
          <t>Hindustan Foods Ltd</t>
        </is>
      </c>
      <c r="J717">
        <f>YEAR(A717)*12+MONTH(A717)</f>
        <v/>
      </c>
    </row>
    <row r="718">
      <c r="A718" s="5" t="n">
        <v>46096</v>
      </c>
      <c r="B718" t="inlineStr">
        <is>
          <t>J-0285</t>
        </is>
      </c>
      <c r="C718" t="n">
        <v>3</v>
      </c>
      <c r="D718" t="inlineStr">
        <is>
          <t>2000</t>
        </is>
      </c>
      <c r="E718" t="inlineStr">
        <is>
          <t>Accounts Payable</t>
        </is>
      </c>
      <c r="F718" s="6" t="n">
        <v>0</v>
      </c>
      <c r="G718" s="6" t="n">
        <v>631689.55</v>
      </c>
      <c r="H718" t="inlineStr">
        <is>
          <t>Purchase bill PB-202603-2</t>
        </is>
      </c>
      <c r="I718" t="inlineStr">
        <is>
          <t>Hindustan Foods Ltd</t>
        </is>
      </c>
      <c r="J718">
        <f>YEAR(A718)*12+MONTH(A718)</f>
        <v/>
      </c>
    </row>
    <row r="719">
      <c r="A719" s="5" t="n">
        <v>46089</v>
      </c>
      <c r="B719" t="inlineStr">
        <is>
          <t>J-0286</t>
        </is>
      </c>
      <c r="C719" t="n">
        <v>1</v>
      </c>
      <c r="D719" t="inlineStr">
        <is>
          <t>1200</t>
        </is>
      </c>
      <c r="E719" t="inlineStr">
        <is>
          <t>Inventory</t>
        </is>
      </c>
      <c r="F719" s="6" t="n">
        <v>513417.38</v>
      </c>
      <c r="G719" s="6" t="n">
        <v>0</v>
      </c>
      <c r="H719" t="inlineStr">
        <is>
          <t>Purchase bill PB-202603-3</t>
        </is>
      </c>
      <c r="I719" t="inlineStr">
        <is>
          <t>Eastern Packaging Co</t>
        </is>
      </c>
      <c r="J719">
        <f>YEAR(A719)*12+MONTH(A719)</f>
        <v/>
      </c>
    </row>
    <row r="720">
      <c r="A720" s="5" t="n">
        <v>46089</v>
      </c>
      <c r="B720" t="inlineStr">
        <is>
          <t>J-0286</t>
        </is>
      </c>
      <c r="C720" t="n">
        <v>2</v>
      </c>
      <c r="D720" t="inlineStr">
        <is>
          <t>1300</t>
        </is>
      </c>
      <c r="E720" t="inlineStr">
        <is>
          <t>GST Input Credit</t>
        </is>
      </c>
      <c r="F720" s="6" t="n">
        <v>92415.13</v>
      </c>
      <c r="G720" s="6" t="n">
        <v>0</v>
      </c>
      <c r="H720" t="inlineStr">
        <is>
          <t>Purchase bill PB-202603-3</t>
        </is>
      </c>
      <c r="I720" t="inlineStr">
        <is>
          <t>Eastern Packaging Co</t>
        </is>
      </c>
      <c r="J720">
        <f>YEAR(A720)*12+MONTH(A720)</f>
        <v/>
      </c>
    </row>
    <row r="721">
      <c r="A721" s="5" t="n">
        <v>46089</v>
      </c>
      <c r="B721" t="inlineStr">
        <is>
          <t>J-0286</t>
        </is>
      </c>
      <c r="C721" t="n">
        <v>3</v>
      </c>
      <c r="D721" t="inlineStr">
        <is>
          <t>2000</t>
        </is>
      </c>
      <c r="E721" t="inlineStr">
        <is>
          <t>Accounts Payable</t>
        </is>
      </c>
      <c r="F721" s="6" t="n">
        <v>0</v>
      </c>
      <c r="G721" s="6" t="n">
        <v>605832.51</v>
      </c>
      <c r="H721" t="inlineStr">
        <is>
          <t>Purchase bill PB-202603-3</t>
        </is>
      </c>
      <c r="I721" t="inlineStr">
        <is>
          <t>Eastern Packaging Co</t>
        </is>
      </c>
      <c r="J721">
        <f>YEAR(A721)*12+MONTH(A721)</f>
        <v/>
      </c>
    </row>
    <row r="722">
      <c r="A722" s="5" t="n">
        <v>46103</v>
      </c>
      <c r="B722" t="inlineStr">
        <is>
          <t>J-0287</t>
        </is>
      </c>
      <c r="C722" t="n">
        <v>1</v>
      </c>
      <c r="D722" t="inlineStr">
        <is>
          <t>1200</t>
        </is>
      </c>
      <c r="E722" t="inlineStr">
        <is>
          <t>Inventory</t>
        </is>
      </c>
      <c r="F722" s="6" t="n">
        <v>624265.46</v>
      </c>
      <c r="G722" s="6" t="n">
        <v>0</v>
      </c>
      <c r="H722" t="inlineStr">
        <is>
          <t>Purchase bill PB-202603-4</t>
        </is>
      </c>
      <c r="I722" t="inlineStr">
        <is>
          <t>Bihar Agro Supplies</t>
        </is>
      </c>
      <c r="J722">
        <f>YEAR(A722)*12+MONTH(A722)</f>
        <v/>
      </c>
    </row>
    <row r="723">
      <c r="A723" s="5" t="n">
        <v>46103</v>
      </c>
      <c r="B723" t="inlineStr">
        <is>
          <t>J-0287</t>
        </is>
      </c>
      <c r="C723" t="n">
        <v>2</v>
      </c>
      <c r="D723" t="inlineStr">
        <is>
          <t>1300</t>
        </is>
      </c>
      <c r="E723" t="inlineStr">
        <is>
          <t>GST Input Credit</t>
        </is>
      </c>
      <c r="F723" s="6" t="n">
        <v>112367.78</v>
      </c>
      <c r="G723" s="6" t="n">
        <v>0</v>
      </c>
      <c r="H723" t="inlineStr">
        <is>
          <t>Purchase bill PB-202603-4</t>
        </is>
      </c>
      <c r="I723" t="inlineStr">
        <is>
          <t>Bihar Agro Supplies</t>
        </is>
      </c>
      <c r="J723">
        <f>YEAR(A723)*12+MONTH(A723)</f>
        <v/>
      </c>
    </row>
    <row r="724">
      <c r="A724" s="5" t="n">
        <v>46103</v>
      </c>
      <c r="B724" t="inlineStr">
        <is>
          <t>J-0287</t>
        </is>
      </c>
      <c r="C724" t="n">
        <v>3</v>
      </c>
      <c r="D724" t="inlineStr">
        <is>
          <t>2000</t>
        </is>
      </c>
      <c r="E724" t="inlineStr">
        <is>
          <t>Accounts Payable</t>
        </is>
      </c>
      <c r="F724" s="6" t="n">
        <v>0</v>
      </c>
      <c r="G724" s="6" t="n">
        <v>736633.24</v>
      </c>
      <c r="H724" t="inlineStr">
        <is>
          <t>Purchase bill PB-202603-4</t>
        </is>
      </c>
      <c r="I724" t="inlineStr">
        <is>
          <t>Bihar Agro Supplies</t>
        </is>
      </c>
      <c r="J724">
        <f>YEAR(A724)*12+MONTH(A724)</f>
        <v/>
      </c>
    </row>
    <row r="725">
      <c r="A725" s="5" t="n">
        <v>46102</v>
      </c>
      <c r="B725" t="inlineStr">
        <is>
          <t>J-0288</t>
        </is>
      </c>
      <c r="C725" t="n">
        <v>1</v>
      </c>
      <c r="D725" t="inlineStr">
        <is>
          <t>1200</t>
        </is>
      </c>
      <c r="E725" t="inlineStr">
        <is>
          <t>Inventory</t>
        </is>
      </c>
      <c r="F725" s="6" t="n">
        <v>556931.0699999999</v>
      </c>
      <c r="G725" s="6" t="n">
        <v>0</v>
      </c>
      <c r="H725" t="inlineStr">
        <is>
          <t>Purchase bill PB-202603-5</t>
        </is>
      </c>
      <c r="I725" t="inlineStr">
        <is>
          <t>Eastern Packaging Co</t>
        </is>
      </c>
      <c r="J725">
        <f>YEAR(A725)*12+MONTH(A725)</f>
        <v/>
      </c>
    </row>
    <row r="726">
      <c r="A726" s="5" t="n">
        <v>46102</v>
      </c>
      <c r="B726" t="inlineStr">
        <is>
          <t>J-0288</t>
        </is>
      </c>
      <c r="C726" t="n">
        <v>2</v>
      </c>
      <c r="D726" t="inlineStr">
        <is>
          <t>1300</t>
        </is>
      </c>
      <c r="E726" t="inlineStr">
        <is>
          <t>GST Input Credit</t>
        </is>
      </c>
      <c r="F726" s="6" t="n">
        <v>100247.59</v>
      </c>
      <c r="G726" s="6" t="n">
        <v>0</v>
      </c>
      <c r="H726" t="inlineStr">
        <is>
          <t>Purchase bill PB-202603-5</t>
        </is>
      </c>
      <c r="I726" t="inlineStr">
        <is>
          <t>Eastern Packaging Co</t>
        </is>
      </c>
      <c r="J726">
        <f>YEAR(A726)*12+MONTH(A726)</f>
        <v/>
      </c>
    </row>
    <row r="727">
      <c r="A727" s="5" t="n">
        <v>46102</v>
      </c>
      <c r="B727" t="inlineStr">
        <is>
          <t>J-0288</t>
        </is>
      </c>
      <c r="C727" t="n">
        <v>3</v>
      </c>
      <c r="D727" t="inlineStr">
        <is>
          <t>2000</t>
        </is>
      </c>
      <c r="E727" t="inlineStr">
        <is>
          <t>Accounts Payable</t>
        </is>
      </c>
      <c r="F727" s="6" t="n">
        <v>0</v>
      </c>
      <c r="G727" s="6" t="n">
        <v>657178.66</v>
      </c>
      <c r="H727" t="inlineStr">
        <is>
          <t>Purchase bill PB-202603-5</t>
        </is>
      </c>
      <c r="I727" t="inlineStr">
        <is>
          <t>Eastern Packaging Co</t>
        </is>
      </c>
      <c r="J727">
        <f>YEAR(A727)*12+MONTH(A727)</f>
        <v/>
      </c>
    </row>
    <row r="728">
      <c r="A728" s="5" t="n">
        <v>46110</v>
      </c>
      <c r="B728" t="inlineStr">
        <is>
          <t>J-0289</t>
        </is>
      </c>
      <c r="C728" t="n">
        <v>1</v>
      </c>
      <c r="D728" t="inlineStr">
        <is>
          <t>2000</t>
        </is>
      </c>
      <c r="E728" t="inlineStr">
        <is>
          <t>Accounts Payable</t>
        </is>
      </c>
      <c r="F728" s="6" t="n">
        <v>2938355.54</v>
      </c>
      <c r="G728" s="6" t="n">
        <v>0</v>
      </c>
      <c r="H728" t="inlineStr">
        <is>
          <t>Vendor payments</t>
        </is>
      </c>
      <c r="I728" t="inlineStr"/>
      <c r="J728">
        <f>YEAR(A728)*12+MONTH(A728)</f>
        <v/>
      </c>
    </row>
    <row r="729">
      <c r="A729" s="5" t="n">
        <v>46110</v>
      </c>
      <c r="B729" t="inlineStr">
        <is>
          <t>J-0289</t>
        </is>
      </c>
      <c r="C729" t="n">
        <v>2</v>
      </c>
      <c r="D729" t="inlineStr">
        <is>
          <t>1000</t>
        </is>
      </c>
      <c r="E729" t="inlineStr">
        <is>
          <t>Cash &amp; Bank</t>
        </is>
      </c>
      <c r="F729" s="6" t="n">
        <v>0</v>
      </c>
      <c r="G729" s="6" t="n">
        <v>2938355.54</v>
      </c>
      <c r="H729" t="inlineStr">
        <is>
          <t>Vendor payments</t>
        </is>
      </c>
      <c r="I729" t="inlineStr"/>
      <c r="J729">
        <f>YEAR(A729)*12+MONTH(A729)</f>
        <v/>
      </c>
    </row>
    <row r="730">
      <c r="A730" s="5" t="n">
        <v>46111</v>
      </c>
      <c r="B730" t="inlineStr">
        <is>
          <t>J-0290</t>
        </is>
      </c>
      <c r="C730" t="n">
        <v>1</v>
      </c>
      <c r="D730" t="inlineStr">
        <is>
          <t>2100</t>
        </is>
      </c>
      <c r="E730" t="inlineStr">
        <is>
          <t>GST Payable</t>
        </is>
      </c>
      <c r="F730" s="6" t="n">
        <v>194952.99</v>
      </c>
      <c r="G730" s="6" t="n">
        <v>0</v>
      </c>
      <c r="H730" t="inlineStr">
        <is>
          <t>GST paid for month</t>
        </is>
      </c>
      <c r="I730" t="inlineStr">
        <is>
          <t>GST</t>
        </is>
      </c>
      <c r="J730">
        <f>YEAR(A730)*12+MONTH(A730)</f>
        <v/>
      </c>
    </row>
    <row r="731">
      <c r="A731" s="5" t="n">
        <v>46111</v>
      </c>
      <c r="B731" t="inlineStr">
        <is>
          <t>J-0290</t>
        </is>
      </c>
      <c r="C731" t="n">
        <v>2</v>
      </c>
      <c r="D731" t="inlineStr">
        <is>
          <t>1000</t>
        </is>
      </c>
      <c r="E731" t="inlineStr">
        <is>
          <t>Cash &amp; Bank</t>
        </is>
      </c>
      <c r="F731" s="6" t="n">
        <v>0</v>
      </c>
      <c r="G731" s="6" t="n">
        <v>194952.99</v>
      </c>
      <c r="H731" t="inlineStr">
        <is>
          <t>GST paid for month</t>
        </is>
      </c>
      <c r="I731" t="inlineStr">
        <is>
          <t>GST</t>
        </is>
      </c>
      <c r="J731">
        <f>YEAR(A731)*12+MONTH(A731)</f>
        <v/>
      </c>
    </row>
    <row r="732">
      <c r="A732" s="5" t="n">
        <v>46086</v>
      </c>
      <c r="B732" t="inlineStr">
        <is>
          <t>J-0291</t>
        </is>
      </c>
      <c r="C732" t="n">
        <v>1</v>
      </c>
      <c r="D732" t="inlineStr">
        <is>
          <t>5100</t>
        </is>
      </c>
      <c r="E732" t="inlineStr">
        <is>
          <t>Rent Expense</t>
        </is>
      </c>
      <c r="F732" s="6" t="n">
        <v>25000</v>
      </c>
      <c r="G732" s="6" t="n">
        <v>0</v>
      </c>
      <c r="H732" t="inlineStr">
        <is>
          <t>Office rent</t>
        </is>
      </c>
      <c r="I732" t="inlineStr"/>
      <c r="J732">
        <f>YEAR(A732)*12+MONTH(A732)</f>
        <v/>
      </c>
    </row>
    <row r="733">
      <c r="A733" s="5" t="n">
        <v>46086</v>
      </c>
      <c r="B733" t="inlineStr">
        <is>
          <t>J-0291</t>
        </is>
      </c>
      <c r="C733" t="n">
        <v>2</v>
      </c>
      <c r="D733" t="inlineStr">
        <is>
          <t>1000</t>
        </is>
      </c>
      <c r="E733" t="inlineStr">
        <is>
          <t>Cash &amp; Bank</t>
        </is>
      </c>
      <c r="F733" s="6" t="n">
        <v>0</v>
      </c>
      <c r="G733" s="6" t="n">
        <v>25000</v>
      </c>
      <c r="H733" t="inlineStr">
        <is>
          <t>Office rent</t>
        </is>
      </c>
      <c r="I733" t="inlineStr"/>
      <c r="J733">
        <f>YEAR(A733)*12+MONTH(A733)</f>
        <v/>
      </c>
    </row>
    <row r="734">
      <c r="A734" s="5" t="n">
        <v>46088</v>
      </c>
      <c r="B734" t="inlineStr">
        <is>
          <t>J-0292</t>
        </is>
      </c>
      <c r="C734" t="n">
        <v>1</v>
      </c>
      <c r="D734" t="inlineStr">
        <is>
          <t>5200</t>
        </is>
      </c>
      <c r="E734" t="inlineStr">
        <is>
          <t>Salaries Expense</t>
        </is>
      </c>
      <c r="F734" s="6" t="n">
        <v>107919.25</v>
      </c>
      <c r="G734" s="6" t="n">
        <v>0</v>
      </c>
      <c r="H734" t="inlineStr">
        <is>
          <t>Staff salaries</t>
        </is>
      </c>
      <c r="I734" t="inlineStr"/>
      <c r="J734">
        <f>YEAR(A734)*12+MONTH(A734)</f>
        <v/>
      </c>
    </row>
    <row r="735">
      <c r="A735" s="5" t="n">
        <v>46088</v>
      </c>
      <c r="B735" t="inlineStr">
        <is>
          <t>J-0292</t>
        </is>
      </c>
      <c r="C735" t="n">
        <v>2</v>
      </c>
      <c r="D735" t="inlineStr">
        <is>
          <t>1000</t>
        </is>
      </c>
      <c r="E735" t="inlineStr">
        <is>
          <t>Cash &amp; Bank</t>
        </is>
      </c>
      <c r="F735" s="6" t="n">
        <v>0</v>
      </c>
      <c r="G735" s="6" t="n">
        <v>107919.25</v>
      </c>
      <c r="H735" t="inlineStr">
        <is>
          <t>Staff salaries</t>
        </is>
      </c>
      <c r="I735" t="inlineStr"/>
      <c r="J735">
        <f>YEAR(A735)*12+MONTH(A735)</f>
        <v/>
      </c>
    </row>
    <row r="736">
      <c r="A736" s="5" t="n">
        <v>46093</v>
      </c>
      <c r="B736" t="inlineStr">
        <is>
          <t>J-0293</t>
        </is>
      </c>
      <c r="C736" t="n">
        <v>1</v>
      </c>
      <c r="D736" t="inlineStr">
        <is>
          <t>5300</t>
        </is>
      </c>
      <c r="E736" t="inlineStr">
        <is>
          <t>Utilities Expense</t>
        </is>
      </c>
      <c r="F736" s="6" t="n">
        <v>8606.870000000001</v>
      </c>
      <c r="G736" s="6" t="n">
        <v>0</v>
      </c>
      <c r="H736" t="inlineStr">
        <is>
          <t>Utilities (power/water/phone)</t>
        </is>
      </c>
      <c r="I736" t="inlineStr"/>
      <c r="J736">
        <f>YEAR(A736)*12+MONTH(A736)</f>
        <v/>
      </c>
    </row>
    <row r="737">
      <c r="A737" s="5" t="n">
        <v>46093</v>
      </c>
      <c r="B737" t="inlineStr">
        <is>
          <t>J-0293</t>
        </is>
      </c>
      <c r="C737" t="n">
        <v>2</v>
      </c>
      <c r="D737" t="inlineStr">
        <is>
          <t>1000</t>
        </is>
      </c>
      <c r="E737" t="inlineStr">
        <is>
          <t>Cash &amp; Bank</t>
        </is>
      </c>
      <c r="F737" s="6" t="n">
        <v>0</v>
      </c>
      <c r="G737" s="6" t="n">
        <v>8606.870000000001</v>
      </c>
      <c r="H737" t="inlineStr">
        <is>
          <t>Utilities (power/water/phone)</t>
        </is>
      </c>
      <c r="I737" t="inlineStr"/>
      <c r="J737">
        <f>YEAR(A737)*12+MONTH(A737)</f>
        <v/>
      </c>
    </row>
    <row r="738">
      <c r="A738" s="5" t="n">
        <v>46099</v>
      </c>
      <c r="B738" t="inlineStr">
        <is>
          <t>J-0294</t>
        </is>
      </c>
      <c r="C738" t="n">
        <v>1</v>
      </c>
      <c r="D738" t="inlineStr">
        <is>
          <t>5400</t>
        </is>
      </c>
      <c r="E738" t="inlineStr">
        <is>
          <t>Transport &amp; Logistics</t>
        </is>
      </c>
      <c r="F738" s="6" t="n">
        <v>15949.9</v>
      </c>
      <c r="G738" s="6" t="n">
        <v>0</v>
      </c>
      <c r="H738" t="inlineStr">
        <is>
          <t>Transport &amp; logistics</t>
        </is>
      </c>
      <c r="I738" t="inlineStr"/>
      <c r="J738">
        <f>YEAR(A738)*12+MONTH(A738)</f>
        <v/>
      </c>
    </row>
    <row r="739">
      <c r="A739" s="5" t="n">
        <v>46099</v>
      </c>
      <c r="B739" t="inlineStr">
        <is>
          <t>J-0294</t>
        </is>
      </c>
      <c r="C739" t="n">
        <v>2</v>
      </c>
      <c r="D739" t="inlineStr">
        <is>
          <t>1000</t>
        </is>
      </c>
      <c r="E739" t="inlineStr">
        <is>
          <t>Cash &amp; Bank</t>
        </is>
      </c>
      <c r="F739" s="6" t="n">
        <v>0</v>
      </c>
      <c r="G739" s="6" t="n">
        <v>15949.9</v>
      </c>
      <c r="H739" t="inlineStr">
        <is>
          <t>Transport &amp; logistics</t>
        </is>
      </c>
      <c r="I739" t="inlineStr"/>
      <c r="J739">
        <f>YEAR(A739)*12+MONTH(A739)</f>
        <v/>
      </c>
    </row>
    <row r="740">
      <c r="A740" s="5" t="n">
        <v>46101</v>
      </c>
      <c r="B740" t="inlineStr">
        <is>
          <t>J-0295</t>
        </is>
      </c>
      <c r="C740" t="n">
        <v>1</v>
      </c>
      <c r="D740" t="inlineStr">
        <is>
          <t>5500</t>
        </is>
      </c>
      <c r="E740" t="inlineStr">
        <is>
          <t>Marketing Expense</t>
        </is>
      </c>
      <c r="F740" s="6" t="n">
        <v>15693.59</v>
      </c>
      <c r="G740" s="6" t="n">
        <v>0</v>
      </c>
      <c r="H740" t="inlineStr">
        <is>
          <t>Marketing &amp; promotions</t>
        </is>
      </c>
      <c r="I740" t="inlineStr"/>
      <c r="J740">
        <f>YEAR(A740)*12+MONTH(A740)</f>
        <v/>
      </c>
    </row>
    <row r="741">
      <c r="A741" s="5" t="n">
        <v>46101</v>
      </c>
      <c r="B741" t="inlineStr">
        <is>
          <t>J-0295</t>
        </is>
      </c>
      <c r="C741" t="n">
        <v>2</v>
      </c>
      <c r="D741" t="inlineStr">
        <is>
          <t>1000</t>
        </is>
      </c>
      <c r="E741" t="inlineStr">
        <is>
          <t>Cash &amp; Bank</t>
        </is>
      </c>
      <c r="F741" s="6" t="n">
        <v>0</v>
      </c>
      <c r="G741" s="6" t="n">
        <v>15693.59</v>
      </c>
      <c r="H741" t="inlineStr">
        <is>
          <t>Marketing &amp; promotions</t>
        </is>
      </c>
      <c r="I741" t="inlineStr"/>
      <c r="J741">
        <f>YEAR(A741)*12+MONTH(A741)</f>
        <v/>
      </c>
    </row>
    <row r="742">
      <c r="A742" s="5" t="n">
        <v>46091</v>
      </c>
      <c r="B742" t="inlineStr">
        <is>
          <t>J-0296</t>
        </is>
      </c>
      <c r="C742" t="n">
        <v>1</v>
      </c>
      <c r="D742" t="inlineStr">
        <is>
          <t>5600</t>
        </is>
      </c>
      <c r="E742" t="inlineStr">
        <is>
          <t>Interest Expense</t>
        </is>
      </c>
      <c r="F742" s="6" t="n">
        <v>9000</v>
      </c>
      <c r="G742" s="6" t="n">
        <v>0</v>
      </c>
      <c r="H742" t="inlineStr">
        <is>
          <t>Term loan interest</t>
        </is>
      </c>
      <c r="I742" t="inlineStr">
        <is>
          <t>HDFC</t>
        </is>
      </c>
      <c r="J742">
        <f>YEAR(A742)*12+MONTH(A742)</f>
        <v/>
      </c>
    </row>
    <row r="743">
      <c r="A743" s="5" t="n">
        <v>46091</v>
      </c>
      <c r="B743" t="inlineStr">
        <is>
          <t>J-0296</t>
        </is>
      </c>
      <c r="C743" t="n">
        <v>2</v>
      </c>
      <c r="D743" t="inlineStr">
        <is>
          <t>1000</t>
        </is>
      </c>
      <c r="E743" t="inlineStr">
        <is>
          <t>Cash &amp; Bank</t>
        </is>
      </c>
      <c r="F743" s="6" t="n">
        <v>0</v>
      </c>
      <c r="G743" s="6" t="n">
        <v>9000</v>
      </c>
      <c r="H743" t="inlineStr">
        <is>
          <t>Term loan interest</t>
        </is>
      </c>
      <c r="I743" t="inlineStr">
        <is>
          <t>HDFC</t>
        </is>
      </c>
      <c r="J743">
        <f>YEAR(A743)*12+MONTH(A743)</f>
        <v/>
      </c>
    </row>
    <row r="744">
      <c r="A744" s="5" t="n">
        <v>46091</v>
      </c>
      <c r="B744" t="inlineStr">
        <is>
          <t>J-0297</t>
        </is>
      </c>
      <c r="C744" t="n">
        <v>1</v>
      </c>
      <c r="D744" t="inlineStr">
        <is>
          <t>2200</t>
        </is>
      </c>
      <c r="E744" t="inlineStr">
        <is>
          <t>Term Loan</t>
        </is>
      </c>
      <c r="F744" s="6" t="n">
        <v>55000</v>
      </c>
      <c r="G744" s="6" t="n">
        <v>0</v>
      </c>
      <c r="H744" t="inlineStr">
        <is>
          <t>Term loan principal repayment</t>
        </is>
      </c>
      <c r="I744" t="inlineStr">
        <is>
          <t>HDFC</t>
        </is>
      </c>
      <c r="J744">
        <f>YEAR(A744)*12+MONTH(A744)</f>
        <v/>
      </c>
    </row>
    <row r="745">
      <c r="A745" s="5" t="n">
        <v>46091</v>
      </c>
      <c r="B745" t="inlineStr">
        <is>
          <t>J-0297</t>
        </is>
      </c>
      <c r="C745" t="n">
        <v>2</v>
      </c>
      <c r="D745" t="inlineStr">
        <is>
          <t>1000</t>
        </is>
      </c>
      <c r="E745" t="inlineStr">
        <is>
          <t>Cash &amp; Bank</t>
        </is>
      </c>
      <c r="F745" s="6" t="n">
        <v>0</v>
      </c>
      <c r="G745" s="6" t="n">
        <v>55000</v>
      </c>
      <c r="H745" t="inlineStr">
        <is>
          <t>Term loan principal repayment</t>
        </is>
      </c>
      <c r="I745" t="inlineStr">
        <is>
          <t>HDFC</t>
        </is>
      </c>
      <c r="J745">
        <f>YEAR(A745)*12+MONTH(A745)</f>
        <v/>
      </c>
    </row>
    <row r="746">
      <c r="A746" s="5" t="n">
        <v>46111</v>
      </c>
      <c r="B746" t="inlineStr">
        <is>
          <t>J-0298</t>
        </is>
      </c>
      <c r="C746" t="n">
        <v>1</v>
      </c>
      <c r="D746" t="inlineStr">
        <is>
          <t>5700</t>
        </is>
      </c>
      <c r="E746" t="inlineStr">
        <is>
          <t>Depreciation Expense</t>
        </is>
      </c>
      <c r="F746" s="6" t="n">
        <v>6000</v>
      </c>
      <c r="G746" s="6" t="n">
        <v>0</v>
      </c>
      <c r="H746" t="inlineStr">
        <is>
          <t>Depreciation - equipment</t>
        </is>
      </c>
      <c r="I746" t="inlineStr"/>
      <c r="J746">
        <f>YEAR(A746)*12+MONTH(A746)</f>
        <v/>
      </c>
    </row>
    <row r="747">
      <c r="A747" s="5" t="n">
        <v>46111</v>
      </c>
      <c r="B747" t="inlineStr">
        <is>
          <t>J-0298</t>
        </is>
      </c>
      <c r="C747" t="n">
        <v>2</v>
      </c>
      <c r="D747" t="inlineStr">
        <is>
          <t>1510</t>
        </is>
      </c>
      <c r="E747" t="inlineStr">
        <is>
          <t>Accumulated Depreciation</t>
        </is>
      </c>
      <c r="F747" s="6" t="n">
        <v>0</v>
      </c>
      <c r="G747" s="6" t="n">
        <v>6000</v>
      </c>
      <c r="H747" t="inlineStr">
        <is>
          <t>Depreciation - equipment</t>
        </is>
      </c>
      <c r="I747" t="inlineStr"/>
      <c r="J747">
        <f>YEAR(A747)*12+MONTH(A747)</f>
        <v/>
      </c>
    </row>
    <row r="748">
      <c r="A748" s="5" t="n">
        <v>46095</v>
      </c>
      <c r="B748" t="inlineStr">
        <is>
          <t>J-0299</t>
        </is>
      </c>
      <c r="C748" t="n">
        <v>1</v>
      </c>
      <c r="D748" t="inlineStr">
        <is>
          <t>5800</t>
        </is>
      </c>
      <c r="E748" t="inlineStr">
        <is>
          <t>Miscellaneous Expense</t>
        </is>
      </c>
      <c r="F748" s="6" t="n">
        <v>5274.62</v>
      </c>
      <c r="G748" s="6" t="n">
        <v>0</v>
      </c>
      <c r="H748" t="inlineStr">
        <is>
          <t>Miscellaneous expenses</t>
        </is>
      </c>
      <c r="I748" t="inlineStr"/>
      <c r="J748">
        <f>YEAR(A748)*12+MONTH(A748)</f>
        <v/>
      </c>
    </row>
    <row r="749">
      <c r="A749" s="5" t="n">
        <v>46095</v>
      </c>
      <c r="B749" t="inlineStr">
        <is>
          <t>J-0299</t>
        </is>
      </c>
      <c r="C749" t="n">
        <v>2</v>
      </c>
      <c r="D749" t="inlineStr">
        <is>
          <t>1000</t>
        </is>
      </c>
      <c r="E749" t="inlineStr">
        <is>
          <t>Cash &amp; Bank</t>
        </is>
      </c>
      <c r="F749" s="6" t="n">
        <v>0</v>
      </c>
      <c r="G749" s="6" t="n">
        <v>5274.62</v>
      </c>
      <c r="H749" t="inlineStr">
        <is>
          <t>Miscellaneous expenses</t>
        </is>
      </c>
      <c r="I749" t="inlineStr"/>
      <c r="J749">
        <f>YEAR(A749)*12+MONTH(A749)</f>
        <v/>
      </c>
    </row>
    <row r="750">
      <c r="A750" s="5" t="n">
        <v>46122</v>
      </c>
      <c r="B750" t="inlineStr">
        <is>
          <t>J-0300</t>
        </is>
      </c>
      <c r="C750" t="n">
        <v>1</v>
      </c>
      <c r="D750" t="inlineStr">
        <is>
          <t>1100</t>
        </is>
      </c>
      <c r="E750" t="inlineStr">
        <is>
          <t>Accounts Receivable</t>
        </is>
      </c>
      <c r="F750" s="6" t="n">
        <v>533365.91</v>
      </c>
      <c r="G750" s="6" t="n">
        <v>0</v>
      </c>
      <c r="H750" t="inlineStr">
        <is>
          <t>Sales invoice INV-202604-1</t>
        </is>
      </c>
      <c r="I750" t="inlineStr">
        <is>
          <t>New City Mart</t>
        </is>
      </c>
      <c r="J750">
        <f>YEAR(A750)*12+MONTH(A750)</f>
        <v/>
      </c>
    </row>
    <row r="751">
      <c r="A751" s="5" t="n">
        <v>46122</v>
      </c>
      <c r="B751" t="inlineStr">
        <is>
          <t>J-0300</t>
        </is>
      </c>
      <c r="C751" t="n">
        <v>2</v>
      </c>
      <c r="D751" t="inlineStr">
        <is>
          <t>4000</t>
        </is>
      </c>
      <c r="E751" t="inlineStr">
        <is>
          <t>Sales Revenue</t>
        </is>
      </c>
      <c r="F751" s="6" t="n">
        <v>0</v>
      </c>
      <c r="G751" s="6" t="n">
        <v>452005.01</v>
      </c>
      <c r="H751" t="inlineStr">
        <is>
          <t>Sales invoice INV-202604-1</t>
        </is>
      </c>
      <c r="I751" t="inlineStr">
        <is>
          <t>New City Mart</t>
        </is>
      </c>
      <c r="J751">
        <f>YEAR(A751)*12+MONTH(A751)</f>
        <v/>
      </c>
    </row>
    <row r="752">
      <c r="A752" s="5" t="n">
        <v>46122</v>
      </c>
      <c r="B752" t="inlineStr">
        <is>
          <t>J-0300</t>
        </is>
      </c>
      <c r="C752" t="n">
        <v>3</v>
      </c>
      <c r="D752" t="inlineStr">
        <is>
          <t>2100</t>
        </is>
      </c>
      <c r="E752" t="inlineStr">
        <is>
          <t>GST Payable</t>
        </is>
      </c>
      <c r="F752" s="6" t="n">
        <v>0</v>
      </c>
      <c r="G752" s="6" t="n">
        <v>81360.89999999999</v>
      </c>
      <c r="H752" t="inlineStr">
        <is>
          <t>Sales invoice INV-202604-1</t>
        </is>
      </c>
      <c r="I752" t="inlineStr">
        <is>
          <t>GST</t>
        </is>
      </c>
      <c r="J752">
        <f>YEAR(A752)*12+MONTH(A752)</f>
        <v/>
      </c>
    </row>
    <row r="753">
      <c r="A753" s="5" t="n">
        <v>46122</v>
      </c>
      <c r="B753" t="inlineStr">
        <is>
          <t>J-0301</t>
        </is>
      </c>
      <c r="C753" t="n">
        <v>1</v>
      </c>
      <c r="D753" t="inlineStr">
        <is>
          <t>1100</t>
        </is>
      </c>
      <c r="E753" t="inlineStr">
        <is>
          <t>Accounts Receivable</t>
        </is>
      </c>
      <c r="F753" s="6" t="n">
        <v>698663.13</v>
      </c>
      <c r="G753" s="6" t="n">
        <v>0</v>
      </c>
      <c r="H753" t="inlineStr">
        <is>
          <t>Sales invoice INV-202604-2</t>
        </is>
      </c>
      <c r="I753" t="inlineStr">
        <is>
          <t>New City Mart</t>
        </is>
      </c>
      <c r="J753">
        <f>YEAR(A753)*12+MONTH(A753)</f>
        <v/>
      </c>
    </row>
    <row r="754">
      <c r="A754" s="5" t="n">
        <v>46122</v>
      </c>
      <c r="B754" t="inlineStr">
        <is>
          <t>J-0301</t>
        </is>
      </c>
      <c r="C754" t="n">
        <v>2</v>
      </c>
      <c r="D754" t="inlineStr">
        <is>
          <t>4000</t>
        </is>
      </c>
      <c r="E754" t="inlineStr">
        <is>
          <t>Sales Revenue</t>
        </is>
      </c>
      <c r="F754" s="6" t="n">
        <v>0</v>
      </c>
      <c r="G754" s="6" t="n">
        <v>592087.4</v>
      </c>
      <c r="H754" t="inlineStr">
        <is>
          <t>Sales invoice INV-202604-2</t>
        </is>
      </c>
      <c r="I754" t="inlineStr">
        <is>
          <t>New City Mart</t>
        </is>
      </c>
      <c r="J754">
        <f>YEAR(A754)*12+MONTH(A754)</f>
        <v/>
      </c>
    </row>
    <row r="755">
      <c r="A755" s="5" t="n">
        <v>46122</v>
      </c>
      <c r="B755" t="inlineStr">
        <is>
          <t>J-0301</t>
        </is>
      </c>
      <c r="C755" t="n">
        <v>3</v>
      </c>
      <c r="D755" t="inlineStr">
        <is>
          <t>2100</t>
        </is>
      </c>
      <c r="E755" t="inlineStr">
        <is>
          <t>GST Payable</t>
        </is>
      </c>
      <c r="F755" s="6" t="n">
        <v>0</v>
      </c>
      <c r="G755" s="6" t="n">
        <v>106575.73</v>
      </c>
      <c r="H755" t="inlineStr">
        <is>
          <t>Sales invoice INV-202604-2</t>
        </is>
      </c>
      <c r="I755" t="inlineStr">
        <is>
          <t>GST</t>
        </is>
      </c>
      <c r="J755">
        <f>YEAR(A755)*12+MONTH(A755)</f>
        <v/>
      </c>
    </row>
    <row r="756">
      <c r="A756" s="5" t="n">
        <v>46114</v>
      </c>
      <c r="B756" t="inlineStr">
        <is>
          <t>J-0302</t>
        </is>
      </c>
      <c r="C756" t="n">
        <v>1</v>
      </c>
      <c r="D756" t="inlineStr">
        <is>
          <t>1100</t>
        </is>
      </c>
      <c r="E756" t="inlineStr">
        <is>
          <t>Accounts Receivable</t>
        </is>
      </c>
      <c r="F756" s="6" t="n">
        <v>731722.27</v>
      </c>
      <c r="G756" s="6" t="n">
        <v>0</v>
      </c>
      <c r="H756" t="inlineStr">
        <is>
          <t>Sales invoice INV-202604-3</t>
        </is>
      </c>
      <c r="I756" t="inlineStr">
        <is>
          <t>Rajdhani Traders</t>
        </is>
      </c>
      <c r="J756">
        <f>YEAR(A756)*12+MONTH(A756)</f>
        <v/>
      </c>
    </row>
    <row r="757">
      <c r="A757" s="5" t="n">
        <v>46114</v>
      </c>
      <c r="B757" t="inlineStr">
        <is>
          <t>J-0302</t>
        </is>
      </c>
      <c r="C757" t="n">
        <v>2</v>
      </c>
      <c r="D757" t="inlineStr">
        <is>
          <t>4000</t>
        </is>
      </c>
      <c r="E757" t="inlineStr">
        <is>
          <t>Sales Revenue</t>
        </is>
      </c>
      <c r="F757" s="6" t="n">
        <v>0</v>
      </c>
      <c r="G757" s="6" t="n">
        <v>620103.62</v>
      </c>
      <c r="H757" t="inlineStr">
        <is>
          <t>Sales invoice INV-202604-3</t>
        </is>
      </c>
      <c r="I757" t="inlineStr">
        <is>
          <t>Rajdhani Traders</t>
        </is>
      </c>
      <c r="J757">
        <f>YEAR(A757)*12+MONTH(A757)</f>
        <v/>
      </c>
    </row>
    <row r="758">
      <c r="A758" s="5" t="n">
        <v>46114</v>
      </c>
      <c r="B758" t="inlineStr">
        <is>
          <t>J-0302</t>
        </is>
      </c>
      <c r="C758" t="n">
        <v>3</v>
      </c>
      <c r="D758" t="inlineStr">
        <is>
          <t>2100</t>
        </is>
      </c>
      <c r="E758" t="inlineStr">
        <is>
          <t>GST Payable</t>
        </is>
      </c>
      <c r="F758" s="6" t="n">
        <v>0</v>
      </c>
      <c r="G758" s="6" t="n">
        <v>111618.65</v>
      </c>
      <c r="H758" t="inlineStr">
        <is>
          <t>Sales invoice INV-202604-3</t>
        </is>
      </c>
      <c r="I758" t="inlineStr">
        <is>
          <t>GST</t>
        </is>
      </c>
      <c r="J758">
        <f>YEAR(A758)*12+MONTH(A758)</f>
        <v/>
      </c>
    </row>
    <row r="759">
      <c r="A759" s="5" t="n">
        <v>46125</v>
      </c>
      <c r="B759" t="inlineStr">
        <is>
          <t>J-0303</t>
        </is>
      </c>
      <c r="C759" t="n">
        <v>1</v>
      </c>
      <c r="D759" t="inlineStr">
        <is>
          <t>1100</t>
        </is>
      </c>
      <c r="E759" t="inlineStr">
        <is>
          <t>Accounts Receivable</t>
        </is>
      </c>
      <c r="F759" s="6" t="n">
        <v>697472.55</v>
      </c>
      <c r="G759" s="6" t="n">
        <v>0</v>
      </c>
      <c r="H759" t="inlineStr">
        <is>
          <t>Sales invoice INV-202604-4</t>
        </is>
      </c>
      <c r="I759" t="inlineStr">
        <is>
          <t>Sharma General Store</t>
        </is>
      </c>
      <c r="J759">
        <f>YEAR(A759)*12+MONTH(A759)</f>
        <v/>
      </c>
    </row>
    <row r="760">
      <c r="A760" s="5" t="n">
        <v>46125</v>
      </c>
      <c r="B760" t="inlineStr">
        <is>
          <t>J-0303</t>
        </is>
      </c>
      <c r="C760" t="n">
        <v>2</v>
      </c>
      <c r="D760" t="inlineStr">
        <is>
          <t>4000</t>
        </is>
      </c>
      <c r="E760" t="inlineStr">
        <is>
          <t>Sales Revenue</t>
        </is>
      </c>
      <c r="F760" s="6" t="n">
        <v>0</v>
      </c>
      <c r="G760" s="6" t="n">
        <v>591078.4300000001</v>
      </c>
      <c r="H760" t="inlineStr">
        <is>
          <t>Sales invoice INV-202604-4</t>
        </is>
      </c>
      <c r="I760" t="inlineStr">
        <is>
          <t>Sharma General Store</t>
        </is>
      </c>
      <c r="J760">
        <f>YEAR(A760)*12+MONTH(A760)</f>
        <v/>
      </c>
    </row>
    <row r="761">
      <c r="A761" s="5" t="n">
        <v>46125</v>
      </c>
      <c r="B761" t="inlineStr">
        <is>
          <t>J-0303</t>
        </is>
      </c>
      <c r="C761" t="n">
        <v>3</v>
      </c>
      <c r="D761" t="inlineStr">
        <is>
          <t>2100</t>
        </is>
      </c>
      <c r="E761" t="inlineStr">
        <is>
          <t>GST Payable</t>
        </is>
      </c>
      <c r="F761" s="6" t="n">
        <v>0</v>
      </c>
      <c r="G761" s="6" t="n">
        <v>106394.12</v>
      </c>
      <c r="H761" t="inlineStr">
        <is>
          <t>Sales invoice INV-202604-4</t>
        </is>
      </c>
      <c r="I761" t="inlineStr">
        <is>
          <t>GST</t>
        </is>
      </c>
      <c r="J761">
        <f>YEAR(A761)*12+MONTH(A761)</f>
        <v/>
      </c>
    </row>
    <row r="762">
      <c r="A762" s="5" t="n">
        <v>46134</v>
      </c>
      <c r="B762" t="inlineStr">
        <is>
          <t>J-0304</t>
        </is>
      </c>
      <c r="C762" t="n">
        <v>1</v>
      </c>
      <c r="D762" t="inlineStr">
        <is>
          <t>1100</t>
        </is>
      </c>
      <c r="E762" t="inlineStr">
        <is>
          <t>Accounts Receivable</t>
        </is>
      </c>
      <c r="F762" s="6" t="n">
        <v>488192.97</v>
      </c>
      <c r="G762" s="6" t="n">
        <v>0</v>
      </c>
      <c r="H762" t="inlineStr">
        <is>
          <t>Sales invoice INV-202604-5</t>
        </is>
      </c>
      <c r="I762" t="inlineStr">
        <is>
          <t>Verma Kirana Mart</t>
        </is>
      </c>
      <c r="J762">
        <f>YEAR(A762)*12+MONTH(A762)</f>
        <v/>
      </c>
    </row>
    <row r="763">
      <c r="A763" s="5" t="n">
        <v>46134</v>
      </c>
      <c r="B763" t="inlineStr">
        <is>
          <t>J-0304</t>
        </is>
      </c>
      <c r="C763" t="n">
        <v>2</v>
      </c>
      <c r="D763" t="inlineStr">
        <is>
          <t>4000</t>
        </is>
      </c>
      <c r="E763" t="inlineStr">
        <is>
          <t>Sales Revenue</t>
        </is>
      </c>
      <c r="F763" s="6" t="n">
        <v>0</v>
      </c>
      <c r="G763" s="6" t="n">
        <v>413722.86</v>
      </c>
      <c r="H763" t="inlineStr">
        <is>
          <t>Sales invoice INV-202604-5</t>
        </is>
      </c>
      <c r="I763" t="inlineStr">
        <is>
          <t>Verma Kirana Mart</t>
        </is>
      </c>
      <c r="J763">
        <f>YEAR(A763)*12+MONTH(A763)</f>
        <v/>
      </c>
    </row>
    <row r="764">
      <c r="A764" s="5" t="n">
        <v>46134</v>
      </c>
      <c r="B764" t="inlineStr">
        <is>
          <t>J-0304</t>
        </is>
      </c>
      <c r="C764" t="n">
        <v>3</v>
      </c>
      <c r="D764" t="inlineStr">
        <is>
          <t>2100</t>
        </is>
      </c>
      <c r="E764" t="inlineStr">
        <is>
          <t>GST Payable</t>
        </is>
      </c>
      <c r="F764" s="6" t="n">
        <v>0</v>
      </c>
      <c r="G764" s="6" t="n">
        <v>74470.11</v>
      </c>
      <c r="H764" t="inlineStr">
        <is>
          <t>Sales invoice INV-202604-5</t>
        </is>
      </c>
      <c r="I764" t="inlineStr">
        <is>
          <t>GST</t>
        </is>
      </c>
      <c r="J764">
        <f>YEAR(A764)*12+MONTH(A764)</f>
        <v/>
      </c>
    </row>
    <row r="765">
      <c r="A765" s="5" t="n">
        <v>46121</v>
      </c>
      <c r="B765" t="inlineStr">
        <is>
          <t>J-0305</t>
        </is>
      </c>
      <c r="C765" t="n">
        <v>1</v>
      </c>
      <c r="D765" t="inlineStr">
        <is>
          <t>1100</t>
        </is>
      </c>
      <c r="E765" t="inlineStr">
        <is>
          <t>Accounts Receivable</t>
        </is>
      </c>
      <c r="F765" s="6" t="n">
        <v>414832.15</v>
      </c>
      <c r="G765" s="6" t="n">
        <v>0</v>
      </c>
      <c r="H765" t="inlineStr">
        <is>
          <t>Sales invoice INV-202604-6</t>
        </is>
      </c>
      <c r="I765" t="inlineStr">
        <is>
          <t>Sharma General Store</t>
        </is>
      </c>
      <c r="J765">
        <f>YEAR(A765)*12+MONTH(A765)</f>
        <v/>
      </c>
    </row>
    <row r="766">
      <c r="A766" s="5" t="n">
        <v>46121</v>
      </c>
      <c r="B766" t="inlineStr">
        <is>
          <t>J-0305</t>
        </is>
      </c>
      <c r="C766" t="n">
        <v>2</v>
      </c>
      <c r="D766" t="inlineStr">
        <is>
          <t>4000</t>
        </is>
      </c>
      <c r="E766" t="inlineStr">
        <is>
          <t>Sales Revenue</t>
        </is>
      </c>
      <c r="F766" s="6" t="n">
        <v>0</v>
      </c>
      <c r="G766" s="6" t="n">
        <v>351552.67</v>
      </c>
      <c r="H766" t="inlineStr">
        <is>
          <t>Sales invoice INV-202604-6</t>
        </is>
      </c>
      <c r="I766" t="inlineStr">
        <is>
          <t>Sharma General Store</t>
        </is>
      </c>
      <c r="J766">
        <f>YEAR(A766)*12+MONTH(A766)</f>
        <v/>
      </c>
    </row>
    <row r="767">
      <c r="A767" s="5" t="n">
        <v>46121</v>
      </c>
      <c r="B767" t="inlineStr">
        <is>
          <t>J-0305</t>
        </is>
      </c>
      <c r="C767" t="n">
        <v>3</v>
      </c>
      <c r="D767" t="inlineStr">
        <is>
          <t>2100</t>
        </is>
      </c>
      <c r="E767" t="inlineStr">
        <is>
          <t>GST Payable</t>
        </is>
      </c>
      <c r="F767" s="6" t="n">
        <v>0</v>
      </c>
      <c r="G767" s="6" t="n">
        <v>63279.48</v>
      </c>
      <c r="H767" t="inlineStr">
        <is>
          <t>Sales invoice INV-202604-6</t>
        </is>
      </c>
      <c r="I767" t="inlineStr">
        <is>
          <t>GST</t>
        </is>
      </c>
      <c r="J767">
        <f>YEAR(A767)*12+MONTH(A767)</f>
        <v/>
      </c>
    </row>
    <row r="768">
      <c r="A768" s="5" t="n">
        <v>46133</v>
      </c>
      <c r="B768" t="inlineStr">
        <is>
          <t>J-0306</t>
        </is>
      </c>
      <c r="C768" t="n">
        <v>1</v>
      </c>
      <c r="D768" t="inlineStr">
        <is>
          <t>1100</t>
        </is>
      </c>
      <c r="E768" t="inlineStr">
        <is>
          <t>Accounts Receivable</t>
        </is>
      </c>
      <c r="F768" s="6" t="n">
        <v>478278.76</v>
      </c>
      <c r="G768" s="6" t="n">
        <v>0</v>
      </c>
      <c r="H768" t="inlineStr">
        <is>
          <t>Sales invoice INV-202604-7</t>
        </is>
      </c>
      <c r="I768" t="inlineStr">
        <is>
          <t>Sharma General Store</t>
        </is>
      </c>
      <c r="J768">
        <f>YEAR(A768)*12+MONTH(A768)</f>
        <v/>
      </c>
    </row>
    <row r="769">
      <c r="A769" s="5" t="n">
        <v>46133</v>
      </c>
      <c r="B769" t="inlineStr">
        <is>
          <t>J-0306</t>
        </is>
      </c>
      <c r="C769" t="n">
        <v>2</v>
      </c>
      <c r="D769" t="inlineStr">
        <is>
          <t>4000</t>
        </is>
      </c>
      <c r="E769" t="inlineStr">
        <is>
          <t>Sales Revenue</t>
        </is>
      </c>
      <c r="F769" s="6" t="n">
        <v>0</v>
      </c>
      <c r="G769" s="6" t="n">
        <v>405320.98</v>
      </c>
      <c r="H769" t="inlineStr">
        <is>
          <t>Sales invoice INV-202604-7</t>
        </is>
      </c>
      <c r="I769" t="inlineStr">
        <is>
          <t>Sharma General Store</t>
        </is>
      </c>
      <c r="J769">
        <f>YEAR(A769)*12+MONTH(A769)</f>
        <v/>
      </c>
    </row>
    <row r="770">
      <c r="A770" s="5" t="n">
        <v>46133</v>
      </c>
      <c r="B770" t="inlineStr">
        <is>
          <t>J-0306</t>
        </is>
      </c>
      <c r="C770" t="n">
        <v>3</v>
      </c>
      <c r="D770" t="inlineStr">
        <is>
          <t>2100</t>
        </is>
      </c>
      <c r="E770" t="inlineStr">
        <is>
          <t>GST Payable</t>
        </is>
      </c>
      <c r="F770" s="6" t="n">
        <v>0</v>
      </c>
      <c r="G770" s="6" t="n">
        <v>72957.78</v>
      </c>
      <c r="H770" t="inlineStr">
        <is>
          <t>Sales invoice INV-202604-7</t>
        </is>
      </c>
      <c r="I770" t="inlineStr">
        <is>
          <t>GST</t>
        </is>
      </c>
      <c r="J770">
        <f>YEAR(A770)*12+MONTH(A770)</f>
        <v/>
      </c>
    </row>
    <row r="771">
      <c r="A771" s="5" t="n">
        <v>46139</v>
      </c>
      <c r="B771" t="inlineStr">
        <is>
          <t>J-0307</t>
        </is>
      </c>
      <c r="C771" t="n">
        <v>1</v>
      </c>
      <c r="D771" t="inlineStr">
        <is>
          <t>5000</t>
        </is>
      </c>
      <c r="E771" t="inlineStr">
        <is>
          <t>Cost of Goods Sold</t>
        </is>
      </c>
      <c r="F771" s="6" t="n">
        <v>2350473.95</v>
      </c>
      <c r="G771" s="6" t="n">
        <v>0</v>
      </c>
      <c r="H771" t="inlineStr">
        <is>
          <t>Cost of goods sold - monthly</t>
        </is>
      </c>
      <c r="I771" t="inlineStr"/>
      <c r="J771">
        <f>YEAR(A771)*12+MONTH(A771)</f>
        <v/>
      </c>
    </row>
    <row r="772">
      <c r="A772" s="5" t="n">
        <v>46139</v>
      </c>
      <c r="B772" t="inlineStr">
        <is>
          <t>J-0307</t>
        </is>
      </c>
      <c r="C772" t="n">
        <v>2</v>
      </c>
      <c r="D772" t="inlineStr">
        <is>
          <t>1200</t>
        </is>
      </c>
      <c r="E772" t="inlineStr">
        <is>
          <t>Inventory</t>
        </is>
      </c>
      <c r="F772" s="6" t="n">
        <v>0</v>
      </c>
      <c r="G772" s="6" t="n">
        <v>2350473.95</v>
      </c>
      <c r="H772" t="inlineStr">
        <is>
          <t>Cost of goods sold - monthly</t>
        </is>
      </c>
      <c r="I772" t="inlineStr"/>
      <c r="J772">
        <f>YEAR(A772)*12+MONTH(A772)</f>
        <v/>
      </c>
    </row>
    <row r="773">
      <c r="A773" s="5" t="n">
        <v>46140</v>
      </c>
      <c r="B773" t="inlineStr">
        <is>
          <t>J-0308</t>
        </is>
      </c>
      <c r="C773" t="n">
        <v>1</v>
      </c>
      <c r="D773" t="inlineStr">
        <is>
          <t>1000</t>
        </is>
      </c>
      <c r="E773" t="inlineStr">
        <is>
          <t>Cash &amp; Bank</t>
        </is>
      </c>
      <c r="F773" s="6" t="n">
        <v>3285047.37</v>
      </c>
      <c r="G773" s="6" t="n">
        <v>0</v>
      </c>
      <c r="H773" t="inlineStr">
        <is>
          <t>Customer receipts</t>
        </is>
      </c>
      <c r="I773" t="inlineStr"/>
      <c r="J773">
        <f>YEAR(A773)*12+MONTH(A773)</f>
        <v/>
      </c>
    </row>
    <row r="774">
      <c r="A774" s="5" t="n">
        <v>46140</v>
      </c>
      <c r="B774" t="inlineStr">
        <is>
          <t>J-0308</t>
        </is>
      </c>
      <c r="C774" t="n">
        <v>2</v>
      </c>
      <c r="D774" t="inlineStr">
        <is>
          <t>1100</t>
        </is>
      </c>
      <c r="E774" t="inlineStr">
        <is>
          <t>Accounts Receivable</t>
        </is>
      </c>
      <c r="F774" s="6" t="n">
        <v>0</v>
      </c>
      <c r="G774" s="6" t="n">
        <v>3285047.37</v>
      </c>
      <c r="H774" t="inlineStr">
        <is>
          <t>Customer receipts</t>
        </is>
      </c>
      <c r="I774" t="inlineStr"/>
      <c r="J774">
        <f>YEAR(A774)*12+MONTH(A774)</f>
        <v/>
      </c>
    </row>
    <row r="775">
      <c r="A775" s="5" t="n">
        <v>46129</v>
      </c>
      <c r="B775" t="inlineStr">
        <is>
          <t>J-0309</t>
        </is>
      </c>
      <c r="C775" t="n">
        <v>1</v>
      </c>
      <c r="D775" t="inlineStr">
        <is>
          <t>1200</t>
        </is>
      </c>
      <c r="E775" t="inlineStr">
        <is>
          <t>Inventory</t>
        </is>
      </c>
      <c r="F775" s="6" t="n">
        <v>490293.51</v>
      </c>
      <c r="G775" s="6" t="n">
        <v>0</v>
      </c>
      <c r="H775" t="inlineStr">
        <is>
          <t>Purchase bill PB-202604-1</t>
        </is>
      </c>
      <c r="I775" t="inlineStr">
        <is>
          <t>Bihar Agro Supplies</t>
        </is>
      </c>
      <c r="J775">
        <f>YEAR(A775)*12+MONTH(A775)</f>
        <v/>
      </c>
    </row>
    <row r="776">
      <c r="A776" s="5" t="n">
        <v>46129</v>
      </c>
      <c r="B776" t="inlineStr">
        <is>
          <t>J-0309</t>
        </is>
      </c>
      <c r="C776" t="n">
        <v>2</v>
      </c>
      <c r="D776" t="inlineStr">
        <is>
          <t>1300</t>
        </is>
      </c>
      <c r="E776" t="inlineStr">
        <is>
          <t>GST Input Credit</t>
        </is>
      </c>
      <c r="F776" s="6" t="n">
        <v>88252.83</v>
      </c>
      <c r="G776" s="6" t="n">
        <v>0</v>
      </c>
      <c r="H776" t="inlineStr">
        <is>
          <t>Purchase bill PB-202604-1</t>
        </is>
      </c>
      <c r="I776" t="inlineStr">
        <is>
          <t>Bihar Agro Supplies</t>
        </is>
      </c>
      <c r="J776">
        <f>YEAR(A776)*12+MONTH(A776)</f>
        <v/>
      </c>
    </row>
    <row r="777">
      <c r="A777" s="5" t="n">
        <v>46129</v>
      </c>
      <c r="B777" t="inlineStr">
        <is>
          <t>J-0309</t>
        </is>
      </c>
      <c r="C777" t="n">
        <v>3</v>
      </c>
      <c r="D777" t="inlineStr">
        <is>
          <t>2000</t>
        </is>
      </c>
      <c r="E777" t="inlineStr">
        <is>
          <t>Accounts Payable</t>
        </is>
      </c>
      <c r="F777" s="6" t="n">
        <v>0</v>
      </c>
      <c r="G777" s="6" t="n">
        <v>578546.34</v>
      </c>
      <c r="H777" t="inlineStr">
        <is>
          <t>Purchase bill PB-202604-1</t>
        </is>
      </c>
      <c r="I777" t="inlineStr">
        <is>
          <t>Bihar Agro Supplies</t>
        </is>
      </c>
      <c r="J777">
        <f>YEAR(A777)*12+MONTH(A777)</f>
        <v/>
      </c>
    </row>
    <row r="778">
      <c r="A778" s="5" t="n">
        <v>46120</v>
      </c>
      <c r="B778" t="inlineStr">
        <is>
          <t>J-0310</t>
        </is>
      </c>
      <c r="C778" t="n">
        <v>1</v>
      </c>
      <c r="D778" t="inlineStr">
        <is>
          <t>1200</t>
        </is>
      </c>
      <c r="E778" t="inlineStr">
        <is>
          <t>Inventory</t>
        </is>
      </c>
      <c r="F778" s="6" t="n">
        <v>516203.53</v>
      </c>
      <c r="G778" s="6" t="n">
        <v>0</v>
      </c>
      <c r="H778" t="inlineStr">
        <is>
          <t>Purchase bill PB-202604-2</t>
        </is>
      </c>
      <c r="I778" t="inlineStr">
        <is>
          <t>National FMCG Distributors</t>
        </is>
      </c>
      <c r="J778">
        <f>YEAR(A778)*12+MONTH(A778)</f>
        <v/>
      </c>
    </row>
    <row r="779">
      <c r="A779" s="5" t="n">
        <v>46120</v>
      </c>
      <c r="B779" t="inlineStr">
        <is>
          <t>J-0310</t>
        </is>
      </c>
      <c r="C779" t="n">
        <v>2</v>
      </c>
      <c r="D779" t="inlineStr">
        <is>
          <t>1300</t>
        </is>
      </c>
      <c r="E779" t="inlineStr">
        <is>
          <t>GST Input Credit</t>
        </is>
      </c>
      <c r="F779" s="6" t="n">
        <v>92916.64</v>
      </c>
      <c r="G779" s="6" t="n">
        <v>0</v>
      </c>
      <c r="H779" t="inlineStr">
        <is>
          <t>Purchase bill PB-202604-2</t>
        </is>
      </c>
      <c r="I779" t="inlineStr">
        <is>
          <t>National FMCG Distributors</t>
        </is>
      </c>
      <c r="J779">
        <f>YEAR(A779)*12+MONTH(A779)</f>
        <v/>
      </c>
    </row>
    <row r="780">
      <c r="A780" s="5" t="n">
        <v>46120</v>
      </c>
      <c r="B780" t="inlineStr">
        <is>
          <t>J-0310</t>
        </is>
      </c>
      <c r="C780" t="n">
        <v>3</v>
      </c>
      <c r="D780" t="inlineStr">
        <is>
          <t>2000</t>
        </is>
      </c>
      <c r="E780" t="inlineStr">
        <is>
          <t>Accounts Payable</t>
        </is>
      </c>
      <c r="F780" s="6" t="n">
        <v>0</v>
      </c>
      <c r="G780" s="6" t="n">
        <v>609120.17</v>
      </c>
      <c r="H780" t="inlineStr">
        <is>
          <t>Purchase bill PB-202604-2</t>
        </is>
      </c>
      <c r="I780" t="inlineStr">
        <is>
          <t>National FMCG Distributors</t>
        </is>
      </c>
      <c r="J780">
        <f>YEAR(A780)*12+MONTH(A780)</f>
        <v/>
      </c>
    </row>
    <row r="781">
      <c r="A781" s="5" t="n">
        <v>46120</v>
      </c>
      <c r="B781" t="inlineStr">
        <is>
          <t>J-0311</t>
        </is>
      </c>
      <c r="C781" t="n">
        <v>1</v>
      </c>
      <c r="D781" t="inlineStr">
        <is>
          <t>1200</t>
        </is>
      </c>
      <c r="E781" t="inlineStr">
        <is>
          <t>Inventory</t>
        </is>
      </c>
      <c r="F781" s="6" t="n">
        <v>498310.23</v>
      </c>
      <c r="G781" s="6" t="n">
        <v>0</v>
      </c>
      <c r="H781" t="inlineStr">
        <is>
          <t>Purchase bill PB-202604-3</t>
        </is>
      </c>
      <c r="I781" t="inlineStr">
        <is>
          <t>Hindustan Foods Ltd</t>
        </is>
      </c>
      <c r="J781">
        <f>YEAR(A781)*12+MONTH(A781)</f>
        <v/>
      </c>
    </row>
    <row r="782">
      <c r="A782" s="5" t="n">
        <v>46120</v>
      </c>
      <c r="B782" t="inlineStr">
        <is>
          <t>J-0311</t>
        </is>
      </c>
      <c r="C782" t="n">
        <v>2</v>
      </c>
      <c r="D782" t="inlineStr">
        <is>
          <t>1300</t>
        </is>
      </c>
      <c r="E782" t="inlineStr">
        <is>
          <t>GST Input Credit</t>
        </is>
      </c>
      <c r="F782" s="6" t="n">
        <v>89695.84</v>
      </c>
      <c r="G782" s="6" t="n">
        <v>0</v>
      </c>
      <c r="H782" t="inlineStr">
        <is>
          <t>Purchase bill PB-202604-3</t>
        </is>
      </c>
      <c r="I782" t="inlineStr">
        <is>
          <t>Hindustan Foods Ltd</t>
        </is>
      </c>
      <c r="J782">
        <f>YEAR(A782)*12+MONTH(A782)</f>
        <v/>
      </c>
    </row>
    <row r="783">
      <c r="A783" s="5" t="n">
        <v>46120</v>
      </c>
      <c r="B783" t="inlineStr">
        <is>
          <t>J-0311</t>
        </is>
      </c>
      <c r="C783" t="n">
        <v>3</v>
      </c>
      <c r="D783" t="inlineStr">
        <is>
          <t>2000</t>
        </is>
      </c>
      <c r="E783" t="inlineStr">
        <is>
          <t>Accounts Payable</t>
        </is>
      </c>
      <c r="F783" s="6" t="n">
        <v>0</v>
      </c>
      <c r="G783" s="6" t="n">
        <v>588006.0699999999</v>
      </c>
      <c r="H783" t="inlineStr">
        <is>
          <t>Purchase bill PB-202604-3</t>
        </is>
      </c>
      <c r="I783" t="inlineStr">
        <is>
          <t>Hindustan Foods Ltd</t>
        </is>
      </c>
      <c r="J783">
        <f>YEAR(A783)*12+MONTH(A783)</f>
        <v/>
      </c>
    </row>
    <row r="784">
      <c r="A784" s="5" t="n">
        <v>46133</v>
      </c>
      <c r="B784" t="inlineStr">
        <is>
          <t>J-0312</t>
        </is>
      </c>
      <c r="C784" t="n">
        <v>1</v>
      </c>
      <c r="D784" t="inlineStr">
        <is>
          <t>1200</t>
        </is>
      </c>
      <c r="E784" t="inlineStr">
        <is>
          <t>Inventory</t>
        </is>
      </c>
      <c r="F784" s="6" t="n">
        <v>566926.91</v>
      </c>
      <c r="G784" s="6" t="n">
        <v>0</v>
      </c>
      <c r="H784" t="inlineStr">
        <is>
          <t>Purchase bill PB-202604-4</t>
        </is>
      </c>
      <c r="I784" t="inlineStr">
        <is>
          <t>Hindustan Foods Ltd</t>
        </is>
      </c>
      <c r="J784">
        <f>YEAR(A784)*12+MONTH(A784)</f>
        <v/>
      </c>
    </row>
    <row r="785">
      <c r="A785" s="5" t="n">
        <v>46133</v>
      </c>
      <c r="B785" t="inlineStr">
        <is>
          <t>J-0312</t>
        </is>
      </c>
      <c r="C785" t="n">
        <v>2</v>
      </c>
      <c r="D785" t="inlineStr">
        <is>
          <t>1300</t>
        </is>
      </c>
      <c r="E785" t="inlineStr">
        <is>
          <t>GST Input Credit</t>
        </is>
      </c>
      <c r="F785" s="6" t="n">
        <v>102046.84</v>
      </c>
      <c r="G785" s="6" t="n">
        <v>0</v>
      </c>
      <c r="H785" t="inlineStr">
        <is>
          <t>Purchase bill PB-202604-4</t>
        </is>
      </c>
      <c r="I785" t="inlineStr">
        <is>
          <t>Hindustan Foods Ltd</t>
        </is>
      </c>
      <c r="J785">
        <f>YEAR(A785)*12+MONTH(A785)</f>
        <v/>
      </c>
    </row>
    <row r="786">
      <c r="A786" s="5" t="n">
        <v>46133</v>
      </c>
      <c r="B786" t="inlineStr">
        <is>
          <t>J-0312</t>
        </is>
      </c>
      <c r="C786" t="n">
        <v>3</v>
      </c>
      <c r="D786" t="inlineStr">
        <is>
          <t>2000</t>
        </is>
      </c>
      <c r="E786" t="inlineStr">
        <is>
          <t>Accounts Payable</t>
        </is>
      </c>
      <c r="F786" s="6" t="n">
        <v>0</v>
      </c>
      <c r="G786" s="6" t="n">
        <v>668973.75</v>
      </c>
      <c r="H786" t="inlineStr">
        <is>
          <t>Purchase bill PB-202604-4</t>
        </is>
      </c>
      <c r="I786" t="inlineStr">
        <is>
          <t>Hindustan Foods Ltd</t>
        </is>
      </c>
      <c r="J786">
        <f>YEAR(A786)*12+MONTH(A786)</f>
        <v/>
      </c>
    </row>
    <row r="787">
      <c r="A787" s="5" t="n">
        <v>46133</v>
      </c>
      <c r="B787" t="inlineStr">
        <is>
          <t>J-0313</t>
        </is>
      </c>
      <c r="C787" t="n">
        <v>1</v>
      </c>
      <c r="D787" t="inlineStr">
        <is>
          <t>1200</t>
        </is>
      </c>
      <c r="E787" t="inlineStr">
        <is>
          <t>Inventory</t>
        </is>
      </c>
      <c r="F787" s="6" t="n">
        <v>387359.11</v>
      </c>
      <c r="G787" s="6" t="n">
        <v>0</v>
      </c>
      <c r="H787" t="inlineStr">
        <is>
          <t>Purchase bill PB-202604-5</t>
        </is>
      </c>
      <c r="I787" t="inlineStr">
        <is>
          <t>National FMCG Distributors</t>
        </is>
      </c>
      <c r="J787">
        <f>YEAR(A787)*12+MONTH(A787)</f>
        <v/>
      </c>
    </row>
    <row r="788">
      <c r="A788" s="5" t="n">
        <v>46133</v>
      </c>
      <c r="B788" t="inlineStr">
        <is>
          <t>J-0313</t>
        </is>
      </c>
      <c r="C788" t="n">
        <v>2</v>
      </c>
      <c r="D788" t="inlineStr">
        <is>
          <t>1300</t>
        </is>
      </c>
      <c r="E788" t="inlineStr">
        <is>
          <t>GST Input Credit</t>
        </is>
      </c>
      <c r="F788" s="6" t="n">
        <v>69724.64</v>
      </c>
      <c r="G788" s="6" t="n">
        <v>0</v>
      </c>
      <c r="H788" t="inlineStr">
        <is>
          <t>Purchase bill PB-202604-5</t>
        </is>
      </c>
      <c r="I788" t="inlineStr">
        <is>
          <t>National FMCG Distributors</t>
        </is>
      </c>
      <c r="J788">
        <f>YEAR(A788)*12+MONTH(A788)</f>
        <v/>
      </c>
    </row>
    <row r="789">
      <c r="A789" s="5" t="n">
        <v>46133</v>
      </c>
      <c r="B789" t="inlineStr">
        <is>
          <t>J-0313</t>
        </is>
      </c>
      <c r="C789" t="n">
        <v>3</v>
      </c>
      <c r="D789" t="inlineStr">
        <is>
          <t>2000</t>
        </is>
      </c>
      <c r="E789" t="inlineStr">
        <is>
          <t>Accounts Payable</t>
        </is>
      </c>
      <c r="F789" s="6" t="n">
        <v>0</v>
      </c>
      <c r="G789" s="6" t="n">
        <v>457083.75</v>
      </c>
      <c r="H789" t="inlineStr">
        <is>
          <t>Purchase bill PB-202604-5</t>
        </is>
      </c>
      <c r="I789" t="inlineStr">
        <is>
          <t>National FMCG Distributors</t>
        </is>
      </c>
      <c r="J789">
        <f>YEAR(A789)*12+MONTH(A789)</f>
        <v/>
      </c>
    </row>
    <row r="790">
      <c r="A790" s="5" t="n">
        <v>46141</v>
      </c>
      <c r="B790" t="inlineStr">
        <is>
          <t>J-0314</t>
        </is>
      </c>
      <c r="C790" t="n">
        <v>1</v>
      </c>
      <c r="D790" t="inlineStr">
        <is>
          <t>2000</t>
        </is>
      </c>
      <c r="E790" t="inlineStr">
        <is>
          <t>Accounts Payable</t>
        </is>
      </c>
      <c r="F790" s="6" t="n">
        <v>2588525.57</v>
      </c>
      <c r="G790" s="6" t="n">
        <v>0</v>
      </c>
      <c r="H790" t="inlineStr">
        <is>
          <t>Vendor payments</t>
        </is>
      </c>
      <c r="I790" t="inlineStr"/>
      <c r="J790">
        <f>YEAR(A790)*12+MONTH(A790)</f>
        <v/>
      </c>
    </row>
    <row r="791">
      <c r="A791" s="5" t="n">
        <v>46141</v>
      </c>
      <c r="B791" t="inlineStr">
        <is>
          <t>J-0314</t>
        </is>
      </c>
      <c r="C791" t="n">
        <v>2</v>
      </c>
      <c r="D791" t="inlineStr">
        <is>
          <t>1000</t>
        </is>
      </c>
      <c r="E791" t="inlineStr">
        <is>
          <t>Cash &amp; Bank</t>
        </is>
      </c>
      <c r="F791" s="6" t="n">
        <v>0</v>
      </c>
      <c r="G791" s="6" t="n">
        <v>2588525.57</v>
      </c>
      <c r="H791" t="inlineStr">
        <is>
          <t>Vendor payments</t>
        </is>
      </c>
      <c r="I791" t="inlineStr"/>
      <c r="J791">
        <f>YEAR(A791)*12+MONTH(A791)</f>
        <v/>
      </c>
    </row>
    <row r="792">
      <c r="A792" s="5" t="n">
        <v>46142</v>
      </c>
      <c r="B792" t="inlineStr">
        <is>
          <t>J-0315</t>
        </is>
      </c>
      <c r="C792" t="n">
        <v>1</v>
      </c>
      <c r="D792" t="inlineStr">
        <is>
          <t>2100</t>
        </is>
      </c>
      <c r="E792" t="inlineStr">
        <is>
          <t>GST Payable</t>
        </is>
      </c>
      <c r="F792" s="6" t="n">
        <v>186401.91</v>
      </c>
      <c r="G792" s="6" t="n">
        <v>0</v>
      </c>
      <c r="H792" t="inlineStr">
        <is>
          <t>GST paid for month</t>
        </is>
      </c>
      <c r="I792" t="inlineStr">
        <is>
          <t>GST</t>
        </is>
      </c>
      <c r="J792">
        <f>YEAR(A792)*12+MONTH(A792)</f>
        <v/>
      </c>
    </row>
    <row r="793">
      <c r="A793" s="5" t="n">
        <v>46142</v>
      </c>
      <c r="B793" t="inlineStr">
        <is>
          <t>J-0315</t>
        </is>
      </c>
      <c r="C793" t="n">
        <v>2</v>
      </c>
      <c r="D793" t="inlineStr">
        <is>
          <t>1000</t>
        </is>
      </c>
      <c r="E793" t="inlineStr">
        <is>
          <t>Cash &amp; Bank</t>
        </is>
      </c>
      <c r="F793" s="6" t="n">
        <v>0</v>
      </c>
      <c r="G793" s="6" t="n">
        <v>186401.91</v>
      </c>
      <c r="H793" t="inlineStr">
        <is>
          <t>GST paid for month</t>
        </is>
      </c>
      <c r="I793" t="inlineStr">
        <is>
          <t>GST</t>
        </is>
      </c>
      <c r="J793">
        <f>YEAR(A793)*12+MONTH(A793)</f>
        <v/>
      </c>
    </row>
    <row r="794">
      <c r="A794" s="5" t="n">
        <v>46117</v>
      </c>
      <c r="B794" t="inlineStr">
        <is>
          <t>J-0316</t>
        </is>
      </c>
      <c r="C794" t="n">
        <v>1</v>
      </c>
      <c r="D794" t="inlineStr">
        <is>
          <t>5100</t>
        </is>
      </c>
      <c r="E794" t="inlineStr">
        <is>
          <t>Rent Expense</t>
        </is>
      </c>
      <c r="F794" s="6" t="n">
        <v>25000</v>
      </c>
      <c r="G794" s="6" t="n">
        <v>0</v>
      </c>
      <c r="H794" t="inlineStr">
        <is>
          <t>Office rent</t>
        </is>
      </c>
      <c r="I794" t="inlineStr"/>
      <c r="J794">
        <f>YEAR(A794)*12+MONTH(A794)</f>
        <v/>
      </c>
    </row>
    <row r="795">
      <c r="A795" s="5" t="n">
        <v>46117</v>
      </c>
      <c r="B795" t="inlineStr">
        <is>
          <t>J-0316</t>
        </is>
      </c>
      <c r="C795" t="n">
        <v>2</v>
      </c>
      <c r="D795" t="inlineStr">
        <is>
          <t>1000</t>
        </is>
      </c>
      <c r="E795" t="inlineStr">
        <is>
          <t>Cash &amp; Bank</t>
        </is>
      </c>
      <c r="F795" s="6" t="n">
        <v>0</v>
      </c>
      <c r="G795" s="6" t="n">
        <v>25000</v>
      </c>
      <c r="H795" t="inlineStr">
        <is>
          <t>Office rent</t>
        </is>
      </c>
      <c r="I795" t="inlineStr"/>
      <c r="J795">
        <f>YEAR(A795)*12+MONTH(A795)</f>
        <v/>
      </c>
    </row>
    <row r="796">
      <c r="A796" s="5" t="n">
        <v>46119</v>
      </c>
      <c r="B796" t="inlineStr">
        <is>
          <t>J-0317</t>
        </is>
      </c>
      <c r="C796" t="n">
        <v>1</v>
      </c>
      <c r="D796" t="inlineStr">
        <is>
          <t>5200</t>
        </is>
      </c>
      <c r="E796" t="inlineStr">
        <is>
          <t>Salaries Expense</t>
        </is>
      </c>
      <c r="F796" s="6" t="n">
        <v>120977.24</v>
      </c>
      <c r="G796" s="6" t="n">
        <v>0</v>
      </c>
      <c r="H796" t="inlineStr">
        <is>
          <t>Staff salaries</t>
        </is>
      </c>
      <c r="I796" t="inlineStr"/>
      <c r="J796">
        <f>YEAR(A796)*12+MONTH(A796)</f>
        <v/>
      </c>
    </row>
    <row r="797">
      <c r="A797" s="5" t="n">
        <v>46119</v>
      </c>
      <c r="B797" t="inlineStr">
        <is>
          <t>J-0317</t>
        </is>
      </c>
      <c r="C797" t="n">
        <v>2</v>
      </c>
      <c r="D797" t="inlineStr">
        <is>
          <t>1000</t>
        </is>
      </c>
      <c r="E797" t="inlineStr">
        <is>
          <t>Cash &amp; Bank</t>
        </is>
      </c>
      <c r="F797" s="6" t="n">
        <v>0</v>
      </c>
      <c r="G797" s="6" t="n">
        <v>120977.24</v>
      </c>
      <c r="H797" t="inlineStr">
        <is>
          <t>Staff salaries</t>
        </is>
      </c>
      <c r="I797" t="inlineStr"/>
      <c r="J797">
        <f>YEAR(A797)*12+MONTH(A797)</f>
        <v/>
      </c>
    </row>
    <row r="798">
      <c r="A798" s="5" t="n">
        <v>46124</v>
      </c>
      <c r="B798" t="inlineStr">
        <is>
          <t>J-0318</t>
        </is>
      </c>
      <c r="C798" t="n">
        <v>1</v>
      </c>
      <c r="D798" t="inlineStr">
        <is>
          <t>5300</t>
        </is>
      </c>
      <c r="E798" t="inlineStr">
        <is>
          <t>Utilities Expense</t>
        </is>
      </c>
      <c r="F798" s="6" t="n">
        <v>7991.64</v>
      </c>
      <c r="G798" s="6" t="n">
        <v>0</v>
      </c>
      <c r="H798" t="inlineStr">
        <is>
          <t>Utilities (power/water/phone)</t>
        </is>
      </c>
      <c r="I798" t="inlineStr"/>
      <c r="J798">
        <f>YEAR(A798)*12+MONTH(A798)</f>
        <v/>
      </c>
    </row>
    <row r="799">
      <c r="A799" s="5" t="n">
        <v>46124</v>
      </c>
      <c r="B799" t="inlineStr">
        <is>
          <t>J-0318</t>
        </is>
      </c>
      <c r="C799" t="n">
        <v>2</v>
      </c>
      <c r="D799" t="inlineStr">
        <is>
          <t>1000</t>
        </is>
      </c>
      <c r="E799" t="inlineStr">
        <is>
          <t>Cash &amp; Bank</t>
        </is>
      </c>
      <c r="F799" s="6" t="n">
        <v>0</v>
      </c>
      <c r="G799" s="6" t="n">
        <v>7991.64</v>
      </c>
      <c r="H799" t="inlineStr">
        <is>
          <t>Utilities (power/water/phone)</t>
        </is>
      </c>
      <c r="I799" t="inlineStr"/>
      <c r="J799">
        <f>YEAR(A799)*12+MONTH(A799)</f>
        <v/>
      </c>
    </row>
    <row r="800">
      <c r="A800" s="5" t="n">
        <v>46130</v>
      </c>
      <c r="B800" t="inlineStr">
        <is>
          <t>J-0319</t>
        </is>
      </c>
      <c r="C800" t="n">
        <v>1</v>
      </c>
      <c r="D800" t="inlineStr">
        <is>
          <t>5400</t>
        </is>
      </c>
      <c r="E800" t="inlineStr">
        <is>
          <t>Transport &amp; Logistics</t>
        </is>
      </c>
      <c r="F800" s="6" t="n">
        <v>20005.1</v>
      </c>
      <c r="G800" s="6" t="n">
        <v>0</v>
      </c>
      <c r="H800" t="inlineStr">
        <is>
          <t>Transport &amp; logistics</t>
        </is>
      </c>
      <c r="I800" t="inlineStr"/>
      <c r="J800">
        <f>YEAR(A800)*12+MONTH(A800)</f>
        <v/>
      </c>
    </row>
    <row r="801">
      <c r="A801" s="5" t="n">
        <v>46130</v>
      </c>
      <c r="B801" t="inlineStr">
        <is>
          <t>J-0319</t>
        </is>
      </c>
      <c r="C801" t="n">
        <v>2</v>
      </c>
      <c r="D801" t="inlineStr">
        <is>
          <t>1000</t>
        </is>
      </c>
      <c r="E801" t="inlineStr">
        <is>
          <t>Cash &amp; Bank</t>
        </is>
      </c>
      <c r="F801" s="6" t="n">
        <v>0</v>
      </c>
      <c r="G801" s="6" t="n">
        <v>20005.1</v>
      </c>
      <c r="H801" t="inlineStr">
        <is>
          <t>Transport &amp; logistics</t>
        </is>
      </c>
      <c r="I801" t="inlineStr"/>
      <c r="J801">
        <f>YEAR(A801)*12+MONTH(A801)</f>
        <v/>
      </c>
    </row>
    <row r="802">
      <c r="A802" s="5" t="n">
        <v>46132</v>
      </c>
      <c r="B802" t="inlineStr">
        <is>
          <t>J-0320</t>
        </is>
      </c>
      <c r="C802" t="n">
        <v>1</v>
      </c>
      <c r="D802" t="inlineStr">
        <is>
          <t>5500</t>
        </is>
      </c>
      <c r="E802" t="inlineStr">
        <is>
          <t>Marketing Expense</t>
        </is>
      </c>
      <c r="F802" s="6" t="n">
        <v>12607.97</v>
      </c>
      <c r="G802" s="6" t="n">
        <v>0</v>
      </c>
      <c r="H802" t="inlineStr">
        <is>
          <t>Marketing &amp; promotions</t>
        </is>
      </c>
      <c r="I802" t="inlineStr"/>
      <c r="J802">
        <f>YEAR(A802)*12+MONTH(A802)</f>
        <v/>
      </c>
    </row>
    <row r="803">
      <c r="A803" s="5" t="n">
        <v>46132</v>
      </c>
      <c r="B803" t="inlineStr">
        <is>
          <t>J-0320</t>
        </is>
      </c>
      <c r="C803" t="n">
        <v>2</v>
      </c>
      <c r="D803" t="inlineStr">
        <is>
          <t>1000</t>
        </is>
      </c>
      <c r="E803" t="inlineStr">
        <is>
          <t>Cash &amp; Bank</t>
        </is>
      </c>
      <c r="F803" s="6" t="n">
        <v>0</v>
      </c>
      <c r="G803" s="6" t="n">
        <v>12607.97</v>
      </c>
      <c r="H803" t="inlineStr">
        <is>
          <t>Marketing &amp; promotions</t>
        </is>
      </c>
      <c r="I803" t="inlineStr"/>
      <c r="J803">
        <f>YEAR(A803)*12+MONTH(A803)</f>
        <v/>
      </c>
    </row>
    <row r="804">
      <c r="A804" s="5" t="n">
        <v>46122</v>
      </c>
      <c r="B804" t="inlineStr">
        <is>
          <t>J-0321</t>
        </is>
      </c>
      <c r="C804" t="n">
        <v>1</v>
      </c>
      <c r="D804" t="inlineStr">
        <is>
          <t>5600</t>
        </is>
      </c>
      <c r="E804" t="inlineStr">
        <is>
          <t>Interest Expense</t>
        </is>
      </c>
      <c r="F804" s="6" t="n">
        <v>9000</v>
      </c>
      <c r="G804" s="6" t="n">
        <v>0</v>
      </c>
      <c r="H804" t="inlineStr">
        <is>
          <t>Term loan interest</t>
        </is>
      </c>
      <c r="I804" t="inlineStr">
        <is>
          <t>HDFC</t>
        </is>
      </c>
      <c r="J804">
        <f>YEAR(A804)*12+MONTH(A804)</f>
        <v/>
      </c>
    </row>
    <row r="805">
      <c r="A805" s="5" t="n">
        <v>46122</v>
      </c>
      <c r="B805" t="inlineStr">
        <is>
          <t>J-0321</t>
        </is>
      </c>
      <c r="C805" t="n">
        <v>2</v>
      </c>
      <c r="D805" t="inlineStr">
        <is>
          <t>1000</t>
        </is>
      </c>
      <c r="E805" t="inlineStr">
        <is>
          <t>Cash &amp; Bank</t>
        </is>
      </c>
      <c r="F805" s="6" t="n">
        <v>0</v>
      </c>
      <c r="G805" s="6" t="n">
        <v>9000</v>
      </c>
      <c r="H805" t="inlineStr">
        <is>
          <t>Term loan interest</t>
        </is>
      </c>
      <c r="I805" t="inlineStr">
        <is>
          <t>HDFC</t>
        </is>
      </c>
      <c r="J805">
        <f>YEAR(A805)*12+MONTH(A805)</f>
        <v/>
      </c>
    </row>
    <row r="806">
      <c r="A806" s="5" t="n">
        <v>46122</v>
      </c>
      <c r="B806" t="inlineStr">
        <is>
          <t>J-0322</t>
        </is>
      </c>
      <c r="C806" t="n">
        <v>1</v>
      </c>
      <c r="D806" t="inlineStr">
        <is>
          <t>2200</t>
        </is>
      </c>
      <c r="E806" t="inlineStr">
        <is>
          <t>Term Loan</t>
        </is>
      </c>
      <c r="F806" s="6" t="n">
        <v>55000</v>
      </c>
      <c r="G806" s="6" t="n">
        <v>0</v>
      </c>
      <c r="H806" t="inlineStr">
        <is>
          <t>Term loan principal repayment</t>
        </is>
      </c>
      <c r="I806" t="inlineStr">
        <is>
          <t>HDFC</t>
        </is>
      </c>
      <c r="J806">
        <f>YEAR(A806)*12+MONTH(A806)</f>
        <v/>
      </c>
    </row>
    <row r="807">
      <c r="A807" s="5" t="n">
        <v>46122</v>
      </c>
      <c r="B807" t="inlineStr">
        <is>
          <t>J-0322</t>
        </is>
      </c>
      <c r="C807" t="n">
        <v>2</v>
      </c>
      <c r="D807" t="inlineStr">
        <is>
          <t>1000</t>
        </is>
      </c>
      <c r="E807" t="inlineStr">
        <is>
          <t>Cash &amp; Bank</t>
        </is>
      </c>
      <c r="F807" s="6" t="n">
        <v>0</v>
      </c>
      <c r="G807" s="6" t="n">
        <v>55000</v>
      </c>
      <c r="H807" t="inlineStr">
        <is>
          <t>Term loan principal repayment</t>
        </is>
      </c>
      <c r="I807" t="inlineStr">
        <is>
          <t>HDFC</t>
        </is>
      </c>
      <c r="J807">
        <f>YEAR(A807)*12+MONTH(A807)</f>
        <v/>
      </c>
    </row>
    <row r="808">
      <c r="A808" s="5" t="n">
        <v>46142</v>
      </c>
      <c r="B808" t="inlineStr">
        <is>
          <t>J-0323</t>
        </is>
      </c>
      <c r="C808" t="n">
        <v>1</v>
      </c>
      <c r="D808" t="inlineStr">
        <is>
          <t>5700</t>
        </is>
      </c>
      <c r="E808" t="inlineStr">
        <is>
          <t>Depreciation Expense</t>
        </is>
      </c>
      <c r="F808" s="6" t="n">
        <v>6000</v>
      </c>
      <c r="G808" s="6" t="n">
        <v>0</v>
      </c>
      <c r="H808" t="inlineStr">
        <is>
          <t>Depreciation - equipment</t>
        </is>
      </c>
      <c r="I808" t="inlineStr"/>
      <c r="J808">
        <f>YEAR(A808)*12+MONTH(A808)</f>
        <v/>
      </c>
    </row>
    <row r="809">
      <c r="A809" s="5" t="n">
        <v>46142</v>
      </c>
      <c r="B809" t="inlineStr">
        <is>
          <t>J-0323</t>
        </is>
      </c>
      <c r="C809" t="n">
        <v>2</v>
      </c>
      <c r="D809" t="inlineStr">
        <is>
          <t>1510</t>
        </is>
      </c>
      <c r="E809" t="inlineStr">
        <is>
          <t>Accumulated Depreciation</t>
        </is>
      </c>
      <c r="F809" s="6" t="n">
        <v>0</v>
      </c>
      <c r="G809" s="6" t="n">
        <v>6000</v>
      </c>
      <c r="H809" t="inlineStr">
        <is>
          <t>Depreciation - equipment</t>
        </is>
      </c>
      <c r="I809" t="inlineStr"/>
      <c r="J809">
        <f>YEAR(A809)*12+MONTH(A809)</f>
        <v/>
      </c>
    </row>
    <row r="810">
      <c r="A810" s="5" t="n">
        <v>46165</v>
      </c>
      <c r="B810" t="inlineStr">
        <is>
          <t>J-0324</t>
        </is>
      </c>
      <c r="C810" t="n">
        <v>1</v>
      </c>
      <c r="D810" t="inlineStr">
        <is>
          <t>1100</t>
        </is>
      </c>
      <c r="E810" t="inlineStr">
        <is>
          <t>Accounts Receivable</t>
        </is>
      </c>
      <c r="F810" s="6" t="n">
        <v>455290.4</v>
      </c>
      <c r="G810" s="6" t="n">
        <v>0</v>
      </c>
      <c r="H810" t="inlineStr">
        <is>
          <t>Sales invoice INV-202605-1</t>
        </is>
      </c>
      <c r="I810" t="inlineStr">
        <is>
          <t>Kumari Provision Store</t>
        </is>
      </c>
      <c r="J810">
        <f>YEAR(A810)*12+MONTH(A810)</f>
        <v/>
      </c>
    </row>
    <row r="811">
      <c r="A811" s="5" t="n">
        <v>46165</v>
      </c>
      <c r="B811" t="inlineStr">
        <is>
          <t>J-0324</t>
        </is>
      </c>
      <c r="C811" t="n">
        <v>2</v>
      </c>
      <c r="D811" t="inlineStr">
        <is>
          <t>4000</t>
        </is>
      </c>
      <c r="E811" t="inlineStr">
        <is>
          <t>Sales Revenue</t>
        </is>
      </c>
      <c r="F811" s="6" t="n">
        <v>0</v>
      </c>
      <c r="G811" s="6" t="n">
        <v>385839.32</v>
      </c>
      <c r="H811" t="inlineStr">
        <is>
          <t>Sales invoice INV-202605-1</t>
        </is>
      </c>
      <c r="I811" t="inlineStr">
        <is>
          <t>Kumari Provision Store</t>
        </is>
      </c>
      <c r="J811">
        <f>YEAR(A811)*12+MONTH(A811)</f>
        <v/>
      </c>
    </row>
    <row r="812">
      <c r="A812" s="5" t="n">
        <v>46165</v>
      </c>
      <c r="B812" t="inlineStr">
        <is>
          <t>J-0324</t>
        </is>
      </c>
      <c r="C812" t="n">
        <v>3</v>
      </c>
      <c r="D812" t="inlineStr">
        <is>
          <t>2100</t>
        </is>
      </c>
      <c r="E812" t="inlineStr">
        <is>
          <t>GST Payable</t>
        </is>
      </c>
      <c r="F812" s="6" t="n">
        <v>0</v>
      </c>
      <c r="G812" s="6" t="n">
        <v>69451.08</v>
      </c>
      <c r="H812" t="inlineStr">
        <is>
          <t>Sales invoice INV-202605-1</t>
        </is>
      </c>
      <c r="I812" t="inlineStr">
        <is>
          <t>GST</t>
        </is>
      </c>
      <c r="J812">
        <f>YEAR(A812)*12+MONTH(A812)</f>
        <v/>
      </c>
    </row>
    <row r="813">
      <c r="A813" s="5" t="n">
        <v>46162</v>
      </c>
      <c r="B813" t="inlineStr">
        <is>
          <t>J-0325</t>
        </is>
      </c>
      <c r="C813" t="n">
        <v>1</v>
      </c>
      <c r="D813" t="inlineStr">
        <is>
          <t>1100</t>
        </is>
      </c>
      <c r="E813" t="inlineStr">
        <is>
          <t>Accounts Receivable</t>
        </is>
      </c>
      <c r="F813" s="6" t="n">
        <v>661267.98</v>
      </c>
      <c r="G813" s="6" t="n">
        <v>0</v>
      </c>
      <c r="H813" t="inlineStr">
        <is>
          <t>Sales invoice INV-202605-2</t>
        </is>
      </c>
      <c r="I813" t="inlineStr">
        <is>
          <t>Verma Kirana Mart</t>
        </is>
      </c>
      <c r="J813">
        <f>YEAR(A813)*12+MONTH(A813)</f>
        <v/>
      </c>
    </row>
    <row r="814">
      <c r="A814" s="5" t="n">
        <v>46162</v>
      </c>
      <c r="B814" t="inlineStr">
        <is>
          <t>J-0325</t>
        </is>
      </c>
      <c r="C814" t="n">
        <v>2</v>
      </c>
      <c r="D814" t="inlineStr">
        <is>
          <t>4000</t>
        </is>
      </c>
      <c r="E814" t="inlineStr">
        <is>
          <t>Sales Revenue</t>
        </is>
      </c>
      <c r="F814" s="6" t="n">
        <v>0</v>
      </c>
      <c r="G814" s="6" t="n">
        <v>560396.59</v>
      </c>
      <c r="H814" t="inlineStr">
        <is>
          <t>Sales invoice INV-202605-2</t>
        </is>
      </c>
      <c r="I814" t="inlineStr">
        <is>
          <t>Verma Kirana Mart</t>
        </is>
      </c>
      <c r="J814">
        <f>YEAR(A814)*12+MONTH(A814)</f>
        <v/>
      </c>
    </row>
    <row r="815">
      <c r="A815" s="5" t="n">
        <v>46162</v>
      </c>
      <c r="B815" t="inlineStr">
        <is>
          <t>J-0325</t>
        </is>
      </c>
      <c r="C815" t="n">
        <v>3</v>
      </c>
      <c r="D815" t="inlineStr">
        <is>
          <t>2100</t>
        </is>
      </c>
      <c r="E815" t="inlineStr">
        <is>
          <t>GST Payable</t>
        </is>
      </c>
      <c r="F815" s="6" t="n">
        <v>0</v>
      </c>
      <c r="G815" s="6" t="n">
        <v>100871.39</v>
      </c>
      <c r="H815" t="inlineStr">
        <is>
          <t>Sales invoice INV-202605-2</t>
        </is>
      </c>
      <c r="I815" t="inlineStr">
        <is>
          <t>GST</t>
        </is>
      </c>
      <c r="J815">
        <f>YEAR(A815)*12+MONTH(A815)</f>
        <v/>
      </c>
    </row>
    <row r="816">
      <c r="A816" s="5" t="n">
        <v>46161</v>
      </c>
      <c r="B816" t="inlineStr">
        <is>
          <t>J-0326</t>
        </is>
      </c>
      <c r="C816" t="n">
        <v>1</v>
      </c>
      <c r="D816" t="inlineStr">
        <is>
          <t>1100</t>
        </is>
      </c>
      <c r="E816" t="inlineStr">
        <is>
          <t>Accounts Receivable</t>
        </is>
      </c>
      <c r="F816" s="6" t="n">
        <v>736560.3</v>
      </c>
      <c r="G816" s="6" t="n">
        <v>0</v>
      </c>
      <c r="H816" t="inlineStr">
        <is>
          <t>Sales invoice INV-202605-3</t>
        </is>
      </c>
      <c r="I816" t="inlineStr">
        <is>
          <t>Singh Brothers Retail</t>
        </is>
      </c>
      <c r="J816">
        <f>YEAR(A816)*12+MONTH(A816)</f>
        <v/>
      </c>
    </row>
    <row r="817">
      <c r="A817" s="5" t="n">
        <v>46161</v>
      </c>
      <c r="B817" t="inlineStr">
        <is>
          <t>J-0326</t>
        </is>
      </c>
      <c r="C817" t="n">
        <v>2</v>
      </c>
      <c r="D817" t="inlineStr">
        <is>
          <t>4000</t>
        </is>
      </c>
      <c r="E817" t="inlineStr">
        <is>
          <t>Sales Revenue</t>
        </is>
      </c>
      <c r="F817" s="6" t="n">
        <v>0</v>
      </c>
      <c r="G817" s="6" t="n">
        <v>624203.64</v>
      </c>
      <c r="H817" t="inlineStr">
        <is>
          <t>Sales invoice INV-202605-3</t>
        </is>
      </c>
      <c r="I817" t="inlineStr">
        <is>
          <t>Singh Brothers Retail</t>
        </is>
      </c>
      <c r="J817">
        <f>YEAR(A817)*12+MONTH(A817)</f>
        <v/>
      </c>
    </row>
    <row r="818">
      <c r="A818" s="5" t="n">
        <v>46161</v>
      </c>
      <c r="B818" t="inlineStr">
        <is>
          <t>J-0326</t>
        </is>
      </c>
      <c r="C818" t="n">
        <v>3</v>
      </c>
      <c r="D818" t="inlineStr">
        <is>
          <t>2100</t>
        </is>
      </c>
      <c r="E818" t="inlineStr">
        <is>
          <t>GST Payable</t>
        </is>
      </c>
      <c r="F818" s="6" t="n">
        <v>0</v>
      </c>
      <c r="G818" s="6" t="n">
        <v>112356.66</v>
      </c>
      <c r="H818" t="inlineStr">
        <is>
          <t>Sales invoice INV-202605-3</t>
        </is>
      </c>
      <c r="I818" t="inlineStr">
        <is>
          <t>GST</t>
        </is>
      </c>
      <c r="J818">
        <f>YEAR(A818)*12+MONTH(A818)</f>
        <v/>
      </c>
    </row>
    <row r="819">
      <c r="A819" s="5" t="n">
        <v>46146</v>
      </c>
      <c r="B819" t="inlineStr">
        <is>
          <t>J-0327</t>
        </is>
      </c>
      <c r="C819" t="n">
        <v>1</v>
      </c>
      <c r="D819" t="inlineStr">
        <is>
          <t>1100</t>
        </is>
      </c>
      <c r="E819" t="inlineStr">
        <is>
          <t>Accounts Receivable</t>
        </is>
      </c>
      <c r="F819" s="6" t="n">
        <v>590186.0600000001</v>
      </c>
      <c r="G819" s="6" t="n">
        <v>0</v>
      </c>
      <c r="H819" t="inlineStr">
        <is>
          <t>Sales invoice INV-202605-4</t>
        </is>
      </c>
      <c r="I819" t="inlineStr">
        <is>
          <t>Singh Brothers Retail</t>
        </is>
      </c>
      <c r="J819">
        <f>YEAR(A819)*12+MONTH(A819)</f>
        <v/>
      </c>
    </row>
    <row r="820">
      <c r="A820" s="5" t="n">
        <v>46146</v>
      </c>
      <c r="B820" t="inlineStr">
        <is>
          <t>J-0327</t>
        </is>
      </c>
      <c r="C820" t="n">
        <v>2</v>
      </c>
      <c r="D820" t="inlineStr">
        <is>
          <t>4000</t>
        </is>
      </c>
      <c r="E820" t="inlineStr">
        <is>
          <t>Sales Revenue</t>
        </is>
      </c>
      <c r="F820" s="6" t="n">
        <v>0</v>
      </c>
      <c r="G820" s="6" t="n">
        <v>500157.68</v>
      </c>
      <c r="H820" t="inlineStr">
        <is>
          <t>Sales invoice INV-202605-4</t>
        </is>
      </c>
      <c r="I820" t="inlineStr">
        <is>
          <t>Singh Brothers Retail</t>
        </is>
      </c>
      <c r="J820">
        <f>YEAR(A820)*12+MONTH(A820)</f>
        <v/>
      </c>
    </row>
    <row r="821">
      <c r="A821" s="5" t="n">
        <v>46146</v>
      </c>
      <c r="B821" t="inlineStr">
        <is>
          <t>J-0327</t>
        </is>
      </c>
      <c r="C821" t="n">
        <v>3</v>
      </c>
      <c r="D821" t="inlineStr">
        <is>
          <t>2100</t>
        </is>
      </c>
      <c r="E821" t="inlineStr">
        <is>
          <t>GST Payable</t>
        </is>
      </c>
      <c r="F821" s="6" t="n">
        <v>0</v>
      </c>
      <c r="G821" s="6" t="n">
        <v>90028.38</v>
      </c>
      <c r="H821" t="inlineStr">
        <is>
          <t>Sales invoice INV-202605-4</t>
        </is>
      </c>
      <c r="I821" t="inlineStr">
        <is>
          <t>GST</t>
        </is>
      </c>
      <c r="J821">
        <f>YEAR(A821)*12+MONTH(A821)</f>
        <v/>
      </c>
    </row>
    <row r="822">
      <c r="A822" s="5" t="n">
        <v>46144</v>
      </c>
      <c r="B822" t="inlineStr">
        <is>
          <t>J-0328</t>
        </is>
      </c>
      <c r="C822" t="n">
        <v>1</v>
      </c>
      <c r="D822" t="inlineStr">
        <is>
          <t>1100</t>
        </is>
      </c>
      <c r="E822" t="inlineStr">
        <is>
          <t>Accounts Receivable</t>
        </is>
      </c>
      <c r="F822" s="6" t="n">
        <v>622242.1899999999</v>
      </c>
      <c r="G822" s="6" t="n">
        <v>0</v>
      </c>
      <c r="H822" t="inlineStr">
        <is>
          <t>Sales invoice INV-202605-5</t>
        </is>
      </c>
      <c r="I822" t="inlineStr">
        <is>
          <t>Singh Brothers Retail</t>
        </is>
      </c>
      <c r="J822">
        <f>YEAR(A822)*12+MONTH(A822)</f>
        <v/>
      </c>
    </row>
    <row r="823">
      <c r="A823" s="5" t="n">
        <v>46144</v>
      </c>
      <c r="B823" t="inlineStr">
        <is>
          <t>J-0328</t>
        </is>
      </c>
      <c r="C823" t="n">
        <v>2</v>
      </c>
      <c r="D823" t="inlineStr">
        <is>
          <t>4000</t>
        </is>
      </c>
      <c r="E823" t="inlineStr">
        <is>
          <t>Sales Revenue</t>
        </is>
      </c>
      <c r="F823" s="6" t="n">
        <v>0</v>
      </c>
      <c r="G823" s="6" t="n">
        <v>527323.89</v>
      </c>
      <c r="H823" t="inlineStr">
        <is>
          <t>Sales invoice INV-202605-5</t>
        </is>
      </c>
      <c r="I823" t="inlineStr">
        <is>
          <t>Singh Brothers Retail</t>
        </is>
      </c>
      <c r="J823">
        <f>YEAR(A823)*12+MONTH(A823)</f>
        <v/>
      </c>
    </row>
    <row r="824">
      <c r="A824" s="5" t="n">
        <v>46144</v>
      </c>
      <c r="B824" t="inlineStr">
        <is>
          <t>J-0328</t>
        </is>
      </c>
      <c r="C824" t="n">
        <v>3</v>
      </c>
      <c r="D824" t="inlineStr">
        <is>
          <t>2100</t>
        </is>
      </c>
      <c r="E824" t="inlineStr">
        <is>
          <t>GST Payable</t>
        </is>
      </c>
      <c r="F824" s="6" t="n">
        <v>0</v>
      </c>
      <c r="G824" s="6" t="n">
        <v>94918.3</v>
      </c>
      <c r="H824" t="inlineStr">
        <is>
          <t>Sales invoice INV-202605-5</t>
        </is>
      </c>
      <c r="I824" t="inlineStr">
        <is>
          <t>GST</t>
        </is>
      </c>
      <c r="J824">
        <f>YEAR(A824)*12+MONTH(A824)</f>
        <v/>
      </c>
    </row>
    <row r="825">
      <c r="A825" s="5" t="n">
        <v>46147</v>
      </c>
      <c r="B825" t="inlineStr">
        <is>
          <t>J-0329</t>
        </is>
      </c>
      <c r="C825" t="n">
        <v>1</v>
      </c>
      <c r="D825" t="inlineStr">
        <is>
          <t>1100</t>
        </is>
      </c>
      <c r="E825" t="inlineStr">
        <is>
          <t>Accounts Receivable</t>
        </is>
      </c>
      <c r="F825" s="6" t="n">
        <v>764219.09</v>
      </c>
      <c r="G825" s="6" t="n">
        <v>0</v>
      </c>
      <c r="H825" t="inlineStr">
        <is>
          <t>Sales invoice INV-202605-6</t>
        </is>
      </c>
      <c r="I825" t="inlineStr">
        <is>
          <t>Rajdhani Traders</t>
        </is>
      </c>
      <c r="J825">
        <f>YEAR(A825)*12+MONTH(A825)</f>
        <v/>
      </c>
    </row>
    <row r="826">
      <c r="A826" s="5" t="n">
        <v>46147</v>
      </c>
      <c r="B826" t="inlineStr">
        <is>
          <t>J-0329</t>
        </is>
      </c>
      <c r="C826" t="n">
        <v>2</v>
      </c>
      <c r="D826" t="inlineStr">
        <is>
          <t>4000</t>
        </is>
      </c>
      <c r="E826" t="inlineStr">
        <is>
          <t>Sales Revenue</t>
        </is>
      </c>
      <c r="F826" s="6" t="n">
        <v>0</v>
      </c>
      <c r="G826" s="6" t="n">
        <v>647643.3</v>
      </c>
      <c r="H826" t="inlineStr">
        <is>
          <t>Sales invoice INV-202605-6</t>
        </is>
      </c>
      <c r="I826" t="inlineStr">
        <is>
          <t>Rajdhani Traders</t>
        </is>
      </c>
      <c r="J826">
        <f>YEAR(A826)*12+MONTH(A826)</f>
        <v/>
      </c>
    </row>
    <row r="827">
      <c r="A827" s="5" t="n">
        <v>46147</v>
      </c>
      <c r="B827" t="inlineStr">
        <is>
          <t>J-0329</t>
        </is>
      </c>
      <c r="C827" t="n">
        <v>3</v>
      </c>
      <c r="D827" t="inlineStr">
        <is>
          <t>2100</t>
        </is>
      </c>
      <c r="E827" t="inlineStr">
        <is>
          <t>GST Payable</t>
        </is>
      </c>
      <c r="F827" s="6" t="n">
        <v>0</v>
      </c>
      <c r="G827" s="6" t="n">
        <v>116575.79</v>
      </c>
      <c r="H827" t="inlineStr">
        <is>
          <t>Sales invoice INV-202605-6</t>
        </is>
      </c>
      <c r="I827" t="inlineStr">
        <is>
          <t>GST</t>
        </is>
      </c>
      <c r="J827">
        <f>YEAR(A827)*12+MONTH(A827)</f>
        <v/>
      </c>
    </row>
    <row r="828">
      <c r="A828" s="5" t="n">
        <v>46164</v>
      </c>
      <c r="B828" t="inlineStr">
        <is>
          <t>J-0330</t>
        </is>
      </c>
      <c r="C828" t="n">
        <v>1</v>
      </c>
      <c r="D828" t="inlineStr">
        <is>
          <t>1100</t>
        </is>
      </c>
      <c r="E828" t="inlineStr">
        <is>
          <t>Accounts Receivable</t>
        </is>
      </c>
      <c r="F828" s="6" t="n">
        <v>592312.0699999999</v>
      </c>
      <c r="G828" s="6" t="n">
        <v>0</v>
      </c>
      <c r="H828" t="inlineStr">
        <is>
          <t>Sales invoice INV-202605-7</t>
        </is>
      </c>
      <c r="I828" t="inlineStr">
        <is>
          <t>Singh Brothers Retail</t>
        </is>
      </c>
      <c r="J828">
        <f>YEAR(A828)*12+MONTH(A828)</f>
        <v/>
      </c>
    </row>
    <row r="829">
      <c r="A829" s="5" t="n">
        <v>46164</v>
      </c>
      <c r="B829" t="inlineStr">
        <is>
          <t>J-0330</t>
        </is>
      </c>
      <c r="C829" t="n">
        <v>2</v>
      </c>
      <c r="D829" t="inlineStr">
        <is>
          <t>4000</t>
        </is>
      </c>
      <c r="E829" t="inlineStr">
        <is>
          <t>Sales Revenue</t>
        </is>
      </c>
      <c r="F829" s="6" t="n">
        <v>0</v>
      </c>
      <c r="G829" s="6" t="n">
        <v>501959.38</v>
      </c>
      <c r="H829" t="inlineStr">
        <is>
          <t>Sales invoice INV-202605-7</t>
        </is>
      </c>
      <c r="I829" t="inlineStr">
        <is>
          <t>Singh Brothers Retail</t>
        </is>
      </c>
      <c r="J829">
        <f>YEAR(A829)*12+MONTH(A829)</f>
        <v/>
      </c>
    </row>
    <row r="830">
      <c r="A830" s="5" t="n">
        <v>46164</v>
      </c>
      <c r="B830" t="inlineStr">
        <is>
          <t>J-0330</t>
        </is>
      </c>
      <c r="C830" t="n">
        <v>3</v>
      </c>
      <c r="D830" t="inlineStr">
        <is>
          <t>2100</t>
        </is>
      </c>
      <c r="E830" t="inlineStr">
        <is>
          <t>GST Payable</t>
        </is>
      </c>
      <c r="F830" s="6" t="n">
        <v>0</v>
      </c>
      <c r="G830" s="6" t="n">
        <v>90352.69</v>
      </c>
      <c r="H830" t="inlineStr">
        <is>
          <t>Sales invoice INV-202605-7</t>
        </is>
      </c>
      <c r="I830" t="inlineStr">
        <is>
          <t>GST</t>
        </is>
      </c>
      <c r="J830">
        <f>YEAR(A830)*12+MONTH(A830)</f>
        <v/>
      </c>
    </row>
    <row r="831">
      <c r="A831" s="5" t="n">
        <v>46169</v>
      </c>
      <c r="B831" t="inlineStr">
        <is>
          <t>J-0331</t>
        </is>
      </c>
      <c r="C831" t="n">
        <v>1</v>
      </c>
      <c r="D831" t="inlineStr">
        <is>
          <t>5000</t>
        </is>
      </c>
      <c r="E831" t="inlineStr">
        <is>
          <t>Cost of Goods Sold</t>
        </is>
      </c>
      <c r="F831" s="6" t="n">
        <v>2681964.13</v>
      </c>
      <c r="G831" s="6" t="n">
        <v>0</v>
      </c>
      <c r="H831" t="inlineStr">
        <is>
          <t>Cost of goods sold - monthly</t>
        </is>
      </c>
      <c r="I831" t="inlineStr"/>
      <c r="J831">
        <f>YEAR(A831)*12+MONTH(A831)</f>
        <v/>
      </c>
    </row>
    <row r="832">
      <c r="A832" s="5" t="n">
        <v>46169</v>
      </c>
      <c r="B832" t="inlineStr">
        <is>
          <t>J-0331</t>
        </is>
      </c>
      <c r="C832" t="n">
        <v>2</v>
      </c>
      <c r="D832" t="inlineStr">
        <is>
          <t>1200</t>
        </is>
      </c>
      <c r="E832" t="inlineStr">
        <is>
          <t>Inventory</t>
        </is>
      </c>
      <c r="F832" s="6" t="n">
        <v>0</v>
      </c>
      <c r="G832" s="6" t="n">
        <v>2681964.13</v>
      </c>
      <c r="H832" t="inlineStr">
        <is>
          <t>Cost of goods sold - monthly</t>
        </is>
      </c>
      <c r="I832" t="inlineStr"/>
      <c r="J832">
        <f>YEAR(A832)*12+MONTH(A832)</f>
        <v/>
      </c>
    </row>
    <row r="833">
      <c r="A833" s="5" t="n">
        <v>46170</v>
      </c>
      <c r="B833" t="inlineStr">
        <is>
          <t>J-0332</t>
        </is>
      </c>
      <c r="C833" t="n">
        <v>1</v>
      </c>
      <c r="D833" t="inlineStr">
        <is>
          <t>1000</t>
        </is>
      </c>
      <c r="E833" t="inlineStr">
        <is>
          <t>Cash &amp; Bank</t>
        </is>
      </c>
      <c r="F833" s="6" t="n">
        <v>3740962.8</v>
      </c>
      <c r="G833" s="6" t="n">
        <v>0</v>
      </c>
      <c r="H833" t="inlineStr">
        <is>
          <t>Customer receipts</t>
        </is>
      </c>
      <c r="I833" t="inlineStr"/>
      <c r="J833">
        <f>YEAR(A833)*12+MONTH(A833)</f>
        <v/>
      </c>
    </row>
    <row r="834">
      <c r="A834" s="5" t="n">
        <v>46170</v>
      </c>
      <c r="B834" t="inlineStr">
        <is>
          <t>J-0332</t>
        </is>
      </c>
      <c r="C834" t="n">
        <v>2</v>
      </c>
      <c r="D834" t="inlineStr">
        <is>
          <t>1100</t>
        </is>
      </c>
      <c r="E834" t="inlineStr">
        <is>
          <t>Accounts Receivable</t>
        </is>
      </c>
      <c r="F834" s="6" t="n">
        <v>0</v>
      </c>
      <c r="G834" s="6" t="n">
        <v>3740962.8</v>
      </c>
      <c r="H834" t="inlineStr">
        <is>
          <t>Customer receipts</t>
        </is>
      </c>
      <c r="I834" t="inlineStr"/>
      <c r="J834">
        <f>YEAR(A834)*12+MONTH(A834)</f>
        <v/>
      </c>
    </row>
    <row r="835">
      <c r="A835" s="5" t="n">
        <v>46153</v>
      </c>
      <c r="B835" t="inlineStr">
        <is>
          <t>J-0333</t>
        </is>
      </c>
      <c r="C835" t="n">
        <v>1</v>
      </c>
      <c r="D835" t="inlineStr">
        <is>
          <t>1200</t>
        </is>
      </c>
      <c r="E835" t="inlineStr">
        <is>
          <t>Inventory</t>
        </is>
      </c>
      <c r="F835" s="6" t="n">
        <v>450703.66</v>
      </c>
      <c r="G835" s="6" t="n">
        <v>0</v>
      </c>
      <c r="H835" t="inlineStr">
        <is>
          <t>Purchase bill PB-202605-1</t>
        </is>
      </c>
      <c r="I835" t="inlineStr">
        <is>
          <t>Ganga Logistics Pvt Ltd</t>
        </is>
      </c>
      <c r="J835">
        <f>YEAR(A835)*12+MONTH(A835)</f>
        <v/>
      </c>
    </row>
    <row r="836">
      <c r="A836" s="5" t="n">
        <v>46153</v>
      </c>
      <c r="B836" t="inlineStr">
        <is>
          <t>J-0333</t>
        </is>
      </c>
      <c r="C836" t="n">
        <v>2</v>
      </c>
      <c r="D836" t="inlineStr">
        <is>
          <t>1300</t>
        </is>
      </c>
      <c r="E836" t="inlineStr">
        <is>
          <t>GST Input Credit</t>
        </is>
      </c>
      <c r="F836" s="6" t="n">
        <v>81126.66</v>
      </c>
      <c r="G836" s="6" t="n">
        <v>0</v>
      </c>
      <c r="H836" t="inlineStr">
        <is>
          <t>Purchase bill PB-202605-1</t>
        </is>
      </c>
      <c r="I836" t="inlineStr">
        <is>
          <t>Ganga Logistics Pvt Ltd</t>
        </is>
      </c>
      <c r="J836">
        <f>YEAR(A836)*12+MONTH(A836)</f>
        <v/>
      </c>
    </row>
    <row r="837">
      <c r="A837" s="5" t="n">
        <v>46153</v>
      </c>
      <c r="B837" t="inlineStr">
        <is>
          <t>J-0333</t>
        </is>
      </c>
      <c r="C837" t="n">
        <v>3</v>
      </c>
      <c r="D837" t="inlineStr">
        <is>
          <t>2000</t>
        </is>
      </c>
      <c r="E837" t="inlineStr">
        <is>
          <t>Accounts Payable</t>
        </is>
      </c>
      <c r="F837" s="6" t="n">
        <v>0</v>
      </c>
      <c r="G837" s="6" t="n">
        <v>531830.3199999999</v>
      </c>
      <c r="H837" t="inlineStr">
        <is>
          <t>Purchase bill PB-202605-1</t>
        </is>
      </c>
      <c r="I837" t="inlineStr">
        <is>
          <t>Ganga Logistics Pvt Ltd</t>
        </is>
      </c>
      <c r="J837">
        <f>YEAR(A837)*12+MONTH(A837)</f>
        <v/>
      </c>
    </row>
    <row r="838">
      <c r="A838" s="5" t="n">
        <v>46160</v>
      </c>
      <c r="B838" t="inlineStr">
        <is>
          <t>J-0334</t>
        </is>
      </c>
      <c r="C838" t="n">
        <v>1</v>
      </c>
      <c r="D838" t="inlineStr">
        <is>
          <t>1200</t>
        </is>
      </c>
      <c r="E838" t="inlineStr">
        <is>
          <t>Inventory</t>
        </is>
      </c>
      <c r="F838" s="6" t="n">
        <v>541786.34</v>
      </c>
      <c r="G838" s="6" t="n">
        <v>0</v>
      </c>
      <c r="H838" t="inlineStr">
        <is>
          <t>Purchase bill PB-202605-2</t>
        </is>
      </c>
      <c r="I838" t="inlineStr">
        <is>
          <t>Ganga Logistics Pvt Ltd</t>
        </is>
      </c>
      <c r="J838">
        <f>YEAR(A838)*12+MONTH(A838)</f>
        <v/>
      </c>
    </row>
    <row r="839">
      <c r="A839" s="5" t="n">
        <v>46160</v>
      </c>
      <c r="B839" t="inlineStr">
        <is>
          <t>J-0334</t>
        </is>
      </c>
      <c r="C839" t="n">
        <v>2</v>
      </c>
      <c r="D839" t="inlineStr">
        <is>
          <t>1300</t>
        </is>
      </c>
      <c r="E839" t="inlineStr">
        <is>
          <t>GST Input Credit</t>
        </is>
      </c>
      <c r="F839" s="6" t="n">
        <v>97521.53999999999</v>
      </c>
      <c r="G839" s="6" t="n">
        <v>0</v>
      </c>
      <c r="H839" t="inlineStr">
        <is>
          <t>Purchase bill PB-202605-2</t>
        </is>
      </c>
      <c r="I839" t="inlineStr">
        <is>
          <t>Ganga Logistics Pvt Ltd</t>
        </is>
      </c>
      <c r="J839">
        <f>YEAR(A839)*12+MONTH(A839)</f>
        <v/>
      </c>
    </row>
    <row r="840">
      <c r="A840" s="5" t="n">
        <v>46160</v>
      </c>
      <c r="B840" t="inlineStr">
        <is>
          <t>J-0334</t>
        </is>
      </c>
      <c r="C840" t="n">
        <v>3</v>
      </c>
      <c r="D840" t="inlineStr">
        <is>
          <t>2000</t>
        </is>
      </c>
      <c r="E840" t="inlineStr">
        <is>
          <t>Accounts Payable</t>
        </is>
      </c>
      <c r="F840" s="6" t="n">
        <v>0</v>
      </c>
      <c r="G840" s="6" t="n">
        <v>639307.88</v>
      </c>
      <c r="H840" t="inlineStr">
        <is>
          <t>Purchase bill PB-202605-2</t>
        </is>
      </c>
      <c r="I840" t="inlineStr">
        <is>
          <t>Ganga Logistics Pvt Ltd</t>
        </is>
      </c>
      <c r="J840">
        <f>YEAR(A840)*12+MONTH(A840)</f>
        <v/>
      </c>
    </row>
    <row r="841">
      <c r="A841" s="5" t="n">
        <v>46153</v>
      </c>
      <c r="B841" t="inlineStr">
        <is>
          <t>J-0335</t>
        </is>
      </c>
      <c r="C841" t="n">
        <v>1</v>
      </c>
      <c r="D841" t="inlineStr">
        <is>
          <t>1200</t>
        </is>
      </c>
      <c r="E841" t="inlineStr">
        <is>
          <t>Inventory</t>
        </is>
      </c>
      <c r="F841" s="6" t="n">
        <v>510504.46</v>
      </c>
      <c r="G841" s="6" t="n">
        <v>0</v>
      </c>
      <c r="H841" t="inlineStr">
        <is>
          <t>Purchase bill PB-202605-3</t>
        </is>
      </c>
      <c r="I841" t="inlineStr">
        <is>
          <t>Ganga Logistics Pvt Ltd</t>
        </is>
      </c>
      <c r="J841">
        <f>YEAR(A841)*12+MONTH(A841)</f>
        <v/>
      </c>
    </row>
    <row r="842">
      <c r="A842" s="5" t="n">
        <v>46153</v>
      </c>
      <c r="B842" t="inlineStr">
        <is>
          <t>J-0335</t>
        </is>
      </c>
      <c r="C842" t="n">
        <v>2</v>
      </c>
      <c r="D842" t="inlineStr">
        <is>
          <t>1300</t>
        </is>
      </c>
      <c r="E842" t="inlineStr">
        <is>
          <t>GST Input Credit</t>
        </is>
      </c>
      <c r="F842" s="6" t="n">
        <v>91890.8</v>
      </c>
      <c r="G842" s="6" t="n">
        <v>0</v>
      </c>
      <c r="H842" t="inlineStr">
        <is>
          <t>Purchase bill PB-202605-3</t>
        </is>
      </c>
      <c r="I842" t="inlineStr">
        <is>
          <t>Ganga Logistics Pvt Ltd</t>
        </is>
      </c>
      <c r="J842">
        <f>YEAR(A842)*12+MONTH(A842)</f>
        <v/>
      </c>
    </row>
    <row r="843">
      <c r="A843" s="5" t="n">
        <v>46153</v>
      </c>
      <c r="B843" t="inlineStr">
        <is>
          <t>J-0335</t>
        </is>
      </c>
      <c r="C843" t="n">
        <v>3</v>
      </c>
      <c r="D843" t="inlineStr">
        <is>
          <t>2000</t>
        </is>
      </c>
      <c r="E843" t="inlineStr">
        <is>
          <t>Accounts Payable</t>
        </is>
      </c>
      <c r="F843" s="6" t="n">
        <v>0</v>
      </c>
      <c r="G843" s="6" t="n">
        <v>602395.26</v>
      </c>
      <c r="H843" t="inlineStr">
        <is>
          <t>Purchase bill PB-202605-3</t>
        </is>
      </c>
      <c r="I843" t="inlineStr">
        <is>
          <t>Ganga Logistics Pvt Ltd</t>
        </is>
      </c>
      <c r="J843">
        <f>YEAR(A843)*12+MONTH(A843)</f>
        <v/>
      </c>
    </row>
    <row r="844">
      <c r="A844" s="5" t="n">
        <v>46147</v>
      </c>
      <c r="B844" t="inlineStr">
        <is>
          <t>J-0336</t>
        </is>
      </c>
      <c r="C844" t="n">
        <v>1</v>
      </c>
      <c r="D844" t="inlineStr">
        <is>
          <t>1200</t>
        </is>
      </c>
      <c r="E844" t="inlineStr">
        <is>
          <t>Inventory</t>
        </is>
      </c>
      <c r="F844" s="6" t="n">
        <v>480976.7</v>
      </c>
      <c r="G844" s="6" t="n">
        <v>0</v>
      </c>
      <c r="H844" t="inlineStr">
        <is>
          <t>Purchase bill PB-202605-4</t>
        </is>
      </c>
      <c r="I844" t="inlineStr">
        <is>
          <t>Bihar Agro Supplies</t>
        </is>
      </c>
      <c r="J844">
        <f>YEAR(A844)*12+MONTH(A844)</f>
        <v/>
      </c>
    </row>
    <row r="845">
      <c r="A845" s="5" t="n">
        <v>46147</v>
      </c>
      <c r="B845" t="inlineStr">
        <is>
          <t>J-0336</t>
        </is>
      </c>
      <c r="C845" t="n">
        <v>2</v>
      </c>
      <c r="D845" t="inlineStr">
        <is>
          <t>1300</t>
        </is>
      </c>
      <c r="E845" t="inlineStr">
        <is>
          <t>GST Input Credit</t>
        </is>
      </c>
      <c r="F845" s="6" t="n">
        <v>86575.81</v>
      </c>
      <c r="G845" s="6" t="n">
        <v>0</v>
      </c>
      <c r="H845" t="inlineStr">
        <is>
          <t>Purchase bill PB-202605-4</t>
        </is>
      </c>
      <c r="I845" t="inlineStr">
        <is>
          <t>Bihar Agro Supplies</t>
        </is>
      </c>
      <c r="J845">
        <f>YEAR(A845)*12+MONTH(A845)</f>
        <v/>
      </c>
    </row>
    <row r="846">
      <c r="A846" s="5" t="n">
        <v>46147</v>
      </c>
      <c r="B846" t="inlineStr">
        <is>
          <t>J-0336</t>
        </is>
      </c>
      <c r="C846" t="n">
        <v>3</v>
      </c>
      <c r="D846" t="inlineStr">
        <is>
          <t>2000</t>
        </is>
      </c>
      <c r="E846" t="inlineStr">
        <is>
          <t>Accounts Payable</t>
        </is>
      </c>
      <c r="F846" s="6" t="n">
        <v>0</v>
      </c>
      <c r="G846" s="6" t="n">
        <v>567552.51</v>
      </c>
      <c r="H846" t="inlineStr">
        <is>
          <t>Purchase bill PB-202605-4</t>
        </is>
      </c>
      <c r="I846" t="inlineStr">
        <is>
          <t>Bihar Agro Supplies</t>
        </is>
      </c>
      <c r="J846">
        <f>YEAR(A846)*12+MONTH(A846)</f>
        <v/>
      </c>
    </row>
    <row r="847">
      <c r="A847" s="5" t="n">
        <v>46152</v>
      </c>
      <c r="B847" t="inlineStr">
        <is>
          <t>J-0337</t>
        </is>
      </c>
      <c r="C847" t="n">
        <v>1</v>
      </c>
      <c r="D847" t="inlineStr">
        <is>
          <t>1200</t>
        </is>
      </c>
      <c r="E847" t="inlineStr">
        <is>
          <t>Inventory</t>
        </is>
      </c>
      <c r="F847" s="6" t="n">
        <v>471992.95</v>
      </c>
      <c r="G847" s="6" t="n">
        <v>0</v>
      </c>
      <c r="H847" t="inlineStr">
        <is>
          <t>Purchase bill PB-202605-5</t>
        </is>
      </c>
      <c r="I847" t="inlineStr">
        <is>
          <t>Eastern Packaging Co</t>
        </is>
      </c>
      <c r="J847">
        <f>YEAR(A847)*12+MONTH(A847)</f>
        <v/>
      </c>
    </row>
    <row r="848">
      <c r="A848" s="5" t="n">
        <v>46152</v>
      </c>
      <c r="B848" t="inlineStr">
        <is>
          <t>J-0337</t>
        </is>
      </c>
      <c r="C848" t="n">
        <v>2</v>
      </c>
      <c r="D848" t="inlineStr">
        <is>
          <t>1300</t>
        </is>
      </c>
      <c r="E848" t="inlineStr">
        <is>
          <t>GST Input Credit</t>
        </is>
      </c>
      <c r="F848" s="6" t="n">
        <v>84958.73</v>
      </c>
      <c r="G848" s="6" t="n">
        <v>0</v>
      </c>
      <c r="H848" t="inlineStr">
        <is>
          <t>Purchase bill PB-202605-5</t>
        </is>
      </c>
      <c r="I848" t="inlineStr">
        <is>
          <t>Eastern Packaging Co</t>
        </is>
      </c>
      <c r="J848">
        <f>YEAR(A848)*12+MONTH(A848)</f>
        <v/>
      </c>
    </row>
    <row r="849">
      <c r="A849" s="5" t="n">
        <v>46152</v>
      </c>
      <c r="B849" t="inlineStr">
        <is>
          <t>J-0337</t>
        </is>
      </c>
      <c r="C849" t="n">
        <v>3</v>
      </c>
      <c r="D849" t="inlineStr">
        <is>
          <t>2000</t>
        </is>
      </c>
      <c r="E849" t="inlineStr">
        <is>
          <t>Accounts Payable</t>
        </is>
      </c>
      <c r="F849" s="6" t="n">
        <v>0</v>
      </c>
      <c r="G849" s="6" t="n">
        <v>556951.6800000001</v>
      </c>
      <c r="H849" t="inlineStr">
        <is>
          <t>Purchase bill PB-202605-5</t>
        </is>
      </c>
      <c r="I849" t="inlineStr">
        <is>
          <t>Eastern Packaging Co</t>
        </is>
      </c>
      <c r="J849">
        <f>YEAR(A849)*12+MONTH(A849)</f>
        <v/>
      </c>
    </row>
    <row r="850">
      <c r="A850" s="5" t="n">
        <v>46171</v>
      </c>
      <c r="B850" t="inlineStr">
        <is>
          <t>J-0338</t>
        </is>
      </c>
      <c r="C850" t="n">
        <v>1</v>
      </c>
      <c r="D850" t="inlineStr">
        <is>
          <t>2000</t>
        </is>
      </c>
      <c r="E850" t="inlineStr">
        <is>
          <t>Accounts Payable</t>
        </is>
      </c>
      <c r="F850" s="6" t="n">
        <v>2825927.23</v>
      </c>
      <c r="G850" s="6" t="n">
        <v>0</v>
      </c>
      <c r="H850" t="inlineStr">
        <is>
          <t>Vendor payments</t>
        </is>
      </c>
      <c r="I850" t="inlineStr"/>
      <c r="J850">
        <f>YEAR(A850)*12+MONTH(A850)</f>
        <v/>
      </c>
    </row>
    <row r="851">
      <c r="A851" s="5" t="n">
        <v>46171</v>
      </c>
      <c r="B851" t="inlineStr">
        <is>
          <t>J-0338</t>
        </is>
      </c>
      <c r="C851" t="n">
        <v>2</v>
      </c>
      <c r="D851" t="inlineStr">
        <is>
          <t>1000</t>
        </is>
      </c>
      <c r="E851" t="inlineStr">
        <is>
          <t>Cash &amp; Bank</t>
        </is>
      </c>
      <c r="F851" s="6" t="n">
        <v>0</v>
      </c>
      <c r="G851" s="6" t="n">
        <v>2825927.23</v>
      </c>
      <c r="H851" t="inlineStr">
        <is>
          <t>Vendor payments</t>
        </is>
      </c>
      <c r="I851" t="inlineStr"/>
      <c r="J851">
        <f>YEAR(A851)*12+MONTH(A851)</f>
        <v/>
      </c>
    </row>
    <row r="852">
      <c r="A852" s="5" t="n">
        <v>46172</v>
      </c>
      <c r="B852" t="inlineStr">
        <is>
          <t>J-0339</t>
        </is>
      </c>
      <c r="C852" t="n">
        <v>1</v>
      </c>
      <c r="D852" t="inlineStr">
        <is>
          <t>2100</t>
        </is>
      </c>
      <c r="E852" t="inlineStr">
        <is>
          <t>GST Payable</t>
        </is>
      </c>
      <c r="F852" s="6" t="n">
        <v>208552.72</v>
      </c>
      <c r="G852" s="6" t="n">
        <v>0</v>
      </c>
      <c r="H852" t="inlineStr">
        <is>
          <t>GST paid for month</t>
        </is>
      </c>
      <c r="I852" t="inlineStr">
        <is>
          <t>GST</t>
        </is>
      </c>
      <c r="J852">
        <f>YEAR(A852)*12+MONTH(A852)</f>
        <v/>
      </c>
    </row>
    <row r="853">
      <c r="A853" s="5" t="n">
        <v>46172</v>
      </c>
      <c r="B853" t="inlineStr">
        <is>
          <t>J-0339</t>
        </is>
      </c>
      <c r="C853" t="n">
        <v>2</v>
      </c>
      <c r="D853" t="inlineStr">
        <is>
          <t>1000</t>
        </is>
      </c>
      <c r="E853" t="inlineStr">
        <is>
          <t>Cash &amp; Bank</t>
        </is>
      </c>
      <c r="F853" s="6" t="n">
        <v>0</v>
      </c>
      <c r="G853" s="6" t="n">
        <v>208552.72</v>
      </c>
      <c r="H853" t="inlineStr">
        <is>
          <t>GST paid for month</t>
        </is>
      </c>
      <c r="I853" t="inlineStr">
        <is>
          <t>GST</t>
        </is>
      </c>
      <c r="J853">
        <f>YEAR(A853)*12+MONTH(A853)</f>
        <v/>
      </c>
    </row>
    <row r="854">
      <c r="A854" s="5" t="n">
        <v>46147</v>
      </c>
      <c r="B854" t="inlineStr">
        <is>
          <t>J-0340</t>
        </is>
      </c>
      <c r="C854" t="n">
        <v>1</v>
      </c>
      <c r="D854" t="inlineStr">
        <is>
          <t>5100</t>
        </is>
      </c>
      <c r="E854" t="inlineStr">
        <is>
          <t>Rent Expense</t>
        </is>
      </c>
      <c r="F854" s="6" t="n">
        <v>25000</v>
      </c>
      <c r="G854" s="6" t="n">
        <v>0</v>
      </c>
      <c r="H854" t="inlineStr">
        <is>
          <t>Office rent</t>
        </is>
      </c>
      <c r="I854" t="inlineStr"/>
      <c r="J854">
        <f>YEAR(A854)*12+MONTH(A854)</f>
        <v/>
      </c>
    </row>
    <row r="855">
      <c r="A855" s="5" t="n">
        <v>46147</v>
      </c>
      <c r="B855" t="inlineStr">
        <is>
          <t>J-0340</t>
        </is>
      </c>
      <c r="C855" t="n">
        <v>2</v>
      </c>
      <c r="D855" t="inlineStr">
        <is>
          <t>1000</t>
        </is>
      </c>
      <c r="E855" t="inlineStr">
        <is>
          <t>Cash &amp; Bank</t>
        </is>
      </c>
      <c r="F855" s="6" t="n">
        <v>0</v>
      </c>
      <c r="G855" s="6" t="n">
        <v>25000</v>
      </c>
      <c r="H855" t="inlineStr">
        <is>
          <t>Office rent</t>
        </is>
      </c>
      <c r="I855" t="inlineStr"/>
      <c r="J855">
        <f>YEAR(A855)*12+MONTH(A855)</f>
        <v/>
      </c>
    </row>
    <row r="856">
      <c r="A856" s="5" t="n">
        <v>46149</v>
      </c>
      <c r="B856" t="inlineStr">
        <is>
          <t>J-0341</t>
        </is>
      </c>
      <c r="C856" t="n">
        <v>1</v>
      </c>
      <c r="D856" t="inlineStr">
        <is>
          <t>5200</t>
        </is>
      </c>
      <c r="E856" t="inlineStr">
        <is>
          <t>Salaries Expense</t>
        </is>
      </c>
      <c r="F856" s="6" t="n">
        <v>119131.93</v>
      </c>
      <c r="G856" s="6" t="n">
        <v>0</v>
      </c>
      <c r="H856" t="inlineStr">
        <is>
          <t>Staff salaries</t>
        </is>
      </c>
      <c r="I856" t="inlineStr"/>
      <c r="J856">
        <f>YEAR(A856)*12+MONTH(A856)</f>
        <v/>
      </c>
    </row>
    <row r="857">
      <c r="A857" s="5" t="n">
        <v>46149</v>
      </c>
      <c r="B857" t="inlineStr">
        <is>
          <t>J-0341</t>
        </is>
      </c>
      <c r="C857" t="n">
        <v>2</v>
      </c>
      <c r="D857" t="inlineStr">
        <is>
          <t>1000</t>
        </is>
      </c>
      <c r="E857" t="inlineStr">
        <is>
          <t>Cash &amp; Bank</t>
        </is>
      </c>
      <c r="F857" s="6" t="n">
        <v>0</v>
      </c>
      <c r="G857" s="6" t="n">
        <v>119131.93</v>
      </c>
      <c r="H857" t="inlineStr">
        <is>
          <t>Staff salaries</t>
        </is>
      </c>
      <c r="I857" t="inlineStr"/>
      <c r="J857">
        <f>YEAR(A857)*12+MONTH(A857)</f>
        <v/>
      </c>
    </row>
    <row r="858">
      <c r="A858" s="5" t="n">
        <v>46154</v>
      </c>
      <c r="B858" t="inlineStr">
        <is>
          <t>J-0342</t>
        </is>
      </c>
      <c r="C858" t="n">
        <v>1</v>
      </c>
      <c r="D858" t="inlineStr">
        <is>
          <t>5300</t>
        </is>
      </c>
      <c r="E858" t="inlineStr">
        <is>
          <t>Utilities Expense</t>
        </is>
      </c>
      <c r="F858" s="6" t="n">
        <v>8670.469999999999</v>
      </c>
      <c r="G858" s="6" t="n">
        <v>0</v>
      </c>
      <c r="H858" t="inlineStr">
        <is>
          <t>Utilities (power/water/phone)</t>
        </is>
      </c>
      <c r="I858" t="inlineStr"/>
      <c r="J858">
        <f>YEAR(A858)*12+MONTH(A858)</f>
        <v/>
      </c>
    </row>
    <row r="859">
      <c r="A859" s="5" t="n">
        <v>46154</v>
      </c>
      <c r="B859" t="inlineStr">
        <is>
          <t>J-0342</t>
        </is>
      </c>
      <c r="C859" t="n">
        <v>2</v>
      </c>
      <c r="D859" t="inlineStr">
        <is>
          <t>1000</t>
        </is>
      </c>
      <c r="E859" t="inlineStr">
        <is>
          <t>Cash &amp; Bank</t>
        </is>
      </c>
      <c r="F859" s="6" t="n">
        <v>0</v>
      </c>
      <c r="G859" s="6" t="n">
        <v>8670.469999999999</v>
      </c>
      <c r="H859" t="inlineStr">
        <is>
          <t>Utilities (power/water/phone)</t>
        </is>
      </c>
      <c r="I859" t="inlineStr"/>
      <c r="J859">
        <f>YEAR(A859)*12+MONTH(A859)</f>
        <v/>
      </c>
    </row>
    <row r="860">
      <c r="A860" s="5" t="n">
        <v>46160</v>
      </c>
      <c r="B860" t="inlineStr">
        <is>
          <t>J-0343</t>
        </is>
      </c>
      <c r="C860" t="n">
        <v>1</v>
      </c>
      <c r="D860" t="inlineStr">
        <is>
          <t>5400</t>
        </is>
      </c>
      <c r="E860" t="inlineStr">
        <is>
          <t>Transport &amp; Logistics</t>
        </is>
      </c>
      <c r="F860" s="6" t="n">
        <v>17354.78</v>
      </c>
      <c r="G860" s="6" t="n">
        <v>0</v>
      </c>
      <c r="H860" t="inlineStr">
        <is>
          <t>Transport &amp; logistics</t>
        </is>
      </c>
      <c r="I860" t="inlineStr"/>
      <c r="J860">
        <f>YEAR(A860)*12+MONTH(A860)</f>
        <v/>
      </c>
    </row>
    <row r="861">
      <c r="A861" s="5" t="n">
        <v>46160</v>
      </c>
      <c r="B861" t="inlineStr">
        <is>
          <t>J-0343</t>
        </is>
      </c>
      <c r="C861" t="n">
        <v>2</v>
      </c>
      <c r="D861" t="inlineStr">
        <is>
          <t>1000</t>
        </is>
      </c>
      <c r="E861" t="inlineStr">
        <is>
          <t>Cash &amp; Bank</t>
        </is>
      </c>
      <c r="F861" s="6" t="n">
        <v>0</v>
      </c>
      <c r="G861" s="6" t="n">
        <v>17354.78</v>
      </c>
      <c r="H861" t="inlineStr">
        <is>
          <t>Transport &amp; logistics</t>
        </is>
      </c>
      <c r="I861" t="inlineStr"/>
      <c r="J861">
        <f>YEAR(A861)*12+MONTH(A861)</f>
        <v/>
      </c>
    </row>
    <row r="862">
      <c r="A862" s="5" t="n">
        <v>46162</v>
      </c>
      <c r="B862" t="inlineStr">
        <is>
          <t>J-0344</t>
        </is>
      </c>
      <c r="C862" t="n">
        <v>1</v>
      </c>
      <c r="D862" t="inlineStr">
        <is>
          <t>5500</t>
        </is>
      </c>
      <c r="E862" t="inlineStr">
        <is>
          <t>Marketing Expense</t>
        </is>
      </c>
      <c r="F862" s="6" t="n">
        <v>15954.45</v>
      </c>
      <c r="G862" s="6" t="n">
        <v>0</v>
      </c>
      <c r="H862" t="inlineStr">
        <is>
          <t>Marketing &amp; promotions</t>
        </is>
      </c>
      <c r="I862" t="inlineStr"/>
      <c r="J862">
        <f>YEAR(A862)*12+MONTH(A862)</f>
        <v/>
      </c>
    </row>
    <row r="863">
      <c r="A863" s="5" t="n">
        <v>46162</v>
      </c>
      <c r="B863" t="inlineStr">
        <is>
          <t>J-0344</t>
        </is>
      </c>
      <c r="C863" t="n">
        <v>2</v>
      </c>
      <c r="D863" t="inlineStr">
        <is>
          <t>1000</t>
        </is>
      </c>
      <c r="E863" t="inlineStr">
        <is>
          <t>Cash &amp; Bank</t>
        </is>
      </c>
      <c r="F863" s="6" t="n">
        <v>0</v>
      </c>
      <c r="G863" s="6" t="n">
        <v>15954.45</v>
      </c>
      <c r="H863" t="inlineStr">
        <is>
          <t>Marketing &amp; promotions</t>
        </is>
      </c>
      <c r="I863" t="inlineStr"/>
      <c r="J863">
        <f>YEAR(A863)*12+MONTH(A863)</f>
        <v/>
      </c>
    </row>
    <row r="864">
      <c r="A864" s="5" t="n">
        <v>46152</v>
      </c>
      <c r="B864" t="inlineStr">
        <is>
          <t>J-0345</t>
        </is>
      </c>
      <c r="C864" t="n">
        <v>1</v>
      </c>
      <c r="D864" t="inlineStr">
        <is>
          <t>5600</t>
        </is>
      </c>
      <c r="E864" t="inlineStr">
        <is>
          <t>Interest Expense</t>
        </is>
      </c>
      <c r="F864" s="6" t="n">
        <v>9000</v>
      </c>
      <c r="G864" s="6" t="n">
        <v>0</v>
      </c>
      <c r="H864" t="inlineStr">
        <is>
          <t>Term loan interest</t>
        </is>
      </c>
      <c r="I864" t="inlineStr">
        <is>
          <t>HDFC</t>
        </is>
      </c>
      <c r="J864">
        <f>YEAR(A864)*12+MONTH(A864)</f>
        <v/>
      </c>
    </row>
    <row r="865">
      <c r="A865" s="5" t="n">
        <v>46152</v>
      </c>
      <c r="B865" t="inlineStr">
        <is>
          <t>J-0345</t>
        </is>
      </c>
      <c r="C865" t="n">
        <v>2</v>
      </c>
      <c r="D865" t="inlineStr">
        <is>
          <t>1000</t>
        </is>
      </c>
      <c r="E865" t="inlineStr">
        <is>
          <t>Cash &amp; Bank</t>
        </is>
      </c>
      <c r="F865" s="6" t="n">
        <v>0</v>
      </c>
      <c r="G865" s="6" t="n">
        <v>9000</v>
      </c>
      <c r="H865" t="inlineStr">
        <is>
          <t>Term loan interest</t>
        </is>
      </c>
      <c r="I865" t="inlineStr">
        <is>
          <t>HDFC</t>
        </is>
      </c>
      <c r="J865">
        <f>YEAR(A865)*12+MONTH(A865)</f>
        <v/>
      </c>
    </row>
    <row r="866">
      <c r="A866" s="5" t="n">
        <v>46152</v>
      </c>
      <c r="B866" t="inlineStr">
        <is>
          <t>J-0346</t>
        </is>
      </c>
      <c r="C866" t="n">
        <v>1</v>
      </c>
      <c r="D866" t="inlineStr">
        <is>
          <t>2200</t>
        </is>
      </c>
      <c r="E866" t="inlineStr">
        <is>
          <t>Term Loan</t>
        </is>
      </c>
      <c r="F866" s="6" t="n">
        <v>55000</v>
      </c>
      <c r="G866" s="6" t="n">
        <v>0</v>
      </c>
      <c r="H866" t="inlineStr">
        <is>
          <t>Term loan principal repayment</t>
        </is>
      </c>
      <c r="I866" t="inlineStr">
        <is>
          <t>HDFC</t>
        </is>
      </c>
      <c r="J866">
        <f>YEAR(A866)*12+MONTH(A866)</f>
        <v/>
      </c>
    </row>
    <row r="867">
      <c r="A867" s="5" t="n">
        <v>46152</v>
      </c>
      <c r="B867" t="inlineStr">
        <is>
          <t>J-0346</t>
        </is>
      </c>
      <c r="C867" t="n">
        <v>2</v>
      </c>
      <c r="D867" t="inlineStr">
        <is>
          <t>1000</t>
        </is>
      </c>
      <c r="E867" t="inlineStr">
        <is>
          <t>Cash &amp; Bank</t>
        </is>
      </c>
      <c r="F867" s="6" t="n">
        <v>0</v>
      </c>
      <c r="G867" s="6" t="n">
        <v>55000</v>
      </c>
      <c r="H867" t="inlineStr">
        <is>
          <t>Term loan principal repayment</t>
        </is>
      </c>
      <c r="I867" t="inlineStr">
        <is>
          <t>HDFC</t>
        </is>
      </c>
      <c r="J867">
        <f>YEAR(A867)*12+MONTH(A867)</f>
        <v/>
      </c>
    </row>
    <row r="868">
      <c r="A868" s="5" t="n">
        <v>46172</v>
      </c>
      <c r="B868" t="inlineStr">
        <is>
          <t>J-0347</t>
        </is>
      </c>
      <c r="C868" t="n">
        <v>1</v>
      </c>
      <c r="D868" t="inlineStr">
        <is>
          <t>5700</t>
        </is>
      </c>
      <c r="E868" t="inlineStr">
        <is>
          <t>Depreciation Expense</t>
        </is>
      </c>
      <c r="F868" s="6" t="n">
        <v>6000</v>
      </c>
      <c r="G868" s="6" t="n">
        <v>0</v>
      </c>
      <c r="H868" t="inlineStr">
        <is>
          <t>Depreciation - equipment</t>
        </is>
      </c>
      <c r="I868" t="inlineStr"/>
      <c r="J868">
        <f>YEAR(A868)*12+MONTH(A868)</f>
        <v/>
      </c>
    </row>
    <row r="869">
      <c r="A869" s="5" t="n">
        <v>46172</v>
      </c>
      <c r="B869" t="inlineStr">
        <is>
          <t>J-0347</t>
        </is>
      </c>
      <c r="C869" t="n">
        <v>2</v>
      </c>
      <c r="D869" t="inlineStr">
        <is>
          <t>1510</t>
        </is>
      </c>
      <c r="E869" t="inlineStr">
        <is>
          <t>Accumulated Depreciation</t>
        </is>
      </c>
      <c r="F869" s="6" t="n">
        <v>0</v>
      </c>
      <c r="G869" s="6" t="n">
        <v>6000</v>
      </c>
      <c r="H869" t="inlineStr">
        <is>
          <t>Depreciation - equipment</t>
        </is>
      </c>
      <c r="I869" t="inlineStr"/>
      <c r="J869">
        <f>YEAR(A869)*12+MONTH(A869)</f>
        <v/>
      </c>
    </row>
    <row r="870">
      <c r="A870" s="5" t="n">
        <v>46161</v>
      </c>
      <c r="B870" t="inlineStr">
        <is>
          <t>J-0348</t>
        </is>
      </c>
      <c r="C870" t="n">
        <v>1</v>
      </c>
      <c r="D870" t="inlineStr">
        <is>
          <t>5800</t>
        </is>
      </c>
      <c r="E870" t="inlineStr">
        <is>
          <t>Miscellaneous Expense</t>
        </is>
      </c>
      <c r="F870" s="6" t="n">
        <v>5925.3</v>
      </c>
      <c r="G870" s="6" t="n">
        <v>0</v>
      </c>
      <c r="H870" t="inlineStr">
        <is>
          <t>Miscellaneous expenses</t>
        </is>
      </c>
      <c r="I870" t="inlineStr"/>
      <c r="J870">
        <f>YEAR(A870)*12+MONTH(A870)</f>
        <v/>
      </c>
    </row>
    <row r="871">
      <c r="A871" s="5" t="n">
        <v>46161</v>
      </c>
      <c r="B871" t="inlineStr">
        <is>
          <t>J-0348</t>
        </is>
      </c>
      <c r="C871" t="n">
        <v>2</v>
      </c>
      <c r="D871" t="inlineStr">
        <is>
          <t>1000</t>
        </is>
      </c>
      <c r="E871" t="inlineStr">
        <is>
          <t>Cash &amp; Bank</t>
        </is>
      </c>
      <c r="F871" s="6" t="n">
        <v>0</v>
      </c>
      <c r="G871" s="6" t="n">
        <v>5925.3</v>
      </c>
      <c r="H871" t="inlineStr">
        <is>
          <t>Miscellaneous expenses</t>
        </is>
      </c>
      <c r="I871" t="inlineStr"/>
      <c r="J871">
        <f>YEAR(A871)*12+MONTH(A871)</f>
        <v/>
      </c>
    </row>
    <row r="872">
      <c r="A872" s="5" t="n">
        <v>46197</v>
      </c>
      <c r="B872" t="inlineStr">
        <is>
          <t>J-0349</t>
        </is>
      </c>
      <c r="C872" t="n">
        <v>1</v>
      </c>
      <c r="D872" t="inlineStr">
        <is>
          <t>1100</t>
        </is>
      </c>
      <c r="E872" t="inlineStr">
        <is>
          <t>Accounts Receivable</t>
        </is>
      </c>
      <c r="F872" s="6" t="n">
        <v>573450.55</v>
      </c>
      <c r="G872" s="6" t="n">
        <v>0</v>
      </c>
      <c r="H872" t="inlineStr">
        <is>
          <t>Sales invoice INV-202606-1</t>
        </is>
      </c>
      <c r="I872" t="inlineStr">
        <is>
          <t>Annapurna Retail</t>
        </is>
      </c>
      <c r="J872">
        <f>YEAR(A872)*12+MONTH(A872)</f>
        <v/>
      </c>
    </row>
    <row r="873">
      <c r="A873" s="5" t="n">
        <v>46197</v>
      </c>
      <c r="B873" t="inlineStr">
        <is>
          <t>J-0349</t>
        </is>
      </c>
      <c r="C873" t="n">
        <v>2</v>
      </c>
      <c r="D873" t="inlineStr">
        <is>
          <t>4000</t>
        </is>
      </c>
      <c r="E873" t="inlineStr">
        <is>
          <t>Sales Revenue</t>
        </is>
      </c>
      <c r="F873" s="6" t="n">
        <v>0</v>
      </c>
      <c r="G873" s="6" t="n">
        <v>485975.04</v>
      </c>
      <c r="H873" t="inlineStr">
        <is>
          <t>Sales invoice INV-202606-1</t>
        </is>
      </c>
      <c r="I873" t="inlineStr">
        <is>
          <t>Annapurna Retail</t>
        </is>
      </c>
      <c r="J873">
        <f>YEAR(A873)*12+MONTH(A873)</f>
        <v/>
      </c>
    </row>
    <row r="874">
      <c r="A874" s="5" t="n">
        <v>46197</v>
      </c>
      <c r="B874" t="inlineStr">
        <is>
          <t>J-0349</t>
        </is>
      </c>
      <c r="C874" t="n">
        <v>3</v>
      </c>
      <c r="D874" t="inlineStr">
        <is>
          <t>2100</t>
        </is>
      </c>
      <c r="E874" t="inlineStr">
        <is>
          <t>GST Payable</t>
        </is>
      </c>
      <c r="F874" s="6" t="n">
        <v>0</v>
      </c>
      <c r="G874" s="6" t="n">
        <v>87475.50999999999</v>
      </c>
      <c r="H874" t="inlineStr">
        <is>
          <t>Sales invoice INV-202606-1</t>
        </is>
      </c>
      <c r="I874" t="inlineStr">
        <is>
          <t>GST</t>
        </is>
      </c>
      <c r="J874">
        <f>YEAR(A874)*12+MONTH(A874)</f>
        <v/>
      </c>
    </row>
    <row r="875">
      <c r="A875" s="5" t="n">
        <v>46175</v>
      </c>
      <c r="B875" t="inlineStr">
        <is>
          <t>J-0350</t>
        </is>
      </c>
      <c r="C875" t="n">
        <v>1</v>
      </c>
      <c r="D875" t="inlineStr">
        <is>
          <t>1100</t>
        </is>
      </c>
      <c r="E875" t="inlineStr">
        <is>
          <t>Accounts Receivable</t>
        </is>
      </c>
      <c r="F875" s="6" t="n">
        <v>804385.1</v>
      </c>
      <c r="G875" s="6" t="n">
        <v>0</v>
      </c>
      <c r="H875" t="inlineStr">
        <is>
          <t>Sales invoice INV-202606-2</t>
        </is>
      </c>
      <c r="I875" t="inlineStr">
        <is>
          <t>Maa Vaishno Stores</t>
        </is>
      </c>
      <c r="J875">
        <f>YEAR(A875)*12+MONTH(A875)</f>
        <v/>
      </c>
    </row>
    <row r="876">
      <c r="A876" s="5" t="n">
        <v>46175</v>
      </c>
      <c r="B876" t="inlineStr">
        <is>
          <t>J-0350</t>
        </is>
      </c>
      <c r="C876" t="n">
        <v>2</v>
      </c>
      <c r="D876" t="inlineStr">
        <is>
          <t>4000</t>
        </is>
      </c>
      <c r="E876" t="inlineStr">
        <is>
          <t>Sales Revenue</t>
        </is>
      </c>
      <c r="F876" s="6" t="n">
        <v>0</v>
      </c>
      <c r="G876" s="6" t="n">
        <v>681682.29</v>
      </c>
      <c r="H876" t="inlineStr">
        <is>
          <t>Sales invoice INV-202606-2</t>
        </is>
      </c>
      <c r="I876" t="inlineStr">
        <is>
          <t>Maa Vaishno Stores</t>
        </is>
      </c>
      <c r="J876">
        <f>YEAR(A876)*12+MONTH(A876)</f>
        <v/>
      </c>
    </row>
    <row r="877">
      <c r="A877" s="5" t="n">
        <v>46175</v>
      </c>
      <c r="B877" t="inlineStr">
        <is>
          <t>J-0350</t>
        </is>
      </c>
      <c r="C877" t="n">
        <v>3</v>
      </c>
      <c r="D877" t="inlineStr">
        <is>
          <t>2100</t>
        </is>
      </c>
      <c r="E877" t="inlineStr">
        <is>
          <t>GST Payable</t>
        </is>
      </c>
      <c r="F877" s="6" t="n">
        <v>0</v>
      </c>
      <c r="G877" s="6" t="n">
        <v>122702.81</v>
      </c>
      <c r="H877" t="inlineStr">
        <is>
          <t>Sales invoice INV-202606-2</t>
        </is>
      </c>
      <c r="I877" t="inlineStr">
        <is>
          <t>GST</t>
        </is>
      </c>
      <c r="J877">
        <f>YEAR(A877)*12+MONTH(A877)</f>
        <v/>
      </c>
    </row>
    <row r="878">
      <c r="A878" s="5" t="n">
        <v>46177</v>
      </c>
      <c r="B878" t="inlineStr">
        <is>
          <t>J-0351</t>
        </is>
      </c>
      <c r="C878" t="n">
        <v>1</v>
      </c>
      <c r="D878" t="inlineStr">
        <is>
          <t>1100</t>
        </is>
      </c>
      <c r="E878" t="inlineStr">
        <is>
          <t>Accounts Receivable</t>
        </is>
      </c>
      <c r="F878" s="6" t="n">
        <v>648873.79</v>
      </c>
      <c r="G878" s="6" t="n">
        <v>0</v>
      </c>
      <c r="H878" t="inlineStr">
        <is>
          <t>Sales invoice INV-202606-3</t>
        </is>
      </c>
      <c r="I878" t="inlineStr">
        <is>
          <t>Patna Daily Needs</t>
        </is>
      </c>
      <c r="J878">
        <f>YEAR(A878)*12+MONTH(A878)</f>
        <v/>
      </c>
    </row>
    <row r="879">
      <c r="A879" s="5" t="n">
        <v>46177</v>
      </c>
      <c r="B879" t="inlineStr">
        <is>
          <t>J-0351</t>
        </is>
      </c>
      <c r="C879" t="n">
        <v>2</v>
      </c>
      <c r="D879" t="inlineStr">
        <is>
          <t>4000</t>
        </is>
      </c>
      <c r="E879" t="inlineStr">
        <is>
          <t>Sales Revenue</t>
        </is>
      </c>
      <c r="F879" s="6" t="n">
        <v>0</v>
      </c>
      <c r="G879" s="6" t="n">
        <v>549893.04</v>
      </c>
      <c r="H879" t="inlineStr">
        <is>
          <t>Sales invoice INV-202606-3</t>
        </is>
      </c>
      <c r="I879" t="inlineStr">
        <is>
          <t>Patna Daily Needs</t>
        </is>
      </c>
      <c r="J879">
        <f>YEAR(A879)*12+MONTH(A879)</f>
        <v/>
      </c>
    </row>
    <row r="880">
      <c r="A880" s="5" t="n">
        <v>46177</v>
      </c>
      <c r="B880" t="inlineStr">
        <is>
          <t>J-0351</t>
        </is>
      </c>
      <c r="C880" t="n">
        <v>3</v>
      </c>
      <c r="D880" t="inlineStr">
        <is>
          <t>2100</t>
        </is>
      </c>
      <c r="E880" t="inlineStr">
        <is>
          <t>GST Payable</t>
        </is>
      </c>
      <c r="F880" s="6" t="n">
        <v>0</v>
      </c>
      <c r="G880" s="6" t="n">
        <v>98980.75</v>
      </c>
      <c r="H880" t="inlineStr">
        <is>
          <t>Sales invoice INV-202606-3</t>
        </is>
      </c>
      <c r="I880" t="inlineStr">
        <is>
          <t>GST</t>
        </is>
      </c>
      <c r="J880">
        <f>YEAR(A880)*12+MONTH(A880)</f>
        <v/>
      </c>
    </row>
    <row r="881">
      <c r="A881" s="5" t="n">
        <v>46190</v>
      </c>
      <c r="B881" t="inlineStr">
        <is>
          <t>J-0352</t>
        </is>
      </c>
      <c r="C881" t="n">
        <v>1</v>
      </c>
      <c r="D881" t="inlineStr">
        <is>
          <t>1100</t>
        </is>
      </c>
      <c r="E881" t="inlineStr">
        <is>
          <t>Accounts Receivable</t>
        </is>
      </c>
      <c r="F881" s="6" t="n">
        <v>531101.75</v>
      </c>
      <c r="G881" s="6" t="n">
        <v>0</v>
      </c>
      <c r="H881" t="inlineStr">
        <is>
          <t>Sales invoice INV-202606-4</t>
        </is>
      </c>
      <c r="I881" t="inlineStr">
        <is>
          <t>New City Mart</t>
        </is>
      </c>
      <c r="J881">
        <f>YEAR(A881)*12+MONTH(A881)</f>
        <v/>
      </c>
    </row>
    <row r="882">
      <c r="A882" s="5" t="n">
        <v>46190</v>
      </c>
      <c r="B882" t="inlineStr">
        <is>
          <t>J-0352</t>
        </is>
      </c>
      <c r="C882" t="n">
        <v>2</v>
      </c>
      <c r="D882" t="inlineStr">
        <is>
          <t>4000</t>
        </is>
      </c>
      <c r="E882" t="inlineStr">
        <is>
          <t>Sales Revenue</t>
        </is>
      </c>
      <c r="F882" s="6" t="n">
        <v>0</v>
      </c>
      <c r="G882" s="6" t="n">
        <v>450086.23</v>
      </c>
      <c r="H882" t="inlineStr">
        <is>
          <t>Sales invoice INV-202606-4</t>
        </is>
      </c>
      <c r="I882" t="inlineStr">
        <is>
          <t>New City Mart</t>
        </is>
      </c>
      <c r="J882">
        <f>YEAR(A882)*12+MONTH(A882)</f>
        <v/>
      </c>
    </row>
    <row r="883">
      <c r="A883" s="5" t="n">
        <v>46190</v>
      </c>
      <c r="B883" t="inlineStr">
        <is>
          <t>J-0352</t>
        </is>
      </c>
      <c r="C883" t="n">
        <v>3</v>
      </c>
      <c r="D883" t="inlineStr">
        <is>
          <t>2100</t>
        </is>
      </c>
      <c r="E883" t="inlineStr">
        <is>
          <t>GST Payable</t>
        </is>
      </c>
      <c r="F883" s="6" t="n">
        <v>0</v>
      </c>
      <c r="G883" s="6" t="n">
        <v>81015.52</v>
      </c>
      <c r="H883" t="inlineStr">
        <is>
          <t>Sales invoice INV-202606-4</t>
        </is>
      </c>
      <c r="I883" t="inlineStr">
        <is>
          <t>GST</t>
        </is>
      </c>
      <c r="J883">
        <f>YEAR(A883)*12+MONTH(A883)</f>
        <v/>
      </c>
    </row>
    <row r="884">
      <c r="A884" s="5" t="n">
        <v>46197</v>
      </c>
      <c r="B884" t="inlineStr">
        <is>
          <t>J-0353</t>
        </is>
      </c>
      <c r="C884" t="n">
        <v>1</v>
      </c>
      <c r="D884" t="inlineStr">
        <is>
          <t>1100</t>
        </is>
      </c>
      <c r="E884" t="inlineStr">
        <is>
          <t>Accounts Receivable</t>
        </is>
      </c>
      <c r="F884" s="6" t="n">
        <v>665366.5600000001</v>
      </c>
      <c r="G884" s="6" t="n">
        <v>0</v>
      </c>
      <c r="H884" t="inlineStr">
        <is>
          <t>Sales invoice INV-202606-5</t>
        </is>
      </c>
      <c r="I884" t="inlineStr">
        <is>
          <t>Patna Daily Needs</t>
        </is>
      </c>
      <c r="J884">
        <f>YEAR(A884)*12+MONTH(A884)</f>
        <v/>
      </c>
    </row>
    <row r="885">
      <c r="A885" s="5" t="n">
        <v>46197</v>
      </c>
      <c r="B885" t="inlineStr">
        <is>
          <t>J-0353</t>
        </is>
      </c>
      <c r="C885" t="n">
        <v>2</v>
      </c>
      <c r="D885" t="inlineStr">
        <is>
          <t>4000</t>
        </is>
      </c>
      <c r="E885" t="inlineStr">
        <is>
          <t>Sales Revenue</t>
        </is>
      </c>
      <c r="F885" s="6" t="n">
        <v>0</v>
      </c>
      <c r="G885" s="6" t="n">
        <v>563869.97</v>
      </c>
      <c r="H885" t="inlineStr">
        <is>
          <t>Sales invoice INV-202606-5</t>
        </is>
      </c>
      <c r="I885" t="inlineStr">
        <is>
          <t>Patna Daily Needs</t>
        </is>
      </c>
      <c r="J885">
        <f>YEAR(A885)*12+MONTH(A885)</f>
        <v/>
      </c>
    </row>
    <row r="886">
      <c r="A886" s="5" t="n">
        <v>46197</v>
      </c>
      <c r="B886" t="inlineStr">
        <is>
          <t>J-0353</t>
        </is>
      </c>
      <c r="C886" t="n">
        <v>3</v>
      </c>
      <c r="D886" t="inlineStr">
        <is>
          <t>2100</t>
        </is>
      </c>
      <c r="E886" t="inlineStr">
        <is>
          <t>GST Payable</t>
        </is>
      </c>
      <c r="F886" s="6" t="n">
        <v>0</v>
      </c>
      <c r="G886" s="6" t="n">
        <v>101496.59</v>
      </c>
      <c r="H886" t="inlineStr">
        <is>
          <t>Sales invoice INV-202606-5</t>
        </is>
      </c>
      <c r="I886" t="inlineStr">
        <is>
          <t>GST</t>
        </is>
      </c>
      <c r="J886">
        <f>YEAR(A886)*12+MONTH(A886)</f>
        <v/>
      </c>
    </row>
    <row r="887">
      <c r="A887" s="5" t="n">
        <v>46189</v>
      </c>
      <c r="B887" t="inlineStr">
        <is>
          <t>J-0354</t>
        </is>
      </c>
      <c r="C887" t="n">
        <v>1</v>
      </c>
      <c r="D887" t="inlineStr">
        <is>
          <t>1100</t>
        </is>
      </c>
      <c r="E887" t="inlineStr">
        <is>
          <t>Accounts Receivable</t>
        </is>
      </c>
      <c r="F887" s="6" t="n">
        <v>631531.66</v>
      </c>
      <c r="G887" s="6" t="n">
        <v>0</v>
      </c>
      <c r="H887" t="inlineStr">
        <is>
          <t>Sales invoice INV-202606-6</t>
        </is>
      </c>
      <c r="I887" t="inlineStr">
        <is>
          <t>Rajdhani Traders</t>
        </is>
      </c>
      <c r="J887">
        <f>YEAR(A887)*12+MONTH(A887)</f>
        <v/>
      </c>
    </row>
    <row r="888">
      <c r="A888" s="5" t="n">
        <v>46189</v>
      </c>
      <c r="B888" t="inlineStr">
        <is>
          <t>J-0354</t>
        </is>
      </c>
      <c r="C888" t="n">
        <v>2</v>
      </c>
      <c r="D888" t="inlineStr">
        <is>
          <t>4000</t>
        </is>
      </c>
      <c r="E888" t="inlineStr">
        <is>
          <t>Sales Revenue</t>
        </is>
      </c>
      <c r="F888" s="6" t="n">
        <v>0</v>
      </c>
      <c r="G888" s="6" t="n">
        <v>535196.3199999999</v>
      </c>
      <c r="H888" t="inlineStr">
        <is>
          <t>Sales invoice INV-202606-6</t>
        </is>
      </c>
      <c r="I888" t="inlineStr">
        <is>
          <t>Rajdhani Traders</t>
        </is>
      </c>
      <c r="J888">
        <f>YEAR(A888)*12+MONTH(A888)</f>
        <v/>
      </c>
    </row>
    <row r="889">
      <c r="A889" s="5" t="n">
        <v>46189</v>
      </c>
      <c r="B889" t="inlineStr">
        <is>
          <t>J-0354</t>
        </is>
      </c>
      <c r="C889" t="n">
        <v>3</v>
      </c>
      <c r="D889" t="inlineStr">
        <is>
          <t>2100</t>
        </is>
      </c>
      <c r="E889" t="inlineStr">
        <is>
          <t>GST Payable</t>
        </is>
      </c>
      <c r="F889" s="6" t="n">
        <v>0</v>
      </c>
      <c r="G889" s="6" t="n">
        <v>96335.34</v>
      </c>
      <c r="H889" t="inlineStr">
        <is>
          <t>Sales invoice INV-202606-6</t>
        </is>
      </c>
      <c r="I889" t="inlineStr">
        <is>
          <t>GST</t>
        </is>
      </c>
      <c r="J889">
        <f>YEAR(A889)*12+MONTH(A889)</f>
        <v/>
      </c>
    </row>
    <row r="890">
      <c r="A890" s="5" t="n">
        <v>46184</v>
      </c>
      <c r="B890" t="inlineStr">
        <is>
          <t>J-0355</t>
        </is>
      </c>
      <c r="C890" t="n">
        <v>1</v>
      </c>
      <c r="D890" t="inlineStr">
        <is>
          <t>1100</t>
        </is>
      </c>
      <c r="E890" t="inlineStr">
        <is>
          <t>Accounts Receivable</t>
        </is>
      </c>
      <c r="F890" s="6" t="n">
        <v>767088.37</v>
      </c>
      <c r="G890" s="6" t="n">
        <v>0</v>
      </c>
      <c r="H890" t="inlineStr">
        <is>
          <t>Sales invoice INV-202606-7</t>
        </is>
      </c>
      <c r="I890" t="inlineStr">
        <is>
          <t>Verma Kirana Mart</t>
        </is>
      </c>
      <c r="J890">
        <f>YEAR(A890)*12+MONTH(A890)</f>
        <v/>
      </c>
    </row>
    <row r="891">
      <c r="A891" s="5" t="n">
        <v>46184</v>
      </c>
      <c r="B891" t="inlineStr">
        <is>
          <t>J-0355</t>
        </is>
      </c>
      <c r="C891" t="n">
        <v>2</v>
      </c>
      <c r="D891" t="inlineStr">
        <is>
          <t>4000</t>
        </is>
      </c>
      <c r="E891" t="inlineStr">
        <is>
          <t>Sales Revenue</t>
        </is>
      </c>
      <c r="F891" s="6" t="n">
        <v>0</v>
      </c>
      <c r="G891" s="6" t="n">
        <v>650074.89</v>
      </c>
      <c r="H891" t="inlineStr">
        <is>
          <t>Sales invoice INV-202606-7</t>
        </is>
      </c>
      <c r="I891" t="inlineStr">
        <is>
          <t>Verma Kirana Mart</t>
        </is>
      </c>
      <c r="J891">
        <f>YEAR(A891)*12+MONTH(A891)</f>
        <v/>
      </c>
    </row>
    <row r="892">
      <c r="A892" s="5" t="n">
        <v>46184</v>
      </c>
      <c r="B892" t="inlineStr">
        <is>
          <t>J-0355</t>
        </is>
      </c>
      <c r="C892" t="n">
        <v>3</v>
      </c>
      <c r="D892" t="inlineStr">
        <is>
          <t>2100</t>
        </is>
      </c>
      <c r="E892" t="inlineStr">
        <is>
          <t>GST Payable</t>
        </is>
      </c>
      <c r="F892" s="6" t="n">
        <v>0</v>
      </c>
      <c r="G892" s="6" t="n">
        <v>117013.48</v>
      </c>
      <c r="H892" t="inlineStr">
        <is>
          <t>Sales invoice INV-202606-7</t>
        </is>
      </c>
      <c r="I892" t="inlineStr">
        <is>
          <t>GST</t>
        </is>
      </c>
      <c r="J892">
        <f>YEAR(A892)*12+MONTH(A892)</f>
        <v/>
      </c>
    </row>
    <row r="893">
      <c r="A893" s="5" t="n">
        <v>46200</v>
      </c>
      <c r="B893" t="inlineStr">
        <is>
          <t>J-0356</t>
        </is>
      </c>
      <c r="C893" t="n">
        <v>1</v>
      </c>
      <c r="D893" t="inlineStr">
        <is>
          <t>5000</t>
        </is>
      </c>
      <c r="E893" t="inlineStr">
        <is>
          <t>Cost of Goods Sold</t>
        </is>
      </c>
      <c r="F893" s="6" t="n">
        <v>2698126.64</v>
      </c>
      <c r="G893" s="6" t="n">
        <v>0</v>
      </c>
      <c r="H893" t="inlineStr">
        <is>
          <t>Cost of goods sold - monthly</t>
        </is>
      </c>
      <c r="I893" t="inlineStr"/>
      <c r="J893">
        <f>YEAR(A893)*12+MONTH(A893)</f>
        <v/>
      </c>
    </row>
    <row r="894">
      <c r="A894" s="5" t="n">
        <v>46200</v>
      </c>
      <c r="B894" t="inlineStr">
        <is>
          <t>J-0356</t>
        </is>
      </c>
      <c r="C894" t="n">
        <v>2</v>
      </c>
      <c r="D894" t="inlineStr">
        <is>
          <t>1200</t>
        </is>
      </c>
      <c r="E894" t="inlineStr">
        <is>
          <t>Inventory</t>
        </is>
      </c>
      <c r="F894" s="6" t="n">
        <v>0</v>
      </c>
      <c r="G894" s="6" t="n">
        <v>2698126.64</v>
      </c>
      <c r="H894" t="inlineStr">
        <is>
          <t>Cost of goods sold - monthly</t>
        </is>
      </c>
      <c r="I894" t="inlineStr"/>
      <c r="J894">
        <f>YEAR(A894)*12+MONTH(A894)</f>
        <v/>
      </c>
    </row>
    <row r="895">
      <c r="A895" s="5" t="n">
        <v>46201</v>
      </c>
      <c r="B895" t="inlineStr">
        <is>
          <t>J-0357</t>
        </is>
      </c>
      <c r="C895" t="n">
        <v>1</v>
      </c>
      <c r="D895" t="inlineStr">
        <is>
          <t>1000</t>
        </is>
      </c>
      <c r="E895" t="inlineStr">
        <is>
          <t>Cash &amp; Bank</t>
        </is>
      </c>
      <c r="F895" s="6" t="n">
        <v>4017168.26</v>
      </c>
      <c r="G895" s="6" t="n">
        <v>0</v>
      </c>
      <c r="H895" t="inlineStr">
        <is>
          <t>Customer receipts</t>
        </is>
      </c>
      <c r="I895" t="inlineStr"/>
      <c r="J895">
        <f>YEAR(A895)*12+MONTH(A895)</f>
        <v/>
      </c>
    </row>
    <row r="896">
      <c r="A896" s="5" t="n">
        <v>46201</v>
      </c>
      <c r="B896" t="inlineStr">
        <is>
          <t>J-0357</t>
        </is>
      </c>
      <c r="C896" t="n">
        <v>2</v>
      </c>
      <c r="D896" t="inlineStr">
        <is>
          <t>1100</t>
        </is>
      </c>
      <c r="E896" t="inlineStr">
        <is>
          <t>Accounts Receivable</t>
        </is>
      </c>
      <c r="F896" s="6" t="n">
        <v>0</v>
      </c>
      <c r="G896" s="6" t="n">
        <v>4017168.26</v>
      </c>
      <c r="H896" t="inlineStr">
        <is>
          <t>Customer receipts</t>
        </is>
      </c>
      <c r="I896" t="inlineStr"/>
      <c r="J896">
        <f>YEAR(A896)*12+MONTH(A896)</f>
        <v/>
      </c>
    </row>
    <row r="897">
      <c r="A897" s="5" t="n">
        <v>46193</v>
      </c>
      <c r="B897" t="inlineStr">
        <is>
          <t>J-0358</t>
        </is>
      </c>
      <c r="C897" t="n">
        <v>1</v>
      </c>
      <c r="D897" t="inlineStr">
        <is>
          <t>1200</t>
        </is>
      </c>
      <c r="E897" t="inlineStr">
        <is>
          <t>Inventory</t>
        </is>
      </c>
      <c r="F897" s="6" t="n">
        <v>546430.35</v>
      </c>
      <c r="G897" s="6" t="n">
        <v>0</v>
      </c>
      <c r="H897" t="inlineStr">
        <is>
          <t>Purchase bill PB-202606-1</t>
        </is>
      </c>
      <c r="I897" t="inlineStr">
        <is>
          <t>Eastern Packaging Co</t>
        </is>
      </c>
      <c r="J897">
        <f>YEAR(A897)*12+MONTH(A897)</f>
        <v/>
      </c>
    </row>
    <row r="898">
      <c r="A898" s="5" t="n">
        <v>46193</v>
      </c>
      <c r="B898" t="inlineStr">
        <is>
          <t>J-0358</t>
        </is>
      </c>
      <c r="C898" t="n">
        <v>2</v>
      </c>
      <c r="D898" t="inlineStr">
        <is>
          <t>1300</t>
        </is>
      </c>
      <c r="E898" t="inlineStr">
        <is>
          <t>GST Input Credit</t>
        </is>
      </c>
      <c r="F898" s="6" t="n">
        <v>98357.46000000001</v>
      </c>
      <c r="G898" s="6" t="n">
        <v>0</v>
      </c>
      <c r="H898" t="inlineStr">
        <is>
          <t>Purchase bill PB-202606-1</t>
        </is>
      </c>
      <c r="I898" t="inlineStr">
        <is>
          <t>Eastern Packaging Co</t>
        </is>
      </c>
      <c r="J898">
        <f>YEAR(A898)*12+MONTH(A898)</f>
        <v/>
      </c>
    </row>
    <row r="899">
      <c r="A899" s="5" t="n">
        <v>46193</v>
      </c>
      <c r="B899" t="inlineStr">
        <is>
          <t>J-0358</t>
        </is>
      </c>
      <c r="C899" t="n">
        <v>3</v>
      </c>
      <c r="D899" t="inlineStr">
        <is>
          <t>2000</t>
        </is>
      </c>
      <c r="E899" t="inlineStr">
        <is>
          <t>Accounts Payable</t>
        </is>
      </c>
      <c r="F899" s="6" t="n">
        <v>0</v>
      </c>
      <c r="G899" s="6" t="n">
        <v>644787.8100000001</v>
      </c>
      <c r="H899" t="inlineStr">
        <is>
          <t>Purchase bill PB-202606-1</t>
        </is>
      </c>
      <c r="I899" t="inlineStr">
        <is>
          <t>Eastern Packaging Co</t>
        </is>
      </c>
      <c r="J899">
        <f>YEAR(A899)*12+MONTH(A899)</f>
        <v/>
      </c>
    </row>
    <row r="900">
      <c r="A900" s="5" t="n">
        <v>46193</v>
      </c>
      <c r="B900" t="inlineStr">
        <is>
          <t>J-0359</t>
        </is>
      </c>
      <c r="C900" t="n">
        <v>1</v>
      </c>
      <c r="D900" t="inlineStr">
        <is>
          <t>1200</t>
        </is>
      </c>
      <c r="E900" t="inlineStr">
        <is>
          <t>Inventory</t>
        </is>
      </c>
      <c r="F900" s="6" t="n">
        <v>535712.87</v>
      </c>
      <c r="G900" s="6" t="n">
        <v>0</v>
      </c>
      <c r="H900" t="inlineStr">
        <is>
          <t>Purchase bill PB-202606-2</t>
        </is>
      </c>
      <c r="I900" t="inlineStr">
        <is>
          <t>Eastern Packaging Co</t>
        </is>
      </c>
      <c r="J900">
        <f>YEAR(A900)*12+MONTH(A900)</f>
        <v/>
      </c>
    </row>
    <row r="901">
      <c r="A901" s="5" t="n">
        <v>46193</v>
      </c>
      <c r="B901" t="inlineStr">
        <is>
          <t>J-0359</t>
        </is>
      </c>
      <c r="C901" t="n">
        <v>2</v>
      </c>
      <c r="D901" t="inlineStr">
        <is>
          <t>1300</t>
        </is>
      </c>
      <c r="E901" t="inlineStr">
        <is>
          <t>GST Input Credit</t>
        </is>
      </c>
      <c r="F901" s="6" t="n">
        <v>96428.32000000001</v>
      </c>
      <c r="G901" s="6" t="n">
        <v>0</v>
      </c>
      <c r="H901" t="inlineStr">
        <is>
          <t>Purchase bill PB-202606-2</t>
        </is>
      </c>
      <c r="I901" t="inlineStr">
        <is>
          <t>Eastern Packaging Co</t>
        </is>
      </c>
      <c r="J901">
        <f>YEAR(A901)*12+MONTH(A901)</f>
        <v/>
      </c>
    </row>
    <row r="902">
      <c r="A902" s="5" t="n">
        <v>46193</v>
      </c>
      <c r="B902" t="inlineStr">
        <is>
          <t>J-0359</t>
        </is>
      </c>
      <c r="C902" t="n">
        <v>3</v>
      </c>
      <c r="D902" t="inlineStr">
        <is>
          <t>2000</t>
        </is>
      </c>
      <c r="E902" t="inlineStr">
        <is>
          <t>Accounts Payable</t>
        </is>
      </c>
      <c r="F902" s="6" t="n">
        <v>0</v>
      </c>
      <c r="G902" s="6" t="n">
        <v>632141.1899999999</v>
      </c>
      <c r="H902" t="inlineStr">
        <is>
          <t>Purchase bill PB-202606-2</t>
        </is>
      </c>
      <c r="I902" t="inlineStr">
        <is>
          <t>Eastern Packaging Co</t>
        </is>
      </c>
      <c r="J902">
        <f>YEAR(A902)*12+MONTH(A902)</f>
        <v/>
      </c>
    </row>
    <row r="903">
      <c r="A903" s="5" t="n">
        <v>46184</v>
      </c>
      <c r="B903" t="inlineStr">
        <is>
          <t>J-0360</t>
        </is>
      </c>
      <c r="C903" t="n">
        <v>1</v>
      </c>
      <c r="D903" t="inlineStr">
        <is>
          <t>1200</t>
        </is>
      </c>
      <c r="E903" t="inlineStr">
        <is>
          <t>Inventory</t>
        </is>
      </c>
      <c r="F903" s="6" t="n">
        <v>493351.8</v>
      </c>
      <c r="G903" s="6" t="n">
        <v>0</v>
      </c>
      <c r="H903" t="inlineStr">
        <is>
          <t>Purchase bill PB-202606-3</t>
        </is>
      </c>
      <c r="I903" t="inlineStr">
        <is>
          <t>Eastern Packaging Co</t>
        </is>
      </c>
      <c r="J903">
        <f>YEAR(A903)*12+MONTH(A903)</f>
        <v/>
      </c>
    </row>
    <row r="904">
      <c r="A904" s="5" t="n">
        <v>46184</v>
      </c>
      <c r="B904" t="inlineStr">
        <is>
          <t>J-0360</t>
        </is>
      </c>
      <c r="C904" t="n">
        <v>2</v>
      </c>
      <c r="D904" t="inlineStr">
        <is>
          <t>1300</t>
        </is>
      </c>
      <c r="E904" t="inlineStr">
        <is>
          <t>GST Input Credit</t>
        </is>
      </c>
      <c r="F904" s="6" t="n">
        <v>88803.32000000001</v>
      </c>
      <c r="G904" s="6" t="n">
        <v>0</v>
      </c>
      <c r="H904" t="inlineStr">
        <is>
          <t>Purchase bill PB-202606-3</t>
        </is>
      </c>
      <c r="I904" t="inlineStr">
        <is>
          <t>Eastern Packaging Co</t>
        </is>
      </c>
      <c r="J904">
        <f>YEAR(A904)*12+MONTH(A904)</f>
        <v/>
      </c>
    </row>
    <row r="905">
      <c r="A905" s="5" t="n">
        <v>46184</v>
      </c>
      <c r="B905" t="inlineStr">
        <is>
          <t>J-0360</t>
        </is>
      </c>
      <c r="C905" t="n">
        <v>3</v>
      </c>
      <c r="D905" t="inlineStr">
        <is>
          <t>2000</t>
        </is>
      </c>
      <c r="E905" t="inlineStr">
        <is>
          <t>Accounts Payable</t>
        </is>
      </c>
      <c r="F905" s="6" t="n">
        <v>0</v>
      </c>
      <c r="G905" s="6" t="n">
        <v>582155.12</v>
      </c>
      <c r="H905" t="inlineStr">
        <is>
          <t>Purchase bill PB-202606-3</t>
        </is>
      </c>
      <c r="I905" t="inlineStr">
        <is>
          <t>Eastern Packaging Co</t>
        </is>
      </c>
      <c r="J905">
        <f>YEAR(A905)*12+MONTH(A905)</f>
        <v/>
      </c>
    </row>
    <row r="906">
      <c r="A906" s="5" t="n">
        <v>46179</v>
      </c>
      <c r="B906" t="inlineStr">
        <is>
          <t>J-0361</t>
        </is>
      </c>
      <c r="C906" t="n">
        <v>1</v>
      </c>
      <c r="D906" t="inlineStr">
        <is>
          <t>1200</t>
        </is>
      </c>
      <c r="E906" t="inlineStr">
        <is>
          <t>Inventory</t>
        </is>
      </c>
      <c r="F906" s="6" t="n">
        <v>488236.17</v>
      </c>
      <c r="G906" s="6" t="n">
        <v>0</v>
      </c>
      <c r="H906" t="inlineStr">
        <is>
          <t>Purchase bill PB-202606-4</t>
        </is>
      </c>
      <c r="I906" t="inlineStr">
        <is>
          <t>Bihar Agro Supplies</t>
        </is>
      </c>
      <c r="J906">
        <f>YEAR(A906)*12+MONTH(A906)</f>
        <v/>
      </c>
    </row>
    <row r="907">
      <c r="A907" s="5" t="n">
        <v>46179</v>
      </c>
      <c r="B907" t="inlineStr">
        <is>
          <t>J-0361</t>
        </is>
      </c>
      <c r="C907" t="n">
        <v>2</v>
      </c>
      <c r="D907" t="inlineStr">
        <is>
          <t>1300</t>
        </is>
      </c>
      <c r="E907" t="inlineStr">
        <is>
          <t>GST Input Credit</t>
        </is>
      </c>
      <c r="F907" s="6" t="n">
        <v>87882.50999999999</v>
      </c>
      <c r="G907" s="6" t="n">
        <v>0</v>
      </c>
      <c r="H907" t="inlineStr">
        <is>
          <t>Purchase bill PB-202606-4</t>
        </is>
      </c>
      <c r="I907" t="inlineStr">
        <is>
          <t>Bihar Agro Supplies</t>
        </is>
      </c>
      <c r="J907">
        <f>YEAR(A907)*12+MONTH(A907)</f>
        <v/>
      </c>
    </row>
    <row r="908">
      <c r="A908" s="5" t="n">
        <v>46179</v>
      </c>
      <c r="B908" t="inlineStr">
        <is>
          <t>J-0361</t>
        </is>
      </c>
      <c r="C908" t="n">
        <v>3</v>
      </c>
      <c r="D908" t="inlineStr">
        <is>
          <t>2000</t>
        </is>
      </c>
      <c r="E908" t="inlineStr">
        <is>
          <t>Accounts Payable</t>
        </is>
      </c>
      <c r="F908" s="6" t="n">
        <v>0</v>
      </c>
      <c r="G908" s="6" t="n">
        <v>576118.6800000001</v>
      </c>
      <c r="H908" t="inlineStr">
        <is>
          <t>Purchase bill PB-202606-4</t>
        </is>
      </c>
      <c r="I908" t="inlineStr">
        <is>
          <t>Bihar Agro Supplies</t>
        </is>
      </c>
      <c r="J908">
        <f>YEAR(A908)*12+MONTH(A908)</f>
        <v/>
      </c>
    </row>
    <row r="909">
      <c r="A909" s="5" t="n">
        <v>46179</v>
      </c>
      <c r="B909" t="inlineStr">
        <is>
          <t>J-0362</t>
        </is>
      </c>
      <c r="C909" t="n">
        <v>1</v>
      </c>
      <c r="D909" t="inlineStr">
        <is>
          <t>1200</t>
        </is>
      </c>
      <c r="E909" t="inlineStr">
        <is>
          <t>Inventory</t>
        </is>
      </c>
      <c r="F909" s="6" t="n">
        <v>576006.3199999999</v>
      </c>
      <c r="G909" s="6" t="n">
        <v>0</v>
      </c>
      <c r="H909" t="inlineStr">
        <is>
          <t>Purchase bill PB-202606-5</t>
        </is>
      </c>
      <c r="I909" t="inlineStr">
        <is>
          <t>National FMCG Distributors</t>
        </is>
      </c>
      <c r="J909">
        <f>YEAR(A909)*12+MONTH(A909)</f>
        <v/>
      </c>
    </row>
    <row r="910">
      <c r="A910" s="5" t="n">
        <v>46179</v>
      </c>
      <c r="B910" t="inlineStr">
        <is>
          <t>J-0362</t>
        </is>
      </c>
      <c r="C910" t="n">
        <v>2</v>
      </c>
      <c r="D910" t="inlineStr">
        <is>
          <t>1300</t>
        </is>
      </c>
      <c r="E910" t="inlineStr">
        <is>
          <t>GST Input Credit</t>
        </is>
      </c>
      <c r="F910" s="6" t="n">
        <v>103681.14</v>
      </c>
      <c r="G910" s="6" t="n">
        <v>0</v>
      </c>
      <c r="H910" t="inlineStr">
        <is>
          <t>Purchase bill PB-202606-5</t>
        </is>
      </c>
      <c r="I910" t="inlineStr">
        <is>
          <t>National FMCG Distributors</t>
        </is>
      </c>
      <c r="J910">
        <f>YEAR(A910)*12+MONTH(A910)</f>
        <v/>
      </c>
    </row>
    <row r="911">
      <c r="A911" s="5" t="n">
        <v>46179</v>
      </c>
      <c r="B911" t="inlineStr">
        <is>
          <t>J-0362</t>
        </is>
      </c>
      <c r="C911" t="n">
        <v>3</v>
      </c>
      <c r="D911" t="inlineStr">
        <is>
          <t>2000</t>
        </is>
      </c>
      <c r="E911" t="inlineStr">
        <is>
          <t>Accounts Payable</t>
        </is>
      </c>
      <c r="F911" s="6" t="n">
        <v>0</v>
      </c>
      <c r="G911" s="6" t="n">
        <v>679687.46</v>
      </c>
      <c r="H911" t="inlineStr">
        <is>
          <t>Purchase bill PB-202606-5</t>
        </is>
      </c>
      <c r="I911" t="inlineStr">
        <is>
          <t>National FMCG Distributors</t>
        </is>
      </c>
      <c r="J911">
        <f>YEAR(A911)*12+MONTH(A911)</f>
        <v/>
      </c>
    </row>
    <row r="912">
      <c r="A912" s="5" t="n">
        <v>46202</v>
      </c>
      <c r="B912" t="inlineStr">
        <is>
          <t>J-0363</t>
        </is>
      </c>
      <c r="C912" t="n">
        <v>1</v>
      </c>
      <c r="D912" t="inlineStr">
        <is>
          <t>2000</t>
        </is>
      </c>
      <c r="E912" t="inlineStr">
        <is>
          <t>Accounts Payable</t>
        </is>
      </c>
      <c r="F912" s="6" t="n">
        <v>2885710.2</v>
      </c>
      <c r="G912" s="6" t="n">
        <v>0</v>
      </c>
      <c r="H912" t="inlineStr">
        <is>
          <t>Vendor payments</t>
        </is>
      </c>
      <c r="I912" t="inlineStr"/>
      <c r="J912">
        <f>YEAR(A912)*12+MONTH(A912)</f>
        <v/>
      </c>
    </row>
    <row r="913">
      <c r="A913" s="5" t="n">
        <v>46202</v>
      </c>
      <c r="B913" t="inlineStr">
        <is>
          <t>J-0363</t>
        </is>
      </c>
      <c r="C913" t="n">
        <v>2</v>
      </c>
      <c r="D913" t="inlineStr">
        <is>
          <t>1000</t>
        </is>
      </c>
      <c r="E913" t="inlineStr">
        <is>
          <t>Cash &amp; Bank</t>
        </is>
      </c>
      <c r="F913" s="6" t="n">
        <v>0</v>
      </c>
      <c r="G913" s="6" t="n">
        <v>2885710.2</v>
      </c>
      <c r="H913" t="inlineStr">
        <is>
          <t>Vendor payments</t>
        </is>
      </c>
      <c r="I913" t="inlineStr"/>
      <c r="J913">
        <f>YEAR(A913)*12+MONTH(A913)</f>
        <v/>
      </c>
    </row>
    <row r="914">
      <c r="A914" s="5" t="n">
        <v>46203</v>
      </c>
      <c r="B914" t="inlineStr">
        <is>
          <t>J-0364</t>
        </is>
      </c>
      <c r="C914" t="n">
        <v>1</v>
      </c>
      <c r="D914" t="inlineStr">
        <is>
          <t>2100</t>
        </is>
      </c>
      <c r="E914" t="inlineStr">
        <is>
          <t>GST Payable</t>
        </is>
      </c>
      <c r="F914" s="6" t="n">
        <v>228769.06</v>
      </c>
      <c r="G914" s="6" t="n">
        <v>0</v>
      </c>
      <c r="H914" t="inlineStr">
        <is>
          <t>GST paid for month</t>
        </is>
      </c>
      <c r="I914" t="inlineStr">
        <is>
          <t>GST</t>
        </is>
      </c>
      <c r="J914">
        <f>YEAR(A914)*12+MONTH(A914)</f>
        <v/>
      </c>
    </row>
    <row r="915">
      <c r="A915" s="5" t="n">
        <v>46203</v>
      </c>
      <c r="B915" t="inlineStr">
        <is>
          <t>J-0364</t>
        </is>
      </c>
      <c r="C915" t="n">
        <v>2</v>
      </c>
      <c r="D915" t="inlineStr">
        <is>
          <t>1000</t>
        </is>
      </c>
      <c r="E915" t="inlineStr">
        <is>
          <t>Cash &amp; Bank</t>
        </is>
      </c>
      <c r="F915" s="6" t="n">
        <v>0</v>
      </c>
      <c r="G915" s="6" t="n">
        <v>228769.06</v>
      </c>
      <c r="H915" t="inlineStr">
        <is>
          <t>GST paid for month</t>
        </is>
      </c>
      <c r="I915" t="inlineStr">
        <is>
          <t>GST</t>
        </is>
      </c>
      <c r="J915">
        <f>YEAR(A915)*12+MONTH(A915)</f>
        <v/>
      </c>
    </row>
    <row r="916">
      <c r="A916" s="5" t="n">
        <v>46178</v>
      </c>
      <c r="B916" t="inlineStr">
        <is>
          <t>J-0365</t>
        </is>
      </c>
      <c r="C916" t="n">
        <v>1</v>
      </c>
      <c r="D916" t="inlineStr">
        <is>
          <t>5100</t>
        </is>
      </c>
      <c r="E916" t="inlineStr">
        <is>
          <t>Rent Expense</t>
        </is>
      </c>
      <c r="F916" s="6" t="n">
        <v>25000</v>
      </c>
      <c r="G916" s="6" t="n">
        <v>0</v>
      </c>
      <c r="H916" t="inlineStr">
        <is>
          <t>Office rent</t>
        </is>
      </c>
      <c r="I916" t="inlineStr"/>
      <c r="J916">
        <f>YEAR(A916)*12+MONTH(A916)</f>
        <v/>
      </c>
    </row>
    <row r="917">
      <c r="A917" s="5" t="n">
        <v>46178</v>
      </c>
      <c r="B917" t="inlineStr">
        <is>
          <t>J-0365</t>
        </is>
      </c>
      <c r="C917" t="n">
        <v>2</v>
      </c>
      <c r="D917" t="inlineStr">
        <is>
          <t>1000</t>
        </is>
      </c>
      <c r="E917" t="inlineStr">
        <is>
          <t>Cash &amp; Bank</t>
        </is>
      </c>
      <c r="F917" s="6" t="n">
        <v>0</v>
      </c>
      <c r="G917" s="6" t="n">
        <v>25000</v>
      </c>
      <c r="H917" t="inlineStr">
        <is>
          <t>Office rent</t>
        </is>
      </c>
      <c r="I917" t="inlineStr"/>
      <c r="J917">
        <f>YEAR(A917)*12+MONTH(A917)</f>
        <v/>
      </c>
    </row>
    <row r="918">
      <c r="A918" s="5" t="n">
        <v>46180</v>
      </c>
      <c r="B918" t="inlineStr">
        <is>
          <t>J-0366</t>
        </is>
      </c>
      <c r="C918" t="n">
        <v>1</v>
      </c>
      <c r="D918" t="inlineStr">
        <is>
          <t>5200</t>
        </is>
      </c>
      <c r="E918" t="inlineStr">
        <is>
          <t>Salaries Expense</t>
        </is>
      </c>
      <c r="F918" s="6" t="n">
        <v>120942.57</v>
      </c>
      <c r="G918" s="6" t="n">
        <v>0</v>
      </c>
      <c r="H918" t="inlineStr">
        <is>
          <t>Staff salaries</t>
        </is>
      </c>
      <c r="I918" t="inlineStr"/>
      <c r="J918">
        <f>YEAR(A918)*12+MONTH(A918)</f>
        <v/>
      </c>
    </row>
    <row r="919">
      <c r="A919" s="5" t="n">
        <v>46180</v>
      </c>
      <c r="B919" t="inlineStr">
        <is>
          <t>J-0366</t>
        </is>
      </c>
      <c r="C919" t="n">
        <v>2</v>
      </c>
      <c r="D919" t="inlineStr">
        <is>
          <t>1000</t>
        </is>
      </c>
      <c r="E919" t="inlineStr">
        <is>
          <t>Cash &amp; Bank</t>
        </is>
      </c>
      <c r="F919" s="6" t="n">
        <v>0</v>
      </c>
      <c r="G919" s="6" t="n">
        <v>120942.57</v>
      </c>
      <c r="H919" t="inlineStr">
        <is>
          <t>Staff salaries</t>
        </is>
      </c>
      <c r="I919" t="inlineStr"/>
      <c r="J919">
        <f>YEAR(A919)*12+MONTH(A919)</f>
        <v/>
      </c>
    </row>
    <row r="920">
      <c r="A920" s="5" t="n">
        <v>46185</v>
      </c>
      <c r="B920" t="inlineStr">
        <is>
          <t>J-0367</t>
        </is>
      </c>
      <c r="C920" t="n">
        <v>1</v>
      </c>
      <c r="D920" t="inlineStr">
        <is>
          <t>5300</t>
        </is>
      </c>
      <c r="E920" t="inlineStr">
        <is>
          <t>Utilities Expense</t>
        </is>
      </c>
      <c r="F920" s="6" t="n">
        <v>8725.41</v>
      </c>
      <c r="G920" s="6" t="n">
        <v>0</v>
      </c>
      <c r="H920" t="inlineStr">
        <is>
          <t>Utilities (power/water/phone)</t>
        </is>
      </c>
      <c r="I920" t="inlineStr"/>
      <c r="J920">
        <f>YEAR(A920)*12+MONTH(A920)</f>
        <v/>
      </c>
    </row>
    <row r="921">
      <c r="A921" s="5" t="n">
        <v>46185</v>
      </c>
      <c r="B921" t="inlineStr">
        <is>
          <t>J-0367</t>
        </is>
      </c>
      <c r="C921" t="n">
        <v>2</v>
      </c>
      <c r="D921" t="inlineStr">
        <is>
          <t>1000</t>
        </is>
      </c>
      <c r="E921" t="inlineStr">
        <is>
          <t>Cash &amp; Bank</t>
        </is>
      </c>
      <c r="F921" s="6" t="n">
        <v>0</v>
      </c>
      <c r="G921" s="6" t="n">
        <v>8725.41</v>
      </c>
      <c r="H921" t="inlineStr">
        <is>
          <t>Utilities (power/water/phone)</t>
        </is>
      </c>
      <c r="I921" t="inlineStr"/>
      <c r="J921">
        <f>YEAR(A921)*12+MONTH(A921)</f>
        <v/>
      </c>
    </row>
    <row r="922">
      <c r="A922" s="5" t="n">
        <v>46191</v>
      </c>
      <c r="B922" t="inlineStr">
        <is>
          <t>J-0368</t>
        </is>
      </c>
      <c r="C922" t="n">
        <v>1</v>
      </c>
      <c r="D922" t="inlineStr">
        <is>
          <t>5400</t>
        </is>
      </c>
      <c r="E922" t="inlineStr">
        <is>
          <t>Transport &amp; Logistics</t>
        </is>
      </c>
      <c r="F922" s="6" t="n">
        <v>16340.79</v>
      </c>
      <c r="G922" s="6" t="n">
        <v>0</v>
      </c>
      <c r="H922" t="inlineStr">
        <is>
          <t>Transport &amp; logistics</t>
        </is>
      </c>
      <c r="I922" t="inlineStr"/>
      <c r="J922">
        <f>YEAR(A922)*12+MONTH(A922)</f>
        <v/>
      </c>
    </row>
    <row r="923">
      <c r="A923" s="5" t="n">
        <v>46191</v>
      </c>
      <c r="B923" t="inlineStr">
        <is>
          <t>J-0368</t>
        </is>
      </c>
      <c r="C923" t="n">
        <v>2</v>
      </c>
      <c r="D923" t="inlineStr">
        <is>
          <t>1000</t>
        </is>
      </c>
      <c r="E923" t="inlineStr">
        <is>
          <t>Cash &amp; Bank</t>
        </is>
      </c>
      <c r="F923" s="6" t="n">
        <v>0</v>
      </c>
      <c r="G923" s="6" t="n">
        <v>16340.79</v>
      </c>
      <c r="H923" t="inlineStr">
        <is>
          <t>Transport &amp; logistics</t>
        </is>
      </c>
      <c r="I923" t="inlineStr"/>
      <c r="J923">
        <f>YEAR(A923)*12+MONTH(A923)</f>
        <v/>
      </c>
    </row>
    <row r="924">
      <c r="A924" s="5" t="n">
        <v>46193</v>
      </c>
      <c r="B924" t="inlineStr">
        <is>
          <t>J-0369</t>
        </is>
      </c>
      <c r="C924" t="n">
        <v>1</v>
      </c>
      <c r="D924" t="inlineStr">
        <is>
          <t>5500</t>
        </is>
      </c>
      <c r="E924" t="inlineStr">
        <is>
          <t>Marketing Expense</t>
        </is>
      </c>
      <c r="F924" s="6" t="n">
        <v>17908.84</v>
      </c>
      <c r="G924" s="6" t="n">
        <v>0</v>
      </c>
      <c r="H924" t="inlineStr">
        <is>
          <t>Marketing &amp; promotions</t>
        </is>
      </c>
      <c r="I924" t="inlineStr"/>
      <c r="J924">
        <f>YEAR(A924)*12+MONTH(A924)</f>
        <v/>
      </c>
    </row>
    <row r="925">
      <c r="A925" s="5" t="n">
        <v>46193</v>
      </c>
      <c r="B925" t="inlineStr">
        <is>
          <t>J-0369</t>
        </is>
      </c>
      <c r="C925" t="n">
        <v>2</v>
      </c>
      <c r="D925" t="inlineStr">
        <is>
          <t>1000</t>
        </is>
      </c>
      <c r="E925" t="inlineStr">
        <is>
          <t>Cash &amp; Bank</t>
        </is>
      </c>
      <c r="F925" s="6" t="n">
        <v>0</v>
      </c>
      <c r="G925" s="6" t="n">
        <v>17908.84</v>
      </c>
      <c r="H925" t="inlineStr">
        <is>
          <t>Marketing &amp; promotions</t>
        </is>
      </c>
      <c r="I925" t="inlineStr"/>
      <c r="J925">
        <f>YEAR(A925)*12+MONTH(A925)</f>
        <v/>
      </c>
    </row>
    <row r="926">
      <c r="A926" s="5" t="n">
        <v>46183</v>
      </c>
      <c r="B926" t="inlineStr">
        <is>
          <t>J-0370</t>
        </is>
      </c>
      <c r="C926" t="n">
        <v>1</v>
      </c>
      <c r="D926" t="inlineStr">
        <is>
          <t>5600</t>
        </is>
      </c>
      <c r="E926" t="inlineStr">
        <is>
          <t>Interest Expense</t>
        </is>
      </c>
      <c r="F926" s="6" t="n">
        <v>9000</v>
      </c>
      <c r="G926" s="6" t="n">
        <v>0</v>
      </c>
      <c r="H926" t="inlineStr">
        <is>
          <t>Term loan interest</t>
        </is>
      </c>
      <c r="I926" t="inlineStr">
        <is>
          <t>HDFC</t>
        </is>
      </c>
      <c r="J926">
        <f>YEAR(A926)*12+MONTH(A926)</f>
        <v/>
      </c>
    </row>
    <row r="927">
      <c r="A927" s="5" t="n">
        <v>46183</v>
      </c>
      <c r="B927" t="inlineStr">
        <is>
          <t>J-0370</t>
        </is>
      </c>
      <c r="C927" t="n">
        <v>2</v>
      </c>
      <c r="D927" t="inlineStr">
        <is>
          <t>1000</t>
        </is>
      </c>
      <c r="E927" t="inlineStr">
        <is>
          <t>Cash &amp; Bank</t>
        </is>
      </c>
      <c r="F927" s="6" t="n">
        <v>0</v>
      </c>
      <c r="G927" s="6" t="n">
        <v>9000</v>
      </c>
      <c r="H927" t="inlineStr">
        <is>
          <t>Term loan interest</t>
        </is>
      </c>
      <c r="I927" t="inlineStr">
        <is>
          <t>HDFC</t>
        </is>
      </c>
      <c r="J927">
        <f>YEAR(A927)*12+MONTH(A927)</f>
        <v/>
      </c>
    </row>
    <row r="928">
      <c r="A928" s="5" t="n">
        <v>46183</v>
      </c>
      <c r="B928" t="inlineStr">
        <is>
          <t>J-0371</t>
        </is>
      </c>
      <c r="C928" t="n">
        <v>1</v>
      </c>
      <c r="D928" t="inlineStr">
        <is>
          <t>2200</t>
        </is>
      </c>
      <c r="E928" t="inlineStr">
        <is>
          <t>Term Loan</t>
        </is>
      </c>
      <c r="F928" s="6" t="n">
        <v>55000</v>
      </c>
      <c r="G928" s="6" t="n">
        <v>0</v>
      </c>
      <c r="H928" t="inlineStr">
        <is>
          <t>Term loan principal repayment</t>
        </is>
      </c>
      <c r="I928" t="inlineStr">
        <is>
          <t>HDFC</t>
        </is>
      </c>
      <c r="J928">
        <f>YEAR(A928)*12+MONTH(A928)</f>
        <v/>
      </c>
    </row>
    <row r="929">
      <c r="A929" s="5" t="n">
        <v>46183</v>
      </c>
      <c r="B929" t="inlineStr">
        <is>
          <t>J-0371</t>
        </is>
      </c>
      <c r="C929" t="n">
        <v>2</v>
      </c>
      <c r="D929" t="inlineStr">
        <is>
          <t>1000</t>
        </is>
      </c>
      <c r="E929" t="inlineStr">
        <is>
          <t>Cash &amp; Bank</t>
        </is>
      </c>
      <c r="F929" s="6" t="n">
        <v>0</v>
      </c>
      <c r="G929" s="6" t="n">
        <v>55000</v>
      </c>
      <c r="H929" t="inlineStr">
        <is>
          <t>Term loan principal repayment</t>
        </is>
      </c>
      <c r="I929" t="inlineStr">
        <is>
          <t>HDFC</t>
        </is>
      </c>
      <c r="J929">
        <f>YEAR(A929)*12+MONTH(A929)</f>
        <v/>
      </c>
    </row>
    <row r="930">
      <c r="A930" s="5" t="n">
        <v>46203</v>
      </c>
      <c r="B930" t="inlineStr">
        <is>
          <t>J-0372</t>
        </is>
      </c>
      <c r="C930" t="n">
        <v>1</v>
      </c>
      <c r="D930" t="inlineStr">
        <is>
          <t>5700</t>
        </is>
      </c>
      <c r="E930" t="inlineStr">
        <is>
          <t>Depreciation Expense</t>
        </is>
      </c>
      <c r="F930" s="6" t="n">
        <v>6000</v>
      </c>
      <c r="G930" s="6" t="n">
        <v>0</v>
      </c>
      <c r="H930" t="inlineStr">
        <is>
          <t>Depreciation - equipment</t>
        </is>
      </c>
      <c r="I930" t="inlineStr"/>
      <c r="J930">
        <f>YEAR(A930)*12+MONTH(A930)</f>
        <v/>
      </c>
    </row>
    <row r="931">
      <c r="A931" s="5" t="n">
        <v>46203</v>
      </c>
      <c r="B931" t="inlineStr">
        <is>
          <t>J-0372</t>
        </is>
      </c>
      <c r="C931" t="n">
        <v>2</v>
      </c>
      <c r="D931" t="inlineStr">
        <is>
          <t>1510</t>
        </is>
      </c>
      <c r="E931" t="inlineStr">
        <is>
          <t>Accumulated Depreciation</t>
        </is>
      </c>
      <c r="F931" s="6" t="n">
        <v>0</v>
      </c>
      <c r="G931" s="6" t="n">
        <v>6000</v>
      </c>
      <c r="H931" t="inlineStr">
        <is>
          <t>Depreciation - equipment</t>
        </is>
      </c>
      <c r="I931" t="inlineStr"/>
      <c r="J931">
        <f>YEAR(A931)*12+MONTH(A931)</f>
        <v/>
      </c>
    </row>
    <row r="932">
      <c r="A932" s="5" t="n">
        <v>46197</v>
      </c>
      <c r="B932" t="inlineStr">
        <is>
          <t>J-0373</t>
        </is>
      </c>
      <c r="C932" t="n">
        <v>1</v>
      </c>
      <c r="D932" t="inlineStr">
        <is>
          <t>5800</t>
        </is>
      </c>
      <c r="E932" t="inlineStr">
        <is>
          <t>Miscellaneous Expense</t>
        </is>
      </c>
      <c r="F932" s="6" t="n">
        <v>6537.52</v>
      </c>
      <c r="G932" s="6" t="n">
        <v>0</v>
      </c>
      <c r="H932" t="inlineStr">
        <is>
          <t>Miscellaneous expenses</t>
        </is>
      </c>
      <c r="I932" t="inlineStr"/>
      <c r="J932">
        <f>YEAR(A932)*12+MONTH(A932)</f>
        <v/>
      </c>
    </row>
    <row r="933">
      <c r="A933" s="5" t="n">
        <v>46197</v>
      </c>
      <c r="B933" t="inlineStr">
        <is>
          <t>J-0373</t>
        </is>
      </c>
      <c r="C933" t="n">
        <v>2</v>
      </c>
      <c r="D933" t="inlineStr">
        <is>
          <t>1000</t>
        </is>
      </c>
      <c r="E933" t="inlineStr">
        <is>
          <t>Cash &amp; Bank</t>
        </is>
      </c>
      <c r="F933" s="6" t="n">
        <v>0</v>
      </c>
      <c r="G933" s="6" t="n">
        <v>6537.52</v>
      </c>
      <c r="H933" t="inlineStr">
        <is>
          <t>Miscellaneous expenses</t>
        </is>
      </c>
      <c r="I933" t="inlineStr"/>
      <c r="J933">
        <f>YEAR(A933)*12+MONTH(A933)</f>
        <v/>
      </c>
    </row>
    <row r="934">
      <c r="A934" s="5" t="n">
        <v>46214</v>
      </c>
      <c r="B934" t="inlineStr">
        <is>
          <t>J-0374</t>
        </is>
      </c>
      <c r="C934" t="n">
        <v>1</v>
      </c>
      <c r="D934" t="inlineStr">
        <is>
          <t>1100</t>
        </is>
      </c>
      <c r="E934" t="inlineStr">
        <is>
          <t>Accounts Receivable</t>
        </is>
      </c>
      <c r="F934" s="6" t="n">
        <v>840018.99</v>
      </c>
      <c r="G934" s="6" t="n">
        <v>0</v>
      </c>
      <c r="H934" t="inlineStr">
        <is>
          <t>Sales invoice INV-202607-1</t>
        </is>
      </c>
      <c r="I934" t="inlineStr">
        <is>
          <t>Patna Daily Needs</t>
        </is>
      </c>
      <c r="J934">
        <f>YEAR(A934)*12+MONTH(A934)</f>
        <v/>
      </c>
    </row>
    <row r="935">
      <c r="A935" s="5" t="n">
        <v>46214</v>
      </c>
      <c r="B935" t="inlineStr">
        <is>
          <t>J-0374</t>
        </is>
      </c>
      <c r="C935" t="n">
        <v>2</v>
      </c>
      <c r="D935" t="inlineStr">
        <is>
          <t>4000</t>
        </is>
      </c>
      <c r="E935" t="inlineStr">
        <is>
          <t>Sales Revenue</t>
        </is>
      </c>
      <c r="F935" s="6" t="n">
        <v>0</v>
      </c>
      <c r="G935" s="6" t="n">
        <v>711880.5</v>
      </c>
      <c r="H935" t="inlineStr">
        <is>
          <t>Sales invoice INV-202607-1</t>
        </is>
      </c>
      <c r="I935" t="inlineStr">
        <is>
          <t>Patna Daily Needs</t>
        </is>
      </c>
      <c r="J935">
        <f>YEAR(A935)*12+MONTH(A935)</f>
        <v/>
      </c>
    </row>
    <row r="936">
      <c r="A936" s="5" t="n">
        <v>46214</v>
      </c>
      <c r="B936" t="inlineStr">
        <is>
          <t>J-0374</t>
        </is>
      </c>
      <c r="C936" t="n">
        <v>3</v>
      </c>
      <c r="D936" t="inlineStr">
        <is>
          <t>2100</t>
        </is>
      </c>
      <c r="E936" t="inlineStr">
        <is>
          <t>GST Payable</t>
        </is>
      </c>
      <c r="F936" s="6" t="n">
        <v>0</v>
      </c>
      <c r="G936" s="6" t="n">
        <v>128138.49</v>
      </c>
      <c r="H936" t="inlineStr">
        <is>
          <t>Sales invoice INV-202607-1</t>
        </is>
      </c>
      <c r="I936" t="inlineStr">
        <is>
          <t>GST</t>
        </is>
      </c>
      <c r="J936">
        <f>YEAR(A936)*12+MONTH(A936)</f>
        <v/>
      </c>
    </row>
    <row r="937">
      <c r="A937" s="5" t="n">
        <v>46214</v>
      </c>
      <c r="B937" t="inlineStr">
        <is>
          <t>J-0375</t>
        </is>
      </c>
      <c r="C937" t="n">
        <v>1</v>
      </c>
      <c r="D937" t="inlineStr">
        <is>
          <t>1100</t>
        </is>
      </c>
      <c r="E937" t="inlineStr">
        <is>
          <t>Accounts Receivable</t>
        </is>
      </c>
      <c r="F937" s="6" t="n">
        <v>520627.94</v>
      </c>
      <c r="G937" s="6" t="n">
        <v>0</v>
      </c>
      <c r="H937" t="inlineStr">
        <is>
          <t>Sales invoice INV-202607-2</t>
        </is>
      </c>
      <c r="I937" t="inlineStr">
        <is>
          <t>Gupta Super Bazaar</t>
        </is>
      </c>
      <c r="J937">
        <f>YEAR(A937)*12+MONTH(A937)</f>
        <v/>
      </c>
    </row>
    <row r="938">
      <c r="A938" s="5" t="n">
        <v>46214</v>
      </c>
      <c r="B938" t="inlineStr">
        <is>
          <t>J-0375</t>
        </is>
      </c>
      <c r="C938" t="n">
        <v>2</v>
      </c>
      <c r="D938" t="inlineStr">
        <is>
          <t>4000</t>
        </is>
      </c>
      <c r="E938" t="inlineStr">
        <is>
          <t>Sales Revenue</t>
        </is>
      </c>
      <c r="F938" s="6" t="n">
        <v>0</v>
      </c>
      <c r="G938" s="6" t="n">
        <v>441210.12</v>
      </c>
      <c r="H938" t="inlineStr">
        <is>
          <t>Sales invoice INV-202607-2</t>
        </is>
      </c>
      <c r="I938" t="inlineStr">
        <is>
          <t>Gupta Super Bazaar</t>
        </is>
      </c>
      <c r="J938">
        <f>YEAR(A938)*12+MONTH(A938)</f>
        <v/>
      </c>
    </row>
    <row r="939">
      <c r="A939" s="5" t="n">
        <v>46214</v>
      </c>
      <c r="B939" t="inlineStr">
        <is>
          <t>J-0375</t>
        </is>
      </c>
      <c r="C939" t="n">
        <v>3</v>
      </c>
      <c r="D939" t="inlineStr">
        <is>
          <t>2100</t>
        </is>
      </c>
      <c r="E939" t="inlineStr">
        <is>
          <t>GST Payable</t>
        </is>
      </c>
      <c r="F939" s="6" t="n">
        <v>0</v>
      </c>
      <c r="G939" s="6" t="n">
        <v>79417.82000000001</v>
      </c>
      <c r="H939" t="inlineStr">
        <is>
          <t>Sales invoice INV-202607-2</t>
        </is>
      </c>
      <c r="I939" t="inlineStr">
        <is>
          <t>GST</t>
        </is>
      </c>
      <c r="J939">
        <f>YEAR(A939)*12+MONTH(A939)</f>
        <v/>
      </c>
    </row>
    <row r="940">
      <c r="A940" s="5" t="n">
        <v>46209</v>
      </c>
      <c r="B940" t="inlineStr">
        <is>
          <t>J-0376</t>
        </is>
      </c>
      <c r="C940" t="n">
        <v>1</v>
      </c>
      <c r="D940" t="inlineStr">
        <is>
          <t>1100</t>
        </is>
      </c>
      <c r="E940" t="inlineStr">
        <is>
          <t>Accounts Receivable</t>
        </is>
      </c>
      <c r="F940" s="6" t="n">
        <v>430143.56</v>
      </c>
      <c r="G940" s="6" t="n">
        <v>0</v>
      </c>
      <c r="H940" t="inlineStr">
        <is>
          <t>Sales invoice INV-202607-3</t>
        </is>
      </c>
      <c r="I940" t="inlineStr">
        <is>
          <t>Maa Vaishno Stores</t>
        </is>
      </c>
      <c r="J940">
        <f>YEAR(A940)*12+MONTH(A940)</f>
        <v/>
      </c>
    </row>
    <row r="941">
      <c r="A941" s="5" t="n">
        <v>46209</v>
      </c>
      <c r="B941" t="inlineStr">
        <is>
          <t>J-0376</t>
        </is>
      </c>
      <c r="C941" t="n">
        <v>2</v>
      </c>
      <c r="D941" t="inlineStr">
        <is>
          <t>4000</t>
        </is>
      </c>
      <c r="E941" t="inlineStr">
        <is>
          <t>Sales Revenue</t>
        </is>
      </c>
      <c r="F941" s="6" t="n">
        <v>0</v>
      </c>
      <c r="G941" s="6" t="n">
        <v>364528.44</v>
      </c>
      <c r="H941" t="inlineStr">
        <is>
          <t>Sales invoice INV-202607-3</t>
        </is>
      </c>
      <c r="I941" t="inlineStr">
        <is>
          <t>Maa Vaishno Stores</t>
        </is>
      </c>
      <c r="J941">
        <f>YEAR(A941)*12+MONTH(A941)</f>
        <v/>
      </c>
    </row>
    <row r="942">
      <c r="A942" s="5" t="n">
        <v>46209</v>
      </c>
      <c r="B942" t="inlineStr">
        <is>
          <t>J-0376</t>
        </is>
      </c>
      <c r="C942" t="n">
        <v>3</v>
      </c>
      <c r="D942" t="inlineStr">
        <is>
          <t>2100</t>
        </is>
      </c>
      <c r="E942" t="inlineStr">
        <is>
          <t>GST Payable</t>
        </is>
      </c>
      <c r="F942" s="6" t="n">
        <v>0</v>
      </c>
      <c r="G942" s="6" t="n">
        <v>65615.12</v>
      </c>
      <c r="H942" t="inlineStr">
        <is>
          <t>Sales invoice INV-202607-3</t>
        </is>
      </c>
      <c r="I942" t="inlineStr">
        <is>
          <t>GST</t>
        </is>
      </c>
      <c r="J942">
        <f>YEAR(A942)*12+MONTH(A942)</f>
        <v/>
      </c>
    </row>
    <row r="943">
      <c r="A943" s="5" t="n">
        <v>46222</v>
      </c>
      <c r="B943" t="inlineStr">
        <is>
          <t>J-0377</t>
        </is>
      </c>
      <c r="C943" t="n">
        <v>1</v>
      </c>
      <c r="D943" t="inlineStr">
        <is>
          <t>1100</t>
        </is>
      </c>
      <c r="E943" t="inlineStr">
        <is>
          <t>Accounts Receivable</t>
        </is>
      </c>
      <c r="F943" s="6" t="n">
        <v>540489.76</v>
      </c>
      <c r="G943" s="6" t="n">
        <v>0</v>
      </c>
      <c r="H943" t="inlineStr">
        <is>
          <t>Sales invoice INV-202607-4</t>
        </is>
      </c>
      <c r="I943" t="inlineStr">
        <is>
          <t>Sharma General Store</t>
        </is>
      </c>
      <c r="J943">
        <f>YEAR(A943)*12+MONTH(A943)</f>
        <v/>
      </c>
    </row>
    <row r="944">
      <c r="A944" s="5" t="n">
        <v>46222</v>
      </c>
      <c r="B944" t="inlineStr">
        <is>
          <t>J-0377</t>
        </is>
      </c>
      <c r="C944" t="n">
        <v>2</v>
      </c>
      <c r="D944" t="inlineStr">
        <is>
          <t>4000</t>
        </is>
      </c>
      <c r="E944" t="inlineStr">
        <is>
          <t>Sales Revenue</t>
        </is>
      </c>
      <c r="F944" s="6" t="n">
        <v>0</v>
      </c>
      <c r="G944" s="6" t="n">
        <v>458042.17</v>
      </c>
      <c r="H944" t="inlineStr">
        <is>
          <t>Sales invoice INV-202607-4</t>
        </is>
      </c>
      <c r="I944" t="inlineStr">
        <is>
          <t>Sharma General Store</t>
        </is>
      </c>
      <c r="J944">
        <f>YEAR(A944)*12+MONTH(A944)</f>
        <v/>
      </c>
    </row>
    <row r="945">
      <c r="A945" s="5" t="n">
        <v>46222</v>
      </c>
      <c r="B945" t="inlineStr">
        <is>
          <t>J-0377</t>
        </is>
      </c>
      <c r="C945" t="n">
        <v>3</v>
      </c>
      <c r="D945" t="inlineStr">
        <is>
          <t>2100</t>
        </is>
      </c>
      <c r="E945" t="inlineStr">
        <is>
          <t>GST Payable</t>
        </is>
      </c>
      <c r="F945" s="6" t="n">
        <v>0</v>
      </c>
      <c r="G945" s="6" t="n">
        <v>82447.59</v>
      </c>
      <c r="H945" t="inlineStr">
        <is>
          <t>Sales invoice INV-202607-4</t>
        </is>
      </c>
      <c r="I945" t="inlineStr">
        <is>
          <t>GST</t>
        </is>
      </c>
      <c r="J945">
        <f>YEAR(A945)*12+MONTH(A945)</f>
        <v/>
      </c>
    </row>
    <row r="946">
      <c r="A946" s="5" t="n">
        <v>46225</v>
      </c>
      <c r="B946" t="inlineStr">
        <is>
          <t>J-0378</t>
        </is>
      </c>
      <c r="C946" t="n">
        <v>1</v>
      </c>
      <c r="D946" t="inlineStr">
        <is>
          <t>1100</t>
        </is>
      </c>
      <c r="E946" t="inlineStr">
        <is>
          <t>Accounts Receivable</t>
        </is>
      </c>
      <c r="F946" s="6" t="n">
        <v>548050.23</v>
      </c>
      <c r="G946" s="6" t="n">
        <v>0</v>
      </c>
      <c r="H946" t="inlineStr">
        <is>
          <t>Sales invoice INV-202607-5</t>
        </is>
      </c>
      <c r="I946" t="inlineStr">
        <is>
          <t>Gupta Super Bazaar</t>
        </is>
      </c>
      <c r="J946">
        <f>YEAR(A946)*12+MONTH(A946)</f>
        <v/>
      </c>
    </row>
    <row r="947">
      <c r="A947" s="5" t="n">
        <v>46225</v>
      </c>
      <c r="B947" t="inlineStr">
        <is>
          <t>J-0378</t>
        </is>
      </c>
      <c r="C947" t="n">
        <v>2</v>
      </c>
      <c r="D947" t="inlineStr">
        <is>
          <t>4000</t>
        </is>
      </c>
      <c r="E947" t="inlineStr">
        <is>
          <t>Sales Revenue</t>
        </is>
      </c>
      <c r="F947" s="6" t="n">
        <v>0</v>
      </c>
      <c r="G947" s="6" t="n">
        <v>464449.35</v>
      </c>
      <c r="H947" t="inlineStr">
        <is>
          <t>Sales invoice INV-202607-5</t>
        </is>
      </c>
      <c r="I947" t="inlineStr">
        <is>
          <t>Gupta Super Bazaar</t>
        </is>
      </c>
      <c r="J947">
        <f>YEAR(A947)*12+MONTH(A947)</f>
        <v/>
      </c>
    </row>
    <row r="948">
      <c r="A948" s="5" t="n">
        <v>46225</v>
      </c>
      <c r="B948" t="inlineStr">
        <is>
          <t>J-0378</t>
        </is>
      </c>
      <c r="C948" t="n">
        <v>3</v>
      </c>
      <c r="D948" t="inlineStr">
        <is>
          <t>2100</t>
        </is>
      </c>
      <c r="E948" t="inlineStr">
        <is>
          <t>GST Payable</t>
        </is>
      </c>
      <c r="F948" s="6" t="n">
        <v>0</v>
      </c>
      <c r="G948" s="6" t="n">
        <v>83600.88</v>
      </c>
      <c r="H948" t="inlineStr">
        <is>
          <t>Sales invoice INV-202607-5</t>
        </is>
      </c>
      <c r="I948" t="inlineStr">
        <is>
          <t>GST</t>
        </is>
      </c>
      <c r="J948">
        <f>YEAR(A948)*12+MONTH(A948)</f>
        <v/>
      </c>
    </row>
    <row r="949">
      <c r="A949" s="5" t="n">
        <v>46208</v>
      </c>
      <c r="B949" t="inlineStr">
        <is>
          <t>J-0379</t>
        </is>
      </c>
      <c r="C949" t="n">
        <v>1</v>
      </c>
      <c r="D949" t="inlineStr">
        <is>
          <t>1100</t>
        </is>
      </c>
      <c r="E949" t="inlineStr">
        <is>
          <t>Accounts Receivable</t>
        </is>
      </c>
      <c r="F949" s="6" t="n">
        <v>792494.05</v>
      </c>
      <c r="G949" s="6" t="n">
        <v>0</v>
      </c>
      <c r="H949" t="inlineStr">
        <is>
          <t>Sales invoice INV-202607-6</t>
        </is>
      </c>
      <c r="I949" t="inlineStr">
        <is>
          <t>Rajdhani Traders</t>
        </is>
      </c>
      <c r="J949">
        <f>YEAR(A949)*12+MONTH(A949)</f>
        <v/>
      </c>
    </row>
    <row r="950">
      <c r="A950" s="5" t="n">
        <v>46208</v>
      </c>
      <c r="B950" t="inlineStr">
        <is>
          <t>J-0379</t>
        </is>
      </c>
      <c r="C950" t="n">
        <v>2</v>
      </c>
      <c r="D950" t="inlineStr">
        <is>
          <t>4000</t>
        </is>
      </c>
      <c r="E950" t="inlineStr">
        <is>
          <t>Sales Revenue</t>
        </is>
      </c>
      <c r="F950" s="6" t="n">
        <v>0</v>
      </c>
      <c r="G950" s="6" t="n">
        <v>671605.13</v>
      </c>
      <c r="H950" t="inlineStr">
        <is>
          <t>Sales invoice INV-202607-6</t>
        </is>
      </c>
      <c r="I950" t="inlineStr">
        <is>
          <t>Rajdhani Traders</t>
        </is>
      </c>
      <c r="J950">
        <f>YEAR(A950)*12+MONTH(A950)</f>
        <v/>
      </c>
    </row>
    <row r="951">
      <c r="A951" s="5" t="n">
        <v>46208</v>
      </c>
      <c r="B951" t="inlineStr">
        <is>
          <t>J-0379</t>
        </is>
      </c>
      <c r="C951" t="n">
        <v>3</v>
      </c>
      <c r="D951" t="inlineStr">
        <is>
          <t>2100</t>
        </is>
      </c>
      <c r="E951" t="inlineStr">
        <is>
          <t>GST Payable</t>
        </is>
      </c>
      <c r="F951" s="6" t="n">
        <v>0</v>
      </c>
      <c r="G951" s="6" t="n">
        <v>120888.92</v>
      </c>
      <c r="H951" t="inlineStr">
        <is>
          <t>Sales invoice INV-202607-6</t>
        </is>
      </c>
      <c r="I951" t="inlineStr">
        <is>
          <t>GST</t>
        </is>
      </c>
      <c r="J951">
        <f>YEAR(A951)*12+MONTH(A951)</f>
        <v/>
      </c>
    </row>
    <row r="952">
      <c r="A952" s="5" t="n">
        <v>46214</v>
      </c>
      <c r="B952" t="inlineStr">
        <is>
          <t>J-0380</t>
        </is>
      </c>
      <c r="C952" t="n">
        <v>1</v>
      </c>
      <c r="D952" t="inlineStr">
        <is>
          <t>1100</t>
        </is>
      </c>
      <c r="E952" t="inlineStr">
        <is>
          <t>Accounts Receivable</t>
        </is>
      </c>
      <c r="F952" s="6" t="n">
        <v>794300.28</v>
      </c>
      <c r="G952" s="6" t="n">
        <v>0</v>
      </c>
      <c r="H952" t="inlineStr">
        <is>
          <t>Sales invoice INV-202607-7</t>
        </is>
      </c>
      <c r="I952" t="inlineStr">
        <is>
          <t>Annapurna Retail</t>
        </is>
      </c>
      <c r="J952">
        <f>YEAR(A952)*12+MONTH(A952)</f>
        <v/>
      </c>
    </row>
    <row r="953">
      <c r="A953" s="5" t="n">
        <v>46214</v>
      </c>
      <c r="B953" t="inlineStr">
        <is>
          <t>J-0380</t>
        </is>
      </c>
      <c r="C953" t="n">
        <v>2</v>
      </c>
      <c r="D953" t="inlineStr">
        <is>
          <t>4000</t>
        </is>
      </c>
      <c r="E953" t="inlineStr">
        <is>
          <t>Sales Revenue</t>
        </is>
      </c>
      <c r="F953" s="6" t="n">
        <v>0</v>
      </c>
      <c r="G953" s="6" t="n">
        <v>673135.83</v>
      </c>
      <c r="H953" t="inlineStr">
        <is>
          <t>Sales invoice INV-202607-7</t>
        </is>
      </c>
      <c r="I953" t="inlineStr">
        <is>
          <t>Annapurna Retail</t>
        </is>
      </c>
      <c r="J953">
        <f>YEAR(A953)*12+MONTH(A953)</f>
        <v/>
      </c>
    </row>
    <row r="954">
      <c r="A954" s="5" t="n">
        <v>46214</v>
      </c>
      <c r="B954" t="inlineStr">
        <is>
          <t>J-0380</t>
        </is>
      </c>
      <c r="C954" t="n">
        <v>3</v>
      </c>
      <c r="D954" t="inlineStr">
        <is>
          <t>2100</t>
        </is>
      </c>
      <c r="E954" t="inlineStr">
        <is>
          <t>GST Payable</t>
        </is>
      </c>
      <c r="F954" s="6" t="n">
        <v>0</v>
      </c>
      <c r="G954" s="6" t="n">
        <v>121164.45</v>
      </c>
      <c r="H954" t="inlineStr">
        <is>
          <t>Sales invoice INV-202607-7</t>
        </is>
      </c>
      <c r="I954" t="inlineStr">
        <is>
          <t>GST</t>
        </is>
      </c>
      <c r="J954">
        <f>YEAR(A954)*12+MONTH(A954)</f>
        <v/>
      </c>
    </row>
    <row r="955">
      <c r="A955" s="5" t="n">
        <v>46230</v>
      </c>
      <c r="B955" t="inlineStr">
        <is>
          <t>J-0381</t>
        </is>
      </c>
      <c r="C955" t="n">
        <v>1</v>
      </c>
      <c r="D955" t="inlineStr">
        <is>
          <t>5000</t>
        </is>
      </c>
      <c r="E955" t="inlineStr">
        <is>
          <t>Cost of Goods Sold</t>
        </is>
      </c>
      <c r="F955" s="6" t="n">
        <v>2644762.96</v>
      </c>
      <c r="G955" s="6" t="n">
        <v>0</v>
      </c>
      <c r="H955" t="inlineStr">
        <is>
          <t>Cost of goods sold - monthly</t>
        </is>
      </c>
      <c r="I955" t="inlineStr"/>
      <c r="J955">
        <f>YEAR(A955)*12+MONTH(A955)</f>
        <v/>
      </c>
    </row>
    <row r="956">
      <c r="A956" s="5" t="n">
        <v>46230</v>
      </c>
      <c r="B956" t="inlineStr">
        <is>
          <t>J-0381</t>
        </is>
      </c>
      <c r="C956" t="n">
        <v>2</v>
      </c>
      <c r="D956" t="inlineStr">
        <is>
          <t>1200</t>
        </is>
      </c>
      <c r="E956" t="inlineStr">
        <is>
          <t>Inventory</t>
        </is>
      </c>
      <c r="F956" s="6" t="n">
        <v>0</v>
      </c>
      <c r="G956" s="6" t="n">
        <v>2644762.96</v>
      </c>
      <c r="H956" t="inlineStr">
        <is>
          <t>Cost of goods sold - monthly</t>
        </is>
      </c>
      <c r="I956" t="inlineStr"/>
      <c r="J956">
        <f>YEAR(A956)*12+MONTH(A956)</f>
        <v/>
      </c>
    </row>
    <row r="957">
      <c r="A957" s="5" t="n">
        <v>46231</v>
      </c>
      <c r="B957" t="inlineStr">
        <is>
          <t>J-0382</t>
        </is>
      </c>
      <c r="C957" t="n">
        <v>1</v>
      </c>
      <c r="D957" t="inlineStr">
        <is>
          <t>1000</t>
        </is>
      </c>
      <c r="E957" t="inlineStr">
        <is>
          <t>Cash &amp; Bank</t>
        </is>
      </c>
      <c r="F957" s="6" t="n">
        <v>3769618.72</v>
      </c>
      <c r="G957" s="6" t="n">
        <v>0</v>
      </c>
      <c r="H957" t="inlineStr">
        <is>
          <t>Customer receipts</t>
        </is>
      </c>
      <c r="I957" t="inlineStr"/>
      <c r="J957">
        <f>YEAR(A957)*12+MONTH(A957)</f>
        <v/>
      </c>
    </row>
    <row r="958">
      <c r="A958" s="5" t="n">
        <v>46231</v>
      </c>
      <c r="B958" t="inlineStr">
        <is>
          <t>J-0382</t>
        </is>
      </c>
      <c r="C958" t="n">
        <v>2</v>
      </c>
      <c r="D958" t="inlineStr">
        <is>
          <t>1100</t>
        </is>
      </c>
      <c r="E958" t="inlineStr">
        <is>
          <t>Accounts Receivable</t>
        </is>
      </c>
      <c r="F958" s="6" t="n">
        <v>0</v>
      </c>
      <c r="G958" s="6" t="n">
        <v>3769618.72</v>
      </c>
      <c r="H958" t="inlineStr">
        <is>
          <t>Customer receipts</t>
        </is>
      </c>
      <c r="I958" t="inlineStr"/>
      <c r="J958">
        <f>YEAR(A958)*12+MONTH(A958)</f>
        <v/>
      </c>
    </row>
    <row r="959">
      <c r="A959" s="5" t="n">
        <v>46209</v>
      </c>
      <c r="B959" t="inlineStr">
        <is>
          <t>J-0383</t>
        </is>
      </c>
      <c r="C959" t="n">
        <v>1</v>
      </c>
      <c r="D959" t="inlineStr">
        <is>
          <t>1200</t>
        </is>
      </c>
      <c r="E959" t="inlineStr">
        <is>
          <t>Inventory</t>
        </is>
      </c>
      <c r="F959" s="6" t="n">
        <v>420332.77</v>
      </c>
      <c r="G959" s="6" t="n">
        <v>0</v>
      </c>
      <c r="H959" t="inlineStr">
        <is>
          <t>Purchase bill PB-202607-1</t>
        </is>
      </c>
      <c r="I959" t="inlineStr">
        <is>
          <t>Eastern Packaging Co</t>
        </is>
      </c>
      <c r="J959">
        <f>YEAR(A959)*12+MONTH(A959)</f>
        <v/>
      </c>
    </row>
    <row r="960">
      <c r="A960" s="5" t="n">
        <v>46209</v>
      </c>
      <c r="B960" t="inlineStr">
        <is>
          <t>J-0383</t>
        </is>
      </c>
      <c r="C960" t="n">
        <v>2</v>
      </c>
      <c r="D960" t="inlineStr">
        <is>
          <t>1300</t>
        </is>
      </c>
      <c r="E960" t="inlineStr">
        <is>
          <t>GST Input Credit</t>
        </is>
      </c>
      <c r="F960" s="6" t="n">
        <v>75659.89999999999</v>
      </c>
      <c r="G960" s="6" t="n">
        <v>0</v>
      </c>
      <c r="H960" t="inlineStr">
        <is>
          <t>Purchase bill PB-202607-1</t>
        </is>
      </c>
      <c r="I960" t="inlineStr">
        <is>
          <t>Eastern Packaging Co</t>
        </is>
      </c>
      <c r="J960">
        <f>YEAR(A960)*12+MONTH(A960)</f>
        <v/>
      </c>
    </row>
    <row r="961">
      <c r="A961" s="5" t="n">
        <v>46209</v>
      </c>
      <c r="B961" t="inlineStr">
        <is>
          <t>J-0383</t>
        </is>
      </c>
      <c r="C961" t="n">
        <v>3</v>
      </c>
      <c r="D961" t="inlineStr">
        <is>
          <t>2000</t>
        </is>
      </c>
      <c r="E961" t="inlineStr">
        <is>
          <t>Accounts Payable</t>
        </is>
      </c>
      <c r="F961" s="6" t="n">
        <v>0</v>
      </c>
      <c r="G961" s="6" t="n">
        <v>495992.67</v>
      </c>
      <c r="H961" t="inlineStr">
        <is>
          <t>Purchase bill PB-202607-1</t>
        </is>
      </c>
      <c r="I961" t="inlineStr">
        <is>
          <t>Eastern Packaging Co</t>
        </is>
      </c>
      <c r="J961">
        <f>YEAR(A961)*12+MONTH(A961)</f>
        <v/>
      </c>
    </row>
    <row r="962">
      <c r="A962" s="5" t="n">
        <v>46221</v>
      </c>
      <c r="B962" t="inlineStr">
        <is>
          <t>J-0384</t>
        </is>
      </c>
      <c r="C962" t="n">
        <v>1</v>
      </c>
      <c r="D962" t="inlineStr">
        <is>
          <t>1200</t>
        </is>
      </c>
      <c r="E962" t="inlineStr">
        <is>
          <t>Inventory</t>
        </is>
      </c>
      <c r="F962" s="6" t="n">
        <v>578259.3100000001</v>
      </c>
      <c r="G962" s="6" t="n">
        <v>0</v>
      </c>
      <c r="H962" t="inlineStr">
        <is>
          <t>Purchase bill PB-202607-2</t>
        </is>
      </c>
      <c r="I962" t="inlineStr">
        <is>
          <t>Eastern Packaging Co</t>
        </is>
      </c>
      <c r="J962">
        <f>YEAR(A962)*12+MONTH(A962)</f>
        <v/>
      </c>
    </row>
    <row r="963">
      <c r="A963" s="5" t="n">
        <v>46221</v>
      </c>
      <c r="B963" t="inlineStr">
        <is>
          <t>J-0384</t>
        </is>
      </c>
      <c r="C963" t="n">
        <v>2</v>
      </c>
      <c r="D963" t="inlineStr">
        <is>
          <t>1300</t>
        </is>
      </c>
      <c r="E963" t="inlineStr">
        <is>
          <t>GST Input Credit</t>
        </is>
      </c>
      <c r="F963" s="6" t="n">
        <v>104086.68</v>
      </c>
      <c r="G963" s="6" t="n">
        <v>0</v>
      </c>
      <c r="H963" t="inlineStr">
        <is>
          <t>Purchase bill PB-202607-2</t>
        </is>
      </c>
      <c r="I963" t="inlineStr">
        <is>
          <t>Eastern Packaging Co</t>
        </is>
      </c>
      <c r="J963">
        <f>YEAR(A963)*12+MONTH(A963)</f>
        <v/>
      </c>
    </row>
    <row r="964">
      <c r="A964" s="5" t="n">
        <v>46221</v>
      </c>
      <c r="B964" t="inlineStr">
        <is>
          <t>J-0384</t>
        </is>
      </c>
      <c r="C964" t="n">
        <v>3</v>
      </c>
      <c r="D964" t="inlineStr">
        <is>
          <t>2000</t>
        </is>
      </c>
      <c r="E964" t="inlineStr">
        <is>
          <t>Accounts Payable</t>
        </is>
      </c>
      <c r="F964" s="6" t="n">
        <v>0</v>
      </c>
      <c r="G964" s="6" t="n">
        <v>682345.99</v>
      </c>
      <c r="H964" t="inlineStr">
        <is>
          <t>Purchase bill PB-202607-2</t>
        </is>
      </c>
      <c r="I964" t="inlineStr">
        <is>
          <t>Eastern Packaging Co</t>
        </is>
      </c>
      <c r="J964">
        <f>YEAR(A964)*12+MONTH(A964)</f>
        <v/>
      </c>
    </row>
    <row r="965">
      <c r="A965" s="5" t="n">
        <v>46210</v>
      </c>
      <c r="B965" t="inlineStr">
        <is>
          <t>J-0385</t>
        </is>
      </c>
      <c r="C965" t="n">
        <v>1</v>
      </c>
      <c r="D965" t="inlineStr">
        <is>
          <t>1200</t>
        </is>
      </c>
      <c r="E965" t="inlineStr">
        <is>
          <t>Inventory</t>
        </is>
      </c>
      <c r="F965" s="6" t="n">
        <v>424985.18</v>
      </c>
      <c r="G965" s="6" t="n">
        <v>0</v>
      </c>
      <c r="H965" t="inlineStr">
        <is>
          <t>Purchase bill PB-202607-3</t>
        </is>
      </c>
      <c r="I965" t="inlineStr">
        <is>
          <t>Hindustan Foods Ltd</t>
        </is>
      </c>
      <c r="J965">
        <f>YEAR(A965)*12+MONTH(A965)</f>
        <v/>
      </c>
    </row>
    <row r="966">
      <c r="A966" s="5" t="n">
        <v>46210</v>
      </c>
      <c r="B966" t="inlineStr">
        <is>
          <t>J-0385</t>
        </is>
      </c>
      <c r="C966" t="n">
        <v>2</v>
      </c>
      <c r="D966" t="inlineStr">
        <is>
          <t>1300</t>
        </is>
      </c>
      <c r="E966" t="inlineStr">
        <is>
          <t>GST Input Credit</t>
        </is>
      </c>
      <c r="F966" s="6" t="n">
        <v>76497.33</v>
      </c>
      <c r="G966" s="6" t="n">
        <v>0</v>
      </c>
      <c r="H966" t="inlineStr">
        <is>
          <t>Purchase bill PB-202607-3</t>
        </is>
      </c>
      <c r="I966" t="inlineStr">
        <is>
          <t>Hindustan Foods Ltd</t>
        </is>
      </c>
      <c r="J966">
        <f>YEAR(A966)*12+MONTH(A966)</f>
        <v/>
      </c>
    </row>
    <row r="967">
      <c r="A967" s="5" t="n">
        <v>46210</v>
      </c>
      <c r="B967" t="inlineStr">
        <is>
          <t>J-0385</t>
        </is>
      </c>
      <c r="C967" t="n">
        <v>3</v>
      </c>
      <c r="D967" t="inlineStr">
        <is>
          <t>2000</t>
        </is>
      </c>
      <c r="E967" t="inlineStr">
        <is>
          <t>Accounts Payable</t>
        </is>
      </c>
      <c r="F967" s="6" t="n">
        <v>0</v>
      </c>
      <c r="G967" s="6" t="n">
        <v>501482.51</v>
      </c>
      <c r="H967" t="inlineStr">
        <is>
          <t>Purchase bill PB-202607-3</t>
        </is>
      </c>
      <c r="I967" t="inlineStr">
        <is>
          <t>Hindustan Foods Ltd</t>
        </is>
      </c>
      <c r="J967">
        <f>YEAR(A967)*12+MONTH(A967)</f>
        <v/>
      </c>
    </row>
    <row r="968">
      <c r="A968" s="5" t="n">
        <v>46215</v>
      </c>
      <c r="B968" t="inlineStr">
        <is>
          <t>J-0386</t>
        </is>
      </c>
      <c r="C968" t="n">
        <v>1</v>
      </c>
      <c r="D968" t="inlineStr">
        <is>
          <t>1200</t>
        </is>
      </c>
      <c r="E968" t="inlineStr">
        <is>
          <t>Inventory</t>
        </is>
      </c>
      <c r="F968" s="6" t="n">
        <v>440376.54</v>
      </c>
      <c r="G968" s="6" t="n">
        <v>0</v>
      </c>
      <c r="H968" t="inlineStr">
        <is>
          <t>Purchase bill PB-202607-4</t>
        </is>
      </c>
      <c r="I968" t="inlineStr">
        <is>
          <t>Ganga Logistics Pvt Ltd</t>
        </is>
      </c>
      <c r="J968">
        <f>YEAR(A968)*12+MONTH(A968)</f>
        <v/>
      </c>
    </row>
    <row r="969">
      <c r="A969" s="5" t="n">
        <v>46215</v>
      </c>
      <c r="B969" t="inlineStr">
        <is>
          <t>J-0386</t>
        </is>
      </c>
      <c r="C969" t="n">
        <v>2</v>
      </c>
      <c r="D969" t="inlineStr">
        <is>
          <t>1300</t>
        </is>
      </c>
      <c r="E969" t="inlineStr">
        <is>
          <t>GST Input Credit</t>
        </is>
      </c>
      <c r="F969" s="6" t="n">
        <v>79267.78</v>
      </c>
      <c r="G969" s="6" t="n">
        <v>0</v>
      </c>
      <c r="H969" t="inlineStr">
        <is>
          <t>Purchase bill PB-202607-4</t>
        </is>
      </c>
      <c r="I969" t="inlineStr">
        <is>
          <t>Ganga Logistics Pvt Ltd</t>
        </is>
      </c>
      <c r="J969">
        <f>YEAR(A969)*12+MONTH(A969)</f>
        <v/>
      </c>
    </row>
    <row r="970">
      <c r="A970" s="5" t="n">
        <v>46215</v>
      </c>
      <c r="B970" t="inlineStr">
        <is>
          <t>J-0386</t>
        </is>
      </c>
      <c r="C970" t="n">
        <v>3</v>
      </c>
      <c r="D970" t="inlineStr">
        <is>
          <t>2000</t>
        </is>
      </c>
      <c r="E970" t="inlineStr">
        <is>
          <t>Accounts Payable</t>
        </is>
      </c>
      <c r="F970" s="6" t="n">
        <v>0</v>
      </c>
      <c r="G970" s="6" t="n">
        <v>519644.32</v>
      </c>
      <c r="H970" t="inlineStr">
        <is>
          <t>Purchase bill PB-202607-4</t>
        </is>
      </c>
      <c r="I970" t="inlineStr">
        <is>
          <t>Ganga Logistics Pvt Ltd</t>
        </is>
      </c>
      <c r="J970">
        <f>YEAR(A970)*12+MONTH(A970)</f>
        <v/>
      </c>
    </row>
    <row r="971">
      <c r="A971" s="5" t="n">
        <v>46209</v>
      </c>
      <c r="B971" t="inlineStr">
        <is>
          <t>J-0387</t>
        </is>
      </c>
      <c r="C971" t="n">
        <v>1</v>
      </c>
      <c r="D971" t="inlineStr">
        <is>
          <t>1200</t>
        </is>
      </c>
      <c r="E971" t="inlineStr">
        <is>
          <t>Inventory</t>
        </is>
      </c>
      <c r="F971" s="6" t="n">
        <v>427259.34</v>
      </c>
      <c r="G971" s="6" t="n">
        <v>0</v>
      </c>
      <c r="H971" t="inlineStr">
        <is>
          <t>Purchase bill PB-202607-5</t>
        </is>
      </c>
      <c r="I971" t="inlineStr">
        <is>
          <t>Bihar Agro Supplies</t>
        </is>
      </c>
      <c r="J971">
        <f>YEAR(A971)*12+MONTH(A971)</f>
        <v/>
      </c>
    </row>
    <row r="972">
      <c r="A972" s="5" t="n">
        <v>46209</v>
      </c>
      <c r="B972" t="inlineStr">
        <is>
          <t>J-0387</t>
        </is>
      </c>
      <c r="C972" t="n">
        <v>2</v>
      </c>
      <c r="D972" t="inlineStr">
        <is>
          <t>1300</t>
        </is>
      </c>
      <c r="E972" t="inlineStr">
        <is>
          <t>GST Input Credit</t>
        </is>
      </c>
      <c r="F972" s="6" t="n">
        <v>76906.67999999999</v>
      </c>
      <c r="G972" s="6" t="n">
        <v>0</v>
      </c>
      <c r="H972" t="inlineStr">
        <is>
          <t>Purchase bill PB-202607-5</t>
        </is>
      </c>
      <c r="I972" t="inlineStr">
        <is>
          <t>Bihar Agro Supplies</t>
        </is>
      </c>
      <c r="J972">
        <f>YEAR(A972)*12+MONTH(A972)</f>
        <v/>
      </c>
    </row>
    <row r="973">
      <c r="A973" s="5" t="n">
        <v>46209</v>
      </c>
      <c r="B973" t="inlineStr">
        <is>
          <t>J-0387</t>
        </is>
      </c>
      <c r="C973" t="n">
        <v>3</v>
      </c>
      <c r="D973" t="inlineStr">
        <is>
          <t>2000</t>
        </is>
      </c>
      <c r="E973" t="inlineStr">
        <is>
          <t>Accounts Payable</t>
        </is>
      </c>
      <c r="F973" s="6" t="n">
        <v>0</v>
      </c>
      <c r="G973" s="6" t="n">
        <v>504166.02</v>
      </c>
      <c r="H973" t="inlineStr">
        <is>
          <t>Purchase bill PB-202607-5</t>
        </is>
      </c>
      <c r="I973" t="inlineStr">
        <is>
          <t>Bihar Agro Supplies</t>
        </is>
      </c>
      <c r="J973">
        <f>YEAR(A973)*12+MONTH(A973)</f>
        <v/>
      </c>
    </row>
    <row r="974">
      <c r="A974" s="5" t="n">
        <v>46232</v>
      </c>
      <c r="B974" t="inlineStr">
        <is>
          <t>J-0388</t>
        </is>
      </c>
      <c r="C974" t="n">
        <v>1</v>
      </c>
      <c r="D974" t="inlineStr">
        <is>
          <t>2000</t>
        </is>
      </c>
      <c r="E974" t="inlineStr">
        <is>
          <t>Accounts Payable</t>
        </is>
      </c>
      <c r="F974" s="6" t="n">
        <v>2737635.78</v>
      </c>
      <c r="G974" s="6" t="n">
        <v>0</v>
      </c>
      <c r="H974" t="inlineStr">
        <is>
          <t>Vendor payments</t>
        </is>
      </c>
      <c r="I974" t="inlineStr"/>
      <c r="J974">
        <f>YEAR(A974)*12+MONTH(A974)</f>
        <v/>
      </c>
    </row>
    <row r="975">
      <c r="A975" s="5" t="n">
        <v>46232</v>
      </c>
      <c r="B975" t="inlineStr">
        <is>
          <t>J-0388</t>
        </is>
      </c>
      <c r="C975" t="n">
        <v>2</v>
      </c>
      <c r="D975" t="inlineStr">
        <is>
          <t>1000</t>
        </is>
      </c>
      <c r="E975" t="inlineStr">
        <is>
          <t>Cash &amp; Bank</t>
        </is>
      </c>
      <c r="F975" s="6" t="n">
        <v>0</v>
      </c>
      <c r="G975" s="6" t="n">
        <v>2737635.78</v>
      </c>
      <c r="H975" t="inlineStr">
        <is>
          <t>Vendor payments</t>
        </is>
      </c>
      <c r="I975" t="inlineStr"/>
      <c r="J975">
        <f>YEAR(A975)*12+MONTH(A975)</f>
        <v/>
      </c>
    </row>
    <row r="976">
      <c r="A976" s="5" t="n">
        <v>46233</v>
      </c>
      <c r="B976" t="inlineStr">
        <is>
          <t>J-0389</t>
        </is>
      </c>
      <c r="C976" t="n">
        <v>1</v>
      </c>
      <c r="D976" t="inlineStr">
        <is>
          <t>2100</t>
        </is>
      </c>
      <c r="E976" t="inlineStr">
        <is>
          <t>GST Payable</t>
        </is>
      </c>
      <c r="F976" s="6" t="n">
        <v>220242.04</v>
      </c>
      <c r="G976" s="6" t="n">
        <v>0</v>
      </c>
      <c r="H976" t="inlineStr">
        <is>
          <t>GST paid for month</t>
        </is>
      </c>
      <c r="I976" t="inlineStr">
        <is>
          <t>GST</t>
        </is>
      </c>
      <c r="J976">
        <f>YEAR(A976)*12+MONTH(A976)</f>
        <v/>
      </c>
    </row>
    <row r="977">
      <c r="A977" s="5" t="n">
        <v>46233</v>
      </c>
      <c r="B977" t="inlineStr">
        <is>
          <t>J-0389</t>
        </is>
      </c>
      <c r="C977" t="n">
        <v>2</v>
      </c>
      <c r="D977" t="inlineStr">
        <is>
          <t>1000</t>
        </is>
      </c>
      <c r="E977" t="inlineStr">
        <is>
          <t>Cash &amp; Bank</t>
        </is>
      </c>
      <c r="F977" s="6" t="n">
        <v>0</v>
      </c>
      <c r="G977" s="6" t="n">
        <v>220242.04</v>
      </c>
      <c r="H977" t="inlineStr">
        <is>
          <t>GST paid for month</t>
        </is>
      </c>
      <c r="I977" t="inlineStr">
        <is>
          <t>GST</t>
        </is>
      </c>
      <c r="J977">
        <f>YEAR(A977)*12+MONTH(A977)</f>
        <v/>
      </c>
    </row>
    <row r="978">
      <c r="A978" s="5" t="n">
        <v>46208</v>
      </c>
      <c r="B978" t="inlineStr">
        <is>
          <t>J-0390</t>
        </is>
      </c>
      <c r="C978" t="n">
        <v>1</v>
      </c>
      <c r="D978" t="inlineStr">
        <is>
          <t>5100</t>
        </is>
      </c>
      <c r="E978" t="inlineStr">
        <is>
          <t>Rent Expense</t>
        </is>
      </c>
      <c r="F978" s="6" t="n">
        <v>25000</v>
      </c>
      <c r="G978" s="6" t="n">
        <v>0</v>
      </c>
      <c r="H978" t="inlineStr">
        <is>
          <t>Office rent</t>
        </is>
      </c>
      <c r="I978" t="inlineStr"/>
      <c r="J978">
        <f>YEAR(A978)*12+MONTH(A978)</f>
        <v/>
      </c>
    </row>
    <row r="979">
      <c r="A979" s="5" t="n">
        <v>46208</v>
      </c>
      <c r="B979" t="inlineStr">
        <is>
          <t>J-0390</t>
        </is>
      </c>
      <c r="C979" t="n">
        <v>2</v>
      </c>
      <c r="D979" t="inlineStr">
        <is>
          <t>1000</t>
        </is>
      </c>
      <c r="E979" t="inlineStr">
        <is>
          <t>Cash &amp; Bank</t>
        </is>
      </c>
      <c r="F979" s="6" t="n">
        <v>0</v>
      </c>
      <c r="G979" s="6" t="n">
        <v>25000</v>
      </c>
      <c r="H979" t="inlineStr">
        <is>
          <t>Office rent</t>
        </is>
      </c>
      <c r="I979" t="inlineStr"/>
      <c r="J979">
        <f>YEAR(A979)*12+MONTH(A979)</f>
        <v/>
      </c>
    </row>
    <row r="980">
      <c r="A980" s="5" t="n">
        <v>46210</v>
      </c>
      <c r="B980" t="inlineStr">
        <is>
          <t>J-0391</t>
        </is>
      </c>
      <c r="C980" t="n">
        <v>1</v>
      </c>
      <c r="D980" t="inlineStr">
        <is>
          <t>5200</t>
        </is>
      </c>
      <c r="E980" t="inlineStr">
        <is>
          <t>Salaries Expense</t>
        </is>
      </c>
      <c r="F980" s="6" t="n">
        <v>118401.66</v>
      </c>
      <c r="G980" s="6" t="n">
        <v>0</v>
      </c>
      <c r="H980" t="inlineStr">
        <is>
          <t>Staff salaries</t>
        </is>
      </c>
      <c r="I980" t="inlineStr"/>
      <c r="J980">
        <f>YEAR(A980)*12+MONTH(A980)</f>
        <v/>
      </c>
    </row>
    <row r="981">
      <c r="A981" s="5" t="n">
        <v>46210</v>
      </c>
      <c r="B981" t="inlineStr">
        <is>
          <t>J-0391</t>
        </is>
      </c>
      <c r="C981" t="n">
        <v>2</v>
      </c>
      <c r="D981" t="inlineStr">
        <is>
          <t>1000</t>
        </is>
      </c>
      <c r="E981" t="inlineStr">
        <is>
          <t>Cash &amp; Bank</t>
        </is>
      </c>
      <c r="F981" s="6" t="n">
        <v>0</v>
      </c>
      <c r="G981" s="6" t="n">
        <v>118401.66</v>
      </c>
      <c r="H981" t="inlineStr">
        <is>
          <t>Staff salaries</t>
        </is>
      </c>
      <c r="I981" t="inlineStr"/>
      <c r="J981">
        <f>YEAR(A981)*12+MONTH(A981)</f>
        <v/>
      </c>
    </row>
    <row r="982">
      <c r="A982" s="5" t="n">
        <v>46215</v>
      </c>
      <c r="B982" t="inlineStr">
        <is>
          <t>J-0392</t>
        </is>
      </c>
      <c r="C982" t="n">
        <v>1</v>
      </c>
      <c r="D982" t="inlineStr">
        <is>
          <t>5300</t>
        </is>
      </c>
      <c r="E982" t="inlineStr">
        <is>
          <t>Utilities Expense</t>
        </is>
      </c>
      <c r="F982" s="6" t="n">
        <v>8490.32</v>
      </c>
      <c r="G982" s="6" t="n">
        <v>0</v>
      </c>
      <c r="H982" t="inlineStr">
        <is>
          <t>Utilities (power/water/phone)</t>
        </is>
      </c>
      <c r="I982" t="inlineStr"/>
      <c r="J982">
        <f>YEAR(A982)*12+MONTH(A982)</f>
        <v/>
      </c>
    </row>
    <row r="983">
      <c r="A983" s="5" t="n">
        <v>46215</v>
      </c>
      <c r="B983" t="inlineStr">
        <is>
          <t>J-0392</t>
        </is>
      </c>
      <c r="C983" t="n">
        <v>2</v>
      </c>
      <c r="D983" t="inlineStr">
        <is>
          <t>1000</t>
        </is>
      </c>
      <c r="E983" t="inlineStr">
        <is>
          <t>Cash &amp; Bank</t>
        </is>
      </c>
      <c r="F983" s="6" t="n">
        <v>0</v>
      </c>
      <c r="G983" s="6" t="n">
        <v>8490.32</v>
      </c>
      <c r="H983" t="inlineStr">
        <is>
          <t>Utilities (power/water/phone)</t>
        </is>
      </c>
      <c r="I983" t="inlineStr"/>
      <c r="J983">
        <f>YEAR(A983)*12+MONTH(A983)</f>
        <v/>
      </c>
    </row>
    <row r="984">
      <c r="A984" s="5" t="n">
        <v>46221</v>
      </c>
      <c r="B984" t="inlineStr">
        <is>
          <t>J-0393</t>
        </is>
      </c>
      <c r="C984" t="n">
        <v>1</v>
      </c>
      <c r="D984" t="inlineStr">
        <is>
          <t>5400</t>
        </is>
      </c>
      <c r="E984" t="inlineStr">
        <is>
          <t>Transport &amp; Logistics</t>
        </is>
      </c>
      <c r="F984" s="6" t="n">
        <v>19328.93</v>
      </c>
      <c r="G984" s="6" t="n">
        <v>0</v>
      </c>
      <c r="H984" t="inlineStr">
        <is>
          <t>Transport &amp; logistics</t>
        </is>
      </c>
      <c r="I984" t="inlineStr"/>
      <c r="J984">
        <f>YEAR(A984)*12+MONTH(A984)</f>
        <v/>
      </c>
    </row>
    <row r="985">
      <c r="A985" s="5" t="n">
        <v>46221</v>
      </c>
      <c r="B985" t="inlineStr">
        <is>
          <t>J-0393</t>
        </is>
      </c>
      <c r="C985" t="n">
        <v>2</v>
      </c>
      <c r="D985" t="inlineStr">
        <is>
          <t>1000</t>
        </is>
      </c>
      <c r="E985" t="inlineStr">
        <is>
          <t>Cash &amp; Bank</t>
        </is>
      </c>
      <c r="F985" s="6" t="n">
        <v>0</v>
      </c>
      <c r="G985" s="6" t="n">
        <v>19328.93</v>
      </c>
      <c r="H985" t="inlineStr">
        <is>
          <t>Transport &amp; logistics</t>
        </is>
      </c>
      <c r="I985" t="inlineStr"/>
      <c r="J985">
        <f>YEAR(A985)*12+MONTH(A985)</f>
        <v/>
      </c>
    </row>
    <row r="986">
      <c r="A986" s="5" t="n">
        <v>46223</v>
      </c>
      <c r="B986" t="inlineStr">
        <is>
          <t>J-0394</t>
        </is>
      </c>
      <c r="C986" t="n">
        <v>1</v>
      </c>
      <c r="D986" t="inlineStr">
        <is>
          <t>5500</t>
        </is>
      </c>
      <c r="E986" t="inlineStr">
        <is>
          <t>Marketing Expense</t>
        </is>
      </c>
      <c r="F986" s="6" t="n">
        <v>18205.55</v>
      </c>
      <c r="G986" s="6" t="n">
        <v>0</v>
      </c>
      <c r="H986" t="inlineStr">
        <is>
          <t>Marketing &amp; promotions</t>
        </is>
      </c>
      <c r="I986" t="inlineStr"/>
      <c r="J986">
        <f>YEAR(A986)*12+MONTH(A986)</f>
        <v/>
      </c>
    </row>
    <row r="987">
      <c r="A987" s="5" t="n">
        <v>46223</v>
      </c>
      <c r="B987" t="inlineStr">
        <is>
          <t>J-0394</t>
        </is>
      </c>
      <c r="C987" t="n">
        <v>2</v>
      </c>
      <c r="D987" t="inlineStr">
        <is>
          <t>1000</t>
        </is>
      </c>
      <c r="E987" t="inlineStr">
        <is>
          <t>Cash &amp; Bank</t>
        </is>
      </c>
      <c r="F987" s="6" t="n">
        <v>0</v>
      </c>
      <c r="G987" s="6" t="n">
        <v>18205.55</v>
      </c>
      <c r="H987" t="inlineStr">
        <is>
          <t>Marketing &amp; promotions</t>
        </is>
      </c>
      <c r="I987" t="inlineStr"/>
      <c r="J987">
        <f>YEAR(A987)*12+MONTH(A987)</f>
        <v/>
      </c>
    </row>
    <row r="988">
      <c r="A988" s="5" t="n">
        <v>46213</v>
      </c>
      <c r="B988" t="inlineStr">
        <is>
          <t>J-0395</t>
        </is>
      </c>
      <c r="C988" t="n">
        <v>1</v>
      </c>
      <c r="D988" t="inlineStr">
        <is>
          <t>5600</t>
        </is>
      </c>
      <c r="E988" t="inlineStr">
        <is>
          <t>Interest Expense</t>
        </is>
      </c>
      <c r="F988" s="6" t="n">
        <v>9000</v>
      </c>
      <c r="G988" s="6" t="n">
        <v>0</v>
      </c>
      <c r="H988" t="inlineStr">
        <is>
          <t>Term loan interest</t>
        </is>
      </c>
      <c r="I988" t="inlineStr">
        <is>
          <t>HDFC</t>
        </is>
      </c>
      <c r="J988">
        <f>YEAR(A988)*12+MONTH(A988)</f>
        <v/>
      </c>
    </row>
    <row r="989">
      <c r="A989" s="5" t="n">
        <v>46213</v>
      </c>
      <c r="B989" t="inlineStr">
        <is>
          <t>J-0395</t>
        </is>
      </c>
      <c r="C989" t="n">
        <v>2</v>
      </c>
      <c r="D989" t="inlineStr">
        <is>
          <t>1000</t>
        </is>
      </c>
      <c r="E989" t="inlineStr">
        <is>
          <t>Cash &amp; Bank</t>
        </is>
      </c>
      <c r="F989" s="6" t="n">
        <v>0</v>
      </c>
      <c r="G989" s="6" t="n">
        <v>9000</v>
      </c>
      <c r="H989" t="inlineStr">
        <is>
          <t>Term loan interest</t>
        </is>
      </c>
      <c r="I989" t="inlineStr">
        <is>
          <t>HDFC</t>
        </is>
      </c>
      <c r="J989">
        <f>YEAR(A989)*12+MONTH(A989)</f>
        <v/>
      </c>
    </row>
    <row r="990">
      <c r="A990" s="5" t="n">
        <v>46213</v>
      </c>
      <c r="B990" t="inlineStr">
        <is>
          <t>J-0396</t>
        </is>
      </c>
      <c r="C990" t="n">
        <v>1</v>
      </c>
      <c r="D990" t="inlineStr">
        <is>
          <t>2200</t>
        </is>
      </c>
      <c r="E990" t="inlineStr">
        <is>
          <t>Term Loan</t>
        </is>
      </c>
      <c r="F990" s="6" t="n">
        <v>55000</v>
      </c>
      <c r="G990" s="6" t="n">
        <v>0</v>
      </c>
      <c r="H990" t="inlineStr">
        <is>
          <t>Term loan principal repayment</t>
        </is>
      </c>
      <c r="I990" t="inlineStr">
        <is>
          <t>HDFC</t>
        </is>
      </c>
      <c r="J990">
        <f>YEAR(A990)*12+MONTH(A990)</f>
        <v/>
      </c>
    </row>
    <row r="991">
      <c r="A991" s="5" t="n">
        <v>46213</v>
      </c>
      <c r="B991" t="inlineStr">
        <is>
          <t>J-0396</t>
        </is>
      </c>
      <c r="C991" t="n">
        <v>2</v>
      </c>
      <c r="D991" t="inlineStr">
        <is>
          <t>1000</t>
        </is>
      </c>
      <c r="E991" t="inlineStr">
        <is>
          <t>Cash &amp; Bank</t>
        </is>
      </c>
      <c r="F991" s="6" t="n">
        <v>0</v>
      </c>
      <c r="G991" s="6" t="n">
        <v>55000</v>
      </c>
      <c r="H991" t="inlineStr">
        <is>
          <t>Term loan principal repayment</t>
        </is>
      </c>
      <c r="I991" t="inlineStr">
        <is>
          <t>HDFC</t>
        </is>
      </c>
      <c r="J991">
        <f>YEAR(A991)*12+MONTH(A991)</f>
        <v/>
      </c>
    </row>
    <row r="992">
      <c r="A992" s="5" t="n">
        <v>46233</v>
      </c>
      <c r="B992" t="inlineStr">
        <is>
          <t>J-0397</t>
        </is>
      </c>
      <c r="C992" t="n">
        <v>1</v>
      </c>
      <c r="D992" t="inlineStr">
        <is>
          <t>5700</t>
        </is>
      </c>
      <c r="E992" t="inlineStr">
        <is>
          <t>Depreciation Expense</t>
        </is>
      </c>
      <c r="F992" s="6" t="n">
        <v>6000</v>
      </c>
      <c r="G992" s="6" t="n">
        <v>0</v>
      </c>
      <c r="H992" t="inlineStr">
        <is>
          <t>Depreciation - equipment</t>
        </is>
      </c>
      <c r="I992" t="inlineStr"/>
      <c r="J992">
        <f>YEAR(A992)*12+MONTH(A992)</f>
        <v/>
      </c>
    </row>
    <row r="993">
      <c r="A993" s="5" t="n">
        <v>46233</v>
      </c>
      <c r="B993" t="inlineStr">
        <is>
          <t>J-0397</t>
        </is>
      </c>
      <c r="C993" t="n">
        <v>2</v>
      </c>
      <c r="D993" t="inlineStr">
        <is>
          <t>1510</t>
        </is>
      </c>
      <c r="E993" t="inlineStr">
        <is>
          <t>Accumulated Depreciation</t>
        </is>
      </c>
      <c r="F993" s="6" t="n">
        <v>0</v>
      </c>
      <c r="G993" s="6" t="n">
        <v>6000</v>
      </c>
      <c r="H993" t="inlineStr">
        <is>
          <t>Depreciation - equipment</t>
        </is>
      </c>
      <c r="I993" t="inlineStr"/>
      <c r="J993">
        <f>YEAR(A993)*12+MONTH(A993)</f>
        <v/>
      </c>
    </row>
    <row r="994">
      <c r="A994" s="5" t="n">
        <v>46220</v>
      </c>
      <c r="B994" t="inlineStr">
        <is>
          <t>J-0398</t>
        </is>
      </c>
      <c r="C994" t="n">
        <v>1</v>
      </c>
      <c r="D994" t="inlineStr">
        <is>
          <t>5800</t>
        </is>
      </c>
      <c r="E994" t="inlineStr">
        <is>
          <t>Miscellaneous Expense</t>
        </is>
      </c>
      <c r="F994" s="6" t="n">
        <v>8451.030000000001</v>
      </c>
      <c r="G994" s="6" t="n">
        <v>0</v>
      </c>
      <c r="H994" t="inlineStr">
        <is>
          <t>Miscellaneous expenses</t>
        </is>
      </c>
      <c r="I994" t="inlineStr"/>
      <c r="J994">
        <f>YEAR(A994)*12+MONTH(A994)</f>
        <v/>
      </c>
    </row>
    <row r="995">
      <c r="A995" s="5" t="n">
        <v>46220</v>
      </c>
      <c r="B995" t="inlineStr">
        <is>
          <t>J-0398</t>
        </is>
      </c>
      <c r="C995" t="n">
        <v>2</v>
      </c>
      <c r="D995" t="inlineStr">
        <is>
          <t>1000</t>
        </is>
      </c>
      <c r="E995" t="inlineStr">
        <is>
          <t>Cash &amp; Bank</t>
        </is>
      </c>
      <c r="F995" s="6" t="n">
        <v>0</v>
      </c>
      <c r="G995" s="6" t="n">
        <v>8451.030000000001</v>
      </c>
      <c r="H995" t="inlineStr">
        <is>
          <t>Miscellaneous expenses</t>
        </is>
      </c>
      <c r="I995" t="inlineStr"/>
      <c r="J995">
        <f>YEAR(A995)*12+MONTH(A995)</f>
        <v/>
      </c>
    </row>
    <row r="996">
      <c r="A996" s="5" t="n">
        <v>46254</v>
      </c>
      <c r="B996" t="inlineStr">
        <is>
          <t>J-0399</t>
        </is>
      </c>
      <c r="C996" t="n">
        <v>1</v>
      </c>
      <c r="D996" t="inlineStr">
        <is>
          <t>1100</t>
        </is>
      </c>
      <c r="E996" t="inlineStr">
        <is>
          <t>Accounts Receivable</t>
        </is>
      </c>
      <c r="F996" s="6" t="n">
        <v>883483.74</v>
      </c>
      <c r="G996" s="6" t="n">
        <v>0</v>
      </c>
      <c r="H996" t="inlineStr">
        <is>
          <t>Sales invoice INV-202608-1</t>
        </is>
      </c>
      <c r="I996" t="inlineStr">
        <is>
          <t>Kumari Provision Store</t>
        </is>
      </c>
      <c r="J996">
        <f>YEAR(A996)*12+MONTH(A996)</f>
        <v/>
      </c>
    </row>
    <row r="997">
      <c r="A997" s="5" t="n">
        <v>46254</v>
      </c>
      <c r="B997" t="inlineStr">
        <is>
          <t>J-0399</t>
        </is>
      </c>
      <c r="C997" t="n">
        <v>2</v>
      </c>
      <c r="D997" t="inlineStr">
        <is>
          <t>4000</t>
        </is>
      </c>
      <c r="E997" t="inlineStr">
        <is>
          <t>Sales Revenue</t>
        </is>
      </c>
      <c r="F997" s="6" t="n">
        <v>0</v>
      </c>
      <c r="G997" s="6" t="n">
        <v>748715.03</v>
      </c>
      <c r="H997" t="inlineStr">
        <is>
          <t>Sales invoice INV-202608-1</t>
        </is>
      </c>
      <c r="I997" t="inlineStr">
        <is>
          <t>Kumari Provision Store</t>
        </is>
      </c>
      <c r="J997">
        <f>YEAR(A997)*12+MONTH(A997)</f>
        <v/>
      </c>
    </row>
    <row r="998">
      <c r="A998" s="5" t="n">
        <v>46254</v>
      </c>
      <c r="B998" t="inlineStr">
        <is>
          <t>J-0399</t>
        </is>
      </c>
      <c r="C998" t="n">
        <v>3</v>
      </c>
      <c r="D998" t="inlineStr">
        <is>
          <t>2100</t>
        </is>
      </c>
      <c r="E998" t="inlineStr">
        <is>
          <t>GST Payable</t>
        </is>
      </c>
      <c r="F998" s="6" t="n">
        <v>0</v>
      </c>
      <c r="G998" s="6" t="n">
        <v>134768.71</v>
      </c>
      <c r="H998" t="inlineStr">
        <is>
          <t>Sales invoice INV-202608-1</t>
        </is>
      </c>
      <c r="I998" t="inlineStr">
        <is>
          <t>GST</t>
        </is>
      </c>
      <c r="J998">
        <f>YEAR(A998)*12+MONTH(A998)</f>
        <v/>
      </c>
    </row>
    <row r="999">
      <c r="A999" s="5" t="n">
        <v>46239</v>
      </c>
      <c r="B999" t="inlineStr">
        <is>
          <t>J-0400</t>
        </is>
      </c>
      <c r="C999" t="n">
        <v>1</v>
      </c>
      <c r="D999" t="inlineStr">
        <is>
          <t>1100</t>
        </is>
      </c>
      <c r="E999" t="inlineStr">
        <is>
          <t>Accounts Receivable</t>
        </is>
      </c>
      <c r="F999" s="6" t="n">
        <v>719662.71</v>
      </c>
      <c r="G999" s="6" t="n">
        <v>0</v>
      </c>
      <c r="H999" t="inlineStr">
        <is>
          <t>Sales invoice INV-202608-2</t>
        </is>
      </c>
      <c r="I999" t="inlineStr">
        <is>
          <t>Annapurna Retail</t>
        </is>
      </c>
      <c r="J999">
        <f>YEAR(A999)*12+MONTH(A999)</f>
        <v/>
      </c>
    </row>
    <row r="1000">
      <c r="A1000" s="5" t="n">
        <v>46239</v>
      </c>
      <c r="B1000" t="inlineStr">
        <is>
          <t>J-0400</t>
        </is>
      </c>
      <c r="C1000" t="n">
        <v>2</v>
      </c>
      <c r="D1000" t="inlineStr">
        <is>
          <t>4000</t>
        </is>
      </c>
      <c r="E1000" t="inlineStr">
        <is>
          <t>Sales Revenue</t>
        </is>
      </c>
      <c r="F1000" s="6" t="n">
        <v>0</v>
      </c>
      <c r="G1000" s="6" t="n">
        <v>609883.65</v>
      </c>
      <c r="H1000" t="inlineStr">
        <is>
          <t>Sales invoice INV-202608-2</t>
        </is>
      </c>
      <c r="I1000" t="inlineStr">
        <is>
          <t>Annapurna Retail</t>
        </is>
      </c>
      <c r="J1000">
        <f>YEAR(A1000)*12+MONTH(A1000)</f>
        <v/>
      </c>
    </row>
    <row r="1001">
      <c r="A1001" s="5" t="n">
        <v>46239</v>
      </c>
      <c r="B1001" t="inlineStr">
        <is>
          <t>J-0400</t>
        </is>
      </c>
      <c r="C1001" t="n">
        <v>3</v>
      </c>
      <c r="D1001" t="inlineStr">
        <is>
          <t>2100</t>
        </is>
      </c>
      <c r="E1001" t="inlineStr">
        <is>
          <t>GST Payable</t>
        </is>
      </c>
      <c r="F1001" s="6" t="n">
        <v>0</v>
      </c>
      <c r="G1001" s="6" t="n">
        <v>109779.06</v>
      </c>
      <c r="H1001" t="inlineStr">
        <is>
          <t>Sales invoice INV-202608-2</t>
        </is>
      </c>
      <c r="I1001" t="inlineStr">
        <is>
          <t>GST</t>
        </is>
      </c>
      <c r="J1001">
        <f>YEAR(A1001)*12+MONTH(A1001)</f>
        <v/>
      </c>
    </row>
    <row r="1002">
      <c r="A1002" s="5" t="n">
        <v>46256</v>
      </c>
      <c r="B1002" t="inlineStr">
        <is>
          <t>J-0401</t>
        </is>
      </c>
      <c r="C1002" t="n">
        <v>1</v>
      </c>
      <c r="D1002" t="inlineStr">
        <is>
          <t>1100</t>
        </is>
      </c>
      <c r="E1002" t="inlineStr">
        <is>
          <t>Accounts Receivable</t>
        </is>
      </c>
      <c r="F1002" s="6" t="n">
        <v>864641.83</v>
      </c>
      <c r="G1002" s="6" t="n">
        <v>0</v>
      </c>
      <c r="H1002" t="inlineStr">
        <is>
          <t>Sales invoice INV-202608-3</t>
        </is>
      </c>
      <c r="I1002" t="inlineStr">
        <is>
          <t>Patna Daily Needs</t>
        </is>
      </c>
      <c r="J1002">
        <f>YEAR(A1002)*12+MONTH(A1002)</f>
        <v/>
      </c>
    </row>
    <row r="1003">
      <c r="A1003" s="5" t="n">
        <v>46256</v>
      </c>
      <c r="B1003" t="inlineStr">
        <is>
          <t>J-0401</t>
        </is>
      </c>
      <c r="C1003" t="n">
        <v>2</v>
      </c>
      <c r="D1003" t="inlineStr">
        <is>
          <t>4000</t>
        </is>
      </c>
      <c r="E1003" t="inlineStr">
        <is>
          <t>Sales Revenue</t>
        </is>
      </c>
      <c r="F1003" s="6" t="n">
        <v>0</v>
      </c>
      <c r="G1003" s="6" t="n">
        <v>732747.3100000001</v>
      </c>
      <c r="H1003" t="inlineStr">
        <is>
          <t>Sales invoice INV-202608-3</t>
        </is>
      </c>
      <c r="I1003" t="inlineStr">
        <is>
          <t>Patna Daily Needs</t>
        </is>
      </c>
      <c r="J1003">
        <f>YEAR(A1003)*12+MONTH(A1003)</f>
        <v/>
      </c>
    </row>
    <row r="1004">
      <c r="A1004" s="5" t="n">
        <v>46256</v>
      </c>
      <c r="B1004" t="inlineStr">
        <is>
          <t>J-0401</t>
        </is>
      </c>
      <c r="C1004" t="n">
        <v>3</v>
      </c>
      <c r="D1004" t="inlineStr">
        <is>
          <t>2100</t>
        </is>
      </c>
      <c r="E1004" t="inlineStr">
        <is>
          <t>GST Payable</t>
        </is>
      </c>
      <c r="F1004" s="6" t="n">
        <v>0</v>
      </c>
      <c r="G1004" s="6" t="n">
        <v>131894.52</v>
      </c>
      <c r="H1004" t="inlineStr">
        <is>
          <t>Sales invoice INV-202608-3</t>
        </is>
      </c>
      <c r="I1004" t="inlineStr">
        <is>
          <t>GST</t>
        </is>
      </c>
      <c r="J1004">
        <f>YEAR(A1004)*12+MONTH(A1004)</f>
        <v/>
      </c>
    </row>
    <row r="1005">
      <c r="A1005" s="5" t="n">
        <v>46241</v>
      </c>
      <c r="B1005" t="inlineStr">
        <is>
          <t>J-0402</t>
        </is>
      </c>
      <c r="C1005" t="n">
        <v>1</v>
      </c>
      <c r="D1005" t="inlineStr">
        <is>
          <t>1100</t>
        </is>
      </c>
      <c r="E1005" t="inlineStr">
        <is>
          <t>Accounts Receivable</t>
        </is>
      </c>
      <c r="F1005" s="6" t="n">
        <v>537640.33</v>
      </c>
      <c r="G1005" s="6" t="n">
        <v>0</v>
      </c>
      <c r="H1005" t="inlineStr">
        <is>
          <t>Sales invoice INV-202608-4</t>
        </is>
      </c>
      <c r="I1005" t="inlineStr">
        <is>
          <t>Verma Kirana Mart</t>
        </is>
      </c>
      <c r="J1005">
        <f>YEAR(A1005)*12+MONTH(A1005)</f>
        <v/>
      </c>
    </row>
    <row r="1006">
      <c r="A1006" s="5" t="n">
        <v>46241</v>
      </c>
      <c r="B1006" t="inlineStr">
        <is>
          <t>J-0402</t>
        </is>
      </c>
      <c r="C1006" t="n">
        <v>2</v>
      </c>
      <c r="D1006" t="inlineStr">
        <is>
          <t>4000</t>
        </is>
      </c>
      <c r="E1006" t="inlineStr">
        <is>
          <t>Sales Revenue</t>
        </is>
      </c>
      <c r="F1006" s="6" t="n">
        <v>0</v>
      </c>
      <c r="G1006" s="6" t="n">
        <v>455627.4</v>
      </c>
      <c r="H1006" t="inlineStr">
        <is>
          <t>Sales invoice INV-202608-4</t>
        </is>
      </c>
      <c r="I1006" t="inlineStr">
        <is>
          <t>Verma Kirana Mart</t>
        </is>
      </c>
      <c r="J1006">
        <f>YEAR(A1006)*12+MONTH(A1006)</f>
        <v/>
      </c>
    </row>
    <row r="1007">
      <c r="A1007" s="5" t="n">
        <v>46241</v>
      </c>
      <c r="B1007" t="inlineStr">
        <is>
          <t>J-0402</t>
        </is>
      </c>
      <c r="C1007" t="n">
        <v>3</v>
      </c>
      <c r="D1007" t="inlineStr">
        <is>
          <t>2100</t>
        </is>
      </c>
      <c r="E1007" t="inlineStr">
        <is>
          <t>GST Payable</t>
        </is>
      </c>
      <c r="F1007" s="6" t="n">
        <v>0</v>
      </c>
      <c r="G1007" s="6" t="n">
        <v>82012.92999999999</v>
      </c>
      <c r="H1007" t="inlineStr">
        <is>
          <t>Sales invoice INV-202608-4</t>
        </is>
      </c>
      <c r="I1007" t="inlineStr">
        <is>
          <t>GST</t>
        </is>
      </c>
      <c r="J1007">
        <f>YEAR(A1007)*12+MONTH(A1007)</f>
        <v/>
      </c>
    </row>
    <row r="1008">
      <c r="A1008" s="5" t="n">
        <v>46238</v>
      </c>
      <c r="B1008" t="inlineStr">
        <is>
          <t>J-0403</t>
        </is>
      </c>
      <c r="C1008" t="n">
        <v>1</v>
      </c>
      <c r="D1008" t="inlineStr">
        <is>
          <t>1100</t>
        </is>
      </c>
      <c r="E1008" t="inlineStr">
        <is>
          <t>Accounts Receivable</t>
        </is>
      </c>
      <c r="F1008" s="6" t="n">
        <v>550443.98</v>
      </c>
      <c r="G1008" s="6" t="n">
        <v>0</v>
      </c>
      <c r="H1008" t="inlineStr">
        <is>
          <t>Sales invoice INV-202608-5</t>
        </is>
      </c>
      <c r="I1008" t="inlineStr">
        <is>
          <t>Maa Vaishno Stores</t>
        </is>
      </c>
      <c r="J1008">
        <f>YEAR(A1008)*12+MONTH(A1008)</f>
        <v/>
      </c>
    </row>
    <row r="1009">
      <c r="A1009" s="5" t="n">
        <v>46238</v>
      </c>
      <c r="B1009" t="inlineStr">
        <is>
          <t>J-0403</t>
        </is>
      </c>
      <c r="C1009" t="n">
        <v>2</v>
      </c>
      <c r="D1009" t="inlineStr">
        <is>
          <t>4000</t>
        </is>
      </c>
      <c r="E1009" t="inlineStr">
        <is>
          <t>Sales Revenue</t>
        </is>
      </c>
      <c r="F1009" s="6" t="n">
        <v>0</v>
      </c>
      <c r="G1009" s="6" t="n">
        <v>466477.95</v>
      </c>
      <c r="H1009" t="inlineStr">
        <is>
          <t>Sales invoice INV-202608-5</t>
        </is>
      </c>
      <c r="I1009" t="inlineStr">
        <is>
          <t>Maa Vaishno Stores</t>
        </is>
      </c>
      <c r="J1009">
        <f>YEAR(A1009)*12+MONTH(A1009)</f>
        <v/>
      </c>
    </row>
    <row r="1010">
      <c r="A1010" s="5" t="n">
        <v>46238</v>
      </c>
      <c r="B1010" t="inlineStr">
        <is>
          <t>J-0403</t>
        </is>
      </c>
      <c r="C1010" t="n">
        <v>3</v>
      </c>
      <c r="D1010" t="inlineStr">
        <is>
          <t>2100</t>
        </is>
      </c>
      <c r="E1010" t="inlineStr">
        <is>
          <t>GST Payable</t>
        </is>
      </c>
      <c r="F1010" s="6" t="n">
        <v>0</v>
      </c>
      <c r="G1010" s="6" t="n">
        <v>83966.03</v>
      </c>
      <c r="H1010" t="inlineStr">
        <is>
          <t>Sales invoice INV-202608-5</t>
        </is>
      </c>
      <c r="I1010" t="inlineStr">
        <is>
          <t>GST</t>
        </is>
      </c>
      <c r="J1010">
        <f>YEAR(A1010)*12+MONTH(A1010)</f>
        <v/>
      </c>
    </row>
    <row r="1011">
      <c r="A1011" s="5" t="n">
        <v>46250</v>
      </c>
      <c r="B1011" t="inlineStr">
        <is>
          <t>J-0404</t>
        </is>
      </c>
      <c r="C1011" t="n">
        <v>1</v>
      </c>
      <c r="D1011" t="inlineStr">
        <is>
          <t>1100</t>
        </is>
      </c>
      <c r="E1011" t="inlineStr">
        <is>
          <t>Accounts Receivable</t>
        </is>
      </c>
      <c r="F1011" s="6" t="n">
        <v>513448.09</v>
      </c>
      <c r="G1011" s="6" t="n">
        <v>0</v>
      </c>
      <c r="H1011" t="inlineStr">
        <is>
          <t>Sales invoice INV-202608-6</t>
        </is>
      </c>
      <c r="I1011" t="inlineStr">
        <is>
          <t>New City Mart</t>
        </is>
      </c>
      <c r="J1011">
        <f>YEAR(A1011)*12+MONTH(A1011)</f>
        <v/>
      </c>
    </row>
    <row r="1012">
      <c r="A1012" s="5" t="n">
        <v>46250</v>
      </c>
      <c r="B1012" t="inlineStr">
        <is>
          <t>J-0404</t>
        </is>
      </c>
      <c r="C1012" t="n">
        <v>2</v>
      </c>
      <c r="D1012" t="inlineStr">
        <is>
          <t>4000</t>
        </is>
      </c>
      <c r="E1012" t="inlineStr">
        <is>
          <t>Sales Revenue</t>
        </is>
      </c>
      <c r="F1012" s="6" t="n">
        <v>0</v>
      </c>
      <c r="G1012" s="6" t="n">
        <v>435125.5</v>
      </c>
      <c r="H1012" t="inlineStr">
        <is>
          <t>Sales invoice INV-202608-6</t>
        </is>
      </c>
      <c r="I1012" t="inlineStr">
        <is>
          <t>New City Mart</t>
        </is>
      </c>
      <c r="J1012">
        <f>YEAR(A1012)*12+MONTH(A1012)</f>
        <v/>
      </c>
    </row>
    <row r="1013">
      <c r="A1013" s="5" t="n">
        <v>46250</v>
      </c>
      <c r="B1013" t="inlineStr">
        <is>
          <t>J-0404</t>
        </is>
      </c>
      <c r="C1013" t="n">
        <v>3</v>
      </c>
      <c r="D1013" t="inlineStr">
        <is>
          <t>2100</t>
        </is>
      </c>
      <c r="E1013" t="inlineStr">
        <is>
          <t>GST Payable</t>
        </is>
      </c>
      <c r="F1013" s="6" t="n">
        <v>0</v>
      </c>
      <c r="G1013" s="6" t="n">
        <v>78322.59</v>
      </c>
      <c r="H1013" t="inlineStr">
        <is>
          <t>Sales invoice INV-202608-6</t>
        </is>
      </c>
      <c r="I1013" t="inlineStr">
        <is>
          <t>GST</t>
        </is>
      </c>
      <c r="J1013">
        <f>YEAR(A1013)*12+MONTH(A1013)</f>
        <v/>
      </c>
    </row>
    <row r="1014">
      <c r="A1014" s="5" t="n">
        <v>46245</v>
      </c>
      <c r="B1014" t="inlineStr">
        <is>
          <t>J-0405</t>
        </is>
      </c>
      <c r="C1014" t="n">
        <v>1</v>
      </c>
      <c r="D1014" t="inlineStr">
        <is>
          <t>1100</t>
        </is>
      </c>
      <c r="E1014" t="inlineStr">
        <is>
          <t>Accounts Receivable</t>
        </is>
      </c>
      <c r="F1014" s="6" t="n">
        <v>750004.26</v>
      </c>
      <c r="G1014" s="6" t="n">
        <v>0</v>
      </c>
      <c r="H1014" t="inlineStr">
        <is>
          <t>Sales invoice INV-202608-7</t>
        </is>
      </c>
      <c r="I1014" t="inlineStr">
        <is>
          <t>Rajdhani Traders</t>
        </is>
      </c>
      <c r="J1014">
        <f>YEAR(A1014)*12+MONTH(A1014)</f>
        <v/>
      </c>
    </row>
    <row r="1015">
      <c r="A1015" s="5" t="n">
        <v>46245</v>
      </c>
      <c r="B1015" t="inlineStr">
        <is>
          <t>J-0405</t>
        </is>
      </c>
      <c r="C1015" t="n">
        <v>2</v>
      </c>
      <c r="D1015" t="inlineStr">
        <is>
          <t>4000</t>
        </is>
      </c>
      <c r="E1015" t="inlineStr">
        <is>
          <t>Sales Revenue</t>
        </is>
      </c>
      <c r="F1015" s="6" t="n">
        <v>0</v>
      </c>
      <c r="G1015" s="6" t="n">
        <v>635596.83</v>
      </c>
      <c r="H1015" t="inlineStr">
        <is>
          <t>Sales invoice INV-202608-7</t>
        </is>
      </c>
      <c r="I1015" t="inlineStr">
        <is>
          <t>Rajdhani Traders</t>
        </is>
      </c>
      <c r="J1015">
        <f>YEAR(A1015)*12+MONTH(A1015)</f>
        <v/>
      </c>
    </row>
    <row r="1016">
      <c r="A1016" s="5" t="n">
        <v>46245</v>
      </c>
      <c r="B1016" t="inlineStr">
        <is>
          <t>J-0405</t>
        </is>
      </c>
      <c r="C1016" t="n">
        <v>3</v>
      </c>
      <c r="D1016" t="inlineStr">
        <is>
          <t>2100</t>
        </is>
      </c>
      <c r="E1016" t="inlineStr">
        <is>
          <t>GST Payable</t>
        </is>
      </c>
      <c r="F1016" s="6" t="n">
        <v>0</v>
      </c>
      <c r="G1016" s="6" t="n">
        <v>114407.43</v>
      </c>
      <c r="H1016" t="inlineStr">
        <is>
          <t>Sales invoice INV-202608-7</t>
        </is>
      </c>
      <c r="I1016" t="inlineStr">
        <is>
          <t>GST</t>
        </is>
      </c>
      <c r="J1016">
        <f>YEAR(A1016)*12+MONTH(A1016)</f>
        <v/>
      </c>
    </row>
    <row r="1017">
      <c r="A1017" s="5" t="n">
        <v>46261</v>
      </c>
      <c r="B1017" t="inlineStr">
        <is>
          <t>J-0406</t>
        </is>
      </c>
      <c r="C1017" t="n">
        <v>1</v>
      </c>
      <c r="D1017" t="inlineStr">
        <is>
          <t>5000</t>
        </is>
      </c>
      <c r="E1017" t="inlineStr">
        <is>
          <t>Cost of Goods Sold</t>
        </is>
      </c>
      <c r="F1017" s="6" t="n">
        <v>2782570.37</v>
      </c>
      <c r="G1017" s="6" t="n">
        <v>0</v>
      </c>
      <c r="H1017" t="inlineStr">
        <is>
          <t>Cost of goods sold - monthly</t>
        </is>
      </c>
      <c r="I1017" t="inlineStr"/>
      <c r="J1017">
        <f>YEAR(A1017)*12+MONTH(A1017)</f>
        <v/>
      </c>
    </row>
    <row r="1018">
      <c r="A1018" s="5" t="n">
        <v>46261</v>
      </c>
      <c r="B1018" t="inlineStr">
        <is>
          <t>J-0406</t>
        </is>
      </c>
      <c r="C1018" t="n">
        <v>2</v>
      </c>
      <c r="D1018" t="inlineStr">
        <is>
          <t>1200</t>
        </is>
      </c>
      <c r="E1018" t="inlineStr">
        <is>
          <t>Inventory</t>
        </is>
      </c>
      <c r="F1018" s="6" t="n">
        <v>0</v>
      </c>
      <c r="G1018" s="6" t="n">
        <v>2782570.37</v>
      </c>
      <c r="H1018" t="inlineStr">
        <is>
          <t>Cost of goods sold - monthly</t>
        </is>
      </c>
      <c r="I1018" t="inlineStr"/>
      <c r="J1018">
        <f>YEAR(A1018)*12+MONTH(A1018)</f>
        <v/>
      </c>
    </row>
    <row r="1019">
      <c r="A1019" s="5" t="n">
        <v>46262</v>
      </c>
      <c r="B1019" t="inlineStr">
        <is>
          <t>J-0407</t>
        </is>
      </c>
      <c r="C1019" t="n">
        <v>1</v>
      </c>
      <c r="D1019" t="inlineStr">
        <is>
          <t>1000</t>
        </is>
      </c>
      <c r="E1019" t="inlineStr">
        <is>
          <t>Cash &amp; Bank</t>
        </is>
      </c>
      <c r="F1019" s="6" t="n">
        <v>3994307.05</v>
      </c>
      <c r="G1019" s="6" t="n">
        <v>0</v>
      </c>
      <c r="H1019" t="inlineStr">
        <is>
          <t>Customer receipts</t>
        </is>
      </c>
      <c r="I1019" t="inlineStr"/>
      <c r="J1019">
        <f>YEAR(A1019)*12+MONTH(A1019)</f>
        <v/>
      </c>
    </row>
    <row r="1020">
      <c r="A1020" s="5" t="n">
        <v>46262</v>
      </c>
      <c r="B1020" t="inlineStr">
        <is>
          <t>J-0407</t>
        </is>
      </c>
      <c r="C1020" t="n">
        <v>2</v>
      </c>
      <c r="D1020" t="inlineStr">
        <is>
          <t>1100</t>
        </is>
      </c>
      <c r="E1020" t="inlineStr">
        <is>
          <t>Accounts Receivable</t>
        </is>
      </c>
      <c r="F1020" s="6" t="n">
        <v>0</v>
      </c>
      <c r="G1020" s="6" t="n">
        <v>3994307.05</v>
      </c>
      <c r="H1020" t="inlineStr">
        <is>
          <t>Customer receipts</t>
        </is>
      </c>
      <c r="I1020" t="inlineStr"/>
      <c r="J1020">
        <f>YEAR(A1020)*12+MONTH(A1020)</f>
        <v/>
      </c>
    </row>
    <row r="1021">
      <c r="A1021" s="5" t="n">
        <v>46244</v>
      </c>
      <c r="B1021" t="inlineStr">
        <is>
          <t>J-0408</t>
        </is>
      </c>
      <c r="C1021" t="n">
        <v>1</v>
      </c>
      <c r="D1021" t="inlineStr">
        <is>
          <t>1200</t>
        </is>
      </c>
      <c r="E1021" t="inlineStr">
        <is>
          <t>Inventory</t>
        </is>
      </c>
      <c r="F1021" s="6" t="n">
        <v>622733.1800000001</v>
      </c>
      <c r="G1021" s="6" t="n">
        <v>0</v>
      </c>
      <c r="H1021" t="inlineStr">
        <is>
          <t>Purchase bill PB-202608-1</t>
        </is>
      </c>
      <c r="I1021" t="inlineStr">
        <is>
          <t>Hindustan Foods Ltd</t>
        </is>
      </c>
      <c r="J1021">
        <f>YEAR(A1021)*12+MONTH(A1021)</f>
        <v/>
      </c>
    </row>
    <row r="1022">
      <c r="A1022" s="5" t="n">
        <v>46244</v>
      </c>
      <c r="B1022" t="inlineStr">
        <is>
          <t>J-0408</t>
        </is>
      </c>
      <c r="C1022" t="n">
        <v>2</v>
      </c>
      <c r="D1022" t="inlineStr">
        <is>
          <t>1300</t>
        </is>
      </c>
      <c r="E1022" t="inlineStr">
        <is>
          <t>GST Input Credit</t>
        </is>
      </c>
      <c r="F1022" s="6" t="n">
        <v>112091.97</v>
      </c>
      <c r="G1022" s="6" t="n">
        <v>0</v>
      </c>
      <c r="H1022" t="inlineStr">
        <is>
          <t>Purchase bill PB-202608-1</t>
        </is>
      </c>
      <c r="I1022" t="inlineStr">
        <is>
          <t>Hindustan Foods Ltd</t>
        </is>
      </c>
      <c r="J1022">
        <f>YEAR(A1022)*12+MONTH(A1022)</f>
        <v/>
      </c>
    </row>
    <row r="1023">
      <c r="A1023" s="5" t="n">
        <v>46244</v>
      </c>
      <c r="B1023" t="inlineStr">
        <is>
          <t>J-0408</t>
        </is>
      </c>
      <c r="C1023" t="n">
        <v>3</v>
      </c>
      <c r="D1023" t="inlineStr">
        <is>
          <t>2000</t>
        </is>
      </c>
      <c r="E1023" t="inlineStr">
        <is>
          <t>Accounts Payable</t>
        </is>
      </c>
      <c r="F1023" s="6" t="n">
        <v>0</v>
      </c>
      <c r="G1023" s="6" t="n">
        <v>734825.15</v>
      </c>
      <c r="H1023" t="inlineStr">
        <is>
          <t>Purchase bill PB-202608-1</t>
        </is>
      </c>
      <c r="I1023" t="inlineStr">
        <is>
          <t>Hindustan Foods Ltd</t>
        </is>
      </c>
      <c r="J1023">
        <f>YEAR(A1023)*12+MONTH(A1023)</f>
        <v/>
      </c>
    </row>
    <row r="1024">
      <c r="A1024" s="5" t="n">
        <v>46243</v>
      </c>
      <c r="B1024" t="inlineStr">
        <is>
          <t>J-0409</t>
        </is>
      </c>
      <c r="C1024" t="n">
        <v>1</v>
      </c>
      <c r="D1024" t="inlineStr">
        <is>
          <t>1200</t>
        </is>
      </c>
      <c r="E1024" t="inlineStr">
        <is>
          <t>Inventory</t>
        </is>
      </c>
      <c r="F1024" s="6" t="n">
        <v>636736.65</v>
      </c>
      <c r="G1024" s="6" t="n">
        <v>0</v>
      </c>
      <c r="H1024" t="inlineStr">
        <is>
          <t>Purchase bill PB-202608-2</t>
        </is>
      </c>
      <c r="I1024" t="inlineStr">
        <is>
          <t>Ganga Logistics Pvt Ltd</t>
        </is>
      </c>
      <c r="J1024">
        <f>YEAR(A1024)*12+MONTH(A1024)</f>
        <v/>
      </c>
    </row>
    <row r="1025">
      <c r="A1025" s="5" t="n">
        <v>46243</v>
      </c>
      <c r="B1025" t="inlineStr">
        <is>
          <t>J-0409</t>
        </is>
      </c>
      <c r="C1025" t="n">
        <v>2</v>
      </c>
      <c r="D1025" t="inlineStr">
        <is>
          <t>1300</t>
        </is>
      </c>
      <c r="E1025" t="inlineStr">
        <is>
          <t>GST Input Credit</t>
        </is>
      </c>
      <c r="F1025" s="6" t="n">
        <v>114612.6</v>
      </c>
      <c r="G1025" s="6" t="n">
        <v>0</v>
      </c>
      <c r="H1025" t="inlineStr">
        <is>
          <t>Purchase bill PB-202608-2</t>
        </is>
      </c>
      <c r="I1025" t="inlineStr">
        <is>
          <t>Ganga Logistics Pvt Ltd</t>
        </is>
      </c>
      <c r="J1025">
        <f>YEAR(A1025)*12+MONTH(A1025)</f>
        <v/>
      </c>
    </row>
    <row r="1026">
      <c r="A1026" s="5" t="n">
        <v>46243</v>
      </c>
      <c r="B1026" t="inlineStr">
        <is>
          <t>J-0409</t>
        </is>
      </c>
      <c r="C1026" t="n">
        <v>3</v>
      </c>
      <c r="D1026" t="inlineStr">
        <is>
          <t>2000</t>
        </is>
      </c>
      <c r="E1026" t="inlineStr">
        <is>
          <t>Accounts Payable</t>
        </is>
      </c>
      <c r="F1026" s="6" t="n">
        <v>0</v>
      </c>
      <c r="G1026" s="6" t="n">
        <v>751349.25</v>
      </c>
      <c r="H1026" t="inlineStr">
        <is>
          <t>Purchase bill PB-202608-2</t>
        </is>
      </c>
      <c r="I1026" t="inlineStr">
        <is>
          <t>Ganga Logistics Pvt Ltd</t>
        </is>
      </c>
      <c r="J1026">
        <f>YEAR(A1026)*12+MONTH(A1026)</f>
        <v/>
      </c>
    </row>
    <row r="1027">
      <c r="A1027" s="5" t="n">
        <v>46244</v>
      </c>
      <c r="B1027" t="inlineStr">
        <is>
          <t>J-0410</t>
        </is>
      </c>
      <c r="C1027" t="n">
        <v>1</v>
      </c>
      <c r="D1027" t="inlineStr">
        <is>
          <t>1200</t>
        </is>
      </c>
      <c r="E1027" t="inlineStr">
        <is>
          <t>Inventory</t>
        </is>
      </c>
      <c r="F1027" s="6" t="n">
        <v>528119.65</v>
      </c>
      <c r="G1027" s="6" t="n">
        <v>0</v>
      </c>
      <c r="H1027" t="inlineStr">
        <is>
          <t>Purchase bill PB-202608-3</t>
        </is>
      </c>
      <c r="I1027" t="inlineStr">
        <is>
          <t>Ganga Logistics Pvt Ltd</t>
        </is>
      </c>
      <c r="J1027">
        <f>YEAR(A1027)*12+MONTH(A1027)</f>
        <v/>
      </c>
    </row>
    <row r="1028">
      <c r="A1028" s="5" t="n">
        <v>46244</v>
      </c>
      <c r="B1028" t="inlineStr">
        <is>
          <t>J-0410</t>
        </is>
      </c>
      <c r="C1028" t="n">
        <v>2</v>
      </c>
      <c r="D1028" t="inlineStr">
        <is>
          <t>1300</t>
        </is>
      </c>
      <c r="E1028" t="inlineStr">
        <is>
          <t>GST Input Credit</t>
        </is>
      </c>
      <c r="F1028" s="6" t="n">
        <v>95061.53999999999</v>
      </c>
      <c r="G1028" s="6" t="n">
        <v>0</v>
      </c>
      <c r="H1028" t="inlineStr">
        <is>
          <t>Purchase bill PB-202608-3</t>
        </is>
      </c>
      <c r="I1028" t="inlineStr">
        <is>
          <t>Ganga Logistics Pvt Ltd</t>
        </is>
      </c>
      <c r="J1028">
        <f>YEAR(A1028)*12+MONTH(A1028)</f>
        <v/>
      </c>
    </row>
    <row r="1029">
      <c r="A1029" s="5" t="n">
        <v>46244</v>
      </c>
      <c r="B1029" t="inlineStr">
        <is>
          <t>J-0410</t>
        </is>
      </c>
      <c r="C1029" t="n">
        <v>3</v>
      </c>
      <c r="D1029" t="inlineStr">
        <is>
          <t>2000</t>
        </is>
      </c>
      <c r="E1029" t="inlineStr">
        <is>
          <t>Accounts Payable</t>
        </is>
      </c>
      <c r="F1029" s="6" t="n">
        <v>0</v>
      </c>
      <c r="G1029" s="6" t="n">
        <v>623181.1899999999</v>
      </c>
      <c r="H1029" t="inlineStr">
        <is>
          <t>Purchase bill PB-202608-3</t>
        </is>
      </c>
      <c r="I1029" t="inlineStr">
        <is>
          <t>Ganga Logistics Pvt Ltd</t>
        </is>
      </c>
      <c r="J1029">
        <f>YEAR(A1029)*12+MONTH(A1029)</f>
        <v/>
      </c>
    </row>
    <row r="1030">
      <c r="A1030" s="5" t="n">
        <v>46241</v>
      </c>
      <c r="B1030" t="inlineStr">
        <is>
          <t>J-0411</t>
        </is>
      </c>
      <c r="C1030" t="n">
        <v>1</v>
      </c>
      <c r="D1030" t="inlineStr">
        <is>
          <t>1200</t>
        </is>
      </c>
      <c r="E1030" t="inlineStr">
        <is>
          <t>Inventory</t>
        </is>
      </c>
      <c r="F1030" s="6" t="n">
        <v>576572.29</v>
      </c>
      <c r="G1030" s="6" t="n">
        <v>0</v>
      </c>
      <c r="H1030" t="inlineStr">
        <is>
          <t>Purchase bill PB-202608-4</t>
        </is>
      </c>
      <c r="I1030" t="inlineStr">
        <is>
          <t>National FMCG Distributors</t>
        </is>
      </c>
      <c r="J1030">
        <f>YEAR(A1030)*12+MONTH(A1030)</f>
        <v/>
      </c>
    </row>
    <row r="1031">
      <c r="A1031" s="5" t="n">
        <v>46241</v>
      </c>
      <c r="B1031" t="inlineStr">
        <is>
          <t>J-0411</t>
        </is>
      </c>
      <c r="C1031" t="n">
        <v>2</v>
      </c>
      <c r="D1031" t="inlineStr">
        <is>
          <t>1300</t>
        </is>
      </c>
      <c r="E1031" t="inlineStr">
        <is>
          <t>GST Input Credit</t>
        </is>
      </c>
      <c r="F1031" s="6" t="n">
        <v>103783.01</v>
      </c>
      <c r="G1031" s="6" t="n">
        <v>0</v>
      </c>
      <c r="H1031" t="inlineStr">
        <is>
          <t>Purchase bill PB-202608-4</t>
        </is>
      </c>
      <c r="I1031" t="inlineStr">
        <is>
          <t>National FMCG Distributors</t>
        </is>
      </c>
      <c r="J1031">
        <f>YEAR(A1031)*12+MONTH(A1031)</f>
        <v/>
      </c>
    </row>
    <row r="1032">
      <c r="A1032" s="5" t="n">
        <v>46241</v>
      </c>
      <c r="B1032" t="inlineStr">
        <is>
          <t>J-0411</t>
        </is>
      </c>
      <c r="C1032" t="n">
        <v>3</v>
      </c>
      <c r="D1032" t="inlineStr">
        <is>
          <t>2000</t>
        </is>
      </c>
      <c r="E1032" t="inlineStr">
        <is>
          <t>Accounts Payable</t>
        </is>
      </c>
      <c r="F1032" s="6" t="n">
        <v>0</v>
      </c>
      <c r="G1032" s="6" t="n">
        <v>680355.3</v>
      </c>
      <c r="H1032" t="inlineStr">
        <is>
          <t>Purchase bill PB-202608-4</t>
        </is>
      </c>
      <c r="I1032" t="inlineStr">
        <is>
          <t>National FMCG Distributors</t>
        </is>
      </c>
      <c r="J1032">
        <f>YEAR(A1032)*12+MONTH(A1032)</f>
        <v/>
      </c>
    </row>
    <row r="1033">
      <c r="A1033" s="5" t="n">
        <v>46246</v>
      </c>
      <c r="B1033" t="inlineStr">
        <is>
          <t>J-0412</t>
        </is>
      </c>
      <c r="C1033" t="n">
        <v>1</v>
      </c>
      <c r="D1033" t="inlineStr">
        <is>
          <t>1200</t>
        </is>
      </c>
      <c r="E1033" t="inlineStr">
        <is>
          <t>Inventory</t>
        </is>
      </c>
      <c r="F1033" s="6" t="n">
        <v>451088.47</v>
      </c>
      <c r="G1033" s="6" t="n">
        <v>0</v>
      </c>
      <c r="H1033" t="inlineStr">
        <is>
          <t>Purchase bill PB-202608-5</t>
        </is>
      </c>
      <c r="I1033" t="inlineStr">
        <is>
          <t>Bihar Agro Supplies</t>
        </is>
      </c>
      <c r="J1033">
        <f>YEAR(A1033)*12+MONTH(A1033)</f>
        <v/>
      </c>
    </row>
    <row r="1034">
      <c r="A1034" s="5" t="n">
        <v>46246</v>
      </c>
      <c r="B1034" t="inlineStr">
        <is>
          <t>J-0412</t>
        </is>
      </c>
      <c r="C1034" t="n">
        <v>2</v>
      </c>
      <c r="D1034" t="inlineStr">
        <is>
          <t>1300</t>
        </is>
      </c>
      <c r="E1034" t="inlineStr">
        <is>
          <t>GST Input Credit</t>
        </is>
      </c>
      <c r="F1034" s="6" t="n">
        <v>81195.92</v>
      </c>
      <c r="G1034" s="6" t="n">
        <v>0</v>
      </c>
      <c r="H1034" t="inlineStr">
        <is>
          <t>Purchase bill PB-202608-5</t>
        </is>
      </c>
      <c r="I1034" t="inlineStr">
        <is>
          <t>Bihar Agro Supplies</t>
        </is>
      </c>
      <c r="J1034">
        <f>YEAR(A1034)*12+MONTH(A1034)</f>
        <v/>
      </c>
    </row>
    <row r="1035">
      <c r="A1035" s="5" t="n">
        <v>46246</v>
      </c>
      <c r="B1035" t="inlineStr">
        <is>
          <t>J-0412</t>
        </is>
      </c>
      <c r="C1035" t="n">
        <v>3</v>
      </c>
      <c r="D1035" t="inlineStr">
        <is>
          <t>2000</t>
        </is>
      </c>
      <c r="E1035" t="inlineStr">
        <is>
          <t>Accounts Payable</t>
        </is>
      </c>
      <c r="F1035" s="6" t="n">
        <v>0</v>
      </c>
      <c r="G1035" s="6" t="n">
        <v>532284.39</v>
      </c>
      <c r="H1035" t="inlineStr">
        <is>
          <t>Purchase bill PB-202608-5</t>
        </is>
      </c>
      <c r="I1035" t="inlineStr">
        <is>
          <t>Bihar Agro Supplies</t>
        </is>
      </c>
      <c r="J1035">
        <f>YEAR(A1035)*12+MONTH(A1035)</f>
        <v/>
      </c>
    </row>
    <row r="1036">
      <c r="A1036" s="5" t="n">
        <v>46263</v>
      </c>
      <c r="B1036" t="inlineStr">
        <is>
          <t>J-0413</t>
        </is>
      </c>
      <c r="C1036" t="n">
        <v>1</v>
      </c>
      <c r="D1036" t="inlineStr">
        <is>
          <t>2000</t>
        </is>
      </c>
      <c r="E1036" t="inlineStr">
        <is>
          <t>Accounts Payable</t>
        </is>
      </c>
      <c r="F1036" s="6" t="n">
        <v>2921410.07</v>
      </c>
      <c r="G1036" s="6" t="n">
        <v>0</v>
      </c>
      <c r="H1036" t="inlineStr">
        <is>
          <t>Vendor payments</t>
        </is>
      </c>
      <c r="I1036" t="inlineStr"/>
      <c r="J1036">
        <f>YEAR(A1036)*12+MONTH(A1036)</f>
        <v/>
      </c>
    </row>
    <row r="1037">
      <c r="A1037" s="5" t="n">
        <v>46263</v>
      </c>
      <c r="B1037" t="inlineStr">
        <is>
          <t>J-0413</t>
        </is>
      </c>
      <c r="C1037" t="n">
        <v>2</v>
      </c>
      <c r="D1037" t="inlineStr">
        <is>
          <t>1000</t>
        </is>
      </c>
      <c r="E1037" t="inlineStr">
        <is>
          <t>Cash &amp; Bank</t>
        </is>
      </c>
      <c r="F1037" s="6" t="n">
        <v>0</v>
      </c>
      <c r="G1037" s="6" t="n">
        <v>2921410.07</v>
      </c>
      <c r="H1037" t="inlineStr">
        <is>
          <t>Vendor payments</t>
        </is>
      </c>
      <c r="I1037" t="inlineStr"/>
      <c r="J1037">
        <f>YEAR(A1037)*12+MONTH(A1037)</f>
        <v/>
      </c>
    </row>
    <row r="1038">
      <c r="A1038" s="5" t="n">
        <v>46264</v>
      </c>
      <c r="B1038" t="inlineStr">
        <is>
          <t>J-0414</t>
        </is>
      </c>
      <c r="C1038" t="n">
        <v>1</v>
      </c>
      <c r="D1038" t="inlineStr">
        <is>
          <t>2100</t>
        </is>
      </c>
      <c r="E1038" t="inlineStr">
        <is>
          <t>GST Payable</t>
        </is>
      </c>
      <c r="F1038" s="6" t="n">
        <v>245171.42</v>
      </c>
      <c r="G1038" s="6" t="n">
        <v>0</v>
      </c>
      <c r="H1038" t="inlineStr">
        <is>
          <t>GST paid for month</t>
        </is>
      </c>
      <c r="I1038" t="inlineStr">
        <is>
          <t>GST</t>
        </is>
      </c>
      <c r="J1038">
        <f>YEAR(A1038)*12+MONTH(A1038)</f>
        <v/>
      </c>
    </row>
    <row r="1039">
      <c r="A1039" s="5" t="n">
        <v>46264</v>
      </c>
      <c r="B1039" t="inlineStr">
        <is>
          <t>J-0414</t>
        </is>
      </c>
      <c r="C1039" t="n">
        <v>2</v>
      </c>
      <c r="D1039" t="inlineStr">
        <is>
          <t>1000</t>
        </is>
      </c>
      <c r="E1039" t="inlineStr">
        <is>
          <t>Cash &amp; Bank</t>
        </is>
      </c>
      <c r="F1039" s="6" t="n">
        <v>0</v>
      </c>
      <c r="G1039" s="6" t="n">
        <v>245171.42</v>
      </c>
      <c r="H1039" t="inlineStr">
        <is>
          <t>GST paid for month</t>
        </is>
      </c>
      <c r="I1039" t="inlineStr">
        <is>
          <t>GST</t>
        </is>
      </c>
      <c r="J1039">
        <f>YEAR(A1039)*12+MONTH(A1039)</f>
        <v/>
      </c>
    </row>
    <row r="1040">
      <c r="A1040" s="5" t="n">
        <v>46239</v>
      </c>
      <c r="B1040" t="inlineStr">
        <is>
          <t>J-0415</t>
        </is>
      </c>
      <c r="C1040" t="n">
        <v>1</v>
      </c>
      <c r="D1040" t="inlineStr">
        <is>
          <t>5100</t>
        </is>
      </c>
      <c r="E1040" t="inlineStr">
        <is>
          <t>Rent Expense</t>
        </is>
      </c>
      <c r="F1040" s="6" t="n">
        <v>25000</v>
      </c>
      <c r="G1040" s="6" t="n">
        <v>0</v>
      </c>
      <c r="H1040" t="inlineStr">
        <is>
          <t>Office rent</t>
        </is>
      </c>
      <c r="I1040" t="inlineStr"/>
      <c r="J1040">
        <f>YEAR(A1040)*12+MONTH(A1040)</f>
        <v/>
      </c>
    </row>
    <row r="1041">
      <c r="A1041" s="5" t="n">
        <v>46239</v>
      </c>
      <c r="B1041" t="inlineStr">
        <is>
          <t>J-0415</t>
        </is>
      </c>
      <c r="C1041" t="n">
        <v>2</v>
      </c>
      <c r="D1041" t="inlineStr">
        <is>
          <t>1000</t>
        </is>
      </c>
      <c r="E1041" t="inlineStr">
        <is>
          <t>Cash &amp; Bank</t>
        </is>
      </c>
      <c r="F1041" s="6" t="n">
        <v>0</v>
      </c>
      <c r="G1041" s="6" t="n">
        <v>25000</v>
      </c>
      <c r="H1041" t="inlineStr">
        <is>
          <t>Office rent</t>
        </is>
      </c>
      <c r="I1041" t="inlineStr"/>
      <c r="J1041">
        <f>YEAR(A1041)*12+MONTH(A1041)</f>
        <v/>
      </c>
    </row>
    <row r="1042">
      <c r="A1042" s="5" t="n">
        <v>46241</v>
      </c>
      <c r="B1042" t="inlineStr">
        <is>
          <t>J-0416</t>
        </is>
      </c>
      <c r="C1042" t="n">
        <v>1</v>
      </c>
      <c r="D1042" t="inlineStr">
        <is>
          <t>5200</t>
        </is>
      </c>
      <c r="E1042" t="inlineStr">
        <is>
          <t>Salaries Expense</t>
        </is>
      </c>
      <c r="F1042" s="6" t="n">
        <v>120340.79</v>
      </c>
      <c r="G1042" s="6" t="n">
        <v>0</v>
      </c>
      <c r="H1042" t="inlineStr">
        <is>
          <t>Staff salaries</t>
        </is>
      </c>
      <c r="I1042" t="inlineStr"/>
      <c r="J1042">
        <f>YEAR(A1042)*12+MONTH(A1042)</f>
        <v/>
      </c>
    </row>
    <row r="1043">
      <c r="A1043" s="5" t="n">
        <v>46241</v>
      </c>
      <c r="B1043" t="inlineStr">
        <is>
          <t>J-0416</t>
        </is>
      </c>
      <c r="C1043" t="n">
        <v>2</v>
      </c>
      <c r="D1043" t="inlineStr">
        <is>
          <t>1000</t>
        </is>
      </c>
      <c r="E1043" t="inlineStr">
        <is>
          <t>Cash &amp; Bank</t>
        </is>
      </c>
      <c r="F1043" s="6" t="n">
        <v>0</v>
      </c>
      <c r="G1043" s="6" t="n">
        <v>120340.79</v>
      </c>
      <c r="H1043" t="inlineStr">
        <is>
          <t>Staff salaries</t>
        </is>
      </c>
      <c r="I1043" t="inlineStr"/>
      <c r="J1043">
        <f>YEAR(A1043)*12+MONTH(A1043)</f>
        <v/>
      </c>
    </row>
    <row r="1044">
      <c r="A1044" s="5" t="n">
        <v>46246</v>
      </c>
      <c r="B1044" t="inlineStr">
        <is>
          <t>J-0417</t>
        </is>
      </c>
      <c r="C1044" t="n">
        <v>1</v>
      </c>
      <c r="D1044" t="inlineStr">
        <is>
          <t>5300</t>
        </is>
      </c>
      <c r="E1044" t="inlineStr">
        <is>
          <t>Utilities Expense</t>
        </is>
      </c>
      <c r="F1044" s="6" t="n">
        <v>9302.98</v>
      </c>
      <c r="G1044" s="6" t="n">
        <v>0</v>
      </c>
      <c r="H1044" t="inlineStr">
        <is>
          <t>Utilities (power/water/phone)</t>
        </is>
      </c>
      <c r="I1044" t="inlineStr"/>
      <c r="J1044">
        <f>YEAR(A1044)*12+MONTH(A1044)</f>
        <v/>
      </c>
    </row>
    <row r="1045">
      <c r="A1045" s="5" t="n">
        <v>46246</v>
      </c>
      <c r="B1045" t="inlineStr">
        <is>
          <t>J-0417</t>
        </is>
      </c>
      <c r="C1045" t="n">
        <v>2</v>
      </c>
      <c r="D1045" t="inlineStr">
        <is>
          <t>1000</t>
        </is>
      </c>
      <c r="E1045" t="inlineStr">
        <is>
          <t>Cash &amp; Bank</t>
        </is>
      </c>
      <c r="F1045" s="6" t="n">
        <v>0</v>
      </c>
      <c r="G1045" s="6" t="n">
        <v>9302.98</v>
      </c>
      <c r="H1045" t="inlineStr">
        <is>
          <t>Utilities (power/water/phone)</t>
        </is>
      </c>
      <c r="I1045" t="inlineStr"/>
      <c r="J1045">
        <f>YEAR(A1045)*12+MONTH(A1045)</f>
        <v/>
      </c>
    </row>
    <row r="1046">
      <c r="A1046" s="5" t="n">
        <v>46252</v>
      </c>
      <c r="B1046" t="inlineStr">
        <is>
          <t>J-0418</t>
        </is>
      </c>
      <c r="C1046" t="n">
        <v>1</v>
      </c>
      <c r="D1046" t="inlineStr">
        <is>
          <t>5400</t>
        </is>
      </c>
      <c r="E1046" t="inlineStr">
        <is>
          <t>Transport &amp; Logistics</t>
        </is>
      </c>
      <c r="F1046" s="6" t="n">
        <v>18074.07</v>
      </c>
      <c r="G1046" s="6" t="n">
        <v>0</v>
      </c>
      <c r="H1046" t="inlineStr">
        <is>
          <t>Transport &amp; logistics</t>
        </is>
      </c>
      <c r="I1046" t="inlineStr"/>
      <c r="J1046">
        <f>YEAR(A1046)*12+MONTH(A1046)</f>
        <v/>
      </c>
    </row>
    <row r="1047">
      <c r="A1047" s="5" t="n">
        <v>46252</v>
      </c>
      <c r="B1047" t="inlineStr">
        <is>
          <t>J-0418</t>
        </is>
      </c>
      <c r="C1047" t="n">
        <v>2</v>
      </c>
      <c r="D1047" t="inlineStr">
        <is>
          <t>1000</t>
        </is>
      </c>
      <c r="E1047" t="inlineStr">
        <is>
          <t>Cash &amp; Bank</t>
        </is>
      </c>
      <c r="F1047" s="6" t="n">
        <v>0</v>
      </c>
      <c r="G1047" s="6" t="n">
        <v>18074.07</v>
      </c>
      <c r="H1047" t="inlineStr">
        <is>
          <t>Transport &amp; logistics</t>
        </is>
      </c>
      <c r="I1047" t="inlineStr"/>
      <c r="J1047">
        <f>YEAR(A1047)*12+MONTH(A1047)</f>
        <v/>
      </c>
    </row>
    <row r="1048">
      <c r="A1048" s="5" t="n">
        <v>46254</v>
      </c>
      <c r="B1048" t="inlineStr">
        <is>
          <t>J-0419</t>
        </is>
      </c>
      <c r="C1048" t="n">
        <v>1</v>
      </c>
      <c r="D1048" t="inlineStr">
        <is>
          <t>5500</t>
        </is>
      </c>
      <c r="E1048" t="inlineStr">
        <is>
          <t>Marketing Expense</t>
        </is>
      </c>
      <c r="F1048" s="6" t="n">
        <v>15749.58</v>
      </c>
      <c r="G1048" s="6" t="n">
        <v>0</v>
      </c>
      <c r="H1048" t="inlineStr">
        <is>
          <t>Marketing &amp; promotions</t>
        </is>
      </c>
      <c r="I1048" t="inlineStr"/>
      <c r="J1048">
        <f>YEAR(A1048)*12+MONTH(A1048)</f>
        <v/>
      </c>
    </row>
    <row r="1049">
      <c r="A1049" s="5" t="n">
        <v>46254</v>
      </c>
      <c r="B1049" t="inlineStr">
        <is>
          <t>J-0419</t>
        </is>
      </c>
      <c r="C1049" t="n">
        <v>2</v>
      </c>
      <c r="D1049" t="inlineStr">
        <is>
          <t>1000</t>
        </is>
      </c>
      <c r="E1049" t="inlineStr">
        <is>
          <t>Cash &amp; Bank</t>
        </is>
      </c>
      <c r="F1049" s="6" t="n">
        <v>0</v>
      </c>
      <c r="G1049" s="6" t="n">
        <v>15749.58</v>
      </c>
      <c r="H1049" t="inlineStr">
        <is>
          <t>Marketing &amp; promotions</t>
        </is>
      </c>
      <c r="I1049" t="inlineStr"/>
      <c r="J1049">
        <f>YEAR(A1049)*12+MONTH(A1049)</f>
        <v/>
      </c>
    </row>
    <row r="1050">
      <c r="A1050" s="5" t="n">
        <v>46244</v>
      </c>
      <c r="B1050" t="inlineStr">
        <is>
          <t>J-0420</t>
        </is>
      </c>
      <c r="C1050" t="n">
        <v>1</v>
      </c>
      <c r="D1050" t="inlineStr">
        <is>
          <t>5600</t>
        </is>
      </c>
      <c r="E1050" t="inlineStr">
        <is>
          <t>Interest Expense</t>
        </is>
      </c>
      <c r="F1050" s="6" t="n">
        <v>9000</v>
      </c>
      <c r="G1050" s="6" t="n">
        <v>0</v>
      </c>
      <c r="H1050" t="inlineStr">
        <is>
          <t>Term loan interest</t>
        </is>
      </c>
      <c r="I1050" t="inlineStr">
        <is>
          <t>HDFC</t>
        </is>
      </c>
      <c r="J1050">
        <f>YEAR(A1050)*12+MONTH(A1050)</f>
        <v/>
      </c>
    </row>
    <row r="1051">
      <c r="A1051" s="5" t="n">
        <v>46244</v>
      </c>
      <c r="B1051" t="inlineStr">
        <is>
          <t>J-0420</t>
        </is>
      </c>
      <c r="C1051" t="n">
        <v>2</v>
      </c>
      <c r="D1051" t="inlineStr">
        <is>
          <t>1000</t>
        </is>
      </c>
      <c r="E1051" t="inlineStr">
        <is>
          <t>Cash &amp; Bank</t>
        </is>
      </c>
      <c r="F1051" s="6" t="n">
        <v>0</v>
      </c>
      <c r="G1051" s="6" t="n">
        <v>9000</v>
      </c>
      <c r="H1051" t="inlineStr">
        <is>
          <t>Term loan interest</t>
        </is>
      </c>
      <c r="I1051" t="inlineStr">
        <is>
          <t>HDFC</t>
        </is>
      </c>
      <c r="J1051">
        <f>YEAR(A1051)*12+MONTH(A1051)</f>
        <v/>
      </c>
    </row>
    <row r="1052">
      <c r="A1052" s="5" t="n">
        <v>46244</v>
      </c>
      <c r="B1052" t="inlineStr">
        <is>
          <t>J-0421</t>
        </is>
      </c>
      <c r="C1052" t="n">
        <v>1</v>
      </c>
      <c r="D1052" t="inlineStr">
        <is>
          <t>2200</t>
        </is>
      </c>
      <c r="E1052" t="inlineStr">
        <is>
          <t>Term Loan</t>
        </is>
      </c>
      <c r="F1052" s="6" t="n">
        <v>55000</v>
      </c>
      <c r="G1052" s="6" t="n">
        <v>0</v>
      </c>
      <c r="H1052" t="inlineStr">
        <is>
          <t>Term loan principal repayment</t>
        </is>
      </c>
      <c r="I1052" t="inlineStr">
        <is>
          <t>HDFC</t>
        </is>
      </c>
      <c r="J1052">
        <f>YEAR(A1052)*12+MONTH(A1052)</f>
        <v/>
      </c>
    </row>
    <row r="1053">
      <c r="A1053" s="5" t="n">
        <v>46244</v>
      </c>
      <c r="B1053" t="inlineStr">
        <is>
          <t>J-0421</t>
        </is>
      </c>
      <c r="C1053" t="n">
        <v>2</v>
      </c>
      <c r="D1053" t="inlineStr">
        <is>
          <t>1000</t>
        </is>
      </c>
      <c r="E1053" t="inlineStr">
        <is>
          <t>Cash &amp; Bank</t>
        </is>
      </c>
      <c r="F1053" s="6" t="n">
        <v>0</v>
      </c>
      <c r="G1053" s="6" t="n">
        <v>55000</v>
      </c>
      <c r="H1053" t="inlineStr">
        <is>
          <t>Term loan principal repayment</t>
        </is>
      </c>
      <c r="I1053" t="inlineStr">
        <is>
          <t>HDFC</t>
        </is>
      </c>
      <c r="J1053">
        <f>YEAR(A1053)*12+MONTH(A1053)</f>
        <v/>
      </c>
    </row>
    <row r="1054">
      <c r="A1054" s="5" t="n">
        <v>46264</v>
      </c>
      <c r="B1054" t="inlineStr">
        <is>
          <t>J-0422</t>
        </is>
      </c>
      <c r="C1054" t="n">
        <v>1</v>
      </c>
      <c r="D1054" t="inlineStr">
        <is>
          <t>5700</t>
        </is>
      </c>
      <c r="E1054" t="inlineStr">
        <is>
          <t>Depreciation Expense</t>
        </is>
      </c>
      <c r="F1054" s="6" t="n">
        <v>6000</v>
      </c>
      <c r="G1054" s="6" t="n">
        <v>0</v>
      </c>
      <c r="H1054" t="inlineStr">
        <is>
          <t>Depreciation - equipment</t>
        </is>
      </c>
      <c r="I1054" t="inlineStr"/>
      <c r="J1054">
        <f>YEAR(A1054)*12+MONTH(A1054)</f>
        <v/>
      </c>
    </row>
    <row r="1055">
      <c r="A1055" s="5" t="n">
        <v>46264</v>
      </c>
      <c r="B1055" t="inlineStr">
        <is>
          <t>J-0422</t>
        </is>
      </c>
      <c r="C1055" t="n">
        <v>2</v>
      </c>
      <c r="D1055" t="inlineStr">
        <is>
          <t>1510</t>
        </is>
      </c>
      <c r="E1055" t="inlineStr">
        <is>
          <t>Accumulated Depreciation</t>
        </is>
      </c>
      <c r="F1055" s="6" t="n">
        <v>0</v>
      </c>
      <c r="G1055" s="6" t="n">
        <v>6000</v>
      </c>
      <c r="H1055" t="inlineStr">
        <is>
          <t>Depreciation - equipment</t>
        </is>
      </c>
      <c r="I1055" t="inlineStr"/>
      <c r="J1055">
        <f>YEAR(A1055)*12+MONTH(A1055)</f>
        <v/>
      </c>
    </row>
    <row r="1056">
      <c r="A1056" s="5" t="n">
        <v>46250</v>
      </c>
      <c r="B1056" t="inlineStr">
        <is>
          <t>J-0423</t>
        </is>
      </c>
      <c r="C1056" t="n">
        <v>1</v>
      </c>
      <c r="D1056" t="inlineStr">
        <is>
          <t>5800</t>
        </is>
      </c>
      <c r="E1056" t="inlineStr">
        <is>
          <t>Miscellaneous Expense</t>
        </is>
      </c>
      <c r="F1056" s="6" t="n">
        <v>5415.05</v>
      </c>
      <c r="G1056" s="6" t="n">
        <v>0</v>
      </c>
      <c r="H1056" t="inlineStr">
        <is>
          <t>Miscellaneous expenses</t>
        </is>
      </c>
      <c r="I1056" t="inlineStr"/>
      <c r="J1056">
        <f>YEAR(A1056)*12+MONTH(A1056)</f>
        <v/>
      </c>
    </row>
    <row r="1057">
      <c r="A1057" s="5" t="n">
        <v>46250</v>
      </c>
      <c r="B1057" t="inlineStr">
        <is>
          <t>J-0423</t>
        </is>
      </c>
      <c r="C1057" t="n">
        <v>2</v>
      </c>
      <c r="D1057" t="inlineStr">
        <is>
          <t>1000</t>
        </is>
      </c>
      <c r="E1057" t="inlineStr">
        <is>
          <t>Cash &amp; Bank</t>
        </is>
      </c>
      <c r="F1057" s="6" t="n">
        <v>0</v>
      </c>
      <c r="G1057" s="6" t="n">
        <v>5415.05</v>
      </c>
      <c r="H1057" t="inlineStr">
        <is>
          <t>Miscellaneous expenses</t>
        </is>
      </c>
      <c r="I1057" t="inlineStr"/>
      <c r="J1057">
        <f>YEAR(A1057)*12+MONTH(A1057)</f>
        <v/>
      </c>
    </row>
    <row r="1058">
      <c r="A1058" s="5" t="n">
        <v>46286</v>
      </c>
      <c r="B1058" t="inlineStr">
        <is>
          <t>J-0424</t>
        </is>
      </c>
      <c r="C1058" t="n">
        <v>1</v>
      </c>
      <c r="D1058" t="inlineStr">
        <is>
          <t>1100</t>
        </is>
      </c>
      <c r="E1058" t="inlineStr">
        <is>
          <t>Accounts Receivable</t>
        </is>
      </c>
      <c r="F1058" s="6" t="n">
        <v>645274.46</v>
      </c>
      <c r="G1058" s="6" t="n">
        <v>0</v>
      </c>
      <c r="H1058" t="inlineStr">
        <is>
          <t>Sales invoice INV-202609-1</t>
        </is>
      </c>
      <c r="I1058" t="inlineStr">
        <is>
          <t>Verma Kirana Mart</t>
        </is>
      </c>
      <c r="J1058">
        <f>YEAR(A1058)*12+MONTH(A1058)</f>
        <v/>
      </c>
    </row>
    <row r="1059">
      <c r="A1059" s="5" t="n">
        <v>46286</v>
      </c>
      <c r="B1059" t="inlineStr">
        <is>
          <t>J-0424</t>
        </is>
      </c>
      <c r="C1059" t="n">
        <v>2</v>
      </c>
      <c r="D1059" t="inlineStr">
        <is>
          <t>4000</t>
        </is>
      </c>
      <c r="E1059" t="inlineStr">
        <is>
          <t>Sales Revenue</t>
        </is>
      </c>
      <c r="F1059" s="6" t="n">
        <v>0</v>
      </c>
      <c r="G1059" s="6" t="n">
        <v>546842.76</v>
      </c>
      <c r="H1059" t="inlineStr">
        <is>
          <t>Sales invoice INV-202609-1</t>
        </is>
      </c>
      <c r="I1059" t="inlineStr">
        <is>
          <t>Verma Kirana Mart</t>
        </is>
      </c>
      <c r="J1059">
        <f>YEAR(A1059)*12+MONTH(A1059)</f>
        <v/>
      </c>
    </row>
    <row r="1060">
      <c r="A1060" s="5" t="n">
        <v>46286</v>
      </c>
      <c r="B1060" t="inlineStr">
        <is>
          <t>J-0424</t>
        </is>
      </c>
      <c r="C1060" t="n">
        <v>3</v>
      </c>
      <c r="D1060" t="inlineStr">
        <is>
          <t>2100</t>
        </is>
      </c>
      <c r="E1060" t="inlineStr">
        <is>
          <t>GST Payable</t>
        </is>
      </c>
      <c r="F1060" s="6" t="n">
        <v>0</v>
      </c>
      <c r="G1060" s="6" t="n">
        <v>98431.7</v>
      </c>
      <c r="H1060" t="inlineStr">
        <is>
          <t>Sales invoice INV-202609-1</t>
        </is>
      </c>
      <c r="I1060" t="inlineStr">
        <is>
          <t>GST</t>
        </is>
      </c>
      <c r="J1060">
        <f>YEAR(A1060)*12+MONTH(A1060)</f>
        <v/>
      </c>
    </row>
    <row r="1061">
      <c r="A1061" s="5" t="n">
        <v>46277</v>
      </c>
      <c r="B1061" t="inlineStr">
        <is>
          <t>J-0425</t>
        </is>
      </c>
      <c r="C1061" t="n">
        <v>1</v>
      </c>
      <c r="D1061" t="inlineStr">
        <is>
          <t>1100</t>
        </is>
      </c>
      <c r="E1061" t="inlineStr">
        <is>
          <t>Accounts Receivable</t>
        </is>
      </c>
      <c r="F1061" s="6" t="n">
        <v>449188.48</v>
      </c>
      <c r="G1061" s="6" t="n">
        <v>0</v>
      </c>
      <c r="H1061" t="inlineStr">
        <is>
          <t>Sales invoice INV-202609-2</t>
        </is>
      </c>
      <c r="I1061" t="inlineStr">
        <is>
          <t>New City Mart</t>
        </is>
      </c>
      <c r="J1061">
        <f>YEAR(A1061)*12+MONTH(A1061)</f>
        <v/>
      </c>
    </row>
    <row r="1062">
      <c r="A1062" s="5" t="n">
        <v>46277</v>
      </c>
      <c r="B1062" t="inlineStr">
        <is>
          <t>J-0425</t>
        </is>
      </c>
      <c r="C1062" t="n">
        <v>2</v>
      </c>
      <c r="D1062" t="inlineStr">
        <is>
          <t>4000</t>
        </is>
      </c>
      <c r="E1062" t="inlineStr">
        <is>
          <t>Sales Revenue</t>
        </is>
      </c>
      <c r="F1062" s="6" t="n">
        <v>0</v>
      </c>
      <c r="G1062" s="6" t="n">
        <v>380668.2</v>
      </c>
      <c r="H1062" t="inlineStr">
        <is>
          <t>Sales invoice INV-202609-2</t>
        </is>
      </c>
      <c r="I1062" t="inlineStr">
        <is>
          <t>New City Mart</t>
        </is>
      </c>
      <c r="J1062">
        <f>YEAR(A1062)*12+MONTH(A1062)</f>
        <v/>
      </c>
    </row>
    <row r="1063">
      <c r="A1063" s="5" t="n">
        <v>46277</v>
      </c>
      <c r="B1063" t="inlineStr">
        <is>
          <t>J-0425</t>
        </is>
      </c>
      <c r="C1063" t="n">
        <v>3</v>
      </c>
      <c r="D1063" t="inlineStr">
        <is>
          <t>2100</t>
        </is>
      </c>
      <c r="E1063" t="inlineStr">
        <is>
          <t>GST Payable</t>
        </is>
      </c>
      <c r="F1063" s="6" t="n">
        <v>0</v>
      </c>
      <c r="G1063" s="6" t="n">
        <v>68520.28</v>
      </c>
      <c r="H1063" t="inlineStr">
        <is>
          <t>Sales invoice INV-202609-2</t>
        </is>
      </c>
      <c r="I1063" t="inlineStr">
        <is>
          <t>GST</t>
        </is>
      </c>
      <c r="J1063">
        <f>YEAR(A1063)*12+MONTH(A1063)</f>
        <v/>
      </c>
    </row>
    <row r="1064">
      <c r="A1064" s="5" t="n">
        <v>46269</v>
      </c>
      <c r="B1064" t="inlineStr">
        <is>
          <t>J-0426</t>
        </is>
      </c>
      <c r="C1064" t="n">
        <v>1</v>
      </c>
      <c r="D1064" t="inlineStr">
        <is>
          <t>1100</t>
        </is>
      </c>
      <c r="E1064" t="inlineStr">
        <is>
          <t>Accounts Receivable</t>
        </is>
      </c>
      <c r="F1064" s="6" t="n">
        <v>692755.9</v>
      </c>
      <c r="G1064" s="6" t="n">
        <v>0</v>
      </c>
      <c r="H1064" t="inlineStr">
        <is>
          <t>Sales invoice INV-202609-3</t>
        </is>
      </c>
      <c r="I1064" t="inlineStr">
        <is>
          <t>Sharma General Store</t>
        </is>
      </c>
      <c r="J1064">
        <f>YEAR(A1064)*12+MONTH(A1064)</f>
        <v/>
      </c>
    </row>
    <row r="1065">
      <c r="A1065" s="5" t="n">
        <v>46269</v>
      </c>
      <c r="B1065" t="inlineStr">
        <is>
          <t>J-0426</t>
        </is>
      </c>
      <c r="C1065" t="n">
        <v>2</v>
      </c>
      <c r="D1065" t="inlineStr">
        <is>
          <t>4000</t>
        </is>
      </c>
      <c r="E1065" t="inlineStr">
        <is>
          <t>Sales Revenue</t>
        </is>
      </c>
      <c r="F1065" s="6" t="n">
        <v>0</v>
      </c>
      <c r="G1065" s="6" t="n">
        <v>587081.27</v>
      </c>
      <c r="H1065" t="inlineStr">
        <is>
          <t>Sales invoice INV-202609-3</t>
        </is>
      </c>
      <c r="I1065" t="inlineStr">
        <is>
          <t>Sharma General Store</t>
        </is>
      </c>
      <c r="J1065">
        <f>YEAR(A1065)*12+MONTH(A1065)</f>
        <v/>
      </c>
    </row>
    <row r="1066">
      <c r="A1066" s="5" t="n">
        <v>46269</v>
      </c>
      <c r="B1066" t="inlineStr">
        <is>
          <t>J-0426</t>
        </is>
      </c>
      <c r="C1066" t="n">
        <v>3</v>
      </c>
      <c r="D1066" t="inlineStr">
        <is>
          <t>2100</t>
        </is>
      </c>
      <c r="E1066" t="inlineStr">
        <is>
          <t>GST Payable</t>
        </is>
      </c>
      <c r="F1066" s="6" t="n">
        <v>0</v>
      </c>
      <c r="G1066" s="6" t="n">
        <v>105674.63</v>
      </c>
      <c r="H1066" t="inlineStr">
        <is>
          <t>Sales invoice INV-202609-3</t>
        </is>
      </c>
      <c r="I1066" t="inlineStr">
        <is>
          <t>GST</t>
        </is>
      </c>
      <c r="J1066">
        <f>YEAR(A1066)*12+MONTH(A1066)</f>
        <v/>
      </c>
    </row>
    <row r="1067">
      <c r="A1067" s="5" t="n">
        <v>46285</v>
      </c>
      <c r="B1067" t="inlineStr">
        <is>
          <t>J-0427</t>
        </is>
      </c>
      <c r="C1067" t="n">
        <v>1</v>
      </c>
      <c r="D1067" t="inlineStr">
        <is>
          <t>1100</t>
        </is>
      </c>
      <c r="E1067" t="inlineStr">
        <is>
          <t>Accounts Receivable</t>
        </is>
      </c>
      <c r="F1067" s="6" t="n">
        <v>530858.26</v>
      </c>
      <c r="G1067" s="6" t="n">
        <v>0</v>
      </c>
      <c r="H1067" t="inlineStr">
        <is>
          <t>Sales invoice INV-202609-4</t>
        </is>
      </c>
      <c r="I1067" t="inlineStr">
        <is>
          <t>Annapurna Retail</t>
        </is>
      </c>
      <c r="J1067">
        <f>YEAR(A1067)*12+MONTH(A1067)</f>
        <v/>
      </c>
    </row>
    <row r="1068">
      <c r="A1068" s="5" t="n">
        <v>46285</v>
      </c>
      <c r="B1068" t="inlineStr">
        <is>
          <t>J-0427</t>
        </is>
      </c>
      <c r="C1068" t="n">
        <v>2</v>
      </c>
      <c r="D1068" t="inlineStr">
        <is>
          <t>4000</t>
        </is>
      </c>
      <c r="E1068" t="inlineStr">
        <is>
          <t>Sales Revenue</t>
        </is>
      </c>
      <c r="F1068" s="6" t="n">
        <v>0</v>
      </c>
      <c r="G1068" s="6" t="n">
        <v>449879.88</v>
      </c>
      <c r="H1068" t="inlineStr">
        <is>
          <t>Sales invoice INV-202609-4</t>
        </is>
      </c>
      <c r="I1068" t="inlineStr">
        <is>
          <t>Annapurna Retail</t>
        </is>
      </c>
      <c r="J1068">
        <f>YEAR(A1068)*12+MONTH(A1068)</f>
        <v/>
      </c>
    </row>
    <row r="1069">
      <c r="A1069" s="5" t="n">
        <v>46285</v>
      </c>
      <c r="B1069" t="inlineStr">
        <is>
          <t>J-0427</t>
        </is>
      </c>
      <c r="C1069" t="n">
        <v>3</v>
      </c>
      <c r="D1069" t="inlineStr">
        <is>
          <t>2100</t>
        </is>
      </c>
      <c r="E1069" t="inlineStr">
        <is>
          <t>GST Payable</t>
        </is>
      </c>
      <c r="F1069" s="6" t="n">
        <v>0</v>
      </c>
      <c r="G1069" s="6" t="n">
        <v>80978.38</v>
      </c>
      <c r="H1069" t="inlineStr">
        <is>
          <t>Sales invoice INV-202609-4</t>
        </is>
      </c>
      <c r="I1069" t="inlineStr">
        <is>
          <t>GST</t>
        </is>
      </c>
      <c r="J1069">
        <f>YEAR(A1069)*12+MONTH(A1069)</f>
        <v/>
      </c>
    </row>
    <row r="1070">
      <c r="A1070" s="5" t="n">
        <v>46285</v>
      </c>
      <c r="B1070" t="inlineStr">
        <is>
          <t>J-0428</t>
        </is>
      </c>
      <c r="C1070" t="n">
        <v>1</v>
      </c>
      <c r="D1070" t="inlineStr">
        <is>
          <t>1100</t>
        </is>
      </c>
      <c r="E1070" t="inlineStr">
        <is>
          <t>Accounts Receivable</t>
        </is>
      </c>
      <c r="F1070" s="6" t="n">
        <v>842680.8</v>
      </c>
      <c r="G1070" s="6" t="n">
        <v>0</v>
      </c>
      <c r="H1070" t="inlineStr">
        <is>
          <t>Sales invoice INV-202609-5</t>
        </is>
      </c>
      <c r="I1070" t="inlineStr">
        <is>
          <t>Kumari Provision Store</t>
        </is>
      </c>
      <c r="J1070">
        <f>YEAR(A1070)*12+MONTH(A1070)</f>
        <v/>
      </c>
    </row>
    <row r="1071">
      <c r="A1071" s="5" t="n">
        <v>46285</v>
      </c>
      <c r="B1071" t="inlineStr">
        <is>
          <t>J-0428</t>
        </is>
      </c>
      <c r="C1071" t="n">
        <v>2</v>
      </c>
      <c r="D1071" t="inlineStr">
        <is>
          <t>4000</t>
        </is>
      </c>
      <c r="E1071" t="inlineStr">
        <is>
          <t>Sales Revenue</t>
        </is>
      </c>
      <c r="F1071" s="6" t="n">
        <v>0</v>
      </c>
      <c r="G1071" s="6" t="n">
        <v>714136.27</v>
      </c>
      <c r="H1071" t="inlineStr">
        <is>
          <t>Sales invoice INV-202609-5</t>
        </is>
      </c>
      <c r="I1071" t="inlineStr">
        <is>
          <t>Kumari Provision Store</t>
        </is>
      </c>
      <c r="J1071">
        <f>YEAR(A1071)*12+MONTH(A1071)</f>
        <v/>
      </c>
    </row>
    <row r="1072">
      <c r="A1072" s="5" t="n">
        <v>46285</v>
      </c>
      <c r="B1072" t="inlineStr">
        <is>
          <t>J-0428</t>
        </is>
      </c>
      <c r="C1072" t="n">
        <v>3</v>
      </c>
      <c r="D1072" t="inlineStr">
        <is>
          <t>2100</t>
        </is>
      </c>
      <c r="E1072" t="inlineStr">
        <is>
          <t>GST Payable</t>
        </is>
      </c>
      <c r="F1072" s="6" t="n">
        <v>0</v>
      </c>
      <c r="G1072" s="6" t="n">
        <v>128544.53</v>
      </c>
      <c r="H1072" t="inlineStr">
        <is>
          <t>Sales invoice INV-202609-5</t>
        </is>
      </c>
      <c r="I1072" t="inlineStr">
        <is>
          <t>GST</t>
        </is>
      </c>
      <c r="J1072">
        <f>YEAR(A1072)*12+MONTH(A1072)</f>
        <v/>
      </c>
    </row>
    <row r="1073">
      <c r="A1073" s="5" t="n">
        <v>46282</v>
      </c>
      <c r="B1073" t="inlineStr">
        <is>
          <t>J-0429</t>
        </is>
      </c>
      <c r="C1073" t="n">
        <v>1</v>
      </c>
      <c r="D1073" t="inlineStr">
        <is>
          <t>1100</t>
        </is>
      </c>
      <c r="E1073" t="inlineStr">
        <is>
          <t>Accounts Receivable</t>
        </is>
      </c>
      <c r="F1073" s="6" t="n">
        <v>449348.68</v>
      </c>
      <c r="G1073" s="6" t="n">
        <v>0</v>
      </c>
      <c r="H1073" t="inlineStr">
        <is>
          <t>Sales invoice INV-202609-6</t>
        </is>
      </c>
      <c r="I1073" t="inlineStr">
        <is>
          <t>Gupta Super Bazaar</t>
        </is>
      </c>
      <c r="J1073">
        <f>YEAR(A1073)*12+MONTH(A1073)</f>
        <v/>
      </c>
    </row>
    <row r="1074">
      <c r="A1074" s="5" t="n">
        <v>46282</v>
      </c>
      <c r="B1074" t="inlineStr">
        <is>
          <t>J-0429</t>
        </is>
      </c>
      <c r="C1074" t="n">
        <v>2</v>
      </c>
      <c r="D1074" t="inlineStr">
        <is>
          <t>4000</t>
        </is>
      </c>
      <c r="E1074" t="inlineStr">
        <is>
          <t>Sales Revenue</t>
        </is>
      </c>
      <c r="F1074" s="6" t="n">
        <v>0</v>
      </c>
      <c r="G1074" s="6" t="n">
        <v>380803.97</v>
      </c>
      <c r="H1074" t="inlineStr">
        <is>
          <t>Sales invoice INV-202609-6</t>
        </is>
      </c>
      <c r="I1074" t="inlineStr">
        <is>
          <t>Gupta Super Bazaar</t>
        </is>
      </c>
      <c r="J1074">
        <f>YEAR(A1074)*12+MONTH(A1074)</f>
        <v/>
      </c>
    </row>
    <row r="1075">
      <c r="A1075" s="5" t="n">
        <v>46282</v>
      </c>
      <c r="B1075" t="inlineStr">
        <is>
          <t>J-0429</t>
        </is>
      </c>
      <c r="C1075" t="n">
        <v>3</v>
      </c>
      <c r="D1075" t="inlineStr">
        <is>
          <t>2100</t>
        </is>
      </c>
      <c r="E1075" t="inlineStr">
        <is>
          <t>GST Payable</t>
        </is>
      </c>
      <c r="F1075" s="6" t="n">
        <v>0</v>
      </c>
      <c r="G1075" s="6" t="n">
        <v>68544.71000000001</v>
      </c>
      <c r="H1075" t="inlineStr">
        <is>
          <t>Sales invoice INV-202609-6</t>
        </is>
      </c>
      <c r="I1075" t="inlineStr">
        <is>
          <t>GST</t>
        </is>
      </c>
      <c r="J1075">
        <f>YEAR(A1075)*12+MONTH(A1075)</f>
        <v/>
      </c>
    </row>
    <row r="1076">
      <c r="A1076" s="5" t="n">
        <v>46275</v>
      </c>
      <c r="B1076" t="inlineStr">
        <is>
          <t>J-0430</t>
        </is>
      </c>
      <c r="C1076" t="n">
        <v>1</v>
      </c>
      <c r="D1076" t="inlineStr">
        <is>
          <t>1100</t>
        </is>
      </c>
      <c r="E1076" t="inlineStr">
        <is>
          <t>Accounts Receivable</t>
        </is>
      </c>
      <c r="F1076" s="6" t="n">
        <v>656146.54</v>
      </c>
      <c r="G1076" s="6" t="n">
        <v>0</v>
      </c>
      <c r="H1076" t="inlineStr">
        <is>
          <t>Sales invoice INV-202609-7</t>
        </is>
      </c>
      <c r="I1076" t="inlineStr">
        <is>
          <t>Rajdhani Traders</t>
        </is>
      </c>
      <c r="J1076">
        <f>YEAR(A1076)*12+MONTH(A1076)</f>
        <v/>
      </c>
    </row>
    <row r="1077">
      <c r="A1077" s="5" t="n">
        <v>46275</v>
      </c>
      <c r="B1077" t="inlineStr">
        <is>
          <t>J-0430</t>
        </is>
      </c>
      <c r="C1077" t="n">
        <v>2</v>
      </c>
      <c r="D1077" t="inlineStr">
        <is>
          <t>4000</t>
        </is>
      </c>
      <c r="E1077" t="inlineStr">
        <is>
          <t>Sales Revenue</t>
        </is>
      </c>
      <c r="F1077" s="6" t="n">
        <v>0</v>
      </c>
      <c r="G1077" s="6" t="n">
        <v>556056.39</v>
      </c>
      <c r="H1077" t="inlineStr">
        <is>
          <t>Sales invoice INV-202609-7</t>
        </is>
      </c>
      <c r="I1077" t="inlineStr">
        <is>
          <t>Rajdhani Traders</t>
        </is>
      </c>
      <c r="J1077">
        <f>YEAR(A1077)*12+MONTH(A1077)</f>
        <v/>
      </c>
    </row>
    <row r="1078">
      <c r="A1078" s="5" t="n">
        <v>46275</v>
      </c>
      <c r="B1078" t="inlineStr">
        <is>
          <t>J-0430</t>
        </is>
      </c>
      <c r="C1078" t="n">
        <v>3</v>
      </c>
      <c r="D1078" t="inlineStr">
        <is>
          <t>2100</t>
        </is>
      </c>
      <c r="E1078" t="inlineStr">
        <is>
          <t>GST Payable</t>
        </is>
      </c>
      <c r="F1078" s="6" t="n">
        <v>0</v>
      </c>
      <c r="G1078" s="6" t="n">
        <v>100090.15</v>
      </c>
      <c r="H1078" t="inlineStr">
        <is>
          <t>Sales invoice INV-202609-7</t>
        </is>
      </c>
      <c r="I1078" t="inlineStr">
        <is>
          <t>GST</t>
        </is>
      </c>
      <c r="J1078">
        <f>YEAR(A1078)*12+MONTH(A1078)</f>
        <v/>
      </c>
    </row>
    <row r="1079">
      <c r="A1079" s="5" t="n">
        <v>46292</v>
      </c>
      <c r="B1079" t="inlineStr">
        <is>
          <t>J-0431</t>
        </is>
      </c>
      <c r="C1079" t="n">
        <v>1</v>
      </c>
      <c r="D1079" t="inlineStr">
        <is>
          <t>5000</t>
        </is>
      </c>
      <c r="E1079" t="inlineStr">
        <is>
          <t>Cost of Goods Sold</t>
        </is>
      </c>
      <c r="F1079" s="6" t="n">
        <v>2484765.48</v>
      </c>
      <c r="G1079" s="6" t="n">
        <v>0</v>
      </c>
      <c r="H1079" t="inlineStr">
        <is>
          <t>Cost of goods sold - monthly</t>
        </is>
      </c>
      <c r="I1079" t="inlineStr"/>
      <c r="J1079">
        <f>YEAR(A1079)*12+MONTH(A1079)</f>
        <v/>
      </c>
    </row>
    <row r="1080">
      <c r="A1080" s="5" t="n">
        <v>46292</v>
      </c>
      <c r="B1080" t="inlineStr">
        <is>
          <t>J-0431</t>
        </is>
      </c>
      <c r="C1080" t="n">
        <v>2</v>
      </c>
      <c r="D1080" t="inlineStr">
        <is>
          <t>1200</t>
        </is>
      </c>
      <c r="E1080" t="inlineStr">
        <is>
          <t>Inventory</t>
        </is>
      </c>
      <c r="F1080" s="6" t="n">
        <v>0</v>
      </c>
      <c r="G1080" s="6" t="n">
        <v>2484765.48</v>
      </c>
      <c r="H1080" t="inlineStr">
        <is>
          <t>Cost of goods sold - monthly</t>
        </is>
      </c>
      <c r="I1080" t="inlineStr"/>
      <c r="J1080">
        <f>YEAR(A1080)*12+MONTH(A1080)</f>
        <v/>
      </c>
    </row>
    <row r="1081">
      <c r="A1081" s="5" t="n">
        <v>46293</v>
      </c>
      <c r="B1081" t="inlineStr">
        <is>
          <t>J-0432</t>
        </is>
      </c>
      <c r="C1081" t="n">
        <v>1</v>
      </c>
      <c r="D1081" t="inlineStr">
        <is>
          <t>1000</t>
        </is>
      </c>
      <c r="E1081" t="inlineStr">
        <is>
          <t>Cash &amp; Bank</t>
        </is>
      </c>
      <c r="F1081" s="6" t="n">
        <v>3662718.92</v>
      </c>
      <c r="G1081" s="6" t="n">
        <v>0</v>
      </c>
      <c r="H1081" t="inlineStr">
        <is>
          <t>Customer receipts</t>
        </is>
      </c>
      <c r="I1081" t="inlineStr"/>
      <c r="J1081">
        <f>YEAR(A1081)*12+MONTH(A1081)</f>
        <v/>
      </c>
    </row>
    <row r="1082">
      <c r="A1082" s="5" t="n">
        <v>46293</v>
      </c>
      <c r="B1082" t="inlineStr">
        <is>
          <t>J-0432</t>
        </is>
      </c>
      <c r="C1082" t="n">
        <v>2</v>
      </c>
      <c r="D1082" t="inlineStr">
        <is>
          <t>1100</t>
        </is>
      </c>
      <c r="E1082" t="inlineStr">
        <is>
          <t>Accounts Receivable</t>
        </is>
      </c>
      <c r="F1082" s="6" t="n">
        <v>0</v>
      </c>
      <c r="G1082" s="6" t="n">
        <v>3662718.92</v>
      </c>
      <c r="H1082" t="inlineStr">
        <is>
          <t>Customer receipts</t>
        </is>
      </c>
      <c r="I1082" t="inlineStr"/>
      <c r="J1082">
        <f>YEAR(A1082)*12+MONTH(A1082)</f>
        <v/>
      </c>
    </row>
    <row r="1083">
      <c r="A1083" s="5" t="n">
        <v>46283</v>
      </c>
      <c r="B1083" t="inlineStr">
        <is>
          <t>J-0433</t>
        </is>
      </c>
      <c r="C1083" t="n">
        <v>1</v>
      </c>
      <c r="D1083" t="inlineStr">
        <is>
          <t>1200</t>
        </is>
      </c>
      <c r="E1083" t="inlineStr">
        <is>
          <t>Inventory</t>
        </is>
      </c>
      <c r="F1083" s="6" t="n">
        <v>501984.34</v>
      </c>
      <c r="G1083" s="6" t="n">
        <v>0</v>
      </c>
      <c r="H1083" t="inlineStr">
        <is>
          <t>Purchase bill PB-202609-1</t>
        </is>
      </c>
      <c r="I1083" t="inlineStr">
        <is>
          <t>Hindustan Foods Ltd</t>
        </is>
      </c>
      <c r="J1083">
        <f>YEAR(A1083)*12+MONTH(A1083)</f>
        <v/>
      </c>
    </row>
    <row r="1084">
      <c r="A1084" s="5" t="n">
        <v>46283</v>
      </c>
      <c r="B1084" t="inlineStr">
        <is>
          <t>J-0433</t>
        </is>
      </c>
      <c r="C1084" t="n">
        <v>2</v>
      </c>
      <c r="D1084" t="inlineStr">
        <is>
          <t>1300</t>
        </is>
      </c>
      <c r="E1084" t="inlineStr">
        <is>
          <t>GST Input Credit</t>
        </is>
      </c>
      <c r="F1084" s="6" t="n">
        <v>90357.17999999999</v>
      </c>
      <c r="G1084" s="6" t="n">
        <v>0</v>
      </c>
      <c r="H1084" t="inlineStr">
        <is>
          <t>Purchase bill PB-202609-1</t>
        </is>
      </c>
      <c r="I1084" t="inlineStr">
        <is>
          <t>Hindustan Foods Ltd</t>
        </is>
      </c>
      <c r="J1084">
        <f>YEAR(A1084)*12+MONTH(A1084)</f>
        <v/>
      </c>
    </row>
    <row r="1085">
      <c r="A1085" s="5" t="n">
        <v>46283</v>
      </c>
      <c r="B1085" t="inlineStr">
        <is>
          <t>J-0433</t>
        </is>
      </c>
      <c r="C1085" t="n">
        <v>3</v>
      </c>
      <c r="D1085" t="inlineStr">
        <is>
          <t>2000</t>
        </is>
      </c>
      <c r="E1085" t="inlineStr">
        <is>
          <t>Accounts Payable</t>
        </is>
      </c>
      <c r="F1085" s="6" t="n">
        <v>0</v>
      </c>
      <c r="G1085" s="6" t="n">
        <v>592341.52</v>
      </c>
      <c r="H1085" t="inlineStr">
        <is>
          <t>Purchase bill PB-202609-1</t>
        </is>
      </c>
      <c r="I1085" t="inlineStr">
        <is>
          <t>Hindustan Foods Ltd</t>
        </is>
      </c>
      <c r="J1085">
        <f>YEAR(A1085)*12+MONTH(A1085)</f>
        <v/>
      </c>
    </row>
    <row r="1086">
      <c r="A1086" s="5" t="n">
        <v>46278</v>
      </c>
      <c r="B1086" t="inlineStr">
        <is>
          <t>J-0434</t>
        </is>
      </c>
      <c r="C1086" t="n">
        <v>1</v>
      </c>
      <c r="D1086" t="inlineStr">
        <is>
          <t>1200</t>
        </is>
      </c>
      <c r="E1086" t="inlineStr">
        <is>
          <t>Inventory</t>
        </is>
      </c>
      <c r="F1086" s="6" t="n">
        <v>473021.42</v>
      </c>
      <c r="G1086" s="6" t="n">
        <v>0</v>
      </c>
      <c r="H1086" t="inlineStr">
        <is>
          <t>Purchase bill PB-202609-2</t>
        </is>
      </c>
      <c r="I1086" t="inlineStr">
        <is>
          <t>National FMCG Distributors</t>
        </is>
      </c>
      <c r="J1086">
        <f>YEAR(A1086)*12+MONTH(A1086)</f>
        <v/>
      </c>
    </row>
    <row r="1087">
      <c r="A1087" s="5" t="n">
        <v>46278</v>
      </c>
      <c r="B1087" t="inlineStr">
        <is>
          <t>J-0434</t>
        </is>
      </c>
      <c r="C1087" t="n">
        <v>2</v>
      </c>
      <c r="D1087" t="inlineStr">
        <is>
          <t>1300</t>
        </is>
      </c>
      <c r="E1087" t="inlineStr">
        <is>
          <t>GST Input Credit</t>
        </is>
      </c>
      <c r="F1087" s="6" t="n">
        <v>85143.86</v>
      </c>
      <c r="G1087" s="6" t="n">
        <v>0</v>
      </c>
      <c r="H1087" t="inlineStr">
        <is>
          <t>Purchase bill PB-202609-2</t>
        </is>
      </c>
      <c r="I1087" t="inlineStr">
        <is>
          <t>National FMCG Distributors</t>
        </is>
      </c>
      <c r="J1087">
        <f>YEAR(A1087)*12+MONTH(A1087)</f>
        <v/>
      </c>
    </row>
    <row r="1088">
      <c r="A1088" s="5" t="n">
        <v>46278</v>
      </c>
      <c r="B1088" t="inlineStr">
        <is>
          <t>J-0434</t>
        </is>
      </c>
      <c r="C1088" t="n">
        <v>3</v>
      </c>
      <c r="D1088" t="inlineStr">
        <is>
          <t>2000</t>
        </is>
      </c>
      <c r="E1088" t="inlineStr">
        <is>
          <t>Accounts Payable</t>
        </is>
      </c>
      <c r="F1088" s="6" t="n">
        <v>0</v>
      </c>
      <c r="G1088" s="6" t="n">
        <v>558165.28</v>
      </c>
      <c r="H1088" t="inlineStr">
        <is>
          <t>Purchase bill PB-202609-2</t>
        </is>
      </c>
      <c r="I1088" t="inlineStr">
        <is>
          <t>National FMCG Distributors</t>
        </is>
      </c>
      <c r="J1088">
        <f>YEAR(A1088)*12+MONTH(A1088)</f>
        <v/>
      </c>
    </row>
    <row r="1089">
      <c r="A1089" s="5" t="n">
        <v>46278</v>
      </c>
      <c r="B1089" t="inlineStr">
        <is>
          <t>J-0435</t>
        </is>
      </c>
      <c r="C1089" t="n">
        <v>1</v>
      </c>
      <c r="D1089" t="inlineStr">
        <is>
          <t>1200</t>
        </is>
      </c>
      <c r="E1089" t="inlineStr">
        <is>
          <t>Inventory</t>
        </is>
      </c>
      <c r="F1089" s="6" t="n">
        <v>537926.45</v>
      </c>
      <c r="G1089" s="6" t="n">
        <v>0</v>
      </c>
      <c r="H1089" t="inlineStr">
        <is>
          <t>Purchase bill PB-202609-3</t>
        </is>
      </c>
      <c r="I1089" t="inlineStr">
        <is>
          <t>Bihar Agro Supplies</t>
        </is>
      </c>
      <c r="J1089">
        <f>YEAR(A1089)*12+MONTH(A1089)</f>
        <v/>
      </c>
    </row>
    <row r="1090">
      <c r="A1090" s="5" t="n">
        <v>46278</v>
      </c>
      <c r="B1090" t="inlineStr">
        <is>
          <t>J-0435</t>
        </is>
      </c>
      <c r="C1090" t="n">
        <v>2</v>
      </c>
      <c r="D1090" t="inlineStr">
        <is>
          <t>1300</t>
        </is>
      </c>
      <c r="E1090" t="inlineStr">
        <is>
          <t>GST Input Credit</t>
        </is>
      </c>
      <c r="F1090" s="6" t="n">
        <v>96826.75999999999</v>
      </c>
      <c r="G1090" s="6" t="n">
        <v>0</v>
      </c>
      <c r="H1090" t="inlineStr">
        <is>
          <t>Purchase bill PB-202609-3</t>
        </is>
      </c>
      <c r="I1090" t="inlineStr">
        <is>
          <t>Bihar Agro Supplies</t>
        </is>
      </c>
      <c r="J1090">
        <f>YEAR(A1090)*12+MONTH(A1090)</f>
        <v/>
      </c>
    </row>
    <row r="1091">
      <c r="A1091" s="5" t="n">
        <v>46278</v>
      </c>
      <c r="B1091" t="inlineStr">
        <is>
          <t>J-0435</t>
        </is>
      </c>
      <c r="C1091" t="n">
        <v>3</v>
      </c>
      <c r="D1091" t="inlineStr">
        <is>
          <t>2000</t>
        </is>
      </c>
      <c r="E1091" t="inlineStr">
        <is>
          <t>Accounts Payable</t>
        </is>
      </c>
      <c r="F1091" s="6" t="n">
        <v>0</v>
      </c>
      <c r="G1091" s="6" t="n">
        <v>634753.21</v>
      </c>
      <c r="H1091" t="inlineStr">
        <is>
          <t>Purchase bill PB-202609-3</t>
        </is>
      </c>
      <c r="I1091" t="inlineStr">
        <is>
          <t>Bihar Agro Supplies</t>
        </is>
      </c>
      <c r="J1091">
        <f>YEAR(A1091)*12+MONTH(A1091)</f>
        <v/>
      </c>
    </row>
    <row r="1092">
      <c r="A1092" s="5" t="n">
        <v>46277</v>
      </c>
      <c r="B1092" t="inlineStr">
        <is>
          <t>J-0436</t>
        </is>
      </c>
      <c r="C1092" t="n">
        <v>1</v>
      </c>
      <c r="D1092" t="inlineStr">
        <is>
          <t>1200</t>
        </is>
      </c>
      <c r="E1092" t="inlineStr">
        <is>
          <t>Inventory</t>
        </is>
      </c>
      <c r="F1092" s="6" t="n">
        <v>485851.24</v>
      </c>
      <c r="G1092" s="6" t="n">
        <v>0</v>
      </c>
      <c r="H1092" t="inlineStr">
        <is>
          <t>Purchase bill PB-202609-4</t>
        </is>
      </c>
      <c r="I1092" t="inlineStr">
        <is>
          <t>Eastern Packaging Co</t>
        </is>
      </c>
      <c r="J1092">
        <f>YEAR(A1092)*12+MONTH(A1092)</f>
        <v/>
      </c>
    </row>
    <row r="1093">
      <c r="A1093" s="5" t="n">
        <v>46277</v>
      </c>
      <c r="B1093" t="inlineStr">
        <is>
          <t>J-0436</t>
        </is>
      </c>
      <c r="C1093" t="n">
        <v>2</v>
      </c>
      <c r="D1093" t="inlineStr">
        <is>
          <t>1300</t>
        </is>
      </c>
      <c r="E1093" t="inlineStr">
        <is>
          <t>GST Input Credit</t>
        </is>
      </c>
      <c r="F1093" s="6" t="n">
        <v>87453.22</v>
      </c>
      <c r="G1093" s="6" t="n">
        <v>0</v>
      </c>
      <c r="H1093" t="inlineStr">
        <is>
          <t>Purchase bill PB-202609-4</t>
        </is>
      </c>
      <c r="I1093" t="inlineStr">
        <is>
          <t>Eastern Packaging Co</t>
        </is>
      </c>
      <c r="J1093">
        <f>YEAR(A1093)*12+MONTH(A1093)</f>
        <v/>
      </c>
    </row>
    <row r="1094">
      <c r="A1094" s="5" t="n">
        <v>46277</v>
      </c>
      <c r="B1094" t="inlineStr">
        <is>
          <t>J-0436</t>
        </is>
      </c>
      <c r="C1094" t="n">
        <v>3</v>
      </c>
      <c r="D1094" t="inlineStr">
        <is>
          <t>2000</t>
        </is>
      </c>
      <c r="E1094" t="inlineStr">
        <is>
          <t>Accounts Payable</t>
        </is>
      </c>
      <c r="F1094" s="6" t="n">
        <v>0</v>
      </c>
      <c r="G1094" s="6" t="n">
        <v>573304.46</v>
      </c>
      <c r="H1094" t="inlineStr">
        <is>
          <t>Purchase bill PB-202609-4</t>
        </is>
      </c>
      <c r="I1094" t="inlineStr">
        <is>
          <t>Eastern Packaging Co</t>
        </is>
      </c>
      <c r="J1094">
        <f>YEAR(A1094)*12+MONTH(A1094)</f>
        <v/>
      </c>
    </row>
    <row r="1095">
      <c r="A1095" s="5" t="n">
        <v>46285</v>
      </c>
      <c r="B1095" t="inlineStr">
        <is>
          <t>J-0437</t>
        </is>
      </c>
      <c r="C1095" t="n">
        <v>1</v>
      </c>
      <c r="D1095" t="inlineStr">
        <is>
          <t>1200</t>
        </is>
      </c>
      <c r="E1095" t="inlineStr">
        <is>
          <t>Inventory</t>
        </is>
      </c>
      <c r="F1095" s="6" t="n">
        <v>536405.4300000001</v>
      </c>
      <c r="G1095" s="6" t="n">
        <v>0</v>
      </c>
      <c r="H1095" t="inlineStr">
        <is>
          <t>Purchase bill PB-202609-5</t>
        </is>
      </c>
      <c r="I1095" t="inlineStr">
        <is>
          <t>Eastern Packaging Co</t>
        </is>
      </c>
      <c r="J1095">
        <f>YEAR(A1095)*12+MONTH(A1095)</f>
        <v/>
      </c>
    </row>
    <row r="1096">
      <c r="A1096" s="5" t="n">
        <v>46285</v>
      </c>
      <c r="B1096" t="inlineStr">
        <is>
          <t>J-0437</t>
        </is>
      </c>
      <c r="C1096" t="n">
        <v>2</v>
      </c>
      <c r="D1096" t="inlineStr">
        <is>
          <t>1300</t>
        </is>
      </c>
      <c r="E1096" t="inlineStr">
        <is>
          <t>GST Input Credit</t>
        </is>
      </c>
      <c r="F1096" s="6" t="n">
        <v>96552.98</v>
      </c>
      <c r="G1096" s="6" t="n">
        <v>0</v>
      </c>
      <c r="H1096" t="inlineStr">
        <is>
          <t>Purchase bill PB-202609-5</t>
        </is>
      </c>
      <c r="I1096" t="inlineStr">
        <is>
          <t>Eastern Packaging Co</t>
        </is>
      </c>
      <c r="J1096">
        <f>YEAR(A1096)*12+MONTH(A1096)</f>
        <v/>
      </c>
    </row>
    <row r="1097">
      <c r="A1097" s="5" t="n">
        <v>46285</v>
      </c>
      <c r="B1097" t="inlineStr">
        <is>
          <t>J-0437</t>
        </is>
      </c>
      <c r="C1097" t="n">
        <v>3</v>
      </c>
      <c r="D1097" t="inlineStr">
        <is>
          <t>2000</t>
        </is>
      </c>
      <c r="E1097" t="inlineStr">
        <is>
          <t>Accounts Payable</t>
        </is>
      </c>
      <c r="F1097" s="6" t="n">
        <v>0</v>
      </c>
      <c r="G1097" s="6" t="n">
        <v>632958.41</v>
      </c>
      <c r="H1097" t="inlineStr">
        <is>
          <t>Purchase bill PB-202609-5</t>
        </is>
      </c>
      <c r="I1097" t="inlineStr">
        <is>
          <t>Eastern Packaging Co</t>
        </is>
      </c>
      <c r="J1097">
        <f>YEAR(A1097)*12+MONTH(A1097)</f>
        <v/>
      </c>
    </row>
    <row r="1098">
      <c r="A1098" s="5" t="n">
        <v>46294</v>
      </c>
      <c r="B1098" t="inlineStr">
        <is>
          <t>J-0438</t>
        </is>
      </c>
      <c r="C1098" t="n">
        <v>1</v>
      </c>
      <c r="D1098" t="inlineStr">
        <is>
          <t>2000</t>
        </is>
      </c>
      <c r="E1098" t="inlineStr">
        <is>
          <t>Accounts Payable</t>
        </is>
      </c>
      <c r="F1098" s="6" t="n">
        <v>2536715.8</v>
      </c>
      <c r="G1098" s="6" t="n">
        <v>0</v>
      </c>
      <c r="H1098" t="inlineStr">
        <is>
          <t>Vendor payments</t>
        </is>
      </c>
      <c r="I1098" t="inlineStr"/>
      <c r="J1098">
        <f>YEAR(A1098)*12+MONTH(A1098)</f>
        <v/>
      </c>
    </row>
    <row r="1099">
      <c r="A1099" s="5" t="n">
        <v>46294</v>
      </c>
      <c r="B1099" t="inlineStr">
        <is>
          <t>J-0438</t>
        </is>
      </c>
      <c r="C1099" t="n">
        <v>2</v>
      </c>
      <c r="D1099" t="inlineStr">
        <is>
          <t>1000</t>
        </is>
      </c>
      <c r="E1099" t="inlineStr">
        <is>
          <t>Cash &amp; Bank</t>
        </is>
      </c>
      <c r="F1099" s="6" t="n">
        <v>0</v>
      </c>
      <c r="G1099" s="6" t="n">
        <v>2536715.8</v>
      </c>
      <c r="H1099" t="inlineStr">
        <is>
          <t>Vendor payments</t>
        </is>
      </c>
      <c r="I1099" t="inlineStr"/>
      <c r="J1099">
        <f>YEAR(A1099)*12+MONTH(A1099)</f>
        <v/>
      </c>
    </row>
    <row r="1100">
      <c r="A1100" s="5" t="n">
        <v>46295</v>
      </c>
      <c r="B1100" t="inlineStr">
        <is>
          <t>J-0439</t>
        </is>
      </c>
      <c r="C1100" t="n">
        <v>1</v>
      </c>
      <c r="D1100" t="inlineStr">
        <is>
          <t>2100</t>
        </is>
      </c>
      <c r="E1100" t="inlineStr">
        <is>
          <t>GST Payable</t>
        </is>
      </c>
      <c r="F1100" s="6" t="n">
        <v>197498.24</v>
      </c>
      <c r="G1100" s="6" t="n">
        <v>0</v>
      </c>
      <c r="H1100" t="inlineStr">
        <is>
          <t>GST paid for month</t>
        </is>
      </c>
      <c r="I1100" t="inlineStr">
        <is>
          <t>GST</t>
        </is>
      </c>
      <c r="J1100">
        <f>YEAR(A1100)*12+MONTH(A1100)</f>
        <v/>
      </c>
    </row>
    <row r="1101">
      <c r="A1101" s="5" t="n">
        <v>46295</v>
      </c>
      <c r="B1101" t="inlineStr">
        <is>
          <t>J-0439</t>
        </is>
      </c>
      <c r="C1101" t="n">
        <v>2</v>
      </c>
      <c r="D1101" t="inlineStr">
        <is>
          <t>1000</t>
        </is>
      </c>
      <c r="E1101" t="inlineStr">
        <is>
          <t>Cash &amp; Bank</t>
        </is>
      </c>
      <c r="F1101" s="6" t="n">
        <v>0</v>
      </c>
      <c r="G1101" s="6" t="n">
        <v>197498.24</v>
      </c>
      <c r="H1101" t="inlineStr">
        <is>
          <t>GST paid for month</t>
        </is>
      </c>
      <c r="I1101" t="inlineStr">
        <is>
          <t>GST</t>
        </is>
      </c>
      <c r="J1101">
        <f>YEAR(A1101)*12+MONTH(A1101)</f>
        <v/>
      </c>
    </row>
    <row r="1102">
      <c r="A1102" s="5" t="n">
        <v>46270</v>
      </c>
      <c r="B1102" t="inlineStr">
        <is>
          <t>J-0440</t>
        </is>
      </c>
      <c r="C1102" t="n">
        <v>1</v>
      </c>
      <c r="D1102" t="inlineStr">
        <is>
          <t>5100</t>
        </is>
      </c>
      <c r="E1102" t="inlineStr">
        <is>
          <t>Rent Expense</t>
        </is>
      </c>
      <c r="F1102" s="6" t="n">
        <v>25000</v>
      </c>
      <c r="G1102" s="6" t="n">
        <v>0</v>
      </c>
      <c r="H1102" t="inlineStr">
        <is>
          <t>Office rent</t>
        </is>
      </c>
      <c r="I1102" t="inlineStr"/>
      <c r="J1102">
        <f>YEAR(A1102)*12+MONTH(A1102)</f>
        <v/>
      </c>
    </row>
    <row r="1103">
      <c r="A1103" s="5" t="n">
        <v>46270</v>
      </c>
      <c r="B1103" t="inlineStr">
        <is>
          <t>J-0440</t>
        </is>
      </c>
      <c r="C1103" t="n">
        <v>2</v>
      </c>
      <c r="D1103" t="inlineStr">
        <is>
          <t>1000</t>
        </is>
      </c>
      <c r="E1103" t="inlineStr">
        <is>
          <t>Cash &amp; Bank</t>
        </is>
      </c>
      <c r="F1103" s="6" t="n">
        <v>0</v>
      </c>
      <c r="G1103" s="6" t="n">
        <v>25000</v>
      </c>
      <c r="H1103" t="inlineStr">
        <is>
          <t>Office rent</t>
        </is>
      </c>
      <c r="I1103" t="inlineStr"/>
      <c r="J1103">
        <f>YEAR(A1103)*12+MONTH(A1103)</f>
        <v/>
      </c>
    </row>
    <row r="1104">
      <c r="A1104" s="5" t="n">
        <v>46272</v>
      </c>
      <c r="B1104" t="inlineStr">
        <is>
          <t>J-0441</t>
        </is>
      </c>
      <c r="C1104" t="n">
        <v>1</v>
      </c>
      <c r="D1104" t="inlineStr">
        <is>
          <t>5200</t>
        </is>
      </c>
      <c r="E1104" t="inlineStr">
        <is>
          <t>Salaries Expense</t>
        </is>
      </c>
      <c r="F1104" s="6" t="n">
        <v>116842.46</v>
      </c>
      <c r="G1104" s="6" t="n">
        <v>0</v>
      </c>
      <c r="H1104" t="inlineStr">
        <is>
          <t>Staff salaries</t>
        </is>
      </c>
      <c r="I1104" t="inlineStr"/>
      <c r="J1104">
        <f>YEAR(A1104)*12+MONTH(A1104)</f>
        <v/>
      </c>
    </row>
    <row r="1105">
      <c r="A1105" s="5" t="n">
        <v>46272</v>
      </c>
      <c r="B1105" t="inlineStr">
        <is>
          <t>J-0441</t>
        </is>
      </c>
      <c r="C1105" t="n">
        <v>2</v>
      </c>
      <c r="D1105" t="inlineStr">
        <is>
          <t>1000</t>
        </is>
      </c>
      <c r="E1105" t="inlineStr">
        <is>
          <t>Cash &amp; Bank</t>
        </is>
      </c>
      <c r="F1105" s="6" t="n">
        <v>0</v>
      </c>
      <c r="G1105" s="6" t="n">
        <v>116842.46</v>
      </c>
      <c r="H1105" t="inlineStr">
        <is>
          <t>Staff salaries</t>
        </is>
      </c>
      <c r="I1105" t="inlineStr"/>
      <c r="J1105">
        <f>YEAR(A1105)*12+MONTH(A1105)</f>
        <v/>
      </c>
    </row>
    <row r="1106">
      <c r="A1106" s="5" t="n">
        <v>46277</v>
      </c>
      <c r="B1106" t="inlineStr">
        <is>
          <t>J-0442</t>
        </is>
      </c>
      <c r="C1106" t="n">
        <v>1</v>
      </c>
      <c r="D1106" t="inlineStr">
        <is>
          <t>5300</t>
        </is>
      </c>
      <c r="E1106" t="inlineStr">
        <is>
          <t>Utilities Expense</t>
        </is>
      </c>
      <c r="F1106" s="6" t="n">
        <v>7631</v>
      </c>
      <c r="G1106" s="6" t="n">
        <v>0</v>
      </c>
      <c r="H1106" t="inlineStr">
        <is>
          <t>Utilities (power/water/phone)</t>
        </is>
      </c>
      <c r="I1106" t="inlineStr"/>
      <c r="J1106">
        <f>YEAR(A1106)*12+MONTH(A1106)</f>
        <v/>
      </c>
    </row>
    <row r="1107">
      <c r="A1107" s="5" t="n">
        <v>46277</v>
      </c>
      <c r="B1107" t="inlineStr">
        <is>
          <t>J-0442</t>
        </is>
      </c>
      <c r="C1107" t="n">
        <v>2</v>
      </c>
      <c r="D1107" t="inlineStr">
        <is>
          <t>1000</t>
        </is>
      </c>
      <c r="E1107" t="inlineStr">
        <is>
          <t>Cash &amp; Bank</t>
        </is>
      </c>
      <c r="F1107" s="6" t="n">
        <v>0</v>
      </c>
      <c r="G1107" s="6" t="n">
        <v>7631</v>
      </c>
      <c r="H1107" t="inlineStr">
        <is>
          <t>Utilities (power/water/phone)</t>
        </is>
      </c>
      <c r="I1107" t="inlineStr"/>
      <c r="J1107">
        <f>YEAR(A1107)*12+MONTH(A1107)</f>
        <v/>
      </c>
    </row>
    <row r="1108">
      <c r="A1108" s="5" t="n">
        <v>46283</v>
      </c>
      <c r="B1108" t="inlineStr">
        <is>
          <t>J-0443</t>
        </is>
      </c>
      <c r="C1108" t="n">
        <v>1</v>
      </c>
      <c r="D1108" t="inlineStr">
        <is>
          <t>5400</t>
        </is>
      </c>
      <c r="E1108" t="inlineStr">
        <is>
          <t>Transport &amp; Logistics</t>
        </is>
      </c>
      <c r="F1108" s="6" t="n">
        <v>15811.45</v>
      </c>
      <c r="G1108" s="6" t="n">
        <v>0</v>
      </c>
      <c r="H1108" t="inlineStr">
        <is>
          <t>Transport &amp; logistics</t>
        </is>
      </c>
      <c r="I1108" t="inlineStr"/>
      <c r="J1108">
        <f>YEAR(A1108)*12+MONTH(A1108)</f>
        <v/>
      </c>
    </row>
    <row r="1109">
      <c r="A1109" s="5" t="n">
        <v>46283</v>
      </c>
      <c r="B1109" t="inlineStr">
        <is>
          <t>J-0443</t>
        </is>
      </c>
      <c r="C1109" t="n">
        <v>2</v>
      </c>
      <c r="D1109" t="inlineStr">
        <is>
          <t>1000</t>
        </is>
      </c>
      <c r="E1109" t="inlineStr">
        <is>
          <t>Cash &amp; Bank</t>
        </is>
      </c>
      <c r="F1109" s="6" t="n">
        <v>0</v>
      </c>
      <c r="G1109" s="6" t="n">
        <v>15811.45</v>
      </c>
      <c r="H1109" t="inlineStr">
        <is>
          <t>Transport &amp; logistics</t>
        </is>
      </c>
      <c r="I1109" t="inlineStr"/>
      <c r="J1109">
        <f>YEAR(A1109)*12+MONTH(A1109)</f>
        <v/>
      </c>
    </row>
    <row r="1110">
      <c r="A1110" s="5" t="n">
        <v>46285</v>
      </c>
      <c r="B1110" t="inlineStr">
        <is>
          <t>J-0444</t>
        </is>
      </c>
      <c r="C1110" t="n">
        <v>1</v>
      </c>
      <c r="D1110" t="inlineStr">
        <is>
          <t>5500</t>
        </is>
      </c>
      <c r="E1110" t="inlineStr">
        <is>
          <t>Marketing Expense</t>
        </is>
      </c>
      <c r="F1110" s="6" t="n">
        <v>18180.38</v>
      </c>
      <c r="G1110" s="6" t="n">
        <v>0</v>
      </c>
      <c r="H1110" t="inlineStr">
        <is>
          <t>Marketing &amp; promotions</t>
        </is>
      </c>
      <c r="I1110" t="inlineStr"/>
      <c r="J1110">
        <f>YEAR(A1110)*12+MONTH(A1110)</f>
        <v/>
      </c>
    </row>
    <row r="1111">
      <c r="A1111" s="5" t="n">
        <v>46285</v>
      </c>
      <c r="B1111" t="inlineStr">
        <is>
          <t>J-0444</t>
        </is>
      </c>
      <c r="C1111" t="n">
        <v>2</v>
      </c>
      <c r="D1111" t="inlineStr">
        <is>
          <t>1000</t>
        </is>
      </c>
      <c r="E1111" t="inlineStr">
        <is>
          <t>Cash &amp; Bank</t>
        </is>
      </c>
      <c r="F1111" s="6" t="n">
        <v>0</v>
      </c>
      <c r="G1111" s="6" t="n">
        <v>18180.38</v>
      </c>
      <c r="H1111" t="inlineStr">
        <is>
          <t>Marketing &amp; promotions</t>
        </is>
      </c>
      <c r="I1111" t="inlineStr"/>
      <c r="J1111">
        <f>YEAR(A1111)*12+MONTH(A1111)</f>
        <v/>
      </c>
    </row>
    <row r="1112">
      <c r="A1112" s="5" t="n">
        <v>46275</v>
      </c>
      <c r="B1112" t="inlineStr">
        <is>
          <t>J-0445</t>
        </is>
      </c>
      <c r="C1112" t="n">
        <v>1</v>
      </c>
      <c r="D1112" t="inlineStr">
        <is>
          <t>5600</t>
        </is>
      </c>
      <c r="E1112" t="inlineStr">
        <is>
          <t>Interest Expense</t>
        </is>
      </c>
      <c r="F1112" s="6" t="n">
        <v>9000</v>
      </c>
      <c r="G1112" s="6" t="n">
        <v>0</v>
      </c>
      <c r="H1112" t="inlineStr">
        <is>
          <t>Term loan interest</t>
        </is>
      </c>
      <c r="I1112" t="inlineStr">
        <is>
          <t>HDFC</t>
        </is>
      </c>
      <c r="J1112">
        <f>YEAR(A1112)*12+MONTH(A1112)</f>
        <v/>
      </c>
    </row>
    <row r="1113">
      <c r="A1113" s="5" t="n">
        <v>46275</v>
      </c>
      <c r="B1113" t="inlineStr">
        <is>
          <t>J-0445</t>
        </is>
      </c>
      <c r="C1113" t="n">
        <v>2</v>
      </c>
      <c r="D1113" t="inlineStr">
        <is>
          <t>1000</t>
        </is>
      </c>
      <c r="E1113" t="inlineStr">
        <is>
          <t>Cash &amp; Bank</t>
        </is>
      </c>
      <c r="F1113" s="6" t="n">
        <v>0</v>
      </c>
      <c r="G1113" s="6" t="n">
        <v>9000</v>
      </c>
      <c r="H1113" t="inlineStr">
        <is>
          <t>Term loan interest</t>
        </is>
      </c>
      <c r="I1113" t="inlineStr">
        <is>
          <t>HDFC</t>
        </is>
      </c>
      <c r="J1113">
        <f>YEAR(A1113)*12+MONTH(A1113)</f>
        <v/>
      </c>
    </row>
    <row r="1114">
      <c r="A1114" s="5" t="n">
        <v>46275</v>
      </c>
      <c r="B1114" t="inlineStr">
        <is>
          <t>J-0446</t>
        </is>
      </c>
      <c r="C1114" t="n">
        <v>1</v>
      </c>
      <c r="D1114" t="inlineStr">
        <is>
          <t>2200</t>
        </is>
      </c>
      <c r="E1114" t="inlineStr">
        <is>
          <t>Term Loan</t>
        </is>
      </c>
      <c r="F1114" s="6" t="n">
        <v>55000</v>
      </c>
      <c r="G1114" s="6" t="n">
        <v>0</v>
      </c>
      <c r="H1114" t="inlineStr">
        <is>
          <t>Term loan principal repayment</t>
        </is>
      </c>
      <c r="I1114" t="inlineStr">
        <is>
          <t>HDFC</t>
        </is>
      </c>
      <c r="J1114">
        <f>YEAR(A1114)*12+MONTH(A1114)</f>
        <v/>
      </c>
    </row>
    <row r="1115">
      <c r="A1115" s="5" t="n">
        <v>46275</v>
      </c>
      <c r="B1115" t="inlineStr">
        <is>
          <t>J-0446</t>
        </is>
      </c>
      <c r="C1115" t="n">
        <v>2</v>
      </c>
      <c r="D1115" t="inlineStr">
        <is>
          <t>1000</t>
        </is>
      </c>
      <c r="E1115" t="inlineStr">
        <is>
          <t>Cash &amp; Bank</t>
        </is>
      </c>
      <c r="F1115" s="6" t="n">
        <v>0</v>
      </c>
      <c r="G1115" s="6" t="n">
        <v>55000</v>
      </c>
      <c r="H1115" t="inlineStr">
        <is>
          <t>Term loan principal repayment</t>
        </is>
      </c>
      <c r="I1115" t="inlineStr">
        <is>
          <t>HDFC</t>
        </is>
      </c>
      <c r="J1115">
        <f>YEAR(A1115)*12+MONTH(A1115)</f>
        <v/>
      </c>
    </row>
    <row r="1116">
      <c r="A1116" s="5" t="n">
        <v>46295</v>
      </c>
      <c r="B1116" t="inlineStr">
        <is>
          <t>J-0447</t>
        </is>
      </c>
      <c r="C1116" t="n">
        <v>1</v>
      </c>
      <c r="D1116" t="inlineStr">
        <is>
          <t>5700</t>
        </is>
      </c>
      <c r="E1116" t="inlineStr">
        <is>
          <t>Depreciation Expense</t>
        </is>
      </c>
      <c r="F1116" s="6" t="n">
        <v>6000</v>
      </c>
      <c r="G1116" s="6" t="n">
        <v>0</v>
      </c>
      <c r="H1116" t="inlineStr">
        <is>
          <t>Depreciation - equipment</t>
        </is>
      </c>
      <c r="I1116" t="inlineStr"/>
      <c r="J1116">
        <f>YEAR(A1116)*12+MONTH(A1116)</f>
        <v/>
      </c>
    </row>
    <row r="1117">
      <c r="A1117" s="5" t="n">
        <v>46295</v>
      </c>
      <c r="B1117" t="inlineStr">
        <is>
          <t>J-0447</t>
        </is>
      </c>
      <c r="C1117" t="n">
        <v>2</v>
      </c>
      <c r="D1117" t="inlineStr">
        <is>
          <t>1510</t>
        </is>
      </c>
      <c r="E1117" t="inlineStr">
        <is>
          <t>Accumulated Depreciation</t>
        </is>
      </c>
      <c r="F1117" s="6" t="n">
        <v>0</v>
      </c>
      <c r="G1117" s="6" t="n">
        <v>6000</v>
      </c>
      <c r="H1117" t="inlineStr">
        <is>
          <t>Depreciation - equipment</t>
        </is>
      </c>
      <c r="I1117" t="inlineStr"/>
      <c r="J1117">
        <f>YEAR(A1117)*12+MONTH(A1117)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TRIAL BALANCE — live SUMIFS over Raw_Journals</t>
        </is>
      </c>
    </row>
    <row r="3">
      <c r="A3" s="4" t="inlineStr">
        <is>
          <t>Acct No</t>
        </is>
      </c>
      <c r="B3" s="4" t="inlineStr">
        <is>
          <t>Account</t>
        </is>
      </c>
      <c r="C3" s="4" t="inlineStr">
        <is>
          <t>Type</t>
        </is>
      </c>
      <c r="D3" s="4" t="inlineStr">
        <is>
          <t>Total Debit (₹)</t>
        </is>
      </c>
      <c r="E3" s="4" t="inlineStr">
        <is>
          <t>Total Credit (₹)</t>
        </is>
      </c>
      <c r="F3" s="4" t="inlineStr">
        <is>
          <t>Net Debit (₹)</t>
        </is>
      </c>
      <c r="G3" s="4" t="inlineStr">
        <is>
          <t>Net Credit (₹)</t>
        </is>
      </c>
    </row>
    <row r="4">
      <c r="A4" t="inlineStr">
        <is>
          <t>1000</t>
        </is>
      </c>
      <c r="B4" t="inlineStr">
        <is>
          <t>Cash &amp; Bank</t>
        </is>
      </c>
      <c r="C4" t="inlineStr">
        <is>
          <t>Asset</t>
        </is>
      </c>
      <c r="D4" s="6">
        <f>SUMIFS(Raw_Journals!$F:$F,Raw_Journals!$D:$D,$A4)</f>
        <v/>
      </c>
      <c r="E4" s="6">
        <f>SUMIFS(Raw_Journals!$G:$G,Raw_Journals!$D:$D,$A4)</f>
        <v/>
      </c>
      <c r="F4" s="6">
        <f>IF(D4&gt;=E4,D4-E4,0)</f>
        <v/>
      </c>
      <c r="G4" s="6">
        <f>IF(E4&gt;D4,E4-D4,0)</f>
        <v/>
      </c>
    </row>
    <row r="5">
      <c r="A5" t="inlineStr">
        <is>
          <t>1100</t>
        </is>
      </c>
      <c r="B5" t="inlineStr">
        <is>
          <t>Accounts Receivable</t>
        </is>
      </c>
      <c r="C5" t="inlineStr">
        <is>
          <t>Asset</t>
        </is>
      </c>
      <c r="D5" s="6">
        <f>SUMIFS(Raw_Journals!$F:$F,Raw_Journals!$D:$D,$A5)</f>
        <v/>
      </c>
      <c r="E5" s="6">
        <f>SUMIFS(Raw_Journals!$G:$G,Raw_Journals!$D:$D,$A5)</f>
        <v/>
      </c>
      <c r="F5" s="6">
        <f>IF(D5&gt;=E5,D5-E5,0)</f>
        <v/>
      </c>
      <c r="G5" s="6">
        <f>IF(E5&gt;D5,E5-D5,0)</f>
        <v/>
      </c>
    </row>
    <row r="6">
      <c r="A6" t="inlineStr">
        <is>
          <t>1200</t>
        </is>
      </c>
      <c r="B6" t="inlineStr">
        <is>
          <t>Inventory</t>
        </is>
      </c>
      <c r="C6" t="inlineStr">
        <is>
          <t>Asset</t>
        </is>
      </c>
      <c r="D6" s="6">
        <f>SUMIFS(Raw_Journals!$F:$F,Raw_Journals!$D:$D,$A6)</f>
        <v/>
      </c>
      <c r="E6" s="6">
        <f>SUMIFS(Raw_Journals!$G:$G,Raw_Journals!$D:$D,$A6)</f>
        <v/>
      </c>
      <c r="F6" s="6">
        <f>IF(D6&gt;=E6,D6-E6,0)</f>
        <v/>
      </c>
      <c r="G6" s="6">
        <f>IF(E6&gt;D6,E6-D6,0)</f>
        <v/>
      </c>
    </row>
    <row r="7">
      <c r="A7" t="inlineStr">
        <is>
          <t>1300</t>
        </is>
      </c>
      <c r="B7" t="inlineStr">
        <is>
          <t>GST Input Credit</t>
        </is>
      </c>
      <c r="C7" t="inlineStr">
        <is>
          <t>Asset</t>
        </is>
      </c>
      <c r="D7" s="6">
        <f>SUMIFS(Raw_Journals!$F:$F,Raw_Journals!$D:$D,$A7)</f>
        <v/>
      </c>
      <c r="E7" s="6">
        <f>SUMIFS(Raw_Journals!$G:$G,Raw_Journals!$D:$D,$A7)</f>
        <v/>
      </c>
      <c r="F7" s="6">
        <f>IF(D7&gt;=E7,D7-E7,0)</f>
        <v/>
      </c>
      <c r="G7" s="6">
        <f>IF(E7&gt;D7,E7-D7,0)</f>
        <v/>
      </c>
    </row>
    <row r="8">
      <c r="A8" t="inlineStr">
        <is>
          <t>1500</t>
        </is>
      </c>
      <c r="B8" t="inlineStr">
        <is>
          <t>Equipment</t>
        </is>
      </c>
      <c r="C8" t="inlineStr">
        <is>
          <t>Asset</t>
        </is>
      </c>
      <c r="D8" s="6">
        <f>SUMIFS(Raw_Journals!$F:$F,Raw_Journals!$D:$D,$A8)</f>
        <v/>
      </c>
      <c r="E8" s="6">
        <f>SUMIFS(Raw_Journals!$G:$G,Raw_Journals!$D:$D,$A8)</f>
        <v/>
      </c>
      <c r="F8" s="6">
        <f>IF(D8&gt;=E8,D8-E8,0)</f>
        <v/>
      </c>
      <c r="G8" s="6">
        <f>IF(E8&gt;D8,E8-D8,0)</f>
        <v/>
      </c>
    </row>
    <row r="9">
      <c r="A9" t="inlineStr">
        <is>
          <t>1510</t>
        </is>
      </c>
      <c r="B9" t="inlineStr">
        <is>
          <t>Accumulated Depreciation</t>
        </is>
      </c>
      <c r="C9" t="inlineStr">
        <is>
          <t>Asset</t>
        </is>
      </c>
      <c r="D9" s="6">
        <f>SUMIFS(Raw_Journals!$F:$F,Raw_Journals!$D:$D,$A9)</f>
        <v/>
      </c>
      <c r="E9" s="6">
        <f>SUMIFS(Raw_Journals!$G:$G,Raw_Journals!$D:$D,$A9)</f>
        <v/>
      </c>
      <c r="F9" s="6">
        <f>IF(D9&gt;=E9,D9-E9,0)</f>
        <v/>
      </c>
      <c r="G9" s="6">
        <f>IF(E9&gt;D9,E9-D9,0)</f>
        <v/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s="6">
        <f>SUMIFS(Raw_Journals!$F:$F,Raw_Journals!$D:$D,$A10)</f>
        <v/>
      </c>
      <c r="E10" s="6">
        <f>SUMIFS(Raw_Journals!$G:$G,Raw_Journals!$D:$D,$A10)</f>
        <v/>
      </c>
      <c r="F10" s="6">
        <f>IF(D10&gt;=E10,D10-E10,0)</f>
        <v/>
      </c>
      <c r="G10" s="6">
        <f>IF(E10&gt;D10,E10-D10,0)</f>
        <v/>
      </c>
    </row>
    <row r="11">
      <c r="A11" t="inlineStr">
        <is>
          <t>2100</t>
        </is>
      </c>
      <c r="B11" t="inlineStr">
        <is>
          <t>GST Payable</t>
        </is>
      </c>
      <c r="C11" t="inlineStr">
        <is>
          <t>Liability</t>
        </is>
      </c>
      <c r="D11" s="6">
        <f>SUMIFS(Raw_Journals!$F:$F,Raw_Journals!$D:$D,$A11)</f>
        <v/>
      </c>
      <c r="E11" s="6">
        <f>SUMIFS(Raw_Journals!$G:$G,Raw_Journals!$D:$D,$A11)</f>
        <v/>
      </c>
      <c r="F11" s="6">
        <f>IF(D11&gt;=E11,D11-E11,0)</f>
        <v/>
      </c>
      <c r="G11" s="6">
        <f>IF(E11&gt;D11,E11-D11,0)</f>
        <v/>
      </c>
    </row>
    <row r="12">
      <c r="A12" t="inlineStr">
        <is>
          <t>2200</t>
        </is>
      </c>
      <c r="B12" t="inlineStr">
        <is>
          <t>Term Loan</t>
        </is>
      </c>
      <c r="C12" t="inlineStr">
        <is>
          <t>Liability</t>
        </is>
      </c>
      <c r="D12" s="6">
        <f>SUMIFS(Raw_Journals!$F:$F,Raw_Journals!$D:$D,$A12)</f>
        <v/>
      </c>
      <c r="E12" s="6">
        <f>SUMIFS(Raw_Journals!$G:$G,Raw_Journals!$D:$D,$A12)</f>
        <v/>
      </c>
      <c r="F12" s="6">
        <f>IF(D12&gt;=E12,D12-E12,0)</f>
        <v/>
      </c>
      <c r="G12" s="6">
        <f>IF(E12&gt;D12,E12-D12,0)</f>
        <v/>
      </c>
    </row>
    <row r="13">
      <c r="A13" t="inlineStr">
        <is>
          <t>3000</t>
        </is>
      </c>
      <c r="B13" t="inlineStr">
        <is>
          <t>Owner's Capital</t>
        </is>
      </c>
      <c r="C13" t="inlineStr">
        <is>
          <t>Equity</t>
        </is>
      </c>
      <c r="D13" s="6">
        <f>SUMIFS(Raw_Journals!$F:$F,Raw_Journals!$D:$D,$A13)</f>
        <v/>
      </c>
      <c r="E13" s="6">
        <f>SUMIFS(Raw_Journals!$G:$G,Raw_Journals!$D:$D,$A13)</f>
        <v/>
      </c>
      <c r="F13" s="6">
        <f>IF(D13&gt;=E13,D13-E13,0)</f>
        <v/>
      </c>
      <c r="G13" s="6">
        <f>IF(E13&gt;D13,E13-D13,0)</f>
        <v/>
      </c>
    </row>
    <row r="14">
      <c r="A14" t="inlineStr">
        <is>
          <t>3100</t>
        </is>
      </c>
      <c r="B14" t="inlineStr">
        <is>
          <t>Retained Earnings</t>
        </is>
      </c>
      <c r="C14" t="inlineStr">
        <is>
          <t>Equity</t>
        </is>
      </c>
      <c r="D14" s="6">
        <f>SUMIFS(Raw_Journals!$F:$F,Raw_Journals!$D:$D,$A14)</f>
        <v/>
      </c>
      <c r="E14" s="6">
        <f>SUMIFS(Raw_Journals!$G:$G,Raw_Journals!$D:$D,$A14)</f>
        <v/>
      </c>
      <c r="F14" s="6">
        <f>IF(D14&gt;=E14,D14-E14,0)</f>
        <v/>
      </c>
      <c r="G14" s="6">
        <f>IF(E14&gt;D14,E14-D14,0)</f>
        <v/>
      </c>
    </row>
    <row r="15">
      <c r="A15" t="inlineStr">
        <is>
          <t>4000</t>
        </is>
      </c>
      <c r="B15" t="inlineStr">
        <is>
          <t>Sales Revenue</t>
        </is>
      </c>
      <c r="C15" t="inlineStr">
        <is>
          <t>Income</t>
        </is>
      </c>
      <c r="D15" s="6">
        <f>SUMIFS(Raw_Journals!$F:$F,Raw_Journals!$D:$D,$A15)</f>
        <v/>
      </c>
      <c r="E15" s="6">
        <f>SUMIFS(Raw_Journals!$G:$G,Raw_Journals!$D:$D,$A15)</f>
        <v/>
      </c>
      <c r="F15" s="6">
        <f>IF(D15&gt;=E15,D15-E15,0)</f>
        <v/>
      </c>
      <c r="G15" s="6">
        <f>IF(E15&gt;D15,E15-D15,0)</f>
        <v/>
      </c>
    </row>
    <row r="16">
      <c r="A16" t="inlineStr">
        <is>
          <t>5000</t>
        </is>
      </c>
      <c r="B16" t="inlineStr">
        <is>
          <t>Cost of Goods Sold</t>
        </is>
      </c>
      <c r="C16" t="inlineStr">
        <is>
          <t>Expense</t>
        </is>
      </c>
      <c r="D16" s="6">
        <f>SUMIFS(Raw_Journals!$F:$F,Raw_Journals!$D:$D,$A16)</f>
        <v/>
      </c>
      <c r="E16" s="6">
        <f>SUMIFS(Raw_Journals!$G:$G,Raw_Journals!$D:$D,$A16)</f>
        <v/>
      </c>
      <c r="F16" s="6">
        <f>IF(D16&gt;=E16,D16-E16,0)</f>
        <v/>
      </c>
      <c r="G16" s="6">
        <f>IF(E16&gt;D16,E16-D16,0)</f>
        <v/>
      </c>
    </row>
    <row r="17">
      <c r="A17" t="inlineStr">
        <is>
          <t>5100</t>
        </is>
      </c>
      <c r="B17" t="inlineStr">
        <is>
          <t>Rent Expense</t>
        </is>
      </c>
      <c r="C17" t="inlineStr">
        <is>
          <t>Expense</t>
        </is>
      </c>
      <c r="D17" s="6">
        <f>SUMIFS(Raw_Journals!$F:$F,Raw_Journals!$D:$D,$A17)</f>
        <v/>
      </c>
      <c r="E17" s="6">
        <f>SUMIFS(Raw_Journals!$G:$G,Raw_Journals!$D:$D,$A17)</f>
        <v/>
      </c>
      <c r="F17" s="6">
        <f>IF(D17&gt;=E17,D17-E17,0)</f>
        <v/>
      </c>
      <c r="G17" s="6">
        <f>IF(E17&gt;D17,E17-D17,0)</f>
        <v/>
      </c>
    </row>
    <row r="18">
      <c r="A18" t="inlineStr">
        <is>
          <t>5200</t>
        </is>
      </c>
      <c r="B18" t="inlineStr">
        <is>
          <t>Salaries Expense</t>
        </is>
      </c>
      <c r="C18" t="inlineStr">
        <is>
          <t>Expense</t>
        </is>
      </c>
      <c r="D18" s="6">
        <f>SUMIFS(Raw_Journals!$F:$F,Raw_Journals!$D:$D,$A18)</f>
        <v/>
      </c>
      <c r="E18" s="6">
        <f>SUMIFS(Raw_Journals!$G:$G,Raw_Journals!$D:$D,$A18)</f>
        <v/>
      </c>
      <c r="F18" s="6">
        <f>IF(D18&gt;=E18,D18-E18,0)</f>
        <v/>
      </c>
      <c r="G18" s="6">
        <f>IF(E18&gt;D18,E18-D18,0)</f>
        <v/>
      </c>
    </row>
    <row r="19">
      <c r="A19" t="inlineStr">
        <is>
          <t>5300</t>
        </is>
      </c>
      <c r="B19" t="inlineStr">
        <is>
          <t>Utilities Expense</t>
        </is>
      </c>
      <c r="C19" t="inlineStr">
        <is>
          <t>Expense</t>
        </is>
      </c>
      <c r="D19" s="6">
        <f>SUMIFS(Raw_Journals!$F:$F,Raw_Journals!$D:$D,$A19)</f>
        <v/>
      </c>
      <c r="E19" s="6">
        <f>SUMIFS(Raw_Journals!$G:$G,Raw_Journals!$D:$D,$A19)</f>
        <v/>
      </c>
      <c r="F19" s="6">
        <f>IF(D19&gt;=E19,D19-E19,0)</f>
        <v/>
      </c>
      <c r="G19" s="6">
        <f>IF(E19&gt;D19,E19-D19,0)</f>
        <v/>
      </c>
    </row>
    <row r="20">
      <c r="A20" t="inlineStr">
        <is>
          <t>5400</t>
        </is>
      </c>
      <c r="B20" t="inlineStr">
        <is>
          <t>Transport &amp; Logistics</t>
        </is>
      </c>
      <c r="C20" t="inlineStr">
        <is>
          <t>Expense</t>
        </is>
      </c>
      <c r="D20" s="6">
        <f>SUMIFS(Raw_Journals!$F:$F,Raw_Journals!$D:$D,$A20)</f>
        <v/>
      </c>
      <c r="E20" s="6">
        <f>SUMIFS(Raw_Journals!$G:$G,Raw_Journals!$D:$D,$A20)</f>
        <v/>
      </c>
      <c r="F20" s="6">
        <f>IF(D20&gt;=E20,D20-E20,0)</f>
        <v/>
      </c>
      <c r="G20" s="6">
        <f>IF(E20&gt;D20,E20-D20,0)</f>
        <v/>
      </c>
    </row>
    <row r="21">
      <c r="A21" t="inlineStr">
        <is>
          <t>5500</t>
        </is>
      </c>
      <c r="B21" t="inlineStr">
        <is>
          <t>Marketing Expense</t>
        </is>
      </c>
      <c r="C21" t="inlineStr">
        <is>
          <t>Expense</t>
        </is>
      </c>
      <c r="D21" s="6">
        <f>SUMIFS(Raw_Journals!$F:$F,Raw_Journals!$D:$D,$A21)</f>
        <v/>
      </c>
      <c r="E21" s="6">
        <f>SUMIFS(Raw_Journals!$G:$G,Raw_Journals!$D:$D,$A21)</f>
        <v/>
      </c>
      <c r="F21" s="6">
        <f>IF(D21&gt;=E21,D21-E21,0)</f>
        <v/>
      </c>
      <c r="G21" s="6">
        <f>IF(E21&gt;D21,E21-D21,0)</f>
        <v/>
      </c>
    </row>
    <row r="22">
      <c r="A22" t="inlineStr">
        <is>
          <t>5600</t>
        </is>
      </c>
      <c r="B22" t="inlineStr">
        <is>
          <t>Interest Expense</t>
        </is>
      </c>
      <c r="C22" t="inlineStr">
        <is>
          <t>Expense</t>
        </is>
      </c>
      <c r="D22" s="6">
        <f>SUMIFS(Raw_Journals!$F:$F,Raw_Journals!$D:$D,$A22)</f>
        <v/>
      </c>
      <c r="E22" s="6">
        <f>SUMIFS(Raw_Journals!$G:$G,Raw_Journals!$D:$D,$A22)</f>
        <v/>
      </c>
      <c r="F22" s="6">
        <f>IF(D22&gt;=E22,D22-E22,0)</f>
        <v/>
      </c>
      <c r="G22" s="6">
        <f>IF(E22&gt;D22,E22-D22,0)</f>
        <v/>
      </c>
    </row>
    <row r="23">
      <c r="A23" t="inlineStr">
        <is>
          <t>5700</t>
        </is>
      </c>
      <c r="B23" t="inlineStr">
        <is>
          <t>Depreciation Expense</t>
        </is>
      </c>
      <c r="C23" t="inlineStr">
        <is>
          <t>Expense</t>
        </is>
      </c>
      <c r="D23" s="6">
        <f>SUMIFS(Raw_Journals!$F:$F,Raw_Journals!$D:$D,$A23)</f>
        <v/>
      </c>
      <c r="E23" s="6">
        <f>SUMIFS(Raw_Journals!$G:$G,Raw_Journals!$D:$D,$A23)</f>
        <v/>
      </c>
      <c r="F23" s="6">
        <f>IF(D23&gt;=E23,D23-E23,0)</f>
        <v/>
      </c>
      <c r="G23" s="6">
        <f>IF(E23&gt;D23,E23-D23,0)</f>
        <v/>
      </c>
    </row>
    <row r="24">
      <c r="A24" t="inlineStr">
        <is>
          <t>5800</t>
        </is>
      </c>
      <c r="B24" t="inlineStr">
        <is>
          <t>Miscellaneous Expense</t>
        </is>
      </c>
      <c r="C24" t="inlineStr">
        <is>
          <t>Expense</t>
        </is>
      </c>
      <c r="D24" s="6">
        <f>SUMIFS(Raw_Journals!$F:$F,Raw_Journals!$D:$D,$A24)</f>
        <v/>
      </c>
      <c r="E24" s="6">
        <f>SUMIFS(Raw_Journals!$G:$G,Raw_Journals!$D:$D,$A24)</f>
        <v/>
      </c>
      <c r="F24" s="6">
        <f>IF(D24&gt;=E24,D24-E24,0)</f>
        <v/>
      </c>
      <c r="G24" s="6">
        <f>IF(E24&gt;D24,E24-D24,0)</f>
        <v/>
      </c>
    </row>
    <row r="25">
      <c r="B25" s="7" t="inlineStr">
        <is>
          <t>TOTAL</t>
        </is>
      </c>
      <c r="D25" s="8">
        <f>SUM(D4:D24)</f>
        <v/>
      </c>
      <c r="E25" s="8">
        <f>SUM(E4:E24)</f>
        <v/>
      </c>
      <c r="F25" s="8">
        <f>SUM(F4:F24)</f>
        <v/>
      </c>
      <c r="G25" s="8">
        <f>SUM(G4:G24)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PROFIT &amp; LOSS — monthly, live SUMIFS over Raw_Journals (₹)</t>
        </is>
      </c>
    </row>
    <row r="2">
      <c r="A2" s="4" t="inlineStr">
        <is>
          <t>Particulars</t>
        </is>
      </c>
      <c r="B2" s="4" t="inlineStr">
        <is>
          <t>Apr-25</t>
        </is>
      </c>
      <c r="C2" s="4" t="inlineStr">
        <is>
          <t>May-25</t>
        </is>
      </c>
      <c r="D2" s="4" t="inlineStr">
        <is>
          <t>Jun-25</t>
        </is>
      </c>
      <c r="E2" s="4" t="inlineStr">
        <is>
          <t>Jul-25</t>
        </is>
      </c>
      <c r="F2" s="4" t="inlineStr">
        <is>
          <t>Aug-25</t>
        </is>
      </c>
      <c r="G2" s="4" t="inlineStr">
        <is>
          <t>Sep-25</t>
        </is>
      </c>
      <c r="H2" s="4" t="inlineStr">
        <is>
          <t>Oct-25</t>
        </is>
      </c>
      <c r="I2" s="4" t="inlineStr">
        <is>
          <t>Nov-25</t>
        </is>
      </c>
      <c r="J2" s="4" t="inlineStr">
        <is>
          <t>Dec-25</t>
        </is>
      </c>
      <c r="K2" s="4" t="inlineStr">
        <is>
          <t>Jan-26</t>
        </is>
      </c>
      <c r="L2" s="4" t="inlineStr">
        <is>
          <t>Feb-26</t>
        </is>
      </c>
      <c r="M2" s="4" t="inlineStr">
        <is>
          <t>Mar-26</t>
        </is>
      </c>
      <c r="N2" s="4" t="inlineStr">
        <is>
          <t>Apr-26</t>
        </is>
      </c>
      <c r="O2" s="4" t="inlineStr">
        <is>
          <t>May-26</t>
        </is>
      </c>
      <c r="P2" s="4" t="inlineStr">
        <is>
          <t>Jun-26</t>
        </is>
      </c>
      <c r="Q2" s="4" t="inlineStr">
        <is>
          <t>Jul-26</t>
        </is>
      </c>
      <c r="R2" s="4" t="inlineStr">
        <is>
          <t>Aug-26</t>
        </is>
      </c>
      <c r="S2" s="4" t="inlineStr">
        <is>
          <t>Sep-26</t>
        </is>
      </c>
      <c r="T2" s="4" t="inlineStr">
        <is>
          <t>YTD</t>
        </is>
      </c>
    </row>
    <row r="3" hidden="1">
      <c r="B3" t="n">
        <v>24304</v>
      </c>
      <c r="C3" t="n">
        <v>24305</v>
      </c>
      <c r="D3" t="n">
        <v>24306</v>
      </c>
      <c r="E3" t="n">
        <v>24307</v>
      </c>
      <c r="F3" t="n">
        <v>24308</v>
      </c>
      <c r="G3" t="n">
        <v>24309</v>
      </c>
      <c r="H3" t="n">
        <v>24310</v>
      </c>
      <c r="I3" t="n">
        <v>24311</v>
      </c>
      <c r="J3" t="n">
        <v>24312</v>
      </c>
      <c r="K3" t="n">
        <v>24313</v>
      </c>
      <c r="L3" t="n">
        <v>24314</v>
      </c>
      <c r="M3" t="n">
        <v>24315</v>
      </c>
      <c r="N3" t="n">
        <v>24316</v>
      </c>
      <c r="O3" t="n">
        <v>24317</v>
      </c>
      <c r="P3" t="n">
        <v>24318</v>
      </c>
      <c r="Q3" t="n">
        <v>24319</v>
      </c>
      <c r="R3" t="n">
        <v>24320</v>
      </c>
      <c r="S3" t="n">
        <v>24321</v>
      </c>
    </row>
    <row r="4">
      <c r="A4" t="inlineStr">
        <is>
          <t>Sales Revenue</t>
        </is>
      </c>
      <c r="B4" s="6">
        <f>SUMIFS(Raw_Journals!$G:$G,Raw_Journals!$J:$J,B$3,Raw_Journals!$D:$D,"4000")-SUMIFS(Raw_Journals!$F:$F,Raw_Journals!$J:$J,B$3,Raw_Journals!$D:$D,"4000")</f>
        <v/>
      </c>
      <c r="C4" s="6">
        <f>SUMIFS(Raw_Journals!$G:$G,Raw_Journals!$J:$J,C$3,Raw_Journals!$D:$D,"4000")-SUMIFS(Raw_Journals!$F:$F,Raw_Journals!$J:$J,C$3,Raw_Journals!$D:$D,"4000")</f>
        <v/>
      </c>
      <c r="D4" s="6">
        <f>SUMIFS(Raw_Journals!$G:$G,Raw_Journals!$J:$J,D$3,Raw_Journals!$D:$D,"4000")-SUMIFS(Raw_Journals!$F:$F,Raw_Journals!$J:$J,D$3,Raw_Journals!$D:$D,"4000")</f>
        <v/>
      </c>
      <c r="E4" s="6">
        <f>SUMIFS(Raw_Journals!$G:$G,Raw_Journals!$J:$J,E$3,Raw_Journals!$D:$D,"4000")-SUMIFS(Raw_Journals!$F:$F,Raw_Journals!$J:$J,E$3,Raw_Journals!$D:$D,"4000")</f>
        <v/>
      </c>
      <c r="F4" s="6">
        <f>SUMIFS(Raw_Journals!$G:$G,Raw_Journals!$J:$J,F$3,Raw_Journals!$D:$D,"4000")-SUMIFS(Raw_Journals!$F:$F,Raw_Journals!$J:$J,F$3,Raw_Journals!$D:$D,"4000")</f>
        <v/>
      </c>
      <c r="G4" s="6">
        <f>SUMIFS(Raw_Journals!$G:$G,Raw_Journals!$J:$J,G$3,Raw_Journals!$D:$D,"4000")-SUMIFS(Raw_Journals!$F:$F,Raw_Journals!$J:$J,G$3,Raw_Journals!$D:$D,"4000")</f>
        <v/>
      </c>
      <c r="H4" s="6">
        <f>SUMIFS(Raw_Journals!$G:$G,Raw_Journals!$J:$J,H$3,Raw_Journals!$D:$D,"4000")-SUMIFS(Raw_Journals!$F:$F,Raw_Journals!$J:$J,H$3,Raw_Journals!$D:$D,"4000")</f>
        <v/>
      </c>
      <c r="I4" s="6">
        <f>SUMIFS(Raw_Journals!$G:$G,Raw_Journals!$J:$J,I$3,Raw_Journals!$D:$D,"4000")-SUMIFS(Raw_Journals!$F:$F,Raw_Journals!$J:$J,I$3,Raw_Journals!$D:$D,"4000")</f>
        <v/>
      </c>
      <c r="J4" s="6">
        <f>SUMIFS(Raw_Journals!$G:$G,Raw_Journals!$J:$J,J$3,Raw_Journals!$D:$D,"4000")-SUMIFS(Raw_Journals!$F:$F,Raw_Journals!$J:$J,J$3,Raw_Journals!$D:$D,"4000")</f>
        <v/>
      </c>
      <c r="K4" s="6">
        <f>SUMIFS(Raw_Journals!$G:$G,Raw_Journals!$J:$J,K$3,Raw_Journals!$D:$D,"4000")-SUMIFS(Raw_Journals!$F:$F,Raw_Journals!$J:$J,K$3,Raw_Journals!$D:$D,"4000")</f>
        <v/>
      </c>
      <c r="L4" s="6">
        <f>SUMIFS(Raw_Journals!$G:$G,Raw_Journals!$J:$J,L$3,Raw_Journals!$D:$D,"4000")-SUMIFS(Raw_Journals!$F:$F,Raw_Journals!$J:$J,L$3,Raw_Journals!$D:$D,"4000")</f>
        <v/>
      </c>
      <c r="M4" s="6">
        <f>SUMIFS(Raw_Journals!$G:$G,Raw_Journals!$J:$J,M$3,Raw_Journals!$D:$D,"4000")-SUMIFS(Raw_Journals!$F:$F,Raw_Journals!$J:$J,M$3,Raw_Journals!$D:$D,"4000")</f>
        <v/>
      </c>
      <c r="N4" s="6">
        <f>SUMIFS(Raw_Journals!$G:$G,Raw_Journals!$J:$J,N$3,Raw_Journals!$D:$D,"4000")-SUMIFS(Raw_Journals!$F:$F,Raw_Journals!$J:$J,N$3,Raw_Journals!$D:$D,"4000")</f>
        <v/>
      </c>
      <c r="O4" s="6">
        <f>SUMIFS(Raw_Journals!$G:$G,Raw_Journals!$J:$J,O$3,Raw_Journals!$D:$D,"4000")-SUMIFS(Raw_Journals!$F:$F,Raw_Journals!$J:$J,O$3,Raw_Journals!$D:$D,"4000")</f>
        <v/>
      </c>
      <c r="P4" s="6">
        <f>SUMIFS(Raw_Journals!$G:$G,Raw_Journals!$J:$J,P$3,Raw_Journals!$D:$D,"4000")-SUMIFS(Raw_Journals!$F:$F,Raw_Journals!$J:$J,P$3,Raw_Journals!$D:$D,"4000")</f>
        <v/>
      </c>
      <c r="Q4" s="6">
        <f>SUMIFS(Raw_Journals!$G:$G,Raw_Journals!$J:$J,Q$3,Raw_Journals!$D:$D,"4000")-SUMIFS(Raw_Journals!$F:$F,Raw_Journals!$J:$J,Q$3,Raw_Journals!$D:$D,"4000")</f>
        <v/>
      </c>
      <c r="R4" s="6">
        <f>SUMIFS(Raw_Journals!$G:$G,Raw_Journals!$J:$J,R$3,Raw_Journals!$D:$D,"4000")-SUMIFS(Raw_Journals!$F:$F,Raw_Journals!$J:$J,R$3,Raw_Journals!$D:$D,"4000")</f>
        <v/>
      </c>
      <c r="S4" s="6">
        <f>SUMIFS(Raw_Journals!$G:$G,Raw_Journals!$J:$J,S$3,Raw_Journals!$D:$D,"4000")-SUMIFS(Raw_Journals!$F:$F,Raw_Journals!$J:$J,S$3,Raw_Journals!$D:$D,"4000")</f>
        <v/>
      </c>
      <c r="T4" s="6">
        <f>SUM(B4:S4)</f>
        <v/>
      </c>
    </row>
    <row r="5">
      <c r="A5" t="inlineStr">
        <is>
          <t>Cost of Goods Sold</t>
        </is>
      </c>
      <c r="B5" s="6">
        <f>SUMIFS(Raw_Journals!$F:$F,Raw_Journals!$J:$J,B$3,Raw_Journals!$D:$D,"5000")-SUMIFS(Raw_Journals!$G:$G,Raw_Journals!$J:$J,B$3,Raw_Journals!$D:$D,"5000")</f>
        <v/>
      </c>
      <c r="C5" s="6">
        <f>SUMIFS(Raw_Journals!$F:$F,Raw_Journals!$J:$J,C$3,Raw_Journals!$D:$D,"5000")-SUMIFS(Raw_Journals!$G:$G,Raw_Journals!$J:$J,C$3,Raw_Journals!$D:$D,"5000")</f>
        <v/>
      </c>
      <c r="D5" s="6">
        <f>SUMIFS(Raw_Journals!$F:$F,Raw_Journals!$J:$J,D$3,Raw_Journals!$D:$D,"5000")-SUMIFS(Raw_Journals!$G:$G,Raw_Journals!$J:$J,D$3,Raw_Journals!$D:$D,"5000")</f>
        <v/>
      </c>
      <c r="E5" s="6">
        <f>SUMIFS(Raw_Journals!$F:$F,Raw_Journals!$J:$J,E$3,Raw_Journals!$D:$D,"5000")-SUMIFS(Raw_Journals!$G:$G,Raw_Journals!$J:$J,E$3,Raw_Journals!$D:$D,"5000")</f>
        <v/>
      </c>
      <c r="F5" s="6">
        <f>SUMIFS(Raw_Journals!$F:$F,Raw_Journals!$J:$J,F$3,Raw_Journals!$D:$D,"5000")-SUMIFS(Raw_Journals!$G:$G,Raw_Journals!$J:$J,F$3,Raw_Journals!$D:$D,"5000")</f>
        <v/>
      </c>
      <c r="G5" s="6">
        <f>SUMIFS(Raw_Journals!$F:$F,Raw_Journals!$J:$J,G$3,Raw_Journals!$D:$D,"5000")-SUMIFS(Raw_Journals!$G:$G,Raw_Journals!$J:$J,G$3,Raw_Journals!$D:$D,"5000")</f>
        <v/>
      </c>
      <c r="H5" s="6">
        <f>SUMIFS(Raw_Journals!$F:$F,Raw_Journals!$J:$J,H$3,Raw_Journals!$D:$D,"5000")-SUMIFS(Raw_Journals!$G:$G,Raw_Journals!$J:$J,H$3,Raw_Journals!$D:$D,"5000")</f>
        <v/>
      </c>
      <c r="I5" s="6">
        <f>SUMIFS(Raw_Journals!$F:$F,Raw_Journals!$J:$J,I$3,Raw_Journals!$D:$D,"5000")-SUMIFS(Raw_Journals!$G:$G,Raw_Journals!$J:$J,I$3,Raw_Journals!$D:$D,"5000")</f>
        <v/>
      </c>
      <c r="J5" s="6">
        <f>SUMIFS(Raw_Journals!$F:$F,Raw_Journals!$J:$J,J$3,Raw_Journals!$D:$D,"5000")-SUMIFS(Raw_Journals!$G:$G,Raw_Journals!$J:$J,J$3,Raw_Journals!$D:$D,"5000")</f>
        <v/>
      </c>
      <c r="K5" s="6">
        <f>SUMIFS(Raw_Journals!$F:$F,Raw_Journals!$J:$J,K$3,Raw_Journals!$D:$D,"5000")-SUMIFS(Raw_Journals!$G:$G,Raw_Journals!$J:$J,K$3,Raw_Journals!$D:$D,"5000")</f>
        <v/>
      </c>
      <c r="L5" s="6">
        <f>SUMIFS(Raw_Journals!$F:$F,Raw_Journals!$J:$J,L$3,Raw_Journals!$D:$D,"5000")-SUMIFS(Raw_Journals!$G:$G,Raw_Journals!$J:$J,L$3,Raw_Journals!$D:$D,"5000")</f>
        <v/>
      </c>
      <c r="M5" s="6">
        <f>SUMIFS(Raw_Journals!$F:$F,Raw_Journals!$J:$J,M$3,Raw_Journals!$D:$D,"5000")-SUMIFS(Raw_Journals!$G:$G,Raw_Journals!$J:$J,M$3,Raw_Journals!$D:$D,"5000")</f>
        <v/>
      </c>
      <c r="N5" s="6">
        <f>SUMIFS(Raw_Journals!$F:$F,Raw_Journals!$J:$J,N$3,Raw_Journals!$D:$D,"5000")-SUMIFS(Raw_Journals!$G:$G,Raw_Journals!$J:$J,N$3,Raw_Journals!$D:$D,"5000")</f>
        <v/>
      </c>
      <c r="O5" s="6">
        <f>SUMIFS(Raw_Journals!$F:$F,Raw_Journals!$J:$J,O$3,Raw_Journals!$D:$D,"5000")-SUMIFS(Raw_Journals!$G:$G,Raw_Journals!$J:$J,O$3,Raw_Journals!$D:$D,"5000")</f>
        <v/>
      </c>
      <c r="P5" s="6">
        <f>SUMIFS(Raw_Journals!$F:$F,Raw_Journals!$J:$J,P$3,Raw_Journals!$D:$D,"5000")-SUMIFS(Raw_Journals!$G:$G,Raw_Journals!$J:$J,P$3,Raw_Journals!$D:$D,"5000")</f>
        <v/>
      </c>
      <c r="Q5" s="6">
        <f>SUMIFS(Raw_Journals!$F:$F,Raw_Journals!$J:$J,Q$3,Raw_Journals!$D:$D,"5000")-SUMIFS(Raw_Journals!$G:$G,Raw_Journals!$J:$J,Q$3,Raw_Journals!$D:$D,"5000")</f>
        <v/>
      </c>
      <c r="R5" s="6">
        <f>SUMIFS(Raw_Journals!$F:$F,Raw_Journals!$J:$J,R$3,Raw_Journals!$D:$D,"5000")-SUMIFS(Raw_Journals!$G:$G,Raw_Journals!$J:$J,R$3,Raw_Journals!$D:$D,"5000")</f>
        <v/>
      </c>
      <c r="S5" s="6">
        <f>SUMIFS(Raw_Journals!$F:$F,Raw_Journals!$J:$J,S$3,Raw_Journals!$D:$D,"5000")-SUMIFS(Raw_Journals!$G:$G,Raw_Journals!$J:$J,S$3,Raw_Journals!$D:$D,"5000")</f>
        <v/>
      </c>
      <c r="T5" s="6">
        <f>SUM(B5:S5)</f>
        <v/>
      </c>
    </row>
    <row r="6">
      <c r="A6" s="7" t="inlineStr">
        <is>
          <t>Gross Profit</t>
        </is>
      </c>
      <c r="B6" s="6">
        <f>B4-B5</f>
        <v/>
      </c>
      <c r="C6" s="6">
        <f>C4-C5</f>
        <v/>
      </c>
      <c r="D6" s="6">
        <f>D4-D5</f>
        <v/>
      </c>
      <c r="E6" s="6">
        <f>E4-E5</f>
        <v/>
      </c>
      <c r="F6" s="6">
        <f>F4-F5</f>
        <v/>
      </c>
      <c r="G6" s="6">
        <f>G4-G5</f>
        <v/>
      </c>
      <c r="H6" s="6">
        <f>H4-H5</f>
        <v/>
      </c>
      <c r="I6" s="6">
        <f>I4-I5</f>
        <v/>
      </c>
      <c r="J6" s="6">
        <f>J4-J5</f>
        <v/>
      </c>
      <c r="K6" s="6">
        <f>K4-K5</f>
        <v/>
      </c>
      <c r="L6" s="6">
        <f>L4-L5</f>
        <v/>
      </c>
      <c r="M6" s="6">
        <f>M4-M5</f>
        <v/>
      </c>
      <c r="N6" s="6">
        <f>N4-N5</f>
        <v/>
      </c>
      <c r="O6" s="6">
        <f>O4-O5</f>
        <v/>
      </c>
      <c r="P6" s="6">
        <f>P4-P5</f>
        <v/>
      </c>
      <c r="Q6" s="6">
        <f>Q4-Q5</f>
        <v/>
      </c>
      <c r="R6" s="6">
        <f>R4-R5</f>
        <v/>
      </c>
      <c r="S6" s="6">
        <f>S4-S5</f>
        <v/>
      </c>
      <c r="T6" s="6">
        <f>SUM(B6:S6)</f>
        <v/>
      </c>
    </row>
    <row r="7">
      <c r="A7" t="inlineStr">
        <is>
          <t>Rent Expense</t>
        </is>
      </c>
      <c r="B7" s="6">
        <f>SUMIFS(Raw_Journals!$F:$F,Raw_Journals!$J:$J,B$3,Raw_Journals!$D:$D,"5100")-SUMIFS(Raw_Journals!$G:$G,Raw_Journals!$J:$J,B$3,Raw_Journals!$D:$D,"5100")</f>
        <v/>
      </c>
      <c r="C7" s="6">
        <f>SUMIFS(Raw_Journals!$F:$F,Raw_Journals!$J:$J,C$3,Raw_Journals!$D:$D,"5100")-SUMIFS(Raw_Journals!$G:$G,Raw_Journals!$J:$J,C$3,Raw_Journals!$D:$D,"5100")</f>
        <v/>
      </c>
      <c r="D7" s="6">
        <f>SUMIFS(Raw_Journals!$F:$F,Raw_Journals!$J:$J,D$3,Raw_Journals!$D:$D,"5100")-SUMIFS(Raw_Journals!$G:$G,Raw_Journals!$J:$J,D$3,Raw_Journals!$D:$D,"5100")</f>
        <v/>
      </c>
      <c r="E7" s="6">
        <f>SUMIFS(Raw_Journals!$F:$F,Raw_Journals!$J:$J,E$3,Raw_Journals!$D:$D,"5100")-SUMIFS(Raw_Journals!$G:$G,Raw_Journals!$J:$J,E$3,Raw_Journals!$D:$D,"5100")</f>
        <v/>
      </c>
      <c r="F7" s="6">
        <f>SUMIFS(Raw_Journals!$F:$F,Raw_Journals!$J:$J,F$3,Raw_Journals!$D:$D,"5100")-SUMIFS(Raw_Journals!$G:$G,Raw_Journals!$J:$J,F$3,Raw_Journals!$D:$D,"5100")</f>
        <v/>
      </c>
      <c r="G7" s="6">
        <f>SUMIFS(Raw_Journals!$F:$F,Raw_Journals!$J:$J,G$3,Raw_Journals!$D:$D,"5100")-SUMIFS(Raw_Journals!$G:$G,Raw_Journals!$J:$J,G$3,Raw_Journals!$D:$D,"5100")</f>
        <v/>
      </c>
      <c r="H7" s="6">
        <f>SUMIFS(Raw_Journals!$F:$F,Raw_Journals!$J:$J,H$3,Raw_Journals!$D:$D,"5100")-SUMIFS(Raw_Journals!$G:$G,Raw_Journals!$J:$J,H$3,Raw_Journals!$D:$D,"5100")</f>
        <v/>
      </c>
      <c r="I7" s="6">
        <f>SUMIFS(Raw_Journals!$F:$F,Raw_Journals!$J:$J,I$3,Raw_Journals!$D:$D,"5100")-SUMIFS(Raw_Journals!$G:$G,Raw_Journals!$J:$J,I$3,Raw_Journals!$D:$D,"5100")</f>
        <v/>
      </c>
      <c r="J7" s="6">
        <f>SUMIFS(Raw_Journals!$F:$F,Raw_Journals!$J:$J,J$3,Raw_Journals!$D:$D,"5100")-SUMIFS(Raw_Journals!$G:$G,Raw_Journals!$J:$J,J$3,Raw_Journals!$D:$D,"5100")</f>
        <v/>
      </c>
      <c r="K7" s="6">
        <f>SUMIFS(Raw_Journals!$F:$F,Raw_Journals!$J:$J,K$3,Raw_Journals!$D:$D,"5100")-SUMIFS(Raw_Journals!$G:$G,Raw_Journals!$J:$J,K$3,Raw_Journals!$D:$D,"5100")</f>
        <v/>
      </c>
      <c r="L7" s="6">
        <f>SUMIFS(Raw_Journals!$F:$F,Raw_Journals!$J:$J,L$3,Raw_Journals!$D:$D,"5100")-SUMIFS(Raw_Journals!$G:$G,Raw_Journals!$J:$J,L$3,Raw_Journals!$D:$D,"5100")</f>
        <v/>
      </c>
      <c r="M7" s="6">
        <f>SUMIFS(Raw_Journals!$F:$F,Raw_Journals!$J:$J,M$3,Raw_Journals!$D:$D,"5100")-SUMIFS(Raw_Journals!$G:$G,Raw_Journals!$J:$J,M$3,Raw_Journals!$D:$D,"5100")</f>
        <v/>
      </c>
      <c r="N7" s="6">
        <f>SUMIFS(Raw_Journals!$F:$F,Raw_Journals!$J:$J,N$3,Raw_Journals!$D:$D,"5100")-SUMIFS(Raw_Journals!$G:$G,Raw_Journals!$J:$J,N$3,Raw_Journals!$D:$D,"5100")</f>
        <v/>
      </c>
      <c r="O7" s="6">
        <f>SUMIFS(Raw_Journals!$F:$F,Raw_Journals!$J:$J,O$3,Raw_Journals!$D:$D,"5100")-SUMIFS(Raw_Journals!$G:$G,Raw_Journals!$J:$J,O$3,Raw_Journals!$D:$D,"5100")</f>
        <v/>
      </c>
      <c r="P7" s="6">
        <f>SUMIFS(Raw_Journals!$F:$F,Raw_Journals!$J:$J,P$3,Raw_Journals!$D:$D,"5100")-SUMIFS(Raw_Journals!$G:$G,Raw_Journals!$J:$J,P$3,Raw_Journals!$D:$D,"5100")</f>
        <v/>
      </c>
      <c r="Q7" s="6">
        <f>SUMIFS(Raw_Journals!$F:$F,Raw_Journals!$J:$J,Q$3,Raw_Journals!$D:$D,"5100")-SUMIFS(Raw_Journals!$G:$G,Raw_Journals!$J:$J,Q$3,Raw_Journals!$D:$D,"5100")</f>
        <v/>
      </c>
      <c r="R7" s="6">
        <f>SUMIFS(Raw_Journals!$F:$F,Raw_Journals!$J:$J,R$3,Raw_Journals!$D:$D,"5100")-SUMIFS(Raw_Journals!$G:$G,Raw_Journals!$J:$J,R$3,Raw_Journals!$D:$D,"5100")</f>
        <v/>
      </c>
      <c r="S7" s="6">
        <f>SUMIFS(Raw_Journals!$F:$F,Raw_Journals!$J:$J,S$3,Raw_Journals!$D:$D,"5100")-SUMIFS(Raw_Journals!$G:$G,Raw_Journals!$J:$J,S$3,Raw_Journals!$D:$D,"5100")</f>
        <v/>
      </c>
      <c r="T7" s="6">
        <f>SUM(B7:S7)</f>
        <v/>
      </c>
    </row>
    <row r="8">
      <c r="A8" t="inlineStr">
        <is>
          <t>Salaries Expense</t>
        </is>
      </c>
      <c r="B8" s="6">
        <f>SUMIFS(Raw_Journals!$F:$F,Raw_Journals!$J:$J,B$3,Raw_Journals!$D:$D,"5200")-SUMIFS(Raw_Journals!$G:$G,Raw_Journals!$J:$J,B$3,Raw_Journals!$D:$D,"5200")</f>
        <v/>
      </c>
      <c r="C8" s="6">
        <f>SUMIFS(Raw_Journals!$F:$F,Raw_Journals!$J:$J,C$3,Raw_Journals!$D:$D,"5200")-SUMIFS(Raw_Journals!$G:$G,Raw_Journals!$J:$J,C$3,Raw_Journals!$D:$D,"5200")</f>
        <v/>
      </c>
      <c r="D8" s="6">
        <f>SUMIFS(Raw_Journals!$F:$F,Raw_Journals!$J:$J,D$3,Raw_Journals!$D:$D,"5200")-SUMIFS(Raw_Journals!$G:$G,Raw_Journals!$J:$J,D$3,Raw_Journals!$D:$D,"5200")</f>
        <v/>
      </c>
      <c r="E8" s="6">
        <f>SUMIFS(Raw_Journals!$F:$F,Raw_Journals!$J:$J,E$3,Raw_Journals!$D:$D,"5200")-SUMIFS(Raw_Journals!$G:$G,Raw_Journals!$J:$J,E$3,Raw_Journals!$D:$D,"5200")</f>
        <v/>
      </c>
      <c r="F8" s="6">
        <f>SUMIFS(Raw_Journals!$F:$F,Raw_Journals!$J:$J,F$3,Raw_Journals!$D:$D,"5200")-SUMIFS(Raw_Journals!$G:$G,Raw_Journals!$J:$J,F$3,Raw_Journals!$D:$D,"5200")</f>
        <v/>
      </c>
      <c r="G8" s="6">
        <f>SUMIFS(Raw_Journals!$F:$F,Raw_Journals!$J:$J,G$3,Raw_Journals!$D:$D,"5200")-SUMIFS(Raw_Journals!$G:$G,Raw_Journals!$J:$J,G$3,Raw_Journals!$D:$D,"5200")</f>
        <v/>
      </c>
      <c r="H8" s="6">
        <f>SUMIFS(Raw_Journals!$F:$F,Raw_Journals!$J:$J,H$3,Raw_Journals!$D:$D,"5200")-SUMIFS(Raw_Journals!$G:$G,Raw_Journals!$J:$J,H$3,Raw_Journals!$D:$D,"5200")</f>
        <v/>
      </c>
      <c r="I8" s="6">
        <f>SUMIFS(Raw_Journals!$F:$F,Raw_Journals!$J:$J,I$3,Raw_Journals!$D:$D,"5200")-SUMIFS(Raw_Journals!$G:$G,Raw_Journals!$J:$J,I$3,Raw_Journals!$D:$D,"5200")</f>
        <v/>
      </c>
      <c r="J8" s="6">
        <f>SUMIFS(Raw_Journals!$F:$F,Raw_Journals!$J:$J,J$3,Raw_Journals!$D:$D,"5200")-SUMIFS(Raw_Journals!$G:$G,Raw_Journals!$J:$J,J$3,Raw_Journals!$D:$D,"5200")</f>
        <v/>
      </c>
      <c r="K8" s="6">
        <f>SUMIFS(Raw_Journals!$F:$F,Raw_Journals!$J:$J,K$3,Raw_Journals!$D:$D,"5200")-SUMIFS(Raw_Journals!$G:$G,Raw_Journals!$J:$J,K$3,Raw_Journals!$D:$D,"5200")</f>
        <v/>
      </c>
      <c r="L8" s="6">
        <f>SUMIFS(Raw_Journals!$F:$F,Raw_Journals!$J:$J,L$3,Raw_Journals!$D:$D,"5200")-SUMIFS(Raw_Journals!$G:$G,Raw_Journals!$J:$J,L$3,Raw_Journals!$D:$D,"5200")</f>
        <v/>
      </c>
      <c r="M8" s="6">
        <f>SUMIFS(Raw_Journals!$F:$F,Raw_Journals!$J:$J,M$3,Raw_Journals!$D:$D,"5200")-SUMIFS(Raw_Journals!$G:$G,Raw_Journals!$J:$J,M$3,Raw_Journals!$D:$D,"5200")</f>
        <v/>
      </c>
      <c r="N8" s="6">
        <f>SUMIFS(Raw_Journals!$F:$F,Raw_Journals!$J:$J,N$3,Raw_Journals!$D:$D,"5200")-SUMIFS(Raw_Journals!$G:$G,Raw_Journals!$J:$J,N$3,Raw_Journals!$D:$D,"5200")</f>
        <v/>
      </c>
      <c r="O8" s="6">
        <f>SUMIFS(Raw_Journals!$F:$F,Raw_Journals!$J:$J,O$3,Raw_Journals!$D:$D,"5200")-SUMIFS(Raw_Journals!$G:$G,Raw_Journals!$J:$J,O$3,Raw_Journals!$D:$D,"5200")</f>
        <v/>
      </c>
      <c r="P8" s="6">
        <f>SUMIFS(Raw_Journals!$F:$F,Raw_Journals!$J:$J,P$3,Raw_Journals!$D:$D,"5200")-SUMIFS(Raw_Journals!$G:$G,Raw_Journals!$J:$J,P$3,Raw_Journals!$D:$D,"5200")</f>
        <v/>
      </c>
      <c r="Q8" s="6">
        <f>SUMIFS(Raw_Journals!$F:$F,Raw_Journals!$J:$J,Q$3,Raw_Journals!$D:$D,"5200")-SUMIFS(Raw_Journals!$G:$G,Raw_Journals!$J:$J,Q$3,Raw_Journals!$D:$D,"5200")</f>
        <v/>
      </c>
      <c r="R8" s="6">
        <f>SUMIFS(Raw_Journals!$F:$F,Raw_Journals!$J:$J,R$3,Raw_Journals!$D:$D,"5200")-SUMIFS(Raw_Journals!$G:$G,Raw_Journals!$J:$J,R$3,Raw_Journals!$D:$D,"5200")</f>
        <v/>
      </c>
      <c r="S8" s="6">
        <f>SUMIFS(Raw_Journals!$F:$F,Raw_Journals!$J:$J,S$3,Raw_Journals!$D:$D,"5200")-SUMIFS(Raw_Journals!$G:$G,Raw_Journals!$J:$J,S$3,Raw_Journals!$D:$D,"5200")</f>
        <v/>
      </c>
      <c r="T8" s="6">
        <f>SUM(B8:S8)</f>
        <v/>
      </c>
    </row>
    <row r="9">
      <c r="A9" t="inlineStr">
        <is>
          <t>Utilities Expense</t>
        </is>
      </c>
      <c r="B9" s="6">
        <f>SUMIFS(Raw_Journals!$F:$F,Raw_Journals!$J:$J,B$3,Raw_Journals!$D:$D,"5300")-SUMIFS(Raw_Journals!$G:$G,Raw_Journals!$J:$J,B$3,Raw_Journals!$D:$D,"5300")</f>
        <v/>
      </c>
      <c r="C9" s="6">
        <f>SUMIFS(Raw_Journals!$F:$F,Raw_Journals!$J:$J,C$3,Raw_Journals!$D:$D,"5300")-SUMIFS(Raw_Journals!$G:$G,Raw_Journals!$J:$J,C$3,Raw_Journals!$D:$D,"5300")</f>
        <v/>
      </c>
      <c r="D9" s="6">
        <f>SUMIFS(Raw_Journals!$F:$F,Raw_Journals!$J:$J,D$3,Raw_Journals!$D:$D,"5300")-SUMIFS(Raw_Journals!$G:$G,Raw_Journals!$J:$J,D$3,Raw_Journals!$D:$D,"5300")</f>
        <v/>
      </c>
      <c r="E9" s="6">
        <f>SUMIFS(Raw_Journals!$F:$F,Raw_Journals!$J:$J,E$3,Raw_Journals!$D:$D,"5300")-SUMIFS(Raw_Journals!$G:$G,Raw_Journals!$J:$J,E$3,Raw_Journals!$D:$D,"5300")</f>
        <v/>
      </c>
      <c r="F9" s="6">
        <f>SUMIFS(Raw_Journals!$F:$F,Raw_Journals!$J:$J,F$3,Raw_Journals!$D:$D,"5300")-SUMIFS(Raw_Journals!$G:$G,Raw_Journals!$J:$J,F$3,Raw_Journals!$D:$D,"5300")</f>
        <v/>
      </c>
      <c r="G9" s="6">
        <f>SUMIFS(Raw_Journals!$F:$F,Raw_Journals!$J:$J,G$3,Raw_Journals!$D:$D,"5300")-SUMIFS(Raw_Journals!$G:$G,Raw_Journals!$J:$J,G$3,Raw_Journals!$D:$D,"5300")</f>
        <v/>
      </c>
      <c r="H9" s="6">
        <f>SUMIFS(Raw_Journals!$F:$F,Raw_Journals!$J:$J,H$3,Raw_Journals!$D:$D,"5300")-SUMIFS(Raw_Journals!$G:$G,Raw_Journals!$J:$J,H$3,Raw_Journals!$D:$D,"5300")</f>
        <v/>
      </c>
      <c r="I9" s="6">
        <f>SUMIFS(Raw_Journals!$F:$F,Raw_Journals!$J:$J,I$3,Raw_Journals!$D:$D,"5300")-SUMIFS(Raw_Journals!$G:$G,Raw_Journals!$J:$J,I$3,Raw_Journals!$D:$D,"5300")</f>
        <v/>
      </c>
      <c r="J9" s="6">
        <f>SUMIFS(Raw_Journals!$F:$F,Raw_Journals!$J:$J,J$3,Raw_Journals!$D:$D,"5300")-SUMIFS(Raw_Journals!$G:$G,Raw_Journals!$J:$J,J$3,Raw_Journals!$D:$D,"5300")</f>
        <v/>
      </c>
      <c r="K9" s="6">
        <f>SUMIFS(Raw_Journals!$F:$F,Raw_Journals!$J:$J,K$3,Raw_Journals!$D:$D,"5300")-SUMIFS(Raw_Journals!$G:$G,Raw_Journals!$J:$J,K$3,Raw_Journals!$D:$D,"5300")</f>
        <v/>
      </c>
      <c r="L9" s="6">
        <f>SUMIFS(Raw_Journals!$F:$F,Raw_Journals!$J:$J,L$3,Raw_Journals!$D:$D,"5300")-SUMIFS(Raw_Journals!$G:$G,Raw_Journals!$J:$J,L$3,Raw_Journals!$D:$D,"5300")</f>
        <v/>
      </c>
      <c r="M9" s="6">
        <f>SUMIFS(Raw_Journals!$F:$F,Raw_Journals!$J:$J,M$3,Raw_Journals!$D:$D,"5300")-SUMIFS(Raw_Journals!$G:$G,Raw_Journals!$J:$J,M$3,Raw_Journals!$D:$D,"5300")</f>
        <v/>
      </c>
      <c r="N9" s="6">
        <f>SUMIFS(Raw_Journals!$F:$F,Raw_Journals!$J:$J,N$3,Raw_Journals!$D:$D,"5300")-SUMIFS(Raw_Journals!$G:$G,Raw_Journals!$J:$J,N$3,Raw_Journals!$D:$D,"5300")</f>
        <v/>
      </c>
      <c r="O9" s="6">
        <f>SUMIFS(Raw_Journals!$F:$F,Raw_Journals!$J:$J,O$3,Raw_Journals!$D:$D,"5300")-SUMIFS(Raw_Journals!$G:$G,Raw_Journals!$J:$J,O$3,Raw_Journals!$D:$D,"5300")</f>
        <v/>
      </c>
      <c r="P9" s="6">
        <f>SUMIFS(Raw_Journals!$F:$F,Raw_Journals!$J:$J,P$3,Raw_Journals!$D:$D,"5300")-SUMIFS(Raw_Journals!$G:$G,Raw_Journals!$J:$J,P$3,Raw_Journals!$D:$D,"5300")</f>
        <v/>
      </c>
      <c r="Q9" s="6">
        <f>SUMIFS(Raw_Journals!$F:$F,Raw_Journals!$J:$J,Q$3,Raw_Journals!$D:$D,"5300")-SUMIFS(Raw_Journals!$G:$G,Raw_Journals!$J:$J,Q$3,Raw_Journals!$D:$D,"5300")</f>
        <v/>
      </c>
      <c r="R9" s="6">
        <f>SUMIFS(Raw_Journals!$F:$F,Raw_Journals!$J:$J,R$3,Raw_Journals!$D:$D,"5300")-SUMIFS(Raw_Journals!$G:$G,Raw_Journals!$J:$J,R$3,Raw_Journals!$D:$D,"5300")</f>
        <v/>
      </c>
      <c r="S9" s="6">
        <f>SUMIFS(Raw_Journals!$F:$F,Raw_Journals!$J:$J,S$3,Raw_Journals!$D:$D,"5300")-SUMIFS(Raw_Journals!$G:$G,Raw_Journals!$J:$J,S$3,Raw_Journals!$D:$D,"5300")</f>
        <v/>
      </c>
      <c r="T9" s="6">
        <f>SUM(B9:S9)</f>
        <v/>
      </c>
    </row>
    <row r="10">
      <c r="A10" t="inlineStr">
        <is>
          <t>Transport &amp; Logistics</t>
        </is>
      </c>
      <c r="B10" s="6">
        <f>SUMIFS(Raw_Journals!$F:$F,Raw_Journals!$J:$J,B$3,Raw_Journals!$D:$D,"5400")-SUMIFS(Raw_Journals!$G:$G,Raw_Journals!$J:$J,B$3,Raw_Journals!$D:$D,"5400")</f>
        <v/>
      </c>
      <c r="C10" s="6">
        <f>SUMIFS(Raw_Journals!$F:$F,Raw_Journals!$J:$J,C$3,Raw_Journals!$D:$D,"5400")-SUMIFS(Raw_Journals!$G:$G,Raw_Journals!$J:$J,C$3,Raw_Journals!$D:$D,"5400")</f>
        <v/>
      </c>
      <c r="D10" s="6">
        <f>SUMIFS(Raw_Journals!$F:$F,Raw_Journals!$J:$J,D$3,Raw_Journals!$D:$D,"5400")-SUMIFS(Raw_Journals!$G:$G,Raw_Journals!$J:$J,D$3,Raw_Journals!$D:$D,"5400")</f>
        <v/>
      </c>
      <c r="E10" s="6">
        <f>SUMIFS(Raw_Journals!$F:$F,Raw_Journals!$J:$J,E$3,Raw_Journals!$D:$D,"5400")-SUMIFS(Raw_Journals!$G:$G,Raw_Journals!$J:$J,E$3,Raw_Journals!$D:$D,"5400")</f>
        <v/>
      </c>
      <c r="F10" s="6">
        <f>SUMIFS(Raw_Journals!$F:$F,Raw_Journals!$J:$J,F$3,Raw_Journals!$D:$D,"5400")-SUMIFS(Raw_Journals!$G:$G,Raw_Journals!$J:$J,F$3,Raw_Journals!$D:$D,"5400")</f>
        <v/>
      </c>
      <c r="G10" s="6">
        <f>SUMIFS(Raw_Journals!$F:$F,Raw_Journals!$J:$J,G$3,Raw_Journals!$D:$D,"5400")-SUMIFS(Raw_Journals!$G:$G,Raw_Journals!$J:$J,G$3,Raw_Journals!$D:$D,"5400")</f>
        <v/>
      </c>
      <c r="H10" s="6">
        <f>SUMIFS(Raw_Journals!$F:$F,Raw_Journals!$J:$J,H$3,Raw_Journals!$D:$D,"5400")-SUMIFS(Raw_Journals!$G:$G,Raw_Journals!$J:$J,H$3,Raw_Journals!$D:$D,"5400")</f>
        <v/>
      </c>
      <c r="I10" s="6">
        <f>SUMIFS(Raw_Journals!$F:$F,Raw_Journals!$J:$J,I$3,Raw_Journals!$D:$D,"5400")-SUMIFS(Raw_Journals!$G:$G,Raw_Journals!$J:$J,I$3,Raw_Journals!$D:$D,"5400")</f>
        <v/>
      </c>
      <c r="J10" s="6">
        <f>SUMIFS(Raw_Journals!$F:$F,Raw_Journals!$J:$J,J$3,Raw_Journals!$D:$D,"5400")-SUMIFS(Raw_Journals!$G:$G,Raw_Journals!$J:$J,J$3,Raw_Journals!$D:$D,"5400")</f>
        <v/>
      </c>
      <c r="K10" s="6">
        <f>SUMIFS(Raw_Journals!$F:$F,Raw_Journals!$J:$J,K$3,Raw_Journals!$D:$D,"5400")-SUMIFS(Raw_Journals!$G:$G,Raw_Journals!$J:$J,K$3,Raw_Journals!$D:$D,"5400")</f>
        <v/>
      </c>
      <c r="L10" s="6">
        <f>SUMIFS(Raw_Journals!$F:$F,Raw_Journals!$J:$J,L$3,Raw_Journals!$D:$D,"5400")-SUMIFS(Raw_Journals!$G:$G,Raw_Journals!$J:$J,L$3,Raw_Journals!$D:$D,"5400")</f>
        <v/>
      </c>
      <c r="M10" s="6">
        <f>SUMIFS(Raw_Journals!$F:$F,Raw_Journals!$J:$J,M$3,Raw_Journals!$D:$D,"5400")-SUMIFS(Raw_Journals!$G:$G,Raw_Journals!$J:$J,M$3,Raw_Journals!$D:$D,"5400")</f>
        <v/>
      </c>
      <c r="N10" s="6">
        <f>SUMIFS(Raw_Journals!$F:$F,Raw_Journals!$J:$J,N$3,Raw_Journals!$D:$D,"5400")-SUMIFS(Raw_Journals!$G:$G,Raw_Journals!$J:$J,N$3,Raw_Journals!$D:$D,"5400")</f>
        <v/>
      </c>
      <c r="O10" s="6">
        <f>SUMIFS(Raw_Journals!$F:$F,Raw_Journals!$J:$J,O$3,Raw_Journals!$D:$D,"5400")-SUMIFS(Raw_Journals!$G:$G,Raw_Journals!$J:$J,O$3,Raw_Journals!$D:$D,"5400")</f>
        <v/>
      </c>
      <c r="P10" s="6">
        <f>SUMIFS(Raw_Journals!$F:$F,Raw_Journals!$J:$J,P$3,Raw_Journals!$D:$D,"5400")-SUMIFS(Raw_Journals!$G:$G,Raw_Journals!$J:$J,P$3,Raw_Journals!$D:$D,"5400")</f>
        <v/>
      </c>
      <c r="Q10" s="6">
        <f>SUMIFS(Raw_Journals!$F:$F,Raw_Journals!$J:$J,Q$3,Raw_Journals!$D:$D,"5400")-SUMIFS(Raw_Journals!$G:$G,Raw_Journals!$J:$J,Q$3,Raw_Journals!$D:$D,"5400")</f>
        <v/>
      </c>
      <c r="R10" s="6">
        <f>SUMIFS(Raw_Journals!$F:$F,Raw_Journals!$J:$J,R$3,Raw_Journals!$D:$D,"5400")-SUMIFS(Raw_Journals!$G:$G,Raw_Journals!$J:$J,R$3,Raw_Journals!$D:$D,"5400")</f>
        <v/>
      </c>
      <c r="S10" s="6">
        <f>SUMIFS(Raw_Journals!$F:$F,Raw_Journals!$J:$J,S$3,Raw_Journals!$D:$D,"5400")-SUMIFS(Raw_Journals!$G:$G,Raw_Journals!$J:$J,S$3,Raw_Journals!$D:$D,"5400")</f>
        <v/>
      </c>
      <c r="T10" s="6">
        <f>SUM(B10:S10)</f>
        <v/>
      </c>
    </row>
    <row r="11">
      <c r="A11" t="inlineStr">
        <is>
          <t>Marketing Expense</t>
        </is>
      </c>
      <c r="B11" s="6">
        <f>SUMIFS(Raw_Journals!$F:$F,Raw_Journals!$J:$J,B$3,Raw_Journals!$D:$D,"5500")-SUMIFS(Raw_Journals!$G:$G,Raw_Journals!$J:$J,B$3,Raw_Journals!$D:$D,"5500")</f>
        <v/>
      </c>
      <c r="C11" s="6">
        <f>SUMIFS(Raw_Journals!$F:$F,Raw_Journals!$J:$J,C$3,Raw_Journals!$D:$D,"5500")-SUMIFS(Raw_Journals!$G:$G,Raw_Journals!$J:$J,C$3,Raw_Journals!$D:$D,"5500")</f>
        <v/>
      </c>
      <c r="D11" s="6">
        <f>SUMIFS(Raw_Journals!$F:$F,Raw_Journals!$J:$J,D$3,Raw_Journals!$D:$D,"5500")-SUMIFS(Raw_Journals!$G:$G,Raw_Journals!$J:$J,D$3,Raw_Journals!$D:$D,"5500")</f>
        <v/>
      </c>
      <c r="E11" s="6">
        <f>SUMIFS(Raw_Journals!$F:$F,Raw_Journals!$J:$J,E$3,Raw_Journals!$D:$D,"5500")-SUMIFS(Raw_Journals!$G:$G,Raw_Journals!$J:$J,E$3,Raw_Journals!$D:$D,"5500")</f>
        <v/>
      </c>
      <c r="F11" s="6">
        <f>SUMIFS(Raw_Journals!$F:$F,Raw_Journals!$J:$J,F$3,Raw_Journals!$D:$D,"5500")-SUMIFS(Raw_Journals!$G:$G,Raw_Journals!$J:$J,F$3,Raw_Journals!$D:$D,"5500")</f>
        <v/>
      </c>
      <c r="G11" s="6">
        <f>SUMIFS(Raw_Journals!$F:$F,Raw_Journals!$J:$J,G$3,Raw_Journals!$D:$D,"5500")-SUMIFS(Raw_Journals!$G:$G,Raw_Journals!$J:$J,G$3,Raw_Journals!$D:$D,"5500")</f>
        <v/>
      </c>
      <c r="H11" s="6">
        <f>SUMIFS(Raw_Journals!$F:$F,Raw_Journals!$J:$J,H$3,Raw_Journals!$D:$D,"5500")-SUMIFS(Raw_Journals!$G:$G,Raw_Journals!$J:$J,H$3,Raw_Journals!$D:$D,"5500")</f>
        <v/>
      </c>
      <c r="I11" s="6">
        <f>SUMIFS(Raw_Journals!$F:$F,Raw_Journals!$J:$J,I$3,Raw_Journals!$D:$D,"5500")-SUMIFS(Raw_Journals!$G:$G,Raw_Journals!$J:$J,I$3,Raw_Journals!$D:$D,"5500")</f>
        <v/>
      </c>
      <c r="J11" s="6">
        <f>SUMIFS(Raw_Journals!$F:$F,Raw_Journals!$J:$J,J$3,Raw_Journals!$D:$D,"5500")-SUMIFS(Raw_Journals!$G:$G,Raw_Journals!$J:$J,J$3,Raw_Journals!$D:$D,"5500")</f>
        <v/>
      </c>
      <c r="K11" s="6">
        <f>SUMIFS(Raw_Journals!$F:$F,Raw_Journals!$J:$J,K$3,Raw_Journals!$D:$D,"5500")-SUMIFS(Raw_Journals!$G:$G,Raw_Journals!$J:$J,K$3,Raw_Journals!$D:$D,"5500")</f>
        <v/>
      </c>
      <c r="L11" s="6">
        <f>SUMIFS(Raw_Journals!$F:$F,Raw_Journals!$J:$J,L$3,Raw_Journals!$D:$D,"5500")-SUMIFS(Raw_Journals!$G:$G,Raw_Journals!$J:$J,L$3,Raw_Journals!$D:$D,"5500")</f>
        <v/>
      </c>
      <c r="M11" s="6">
        <f>SUMIFS(Raw_Journals!$F:$F,Raw_Journals!$J:$J,M$3,Raw_Journals!$D:$D,"5500")-SUMIFS(Raw_Journals!$G:$G,Raw_Journals!$J:$J,M$3,Raw_Journals!$D:$D,"5500")</f>
        <v/>
      </c>
      <c r="N11" s="6">
        <f>SUMIFS(Raw_Journals!$F:$F,Raw_Journals!$J:$J,N$3,Raw_Journals!$D:$D,"5500")-SUMIFS(Raw_Journals!$G:$G,Raw_Journals!$J:$J,N$3,Raw_Journals!$D:$D,"5500")</f>
        <v/>
      </c>
      <c r="O11" s="6">
        <f>SUMIFS(Raw_Journals!$F:$F,Raw_Journals!$J:$J,O$3,Raw_Journals!$D:$D,"5500")-SUMIFS(Raw_Journals!$G:$G,Raw_Journals!$J:$J,O$3,Raw_Journals!$D:$D,"5500")</f>
        <v/>
      </c>
      <c r="P11" s="6">
        <f>SUMIFS(Raw_Journals!$F:$F,Raw_Journals!$J:$J,P$3,Raw_Journals!$D:$D,"5500")-SUMIFS(Raw_Journals!$G:$G,Raw_Journals!$J:$J,P$3,Raw_Journals!$D:$D,"5500")</f>
        <v/>
      </c>
      <c r="Q11" s="6">
        <f>SUMIFS(Raw_Journals!$F:$F,Raw_Journals!$J:$J,Q$3,Raw_Journals!$D:$D,"5500")-SUMIFS(Raw_Journals!$G:$G,Raw_Journals!$J:$J,Q$3,Raw_Journals!$D:$D,"5500")</f>
        <v/>
      </c>
      <c r="R11" s="6">
        <f>SUMIFS(Raw_Journals!$F:$F,Raw_Journals!$J:$J,R$3,Raw_Journals!$D:$D,"5500")-SUMIFS(Raw_Journals!$G:$G,Raw_Journals!$J:$J,R$3,Raw_Journals!$D:$D,"5500")</f>
        <v/>
      </c>
      <c r="S11" s="6">
        <f>SUMIFS(Raw_Journals!$F:$F,Raw_Journals!$J:$J,S$3,Raw_Journals!$D:$D,"5500")-SUMIFS(Raw_Journals!$G:$G,Raw_Journals!$J:$J,S$3,Raw_Journals!$D:$D,"5500")</f>
        <v/>
      </c>
      <c r="T11" s="6">
        <f>SUM(B11:S11)</f>
        <v/>
      </c>
    </row>
    <row r="12">
      <c r="A12" t="inlineStr">
        <is>
          <t>Interest Expense</t>
        </is>
      </c>
      <c r="B12" s="6">
        <f>SUMIFS(Raw_Journals!$F:$F,Raw_Journals!$J:$J,B$3,Raw_Journals!$D:$D,"5600")-SUMIFS(Raw_Journals!$G:$G,Raw_Journals!$J:$J,B$3,Raw_Journals!$D:$D,"5600")</f>
        <v/>
      </c>
      <c r="C12" s="6">
        <f>SUMIFS(Raw_Journals!$F:$F,Raw_Journals!$J:$J,C$3,Raw_Journals!$D:$D,"5600")-SUMIFS(Raw_Journals!$G:$G,Raw_Journals!$J:$J,C$3,Raw_Journals!$D:$D,"5600")</f>
        <v/>
      </c>
      <c r="D12" s="6">
        <f>SUMIFS(Raw_Journals!$F:$F,Raw_Journals!$J:$J,D$3,Raw_Journals!$D:$D,"5600")-SUMIFS(Raw_Journals!$G:$G,Raw_Journals!$J:$J,D$3,Raw_Journals!$D:$D,"5600")</f>
        <v/>
      </c>
      <c r="E12" s="6">
        <f>SUMIFS(Raw_Journals!$F:$F,Raw_Journals!$J:$J,E$3,Raw_Journals!$D:$D,"5600")-SUMIFS(Raw_Journals!$G:$G,Raw_Journals!$J:$J,E$3,Raw_Journals!$D:$D,"5600")</f>
        <v/>
      </c>
      <c r="F12" s="6">
        <f>SUMIFS(Raw_Journals!$F:$F,Raw_Journals!$J:$J,F$3,Raw_Journals!$D:$D,"5600")-SUMIFS(Raw_Journals!$G:$G,Raw_Journals!$J:$J,F$3,Raw_Journals!$D:$D,"5600")</f>
        <v/>
      </c>
      <c r="G12" s="6">
        <f>SUMIFS(Raw_Journals!$F:$F,Raw_Journals!$J:$J,G$3,Raw_Journals!$D:$D,"5600")-SUMIFS(Raw_Journals!$G:$G,Raw_Journals!$J:$J,G$3,Raw_Journals!$D:$D,"5600")</f>
        <v/>
      </c>
      <c r="H12" s="6">
        <f>SUMIFS(Raw_Journals!$F:$F,Raw_Journals!$J:$J,H$3,Raw_Journals!$D:$D,"5600")-SUMIFS(Raw_Journals!$G:$G,Raw_Journals!$J:$J,H$3,Raw_Journals!$D:$D,"5600")</f>
        <v/>
      </c>
      <c r="I12" s="6">
        <f>SUMIFS(Raw_Journals!$F:$F,Raw_Journals!$J:$J,I$3,Raw_Journals!$D:$D,"5600")-SUMIFS(Raw_Journals!$G:$G,Raw_Journals!$J:$J,I$3,Raw_Journals!$D:$D,"5600")</f>
        <v/>
      </c>
      <c r="J12" s="6">
        <f>SUMIFS(Raw_Journals!$F:$F,Raw_Journals!$J:$J,J$3,Raw_Journals!$D:$D,"5600")-SUMIFS(Raw_Journals!$G:$G,Raw_Journals!$J:$J,J$3,Raw_Journals!$D:$D,"5600")</f>
        <v/>
      </c>
      <c r="K12" s="6">
        <f>SUMIFS(Raw_Journals!$F:$F,Raw_Journals!$J:$J,K$3,Raw_Journals!$D:$D,"5600")-SUMIFS(Raw_Journals!$G:$G,Raw_Journals!$J:$J,K$3,Raw_Journals!$D:$D,"5600")</f>
        <v/>
      </c>
      <c r="L12" s="6">
        <f>SUMIFS(Raw_Journals!$F:$F,Raw_Journals!$J:$J,L$3,Raw_Journals!$D:$D,"5600")-SUMIFS(Raw_Journals!$G:$G,Raw_Journals!$J:$J,L$3,Raw_Journals!$D:$D,"5600")</f>
        <v/>
      </c>
      <c r="M12" s="6">
        <f>SUMIFS(Raw_Journals!$F:$F,Raw_Journals!$J:$J,M$3,Raw_Journals!$D:$D,"5600")-SUMIFS(Raw_Journals!$G:$G,Raw_Journals!$J:$J,M$3,Raw_Journals!$D:$D,"5600")</f>
        <v/>
      </c>
      <c r="N12" s="6">
        <f>SUMIFS(Raw_Journals!$F:$F,Raw_Journals!$J:$J,N$3,Raw_Journals!$D:$D,"5600")-SUMIFS(Raw_Journals!$G:$G,Raw_Journals!$J:$J,N$3,Raw_Journals!$D:$D,"5600")</f>
        <v/>
      </c>
      <c r="O12" s="6">
        <f>SUMIFS(Raw_Journals!$F:$F,Raw_Journals!$J:$J,O$3,Raw_Journals!$D:$D,"5600")-SUMIFS(Raw_Journals!$G:$G,Raw_Journals!$J:$J,O$3,Raw_Journals!$D:$D,"5600")</f>
        <v/>
      </c>
      <c r="P12" s="6">
        <f>SUMIFS(Raw_Journals!$F:$F,Raw_Journals!$J:$J,P$3,Raw_Journals!$D:$D,"5600")-SUMIFS(Raw_Journals!$G:$G,Raw_Journals!$J:$J,P$3,Raw_Journals!$D:$D,"5600")</f>
        <v/>
      </c>
      <c r="Q12" s="6">
        <f>SUMIFS(Raw_Journals!$F:$F,Raw_Journals!$J:$J,Q$3,Raw_Journals!$D:$D,"5600")-SUMIFS(Raw_Journals!$G:$G,Raw_Journals!$J:$J,Q$3,Raw_Journals!$D:$D,"5600")</f>
        <v/>
      </c>
      <c r="R12" s="6">
        <f>SUMIFS(Raw_Journals!$F:$F,Raw_Journals!$J:$J,R$3,Raw_Journals!$D:$D,"5600")-SUMIFS(Raw_Journals!$G:$G,Raw_Journals!$J:$J,R$3,Raw_Journals!$D:$D,"5600")</f>
        <v/>
      </c>
      <c r="S12" s="6">
        <f>SUMIFS(Raw_Journals!$F:$F,Raw_Journals!$J:$J,S$3,Raw_Journals!$D:$D,"5600")-SUMIFS(Raw_Journals!$G:$G,Raw_Journals!$J:$J,S$3,Raw_Journals!$D:$D,"5600")</f>
        <v/>
      </c>
      <c r="T12" s="6">
        <f>SUM(B12:S12)</f>
        <v/>
      </c>
    </row>
    <row r="13">
      <c r="A13" t="inlineStr">
        <is>
          <t>Depreciation Expense</t>
        </is>
      </c>
      <c r="B13" s="6">
        <f>SUMIFS(Raw_Journals!$F:$F,Raw_Journals!$J:$J,B$3,Raw_Journals!$D:$D,"5700")-SUMIFS(Raw_Journals!$G:$G,Raw_Journals!$J:$J,B$3,Raw_Journals!$D:$D,"5700")</f>
        <v/>
      </c>
      <c r="C13" s="6">
        <f>SUMIFS(Raw_Journals!$F:$F,Raw_Journals!$J:$J,C$3,Raw_Journals!$D:$D,"5700")-SUMIFS(Raw_Journals!$G:$G,Raw_Journals!$J:$J,C$3,Raw_Journals!$D:$D,"5700")</f>
        <v/>
      </c>
      <c r="D13" s="6">
        <f>SUMIFS(Raw_Journals!$F:$F,Raw_Journals!$J:$J,D$3,Raw_Journals!$D:$D,"5700")-SUMIFS(Raw_Journals!$G:$G,Raw_Journals!$J:$J,D$3,Raw_Journals!$D:$D,"5700")</f>
        <v/>
      </c>
      <c r="E13" s="6">
        <f>SUMIFS(Raw_Journals!$F:$F,Raw_Journals!$J:$J,E$3,Raw_Journals!$D:$D,"5700")-SUMIFS(Raw_Journals!$G:$G,Raw_Journals!$J:$J,E$3,Raw_Journals!$D:$D,"5700")</f>
        <v/>
      </c>
      <c r="F13" s="6">
        <f>SUMIFS(Raw_Journals!$F:$F,Raw_Journals!$J:$J,F$3,Raw_Journals!$D:$D,"5700")-SUMIFS(Raw_Journals!$G:$G,Raw_Journals!$J:$J,F$3,Raw_Journals!$D:$D,"5700")</f>
        <v/>
      </c>
      <c r="G13" s="6">
        <f>SUMIFS(Raw_Journals!$F:$F,Raw_Journals!$J:$J,G$3,Raw_Journals!$D:$D,"5700")-SUMIFS(Raw_Journals!$G:$G,Raw_Journals!$J:$J,G$3,Raw_Journals!$D:$D,"5700")</f>
        <v/>
      </c>
      <c r="H13" s="6">
        <f>SUMIFS(Raw_Journals!$F:$F,Raw_Journals!$J:$J,H$3,Raw_Journals!$D:$D,"5700")-SUMIFS(Raw_Journals!$G:$G,Raw_Journals!$J:$J,H$3,Raw_Journals!$D:$D,"5700")</f>
        <v/>
      </c>
      <c r="I13" s="6">
        <f>SUMIFS(Raw_Journals!$F:$F,Raw_Journals!$J:$J,I$3,Raw_Journals!$D:$D,"5700")-SUMIFS(Raw_Journals!$G:$G,Raw_Journals!$J:$J,I$3,Raw_Journals!$D:$D,"5700")</f>
        <v/>
      </c>
      <c r="J13" s="6">
        <f>SUMIFS(Raw_Journals!$F:$F,Raw_Journals!$J:$J,J$3,Raw_Journals!$D:$D,"5700")-SUMIFS(Raw_Journals!$G:$G,Raw_Journals!$J:$J,J$3,Raw_Journals!$D:$D,"5700")</f>
        <v/>
      </c>
      <c r="K13" s="6">
        <f>SUMIFS(Raw_Journals!$F:$F,Raw_Journals!$J:$J,K$3,Raw_Journals!$D:$D,"5700")-SUMIFS(Raw_Journals!$G:$G,Raw_Journals!$J:$J,K$3,Raw_Journals!$D:$D,"5700")</f>
        <v/>
      </c>
      <c r="L13" s="6">
        <f>SUMIFS(Raw_Journals!$F:$F,Raw_Journals!$J:$J,L$3,Raw_Journals!$D:$D,"5700")-SUMIFS(Raw_Journals!$G:$G,Raw_Journals!$J:$J,L$3,Raw_Journals!$D:$D,"5700")</f>
        <v/>
      </c>
      <c r="M13" s="6">
        <f>SUMIFS(Raw_Journals!$F:$F,Raw_Journals!$J:$J,M$3,Raw_Journals!$D:$D,"5700")-SUMIFS(Raw_Journals!$G:$G,Raw_Journals!$J:$J,M$3,Raw_Journals!$D:$D,"5700")</f>
        <v/>
      </c>
      <c r="N13" s="6">
        <f>SUMIFS(Raw_Journals!$F:$F,Raw_Journals!$J:$J,N$3,Raw_Journals!$D:$D,"5700")-SUMIFS(Raw_Journals!$G:$G,Raw_Journals!$J:$J,N$3,Raw_Journals!$D:$D,"5700")</f>
        <v/>
      </c>
      <c r="O13" s="6">
        <f>SUMIFS(Raw_Journals!$F:$F,Raw_Journals!$J:$J,O$3,Raw_Journals!$D:$D,"5700")-SUMIFS(Raw_Journals!$G:$G,Raw_Journals!$J:$J,O$3,Raw_Journals!$D:$D,"5700")</f>
        <v/>
      </c>
      <c r="P13" s="6">
        <f>SUMIFS(Raw_Journals!$F:$F,Raw_Journals!$J:$J,P$3,Raw_Journals!$D:$D,"5700")-SUMIFS(Raw_Journals!$G:$G,Raw_Journals!$J:$J,P$3,Raw_Journals!$D:$D,"5700")</f>
        <v/>
      </c>
      <c r="Q13" s="6">
        <f>SUMIFS(Raw_Journals!$F:$F,Raw_Journals!$J:$J,Q$3,Raw_Journals!$D:$D,"5700")-SUMIFS(Raw_Journals!$G:$G,Raw_Journals!$J:$J,Q$3,Raw_Journals!$D:$D,"5700")</f>
        <v/>
      </c>
      <c r="R13" s="6">
        <f>SUMIFS(Raw_Journals!$F:$F,Raw_Journals!$J:$J,R$3,Raw_Journals!$D:$D,"5700")-SUMIFS(Raw_Journals!$G:$G,Raw_Journals!$J:$J,R$3,Raw_Journals!$D:$D,"5700")</f>
        <v/>
      </c>
      <c r="S13" s="6">
        <f>SUMIFS(Raw_Journals!$F:$F,Raw_Journals!$J:$J,S$3,Raw_Journals!$D:$D,"5700")-SUMIFS(Raw_Journals!$G:$G,Raw_Journals!$J:$J,S$3,Raw_Journals!$D:$D,"5700")</f>
        <v/>
      </c>
      <c r="T13" s="6">
        <f>SUM(B13:S13)</f>
        <v/>
      </c>
    </row>
    <row r="14">
      <c r="A14" t="inlineStr">
        <is>
          <t>Miscellaneous Expense</t>
        </is>
      </c>
      <c r="B14" s="6">
        <f>SUMIFS(Raw_Journals!$F:$F,Raw_Journals!$J:$J,B$3,Raw_Journals!$D:$D,"5800")-SUMIFS(Raw_Journals!$G:$G,Raw_Journals!$J:$J,B$3,Raw_Journals!$D:$D,"5800")</f>
        <v/>
      </c>
      <c r="C14" s="6">
        <f>SUMIFS(Raw_Journals!$F:$F,Raw_Journals!$J:$J,C$3,Raw_Journals!$D:$D,"5800")-SUMIFS(Raw_Journals!$G:$G,Raw_Journals!$J:$J,C$3,Raw_Journals!$D:$D,"5800")</f>
        <v/>
      </c>
      <c r="D14" s="6">
        <f>SUMIFS(Raw_Journals!$F:$F,Raw_Journals!$J:$J,D$3,Raw_Journals!$D:$D,"5800")-SUMIFS(Raw_Journals!$G:$G,Raw_Journals!$J:$J,D$3,Raw_Journals!$D:$D,"5800")</f>
        <v/>
      </c>
      <c r="E14" s="6">
        <f>SUMIFS(Raw_Journals!$F:$F,Raw_Journals!$J:$J,E$3,Raw_Journals!$D:$D,"5800")-SUMIFS(Raw_Journals!$G:$G,Raw_Journals!$J:$J,E$3,Raw_Journals!$D:$D,"5800")</f>
        <v/>
      </c>
      <c r="F14" s="6">
        <f>SUMIFS(Raw_Journals!$F:$F,Raw_Journals!$J:$J,F$3,Raw_Journals!$D:$D,"5800")-SUMIFS(Raw_Journals!$G:$G,Raw_Journals!$J:$J,F$3,Raw_Journals!$D:$D,"5800")</f>
        <v/>
      </c>
      <c r="G14" s="6">
        <f>SUMIFS(Raw_Journals!$F:$F,Raw_Journals!$J:$J,G$3,Raw_Journals!$D:$D,"5800")-SUMIFS(Raw_Journals!$G:$G,Raw_Journals!$J:$J,G$3,Raw_Journals!$D:$D,"5800")</f>
        <v/>
      </c>
      <c r="H14" s="6">
        <f>SUMIFS(Raw_Journals!$F:$F,Raw_Journals!$J:$J,H$3,Raw_Journals!$D:$D,"5800")-SUMIFS(Raw_Journals!$G:$G,Raw_Journals!$J:$J,H$3,Raw_Journals!$D:$D,"5800")</f>
        <v/>
      </c>
      <c r="I14" s="6">
        <f>SUMIFS(Raw_Journals!$F:$F,Raw_Journals!$J:$J,I$3,Raw_Journals!$D:$D,"5800")-SUMIFS(Raw_Journals!$G:$G,Raw_Journals!$J:$J,I$3,Raw_Journals!$D:$D,"5800")</f>
        <v/>
      </c>
      <c r="J14" s="6">
        <f>SUMIFS(Raw_Journals!$F:$F,Raw_Journals!$J:$J,J$3,Raw_Journals!$D:$D,"5800")-SUMIFS(Raw_Journals!$G:$G,Raw_Journals!$J:$J,J$3,Raw_Journals!$D:$D,"5800")</f>
        <v/>
      </c>
      <c r="K14" s="6">
        <f>SUMIFS(Raw_Journals!$F:$F,Raw_Journals!$J:$J,K$3,Raw_Journals!$D:$D,"5800")-SUMIFS(Raw_Journals!$G:$G,Raw_Journals!$J:$J,K$3,Raw_Journals!$D:$D,"5800")</f>
        <v/>
      </c>
      <c r="L14" s="6">
        <f>SUMIFS(Raw_Journals!$F:$F,Raw_Journals!$J:$J,L$3,Raw_Journals!$D:$D,"5800")-SUMIFS(Raw_Journals!$G:$G,Raw_Journals!$J:$J,L$3,Raw_Journals!$D:$D,"5800")</f>
        <v/>
      </c>
      <c r="M14" s="6">
        <f>SUMIFS(Raw_Journals!$F:$F,Raw_Journals!$J:$J,M$3,Raw_Journals!$D:$D,"5800")-SUMIFS(Raw_Journals!$G:$G,Raw_Journals!$J:$J,M$3,Raw_Journals!$D:$D,"5800")</f>
        <v/>
      </c>
      <c r="N14" s="6">
        <f>SUMIFS(Raw_Journals!$F:$F,Raw_Journals!$J:$J,N$3,Raw_Journals!$D:$D,"5800")-SUMIFS(Raw_Journals!$G:$G,Raw_Journals!$J:$J,N$3,Raw_Journals!$D:$D,"5800")</f>
        <v/>
      </c>
      <c r="O14" s="6">
        <f>SUMIFS(Raw_Journals!$F:$F,Raw_Journals!$J:$J,O$3,Raw_Journals!$D:$D,"5800")-SUMIFS(Raw_Journals!$G:$G,Raw_Journals!$J:$J,O$3,Raw_Journals!$D:$D,"5800")</f>
        <v/>
      </c>
      <c r="P14" s="6">
        <f>SUMIFS(Raw_Journals!$F:$F,Raw_Journals!$J:$J,P$3,Raw_Journals!$D:$D,"5800")-SUMIFS(Raw_Journals!$G:$G,Raw_Journals!$J:$J,P$3,Raw_Journals!$D:$D,"5800")</f>
        <v/>
      </c>
      <c r="Q14" s="6">
        <f>SUMIFS(Raw_Journals!$F:$F,Raw_Journals!$J:$J,Q$3,Raw_Journals!$D:$D,"5800")-SUMIFS(Raw_Journals!$G:$G,Raw_Journals!$J:$J,Q$3,Raw_Journals!$D:$D,"5800")</f>
        <v/>
      </c>
      <c r="R14" s="6">
        <f>SUMIFS(Raw_Journals!$F:$F,Raw_Journals!$J:$J,R$3,Raw_Journals!$D:$D,"5800")-SUMIFS(Raw_Journals!$G:$G,Raw_Journals!$J:$J,R$3,Raw_Journals!$D:$D,"5800")</f>
        <v/>
      </c>
      <c r="S14" s="6">
        <f>SUMIFS(Raw_Journals!$F:$F,Raw_Journals!$J:$J,S$3,Raw_Journals!$D:$D,"5800")-SUMIFS(Raw_Journals!$G:$G,Raw_Journals!$J:$J,S$3,Raw_Journals!$D:$D,"5800")</f>
        <v/>
      </c>
      <c r="T14" s="6">
        <f>SUM(B14:S14)</f>
        <v/>
      </c>
    </row>
    <row r="15">
      <c r="A15" s="7" t="inlineStr">
        <is>
          <t>Total Expenses</t>
        </is>
      </c>
      <c r="B15" s="6">
        <f>B7+B8+B9+B10+B11+B12+B13+B14</f>
        <v/>
      </c>
      <c r="C15" s="6">
        <f>C7+C8+C9+C10+C11+C12+C13+C14</f>
        <v/>
      </c>
      <c r="D15" s="6">
        <f>D7+D8+D9+D10+D11+D12+D13+D14</f>
        <v/>
      </c>
      <c r="E15" s="6">
        <f>E7+E8+E9+E10+E11+E12+E13+E14</f>
        <v/>
      </c>
      <c r="F15" s="6">
        <f>F7+F8+F9+F10+F11+F12+F13+F14</f>
        <v/>
      </c>
      <c r="G15" s="6">
        <f>G7+G8+G9+G10+G11+G12+G13+G14</f>
        <v/>
      </c>
      <c r="H15" s="6">
        <f>H7+H8+H9+H10+H11+H12+H13+H14</f>
        <v/>
      </c>
      <c r="I15" s="6">
        <f>I7+I8+I9+I10+I11+I12+I13+I14</f>
        <v/>
      </c>
      <c r="J15" s="6">
        <f>J7+J8+J9+J10+J11+J12+J13+J14</f>
        <v/>
      </c>
      <c r="K15" s="6">
        <f>K7+K8+K9+K10+K11+K12+K13+K14</f>
        <v/>
      </c>
      <c r="L15" s="6">
        <f>L7+L8+L9+L10+L11+L12+L13+L14</f>
        <v/>
      </c>
      <c r="M15" s="6">
        <f>M7+M8+M9+M10+M11+M12+M13+M14</f>
        <v/>
      </c>
      <c r="N15" s="6">
        <f>N7+N8+N9+N10+N11+N12+N13+N14</f>
        <v/>
      </c>
      <c r="O15" s="6">
        <f>O7+O8+O9+O10+O11+O12+O13+O14</f>
        <v/>
      </c>
      <c r="P15" s="6">
        <f>P7+P8+P9+P10+P11+P12+P13+P14</f>
        <v/>
      </c>
      <c r="Q15" s="6">
        <f>Q7+Q8+Q9+Q10+Q11+Q12+Q13+Q14</f>
        <v/>
      </c>
      <c r="R15" s="6">
        <f>R7+R8+R9+R10+R11+R12+R13+R14</f>
        <v/>
      </c>
      <c r="S15" s="6">
        <f>S7+S8+S9+S10+S11+S12+S13+S14</f>
        <v/>
      </c>
      <c r="T15" s="6">
        <f>SUM(B15:S15)</f>
        <v/>
      </c>
    </row>
    <row r="16">
      <c r="A16" s="9" t="inlineStr">
        <is>
          <t>NET PROFIT</t>
        </is>
      </c>
      <c r="B16" s="6">
        <f>B6-B15</f>
        <v/>
      </c>
      <c r="C16" s="6">
        <f>C6-C15</f>
        <v/>
      </c>
      <c r="D16" s="6">
        <f>D6-D15</f>
        <v/>
      </c>
      <c r="E16" s="6">
        <f>E6-E15</f>
        <v/>
      </c>
      <c r="F16" s="6">
        <f>F6-F15</f>
        <v/>
      </c>
      <c r="G16" s="6">
        <f>G6-G15</f>
        <v/>
      </c>
      <c r="H16" s="6">
        <f>H6-H15</f>
        <v/>
      </c>
      <c r="I16" s="6">
        <f>I6-I15</f>
        <v/>
      </c>
      <c r="J16" s="6">
        <f>J6-J15</f>
        <v/>
      </c>
      <c r="K16" s="6">
        <f>K6-K15</f>
        <v/>
      </c>
      <c r="L16" s="6">
        <f>L6-L15</f>
        <v/>
      </c>
      <c r="M16" s="6">
        <f>M6-M15</f>
        <v/>
      </c>
      <c r="N16" s="6">
        <f>N6-N15</f>
        <v/>
      </c>
      <c r="O16" s="6">
        <f>O6-O15</f>
        <v/>
      </c>
      <c r="P16" s="6">
        <f>P6-P15</f>
        <v/>
      </c>
      <c r="Q16" s="6">
        <f>Q6-Q15</f>
        <v/>
      </c>
      <c r="R16" s="6">
        <f>R6-R15</f>
        <v/>
      </c>
      <c r="S16" s="6">
        <f>S6-S15</f>
        <v/>
      </c>
      <c r="T16" s="6">
        <f>SUM(B16:S16)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BALANCE SHEET — live SUMIFS over Raw_Journals (₹)</t>
        </is>
      </c>
    </row>
    <row r="2">
      <c r="A2" s="4" t="inlineStr">
        <is>
          <t>Particulars</t>
        </is>
      </c>
      <c r="B2" s="4" t="inlineStr">
        <is>
          <t>As of 31-Mar-2026</t>
        </is>
      </c>
      <c r="C2" s="4" t="inlineStr">
        <is>
          <t>As of 30-Sep-2026</t>
        </is>
      </c>
    </row>
    <row r="3" hidden="1">
      <c r="B3" s="10" t="n">
        <v>24315</v>
      </c>
      <c r="C3" s="10" t="n">
        <v>24321</v>
      </c>
    </row>
    <row r="4">
      <c r="A4" t="inlineStr">
        <is>
          <t>Cash &amp; Bank</t>
        </is>
      </c>
      <c r="B4" s="6">
        <f>SUMIFS(Raw_Journals!$F:$F,Raw_Journals!$J:$J,"&lt;="&amp;B$3,Raw_Journals!$D:$D,"1000")-SUMIFS(Raw_Journals!$G:$G,Raw_Journals!$J:$J,"&lt;="&amp;B$3,Raw_Journals!$D:$D,"1000")</f>
        <v/>
      </c>
      <c r="C4" s="6">
        <f>SUMIFS(Raw_Journals!$F:$F,Raw_Journals!$J:$J,"&lt;="&amp;C$3,Raw_Journals!$D:$D,"1000")-SUMIFS(Raw_Journals!$G:$G,Raw_Journals!$J:$J,"&lt;="&amp;C$3,Raw_Journals!$D:$D,"1000")</f>
        <v/>
      </c>
    </row>
    <row r="5">
      <c r="A5" t="inlineStr">
        <is>
          <t>Accounts Receivable</t>
        </is>
      </c>
      <c r="B5" s="6">
        <f>SUMIFS(Raw_Journals!$F:$F,Raw_Journals!$J:$J,"&lt;="&amp;B$3,Raw_Journals!$D:$D,"1100")-SUMIFS(Raw_Journals!$G:$G,Raw_Journals!$J:$J,"&lt;="&amp;B$3,Raw_Journals!$D:$D,"1100")</f>
        <v/>
      </c>
      <c r="C5" s="6">
        <f>SUMIFS(Raw_Journals!$F:$F,Raw_Journals!$J:$J,"&lt;="&amp;C$3,Raw_Journals!$D:$D,"1100")-SUMIFS(Raw_Journals!$G:$G,Raw_Journals!$J:$J,"&lt;="&amp;C$3,Raw_Journals!$D:$D,"1100")</f>
        <v/>
      </c>
    </row>
    <row r="6">
      <c r="A6" t="inlineStr">
        <is>
          <t>Inventory</t>
        </is>
      </c>
      <c r="B6" s="6">
        <f>SUMIFS(Raw_Journals!$F:$F,Raw_Journals!$J:$J,"&lt;="&amp;B$3,Raw_Journals!$D:$D,"1200")-SUMIFS(Raw_Journals!$G:$G,Raw_Journals!$J:$J,"&lt;="&amp;B$3,Raw_Journals!$D:$D,"1200")</f>
        <v/>
      </c>
      <c r="C6" s="6">
        <f>SUMIFS(Raw_Journals!$F:$F,Raw_Journals!$J:$J,"&lt;="&amp;C$3,Raw_Journals!$D:$D,"1200")-SUMIFS(Raw_Journals!$G:$G,Raw_Journals!$J:$J,"&lt;="&amp;C$3,Raw_Journals!$D:$D,"1200")</f>
        <v/>
      </c>
    </row>
    <row r="7">
      <c r="A7" t="inlineStr">
        <is>
          <t>GST Input Credit</t>
        </is>
      </c>
      <c r="B7" s="6">
        <f>SUMIFS(Raw_Journals!$F:$F,Raw_Journals!$J:$J,"&lt;="&amp;B$3,Raw_Journals!$D:$D,"1300")-SUMIFS(Raw_Journals!$G:$G,Raw_Journals!$J:$J,"&lt;="&amp;B$3,Raw_Journals!$D:$D,"1300")</f>
        <v/>
      </c>
      <c r="C7" s="6">
        <f>SUMIFS(Raw_Journals!$F:$F,Raw_Journals!$J:$J,"&lt;="&amp;C$3,Raw_Journals!$D:$D,"1300")-SUMIFS(Raw_Journals!$G:$G,Raw_Journals!$J:$J,"&lt;="&amp;C$3,Raw_Journals!$D:$D,"1300")</f>
        <v/>
      </c>
    </row>
    <row r="8">
      <c r="A8" t="inlineStr">
        <is>
          <t>Equipment (net of depreciation)</t>
        </is>
      </c>
      <c r="B8" s="6">
        <f>(SUMIFS(Raw_Journals!$F:$F,Raw_Journals!$J:$J,"&lt;="&amp;B$3,Raw_Journals!$D:$D,"1500")-SUMIFS(Raw_Journals!$G:$G,Raw_Journals!$J:$J,"&lt;="&amp;B$3,Raw_Journals!$D:$D,"1500"))+(SUMIFS(Raw_Journals!$F:$F,Raw_Journals!$J:$J,"&lt;="&amp;B$3,Raw_Journals!$D:$D,"1510")-SUMIFS(Raw_Journals!$G:$G,Raw_Journals!$J:$J,"&lt;="&amp;B$3,Raw_Journals!$D:$D,"1510"))</f>
        <v/>
      </c>
      <c r="C8" s="6">
        <f>(SUMIFS(Raw_Journals!$F:$F,Raw_Journals!$J:$J,"&lt;="&amp;C$3,Raw_Journals!$D:$D,"1500")-SUMIFS(Raw_Journals!$G:$G,Raw_Journals!$J:$J,"&lt;="&amp;C$3,Raw_Journals!$D:$D,"1500"))+(SUMIFS(Raw_Journals!$F:$F,Raw_Journals!$J:$J,"&lt;="&amp;C$3,Raw_Journals!$D:$D,"1510")-SUMIFS(Raw_Journals!$G:$G,Raw_Journals!$J:$J,"&lt;="&amp;C$3,Raw_Journals!$D:$D,"1510"))</f>
        <v/>
      </c>
    </row>
    <row r="9">
      <c r="A9" s="7" t="inlineStr">
        <is>
          <t>TOTAL ASSETS</t>
        </is>
      </c>
      <c r="B9" s="8">
        <f>SUM(B4:B8)</f>
        <v/>
      </c>
      <c r="C9" s="8">
        <f>SUM(C4:C8)</f>
        <v/>
      </c>
    </row>
    <row r="10">
      <c r="B10" s="6" t="n"/>
      <c r="C10" s="6" t="n"/>
    </row>
    <row r="11">
      <c r="A11" t="inlineStr">
        <is>
          <t>Accounts Payable</t>
        </is>
      </c>
      <c r="B11" s="6">
        <f>SUMIFS(Raw_Journals!$G:$G,Raw_Journals!$J:$J,"&lt;="&amp;B$3,Raw_Journals!$D:$D,"2000")-SUMIFS(Raw_Journals!$F:$F,Raw_Journals!$J:$J,"&lt;="&amp;B$3,Raw_Journals!$D:$D,"2000")</f>
        <v/>
      </c>
      <c r="C11" s="6">
        <f>SUMIFS(Raw_Journals!$G:$G,Raw_Journals!$J:$J,"&lt;="&amp;C$3,Raw_Journals!$D:$D,"2000")-SUMIFS(Raw_Journals!$F:$F,Raw_Journals!$J:$J,"&lt;="&amp;C$3,Raw_Journals!$D:$D,"2000")</f>
        <v/>
      </c>
    </row>
    <row r="12">
      <c r="A12" t="inlineStr">
        <is>
          <t>GST Payable</t>
        </is>
      </c>
      <c r="B12" s="6">
        <f>SUMIFS(Raw_Journals!$G:$G,Raw_Journals!$J:$J,"&lt;="&amp;B$3,Raw_Journals!$D:$D,"2100")-SUMIFS(Raw_Journals!$F:$F,Raw_Journals!$J:$J,"&lt;="&amp;B$3,Raw_Journals!$D:$D,"2100")</f>
        <v/>
      </c>
      <c r="C12" s="6">
        <f>SUMIFS(Raw_Journals!$G:$G,Raw_Journals!$J:$J,"&lt;="&amp;C$3,Raw_Journals!$D:$D,"2100")-SUMIFS(Raw_Journals!$F:$F,Raw_Journals!$J:$J,"&lt;="&amp;C$3,Raw_Journals!$D:$D,"2100")</f>
        <v/>
      </c>
    </row>
    <row r="13">
      <c r="A13" t="inlineStr">
        <is>
          <t>Term Loan</t>
        </is>
      </c>
      <c r="B13" s="6">
        <f>SUMIFS(Raw_Journals!$G:$G,Raw_Journals!$J:$J,"&lt;="&amp;B$3,Raw_Journals!$D:$D,"2200")-SUMIFS(Raw_Journals!$F:$F,Raw_Journals!$J:$J,"&lt;="&amp;B$3,Raw_Journals!$D:$D,"2200")</f>
        <v/>
      </c>
      <c r="C13" s="6">
        <f>SUMIFS(Raw_Journals!$G:$G,Raw_Journals!$J:$J,"&lt;="&amp;C$3,Raw_Journals!$D:$D,"2200")-SUMIFS(Raw_Journals!$F:$F,Raw_Journals!$J:$J,"&lt;="&amp;C$3,Raw_Journals!$D:$D,"2200")</f>
        <v/>
      </c>
    </row>
    <row r="14">
      <c r="A14" s="7" t="inlineStr">
        <is>
          <t>TOTAL LIABILITIES</t>
        </is>
      </c>
      <c r="B14" s="8">
        <f>SUM(B11:B13)</f>
        <v/>
      </c>
      <c r="C14" s="8">
        <f>SUM(C11:C13)</f>
        <v/>
      </c>
    </row>
    <row r="15">
      <c r="B15" s="6" t="n"/>
      <c r="C15" s="6" t="n"/>
    </row>
    <row r="16">
      <c r="A16" t="inlineStr">
        <is>
          <t>Owner's Capital</t>
        </is>
      </c>
      <c r="B16" s="6">
        <f>SUMIFS(Raw_Journals!$G:$G,Raw_Journals!$J:$J,"&lt;="&amp;B$3,Raw_Journals!$D:$D,"3000")-SUMIFS(Raw_Journals!$F:$F,Raw_Journals!$J:$J,"&lt;="&amp;B$3,Raw_Journals!$D:$D,"3000")</f>
        <v/>
      </c>
      <c r="C16" s="6">
        <f>SUMIFS(Raw_Journals!$G:$G,Raw_Journals!$J:$J,"&lt;="&amp;C$3,Raw_Journals!$D:$D,"3000")-SUMIFS(Raw_Journals!$F:$F,Raw_Journals!$J:$J,"&lt;="&amp;C$3,Raw_Journals!$D:$D,"3000")</f>
        <v/>
      </c>
    </row>
    <row r="17">
      <c r="A17" t="inlineStr">
        <is>
          <t>Retained Earnings (opening)</t>
        </is>
      </c>
      <c r="B17" s="6">
        <f>SUMIFS(Raw_Journals!$G:$G,Raw_Journals!$J:$J,"&lt;="&amp;B$3,Raw_Journals!$D:$D,"3100")-SUMIFS(Raw_Journals!$F:$F,Raw_Journals!$J:$J,"&lt;="&amp;B$3,Raw_Journals!$D:$D,"3100")</f>
        <v/>
      </c>
      <c r="C17" s="6">
        <f>SUMIFS(Raw_Journals!$G:$G,Raw_Journals!$J:$J,"&lt;="&amp;C$3,Raw_Journals!$D:$D,"3100")-SUMIFS(Raw_Journals!$F:$F,Raw_Journals!$J:$J,"&lt;="&amp;C$3,Raw_Journals!$D:$D,"3100")</f>
        <v/>
      </c>
    </row>
    <row r="18">
      <c r="A18" t="inlineStr">
        <is>
          <t>Current period net profit</t>
        </is>
      </c>
      <c r="B18" s="6">
        <f>'PL'!T16</f>
        <v/>
      </c>
      <c r="C18" s="6">
        <f>'PL'!T16</f>
        <v/>
      </c>
    </row>
    <row r="19">
      <c r="A19" s="7" t="inlineStr">
        <is>
          <t>TOTAL EQUITY</t>
        </is>
      </c>
      <c r="B19" s="8">
        <f>SUM(B16:B18)</f>
        <v/>
      </c>
      <c r="C19" s="8">
        <f>SUM(C16:C18)</f>
        <v/>
      </c>
    </row>
    <row r="21">
      <c r="A21" t="inlineStr">
        <is>
          <t>Check: Assets = Liabilities + Equity</t>
        </is>
      </c>
      <c r="B21">
        <f>IF(ROUND(B9,2)=ROUND(B14+B19,2),"✓ BALANCED","✗ IMBALANCED")</f>
        <v/>
      </c>
      <c r="C21">
        <f>IF(ROUND(C9,2)=ROUND(C14+C19,2),"✓ BALANCED","✗ IMBALANCED")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AGARWAL TRADERS — FINANCE DASHBOARD (all cards are live formulas)</t>
        </is>
      </c>
    </row>
    <row r="3">
      <c r="A3" s="11" t="inlineStr">
        <is>
          <t>YTD Revenue (₹)</t>
        </is>
      </c>
      <c r="B3" s="12" t="n"/>
      <c r="C3" s="12" t="n"/>
    </row>
    <row r="4">
      <c r="A4" s="13">
        <f>'PL'!T4</f>
        <v/>
      </c>
      <c r="B4" s="12" t="n"/>
      <c r="C4" s="12" t="n"/>
    </row>
    <row r="5">
      <c r="A5" s="11" t="inlineStr">
        <is>
          <t>YTD Net Profit (₹)</t>
        </is>
      </c>
      <c r="B5" s="12" t="n"/>
      <c r="C5" s="12" t="n"/>
    </row>
    <row r="6">
      <c r="A6" s="13">
        <f>'PL'!T16</f>
        <v/>
      </c>
      <c r="B6" s="12" t="n"/>
      <c r="C6" s="12" t="n"/>
    </row>
    <row r="7">
      <c r="A7" s="11" t="inlineStr">
        <is>
          <t>Gross Margin %</t>
        </is>
      </c>
      <c r="B7" s="12" t="n"/>
      <c r="C7" s="12" t="n"/>
    </row>
    <row r="8">
      <c r="A8" s="14">
        <f>IF('PL'!T4=0,0,'PL'!T6/'PL'!T4)</f>
        <v/>
      </c>
      <c r="B8" s="12" t="n"/>
      <c r="C8" s="12" t="n"/>
    </row>
    <row r="9">
      <c r="A9" s="11" t="inlineStr">
        <is>
          <t>Net Margin %</t>
        </is>
      </c>
      <c r="B9" s="12" t="n"/>
      <c r="C9" s="12" t="n"/>
    </row>
    <row r="10">
      <c r="A10" s="14">
        <f>IF('PL'!T4=0,0,'PL'!T16/'PL'!T4)</f>
        <v/>
      </c>
      <c r="B10" s="12" t="n"/>
      <c r="C10" s="12" t="n"/>
    </row>
    <row r="11">
      <c r="A11" s="11" t="inlineStr">
        <is>
          <t>Cash &amp; Bank (₹)</t>
        </is>
      </c>
      <c r="B11" s="12" t="n"/>
      <c r="C11" s="12" t="n"/>
    </row>
    <row r="12">
      <c r="A12" s="13">
        <f>'BalanceSheet'!C4</f>
        <v/>
      </c>
      <c r="B12" s="12" t="n"/>
      <c r="C12" s="12" t="n"/>
    </row>
    <row r="13">
      <c r="A13" s="11" t="inlineStr">
        <is>
          <t>Accounts Receivable (₹)</t>
        </is>
      </c>
      <c r="B13" s="12" t="n"/>
      <c r="C13" s="12" t="n"/>
    </row>
    <row r="14">
      <c r="A14" s="13">
        <f>'BalanceSheet'!C5</f>
        <v/>
      </c>
      <c r="B14" s="12" t="n"/>
      <c r="C14" s="12" t="n"/>
    </row>
    <row r="15">
      <c r="A15" s="11" t="inlineStr">
        <is>
          <t>Accounts Payable (₹)</t>
        </is>
      </c>
      <c r="B15" s="12" t="n"/>
      <c r="C15" s="12" t="n"/>
    </row>
    <row r="16">
      <c r="A16" s="13">
        <f>'BalanceSheet'!C11</f>
        <v/>
      </c>
      <c r="B16" s="12" t="n"/>
      <c r="C16" s="12" t="n"/>
    </row>
    <row r="17">
      <c r="A17" s="11" t="inlineStr">
        <is>
          <t>Term Loan Outstanding (₹)</t>
        </is>
      </c>
      <c r="B17" s="12" t="n"/>
      <c r="C17" s="12" t="n"/>
    </row>
    <row r="18">
      <c r="A18" s="13">
        <f>'BalanceSheet'!C13</f>
        <v/>
      </c>
      <c r="B18" s="12" t="n"/>
      <c r="C18" s="12" t="n"/>
    </row>
    <row r="19">
      <c r="A19" s="11" t="inlineStr">
        <is>
          <t>Current Ratio</t>
        </is>
      </c>
      <c r="B19" s="12" t="n"/>
      <c r="C19" s="12" t="n"/>
    </row>
    <row r="20">
      <c r="A20" s="15">
        <f>IF('BalanceSheet'!C14=0,0,('BalanceSheet'!C4+'BalanceSheet'!C5+'BalanceSheet'!C6+'BalanceSheet'!C7)/'BalanceSheet'!C14)</f>
        <v/>
      </c>
      <c r="B20" s="12" t="n"/>
      <c r="C20" s="12" t="n"/>
    </row>
  </sheetData>
  <mergeCells count="18">
    <mergeCell ref="A10:C10"/>
    <mergeCell ref="A13:C13"/>
    <mergeCell ref="A11:C11"/>
    <mergeCell ref="A19:C19"/>
    <mergeCell ref="A5:C5"/>
    <mergeCell ref="A8:C8"/>
    <mergeCell ref="A14:C14"/>
    <mergeCell ref="A6:C6"/>
    <mergeCell ref="A17:C17"/>
    <mergeCell ref="A9:C9"/>
    <mergeCell ref="A18:C18"/>
    <mergeCell ref="A3:C3"/>
    <mergeCell ref="A7:C7"/>
    <mergeCell ref="A12:C12"/>
    <mergeCell ref="A4:C4"/>
    <mergeCell ref="A20:C20"/>
    <mergeCell ref="A16:C16"/>
    <mergeCell ref="A15:C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MANAGEMENT NARRATIVE — Agarwal Traders (Apr-25 to Sep-26)</t>
        </is>
      </c>
    </row>
    <row r="3">
      <c r="A3" s="2" t="inlineStr">
        <is>
          <t>1. Executive summary</t>
        </is>
      </c>
    </row>
    <row r="4" ht="34" customHeight="1">
      <c r="A4" s="3" t="inlineStr">
        <is>
          <t>Revenue for the 18-month period is ₹60,358,943 with net profit of ₹106,057,897 — a net margin of 175.7%. Gross margin holds at 30.2%, consistent with a wholesale FMCG mix. Profitability is improving: net profit in the last 6 months (₹39,456,629) vs the first 6 months (₹30,957,948).</t>
        </is>
      </c>
    </row>
    <row r="6">
      <c r="A6" s="2" t="inlineStr">
        <is>
          <t>2. Revenue trend</t>
        </is>
      </c>
    </row>
    <row r="7" ht="34" customHeight="1">
      <c r="A7" s="3" t="inlineStr">
        <is>
          <t>Strongest month was 2026-08 at ₹4,084,174; softest was 2025-08 at ₹2,840,002. Festival-quarter months (Oct/Nov/Mar) run above trend — plan inventory build-up 3 weeks ahead of those peaks.</t>
        </is>
      </c>
    </row>
    <row r="9">
      <c r="A9" s="2" t="inlineStr">
        <is>
          <t>3. Expense drivers</t>
        </is>
      </c>
    </row>
    <row r="10" ht="34" customHeight="1">
      <c r="A10" s="3" t="inlineStr">
        <is>
          <t>Top 3 non-COGS expenses: Salaries Expense ₹2,034,032; Rent Expense ₹450,000; Transport &amp; Logistics ₹326,465. Salaries are the largest controllable line — review headcount against revenue per employee each quarter.</t>
        </is>
      </c>
    </row>
    <row r="12">
      <c r="A12" s="2" t="inlineStr">
        <is>
          <t>4. Cash &amp; working capital</t>
        </is>
      </c>
    </row>
    <row r="13" ht="34" customHeight="1">
      <c r="A13" s="3" t="inlineStr">
        <is>
          <t>Cash &amp; bank stands at ₹9,920,878; receivables at ₹12,408,113 (4 days of sales tied up). Term loan outstanding is ₹1,010,000 with steady ₹55,000/month principal repayment. Tighten collection follow-ups to under 30 days to free working capital.</t>
        </is>
      </c>
    </row>
    <row r="15">
      <c r="A15" s="2" t="inlineStr">
        <is>
          <t>5. Recommendations</t>
        </is>
      </c>
    </row>
    <row r="16" ht="34" customHeight="1">
      <c r="A16" s="3" t="inlineStr">
        <is>
          <t>a) Automate the monthly close: this workbook already reconciles every figure to the journals — run the Checks sheet before signing off.
b) Set a 60% ceiling on COGS-to-revenue; flag any month breaching it.
c) Build a 13-week cash forecast off the receipts/payments pattern in Raw_Journals to avoid surprise shortfalls.</t>
        </is>
      </c>
    </row>
  </sheetData>
  <mergeCells count="10">
    <mergeCell ref="A6:J6"/>
    <mergeCell ref="A9:J9"/>
    <mergeCell ref="A3:J3"/>
    <mergeCell ref="A12:J12"/>
    <mergeCell ref="A4:J4"/>
    <mergeCell ref="A7:J7"/>
    <mergeCell ref="A15:J15"/>
    <mergeCell ref="A16:J16"/>
    <mergeCell ref="A10:J10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0" customWidth="1" min="4" max="4"/>
  </cols>
  <sheetData>
    <row r="1">
      <c r="A1" s="1" t="inlineStr">
        <is>
          <t>AUTOMATED INTEGRITY CHECKS — every result is a live formula</t>
        </is>
      </c>
    </row>
    <row r="3">
      <c r="A3" s="4" t="inlineStr">
        <is>
          <t>#</t>
        </is>
      </c>
      <c r="B3" s="4" t="inlineStr">
        <is>
          <t>Check</t>
        </is>
      </c>
      <c r="C3" s="4" t="inlineStr">
        <is>
          <t>Formula result</t>
        </is>
      </c>
      <c r="D3" s="4" t="inlineStr">
        <is>
          <t>Expected</t>
        </is>
      </c>
    </row>
    <row r="4">
      <c r="A4" t="n">
        <v>1</v>
      </c>
      <c r="B4" t="inlineStr">
        <is>
          <t>Every journal entry balances (debits = credits)</t>
        </is>
      </c>
      <c r="C4" s="7">
        <f>IF(SUM(Raw_Journals!F2:F1117)=SUM(Raw_Journals!G2:G1117),"PASS","FAIL")</f>
        <v/>
      </c>
      <c r="D4" t="inlineStr">
        <is>
          <t>PASS</t>
        </is>
      </c>
    </row>
    <row r="5">
      <c r="A5" t="n">
        <v>2</v>
      </c>
      <c r="B5" t="inlineStr">
        <is>
          <t>Trial balance: total debits = total credits</t>
        </is>
      </c>
      <c r="C5" s="7">
        <f>IF(ROUND(TrialBalance!D25,2)=ROUND(TrialBalance!E25,2),"PASS","FAIL")</f>
        <v/>
      </c>
      <c r="D5" t="inlineStr">
        <is>
          <t>PASS</t>
        </is>
      </c>
    </row>
    <row r="6">
      <c r="A6" t="n">
        <v>3</v>
      </c>
      <c r="B6" t="inlineStr">
        <is>
          <t>P&amp;L YTD revenue ties to trial balance (acct 4000)</t>
        </is>
      </c>
      <c r="C6" s="7">
        <f>IF(ROUND(PL!T4,2)=ROUND(TrialBalance!E15-TrialBalance!D15,2),"PASS","FAIL")</f>
        <v/>
      </c>
      <c r="D6" t="inlineStr">
        <is>
          <t>PASS</t>
        </is>
      </c>
    </row>
    <row r="7">
      <c r="A7" t="n">
        <v>4</v>
      </c>
      <c r="B7" t="inlineStr">
        <is>
          <t>Net profit = Gross profit − Total expenses</t>
        </is>
      </c>
      <c r="C7" s="7">
        <f>IF(ROUND(PL!T16,2)=ROUND(PL!T6-PL!T15,2),"PASS","FAIL")</f>
        <v/>
      </c>
      <c r="D7" t="inlineStr">
        <is>
          <t>PASS</t>
        </is>
      </c>
    </row>
    <row r="8">
      <c r="A8" t="n">
        <v>5</v>
      </c>
      <c r="B8" t="inlineStr">
        <is>
          <t>Balance sheet balances (Sep-26)</t>
        </is>
      </c>
      <c r="C8" s="7">
        <f>IF(BalanceSheet!C21="✓ BALANCED","PASS","FAIL")</f>
        <v/>
      </c>
      <c r="D8" t="inlineStr">
        <is>
          <t>PASS</t>
        </is>
      </c>
    </row>
    <row r="9">
      <c r="A9" t="n">
        <v>6</v>
      </c>
      <c r="B9" t="inlineStr">
        <is>
          <t>Receivables and payables are non-negative</t>
        </is>
      </c>
      <c r="C9" s="7">
        <f>IF(AND(BalanceSheet!C5&gt;=0,BalanceSheet!C11&gt;=0),"PASS","FAIL")</f>
        <v/>
      </c>
      <c r="D9" t="inlineStr">
        <is>
          <t>PASS</t>
        </is>
      </c>
    </row>
    <row r="10">
      <c r="A10" t="n">
        <v>7</v>
      </c>
      <c r="B10" t="inlineStr">
        <is>
          <t>No blank account numbers in journals</t>
        </is>
      </c>
      <c r="C10" s="7">
        <f>IF(COUNTA(Raw_Journals!D2:D1117)=1116,"PASS","FAIL")</f>
        <v/>
      </c>
      <c r="D10" t="inlineStr">
        <is>
          <t>PASS</t>
        </is>
      </c>
    </row>
    <row r="11">
      <c r="A11" t="n">
        <v>8</v>
      </c>
      <c r="B11" t="inlineStr">
        <is>
          <t>All period codes within Apr-25..Sep-26</t>
        </is>
      </c>
      <c r="C11" s="7">
        <f>IF(AND(MIN(Raw_Journals!J2:J1117)=24304,MAX(Raw_Journals!J2:J1117)=24321),"PASS","FAIL")</f>
        <v/>
      </c>
      <c r="D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2026-10-16T02:26:24+00:00Z</dcterms:created>
  <dcterms:modified xmlns:dcterms="http://purl.org/dc/terms/" xmlns:xsi="http://www.w3.org/2001/XMLSchema-instance" xsi:type="dcterms:W3CDTF">2026-10-16T02:26:24+00:00Z</dcterms:modified>
</cp:coreProperties>
</file>