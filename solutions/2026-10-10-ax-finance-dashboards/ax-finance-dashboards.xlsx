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_Transactions" sheetId="1" state="visible" r:id="rId1"/>
    <sheet xmlns:r="http://schemas.openxmlformats.org/officeDocument/2006/relationships" name="Chart_of_Accounts" sheetId="2" state="visible" r:id="rId2"/>
    <sheet xmlns:r="http://schemas.openxmlformats.org/officeDocument/2006/relationships" name="Trial_Balance" sheetId="3" state="visible" r:id="rId3"/>
    <sheet xmlns:r="http://schemas.openxmlformats.org/officeDocument/2006/relationships" name="P&amp;L" sheetId="4" state="visible" r:id="rId4"/>
    <sheet xmlns:r="http://schemas.openxmlformats.org/officeDocument/2006/relationships" name="Cash_Flow" sheetId="5" state="visible" r:id="rId5"/>
    <sheet xmlns:r="http://schemas.openxmlformats.org/officeDocument/2006/relationships" name="Dashboard" sheetId="6" state="visible" r:id="rId6"/>
  </sheets>
  <definedNames>
    <definedName name="GL_Date">GL_Transactions!$B$2:$B$170</definedName>
    <definedName name="GL_Acct">GL_Transactions!$C$2:$C$170</definedName>
    <definedName name="GL_Net">GL_Transactions!$H$2:$H$170</definedName>
    <definedName name="GL_Debit">GL_Transactions!$F$2:$F$170</definedName>
    <definedName name="GL_Credit">GL_Transactions!$G$2:$G$170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1F4E78"/>
      <sz val="14"/>
    </font>
    <font>
      <b val="1"/>
      <color rgb="001F4E78"/>
    </font>
    <font>
      <b val="1"/>
      <color rgb="001F4E78"/>
      <sz val="16"/>
    </font>
    <font>
      <i val="1"/>
      <color rgb="00808080"/>
    </font>
    <font>
      <b val="1"/>
      <color rgb="001F4E78"/>
      <sz val="12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7" fontId="0" fillId="0" borderId="0" pivotButton="0" quotePrefix="0" xfId="0"/>
    <xf numFmtId="3" fontId="0" fillId="0" borderId="1" pivotButton="0" quotePrefix="0" xfId="0"/>
    <xf numFmtId="3" fontId="2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3" fontId="8" fillId="0" borderId="0" pivotButton="0" quotePrefix="0" xfId="0"/>
    <xf numFmtId="165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vs Expenses</a:t>
            </a:r>
          </a:p>
        </rich>
      </tx>
    </title>
    <plotArea>
      <lineChart>
        <grouping val="standard"/>
        <ser>
          <idx val="0"/>
          <order val="0"/>
          <tx>
            <v>Revenue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'P&amp;L'!$B$3:$G$3</f>
            </numRef>
          </cat>
          <val>
            <numRef>
              <f>'P&amp;L'!$B$6:$G$6</f>
            </numRef>
          </val>
        </ser>
        <ser>
          <idx val="1"/>
          <order val="1"/>
          <tx>
            <v>Expenses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'P&amp;L'!$B$3:$G$3</f>
            </numRef>
          </cat>
          <val>
            <numRef>
              <f>'P&amp;L'!$B$7:$G$7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'P&amp;L'!$B$3:$G$3</f>
            </numRef>
          </cat>
          <val>
            <numRef>
              <f>'P&amp;L'!$B$8:$G$8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'P&amp;L'!$B$3:$G$3</f>
            </numRef>
          </cat>
          <val>
            <numRef>
              <f>'P&amp;L'!$B$9:$G$9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'P&amp;L'!$B$3:$G$3</f>
            </numRef>
          </cat>
          <val>
            <numRef>
              <f>'P&amp;L'!$B$10:$G$10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'P&amp;L'!$B$3:$G$3</f>
            </numRef>
          </cat>
          <val>
            <numRef>
              <f>'P&amp;L'!$B$11:$G$11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'P&amp;L'!$B$3:$G$3</f>
            </numRef>
          </cat>
          <val>
            <numRef>
              <f>'P&amp;L'!$B$12:$G$12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'P&amp;L'!$B$3:$G$3</f>
            </numRef>
          </cat>
          <val>
            <numRef>
              <f>'P&amp;L'!$B$13:$G$13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'P&amp;L'!$B$3:$G$3</f>
            </numRef>
          </cat>
          <val>
            <numRef>
              <f>'P&amp;L'!$B$14:$G$14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'P&amp;L'!$B$3:$G$3</f>
            </numRef>
          </cat>
          <val>
            <numRef>
              <f>'P&amp;L'!$B$15:$G$15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'P&amp;L'!$B$3:$G$3</f>
            </numRef>
          </cat>
          <val>
            <numRef>
              <f>'P&amp;L'!$B$16:$G$16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'P&amp;L'!$B$3:$G$3</f>
            </numRef>
          </cat>
          <val>
            <numRef>
              <f>'P&amp;L'!$B$17:$G$17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'P&amp;L'!$B$3:$G$3</f>
            </numRef>
          </cat>
          <val>
            <numRef>
              <f>'P&amp;L'!$B$18:$G$18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'P&amp;L'!$B$3:$G$3</f>
            </numRef>
          </cat>
          <val>
            <numRef>
              <f>'P&amp;L'!$B$19:$G$19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'P&amp;L'!$B$3:$G$3</f>
            </numRef>
          </cat>
          <val>
            <numRef>
              <f>'P&amp;L'!$B$20:$G$20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Operating Expenses by Category (6 mo total)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'P&amp;L'!$A$9:$A$14</f>
            </numRef>
          </cat>
          <val>
            <numRef>
              <f>'P&amp;L'!$H$9:$H$14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Net Income</a:t>
            </a:r>
          </a:p>
        </rich>
      </tx>
    </title>
    <plotArea>
      <barChart>
        <barDir val="col"/>
        <grouping val="clustered"/>
        <ser>
          <idx val="0"/>
          <order val="0"/>
          <tx>
            <v>Net Income</v>
          </tx>
          <spPr>
            <a:ln xmlns:a="http://schemas.openxmlformats.org/drawingml/2006/main">
              <a:prstDash val="solid"/>
            </a:ln>
          </spPr>
          <cat>
            <numRef>
              <f>'P&amp;L'!$B$3:$G$3</f>
            </numRef>
          </cat>
          <val>
            <numRef>
              <f>'P&amp;L'!$B$19:$G$19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35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24" customWidth="1" min="4" max="4"/>
    <col width="3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Entry</t>
        </is>
      </c>
      <c r="B1" s="1" t="inlineStr">
        <is>
          <t>Date</t>
        </is>
      </c>
      <c r="C1" s="1" t="inlineStr">
        <is>
          <t>Account Code</t>
        </is>
      </c>
      <c r="D1" s="1" t="inlineStr">
        <is>
          <t>Account Name</t>
        </is>
      </c>
      <c r="E1" s="1" t="inlineStr">
        <is>
          <t>Description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Net (Dr-Cr)</t>
        </is>
      </c>
    </row>
    <row r="2">
      <c r="A2" t="inlineStr">
        <is>
          <t>E0001</t>
        </is>
      </c>
      <c r="B2" s="2" t="n">
        <v>46112</v>
      </c>
      <c r="C2" t="inlineStr">
        <is>
          <t>1000</t>
        </is>
      </c>
      <c r="D2" t="inlineStr">
        <is>
          <t>Cash in Bank</t>
        </is>
      </c>
      <c r="E2" t="inlineStr">
        <is>
          <t>Opening balance</t>
        </is>
      </c>
      <c r="F2" s="3" t="n">
        <v>320000</v>
      </c>
      <c r="G2" s="3" t="n">
        <v>0</v>
      </c>
      <c r="H2" s="3">
        <f>F2-G2</f>
        <v/>
      </c>
    </row>
    <row r="3">
      <c r="A3" t="inlineStr">
        <is>
          <t>E0001</t>
        </is>
      </c>
      <c r="B3" s="2" t="n">
        <v>46112</v>
      </c>
      <c r="C3" t="inlineStr">
        <is>
          <t>1100</t>
        </is>
      </c>
      <c r="D3" t="inlineStr">
        <is>
          <t>Trade Receivables</t>
        </is>
      </c>
      <c r="E3" t="inlineStr">
        <is>
          <t>Opening balance</t>
        </is>
      </c>
      <c r="F3" s="3" t="n">
        <v>140000</v>
      </c>
      <c r="G3" s="3" t="n">
        <v>0</v>
      </c>
      <c r="H3" s="3">
        <f>F3-G3</f>
        <v/>
      </c>
    </row>
    <row r="4">
      <c r="A4" t="inlineStr">
        <is>
          <t>E0001</t>
        </is>
      </c>
      <c r="B4" s="2" t="n">
        <v>46112</v>
      </c>
      <c r="C4" t="inlineStr">
        <is>
          <t>1200</t>
        </is>
      </c>
      <c r="D4" t="inlineStr">
        <is>
          <t>Inventory</t>
        </is>
      </c>
      <c r="E4" t="inlineStr">
        <is>
          <t>Opening balance</t>
        </is>
      </c>
      <c r="F4" s="3" t="n">
        <v>90000</v>
      </c>
      <c r="G4" s="3" t="n">
        <v>0</v>
      </c>
      <c r="H4" s="3">
        <f>F4-G4</f>
        <v/>
      </c>
    </row>
    <row r="5">
      <c r="A5" t="inlineStr">
        <is>
          <t>E0001</t>
        </is>
      </c>
      <c r="B5" s="2" t="n">
        <v>46112</v>
      </c>
      <c r="C5" t="inlineStr">
        <is>
          <t>1500</t>
        </is>
      </c>
      <c r="D5" t="inlineStr">
        <is>
          <t>Equipment (net of purchases)</t>
        </is>
      </c>
      <c r="E5" t="inlineStr">
        <is>
          <t>Opening balance</t>
        </is>
      </c>
      <c r="F5" s="3" t="n">
        <v>240000</v>
      </c>
      <c r="G5" s="3" t="n">
        <v>0</v>
      </c>
      <c r="H5" s="3">
        <f>F5-G5</f>
        <v/>
      </c>
    </row>
    <row r="6">
      <c r="A6" t="inlineStr">
        <is>
          <t>E0001</t>
        </is>
      </c>
      <c r="B6" s="2" t="n">
        <v>46112</v>
      </c>
      <c r="C6" t="inlineStr">
        <is>
          <t>1510</t>
        </is>
      </c>
      <c r="D6" t="inlineStr">
        <is>
          <t>Accumulated Depreciation</t>
        </is>
      </c>
      <c r="E6" t="inlineStr">
        <is>
          <t>Opening balance</t>
        </is>
      </c>
      <c r="F6" s="3" t="n">
        <v>0</v>
      </c>
      <c r="G6" s="3" t="n">
        <v>48000</v>
      </c>
      <c r="H6" s="3">
        <f>F6-G6</f>
        <v/>
      </c>
    </row>
    <row r="7">
      <c r="A7" t="inlineStr">
        <is>
          <t>E0001</t>
        </is>
      </c>
      <c r="B7" s="2" t="n">
        <v>46112</v>
      </c>
      <c r="C7" t="inlineStr">
        <is>
          <t>2100</t>
        </is>
      </c>
      <c r="D7" t="inlineStr">
        <is>
          <t>Trade Payables</t>
        </is>
      </c>
      <c r="E7" t="inlineStr">
        <is>
          <t>Opening balance</t>
        </is>
      </c>
      <c r="F7" s="3" t="n">
        <v>0</v>
      </c>
      <c r="G7" s="3" t="n">
        <v>110000</v>
      </c>
      <c r="H7" s="3">
        <f>F7-G7</f>
        <v/>
      </c>
    </row>
    <row r="8">
      <c r="A8" t="inlineStr">
        <is>
          <t>E0001</t>
        </is>
      </c>
      <c r="B8" s="2" t="n">
        <v>46112</v>
      </c>
      <c r="C8" t="inlineStr">
        <is>
          <t>3000</t>
        </is>
      </c>
      <c r="D8" t="inlineStr">
        <is>
          <t>Owner's Capital</t>
        </is>
      </c>
      <c r="E8" t="inlineStr">
        <is>
          <t>Opening balance</t>
        </is>
      </c>
      <c r="F8" s="3" t="n">
        <v>0</v>
      </c>
      <c r="G8" s="3" t="n">
        <v>632000</v>
      </c>
      <c r="H8" s="3">
        <f>F8-G8</f>
        <v/>
      </c>
    </row>
    <row r="9">
      <c r="A9" t="inlineStr">
        <is>
          <t>E0002</t>
        </is>
      </c>
      <c r="B9" s="2" t="n">
        <v>46115</v>
      </c>
      <c r="C9" t="inlineStr">
        <is>
          <t>1100</t>
        </is>
      </c>
      <c r="D9" t="inlineStr">
        <is>
          <t>Trade Receivables</t>
        </is>
      </c>
      <c r="E9" t="inlineStr">
        <is>
          <t>Credit sales invoices</t>
        </is>
      </c>
      <c r="F9" s="3" t="n">
        <v>231154.14</v>
      </c>
      <c r="G9" s="3" t="n">
        <v>0</v>
      </c>
      <c r="H9" s="3">
        <f>F9-G9</f>
        <v/>
      </c>
    </row>
    <row r="10">
      <c r="A10" t="inlineStr">
        <is>
          <t>E0002</t>
        </is>
      </c>
      <c r="B10" s="2" t="n">
        <v>46115</v>
      </c>
      <c r="C10" t="inlineStr">
        <is>
          <t>4000</t>
        </is>
      </c>
      <c r="D10" t="inlineStr">
        <is>
          <t>Sales Revenue</t>
        </is>
      </c>
      <c r="E10" t="inlineStr">
        <is>
          <t>Credit sales invoices</t>
        </is>
      </c>
      <c r="F10" s="3" t="n">
        <v>0</v>
      </c>
      <c r="G10" s="3" t="n">
        <v>231154.14</v>
      </c>
      <c r="H10" s="3">
        <f>F10-G10</f>
        <v/>
      </c>
    </row>
    <row r="11">
      <c r="A11" t="inlineStr">
        <is>
          <t>E0003</t>
        </is>
      </c>
      <c r="B11" s="2" t="n">
        <v>46120</v>
      </c>
      <c r="C11" t="inlineStr">
        <is>
          <t>1000</t>
        </is>
      </c>
      <c r="D11" t="inlineStr">
        <is>
          <t>Cash in Bank</t>
        </is>
      </c>
      <c r="E11" t="inlineStr">
        <is>
          <t>Service revenue received</t>
        </is>
      </c>
      <c r="F11" s="3" t="n">
        <v>30750.32</v>
      </c>
      <c r="G11" s="3" t="n">
        <v>0</v>
      </c>
      <c r="H11" s="3">
        <f>F11-G11</f>
        <v/>
      </c>
    </row>
    <row r="12">
      <c r="A12" t="inlineStr">
        <is>
          <t>E0003</t>
        </is>
      </c>
      <c r="B12" s="2" t="n">
        <v>46120</v>
      </c>
      <c r="C12" t="inlineStr">
        <is>
          <t>4100</t>
        </is>
      </c>
      <c r="D12" t="inlineStr">
        <is>
          <t>Service Revenue</t>
        </is>
      </c>
      <c r="E12" t="inlineStr">
        <is>
          <t>Service revenue received</t>
        </is>
      </c>
      <c r="F12" s="3" t="n">
        <v>0</v>
      </c>
      <c r="G12" s="3" t="n">
        <v>30750.32</v>
      </c>
      <c r="H12" s="3">
        <f>F12-G12</f>
        <v/>
      </c>
    </row>
    <row r="13">
      <c r="A13" t="inlineStr">
        <is>
          <t>E0004</t>
        </is>
      </c>
      <c r="B13" s="2" t="n">
        <v>46124</v>
      </c>
      <c r="C13" t="inlineStr">
        <is>
          <t>1000</t>
        </is>
      </c>
      <c r="D13" t="inlineStr">
        <is>
          <t>Cash in Bank</t>
        </is>
      </c>
      <c r="E13" t="inlineStr">
        <is>
          <t>Customer collections</t>
        </is>
      </c>
      <c r="F13" s="3" t="n">
        <v>172002.35</v>
      </c>
      <c r="G13" s="3" t="n">
        <v>0</v>
      </c>
      <c r="H13" s="3">
        <f>F13-G13</f>
        <v/>
      </c>
    </row>
    <row r="14">
      <c r="A14" t="inlineStr">
        <is>
          <t>E0004</t>
        </is>
      </c>
      <c r="B14" s="2" t="n">
        <v>46124</v>
      </c>
      <c r="C14" t="inlineStr">
        <is>
          <t>1100</t>
        </is>
      </c>
      <c r="D14" t="inlineStr">
        <is>
          <t>Trade Receivables</t>
        </is>
      </c>
      <c r="E14" t="inlineStr">
        <is>
          <t>Customer collections</t>
        </is>
      </c>
      <c r="F14" s="3" t="n">
        <v>0</v>
      </c>
      <c r="G14" s="3" t="n">
        <v>172002.35</v>
      </c>
      <c r="H14" s="3">
        <f>F14-G14</f>
        <v/>
      </c>
    </row>
    <row r="15">
      <c r="A15" t="inlineStr">
        <is>
          <t>E0005</t>
        </is>
      </c>
      <c r="B15" s="2" t="n">
        <v>46117</v>
      </c>
      <c r="C15" t="inlineStr">
        <is>
          <t>1200</t>
        </is>
      </c>
      <c r="D15" t="inlineStr">
        <is>
          <t>Inventory</t>
        </is>
      </c>
      <c r="E15" t="inlineStr">
        <is>
          <t>Inventory purchases on credit</t>
        </is>
      </c>
      <c r="F15" s="3" t="n">
        <v>101160.54</v>
      </c>
      <c r="G15" s="3" t="n">
        <v>0</v>
      </c>
      <c r="H15" s="3">
        <f>F15-G15</f>
        <v/>
      </c>
    </row>
    <row r="16">
      <c r="A16" t="inlineStr">
        <is>
          <t>E0005</t>
        </is>
      </c>
      <c r="B16" s="2" t="n">
        <v>46117</v>
      </c>
      <c r="C16" t="inlineStr">
        <is>
          <t>2100</t>
        </is>
      </c>
      <c r="D16" t="inlineStr">
        <is>
          <t>Trade Payables</t>
        </is>
      </c>
      <c r="E16" t="inlineStr">
        <is>
          <t>Inventory purchases on credit</t>
        </is>
      </c>
      <c r="F16" s="3" t="n">
        <v>0</v>
      </c>
      <c r="G16" s="3" t="n">
        <v>101160.54</v>
      </c>
      <c r="H16" s="3">
        <f>F16-G16</f>
        <v/>
      </c>
    </row>
    <row r="17">
      <c r="A17" t="inlineStr">
        <is>
          <t>E0006</t>
        </is>
      </c>
      <c r="B17" s="2" t="n">
        <v>46140</v>
      </c>
      <c r="C17" t="inlineStr">
        <is>
          <t>5000</t>
        </is>
      </c>
      <c r="D17" t="inlineStr">
        <is>
          <t>Cost of Goods Sold</t>
        </is>
      </c>
      <c r="E17" t="inlineStr">
        <is>
          <t>Cost of goods sold</t>
        </is>
      </c>
      <c r="F17" s="3" t="n">
        <v>109458.85</v>
      </c>
      <c r="G17" s="3" t="n">
        <v>0</v>
      </c>
      <c r="H17" s="3">
        <f>F17-G17</f>
        <v/>
      </c>
    </row>
    <row r="18">
      <c r="A18" t="inlineStr">
        <is>
          <t>E0006</t>
        </is>
      </c>
      <c r="B18" s="2" t="n">
        <v>46140</v>
      </c>
      <c r="C18" t="inlineStr">
        <is>
          <t>1200</t>
        </is>
      </c>
      <c r="D18" t="inlineStr">
        <is>
          <t>Inventory</t>
        </is>
      </c>
      <c r="E18" t="inlineStr">
        <is>
          <t>Cost of goods sold</t>
        </is>
      </c>
      <c r="F18" s="3" t="n">
        <v>0</v>
      </c>
      <c r="G18" s="3" t="n">
        <v>109458.85</v>
      </c>
      <c r="H18" s="3">
        <f>F18-G18</f>
        <v/>
      </c>
    </row>
    <row r="19">
      <c r="A19" t="inlineStr">
        <is>
          <t>E0007</t>
        </is>
      </c>
      <c r="B19" s="2" t="n">
        <v>46137</v>
      </c>
      <c r="C19" t="inlineStr">
        <is>
          <t>6000</t>
        </is>
      </c>
      <c r="D19" t="inlineStr">
        <is>
          <t>Salaries &amp; Wages</t>
        </is>
      </c>
      <c r="E19" t="inlineStr">
        <is>
          <t>Monthly payroll</t>
        </is>
      </c>
      <c r="F19" s="3" t="n">
        <v>68533.99000000001</v>
      </c>
      <c r="G19" s="3" t="n">
        <v>0</v>
      </c>
      <c r="H19" s="3">
        <f>F19-G19</f>
        <v/>
      </c>
    </row>
    <row r="20">
      <c r="A20" t="inlineStr">
        <is>
          <t>E0007</t>
        </is>
      </c>
      <c r="B20" s="2" t="n">
        <v>46137</v>
      </c>
      <c r="C20" t="inlineStr">
        <is>
          <t>1000</t>
        </is>
      </c>
      <c r="D20" t="inlineStr">
        <is>
          <t>Cash in Bank</t>
        </is>
      </c>
      <c r="E20" t="inlineStr">
        <is>
          <t>Monthly payroll</t>
        </is>
      </c>
      <c r="F20" s="3" t="n">
        <v>0</v>
      </c>
      <c r="G20" s="3" t="n">
        <v>68533.99000000001</v>
      </c>
      <c r="H20" s="3">
        <f>F20-G20</f>
        <v/>
      </c>
    </row>
    <row r="21">
      <c r="A21" t="inlineStr">
        <is>
          <t>E0008</t>
        </is>
      </c>
      <c r="B21" s="2" t="n">
        <v>46114</v>
      </c>
      <c r="C21" t="inlineStr">
        <is>
          <t>6100</t>
        </is>
      </c>
      <c r="D21" t="inlineStr">
        <is>
          <t>Office Rent</t>
        </is>
      </c>
      <c r="E21" t="inlineStr">
        <is>
          <t>Office rent</t>
        </is>
      </c>
      <c r="F21" s="3" t="n">
        <v>25000</v>
      </c>
      <c r="G21" s="3" t="n">
        <v>0</v>
      </c>
      <c r="H21" s="3">
        <f>F21-G21</f>
        <v/>
      </c>
    </row>
    <row r="22">
      <c r="A22" t="inlineStr">
        <is>
          <t>E0008</t>
        </is>
      </c>
      <c r="B22" s="2" t="n">
        <v>46114</v>
      </c>
      <c r="C22" t="inlineStr">
        <is>
          <t>1000</t>
        </is>
      </c>
      <c r="D22" t="inlineStr">
        <is>
          <t>Cash in Bank</t>
        </is>
      </c>
      <c r="E22" t="inlineStr">
        <is>
          <t>Office rent</t>
        </is>
      </c>
      <c r="F22" s="3" t="n">
        <v>0</v>
      </c>
      <c r="G22" s="3" t="n">
        <v>25000</v>
      </c>
      <c r="H22" s="3">
        <f>F22-G22</f>
        <v/>
      </c>
    </row>
    <row r="23">
      <c r="A23" t="inlineStr">
        <is>
          <t>E0009</t>
        </is>
      </c>
      <c r="B23" s="2" t="n">
        <v>46132</v>
      </c>
      <c r="C23" t="inlineStr">
        <is>
          <t>6200</t>
        </is>
      </c>
      <c r="D23" t="inlineStr">
        <is>
          <t>Utilities</t>
        </is>
      </c>
      <c r="E23" t="inlineStr">
        <is>
          <t>Utilities</t>
        </is>
      </c>
      <c r="F23" s="3" t="n">
        <v>9568.719999999999</v>
      </c>
      <c r="G23" s="3" t="n">
        <v>0</v>
      </c>
      <c r="H23" s="3">
        <f>F23-G23</f>
        <v/>
      </c>
    </row>
    <row r="24">
      <c r="A24" t="inlineStr">
        <is>
          <t>E0009</t>
        </is>
      </c>
      <c r="B24" s="2" t="n">
        <v>46132</v>
      </c>
      <c r="C24" t="inlineStr">
        <is>
          <t>1000</t>
        </is>
      </c>
      <c r="D24" t="inlineStr">
        <is>
          <t>Cash in Bank</t>
        </is>
      </c>
      <c r="E24" t="inlineStr">
        <is>
          <t>Utilities</t>
        </is>
      </c>
      <c r="F24" s="3" t="n">
        <v>0</v>
      </c>
      <c r="G24" s="3" t="n">
        <v>9568.719999999999</v>
      </c>
      <c r="H24" s="3">
        <f>F24-G24</f>
        <v/>
      </c>
    </row>
    <row r="25">
      <c r="A25" t="inlineStr">
        <is>
          <t>E0010</t>
        </is>
      </c>
      <c r="B25" s="2" t="n">
        <v>46127</v>
      </c>
      <c r="C25" t="inlineStr">
        <is>
          <t>6300</t>
        </is>
      </c>
      <c r="D25" t="inlineStr">
        <is>
          <t>Marketing</t>
        </is>
      </c>
      <c r="E25" t="inlineStr">
        <is>
          <t>Marketing spend</t>
        </is>
      </c>
      <c r="F25" s="3" t="n">
        <v>13130.2</v>
      </c>
      <c r="G25" s="3" t="n">
        <v>0</v>
      </c>
      <c r="H25" s="3">
        <f>F25-G25</f>
        <v/>
      </c>
    </row>
    <row r="26">
      <c r="A26" t="inlineStr">
        <is>
          <t>E0010</t>
        </is>
      </c>
      <c r="B26" s="2" t="n">
        <v>46127</v>
      </c>
      <c r="C26" t="inlineStr">
        <is>
          <t>1000</t>
        </is>
      </c>
      <c r="D26" t="inlineStr">
        <is>
          <t>Cash in Bank</t>
        </is>
      </c>
      <c r="E26" t="inlineStr">
        <is>
          <t>Marketing spend</t>
        </is>
      </c>
      <c r="F26" s="3" t="n">
        <v>0</v>
      </c>
      <c r="G26" s="3" t="n">
        <v>13130.2</v>
      </c>
      <c r="H26" s="3">
        <f>F26-G26</f>
        <v/>
      </c>
    </row>
    <row r="27">
      <c r="A27" t="inlineStr">
        <is>
          <t>E0011</t>
        </is>
      </c>
      <c r="B27" s="2" t="n">
        <v>46142</v>
      </c>
      <c r="C27" t="inlineStr">
        <is>
          <t>6400</t>
        </is>
      </c>
      <c r="D27" t="inlineStr">
        <is>
          <t>Depreciation</t>
        </is>
      </c>
      <c r="E27" t="inlineStr">
        <is>
          <t>Monthly depreciation</t>
        </is>
      </c>
      <c r="F27" s="3" t="n">
        <v>8000</v>
      </c>
      <c r="G27" s="3" t="n">
        <v>0</v>
      </c>
      <c r="H27" s="3">
        <f>F27-G27</f>
        <v/>
      </c>
    </row>
    <row r="28">
      <c r="A28" t="inlineStr">
        <is>
          <t>E0011</t>
        </is>
      </c>
      <c r="B28" s="2" t="n">
        <v>46142</v>
      </c>
      <c r="C28" t="inlineStr">
        <is>
          <t>1510</t>
        </is>
      </c>
      <c r="D28" t="inlineStr">
        <is>
          <t>Accumulated Depreciation</t>
        </is>
      </c>
      <c r="E28" t="inlineStr">
        <is>
          <t>Monthly depreciation</t>
        </is>
      </c>
      <c r="F28" s="3" t="n">
        <v>0</v>
      </c>
      <c r="G28" s="3" t="n">
        <v>8000</v>
      </c>
      <c r="H28" s="3">
        <f>F28-G28</f>
        <v/>
      </c>
    </row>
    <row r="29">
      <c r="A29" t="inlineStr">
        <is>
          <t>E0012</t>
        </is>
      </c>
      <c r="B29" s="2" t="n">
        <v>46130</v>
      </c>
      <c r="C29" t="inlineStr">
        <is>
          <t>2100</t>
        </is>
      </c>
      <c r="D29" t="inlineStr">
        <is>
          <t>Trade Payables</t>
        </is>
      </c>
      <c r="E29" t="inlineStr">
        <is>
          <t>Supplier payments</t>
        </is>
      </c>
      <c r="F29" s="3" t="n">
        <v>81489.86</v>
      </c>
      <c r="G29" s="3" t="n">
        <v>0</v>
      </c>
      <c r="H29" s="3">
        <f>F29-G29</f>
        <v/>
      </c>
    </row>
    <row r="30">
      <c r="A30" t="inlineStr">
        <is>
          <t>E0012</t>
        </is>
      </c>
      <c r="B30" s="2" t="n">
        <v>46130</v>
      </c>
      <c r="C30" t="inlineStr">
        <is>
          <t>1000</t>
        </is>
      </c>
      <c r="D30" t="inlineStr">
        <is>
          <t>Cash in Bank</t>
        </is>
      </c>
      <c r="E30" t="inlineStr">
        <is>
          <t>Supplier payments</t>
        </is>
      </c>
      <c r="F30" s="3" t="n">
        <v>0</v>
      </c>
      <c r="G30" s="3" t="n">
        <v>81489.86</v>
      </c>
      <c r="H30" s="3">
        <f>F30-G30</f>
        <v/>
      </c>
    </row>
    <row r="31">
      <c r="A31" t="inlineStr">
        <is>
          <t>E0013</t>
        </is>
      </c>
      <c r="B31" s="2" t="n">
        <v>46134</v>
      </c>
      <c r="C31" t="inlineStr">
        <is>
          <t>6999</t>
        </is>
      </c>
      <c r="D31" t="inlineStr">
        <is>
          <t>Other Operating Expenses</t>
        </is>
      </c>
      <c r="E31" t="inlineStr">
        <is>
          <t>Misc operating expenses</t>
        </is>
      </c>
      <c r="F31" s="3" t="n">
        <v>7953.45</v>
      </c>
      <c r="G31" s="3" t="n">
        <v>0</v>
      </c>
      <c r="H31" s="3">
        <f>F31-G31</f>
        <v/>
      </c>
    </row>
    <row r="32">
      <c r="A32" t="inlineStr">
        <is>
          <t>E0013</t>
        </is>
      </c>
      <c r="B32" s="2" t="n">
        <v>46134</v>
      </c>
      <c r="C32" t="inlineStr">
        <is>
          <t>1000</t>
        </is>
      </c>
      <c r="D32" t="inlineStr">
        <is>
          <t>Cash in Bank</t>
        </is>
      </c>
      <c r="E32" t="inlineStr">
        <is>
          <t>Misc operating expenses</t>
        </is>
      </c>
      <c r="F32" s="3" t="n">
        <v>0</v>
      </c>
      <c r="G32" s="3" t="n">
        <v>7953.45</v>
      </c>
      <c r="H32" s="3">
        <f>F32-G32</f>
        <v/>
      </c>
    </row>
    <row r="33">
      <c r="A33" t="inlineStr">
        <is>
          <t>E0014</t>
        </is>
      </c>
      <c r="B33" s="2" t="n">
        <v>46122</v>
      </c>
      <c r="C33" t="inlineStr">
        <is>
          <t>1000</t>
        </is>
      </c>
      <c r="D33" t="inlineStr">
        <is>
          <t>Cash in Bank</t>
        </is>
      </c>
      <c r="E33" t="inlineStr">
        <is>
          <t>Bank loan drawdown</t>
        </is>
      </c>
      <c r="F33" s="3" t="n">
        <v>200000</v>
      </c>
      <c r="G33" s="3" t="n">
        <v>0</v>
      </c>
      <c r="H33" s="3">
        <f>F33-G33</f>
        <v/>
      </c>
    </row>
    <row r="34">
      <c r="A34" t="inlineStr">
        <is>
          <t>E0014</t>
        </is>
      </c>
      <c r="B34" s="2" t="n">
        <v>46122</v>
      </c>
      <c r="C34" t="inlineStr">
        <is>
          <t>2500</t>
        </is>
      </c>
      <c r="D34" t="inlineStr">
        <is>
          <t>Bank Loan</t>
        </is>
      </c>
      <c r="E34" t="inlineStr">
        <is>
          <t>Bank loan drawdown</t>
        </is>
      </c>
      <c r="F34" s="3" t="n">
        <v>0</v>
      </c>
      <c r="G34" s="3" t="n">
        <v>200000</v>
      </c>
      <c r="H34" s="3">
        <f>F34-G34</f>
        <v/>
      </c>
    </row>
    <row r="35">
      <c r="A35" t="inlineStr">
        <is>
          <t>E0015</t>
        </is>
      </c>
      <c r="B35" s="2" t="n">
        <v>46145</v>
      </c>
      <c r="C35" t="inlineStr">
        <is>
          <t>1100</t>
        </is>
      </c>
      <c r="D35" t="inlineStr">
        <is>
          <t>Trade Receivables</t>
        </is>
      </c>
      <c r="E35" t="inlineStr">
        <is>
          <t>Credit sales invoices</t>
        </is>
      </c>
      <c r="F35" s="3" t="n">
        <v>197491.04</v>
      </c>
      <c r="G35" s="3" t="n">
        <v>0</v>
      </c>
      <c r="H35" s="3">
        <f>F35-G35</f>
        <v/>
      </c>
    </row>
    <row r="36">
      <c r="A36" t="inlineStr">
        <is>
          <t>E0015</t>
        </is>
      </c>
      <c r="B36" s="2" t="n">
        <v>46145</v>
      </c>
      <c r="C36" t="inlineStr">
        <is>
          <t>4000</t>
        </is>
      </c>
      <c r="D36" t="inlineStr">
        <is>
          <t>Sales Revenue</t>
        </is>
      </c>
      <c r="E36" t="inlineStr">
        <is>
          <t>Credit sales invoices</t>
        </is>
      </c>
      <c r="F36" s="3" t="n">
        <v>0</v>
      </c>
      <c r="G36" s="3" t="n">
        <v>197491.04</v>
      </c>
      <c r="H36" s="3">
        <f>F36-G36</f>
        <v/>
      </c>
    </row>
    <row r="37">
      <c r="A37" t="inlineStr">
        <is>
          <t>E0016</t>
        </is>
      </c>
      <c r="B37" s="2" t="n">
        <v>46150</v>
      </c>
      <c r="C37" t="inlineStr">
        <is>
          <t>1000</t>
        </is>
      </c>
      <c r="D37" t="inlineStr">
        <is>
          <t>Cash in Bank</t>
        </is>
      </c>
      <c r="E37" t="inlineStr">
        <is>
          <t>Service revenue received</t>
        </is>
      </c>
      <c r="F37" s="3" t="n">
        <v>45160.66</v>
      </c>
      <c r="G37" s="3" t="n">
        <v>0</v>
      </c>
      <c r="H37" s="3">
        <f>F37-G37</f>
        <v/>
      </c>
    </row>
    <row r="38">
      <c r="A38" t="inlineStr">
        <is>
          <t>E0016</t>
        </is>
      </c>
      <c r="B38" s="2" t="n">
        <v>46150</v>
      </c>
      <c r="C38" t="inlineStr">
        <is>
          <t>4100</t>
        </is>
      </c>
      <c r="D38" t="inlineStr">
        <is>
          <t>Service Revenue</t>
        </is>
      </c>
      <c r="E38" t="inlineStr">
        <is>
          <t>Service revenue received</t>
        </is>
      </c>
      <c r="F38" s="3" t="n">
        <v>0</v>
      </c>
      <c r="G38" s="3" t="n">
        <v>45160.66</v>
      </c>
      <c r="H38" s="3">
        <f>F38-G38</f>
        <v/>
      </c>
    </row>
    <row r="39">
      <c r="A39" t="inlineStr">
        <is>
          <t>E0017</t>
        </is>
      </c>
      <c r="B39" s="2" t="n">
        <v>46154</v>
      </c>
      <c r="C39" t="inlineStr">
        <is>
          <t>1000</t>
        </is>
      </c>
      <c r="D39" t="inlineStr">
        <is>
          <t>Cash in Bank</t>
        </is>
      </c>
      <c r="E39" t="inlineStr">
        <is>
          <t>Customer collections</t>
        </is>
      </c>
      <c r="F39" s="3" t="n">
        <v>152122.88</v>
      </c>
      <c r="G39" s="3" t="n">
        <v>0</v>
      </c>
      <c r="H39" s="3">
        <f>F39-G39</f>
        <v/>
      </c>
    </row>
    <row r="40">
      <c r="A40" t="inlineStr">
        <is>
          <t>E0017</t>
        </is>
      </c>
      <c r="B40" s="2" t="n">
        <v>46154</v>
      </c>
      <c r="C40" t="inlineStr">
        <is>
          <t>1100</t>
        </is>
      </c>
      <c r="D40" t="inlineStr">
        <is>
          <t>Trade Receivables</t>
        </is>
      </c>
      <c r="E40" t="inlineStr">
        <is>
          <t>Customer collections</t>
        </is>
      </c>
      <c r="F40" s="3" t="n">
        <v>0</v>
      </c>
      <c r="G40" s="3" t="n">
        <v>152122.88</v>
      </c>
      <c r="H40" s="3">
        <f>F40-G40</f>
        <v/>
      </c>
    </row>
    <row r="41">
      <c r="A41" t="inlineStr">
        <is>
          <t>E0018</t>
        </is>
      </c>
      <c r="B41" s="2" t="n">
        <v>46147</v>
      </c>
      <c r="C41" t="inlineStr">
        <is>
          <t>1200</t>
        </is>
      </c>
      <c r="D41" t="inlineStr">
        <is>
          <t>Inventory</t>
        </is>
      </c>
      <c r="E41" t="inlineStr">
        <is>
          <t>Inventory purchases on credit</t>
        </is>
      </c>
      <c r="F41" s="3" t="n">
        <v>99941.88</v>
      </c>
      <c r="G41" s="3" t="n">
        <v>0</v>
      </c>
      <c r="H41" s="3">
        <f>F41-G41</f>
        <v/>
      </c>
    </row>
    <row r="42">
      <c r="A42" t="inlineStr">
        <is>
          <t>E0018</t>
        </is>
      </c>
      <c r="B42" s="2" t="n">
        <v>46147</v>
      </c>
      <c r="C42" t="inlineStr">
        <is>
          <t>2100</t>
        </is>
      </c>
      <c r="D42" t="inlineStr">
        <is>
          <t>Trade Payables</t>
        </is>
      </c>
      <c r="E42" t="inlineStr">
        <is>
          <t>Inventory purchases on credit</t>
        </is>
      </c>
      <c r="F42" s="3" t="n">
        <v>0</v>
      </c>
      <c r="G42" s="3" t="n">
        <v>99941.88</v>
      </c>
      <c r="H42" s="3">
        <f>F42-G42</f>
        <v/>
      </c>
    </row>
    <row r="43">
      <c r="A43" t="inlineStr">
        <is>
          <t>E0019</t>
        </is>
      </c>
      <c r="B43" s="2" t="n">
        <v>46170</v>
      </c>
      <c r="C43" t="inlineStr">
        <is>
          <t>5000</t>
        </is>
      </c>
      <c r="D43" t="inlineStr">
        <is>
          <t>Cost of Goods Sold</t>
        </is>
      </c>
      <c r="E43" t="inlineStr">
        <is>
          <t>Cost of goods sold</t>
        </is>
      </c>
      <c r="F43" s="3" t="n">
        <v>105995.38</v>
      </c>
      <c r="G43" s="3" t="n">
        <v>0</v>
      </c>
      <c r="H43" s="3">
        <f>F43-G43</f>
        <v/>
      </c>
    </row>
    <row r="44">
      <c r="A44" t="inlineStr">
        <is>
          <t>E0019</t>
        </is>
      </c>
      <c r="B44" s="2" t="n">
        <v>46170</v>
      </c>
      <c r="C44" t="inlineStr">
        <is>
          <t>1200</t>
        </is>
      </c>
      <c r="D44" t="inlineStr">
        <is>
          <t>Inventory</t>
        </is>
      </c>
      <c r="E44" t="inlineStr">
        <is>
          <t>Cost of goods sold</t>
        </is>
      </c>
      <c r="F44" s="3" t="n">
        <v>0</v>
      </c>
      <c r="G44" s="3" t="n">
        <v>105995.38</v>
      </c>
      <c r="H44" s="3">
        <f>F44-G44</f>
        <v/>
      </c>
    </row>
    <row r="45">
      <c r="A45" t="inlineStr">
        <is>
          <t>E0020</t>
        </is>
      </c>
      <c r="B45" s="2" t="n">
        <v>46167</v>
      </c>
      <c r="C45" t="inlineStr">
        <is>
          <t>6000</t>
        </is>
      </c>
      <c r="D45" t="inlineStr">
        <is>
          <t>Salaries &amp; Wages</t>
        </is>
      </c>
      <c r="E45" t="inlineStr">
        <is>
          <t>Monthly payroll</t>
        </is>
      </c>
      <c r="F45" s="3" t="n">
        <v>65898.83</v>
      </c>
      <c r="G45" s="3" t="n">
        <v>0</v>
      </c>
      <c r="H45" s="3">
        <f>F45-G45</f>
        <v/>
      </c>
    </row>
    <row r="46">
      <c r="A46" t="inlineStr">
        <is>
          <t>E0020</t>
        </is>
      </c>
      <c r="B46" s="2" t="n">
        <v>46167</v>
      </c>
      <c r="C46" t="inlineStr">
        <is>
          <t>1000</t>
        </is>
      </c>
      <c r="D46" t="inlineStr">
        <is>
          <t>Cash in Bank</t>
        </is>
      </c>
      <c r="E46" t="inlineStr">
        <is>
          <t>Monthly payroll</t>
        </is>
      </c>
      <c r="F46" s="3" t="n">
        <v>0</v>
      </c>
      <c r="G46" s="3" t="n">
        <v>65898.83</v>
      </c>
      <c r="H46" s="3">
        <f>F46-G46</f>
        <v/>
      </c>
    </row>
    <row r="47">
      <c r="A47" t="inlineStr">
        <is>
          <t>E0021</t>
        </is>
      </c>
      <c r="B47" s="2" t="n">
        <v>46144</v>
      </c>
      <c r="C47" t="inlineStr">
        <is>
          <t>6100</t>
        </is>
      </c>
      <c r="D47" t="inlineStr">
        <is>
          <t>Office Rent</t>
        </is>
      </c>
      <c r="E47" t="inlineStr">
        <is>
          <t>Office rent</t>
        </is>
      </c>
      <c r="F47" s="3" t="n">
        <v>25000</v>
      </c>
      <c r="G47" s="3" t="n">
        <v>0</v>
      </c>
      <c r="H47" s="3">
        <f>F47-G47</f>
        <v/>
      </c>
    </row>
    <row r="48">
      <c r="A48" t="inlineStr">
        <is>
          <t>E0021</t>
        </is>
      </c>
      <c r="B48" s="2" t="n">
        <v>46144</v>
      </c>
      <c r="C48" t="inlineStr">
        <is>
          <t>1000</t>
        </is>
      </c>
      <c r="D48" t="inlineStr">
        <is>
          <t>Cash in Bank</t>
        </is>
      </c>
      <c r="E48" t="inlineStr">
        <is>
          <t>Office rent</t>
        </is>
      </c>
      <c r="F48" s="3" t="n">
        <v>0</v>
      </c>
      <c r="G48" s="3" t="n">
        <v>25000</v>
      </c>
      <c r="H48" s="3">
        <f>F48-G48</f>
        <v/>
      </c>
    </row>
    <row r="49">
      <c r="A49" t="inlineStr">
        <is>
          <t>E0022</t>
        </is>
      </c>
      <c r="B49" s="2" t="n">
        <v>46162</v>
      </c>
      <c r="C49" t="inlineStr">
        <is>
          <t>6200</t>
        </is>
      </c>
      <c r="D49" t="inlineStr">
        <is>
          <t>Utilities</t>
        </is>
      </c>
      <c r="E49" t="inlineStr">
        <is>
          <t>Utilities</t>
        </is>
      </c>
      <c r="F49" s="3" t="n">
        <v>6881.76</v>
      </c>
      <c r="G49" s="3" t="n">
        <v>0</v>
      </c>
      <c r="H49" s="3">
        <f>F49-G49</f>
        <v/>
      </c>
    </row>
    <row r="50">
      <c r="A50" t="inlineStr">
        <is>
          <t>E0022</t>
        </is>
      </c>
      <c r="B50" s="2" t="n">
        <v>46162</v>
      </c>
      <c r="C50" t="inlineStr">
        <is>
          <t>1000</t>
        </is>
      </c>
      <c r="D50" t="inlineStr">
        <is>
          <t>Cash in Bank</t>
        </is>
      </c>
      <c r="E50" t="inlineStr">
        <is>
          <t>Utilities</t>
        </is>
      </c>
      <c r="F50" s="3" t="n">
        <v>0</v>
      </c>
      <c r="G50" s="3" t="n">
        <v>6881.76</v>
      </c>
      <c r="H50" s="3">
        <f>F50-G50</f>
        <v/>
      </c>
    </row>
    <row r="51">
      <c r="A51" t="inlineStr">
        <is>
          <t>E0023</t>
        </is>
      </c>
      <c r="B51" s="2" t="n">
        <v>46157</v>
      </c>
      <c r="C51" t="inlineStr">
        <is>
          <t>6300</t>
        </is>
      </c>
      <c r="D51" t="inlineStr">
        <is>
          <t>Marketing</t>
        </is>
      </c>
      <c r="E51" t="inlineStr">
        <is>
          <t>Marketing spend</t>
        </is>
      </c>
      <c r="F51" s="3" t="n">
        <v>19660.45</v>
      </c>
      <c r="G51" s="3" t="n">
        <v>0</v>
      </c>
      <c r="H51" s="3">
        <f>F51-G51</f>
        <v/>
      </c>
    </row>
    <row r="52">
      <c r="A52" t="inlineStr">
        <is>
          <t>E0023</t>
        </is>
      </c>
      <c r="B52" s="2" t="n">
        <v>46157</v>
      </c>
      <c r="C52" t="inlineStr">
        <is>
          <t>1000</t>
        </is>
      </c>
      <c r="D52" t="inlineStr">
        <is>
          <t>Cash in Bank</t>
        </is>
      </c>
      <c r="E52" t="inlineStr">
        <is>
          <t>Marketing spend</t>
        </is>
      </c>
      <c r="F52" s="3" t="n">
        <v>0</v>
      </c>
      <c r="G52" s="3" t="n">
        <v>19660.45</v>
      </c>
      <c r="H52" s="3">
        <f>F52-G52</f>
        <v/>
      </c>
    </row>
    <row r="53">
      <c r="A53" t="inlineStr">
        <is>
          <t>E0024</t>
        </is>
      </c>
      <c r="B53" s="2" t="n">
        <v>46172</v>
      </c>
      <c r="C53" t="inlineStr">
        <is>
          <t>6400</t>
        </is>
      </c>
      <c r="D53" t="inlineStr">
        <is>
          <t>Depreciation</t>
        </is>
      </c>
      <c r="E53" t="inlineStr">
        <is>
          <t>Monthly depreciation</t>
        </is>
      </c>
      <c r="F53" s="3" t="n">
        <v>8000</v>
      </c>
      <c r="G53" s="3" t="n">
        <v>0</v>
      </c>
      <c r="H53" s="3">
        <f>F53-G53</f>
        <v/>
      </c>
    </row>
    <row r="54">
      <c r="A54" t="inlineStr">
        <is>
          <t>E0024</t>
        </is>
      </c>
      <c r="B54" s="2" t="n">
        <v>46172</v>
      </c>
      <c r="C54" t="inlineStr">
        <is>
          <t>1510</t>
        </is>
      </c>
      <c r="D54" t="inlineStr">
        <is>
          <t>Accumulated Depreciation</t>
        </is>
      </c>
      <c r="E54" t="inlineStr">
        <is>
          <t>Monthly depreciation</t>
        </is>
      </c>
      <c r="F54" s="3" t="n">
        <v>0</v>
      </c>
      <c r="G54" s="3" t="n">
        <v>8000</v>
      </c>
      <c r="H54" s="3">
        <f>F54-G54</f>
        <v/>
      </c>
    </row>
    <row r="55">
      <c r="A55" t="inlineStr">
        <is>
          <t>E0025</t>
        </is>
      </c>
      <c r="B55" s="2" t="n">
        <v>46160</v>
      </c>
      <c r="C55" t="inlineStr">
        <is>
          <t>2100</t>
        </is>
      </c>
      <c r="D55" t="inlineStr">
        <is>
          <t>Trade Payables</t>
        </is>
      </c>
      <c r="E55" t="inlineStr">
        <is>
          <t>Supplier payments</t>
        </is>
      </c>
      <c r="F55" s="3" t="n">
        <v>80324.94</v>
      </c>
      <c r="G55" s="3" t="n">
        <v>0</v>
      </c>
      <c r="H55" s="3">
        <f>F55-G55</f>
        <v/>
      </c>
    </row>
    <row r="56">
      <c r="A56" t="inlineStr">
        <is>
          <t>E0025</t>
        </is>
      </c>
      <c r="B56" s="2" t="n">
        <v>46160</v>
      </c>
      <c r="C56" t="inlineStr">
        <is>
          <t>1000</t>
        </is>
      </c>
      <c r="D56" t="inlineStr">
        <is>
          <t>Cash in Bank</t>
        </is>
      </c>
      <c r="E56" t="inlineStr">
        <is>
          <t>Supplier payments</t>
        </is>
      </c>
      <c r="F56" s="3" t="n">
        <v>0</v>
      </c>
      <c r="G56" s="3" t="n">
        <v>80324.94</v>
      </c>
      <c r="H56" s="3">
        <f>F56-G56</f>
        <v/>
      </c>
    </row>
    <row r="57">
      <c r="A57" t="inlineStr">
        <is>
          <t>E0026</t>
        </is>
      </c>
      <c r="B57" s="2" t="n">
        <v>46164</v>
      </c>
      <c r="C57" t="inlineStr">
        <is>
          <t>6999</t>
        </is>
      </c>
      <c r="D57" t="inlineStr">
        <is>
          <t>Other Operating Expenses</t>
        </is>
      </c>
      <c r="E57" t="inlineStr">
        <is>
          <t>Misc operating expenses</t>
        </is>
      </c>
      <c r="F57" s="3" t="n">
        <v>10666.01</v>
      </c>
      <c r="G57" s="3" t="n">
        <v>0</v>
      </c>
      <c r="H57" s="3">
        <f>F57-G57</f>
        <v/>
      </c>
    </row>
    <row r="58">
      <c r="A58" t="inlineStr">
        <is>
          <t>E0026</t>
        </is>
      </c>
      <c r="B58" s="2" t="n">
        <v>46164</v>
      </c>
      <c r="C58" t="inlineStr">
        <is>
          <t>1000</t>
        </is>
      </c>
      <c r="D58" t="inlineStr">
        <is>
          <t>Cash in Bank</t>
        </is>
      </c>
      <c r="E58" t="inlineStr">
        <is>
          <t>Misc operating expenses</t>
        </is>
      </c>
      <c r="F58" s="3" t="n">
        <v>0</v>
      </c>
      <c r="G58" s="3" t="n">
        <v>10666.01</v>
      </c>
      <c r="H58" s="3">
        <f>F58-G58</f>
        <v/>
      </c>
    </row>
    <row r="59">
      <c r="A59" t="inlineStr">
        <is>
          <t>E0027</t>
        </is>
      </c>
      <c r="B59" s="2" t="n">
        <v>46169</v>
      </c>
      <c r="C59" t="inlineStr">
        <is>
          <t>2500</t>
        </is>
      </c>
      <c r="D59" t="inlineStr">
        <is>
          <t>Bank Loan</t>
        </is>
      </c>
      <c r="E59" t="inlineStr">
        <is>
          <t>Loan repayment</t>
        </is>
      </c>
      <c r="F59" s="3" t="n">
        <v>15000</v>
      </c>
      <c r="G59" s="3" t="n">
        <v>0</v>
      </c>
      <c r="H59" s="3">
        <f>F59-G59</f>
        <v/>
      </c>
    </row>
    <row r="60">
      <c r="A60" t="inlineStr">
        <is>
          <t>E0027</t>
        </is>
      </c>
      <c r="B60" s="2" t="n">
        <v>46169</v>
      </c>
      <c r="C60" t="inlineStr">
        <is>
          <t>1000</t>
        </is>
      </c>
      <c r="D60" t="inlineStr">
        <is>
          <t>Cash in Bank</t>
        </is>
      </c>
      <c r="E60" t="inlineStr">
        <is>
          <t>Loan repayment</t>
        </is>
      </c>
      <c r="F60" s="3" t="n">
        <v>0</v>
      </c>
      <c r="G60" s="3" t="n">
        <v>15000</v>
      </c>
      <c r="H60" s="3">
        <f>F60-G60</f>
        <v/>
      </c>
    </row>
    <row r="61">
      <c r="A61" t="inlineStr">
        <is>
          <t>E0028</t>
        </is>
      </c>
      <c r="B61" s="2" t="n">
        <v>46176</v>
      </c>
      <c r="C61" t="inlineStr">
        <is>
          <t>1100</t>
        </is>
      </c>
      <c r="D61" t="inlineStr">
        <is>
          <t>Trade Receivables</t>
        </is>
      </c>
      <c r="E61" t="inlineStr">
        <is>
          <t>Credit sales invoices</t>
        </is>
      </c>
      <c r="F61" s="3" t="n">
        <v>244465.54</v>
      </c>
      <c r="G61" s="3" t="n">
        <v>0</v>
      </c>
      <c r="H61" s="3">
        <f>F61-G61</f>
        <v/>
      </c>
    </row>
    <row r="62">
      <c r="A62" t="inlineStr">
        <is>
          <t>E0028</t>
        </is>
      </c>
      <c r="B62" s="2" t="n">
        <v>46176</v>
      </c>
      <c r="C62" t="inlineStr">
        <is>
          <t>4000</t>
        </is>
      </c>
      <c r="D62" t="inlineStr">
        <is>
          <t>Sales Revenue</t>
        </is>
      </c>
      <c r="E62" t="inlineStr">
        <is>
          <t>Credit sales invoices</t>
        </is>
      </c>
      <c r="F62" s="3" t="n">
        <v>0</v>
      </c>
      <c r="G62" s="3" t="n">
        <v>244465.54</v>
      </c>
      <c r="H62" s="3">
        <f>F62-G62</f>
        <v/>
      </c>
    </row>
    <row r="63">
      <c r="A63" t="inlineStr">
        <is>
          <t>E0029</t>
        </is>
      </c>
      <c r="B63" s="2" t="n">
        <v>46181</v>
      </c>
      <c r="C63" t="inlineStr">
        <is>
          <t>1000</t>
        </is>
      </c>
      <c r="D63" t="inlineStr">
        <is>
          <t>Cash in Bank</t>
        </is>
      </c>
      <c r="E63" t="inlineStr">
        <is>
          <t>Service revenue received</t>
        </is>
      </c>
      <c r="F63" s="3" t="n">
        <v>50944.18</v>
      </c>
      <c r="G63" s="3" t="n">
        <v>0</v>
      </c>
      <c r="H63" s="3">
        <f>F63-G63</f>
        <v/>
      </c>
    </row>
    <row r="64">
      <c r="A64" t="inlineStr">
        <is>
          <t>E0029</t>
        </is>
      </c>
      <c r="B64" s="2" t="n">
        <v>46181</v>
      </c>
      <c r="C64" t="inlineStr">
        <is>
          <t>4100</t>
        </is>
      </c>
      <c r="D64" t="inlineStr">
        <is>
          <t>Service Revenue</t>
        </is>
      </c>
      <c r="E64" t="inlineStr">
        <is>
          <t>Service revenue received</t>
        </is>
      </c>
      <c r="F64" s="3" t="n">
        <v>0</v>
      </c>
      <c r="G64" s="3" t="n">
        <v>50944.18</v>
      </c>
      <c r="H64" s="3">
        <f>F64-G64</f>
        <v/>
      </c>
    </row>
    <row r="65">
      <c r="A65" t="inlineStr">
        <is>
          <t>E0030</t>
        </is>
      </c>
      <c r="B65" s="2" t="n">
        <v>46185</v>
      </c>
      <c r="C65" t="inlineStr">
        <is>
          <t>1000</t>
        </is>
      </c>
      <c r="D65" t="inlineStr">
        <is>
          <t>Cash in Bank</t>
        </is>
      </c>
      <c r="E65" t="inlineStr">
        <is>
          <t>Customer collections</t>
        </is>
      </c>
      <c r="F65" s="3" t="n">
        <v>177220.04</v>
      </c>
      <c r="G65" s="3" t="n">
        <v>0</v>
      </c>
      <c r="H65" s="3">
        <f>F65-G65</f>
        <v/>
      </c>
    </row>
    <row r="66">
      <c r="A66" t="inlineStr">
        <is>
          <t>E0030</t>
        </is>
      </c>
      <c r="B66" s="2" t="n">
        <v>46185</v>
      </c>
      <c r="C66" t="inlineStr">
        <is>
          <t>1100</t>
        </is>
      </c>
      <c r="D66" t="inlineStr">
        <is>
          <t>Trade Receivables</t>
        </is>
      </c>
      <c r="E66" t="inlineStr">
        <is>
          <t>Customer collections</t>
        </is>
      </c>
      <c r="F66" s="3" t="n">
        <v>0</v>
      </c>
      <c r="G66" s="3" t="n">
        <v>177220.04</v>
      </c>
      <c r="H66" s="3">
        <f>F66-G66</f>
        <v/>
      </c>
    </row>
    <row r="67">
      <c r="A67" t="inlineStr">
        <is>
          <t>E0031</t>
        </is>
      </c>
      <c r="B67" s="2" t="n">
        <v>46178</v>
      </c>
      <c r="C67" t="inlineStr">
        <is>
          <t>1200</t>
        </is>
      </c>
      <c r="D67" t="inlineStr">
        <is>
          <t>Inventory</t>
        </is>
      </c>
      <c r="E67" t="inlineStr">
        <is>
          <t>Inventory purchases on credit</t>
        </is>
      </c>
      <c r="F67" s="3" t="n">
        <v>97773.97</v>
      </c>
      <c r="G67" s="3" t="n">
        <v>0</v>
      </c>
      <c r="H67" s="3">
        <f>F67-G67</f>
        <v/>
      </c>
    </row>
    <row r="68">
      <c r="A68" t="inlineStr">
        <is>
          <t>E0031</t>
        </is>
      </c>
      <c r="B68" s="2" t="n">
        <v>46178</v>
      </c>
      <c r="C68" t="inlineStr">
        <is>
          <t>2100</t>
        </is>
      </c>
      <c r="D68" t="inlineStr">
        <is>
          <t>Trade Payables</t>
        </is>
      </c>
      <c r="E68" t="inlineStr">
        <is>
          <t>Inventory purchases on credit</t>
        </is>
      </c>
      <c r="F68" s="3" t="n">
        <v>0</v>
      </c>
      <c r="G68" s="3" t="n">
        <v>97773.97</v>
      </c>
      <c r="H68" s="3">
        <f>F68-G68</f>
        <v/>
      </c>
    </row>
    <row r="69">
      <c r="A69" t="inlineStr">
        <is>
          <t>E0032</t>
        </is>
      </c>
      <c r="B69" s="2" t="n">
        <v>46201</v>
      </c>
      <c r="C69" t="inlineStr">
        <is>
          <t>5000</t>
        </is>
      </c>
      <c r="D69" t="inlineStr">
        <is>
          <t>Cost of Goods Sold</t>
        </is>
      </c>
      <c r="E69" t="inlineStr">
        <is>
          <t>Cost of goods sold</t>
        </is>
      </c>
      <c r="F69" s="3" t="n">
        <v>118288.52</v>
      </c>
      <c r="G69" s="3" t="n">
        <v>0</v>
      </c>
      <c r="H69" s="3">
        <f>F69-G69</f>
        <v/>
      </c>
    </row>
    <row r="70">
      <c r="A70" t="inlineStr">
        <is>
          <t>E0032</t>
        </is>
      </c>
      <c r="B70" s="2" t="n">
        <v>46201</v>
      </c>
      <c r="C70" t="inlineStr">
        <is>
          <t>1200</t>
        </is>
      </c>
      <c r="D70" t="inlineStr">
        <is>
          <t>Inventory</t>
        </is>
      </c>
      <c r="E70" t="inlineStr">
        <is>
          <t>Cost of goods sold</t>
        </is>
      </c>
      <c r="F70" s="3" t="n">
        <v>0</v>
      </c>
      <c r="G70" s="3" t="n">
        <v>118288.52</v>
      </c>
      <c r="H70" s="3">
        <f>F70-G70</f>
        <v/>
      </c>
    </row>
    <row r="71">
      <c r="A71" t="inlineStr">
        <is>
          <t>E0033</t>
        </is>
      </c>
      <c r="B71" s="2" t="n">
        <v>46198</v>
      </c>
      <c r="C71" t="inlineStr">
        <is>
          <t>6000</t>
        </is>
      </c>
      <c r="D71" t="inlineStr">
        <is>
          <t>Salaries &amp; Wages</t>
        </is>
      </c>
      <c r="E71" t="inlineStr">
        <is>
          <t>Monthly payroll</t>
        </is>
      </c>
      <c r="F71" s="3" t="n">
        <v>61731.89</v>
      </c>
      <c r="G71" s="3" t="n">
        <v>0</v>
      </c>
      <c r="H71" s="3">
        <f>F71-G71</f>
        <v/>
      </c>
    </row>
    <row r="72">
      <c r="A72" t="inlineStr">
        <is>
          <t>E0033</t>
        </is>
      </c>
      <c r="B72" s="2" t="n">
        <v>46198</v>
      </c>
      <c r="C72" t="inlineStr">
        <is>
          <t>1000</t>
        </is>
      </c>
      <c r="D72" t="inlineStr">
        <is>
          <t>Cash in Bank</t>
        </is>
      </c>
      <c r="E72" t="inlineStr">
        <is>
          <t>Monthly payroll</t>
        </is>
      </c>
      <c r="F72" s="3" t="n">
        <v>0</v>
      </c>
      <c r="G72" s="3" t="n">
        <v>61731.89</v>
      </c>
      <c r="H72" s="3">
        <f>F72-G72</f>
        <v/>
      </c>
    </row>
    <row r="73">
      <c r="A73" t="inlineStr">
        <is>
          <t>E0034</t>
        </is>
      </c>
      <c r="B73" s="2" t="n">
        <v>46175</v>
      </c>
      <c r="C73" t="inlineStr">
        <is>
          <t>6100</t>
        </is>
      </c>
      <c r="D73" t="inlineStr">
        <is>
          <t>Office Rent</t>
        </is>
      </c>
      <c r="E73" t="inlineStr">
        <is>
          <t>Office rent</t>
        </is>
      </c>
      <c r="F73" s="3" t="n">
        <v>25000</v>
      </c>
      <c r="G73" s="3" t="n">
        <v>0</v>
      </c>
      <c r="H73" s="3">
        <f>F73-G73</f>
        <v/>
      </c>
    </row>
    <row r="74">
      <c r="A74" t="inlineStr">
        <is>
          <t>E0034</t>
        </is>
      </c>
      <c r="B74" s="2" t="n">
        <v>46175</v>
      </c>
      <c r="C74" t="inlineStr">
        <is>
          <t>1000</t>
        </is>
      </c>
      <c r="D74" t="inlineStr">
        <is>
          <t>Cash in Bank</t>
        </is>
      </c>
      <c r="E74" t="inlineStr">
        <is>
          <t>Office rent</t>
        </is>
      </c>
      <c r="F74" s="3" t="n">
        <v>0</v>
      </c>
      <c r="G74" s="3" t="n">
        <v>25000</v>
      </c>
      <c r="H74" s="3">
        <f>F74-G74</f>
        <v/>
      </c>
    </row>
    <row r="75">
      <c r="A75" t="inlineStr">
        <is>
          <t>E0035</t>
        </is>
      </c>
      <c r="B75" s="2" t="n">
        <v>46193</v>
      </c>
      <c r="C75" t="inlineStr">
        <is>
          <t>6200</t>
        </is>
      </c>
      <c r="D75" t="inlineStr">
        <is>
          <t>Utilities</t>
        </is>
      </c>
      <c r="E75" t="inlineStr">
        <is>
          <t>Utilities</t>
        </is>
      </c>
      <c r="F75" s="3" t="n">
        <v>6370.98</v>
      </c>
      <c r="G75" s="3" t="n">
        <v>0</v>
      </c>
      <c r="H75" s="3">
        <f>F75-G75</f>
        <v/>
      </c>
    </row>
    <row r="76">
      <c r="A76" t="inlineStr">
        <is>
          <t>E0035</t>
        </is>
      </c>
      <c r="B76" s="2" t="n">
        <v>46193</v>
      </c>
      <c r="C76" t="inlineStr">
        <is>
          <t>1000</t>
        </is>
      </c>
      <c r="D76" t="inlineStr">
        <is>
          <t>Cash in Bank</t>
        </is>
      </c>
      <c r="E76" t="inlineStr">
        <is>
          <t>Utilities</t>
        </is>
      </c>
      <c r="F76" s="3" t="n">
        <v>0</v>
      </c>
      <c r="G76" s="3" t="n">
        <v>6370.98</v>
      </c>
      <c r="H76" s="3">
        <f>F76-G76</f>
        <v/>
      </c>
    </row>
    <row r="77">
      <c r="A77" t="inlineStr">
        <is>
          <t>E0036</t>
        </is>
      </c>
      <c r="B77" s="2" t="n">
        <v>46188</v>
      </c>
      <c r="C77" t="inlineStr">
        <is>
          <t>6300</t>
        </is>
      </c>
      <c r="D77" t="inlineStr">
        <is>
          <t>Marketing</t>
        </is>
      </c>
      <c r="E77" t="inlineStr">
        <is>
          <t>Marketing spend</t>
        </is>
      </c>
      <c r="F77" s="3" t="n">
        <v>13257.31</v>
      </c>
      <c r="G77" s="3" t="n">
        <v>0</v>
      </c>
      <c r="H77" s="3">
        <f>F77-G77</f>
        <v/>
      </c>
    </row>
    <row r="78">
      <c r="A78" t="inlineStr">
        <is>
          <t>E0036</t>
        </is>
      </c>
      <c r="B78" s="2" t="n">
        <v>46188</v>
      </c>
      <c r="C78" t="inlineStr">
        <is>
          <t>1000</t>
        </is>
      </c>
      <c r="D78" t="inlineStr">
        <is>
          <t>Cash in Bank</t>
        </is>
      </c>
      <c r="E78" t="inlineStr">
        <is>
          <t>Marketing spend</t>
        </is>
      </c>
      <c r="F78" s="3" t="n">
        <v>0</v>
      </c>
      <c r="G78" s="3" t="n">
        <v>13257.31</v>
      </c>
      <c r="H78" s="3">
        <f>F78-G78</f>
        <v/>
      </c>
    </row>
    <row r="79">
      <c r="A79" t="inlineStr">
        <is>
          <t>E0037</t>
        </is>
      </c>
      <c r="B79" s="2" t="n">
        <v>46203</v>
      </c>
      <c r="C79" t="inlineStr">
        <is>
          <t>6400</t>
        </is>
      </c>
      <c r="D79" t="inlineStr">
        <is>
          <t>Depreciation</t>
        </is>
      </c>
      <c r="E79" t="inlineStr">
        <is>
          <t>Monthly depreciation</t>
        </is>
      </c>
      <c r="F79" s="3" t="n">
        <v>8000</v>
      </c>
      <c r="G79" s="3" t="n">
        <v>0</v>
      </c>
      <c r="H79" s="3">
        <f>F79-G79</f>
        <v/>
      </c>
    </row>
    <row r="80">
      <c r="A80" t="inlineStr">
        <is>
          <t>E0037</t>
        </is>
      </c>
      <c r="B80" s="2" t="n">
        <v>46203</v>
      </c>
      <c r="C80" t="inlineStr">
        <is>
          <t>1510</t>
        </is>
      </c>
      <c r="D80" t="inlineStr">
        <is>
          <t>Accumulated Depreciation</t>
        </is>
      </c>
      <c r="E80" t="inlineStr">
        <is>
          <t>Monthly depreciation</t>
        </is>
      </c>
      <c r="F80" s="3" t="n">
        <v>0</v>
      </c>
      <c r="G80" s="3" t="n">
        <v>8000</v>
      </c>
      <c r="H80" s="3">
        <f>F80-G80</f>
        <v/>
      </c>
    </row>
    <row r="81">
      <c r="A81" t="inlineStr">
        <is>
          <t>E0038</t>
        </is>
      </c>
      <c r="B81" s="2" t="n">
        <v>46191</v>
      </c>
      <c r="C81" t="inlineStr">
        <is>
          <t>2100</t>
        </is>
      </c>
      <c r="D81" t="inlineStr">
        <is>
          <t>Trade Payables</t>
        </is>
      </c>
      <c r="E81" t="inlineStr">
        <is>
          <t>Supplier payments</t>
        </is>
      </c>
      <c r="F81" s="3" t="n">
        <v>110186.3</v>
      </c>
      <c r="G81" s="3" t="n">
        <v>0</v>
      </c>
      <c r="H81" s="3">
        <f>F81-G81</f>
        <v/>
      </c>
    </row>
    <row r="82">
      <c r="A82" t="inlineStr">
        <is>
          <t>E0038</t>
        </is>
      </c>
      <c r="B82" s="2" t="n">
        <v>46191</v>
      </c>
      <c r="C82" t="inlineStr">
        <is>
          <t>1000</t>
        </is>
      </c>
      <c r="D82" t="inlineStr">
        <is>
          <t>Cash in Bank</t>
        </is>
      </c>
      <c r="E82" t="inlineStr">
        <is>
          <t>Supplier payments</t>
        </is>
      </c>
      <c r="F82" s="3" t="n">
        <v>0</v>
      </c>
      <c r="G82" s="3" t="n">
        <v>110186.3</v>
      </c>
      <c r="H82" s="3">
        <f>F82-G82</f>
        <v/>
      </c>
    </row>
    <row r="83">
      <c r="A83" t="inlineStr">
        <is>
          <t>E0039</t>
        </is>
      </c>
      <c r="B83" s="2" t="n">
        <v>46195</v>
      </c>
      <c r="C83" t="inlineStr">
        <is>
          <t>6999</t>
        </is>
      </c>
      <c r="D83" t="inlineStr">
        <is>
          <t>Other Operating Expenses</t>
        </is>
      </c>
      <c r="E83" t="inlineStr">
        <is>
          <t>Misc operating expenses</t>
        </is>
      </c>
      <c r="F83" s="3" t="n">
        <v>10932.46</v>
      </c>
      <c r="G83" s="3" t="n">
        <v>0</v>
      </c>
      <c r="H83" s="3">
        <f>F83-G83</f>
        <v/>
      </c>
    </row>
    <row r="84">
      <c r="A84" t="inlineStr">
        <is>
          <t>E0039</t>
        </is>
      </c>
      <c r="B84" s="2" t="n">
        <v>46195</v>
      </c>
      <c r="C84" t="inlineStr">
        <is>
          <t>1000</t>
        </is>
      </c>
      <c r="D84" t="inlineStr">
        <is>
          <t>Cash in Bank</t>
        </is>
      </c>
      <c r="E84" t="inlineStr">
        <is>
          <t>Misc operating expenses</t>
        </is>
      </c>
      <c r="F84" s="3" t="n">
        <v>0</v>
      </c>
      <c r="G84" s="3" t="n">
        <v>10932.46</v>
      </c>
      <c r="H84" s="3">
        <f>F84-G84</f>
        <v/>
      </c>
    </row>
    <row r="85">
      <c r="A85" t="inlineStr">
        <is>
          <t>E0040</t>
        </is>
      </c>
      <c r="B85" s="2" t="n">
        <v>46200</v>
      </c>
      <c r="C85" t="inlineStr">
        <is>
          <t>2500</t>
        </is>
      </c>
      <c r="D85" t="inlineStr">
        <is>
          <t>Bank Loan</t>
        </is>
      </c>
      <c r="E85" t="inlineStr">
        <is>
          <t>Loan repayment</t>
        </is>
      </c>
      <c r="F85" s="3" t="n">
        <v>15000</v>
      </c>
      <c r="G85" s="3" t="n">
        <v>0</v>
      </c>
      <c r="H85" s="3">
        <f>F85-G85</f>
        <v/>
      </c>
    </row>
    <row r="86">
      <c r="A86" t="inlineStr">
        <is>
          <t>E0040</t>
        </is>
      </c>
      <c r="B86" s="2" t="n">
        <v>46200</v>
      </c>
      <c r="C86" t="inlineStr">
        <is>
          <t>1000</t>
        </is>
      </c>
      <c r="D86" t="inlineStr">
        <is>
          <t>Cash in Bank</t>
        </is>
      </c>
      <c r="E86" t="inlineStr">
        <is>
          <t>Loan repayment</t>
        </is>
      </c>
      <c r="F86" s="3" t="n">
        <v>0</v>
      </c>
      <c r="G86" s="3" t="n">
        <v>15000</v>
      </c>
      <c r="H86" s="3">
        <f>F86-G86</f>
        <v/>
      </c>
    </row>
    <row r="87">
      <c r="A87" t="inlineStr">
        <is>
          <t>E0041</t>
        </is>
      </c>
      <c r="B87" s="2" t="n">
        <v>46187</v>
      </c>
      <c r="C87" t="inlineStr">
        <is>
          <t>1500</t>
        </is>
      </c>
      <c r="D87" t="inlineStr">
        <is>
          <t>Equipment (net of purchases)</t>
        </is>
      </c>
      <c r="E87" t="inlineStr">
        <is>
          <t>Equipment purchase</t>
        </is>
      </c>
      <c r="F87" s="3" t="n">
        <v>60000</v>
      </c>
      <c r="G87" s="3" t="n">
        <v>0</v>
      </c>
      <c r="H87" s="3">
        <f>F87-G87</f>
        <v/>
      </c>
    </row>
    <row r="88">
      <c r="A88" t="inlineStr">
        <is>
          <t>E0041</t>
        </is>
      </c>
      <c r="B88" s="2" t="n">
        <v>46187</v>
      </c>
      <c r="C88" t="inlineStr">
        <is>
          <t>1000</t>
        </is>
      </c>
      <c r="D88" t="inlineStr">
        <is>
          <t>Cash in Bank</t>
        </is>
      </c>
      <c r="E88" t="inlineStr">
        <is>
          <t>Equipment purchase</t>
        </is>
      </c>
      <c r="F88" s="3" t="n">
        <v>0</v>
      </c>
      <c r="G88" s="3" t="n">
        <v>60000</v>
      </c>
      <c r="H88" s="3">
        <f>F88-G88</f>
        <v/>
      </c>
    </row>
    <row r="89">
      <c r="A89" t="inlineStr">
        <is>
          <t>E0042</t>
        </is>
      </c>
      <c r="B89" s="2" t="n">
        <v>46206</v>
      </c>
      <c r="C89" t="inlineStr">
        <is>
          <t>1100</t>
        </is>
      </c>
      <c r="D89" t="inlineStr">
        <is>
          <t>Trade Receivables</t>
        </is>
      </c>
      <c r="E89" t="inlineStr">
        <is>
          <t>Credit sales invoices</t>
        </is>
      </c>
      <c r="F89" s="3" t="n">
        <v>244570.26</v>
      </c>
      <c r="G89" s="3" t="n">
        <v>0</v>
      </c>
      <c r="H89" s="3">
        <f>F89-G89</f>
        <v/>
      </c>
    </row>
    <row r="90">
      <c r="A90" t="inlineStr">
        <is>
          <t>E0042</t>
        </is>
      </c>
      <c r="B90" s="2" t="n">
        <v>46206</v>
      </c>
      <c r="C90" t="inlineStr">
        <is>
          <t>4000</t>
        </is>
      </c>
      <c r="D90" t="inlineStr">
        <is>
          <t>Sales Revenue</t>
        </is>
      </c>
      <c r="E90" t="inlineStr">
        <is>
          <t>Credit sales invoices</t>
        </is>
      </c>
      <c r="F90" s="3" t="n">
        <v>0</v>
      </c>
      <c r="G90" s="3" t="n">
        <v>244570.26</v>
      </c>
      <c r="H90" s="3">
        <f>F90-G90</f>
        <v/>
      </c>
    </row>
    <row r="91">
      <c r="A91" t="inlineStr">
        <is>
          <t>E0043</t>
        </is>
      </c>
      <c r="B91" s="2" t="n">
        <v>46211</v>
      </c>
      <c r="C91" t="inlineStr">
        <is>
          <t>1000</t>
        </is>
      </c>
      <c r="D91" t="inlineStr">
        <is>
          <t>Cash in Bank</t>
        </is>
      </c>
      <c r="E91" t="inlineStr">
        <is>
          <t>Service revenue received</t>
        </is>
      </c>
      <c r="F91" s="3" t="n">
        <v>51891.95</v>
      </c>
      <c r="G91" s="3" t="n">
        <v>0</v>
      </c>
      <c r="H91" s="3">
        <f>F91-G91</f>
        <v/>
      </c>
    </row>
    <row r="92">
      <c r="A92" t="inlineStr">
        <is>
          <t>E0043</t>
        </is>
      </c>
      <c r="B92" s="2" t="n">
        <v>46211</v>
      </c>
      <c r="C92" t="inlineStr">
        <is>
          <t>4100</t>
        </is>
      </c>
      <c r="D92" t="inlineStr">
        <is>
          <t>Service Revenue</t>
        </is>
      </c>
      <c r="E92" t="inlineStr">
        <is>
          <t>Service revenue received</t>
        </is>
      </c>
      <c r="F92" s="3" t="n">
        <v>0</v>
      </c>
      <c r="G92" s="3" t="n">
        <v>51891.95</v>
      </c>
      <c r="H92" s="3">
        <f>F92-G92</f>
        <v/>
      </c>
    </row>
    <row r="93">
      <c r="A93" t="inlineStr">
        <is>
          <t>E0044</t>
        </is>
      </c>
      <c r="B93" s="2" t="n">
        <v>46215</v>
      </c>
      <c r="C93" t="inlineStr">
        <is>
          <t>1000</t>
        </is>
      </c>
      <c r="D93" t="inlineStr">
        <is>
          <t>Cash in Bank</t>
        </is>
      </c>
      <c r="E93" t="inlineStr">
        <is>
          <t>Customer collections</t>
        </is>
      </c>
      <c r="F93" s="3" t="n">
        <v>192898.25</v>
      </c>
      <c r="G93" s="3" t="n">
        <v>0</v>
      </c>
      <c r="H93" s="3">
        <f>F93-G93</f>
        <v/>
      </c>
    </row>
    <row r="94">
      <c r="A94" t="inlineStr">
        <is>
          <t>E0044</t>
        </is>
      </c>
      <c r="B94" s="2" t="n">
        <v>46215</v>
      </c>
      <c r="C94" t="inlineStr">
        <is>
          <t>1100</t>
        </is>
      </c>
      <c r="D94" t="inlineStr">
        <is>
          <t>Trade Receivables</t>
        </is>
      </c>
      <c r="E94" t="inlineStr">
        <is>
          <t>Customer collections</t>
        </is>
      </c>
      <c r="F94" s="3" t="n">
        <v>0</v>
      </c>
      <c r="G94" s="3" t="n">
        <v>192898.25</v>
      </c>
      <c r="H94" s="3">
        <f>F94-G94</f>
        <v/>
      </c>
    </row>
    <row r="95">
      <c r="A95" t="inlineStr">
        <is>
          <t>E0045</t>
        </is>
      </c>
      <c r="B95" s="2" t="n">
        <v>46208</v>
      </c>
      <c r="C95" t="inlineStr">
        <is>
          <t>1200</t>
        </is>
      </c>
      <c r="D95" t="inlineStr">
        <is>
          <t>Inventory</t>
        </is>
      </c>
      <c r="E95" t="inlineStr">
        <is>
          <t>Inventory purchases on credit</t>
        </is>
      </c>
      <c r="F95" s="3" t="n">
        <v>138655.79</v>
      </c>
      <c r="G95" s="3" t="n">
        <v>0</v>
      </c>
      <c r="H95" s="3">
        <f>F95-G95</f>
        <v/>
      </c>
    </row>
    <row r="96">
      <c r="A96" t="inlineStr">
        <is>
          <t>E0045</t>
        </is>
      </c>
      <c r="B96" s="2" t="n">
        <v>46208</v>
      </c>
      <c r="C96" t="inlineStr">
        <is>
          <t>2100</t>
        </is>
      </c>
      <c r="D96" t="inlineStr">
        <is>
          <t>Trade Payables</t>
        </is>
      </c>
      <c r="E96" t="inlineStr">
        <is>
          <t>Inventory purchases on credit</t>
        </is>
      </c>
      <c r="F96" s="3" t="n">
        <v>0</v>
      </c>
      <c r="G96" s="3" t="n">
        <v>138655.79</v>
      </c>
      <c r="H96" s="3">
        <f>F96-G96</f>
        <v/>
      </c>
    </row>
    <row r="97">
      <c r="A97" t="inlineStr">
        <is>
          <t>E0046</t>
        </is>
      </c>
      <c r="B97" s="2" t="n">
        <v>46231</v>
      </c>
      <c r="C97" t="inlineStr">
        <is>
          <t>5000</t>
        </is>
      </c>
      <c r="D97" t="inlineStr">
        <is>
          <t>Cost of Goods Sold</t>
        </is>
      </c>
      <c r="E97" t="inlineStr">
        <is>
          <t>Cost of goods sold</t>
        </is>
      </c>
      <c r="F97" s="3" t="n">
        <v>95141.38</v>
      </c>
      <c r="G97" s="3" t="n">
        <v>0</v>
      </c>
      <c r="H97" s="3">
        <f>F97-G97</f>
        <v/>
      </c>
    </row>
    <row r="98">
      <c r="A98" t="inlineStr">
        <is>
          <t>E0046</t>
        </is>
      </c>
      <c r="B98" s="2" t="n">
        <v>46231</v>
      </c>
      <c r="C98" t="inlineStr">
        <is>
          <t>1200</t>
        </is>
      </c>
      <c r="D98" t="inlineStr">
        <is>
          <t>Inventory</t>
        </is>
      </c>
      <c r="E98" t="inlineStr">
        <is>
          <t>Cost of goods sold</t>
        </is>
      </c>
      <c r="F98" s="3" t="n">
        <v>0</v>
      </c>
      <c r="G98" s="3" t="n">
        <v>95141.38</v>
      </c>
      <c r="H98" s="3">
        <f>F98-G98</f>
        <v/>
      </c>
    </row>
    <row r="99">
      <c r="A99" t="inlineStr">
        <is>
          <t>E0047</t>
        </is>
      </c>
      <c r="B99" s="2" t="n">
        <v>46228</v>
      </c>
      <c r="C99" t="inlineStr">
        <is>
          <t>6000</t>
        </is>
      </c>
      <c r="D99" t="inlineStr">
        <is>
          <t>Salaries &amp; Wages</t>
        </is>
      </c>
      <c r="E99" t="inlineStr">
        <is>
          <t>Monthly payroll</t>
        </is>
      </c>
      <c r="F99" s="3" t="n">
        <v>66040.81</v>
      </c>
      <c r="G99" s="3" t="n">
        <v>0</v>
      </c>
      <c r="H99" s="3">
        <f>F99-G99</f>
        <v/>
      </c>
    </row>
    <row r="100">
      <c r="A100" t="inlineStr">
        <is>
          <t>E0047</t>
        </is>
      </c>
      <c r="B100" s="2" t="n">
        <v>46228</v>
      </c>
      <c r="C100" t="inlineStr">
        <is>
          <t>1000</t>
        </is>
      </c>
      <c r="D100" t="inlineStr">
        <is>
          <t>Cash in Bank</t>
        </is>
      </c>
      <c r="E100" t="inlineStr">
        <is>
          <t>Monthly payroll</t>
        </is>
      </c>
      <c r="F100" s="3" t="n">
        <v>0</v>
      </c>
      <c r="G100" s="3" t="n">
        <v>66040.81</v>
      </c>
      <c r="H100" s="3">
        <f>F100-G100</f>
        <v/>
      </c>
    </row>
    <row r="101">
      <c r="A101" t="inlineStr">
        <is>
          <t>E0048</t>
        </is>
      </c>
      <c r="B101" s="2" t="n">
        <v>46205</v>
      </c>
      <c r="C101" t="inlineStr">
        <is>
          <t>6100</t>
        </is>
      </c>
      <c r="D101" t="inlineStr">
        <is>
          <t>Office Rent</t>
        </is>
      </c>
      <c r="E101" t="inlineStr">
        <is>
          <t>Office rent</t>
        </is>
      </c>
      <c r="F101" s="3" t="n">
        <v>25000</v>
      </c>
      <c r="G101" s="3" t="n">
        <v>0</v>
      </c>
      <c r="H101" s="3">
        <f>F101-G101</f>
        <v/>
      </c>
    </row>
    <row r="102">
      <c r="A102" t="inlineStr">
        <is>
          <t>E0048</t>
        </is>
      </c>
      <c r="B102" s="2" t="n">
        <v>46205</v>
      </c>
      <c r="C102" t="inlineStr">
        <is>
          <t>1000</t>
        </is>
      </c>
      <c r="D102" t="inlineStr">
        <is>
          <t>Cash in Bank</t>
        </is>
      </c>
      <c r="E102" t="inlineStr">
        <is>
          <t>Office rent</t>
        </is>
      </c>
      <c r="F102" s="3" t="n">
        <v>0</v>
      </c>
      <c r="G102" s="3" t="n">
        <v>25000</v>
      </c>
      <c r="H102" s="3">
        <f>F102-G102</f>
        <v/>
      </c>
    </row>
    <row r="103">
      <c r="A103" t="inlineStr">
        <is>
          <t>E0049</t>
        </is>
      </c>
      <c r="B103" s="2" t="n">
        <v>46223</v>
      </c>
      <c r="C103" t="inlineStr">
        <is>
          <t>6200</t>
        </is>
      </c>
      <c r="D103" t="inlineStr">
        <is>
          <t>Utilities</t>
        </is>
      </c>
      <c r="E103" t="inlineStr">
        <is>
          <t>Utilities</t>
        </is>
      </c>
      <c r="F103" s="3" t="n">
        <v>9317.620000000001</v>
      </c>
      <c r="G103" s="3" t="n">
        <v>0</v>
      </c>
      <c r="H103" s="3">
        <f>F103-G103</f>
        <v/>
      </c>
    </row>
    <row r="104">
      <c r="A104" t="inlineStr">
        <is>
          <t>E0049</t>
        </is>
      </c>
      <c r="B104" s="2" t="n">
        <v>46223</v>
      </c>
      <c r="C104" t="inlineStr">
        <is>
          <t>1000</t>
        </is>
      </c>
      <c r="D104" t="inlineStr">
        <is>
          <t>Cash in Bank</t>
        </is>
      </c>
      <c r="E104" t="inlineStr">
        <is>
          <t>Utilities</t>
        </is>
      </c>
      <c r="F104" s="3" t="n">
        <v>0</v>
      </c>
      <c r="G104" s="3" t="n">
        <v>9317.620000000001</v>
      </c>
      <c r="H104" s="3">
        <f>F104-G104</f>
        <v/>
      </c>
    </row>
    <row r="105">
      <c r="A105" t="inlineStr">
        <is>
          <t>E0050</t>
        </is>
      </c>
      <c r="B105" s="2" t="n">
        <v>46218</v>
      </c>
      <c r="C105" t="inlineStr">
        <is>
          <t>6300</t>
        </is>
      </c>
      <c r="D105" t="inlineStr">
        <is>
          <t>Marketing</t>
        </is>
      </c>
      <c r="E105" t="inlineStr">
        <is>
          <t>Marketing spend</t>
        </is>
      </c>
      <c r="F105" s="3" t="n">
        <v>20040.76</v>
      </c>
      <c r="G105" s="3" t="n">
        <v>0</v>
      </c>
      <c r="H105" s="3">
        <f>F105-G105</f>
        <v/>
      </c>
    </row>
    <row r="106">
      <c r="A106" t="inlineStr">
        <is>
          <t>E0050</t>
        </is>
      </c>
      <c r="B106" s="2" t="n">
        <v>46218</v>
      </c>
      <c r="C106" t="inlineStr">
        <is>
          <t>1000</t>
        </is>
      </c>
      <c r="D106" t="inlineStr">
        <is>
          <t>Cash in Bank</t>
        </is>
      </c>
      <c r="E106" t="inlineStr">
        <is>
          <t>Marketing spend</t>
        </is>
      </c>
      <c r="F106" s="3" t="n">
        <v>0</v>
      </c>
      <c r="G106" s="3" t="n">
        <v>20040.76</v>
      </c>
      <c r="H106" s="3">
        <f>F106-G106</f>
        <v/>
      </c>
    </row>
    <row r="107">
      <c r="A107" t="inlineStr">
        <is>
          <t>E0051</t>
        </is>
      </c>
      <c r="B107" s="2" t="n">
        <v>46233</v>
      </c>
      <c r="C107" t="inlineStr">
        <is>
          <t>6400</t>
        </is>
      </c>
      <c r="D107" t="inlineStr">
        <is>
          <t>Depreciation</t>
        </is>
      </c>
      <c r="E107" t="inlineStr">
        <is>
          <t>Monthly depreciation</t>
        </is>
      </c>
      <c r="F107" s="3" t="n">
        <v>8000</v>
      </c>
      <c r="G107" s="3" t="n">
        <v>0</v>
      </c>
      <c r="H107" s="3">
        <f>F107-G107</f>
        <v/>
      </c>
    </row>
    <row r="108">
      <c r="A108" t="inlineStr">
        <is>
          <t>E0051</t>
        </is>
      </c>
      <c r="B108" s="2" t="n">
        <v>46233</v>
      </c>
      <c r="C108" t="inlineStr">
        <is>
          <t>1510</t>
        </is>
      </c>
      <c r="D108" t="inlineStr">
        <is>
          <t>Accumulated Depreciation</t>
        </is>
      </c>
      <c r="E108" t="inlineStr">
        <is>
          <t>Monthly depreciation</t>
        </is>
      </c>
      <c r="F108" s="3" t="n">
        <v>0</v>
      </c>
      <c r="G108" s="3" t="n">
        <v>8000</v>
      </c>
      <c r="H108" s="3">
        <f>F108-G108</f>
        <v/>
      </c>
    </row>
    <row r="109">
      <c r="A109" t="inlineStr">
        <is>
          <t>E0052</t>
        </is>
      </c>
      <c r="B109" s="2" t="n">
        <v>46221</v>
      </c>
      <c r="C109" t="inlineStr">
        <is>
          <t>2100</t>
        </is>
      </c>
      <c r="D109" t="inlineStr">
        <is>
          <t>Trade Payables</t>
        </is>
      </c>
      <c r="E109" t="inlineStr">
        <is>
          <t>Supplier payments</t>
        </is>
      </c>
      <c r="F109" s="3" t="n">
        <v>108867.61</v>
      </c>
      <c r="G109" s="3" t="n">
        <v>0</v>
      </c>
      <c r="H109" s="3">
        <f>F109-G109</f>
        <v/>
      </c>
    </row>
    <row r="110">
      <c r="A110" t="inlineStr">
        <is>
          <t>E0052</t>
        </is>
      </c>
      <c r="B110" s="2" t="n">
        <v>46221</v>
      </c>
      <c r="C110" t="inlineStr">
        <is>
          <t>1000</t>
        </is>
      </c>
      <c r="D110" t="inlineStr">
        <is>
          <t>Cash in Bank</t>
        </is>
      </c>
      <c r="E110" t="inlineStr">
        <is>
          <t>Supplier payments</t>
        </is>
      </c>
      <c r="F110" s="3" t="n">
        <v>0</v>
      </c>
      <c r="G110" s="3" t="n">
        <v>108867.61</v>
      </c>
      <c r="H110" s="3">
        <f>F110-G110</f>
        <v/>
      </c>
    </row>
    <row r="111">
      <c r="A111" t="inlineStr">
        <is>
          <t>E0053</t>
        </is>
      </c>
      <c r="B111" s="2" t="n">
        <v>46225</v>
      </c>
      <c r="C111" t="inlineStr">
        <is>
          <t>6999</t>
        </is>
      </c>
      <c r="D111" t="inlineStr">
        <is>
          <t>Other Operating Expenses</t>
        </is>
      </c>
      <c r="E111" t="inlineStr">
        <is>
          <t>Misc operating expenses</t>
        </is>
      </c>
      <c r="F111" s="3" t="n">
        <v>11031.95</v>
      </c>
      <c r="G111" s="3" t="n">
        <v>0</v>
      </c>
      <c r="H111" s="3">
        <f>F111-G111</f>
        <v/>
      </c>
    </row>
    <row r="112">
      <c r="A112" t="inlineStr">
        <is>
          <t>E0053</t>
        </is>
      </c>
      <c r="B112" s="2" t="n">
        <v>46225</v>
      </c>
      <c r="C112" t="inlineStr">
        <is>
          <t>1000</t>
        </is>
      </c>
      <c r="D112" t="inlineStr">
        <is>
          <t>Cash in Bank</t>
        </is>
      </c>
      <c r="E112" t="inlineStr">
        <is>
          <t>Misc operating expenses</t>
        </is>
      </c>
      <c r="F112" s="3" t="n">
        <v>0</v>
      </c>
      <c r="G112" s="3" t="n">
        <v>11031.95</v>
      </c>
      <c r="H112" s="3">
        <f>F112-G112</f>
        <v/>
      </c>
    </row>
    <row r="113">
      <c r="A113" t="inlineStr">
        <is>
          <t>E0054</t>
        </is>
      </c>
      <c r="B113" s="2" t="n">
        <v>46230</v>
      </c>
      <c r="C113" t="inlineStr">
        <is>
          <t>2500</t>
        </is>
      </c>
      <c r="D113" t="inlineStr">
        <is>
          <t>Bank Loan</t>
        </is>
      </c>
      <c r="E113" t="inlineStr">
        <is>
          <t>Loan repayment</t>
        </is>
      </c>
      <c r="F113" s="3" t="n">
        <v>15000</v>
      </c>
      <c r="G113" s="3" t="n">
        <v>0</v>
      </c>
      <c r="H113" s="3">
        <f>F113-G113</f>
        <v/>
      </c>
    </row>
    <row r="114">
      <c r="A114" t="inlineStr">
        <is>
          <t>E0054</t>
        </is>
      </c>
      <c r="B114" s="2" t="n">
        <v>46230</v>
      </c>
      <c r="C114" t="inlineStr">
        <is>
          <t>1000</t>
        </is>
      </c>
      <c r="D114" t="inlineStr">
        <is>
          <t>Cash in Bank</t>
        </is>
      </c>
      <c r="E114" t="inlineStr">
        <is>
          <t>Loan repayment</t>
        </is>
      </c>
      <c r="F114" s="3" t="n">
        <v>0</v>
      </c>
      <c r="G114" s="3" t="n">
        <v>15000</v>
      </c>
      <c r="H114" s="3">
        <f>F114-G114</f>
        <v/>
      </c>
    </row>
    <row r="115">
      <c r="A115" t="inlineStr">
        <is>
          <t>E0055</t>
        </is>
      </c>
      <c r="B115" s="2" t="n">
        <v>46212</v>
      </c>
      <c r="C115" t="inlineStr">
        <is>
          <t>1000</t>
        </is>
      </c>
      <c r="D115" t="inlineStr">
        <is>
          <t>Cash in Bank</t>
        </is>
      </c>
      <c r="E115" t="inlineStr">
        <is>
          <t>Scrap sale - other income</t>
        </is>
      </c>
      <c r="F115" s="3" t="n">
        <v>18000</v>
      </c>
      <c r="G115" s="3" t="n">
        <v>0</v>
      </c>
      <c r="H115" s="3">
        <f>F115-G115</f>
        <v/>
      </c>
    </row>
    <row r="116">
      <c r="A116" t="inlineStr">
        <is>
          <t>E0055</t>
        </is>
      </c>
      <c r="B116" s="2" t="n">
        <v>46212</v>
      </c>
      <c r="C116" t="inlineStr">
        <is>
          <t>7000</t>
        </is>
      </c>
      <c r="D116" t="inlineStr">
        <is>
          <t>Other Income</t>
        </is>
      </c>
      <c r="E116" t="inlineStr">
        <is>
          <t>Scrap sale - other income</t>
        </is>
      </c>
      <c r="F116" s="3" t="n">
        <v>0</v>
      </c>
      <c r="G116" s="3" t="n">
        <v>18000</v>
      </c>
      <c r="H116" s="3">
        <f>F116-G116</f>
        <v/>
      </c>
    </row>
    <row r="117">
      <c r="A117" t="inlineStr">
        <is>
          <t>E0056</t>
        </is>
      </c>
      <c r="B117" s="2" t="n">
        <v>46237</v>
      </c>
      <c r="C117" t="inlineStr">
        <is>
          <t>1100</t>
        </is>
      </c>
      <c r="D117" t="inlineStr">
        <is>
          <t>Trade Receivables</t>
        </is>
      </c>
      <c r="E117" t="inlineStr">
        <is>
          <t>Credit sales invoices</t>
        </is>
      </c>
      <c r="F117" s="3" t="n">
        <v>236365.75</v>
      </c>
      <c r="G117" s="3" t="n">
        <v>0</v>
      </c>
      <c r="H117" s="3">
        <f>F117-G117</f>
        <v/>
      </c>
    </row>
    <row r="118">
      <c r="A118" t="inlineStr">
        <is>
          <t>E0056</t>
        </is>
      </c>
      <c r="B118" s="2" t="n">
        <v>46237</v>
      </c>
      <c r="C118" t="inlineStr">
        <is>
          <t>4000</t>
        </is>
      </c>
      <c r="D118" t="inlineStr">
        <is>
          <t>Sales Revenue</t>
        </is>
      </c>
      <c r="E118" t="inlineStr">
        <is>
          <t>Credit sales invoices</t>
        </is>
      </c>
      <c r="F118" s="3" t="n">
        <v>0</v>
      </c>
      <c r="G118" s="3" t="n">
        <v>236365.75</v>
      </c>
      <c r="H118" s="3">
        <f>F118-G118</f>
        <v/>
      </c>
    </row>
    <row r="119">
      <c r="A119" t="inlineStr">
        <is>
          <t>E0057</t>
        </is>
      </c>
      <c r="B119" s="2" t="n">
        <v>46242</v>
      </c>
      <c r="C119" t="inlineStr">
        <is>
          <t>1000</t>
        </is>
      </c>
      <c r="D119" t="inlineStr">
        <is>
          <t>Cash in Bank</t>
        </is>
      </c>
      <c r="E119" t="inlineStr">
        <is>
          <t>Service revenue received</t>
        </is>
      </c>
      <c r="F119" s="3" t="n">
        <v>31374.73</v>
      </c>
      <c r="G119" s="3" t="n">
        <v>0</v>
      </c>
      <c r="H119" s="3">
        <f>F119-G119</f>
        <v/>
      </c>
    </row>
    <row r="120">
      <c r="A120" t="inlineStr">
        <is>
          <t>E0057</t>
        </is>
      </c>
      <c r="B120" s="2" t="n">
        <v>46242</v>
      </c>
      <c r="C120" t="inlineStr">
        <is>
          <t>4100</t>
        </is>
      </c>
      <c r="D120" t="inlineStr">
        <is>
          <t>Service Revenue</t>
        </is>
      </c>
      <c r="E120" t="inlineStr">
        <is>
          <t>Service revenue received</t>
        </is>
      </c>
      <c r="F120" s="3" t="n">
        <v>0</v>
      </c>
      <c r="G120" s="3" t="n">
        <v>31374.73</v>
      </c>
      <c r="H120" s="3">
        <f>F120-G120</f>
        <v/>
      </c>
    </row>
    <row r="121">
      <c r="A121" t="inlineStr">
        <is>
          <t>E0058</t>
        </is>
      </c>
      <c r="B121" s="2" t="n">
        <v>46246</v>
      </c>
      <c r="C121" t="inlineStr">
        <is>
          <t>1000</t>
        </is>
      </c>
      <c r="D121" t="inlineStr">
        <is>
          <t>Cash in Bank</t>
        </is>
      </c>
      <c r="E121" t="inlineStr">
        <is>
          <t>Customer collections</t>
        </is>
      </c>
      <c r="F121" s="3" t="n">
        <v>168231.86</v>
      </c>
      <c r="G121" s="3" t="n">
        <v>0</v>
      </c>
      <c r="H121" s="3">
        <f>F121-G121</f>
        <v/>
      </c>
    </row>
    <row r="122">
      <c r="A122" t="inlineStr">
        <is>
          <t>E0058</t>
        </is>
      </c>
      <c r="B122" s="2" t="n">
        <v>46246</v>
      </c>
      <c r="C122" t="inlineStr">
        <is>
          <t>1100</t>
        </is>
      </c>
      <c r="D122" t="inlineStr">
        <is>
          <t>Trade Receivables</t>
        </is>
      </c>
      <c r="E122" t="inlineStr">
        <is>
          <t>Customer collections</t>
        </is>
      </c>
      <c r="F122" s="3" t="n">
        <v>0</v>
      </c>
      <c r="G122" s="3" t="n">
        <v>168231.86</v>
      </c>
      <c r="H122" s="3">
        <f>F122-G122</f>
        <v/>
      </c>
    </row>
    <row r="123">
      <c r="A123" t="inlineStr">
        <is>
          <t>E0059</t>
        </is>
      </c>
      <c r="B123" s="2" t="n">
        <v>46239</v>
      </c>
      <c r="C123" t="inlineStr">
        <is>
          <t>1200</t>
        </is>
      </c>
      <c r="D123" t="inlineStr">
        <is>
          <t>Inventory</t>
        </is>
      </c>
      <c r="E123" t="inlineStr">
        <is>
          <t>Inventory purchases on credit</t>
        </is>
      </c>
      <c r="F123" s="3" t="n">
        <v>104469.4</v>
      </c>
      <c r="G123" s="3" t="n">
        <v>0</v>
      </c>
      <c r="H123" s="3">
        <f>F123-G123</f>
        <v/>
      </c>
    </row>
    <row r="124">
      <c r="A124" t="inlineStr">
        <is>
          <t>E0059</t>
        </is>
      </c>
      <c r="B124" s="2" t="n">
        <v>46239</v>
      </c>
      <c r="C124" t="inlineStr">
        <is>
          <t>2100</t>
        </is>
      </c>
      <c r="D124" t="inlineStr">
        <is>
          <t>Trade Payables</t>
        </is>
      </c>
      <c r="E124" t="inlineStr">
        <is>
          <t>Inventory purchases on credit</t>
        </is>
      </c>
      <c r="F124" s="3" t="n">
        <v>0</v>
      </c>
      <c r="G124" s="3" t="n">
        <v>104469.4</v>
      </c>
      <c r="H124" s="3">
        <f>F124-G124</f>
        <v/>
      </c>
    </row>
    <row r="125">
      <c r="A125" t="inlineStr">
        <is>
          <t>E0060</t>
        </is>
      </c>
      <c r="B125" s="2" t="n">
        <v>46262</v>
      </c>
      <c r="C125" t="inlineStr">
        <is>
          <t>5000</t>
        </is>
      </c>
      <c r="D125" t="inlineStr">
        <is>
          <t>Cost of Goods Sold</t>
        </is>
      </c>
      <c r="E125" t="inlineStr">
        <is>
          <t>Cost of goods sold</t>
        </is>
      </c>
      <c r="F125" s="3" t="n">
        <v>83191.67999999999</v>
      </c>
      <c r="G125" s="3" t="n">
        <v>0</v>
      </c>
      <c r="H125" s="3">
        <f>F125-G125</f>
        <v/>
      </c>
    </row>
    <row r="126">
      <c r="A126" t="inlineStr">
        <is>
          <t>E0060</t>
        </is>
      </c>
      <c r="B126" s="2" t="n">
        <v>46262</v>
      </c>
      <c r="C126" t="inlineStr">
        <is>
          <t>1200</t>
        </is>
      </c>
      <c r="D126" t="inlineStr">
        <is>
          <t>Inventory</t>
        </is>
      </c>
      <c r="E126" t="inlineStr">
        <is>
          <t>Cost of goods sold</t>
        </is>
      </c>
      <c r="F126" s="3" t="n">
        <v>0</v>
      </c>
      <c r="G126" s="3" t="n">
        <v>83191.67999999999</v>
      </c>
      <c r="H126" s="3">
        <f>F126-G126</f>
        <v/>
      </c>
    </row>
    <row r="127">
      <c r="A127" t="inlineStr">
        <is>
          <t>E0061</t>
        </is>
      </c>
      <c r="B127" s="2" t="n">
        <v>46259</v>
      </c>
      <c r="C127" t="inlineStr">
        <is>
          <t>6000</t>
        </is>
      </c>
      <c r="D127" t="inlineStr">
        <is>
          <t>Salaries &amp; Wages</t>
        </is>
      </c>
      <c r="E127" t="inlineStr">
        <is>
          <t>Monthly payroll</t>
        </is>
      </c>
      <c r="F127" s="3" t="n">
        <v>59655.82</v>
      </c>
      <c r="G127" s="3" t="n">
        <v>0</v>
      </c>
      <c r="H127" s="3">
        <f>F127-G127</f>
        <v/>
      </c>
    </row>
    <row r="128">
      <c r="A128" t="inlineStr">
        <is>
          <t>E0061</t>
        </is>
      </c>
      <c r="B128" s="2" t="n">
        <v>46259</v>
      </c>
      <c r="C128" t="inlineStr">
        <is>
          <t>1000</t>
        </is>
      </c>
      <c r="D128" t="inlineStr">
        <is>
          <t>Cash in Bank</t>
        </is>
      </c>
      <c r="E128" t="inlineStr">
        <is>
          <t>Monthly payroll</t>
        </is>
      </c>
      <c r="F128" s="3" t="n">
        <v>0</v>
      </c>
      <c r="G128" s="3" t="n">
        <v>59655.82</v>
      </c>
      <c r="H128" s="3">
        <f>F128-G128</f>
        <v/>
      </c>
    </row>
    <row r="129">
      <c r="A129" t="inlineStr">
        <is>
          <t>E0062</t>
        </is>
      </c>
      <c r="B129" s="2" t="n">
        <v>46236</v>
      </c>
      <c r="C129" t="inlineStr">
        <is>
          <t>6100</t>
        </is>
      </c>
      <c r="D129" t="inlineStr">
        <is>
          <t>Office Rent</t>
        </is>
      </c>
      <c r="E129" t="inlineStr">
        <is>
          <t>Office rent</t>
        </is>
      </c>
      <c r="F129" s="3" t="n">
        <v>25000</v>
      </c>
      <c r="G129" s="3" t="n">
        <v>0</v>
      </c>
      <c r="H129" s="3">
        <f>F129-G129</f>
        <v/>
      </c>
    </row>
    <row r="130">
      <c r="A130" t="inlineStr">
        <is>
          <t>E0062</t>
        </is>
      </c>
      <c r="B130" s="2" t="n">
        <v>46236</v>
      </c>
      <c r="C130" t="inlineStr">
        <is>
          <t>1000</t>
        </is>
      </c>
      <c r="D130" t="inlineStr">
        <is>
          <t>Cash in Bank</t>
        </is>
      </c>
      <c r="E130" t="inlineStr">
        <is>
          <t>Office rent</t>
        </is>
      </c>
      <c r="F130" s="3" t="n">
        <v>0</v>
      </c>
      <c r="G130" s="3" t="n">
        <v>25000</v>
      </c>
      <c r="H130" s="3">
        <f>F130-G130</f>
        <v/>
      </c>
    </row>
    <row r="131">
      <c r="A131" t="inlineStr">
        <is>
          <t>E0063</t>
        </is>
      </c>
      <c r="B131" s="2" t="n">
        <v>46254</v>
      </c>
      <c r="C131" t="inlineStr">
        <is>
          <t>6200</t>
        </is>
      </c>
      <c r="D131" t="inlineStr">
        <is>
          <t>Utilities</t>
        </is>
      </c>
      <c r="E131" t="inlineStr">
        <is>
          <t>Utilities</t>
        </is>
      </c>
      <c r="F131" s="3" t="n">
        <v>6404.01</v>
      </c>
      <c r="G131" s="3" t="n">
        <v>0</v>
      </c>
      <c r="H131" s="3">
        <f>F131-G131</f>
        <v/>
      </c>
    </row>
    <row r="132">
      <c r="A132" t="inlineStr">
        <is>
          <t>E0063</t>
        </is>
      </c>
      <c r="B132" s="2" t="n">
        <v>46254</v>
      </c>
      <c r="C132" t="inlineStr">
        <is>
          <t>1000</t>
        </is>
      </c>
      <c r="D132" t="inlineStr">
        <is>
          <t>Cash in Bank</t>
        </is>
      </c>
      <c r="E132" t="inlineStr">
        <is>
          <t>Utilities</t>
        </is>
      </c>
      <c r="F132" s="3" t="n">
        <v>0</v>
      </c>
      <c r="G132" s="3" t="n">
        <v>6404.01</v>
      </c>
      <c r="H132" s="3">
        <f>F132-G132</f>
        <v/>
      </c>
    </row>
    <row r="133">
      <c r="A133" t="inlineStr">
        <is>
          <t>E0064</t>
        </is>
      </c>
      <c r="B133" s="2" t="n">
        <v>46249</v>
      </c>
      <c r="C133" t="inlineStr">
        <is>
          <t>6300</t>
        </is>
      </c>
      <c r="D133" t="inlineStr">
        <is>
          <t>Marketing</t>
        </is>
      </c>
      <c r="E133" t="inlineStr">
        <is>
          <t>Marketing spend</t>
        </is>
      </c>
      <c r="F133" s="3" t="n">
        <v>15613.66</v>
      </c>
      <c r="G133" s="3" t="n">
        <v>0</v>
      </c>
      <c r="H133" s="3">
        <f>F133-G133</f>
        <v/>
      </c>
    </row>
    <row r="134">
      <c r="A134" t="inlineStr">
        <is>
          <t>E0064</t>
        </is>
      </c>
      <c r="B134" s="2" t="n">
        <v>46249</v>
      </c>
      <c r="C134" t="inlineStr">
        <is>
          <t>1000</t>
        </is>
      </c>
      <c r="D134" t="inlineStr">
        <is>
          <t>Cash in Bank</t>
        </is>
      </c>
      <c r="E134" t="inlineStr">
        <is>
          <t>Marketing spend</t>
        </is>
      </c>
      <c r="F134" s="3" t="n">
        <v>0</v>
      </c>
      <c r="G134" s="3" t="n">
        <v>15613.66</v>
      </c>
      <c r="H134" s="3">
        <f>F134-G134</f>
        <v/>
      </c>
    </row>
    <row r="135">
      <c r="A135" t="inlineStr">
        <is>
          <t>E0065</t>
        </is>
      </c>
      <c r="B135" s="2" t="n">
        <v>46264</v>
      </c>
      <c r="C135" t="inlineStr">
        <is>
          <t>6400</t>
        </is>
      </c>
      <c r="D135" t="inlineStr">
        <is>
          <t>Depreciation</t>
        </is>
      </c>
      <c r="E135" t="inlineStr">
        <is>
          <t>Monthly depreciation</t>
        </is>
      </c>
      <c r="F135" s="3" t="n">
        <v>8000</v>
      </c>
      <c r="G135" s="3" t="n">
        <v>0</v>
      </c>
      <c r="H135" s="3">
        <f>F135-G135</f>
        <v/>
      </c>
    </row>
    <row r="136">
      <c r="A136" t="inlineStr">
        <is>
          <t>E0065</t>
        </is>
      </c>
      <c r="B136" s="2" t="n">
        <v>46264</v>
      </c>
      <c r="C136" t="inlineStr">
        <is>
          <t>1510</t>
        </is>
      </c>
      <c r="D136" t="inlineStr">
        <is>
          <t>Accumulated Depreciation</t>
        </is>
      </c>
      <c r="E136" t="inlineStr">
        <is>
          <t>Monthly depreciation</t>
        </is>
      </c>
      <c r="F136" s="3" t="n">
        <v>0</v>
      </c>
      <c r="G136" s="3" t="n">
        <v>8000</v>
      </c>
      <c r="H136" s="3">
        <f>F136-G136</f>
        <v/>
      </c>
    </row>
    <row r="137">
      <c r="A137" t="inlineStr">
        <is>
          <t>E0066</t>
        </is>
      </c>
      <c r="B137" s="2" t="n">
        <v>46252</v>
      </c>
      <c r="C137" t="inlineStr">
        <is>
          <t>2100</t>
        </is>
      </c>
      <c r="D137" t="inlineStr">
        <is>
          <t>Trade Payables</t>
        </is>
      </c>
      <c r="E137" t="inlineStr">
        <is>
          <t>Supplier payments</t>
        </is>
      </c>
      <c r="F137" s="3" t="n">
        <v>98241.61</v>
      </c>
      <c r="G137" s="3" t="n">
        <v>0</v>
      </c>
      <c r="H137" s="3">
        <f>F137-G137</f>
        <v/>
      </c>
    </row>
    <row r="138">
      <c r="A138" t="inlineStr">
        <is>
          <t>E0066</t>
        </is>
      </c>
      <c r="B138" s="2" t="n">
        <v>46252</v>
      </c>
      <c r="C138" t="inlineStr">
        <is>
          <t>1000</t>
        </is>
      </c>
      <c r="D138" t="inlineStr">
        <is>
          <t>Cash in Bank</t>
        </is>
      </c>
      <c r="E138" t="inlineStr">
        <is>
          <t>Supplier payments</t>
        </is>
      </c>
      <c r="F138" s="3" t="n">
        <v>0</v>
      </c>
      <c r="G138" s="3" t="n">
        <v>98241.61</v>
      </c>
      <c r="H138" s="3">
        <f>F138-G138</f>
        <v/>
      </c>
    </row>
    <row r="139">
      <c r="A139" t="inlineStr">
        <is>
          <t>E0067</t>
        </is>
      </c>
      <c r="B139" s="2" t="n">
        <v>46256</v>
      </c>
      <c r="C139" t="inlineStr">
        <is>
          <t>6999</t>
        </is>
      </c>
      <c r="D139" t="inlineStr">
        <is>
          <t>Other Operating Expenses</t>
        </is>
      </c>
      <c r="E139" t="inlineStr">
        <is>
          <t>Misc operating expenses</t>
        </is>
      </c>
      <c r="F139" s="3" t="n">
        <v>9449.790000000001</v>
      </c>
      <c r="G139" s="3" t="n">
        <v>0</v>
      </c>
      <c r="H139" s="3">
        <f>F139-G139</f>
        <v/>
      </c>
    </row>
    <row r="140">
      <c r="A140" t="inlineStr">
        <is>
          <t>E0067</t>
        </is>
      </c>
      <c r="B140" s="2" t="n">
        <v>46256</v>
      </c>
      <c r="C140" t="inlineStr">
        <is>
          <t>1000</t>
        </is>
      </c>
      <c r="D140" t="inlineStr">
        <is>
          <t>Cash in Bank</t>
        </is>
      </c>
      <c r="E140" t="inlineStr">
        <is>
          <t>Misc operating expenses</t>
        </is>
      </c>
      <c r="F140" s="3" t="n">
        <v>0</v>
      </c>
      <c r="G140" s="3" t="n">
        <v>9449.790000000001</v>
      </c>
      <c r="H140" s="3">
        <f>F140-G140</f>
        <v/>
      </c>
    </row>
    <row r="141">
      <c r="A141" t="inlineStr">
        <is>
          <t>E0068</t>
        </is>
      </c>
      <c r="B141" s="2" t="n">
        <v>46261</v>
      </c>
      <c r="C141" t="inlineStr">
        <is>
          <t>2500</t>
        </is>
      </c>
      <c r="D141" t="inlineStr">
        <is>
          <t>Bank Loan</t>
        </is>
      </c>
      <c r="E141" t="inlineStr">
        <is>
          <t>Loan repayment</t>
        </is>
      </c>
      <c r="F141" s="3" t="n">
        <v>15000</v>
      </c>
      <c r="G141" s="3" t="n">
        <v>0</v>
      </c>
      <c r="H141" s="3">
        <f>F141-G141</f>
        <v/>
      </c>
    </row>
    <row r="142">
      <c r="A142" t="inlineStr">
        <is>
          <t>E0068</t>
        </is>
      </c>
      <c r="B142" s="2" t="n">
        <v>46261</v>
      </c>
      <c r="C142" t="inlineStr">
        <is>
          <t>1000</t>
        </is>
      </c>
      <c r="D142" t="inlineStr">
        <is>
          <t>Cash in Bank</t>
        </is>
      </c>
      <c r="E142" t="inlineStr">
        <is>
          <t>Loan repayment</t>
        </is>
      </c>
      <c r="F142" s="3" t="n">
        <v>0</v>
      </c>
      <c r="G142" s="3" t="n">
        <v>15000</v>
      </c>
      <c r="H142" s="3">
        <f>F142-G142</f>
        <v/>
      </c>
    </row>
    <row r="143">
      <c r="A143" t="inlineStr">
        <is>
          <t>E0069</t>
        </is>
      </c>
      <c r="B143" s="2" t="n">
        <v>46245</v>
      </c>
      <c r="C143" t="inlineStr">
        <is>
          <t>7100</t>
        </is>
      </c>
      <c r="D143" t="inlineStr">
        <is>
          <t>Other Expenses</t>
        </is>
      </c>
      <c r="E143" t="inlineStr">
        <is>
          <t>Penalty - other expense</t>
        </is>
      </c>
      <c r="F143" s="3" t="n">
        <v>9000</v>
      </c>
      <c r="G143" s="3" t="n">
        <v>0</v>
      </c>
      <c r="H143" s="3">
        <f>F143-G143</f>
        <v/>
      </c>
    </row>
    <row r="144">
      <c r="A144" t="inlineStr">
        <is>
          <t>E0069</t>
        </is>
      </c>
      <c r="B144" s="2" t="n">
        <v>46245</v>
      </c>
      <c r="C144" t="inlineStr">
        <is>
          <t>1000</t>
        </is>
      </c>
      <c r="D144" t="inlineStr">
        <is>
          <t>Cash in Bank</t>
        </is>
      </c>
      <c r="E144" t="inlineStr">
        <is>
          <t>Penalty - other expense</t>
        </is>
      </c>
      <c r="F144" s="3" t="n">
        <v>0</v>
      </c>
      <c r="G144" s="3" t="n">
        <v>9000</v>
      </c>
      <c r="H144" s="3">
        <f>F144-G144</f>
        <v/>
      </c>
    </row>
    <row r="145">
      <c r="A145" t="inlineStr">
        <is>
          <t>E0070</t>
        </is>
      </c>
      <c r="B145" s="2" t="n">
        <v>46268</v>
      </c>
      <c r="C145" t="inlineStr">
        <is>
          <t>1100</t>
        </is>
      </c>
      <c r="D145" t="inlineStr">
        <is>
          <t>Trade Receivables</t>
        </is>
      </c>
      <c r="E145" t="inlineStr">
        <is>
          <t>Credit sales invoices</t>
        </is>
      </c>
      <c r="F145" s="3" t="n">
        <v>209614.48</v>
      </c>
      <c r="G145" s="3" t="n">
        <v>0</v>
      </c>
      <c r="H145" s="3">
        <f>F145-G145</f>
        <v/>
      </c>
    </row>
    <row r="146">
      <c r="A146" t="inlineStr">
        <is>
          <t>E0070</t>
        </is>
      </c>
      <c r="B146" s="2" t="n">
        <v>46268</v>
      </c>
      <c r="C146" t="inlineStr">
        <is>
          <t>4000</t>
        </is>
      </c>
      <c r="D146" t="inlineStr">
        <is>
          <t>Sales Revenue</t>
        </is>
      </c>
      <c r="E146" t="inlineStr">
        <is>
          <t>Credit sales invoices</t>
        </is>
      </c>
      <c r="F146" s="3" t="n">
        <v>0</v>
      </c>
      <c r="G146" s="3" t="n">
        <v>209614.48</v>
      </c>
      <c r="H146" s="3">
        <f>F146-G146</f>
        <v/>
      </c>
    </row>
    <row r="147">
      <c r="A147" t="inlineStr">
        <is>
          <t>E0071</t>
        </is>
      </c>
      <c r="B147" s="2" t="n">
        <v>46273</v>
      </c>
      <c r="C147" t="inlineStr">
        <is>
          <t>1000</t>
        </is>
      </c>
      <c r="D147" t="inlineStr">
        <is>
          <t>Cash in Bank</t>
        </is>
      </c>
      <c r="E147" t="inlineStr">
        <is>
          <t>Service revenue received</t>
        </is>
      </c>
      <c r="F147" s="3" t="n">
        <v>36285.21</v>
      </c>
      <c r="G147" s="3" t="n">
        <v>0</v>
      </c>
      <c r="H147" s="3">
        <f>F147-G147</f>
        <v/>
      </c>
    </row>
    <row r="148">
      <c r="A148" t="inlineStr">
        <is>
          <t>E0071</t>
        </is>
      </c>
      <c r="B148" s="2" t="n">
        <v>46273</v>
      </c>
      <c r="C148" t="inlineStr">
        <is>
          <t>4100</t>
        </is>
      </c>
      <c r="D148" t="inlineStr">
        <is>
          <t>Service Revenue</t>
        </is>
      </c>
      <c r="E148" t="inlineStr">
        <is>
          <t>Service revenue received</t>
        </is>
      </c>
      <c r="F148" s="3" t="n">
        <v>0</v>
      </c>
      <c r="G148" s="3" t="n">
        <v>36285.21</v>
      </c>
      <c r="H148" s="3">
        <f>F148-G148</f>
        <v/>
      </c>
    </row>
    <row r="149">
      <c r="A149" t="inlineStr">
        <is>
          <t>E0072</t>
        </is>
      </c>
      <c r="B149" s="2" t="n">
        <v>46277</v>
      </c>
      <c r="C149" t="inlineStr">
        <is>
          <t>1000</t>
        </is>
      </c>
      <c r="D149" t="inlineStr">
        <is>
          <t>Cash in Bank</t>
        </is>
      </c>
      <c r="E149" t="inlineStr">
        <is>
          <t>Customer collections</t>
        </is>
      </c>
      <c r="F149" s="3" t="n">
        <v>171358.23</v>
      </c>
      <c r="G149" s="3" t="n">
        <v>0</v>
      </c>
      <c r="H149" s="3">
        <f>F149-G149</f>
        <v/>
      </c>
    </row>
    <row r="150">
      <c r="A150" t="inlineStr">
        <is>
          <t>E0072</t>
        </is>
      </c>
      <c r="B150" s="2" t="n">
        <v>46277</v>
      </c>
      <c r="C150" t="inlineStr">
        <is>
          <t>1100</t>
        </is>
      </c>
      <c r="D150" t="inlineStr">
        <is>
          <t>Trade Receivables</t>
        </is>
      </c>
      <c r="E150" t="inlineStr">
        <is>
          <t>Customer collections</t>
        </is>
      </c>
      <c r="F150" s="3" t="n">
        <v>0</v>
      </c>
      <c r="G150" s="3" t="n">
        <v>171358.23</v>
      </c>
      <c r="H150" s="3">
        <f>F150-G150</f>
        <v/>
      </c>
    </row>
    <row r="151">
      <c r="A151" t="inlineStr">
        <is>
          <t>E0073</t>
        </is>
      </c>
      <c r="B151" s="2" t="n">
        <v>46270</v>
      </c>
      <c r="C151" t="inlineStr">
        <is>
          <t>1200</t>
        </is>
      </c>
      <c r="D151" t="inlineStr">
        <is>
          <t>Inventory</t>
        </is>
      </c>
      <c r="E151" t="inlineStr">
        <is>
          <t>Inventory purchases on credit</t>
        </is>
      </c>
      <c r="F151" s="3" t="n">
        <v>136832.73</v>
      </c>
      <c r="G151" s="3" t="n">
        <v>0</v>
      </c>
      <c r="H151" s="3">
        <f>F151-G151</f>
        <v/>
      </c>
    </row>
    <row r="152">
      <c r="A152" t="inlineStr">
        <is>
          <t>E0073</t>
        </is>
      </c>
      <c r="B152" s="2" t="n">
        <v>46270</v>
      </c>
      <c r="C152" t="inlineStr">
        <is>
          <t>2100</t>
        </is>
      </c>
      <c r="D152" t="inlineStr">
        <is>
          <t>Trade Payables</t>
        </is>
      </c>
      <c r="E152" t="inlineStr">
        <is>
          <t>Inventory purchases on credit</t>
        </is>
      </c>
      <c r="F152" s="3" t="n">
        <v>0</v>
      </c>
      <c r="G152" s="3" t="n">
        <v>136832.73</v>
      </c>
      <c r="H152" s="3">
        <f>F152-G152</f>
        <v/>
      </c>
    </row>
    <row r="153">
      <c r="A153" t="inlineStr">
        <is>
          <t>E0074</t>
        </is>
      </c>
      <c r="B153" s="2" t="n">
        <v>46293</v>
      </c>
      <c r="C153" t="inlineStr">
        <is>
          <t>5000</t>
        </is>
      </c>
      <c r="D153" t="inlineStr">
        <is>
          <t>Cost of Goods Sold</t>
        </is>
      </c>
      <c r="E153" t="inlineStr">
        <is>
          <t>Cost of goods sold</t>
        </is>
      </c>
      <c r="F153" s="3" t="n">
        <v>105921.42</v>
      </c>
      <c r="G153" s="3" t="n">
        <v>0</v>
      </c>
      <c r="H153" s="3">
        <f>F153-G153</f>
        <v/>
      </c>
    </row>
    <row r="154">
      <c r="A154" t="inlineStr">
        <is>
          <t>E0074</t>
        </is>
      </c>
      <c r="B154" s="2" t="n">
        <v>46293</v>
      </c>
      <c r="C154" t="inlineStr">
        <is>
          <t>1200</t>
        </is>
      </c>
      <c r="D154" t="inlineStr">
        <is>
          <t>Inventory</t>
        </is>
      </c>
      <c r="E154" t="inlineStr">
        <is>
          <t>Cost of goods sold</t>
        </is>
      </c>
      <c r="F154" s="3" t="n">
        <v>0</v>
      </c>
      <c r="G154" s="3" t="n">
        <v>105921.42</v>
      </c>
      <c r="H154" s="3">
        <f>F154-G154</f>
        <v/>
      </c>
    </row>
    <row r="155">
      <c r="A155" t="inlineStr">
        <is>
          <t>E0075</t>
        </is>
      </c>
      <c r="B155" s="2" t="n">
        <v>46290</v>
      </c>
      <c r="C155" t="inlineStr">
        <is>
          <t>6000</t>
        </is>
      </c>
      <c r="D155" t="inlineStr">
        <is>
          <t>Salaries &amp; Wages</t>
        </is>
      </c>
      <c r="E155" t="inlineStr">
        <is>
          <t>Monthly payroll</t>
        </is>
      </c>
      <c r="F155" s="3" t="n">
        <v>67182.62</v>
      </c>
      <c r="G155" s="3" t="n">
        <v>0</v>
      </c>
      <c r="H155" s="3">
        <f>F155-G155</f>
        <v/>
      </c>
    </row>
    <row r="156">
      <c r="A156" t="inlineStr">
        <is>
          <t>E0075</t>
        </is>
      </c>
      <c r="B156" s="2" t="n">
        <v>46290</v>
      </c>
      <c r="C156" t="inlineStr">
        <is>
          <t>1000</t>
        </is>
      </c>
      <c r="D156" t="inlineStr">
        <is>
          <t>Cash in Bank</t>
        </is>
      </c>
      <c r="E156" t="inlineStr">
        <is>
          <t>Monthly payroll</t>
        </is>
      </c>
      <c r="F156" s="3" t="n">
        <v>0</v>
      </c>
      <c r="G156" s="3" t="n">
        <v>67182.62</v>
      </c>
      <c r="H156" s="3">
        <f>F156-G156</f>
        <v/>
      </c>
    </row>
    <row r="157">
      <c r="A157" t="inlineStr">
        <is>
          <t>E0076</t>
        </is>
      </c>
      <c r="B157" s="2" t="n">
        <v>46267</v>
      </c>
      <c r="C157" t="inlineStr">
        <is>
          <t>6100</t>
        </is>
      </c>
      <c r="D157" t="inlineStr">
        <is>
          <t>Office Rent</t>
        </is>
      </c>
      <c r="E157" t="inlineStr">
        <is>
          <t>Office rent</t>
        </is>
      </c>
      <c r="F157" s="3" t="n">
        <v>25000</v>
      </c>
      <c r="G157" s="3" t="n">
        <v>0</v>
      </c>
      <c r="H157" s="3">
        <f>F157-G157</f>
        <v/>
      </c>
    </row>
    <row r="158">
      <c r="A158" t="inlineStr">
        <is>
          <t>E0076</t>
        </is>
      </c>
      <c r="B158" s="2" t="n">
        <v>46267</v>
      </c>
      <c r="C158" t="inlineStr">
        <is>
          <t>1000</t>
        </is>
      </c>
      <c r="D158" t="inlineStr">
        <is>
          <t>Cash in Bank</t>
        </is>
      </c>
      <c r="E158" t="inlineStr">
        <is>
          <t>Office rent</t>
        </is>
      </c>
      <c r="F158" s="3" t="n">
        <v>0</v>
      </c>
      <c r="G158" s="3" t="n">
        <v>25000</v>
      </c>
      <c r="H158" s="3">
        <f>F158-G158</f>
        <v/>
      </c>
    </row>
    <row r="159">
      <c r="A159" t="inlineStr">
        <is>
          <t>E0077</t>
        </is>
      </c>
      <c r="B159" s="2" t="n">
        <v>46285</v>
      </c>
      <c r="C159" t="inlineStr">
        <is>
          <t>6200</t>
        </is>
      </c>
      <c r="D159" t="inlineStr">
        <is>
          <t>Utilities</t>
        </is>
      </c>
      <c r="E159" t="inlineStr">
        <is>
          <t>Utilities</t>
        </is>
      </c>
      <c r="F159" s="3" t="n">
        <v>6684.55</v>
      </c>
      <c r="G159" s="3" t="n">
        <v>0</v>
      </c>
      <c r="H159" s="3">
        <f>F159-G159</f>
        <v/>
      </c>
    </row>
    <row r="160">
      <c r="A160" t="inlineStr">
        <is>
          <t>E0077</t>
        </is>
      </c>
      <c r="B160" s="2" t="n">
        <v>46285</v>
      </c>
      <c r="C160" t="inlineStr">
        <is>
          <t>1000</t>
        </is>
      </c>
      <c r="D160" t="inlineStr">
        <is>
          <t>Cash in Bank</t>
        </is>
      </c>
      <c r="E160" t="inlineStr">
        <is>
          <t>Utilities</t>
        </is>
      </c>
      <c r="F160" s="3" t="n">
        <v>0</v>
      </c>
      <c r="G160" s="3" t="n">
        <v>6684.55</v>
      </c>
      <c r="H160" s="3">
        <f>F160-G160</f>
        <v/>
      </c>
    </row>
    <row r="161">
      <c r="A161" t="inlineStr">
        <is>
          <t>E0078</t>
        </is>
      </c>
      <c r="B161" s="2" t="n">
        <v>46280</v>
      </c>
      <c r="C161" t="inlineStr">
        <is>
          <t>6300</t>
        </is>
      </c>
      <c r="D161" t="inlineStr">
        <is>
          <t>Marketing</t>
        </is>
      </c>
      <c r="E161" t="inlineStr">
        <is>
          <t>Marketing spend</t>
        </is>
      </c>
      <c r="F161" s="3" t="n">
        <v>21478.65</v>
      </c>
      <c r="G161" s="3" t="n">
        <v>0</v>
      </c>
      <c r="H161" s="3">
        <f>F161-G161</f>
        <v/>
      </c>
    </row>
    <row r="162">
      <c r="A162" t="inlineStr">
        <is>
          <t>E0078</t>
        </is>
      </c>
      <c r="B162" s="2" t="n">
        <v>46280</v>
      </c>
      <c r="C162" t="inlineStr">
        <is>
          <t>1000</t>
        </is>
      </c>
      <c r="D162" t="inlineStr">
        <is>
          <t>Cash in Bank</t>
        </is>
      </c>
      <c r="E162" t="inlineStr">
        <is>
          <t>Marketing spend</t>
        </is>
      </c>
      <c r="F162" s="3" t="n">
        <v>0</v>
      </c>
      <c r="G162" s="3" t="n">
        <v>21478.65</v>
      </c>
      <c r="H162" s="3">
        <f>F162-G162</f>
        <v/>
      </c>
    </row>
    <row r="163">
      <c r="A163" t="inlineStr">
        <is>
          <t>E0079</t>
        </is>
      </c>
      <c r="B163" s="2" t="n">
        <v>46295</v>
      </c>
      <c r="C163" t="inlineStr">
        <is>
          <t>6400</t>
        </is>
      </c>
      <c r="D163" t="inlineStr">
        <is>
          <t>Depreciation</t>
        </is>
      </c>
      <c r="E163" t="inlineStr">
        <is>
          <t>Monthly depreciation</t>
        </is>
      </c>
      <c r="F163" s="3" t="n">
        <v>8000</v>
      </c>
      <c r="G163" s="3" t="n">
        <v>0</v>
      </c>
      <c r="H163" s="3">
        <f>F163-G163</f>
        <v/>
      </c>
    </row>
    <row r="164">
      <c r="A164" t="inlineStr">
        <is>
          <t>E0079</t>
        </is>
      </c>
      <c r="B164" s="2" t="n">
        <v>46295</v>
      </c>
      <c r="C164" t="inlineStr">
        <is>
          <t>1510</t>
        </is>
      </c>
      <c r="D164" t="inlineStr">
        <is>
          <t>Accumulated Depreciation</t>
        </is>
      </c>
      <c r="E164" t="inlineStr">
        <is>
          <t>Monthly depreciation</t>
        </is>
      </c>
      <c r="F164" s="3" t="n">
        <v>0</v>
      </c>
      <c r="G164" s="3" t="n">
        <v>8000</v>
      </c>
      <c r="H164" s="3">
        <f>F164-G164</f>
        <v/>
      </c>
    </row>
    <row r="165">
      <c r="A165" t="inlineStr">
        <is>
          <t>E0080</t>
        </is>
      </c>
      <c r="B165" s="2" t="n">
        <v>46283</v>
      </c>
      <c r="C165" t="inlineStr">
        <is>
          <t>2100</t>
        </is>
      </c>
      <c r="D165" t="inlineStr">
        <is>
          <t>Trade Payables</t>
        </is>
      </c>
      <c r="E165" t="inlineStr">
        <is>
          <t>Supplier payments</t>
        </is>
      </c>
      <c r="F165" s="3" t="n">
        <v>98972.77</v>
      </c>
      <c r="G165" s="3" t="n">
        <v>0</v>
      </c>
      <c r="H165" s="3">
        <f>F165-G165</f>
        <v/>
      </c>
    </row>
    <row r="166">
      <c r="A166" t="inlineStr">
        <is>
          <t>E0080</t>
        </is>
      </c>
      <c r="B166" s="2" t="n">
        <v>46283</v>
      </c>
      <c r="C166" t="inlineStr">
        <is>
          <t>1000</t>
        </is>
      </c>
      <c r="D166" t="inlineStr">
        <is>
          <t>Cash in Bank</t>
        </is>
      </c>
      <c r="E166" t="inlineStr">
        <is>
          <t>Supplier payments</t>
        </is>
      </c>
      <c r="F166" s="3" t="n">
        <v>0</v>
      </c>
      <c r="G166" s="3" t="n">
        <v>98972.77</v>
      </c>
      <c r="H166" s="3">
        <f>F166-G166</f>
        <v/>
      </c>
    </row>
    <row r="167">
      <c r="A167" t="inlineStr">
        <is>
          <t>E0081</t>
        </is>
      </c>
      <c r="B167" s="2" t="n">
        <v>46287</v>
      </c>
      <c r="C167" t="inlineStr">
        <is>
          <t>6999</t>
        </is>
      </c>
      <c r="D167" t="inlineStr">
        <is>
          <t>Other Operating Expenses</t>
        </is>
      </c>
      <c r="E167" t="inlineStr">
        <is>
          <t>Misc operating expenses</t>
        </is>
      </c>
      <c r="F167" s="3" t="n">
        <v>6143.82</v>
      </c>
      <c r="G167" s="3" t="n">
        <v>0</v>
      </c>
      <c r="H167" s="3">
        <f>F167-G167</f>
        <v/>
      </c>
    </row>
    <row r="168">
      <c r="A168" t="inlineStr">
        <is>
          <t>E0081</t>
        </is>
      </c>
      <c r="B168" s="2" t="n">
        <v>46287</v>
      </c>
      <c r="C168" t="inlineStr">
        <is>
          <t>1000</t>
        </is>
      </c>
      <c r="D168" t="inlineStr">
        <is>
          <t>Cash in Bank</t>
        </is>
      </c>
      <c r="E168" t="inlineStr">
        <is>
          <t>Misc operating expenses</t>
        </is>
      </c>
      <c r="F168" s="3" t="n">
        <v>0</v>
      </c>
      <c r="G168" s="3" t="n">
        <v>6143.82</v>
      </c>
      <c r="H168" s="3">
        <f>F168-G168</f>
        <v/>
      </c>
    </row>
    <row r="169">
      <c r="A169" t="inlineStr">
        <is>
          <t>E0082</t>
        </is>
      </c>
      <c r="B169" s="2" t="n">
        <v>46292</v>
      </c>
      <c r="C169" t="inlineStr">
        <is>
          <t>2500</t>
        </is>
      </c>
      <c r="D169" t="inlineStr">
        <is>
          <t>Bank Loan</t>
        </is>
      </c>
      <c r="E169" t="inlineStr">
        <is>
          <t>Loan repayment</t>
        </is>
      </c>
      <c r="F169" s="3" t="n">
        <v>15000</v>
      </c>
      <c r="G169" s="3" t="n">
        <v>0</v>
      </c>
      <c r="H169" s="3">
        <f>F169-G169</f>
        <v/>
      </c>
    </row>
    <row r="170">
      <c r="A170" t="inlineStr">
        <is>
          <t>E0082</t>
        </is>
      </c>
      <c r="B170" s="2" t="n">
        <v>46292</v>
      </c>
      <c r="C170" t="inlineStr">
        <is>
          <t>1000</t>
        </is>
      </c>
      <c r="D170" t="inlineStr">
        <is>
          <t>Cash in Bank</t>
        </is>
      </c>
      <c r="E170" t="inlineStr">
        <is>
          <t>Loan repayment</t>
        </is>
      </c>
      <c r="F170" s="3" t="n">
        <v>0</v>
      </c>
      <c r="G170" s="3" t="n">
        <v>15000</v>
      </c>
      <c r="H170" s="3">
        <f>F170-G170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15" customWidth="1" min="4" max="4"/>
    <col width="18" customWidth="1" min="5" max="5"/>
  </cols>
  <sheetData>
    <row r="1">
      <c r="A1" s="1" t="inlineStr">
        <is>
          <t>Account Code</t>
        </is>
      </c>
      <c r="B1" s="1" t="inlineStr">
        <is>
          <t>Account Name</t>
        </is>
      </c>
      <c r="C1" s="1" t="inlineStr">
        <is>
          <t>Group</t>
        </is>
      </c>
      <c r="D1" s="1" t="inlineStr">
        <is>
          <t>Normal Balance</t>
        </is>
      </c>
      <c r="E1" s="1" t="inlineStr">
        <is>
          <t>Cash-flow Section</t>
        </is>
      </c>
    </row>
    <row r="2">
      <c r="A2" t="inlineStr">
        <is>
          <t>1000</t>
        </is>
      </c>
      <c r="B2" t="inlineStr">
        <is>
          <t>Cash in Bank</t>
        </is>
      </c>
      <c r="C2" t="inlineStr">
        <is>
          <t>Asset</t>
        </is>
      </c>
      <c r="D2" t="inlineStr">
        <is>
          <t>DR</t>
        </is>
      </c>
      <c r="E2" t="inlineStr"/>
    </row>
    <row r="3">
      <c r="A3" t="inlineStr">
        <is>
          <t>1100</t>
        </is>
      </c>
      <c r="B3" t="inlineStr">
        <is>
          <t>Trade Receivables</t>
        </is>
      </c>
      <c r="C3" t="inlineStr">
        <is>
          <t>Asset</t>
        </is>
      </c>
      <c r="D3" t="inlineStr">
        <is>
          <t>DR</t>
        </is>
      </c>
      <c r="E3" t="inlineStr">
        <is>
          <t>Operating</t>
        </is>
      </c>
    </row>
    <row r="4">
      <c r="A4" t="inlineStr">
        <is>
          <t>1200</t>
        </is>
      </c>
      <c r="B4" t="inlineStr">
        <is>
          <t>Inventory</t>
        </is>
      </c>
      <c r="C4" t="inlineStr">
        <is>
          <t>Asset</t>
        </is>
      </c>
      <c r="D4" t="inlineStr">
        <is>
          <t>DR</t>
        </is>
      </c>
      <c r="E4" t="inlineStr">
        <is>
          <t>Operating</t>
        </is>
      </c>
    </row>
    <row r="5">
      <c r="A5" t="inlineStr">
        <is>
          <t>1500</t>
        </is>
      </c>
      <c r="B5" t="inlineStr">
        <is>
          <t>Equipment (net of purchases)</t>
        </is>
      </c>
      <c r="C5" t="inlineStr">
        <is>
          <t>Asset</t>
        </is>
      </c>
      <c r="D5" t="inlineStr">
        <is>
          <t>DR</t>
        </is>
      </c>
      <c r="E5" t="inlineStr">
        <is>
          <t>Investing</t>
        </is>
      </c>
    </row>
    <row r="6">
      <c r="A6" t="inlineStr">
        <is>
          <t>1510</t>
        </is>
      </c>
      <c r="B6" t="inlineStr">
        <is>
          <t>Accumulated Depreciation</t>
        </is>
      </c>
      <c r="C6" t="inlineStr">
        <is>
          <t>Asset</t>
        </is>
      </c>
      <c r="D6" t="inlineStr">
        <is>
          <t>CR</t>
        </is>
      </c>
      <c r="E6" t="inlineStr"/>
    </row>
    <row r="7">
      <c r="A7" t="inlineStr">
        <is>
          <t>2100</t>
        </is>
      </c>
      <c r="B7" t="inlineStr">
        <is>
          <t>Trade Payables</t>
        </is>
      </c>
      <c r="C7" t="inlineStr">
        <is>
          <t>Liability</t>
        </is>
      </c>
      <c r="D7" t="inlineStr">
        <is>
          <t>CR</t>
        </is>
      </c>
      <c r="E7" t="inlineStr">
        <is>
          <t>Operating</t>
        </is>
      </c>
    </row>
    <row r="8">
      <c r="A8" t="inlineStr">
        <is>
          <t>2500</t>
        </is>
      </c>
      <c r="B8" t="inlineStr">
        <is>
          <t>Bank Loan</t>
        </is>
      </c>
      <c r="C8" t="inlineStr">
        <is>
          <t>Liability</t>
        </is>
      </c>
      <c r="D8" t="inlineStr">
        <is>
          <t>CR</t>
        </is>
      </c>
      <c r="E8" t="inlineStr">
        <is>
          <t>Financing</t>
        </is>
      </c>
    </row>
    <row r="9">
      <c r="A9" t="inlineStr">
        <is>
          <t>3000</t>
        </is>
      </c>
      <c r="B9" t="inlineStr">
        <is>
          <t>Owner's Capital</t>
        </is>
      </c>
      <c r="C9" t="inlineStr">
        <is>
          <t>Equity</t>
        </is>
      </c>
      <c r="D9" t="inlineStr">
        <is>
          <t>CR</t>
        </is>
      </c>
      <c r="E9" t="inlineStr">
        <is>
          <t>Financing</t>
        </is>
      </c>
    </row>
    <row r="10">
      <c r="A10" t="inlineStr">
        <is>
          <t>4000</t>
        </is>
      </c>
      <c r="B10" t="inlineStr">
        <is>
          <t>Sales Revenue</t>
        </is>
      </c>
      <c r="C10" t="inlineStr">
        <is>
          <t>Revenue</t>
        </is>
      </c>
      <c r="D10" t="inlineStr">
        <is>
          <t>CR</t>
        </is>
      </c>
      <c r="E10" t="inlineStr">
        <is>
          <t>Operating</t>
        </is>
      </c>
    </row>
    <row r="11">
      <c r="A11" t="inlineStr">
        <is>
          <t>4100</t>
        </is>
      </c>
      <c r="B11" t="inlineStr">
        <is>
          <t>Service Revenue</t>
        </is>
      </c>
      <c r="C11" t="inlineStr">
        <is>
          <t>Revenue</t>
        </is>
      </c>
      <c r="D11" t="inlineStr">
        <is>
          <t>CR</t>
        </is>
      </c>
      <c r="E11" t="inlineStr">
        <is>
          <t>Operating</t>
        </is>
      </c>
    </row>
    <row r="12">
      <c r="A12" t="inlineStr">
        <is>
          <t>5000</t>
        </is>
      </c>
      <c r="B12" t="inlineStr">
        <is>
          <t>Cost of Goods Sold</t>
        </is>
      </c>
      <c r="C12" t="inlineStr">
        <is>
          <t>COGS</t>
        </is>
      </c>
      <c r="D12" t="inlineStr">
        <is>
          <t>DR</t>
        </is>
      </c>
      <c r="E12" t="inlineStr">
        <is>
          <t>Operating</t>
        </is>
      </c>
    </row>
    <row r="13">
      <c r="A13" t="inlineStr">
        <is>
          <t>6000</t>
        </is>
      </c>
      <c r="B13" t="inlineStr">
        <is>
          <t>Salaries &amp; Wages</t>
        </is>
      </c>
      <c r="C13" t="inlineStr">
        <is>
          <t>Opex</t>
        </is>
      </c>
      <c r="D13" t="inlineStr">
        <is>
          <t>DR</t>
        </is>
      </c>
      <c r="E13" t="inlineStr">
        <is>
          <t>Operating</t>
        </is>
      </c>
    </row>
    <row r="14">
      <c r="A14" t="inlineStr">
        <is>
          <t>6100</t>
        </is>
      </c>
      <c r="B14" t="inlineStr">
        <is>
          <t>Office Rent</t>
        </is>
      </c>
      <c r="C14" t="inlineStr">
        <is>
          <t>Opex</t>
        </is>
      </c>
      <c r="D14" t="inlineStr">
        <is>
          <t>DR</t>
        </is>
      </c>
      <c r="E14" t="inlineStr">
        <is>
          <t>Operating</t>
        </is>
      </c>
    </row>
    <row r="15">
      <c r="A15" t="inlineStr">
        <is>
          <t>6200</t>
        </is>
      </c>
      <c r="B15" t="inlineStr">
        <is>
          <t>Utilities</t>
        </is>
      </c>
      <c r="C15" t="inlineStr">
        <is>
          <t>Opex</t>
        </is>
      </c>
      <c r="D15" t="inlineStr">
        <is>
          <t>DR</t>
        </is>
      </c>
      <c r="E15" t="inlineStr">
        <is>
          <t>Operating</t>
        </is>
      </c>
    </row>
    <row r="16">
      <c r="A16" t="inlineStr">
        <is>
          <t>6300</t>
        </is>
      </c>
      <c r="B16" t="inlineStr">
        <is>
          <t>Marketing</t>
        </is>
      </c>
      <c r="C16" t="inlineStr">
        <is>
          <t>Opex</t>
        </is>
      </c>
      <c r="D16" t="inlineStr">
        <is>
          <t>DR</t>
        </is>
      </c>
      <c r="E16" t="inlineStr">
        <is>
          <t>Operating</t>
        </is>
      </c>
    </row>
    <row r="17">
      <c r="A17" t="inlineStr">
        <is>
          <t>6400</t>
        </is>
      </c>
      <c r="B17" t="inlineStr">
        <is>
          <t>Depreciation</t>
        </is>
      </c>
      <c r="C17" t="inlineStr">
        <is>
          <t>Opex</t>
        </is>
      </c>
      <c r="D17" t="inlineStr">
        <is>
          <t>DR</t>
        </is>
      </c>
      <c r="E17" t="inlineStr">
        <is>
          <t>Operating</t>
        </is>
      </c>
    </row>
    <row r="18">
      <c r="A18" t="inlineStr">
        <is>
          <t>6999</t>
        </is>
      </c>
      <c r="B18" t="inlineStr">
        <is>
          <t>Other Operating Expenses</t>
        </is>
      </c>
      <c r="C18" t="inlineStr">
        <is>
          <t>Opex</t>
        </is>
      </c>
      <c r="D18" t="inlineStr">
        <is>
          <t>DR</t>
        </is>
      </c>
      <c r="E18" t="inlineStr">
        <is>
          <t>Operating</t>
        </is>
      </c>
    </row>
    <row r="19">
      <c r="A19" t="inlineStr">
        <is>
          <t>7000</t>
        </is>
      </c>
      <c r="B19" t="inlineStr">
        <is>
          <t>Other Income</t>
        </is>
      </c>
      <c r="C19" t="inlineStr">
        <is>
          <t>Other Income</t>
        </is>
      </c>
      <c r="D19" t="inlineStr">
        <is>
          <t>CR</t>
        </is>
      </c>
      <c r="E19" t="inlineStr">
        <is>
          <t>Operating</t>
        </is>
      </c>
    </row>
    <row r="20">
      <c r="A20" t="inlineStr">
        <is>
          <t>7100</t>
        </is>
      </c>
      <c r="B20" t="inlineStr">
        <is>
          <t>Other Expenses</t>
        </is>
      </c>
      <c r="C20" t="inlineStr">
        <is>
          <t>Other Expense</t>
        </is>
      </c>
      <c r="D20" t="inlineStr">
        <is>
          <t>DR</t>
        </is>
      </c>
      <c r="E20" t="inlineStr">
        <is>
          <t>Operating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16" customWidth="1" min="4" max="4"/>
    <col width="16" customWidth="1" min="5" max="5"/>
    <col width="18" customWidth="1" min="6" max="6"/>
  </cols>
  <sheetData>
    <row r="1">
      <c r="A1" s="1" t="inlineStr">
        <is>
          <t>Account Code</t>
        </is>
      </c>
      <c r="B1" s="1" t="inlineStr">
        <is>
          <t>Account Name</t>
        </is>
      </c>
      <c r="C1" s="1" t="inlineStr">
        <is>
          <t>Group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 (Dr-Cr)</t>
        </is>
      </c>
    </row>
    <row r="2">
      <c r="A2" t="inlineStr">
        <is>
          <t>1000</t>
        </is>
      </c>
      <c r="B2" t="inlineStr">
        <is>
          <t>Cash in Bank</t>
        </is>
      </c>
      <c r="C2" t="inlineStr">
        <is>
          <t>Asset</t>
        </is>
      </c>
      <c r="D2" s="3">
        <f>SUMIFS(GL_Debit,GL_Acct,"1000")</f>
        <v/>
      </c>
      <c r="E2" s="3">
        <f>SUMIFS(GL_Credit,GL_Acct,"1000")</f>
        <v/>
      </c>
      <c r="F2" s="3">
        <f>D2-E2</f>
        <v/>
      </c>
    </row>
    <row r="3">
      <c r="A3" t="inlineStr">
        <is>
          <t>1100</t>
        </is>
      </c>
      <c r="B3" t="inlineStr">
        <is>
          <t>Trade Receivables</t>
        </is>
      </c>
      <c r="C3" t="inlineStr">
        <is>
          <t>Asset</t>
        </is>
      </c>
      <c r="D3" s="3">
        <f>SUMIFS(GL_Debit,GL_Acct,"1100")</f>
        <v/>
      </c>
      <c r="E3" s="3">
        <f>SUMIFS(GL_Credit,GL_Acct,"1100")</f>
        <v/>
      </c>
      <c r="F3" s="3">
        <f>D3-E3</f>
        <v/>
      </c>
    </row>
    <row r="4">
      <c r="A4" t="inlineStr">
        <is>
          <t>1200</t>
        </is>
      </c>
      <c r="B4" t="inlineStr">
        <is>
          <t>Inventory</t>
        </is>
      </c>
      <c r="C4" t="inlineStr">
        <is>
          <t>Asset</t>
        </is>
      </c>
      <c r="D4" s="3">
        <f>SUMIFS(GL_Debit,GL_Acct,"1200")</f>
        <v/>
      </c>
      <c r="E4" s="3">
        <f>SUMIFS(GL_Credit,GL_Acct,"1200")</f>
        <v/>
      </c>
      <c r="F4" s="3">
        <f>D4-E4</f>
        <v/>
      </c>
    </row>
    <row r="5">
      <c r="A5" t="inlineStr">
        <is>
          <t>1500</t>
        </is>
      </c>
      <c r="B5" t="inlineStr">
        <is>
          <t>Equipment (net of purchases)</t>
        </is>
      </c>
      <c r="C5" t="inlineStr">
        <is>
          <t>Asset</t>
        </is>
      </c>
      <c r="D5" s="3">
        <f>SUMIFS(GL_Debit,GL_Acct,"1500")</f>
        <v/>
      </c>
      <c r="E5" s="3">
        <f>SUMIFS(GL_Credit,GL_Acct,"1500")</f>
        <v/>
      </c>
      <c r="F5" s="3">
        <f>D5-E5</f>
        <v/>
      </c>
    </row>
    <row r="6">
      <c r="A6" t="inlineStr">
        <is>
          <t>1510</t>
        </is>
      </c>
      <c r="B6" t="inlineStr">
        <is>
          <t>Accumulated Depreciation</t>
        </is>
      </c>
      <c r="C6" t="inlineStr">
        <is>
          <t>Asset</t>
        </is>
      </c>
      <c r="D6" s="3">
        <f>SUMIFS(GL_Debit,GL_Acct,"1510")</f>
        <v/>
      </c>
      <c r="E6" s="3">
        <f>SUMIFS(GL_Credit,GL_Acct,"1510")</f>
        <v/>
      </c>
      <c r="F6" s="3">
        <f>D6-E6</f>
        <v/>
      </c>
    </row>
    <row r="7">
      <c r="A7" t="inlineStr">
        <is>
          <t>2100</t>
        </is>
      </c>
      <c r="B7" t="inlineStr">
        <is>
          <t>Trade Payables</t>
        </is>
      </c>
      <c r="C7" t="inlineStr">
        <is>
          <t>Liability</t>
        </is>
      </c>
      <c r="D7" s="3">
        <f>SUMIFS(GL_Debit,GL_Acct,"2100")</f>
        <v/>
      </c>
      <c r="E7" s="3">
        <f>SUMIFS(GL_Credit,GL_Acct,"2100")</f>
        <v/>
      </c>
      <c r="F7" s="3">
        <f>D7-E7</f>
        <v/>
      </c>
    </row>
    <row r="8">
      <c r="A8" t="inlineStr">
        <is>
          <t>2500</t>
        </is>
      </c>
      <c r="B8" t="inlineStr">
        <is>
          <t>Bank Loan</t>
        </is>
      </c>
      <c r="C8" t="inlineStr">
        <is>
          <t>Liability</t>
        </is>
      </c>
      <c r="D8" s="3">
        <f>SUMIFS(GL_Debit,GL_Acct,"2500")</f>
        <v/>
      </c>
      <c r="E8" s="3">
        <f>SUMIFS(GL_Credit,GL_Acct,"2500")</f>
        <v/>
      </c>
      <c r="F8" s="3">
        <f>D8-E8</f>
        <v/>
      </c>
    </row>
    <row r="9">
      <c r="A9" t="inlineStr">
        <is>
          <t>3000</t>
        </is>
      </c>
      <c r="B9" t="inlineStr">
        <is>
          <t>Owner's Capital</t>
        </is>
      </c>
      <c r="C9" t="inlineStr">
        <is>
          <t>Equity</t>
        </is>
      </c>
      <c r="D9" s="3">
        <f>SUMIFS(GL_Debit,GL_Acct,"3000")</f>
        <v/>
      </c>
      <c r="E9" s="3">
        <f>SUMIFS(GL_Credit,GL_Acct,"3000")</f>
        <v/>
      </c>
      <c r="F9" s="3">
        <f>D9-E9</f>
        <v/>
      </c>
    </row>
    <row r="10">
      <c r="A10" t="inlineStr">
        <is>
          <t>4000</t>
        </is>
      </c>
      <c r="B10" t="inlineStr">
        <is>
          <t>Sales Revenue</t>
        </is>
      </c>
      <c r="C10" t="inlineStr">
        <is>
          <t>Revenue</t>
        </is>
      </c>
      <c r="D10" s="3">
        <f>SUMIFS(GL_Debit,GL_Acct,"4000")</f>
        <v/>
      </c>
      <c r="E10" s="3">
        <f>SUMIFS(GL_Credit,GL_Acct,"4000")</f>
        <v/>
      </c>
      <c r="F10" s="3">
        <f>D10-E10</f>
        <v/>
      </c>
    </row>
    <row r="11">
      <c r="A11" t="inlineStr">
        <is>
          <t>4100</t>
        </is>
      </c>
      <c r="B11" t="inlineStr">
        <is>
          <t>Service Revenue</t>
        </is>
      </c>
      <c r="C11" t="inlineStr">
        <is>
          <t>Revenue</t>
        </is>
      </c>
      <c r="D11" s="3">
        <f>SUMIFS(GL_Debit,GL_Acct,"4100")</f>
        <v/>
      </c>
      <c r="E11" s="3">
        <f>SUMIFS(GL_Credit,GL_Acct,"4100")</f>
        <v/>
      </c>
      <c r="F11" s="3">
        <f>D11-E11</f>
        <v/>
      </c>
    </row>
    <row r="12">
      <c r="A12" t="inlineStr">
        <is>
          <t>5000</t>
        </is>
      </c>
      <c r="B12" t="inlineStr">
        <is>
          <t>Cost of Goods Sold</t>
        </is>
      </c>
      <c r="C12" t="inlineStr">
        <is>
          <t>COGS</t>
        </is>
      </c>
      <c r="D12" s="3">
        <f>SUMIFS(GL_Debit,GL_Acct,"5000")</f>
        <v/>
      </c>
      <c r="E12" s="3">
        <f>SUMIFS(GL_Credit,GL_Acct,"5000")</f>
        <v/>
      </c>
      <c r="F12" s="3">
        <f>D12-E12</f>
        <v/>
      </c>
    </row>
    <row r="13">
      <c r="A13" t="inlineStr">
        <is>
          <t>6000</t>
        </is>
      </c>
      <c r="B13" t="inlineStr">
        <is>
          <t>Salaries &amp; Wages</t>
        </is>
      </c>
      <c r="C13" t="inlineStr">
        <is>
          <t>Opex</t>
        </is>
      </c>
      <c r="D13" s="3">
        <f>SUMIFS(GL_Debit,GL_Acct,"6000")</f>
        <v/>
      </c>
      <c r="E13" s="3">
        <f>SUMIFS(GL_Credit,GL_Acct,"6000")</f>
        <v/>
      </c>
      <c r="F13" s="3">
        <f>D13-E13</f>
        <v/>
      </c>
    </row>
    <row r="14">
      <c r="A14" t="inlineStr">
        <is>
          <t>6100</t>
        </is>
      </c>
      <c r="B14" t="inlineStr">
        <is>
          <t>Office Rent</t>
        </is>
      </c>
      <c r="C14" t="inlineStr">
        <is>
          <t>Opex</t>
        </is>
      </c>
      <c r="D14" s="3">
        <f>SUMIFS(GL_Debit,GL_Acct,"6100")</f>
        <v/>
      </c>
      <c r="E14" s="3">
        <f>SUMIFS(GL_Credit,GL_Acct,"6100")</f>
        <v/>
      </c>
      <c r="F14" s="3">
        <f>D14-E14</f>
        <v/>
      </c>
    </row>
    <row r="15">
      <c r="A15" t="inlineStr">
        <is>
          <t>6200</t>
        </is>
      </c>
      <c r="B15" t="inlineStr">
        <is>
          <t>Utilities</t>
        </is>
      </c>
      <c r="C15" t="inlineStr">
        <is>
          <t>Opex</t>
        </is>
      </c>
      <c r="D15" s="3">
        <f>SUMIFS(GL_Debit,GL_Acct,"6200")</f>
        <v/>
      </c>
      <c r="E15" s="3">
        <f>SUMIFS(GL_Credit,GL_Acct,"6200")</f>
        <v/>
      </c>
      <c r="F15" s="3">
        <f>D15-E15</f>
        <v/>
      </c>
    </row>
    <row r="16">
      <c r="A16" t="inlineStr">
        <is>
          <t>6300</t>
        </is>
      </c>
      <c r="B16" t="inlineStr">
        <is>
          <t>Marketing</t>
        </is>
      </c>
      <c r="C16" t="inlineStr">
        <is>
          <t>Opex</t>
        </is>
      </c>
      <c r="D16" s="3">
        <f>SUMIFS(GL_Debit,GL_Acct,"6300")</f>
        <v/>
      </c>
      <c r="E16" s="3">
        <f>SUMIFS(GL_Credit,GL_Acct,"6300")</f>
        <v/>
      </c>
      <c r="F16" s="3">
        <f>D16-E16</f>
        <v/>
      </c>
    </row>
    <row r="17">
      <c r="A17" t="inlineStr">
        <is>
          <t>6400</t>
        </is>
      </c>
      <c r="B17" t="inlineStr">
        <is>
          <t>Depreciation</t>
        </is>
      </c>
      <c r="C17" t="inlineStr">
        <is>
          <t>Opex</t>
        </is>
      </c>
      <c r="D17" s="3">
        <f>SUMIFS(GL_Debit,GL_Acct,"6400")</f>
        <v/>
      </c>
      <c r="E17" s="3">
        <f>SUMIFS(GL_Credit,GL_Acct,"6400")</f>
        <v/>
      </c>
      <c r="F17" s="3">
        <f>D17-E17</f>
        <v/>
      </c>
    </row>
    <row r="18">
      <c r="A18" t="inlineStr">
        <is>
          <t>6999</t>
        </is>
      </c>
      <c r="B18" t="inlineStr">
        <is>
          <t>Other Operating Expenses</t>
        </is>
      </c>
      <c r="C18" t="inlineStr">
        <is>
          <t>Opex</t>
        </is>
      </c>
      <c r="D18" s="3">
        <f>SUMIFS(GL_Debit,GL_Acct,"6999")</f>
        <v/>
      </c>
      <c r="E18" s="3">
        <f>SUMIFS(GL_Credit,GL_Acct,"6999")</f>
        <v/>
      </c>
      <c r="F18" s="3">
        <f>D18-E18</f>
        <v/>
      </c>
    </row>
    <row r="19">
      <c r="A19" t="inlineStr">
        <is>
          <t>7000</t>
        </is>
      </c>
      <c r="B19" t="inlineStr">
        <is>
          <t>Other Income</t>
        </is>
      </c>
      <c r="C19" t="inlineStr">
        <is>
          <t>Other Income</t>
        </is>
      </c>
      <c r="D19" s="3">
        <f>SUMIFS(GL_Debit,GL_Acct,"7000")</f>
        <v/>
      </c>
      <c r="E19" s="3">
        <f>SUMIFS(GL_Credit,GL_Acct,"7000")</f>
        <v/>
      </c>
      <c r="F19" s="3">
        <f>D19-E19</f>
        <v/>
      </c>
    </row>
    <row r="20">
      <c r="A20" t="inlineStr">
        <is>
          <t>7100</t>
        </is>
      </c>
      <c r="B20" t="inlineStr">
        <is>
          <t>Other Expenses</t>
        </is>
      </c>
      <c r="C20" t="inlineStr">
        <is>
          <t>Other Expense</t>
        </is>
      </c>
      <c r="D20" s="3">
        <f>SUMIFS(GL_Debit,GL_Acct,"7100")</f>
        <v/>
      </c>
      <c r="E20" s="3">
        <f>SUMIFS(GL_Credit,GL_Acct,"7100")</f>
        <v/>
      </c>
      <c r="F20" s="3">
        <f>D20-E20</f>
        <v/>
      </c>
    </row>
    <row r="21">
      <c r="A21" s="4" t="inlineStr">
        <is>
          <t>TOTAL</t>
        </is>
      </c>
      <c r="D21" s="5">
        <f>SUM(D2:D20)</f>
        <v/>
      </c>
      <c r="E21" s="5">
        <f>SUM(E2:E20)</f>
        <v/>
      </c>
      <c r="F21" s="3" t="n"/>
    </row>
    <row r="22">
      <c r="A22" t="inlineStr">
        <is>
          <t>Balanced?</t>
        </is>
      </c>
      <c r="B22">
        <f>IF(ABS(D21-E21)&lt;0.01,"OK - balanced","OUT OF BALANCE")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6" t="inlineStr">
        <is>
          <t>Profit &amp; Loss (SAR)</t>
        </is>
      </c>
    </row>
    <row r="2">
      <c r="B2" s="7" t="n">
        <v>46113</v>
      </c>
      <c r="C2" s="7" t="n">
        <v>46143</v>
      </c>
      <c r="D2" s="7" t="n">
        <v>46174</v>
      </c>
      <c r="E2" s="7" t="n">
        <v>46204</v>
      </c>
      <c r="F2" s="7" t="n">
        <v>46235</v>
      </c>
      <c r="G2" s="7" t="n">
        <v>46266</v>
      </c>
    </row>
    <row r="3">
      <c r="A3" s="1" t="inlineStr">
        <is>
          <t>Line</t>
        </is>
      </c>
      <c r="B3" s="1" t="inlineStr">
        <is>
          <t>Apr-26</t>
        </is>
      </c>
      <c r="C3" s="1" t="inlineStr">
        <is>
          <t>May-26</t>
        </is>
      </c>
      <c r="D3" s="1" t="inlineStr">
        <is>
          <t>Jun-26</t>
        </is>
      </c>
      <c r="E3" s="1" t="inlineStr">
        <is>
          <t>Jul-26</t>
        </is>
      </c>
      <c r="F3" s="1" t="inlineStr">
        <is>
          <t>Aug-26</t>
        </is>
      </c>
      <c r="G3" s="1" t="inlineStr">
        <is>
          <t>Sep-26</t>
        </is>
      </c>
      <c r="H3" s="1" t="inlineStr">
        <is>
          <t>Total</t>
        </is>
      </c>
    </row>
    <row r="4">
      <c r="A4" t="inlineStr">
        <is>
          <t>Sales Revenue</t>
        </is>
      </c>
      <c r="B4" s="8">
        <f>-SUMIFS(GL_Net,GL_Acct,"4000",GL_Date,"&gt;="&amp;B$2,GL_Date,"&lt;"&amp;EDATE(B$2,1))</f>
        <v/>
      </c>
      <c r="C4" s="8">
        <f>-SUMIFS(GL_Net,GL_Acct,"4000",GL_Date,"&gt;="&amp;C$2,GL_Date,"&lt;"&amp;EDATE(C$2,1))</f>
        <v/>
      </c>
      <c r="D4" s="8">
        <f>-SUMIFS(GL_Net,GL_Acct,"4000",GL_Date,"&gt;="&amp;D$2,GL_Date,"&lt;"&amp;EDATE(D$2,1))</f>
        <v/>
      </c>
      <c r="E4" s="8">
        <f>-SUMIFS(GL_Net,GL_Acct,"4000",GL_Date,"&gt;="&amp;E$2,GL_Date,"&lt;"&amp;EDATE(E$2,1))</f>
        <v/>
      </c>
      <c r="F4" s="8">
        <f>-SUMIFS(GL_Net,GL_Acct,"4000",GL_Date,"&gt;="&amp;F$2,GL_Date,"&lt;"&amp;EDATE(F$2,1))</f>
        <v/>
      </c>
      <c r="G4" s="8">
        <f>-SUMIFS(GL_Net,GL_Acct,"4000",GL_Date,"&gt;="&amp;G$2,GL_Date,"&lt;"&amp;EDATE(G$2,1))</f>
        <v/>
      </c>
      <c r="H4" s="8">
        <f>SUM(B4:G4)</f>
        <v/>
      </c>
    </row>
    <row r="5">
      <c r="A5" t="inlineStr">
        <is>
          <t>Service Revenue</t>
        </is>
      </c>
      <c r="B5" s="8">
        <f>-SUMIFS(GL_Net,GL_Acct,"4100",GL_Date,"&gt;="&amp;B$2,GL_Date,"&lt;"&amp;EDATE(B$2,1))</f>
        <v/>
      </c>
      <c r="C5" s="8">
        <f>-SUMIFS(GL_Net,GL_Acct,"4100",GL_Date,"&gt;="&amp;C$2,GL_Date,"&lt;"&amp;EDATE(C$2,1))</f>
        <v/>
      </c>
      <c r="D5" s="8">
        <f>-SUMIFS(GL_Net,GL_Acct,"4100",GL_Date,"&gt;="&amp;D$2,GL_Date,"&lt;"&amp;EDATE(D$2,1))</f>
        <v/>
      </c>
      <c r="E5" s="8">
        <f>-SUMIFS(GL_Net,GL_Acct,"4100",GL_Date,"&gt;="&amp;E$2,GL_Date,"&lt;"&amp;EDATE(E$2,1))</f>
        <v/>
      </c>
      <c r="F5" s="8">
        <f>-SUMIFS(GL_Net,GL_Acct,"4100",GL_Date,"&gt;="&amp;F$2,GL_Date,"&lt;"&amp;EDATE(F$2,1))</f>
        <v/>
      </c>
      <c r="G5" s="8">
        <f>-SUMIFS(GL_Net,GL_Acct,"4100",GL_Date,"&gt;="&amp;G$2,GL_Date,"&lt;"&amp;EDATE(G$2,1))</f>
        <v/>
      </c>
      <c r="H5" s="8">
        <f>SUM(B5:G5)</f>
        <v/>
      </c>
    </row>
    <row r="6">
      <c r="A6" s="4" t="inlineStr">
        <is>
          <t>Total Revenue</t>
        </is>
      </c>
      <c r="B6" s="9">
        <f>B4+B5</f>
        <v/>
      </c>
      <c r="C6" s="9">
        <f>C4+C5</f>
        <v/>
      </c>
      <c r="D6" s="9">
        <f>D4+D5</f>
        <v/>
      </c>
      <c r="E6" s="9">
        <f>E4+E5</f>
        <v/>
      </c>
      <c r="F6" s="9">
        <f>F4+F5</f>
        <v/>
      </c>
      <c r="G6" s="9">
        <f>G4+G5</f>
        <v/>
      </c>
      <c r="H6" s="9">
        <f>H4+H5</f>
        <v/>
      </c>
    </row>
    <row r="7">
      <c r="A7" t="inlineStr">
        <is>
          <t>Cost of Goods Sold</t>
        </is>
      </c>
      <c r="B7" s="8">
        <f>SUMIFS(GL_Net,GL_Acct,"5000",GL_Date,"&gt;="&amp;B$2,GL_Date,"&lt;"&amp;EDATE(B$2,1))</f>
        <v/>
      </c>
      <c r="C7" s="8">
        <f>SUMIFS(GL_Net,GL_Acct,"5000",GL_Date,"&gt;="&amp;C$2,GL_Date,"&lt;"&amp;EDATE(C$2,1))</f>
        <v/>
      </c>
      <c r="D7" s="8">
        <f>SUMIFS(GL_Net,GL_Acct,"5000",GL_Date,"&gt;="&amp;D$2,GL_Date,"&lt;"&amp;EDATE(D$2,1))</f>
        <v/>
      </c>
      <c r="E7" s="8">
        <f>SUMIFS(GL_Net,GL_Acct,"5000",GL_Date,"&gt;="&amp;E$2,GL_Date,"&lt;"&amp;EDATE(E$2,1))</f>
        <v/>
      </c>
      <c r="F7" s="8">
        <f>SUMIFS(GL_Net,GL_Acct,"5000",GL_Date,"&gt;="&amp;F$2,GL_Date,"&lt;"&amp;EDATE(F$2,1))</f>
        <v/>
      </c>
      <c r="G7" s="8">
        <f>SUMIFS(GL_Net,GL_Acct,"5000",GL_Date,"&gt;="&amp;G$2,GL_Date,"&lt;"&amp;EDATE(G$2,1))</f>
        <v/>
      </c>
      <c r="H7" s="8">
        <f>SUM(B7:G7)</f>
        <v/>
      </c>
    </row>
    <row r="8">
      <c r="A8" s="4" t="inlineStr">
        <is>
          <t>Gross Profit</t>
        </is>
      </c>
      <c r="B8" s="9">
        <f>B6-B7</f>
        <v/>
      </c>
      <c r="C8" s="9">
        <f>C6-C7</f>
        <v/>
      </c>
      <c r="D8" s="9">
        <f>D6-D7</f>
        <v/>
      </c>
      <c r="E8" s="9">
        <f>E6-E7</f>
        <v/>
      </c>
      <c r="F8" s="9">
        <f>F6-F7</f>
        <v/>
      </c>
      <c r="G8" s="9">
        <f>G6-G7</f>
        <v/>
      </c>
      <c r="H8" s="9">
        <f>H6-H7</f>
        <v/>
      </c>
    </row>
    <row r="9">
      <c r="A9" t="inlineStr">
        <is>
          <t>Salaries &amp; Wages</t>
        </is>
      </c>
      <c r="B9" s="8">
        <f>SUMIFS(GL_Net,GL_Acct,"6000",GL_Date,"&gt;="&amp;B$2,GL_Date,"&lt;"&amp;EDATE(B$2,1))</f>
        <v/>
      </c>
      <c r="C9" s="8">
        <f>SUMIFS(GL_Net,GL_Acct,"6000",GL_Date,"&gt;="&amp;C$2,GL_Date,"&lt;"&amp;EDATE(C$2,1))</f>
        <v/>
      </c>
      <c r="D9" s="8">
        <f>SUMIFS(GL_Net,GL_Acct,"6000",GL_Date,"&gt;="&amp;D$2,GL_Date,"&lt;"&amp;EDATE(D$2,1))</f>
        <v/>
      </c>
      <c r="E9" s="8">
        <f>SUMIFS(GL_Net,GL_Acct,"6000",GL_Date,"&gt;="&amp;E$2,GL_Date,"&lt;"&amp;EDATE(E$2,1))</f>
        <v/>
      </c>
      <c r="F9" s="8">
        <f>SUMIFS(GL_Net,GL_Acct,"6000",GL_Date,"&gt;="&amp;F$2,GL_Date,"&lt;"&amp;EDATE(F$2,1))</f>
        <v/>
      </c>
      <c r="G9" s="8">
        <f>SUMIFS(GL_Net,GL_Acct,"6000",GL_Date,"&gt;="&amp;G$2,GL_Date,"&lt;"&amp;EDATE(G$2,1))</f>
        <v/>
      </c>
      <c r="H9" s="8">
        <f>SUM(B9:G9)</f>
        <v/>
      </c>
    </row>
    <row r="10">
      <c r="A10" t="inlineStr">
        <is>
          <t>Office Rent</t>
        </is>
      </c>
      <c r="B10" s="8">
        <f>SUMIFS(GL_Net,GL_Acct,"6100",GL_Date,"&gt;="&amp;B$2,GL_Date,"&lt;"&amp;EDATE(B$2,1))</f>
        <v/>
      </c>
      <c r="C10" s="8">
        <f>SUMIFS(GL_Net,GL_Acct,"6100",GL_Date,"&gt;="&amp;C$2,GL_Date,"&lt;"&amp;EDATE(C$2,1))</f>
        <v/>
      </c>
      <c r="D10" s="8">
        <f>SUMIFS(GL_Net,GL_Acct,"6100",GL_Date,"&gt;="&amp;D$2,GL_Date,"&lt;"&amp;EDATE(D$2,1))</f>
        <v/>
      </c>
      <c r="E10" s="8">
        <f>SUMIFS(GL_Net,GL_Acct,"6100",GL_Date,"&gt;="&amp;E$2,GL_Date,"&lt;"&amp;EDATE(E$2,1))</f>
        <v/>
      </c>
      <c r="F10" s="8">
        <f>SUMIFS(GL_Net,GL_Acct,"6100",GL_Date,"&gt;="&amp;F$2,GL_Date,"&lt;"&amp;EDATE(F$2,1))</f>
        <v/>
      </c>
      <c r="G10" s="8">
        <f>SUMIFS(GL_Net,GL_Acct,"6100",GL_Date,"&gt;="&amp;G$2,GL_Date,"&lt;"&amp;EDATE(G$2,1))</f>
        <v/>
      </c>
      <c r="H10" s="8">
        <f>SUM(B10:G10)</f>
        <v/>
      </c>
    </row>
    <row r="11">
      <c r="A11" t="inlineStr">
        <is>
          <t>Utilities</t>
        </is>
      </c>
      <c r="B11" s="8">
        <f>SUMIFS(GL_Net,GL_Acct,"6200",GL_Date,"&gt;="&amp;B$2,GL_Date,"&lt;"&amp;EDATE(B$2,1))</f>
        <v/>
      </c>
      <c r="C11" s="8">
        <f>SUMIFS(GL_Net,GL_Acct,"6200",GL_Date,"&gt;="&amp;C$2,GL_Date,"&lt;"&amp;EDATE(C$2,1))</f>
        <v/>
      </c>
      <c r="D11" s="8">
        <f>SUMIFS(GL_Net,GL_Acct,"6200",GL_Date,"&gt;="&amp;D$2,GL_Date,"&lt;"&amp;EDATE(D$2,1))</f>
        <v/>
      </c>
      <c r="E11" s="8">
        <f>SUMIFS(GL_Net,GL_Acct,"6200",GL_Date,"&gt;="&amp;E$2,GL_Date,"&lt;"&amp;EDATE(E$2,1))</f>
        <v/>
      </c>
      <c r="F11" s="8">
        <f>SUMIFS(GL_Net,GL_Acct,"6200",GL_Date,"&gt;="&amp;F$2,GL_Date,"&lt;"&amp;EDATE(F$2,1))</f>
        <v/>
      </c>
      <c r="G11" s="8">
        <f>SUMIFS(GL_Net,GL_Acct,"6200",GL_Date,"&gt;="&amp;G$2,GL_Date,"&lt;"&amp;EDATE(G$2,1))</f>
        <v/>
      </c>
      <c r="H11" s="8">
        <f>SUM(B11:G11)</f>
        <v/>
      </c>
    </row>
    <row r="12">
      <c r="A12" t="inlineStr">
        <is>
          <t>Marketing</t>
        </is>
      </c>
      <c r="B12" s="8">
        <f>SUMIFS(GL_Net,GL_Acct,"6300",GL_Date,"&gt;="&amp;B$2,GL_Date,"&lt;"&amp;EDATE(B$2,1))</f>
        <v/>
      </c>
      <c r="C12" s="8">
        <f>SUMIFS(GL_Net,GL_Acct,"6300",GL_Date,"&gt;="&amp;C$2,GL_Date,"&lt;"&amp;EDATE(C$2,1))</f>
        <v/>
      </c>
      <c r="D12" s="8">
        <f>SUMIFS(GL_Net,GL_Acct,"6300",GL_Date,"&gt;="&amp;D$2,GL_Date,"&lt;"&amp;EDATE(D$2,1))</f>
        <v/>
      </c>
      <c r="E12" s="8">
        <f>SUMIFS(GL_Net,GL_Acct,"6300",GL_Date,"&gt;="&amp;E$2,GL_Date,"&lt;"&amp;EDATE(E$2,1))</f>
        <v/>
      </c>
      <c r="F12" s="8">
        <f>SUMIFS(GL_Net,GL_Acct,"6300",GL_Date,"&gt;="&amp;F$2,GL_Date,"&lt;"&amp;EDATE(F$2,1))</f>
        <v/>
      </c>
      <c r="G12" s="8">
        <f>SUMIFS(GL_Net,GL_Acct,"6300",GL_Date,"&gt;="&amp;G$2,GL_Date,"&lt;"&amp;EDATE(G$2,1))</f>
        <v/>
      </c>
      <c r="H12" s="8">
        <f>SUM(B12:G12)</f>
        <v/>
      </c>
    </row>
    <row r="13">
      <c r="A13" t="inlineStr">
        <is>
          <t>Depreciation</t>
        </is>
      </c>
      <c r="B13" s="8">
        <f>SUMIFS(GL_Net,GL_Acct,"6400",GL_Date,"&gt;="&amp;B$2,GL_Date,"&lt;"&amp;EDATE(B$2,1))</f>
        <v/>
      </c>
      <c r="C13" s="8">
        <f>SUMIFS(GL_Net,GL_Acct,"6400",GL_Date,"&gt;="&amp;C$2,GL_Date,"&lt;"&amp;EDATE(C$2,1))</f>
        <v/>
      </c>
      <c r="D13" s="8">
        <f>SUMIFS(GL_Net,GL_Acct,"6400",GL_Date,"&gt;="&amp;D$2,GL_Date,"&lt;"&amp;EDATE(D$2,1))</f>
        <v/>
      </c>
      <c r="E13" s="8">
        <f>SUMIFS(GL_Net,GL_Acct,"6400",GL_Date,"&gt;="&amp;E$2,GL_Date,"&lt;"&amp;EDATE(E$2,1))</f>
        <v/>
      </c>
      <c r="F13" s="8">
        <f>SUMIFS(GL_Net,GL_Acct,"6400",GL_Date,"&gt;="&amp;F$2,GL_Date,"&lt;"&amp;EDATE(F$2,1))</f>
        <v/>
      </c>
      <c r="G13" s="8">
        <f>SUMIFS(GL_Net,GL_Acct,"6400",GL_Date,"&gt;="&amp;G$2,GL_Date,"&lt;"&amp;EDATE(G$2,1))</f>
        <v/>
      </c>
      <c r="H13" s="8">
        <f>SUM(B13:G13)</f>
        <v/>
      </c>
    </row>
    <row r="14">
      <c r="A14" t="inlineStr">
        <is>
          <t>Other Operating Expenses</t>
        </is>
      </c>
      <c r="B14" s="8">
        <f>SUMIFS(GL_Net,GL_Acct,"6999",GL_Date,"&gt;="&amp;B$2,GL_Date,"&lt;"&amp;EDATE(B$2,1))</f>
        <v/>
      </c>
      <c r="C14" s="8">
        <f>SUMIFS(GL_Net,GL_Acct,"6999",GL_Date,"&gt;="&amp;C$2,GL_Date,"&lt;"&amp;EDATE(C$2,1))</f>
        <v/>
      </c>
      <c r="D14" s="8">
        <f>SUMIFS(GL_Net,GL_Acct,"6999",GL_Date,"&gt;="&amp;D$2,GL_Date,"&lt;"&amp;EDATE(D$2,1))</f>
        <v/>
      </c>
      <c r="E14" s="8">
        <f>SUMIFS(GL_Net,GL_Acct,"6999",GL_Date,"&gt;="&amp;E$2,GL_Date,"&lt;"&amp;EDATE(E$2,1))</f>
        <v/>
      </c>
      <c r="F14" s="8">
        <f>SUMIFS(GL_Net,GL_Acct,"6999",GL_Date,"&gt;="&amp;F$2,GL_Date,"&lt;"&amp;EDATE(F$2,1))</f>
        <v/>
      </c>
      <c r="G14" s="8">
        <f>SUMIFS(GL_Net,GL_Acct,"6999",GL_Date,"&gt;="&amp;G$2,GL_Date,"&lt;"&amp;EDATE(G$2,1))</f>
        <v/>
      </c>
      <c r="H14" s="8">
        <f>SUM(B14:G14)</f>
        <v/>
      </c>
    </row>
    <row r="15">
      <c r="A15" s="4" t="inlineStr">
        <is>
          <t>Total Operating Expenses</t>
        </is>
      </c>
      <c r="B15" s="9">
        <f>B9+B10+B11+B12+B13+B14</f>
        <v/>
      </c>
      <c r="C15" s="9">
        <f>C9+C10+C11+C12+C13+C14</f>
        <v/>
      </c>
      <c r="D15" s="9">
        <f>D9+D10+D11+D12+D13+D14</f>
        <v/>
      </c>
      <c r="E15" s="9">
        <f>E9+E10+E11+E12+E13+E14</f>
        <v/>
      </c>
      <c r="F15" s="9">
        <f>F9+F10+F11+F12+F13+F14</f>
        <v/>
      </c>
      <c r="G15" s="9">
        <f>G9+G10+G11+G12+G13+G14</f>
        <v/>
      </c>
      <c r="H15" s="9">
        <f>H9+H10+H11+H12+H13+H14</f>
        <v/>
      </c>
    </row>
    <row r="16">
      <c r="A16" s="4" t="inlineStr">
        <is>
          <t>Operating Income</t>
        </is>
      </c>
      <c r="B16" s="9">
        <f>B8-B15</f>
        <v/>
      </c>
      <c r="C16" s="9">
        <f>C8-C15</f>
        <v/>
      </c>
      <c r="D16" s="9">
        <f>D8-D15</f>
        <v/>
      </c>
      <c r="E16" s="9">
        <f>E8-E15</f>
        <v/>
      </c>
      <c r="F16" s="9">
        <f>F8-F15</f>
        <v/>
      </c>
      <c r="G16" s="9">
        <f>G8-G15</f>
        <v/>
      </c>
      <c r="H16" s="9">
        <f>H8-H15</f>
        <v/>
      </c>
    </row>
    <row r="17">
      <c r="A17" t="inlineStr">
        <is>
          <t>Other Income</t>
        </is>
      </c>
      <c r="B17" s="8">
        <f>-SUMIFS(GL_Net,GL_Acct,"7000",GL_Date,"&gt;="&amp;B$2,GL_Date,"&lt;"&amp;EDATE(B$2,1))</f>
        <v/>
      </c>
      <c r="C17" s="8">
        <f>-SUMIFS(GL_Net,GL_Acct,"7000",GL_Date,"&gt;="&amp;C$2,GL_Date,"&lt;"&amp;EDATE(C$2,1))</f>
        <v/>
      </c>
      <c r="D17" s="8">
        <f>-SUMIFS(GL_Net,GL_Acct,"7000",GL_Date,"&gt;="&amp;D$2,GL_Date,"&lt;"&amp;EDATE(D$2,1))</f>
        <v/>
      </c>
      <c r="E17" s="8">
        <f>-SUMIFS(GL_Net,GL_Acct,"7000",GL_Date,"&gt;="&amp;E$2,GL_Date,"&lt;"&amp;EDATE(E$2,1))</f>
        <v/>
      </c>
      <c r="F17" s="8">
        <f>-SUMIFS(GL_Net,GL_Acct,"7000",GL_Date,"&gt;="&amp;F$2,GL_Date,"&lt;"&amp;EDATE(F$2,1))</f>
        <v/>
      </c>
      <c r="G17" s="8">
        <f>-SUMIFS(GL_Net,GL_Acct,"7000",GL_Date,"&gt;="&amp;G$2,GL_Date,"&lt;"&amp;EDATE(G$2,1))</f>
        <v/>
      </c>
      <c r="H17" s="8">
        <f>SUM(B17:G17)</f>
        <v/>
      </c>
    </row>
    <row r="18">
      <c r="A18" t="inlineStr">
        <is>
          <t>Other Expenses</t>
        </is>
      </c>
      <c r="B18" s="8">
        <f>SUMIFS(GL_Net,GL_Acct,"7100",GL_Date,"&gt;="&amp;B$2,GL_Date,"&lt;"&amp;EDATE(B$2,1))</f>
        <v/>
      </c>
      <c r="C18" s="8">
        <f>SUMIFS(GL_Net,GL_Acct,"7100",GL_Date,"&gt;="&amp;C$2,GL_Date,"&lt;"&amp;EDATE(C$2,1))</f>
        <v/>
      </c>
      <c r="D18" s="8">
        <f>SUMIFS(GL_Net,GL_Acct,"7100",GL_Date,"&gt;="&amp;D$2,GL_Date,"&lt;"&amp;EDATE(D$2,1))</f>
        <v/>
      </c>
      <c r="E18" s="8">
        <f>SUMIFS(GL_Net,GL_Acct,"7100",GL_Date,"&gt;="&amp;E$2,GL_Date,"&lt;"&amp;EDATE(E$2,1))</f>
        <v/>
      </c>
      <c r="F18" s="8">
        <f>SUMIFS(GL_Net,GL_Acct,"7100",GL_Date,"&gt;="&amp;F$2,GL_Date,"&lt;"&amp;EDATE(F$2,1))</f>
        <v/>
      </c>
      <c r="G18" s="8">
        <f>SUMIFS(GL_Net,GL_Acct,"7100",GL_Date,"&gt;="&amp;G$2,GL_Date,"&lt;"&amp;EDATE(G$2,1))</f>
        <v/>
      </c>
      <c r="H18" s="8">
        <f>SUM(B18:G18)</f>
        <v/>
      </c>
    </row>
    <row r="19">
      <c r="A19" s="4" t="inlineStr">
        <is>
          <t>NET INCOME</t>
        </is>
      </c>
      <c r="B19" s="9">
        <f>B16+B17-B18</f>
        <v/>
      </c>
      <c r="C19" s="9">
        <f>C16+C17-C18</f>
        <v/>
      </c>
      <c r="D19" s="9">
        <f>D16+D17-D18</f>
        <v/>
      </c>
      <c r="E19" s="9">
        <f>E16+E17-E18</f>
        <v/>
      </c>
      <c r="F19" s="9">
        <f>F16+F17-F18</f>
        <v/>
      </c>
      <c r="G19" s="9">
        <f>G16+G17-G18</f>
        <v/>
      </c>
      <c r="H19" s="9">
        <f>H16+H17-H18</f>
        <v/>
      </c>
    </row>
    <row r="20">
      <c r="A20" s="4" t="inlineStr">
        <is>
          <t>Total Expenses (for charts)</t>
        </is>
      </c>
      <c r="B20" s="9">
        <f>B7+B15+B18</f>
        <v/>
      </c>
      <c r="C20" s="9">
        <f>C7+C15+C18</f>
        <v/>
      </c>
      <c r="D20" s="9">
        <f>D7+D15+D18</f>
        <v/>
      </c>
      <c r="E20" s="9">
        <f>E7+E15+E18</f>
        <v/>
      </c>
      <c r="F20" s="9">
        <f>F7+F15+F18</f>
        <v/>
      </c>
      <c r="G20" s="9">
        <f>G7+G15+G18</f>
        <v/>
      </c>
      <c r="H20" s="9">
        <f>H7+H15+H18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hidden="1" width="13" customWidth="1" min="11" max="11"/>
  </cols>
  <sheetData>
    <row r="1">
      <c r="A1" s="6" t="inlineStr">
        <is>
          <t>Cash Flow Statement - indirect method (SAR), Apr-Sep 2026</t>
        </is>
      </c>
      <c r="K1" s="2" t="n">
        <v>46113</v>
      </c>
    </row>
    <row r="2">
      <c r="A2" s="4" t="inlineStr">
        <is>
          <t>Line</t>
        </is>
      </c>
      <c r="B2" s="4" t="inlineStr">
        <is>
          <t>SAR</t>
        </is>
      </c>
      <c r="K2">
        <f>EDATE(K1,6)</f>
        <v/>
      </c>
    </row>
    <row r="3">
      <c r="A3" s="10" t="inlineStr">
        <is>
          <t>Operating activities</t>
        </is>
      </c>
    </row>
    <row r="4">
      <c r="A4" t="inlineStr">
        <is>
          <t>Net income</t>
        </is>
      </c>
      <c r="B4" s="3">
        <f>'P&amp;L'!H19</f>
        <v/>
      </c>
    </row>
    <row r="5">
      <c r="A5" t="inlineStr">
        <is>
          <t>Add back: depreciation (non-cash)</t>
        </is>
      </c>
      <c r="B5" s="3">
        <f>'P&amp;L'!H13</f>
        <v/>
      </c>
    </row>
    <row r="6">
      <c r="A6" t="inlineStr">
        <is>
          <t>Less: increase in trade receivables</t>
        </is>
      </c>
      <c r="B6" s="3">
        <f>-((SUMIFS(GL_Net,GL_Acct,"1100"))-(SUMIFS(GL_Net,GL_Acct,"1100",GL_Date,"&lt;"&amp;$K$1)))</f>
        <v/>
      </c>
    </row>
    <row r="7">
      <c r="A7" t="inlineStr">
        <is>
          <t>Less: increase in inventory</t>
        </is>
      </c>
      <c r="B7" s="3">
        <f>-((SUMIFS(GL_Net,GL_Acct,"1200"))-(SUMIFS(GL_Net,GL_Acct,"1200",GL_Date,"&lt;"&amp;$K$1)))</f>
        <v/>
      </c>
    </row>
    <row r="8">
      <c r="A8" t="inlineStr">
        <is>
          <t>Add: increase in trade payables</t>
        </is>
      </c>
      <c r="B8" s="3">
        <f>-((SUMIFS(GL_Net,GL_Acct,"2100"))-(SUMIFS(GL_Net,GL_Acct,"2100",GL_Date,"&lt;"&amp;$K$1)))</f>
        <v/>
      </c>
    </row>
    <row r="9">
      <c r="A9" s="4" t="inlineStr">
        <is>
          <t>Net cash from operating activities</t>
        </is>
      </c>
      <c r="B9" s="5">
        <f>B4+B5+B6+B7+B8</f>
        <v/>
      </c>
    </row>
    <row r="10">
      <c r="A10" s="10" t="inlineStr">
        <is>
          <t>Investing activities</t>
        </is>
      </c>
    </row>
    <row r="11">
      <c r="A11" t="inlineStr">
        <is>
          <t>Equipment purchases</t>
        </is>
      </c>
      <c r="B11" s="3">
        <f>-(SUMIFS(GL_Net,GL_Acct,"1500",GL_Date,"&gt;="&amp;$K$1,GL_Date,"&lt;"&amp;$K$2))</f>
        <v/>
      </c>
    </row>
    <row r="12">
      <c r="A12" s="4" t="inlineStr">
        <is>
          <t>Net cash from investing activities</t>
        </is>
      </c>
      <c r="B12" s="5">
        <f>B11</f>
        <v/>
      </c>
    </row>
    <row r="13">
      <c r="A13" s="10" t="inlineStr">
        <is>
          <t>Financing activities</t>
        </is>
      </c>
    </row>
    <row r="14">
      <c r="A14" t="inlineStr">
        <is>
          <t>Bank loan (drawdown less repayments)</t>
        </is>
      </c>
      <c r="B14" s="3">
        <f>-(SUMIFS(GL_Net,GL_Acct,"2500",GL_Date,"&gt;="&amp;$K$1,GL_Date,"&lt;"&amp;$K$2))</f>
        <v/>
      </c>
    </row>
    <row r="15">
      <c r="A15" s="4" t="inlineStr">
        <is>
          <t>Net cash from financing activities</t>
        </is>
      </c>
      <c r="B15" s="5">
        <f>B14</f>
        <v/>
      </c>
    </row>
    <row r="16">
      <c r="A16" s="4" t="inlineStr">
        <is>
          <t>NET CHANGE IN CASH</t>
        </is>
      </c>
      <c r="B16" s="5">
        <f>B9+B12+B15</f>
        <v/>
      </c>
    </row>
    <row r="17">
      <c r="A17" t="inlineStr">
        <is>
          <t>Cash at beginning of period</t>
        </is>
      </c>
      <c r="B17" s="3">
        <f>SUMIFS(GL_Net,GL_Acct,"1000",GL_Date,"&lt;"&amp;$K$1)</f>
        <v/>
      </c>
    </row>
    <row r="18">
      <c r="A18" s="4" t="inlineStr">
        <is>
          <t>CASH AT END OF PERIOD</t>
        </is>
      </c>
      <c r="B18" s="5">
        <f>B16+B17</f>
        <v/>
      </c>
    </row>
    <row r="19">
      <c r="A19" t="inlineStr">
        <is>
          <t>Check: ties to trial balance cash?</t>
        </is>
      </c>
      <c r="B19" s="3">
        <f>IF(ABS(B18-'Trial_Balance'!F2)&lt;0.01,"OK - ties to trial balance","DIFF")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</cols>
  <sheetData>
    <row r="1">
      <c r="A1" s="11" t="inlineStr">
        <is>
          <t>Finance Dashboard - Desert Rose Trading LLC (SAR)</t>
        </is>
      </c>
    </row>
    <row r="2">
      <c r="A2" s="12" t="inlineStr">
        <is>
          <t>Apr-Sep 2026  |  Source: AX-style GL export  |  All figures are live formulas</t>
        </is>
      </c>
    </row>
    <row r="4">
      <c r="A4" s="13" t="inlineStr">
        <is>
          <t>Key figures</t>
        </is>
      </c>
    </row>
    <row r="5">
      <c r="A5" s="4" t="inlineStr">
        <is>
          <t>Total Revenue (6 mo)</t>
        </is>
      </c>
      <c r="B5" s="14">
        <f>'P&amp;L'!H6</f>
        <v/>
      </c>
    </row>
    <row r="6">
      <c r="A6" s="4" t="inlineStr">
        <is>
          <t>Total Expenses (6 mo)</t>
        </is>
      </c>
      <c r="B6" s="14">
        <f>'P&amp;L'!H20</f>
        <v/>
      </c>
    </row>
    <row r="7">
      <c r="A7" s="4" t="inlineStr">
        <is>
          <t>Net Income (6 mo)</t>
        </is>
      </c>
      <c r="B7" s="14">
        <f>'P&amp;L'!H19</f>
        <v/>
      </c>
    </row>
    <row r="8">
      <c r="A8" s="4" t="inlineStr">
        <is>
          <t>Gross Margin %</t>
        </is>
      </c>
      <c r="B8" s="15">
        <f>IF('P&amp;L'!H6=0,0,'P&amp;L'!H8/'P&amp;L'!H6)</f>
        <v/>
      </c>
    </row>
    <row r="9">
      <c r="A9" s="4" t="inlineStr">
        <is>
          <t>Net Cash Change</t>
        </is>
      </c>
      <c r="B9" s="14">
        <f>'Cash_Flow'!B16</f>
        <v/>
      </c>
    </row>
    <row r="10">
      <c r="A10" s="4" t="inlineStr">
        <is>
          <t>Closing Cash</t>
        </is>
      </c>
      <c r="B10" s="14">
        <f>'Cash_Flow'!B18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2026-10-10T03:13:22+00:00Z</dcterms:created>
  <dcterms:modified xmlns:dcterms="http://purl.org/dc/terms/" xmlns:xsi="http://www.w3.org/2001/XMLSchema-instance" xsi:type="dcterms:W3CDTF">2026-10-10T03:13:22+00:00Z</dcterms:modified>
</cp:coreProperties>
</file>